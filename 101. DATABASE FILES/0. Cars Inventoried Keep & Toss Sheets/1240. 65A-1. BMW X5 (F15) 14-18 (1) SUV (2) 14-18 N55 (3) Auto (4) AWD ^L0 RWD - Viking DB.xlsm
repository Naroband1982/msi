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filterPrivacy="1" updateLinks="always" codeName="ThisWorkbook"/>
  <xr:revisionPtr revIDLastSave="0" documentId="13_ncr:1_{8889CB9B-1F6C-42D7-BB50-680E2ECFBADC}" xr6:coauthVersionLast="47" xr6:coauthVersionMax="47" xr10:uidLastSave="{00000000-0000-0000-0000-000000000000}"/>
  <bookViews>
    <workbookView xWindow="-38520" yWindow="-120" windowWidth="38640" windowHeight="21120" tabRatio="751" firstSheet="2" activeTab="3" xr2:uid="{00000000-000D-0000-FFFF-FFFF00000000}"/>
  </bookViews>
  <sheets>
    <sheet name="1. Template Stats" sheetId="18" r:id="rId1"/>
    <sheet name="2. Items to Test" sheetId="19" r:id="rId2"/>
    <sheet name="Item# &amp; Tag#" sheetId="24" r:id="rId3"/>
    <sheet name="3. Keep &amp; Toss Items" sheetId="1" r:id="rId4"/>
    <sheet name="3A. Print Tags View" sheetId="25" r:id="rId5"/>
    <sheet name="3B. Pusher View" sheetId="23" r:id="rId6"/>
    <sheet name="3C. Check for Part #" sheetId="26" r:id="rId7"/>
    <sheet name="3D. Pictures" sheetId="28" r:id="rId8"/>
    <sheet name="Sheet1" sheetId="30" r:id="rId9"/>
    <sheet name="3D-1. Picture Count Check" sheetId="29" r:id="rId10"/>
    <sheet name="8. Option Codes Decrypted" sheetId="17" r:id="rId11"/>
    <sheet name="4. FLAWs &amp; PERMANENT NOTES" sheetId="2" r:id="rId12"/>
    <sheet name="5. Review &amp; Tester Info to Get" sheetId="4" r:id="rId13"/>
    <sheet name="6A. Dismantler Info &amp; Time" sheetId="22" r:id="rId14"/>
    <sheet name="6B. BAD or INSPECT" sheetId="12" r:id="rId15"/>
    <sheet name="6C. Engine Compression Results" sheetId="11" r:id="rId16"/>
    <sheet name="Tickmarks" sheetId="7" r:id="rId17"/>
  </sheets>
  <definedNames>
    <definedName name="_xlnm._FilterDatabase" localSheetId="3" hidden="1">'3. Keep &amp; Toss Items'!$A$8:$BH$8</definedName>
    <definedName name="_xlnm._FilterDatabase" localSheetId="6" hidden="1">'3C. Check for Part #'!$B$1:$E$1</definedName>
    <definedName name="_xlnm._FilterDatabase" localSheetId="11" hidden="1">'4. FLAWs &amp; PERMANENT NOTES'!$B$2:$G$2</definedName>
    <definedName name="_xlnm._FilterDatabase" localSheetId="14" hidden="1">'6B. BAD or INSPECT'!$B$3:$N$20</definedName>
    <definedName name="_xlnm.Print_Area" localSheetId="1">'2. Items to Test'!$B$1:$G$171</definedName>
    <definedName name="_xlnm.Print_Area" localSheetId="3">'3. Keep &amp; Toss Items'!$H$1:$AE$455</definedName>
    <definedName name="_xlnm.Print_Titles" localSheetId="3">'3. Keep &amp; Toss Items'!$8:$8</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H64" i="1" l="1"/>
  <c r="BH63" i="1"/>
  <c r="BH45" i="1"/>
  <c r="BH44" i="1"/>
  <c r="BH35" i="1"/>
  <c r="BH34" i="1"/>
  <c r="BH12" i="1"/>
  <c r="BH11" i="1"/>
  <c r="B193" i="1"/>
  <c r="B192" i="1"/>
  <c r="B191" i="1"/>
  <c r="B190" i="1"/>
  <c r="B189" i="1"/>
  <c r="B188" i="1"/>
  <c r="C48" i="1"/>
  <c r="C487" i="1" l="1"/>
  <c r="B487" i="1"/>
  <c r="E487" i="1" s="1"/>
  <c r="A487" i="1"/>
  <c r="D115" i="28" l="1"/>
  <c r="T115" i="28" s="1"/>
  <c r="AU367" i="1"/>
  <c r="AS367" i="1" s="1"/>
  <c r="U115" i="28" l="1"/>
  <c r="X115" i="28"/>
  <c r="Y115" i="28"/>
  <c r="Z115" i="28"/>
  <c r="H115" i="28"/>
  <c r="I115" i="28"/>
  <c r="J115" i="28"/>
  <c r="K115" i="28"/>
  <c r="L115" i="28"/>
  <c r="M115" i="28"/>
  <c r="N115" i="28"/>
  <c r="V115" i="28"/>
  <c r="O115" i="28"/>
  <c r="P115" i="28"/>
  <c r="W115" i="28"/>
  <c r="Q115" i="28"/>
  <c r="R115" i="28"/>
  <c r="S115" i="28"/>
  <c r="A960" i="1" l="1"/>
  <c r="A959"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9"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9"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9"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9"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9"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9"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9"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9"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9"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9"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9"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9"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9"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9"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1" i="1"/>
  <c r="A500" i="1"/>
  <c r="A499" i="1"/>
  <c r="A498" i="1"/>
  <c r="A497" i="1"/>
  <c r="A496" i="1"/>
  <c r="A495" i="1"/>
  <c r="A494" i="1"/>
  <c r="A493" i="1"/>
  <c r="A492" i="1"/>
  <c r="A491" i="1"/>
  <c r="A490" i="1"/>
  <c r="A489" i="1"/>
  <c r="A488"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BG424" i="1" l="1"/>
  <c r="BF424" i="1"/>
  <c r="BE424" i="1"/>
  <c r="BD424" i="1"/>
  <c r="BC424" i="1"/>
  <c r="BB424" i="1"/>
  <c r="BA424" i="1"/>
  <c r="AZ424" i="1"/>
  <c r="AU424" i="1"/>
  <c r="AS424" i="1" s="1"/>
  <c r="C424" i="1" s="1"/>
  <c r="B424" i="1"/>
  <c r="BG412" i="1"/>
  <c r="BF412" i="1"/>
  <c r="BE412" i="1"/>
  <c r="BD412" i="1"/>
  <c r="BC412" i="1"/>
  <c r="BB412" i="1"/>
  <c r="BA412" i="1"/>
  <c r="AZ412" i="1"/>
  <c r="AU412" i="1"/>
  <c r="AS412" i="1" s="1"/>
  <c r="C412" i="1" s="1"/>
  <c r="B412" i="1"/>
  <c r="E412" i="1" s="1"/>
  <c r="E424" i="1" l="1"/>
  <c r="AU300" i="1"/>
  <c r="AS300" i="1" s="1"/>
  <c r="C300" i="1" s="1"/>
  <c r="AU302" i="1"/>
  <c r="AS302" i="1" s="1"/>
  <c r="C302" i="1" s="1"/>
  <c r="AU303" i="1"/>
  <c r="AS303" i="1" s="1"/>
  <c r="C303" i="1" s="1"/>
  <c r="C539" i="1"/>
  <c r="C538" i="1"/>
  <c r="C537" i="1"/>
  <c r="C530" i="1"/>
  <c r="C529" i="1"/>
  <c r="C528" i="1"/>
  <c r="C527" i="1"/>
  <c r="C526" i="1"/>
  <c r="C525" i="1"/>
  <c r="C524" i="1"/>
  <c r="C523" i="1"/>
  <c r="C522" i="1"/>
  <c r="C521" i="1"/>
  <c r="C520" i="1"/>
  <c r="C519" i="1"/>
  <c r="C514" i="1"/>
  <c r="C512" i="1"/>
  <c r="C508" i="1"/>
  <c r="C506" i="1"/>
  <c r="C505" i="1"/>
  <c r="C504" i="1"/>
  <c r="C503" i="1"/>
  <c r="C502" i="1"/>
  <c r="C501" i="1"/>
  <c r="C500" i="1"/>
  <c r="C499" i="1"/>
  <c r="C498" i="1"/>
  <c r="C497" i="1"/>
  <c r="C496" i="1"/>
  <c r="C493" i="1"/>
  <c r="C492" i="1"/>
  <c r="C491" i="1"/>
  <c r="C490" i="1"/>
  <c r="C489" i="1"/>
  <c r="C488" i="1"/>
  <c r="C486" i="1"/>
  <c r="C485" i="1"/>
  <c r="C484" i="1"/>
  <c r="C483" i="1"/>
  <c r="C482" i="1"/>
  <c r="C481" i="1"/>
  <c r="C480" i="1"/>
  <c r="C479" i="1"/>
  <c r="C478" i="1"/>
  <c r="C477" i="1"/>
  <c r="C473" i="1"/>
  <c r="C472" i="1"/>
  <c r="C469" i="1"/>
  <c r="C466" i="1"/>
  <c r="C463" i="1"/>
  <c r="C454" i="1"/>
  <c r="C453" i="1"/>
  <c r="C452" i="1"/>
  <c r="C451" i="1"/>
  <c r="C450" i="1"/>
  <c r="C445" i="1"/>
  <c r="C442" i="1"/>
  <c r="C441" i="1"/>
  <c r="C438" i="1"/>
  <c r="C437" i="1"/>
  <c r="C434" i="1"/>
  <c r="C433" i="1"/>
  <c r="C432" i="1"/>
  <c r="C431" i="1"/>
  <c r="C430" i="1"/>
  <c r="C429" i="1"/>
  <c r="C422" i="1"/>
  <c r="C410" i="1"/>
  <c r="C409" i="1"/>
  <c r="C405" i="1"/>
  <c r="C404" i="1"/>
  <c r="C402" i="1"/>
  <c r="C400" i="1"/>
  <c r="C399" i="1"/>
  <c r="C398" i="1"/>
  <c r="C397" i="1"/>
  <c r="C396" i="1"/>
  <c r="C395" i="1"/>
  <c r="C394" i="1"/>
  <c r="C393" i="1"/>
  <c r="C392" i="1"/>
  <c r="C391" i="1"/>
  <c r="C390" i="1"/>
  <c r="C389" i="1"/>
  <c r="C388" i="1"/>
  <c r="C387" i="1"/>
  <c r="C386" i="1"/>
  <c r="C385" i="1"/>
  <c r="C384" i="1"/>
  <c r="C383" i="1"/>
  <c r="C382" i="1"/>
  <c r="C381" i="1"/>
  <c r="C380" i="1"/>
  <c r="C379" i="1"/>
  <c r="C376" i="1"/>
  <c r="C375" i="1"/>
  <c r="C374" i="1"/>
  <c r="C372" i="1"/>
  <c r="C371" i="1"/>
  <c r="C370" i="1"/>
  <c r="C369" i="1"/>
  <c r="C368" i="1"/>
  <c r="C367" i="1"/>
  <c r="C366" i="1"/>
  <c r="C365" i="1"/>
  <c r="C364" i="1"/>
  <c r="C363" i="1"/>
  <c r="C361" i="1"/>
  <c r="C360" i="1"/>
  <c r="C359" i="1"/>
  <c r="C358" i="1"/>
  <c r="C357" i="1"/>
  <c r="C356" i="1"/>
  <c r="C355" i="1"/>
  <c r="C354" i="1"/>
  <c r="C353" i="1"/>
  <c r="C352" i="1"/>
  <c r="C351" i="1"/>
  <c r="C350" i="1"/>
  <c r="C349" i="1"/>
  <c r="C348" i="1"/>
  <c r="C347" i="1"/>
  <c r="C345" i="1"/>
  <c r="C346" i="1"/>
  <c r="C344" i="1"/>
  <c r="C343" i="1"/>
  <c r="C342" i="1"/>
  <c r="C340" i="1"/>
  <c r="C341" i="1"/>
  <c r="C339" i="1"/>
  <c r="C338" i="1"/>
  <c r="C337" i="1"/>
  <c r="C336" i="1"/>
  <c r="C335" i="1"/>
  <c r="C334" i="1"/>
  <c r="C333" i="1"/>
  <c r="C332" i="1"/>
  <c r="C331" i="1"/>
  <c r="C330" i="1"/>
  <c r="C329" i="1"/>
  <c r="C328" i="1"/>
  <c r="C327" i="1"/>
  <c r="C326" i="1"/>
  <c r="C323" i="1"/>
  <c r="C322" i="1"/>
  <c r="C321" i="1"/>
  <c r="C318" i="1"/>
  <c r="C317" i="1"/>
  <c r="C316" i="1"/>
  <c r="C315" i="1"/>
  <c r="C314" i="1"/>
  <c r="C313" i="1"/>
  <c r="C312" i="1"/>
  <c r="C311" i="1"/>
  <c r="C310" i="1"/>
  <c r="C309" i="1"/>
  <c r="C308" i="1"/>
  <c r="C307" i="1"/>
  <c r="C306" i="1"/>
  <c r="C301" i="1"/>
  <c r="C299" i="1"/>
  <c r="C298" i="1"/>
  <c r="C297" i="1"/>
  <c r="C296" i="1"/>
  <c r="C295" i="1"/>
  <c r="C294" i="1"/>
  <c r="C293" i="1"/>
  <c r="C292" i="1"/>
  <c r="C291" i="1"/>
  <c r="C290" i="1"/>
  <c r="C289" i="1"/>
  <c r="C288" i="1"/>
  <c r="C287" i="1"/>
  <c r="C286" i="1"/>
  <c r="C285" i="1"/>
  <c r="C284" i="1"/>
  <c r="C283" i="1"/>
  <c r="C279" i="1"/>
  <c r="C278" i="1"/>
  <c r="C277" i="1"/>
  <c r="C276" i="1"/>
  <c r="C275" i="1"/>
  <c r="C274" i="1"/>
  <c r="C273" i="1"/>
  <c r="C272" i="1"/>
  <c r="C271" i="1"/>
  <c r="C270" i="1"/>
  <c r="C269" i="1"/>
  <c r="C268" i="1"/>
  <c r="C267" i="1"/>
  <c r="C266" i="1"/>
  <c r="C265" i="1"/>
  <c r="C264" i="1"/>
  <c r="C263" i="1"/>
  <c r="C262" i="1"/>
  <c r="C261" i="1"/>
  <c r="C260" i="1"/>
  <c r="C259" i="1"/>
  <c r="C258" i="1"/>
  <c r="C254" i="1"/>
  <c r="C253" i="1"/>
  <c r="C251" i="1"/>
  <c r="C250" i="1"/>
  <c r="C248" i="1"/>
  <c r="C249" i="1"/>
  <c r="C247" i="1"/>
  <c r="C245" i="1"/>
  <c r="C244" i="1"/>
  <c r="C243" i="1"/>
  <c r="C242" i="1"/>
  <c r="C241" i="1"/>
  <c r="C239" i="1"/>
  <c r="C238" i="1"/>
  <c r="C237" i="1"/>
  <c r="C236" i="1"/>
  <c r="C235" i="1"/>
  <c r="C234" i="1"/>
  <c r="C233" i="1"/>
  <c r="C232" i="1"/>
  <c r="C231" i="1"/>
  <c r="C230" i="1"/>
  <c r="C229" i="1"/>
  <c r="C228" i="1"/>
  <c r="C227" i="1"/>
  <c r="C226" i="1"/>
  <c r="C225" i="1"/>
  <c r="C224" i="1"/>
  <c r="C223" i="1"/>
  <c r="C222" i="1"/>
  <c r="C221" i="1"/>
  <c r="C220" i="1"/>
  <c r="C219" i="1"/>
  <c r="C218" i="1"/>
  <c r="C217" i="1"/>
  <c r="C213" i="1"/>
  <c r="C212" i="1"/>
  <c r="C211" i="1"/>
  <c r="C210" i="1"/>
  <c r="C209" i="1"/>
  <c r="C208" i="1"/>
  <c r="C207" i="1"/>
  <c r="C206" i="1"/>
  <c r="C205" i="1"/>
  <c r="C204" i="1"/>
  <c r="C203" i="1"/>
  <c r="C202" i="1"/>
  <c r="C201" i="1"/>
  <c r="C200" i="1"/>
  <c r="C199" i="1"/>
  <c r="C198" i="1"/>
  <c r="C197" i="1"/>
  <c r="C196" i="1"/>
  <c r="C195" i="1"/>
  <c r="C194" i="1"/>
  <c r="C187" i="1"/>
  <c r="C186" i="1"/>
  <c r="C185" i="1"/>
  <c r="C184" i="1"/>
  <c r="C183" i="1"/>
  <c r="C182" i="1"/>
  <c r="C181" i="1"/>
  <c r="C180" i="1"/>
  <c r="C179" i="1"/>
  <c r="C178" i="1"/>
  <c r="C177" i="1"/>
  <c r="C176" i="1"/>
  <c r="C175" i="1"/>
  <c r="C174" i="1"/>
  <c r="C173" i="1"/>
  <c r="C172" i="1"/>
  <c r="C171" i="1"/>
  <c r="C170" i="1"/>
  <c r="C167" i="1"/>
  <c r="C166" i="1"/>
  <c r="C165" i="1"/>
  <c r="C164" i="1"/>
  <c r="C161" i="1"/>
  <c r="C158" i="1"/>
  <c r="C155" i="1"/>
  <c r="C152" i="1"/>
  <c r="C149" i="1"/>
  <c r="C146" i="1"/>
  <c r="C145" i="1"/>
  <c r="C144" i="1"/>
  <c r="C143" i="1"/>
  <c r="C142" i="1"/>
  <c r="C141" i="1"/>
  <c r="C140" i="1"/>
  <c r="C139" i="1"/>
  <c r="C138" i="1"/>
  <c r="C137" i="1"/>
  <c r="C136" i="1"/>
  <c r="C135" i="1"/>
  <c r="C134" i="1"/>
  <c r="C133" i="1"/>
  <c r="C132" i="1"/>
  <c r="C131" i="1"/>
  <c r="C129" i="1"/>
  <c r="C128" i="1"/>
  <c r="C124" i="1"/>
  <c r="C123" i="1"/>
  <c r="C122" i="1"/>
  <c r="C121" i="1"/>
  <c r="C120" i="1"/>
  <c r="C119" i="1"/>
  <c r="C118" i="1"/>
  <c r="C117" i="1"/>
  <c r="C116" i="1"/>
  <c r="C115" i="1"/>
  <c r="C114" i="1"/>
  <c r="C113" i="1"/>
  <c r="C112" i="1"/>
  <c r="C111" i="1"/>
  <c r="C110" i="1"/>
  <c r="C109" i="1"/>
  <c r="C108" i="1"/>
  <c r="C107" i="1"/>
  <c r="C106" i="1"/>
  <c r="C105" i="1"/>
  <c r="C100" i="1"/>
  <c r="C99" i="1"/>
  <c r="C98" i="1"/>
  <c r="C97" i="1"/>
  <c r="C94" i="1"/>
  <c r="C93" i="1"/>
  <c r="C92" i="1"/>
  <c r="C91" i="1"/>
  <c r="C90" i="1"/>
  <c r="C89" i="1"/>
  <c r="C88" i="1"/>
  <c r="C84" i="1"/>
  <c r="C83" i="1"/>
  <c r="C82" i="1"/>
  <c r="C81" i="1"/>
  <c r="C80" i="1"/>
  <c r="C79" i="1"/>
  <c r="C78" i="1"/>
  <c r="C77" i="1"/>
  <c r="C76" i="1"/>
  <c r="C75" i="1"/>
  <c r="C74" i="1"/>
  <c r="C73" i="1"/>
  <c r="C72" i="1"/>
  <c r="C71" i="1"/>
  <c r="C70" i="1"/>
  <c r="C69" i="1"/>
  <c r="C68" i="1"/>
  <c r="C67" i="1"/>
  <c r="C66" i="1"/>
  <c r="C65" i="1"/>
  <c r="C62" i="1"/>
  <c r="C61" i="1"/>
  <c r="C60" i="1"/>
  <c r="C59" i="1"/>
  <c r="C58" i="1"/>
  <c r="C57" i="1"/>
  <c r="C56" i="1"/>
  <c r="C55" i="1"/>
  <c r="C54" i="1"/>
  <c r="C53" i="1"/>
  <c r="C52" i="1"/>
  <c r="C51" i="1"/>
  <c r="C50" i="1"/>
  <c r="C49" i="1"/>
  <c r="C47" i="1"/>
  <c r="C46" i="1"/>
  <c r="C43" i="1"/>
  <c r="C42" i="1"/>
  <c r="C41" i="1"/>
  <c r="C40" i="1"/>
  <c r="C39" i="1"/>
  <c r="C38" i="1"/>
  <c r="C37" i="1"/>
  <c r="C36" i="1"/>
  <c r="C33" i="1"/>
  <c r="C32" i="1"/>
  <c r="C31" i="1"/>
  <c r="C30" i="1"/>
  <c r="C29" i="1"/>
  <c r="C28" i="1"/>
  <c r="C27" i="1"/>
  <c r="C26" i="1"/>
  <c r="C25" i="1"/>
  <c r="C24" i="1"/>
  <c r="C23" i="1"/>
  <c r="C22" i="1"/>
  <c r="C21" i="1"/>
  <c r="C20" i="1"/>
  <c r="C19" i="1"/>
  <c r="C18" i="1"/>
  <c r="C17" i="1"/>
  <c r="C16" i="1"/>
  <c r="C15" i="1"/>
  <c r="C14" i="1"/>
  <c r="C13" i="1"/>
  <c r="C10" i="1"/>
  <c r="C9" i="1"/>
  <c r="B539" i="1"/>
  <c r="E539" i="1" s="1"/>
  <c r="B538" i="1"/>
  <c r="E538" i="1" s="1"/>
  <c r="B537" i="1"/>
  <c r="E537" i="1" s="1"/>
  <c r="B536" i="1"/>
  <c r="B530" i="1"/>
  <c r="B529" i="1"/>
  <c r="B528" i="1"/>
  <c r="E528" i="1" s="1"/>
  <c r="B527" i="1"/>
  <c r="E527" i="1" s="1"/>
  <c r="B526" i="1"/>
  <c r="B525" i="1"/>
  <c r="E525" i="1" s="1"/>
  <c r="B524" i="1"/>
  <c r="E524" i="1" s="1"/>
  <c r="B523" i="1"/>
  <c r="E523" i="1" s="1"/>
  <c r="B522" i="1"/>
  <c r="E522" i="1" s="1"/>
  <c r="B521" i="1"/>
  <c r="E521" i="1" s="1"/>
  <c r="B520" i="1"/>
  <c r="E520" i="1" s="1"/>
  <c r="B518" i="1"/>
  <c r="B517" i="1"/>
  <c r="E517" i="1" s="1"/>
  <c r="B516" i="1"/>
  <c r="B515" i="1"/>
  <c r="B513" i="1"/>
  <c r="B511" i="1"/>
  <c r="B510" i="1"/>
  <c r="B509" i="1"/>
  <c r="B508" i="1"/>
  <c r="B507" i="1"/>
  <c r="B506" i="1"/>
  <c r="B505" i="1"/>
  <c r="E505" i="1" s="1"/>
  <c r="B504" i="1"/>
  <c r="B503" i="1"/>
  <c r="E503" i="1" s="1"/>
  <c r="B495" i="1"/>
  <c r="B494" i="1"/>
  <c r="B486" i="1"/>
  <c r="B485" i="1"/>
  <c r="E485" i="1" s="1"/>
  <c r="B484" i="1"/>
  <c r="E484" i="1" s="1"/>
  <c r="B483" i="1"/>
  <c r="E483" i="1" s="1"/>
  <c r="B482" i="1"/>
  <c r="E482" i="1" s="1"/>
  <c r="B481" i="1"/>
  <c r="E481" i="1" s="1"/>
  <c r="B480" i="1"/>
  <c r="E480" i="1" s="1"/>
  <c r="B476" i="1"/>
  <c r="B475" i="1"/>
  <c r="E475" i="1" s="1"/>
  <c r="B474" i="1"/>
  <c r="B473" i="1"/>
  <c r="E473" i="1" s="1"/>
  <c r="B460" i="1"/>
  <c r="B459" i="1"/>
  <c r="E459" i="1" s="1"/>
  <c r="B458" i="1"/>
  <c r="B457" i="1"/>
  <c r="B456" i="1"/>
  <c r="B455" i="1"/>
  <c r="B432" i="1"/>
  <c r="E432" i="1" s="1"/>
  <c r="B431" i="1"/>
  <c r="E431" i="1" s="1"/>
  <c r="B428" i="1"/>
  <c r="B427" i="1"/>
  <c r="B426" i="1"/>
  <c r="B425" i="1"/>
  <c r="B423" i="1"/>
  <c r="B422" i="1"/>
  <c r="B421" i="1"/>
  <c r="B420" i="1"/>
  <c r="B419" i="1"/>
  <c r="E419" i="1" s="1"/>
  <c r="B418" i="1"/>
  <c r="B417" i="1"/>
  <c r="B416" i="1"/>
  <c r="B415" i="1"/>
  <c r="E415" i="1" s="1"/>
  <c r="B414" i="1"/>
  <c r="B413" i="1"/>
  <c r="B411" i="1"/>
  <c r="B407" i="1"/>
  <c r="B406" i="1"/>
  <c r="B402" i="1"/>
  <c r="B401" i="1"/>
  <c r="B400" i="1"/>
  <c r="B399" i="1"/>
  <c r="E399" i="1" s="1"/>
  <c r="B398" i="1"/>
  <c r="B397" i="1"/>
  <c r="E397" i="1" s="1"/>
  <c r="B396" i="1"/>
  <c r="E396" i="1" s="1"/>
  <c r="B395" i="1"/>
  <c r="E395" i="1" s="1"/>
  <c r="B394" i="1"/>
  <c r="E394" i="1" s="1"/>
  <c r="B393" i="1"/>
  <c r="E393" i="1" s="1"/>
  <c r="B392" i="1"/>
  <c r="E392" i="1" s="1"/>
  <c r="B391" i="1"/>
  <c r="E391" i="1" s="1"/>
  <c r="B390" i="1"/>
  <c r="E390" i="1" s="1"/>
  <c r="B389" i="1"/>
  <c r="E389" i="1" s="1"/>
  <c r="B388" i="1"/>
  <c r="E388" i="1" s="1"/>
  <c r="B387" i="1"/>
  <c r="E387" i="1" s="1"/>
  <c r="B386" i="1"/>
  <c r="E386" i="1" s="1"/>
  <c r="B384" i="1"/>
  <c r="E384" i="1" s="1"/>
  <c r="B376" i="1"/>
  <c r="E376" i="1" s="1"/>
  <c r="B375" i="1"/>
  <c r="E375" i="1" s="1"/>
  <c r="B370" i="1"/>
  <c r="B369" i="1"/>
  <c r="E369" i="1" s="1"/>
  <c r="B368" i="1"/>
  <c r="E368" i="1" s="1"/>
  <c r="B367" i="1"/>
  <c r="E367" i="1" s="1"/>
  <c r="B366" i="1"/>
  <c r="E366" i="1" s="1"/>
  <c r="B364" i="1"/>
  <c r="E364" i="1" s="1"/>
  <c r="B363" i="1"/>
  <c r="E363" i="1" s="1"/>
  <c r="B361" i="1"/>
  <c r="E361" i="1" s="1"/>
  <c r="B360" i="1"/>
  <c r="E360" i="1" s="1"/>
  <c r="B349" i="1"/>
  <c r="B334" i="1"/>
  <c r="E334" i="1" s="1"/>
  <c r="B333" i="1"/>
  <c r="E333" i="1" s="1"/>
  <c r="B332" i="1"/>
  <c r="E332" i="1" s="1"/>
  <c r="B327" i="1"/>
  <c r="E327" i="1" s="1"/>
  <c r="B326" i="1"/>
  <c r="E326" i="1" s="1"/>
  <c r="B321" i="1"/>
  <c r="B320" i="1"/>
  <c r="B319" i="1"/>
  <c r="B318" i="1"/>
  <c r="E318" i="1" s="1"/>
  <c r="B317" i="1"/>
  <c r="E317" i="1" s="1"/>
  <c r="B316" i="1"/>
  <c r="B315" i="1"/>
  <c r="E315" i="1" s="1"/>
  <c r="B314" i="1"/>
  <c r="E314" i="1" s="1"/>
  <c r="B313" i="1"/>
  <c r="E313" i="1" s="1"/>
  <c r="B312" i="1"/>
  <c r="E312" i="1" s="1"/>
  <c r="B311" i="1"/>
  <c r="E311" i="1" s="1"/>
  <c r="B310" i="1"/>
  <c r="E310" i="1" s="1"/>
  <c r="B309" i="1"/>
  <c r="E309" i="1" s="1"/>
  <c r="B308" i="1"/>
  <c r="E308" i="1" s="1"/>
  <c r="B306" i="1"/>
  <c r="E306" i="1" s="1"/>
  <c r="B305" i="1"/>
  <c r="B304" i="1"/>
  <c r="B303" i="1"/>
  <c r="E303" i="1" s="1"/>
  <c r="B302" i="1"/>
  <c r="B301" i="1"/>
  <c r="B300" i="1"/>
  <c r="B299" i="1"/>
  <c r="B298" i="1"/>
  <c r="E298" i="1" s="1"/>
  <c r="B297" i="1"/>
  <c r="B296" i="1"/>
  <c r="E296" i="1" s="1"/>
  <c r="B283" i="1"/>
  <c r="E283" i="1" s="1"/>
  <c r="B282" i="1"/>
  <c r="B281" i="1"/>
  <c r="E281" i="1" s="1"/>
  <c r="B280" i="1"/>
  <c r="E280" i="1" s="1"/>
  <c r="B266" i="1"/>
  <c r="E266" i="1" s="1"/>
  <c r="B258" i="1"/>
  <c r="E258" i="1" s="1"/>
  <c r="B257" i="1"/>
  <c r="B256" i="1"/>
  <c r="E256" i="1" s="1"/>
  <c r="B255" i="1"/>
  <c r="B254" i="1"/>
  <c r="B252" i="1"/>
  <c r="B246" i="1"/>
  <c r="B245" i="1"/>
  <c r="B240" i="1"/>
  <c r="B239" i="1"/>
  <c r="B237" i="1"/>
  <c r="B220" i="1"/>
  <c r="E220" i="1" s="1"/>
  <c r="B219" i="1"/>
  <c r="B218" i="1"/>
  <c r="E218" i="1" s="1"/>
  <c r="B217" i="1"/>
  <c r="E217" i="1" s="1"/>
  <c r="B216" i="1"/>
  <c r="B215" i="1"/>
  <c r="E215" i="1" s="1"/>
  <c r="B214" i="1"/>
  <c r="B210" i="1"/>
  <c r="E210" i="1" s="1"/>
  <c r="B209" i="1"/>
  <c r="E209" i="1" s="1"/>
  <c r="B208" i="1"/>
  <c r="E208" i="1" s="1"/>
  <c r="B207" i="1"/>
  <c r="E207" i="1" s="1"/>
  <c r="B206" i="1"/>
  <c r="E206" i="1" s="1"/>
  <c r="B205" i="1"/>
  <c r="E205" i="1" s="1"/>
  <c r="B204" i="1"/>
  <c r="E204" i="1" s="1"/>
  <c r="B203" i="1"/>
  <c r="E203" i="1" s="1"/>
  <c r="B202" i="1"/>
  <c r="E202" i="1" s="1"/>
  <c r="B201" i="1"/>
  <c r="E201" i="1" s="1"/>
  <c r="B200" i="1"/>
  <c r="E200" i="1" s="1"/>
  <c r="B199" i="1"/>
  <c r="E199" i="1" s="1"/>
  <c r="B198" i="1"/>
  <c r="E198" i="1" s="1"/>
  <c r="B196" i="1"/>
  <c r="E196" i="1" s="1"/>
  <c r="B195" i="1"/>
  <c r="E195" i="1" s="1"/>
  <c r="B194" i="1"/>
  <c r="E193" i="1"/>
  <c r="E192" i="1"/>
  <c r="E190" i="1"/>
  <c r="E189" i="1"/>
  <c r="B187" i="1"/>
  <c r="E187" i="1" s="1"/>
  <c r="B138" i="1"/>
  <c r="E138" i="1" s="1"/>
  <c r="B137" i="1"/>
  <c r="E137" i="1" s="1"/>
  <c r="B136" i="1"/>
  <c r="E136" i="1" s="1"/>
  <c r="B135" i="1"/>
  <c r="E135" i="1" s="1"/>
  <c r="B134" i="1"/>
  <c r="E134" i="1" s="1"/>
  <c r="B133" i="1"/>
  <c r="E133" i="1" s="1"/>
  <c r="B132" i="1"/>
  <c r="E132" i="1" s="1"/>
  <c r="B130" i="1"/>
  <c r="B119" i="1"/>
  <c r="E119" i="1" s="1"/>
  <c r="B118" i="1"/>
  <c r="B117" i="1"/>
  <c r="E117" i="1" s="1"/>
  <c r="B116" i="1"/>
  <c r="E116" i="1" s="1"/>
  <c r="B115" i="1"/>
  <c r="E115" i="1" s="1"/>
  <c r="B114" i="1"/>
  <c r="E114" i="1" s="1"/>
  <c r="B113" i="1"/>
  <c r="E113" i="1" s="1"/>
  <c r="B111" i="1"/>
  <c r="E111" i="1" s="1"/>
  <c r="B109" i="1"/>
  <c r="E109" i="1" s="1"/>
  <c r="B108" i="1"/>
  <c r="E108" i="1" s="1"/>
  <c r="B101" i="1"/>
  <c r="B100" i="1"/>
  <c r="E100" i="1" s="1"/>
  <c r="B99" i="1"/>
  <c r="E99" i="1" s="1"/>
  <c r="B93" i="1"/>
  <c r="E93" i="1" s="1"/>
  <c r="B90" i="1"/>
  <c r="E90" i="1" s="1"/>
  <c r="B89" i="1"/>
  <c r="E89" i="1" s="1"/>
  <c r="B88" i="1"/>
  <c r="E88" i="1" s="1"/>
  <c r="B83" i="1"/>
  <c r="E83" i="1" s="1"/>
  <c r="B82" i="1"/>
  <c r="B81" i="1"/>
  <c r="E81" i="1" s="1"/>
  <c r="B80" i="1"/>
  <c r="E80" i="1" s="1"/>
  <c r="B78" i="1"/>
  <c r="E78" i="1" s="1"/>
  <c r="B77" i="1"/>
  <c r="E77" i="1" s="1"/>
  <c r="B75" i="1"/>
  <c r="E75" i="1" s="1"/>
  <c r="B74" i="1"/>
  <c r="E74" i="1" s="1"/>
  <c r="B73" i="1"/>
  <c r="E73" i="1" s="1"/>
  <c r="B72" i="1"/>
  <c r="E72" i="1" s="1"/>
  <c r="B71" i="1"/>
  <c r="E71" i="1" s="1"/>
  <c r="B70" i="1"/>
  <c r="E70" i="1" s="1"/>
  <c r="B69" i="1"/>
  <c r="E69" i="1" s="1"/>
  <c r="B67" i="1"/>
  <c r="E67" i="1" s="1"/>
  <c r="B62" i="1"/>
  <c r="B61" i="1"/>
  <c r="E61" i="1" s="1"/>
  <c r="B60" i="1"/>
  <c r="B59" i="1"/>
  <c r="E59" i="1" s="1"/>
  <c r="B58" i="1"/>
  <c r="E58" i="1" s="1"/>
  <c r="B43" i="1"/>
  <c r="B42" i="1"/>
  <c r="E42" i="1" s="1"/>
  <c r="B41" i="1"/>
  <c r="B40" i="1"/>
  <c r="E40" i="1" s="1"/>
  <c r="B38" i="1"/>
  <c r="E38" i="1" s="1"/>
  <c r="B33" i="1"/>
  <c r="B32" i="1"/>
  <c r="E32" i="1" s="1"/>
  <c r="B31" i="1"/>
  <c r="B30" i="1"/>
  <c r="E30" i="1" s="1"/>
  <c r="B29" i="1"/>
  <c r="E29" i="1" s="1"/>
  <c r="B28" i="1"/>
  <c r="E28" i="1" s="1"/>
  <c r="B15" i="1"/>
  <c r="E15" i="1" s="1"/>
  <c r="B10" i="1"/>
  <c r="B9" i="1"/>
  <c r="BG539" i="1"/>
  <c r="BF539" i="1"/>
  <c r="BE539" i="1"/>
  <c r="BD539" i="1"/>
  <c r="BG538" i="1"/>
  <c r="BF538" i="1"/>
  <c r="BE538" i="1"/>
  <c r="BD538" i="1"/>
  <c r="BG537" i="1"/>
  <c r="BF537" i="1"/>
  <c r="BE537" i="1"/>
  <c r="BD537" i="1"/>
  <c r="BG536" i="1"/>
  <c r="BF536" i="1"/>
  <c r="BE536" i="1"/>
  <c r="BD536" i="1"/>
  <c r="BG535" i="1"/>
  <c r="BF535" i="1"/>
  <c r="BE535" i="1"/>
  <c r="BD535" i="1"/>
  <c r="BG534" i="1"/>
  <c r="BF534" i="1"/>
  <c r="BE534" i="1"/>
  <c r="BD534" i="1"/>
  <c r="BG533" i="1"/>
  <c r="BF533" i="1"/>
  <c r="BE533" i="1"/>
  <c r="BD533" i="1"/>
  <c r="BG532" i="1"/>
  <c r="BF532" i="1"/>
  <c r="BE532" i="1"/>
  <c r="BD532" i="1"/>
  <c r="BG531" i="1"/>
  <c r="BF531" i="1"/>
  <c r="BE531" i="1"/>
  <c r="BD531" i="1"/>
  <c r="BG530" i="1"/>
  <c r="BF530" i="1"/>
  <c r="BE530" i="1"/>
  <c r="BD530" i="1"/>
  <c r="BG529" i="1"/>
  <c r="BF529" i="1"/>
  <c r="BE529" i="1"/>
  <c r="BD529" i="1"/>
  <c r="BG528" i="1"/>
  <c r="BF528" i="1"/>
  <c r="BE528" i="1"/>
  <c r="BD528" i="1"/>
  <c r="BG527" i="1"/>
  <c r="BF527" i="1"/>
  <c r="BE527" i="1"/>
  <c r="BD527" i="1"/>
  <c r="BG526" i="1"/>
  <c r="BF526" i="1"/>
  <c r="BE526" i="1"/>
  <c r="BD526" i="1"/>
  <c r="BG525" i="1"/>
  <c r="BF525" i="1"/>
  <c r="BE525" i="1"/>
  <c r="BD525" i="1"/>
  <c r="BG524" i="1"/>
  <c r="BF524" i="1"/>
  <c r="BE524" i="1"/>
  <c r="BD524" i="1"/>
  <c r="BG523" i="1"/>
  <c r="BF523" i="1"/>
  <c r="BE523" i="1"/>
  <c r="BD523" i="1"/>
  <c r="BG522" i="1"/>
  <c r="BF522" i="1"/>
  <c r="BE522" i="1"/>
  <c r="BD522" i="1"/>
  <c r="BG521" i="1"/>
  <c r="BF521" i="1"/>
  <c r="BE521" i="1"/>
  <c r="BD521" i="1"/>
  <c r="BG520" i="1"/>
  <c r="BF520" i="1"/>
  <c r="BE520" i="1"/>
  <c r="BD520" i="1"/>
  <c r="BG519" i="1"/>
  <c r="BF519" i="1"/>
  <c r="BE519" i="1"/>
  <c r="BD519" i="1"/>
  <c r="BG518" i="1"/>
  <c r="BF518" i="1"/>
  <c r="BE518" i="1"/>
  <c r="BD518" i="1"/>
  <c r="BG517" i="1"/>
  <c r="BF517" i="1"/>
  <c r="BE517" i="1"/>
  <c r="BD517" i="1"/>
  <c r="BG516" i="1"/>
  <c r="BF516" i="1"/>
  <c r="BE516" i="1"/>
  <c r="BD516" i="1"/>
  <c r="BG515" i="1"/>
  <c r="BF515" i="1"/>
  <c r="BE515" i="1"/>
  <c r="BD515" i="1"/>
  <c r="BG514" i="1"/>
  <c r="BF514" i="1"/>
  <c r="BE514" i="1"/>
  <c r="BD514" i="1"/>
  <c r="BG513" i="1"/>
  <c r="BF513" i="1"/>
  <c r="BE513" i="1"/>
  <c r="BD513" i="1"/>
  <c r="BG512" i="1"/>
  <c r="BF512" i="1"/>
  <c r="BE512" i="1"/>
  <c r="BD512" i="1"/>
  <c r="BG511" i="1"/>
  <c r="BF511" i="1"/>
  <c r="BE511" i="1"/>
  <c r="BD511" i="1"/>
  <c r="BG510" i="1"/>
  <c r="BF510" i="1"/>
  <c r="BE510" i="1"/>
  <c r="BD510" i="1"/>
  <c r="BG509" i="1"/>
  <c r="BF509" i="1"/>
  <c r="BE509" i="1"/>
  <c r="BD509" i="1"/>
  <c r="BG508" i="1"/>
  <c r="BF508" i="1"/>
  <c r="BE508" i="1"/>
  <c r="BD508" i="1"/>
  <c r="BG507" i="1"/>
  <c r="BF507" i="1"/>
  <c r="BE507" i="1"/>
  <c r="BD507" i="1"/>
  <c r="BG506" i="1"/>
  <c r="BF506" i="1"/>
  <c r="BE506" i="1"/>
  <c r="BD506" i="1"/>
  <c r="BG505" i="1"/>
  <c r="BF505" i="1"/>
  <c r="BE505" i="1"/>
  <c r="BD505" i="1"/>
  <c r="BG504" i="1"/>
  <c r="BF504" i="1"/>
  <c r="BE504" i="1"/>
  <c r="BD504" i="1"/>
  <c r="BG503" i="1"/>
  <c r="BF503" i="1"/>
  <c r="BE503" i="1"/>
  <c r="BD503" i="1"/>
  <c r="BG502" i="1"/>
  <c r="BF502" i="1"/>
  <c r="BE502" i="1"/>
  <c r="BD502" i="1"/>
  <c r="BG501" i="1"/>
  <c r="BF501" i="1"/>
  <c r="BE501" i="1"/>
  <c r="BD501" i="1"/>
  <c r="BG500" i="1"/>
  <c r="BF500" i="1"/>
  <c r="BE500" i="1"/>
  <c r="BD500" i="1"/>
  <c r="BG499" i="1"/>
  <c r="BF499" i="1"/>
  <c r="BE499" i="1"/>
  <c r="BD499" i="1"/>
  <c r="BG498" i="1"/>
  <c r="BF498" i="1"/>
  <c r="BE498" i="1"/>
  <c r="BD498" i="1"/>
  <c r="BG497" i="1"/>
  <c r="BF497" i="1"/>
  <c r="BE497" i="1"/>
  <c r="BD497" i="1"/>
  <c r="BG496" i="1"/>
  <c r="BF496" i="1"/>
  <c r="BE496" i="1"/>
  <c r="BD496" i="1"/>
  <c r="BG495" i="1"/>
  <c r="BF495" i="1"/>
  <c r="BE495" i="1"/>
  <c r="BD495" i="1"/>
  <c r="BG494" i="1"/>
  <c r="BF494" i="1"/>
  <c r="BE494" i="1"/>
  <c r="BD494" i="1"/>
  <c r="BG493" i="1"/>
  <c r="BF493" i="1"/>
  <c r="BE493" i="1"/>
  <c r="BD493" i="1"/>
  <c r="BG492" i="1"/>
  <c r="BF492" i="1"/>
  <c r="BE492" i="1"/>
  <c r="BD492" i="1"/>
  <c r="BG491" i="1"/>
  <c r="BF491" i="1"/>
  <c r="BE491" i="1"/>
  <c r="BD491" i="1"/>
  <c r="BG490" i="1"/>
  <c r="BF490" i="1"/>
  <c r="BE490" i="1"/>
  <c r="BD490" i="1"/>
  <c r="BG489" i="1"/>
  <c r="BF489" i="1"/>
  <c r="BE489" i="1"/>
  <c r="BD489" i="1"/>
  <c r="BG488" i="1"/>
  <c r="BF488" i="1"/>
  <c r="BE488" i="1"/>
  <c r="BD488" i="1"/>
  <c r="BG487" i="1"/>
  <c r="BF487" i="1"/>
  <c r="BE487" i="1"/>
  <c r="BD487" i="1"/>
  <c r="BG486" i="1"/>
  <c r="BF486" i="1"/>
  <c r="BE486" i="1"/>
  <c r="BD486" i="1"/>
  <c r="BG485" i="1"/>
  <c r="BF485" i="1"/>
  <c r="BE485" i="1"/>
  <c r="BD485" i="1"/>
  <c r="BG484" i="1"/>
  <c r="BF484" i="1"/>
  <c r="BE484" i="1"/>
  <c r="BD484" i="1"/>
  <c r="BG483" i="1"/>
  <c r="BF483" i="1"/>
  <c r="BE483" i="1"/>
  <c r="BD483" i="1"/>
  <c r="BG482" i="1"/>
  <c r="BF482" i="1"/>
  <c r="BE482" i="1"/>
  <c r="BD482" i="1"/>
  <c r="BG481" i="1"/>
  <c r="BF481" i="1"/>
  <c r="BE481" i="1"/>
  <c r="BD481" i="1"/>
  <c r="BG480" i="1"/>
  <c r="BF480" i="1"/>
  <c r="BE480" i="1"/>
  <c r="BD480" i="1"/>
  <c r="BG479" i="1"/>
  <c r="BF479" i="1"/>
  <c r="BE479" i="1"/>
  <c r="BD479" i="1"/>
  <c r="BG478" i="1"/>
  <c r="BF478" i="1"/>
  <c r="BE478" i="1"/>
  <c r="BD478" i="1"/>
  <c r="BG477" i="1"/>
  <c r="BF477" i="1"/>
  <c r="BE477" i="1"/>
  <c r="BD477" i="1"/>
  <c r="BG476" i="1"/>
  <c r="BF476" i="1"/>
  <c r="BE476" i="1"/>
  <c r="BD476" i="1"/>
  <c r="BG475" i="1"/>
  <c r="BF475" i="1"/>
  <c r="BE475" i="1"/>
  <c r="BD475" i="1"/>
  <c r="BG474" i="1"/>
  <c r="BF474" i="1"/>
  <c r="BE474" i="1"/>
  <c r="BD474" i="1"/>
  <c r="BG473" i="1"/>
  <c r="BF473" i="1"/>
  <c r="BE473" i="1"/>
  <c r="BD473" i="1"/>
  <c r="BG472" i="1"/>
  <c r="BF472" i="1"/>
  <c r="BE472" i="1"/>
  <c r="BD472" i="1"/>
  <c r="BG471" i="1"/>
  <c r="BF471" i="1"/>
  <c r="BE471" i="1"/>
  <c r="BD471" i="1"/>
  <c r="BG470" i="1"/>
  <c r="BF470" i="1"/>
  <c r="BE470" i="1"/>
  <c r="BD470" i="1"/>
  <c r="BG469" i="1"/>
  <c r="BF469" i="1"/>
  <c r="BE469" i="1"/>
  <c r="BD469" i="1"/>
  <c r="BG468" i="1"/>
  <c r="BF468" i="1"/>
  <c r="BE468" i="1"/>
  <c r="BD468" i="1"/>
  <c r="BG467" i="1"/>
  <c r="BF467" i="1"/>
  <c r="BE467" i="1"/>
  <c r="BD467" i="1"/>
  <c r="BG466" i="1"/>
  <c r="BF466" i="1"/>
  <c r="BE466" i="1"/>
  <c r="BD466" i="1"/>
  <c r="BG465" i="1"/>
  <c r="BF465" i="1"/>
  <c r="BE465" i="1"/>
  <c r="BD465" i="1"/>
  <c r="BG464" i="1"/>
  <c r="BF464" i="1"/>
  <c r="BE464" i="1"/>
  <c r="BD464" i="1"/>
  <c r="BG463" i="1"/>
  <c r="BF463" i="1"/>
  <c r="BE463" i="1"/>
  <c r="BD463" i="1"/>
  <c r="BG462" i="1"/>
  <c r="BF462" i="1"/>
  <c r="BE462" i="1"/>
  <c r="BD462" i="1"/>
  <c r="BG461" i="1"/>
  <c r="BF461" i="1"/>
  <c r="BE461" i="1"/>
  <c r="BD461" i="1"/>
  <c r="BG460" i="1"/>
  <c r="BF460" i="1"/>
  <c r="BE460" i="1"/>
  <c r="BD460" i="1"/>
  <c r="BG459" i="1"/>
  <c r="BF459" i="1"/>
  <c r="BE459" i="1"/>
  <c r="BD459" i="1"/>
  <c r="BG458" i="1"/>
  <c r="BF458" i="1"/>
  <c r="BE458" i="1"/>
  <c r="BD458" i="1"/>
  <c r="BG457" i="1"/>
  <c r="BF457" i="1"/>
  <c r="BE457" i="1"/>
  <c r="BD457" i="1"/>
  <c r="BG456" i="1"/>
  <c r="BF456" i="1"/>
  <c r="BE456" i="1"/>
  <c r="BD456" i="1"/>
  <c r="BG455" i="1"/>
  <c r="BF455" i="1"/>
  <c r="BE455" i="1"/>
  <c r="BD455" i="1"/>
  <c r="BG454" i="1"/>
  <c r="BF454" i="1"/>
  <c r="BE454" i="1"/>
  <c r="BD454" i="1"/>
  <c r="BG453" i="1"/>
  <c r="BF453" i="1"/>
  <c r="BE453" i="1"/>
  <c r="BD453" i="1"/>
  <c r="BG452" i="1"/>
  <c r="BF452" i="1"/>
  <c r="BE452" i="1"/>
  <c r="BD452" i="1"/>
  <c r="BG451" i="1"/>
  <c r="BF451" i="1"/>
  <c r="BE451" i="1"/>
  <c r="BD451" i="1"/>
  <c r="BG450" i="1"/>
  <c r="BF450" i="1"/>
  <c r="BE450" i="1"/>
  <c r="BD450" i="1"/>
  <c r="BG449" i="1"/>
  <c r="BF449" i="1"/>
  <c r="BE449" i="1"/>
  <c r="BD449" i="1"/>
  <c r="BG448" i="1"/>
  <c r="BF448" i="1"/>
  <c r="BE448" i="1"/>
  <c r="BD448" i="1"/>
  <c r="BG447" i="1"/>
  <c r="BF447" i="1"/>
  <c r="BE447" i="1"/>
  <c r="BD447" i="1"/>
  <c r="BG446" i="1"/>
  <c r="BF446" i="1"/>
  <c r="BE446" i="1"/>
  <c r="BD446" i="1"/>
  <c r="BG445" i="1"/>
  <c r="BF445" i="1"/>
  <c r="BE445" i="1"/>
  <c r="BD445" i="1"/>
  <c r="BG444" i="1"/>
  <c r="BF444" i="1"/>
  <c r="BE444" i="1"/>
  <c r="BD444" i="1"/>
  <c r="BG443" i="1"/>
  <c r="BF443" i="1"/>
  <c r="BE443" i="1"/>
  <c r="BD443" i="1"/>
  <c r="BG442" i="1"/>
  <c r="BF442" i="1"/>
  <c r="BE442" i="1"/>
  <c r="BD442" i="1"/>
  <c r="BG441" i="1"/>
  <c r="BF441" i="1"/>
  <c r="BE441" i="1"/>
  <c r="BD441" i="1"/>
  <c r="BG440" i="1"/>
  <c r="BF440" i="1"/>
  <c r="BE440" i="1"/>
  <c r="BD440" i="1"/>
  <c r="BG439" i="1"/>
  <c r="BF439" i="1"/>
  <c r="BE439" i="1"/>
  <c r="BD439" i="1"/>
  <c r="BG438" i="1"/>
  <c r="BF438" i="1"/>
  <c r="BE438" i="1"/>
  <c r="BD438" i="1"/>
  <c r="BG437" i="1"/>
  <c r="BF437" i="1"/>
  <c r="BE437" i="1"/>
  <c r="BD437" i="1"/>
  <c r="BG436" i="1"/>
  <c r="BF436" i="1"/>
  <c r="BE436" i="1"/>
  <c r="BD436" i="1"/>
  <c r="BG435" i="1"/>
  <c r="BF435" i="1"/>
  <c r="BE435" i="1"/>
  <c r="BD435" i="1"/>
  <c r="BG434" i="1"/>
  <c r="BF434" i="1"/>
  <c r="BE434" i="1"/>
  <c r="BD434" i="1"/>
  <c r="BG433" i="1"/>
  <c r="BF433" i="1"/>
  <c r="BE433" i="1"/>
  <c r="BD433" i="1"/>
  <c r="BG432" i="1"/>
  <c r="BF432" i="1"/>
  <c r="BE432" i="1"/>
  <c r="BD432" i="1"/>
  <c r="BG431" i="1"/>
  <c r="BF431" i="1"/>
  <c r="BE431" i="1"/>
  <c r="BD431" i="1"/>
  <c r="BG430" i="1"/>
  <c r="BF430" i="1"/>
  <c r="BE430" i="1"/>
  <c r="BD430" i="1"/>
  <c r="BG429" i="1"/>
  <c r="BF429" i="1"/>
  <c r="BE429" i="1"/>
  <c r="BD429" i="1"/>
  <c r="BG428" i="1"/>
  <c r="BF428" i="1"/>
  <c r="BE428" i="1"/>
  <c r="BD428" i="1"/>
  <c r="BG427" i="1"/>
  <c r="BF427" i="1"/>
  <c r="BE427" i="1"/>
  <c r="BD427" i="1"/>
  <c r="BG426" i="1"/>
  <c r="BF426" i="1"/>
  <c r="BE426" i="1"/>
  <c r="BD426" i="1"/>
  <c r="BG425" i="1"/>
  <c r="BF425" i="1"/>
  <c r="BE425" i="1"/>
  <c r="BD425" i="1"/>
  <c r="BG423" i="1"/>
  <c r="BF423" i="1"/>
  <c r="BE423" i="1"/>
  <c r="BD423" i="1"/>
  <c r="BG422" i="1"/>
  <c r="BF422" i="1"/>
  <c r="BE422" i="1"/>
  <c r="BD422" i="1"/>
  <c r="BG421" i="1"/>
  <c r="BF421" i="1"/>
  <c r="BE421" i="1"/>
  <c r="BD421" i="1"/>
  <c r="BG420" i="1"/>
  <c r="BF420" i="1"/>
  <c r="BE420" i="1"/>
  <c r="BD420" i="1"/>
  <c r="BG419" i="1"/>
  <c r="BF419" i="1"/>
  <c r="BE419" i="1"/>
  <c r="BD419" i="1"/>
  <c r="BG418" i="1"/>
  <c r="BF418" i="1"/>
  <c r="BE418" i="1"/>
  <c r="BD418" i="1"/>
  <c r="BG417" i="1"/>
  <c r="BF417" i="1"/>
  <c r="BE417" i="1"/>
  <c r="BD417" i="1"/>
  <c r="BG416" i="1"/>
  <c r="BF416" i="1"/>
  <c r="BE416" i="1"/>
  <c r="BD416" i="1"/>
  <c r="BG415" i="1"/>
  <c r="BF415" i="1"/>
  <c r="BE415" i="1"/>
  <c r="BD415" i="1"/>
  <c r="BG414" i="1"/>
  <c r="BF414" i="1"/>
  <c r="BE414" i="1"/>
  <c r="BD414" i="1"/>
  <c r="BG413" i="1"/>
  <c r="BF413" i="1"/>
  <c r="BE413" i="1"/>
  <c r="BD413" i="1"/>
  <c r="BG411" i="1"/>
  <c r="BF411" i="1"/>
  <c r="BE411" i="1"/>
  <c r="BD411" i="1"/>
  <c r="BG410" i="1"/>
  <c r="BF410" i="1"/>
  <c r="BE410" i="1"/>
  <c r="BD410" i="1"/>
  <c r="BG409" i="1"/>
  <c r="BF409" i="1"/>
  <c r="BE409" i="1"/>
  <c r="BD409" i="1"/>
  <c r="BG408" i="1"/>
  <c r="BF408" i="1"/>
  <c r="BE408" i="1"/>
  <c r="BD408" i="1"/>
  <c r="BG407" i="1"/>
  <c r="BF407" i="1"/>
  <c r="BE407" i="1"/>
  <c r="BD407" i="1"/>
  <c r="BG406" i="1"/>
  <c r="BF406" i="1"/>
  <c r="BE406" i="1"/>
  <c r="BD406" i="1"/>
  <c r="BG405" i="1"/>
  <c r="BF405" i="1"/>
  <c r="BE405" i="1"/>
  <c r="BD405" i="1"/>
  <c r="BG404" i="1"/>
  <c r="BF404" i="1"/>
  <c r="BE404" i="1"/>
  <c r="BD404" i="1"/>
  <c r="BG403" i="1"/>
  <c r="BF403" i="1"/>
  <c r="BE403" i="1"/>
  <c r="BD403" i="1"/>
  <c r="BG402" i="1"/>
  <c r="BF402" i="1"/>
  <c r="BE402" i="1"/>
  <c r="BD402" i="1"/>
  <c r="BG401" i="1"/>
  <c r="BF401" i="1"/>
  <c r="BE401" i="1"/>
  <c r="BD401" i="1"/>
  <c r="BG400" i="1"/>
  <c r="BF400" i="1"/>
  <c r="BE400" i="1"/>
  <c r="BD400" i="1"/>
  <c r="BG399" i="1"/>
  <c r="BF399" i="1"/>
  <c r="BE399" i="1"/>
  <c r="BD399" i="1"/>
  <c r="BG398" i="1"/>
  <c r="BF398" i="1"/>
  <c r="BE398" i="1"/>
  <c r="BD398" i="1"/>
  <c r="BG397" i="1"/>
  <c r="BF397" i="1"/>
  <c r="BE397" i="1"/>
  <c r="BD397" i="1"/>
  <c r="BG396" i="1"/>
  <c r="BF396" i="1"/>
  <c r="BE396" i="1"/>
  <c r="BD396" i="1"/>
  <c r="BG395" i="1"/>
  <c r="BF395" i="1"/>
  <c r="BE395" i="1"/>
  <c r="BD395" i="1"/>
  <c r="BG394" i="1"/>
  <c r="BF394" i="1"/>
  <c r="BE394" i="1"/>
  <c r="BD394" i="1"/>
  <c r="BG393" i="1"/>
  <c r="BF393" i="1"/>
  <c r="BE393" i="1"/>
  <c r="BD393" i="1"/>
  <c r="BG392" i="1"/>
  <c r="BF392" i="1"/>
  <c r="BE392" i="1"/>
  <c r="BD392" i="1"/>
  <c r="BG391" i="1"/>
  <c r="BF391" i="1"/>
  <c r="BE391" i="1"/>
  <c r="BD391" i="1"/>
  <c r="BG390" i="1"/>
  <c r="BF390" i="1"/>
  <c r="BE390" i="1"/>
  <c r="BD390" i="1"/>
  <c r="BG389" i="1"/>
  <c r="BF389" i="1"/>
  <c r="BE389" i="1"/>
  <c r="BD389" i="1"/>
  <c r="BG388" i="1"/>
  <c r="BF388" i="1"/>
  <c r="BE388" i="1"/>
  <c r="BD388" i="1"/>
  <c r="BG387" i="1"/>
  <c r="BF387" i="1"/>
  <c r="BE387" i="1"/>
  <c r="BD387" i="1"/>
  <c r="BG386" i="1"/>
  <c r="BF386" i="1"/>
  <c r="BE386" i="1"/>
  <c r="BD386" i="1"/>
  <c r="BG385" i="1"/>
  <c r="BF385" i="1"/>
  <c r="BE385" i="1"/>
  <c r="BD385" i="1"/>
  <c r="BG384" i="1"/>
  <c r="BF384" i="1"/>
  <c r="BE384" i="1"/>
  <c r="BD384" i="1"/>
  <c r="BG383" i="1"/>
  <c r="BF383" i="1"/>
  <c r="BE383" i="1"/>
  <c r="BD383" i="1"/>
  <c r="BG382" i="1"/>
  <c r="BF382" i="1"/>
  <c r="BE382" i="1"/>
  <c r="BD382" i="1"/>
  <c r="BG381" i="1"/>
  <c r="BF381" i="1"/>
  <c r="BE381" i="1"/>
  <c r="BD381" i="1"/>
  <c r="BG380" i="1"/>
  <c r="BF380" i="1"/>
  <c r="BE380" i="1"/>
  <c r="BD380" i="1"/>
  <c r="BG379" i="1"/>
  <c r="BF379" i="1"/>
  <c r="BE379" i="1"/>
  <c r="BD379" i="1"/>
  <c r="BG378" i="1"/>
  <c r="BF378" i="1"/>
  <c r="BE378" i="1"/>
  <c r="BD378" i="1"/>
  <c r="BG377" i="1"/>
  <c r="BF377" i="1"/>
  <c r="BE377" i="1"/>
  <c r="BD377" i="1"/>
  <c r="BG376" i="1"/>
  <c r="BF376" i="1"/>
  <c r="BE376" i="1"/>
  <c r="BD376" i="1"/>
  <c r="BG375" i="1"/>
  <c r="BF375" i="1"/>
  <c r="BE375" i="1"/>
  <c r="BD375" i="1"/>
  <c r="BG374" i="1"/>
  <c r="BF374" i="1"/>
  <c r="BE374" i="1"/>
  <c r="BD374" i="1"/>
  <c r="BG373" i="1"/>
  <c r="BF373" i="1"/>
  <c r="BE373" i="1"/>
  <c r="BD373" i="1"/>
  <c r="BG372" i="1"/>
  <c r="BF372" i="1"/>
  <c r="BE372" i="1"/>
  <c r="BD372" i="1"/>
  <c r="BG371" i="1"/>
  <c r="BF371" i="1"/>
  <c r="BE371" i="1"/>
  <c r="BD371" i="1"/>
  <c r="BG370" i="1"/>
  <c r="BF370" i="1"/>
  <c r="BE370" i="1"/>
  <c r="BD370" i="1"/>
  <c r="BG369" i="1"/>
  <c r="BF369" i="1"/>
  <c r="BE369" i="1"/>
  <c r="BD369" i="1"/>
  <c r="BG368" i="1"/>
  <c r="BF368" i="1"/>
  <c r="BE368" i="1"/>
  <c r="BD368" i="1"/>
  <c r="BG367" i="1"/>
  <c r="BF367" i="1"/>
  <c r="BE367" i="1"/>
  <c r="BD367" i="1"/>
  <c r="BG366" i="1"/>
  <c r="BF366" i="1"/>
  <c r="BE366" i="1"/>
  <c r="BD366" i="1"/>
  <c r="BG365" i="1"/>
  <c r="BF365" i="1"/>
  <c r="BE365" i="1"/>
  <c r="BD365" i="1"/>
  <c r="BG364" i="1"/>
  <c r="BF364" i="1"/>
  <c r="BE364" i="1"/>
  <c r="BD364" i="1"/>
  <c r="BG363" i="1"/>
  <c r="BF363" i="1"/>
  <c r="BE363" i="1"/>
  <c r="BD363" i="1"/>
  <c r="BG362" i="1"/>
  <c r="BF362" i="1"/>
  <c r="BE362" i="1"/>
  <c r="BD362" i="1"/>
  <c r="BG361" i="1"/>
  <c r="BF361" i="1"/>
  <c r="BE361" i="1"/>
  <c r="BD361" i="1"/>
  <c r="BG360" i="1"/>
  <c r="BF360" i="1"/>
  <c r="BE360" i="1"/>
  <c r="BD360" i="1"/>
  <c r="BG359" i="1"/>
  <c r="BF359" i="1"/>
  <c r="BE359" i="1"/>
  <c r="BD359" i="1"/>
  <c r="BG358" i="1"/>
  <c r="BF358" i="1"/>
  <c r="BE358" i="1"/>
  <c r="BD358" i="1"/>
  <c r="BG357" i="1"/>
  <c r="BF357" i="1"/>
  <c r="BE357" i="1"/>
  <c r="BD357" i="1"/>
  <c r="BG356" i="1"/>
  <c r="BF356" i="1"/>
  <c r="BE356" i="1"/>
  <c r="BD356" i="1"/>
  <c r="BG355" i="1"/>
  <c r="BF355" i="1"/>
  <c r="BE355" i="1"/>
  <c r="BD355" i="1"/>
  <c r="BG354" i="1"/>
  <c r="BF354" i="1"/>
  <c r="BE354" i="1"/>
  <c r="BD354" i="1"/>
  <c r="BG353" i="1"/>
  <c r="BF353" i="1"/>
  <c r="BE353" i="1"/>
  <c r="BD353" i="1"/>
  <c r="BG352" i="1"/>
  <c r="BF352" i="1"/>
  <c r="BE352" i="1"/>
  <c r="BD352" i="1"/>
  <c r="BG351" i="1"/>
  <c r="BF351" i="1"/>
  <c r="BE351" i="1"/>
  <c r="BD351" i="1"/>
  <c r="BG350" i="1"/>
  <c r="BF350" i="1"/>
  <c r="BE350" i="1"/>
  <c r="BD350" i="1"/>
  <c r="BG349" i="1"/>
  <c r="BF349" i="1"/>
  <c r="BE349" i="1"/>
  <c r="BD349" i="1"/>
  <c r="BG348" i="1"/>
  <c r="BF348" i="1"/>
  <c r="BE348" i="1"/>
  <c r="BD348" i="1"/>
  <c r="BG347" i="1"/>
  <c r="BF347" i="1"/>
  <c r="BE347" i="1"/>
  <c r="BD347" i="1"/>
  <c r="BG345" i="1"/>
  <c r="BF345" i="1"/>
  <c r="BE345" i="1"/>
  <c r="BD345" i="1"/>
  <c r="BG346" i="1"/>
  <c r="BF346" i="1"/>
  <c r="BE346" i="1"/>
  <c r="BD346" i="1"/>
  <c r="BG344" i="1"/>
  <c r="BF344" i="1"/>
  <c r="BE344" i="1"/>
  <c r="BD344" i="1"/>
  <c r="BG343" i="1"/>
  <c r="BF343" i="1"/>
  <c r="BE343" i="1"/>
  <c r="BD343" i="1"/>
  <c r="BG342" i="1"/>
  <c r="BF342" i="1"/>
  <c r="BE342" i="1"/>
  <c r="BD342" i="1"/>
  <c r="BG340" i="1"/>
  <c r="BF340" i="1"/>
  <c r="BE340" i="1"/>
  <c r="BD340" i="1"/>
  <c r="BG341" i="1"/>
  <c r="BF341" i="1"/>
  <c r="BE341" i="1"/>
  <c r="BD341" i="1"/>
  <c r="BG339" i="1"/>
  <c r="BF339" i="1"/>
  <c r="BE339" i="1"/>
  <c r="BD339" i="1"/>
  <c r="BG338" i="1"/>
  <c r="BF338" i="1"/>
  <c r="BE338" i="1"/>
  <c r="BD338" i="1"/>
  <c r="BG337" i="1"/>
  <c r="BF337" i="1"/>
  <c r="BE337" i="1"/>
  <c r="BD337" i="1"/>
  <c r="BG336" i="1"/>
  <c r="BF336" i="1"/>
  <c r="BE336" i="1"/>
  <c r="BD336" i="1"/>
  <c r="BG335" i="1"/>
  <c r="BF335" i="1"/>
  <c r="BE335" i="1"/>
  <c r="BD335" i="1"/>
  <c r="BG334" i="1"/>
  <c r="BF334" i="1"/>
  <c r="BE334" i="1"/>
  <c r="BD334" i="1"/>
  <c r="BG333" i="1"/>
  <c r="BF333" i="1"/>
  <c r="BE333" i="1"/>
  <c r="BD333" i="1"/>
  <c r="BG332" i="1"/>
  <c r="BF332" i="1"/>
  <c r="BE332" i="1"/>
  <c r="BD332" i="1"/>
  <c r="BG331" i="1"/>
  <c r="BF331" i="1"/>
  <c r="BE331" i="1"/>
  <c r="BD331" i="1"/>
  <c r="BG330" i="1"/>
  <c r="BF330" i="1"/>
  <c r="BE330" i="1"/>
  <c r="BD330" i="1"/>
  <c r="BG329" i="1"/>
  <c r="BF329" i="1"/>
  <c r="BE329" i="1"/>
  <c r="BD329" i="1"/>
  <c r="BG328" i="1"/>
  <c r="BF328" i="1"/>
  <c r="BE328" i="1"/>
  <c r="BD328" i="1"/>
  <c r="BG327" i="1"/>
  <c r="BF327" i="1"/>
  <c r="BE327" i="1"/>
  <c r="BD327" i="1"/>
  <c r="BG326" i="1"/>
  <c r="BF326" i="1"/>
  <c r="BE326" i="1"/>
  <c r="BD326" i="1"/>
  <c r="BG325" i="1"/>
  <c r="BF325" i="1"/>
  <c r="BE325" i="1"/>
  <c r="BD325" i="1"/>
  <c r="BG324" i="1"/>
  <c r="BF324" i="1"/>
  <c r="BE324" i="1"/>
  <c r="BD324" i="1"/>
  <c r="BG323" i="1"/>
  <c r="BF323" i="1"/>
  <c r="BE323" i="1"/>
  <c r="BD323" i="1"/>
  <c r="BG322" i="1"/>
  <c r="BF322" i="1"/>
  <c r="BE322" i="1"/>
  <c r="BD322" i="1"/>
  <c r="BG321" i="1"/>
  <c r="BF321" i="1"/>
  <c r="BE321" i="1"/>
  <c r="BD321" i="1"/>
  <c r="BG320" i="1"/>
  <c r="BF320" i="1"/>
  <c r="BE320" i="1"/>
  <c r="BD320" i="1"/>
  <c r="BG319" i="1"/>
  <c r="BF319" i="1"/>
  <c r="BE319" i="1"/>
  <c r="BD319" i="1"/>
  <c r="BG318" i="1"/>
  <c r="BF318" i="1"/>
  <c r="BE318" i="1"/>
  <c r="BD318" i="1"/>
  <c r="BG317" i="1"/>
  <c r="BF317" i="1"/>
  <c r="BE317" i="1"/>
  <c r="BD317" i="1"/>
  <c r="BG316" i="1"/>
  <c r="BF316" i="1"/>
  <c r="BE316" i="1"/>
  <c r="BD316" i="1"/>
  <c r="BG315" i="1"/>
  <c r="BF315" i="1"/>
  <c r="BE315" i="1"/>
  <c r="BD315" i="1"/>
  <c r="BG314" i="1"/>
  <c r="BF314" i="1"/>
  <c r="BE314" i="1"/>
  <c r="BD314" i="1"/>
  <c r="BG313" i="1"/>
  <c r="BF313" i="1"/>
  <c r="BE313" i="1"/>
  <c r="BD313" i="1"/>
  <c r="BG312" i="1"/>
  <c r="BF312" i="1"/>
  <c r="BE312" i="1"/>
  <c r="BD312" i="1"/>
  <c r="BG311" i="1"/>
  <c r="BF311" i="1"/>
  <c r="BE311" i="1"/>
  <c r="BD311" i="1"/>
  <c r="BG310" i="1"/>
  <c r="BF310" i="1"/>
  <c r="BE310" i="1"/>
  <c r="BD310" i="1"/>
  <c r="BG309" i="1"/>
  <c r="BF309" i="1"/>
  <c r="BE309" i="1"/>
  <c r="BD309" i="1"/>
  <c r="BG308" i="1"/>
  <c r="BF308" i="1"/>
  <c r="BE308" i="1"/>
  <c r="BD308" i="1"/>
  <c r="BG307" i="1"/>
  <c r="BF307" i="1"/>
  <c r="BE307" i="1"/>
  <c r="BD307" i="1"/>
  <c r="BG306" i="1"/>
  <c r="BF306" i="1"/>
  <c r="BE306" i="1"/>
  <c r="BD306" i="1"/>
  <c r="BG305" i="1"/>
  <c r="BF305" i="1"/>
  <c r="BE305" i="1"/>
  <c r="BD305" i="1"/>
  <c r="BG304" i="1"/>
  <c r="BF304" i="1"/>
  <c r="BE304" i="1"/>
  <c r="BD304" i="1"/>
  <c r="BG303" i="1"/>
  <c r="BF303" i="1"/>
  <c r="BE303" i="1"/>
  <c r="BD303" i="1"/>
  <c r="BG302" i="1"/>
  <c r="BF302" i="1"/>
  <c r="BE302" i="1"/>
  <c r="BD302" i="1"/>
  <c r="BG301" i="1"/>
  <c r="BF301" i="1"/>
  <c r="BE301" i="1"/>
  <c r="BD301" i="1"/>
  <c r="BG300" i="1"/>
  <c r="BF300" i="1"/>
  <c r="BE300" i="1"/>
  <c r="BD300" i="1"/>
  <c r="BG299" i="1"/>
  <c r="BF299" i="1"/>
  <c r="BE299" i="1"/>
  <c r="BD299" i="1"/>
  <c r="BG298" i="1"/>
  <c r="BF298" i="1"/>
  <c r="BE298" i="1"/>
  <c r="BD298" i="1"/>
  <c r="BG297" i="1"/>
  <c r="BF297" i="1"/>
  <c r="BE297" i="1"/>
  <c r="BD297" i="1"/>
  <c r="BG296" i="1"/>
  <c r="BF296" i="1"/>
  <c r="BE296" i="1"/>
  <c r="BD296" i="1"/>
  <c r="BG295" i="1"/>
  <c r="BF295" i="1"/>
  <c r="BE295" i="1"/>
  <c r="BD295" i="1"/>
  <c r="BG294" i="1"/>
  <c r="BF294" i="1"/>
  <c r="BE294" i="1"/>
  <c r="BD294" i="1"/>
  <c r="BG293" i="1"/>
  <c r="BF293" i="1"/>
  <c r="BE293" i="1"/>
  <c r="BD293" i="1"/>
  <c r="BG292" i="1"/>
  <c r="BF292" i="1"/>
  <c r="BE292" i="1"/>
  <c r="BD292" i="1"/>
  <c r="BG291" i="1"/>
  <c r="BF291" i="1"/>
  <c r="BE291" i="1"/>
  <c r="BD291" i="1"/>
  <c r="BG290" i="1"/>
  <c r="BF290" i="1"/>
  <c r="BE290" i="1"/>
  <c r="BD290" i="1"/>
  <c r="BG289" i="1"/>
  <c r="BF289" i="1"/>
  <c r="BE289" i="1"/>
  <c r="BD289" i="1"/>
  <c r="BG288" i="1"/>
  <c r="BF288" i="1"/>
  <c r="BE288" i="1"/>
  <c r="BD288" i="1"/>
  <c r="BG287" i="1"/>
  <c r="BF287" i="1"/>
  <c r="BE287" i="1"/>
  <c r="BD287" i="1"/>
  <c r="BG286" i="1"/>
  <c r="BF286" i="1"/>
  <c r="BE286" i="1"/>
  <c r="BD286" i="1"/>
  <c r="BG285" i="1"/>
  <c r="BF285" i="1"/>
  <c r="BE285" i="1"/>
  <c r="BD285" i="1"/>
  <c r="BG284" i="1"/>
  <c r="BF284" i="1"/>
  <c r="BE284" i="1"/>
  <c r="BD284" i="1"/>
  <c r="BG283" i="1"/>
  <c r="BF283" i="1"/>
  <c r="BE283" i="1"/>
  <c r="BD283" i="1"/>
  <c r="BG282" i="1"/>
  <c r="BF282" i="1"/>
  <c r="BE282" i="1"/>
  <c r="BD282" i="1"/>
  <c r="BG281" i="1"/>
  <c r="BF281" i="1"/>
  <c r="BE281" i="1"/>
  <c r="BD281" i="1"/>
  <c r="BG280" i="1"/>
  <c r="BF280" i="1"/>
  <c r="BE280" i="1"/>
  <c r="BD280" i="1"/>
  <c r="BG279" i="1"/>
  <c r="BF279" i="1"/>
  <c r="BE279" i="1"/>
  <c r="BD279" i="1"/>
  <c r="BG278" i="1"/>
  <c r="BF278" i="1"/>
  <c r="BE278" i="1"/>
  <c r="BD278" i="1"/>
  <c r="BG277" i="1"/>
  <c r="BF277" i="1"/>
  <c r="BE277" i="1"/>
  <c r="BD277" i="1"/>
  <c r="BG276" i="1"/>
  <c r="BF276" i="1"/>
  <c r="BE276" i="1"/>
  <c r="BD276" i="1"/>
  <c r="BG275" i="1"/>
  <c r="BF275" i="1"/>
  <c r="BE275" i="1"/>
  <c r="BD275" i="1"/>
  <c r="BG274" i="1"/>
  <c r="BF274" i="1"/>
  <c r="BE274" i="1"/>
  <c r="BD274" i="1"/>
  <c r="BG273" i="1"/>
  <c r="BF273" i="1"/>
  <c r="BE273" i="1"/>
  <c r="BD273" i="1"/>
  <c r="BG272" i="1"/>
  <c r="BF272" i="1"/>
  <c r="BE272" i="1"/>
  <c r="BD272" i="1"/>
  <c r="BG271" i="1"/>
  <c r="BF271" i="1"/>
  <c r="BE271" i="1"/>
  <c r="BD271" i="1"/>
  <c r="BG270" i="1"/>
  <c r="BF270" i="1"/>
  <c r="BE270" i="1"/>
  <c r="BD270" i="1"/>
  <c r="BG269" i="1"/>
  <c r="BF269" i="1"/>
  <c r="BE269" i="1"/>
  <c r="BD269" i="1"/>
  <c r="BG268" i="1"/>
  <c r="BF268" i="1"/>
  <c r="BE268" i="1"/>
  <c r="BD268" i="1"/>
  <c r="BG267" i="1"/>
  <c r="BF267" i="1"/>
  <c r="BE267" i="1"/>
  <c r="BD267" i="1"/>
  <c r="BG266" i="1"/>
  <c r="BF266" i="1"/>
  <c r="BE266" i="1"/>
  <c r="BD266" i="1"/>
  <c r="BG265" i="1"/>
  <c r="BF265" i="1"/>
  <c r="BE265" i="1"/>
  <c r="BD265" i="1"/>
  <c r="BG264" i="1"/>
  <c r="BF264" i="1"/>
  <c r="BE264" i="1"/>
  <c r="BD264" i="1"/>
  <c r="BG263" i="1"/>
  <c r="BF263" i="1"/>
  <c r="BE263" i="1"/>
  <c r="BD263" i="1"/>
  <c r="BG262" i="1"/>
  <c r="BF262" i="1"/>
  <c r="BE262" i="1"/>
  <c r="BD262" i="1"/>
  <c r="BG261" i="1"/>
  <c r="BF261" i="1"/>
  <c r="BE261" i="1"/>
  <c r="BD261" i="1"/>
  <c r="BG260" i="1"/>
  <c r="BF260" i="1"/>
  <c r="BE260" i="1"/>
  <c r="BD260" i="1"/>
  <c r="BG259" i="1"/>
  <c r="BF259" i="1"/>
  <c r="BE259" i="1"/>
  <c r="BD259" i="1"/>
  <c r="BG258" i="1"/>
  <c r="BF258" i="1"/>
  <c r="BE258" i="1"/>
  <c r="BD258" i="1"/>
  <c r="BG257" i="1"/>
  <c r="BF257" i="1"/>
  <c r="BE257" i="1"/>
  <c r="BD257" i="1"/>
  <c r="BG256" i="1"/>
  <c r="BF256" i="1"/>
  <c r="BE256" i="1"/>
  <c r="BD256" i="1"/>
  <c r="BG255" i="1"/>
  <c r="BF255" i="1"/>
  <c r="BE255" i="1"/>
  <c r="BD255" i="1"/>
  <c r="BG254" i="1"/>
  <c r="BF254" i="1"/>
  <c r="BE254" i="1"/>
  <c r="BD254" i="1"/>
  <c r="BG253" i="1"/>
  <c r="BF253" i="1"/>
  <c r="BE253" i="1"/>
  <c r="BD253" i="1"/>
  <c r="BG252" i="1"/>
  <c r="BF252" i="1"/>
  <c r="BE252" i="1"/>
  <c r="BD252" i="1"/>
  <c r="BG251" i="1"/>
  <c r="BF251" i="1"/>
  <c r="BE251" i="1"/>
  <c r="BD251" i="1"/>
  <c r="BG250" i="1"/>
  <c r="BF250" i="1"/>
  <c r="BE250" i="1"/>
  <c r="BD250" i="1"/>
  <c r="BG248" i="1"/>
  <c r="BF248" i="1"/>
  <c r="BE248" i="1"/>
  <c r="BD248" i="1"/>
  <c r="BG249" i="1"/>
  <c r="BF249" i="1"/>
  <c r="BE249" i="1"/>
  <c r="BD249" i="1"/>
  <c r="BG247" i="1"/>
  <c r="BF247" i="1"/>
  <c r="BE247" i="1"/>
  <c r="BD247" i="1"/>
  <c r="BG246" i="1"/>
  <c r="BF246" i="1"/>
  <c r="BE246" i="1"/>
  <c r="BD246" i="1"/>
  <c r="BG245" i="1"/>
  <c r="BF245" i="1"/>
  <c r="BE245" i="1"/>
  <c r="BD245" i="1"/>
  <c r="BG244" i="1"/>
  <c r="BF244" i="1"/>
  <c r="BE244" i="1"/>
  <c r="BD244" i="1"/>
  <c r="BG243" i="1"/>
  <c r="BF243" i="1"/>
  <c r="BE243" i="1"/>
  <c r="BD243" i="1"/>
  <c r="BG242" i="1"/>
  <c r="BF242" i="1"/>
  <c r="BE242" i="1"/>
  <c r="BD242" i="1"/>
  <c r="BG241" i="1"/>
  <c r="BF241" i="1"/>
  <c r="BE241" i="1"/>
  <c r="BD241" i="1"/>
  <c r="BG240" i="1"/>
  <c r="BF240" i="1"/>
  <c r="BE240" i="1"/>
  <c r="BD240" i="1"/>
  <c r="BG239" i="1"/>
  <c r="BF239" i="1"/>
  <c r="BE239" i="1"/>
  <c r="BD239" i="1"/>
  <c r="BG238" i="1"/>
  <c r="BF238" i="1"/>
  <c r="BE238" i="1"/>
  <c r="BD238" i="1"/>
  <c r="BG237" i="1"/>
  <c r="BF237" i="1"/>
  <c r="BE237" i="1"/>
  <c r="BD237" i="1"/>
  <c r="BG236" i="1"/>
  <c r="BF236" i="1"/>
  <c r="BE236" i="1"/>
  <c r="BD236" i="1"/>
  <c r="BG235" i="1"/>
  <c r="BF235" i="1"/>
  <c r="BE235" i="1"/>
  <c r="BD235" i="1"/>
  <c r="BG234" i="1"/>
  <c r="BF234" i="1"/>
  <c r="BE234" i="1"/>
  <c r="BD234" i="1"/>
  <c r="BG233" i="1"/>
  <c r="BF233" i="1"/>
  <c r="BE233" i="1"/>
  <c r="BD233" i="1"/>
  <c r="BG232" i="1"/>
  <c r="BF232" i="1"/>
  <c r="BE232" i="1"/>
  <c r="BD232" i="1"/>
  <c r="BG231" i="1"/>
  <c r="BF231" i="1"/>
  <c r="BE231" i="1"/>
  <c r="BD231" i="1"/>
  <c r="BG230" i="1"/>
  <c r="BF230" i="1"/>
  <c r="BE230" i="1"/>
  <c r="BD230" i="1"/>
  <c r="BG229" i="1"/>
  <c r="BF229" i="1"/>
  <c r="BE229" i="1"/>
  <c r="BD229" i="1"/>
  <c r="BG228" i="1"/>
  <c r="BF228" i="1"/>
  <c r="BE228" i="1"/>
  <c r="BD228" i="1"/>
  <c r="BG227" i="1"/>
  <c r="BF227" i="1"/>
  <c r="BE227" i="1"/>
  <c r="BD227" i="1"/>
  <c r="BG226" i="1"/>
  <c r="BF226" i="1"/>
  <c r="BE226" i="1"/>
  <c r="BD226" i="1"/>
  <c r="BG225" i="1"/>
  <c r="BF225" i="1"/>
  <c r="BE225" i="1"/>
  <c r="BD225" i="1"/>
  <c r="BG224" i="1"/>
  <c r="BF224" i="1"/>
  <c r="BE224" i="1"/>
  <c r="BD224" i="1"/>
  <c r="BG223" i="1"/>
  <c r="BF223" i="1"/>
  <c r="BE223" i="1"/>
  <c r="BD223" i="1"/>
  <c r="BG222" i="1"/>
  <c r="BF222" i="1"/>
  <c r="BE222" i="1"/>
  <c r="BD222" i="1"/>
  <c r="BG221" i="1"/>
  <c r="BF221" i="1"/>
  <c r="BE221" i="1"/>
  <c r="BD221" i="1"/>
  <c r="BG220" i="1"/>
  <c r="BF220" i="1"/>
  <c r="BE220" i="1"/>
  <c r="BD220" i="1"/>
  <c r="BG219" i="1"/>
  <c r="BF219" i="1"/>
  <c r="BE219" i="1"/>
  <c r="BD219" i="1"/>
  <c r="BG218" i="1"/>
  <c r="BF218" i="1"/>
  <c r="BE218" i="1"/>
  <c r="BD218" i="1"/>
  <c r="BG217" i="1"/>
  <c r="BF217" i="1"/>
  <c r="BE217" i="1"/>
  <c r="BD217" i="1"/>
  <c r="BG216" i="1"/>
  <c r="BF216" i="1"/>
  <c r="BE216" i="1"/>
  <c r="BD216" i="1"/>
  <c r="BG215" i="1"/>
  <c r="BF215" i="1"/>
  <c r="BE215" i="1"/>
  <c r="BD215" i="1"/>
  <c r="BG214" i="1"/>
  <c r="BF214" i="1"/>
  <c r="BE214" i="1"/>
  <c r="BD214" i="1"/>
  <c r="BG213" i="1"/>
  <c r="BF213" i="1"/>
  <c r="BE213" i="1"/>
  <c r="BD213" i="1"/>
  <c r="BG212" i="1"/>
  <c r="BF212" i="1"/>
  <c r="BE212" i="1"/>
  <c r="BD212" i="1"/>
  <c r="BG211" i="1"/>
  <c r="BF211" i="1"/>
  <c r="BE211" i="1"/>
  <c r="BD211" i="1"/>
  <c r="BG210" i="1"/>
  <c r="BF210" i="1"/>
  <c r="BE210" i="1"/>
  <c r="BD210" i="1"/>
  <c r="BG209" i="1"/>
  <c r="BF209" i="1"/>
  <c r="BE209" i="1"/>
  <c r="BD209" i="1"/>
  <c r="BG208" i="1"/>
  <c r="BF208" i="1"/>
  <c r="BE208" i="1"/>
  <c r="BD208" i="1"/>
  <c r="BG207" i="1"/>
  <c r="BF207" i="1"/>
  <c r="BE207" i="1"/>
  <c r="BD207" i="1"/>
  <c r="BG206" i="1"/>
  <c r="BF206" i="1"/>
  <c r="BE206" i="1"/>
  <c r="BD206" i="1"/>
  <c r="BG205" i="1"/>
  <c r="BF205" i="1"/>
  <c r="BE205" i="1"/>
  <c r="BD205" i="1"/>
  <c r="BG204" i="1"/>
  <c r="BF204" i="1"/>
  <c r="BE204" i="1"/>
  <c r="BD204" i="1"/>
  <c r="BG203" i="1"/>
  <c r="BF203" i="1"/>
  <c r="BE203" i="1"/>
  <c r="BD203" i="1"/>
  <c r="BG202" i="1"/>
  <c r="BF202" i="1"/>
  <c r="BE202" i="1"/>
  <c r="BD202" i="1"/>
  <c r="BG201" i="1"/>
  <c r="BF201" i="1"/>
  <c r="BE201" i="1"/>
  <c r="BD201" i="1"/>
  <c r="BG200" i="1"/>
  <c r="BF200" i="1"/>
  <c r="BE200" i="1"/>
  <c r="BD200" i="1"/>
  <c r="BG199" i="1"/>
  <c r="BF199" i="1"/>
  <c r="BE199" i="1"/>
  <c r="BD199" i="1"/>
  <c r="BG198" i="1"/>
  <c r="BF198" i="1"/>
  <c r="BE198" i="1"/>
  <c r="BD198" i="1"/>
  <c r="BG197" i="1"/>
  <c r="BF197" i="1"/>
  <c r="BE197" i="1"/>
  <c r="BD197" i="1"/>
  <c r="BG196" i="1"/>
  <c r="BF196" i="1"/>
  <c r="BE196" i="1"/>
  <c r="BD196" i="1"/>
  <c r="BG195" i="1"/>
  <c r="BF195" i="1"/>
  <c r="BE195" i="1"/>
  <c r="BD195" i="1"/>
  <c r="BG194" i="1"/>
  <c r="BF194" i="1"/>
  <c r="BE194" i="1"/>
  <c r="BD194" i="1"/>
  <c r="BG193" i="1"/>
  <c r="BF193" i="1"/>
  <c r="BE193" i="1"/>
  <c r="BD193" i="1"/>
  <c r="BG192" i="1"/>
  <c r="BF192" i="1"/>
  <c r="BE192" i="1"/>
  <c r="BD192" i="1"/>
  <c r="BG191" i="1"/>
  <c r="BF191" i="1"/>
  <c r="BE191" i="1"/>
  <c r="BD191" i="1"/>
  <c r="BG190" i="1"/>
  <c r="BF190" i="1"/>
  <c r="BE190" i="1"/>
  <c r="BD190" i="1"/>
  <c r="BG189" i="1"/>
  <c r="BF189" i="1"/>
  <c r="BE189" i="1"/>
  <c r="BD189" i="1"/>
  <c r="BG188" i="1"/>
  <c r="BF188" i="1"/>
  <c r="BE188" i="1"/>
  <c r="BD188" i="1"/>
  <c r="BG187" i="1"/>
  <c r="BF187" i="1"/>
  <c r="BE187" i="1"/>
  <c r="BD187" i="1"/>
  <c r="BG186" i="1"/>
  <c r="BF186" i="1"/>
  <c r="BE186" i="1"/>
  <c r="BD186" i="1"/>
  <c r="BG185" i="1"/>
  <c r="BF185" i="1"/>
  <c r="BE185" i="1"/>
  <c r="BD185" i="1"/>
  <c r="BG184" i="1"/>
  <c r="BF184" i="1"/>
  <c r="BE184" i="1"/>
  <c r="BD184" i="1"/>
  <c r="BG183" i="1"/>
  <c r="BF183" i="1"/>
  <c r="BE183" i="1"/>
  <c r="BD183" i="1"/>
  <c r="BG182" i="1"/>
  <c r="BF182" i="1"/>
  <c r="BE182" i="1"/>
  <c r="BD182" i="1"/>
  <c r="BG181" i="1"/>
  <c r="BF181" i="1"/>
  <c r="BE181" i="1"/>
  <c r="BD181" i="1"/>
  <c r="BG180" i="1"/>
  <c r="BF180" i="1"/>
  <c r="BE180" i="1"/>
  <c r="BD180" i="1"/>
  <c r="BG179" i="1"/>
  <c r="BF179" i="1"/>
  <c r="BE179" i="1"/>
  <c r="BD179" i="1"/>
  <c r="BG178" i="1"/>
  <c r="BF178" i="1"/>
  <c r="BE178" i="1"/>
  <c r="BD178" i="1"/>
  <c r="BG177" i="1"/>
  <c r="BF177" i="1"/>
  <c r="BE177" i="1"/>
  <c r="BD177" i="1"/>
  <c r="BG176" i="1"/>
  <c r="BF176" i="1"/>
  <c r="BE176" i="1"/>
  <c r="BD176" i="1"/>
  <c r="BG175" i="1"/>
  <c r="BF175" i="1"/>
  <c r="BE175" i="1"/>
  <c r="BD175" i="1"/>
  <c r="BG174" i="1"/>
  <c r="BF174" i="1"/>
  <c r="BE174" i="1"/>
  <c r="BD174" i="1"/>
  <c r="BG173" i="1"/>
  <c r="BF173" i="1"/>
  <c r="BE173" i="1"/>
  <c r="BD173" i="1"/>
  <c r="BG172" i="1"/>
  <c r="BF172" i="1"/>
  <c r="BE172" i="1"/>
  <c r="BD172" i="1"/>
  <c r="BG171" i="1"/>
  <c r="BF171" i="1"/>
  <c r="BE171" i="1"/>
  <c r="BD171" i="1"/>
  <c r="BG170" i="1"/>
  <c r="BF170" i="1"/>
  <c r="BE170" i="1"/>
  <c r="BD170" i="1"/>
  <c r="BG169" i="1"/>
  <c r="BF169" i="1"/>
  <c r="BE169" i="1"/>
  <c r="BD169" i="1"/>
  <c r="BG168" i="1"/>
  <c r="BF168" i="1"/>
  <c r="BE168" i="1"/>
  <c r="BD168" i="1"/>
  <c r="BG167" i="1"/>
  <c r="BF167" i="1"/>
  <c r="BE167" i="1"/>
  <c r="BD167" i="1"/>
  <c r="BG166" i="1"/>
  <c r="BF166" i="1"/>
  <c r="BE166" i="1"/>
  <c r="BD166" i="1"/>
  <c r="BG165" i="1"/>
  <c r="BF165" i="1"/>
  <c r="BE165" i="1"/>
  <c r="BD165" i="1"/>
  <c r="BG164" i="1"/>
  <c r="BF164" i="1"/>
  <c r="BE164" i="1"/>
  <c r="BD164" i="1"/>
  <c r="BG163" i="1"/>
  <c r="BF163" i="1"/>
  <c r="BE163" i="1"/>
  <c r="BD163" i="1"/>
  <c r="BG162" i="1"/>
  <c r="BF162" i="1"/>
  <c r="BE162" i="1"/>
  <c r="BD162" i="1"/>
  <c r="BG161" i="1"/>
  <c r="BF161" i="1"/>
  <c r="BE161" i="1"/>
  <c r="BD161" i="1"/>
  <c r="BG160" i="1"/>
  <c r="BF160" i="1"/>
  <c r="BE160" i="1"/>
  <c r="BD160" i="1"/>
  <c r="BG159" i="1"/>
  <c r="BF159" i="1"/>
  <c r="BE159" i="1"/>
  <c r="BD159" i="1"/>
  <c r="BG158" i="1"/>
  <c r="BF158" i="1"/>
  <c r="BE158" i="1"/>
  <c r="BD158" i="1"/>
  <c r="BG157" i="1"/>
  <c r="BF157" i="1"/>
  <c r="BE157" i="1"/>
  <c r="BD157" i="1"/>
  <c r="BG156" i="1"/>
  <c r="BF156" i="1"/>
  <c r="BE156" i="1"/>
  <c r="BD156" i="1"/>
  <c r="BG155" i="1"/>
  <c r="BF155" i="1"/>
  <c r="BE155" i="1"/>
  <c r="BD155" i="1"/>
  <c r="BG154" i="1"/>
  <c r="BF154" i="1"/>
  <c r="BE154" i="1"/>
  <c r="BD154" i="1"/>
  <c r="BG153" i="1"/>
  <c r="BF153" i="1"/>
  <c r="BE153" i="1"/>
  <c r="BD153" i="1"/>
  <c r="BG152" i="1"/>
  <c r="BF152" i="1"/>
  <c r="BE152" i="1"/>
  <c r="BD152" i="1"/>
  <c r="BG151" i="1"/>
  <c r="BF151" i="1"/>
  <c r="BE151" i="1"/>
  <c r="BD151" i="1"/>
  <c r="BG150" i="1"/>
  <c r="BF150" i="1"/>
  <c r="BE150" i="1"/>
  <c r="BD150" i="1"/>
  <c r="BG149" i="1"/>
  <c r="BF149" i="1"/>
  <c r="BE149" i="1"/>
  <c r="BD149" i="1"/>
  <c r="BG148" i="1"/>
  <c r="BF148" i="1"/>
  <c r="BE148" i="1"/>
  <c r="BD148" i="1"/>
  <c r="BG147" i="1"/>
  <c r="BF147" i="1"/>
  <c r="BE147" i="1"/>
  <c r="BD147" i="1"/>
  <c r="BG146" i="1"/>
  <c r="BF146" i="1"/>
  <c r="BE146" i="1"/>
  <c r="BD146" i="1"/>
  <c r="BG145" i="1"/>
  <c r="BF145" i="1"/>
  <c r="BE145" i="1"/>
  <c r="BD145" i="1"/>
  <c r="BG144" i="1"/>
  <c r="BF144" i="1"/>
  <c r="BE144" i="1"/>
  <c r="BD144" i="1"/>
  <c r="BG143" i="1"/>
  <c r="BF143" i="1"/>
  <c r="BE143" i="1"/>
  <c r="BD143" i="1"/>
  <c r="BG142" i="1"/>
  <c r="BF142" i="1"/>
  <c r="BE142" i="1"/>
  <c r="BD142" i="1"/>
  <c r="BG141" i="1"/>
  <c r="BF141" i="1"/>
  <c r="BE141" i="1"/>
  <c r="BD141" i="1"/>
  <c r="BG140" i="1"/>
  <c r="BF140" i="1"/>
  <c r="BE140" i="1"/>
  <c r="BD140" i="1"/>
  <c r="BG139" i="1"/>
  <c r="BF139" i="1"/>
  <c r="BE139" i="1"/>
  <c r="BD139" i="1"/>
  <c r="BG138" i="1"/>
  <c r="BF138" i="1"/>
  <c r="BE138" i="1"/>
  <c r="BD138" i="1"/>
  <c r="BG137" i="1"/>
  <c r="BF137" i="1"/>
  <c r="BE137" i="1"/>
  <c r="BD137" i="1"/>
  <c r="BG136" i="1"/>
  <c r="BF136" i="1"/>
  <c r="BE136" i="1"/>
  <c r="BD136" i="1"/>
  <c r="BG135" i="1"/>
  <c r="BF135" i="1"/>
  <c r="BE135" i="1"/>
  <c r="BD135" i="1"/>
  <c r="BG134" i="1"/>
  <c r="BF134" i="1"/>
  <c r="BE134" i="1"/>
  <c r="BD134" i="1"/>
  <c r="BG133" i="1"/>
  <c r="BF133" i="1"/>
  <c r="BE133" i="1"/>
  <c r="BD133" i="1"/>
  <c r="BG132" i="1"/>
  <c r="BF132" i="1"/>
  <c r="BE132" i="1"/>
  <c r="BD132" i="1"/>
  <c r="BG131" i="1"/>
  <c r="BF131" i="1"/>
  <c r="BE131" i="1"/>
  <c r="BD131" i="1"/>
  <c r="BG130" i="1"/>
  <c r="BF130" i="1"/>
  <c r="BE130" i="1"/>
  <c r="BD130" i="1"/>
  <c r="BG129" i="1"/>
  <c r="BF129" i="1"/>
  <c r="BE129" i="1"/>
  <c r="BD129" i="1"/>
  <c r="BG128" i="1"/>
  <c r="BF128" i="1"/>
  <c r="BE128" i="1"/>
  <c r="BD128" i="1"/>
  <c r="BG127" i="1"/>
  <c r="BF127" i="1"/>
  <c r="BE127" i="1"/>
  <c r="BD127" i="1"/>
  <c r="BG126" i="1"/>
  <c r="BF126" i="1"/>
  <c r="BE126" i="1"/>
  <c r="BD126" i="1"/>
  <c r="BG125" i="1"/>
  <c r="BF125" i="1"/>
  <c r="BE125" i="1"/>
  <c r="BD125" i="1"/>
  <c r="BG124" i="1"/>
  <c r="BF124" i="1"/>
  <c r="BE124" i="1"/>
  <c r="BD124" i="1"/>
  <c r="BG123" i="1"/>
  <c r="BF123" i="1"/>
  <c r="BE123" i="1"/>
  <c r="BD123" i="1"/>
  <c r="BG122" i="1"/>
  <c r="BF122" i="1"/>
  <c r="BE122" i="1"/>
  <c r="BD122" i="1"/>
  <c r="BG121" i="1"/>
  <c r="BF121" i="1"/>
  <c r="BE121" i="1"/>
  <c r="BD121" i="1"/>
  <c r="BG120" i="1"/>
  <c r="BF120" i="1"/>
  <c r="BE120" i="1"/>
  <c r="BD120" i="1"/>
  <c r="BG119" i="1"/>
  <c r="BF119" i="1"/>
  <c r="BE119" i="1"/>
  <c r="BD119" i="1"/>
  <c r="BG118" i="1"/>
  <c r="BF118" i="1"/>
  <c r="BE118" i="1"/>
  <c r="BD118" i="1"/>
  <c r="BG117" i="1"/>
  <c r="BF117" i="1"/>
  <c r="BE117" i="1"/>
  <c r="BD117" i="1"/>
  <c r="BG116" i="1"/>
  <c r="BF116" i="1"/>
  <c r="BE116" i="1"/>
  <c r="BD116" i="1"/>
  <c r="BG115" i="1"/>
  <c r="BF115" i="1"/>
  <c r="BE115" i="1"/>
  <c r="BD115" i="1"/>
  <c r="BG114" i="1"/>
  <c r="BF114" i="1"/>
  <c r="BE114" i="1"/>
  <c r="BD114" i="1"/>
  <c r="BG113" i="1"/>
  <c r="BF113" i="1"/>
  <c r="BE113" i="1"/>
  <c r="BD113" i="1"/>
  <c r="BG112" i="1"/>
  <c r="BF112" i="1"/>
  <c r="BE112" i="1"/>
  <c r="BD112" i="1"/>
  <c r="BG111" i="1"/>
  <c r="BF111" i="1"/>
  <c r="BE111" i="1"/>
  <c r="BD111" i="1"/>
  <c r="BG110" i="1"/>
  <c r="BF110" i="1"/>
  <c r="BE110" i="1"/>
  <c r="BD110" i="1"/>
  <c r="BG109" i="1"/>
  <c r="BF109" i="1"/>
  <c r="BE109" i="1"/>
  <c r="BD109" i="1"/>
  <c r="BG108" i="1"/>
  <c r="BF108" i="1"/>
  <c r="BE108" i="1"/>
  <c r="BD108" i="1"/>
  <c r="BG107" i="1"/>
  <c r="BF107" i="1"/>
  <c r="BE107" i="1"/>
  <c r="BD107" i="1"/>
  <c r="BG106" i="1"/>
  <c r="BF106" i="1"/>
  <c r="BE106" i="1"/>
  <c r="BD106" i="1"/>
  <c r="BG105" i="1"/>
  <c r="BF105" i="1"/>
  <c r="BE105" i="1"/>
  <c r="BD105" i="1"/>
  <c r="BG104" i="1"/>
  <c r="BF104" i="1"/>
  <c r="BE104" i="1"/>
  <c r="BD104" i="1"/>
  <c r="BG103" i="1"/>
  <c r="BF103" i="1"/>
  <c r="BE103" i="1"/>
  <c r="BD103" i="1"/>
  <c r="BG102" i="1"/>
  <c r="BF102" i="1"/>
  <c r="BE102" i="1"/>
  <c r="BD102" i="1"/>
  <c r="BG101" i="1"/>
  <c r="BF101" i="1"/>
  <c r="BE101" i="1"/>
  <c r="BD101" i="1"/>
  <c r="BG100" i="1"/>
  <c r="BF100" i="1"/>
  <c r="BE100" i="1"/>
  <c r="BD100" i="1"/>
  <c r="BG99" i="1"/>
  <c r="BF99" i="1"/>
  <c r="BE99" i="1"/>
  <c r="BD99" i="1"/>
  <c r="BG98" i="1"/>
  <c r="BF98" i="1"/>
  <c r="BE98" i="1"/>
  <c r="BD98" i="1"/>
  <c r="BG97" i="1"/>
  <c r="BF97" i="1"/>
  <c r="BE97" i="1"/>
  <c r="BD97" i="1"/>
  <c r="BG96" i="1"/>
  <c r="BF96" i="1"/>
  <c r="BE96" i="1"/>
  <c r="BD96" i="1"/>
  <c r="BG95" i="1"/>
  <c r="BF95" i="1"/>
  <c r="BE95" i="1"/>
  <c r="BD95" i="1"/>
  <c r="BG94" i="1"/>
  <c r="BF94" i="1"/>
  <c r="BE94" i="1"/>
  <c r="BD94" i="1"/>
  <c r="BG93" i="1"/>
  <c r="BF93" i="1"/>
  <c r="BE93" i="1"/>
  <c r="BD93" i="1"/>
  <c r="BG92" i="1"/>
  <c r="BF92" i="1"/>
  <c r="BE92" i="1"/>
  <c r="BD92" i="1"/>
  <c r="BG91" i="1"/>
  <c r="BF91" i="1"/>
  <c r="BE91" i="1"/>
  <c r="BD91" i="1"/>
  <c r="BG90" i="1"/>
  <c r="BF90" i="1"/>
  <c r="BE90" i="1"/>
  <c r="BD90" i="1"/>
  <c r="BG89" i="1"/>
  <c r="BF89" i="1"/>
  <c r="BE89" i="1"/>
  <c r="BD89" i="1"/>
  <c r="BG88" i="1"/>
  <c r="BF88" i="1"/>
  <c r="BE88" i="1"/>
  <c r="BD88" i="1"/>
  <c r="BG87" i="1"/>
  <c r="BF87" i="1"/>
  <c r="BE87" i="1"/>
  <c r="BD87" i="1"/>
  <c r="BG86" i="1"/>
  <c r="BF86" i="1"/>
  <c r="BE86" i="1"/>
  <c r="BD86" i="1"/>
  <c r="BG85" i="1"/>
  <c r="BF85" i="1"/>
  <c r="BE85" i="1"/>
  <c r="BD85" i="1"/>
  <c r="BG84" i="1"/>
  <c r="BF84" i="1"/>
  <c r="BE84" i="1"/>
  <c r="BD84" i="1"/>
  <c r="BG83" i="1"/>
  <c r="BF83" i="1"/>
  <c r="BE83" i="1"/>
  <c r="BD83" i="1"/>
  <c r="BG82" i="1"/>
  <c r="BF82" i="1"/>
  <c r="BE82" i="1"/>
  <c r="BD82" i="1"/>
  <c r="BG81" i="1"/>
  <c r="BF81" i="1"/>
  <c r="BE81" i="1"/>
  <c r="BD81" i="1"/>
  <c r="BG80" i="1"/>
  <c r="BF80" i="1"/>
  <c r="BE80" i="1"/>
  <c r="BD80" i="1"/>
  <c r="BG79" i="1"/>
  <c r="BF79" i="1"/>
  <c r="BE79" i="1"/>
  <c r="BD79" i="1"/>
  <c r="BG78" i="1"/>
  <c r="BF78" i="1"/>
  <c r="BE78" i="1"/>
  <c r="BD78" i="1"/>
  <c r="BG77" i="1"/>
  <c r="BF77" i="1"/>
  <c r="BE77" i="1"/>
  <c r="BD77" i="1"/>
  <c r="BG76" i="1"/>
  <c r="BF76" i="1"/>
  <c r="BE76" i="1"/>
  <c r="BD76" i="1"/>
  <c r="BG75" i="1"/>
  <c r="BF75" i="1"/>
  <c r="BE75" i="1"/>
  <c r="BD75" i="1"/>
  <c r="BG74" i="1"/>
  <c r="BF74" i="1"/>
  <c r="BE74" i="1"/>
  <c r="BD74" i="1"/>
  <c r="BG73" i="1"/>
  <c r="BF73" i="1"/>
  <c r="BE73" i="1"/>
  <c r="BD73" i="1"/>
  <c r="BG72" i="1"/>
  <c r="BF72" i="1"/>
  <c r="BE72" i="1"/>
  <c r="BD72" i="1"/>
  <c r="BG71" i="1"/>
  <c r="BF71" i="1"/>
  <c r="BE71" i="1"/>
  <c r="BD71" i="1"/>
  <c r="BG70" i="1"/>
  <c r="BF70" i="1"/>
  <c r="BE70" i="1"/>
  <c r="BD70" i="1"/>
  <c r="BG69" i="1"/>
  <c r="BF69" i="1"/>
  <c r="BE69" i="1"/>
  <c r="BD69" i="1"/>
  <c r="BG68" i="1"/>
  <c r="BF68" i="1"/>
  <c r="BE68" i="1"/>
  <c r="BD68" i="1"/>
  <c r="BG67" i="1"/>
  <c r="BF67" i="1"/>
  <c r="BE67" i="1"/>
  <c r="BD67" i="1"/>
  <c r="BG66" i="1"/>
  <c r="BF66" i="1"/>
  <c r="BE66" i="1"/>
  <c r="BD66" i="1"/>
  <c r="BG65" i="1"/>
  <c r="BF65" i="1"/>
  <c r="BE65" i="1"/>
  <c r="BD65" i="1"/>
  <c r="BG64" i="1"/>
  <c r="BF64" i="1"/>
  <c r="BE64" i="1"/>
  <c r="BD64" i="1"/>
  <c r="BG63" i="1"/>
  <c r="BF63" i="1"/>
  <c r="BE63" i="1"/>
  <c r="BD63" i="1"/>
  <c r="BG62" i="1"/>
  <c r="BF62" i="1"/>
  <c r="BE62" i="1"/>
  <c r="BD62" i="1"/>
  <c r="BG61" i="1"/>
  <c r="BF61" i="1"/>
  <c r="BE61" i="1"/>
  <c r="BD61" i="1"/>
  <c r="BG60" i="1"/>
  <c r="BF60" i="1"/>
  <c r="BE60" i="1"/>
  <c r="BD60" i="1"/>
  <c r="BG59" i="1"/>
  <c r="BF59" i="1"/>
  <c r="BE59" i="1"/>
  <c r="BD59" i="1"/>
  <c r="BG58" i="1"/>
  <c r="BF58" i="1"/>
  <c r="BE58" i="1"/>
  <c r="BD58" i="1"/>
  <c r="BG57" i="1"/>
  <c r="BF57" i="1"/>
  <c r="BE57" i="1"/>
  <c r="BD57" i="1"/>
  <c r="BG56" i="1"/>
  <c r="BF56" i="1"/>
  <c r="BE56" i="1"/>
  <c r="BD56" i="1"/>
  <c r="BG55" i="1"/>
  <c r="BF55" i="1"/>
  <c r="BE55" i="1"/>
  <c r="BD55" i="1"/>
  <c r="BG54" i="1"/>
  <c r="BF54" i="1"/>
  <c r="BE54" i="1"/>
  <c r="BD54" i="1"/>
  <c r="BG53" i="1"/>
  <c r="BF53" i="1"/>
  <c r="BE53" i="1"/>
  <c r="BD53" i="1"/>
  <c r="BG52" i="1"/>
  <c r="BF52" i="1"/>
  <c r="BE52" i="1"/>
  <c r="BD52" i="1"/>
  <c r="BG51" i="1"/>
  <c r="BF51" i="1"/>
  <c r="BE51" i="1"/>
  <c r="BD51" i="1"/>
  <c r="BG50" i="1"/>
  <c r="BF50" i="1"/>
  <c r="BE50" i="1"/>
  <c r="BD50" i="1"/>
  <c r="BG49" i="1"/>
  <c r="BF49" i="1"/>
  <c r="BE49" i="1"/>
  <c r="BD49" i="1"/>
  <c r="BG48" i="1"/>
  <c r="BF48" i="1"/>
  <c r="BE48" i="1"/>
  <c r="BD48" i="1"/>
  <c r="BG47" i="1"/>
  <c r="BF47" i="1"/>
  <c r="BE47" i="1"/>
  <c r="BD47" i="1"/>
  <c r="BG46" i="1"/>
  <c r="BF46" i="1"/>
  <c r="BE46" i="1"/>
  <c r="BD46" i="1"/>
  <c r="BG45" i="1"/>
  <c r="BF45" i="1"/>
  <c r="BE45" i="1"/>
  <c r="BD45" i="1"/>
  <c r="BG44" i="1"/>
  <c r="BF44" i="1"/>
  <c r="BE44" i="1"/>
  <c r="BD44" i="1"/>
  <c r="BG43" i="1"/>
  <c r="BF43" i="1"/>
  <c r="BE43" i="1"/>
  <c r="BD43" i="1"/>
  <c r="BG42" i="1"/>
  <c r="BF42" i="1"/>
  <c r="BE42" i="1"/>
  <c r="BD42" i="1"/>
  <c r="BG41" i="1"/>
  <c r="BF41" i="1"/>
  <c r="BE41" i="1"/>
  <c r="BD41" i="1"/>
  <c r="BG40" i="1"/>
  <c r="BF40" i="1"/>
  <c r="BE40" i="1"/>
  <c r="BD40" i="1"/>
  <c r="BG39" i="1"/>
  <c r="BF39" i="1"/>
  <c r="BE39" i="1"/>
  <c r="BD39" i="1"/>
  <c r="BG38" i="1"/>
  <c r="BF38" i="1"/>
  <c r="BE38" i="1"/>
  <c r="BD38" i="1"/>
  <c r="BG37" i="1"/>
  <c r="BF37" i="1"/>
  <c r="BE37" i="1"/>
  <c r="BD37" i="1"/>
  <c r="BG36" i="1"/>
  <c r="BF36" i="1"/>
  <c r="BE36" i="1"/>
  <c r="BD36" i="1"/>
  <c r="BG35" i="1"/>
  <c r="BF35" i="1"/>
  <c r="BE35" i="1"/>
  <c r="BD35" i="1"/>
  <c r="BG34" i="1"/>
  <c r="BF34" i="1"/>
  <c r="BE34" i="1"/>
  <c r="BD34" i="1"/>
  <c r="BG33" i="1"/>
  <c r="BF33" i="1"/>
  <c r="BE33" i="1"/>
  <c r="BD33" i="1"/>
  <c r="BG32" i="1"/>
  <c r="BF32" i="1"/>
  <c r="BE32" i="1"/>
  <c r="BD32" i="1"/>
  <c r="BG31" i="1"/>
  <c r="BF31" i="1"/>
  <c r="BE31" i="1"/>
  <c r="BD31" i="1"/>
  <c r="BG30" i="1"/>
  <c r="BF30" i="1"/>
  <c r="BE30" i="1"/>
  <c r="BD30" i="1"/>
  <c r="BG29" i="1"/>
  <c r="BF29" i="1"/>
  <c r="BE29" i="1"/>
  <c r="BD29" i="1"/>
  <c r="BG28" i="1"/>
  <c r="BF28" i="1"/>
  <c r="BE28" i="1"/>
  <c r="BD28" i="1"/>
  <c r="BG27" i="1"/>
  <c r="BF27" i="1"/>
  <c r="BE27" i="1"/>
  <c r="BD27" i="1"/>
  <c r="BG26" i="1"/>
  <c r="BF26" i="1"/>
  <c r="BE26" i="1"/>
  <c r="BD26" i="1"/>
  <c r="BG25" i="1"/>
  <c r="BF25" i="1"/>
  <c r="BE25" i="1"/>
  <c r="BD25" i="1"/>
  <c r="BG24" i="1"/>
  <c r="BF24" i="1"/>
  <c r="BE24" i="1"/>
  <c r="BD24" i="1"/>
  <c r="BG23" i="1"/>
  <c r="BF23" i="1"/>
  <c r="BE23" i="1"/>
  <c r="BD23" i="1"/>
  <c r="BG22" i="1"/>
  <c r="BF22" i="1"/>
  <c r="BE22" i="1"/>
  <c r="BD22" i="1"/>
  <c r="BG21" i="1"/>
  <c r="BF21" i="1"/>
  <c r="BE21" i="1"/>
  <c r="BD21" i="1"/>
  <c r="BG20" i="1"/>
  <c r="BF20" i="1"/>
  <c r="BE20" i="1"/>
  <c r="BD20" i="1"/>
  <c r="BG19" i="1"/>
  <c r="BF19" i="1"/>
  <c r="BE19" i="1"/>
  <c r="BD19" i="1"/>
  <c r="BG18" i="1"/>
  <c r="BF18" i="1"/>
  <c r="BE18" i="1"/>
  <c r="BD18" i="1"/>
  <c r="BG17" i="1"/>
  <c r="BF17" i="1"/>
  <c r="BE17" i="1"/>
  <c r="BD17" i="1"/>
  <c r="BG16" i="1"/>
  <c r="BF16" i="1"/>
  <c r="BE16" i="1"/>
  <c r="BD16" i="1"/>
  <c r="BG15" i="1"/>
  <c r="BF15" i="1"/>
  <c r="BE15" i="1"/>
  <c r="BD15" i="1"/>
  <c r="BG14" i="1"/>
  <c r="BF14" i="1"/>
  <c r="BE14" i="1"/>
  <c r="BD14" i="1"/>
  <c r="BG13" i="1"/>
  <c r="BF13" i="1"/>
  <c r="BE13" i="1"/>
  <c r="BD13" i="1"/>
  <c r="BG12" i="1"/>
  <c r="BF12" i="1"/>
  <c r="BE12" i="1"/>
  <c r="BD12" i="1"/>
  <c r="BG10" i="1"/>
  <c r="BF10" i="1"/>
  <c r="BE10" i="1"/>
  <c r="BD10" i="1"/>
  <c r="BG9" i="1"/>
  <c r="BF9" i="1"/>
  <c r="BE9" i="1"/>
  <c r="BD9" i="1"/>
  <c r="BG11" i="1"/>
  <c r="BF11" i="1"/>
  <c r="BE11" i="1"/>
  <c r="BD11" i="1"/>
  <c r="BC539" i="1"/>
  <c r="BB539" i="1"/>
  <c r="BA539" i="1"/>
  <c r="AZ539" i="1"/>
  <c r="BC538" i="1"/>
  <c r="BB538" i="1"/>
  <c r="BA538" i="1"/>
  <c r="AZ538" i="1"/>
  <c r="BC537" i="1"/>
  <c r="BB537" i="1"/>
  <c r="BA537" i="1"/>
  <c r="AZ537" i="1"/>
  <c r="BC536" i="1"/>
  <c r="BB536" i="1"/>
  <c r="BA536" i="1"/>
  <c r="AZ536" i="1"/>
  <c r="BC535" i="1"/>
  <c r="BB535" i="1"/>
  <c r="BA535" i="1"/>
  <c r="AZ535" i="1"/>
  <c r="BC534" i="1"/>
  <c r="BB534" i="1"/>
  <c r="BA534" i="1"/>
  <c r="AZ534" i="1"/>
  <c r="BC533" i="1"/>
  <c r="BB533" i="1"/>
  <c r="BA533" i="1"/>
  <c r="AZ533" i="1"/>
  <c r="BC532" i="1"/>
  <c r="BB532" i="1"/>
  <c r="BA532" i="1"/>
  <c r="AZ532" i="1"/>
  <c r="BC531" i="1"/>
  <c r="BB531" i="1"/>
  <c r="BA531" i="1"/>
  <c r="AZ531" i="1"/>
  <c r="BC530" i="1"/>
  <c r="BB530" i="1"/>
  <c r="BA530" i="1"/>
  <c r="AZ530" i="1"/>
  <c r="BC529" i="1"/>
  <c r="BB529" i="1"/>
  <c r="BA529" i="1"/>
  <c r="AZ529" i="1"/>
  <c r="BC528" i="1"/>
  <c r="BB528" i="1"/>
  <c r="BA528" i="1"/>
  <c r="AZ528" i="1"/>
  <c r="BC527" i="1"/>
  <c r="BB527" i="1"/>
  <c r="BA527" i="1"/>
  <c r="AZ527" i="1"/>
  <c r="BC526" i="1"/>
  <c r="BB526" i="1"/>
  <c r="BA526" i="1"/>
  <c r="AZ526" i="1"/>
  <c r="BC525" i="1"/>
  <c r="BB525" i="1"/>
  <c r="BA525" i="1"/>
  <c r="AZ525" i="1"/>
  <c r="BC524" i="1"/>
  <c r="BB524" i="1"/>
  <c r="BA524" i="1"/>
  <c r="AZ524" i="1"/>
  <c r="BC523" i="1"/>
  <c r="BB523" i="1"/>
  <c r="BA523" i="1"/>
  <c r="AZ523" i="1"/>
  <c r="BC522" i="1"/>
  <c r="BB522" i="1"/>
  <c r="BA522" i="1"/>
  <c r="AZ522" i="1"/>
  <c r="BC521" i="1"/>
  <c r="BB521" i="1"/>
  <c r="BA521" i="1"/>
  <c r="AZ521" i="1"/>
  <c r="BC520" i="1"/>
  <c r="BB520" i="1"/>
  <c r="BA520" i="1"/>
  <c r="AZ520" i="1"/>
  <c r="BC519" i="1"/>
  <c r="BB519" i="1"/>
  <c r="BA519" i="1"/>
  <c r="AZ519" i="1"/>
  <c r="BC518" i="1"/>
  <c r="BB518" i="1"/>
  <c r="BA518" i="1"/>
  <c r="AZ518" i="1"/>
  <c r="BC517" i="1"/>
  <c r="BB517" i="1"/>
  <c r="BA517" i="1"/>
  <c r="AZ517" i="1"/>
  <c r="BC516" i="1"/>
  <c r="BB516" i="1"/>
  <c r="BA516" i="1"/>
  <c r="AZ516" i="1"/>
  <c r="BC515" i="1"/>
  <c r="BB515" i="1"/>
  <c r="BA515" i="1"/>
  <c r="AZ515" i="1"/>
  <c r="BC514" i="1"/>
  <c r="BB514" i="1"/>
  <c r="BA514" i="1"/>
  <c r="AZ514" i="1"/>
  <c r="BC513" i="1"/>
  <c r="BB513" i="1"/>
  <c r="BA513" i="1"/>
  <c r="AZ513" i="1"/>
  <c r="BC512" i="1"/>
  <c r="BB512" i="1"/>
  <c r="BA512" i="1"/>
  <c r="AZ512" i="1"/>
  <c r="BC511" i="1"/>
  <c r="BB511" i="1"/>
  <c r="BA511" i="1"/>
  <c r="AZ511" i="1"/>
  <c r="BC510" i="1"/>
  <c r="BB510" i="1"/>
  <c r="BA510" i="1"/>
  <c r="AZ510" i="1"/>
  <c r="BC509" i="1"/>
  <c r="BB509" i="1"/>
  <c r="BA509" i="1"/>
  <c r="AZ509" i="1"/>
  <c r="BC508" i="1"/>
  <c r="BB508" i="1"/>
  <c r="BA508" i="1"/>
  <c r="AZ508" i="1"/>
  <c r="BC507" i="1"/>
  <c r="BB507" i="1"/>
  <c r="BA507" i="1"/>
  <c r="AZ507" i="1"/>
  <c r="BC506" i="1"/>
  <c r="BB506" i="1"/>
  <c r="BA506" i="1"/>
  <c r="AZ506" i="1"/>
  <c r="BC505" i="1"/>
  <c r="BB505" i="1"/>
  <c r="BA505" i="1"/>
  <c r="AZ505" i="1"/>
  <c r="BC504" i="1"/>
  <c r="BB504" i="1"/>
  <c r="BA504" i="1"/>
  <c r="AZ504" i="1"/>
  <c r="BC503" i="1"/>
  <c r="BB503" i="1"/>
  <c r="BA503" i="1"/>
  <c r="AZ503" i="1"/>
  <c r="BC502" i="1"/>
  <c r="BB502" i="1"/>
  <c r="BA502" i="1"/>
  <c r="AZ502" i="1"/>
  <c r="BC501" i="1"/>
  <c r="BB501" i="1"/>
  <c r="BA501" i="1"/>
  <c r="AZ501" i="1"/>
  <c r="BC500" i="1"/>
  <c r="BB500" i="1"/>
  <c r="BA500" i="1"/>
  <c r="AZ500" i="1"/>
  <c r="BC499" i="1"/>
  <c r="BB499" i="1"/>
  <c r="BA499" i="1"/>
  <c r="AZ499" i="1"/>
  <c r="BC498" i="1"/>
  <c r="BB498" i="1"/>
  <c r="BA498" i="1"/>
  <c r="AZ498" i="1"/>
  <c r="BC497" i="1"/>
  <c r="BB497" i="1"/>
  <c r="BA497" i="1"/>
  <c r="AZ497" i="1"/>
  <c r="BC496" i="1"/>
  <c r="BB496" i="1"/>
  <c r="BA496" i="1"/>
  <c r="AZ496" i="1"/>
  <c r="BC495" i="1"/>
  <c r="BB495" i="1"/>
  <c r="BA495" i="1"/>
  <c r="AZ495" i="1"/>
  <c r="BC494" i="1"/>
  <c r="BB494" i="1"/>
  <c r="BA494" i="1"/>
  <c r="AZ494" i="1"/>
  <c r="BC493" i="1"/>
  <c r="BB493" i="1"/>
  <c r="BA493" i="1"/>
  <c r="AZ493" i="1"/>
  <c r="BC492" i="1"/>
  <c r="BB492" i="1"/>
  <c r="BA492" i="1"/>
  <c r="AZ492" i="1"/>
  <c r="BC491" i="1"/>
  <c r="BB491" i="1"/>
  <c r="BA491" i="1"/>
  <c r="AZ491" i="1"/>
  <c r="BC490" i="1"/>
  <c r="BB490" i="1"/>
  <c r="BA490" i="1"/>
  <c r="AZ490" i="1"/>
  <c r="BC489" i="1"/>
  <c r="BB489" i="1"/>
  <c r="BA489" i="1"/>
  <c r="AZ489" i="1"/>
  <c r="BC488" i="1"/>
  <c r="BB488" i="1"/>
  <c r="BA488" i="1"/>
  <c r="AZ488" i="1"/>
  <c r="BC487" i="1"/>
  <c r="BB487" i="1"/>
  <c r="BA487" i="1"/>
  <c r="AZ487" i="1"/>
  <c r="BC486" i="1"/>
  <c r="BB486" i="1"/>
  <c r="BA486" i="1"/>
  <c r="AZ486" i="1"/>
  <c r="BC485" i="1"/>
  <c r="BB485" i="1"/>
  <c r="BA485" i="1"/>
  <c r="AZ485" i="1"/>
  <c r="BC484" i="1"/>
  <c r="BB484" i="1"/>
  <c r="BA484" i="1"/>
  <c r="AZ484" i="1"/>
  <c r="BC483" i="1"/>
  <c r="BB483" i="1"/>
  <c r="BA483" i="1"/>
  <c r="AZ483" i="1"/>
  <c r="BC482" i="1"/>
  <c r="BB482" i="1"/>
  <c r="BA482" i="1"/>
  <c r="AZ482" i="1"/>
  <c r="BC481" i="1"/>
  <c r="BB481" i="1"/>
  <c r="BA481" i="1"/>
  <c r="AZ481" i="1"/>
  <c r="BC480" i="1"/>
  <c r="BB480" i="1"/>
  <c r="BA480" i="1"/>
  <c r="AZ480" i="1"/>
  <c r="BC479" i="1"/>
  <c r="BB479" i="1"/>
  <c r="BA479" i="1"/>
  <c r="AZ479" i="1"/>
  <c r="BC478" i="1"/>
  <c r="BB478" i="1"/>
  <c r="BA478" i="1"/>
  <c r="AZ478" i="1"/>
  <c r="BC477" i="1"/>
  <c r="BB477" i="1"/>
  <c r="BA477" i="1"/>
  <c r="AZ477" i="1"/>
  <c r="BC476" i="1"/>
  <c r="BB476" i="1"/>
  <c r="BA476" i="1"/>
  <c r="AZ476" i="1"/>
  <c r="BC475" i="1"/>
  <c r="BB475" i="1"/>
  <c r="BA475" i="1"/>
  <c r="AZ475" i="1"/>
  <c r="BC474" i="1"/>
  <c r="BB474" i="1"/>
  <c r="BA474" i="1"/>
  <c r="AZ474" i="1"/>
  <c r="BC473" i="1"/>
  <c r="BB473" i="1"/>
  <c r="BA473" i="1"/>
  <c r="AZ473" i="1"/>
  <c r="BC472" i="1"/>
  <c r="BB472" i="1"/>
  <c r="BA472" i="1"/>
  <c r="AZ472" i="1"/>
  <c r="BC471" i="1"/>
  <c r="BB471" i="1"/>
  <c r="BA471" i="1"/>
  <c r="AZ471" i="1"/>
  <c r="BC470" i="1"/>
  <c r="BB470" i="1"/>
  <c r="BA470" i="1"/>
  <c r="AZ470" i="1"/>
  <c r="BC469" i="1"/>
  <c r="BB469" i="1"/>
  <c r="BA469" i="1"/>
  <c r="AZ469" i="1"/>
  <c r="BC468" i="1"/>
  <c r="BB468" i="1"/>
  <c r="BA468" i="1"/>
  <c r="AZ468" i="1"/>
  <c r="BC467" i="1"/>
  <c r="BB467" i="1"/>
  <c r="BA467" i="1"/>
  <c r="AZ467" i="1"/>
  <c r="BC466" i="1"/>
  <c r="BB466" i="1"/>
  <c r="BA466" i="1"/>
  <c r="AZ466" i="1"/>
  <c r="BC465" i="1"/>
  <c r="BB465" i="1"/>
  <c r="BA465" i="1"/>
  <c r="AZ465" i="1"/>
  <c r="BC464" i="1"/>
  <c r="BB464" i="1"/>
  <c r="BA464" i="1"/>
  <c r="AZ464" i="1"/>
  <c r="BC463" i="1"/>
  <c r="BB463" i="1"/>
  <c r="BA463" i="1"/>
  <c r="AZ463" i="1"/>
  <c r="BC462" i="1"/>
  <c r="BB462" i="1"/>
  <c r="BA462" i="1"/>
  <c r="AZ462" i="1"/>
  <c r="BC461" i="1"/>
  <c r="BB461" i="1"/>
  <c r="BA461" i="1"/>
  <c r="AZ461" i="1"/>
  <c r="BC460" i="1"/>
  <c r="BB460" i="1"/>
  <c r="BA460" i="1"/>
  <c r="AZ460" i="1"/>
  <c r="BC459" i="1"/>
  <c r="BB459" i="1"/>
  <c r="BA459" i="1"/>
  <c r="AZ459" i="1"/>
  <c r="BC458" i="1"/>
  <c r="BB458" i="1"/>
  <c r="BA458" i="1"/>
  <c r="AZ458" i="1"/>
  <c r="BC457" i="1"/>
  <c r="BB457" i="1"/>
  <c r="BA457" i="1"/>
  <c r="AZ457" i="1"/>
  <c r="BC456" i="1"/>
  <c r="BB456" i="1"/>
  <c r="BA456" i="1"/>
  <c r="AZ456" i="1"/>
  <c r="BC455" i="1"/>
  <c r="BB455" i="1"/>
  <c r="BA455" i="1"/>
  <c r="AZ455" i="1"/>
  <c r="BC454" i="1"/>
  <c r="BB454" i="1"/>
  <c r="BA454" i="1"/>
  <c r="AZ454" i="1"/>
  <c r="BC453" i="1"/>
  <c r="BB453" i="1"/>
  <c r="BA453" i="1"/>
  <c r="AZ453" i="1"/>
  <c r="BC452" i="1"/>
  <c r="BB452" i="1"/>
  <c r="BA452" i="1"/>
  <c r="AZ452" i="1"/>
  <c r="BC451" i="1"/>
  <c r="BB451" i="1"/>
  <c r="BA451" i="1"/>
  <c r="AZ451" i="1"/>
  <c r="BC450" i="1"/>
  <c r="BB450" i="1"/>
  <c r="BA450" i="1"/>
  <c r="AZ450" i="1"/>
  <c r="BC449" i="1"/>
  <c r="BB449" i="1"/>
  <c r="BA449" i="1"/>
  <c r="AZ449" i="1"/>
  <c r="BC448" i="1"/>
  <c r="BB448" i="1"/>
  <c r="BA448" i="1"/>
  <c r="AZ448" i="1"/>
  <c r="BC447" i="1"/>
  <c r="BB447" i="1"/>
  <c r="BA447" i="1"/>
  <c r="AZ447" i="1"/>
  <c r="BC446" i="1"/>
  <c r="BB446" i="1"/>
  <c r="BA446" i="1"/>
  <c r="AZ446" i="1"/>
  <c r="BC445" i="1"/>
  <c r="BB445" i="1"/>
  <c r="BA445" i="1"/>
  <c r="AZ445" i="1"/>
  <c r="BC444" i="1"/>
  <c r="BB444" i="1"/>
  <c r="BA444" i="1"/>
  <c r="AZ444" i="1"/>
  <c r="BC443" i="1"/>
  <c r="BB443" i="1"/>
  <c r="BA443" i="1"/>
  <c r="AZ443" i="1"/>
  <c r="BC442" i="1"/>
  <c r="BB442" i="1"/>
  <c r="BA442" i="1"/>
  <c r="AZ442" i="1"/>
  <c r="BC441" i="1"/>
  <c r="BB441" i="1"/>
  <c r="BA441" i="1"/>
  <c r="AZ441" i="1"/>
  <c r="BC440" i="1"/>
  <c r="BB440" i="1"/>
  <c r="BA440" i="1"/>
  <c r="AZ440" i="1"/>
  <c r="BC439" i="1"/>
  <c r="BB439" i="1"/>
  <c r="BA439" i="1"/>
  <c r="AZ439" i="1"/>
  <c r="BC438" i="1"/>
  <c r="BB438" i="1"/>
  <c r="BA438" i="1"/>
  <c r="AZ438" i="1"/>
  <c r="BC437" i="1"/>
  <c r="BB437" i="1"/>
  <c r="BA437" i="1"/>
  <c r="AZ437" i="1"/>
  <c r="BC436" i="1"/>
  <c r="BB436" i="1"/>
  <c r="BA436" i="1"/>
  <c r="AZ436" i="1"/>
  <c r="BC435" i="1"/>
  <c r="BB435" i="1"/>
  <c r="BA435" i="1"/>
  <c r="AZ435" i="1"/>
  <c r="BC434" i="1"/>
  <c r="BB434" i="1"/>
  <c r="BA434" i="1"/>
  <c r="AZ434" i="1"/>
  <c r="BC433" i="1"/>
  <c r="BB433" i="1"/>
  <c r="BA433" i="1"/>
  <c r="AZ433" i="1"/>
  <c r="BC432" i="1"/>
  <c r="BB432" i="1"/>
  <c r="BA432" i="1"/>
  <c r="AZ432" i="1"/>
  <c r="BC431" i="1"/>
  <c r="BB431" i="1"/>
  <c r="BA431" i="1"/>
  <c r="AZ431" i="1"/>
  <c r="BC430" i="1"/>
  <c r="BB430" i="1"/>
  <c r="BA430" i="1"/>
  <c r="AZ430" i="1"/>
  <c r="BC429" i="1"/>
  <c r="BB429" i="1"/>
  <c r="BA429" i="1"/>
  <c r="AZ429" i="1"/>
  <c r="BC428" i="1"/>
  <c r="BB428" i="1"/>
  <c r="BA428" i="1"/>
  <c r="AZ428" i="1"/>
  <c r="BC427" i="1"/>
  <c r="BB427" i="1"/>
  <c r="BA427" i="1"/>
  <c r="AZ427" i="1"/>
  <c r="BC426" i="1"/>
  <c r="BB426" i="1"/>
  <c r="BA426" i="1"/>
  <c r="AZ426" i="1"/>
  <c r="BC425" i="1"/>
  <c r="BB425" i="1"/>
  <c r="BA425" i="1"/>
  <c r="AZ425" i="1"/>
  <c r="BC423" i="1"/>
  <c r="BB423" i="1"/>
  <c r="BA423" i="1"/>
  <c r="AZ423" i="1"/>
  <c r="BC422" i="1"/>
  <c r="BB422" i="1"/>
  <c r="BA422" i="1"/>
  <c r="AZ422" i="1"/>
  <c r="BC421" i="1"/>
  <c r="BB421" i="1"/>
  <c r="BA421" i="1"/>
  <c r="AZ421" i="1"/>
  <c r="BC420" i="1"/>
  <c r="BB420" i="1"/>
  <c r="BA420" i="1"/>
  <c r="AZ420" i="1"/>
  <c r="BC419" i="1"/>
  <c r="BB419" i="1"/>
  <c r="BA419" i="1"/>
  <c r="AZ419" i="1"/>
  <c r="BC418" i="1"/>
  <c r="BB418" i="1"/>
  <c r="BA418" i="1"/>
  <c r="AZ418" i="1"/>
  <c r="BC417" i="1"/>
  <c r="BB417" i="1"/>
  <c r="BA417" i="1"/>
  <c r="AZ417" i="1"/>
  <c r="BC416" i="1"/>
  <c r="BB416" i="1"/>
  <c r="BA416" i="1"/>
  <c r="AZ416" i="1"/>
  <c r="BC415" i="1"/>
  <c r="BB415" i="1"/>
  <c r="BA415" i="1"/>
  <c r="AZ415" i="1"/>
  <c r="BC414" i="1"/>
  <c r="BB414" i="1"/>
  <c r="BA414" i="1"/>
  <c r="AZ414" i="1"/>
  <c r="BC413" i="1"/>
  <c r="BB413" i="1"/>
  <c r="BA413" i="1"/>
  <c r="AZ413" i="1"/>
  <c r="BC411" i="1"/>
  <c r="BB411" i="1"/>
  <c r="BA411" i="1"/>
  <c r="AZ411" i="1"/>
  <c r="BC410" i="1"/>
  <c r="BB410" i="1"/>
  <c r="BA410" i="1"/>
  <c r="AZ410" i="1"/>
  <c r="BC409" i="1"/>
  <c r="BB409" i="1"/>
  <c r="BA409" i="1"/>
  <c r="AZ409" i="1"/>
  <c r="BC408" i="1"/>
  <c r="BB408" i="1"/>
  <c r="BA408" i="1"/>
  <c r="AZ408" i="1"/>
  <c r="BC407" i="1"/>
  <c r="BB407" i="1"/>
  <c r="BA407" i="1"/>
  <c r="AZ407" i="1"/>
  <c r="BC406" i="1"/>
  <c r="BB406" i="1"/>
  <c r="BA406" i="1"/>
  <c r="AZ406" i="1"/>
  <c r="BC405" i="1"/>
  <c r="BB405" i="1"/>
  <c r="BA405" i="1"/>
  <c r="AZ405" i="1"/>
  <c r="BC404" i="1"/>
  <c r="BB404" i="1"/>
  <c r="BA404" i="1"/>
  <c r="AZ404" i="1"/>
  <c r="BC403" i="1"/>
  <c r="BB403" i="1"/>
  <c r="BA403" i="1"/>
  <c r="AZ403" i="1"/>
  <c r="BC402" i="1"/>
  <c r="BB402" i="1"/>
  <c r="BA402" i="1"/>
  <c r="AZ402" i="1"/>
  <c r="BC401" i="1"/>
  <c r="BB401" i="1"/>
  <c r="BA401" i="1"/>
  <c r="AZ401" i="1"/>
  <c r="BC400" i="1"/>
  <c r="BB400" i="1"/>
  <c r="BA400" i="1"/>
  <c r="AZ400" i="1"/>
  <c r="BC399" i="1"/>
  <c r="BB399" i="1"/>
  <c r="BA399" i="1"/>
  <c r="AZ399" i="1"/>
  <c r="BC398" i="1"/>
  <c r="BB398" i="1"/>
  <c r="BA398" i="1"/>
  <c r="AZ398" i="1"/>
  <c r="BC397" i="1"/>
  <c r="BB397" i="1"/>
  <c r="BA397" i="1"/>
  <c r="AZ397" i="1"/>
  <c r="BC396" i="1"/>
  <c r="BB396" i="1"/>
  <c r="BA396" i="1"/>
  <c r="AZ396" i="1"/>
  <c r="BC395" i="1"/>
  <c r="BB395" i="1"/>
  <c r="BA395" i="1"/>
  <c r="AZ395" i="1"/>
  <c r="BC394" i="1"/>
  <c r="BB394" i="1"/>
  <c r="BA394" i="1"/>
  <c r="AZ394" i="1"/>
  <c r="BC393" i="1"/>
  <c r="BB393" i="1"/>
  <c r="BA393" i="1"/>
  <c r="AZ393" i="1"/>
  <c r="BC392" i="1"/>
  <c r="BB392" i="1"/>
  <c r="BA392" i="1"/>
  <c r="AZ392" i="1"/>
  <c r="BC391" i="1"/>
  <c r="BB391" i="1"/>
  <c r="BA391" i="1"/>
  <c r="AZ391" i="1"/>
  <c r="BC390" i="1"/>
  <c r="BB390" i="1"/>
  <c r="BA390" i="1"/>
  <c r="AZ390" i="1"/>
  <c r="BC389" i="1"/>
  <c r="BB389" i="1"/>
  <c r="BA389" i="1"/>
  <c r="AZ389" i="1"/>
  <c r="BC388" i="1"/>
  <c r="BB388" i="1"/>
  <c r="BA388" i="1"/>
  <c r="AZ388" i="1"/>
  <c r="BC387" i="1"/>
  <c r="BB387" i="1"/>
  <c r="BA387" i="1"/>
  <c r="AZ387" i="1"/>
  <c r="BC386" i="1"/>
  <c r="BB386" i="1"/>
  <c r="BA386" i="1"/>
  <c r="AZ386" i="1"/>
  <c r="BC385" i="1"/>
  <c r="BB385" i="1"/>
  <c r="BA385" i="1"/>
  <c r="AZ385" i="1"/>
  <c r="BC384" i="1"/>
  <c r="BB384" i="1"/>
  <c r="BA384" i="1"/>
  <c r="AZ384" i="1"/>
  <c r="BC383" i="1"/>
  <c r="BB383" i="1"/>
  <c r="BA383" i="1"/>
  <c r="AZ383" i="1"/>
  <c r="BC382" i="1"/>
  <c r="BB382" i="1"/>
  <c r="BA382" i="1"/>
  <c r="AZ382" i="1"/>
  <c r="BC381" i="1"/>
  <c r="BB381" i="1"/>
  <c r="BA381" i="1"/>
  <c r="AZ381" i="1"/>
  <c r="BC380" i="1"/>
  <c r="BB380" i="1"/>
  <c r="BA380" i="1"/>
  <c r="AZ380" i="1"/>
  <c r="BC379" i="1"/>
  <c r="BB379" i="1"/>
  <c r="BA379" i="1"/>
  <c r="AZ379" i="1"/>
  <c r="BC378" i="1"/>
  <c r="BB378" i="1"/>
  <c r="BA378" i="1"/>
  <c r="AZ378" i="1"/>
  <c r="BC377" i="1"/>
  <c r="BB377" i="1"/>
  <c r="BA377" i="1"/>
  <c r="AZ377" i="1"/>
  <c r="BC376" i="1"/>
  <c r="BB376" i="1"/>
  <c r="BA376" i="1"/>
  <c r="AZ376" i="1"/>
  <c r="BC375" i="1"/>
  <c r="BB375" i="1"/>
  <c r="BA375" i="1"/>
  <c r="AZ375" i="1"/>
  <c r="BC374" i="1"/>
  <c r="BB374" i="1"/>
  <c r="BA374" i="1"/>
  <c r="AZ374" i="1"/>
  <c r="BC373" i="1"/>
  <c r="BB373" i="1"/>
  <c r="BA373" i="1"/>
  <c r="AZ373" i="1"/>
  <c r="BC372" i="1"/>
  <c r="BB372" i="1"/>
  <c r="BA372" i="1"/>
  <c r="AZ372" i="1"/>
  <c r="BC371" i="1"/>
  <c r="BB371" i="1"/>
  <c r="BA371" i="1"/>
  <c r="AZ371" i="1"/>
  <c r="BC370" i="1"/>
  <c r="BB370" i="1"/>
  <c r="BA370" i="1"/>
  <c r="AZ370" i="1"/>
  <c r="BC369" i="1"/>
  <c r="BB369" i="1"/>
  <c r="BA369" i="1"/>
  <c r="AZ369" i="1"/>
  <c r="BC368" i="1"/>
  <c r="BB368" i="1"/>
  <c r="BA368" i="1"/>
  <c r="AZ368" i="1"/>
  <c r="BC367" i="1"/>
  <c r="BB367" i="1"/>
  <c r="BA367" i="1"/>
  <c r="AZ367" i="1"/>
  <c r="BC366" i="1"/>
  <c r="BB366" i="1"/>
  <c r="BA366" i="1"/>
  <c r="AZ366" i="1"/>
  <c r="BC365" i="1"/>
  <c r="BB365" i="1"/>
  <c r="BA365" i="1"/>
  <c r="AZ365" i="1"/>
  <c r="BC364" i="1"/>
  <c r="BB364" i="1"/>
  <c r="BA364" i="1"/>
  <c r="AZ364" i="1"/>
  <c r="BC363" i="1"/>
  <c r="BB363" i="1"/>
  <c r="BA363" i="1"/>
  <c r="AZ363" i="1"/>
  <c r="BC362" i="1"/>
  <c r="BB362" i="1"/>
  <c r="BA362" i="1"/>
  <c r="AZ362" i="1"/>
  <c r="BC361" i="1"/>
  <c r="BB361" i="1"/>
  <c r="BA361" i="1"/>
  <c r="AZ361" i="1"/>
  <c r="BC360" i="1"/>
  <c r="BB360" i="1"/>
  <c r="BA360" i="1"/>
  <c r="AZ360" i="1"/>
  <c r="BC359" i="1"/>
  <c r="BB359" i="1"/>
  <c r="BA359" i="1"/>
  <c r="AZ359" i="1"/>
  <c r="BC358" i="1"/>
  <c r="BB358" i="1"/>
  <c r="BA358" i="1"/>
  <c r="AZ358" i="1"/>
  <c r="BC357" i="1"/>
  <c r="BB357" i="1"/>
  <c r="BA357" i="1"/>
  <c r="AZ357" i="1"/>
  <c r="BC356" i="1"/>
  <c r="BB356" i="1"/>
  <c r="BA356" i="1"/>
  <c r="AZ356" i="1"/>
  <c r="BC355" i="1"/>
  <c r="BB355" i="1"/>
  <c r="BA355" i="1"/>
  <c r="AZ355" i="1"/>
  <c r="BC354" i="1"/>
  <c r="BB354" i="1"/>
  <c r="BA354" i="1"/>
  <c r="AZ354" i="1"/>
  <c r="BC353" i="1"/>
  <c r="BB353" i="1"/>
  <c r="BA353" i="1"/>
  <c r="AZ353" i="1"/>
  <c r="BC352" i="1"/>
  <c r="BB352" i="1"/>
  <c r="BA352" i="1"/>
  <c r="AZ352" i="1"/>
  <c r="BC351" i="1"/>
  <c r="BB351" i="1"/>
  <c r="BA351" i="1"/>
  <c r="AZ351" i="1"/>
  <c r="BC350" i="1"/>
  <c r="BB350" i="1"/>
  <c r="BA350" i="1"/>
  <c r="AZ350" i="1"/>
  <c r="BC349" i="1"/>
  <c r="BB349" i="1"/>
  <c r="BA349" i="1"/>
  <c r="AZ349" i="1"/>
  <c r="BC348" i="1"/>
  <c r="BB348" i="1"/>
  <c r="BA348" i="1"/>
  <c r="AZ348" i="1"/>
  <c r="BC347" i="1"/>
  <c r="BB347" i="1"/>
  <c r="BA347" i="1"/>
  <c r="AZ347" i="1"/>
  <c r="BC345" i="1"/>
  <c r="BB345" i="1"/>
  <c r="BA345" i="1"/>
  <c r="AZ345" i="1"/>
  <c r="BC346" i="1"/>
  <c r="BB346" i="1"/>
  <c r="BA346" i="1"/>
  <c r="AZ346" i="1"/>
  <c r="BC344" i="1"/>
  <c r="BB344" i="1"/>
  <c r="BA344" i="1"/>
  <c r="AZ344" i="1"/>
  <c r="BC343" i="1"/>
  <c r="BB343" i="1"/>
  <c r="BA343" i="1"/>
  <c r="AZ343" i="1"/>
  <c r="BC342" i="1"/>
  <c r="BB342" i="1"/>
  <c r="BA342" i="1"/>
  <c r="AZ342" i="1"/>
  <c r="BC340" i="1"/>
  <c r="BB340" i="1"/>
  <c r="BA340" i="1"/>
  <c r="AZ340" i="1"/>
  <c r="BC341" i="1"/>
  <c r="BB341" i="1"/>
  <c r="BA341" i="1"/>
  <c r="AZ341" i="1"/>
  <c r="BC339" i="1"/>
  <c r="BB339" i="1"/>
  <c r="BA339" i="1"/>
  <c r="AZ339" i="1"/>
  <c r="BC338" i="1"/>
  <c r="BB338" i="1"/>
  <c r="BA338" i="1"/>
  <c r="AZ338" i="1"/>
  <c r="BC337" i="1"/>
  <c r="BB337" i="1"/>
  <c r="BA337" i="1"/>
  <c r="AZ337" i="1"/>
  <c r="BC336" i="1"/>
  <c r="BB336" i="1"/>
  <c r="BA336" i="1"/>
  <c r="AZ336" i="1"/>
  <c r="BC335" i="1"/>
  <c r="BB335" i="1"/>
  <c r="BA335" i="1"/>
  <c r="AZ335" i="1"/>
  <c r="BC334" i="1"/>
  <c r="BB334" i="1"/>
  <c r="BA334" i="1"/>
  <c r="AZ334" i="1"/>
  <c r="BC333" i="1"/>
  <c r="BB333" i="1"/>
  <c r="BA333" i="1"/>
  <c r="AZ333" i="1"/>
  <c r="BC332" i="1"/>
  <c r="BB332" i="1"/>
  <c r="BA332" i="1"/>
  <c r="AZ332" i="1"/>
  <c r="BC331" i="1"/>
  <c r="BB331" i="1"/>
  <c r="BA331" i="1"/>
  <c r="AZ331" i="1"/>
  <c r="BC330" i="1"/>
  <c r="BB330" i="1"/>
  <c r="BA330" i="1"/>
  <c r="AZ330" i="1"/>
  <c r="BC329" i="1"/>
  <c r="BB329" i="1"/>
  <c r="BA329" i="1"/>
  <c r="AZ329" i="1"/>
  <c r="BC328" i="1"/>
  <c r="BB328" i="1"/>
  <c r="BA328" i="1"/>
  <c r="AZ328" i="1"/>
  <c r="BC327" i="1"/>
  <c r="BB327" i="1"/>
  <c r="BA327" i="1"/>
  <c r="AZ327" i="1"/>
  <c r="BC326" i="1"/>
  <c r="BB326" i="1"/>
  <c r="BA326" i="1"/>
  <c r="AZ326" i="1"/>
  <c r="BC325" i="1"/>
  <c r="BB325" i="1"/>
  <c r="BA325" i="1"/>
  <c r="AZ325" i="1"/>
  <c r="BC324" i="1"/>
  <c r="BB324" i="1"/>
  <c r="BA324" i="1"/>
  <c r="AZ324" i="1"/>
  <c r="BC323" i="1"/>
  <c r="BB323" i="1"/>
  <c r="BA323" i="1"/>
  <c r="AZ323" i="1"/>
  <c r="BC322" i="1"/>
  <c r="BB322" i="1"/>
  <c r="BA322" i="1"/>
  <c r="AZ322" i="1"/>
  <c r="BC321" i="1"/>
  <c r="BB321" i="1"/>
  <c r="BA321" i="1"/>
  <c r="AZ321" i="1"/>
  <c r="BC320" i="1"/>
  <c r="BB320" i="1"/>
  <c r="BA320" i="1"/>
  <c r="AZ320" i="1"/>
  <c r="BC319" i="1"/>
  <c r="BB319" i="1"/>
  <c r="BA319" i="1"/>
  <c r="AZ319" i="1"/>
  <c r="BC318" i="1"/>
  <c r="BB318" i="1"/>
  <c r="BA318" i="1"/>
  <c r="AZ318" i="1"/>
  <c r="BC317" i="1"/>
  <c r="BB317" i="1"/>
  <c r="BA317" i="1"/>
  <c r="AZ317" i="1"/>
  <c r="BC316" i="1"/>
  <c r="BB316" i="1"/>
  <c r="BA316" i="1"/>
  <c r="AZ316" i="1"/>
  <c r="BC315" i="1"/>
  <c r="BB315" i="1"/>
  <c r="BA315" i="1"/>
  <c r="AZ315" i="1"/>
  <c r="BC314" i="1"/>
  <c r="BB314" i="1"/>
  <c r="BA314" i="1"/>
  <c r="AZ314" i="1"/>
  <c r="BC313" i="1"/>
  <c r="BB313" i="1"/>
  <c r="BA313" i="1"/>
  <c r="AZ313" i="1"/>
  <c r="BC312" i="1"/>
  <c r="BB312" i="1"/>
  <c r="BA312" i="1"/>
  <c r="AZ312" i="1"/>
  <c r="BC311" i="1"/>
  <c r="BB311" i="1"/>
  <c r="BA311" i="1"/>
  <c r="AZ311" i="1"/>
  <c r="BC310" i="1"/>
  <c r="BB310" i="1"/>
  <c r="BA310" i="1"/>
  <c r="AZ310" i="1"/>
  <c r="BC309" i="1"/>
  <c r="BB309" i="1"/>
  <c r="BA309" i="1"/>
  <c r="AZ309" i="1"/>
  <c r="BC308" i="1"/>
  <c r="BB308" i="1"/>
  <c r="BA308" i="1"/>
  <c r="AZ308" i="1"/>
  <c r="BC307" i="1"/>
  <c r="BB307" i="1"/>
  <c r="BA307" i="1"/>
  <c r="AZ307" i="1"/>
  <c r="BC306" i="1"/>
  <c r="BB306" i="1"/>
  <c r="BA306" i="1"/>
  <c r="AZ306" i="1"/>
  <c r="BC305" i="1"/>
  <c r="BB305" i="1"/>
  <c r="BA305" i="1"/>
  <c r="AZ305" i="1"/>
  <c r="BC304" i="1"/>
  <c r="BB304" i="1"/>
  <c r="BA304" i="1"/>
  <c r="AZ304" i="1"/>
  <c r="BC303" i="1"/>
  <c r="BB303" i="1"/>
  <c r="BA303" i="1"/>
  <c r="AZ303" i="1"/>
  <c r="BC302" i="1"/>
  <c r="BB302" i="1"/>
  <c r="BA302" i="1"/>
  <c r="AZ302" i="1"/>
  <c r="BC301" i="1"/>
  <c r="BB301" i="1"/>
  <c r="BA301" i="1"/>
  <c r="AZ301" i="1"/>
  <c r="BC300" i="1"/>
  <c r="BB300" i="1"/>
  <c r="BA300" i="1"/>
  <c r="AZ300" i="1"/>
  <c r="BC299" i="1"/>
  <c r="BB299" i="1"/>
  <c r="BA299" i="1"/>
  <c r="AZ299" i="1"/>
  <c r="BC298" i="1"/>
  <c r="BB298" i="1"/>
  <c r="BA298" i="1"/>
  <c r="AZ298" i="1"/>
  <c r="BC297" i="1"/>
  <c r="BB297" i="1"/>
  <c r="BA297" i="1"/>
  <c r="AZ297" i="1"/>
  <c r="BC296" i="1"/>
  <c r="BB296" i="1"/>
  <c r="BA296" i="1"/>
  <c r="AZ296" i="1"/>
  <c r="BC295" i="1"/>
  <c r="BB295" i="1"/>
  <c r="BA295" i="1"/>
  <c r="AZ295" i="1"/>
  <c r="BC294" i="1"/>
  <c r="BB294" i="1"/>
  <c r="BA294" i="1"/>
  <c r="AZ294" i="1"/>
  <c r="BC293" i="1"/>
  <c r="BB293" i="1"/>
  <c r="BA293" i="1"/>
  <c r="AZ293" i="1"/>
  <c r="BC292" i="1"/>
  <c r="BB292" i="1"/>
  <c r="BA292" i="1"/>
  <c r="AZ292" i="1"/>
  <c r="BC291" i="1"/>
  <c r="BB291" i="1"/>
  <c r="BA291" i="1"/>
  <c r="AZ291" i="1"/>
  <c r="BC290" i="1"/>
  <c r="BB290" i="1"/>
  <c r="BA290" i="1"/>
  <c r="AZ290" i="1"/>
  <c r="BC289" i="1"/>
  <c r="BB289" i="1"/>
  <c r="BA289" i="1"/>
  <c r="AZ289" i="1"/>
  <c r="BC288" i="1"/>
  <c r="BB288" i="1"/>
  <c r="BA288" i="1"/>
  <c r="AZ288" i="1"/>
  <c r="BC287" i="1"/>
  <c r="BB287" i="1"/>
  <c r="BA287" i="1"/>
  <c r="AZ287" i="1"/>
  <c r="BC286" i="1"/>
  <c r="BB286" i="1"/>
  <c r="BA286" i="1"/>
  <c r="AZ286" i="1"/>
  <c r="BC285" i="1"/>
  <c r="BB285" i="1"/>
  <c r="BA285" i="1"/>
  <c r="AZ285" i="1"/>
  <c r="BC284" i="1"/>
  <c r="BB284" i="1"/>
  <c r="BA284" i="1"/>
  <c r="AZ284" i="1"/>
  <c r="BC283" i="1"/>
  <c r="BB283" i="1"/>
  <c r="BA283" i="1"/>
  <c r="AZ283" i="1"/>
  <c r="BC282" i="1"/>
  <c r="BB282" i="1"/>
  <c r="BA282" i="1"/>
  <c r="AZ282" i="1"/>
  <c r="BC281" i="1"/>
  <c r="BB281" i="1"/>
  <c r="BA281" i="1"/>
  <c r="AZ281" i="1"/>
  <c r="BC280" i="1"/>
  <c r="BB280" i="1"/>
  <c r="BA280" i="1"/>
  <c r="AZ280" i="1"/>
  <c r="BC279" i="1"/>
  <c r="BB279" i="1"/>
  <c r="BA279" i="1"/>
  <c r="AZ279" i="1"/>
  <c r="BC278" i="1"/>
  <c r="BB278" i="1"/>
  <c r="BA278" i="1"/>
  <c r="AZ278" i="1"/>
  <c r="BC277" i="1"/>
  <c r="BB277" i="1"/>
  <c r="BA277" i="1"/>
  <c r="AZ277" i="1"/>
  <c r="BC276" i="1"/>
  <c r="BB276" i="1"/>
  <c r="BA276" i="1"/>
  <c r="AZ276" i="1"/>
  <c r="BC275" i="1"/>
  <c r="BB275" i="1"/>
  <c r="BA275" i="1"/>
  <c r="AZ275" i="1"/>
  <c r="BC274" i="1"/>
  <c r="BB274" i="1"/>
  <c r="BA274" i="1"/>
  <c r="AZ274" i="1"/>
  <c r="BC273" i="1"/>
  <c r="BB273" i="1"/>
  <c r="BA273" i="1"/>
  <c r="AZ273" i="1"/>
  <c r="BC272" i="1"/>
  <c r="BB272" i="1"/>
  <c r="BA272" i="1"/>
  <c r="AZ272" i="1"/>
  <c r="BC271" i="1"/>
  <c r="BB271" i="1"/>
  <c r="BA271" i="1"/>
  <c r="AZ271" i="1"/>
  <c r="BC270" i="1"/>
  <c r="BB270" i="1"/>
  <c r="BA270" i="1"/>
  <c r="AZ270" i="1"/>
  <c r="BC269" i="1"/>
  <c r="BB269" i="1"/>
  <c r="BA269" i="1"/>
  <c r="AZ269" i="1"/>
  <c r="BC268" i="1"/>
  <c r="BB268" i="1"/>
  <c r="BA268" i="1"/>
  <c r="AZ268" i="1"/>
  <c r="BC267" i="1"/>
  <c r="BB267" i="1"/>
  <c r="BA267" i="1"/>
  <c r="AZ267" i="1"/>
  <c r="BC266" i="1"/>
  <c r="BB266" i="1"/>
  <c r="BA266" i="1"/>
  <c r="AZ266" i="1"/>
  <c r="BC265" i="1"/>
  <c r="BB265" i="1"/>
  <c r="BA265" i="1"/>
  <c r="AZ265" i="1"/>
  <c r="BC264" i="1"/>
  <c r="BB264" i="1"/>
  <c r="BA264" i="1"/>
  <c r="AZ264" i="1"/>
  <c r="BC263" i="1"/>
  <c r="BB263" i="1"/>
  <c r="BA263" i="1"/>
  <c r="AZ263" i="1"/>
  <c r="BC262" i="1"/>
  <c r="BB262" i="1"/>
  <c r="BA262" i="1"/>
  <c r="AZ262" i="1"/>
  <c r="BC261" i="1"/>
  <c r="BB261" i="1"/>
  <c r="BA261" i="1"/>
  <c r="AZ261" i="1"/>
  <c r="BC260" i="1"/>
  <c r="BB260" i="1"/>
  <c r="BA260" i="1"/>
  <c r="AZ260" i="1"/>
  <c r="BC259" i="1"/>
  <c r="BB259" i="1"/>
  <c r="BA259" i="1"/>
  <c r="AZ259" i="1"/>
  <c r="BC258" i="1"/>
  <c r="BB258" i="1"/>
  <c r="BA258" i="1"/>
  <c r="AZ258" i="1"/>
  <c r="BC257" i="1"/>
  <c r="BB257" i="1"/>
  <c r="BA257" i="1"/>
  <c r="AZ257" i="1"/>
  <c r="BC256" i="1"/>
  <c r="BB256" i="1"/>
  <c r="BA256" i="1"/>
  <c r="AZ256" i="1"/>
  <c r="BC255" i="1"/>
  <c r="BB255" i="1"/>
  <c r="BA255" i="1"/>
  <c r="AZ255" i="1"/>
  <c r="BC254" i="1"/>
  <c r="BB254" i="1"/>
  <c r="BA254" i="1"/>
  <c r="AZ254" i="1"/>
  <c r="BC253" i="1"/>
  <c r="BB253" i="1"/>
  <c r="BA253" i="1"/>
  <c r="AZ253" i="1"/>
  <c r="BC252" i="1"/>
  <c r="BB252" i="1"/>
  <c r="BA252" i="1"/>
  <c r="AZ252" i="1"/>
  <c r="BC251" i="1"/>
  <c r="BB251" i="1"/>
  <c r="BA251" i="1"/>
  <c r="AZ251" i="1"/>
  <c r="BC250" i="1"/>
  <c r="BB250" i="1"/>
  <c r="BA250" i="1"/>
  <c r="AZ250" i="1"/>
  <c r="BC248" i="1"/>
  <c r="BB248" i="1"/>
  <c r="BA248" i="1"/>
  <c r="AZ248" i="1"/>
  <c r="BC249" i="1"/>
  <c r="BB249" i="1"/>
  <c r="BA249" i="1"/>
  <c r="AZ249" i="1"/>
  <c r="BC247" i="1"/>
  <c r="BB247" i="1"/>
  <c r="BA247" i="1"/>
  <c r="AZ247" i="1"/>
  <c r="BC246" i="1"/>
  <c r="BB246" i="1"/>
  <c r="BA246" i="1"/>
  <c r="AZ246" i="1"/>
  <c r="BC245" i="1"/>
  <c r="BB245" i="1"/>
  <c r="BA245" i="1"/>
  <c r="AZ245" i="1"/>
  <c r="BC244" i="1"/>
  <c r="BB244" i="1"/>
  <c r="BA244" i="1"/>
  <c r="AZ244" i="1"/>
  <c r="BC243" i="1"/>
  <c r="BB243" i="1"/>
  <c r="BA243" i="1"/>
  <c r="AZ243" i="1"/>
  <c r="BC242" i="1"/>
  <c r="BB242" i="1"/>
  <c r="BA242" i="1"/>
  <c r="AZ242" i="1"/>
  <c r="BC241" i="1"/>
  <c r="BB241" i="1"/>
  <c r="BA241" i="1"/>
  <c r="AZ241" i="1"/>
  <c r="BC240" i="1"/>
  <c r="BB240" i="1"/>
  <c r="BA240" i="1"/>
  <c r="AZ240" i="1"/>
  <c r="BC239" i="1"/>
  <c r="BB239" i="1"/>
  <c r="BA239" i="1"/>
  <c r="AZ239" i="1"/>
  <c r="BC238" i="1"/>
  <c r="BB238" i="1"/>
  <c r="BA238" i="1"/>
  <c r="AZ238" i="1"/>
  <c r="BC237" i="1"/>
  <c r="BB237" i="1"/>
  <c r="BA237" i="1"/>
  <c r="AZ237" i="1"/>
  <c r="BC236" i="1"/>
  <c r="BB236" i="1"/>
  <c r="BA236" i="1"/>
  <c r="AZ236" i="1"/>
  <c r="BC235" i="1"/>
  <c r="BB235" i="1"/>
  <c r="BA235" i="1"/>
  <c r="AZ235" i="1"/>
  <c r="BC234" i="1"/>
  <c r="BB234" i="1"/>
  <c r="BA234" i="1"/>
  <c r="AZ234" i="1"/>
  <c r="BC233" i="1"/>
  <c r="BB233" i="1"/>
  <c r="BA233" i="1"/>
  <c r="AZ233" i="1"/>
  <c r="BC232" i="1"/>
  <c r="BB232" i="1"/>
  <c r="BA232" i="1"/>
  <c r="AZ232" i="1"/>
  <c r="BC231" i="1"/>
  <c r="BB231" i="1"/>
  <c r="BA231" i="1"/>
  <c r="AZ231" i="1"/>
  <c r="BC230" i="1"/>
  <c r="BB230" i="1"/>
  <c r="BA230" i="1"/>
  <c r="AZ230" i="1"/>
  <c r="BC229" i="1"/>
  <c r="BB229" i="1"/>
  <c r="BA229" i="1"/>
  <c r="AZ229" i="1"/>
  <c r="BC228" i="1"/>
  <c r="BB228" i="1"/>
  <c r="BA228" i="1"/>
  <c r="AZ228" i="1"/>
  <c r="BC227" i="1"/>
  <c r="BB227" i="1"/>
  <c r="BA227" i="1"/>
  <c r="AZ227" i="1"/>
  <c r="BC226" i="1"/>
  <c r="BB226" i="1"/>
  <c r="BA226" i="1"/>
  <c r="AZ226" i="1"/>
  <c r="BC225" i="1"/>
  <c r="BB225" i="1"/>
  <c r="BA225" i="1"/>
  <c r="AZ225" i="1"/>
  <c r="BC224" i="1"/>
  <c r="BB224" i="1"/>
  <c r="BA224" i="1"/>
  <c r="AZ224" i="1"/>
  <c r="BC223" i="1"/>
  <c r="BB223" i="1"/>
  <c r="BA223" i="1"/>
  <c r="AZ223" i="1"/>
  <c r="BC222" i="1"/>
  <c r="BB222" i="1"/>
  <c r="BA222" i="1"/>
  <c r="AZ222" i="1"/>
  <c r="BC221" i="1"/>
  <c r="BB221" i="1"/>
  <c r="BA221" i="1"/>
  <c r="AZ221" i="1"/>
  <c r="BC220" i="1"/>
  <c r="BB220" i="1"/>
  <c r="BA220" i="1"/>
  <c r="AZ220" i="1"/>
  <c r="BC219" i="1"/>
  <c r="BB219" i="1"/>
  <c r="BA219" i="1"/>
  <c r="AZ219" i="1"/>
  <c r="BC218" i="1"/>
  <c r="BB218" i="1"/>
  <c r="BA218" i="1"/>
  <c r="AZ218" i="1"/>
  <c r="BC217" i="1"/>
  <c r="BB217" i="1"/>
  <c r="BA217" i="1"/>
  <c r="AZ217" i="1"/>
  <c r="BC216" i="1"/>
  <c r="BB216" i="1"/>
  <c r="BA216" i="1"/>
  <c r="AZ216" i="1"/>
  <c r="BC215" i="1"/>
  <c r="BB215" i="1"/>
  <c r="BA215" i="1"/>
  <c r="AZ215" i="1"/>
  <c r="BC214" i="1"/>
  <c r="BB214" i="1"/>
  <c r="BA214" i="1"/>
  <c r="AZ214" i="1"/>
  <c r="BC213" i="1"/>
  <c r="BB213" i="1"/>
  <c r="BA213" i="1"/>
  <c r="AZ213" i="1"/>
  <c r="BC212" i="1"/>
  <c r="BB212" i="1"/>
  <c r="BA212" i="1"/>
  <c r="AZ212" i="1"/>
  <c r="BC211" i="1"/>
  <c r="BB211" i="1"/>
  <c r="BA211" i="1"/>
  <c r="AZ211" i="1"/>
  <c r="BC210" i="1"/>
  <c r="BB210" i="1"/>
  <c r="BA210" i="1"/>
  <c r="AZ210" i="1"/>
  <c r="BC209" i="1"/>
  <c r="BB209" i="1"/>
  <c r="BA209" i="1"/>
  <c r="AZ209" i="1"/>
  <c r="BC208" i="1"/>
  <c r="BB208" i="1"/>
  <c r="BA208" i="1"/>
  <c r="AZ208" i="1"/>
  <c r="BC207" i="1"/>
  <c r="BB207" i="1"/>
  <c r="BA207" i="1"/>
  <c r="AZ207" i="1"/>
  <c r="BC206" i="1"/>
  <c r="BB206" i="1"/>
  <c r="BA206" i="1"/>
  <c r="AZ206" i="1"/>
  <c r="BC205" i="1"/>
  <c r="BB205" i="1"/>
  <c r="BA205" i="1"/>
  <c r="AZ205" i="1"/>
  <c r="BC204" i="1"/>
  <c r="BB204" i="1"/>
  <c r="BA204" i="1"/>
  <c r="AZ204" i="1"/>
  <c r="BC203" i="1"/>
  <c r="BB203" i="1"/>
  <c r="BA203" i="1"/>
  <c r="AZ203" i="1"/>
  <c r="BC202" i="1"/>
  <c r="BB202" i="1"/>
  <c r="BA202" i="1"/>
  <c r="AZ202" i="1"/>
  <c r="BC201" i="1"/>
  <c r="BB201" i="1"/>
  <c r="BA201" i="1"/>
  <c r="AZ201" i="1"/>
  <c r="BC200" i="1"/>
  <c r="BB200" i="1"/>
  <c r="BA200" i="1"/>
  <c r="AZ200" i="1"/>
  <c r="BC199" i="1"/>
  <c r="BB199" i="1"/>
  <c r="BA199" i="1"/>
  <c r="AZ199" i="1"/>
  <c r="BC198" i="1"/>
  <c r="BB198" i="1"/>
  <c r="BA198" i="1"/>
  <c r="AZ198" i="1"/>
  <c r="BC197" i="1"/>
  <c r="BB197" i="1"/>
  <c r="BA197" i="1"/>
  <c r="AZ197" i="1"/>
  <c r="BC196" i="1"/>
  <c r="BB196" i="1"/>
  <c r="BA196" i="1"/>
  <c r="AZ196" i="1"/>
  <c r="BC195" i="1"/>
  <c r="BB195" i="1"/>
  <c r="BA195" i="1"/>
  <c r="AZ195" i="1"/>
  <c r="BC194" i="1"/>
  <c r="BB194" i="1"/>
  <c r="BA194" i="1"/>
  <c r="AZ194" i="1"/>
  <c r="BC193" i="1"/>
  <c r="BB193" i="1"/>
  <c r="BA193" i="1"/>
  <c r="AZ193" i="1"/>
  <c r="BC192" i="1"/>
  <c r="BB192" i="1"/>
  <c r="BA192" i="1"/>
  <c r="AZ192" i="1"/>
  <c r="BC191" i="1"/>
  <c r="BB191" i="1"/>
  <c r="BA191" i="1"/>
  <c r="AZ191" i="1"/>
  <c r="BC190" i="1"/>
  <c r="BB190" i="1"/>
  <c r="BA190" i="1"/>
  <c r="AZ190" i="1"/>
  <c r="BC189" i="1"/>
  <c r="BB189" i="1"/>
  <c r="BA189" i="1"/>
  <c r="AZ189" i="1"/>
  <c r="BC188" i="1"/>
  <c r="BB188" i="1"/>
  <c r="BA188" i="1"/>
  <c r="AZ188" i="1"/>
  <c r="BC187" i="1"/>
  <c r="BB187" i="1"/>
  <c r="BA187" i="1"/>
  <c r="AZ187" i="1"/>
  <c r="BC186" i="1"/>
  <c r="BB186" i="1"/>
  <c r="BA186" i="1"/>
  <c r="AZ186" i="1"/>
  <c r="BC185" i="1"/>
  <c r="BB185" i="1"/>
  <c r="BA185" i="1"/>
  <c r="AZ185" i="1"/>
  <c r="BC184" i="1"/>
  <c r="BB184" i="1"/>
  <c r="BA184" i="1"/>
  <c r="AZ184" i="1"/>
  <c r="BC183" i="1"/>
  <c r="BB183" i="1"/>
  <c r="BA183" i="1"/>
  <c r="AZ183" i="1"/>
  <c r="BC182" i="1"/>
  <c r="BB182" i="1"/>
  <c r="BA182" i="1"/>
  <c r="AZ182" i="1"/>
  <c r="BC181" i="1"/>
  <c r="BB181" i="1"/>
  <c r="BA181" i="1"/>
  <c r="AZ181" i="1"/>
  <c r="BC180" i="1"/>
  <c r="BB180" i="1"/>
  <c r="BA180" i="1"/>
  <c r="AZ180" i="1"/>
  <c r="BC179" i="1"/>
  <c r="BB179" i="1"/>
  <c r="BA179" i="1"/>
  <c r="AZ179" i="1"/>
  <c r="BC178" i="1"/>
  <c r="BB178" i="1"/>
  <c r="BA178" i="1"/>
  <c r="AZ178" i="1"/>
  <c r="BC177" i="1"/>
  <c r="BB177" i="1"/>
  <c r="BA177" i="1"/>
  <c r="AZ177" i="1"/>
  <c r="BC176" i="1"/>
  <c r="BB176" i="1"/>
  <c r="BA176" i="1"/>
  <c r="AZ176" i="1"/>
  <c r="BC175" i="1"/>
  <c r="BB175" i="1"/>
  <c r="BA175" i="1"/>
  <c r="AZ175" i="1"/>
  <c r="BC174" i="1"/>
  <c r="BB174" i="1"/>
  <c r="BA174" i="1"/>
  <c r="AZ174" i="1"/>
  <c r="BC173" i="1"/>
  <c r="BB173" i="1"/>
  <c r="BA173" i="1"/>
  <c r="AZ173" i="1"/>
  <c r="BC172" i="1"/>
  <c r="BB172" i="1"/>
  <c r="BA172" i="1"/>
  <c r="AZ172" i="1"/>
  <c r="BC171" i="1"/>
  <c r="BB171" i="1"/>
  <c r="BA171" i="1"/>
  <c r="AZ171" i="1"/>
  <c r="BC170" i="1"/>
  <c r="BB170" i="1"/>
  <c r="BA170" i="1"/>
  <c r="AZ170" i="1"/>
  <c r="BC169" i="1"/>
  <c r="BB169" i="1"/>
  <c r="BA169" i="1"/>
  <c r="AZ169" i="1"/>
  <c r="BC168" i="1"/>
  <c r="BB168" i="1"/>
  <c r="BA168" i="1"/>
  <c r="AZ168" i="1"/>
  <c r="BC167" i="1"/>
  <c r="BB167" i="1"/>
  <c r="BA167" i="1"/>
  <c r="AZ167" i="1"/>
  <c r="BC166" i="1"/>
  <c r="BB166" i="1"/>
  <c r="BA166" i="1"/>
  <c r="AZ166" i="1"/>
  <c r="BC165" i="1"/>
  <c r="BB165" i="1"/>
  <c r="BA165" i="1"/>
  <c r="AZ165" i="1"/>
  <c r="BC164" i="1"/>
  <c r="BB164" i="1"/>
  <c r="BA164" i="1"/>
  <c r="AZ164" i="1"/>
  <c r="BC163" i="1"/>
  <c r="BB163" i="1"/>
  <c r="BA163" i="1"/>
  <c r="AZ163" i="1"/>
  <c r="BC162" i="1"/>
  <c r="BB162" i="1"/>
  <c r="BA162" i="1"/>
  <c r="AZ162" i="1"/>
  <c r="BC161" i="1"/>
  <c r="BB161" i="1"/>
  <c r="BA161" i="1"/>
  <c r="AZ161" i="1"/>
  <c r="BC160" i="1"/>
  <c r="BB160" i="1"/>
  <c r="BA160" i="1"/>
  <c r="AZ160" i="1"/>
  <c r="BC159" i="1"/>
  <c r="BB159" i="1"/>
  <c r="BA159" i="1"/>
  <c r="AZ159" i="1"/>
  <c r="BC158" i="1"/>
  <c r="BB158" i="1"/>
  <c r="BA158" i="1"/>
  <c r="AZ158" i="1"/>
  <c r="BC157" i="1"/>
  <c r="BB157" i="1"/>
  <c r="BA157" i="1"/>
  <c r="AZ157" i="1"/>
  <c r="BC156" i="1"/>
  <c r="BB156" i="1"/>
  <c r="BA156" i="1"/>
  <c r="AZ156" i="1"/>
  <c r="BC155" i="1"/>
  <c r="BB155" i="1"/>
  <c r="BA155" i="1"/>
  <c r="AZ155" i="1"/>
  <c r="BC154" i="1"/>
  <c r="BB154" i="1"/>
  <c r="BA154" i="1"/>
  <c r="AZ154" i="1"/>
  <c r="BC153" i="1"/>
  <c r="BB153" i="1"/>
  <c r="BA153" i="1"/>
  <c r="AZ153" i="1"/>
  <c r="BC152" i="1"/>
  <c r="BB152" i="1"/>
  <c r="BA152" i="1"/>
  <c r="AZ152" i="1"/>
  <c r="BC151" i="1"/>
  <c r="BB151" i="1"/>
  <c r="BA151" i="1"/>
  <c r="AZ151" i="1"/>
  <c r="BC150" i="1"/>
  <c r="BB150" i="1"/>
  <c r="BA150" i="1"/>
  <c r="AZ150" i="1"/>
  <c r="BC149" i="1"/>
  <c r="BB149" i="1"/>
  <c r="BA149" i="1"/>
  <c r="AZ149" i="1"/>
  <c r="BC148" i="1"/>
  <c r="BB148" i="1"/>
  <c r="BA148" i="1"/>
  <c r="AZ148" i="1"/>
  <c r="BC147" i="1"/>
  <c r="BB147" i="1"/>
  <c r="BA147" i="1"/>
  <c r="AZ147" i="1"/>
  <c r="BC146" i="1"/>
  <c r="BB146" i="1"/>
  <c r="BA146" i="1"/>
  <c r="AZ146" i="1"/>
  <c r="BC145" i="1"/>
  <c r="BB145" i="1"/>
  <c r="BA145" i="1"/>
  <c r="AZ145" i="1"/>
  <c r="BC144" i="1"/>
  <c r="BB144" i="1"/>
  <c r="BA144" i="1"/>
  <c r="AZ144" i="1"/>
  <c r="BC143" i="1"/>
  <c r="BB143" i="1"/>
  <c r="BA143" i="1"/>
  <c r="AZ143" i="1"/>
  <c r="BC142" i="1"/>
  <c r="BB142" i="1"/>
  <c r="BA142" i="1"/>
  <c r="AZ142" i="1"/>
  <c r="BC141" i="1"/>
  <c r="BB141" i="1"/>
  <c r="BA141" i="1"/>
  <c r="AZ141" i="1"/>
  <c r="BC140" i="1"/>
  <c r="BB140" i="1"/>
  <c r="BA140" i="1"/>
  <c r="AZ140" i="1"/>
  <c r="BC139" i="1"/>
  <c r="BB139" i="1"/>
  <c r="BA139" i="1"/>
  <c r="AZ139" i="1"/>
  <c r="BC138" i="1"/>
  <c r="BB138" i="1"/>
  <c r="BA138" i="1"/>
  <c r="AZ138" i="1"/>
  <c r="BC137" i="1"/>
  <c r="BB137" i="1"/>
  <c r="BA137" i="1"/>
  <c r="AZ137" i="1"/>
  <c r="BC136" i="1"/>
  <c r="BB136" i="1"/>
  <c r="BA136" i="1"/>
  <c r="AZ136" i="1"/>
  <c r="BC135" i="1"/>
  <c r="BB135" i="1"/>
  <c r="BA135" i="1"/>
  <c r="AZ135" i="1"/>
  <c r="BC134" i="1"/>
  <c r="BB134" i="1"/>
  <c r="BA134" i="1"/>
  <c r="AZ134" i="1"/>
  <c r="BC133" i="1"/>
  <c r="BB133" i="1"/>
  <c r="BA133" i="1"/>
  <c r="AZ133" i="1"/>
  <c r="BC132" i="1"/>
  <c r="BB132" i="1"/>
  <c r="BA132" i="1"/>
  <c r="AZ132" i="1"/>
  <c r="BC131" i="1"/>
  <c r="BB131" i="1"/>
  <c r="BA131" i="1"/>
  <c r="AZ131" i="1"/>
  <c r="BC130" i="1"/>
  <c r="BB130" i="1"/>
  <c r="BA130" i="1"/>
  <c r="AZ130" i="1"/>
  <c r="BC129" i="1"/>
  <c r="BB129" i="1"/>
  <c r="BA129" i="1"/>
  <c r="AZ129" i="1"/>
  <c r="BC128" i="1"/>
  <c r="BB128" i="1"/>
  <c r="BA128" i="1"/>
  <c r="AZ128" i="1"/>
  <c r="BC127" i="1"/>
  <c r="BB127" i="1"/>
  <c r="BA127" i="1"/>
  <c r="AZ127" i="1"/>
  <c r="BC126" i="1"/>
  <c r="BB126" i="1"/>
  <c r="BA126" i="1"/>
  <c r="AZ126" i="1"/>
  <c r="BC125" i="1"/>
  <c r="BB125" i="1"/>
  <c r="BA125" i="1"/>
  <c r="AZ125" i="1"/>
  <c r="BC124" i="1"/>
  <c r="BB124" i="1"/>
  <c r="BA124" i="1"/>
  <c r="AZ124" i="1"/>
  <c r="BC123" i="1"/>
  <c r="BB123" i="1"/>
  <c r="BA123" i="1"/>
  <c r="AZ123" i="1"/>
  <c r="BC122" i="1"/>
  <c r="BB122" i="1"/>
  <c r="BA122" i="1"/>
  <c r="AZ122" i="1"/>
  <c r="BC121" i="1"/>
  <c r="BB121" i="1"/>
  <c r="BA121" i="1"/>
  <c r="AZ121" i="1"/>
  <c r="BC120" i="1"/>
  <c r="BB120" i="1"/>
  <c r="BA120" i="1"/>
  <c r="AZ120" i="1"/>
  <c r="BC119" i="1"/>
  <c r="BB119" i="1"/>
  <c r="BA119" i="1"/>
  <c r="AZ119" i="1"/>
  <c r="BC118" i="1"/>
  <c r="BB118" i="1"/>
  <c r="BA118" i="1"/>
  <c r="AZ118" i="1"/>
  <c r="BC117" i="1"/>
  <c r="BB117" i="1"/>
  <c r="BA117" i="1"/>
  <c r="AZ117" i="1"/>
  <c r="BC116" i="1"/>
  <c r="BB116" i="1"/>
  <c r="BA116" i="1"/>
  <c r="AZ116" i="1"/>
  <c r="BC115" i="1"/>
  <c r="BB115" i="1"/>
  <c r="BA115" i="1"/>
  <c r="AZ115" i="1"/>
  <c r="BC114" i="1"/>
  <c r="BB114" i="1"/>
  <c r="BA114" i="1"/>
  <c r="AZ114" i="1"/>
  <c r="BC113" i="1"/>
  <c r="BB113" i="1"/>
  <c r="BA113" i="1"/>
  <c r="AZ113" i="1"/>
  <c r="BC112" i="1"/>
  <c r="BB112" i="1"/>
  <c r="BA112" i="1"/>
  <c r="AZ112" i="1"/>
  <c r="BC111" i="1"/>
  <c r="BB111" i="1"/>
  <c r="BA111" i="1"/>
  <c r="AZ111" i="1"/>
  <c r="BC110" i="1"/>
  <c r="BB110" i="1"/>
  <c r="BA110" i="1"/>
  <c r="AZ110" i="1"/>
  <c r="BC109" i="1"/>
  <c r="BB109" i="1"/>
  <c r="BA109" i="1"/>
  <c r="AZ109" i="1"/>
  <c r="BC108" i="1"/>
  <c r="BB108" i="1"/>
  <c r="BA108" i="1"/>
  <c r="AZ108" i="1"/>
  <c r="BC107" i="1"/>
  <c r="BB107" i="1"/>
  <c r="BA107" i="1"/>
  <c r="AZ107" i="1"/>
  <c r="BC106" i="1"/>
  <c r="BB106" i="1"/>
  <c r="BA106" i="1"/>
  <c r="AZ106" i="1"/>
  <c r="BC105" i="1"/>
  <c r="BB105" i="1"/>
  <c r="BA105" i="1"/>
  <c r="AZ105" i="1"/>
  <c r="BC104" i="1"/>
  <c r="BB104" i="1"/>
  <c r="BA104" i="1"/>
  <c r="AZ104" i="1"/>
  <c r="BC103" i="1"/>
  <c r="BB103" i="1"/>
  <c r="BA103" i="1"/>
  <c r="AZ103" i="1"/>
  <c r="BC102" i="1"/>
  <c r="BB102" i="1"/>
  <c r="BA102" i="1"/>
  <c r="AZ102" i="1"/>
  <c r="BC101" i="1"/>
  <c r="BB101" i="1"/>
  <c r="BA101" i="1"/>
  <c r="AZ101" i="1"/>
  <c r="BC100" i="1"/>
  <c r="BB100" i="1"/>
  <c r="BA100" i="1"/>
  <c r="AZ100" i="1"/>
  <c r="BC99" i="1"/>
  <c r="BB99" i="1"/>
  <c r="BA99" i="1"/>
  <c r="AZ99" i="1"/>
  <c r="BC98" i="1"/>
  <c r="BB98" i="1"/>
  <c r="BA98" i="1"/>
  <c r="AZ98" i="1"/>
  <c r="BC97" i="1"/>
  <c r="BB97" i="1"/>
  <c r="BA97" i="1"/>
  <c r="AZ97" i="1"/>
  <c r="BC96" i="1"/>
  <c r="BB96" i="1"/>
  <c r="BA96" i="1"/>
  <c r="AZ96" i="1"/>
  <c r="BC95" i="1"/>
  <c r="BB95" i="1"/>
  <c r="BA95" i="1"/>
  <c r="AZ95" i="1"/>
  <c r="BC94" i="1"/>
  <c r="BB94" i="1"/>
  <c r="BA94" i="1"/>
  <c r="AZ94" i="1"/>
  <c r="BC93" i="1"/>
  <c r="BB93" i="1"/>
  <c r="BA93" i="1"/>
  <c r="AZ93" i="1"/>
  <c r="BC92" i="1"/>
  <c r="BB92" i="1"/>
  <c r="BA92" i="1"/>
  <c r="AZ92" i="1"/>
  <c r="BC91" i="1"/>
  <c r="BB91" i="1"/>
  <c r="BA91" i="1"/>
  <c r="AZ91" i="1"/>
  <c r="BC90" i="1"/>
  <c r="BB90" i="1"/>
  <c r="BA90" i="1"/>
  <c r="AZ90" i="1"/>
  <c r="BC89" i="1"/>
  <c r="BB89" i="1"/>
  <c r="BA89" i="1"/>
  <c r="AZ89" i="1"/>
  <c r="BC88" i="1"/>
  <c r="BB88" i="1"/>
  <c r="BA88" i="1"/>
  <c r="AZ88" i="1"/>
  <c r="BC87" i="1"/>
  <c r="BB87" i="1"/>
  <c r="BA87" i="1"/>
  <c r="AZ87" i="1"/>
  <c r="BC86" i="1"/>
  <c r="BB86" i="1"/>
  <c r="BA86" i="1"/>
  <c r="AZ86" i="1"/>
  <c r="BC85" i="1"/>
  <c r="BB85" i="1"/>
  <c r="BA85" i="1"/>
  <c r="AZ85" i="1"/>
  <c r="BC84" i="1"/>
  <c r="BB84" i="1"/>
  <c r="BA84" i="1"/>
  <c r="AZ84" i="1"/>
  <c r="BC83" i="1"/>
  <c r="BB83" i="1"/>
  <c r="BA83" i="1"/>
  <c r="AZ83" i="1"/>
  <c r="BC82" i="1"/>
  <c r="BB82" i="1"/>
  <c r="BA82" i="1"/>
  <c r="AZ82" i="1"/>
  <c r="BC81" i="1"/>
  <c r="BB81" i="1"/>
  <c r="BA81" i="1"/>
  <c r="AZ81" i="1"/>
  <c r="BC80" i="1"/>
  <c r="BB80" i="1"/>
  <c r="BA80" i="1"/>
  <c r="AZ80" i="1"/>
  <c r="BC79" i="1"/>
  <c r="BB79" i="1"/>
  <c r="BA79" i="1"/>
  <c r="AZ79" i="1"/>
  <c r="BC78" i="1"/>
  <c r="BB78" i="1"/>
  <c r="BA78" i="1"/>
  <c r="AZ78" i="1"/>
  <c r="BC77" i="1"/>
  <c r="BB77" i="1"/>
  <c r="BA77" i="1"/>
  <c r="AZ77" i="1"/>
  <c r="BC76" i="1"/>
  <c r="BB76" i="1"/>
  <c r="BA76" i="1"/>
  <c r="AZ76" i="1"/>
  <c r="BC75" i="1"/>
  <c r="BB75" i="1"/>
  <c r="BA75" i="1"/>
  <c r="AZ75" i="1"/>
  <c r="BC74" i="1"/>
  <c r="BB74" i="1"/>
  <c r="BA74" i="1"/>
  <c r="AZ74" i="1"/>
  <c r="BC73" i="1"/>
  <c r="BB73" i="1"/>
  <c r="BA73" i="1"/>
  <c r="AZ73" i="1"/>
  <c r="BC72" i="1"/>
  <c r="BB72" i="1"/>
  <c r="BA72" i="1"/>
  <c r="AZ72" i="1"/>
  <c r="BC71" i="1"/>
  <c r="BB71" i="1"/>
  <c r="BA71" i="1"/>
  <c r="AZ71" i="1"/>
  <c r="BC70" i="1"/>
  <c r="BB70" i="1"/>
  <c r="BA70" i="1"/>
  <c r="AZ70" i="1"/>
  <c r="BC69" i="1"/>
  <c r="BB69" i="1"/>
  <c r="BA69" i="1"/>
  <c r="AZ69" i="1"/>
  <c r="BC68" i="1"/>
  <c r="BB68" i="1"/>
  <c r="BA68" i="1"/>
  <c r="AZ68" i="1"/>
  <c r="BC67" i="1"/>
  <c r="BB67" i="1"/>
  <c r="BA67" i="1"/>
  <c r="AZ67" i="1"/>
  <c r="BC66" i="1"/>
  <c r="BB66" i="1"/>
  <c r="BA66" i="1"/>
  <c r="AZ66" i="1"/>
  <c r="BC65" i="1"/>
  <c r="BB65" i="1"/>
  <c r="BA65" i="1"/>
  <c r="AZ65" i="1"/>
  <c r="BC64" i="1"/>
  <c r="BB64" i="1"/>
  <c r="BA64" i="1"/>
  <c r="AZ64" i="1"/>
  <c r="BC63" i="1"/>
  <c r="BB63" i="1"/>
  <c r="BA63" i="1"/>
  <c r="AZ63" i="1"/>
  <c r="BC62" i="1"/>
  <c r="BB62" i="1"/>
  <c r="BA62" i="1"/>
  <c r="AZ62" i="1"/>
  <c r="BC61" i="1"/>
  <c r="BB61" i="1"/>
  <c r="BA61" i="1"/>
  <c r="AZ61" i="1"/>
  <c r="BC60" i="1"/>
  <c r="BB60" i="1"/>
  <c r="BA60" i="1"/>
  <c r="AZ60" i="1"/>
  <c r="BC59" i="1"/>
  <c r="BB59" i="1"/>
  <c r="BA59" i="1"/>
  <c r="AZ59" i="1"/>
  <c r="BC58" i="1"/>
  <c r="BB58" i="1"/>
  <c r="BA58" i="1"/>
  <c r="AZ58" i="1"/>
  <c r="BC57" i="1"/>
  <c r="BB57" i="1"/>
  <c r="BA57" i="1"/>
  <c r="AZ57" i="1"/>
  <c r="BC56" i="1"/>
  <c r="BB56" i="1"/>
  <c r="BA56" i="1"/>
  <c r="AZ56" i="1"/>
  <c r="BC55" i="1"/>
  <c r="BB55" i="1"/>
  <c r="BA55" i="1"/>
  <c r="AZ55" i="1"/>
  <c r="BC54" i="1"/>
  <c r="BB54" i="1"/>
  <c r="BA54" i="1"/>
  <c r="AZ54" i="1"/>
  <c r="BC53" i="1"/>
  <c r="BB53" i="1"/>
  <c r="BA53" i="1"/>
  <c r="AZ53" i="1"/>
  <c r="BC52" i="1"/>
  <c r="BB52" i="1"/>
  <c r="BA52" i="1"/>
  <c r="AZ52" i="1"/>
  <c r="BC51" i="1"/>
  <c r="BB51" i="1"/>
  <c r="BA51" i="1"/>
  <c r="AZ51" i="1"/>
  <c r="BC50" i="1"/>
  <c r="BB50" i="1"/>
  <c r="BA50" i="1"/>
  <c r="AZ50" i="1"/>
  <c r="BC49" i="1"/>
  <c r="BB49" i="1"/>
  <c r="BA49" i="1"/>
  <c r="AZ49" i="1"/>
  <c r="BC48" i="1"/>
  <c r="BB48" i="1"/>
  <c r="BA48" i="1"/>
  <c r="AZ48" i="1"/>
  <c r="BC47" i="1"/>
  <c r="BB47" i="1"/>
  <c r="BA47" i="1"/>
  <c r="AZ47" i="1"/>
  <c r="BC46" i="1"/>
  <c r="BB46" i="1"/>
  <c r="BA46" i="1"/>
  <c r="AZ46" i="1"/>
  <c r="BC45" i="1"/>
  <c r="BB45" i="1"/>
  <c r="BA45" i="1"/>
  <c r="AZ45" i="1"/>
  <c r="BC44" i="1"/>
  <c r="BB44" i="1"/>
  <c r="BA44" i="1"/>
  <c r="AZ44" i="1"/>
  <c r="BC43" i="1"/>
  <c r="BB43" i="1"/>
  <c r="BA43" i="1"/>
  <c r="AZ43" i="1"/>
  <c r="BC42" i="1"/>
  <c r="BB42" i="1"/>
  <c r="BA42" i="1"/>
  <c r="AZ42" i="1"/>
  <c r="BC41" i="1"/>
  <c r="BB41" i="1"/>
  <c r="BA41" i="1"/>
  <c r="AZ41" i="1"/>
  <c r="BC40" i="1"/>
  <c r="BB40" i="1"/>
  <c r="BA40" i="1"/>
  <c r="AZ40" i="1"/>
  <c r="BC39" i="1"/>
  <c r="BB39" i="1"/>
  <c r="BA39" i="1"/>
  <c r="AZ39" i="1"/>
  <c r="BC38" i="1"/>
  <c r="BB38" i="1"/>
  <c r="BA38" i="1"/>
  <c r="AZ38" i="1"/>
  <c r="BC37" i="1"/>
  <c r="BB37" i="1"/>
  <c r="BA37" i="1"/>
  <c r="AZ37" i="1"/>
  <c r="BC36" i="1"/>
  <c r="BB36" i="1"/>
  <c r="BA36" i="1"/>
  <c r="AZ36" i="1"/>
  <c r="BC35" i="1"/>
  <c r="BB35" i="1"/>
  <c r="BA35" i="1"/>
  <c r="AZ35" i="1"/>
  <c r="BC34" i="1"/>
  <c r="BB34" i="1"/>
  <c r="BA34" i="1"/>
  <c r="AZ34" i="1"/>
  <c r="BC33" i="1"/>
  <c r="BB33" i="1"/>
  <c r="BA33" i="1"/>
  <c r="AZ33" i="1"/>
  <c r="BC32" i="1"/>
  <c r="BB32" i="1"/>
  <c r="BA32" i="1"/>
  <c r="AZ32" i="1"/>
  <c r="BC31" i="1"/>
  <c r="BB31" i="1"/>
  <c r="BA31" i="1"/>
  <c r="AZ31" i="1"/>
  <c r="BC30" i="1"/>
  <c r="BB30" i="1"/>
  <c r="BA30" i="1"/>
  <c r="AZ30" i="1"/>
  <c r="BC29" i="1"/>
  <c r="BB29" i="1"/>
  <c r="BA29" i="1"/>
  <c r="AZ29" i="1"/>
  <c r="BC28" i="1"/>
  <c r="BB28" i="1"/>
  <c r="BA28" i="1"/>
  <c r="AZ28" i="1"/>
  <c r="BC27" i="1"/>
  <c r="BB27" i="1"/>
  <c r="BA27" i="1"/>
  <c r="AZ27" i="1"/>
  <c r="BC26" i="1"/>
  <c r="BB26" i="1"/>
  <c r="BA26" i="1"/>
  <c r="AZ26" i="1"/>
  <c r="BC25" i="1"/>
  <c r="BB25" i="1"/>
  <c r="BA25" i="1"/>
  <c r="AZ25" i="1"/>
  <c r="BC24" i="1"/>
  <c r="BB24" i="1"/>
  <c r="BA24" i="1"/>
  <c r="AZ24" i="1"/>
  <c r="BC23" i="1"/>
  <c r="BB23" i="1"/>
  <c r="BA23" i="1"/>
  <c r="AZ23" i="1"/>
  <c r="BC22" i="1"/>
  <c r="BB22" i="1"/>
  <c r="BA22" i="1"/>
  <c r="AZ22" i="1"/>
  <c r="BC21" i="1"/>
  <c r="BB21" i="1"/>
  <c r="BA21" i="1"/>
  <c r="AZ21" i="1"/>
  <c r="BC20" i="1"/>
  <c r="BB20" i="1"/>
  <c r="BA20" i="1"/>
  <c r="AZ20" i="1"/>
  <c r="BC19" i="1"/>
  <c r="BB19" i="1"/>
  <c r="BA19" i="1"/>
  <c r="AZ19" i="1"/>
  <c r="BC18" i="1"/>
  <c r="BB18" i="1"/>
  <c r="BA18" i="1"/>
  <c r="AZ18" i="1"/>
  <c r="BC17" i="1"/>
  <c r="BB17" i="1"/>
  <c r="BA17" i="1"/>
  <c r="AZ17" i="1"/>
  <c r="BC16" i="1"/>
  <c r="BB16" i="1"/>
  <c r="BA16" i="1"/>
  <c r="AZ16" i="1"/>
  <c r="BC15" i="1"/>
  <c r="BB15" i="1"/>
  <c r="BA15" i="1"/>
  <c r="AZ15" i="1"/>
  <c r="BC14" i="1"/>
  <c r="BB14" i="1"/>
  <c r="BA14" i="1"/>
  <c r="AZ14" i="1"/>
  <c r="BC13" i="1"/>
  <c r="BB13" i="1"/>
  <c r="BA13" i="1"/>
  <c r="AZ13" i="1"/>
  <c r="BC12" i="1"/>
  <c r="BB12" i="1"/>
  <c r="BA12" i="1"/>
  <c r="AZ12" i="1"/>
  <c r="BC10" i="1"/>
  <c r="BB10" i="1"/>
  <c r="BA10" i="1"/>
  <c r="AZ10" i="1"/>
  <c r="BC9" i="1"/>
  <c r="BB9" i="1"/>
  <c r="BA9" i="1"/>
  <c r="AZ9" i="1"/>
  <c r="BC11" i="1"/>
  <c r="BB11" i="1"/>
  <c r="BA11" i="1"/>
  <c r="AZ11" i="1"/>
  <c r="AU414" i="1"/>
  <c r="AS414" i="1" s="1"/>
  <c r="C414" i="1" s="1"/>
  <c r="AU415" i="1"/>
  <c r="AS415" i="1" s="1"/>
  <c r="C415" i="1" s="1"/>
  <c r="AU426" i="1"/>
  <c r="AS426" i="1" s="1"/>
  <c r="C426" i="1" s="1"/>
  <c r="C2" i="23" a="1"/>
  <c r="C2" i="23" s="1"/>
  <c r="B6" i="29"/>
  <c r="D114" i="28"/>
  <c r="D113" i="28"/>
  <c r="D112" i="28"/>
  <c r="P112" i="28" s="1"/>
  <c r="D111" i="28"/>
  <c r="S111" i="28" s="1"/>
  <c r="D110" i="28"/>
  <c r="D109" i="28"/>
  <c r="Q109" i="28" s="1"/>
  <c r="D108" i="28"/>
  <c r="P108" i="28" s="1"/>
  <c r="D107" i="28"/>
  <c r="D106" i="28"/>
  <c r="J106" i="28" s="1"/>
  <c r="D105" i="28"/>
  <c r="U105" i="28" s="1"/>
  <c r="D104" i="28"/>
  <c r="K104" i="28" s="1"/>
  <c r="D103" i="28"/>
  <c r="D102" i="28"/>
  <c r="Y102" i="28" s="1"/>
  <c r="D101" i="28"/>
  <c r="D100" i="28"/>
  <c r="M100" i="28" s="1"/>
  <c r="D99" i="28"/>
  <c r="M99" i="28" s="1"/>
  <c r="D98" i="28"/>
  <c r="U98" i="28" s="1"/>
  <c r="D97" i="28"/>
  <c r="M97" i="28" s="1"/>
  <c r="D96" i="28"/>
  <c r="K96" i="28" s="1"/>
  <c r="D95" i="28"/>
  <c r="J95" i="28" s="1"/>
  <c r="D94" i="28"/>
  <c r="O94" i="28" s="1"/>
  <c r="D93" i="28"/>
  <c r="N93" i="28" s="1"/>
  <c r="D92" i="28"/>
  <c r="K92" i="28" s="1"/>
  <c r="D91" i="28"/>
  <c r="Z91" i="28" s="1"/>
  <c r="D90" i="28"/>
  <c r="L90" i="28" s="1"/>
  <c r="D89" i="28"/>
  <c r="V89" i="28" s="1"/>
  <c r="D88" i="28"/>
  <c r="N88" i="28" s="1"/>
  <c r="D87" i="28"/>
  <c r="Q87" i="28" s="1"/>
  <c r="D86" i="28"/>
  <c r="I86" i="28" s="1"/>
  <c r="D85" i="28"/>
  <c r="K85" i="28" s="1"/>
  <c r="D84" i="28"/>
  <c r="Z84" i="28" s="1"/>
  <c r="D83" i="28"/>
  <c r="T83" i="28" s="1"/>
  <c r="D82" i="28"/>
  <c r="D81" i="28"/>
  <c r="Q81" i="28" s="1"/>
  <c r="D80" i="28"/>
  <c r="R80" i="28" s="1"/>
  <c r="D79" i="28"/>
  <c r="D78" i="28"/>
  <c r="S78" i="28" s="1"/>
  <c r="D77" i="28"/>
  <c r="I77" i="28" s="1"/>
  <c r="D76" i="28"/>
  <c r="N76" i="28" s="1"/>
  <c r="D75" i="28"/>
  <c r="D74" i="28"/>
  <c r="P74" i="28" s="1"/>
  <c r="D73" i="28"/>
  <c r="W73" i="28" s="1"/>
  <c r="D72" i="28"/>
  <c r="D71" i="28"/>
  <c r="K71" i="28" s="1"/>
  <c r="D70" i="28"/>
  <c r="O70" i="28" s="1"/>
  <c r="D69" i="28"/>
  <c r="D68" i="28"/>
  <c r="D67" i="28"/>
  <c r="Y67" i="28" s="1"/>
  <c r="D66" i="28"/>
  <c r="R66" i="28" s="1"/>
  <c r="D65" i="28"/>
  <c r="K65" i="28" s="1"/>
  <c r="D64" i="28"/>
  <c r="W64" i="28" s="1"/>
  <c r="D63" i="28"/>
  <c r="P63" i="28" s="1"/>
  <c r="D62" i="28"/>
  <c r="W62" i="28" s="1"/>
  <c r="D61" i="28"/>
  <c r="X61" i="28" s="1"/>
  <c r="D60" i="28"/>
  <c r="Y60" i="28" s="1"/>
  <c r="D59" i="28"/>
  <c r="D58" i="28"/>
  <c r="W58" i="28" s="1"/>
  <c r="D57" i="28"/>
  <c r="L57" i="28" s="1"/>
  <c r="D56" i="28"/>
  <c r="K56" i="28" s="1"/>
  <c r="D55" i="28"/>
  <c r="Q55" i="28" s="1"/>
  <c r="D54" i="28"/>
  <c r="O54" i="28" s="1"/>
  <c r="D53" i="28"/>
  <c r="M53" i="28" s="1"/>
  <c r="D52" i="28"/>
  <c r="D51" i="28"/>
  <c r="Z51" i="28" s="1"/>
  <c r="D50" i="28"/>
  <c r="M50" i="28" s="1"/>
  <c r="D49" i="28"/>
  <c r="Z49" i="28" s="1"/>
  <c r="D48" i="28"/>
  <c r="Y48" i="28" s="1"/>
  <c r="D47" i="28"/>
  <c r="K47" i="28" s="1"/>
  <c r="D46" i="28"/>
  <c r="S46" i="28" s="1"/>
  <c r="D45" i="28"/>
  <c r="L45" i="28" s="1"/>
  <c r="D44" i="28"/>
  <c r="Z44" i="28" s="1"/>
  <c r="D43" i="28"/>
  <c r="J43" i="28" s="1"/>
  <c r="D42" i="28"/>
  <c r="O42" i="28" s="1"/>
  <c r="D41" i="28"/>
  <c r="T41" i="28" s="1"/>
  <c r="D40" i="28"/>
  <c r="K40" i="28" s="1"/>
  <c r="D39" i="28"/>
  <c r="R39" i="28" s="1"/>
  <c r="D38" i="28"/>
  <c r="S38" i="28" s="1"/>
  <c r="D37" i="28"/>
  <c r="D36" i="28"/>
  <c r="W36" i="28" s="1"/>
  <c r="D35" i="28"/>
  <c r="P35" i="28" s="1"/>
  <c r="D34" i="28"/>
  <c r="S34" i="28" s="1"/>
  <c r="D33" i="28"/>
  <c r="D32" i="28"/>
  <c r="P32" i="28" s="1"/>
  <c r="D31" i="28"/>
  <c r="D30" i="28"/>
  <c r="D29" i="28"/>
  <c r="W29" i="28" s="1"/>
  <c r="D28" i="28"/>
  <c r="J28" i="28" s="1"/>
  <c r="D27" i="28"/>
  <c r="Q27" i="28" s="1"/>
  <c r="D26" i="28"/>
  <c r="J26" i="28" s="1"/>
  <c r="D25" i="28"/>
  <c r="L25" i="28" s="1"/>
  <c r="D24" i="28"/>
  <c r="N24" i="28" s="1"/>
  <c r="D23" i="28"/>
  <c r="O23" i="28" s="1"/>
  <c r="D22" i="28"/>
  <c r="J22" i="28" s="1"/>
  <c r="D21" i="28"/>
  <c r="U21" i="28" s="1"/>
  <c r="D20" i="28"/>
  <c r="T20" i="28" s="1"/>
  <c r="D19" i="28"/>
  <c r="K19" i="28" s="1"/>
  <c r="D18" i="28"/>
  <c r="D17" i="28"/>
  <c r="P17" i="28" s="1"/>
  <c r="D16" i="28"/>
  <c r="T16" i="28" s="1"/>
  <c r="D15" i="28"/>
  <c r="Z15" i="28" s="1"/>
  <c r="D14" i="28"/>
  <c r="Z14" i="28" s="1"/>
  <c r="D13" i="28"/>
  <c r="R13" i="28" s="1"/>
  <c r="D12" i="28"/>
  <c r="N12" i="28" s="1"/>
  <c r="D11" i="28"/>
  <c r="D10" i="28"/>
  <c r="O10" i="28" s="1"/>
  <c r="D9" i="28"/>
  <c r="W9" i="28" s="1"/>
  <c r="D8" i="28"/>
  <c r="L8" i="28" s="1"/>
  <c r="D7" i="28"/>
  <c r="J7" i="28" s="1"/>
  <c r="D6" i="28"/>
  <c r="D5" i="28"/>
  <c r="L5" i="28" s="1"/>
  <c r="D4" i="28"/>
  <c r="R4" i="28" s="1"/>
  <c r="D3" i="28"/>
  <c r="E9" i="1" l="1"/>
  <c r="E427" i="1"/>
  <c r="E513" i="1"/>
  <c r="E214" i="1"/>
  <c r="E305" i="1"/>
  <c r="E423" i="1"/>
  <c r="E130" i="1"/>
  <c r="E300" i="1"/>
  <c r="E216" i="1"/>
  <c r="E428" i="1"/>
  <c r="E240" i="1"/>
  <c r="E460" i="1"/>
  <c r="E191" i="1"/>
  <c r="E255" i="1"/>
  <c r="E474" i="1"/>
  <c r="E401" i="1"/>
  <c r="E518" i="1"/>
  <c r="E456" i="1"/>
  <c r="E406" i="1"/>
  <c r="E536" i="1"/>
  <c r="E282" i="1"/>
  <c r="E411" i="1"/>
  <c r="E421" i="1"/>
  <c r="E101" i="1"/>
  <c r="E507" i="1"/>
  <c r="E494" i="1"/>
  <c r="E246" i="1"/>
  <c r="E416" i="1"/>
  <c r="E495" i="1"/>
  <c r="E304" i="1"/>
  <c r="E458" i="1"/>
  <c r="E417" i="1"/>
  <c r="E526" i="1"/>
  <c r="E31" i="1"/>
  <c r="E509" i="1"/>
  <c r="E316" i="1"/>
  <c r="E402" i="1"/>
  <c r="E504" i="1"/>
  <c r="E457" i="1"/>
  <c r="E506" i="1"/>
  <c r="E33" i="1"/>
  <c r="E118" i="1"/>
  <c r="E321" i="1"/>
  <c r="E414" i="1"/>
  <c r="E508" i="1"/>
  <c r="E239" i="1"/>
  <c r="E301" i="1"/>
  <c r="E302" i="1"/>
  <c r="E510" i="1"/>
  <c r="E41" i="1"/>
  <c r="E82" i="1"/>
  <c r="E245" i="1"/>
  <c r="E511" i="1"/>
  <c r="E418" i="1"/>
  <c r="E219" i="1"/>
  <c r="E319" i="1"/>
  <c r="E257" i="1"/>
  <c r="E297" i="1"/>
  <c r="E299" i="1"/>
  <c r="E320" i="1"/>
  <c r="E413" i="1"/>
  <c r="E530" i="1"/>
  <c r="E237" i="1"/>
  <c r="E43" i="1"/>
  <c r="E476" i="1"/>
  <c r="E254" i="1"/>
  <c r="E60" i="1"/>
  <c r="E422" i="1"/>
  <c r="E62" i="1"/>
  <c r="E425" i="1"/>
  <c r="E455" i="1"/>
  <c r="E194" i="1"/>
  <c r="E252" i="1"/>
  <c r="E349" i="1"/>
  <c r="E420" i="1"/>
  <c r="E188" i="1"/>
  <c r="E398" i="1"/>
  <c r="E426" i="1"/>
  <c r="E516" i="1"/>
  <c r="E486" i="1"/>
  <c r="E370" i="1"/>
  <c r="E407" i="1"/>
  <c r="E529" i="1"/>
  <c r="E515" i="1"/>
  <c r="E10" i="1"/>
  <c r="E400" i="1"/>
  <c r="W22" i="28"/>
  <c r="Y8" i="28"/>
  <c r="K16" i="28"/>
  <c r="S14" i="28"/>
  <c r="V14" i="28"/>
  <c r="K8" i="28"/>
  <c r="W14" i="28"/>
  <c r="U14" i="28"/>
  <c r="N8" i="28"/>
  <c r="Y14" i="28"/>
  <c r="X22" i="28"/>
  <c r="X8" i="28"/>
  <c r="L16" i="28"/>
  <c r="T14" i="28"/>
  <c r="S39" i="28"/>
  <c r="T39" i="28"/>
  <c r="S23" i="28"/>
  <c r="X56" i="28"/>
  <c r="H16" i="28"/>
  <c r="Y56" i="28"/>
  <c r="N108" i="28"/>
  <c r="Q39" i="28"/>
  <c r="O56" i="28"/>
  <c r="R56" i="28"/>
  <c r="T23" i="28"/>
  <c r="S109" i="28"/>
  <c r="U56" i="28"/>
  <c r="Y61" i="28"/>
  <c r="W56" i="28"/>
  <c r="M16" i="28"/>
  <c r="P22" i="28"/>
  <c r="I57" i="28"/>
  <c r="M14" i="28"/>
  <c r="P16" i="28"/>
  <c r="R22" i="28"/>
  <c r="N14" i="28"/>
  <c r="R16" i="28"/>
  <c r="S22" i="28"/>
  <c r="Q56" i="28"/>
  <c r="Z95" i="28"/>
  <c r="T56" i="28"/>
  <c r="T61" i="28"/>
  <c r="O22" i="28"/>
  <c r="Y39" i="28"/>
  <c r="S56" i="28"/>
  <c r="J57" i="28"/>
  <c r="Z57" i="28"/>
  <c r="P14" i="28"/>
  <c r="S16" i="28"/>
  <c r="T22" i="28"/>
  <c r="M8" i="28"/>
  <c r="Q14" i="28"/>
  <c r="U16" i="28"/>
  <c r="U22" i="28"/>
  <c r="M84" i="28"/>
  <c r="V56" i="28"/>
  <c r="K14" i="28"/>
  <c r="O16" i="28"/>
  <c r="Q22" i="28"/>
  <c r="R14" i="28"/>
  <c r="V16" i="28"/>
  <c r="V22" i="28"/>
  <c r="W105" i="28"/>
  <c r="K95" i="28"/>
  <c r="N104" i="28"/>
  <c r="T105" i="28"/>
  <c r="M104" i="28"/>
  <c r="Y53" i="28"/>
  <c r="L95" i="28"/>
  <c r="O104" i="28"/>
  <c r="R43" i="28"/>
  <c r="T49" i="28"/>
  <c r="J61" i="28"/>
  <c r="S84" i="28"/>
  <c r="O95" i="28"/>
  <c r="R104" i="28"/>
  <c r="T76" i="28"/>
  <c r="M34" i="28"/>
  <c r="W86" i="28"/>
  <c r="Q104" i="28"/>
  <c r="S43" i="28"/>
  <c r="U49" i="28"/>
  <c r="K61" i="28"/>
  <c r="T84" i="28"/>
  <c r="Q95" i="28"/>
  <c r="S104" i="28"/>
  <c r="X105" i="28"/>
  <c r="Q84" i="28"/>
  <c r="T43" i="28"/>
  <c r="M61" i="28"/>
  <c r="V84" i="28"/>
  <c r="R95" i="28"/>
  <c r="T104" i="28"/>
  <c r="I16" i="28"/>
  <c r="Z23" i="28"/>
  <c r="U43" i="28"/>
  <c r="W49" i="28"/>
  <c r="P57" i="28"/>
  <c r="N61" i="28"/>
  <c r="W84" i="28"/>
  <c r="S95" i="28"/>
  <c r="V104" i="28"/>
  <c r="U86" i="28"/>
  <c r="V105" i="28"/>
  <c r="V46" i="28"/>
  <c r="Y105" i="28"/>
  <c r="J16" i="28"/>
  <c r="S57" i="28"/>
  <c r="O61" i="28"/>
  <c r="X84" i="28"/>
  <c r="T95" i="28"/>
  <c r="W104" i="28"/>
  <c r="T86" i="28"/>
  <c r="N84" i="28"/>
  <c r="P104" i="28"/>
  <c r="N95" i="28"/>
  <c r="V49" i="28"/>
  <c r="P61" i="28"/>
  <c r="Y84" i="28"/>
  <c r="U95" i="28"/>
  <c r="X104" i="28"/>
  <c r="B5" i="29"/>
  <c r="B7" i="29" s="1"/>
  <c r="X26" i="28"/>
  <c r="X51" i="28"/>
  <c r="Z26" i="28"/>
  <c r="Q61" i="28"/>
  <c r="W95" i="28"/>
  <c r="Y104" i="28"/>
  <c r="V51" i="28"/>
  <c r="L104" i="28"/>
  <c r="M95" i="28"/>
  <c r="R61" i="28"/>
  <c r="X95" i="28"/>
  <c r="O14" i="28"/>
  <c r="N16" i="28"/>
  <c r="N22" i="28"/>
  <c r="X39" i="28"/>
  <c r="P56" i="28"/>
  <c r="S61" i="28"/>
  <c r="Y95" i="28"/>
  <c r="T109" i="28"/>
  <c r="I65" i="28"/>
  <c r="M83" i="28"/>
  <c r="O83" i="28"/>
  <c r="M20" i="28"/>
  <c r="M24" i="28"/>
  <c r="R32" i="28"/>
  <c r="R35" i="28"/>
  <c r="Q83" i="28"/>
  <c r="U32" i="28"/>
  <c r="S35" i="28"/>
  <c r="M38" i="28"/>
  <c r="I40" i="28"/>
  <c r="M65" i="28"/>
  <c r="K68" i="28"/>
  <c r="J74" i="28"/>
  <c r="R83" i="28"/>
  <c r="P20" i="28"/>
  <c r="O24" i="28"/>
  <c r="R27" i="28"/>
  <c r="T35" i="28"/>
  <c r="J40" i="28"/>
  <c r="K74" i="28"/>
  <c r="X112" i="28"/>
  <c r="M5" i="28"/>
  <c r="W20" i="28"/>
  <c r="O26" i="28"/>
  <c r="Z35" i="28"/>
  <c r="Q45" i="28"/>
  <c r="J49" i="28"/>
  <c r="J51" i="28"/>
  <c r="P53" i="28"/>
  <c r="Z54" i="28"/>
  <c r="X62" i="28"/>
  <c r="Z65" i="28"/>
  <c r="Z83" i="28"/>
  <c r="V88" i="28"/>
  <c r="I96" i="28"/>
  <c r="Y112" i="28"/>
  <c r="N5" i="28"/>
  <c r="Z11" i="28"/>
  <c r="X20" i="28"/>
  <c r="P26" i="28"/>
  <c r="K34" i="28"/>
  <c r="R45" i="28"/>
  <c r="K49" i="28"/>
  <c r="K51" i="28"/>
  <c r="Q53" i="28"/>
  <c r="Y62" i="28"/>
  <c r="W88" i="28"/>
  <c r="J96" i="28"/>
  <c r="O5" i="28"/>
  <c r="W16" i="28"/>
  <c r="Z20" i="28"/>
  <c r="R23" i="28"/>
  <c r="Q26" i="28"/>
  <c r="L34" i="28"/>
  <c r="P39" i="28"/>
  <c r="S45" i="28"/>
  <c r="M49" i="28"/>
  <c r="L51" i="28"/>
  <c r="R53" i="28"/>
  <c r="S86" i="28"/>
  <c r="X88" i="28"/>
  <c r="M96" i="28"/>
  <c r="V32" i="28"/>
  <c r="I54" i="28"/>
  <c r="U68" i="28"/>
  <c r="O88" i="28"/>
  <c r="Q20" i="28"/>
  <c r="W32" i="28"/>
  <c r="X48" i="28"/>
  <c r="J54" i="28"/>
  <c r="T65" i="28"/>
  <c r="V68" i="28"/>
  <c r="M74" i="28"/>
  <c r="R20" i="28"/>
  <c r="W27" i="28"/>
  <c r="V35" i="28"/>
  <c r="Q38" i="28"/>
  <c r="L40" i="28"/>
  <c r="K54" i="28"/>
  <c r="O74" i="28"/>
  <c r="L106" i="28"/>
  <c r="I51" i="28"/>
  <c r="T88" i="28"/>
  <c r="W94" i="28"/>
  <c r="S96" i="28"/>
  <c r="J105" i="28"/>
  <c r="I68" i="28"/>
  <c r="N20" i="28"/>
  <c r="S83" i="28"/>
  <c r="J53" i="28"/>
  <c r="T62" i="28"/>
  <c r="V65" i="28"/>
  <c r="N74" i="28"/>
  <c r="U83" i="28"/>
  <c r="Q88" i="28"/>
  <c r="J5" i="28"/>
  <c r="S20" i="28"/>
  <c r="X27" i="28"/>
  <c r="L53" i="28"/>
  <c r="U62" i="28"/>
  <c r="W65" i="28"/>
  <c r="W83" i="28"/>
  <c r="K5" i="28"/>
  <c r="X83" i="28"/>
  <c r="S88" i="28"/>
  <c r="Z27" i="28"/>
  <c r="T54" i="28"/>
  <c r="R74" i="28"/>
  <c r="Y83" i="28"/>
  <c r="R26" i="28"/>
  <c r="S26" i="28"/>
  <c r="N34" i="28"/>
  <c r="R36" i="28"/>
  <c r="O49" i="28"/>
  <c r="O34" i="28"/>
  <c r="R51" i="28"/>
  <c r="L65" i="28"/>
  <c r="J68" i="28"/>
  <c r="N38" i="28"/>
  <c r="Q65" i="28"/>
  <c r="V27" i="28"/>
  <c r="U35" i="28"/>
  <c r="P38" i="28"/>
  <c r="P88" i="28"/>
  <c r="W35" i="28"/>
  <c r="R38" i="28"/>
  <c r="R54" i="28"/>
  <c r="R88" i="28"/>
  <c r="Q112" i="28"/>
  <c r="Y35" i="28"/>
  <c r="Y38" i="28"/>
  <c r="P45" i="28"/>
  <c r="I49" i="28"/>
  <c r="O53" i="28"/>
  <c r="N96" i="28"/>
  <c r="Q51" i="28"/>
  <c r="Y15" i="28"/>
  <c r="U23" i="28"/>
  <c r="U36" i="28"/>
  <c r="K43" i="28"/>
  <c r="P49" i="28"/>
  <c r="U53" i="28"/>
  <c r="T96" i="28"/>
  <c r="V23" i="28"/>
  <c r="U26" i="28"/>
  <c r="Q34" i="28"/>
  <c r="V36" i="28"/>
  <c r="U39" i="28"/>
  <c r="L43" i="28"/>
  <c r="Q46" i="28"/>
  <c r="Q49" i="28"/>
  <c r="S51" i="28"/>
  <c r="V53" i="28"/>
  <c r="L56" i="28"/>
  <c r="Z67" i="28"/>
  <c r="Q76" i="28"/>
  <c r="I84" i="28"/>
  <c r="X86" i="28"/>
  <c r="V96" i="28"/>
  <c r="P105" i="28"/>
  <c r="L22" i="28"/>
  <c r="W23" i="28"/>
  <c r="V26" i="28"/>
  <c r="R34" i="28"/>
  <c r="V39" i="28"/>
  <c r="M43" i="28"/>
  <c r="T46" i="28"/>
  <c r="R49" i="28"/>
  <c r="T51" i="28"/>
  <c r="W53" i="28"/>
  <c r="M56" i="28"/>
  <c r="Y57" i="28"/>
  <c r="R76" i="28"/>
  <c r="J84" i="28"/>
  <c r="Y86" i="28"/>
  <c r="Y96" i="28"/>
  <c r="R105" i="28"/>
  <c r="Q35" i="28"/>
  <c r="J65" i="28"/>
  <c r="U20" i="28"/>
  <c r="Y27" i="28"/>
  <c r="X35" i="28"/>
  <c r="N53" i="28"/>
  <c r="S54" i="28"/>
  <c r="V62" i="28"/>
  <c r="X65" i="28"/>
  <c r="V20" i="28"/>
  <c r="Y65" i="28"/>
  <c r="N49" i="28"/>
  <c r="M51" i="28"/>
  <c r="S53" i="28"/>
  <c r="Z88" i="28"/>
  <c r="T53" i="28"/>
  <c r="T26" i="28"/>
  <c r="P46" i="28"/>
  <c r="M22" i="28"/>
  <c r="X23" i="28"/>
  <c r="W26" i="28"/>
  <c r="W39" i="28"/>
  <c r="N43" i="28"/>
  <c r="U46" i="28"/>
  <c r="S49" i="28"/>
  <c r="U51" i="28"/>
  <c r="X53" i="28"/>
  <c r="N56" i="28"/>
  <c r="S76" i="28"/>
  <c r="K84" i="28"/>
  <c r="Z86" i="28"/>
  <c r="S105" i="28"/>
  <c r="I12" i="28"/>
  <c r="R58" i="28"/>
  <c r="N87" i="28"/>
  <c r="Q30" i="28"/>
  <c r="O30" i="28"/>
  <c r="P30" i="28"/>
  <c r="N30" i="28"/>
  <c r="L30" i="28"/>
  <c r="K30" i="28"/>
  <c r="M30" i="28"/>
  <c r="Y58" i="28"/>
  <c r="J71" i="28"/>
  <c r="U89" i="28"/>
  <c r="J92" i="28"/>
  <c r="T98" i="28"/>
  <c r="X102" i="28"/>
  <c r="M12" i="28"/>
  <c r="I30" i="28"/>
  <c r="Z58" i="28"/>
  <c r="Y87" i="28"/>
  <c r="Z87" i="28"/>
  <c r="P98" i="28"/>
  <c r="Q89" i="28"/>
  <c r="O19" i="28"/>
  <c r="W19" i="28"/>
  <c r="O87" i="28"/>
  <c r="I92" i="28"/>
  <c r="S98" i="28"/>
  <c r="W102" i="28"/>
  <c r="W25" i="28"/>
  <c r="X25" i="28"/>
  <c r="Y33" i="28"/>
  <c r="U33" i="28"/>
  <c r="S33" i="28"/>
  <c r="T33" i="28"/>
  <c r="R33" i="28"/>
  <c r="O33" i="28"/>
  <c r="Q33" i="28"/>
  <c r="P33" i="28"/>
  <c r="Y37" i="28"/>
  <c r="U37" i="28"/>
  <c r="T37" i="28"/>
  <c r="S37" i="28"/>
  <c r="R37" i="28"/>
  <c r="O37" i="28"/>
  <c r="Q37" i="28"/>
  <c r="P37" i="28"/>
  <c r="V69" i="28"/>
  <c r="U69" i="28"/>
  <c r="T69" i="28"/>
  <c r="S69" i="28"/>
  <c r="K69" i="28"/>
  <c r="R69" i="28"/>
  <c r="P69" i="28"/>
  <c r="Y89" i="28"/>
  <c r="L92" i="28"/>
  <c r="V98" i="28"/>
  <c r="Z102" i="28"/>
  <c r="I6" i="28"/>
  <c r="V6" i="28"/>
  <c r="U6" i="28"/>
  <c r="T6" i="28"/>
  <c r="O6" i="28"/>
  <c r="S6" i="28"/>
  <c r="Q6" i="28"/>
  <c r="R6" i="28"/>
  <c r="O12" i="28"/>
  <c r="M19" i="28"/>
  <c r="N25" i="28"/>
  <c r="S30" i="28"/>
  <c r="J33" i="28"/>
  <c r="I37" i="28"/>
  <c r="L41" i="28"/>
  <c r="P59" i="28"/>
  <c r="N59" i="28"/>
  <c r="O59" i="28"/>
  <c r="M59" i="28"/>
  <c r="K59" i="28"/>
  <c r="I59" i="28"/>
  <c r="L59" i="28"/>
  <c r="W69" i="28"/>
  <c r="M92" i="28"/>
  <c r="W98" i="28"/>
  <c r="X113" i="28"/>
  <c r="Y113" i="28"/>
  <c r="N6" i="28"/>
  <c r="Q59" i="28"/>
  <c r="O63" i="28"/>
  <c r="Y72" i="28"/>
  <c r="W72" i="28"/>
  <c r="V72" i="28"/>
  <c r="U72" i="28"/>
  <c r="T72" i="28"/>
  <c r="Q72" i="28"/>
  <c r="S72" i="28"/>
  <c r="R72" i="28"/>
  <c r="W6" i="28"/>
  <c r="M113" i="28"/>
  <c r="X6" i="28"/>
  <c r="K10" i="28"/>
  <c r="U41" i="28"/>
  <c r="W13" i="28"/>
  <c r="S13" i="28"/>
  <c r="X13" i="28"/>
  <c r="V13" i="28"/>
  <c r="T13" i="28"/>
  <c r="U13" i="28"/>
  <c r="R19" i="28"/>
  <c r="W30" i="28"/>
  <c r="M37" i="28"/>
  <c r="Y44" i="28"/>
  <c r="J55" i="28"/>
  <c r="T59" i="28"/>
  <c r="I13" i="28"/>
  <c r="S19" i="28"/>
  <c r="S25" i="28"/>
  <c r="X30" i="28"/>
  <c r="W33" i="28"/>
  <c r="N37" i="28"/>
  <c r="V59" i="28"/>
  <c r="M72" i="28"/>
  <c r="M78" i="28"/>
  <c r="J90" i="28"/>
  <c r="N111" i="28"/>
  <c r="X7" i="28"/>
  <c r="T19" i="28"/>
  <c r="T25" i="28"/>
  <c r="Y30" i="28"/>
  <c r="L42" i="28"/>
  <c r="W59" i="28"/>
  <c r="I70" i="28"/>
  <c r="N72" i="28"/>
  <c r="N78" i="28"/>
  <c r="Q113" i="28"/>
  <c r="Y7" i="28"/>
  <c r="K13" i="28"/>
  <c r="U19" i="28"/>
  <c r="U25" i="28"/>
  <c r="W37" i="28"/>
  <c r="N42" i="28"/>
  <c r="M109" i="28"/>
  <c r="R113" i="28"/>
  <c r="Z7" i="28"/>
  <c r="Y10" i="28"/>
  <c r="V19" i="28"/>
  <c r="Z37" i="28"/>
  <c r="K45" i="28"/>
  <c r="X47" i="28"/>
  <c r="Y59" i="28"/>
  <c r="K70" i="28"/>
  <c r="K76" i="28"/>
  <c r="P78" i="28"/>
  <c r="Y82" i="28"/>
  <c r="N82" i="28"/>
  <c r="X82" i="28"/>
  <c r="W82" i="28"/>
  <c r="V90" i="28"/>
  <c r="I94" i="28"/>
  <c r="P97" i="28"/>
  <c r="N109" i="28"/>
  <c r="R111" i="28"/>
  <c r="Z10" i="28"/>
  <c r="M13" i="28"/>
  <c r="T34" i="28"/>
  <c r="Z34" i="28"/>
  <c r="U34" i="28"/>
  <c r="Z59" i="28"/>
  <c r="M70" i="28"/>
  <c r="L76" i="28"/>
  <c r="R78" i="28"/>
  <c r="W90" i="28"/>
  <c r="M94" i="28"/>
  <c r="Y97" i="28"/>
  <c r="O109" i="28"/>
  <c r="T87" i="28"/>
  <c r="Z9" i="28"/>
  <c r="L19" i="28"/>
  <c r="M25" i="28"/>
  <c r="R30" i="28"/>
  <c r="I33" i="28"/>
  <c r="X111" i="28"/>
  <c r="Y111" i="28"/>
  <c r="W111" i="28"/>
  <c r="Z55" i="28"/>
  <c r="W55" i="28"/>
  <c r="R55" i="28"/>
  <c r="Y55" i="28"/>
  <c r="N63" i="28"/>
  <c r="I111" i="28"/>
  <c r="W85" i="28"/>
  <c r="N85" i="28"/>
  <c r="M85" i="28"/>
  <c r="O85" i="28"/>
  <c r="J111" i="28"/>
  <c r="P25" i="28"/>
  <c r="L33" i="28"/>
  <c r="X44" i="28"/>
  <c r="V44" i="28"/>
  <c r="W44" i="28"/>
  <c r="S44" i="28"/>
  <c r="J44" i="28"/>
  <c r="I44" i="28"/>
  <c r="R59" i="28"/>
  <c r="Q66" i="28"/>
  <c r="J72" i="28"/>
  <c r="T81" i="28"/>
  <c r="K111" i="28"/>
  <c r="M21" i="28"/>
  <c r="Z21" i="28"/>
  <c r="W21" i="28"/>
  <c r="V21" i="28"/>
  <c r="X21" i="28"/>
  <c r="Q25" i="28"/>
  <c r="V30" i="28"/>
  <c r="M33" i="28"/>
  <c r="L37" i="28"/>
  <c r="I55" i="28"/>
  <c r="S59" i="28"/>
  <c r="K72" i="28"/>
  <c r="K78" i="28"/>
  <c r="U81" i="28"/>
  <c r="N113" i="28"/>
  <c r="T21" i="28"/>
  <c r="M111" i="28"/>
  <c r="H70" i="28"/>
  <c r="W81" i="28"/>
  <c r="J109" i="28"/>
  <c r="P113" i="28"/>
  <c r="N10" i="28"/>
  <c r="Z33" i="28"/>
  <c r="V37" i="28"/>
  <c r="M47" i="28"/>
  <c r="V45" i="28"/>
  <c r="T45" i="28"/>
  <c r="X59" i="28"/>
  <c r="J70" i="28"/>
  <c r="O72" i="28"/>
  <c r="J76" i="28"/>
  <c r="O78" i="28"/>
  <c r="M90" i="28"/>
  <c r="W8" i="28"/>
  <c r="O8" i="28"/>
  <c r="U8" i="28"/>
  <c r="S8" i="28"/>
  <c r="R8" i="28"/>
  <c r="P8" i="28"/>
  <c r="Q8" i="28"/>
  <c r="N13" i="28"/>
  <c r="Z38" i="28"/>
  <c r="M45" i="28"/>
  <c r="N70" i="28"/>
  <c r="X90" i="28"/>
  <c r="P109" i="28"/>
  <c r="T111" i="28"/>
  <c r="Z78" i="28"/>
  <c r="W78" i="28"/>
  <c r="Y78" i="28"/>
  <c r="X78" i="28"/>
  <c r="J85" i="28"/>
  <c r="X97" i="28"/>
  <c r="W97" i="28"/>
  <c r="V97" i="28"/>
  <c r="U97" i="28"/>
  <c r="T97" i="28"/>
  <c r="Q97" i="28"/>
  <c r="S97" i="28"/>
  <c r="R97" i="28"/>
  <c r="L111" i="28"/>
  <c r="R25" i="28"/>
  <c r="L78" i="28"/>
  <c r="V42" i="28"/>
  <c r="Q42" i="28"/>
  <c r="U42" i="28"/>
  <c r="T42" i="28"/>
  <c r="P55" i="28"/>
  <c r="J13" i="28"/>
  <c r="Z76" i="28"/>
  <c r="U76" i="28"/>
  <c r="X76" i="28"/>
  <c r="V76" i="28"/>
  <c r="N97" i="28"/>
  <c r="K109" i="28"/>
  <c r="O111" i="28"/>
  <c r="V47" i="28"/>
  <c r="X94" i="28"/>
  <c r="Z94" i="28"/>
  <c r="Y94" i="28"/>
  <c r="O97" i="28"/>
  <c r="Q111" i="28"/>
  <c r="L13" i="28"/>
  <c r="V25" i="28"/>
  <c r="O13" i="28"/>
  <c r="Z32" i="28"/>
  <c r="N32" i="28"/>
  <c r="L32" i="28"/>
  <c r="M32" i="28"/>
  <c r="K32" i="28"/>
  <c r="H32" i="28"/>
  <c r="J32" i="28"/>
  <c r="I32" i="28"/>
  <c r="L38" i="28"/>
  <c r="Z40" i="28"/>
  <c r="Y40" i="28"/>
  <c r="S40" i="28"/>
  <c r="X40" i="28"/>
  <c r="M40" i="28"/>
  <c r="Q40" i="28"/>
  <c r="P40" i="28"/>
  <c r="N40" i="28"/>
  <c r="N45" i="28"/>
  <c r="Q48" i="28"/>
  <c r="Z48" i="28"/>
  <c r="R62" i="28"/>
  <c r="Q62" i="28"/>
  <c r="P62" i="28"/>
  <c r="O62" i="28"/>
  <c r="L62" i="28"/>
  <c r="H62" i="28"/>
  <c r="N62" i="28"/>
  <c r="O76" i="28"/>
  <c r="U78" i="28"/>
  <c r="P94" i="28"/>
  <c r="U111" i="28"/>
  <c r="P89" i="28"/>
  <c r="N89" i="28"/>
  <c r="M89" i="28"/>
  <c r="K89" i="28"/>
  <c r="J89" i="28"/>
  <c r="Y98" i="28"/>
  <c r="Z98" i="28"/>
  <c r="X12" i="28"/>
  <c r="Q12" i="28"/>
  <c r="W12" i="28"/>
  <c r="V12" i="28"/>
  <c r="U12" i="28"/>
  <c r="R12" i="28"/>
  <c r="S12" i="28"/>
  <c r="P92" i="28"/>
  <c r="Z92" i="28"/>
  <c r="T92" i="28"/>
  <c r="S92" i="28"/>
  <c r="R92" i="28"/>
  <c r="N92" i="28"/>
  <c r="Q92" i="28"/>
  <c r="O92" i="28"/>
  <c r="R98" i="28"/>
  <c r="K12" i="28"/>
  <c r="T89" i="28"/>
  <c r="L12" i="28"/>
  <c r="J19" i="28"/>
  <c r="X10" i="28"/>
  <c r="V10" i="28"/>
  <c r="U10" i="28"/>
  <c r="T10" i="28"/>
  <c r="R10" i="28"/>
  <c r="P10" i="28"/>
  <c r="S10" i="28"/>
  <c r="Y12" i="28"/>
  <c r="N19" i="28"/>
  <c r="O25" i="28"/>
  <c r="T30" i="28"/>
  <c r="K33" i="28"/>
  <c r="J37" i="28"/>
  <c r="M41" i="28"/>
  <c r="S66" i="28"/>
  <c r="T66" i="28"/>
  <c r="X69" i="28"/>
  <c r="Y90" i="28"/>
  <c r="U90" i="28"/>
  <c r="T90" i="28"/>
  <c r="S90" i="28"/>
  <c r="R90" i="28"/>
  <c r="N90" i="28"/>
  <c r="P90" i="28"/>
  <c r="O90" i="28"/>
  <c r="X98" i="28"/>
  <c r="K113" i="28"/>
  <c r="I10" i="28"/>
  <c r="Z12" i="28"/>
  <c r="P19" i="28"/>
  <c r="U30" i="28"/>
  <c r="K37" i="28"/>
  <c r="Y69" i="28"/>
  <c r="Q19" i="28"/>
  <c r="Y109" i="28"/>
  <c r="W109" i="28"/>
  <c r="V109" i="28"/>
  <c r="U109" i="28"/>
  <c r="X109" i="28"/>
  <c r="L10" i="28"/>
  <c r="N33" i="28"/>
  <c r="W70" i="28"/>
  <c r="V70" i="28"/>
  <c r="R70" i="28"/>
  <c r="U70" i="28"/>
  <c r="S70" i="28"/>
  <c r="L72" i="28"/>
  <c r="V81" i="28"/>
  <c r="K97" i="28"/>
  <c r="O113" i="28"/>
  <c r="M10" i="28"/>
  <c r="P13" i="28"/>
  <c r="I24" i="28"/>
  <c r="Z24" i="28"/>
  <c r="Y24" i="28"/>
  <c r="X24" i="28"/>
  <c r="W24" i="28"/>
  <c r="V24" i="28"/>
  <c r="U24" i="28"/>
  <c r="P24" i="28"/>
  <c r="Z36" i="28"/>
  <c r="P36" i="28"/>
  <c r="M36" i="28"/>
  <c r="N36" i="28"/>
  <c r="L36" i="28"/>
  <c r="K36" i="28"/>
  <c r="J36" i="28"/>
  <c r="I36" i="28"/>
  <c r="O45" i="28"/>
  <c r="P70" i="28"/>
  <c r="Z74" i="28"/>
  <c r="W74" i="28"/>
  <c r="S74" i="28"/>
  <c r="V74" i="28"/>
  <c r="U74" i="28"/>
  <c r="P76" i="28"/>
  <c r="V78" i="28"/>
  <c r="R94" i="28"/>
  <c r="R109" i="28"/>
  <c r="I27" i="28"/>
  <c r="S50" i="28"/>
  <c r="I23" i="28"/>
  <c r="J27" i="28"/>
  <c r="Y50" i="28"/>
  <c r="I20" i="28"/>
  <c r="M23" i="28"/>
  <c r="M27" i="28"/>
  <c r="M46" i="28"/>
  <c r="Z50" i="28"/>
  <c r="N23" i="28"/>
  <c r="P23" i="28"/>
  <c r="I26" i="28"/>
  <c r="P27" i="28"/>
  <c r="I35" i="28"/>
  <c r="R67" i="28"/>
  <c r="L88" i="28"/>
  <c r="J104" i="28"/>
  <c r="O112" i="28"/>
  <c r="N27" i="28"/>
  <c r="O20" i="28"/>
  <c r="K22" i="28"/>
  <c r="Q23" i="28"/>
  <c r="N26" i="28"/>
  <c r="L49" i="28"/>
  <c r="I61" i="28"/>
  <c r="L84" i="28"/>
  <c r="Q105" i="28"/>
  <c r="V75" i="28"/>
  <c r="U75" i="28"/>
  <c r="P75" i="28"/>
  <c r="O75" i="28"/>
  <c r="N75" i="28"/>
  <c r="M75" i="28"/>
  <c r="L75" i="28"/>
  <c r="Z75" i="28"/>
  <c r="X75" i="28"/>
  <c r="W75" i="28"/>
  <c r="T75" i="28"/>
  <c r="S75" i="28"/>
  <c r="R75" i="28"/>
  <c r="Y75" i="28"/>
  <c r="Q75" i="28"/>
  <c r="J18" i="28"/>
  <c r="S18" i="28"/>
  <c r="R18" i="28"/>
  <c r="Q18" i="28"/>
  <c r="K18" i="28"/>
  <c r="V18" i="28"/>
  <c r="U18" i="28"/>
  <c r="N18" i="28"/>
  <c r="M18" i="28"/>
  <c r="T18" i="28"/>
  <c r="O18" i="28"/>
  <c r="I18" i="28"/>
  <c r="P18" i="28"/>
  <c r="L18" i="28"/>
  <c r="Z101" i="28"/>
  <c r="U101" i="28"/>
  <c r="T101" i="28"/>
  <c r="S101" i="28"/>
  <c r="R101" i="28"/>
  <c r="W101" i="28"/>
  <c r="Q101" i="28"/>
  <c r="Y101" i="28"/>
  <c r="X101" i="28"/>
  <c r="V101" i="28"/>
  <c r="Y18" i="28"/>
  <c r="Z18" i="28"/>
  <c r="I28" i="28"/>
  <c r="Z41" i="28"/>
  <c r="Y41" i="28"/>
  <c r="J41" i="28"/>
  <c r="I41" i="28"/>
  <c r="S41" i="28"/>
  <c r="R41" i="28"/>
  <c r="Q41" i="28"/>
  <c r="P41" i="28"/>
  <c r="O41" i="28"/>
  <c r="X41" i="28"/>
  <c r="V41" i="28"/>
  <c r="W41" i="28"/>
  <c r="I17" i="28"/>
  <c r="K41" i="28"/>
  <c r="Q110" i="28"/>
  <c r="K110" i="28"/>
  <c r="R110" i="28"/>
  <c r="P110" i="28"/>
  <c r="O110" i="28"/>
  <c r="N110" i="28"/>
  <c r="M110" i="28"/>
  <c r="Z110" i="28"/>
  <c r="Y110" i="28"/>
  <c r="X110" i="28"/>
  <c r="W110" i="28"/>
  <c r="J110" i="28"/>
  <c r="V110" i="28"/>
  <c r="U110" i="28"/>
  <c r="T110" i="28"/>
  <c r="S110" i="28"/>
  <c r="L110" i="28"/>
  <c r="K75" i="28"/>
  <c r="T28" i="28"/>
  <c r="Q28" i="28"/>
  <c r="V28" i="28"/>
  <c r="S28" i="28"/>
  <c r="R28" i="28"/>
  <c r="P28" i="28"/>
  <c r="N28" i="28"/>
  <c r="Z28" i="28"/>
  <c r="Y28" i="28"/>
  <c r="W28" i="28"/>
  <c r="U28" i="28"/>
  <c r="X28" i="28"/>
  <c r="O28" i="28"/>
  <c r="U64" i="28"/>
  <c r="O15" i="28"/>
  <c r="S15" i="28"/>
  <c r="Q15" i="28"/>
  <c r="J15" i="28"/>
  <c r="W15" i="28"/>
  <c r="V15" i="28"/>
  <c r="N15" i="28"/>
  <c r="R15" i="28"/>
  <c r="M15" i="28"/>
  <c r="U15" i="28"/>
  <c r="P15" i="28"/>
  <c r="L15" i="28"/>
  <c r="T15" i="28"/>
  <c r="K15" i="28"/>
  <c r="O17" i="28"/>
  <c r="M28" i="28"/>
  <c r="O31" i="28"/>
  <c r="L31" i="28"/>
  <c r="N31" i="28"/>
  <c r="M31" i="28"/>
  <c r="K31" i="28"/>
  <c r="Z31" i="28"/>
  <c r="S31" i="28"/>
  <c r="Y31" i="28"/>
  <c r="U31" i="28"/>
  <c r="P31" i="28"/>
  <c r="X31" i="28"/>
  <c r="V31" i="28"/>
  <c r="T31" i="28"/>
  <c r="R31" i="28"/>
  <c r="W31" i="28"/>
  <c r="Q31" i="28"/>
  <c r="N41" i="28"/>
  <c r="V64" i="28"/>
  <c r="I75" i="28"/>
  <c r="J75" i="28"/>
  <c r="X18" i="28"/>
  <c r="O11" i="28"/>
  <c r="I11" i="28"/>
  <c r="X11" i="28"/>
  <c r="R11" i="28"/>
  <c r="K11" i="28"/>
  <c r="Q11" i="28"/>
  <c r="L11" i="28"/>
  <c r="P11" i="28"/>
  <c r="N11" i="28"/>
  <c r="M11" i="28"/>
  <c r="J11" i="28"/>
  <c r="K28" i="28"/>
  <c r="N17" i="28"/>
  <c r="T9" i="28"/>
  <c r="H7" i="28"/>
  <c r="U9" i="28"/>
  <c r="U11" i="28"/>
  <c r="I7" i="28"/>
  <c r="V9" i="28"/>
  <c r="V11" i="28"/>
  <c r="K42" i="28"/>
  <c r="J42" i="28"/>
  <c r="S42" i="28"/>
  <c r="R42" i="28"/>
  <c r="P42" i="28"/>
  <c r="I42" i="28"/>
  <c r="Y42" i="28"/>
  <c r="W42" i="28"/>
  <c r="Z42" i="28"/>
  <c r="X42" i="28"/>
  <c r="Y29" i="28"/>
  <c r="V29" i="28"/>
  <c r="Q29" i="28"/>
  <c r="P29" i="28"/>
  <c r="O29" i="28"/>
  <c r="I29" i="28"/>
  <c r="T29" i="28"/>
  <c r="M29" i="28"/>
  <c r="K29" i="28"/>
  <c r="S29" i="28"/>
  <c r="L29" i="28"/>
  <c r="J29" i="28"/>
  <c r="R29" i="28"/>
  <c r="N29" i="28"/>
  <c r="U29" i="28"/>
  <c r="X29" i="28"/>
  <c r="Y17" i="28"/>
  <c r="L17" i="28"/>
  <c r="K17" i="28"/>
  <c r="J17" i="28"/>
  <c r="X17" i="28"/>
  <c r="U17" i="28"/>
  <c r="W17" i="28"/>
  <c r="V17" i="28"/>
  <c r="S17" i="28"/>
  <c r="Z17" i="28"/>
  <c r="T17" i="28"/>
  <c r="R17" i="28"/>
  <c r="L28" i="28"/>
  <c r="Y5" i="28"/>
  <c r="I5" i="28"/>
  <c r="Z5" i="28"/>
  <c r="X5" i="28"/>
  <c r="U5" i="28"/>
  <c r="T5" i="28"/>
  <c r="S5" i="28"/>
  <c r="W5" i="28"/>
  <c r="V5" i="28"/>
  <c r="R5" i="28"/>
  <c r="Q5" i="28"/>
  <c r="P5" i="28"/>
  <c r="I15" i="28"/>
  <c r="U80" i="28"/>
  <c r="V80" i="28"/>
  <c r="Z80" i="28"/>
  <c r="Q80" i="28"/>
  <c r="M80" i="28"/>
  <c r="L80" i="28"/>
  <c r="O80" i="28"/>
  <c r="N80" i="28"/>
  <c r="T80" i="28"/>
  <c r="X80" i="28"/>
  <c r="Y80" i="28"/>
  <c r="W80" i="28"/>
  <c r="S80" i="28"/>
  <c r="U100" i="28"/>
  <c r="L100" i="28"/>
  <c r="K100" i="28"/>
  <c r="J100" i="28"/>
  <c r="T100" i="28"/>
  <c r="S100" i="28"/>
  <c r="R100" i="28"/>
  <c r="Q100" i="28"/>
  <c r="Z100" i="28"/>
  <c r="Y100" i="28"/>
  <c r="X100" i="28"/>
  <c r="W100" i="28"/>
  <c r="V100" i="28"/>
  <c r="P100" i="28"/>
  <c r="O100" i="28"/>
  <c r="N100" i="28"/>
  <c r="W18" i="28"/>
  <c r="Z29" i="28"/>
  <c r="Y9" i="28"/>
  <c r="P9" i="28"/>
  <c r="S9" i="28"/>
  <c r="L9" i="28"/>
  <c r="R9" i="28"/>
  <c r="Q9" i="28"/>
  <c r="N9" i="28"/>
  <c r="M9" i="28"/>
  <c r="J9" i="28"/>
  <c r="O9" i="28"/>
  <c r="K9" i="28"/>
  <c r="I9" i="28"/>
  <c r="M17" i="28"/>
  <c r="P64" i="28"/>
  <c r="L64" i="28"/>
  <c r="I64" i="28"/>
  <c r="S64" i="28"/>
  <c r="R64" i="28"/>
  <c r="Q64" i="28"/>
  <c r="O64" i="28"/>
  <c r="N64" i="28"/>
  <c r="T64" i="28"/>
  <c r="M64" i="28"/>
  <c r="K64" i="28"/>
  <c r="J64" i="28"/>
  <c r="Z64" i="28"/>
  <c r="Y64" i="28"/>
  <c r="X64" i="28"/>
  <c r="O7" i="28"/>
  <c r="W7" i="28"/>
  <c r="V7" i="28"/>
  <c r="U7" i="28"/>
  <c r="P7" i="28"/>
  <c r="M7" i="28"/>
  <c r="T7" i="28"/>
  <c r="R7" i="28"/>
  <c r="Q7" i="28"/>
  <c r="S7" i="28"/>
  <c r="N7" i="28"/>
  <c r="L7" i="28"/>
  <c r="S11" i="28"/>
  <c r="T11" i="28"/>
  <c r="Q17" i="28"/>
  <c r="W11" i="28"/>
  <c r="J31" i="28"/>
  <c r="K7" i="28"/>
  <c r="X9" i="28"/>
  <c r="Y11" i="28"/>
  <c r="X15" i="28"/>
  <c r="M42" i="28"/>
  <c r="P80" i="28"/>
  <c r="Z63" i="28"/>
  <c r="V63" i="28"/>
  <c r="T63" i="28"/>
  <c r="S63" i="28"/>
  <c r="R63" i="28"/>
  <c r="Y63" i="28"/>
  <c r="X63" i="28"/>
  <c r="W63" i="28"/>
  <c r="U63" i="28"/>
  <c r="M63" i="28"/>
  <c r="L63" i="28"/>
  <c r="Y6" i="28"/>
  <c r="V8" i="28"/>
  <c r="V67" i="28"/>
  <c r="L67" i="28"/>
  <c r="N67" i="28"/>
  <c r="Q67" i="28"/>
  <c r="O67" i="28"/>
  <c r="M67" i="28"/>
  <c r="K67" i="28"/>
  <c r="X67" i="28"/>
  <c r="W67" i="28"/>
  <c r="U67" i="28"/>
  <c r="T67" i="28"/>
  <c r="S67" i="28"/>
  <c r="P67" i="28"/>
  <c r="J67" i="28"/>
  <c r="I67" i="28"/>
  <c r="U112" i="28"/>
  <c r="N112" i="28"/>
  <c r="M112" i="28"/>
  <c r="L112" i="28"/>
  <c r="K112" i="28"/>
  <c r="J112" i="28"/>
  <c r="Z112" i="28"/>
  <c r="W112" i="28"/>
  <c r="V112" i="28"/>
  <c r="T112" i="28"/>
  <c r="S112" i="28"/>
  <c r="R112" i="28"/>
  <c r="Z6" i="28"/>
  <c r="Z52" i="28"/>
  <c r="W52" i="28"/>
  <c r="U52" i="28"/>
  <c r="T52" i="28"/>
  <c r="S52" i="28"/>
  <c r="P52" i="28"/>
  <c r="O52" i="28"/>
  <c r="N52" i="28"/>
  <c r="M52" i="28"/>
  <c r="L52" i="28"/>
  <c r="K52" i="28"/>
  <c r="J52" i="28"/>
  <c r="I52" i="28"/>
  <c r="V79" i="28"/>
  <c r="M79" i="28"/>
  <c r="O79" i="28"/>
  <c r="W79" i="28"/>
  <c r="U79" i="28"/>
  <c r="T79" i="28"/>
  <c r="S79" i="28"/>
  <c r="R79" i="28"/>
  <c r="L79" i="28"/>
  <c r="Z79" i="28"/>
  <c r="Y79" i="28"/>
  <c r="X79" i="28"/>
  <c r="K46" i="28"/>
  <c r="J46" i="28"/>
  <c r="I46" i="28"/>
  <c r="O46" i="28"/>
  <c r="N46" i="28"/>
  <c r="L46" i="28"/>
  <c r="Z46" i="28"/>
  <c r="Y46" i="28"/>
  <c r="X46" i="28"/>
  <c r="W46" i="28"/>
  <c r="R46" i="28"/>
  <c r="P48" i="28"/>
  <c r="R52" i="28"/>
  <c r="Z60" i="28"/>
  <c r="Q60" i="28"/>
  <c r="O60" i="28"/>
  <c r="N60" i="28"/>
  <c r="M60" i="28"/>
  <c r="V60" i="28"/>
  <c r="U60" i="28"/>
  <c r="T60" i="28"/>
  <c r="S60" i="28"/>
  <c r="R60" i="28"/>
  <c r="X60" i="28"/>
  <c r="W60" i="28"/>
  <c r="P60" i="28"/>
  <c r="L60" i="28"/>
  <c r="K60" i="28"/>
  <c r="Q63" i="28"/>
  <c r="U108" i="28"/>
  <c r="T108" i="28"/>
  <c r="S108" i="28"/>
  <c r="R108" i="28"/>
  <c r="Q108" i="28"/>
  <c r="K108" i="28"/>
  <c r="J108" i="28"/>
  <c r="Z108" i="28"/>
  <c r="Y108" i="28"/>
  <c r="X108" i="28"/>
  <c r="W108" i="28"/>
  <c r="V108" i="28"/>
  <c r="O108" i="28"/>
  <c r="P43" i="28"/>
  <c r="O43" i="28"/>
  <c r="Y43" i="28"/>
  <c r="Z43" i="28"/>
  <c r="X43" i="28"/>
  <c r="W43" i="28"/>
  <c r="V43" i="28"/>
  <c r="Q43" i="28"/>
  <c r="V52" i="28"/>
  <c r="V73" i="28"/>
  <c r="N79" i="28"/>
  <c r="P81" i="28"/>
  <c r="Y21" i="28"/>
  <c r="S21" i="28"/>
  <c r="R21" i="28"/>
  <c r="Q21" i="28"/>
  <c r="K21" i="28"/>
  <c r="J6" i="28"/>
  <c r="P6" i="28"/>
  <c r="U48" i="28"/>
  <c r="T48" i="28"/>
  <c r="S48" i="28"/>
  <c r="N48" i="28"/>
  <c r="M48" i="28"/>
  <c r="K48" i="28"/>
  <c r="O48" i="28"/>
  <c r="L48" i="28"/>
  <c r="J48" i="28"/>
  <c r="I48" i="28"/>
  <c r="V103" i="28"/>
  <c r="P103" i="28"/>
  <c r="R103" i="28"/>
  <c r="Q103" i="28"/>
  <c r="O103" i="28"/>
  <c r="N103" i="28"/>
  <c r="Z103" i="28"/>
  <c r="Y103" i="28"/>
  <c r="X103" i="28"/>
  <c r="W103" i="28"/>
  <c r="K103" i="28"/>
  <c r="U103" i="28"/>
  <c r="T103" i="28"/>
  <c r="S103" i="28"/>
  <c r="P58" i="28"/>
  <c r="X58" i="28"/>
  <c r="V58" i="28"/>
  <c r="U58" i="28"/>
  <c r="T58" i="28"/>
  <c r="N58" i="28"/>
  <c r="M58" i="28"/>
  <c r="L58" i="28"/>
  <c r="K58" i="28"/>
  <c r="J58" i="28"/>
  <c r="S58" i="28"/>
  <c r="V91" i="28"/>
  <c r="P91" i="28"/>
  <c r="O91" i="28"/>
  <c r="N91" i="28"/>
  <c r="M91" i="28"/>
  <c r="L91" i="28"/>
  <c r="Y91" i="28"/>
  <c r="X91" i="28"/>
  <c r="W91" i="28"/>
  <c r="U91" i="28"/>
  <c r="T91" i="28"/>
  <c r="S91" i="28"/>
  <c r="R91" i="28"/>
  <c r="Q91" i="28"/>
  <c r="K91" i="28"/>
  <c r="J91" i="28"/>
  <c r="I91" i="28"/>
  <c r="Z8" i="28"/>
  <c r="J21" i="28"/>
  <c r="Q52" i="28"/>
  <c r="L21" i="28"/>
  <c r="Z66" i="28"/>
  <c r="Y66" i="28"/>
  <c r="X66" i="28"/>
  <c r="W66" i="28"/>
  <c r="V66" i="28"/>
  <c r="U66" i="28"/>
  <c r="O66" i="28"/>
  <c r="N66" i="28"/>
  <c r="M66" i="28"/>
  <c r="L66" i="28"/>
  <c r="K66" i="28"/>
  <c r="J14" i="28"/>
  <c r="L14" i="28"/>
  <c r="I14" i="28"/>
  <c r="X14" i="28"/>
  <c r="O27" i="28"/>
  <c r="L27" i="28"/>
  <c r="U27" i="28"/>
  <c r="T27" i="28"/>
  <c r="S27" i="28"/>
  <c r="K27" i="28"/>
  <c r="K6" i="28"/>
  <c r="J10" i="28"/>
  <c r="W10" i="28"/>
  <c r="Q10" i="28"/>
  <c r="T12" i="28"/>
  <c r="P12" i="28"/>
  <c r="J12" i="28"/>
  <c r="N21" i="28"/>
  <c r="O39" i="28"/>
  <c r="N39" i="28"/>
  <c r="L39" i="28"/>
  <c r="M39" i="28"/>
  <c r="K39" i="28"/>
  <c r="J39" i="28"/>
  <c r="I39" i="28"/>
  <c r="Z39" i="28"/>
  <c r="J47" i="28"/>
  <c r="R48" i="28"/>
  <c r="X52" i="28"/>
  <c r="K57" i="28"/>
  <c r="Q57" i="28"/>
  <c r="O57" i="28"/>
  <c r="N57" i="28"/>
  <c r="M57" i="28"/>
  <c r="X57" i="28"/>
  <c r="W57" i="28"/>
  <c r="V57" i="28"/>
  <c r="U57" i="28"/>
  <c r="T57" i="28"/>
  <c r="R57" i="28"/>
  <c r="I58" i="28"/>
  <c r="H60" i="28"/>
  <c r="I66" i="28"/>
  <c r="V71" i="28"/>
  <c r="S71" i="28"/>
  <c r="P71" i="28"/>
  <c r="N71" i="28"/>
  <c r="M71" i="28"/>
  <c r="L71" i="28"/>
  <c r="Z71" i="28"/>
  <c r="Y71" i="28"/>
  <c r="X71" i="28"/>
  <c r="W71" i="28"/>
  <c r="U71" i="28"/>
  <c r="T71" i="28"/>
  <c r="R71" i="28"/>
  <c r="Q71" i="28"/>
  <c r="O71" i="28"/>
  <c r="P79" i="28"/>
  <c r="V99" i="28"/>
  <c r="P99" i="28"/>
  <c r="Y99" i="28"/>
  <c r="X99" i="28"/>
  <c r="W99" i="28"/>
  <c r="U99" i="28"/>
  <c r="Z99" i="28"/>
  <c r="N99" i="28"/>
  <c r="T99" i="28"/>
  <c r="S99" i="28"/>
  <c r="R99" i="28"/>
  <c r="Q99" i="28"/>
  <c r="O99" i="28"/>
  <c r="T24" i="28"/>
  <c r="S24" i="28"/>
  <c r="R24" i="28"/>
  <c r="Q24" i="28"/>
  <c r="K24" i="28"/>
  <c r="J103" i="28"/>
  <c r="K50" i="28"/>
  <c r="J50" i="28"/>
  <c r="I50" i="28"/>
  <c r="P50" i="28"/>
  <c r="O50" i="28"/>
  <c r="N50" i="28"/>
  <c r="L50" i="28"/>
  <c r="X50" i="28"/>
  <c r="W50" i="28"/>
  <c r="V50" i="28"/>
  <c r="U50" i="28"/>
  <c r="T50" i="28"/>
  <c r="L73" i="28"/>
  <c r="M73" i="28"/>
  <c r="Y73" i="28"/>
  <c r="Q73" i="28"/>
  <c r="O73" i="28"/>
  <c r="N73" i="28"/>
  <c r="K73" i="28"/>
  <c r="J73" i="28"/>
  <c r="I73" i="28"/>
  <c r="U73" i="28"/>
  <c r="T73" i="28"/>
  <c r="S73" i="28"/>
  <c r="R73" i="28"/>
  <c r="P73" i="28"/>
  <c r="L81" i="28"/>
  <c r="Z81" i="28"/>
  <c r="O81" i="28"/>
  <c r="Y81" i="28"/>
  <c r="X81" i="28"/>
  <c r="N81" i="28"/>
  <c r="M81" i="28"/>
  <c r="L99" i="28"/>
  <c r="M103" i="28"/>
  <c r="L6" i="28"/>
  <c r="O21" i="28"/>
  <c r="J34" i="28"/>
  <c r="I34" i="28"/>
  <c r="Y34" i="28"/>
  <c r="X34" i="28"/>
  <c r="W34" i="28"/>
  <c r="V34" i="28"/>
  <c r="P34" i="28"/>
  <c r="U44" i="28"/>
  <c r="T44" i="28"/>
  <c r="O44" i="28"/>
  <c r="N44" i="28"/>
  <c r="L44" i="28"/>
  <c r="R44" i="28"/>
  <c r="Q44" i="28"/>
  <c r="P44" i="28"/>
  <c r="M44" i="28"/>
  <c r="K44" i="28"/>
  <c r="V48" i="28"/>
  <c r="Q50" i="28"/>
  <c r="Y52" i="28"/>
  <c r="O58" i="28"/>
  <c r="I60" i="28"/>
  <c r="X73" i="28"/>
  <c r="Q79" i="28"/>
  <c r="R81" i="28"/>
  <c r="L108" i="28"/>
  <c r="P47" i="28"/>
  <c r="O47" i="28"/>
  <c r="N47" i="28"/>
  <c r="Z47" i="28"/>
  <c r="Y47" i="28"/>
  <c r="W47" i="28"/>
  <c r="U47" i="28"/>
  <c r="T47" i="28"/>
  <c r="S47" i="28"/>
  <c r="R47" i="28"/>
  <c r="Q47" i="28"/>
  <c r="I47" i="28"/>
  <c r="K99" i="28"/>
  <c r="L103" i="28"/>
  <c r="T8" i="28"/>
  <c r="I8" i="28"/>
  <c r="J38" i="28"/>
  <c r="I38" i="28"/>
  <c r="X38" i="28"/>
  <c r="W38" i="28"/>
  <c r="V38" i="28"/>
  <c r="U38" i="28"/>
  <c r="T38" i="28"/>
  <c r="O38" i="28"/>
  <c r="J24" i="28"/>
  <c r="J66" i="28"/>
  <c r="M6" i="28"/>
  <c r="J8" i="28"/>
  <c r="P21" i="28"/>
  <c r="L24" i="28"/>
  <c r="K38" i="28"/>
  <c r="L47" i="28"/>
  <c r="W48" i="28"/>
  <c r="R50" i="28"/>
  <c r="Q58" i="28"/>
  <c r="J60" i="28"/>
  <c r="P66" i="28"/>
  <c r="Z73" i="28"/>
  <c r="L77" i="28"/>
  <c r="T77" i="28"/>
  <c r="R77" i="28"/>
  <c r="J77" i="28"/>
  <c r="U77" i="28"/>
  <c r="S77" i="28"/>
  <c r="Q77" i="28"/>
  <c r="P77" i="28"/>
  <c r="O77" i="28"/>
  <c r="Y77" i="28"/>
  <c r="X77" i="28"/>
  <c r="W77" i="28"/>
  <c r="V77" i="28"/>
  <c r="N77" i="28"/>
  <c r="Z77" i="28"/>
  <c r="M77" i="28"/>
  <c r="K77" i="28"/>
  <c r="S81" i="28"/>
  <c r="L93" i="28"/>
  <c r="Z93" i="28"/>
  <c r="M93" i="28"/>
  <c r="K93" i="28"/>
  <c r="J93" i="28"/>
  <c r="I93" i="28"/>
  <c r="V93" i="28"/>
  <c r="T93" i="28"/>
  <c r="S93" i="28"/>
  <c r="U93" i="28"/>
  <c r="R93" i="28"/>
  <c r="Q93" i="28"/>
  <c r="P93" i="28"/>
  <c r="O93" i="28"/>
  <c r="Y93" i="28"/>
  <c r="X93" i="28"/>
  <c r="W93" i="28"/>
  <c r="M108" i="28"/>
  <c r="Q13" i="28"/>
  <c r="Q16" i="28"/>
  <c r="Y20" i="28"/>
  <c r="Y23" i="28"/>
  <c r="Y26" i="28"/>
  <c r="O32" i="28"/>
  <c r="O35" i="28"/>
  <c r="N35" i="28"/>
  <c r="L35" i="28"/>
  <c r="O36" i="28"/>
  <c r="O40" i="28"/>
  <c r="S68" i="28"/>
  <c r="W68" i="28"/>
  <c r="Z68" i="28"/>
  <c r="Y68" i="28"/>
  <c r="X68" i="28"/>
  <c r="P68" i="28"/>
  <c r="O68" i="28"/>
  <c r="N68" i="28"/>
  <c r="M68" i="28"/>
  <c r="L68" i="28"/>
  <c r="Z45" i="28"/>
  <c r="Y45" i="28"/>
  <c r="X45" i="28"/>
  <c r="W45" i="28"/>
  <c r="U45" i="28"/>
  <c r="Q114" i="28"/>
  <c r="M114" i="28"/>
  <c r="K114" i="28"/>
  <c r="Z114" i="28"/>
  <c r="Y114" i="28"/>
  <c r="S114" i="28"/>
  <c r="X114" i="28"/>
  <c r="W114" i="28"/>
  <c r="V114" i="28"/>
  <c r="U114" i="28"/>
  <c r="T114" i="28"/>
  <c r="R114" i="28"/>
  <c r="P114" i="28"/>
  <c r="O114" i="28"/>
  <c r="X16" i="28"/>
  <c r="X19" i="28"/>
  <c r="J20" i="28"/>
  <c r="J23" i="28"/>
  <c r="K26" i="28"/>
  <c r="X32" i="28"/>
  <c r="J35" i="28"/>
  <c r="X36" i="28"/>
  <c r="Q68" i="28"/>
  <c r="Q82" i="28"/>
  <c r="K82" i="28"/>
  <c r="S82" i="28"/>
  <c r="Z82" i="28"/>
  <c r="R82" i="28"/>
  <c r="V82" i="28"/>
  <c r="U82" i="28"/>
  <c r="T82" i="28"/>
  <c r="P82" i="28"/>
  <c r="O82" i="28"/>
  <c r="V107" i="28"/>
  <c r="P107" i="28"/>
  <c r="K107" i="28"/>
  <c r="J107" i="28"/>
  <c r="I107" i="28"/>
  <c r="S107" i="28"/>
  <c r="R107" i="28"/>
  <c r="Q107" i="28"/>
  <c r="O107" i="28"/>
  <c r="Y107" i="28"/>
  <c r="X107" i="28"/>
  <c r="W107" i="28"/>
  <c r="U107" i="28"/>
  <c r="T107" i="28"/>
  <c r="Z107" i="28"/>
  <c r="N107" i="28"/>
  <c r="M107" i="28"/>
  <c r="L107" i="28"/>
  <c r="Y16" i="28"/>
  <c r="Y19" i="28"/>
  <c r="K20" i="28"/>
  <c r="Y22" i="28"/>
  <c r="K23" i="28"/>
  <c r="Y25" i="28"/>
  <c r="Z25" i="28"/>
  <c r="L26" i="28"/>
  <c r="Y32" i="28"/>
  <c r="K35" i="28"/>
  <c r="Y36" i="28"/>
  <c r="P54" i="28"/>
  <c r="Q54" i="28"/>
  <c r="N54" i="28"/>
  <c r="M54" i="28"/>
  <c r="L54" i="28"/>
  <c r="Y54" i="28"/>
  <c r="X54" i="28"/>
  <c r="W54" i="28"/>
  <c r="V54" i="28"/>
  <c r="U54" i="28"/>
  <c r="U55" i="28"/>
  <c r="X55" i="28"/>
  <c r="V55" i="28"/>
  <c r="T55" i="28"/>
  <c r="S55" i="28"/>
  <c r="O55" i="28"/>
  <c r="N55" i="28"/>
  <c r="M55" i="28"/>
  <c r="L55" i="28"/>
  <c r="K55" i="28"/>
  <c r="R68" i="28"/>
  <c r="L114" i="28"/>
  <c r="Y13" i="28"/>
  <c r="Z13" i="28"/>
  <c r="Z16" i="28"/>
  <c r="Z19" i="28"/>
  <c r="L20" i="28"/>
  <c r="Z22" i="28"/>
  <c r="L23" i="28"/>
  <c r="M26" i="28"/>
  <c r="J30" i="28"/>
  <c r="Z30" i="28"/>
  <c r="M35" i="28"/>
  <c r="I45" i="28"/>
  <c r="T68" i="28"/>
  <c r="L82" i="28"/>
  <c r="N114" i="28"/>
  <c r="T32" i="28"/>
  <c r="S32" i="28"/>
  <c r="Q32" i="28"/>
  <c r="T36" i="28"/>
  <c r="S36" i="28"/>
  <c r="Q36" i="28"/>
  <c r="U40" i="28"/>
  <c r="T40" i="28"/>
  <c r="W40" i="28"/>
  <c r="V40" i="28"/>
  <c r="R40" i="28"/>
  <c r="J45" i="28"/>
  <c r="M82" i="28"/>
  <c r="V33" i="28"/>
  <c r="W51" i="28"/>
  <c r="U65" i="28"/>
  <c r="S65" i="28"/>
  <c r="R65" i="28"/>
  <c r="P65" i="28"/>
  <c r="O65" i="28"/>
  <c r="N65" i="28"/>
  <c r="L69" i="28"/>
  <c r="Z69" i="28"/>
  <c r="J69" i="28"/>
  <c r="Q69" i="28"/>
  <c r="O69" i="28"/>
  <c r="N69" i="28"/>
  <c r="M69" i="28"/>
  <c r="Q106" i="28"/>
  <c r="K106" i="28"/>
  <c r="X106" i="28"/>
  <c r="W106" i="28"/>
  <c r="V106" i="28"/>
  <c r="U106" i="28"/>
  <c r="Z106" i="28"/>
  <c r="Y106" i="28"/>
  <c r="T106" i="28"/>
  <c r="M106" i="28"/>
  <c r="S106" i="28"/>
  <c r="R106" i="28"/>
  <c r="P106" i="28"/>
  <c r="O106" i="28"/>
  <c r="N106" i="28"/>
  <c r="V87" i="28"/>
  <c r="P87" i="28"/>
  <c r="W87" i="28"/>
  <c r="U87" i="28"/>
  <c r="X87" i="28"/>
  <c r="S87" i="28"/>
  <c r="R87" i="28"/>
  <c r="K87" i="28"/>
  <c r="J87" i="28"/>
  <c r="X33" i="28"/>
  <c r="X37" i="28"/>
  <c r="Y51" i="28"/>
  <c r="K53" i="28"/>
  <c r="I53" i="28"/>
  <c r="Z53" i="28"/>
  <c r="Q70" i="28"/>
  <c r="L70" i="28"/>
  <c r="T70" i="28"/>
  <c r="Z70" i="28"/>
  <c r="Y70" i="28"/>
  <c r="X70" i="28"/>
  <c r="V83" i="28"/>
  <c r="P83" i="28"/>
  <c r="N83" i="28"/>
  <c r="L83" i="28"/>
  <c r="K83" i="28"/>
  <c r="J83" i="28"/>
  <c r="Z56" i="28"/>
  <c r="J56" i="28"/>
  <c r="U59" i="28"/>
  <c r="J59" i="28"/>
  <c r="H69" i="28"/>
  <c r="L87" i="28"/>
  <c r="P51" i="28"/>
  <c r="O51" i="28"/>
  <c r="N51" i="28"/>
  <c r="Z62" i="28"/>
  <c r="S62" i="28"/>
  <c r="M62" i="28"/>
  <c r="K62" i="28"/>
  <c r="J62" i="28"/>
  <c r="I62" i="28"/>
  <c r="I69" i="28"/>
  <c r="L85" i="28"/>
  <c r="Z85" i="28"/>
  <c r="Y85" i="28"/>
  <c r="X85" i="28"/>
  <c r="R85" i="28"/>
  <c r="P85" i="28"/>
  <c r="V85" i="28"/>
  <c r="U85" i="28"/>
  <c r="T85" i="28"/>
  <c r="S85" i="28"/>
  <c r="Q85" i="28"/>
  <c r="Q86" i="28"/>
  <c r="K86" i="28"/>
  <c r="M86" i="28"/>
  <c r="L86" i="28"/>
  <c r="V86" i="28"/>
  <c r="R86" i="28"/>
  <c r="P86" i="28"/>
  <c r="O86" i="28"/>
  <c r="N86" i="28"/>
  <c r="J86" i="28"/>
  <c r="M87" i="28"/>
  <c r="X49" i="28"/>
  <c r="V61" i="28"/>
  <c r="X74" i="28"/>
  <c r="Y76" i="28"/>
  <c r="Q78" i="28"/>
  <c r="T78" i="28"/>
  <c r="Y49" i="28"/>
  <c r="W61" i="28"/>
  <c r="X72" i="28"/>
  <c r="Y74" i="28"/>
  <c r="U96" i="28"/>
  <c r="R96" i="28"/>
  <c r="Q96" i="28"/>
  <c r="P96" i="28"/>
  <c r="O96" i="28"/>
  <c r="Z96" i="28"/>
  <c r="X96" i="28"/>
  <c r="W96" i="28"/>
  <c r="L96" i="28"/>
  <c r="Q74" i="28"/>
  <c r="T74" i="28"/>
  <c r="L74" i="28"/>
  <c r="M76" i="28"/>
  <c r="W76" i="28"/>
  <c r="U88" i="28"/>
  <c r="J88" i="28"/>
  <c r="M88" i="28"/>
  <c r="K88" i="28"/>
  <c r="Y88" i="28"/>
  <c r="U61" i="28"/>
  <c r="L61" i="28"/>
  <c r="Z61" i="28"/>
  <c r="Z72" i="28"/>
  <c r="P72" i="28"/>
  <c r="J78" i="28"/>
  <c r="L89" i="28"/>
  <c r="Z89" i="28"/>
  <c r="S89" i="28"/>
  <c r="R89" i="28"/>
  <c r="X89" i="28"/>
  <c r="W89" i="28"/>
  <c r="O89" i="28"/>
  <c r="R84" i="28"/>
  <c r="Q94" i="28"/>
  <c r="K94" i="28"/>
  <c r="V94" i="28"/>
  <c r="U94" i="28"/>
  <c r="T94" i="28"/>
  <c r="S94" i="28"/>
  <c r="J94" i="28"/>
  <c r="L94" i="28"/>
  <c r="V95" i="28"/>
  <c r="P95" i="28"/>
  <c r="I95" i="28"/>
  <c r="Q98" i="28"/>
  <c r="O98" i="28"/>
  <c r="N98" i="28"/>
  <c r="M98" i="28"/>
  <c r="L98" i="28"/>
  <c r="L113" i="28"/>
  <c r="Z113" i="28"/>
  <c r="W113" i="28"/>
  <c r="V113" i="28"/>
  <c r="U113" i="28"/>
  <c r="T113" i="28"/>
  <c r="S113" i="28"/>
  <c r="U84" i="28"/>
  <c r="P84" i="28"/>
  <c r="O84" i="28"/>
  <c r="U92" i="28"/>
  <c r="Y92" i="28"/>
  <c r="X92" i="28"/>
  <c r="W92" i="28"/>
  <c r="V92" i="28"/>
  <c r="N94" i="28"/>
  <c r="L105" i="28"/>
  <c r="Z105" i="28"/>
  <c r="O105" i="28"/>
  <c r="N105" i="28"/>
  <c r="M105" i="28"/>
  <c r="K105" i="28"/>
  <c r="L109" i="28"/>
  <c r="Z109" i="28"/>
  <c r="Q90" i="28"/>
  <c r="K90" i="28"/>
  <c r="Z90" i="28"/>
  <c r="L97" i="28"/>
  <c r="Z97" i="28"/>
  <c r="U104" i="28"/>
  <c r="Z104" i="28"/>
  <c r="V111" i="28"/>
  <c r="P111" i="28"/>
  <c r="Z111" i="28"/>
  <c r="U3" i="28"/>
  <c r="S3" i="28"/>
  <c r="R3" i="28"/>
  <c r="Q3" i="28"/>
  <c r="P3" i="28"/>
  <c r="O3" i="28"/>
  <c r="N3" i="28"/>
  <c r="M3" i="28"/>
  <c r="L3" i="28"/>
  <c r="K3" i="28"/>
  <c r="J3" i="28"/>
  <c r="I3" i="28"/>
  <c r="Z3" i="28"/>
  <c r="Y3" i="28"/>
  <c r="X3" i="28"/>
  <c r="T3" i="28"/>
  <c r="V3" i="28"/>
  <c r="W3" i="28"/>
  <c r="P4" i="28"/>
  <c r="N4" i="28"/>
  <c r="M4" i="28"/>
  <c r="L4" i="28"/>
  <c r="K4" i="28"/>
  <c r="J4" i="28"/>
  <c r="Z4" i="28"/>
  <c r="Y4" i="28"/>
  <c r="X4" i="28"/>
  <c r="W4" i="28"/>
  <c r="V4" i="28"/>
  <c r="U4" i="28"/>
  <c r="T4" i="28"/>
  <c r="S4" i="28"/>
  <c r="O4" i="28"/>
  <c r="Q4" i="28"/>
  <c r="AU101" i="1"/>
  <c r="AS101" i="1" s="1"/>
  <c r="C101" i="1" s="1"/>
  <c r="AQ340" i="1" l="1"/>
  <c r="B340" i="1" s="1"/>
  <c r="R340" i="1"/>
  <c r="AC76" i="28" s="1"/>
  <c r="AD76" i="28" s="1"/>
  <c r="AE76" i="28" s="1"/>
  <c r="AF76" i="28" s="1"/>
  <c r="AG76" i="28" s="1"/>
  <c r="AH76" i="28" s="1"/>
  <c r="AI76" i="28" s="1"/>
  <c r="AJ76" i="28" s="1"/>
  <c r="AK76" i="28" s="1"/>
  <c r="AL76" i="28" s="1"/>
  <c r="AM76" i="28" s="1"/>
  <c r="AN76" i="28" s="1"/>
  <c r="AB76" i="28" s="1"/>
  <c r="I76" i="28" s="1"/>
  <c r="AU513" i="1"/>
  <c r="AS513" i="1" s="1"/>
  <c r="C513" i="1" s="1"/>
  <c r="AQ248" i="1"/>
  <c r="B248" i="1" s="1"/>
  <c r="R248" i="1"/>
  <c r="AC112" i="28" s="1"/>
  <c r="AD112" i="28" s="1"/>
  <c r="AE112" i="28" s="1"/>
  <c r="AF112" i="28" s="1"/>
  <c r="AG112" i="28" s="1"/>
  <c r="AH112" i="28" s="1"/>
  <c r="AI112" i="28" s="1"/>
  <c r="AJ112" i="28" s="1"/>
  <c r="AK112" i="28" s="1"/>
  <c r="AL112" i="28" s="1"/>
  <c r="AM112" i="28" s="1"/>
  <c r="AN112" i="28" s="1"/>
  <c r="AB112" i="28" s="1"/>
  <c r="G112" i="28" s="1"/>
  <c r="AQ251" i="1"/>
  <c r="B251" i="1" s="1"/>
  <c r="AQ250" i="1"/>
  <c r="B250" i="1" s="1"/>
  <c r="AQ249" i="1"/>
  <c r="B249" i="1" s="1"/>
  <c r="AQ247" i="1"/>
  <c r="B247" i="1" s="1"/>
  <c r="R249" i="1"/>
  <c r="R247" i="1"/>
  <c r="R251" i="1"/>
  <c r="AQ345" i="1"/>
  <c r="B345" i="1" s="1"/>
  <c r="R345" i="1"/>
  <c r="AC106" i="28" s="1"/>
  <c r="AD106" i="28" s="1"/>
  <c r="AE106" i="28" s="1"/>
  <c r="AF106" i="28" s="1"/>
  <c r="AG106" i="28" s="1"/>
  <c r="AH106" i="28" s="1"/>
  <c r="AI106" i="28" s="1"/>
  <c r="AJ106" i="28" s="1"/>
  <c r="AK106" i="28" s="1"/>
  <c r="AL106" i="28" s="1"/>
  <c r="AM106" i="28" s="1"/>
  <c r="AN106" i="28" s="1"/>
  <c r="AB106" i="28" s="1"/>
  <c r="G106" i="28" s="1"/>
  <c r="AU401" i="1"/>
  <c r="AS401" i="1" s="1"/>
  <c r="C401" i="1" s="1"/>
  <c r="AQ86" i="1"/>
  <c r="B86" i="1" s="1"/>
  <c r="R86" i="1"/>
  <c r="AQ87" i="1"/>
  <c r="B87" i="1" s="1"/>
  <c r="R87" i="1"/>
  <c r="AU416" i="1"/>
  <c r="AS416" i="1" s="1"/>
  <c r="C416" i="1" s="1"/>
  <c r="AU428" i="1"/>
  <c r="AS428" i="1" s="1"/>
  <c r="C428" i="1" s="1"/>
  <c r="AU476" i="1"/>
  <c r="AS476" i="1" s="1"/>
  <c r="C476" i="1" s="1"/>
  <c r="AU475" i="1"/>
  <c r="AS475" i="1" s="1"/>
  <c r="C475" i="1" s="1"/>
  <c r="AU474" i="1"/>
  <c r="AS474" i="1" s="1"/>
  <c r="C474" i="1" s="1"/>
  <c r="AU455" i="1"/>
  <c r="AS455" i="1" s="1"/>
  <c r="C455" i="1" s="1"/>
  <c r="R476" i="1"/>
  <c r="R475" i="1"/>
  <c r="AU494" i="1"/>
  <c r="AS494" i="1" s="1"/>
  <c r="C494" i="1" s="1"/>
  <c r="AQ430" i="1"/>
  <c r="B430" i="1" s="1"/>
  <c r="AQ429" i="1"/>
  <c r="B429" i="1" s="1"/>
  <c r="R431" i="1"/>
  <c r="R430" i="1"/>
  <c r="AQ127" i="1"/>
  <c r="B127" i="1" s="1"/>
  <c r="R127" i="1"/>
  <c r="AQ126" i="1"/>
  <c r="B126" i="1" s="1"/>
  <c r="R126" i="1"/>
  <c r="AQ535" i="1"/>
  <c r="B535" i="1" s="1"/>
  <c r="R535" i="1"/>
  <c r="AQ534" i="1"/>
  <c r="B534" i="1" s="1"/>
  <c r="R534" i="1"/>
  <c r="AC81" i="28" s="1"/>
  <c r="AD81" i="28" s="1"/>
  <c r="AE81" i="28" s="1"/>
  <c r="AF81" i="28" s="1"/>
  <c r="AG81" i="28" s="1"/>
  <c r="AH81" i="28" s="1"/>
  <c r="AI81" i="28" s="1"/>
  <c r="AJ81" i="28" s="1"/>
  <c r="AK81" i="28" s="1"/>
  <c r="AL81" i="28" s="1"/>
  <c r="AM81" i="28" s="1"/>
  <c r="AN81" i="28" s="1"/>
  <c r="AB81" i="28" s="1"/>
  <c r="AQ533" i="1"/>
  <c r="B533" i="1" s="1"/>
  <c r="R533" i="1"/>
  <c r="AC80" i="28" s="1"/>
  <c r="AD80" i="28" s="1"/>
  <c r="AE80" i="28" s="1"/>
  <c r="AF80" i="28" s="1"/>
  <c r="AG80" i="28" s="1"/>
  <c r="AH80" i="28" s="1"/>
  <c r="AI80" i="28" s="1"/>
  <c r="AJ80" i="28" s="1"/>
  <c r="AK80" i="28" s="1"/>
  <c r="AL80" i="28" s="1"/>
  <c r="AM80" i="28" s="1"/>
  <c r="AN80" i="28" s="1"/>
  <c r="AB80" i="28" s="1"/>
  <c r="J80" i="28" s="1"/>
  <c r="F76" i="28" l="1"/>
  <c r="K80" i="28"/>
  <c r="H112" i="28"/>
  <c r="I112" i="28"/>
  <c r="F112" i="28"/>
  <c r="E112" i="28"/>
  <c r="S248" i="1" s="1"/>
  <c r="E106" i="28"/>
  <c r="BO106" i="28" s="1"/>
  <c r="I81" i="28"/>
  <c r="H81" i="28"/>
  <c r="J81" i="28"/>
  <c r="G81" i="28"/>
  <c r="F81" i="28"/>
  <c r="E81" i="28"/>
  <c r="BO81" i="28" s="1"/>
  <c r="K81" i="28"/>
  <c r="F106" i="28"/>
  <c r="I106" i="28"/>
  <c r="E80" i="28"/>
  <c r="BO80" i="28" s="1"/>
  <c r="H106" i="28"/>
  <c r="E76" i="28"/>
  <c r="BO76" i="28" s="1"/>
  <c r="G80" i="28"/>
  <c r="H80" i="28"/>
  <c r="I80" i="28"/>
  <c r="F80" i="28"/>
  <c r="H76" i="28"/>
  <c r="G76" i="28"/>
  <c r="AQ532" i="1"/>
  <c r="B532" i="1" s="1"/>
  <c r="R532" i="1"/>
  <c r="AC79" i="28" s="1"/>
  <c r="AD79" i="28" s="1"/>
  <c r="AE79" i="28" s="1"/>
  <c r="AF79" i="28" s="1"/>
  <c r="AG79" i="28" s="1"/>
  <c r="AH79" i="28" s="1"/>
  <c r="AI79" i="28" s="1"/>
  <c r="AJ79" i="28" s="1"/>
  <c r="AK79" i="28" s="1"/>
  <c r="AL79" i="28" s="1"/>
  <c r="AM79" i="28" s="1"/>
  <c r="AN79" i="28" s="1"/>
  <c r="AB79" i="28" s="1"/>
  <c r="AQ531" i="1"/>
  <c r="B531" i="1" s="1"/>
  <c r="R531" i="1"/>
  <c r="AU427" i="1"/>
  <c r="AS427" i="1" s="1"/>
  <c r="C427" i="1" s="1"/>
  <c r="AU252" i="1"/>
  <c r="AS252" i="1" s="1"/>
  <c r="C252" i="1" s="1"/>
  <c r="AQ338" i="1"/>
  <c r="B338" i="1" s="1"/>
  <c r="R338" i="1"/>
  <c r="AQ337" i="1"/>
  <c r="B337" i="1" s="1"/>
  <c r="R337" i="1"/>
  <c r="AU411" i="1"/>
  <c r="AS411" i="1" s="1"/>
  <c r="C411" i="1" s="1"/>
  <c r="AU423" i="1"/>
  <c r="AS423" i="1" s="1"/>
  <c r="C423" i="1" s="1"/>
  <c r="AU417" i="1"/>
  <c r="AS417" i="1" s="1"/>
  <c r="C417" i="1" s="1"/>
  <c r="AU418" i="1"/>
  <c r="AS418" i="1" s="1"/>
  <c r="C418" i="1" s="1"/>
  <c r="AU419" i="1"/>
  <c r="AS419" i="1" s="1"/>
  <c r="C419" i="1" s="1"/>
  <c r="AU420" i="1"/>
  <c r="AS420" i="1" s="1"/>
  <c r="C420" i="1" s="1"/>
  <c r="R420" i="1"/>
  <c r="R419" i="1"/>
  <c r="R418" i="1"/>
  <c r="AQ512" i="1"/>
  <c r="B512" i="1" s="1"/>
  <c r="C106" i="28" l="1"/>
  <c r="C112" i="28"/>
  <c r="BO112" i="28"/>
  <c r="S345" i="1"/>
  <c r="S533" i="1"/>
  <c r="S340" i="1"/>
  <c r="C81" i="28"/>
  <c r="C76" i="28"/>
  <c r="H79" i="28"/>
  <c r="I79" i="28"/>
  <c r="F79" i="28"/>
  <c r="G79" i="28"/>
  <c r="E79" i="28"/>
  <c r="K79" i="28"/>
  <c r="J79" i="28"/>
  <c r="C80" i="28"/>
  <c r="S534" i="1"/>
  <c r="R387" i="1"/>
  <c r="AU406" i="1"/>
  <c r="AS406" i="1" s="1"/>
  <c r="C406" i="1" s="1"/>
  <c r="AU257" i="1"/>
  <c r="AS257" i="1" s="1"/>
  <c r="C257" i="1" s="1"/>
  <c r="AU256" i="1"/>
  <c r="AS256" i="1" s="1"/>
  <c r="C256" i="1" s="1"/>
  <c r="R257" i="1"/>
  <c r="AC61" i="28" s="1"/>
  <c r="AD61" i="28" s="1"/>
  <c r="AE61" i="28" s="1"/>
  <c r="AF61" i="28" s="1"/>
  <c r="AG61" i="28" s="1"/>
  <c r="AH61" i="28" s="1"/>
  <c r="AI61" i="28" s="1"/>
  <c r="AJ61" i="28" s="1"/>
  <c r="AK61" i="28" s="1"/>
  <c r="AL61" i="28" s="1"/>
  <c r="AM61" i="28" s="1"/>
  <c r="AN61" i="28" s="1"/>
  <c r="AB61" i="28" s="1"/>
  <c r="AU407" i="1"/>
  <c r="AS407" i="1" s="1"/>
  <c r="C407" i="1" s="1"/>
  <c r="AU255" i="1"/>
  <c r="AS255" i="1" s="1"/>
  <c r="C255" i="1" s="1"/>
  <c r="AU305" i="1"/>
  <c r="AS305" i="1" s="1"/>
  <c r="C305" i="1" s="1"/>
  <c r="AU246" i="1"/>
  <c r="AS246" i="1" s="1"/>
  <c r="C246" i="1" s="1"/>
  <c r="AU304" i="1"/>
  <c r="AS304" i="1" s="1"/>
  <c r="C304" i="1" s="1"/>
  <c r="E61" i="28" l="1"/>
  <c r="H61" i="28"/>
  <c r="F61" i="28"/>
  <c r="G61" i="28"/>
  <c r="BO79" i="28"/>
  <c r="C79" i="28"/>
  <c r="S532" i="1"/>
  <c r="AU320" i="1"/>
  <c r="AS320" i="1" s="1"/>
  <c r="C320" i="1" s="1"/>
  <c r="R320" i="1"/>
  <c r="AU319" i="1"/>
  <c r="AS319" i="1" s="1"/>
  <c r="C319" i="1" s="1"/>
  <c r="AU425" i="1"/>
  <c r="AS425" i="1" s="1"/>
  <c r="C425" i="1" s="1"/>
  <c r="AU413" i="1"/>
  <c r="AS413" i="1" s="1"/>
  <c r="C413" i="1" s="1"/>
  <c r="AU518" i="1"/>
  <c r="AS518" i="1" s="1"/>
  <c r="C518" i="1" s="1"/>
  <c r="R303" i="1"/>
  <c r="AU421" i="1"/>
  <c r="AS421" i="1" s="1"/>
  <c r="C421" i="1" s="1"/>
  <c r="AU130" i="1"/>
  <c r="AS130" i="1" s="1"/>
  <c r="C130" i="1" s="1"/>
  <c r="AU456" i="1"/>
  <c r="AS456" i="1" s="1"/>
  <c r="C456" i="1" s="1"/>
  <c r="AU457" i="1"/>
  <c r="AS457" i="1" s="1"/>
  <c r="C457" i="1" s="1"/>
  <c r="AU458" i="1"/>
  <c r="AS458" i="1" s="1"/>
  <c r="C458" i="1" s="1"/>
  <c r="AU459" i="1"/>
  <c r="AS459" i="1" s="1"/>
  <c r="C459" i="1" s="1"/>
  <c r="R458" i="1"/>
  <c r="AC33" i="28" s="1"/>
  <c r="AD33" i="28" s="1"/>
  <c r="AE33" i="28" s="1"/>
  <c r="AF33" i="28" s="1"/>
  <c r="AG33" i="28" s="1"/>
  <c r="AH33" i="28" s="1"/>
  <c r="AI33" i="28" s="1"/>
  <c r="AJ33" i="28" s="1"/>
  <c r="AK33" i="28" s="1"/>
  <c r="AL33" i="28" s="1"/>
  <c r="AM33" i="28" s="1"/>
  <c r="AN33" i="28" s="1"/>
  <c r="AB33" i="28" s="1"/>
  <c r="R459" i="1"/>
  <c r="R457" i="1"/>
  <c r="AU507" i="1"/>
  <c r="AS507" i="1" s="1"/>
  <c r="C507" i="1" s="1"/>
  <c r="AQ325" i="1"/>
  <c r="B325" i="1" s="1"/>
  <c r="R325" i="1"/>
  <c r="AC30" i="28" s="1"/>
  <c r="AD30" i="28" s="1"/>
  <c r="AE30" i="28" s="1"/>
  <c r="AF30" i="28" s="1"/>
  <c r="AG30" i="28" s="1"/>
  <c r="AH30" i="28" s="1"/>
  <c r="AI30" i="28" s="1"/>
  <c r="AJ30" i="28" s="1"/>
  <c r="AK30" i="28" s="1"/>
  <c r="AL30" i="28" s="1"/>
  <c r="AM30" i="28" s="1"/>
  <c r="AN30" i="28" s="1"/>
  <c r="AB30" i="28" s="1"/>
  <c r="AU240" i="1"/>
  <c r="AS240" i="1" s="1"/>
  <c r="C240" i="1" s="1"/>
  <c r="R240" i="1"/>
  <c r="AC28" i="28" s="1"/>
  <c r="AD28" i="28" s="1"/>
  <c r="AE28" i="28" s="1"/>
  <c r="AF28" i="28" s="1"/>
  <c r="AG28" i="28" s="1"/>
  <c r="AH28" i="28" s="1"/>
  <c r="AI28" i="28" s="1"/>
  <c r="AJ28" i="28" s="1"/>
  <c r="AK28" i="28" s="1"/>
  <c r="AL28" i="28" s="1"/>
  <c r="AM28" i="28" s="1"/>
  <c r="AN28" i="28" s="1"/>
  <c r="AB28" i="28" s="1"/>
  <c r="AU214" i="1"/>
  <c r="AS214" i="1" s="1"/>
  <c r="C214" i="1" s="1"/>
  <c r="AU215" i="1"/>
  <c r="AS215" i="1" s="1"/>
  <c r="C215" i="1" s="1"/>
  <c r="R215" i="1"/>
  <c r="AU216" i="1"/>
  <c r="AS216" i="1" s="1"/>
  <c r="C216" i="1" s="1"/>
  <c r="AU511" i="1"/>
  <c r="AS511" i="1" s="1"/>
  <c r="C511" i="1" s="1"/>
  <c r="AU510" i="1"/>
  <c r="AS510" i="1" s="1"/>
  <c r="C510" i="1" s="1"/>
  <c r="AU509" i="1"/>
  <c r="AS509" i="1" s="1"/>
  <c r="C509" i="1" s="1"/>
  <c r="AU282" i="1"/>
  <c r="AS282" i="1" s="1"/>
  <c r="C282" i="1" s="1"/>
  <c r="AU281" i="1"/>
  <c r="AS281" i="1" s="1"/>
  <c r="C281" i="1" s="1"/>
  <c r="AU280" i="1"/>
  <c r="AS280" i="1" s="1"/>
  <c r="C280" i="1" s="1"/>
  <c r="R282" i="1"/>
  <c r="AC17" i="28" s="1"/>
  <c r="AD17" i="28" s="1"/>
  <c r="AE17" i="28" s="1"/>
  <c r="AF17" i="28" s="1"/>
  <c r="AG17" i="28" s="1"/>
  <c r="AH17" i="28" s="1"/>
  <c r="AI17" i="28" s="1"/>
  <c r="AJ17" i="28" s="1"/>
  <c r="AK17" i="28" s="1"/>
  <c r="AL17" i="28" s="1"/>
  <c r="AM17" i="28" s="1"/>
  <c r="AN17" i="28" s="1"/>
  <c r="AB17" i="28" s="1"/>
  <c r="R281" i="1"/>
  <c r="AU536" i="1"/>
  <c r="AS536" i="1" s="1"/>
  <c r="C536" i="1" s="1"/>
  <c r="AU193" i="1"/>
  <c r="AS193" i="1" s="1"/>
  <c r="C193" i="1" s="1"/>
  <c r="BH193" i="1" s="1"/>
  <c r="AU192" i="1"/>
  <c r="AS192" i="1" s="1"/>
  <c r="C192" i="1" s="1"/>
  <c r="BH192" i="1" s="1"/>
  <c r="AU191" i="1"/>
  <c r="AS191" i="1" s="1"/>
  <c r="C191" i="1" s="1"/>
  <c r="BH191" i="1" s="1"/>
  <c r="AU190" i="1"/>
  <c r="AS190" i="1" s="1"/>
  <c r="C190" i="1" s="1"/>
  <c r="BH190" i="1" s="1"/>
  <c r="AU189" i="1"/>
  <c r="AS189" i="1" s="1"/>
  <c r="C189" i="1" s="1"/>
  <c r="BH189" i="1" s="1"/>
  <c r="AU188" i="1"/>
  <c r="AS188" i="1" s="1"/>
  <c r="C188" i="1" s="1"/>
  <c r="BH188" i="1" s="1"/>
  <c r="R190" i="1"/>
  <c r="R189" i="1"/>
  <c r="R193" i="1"/>
  <c r="R192" i="1"/>
  <c r="AU460" i="1"/>
  <c r="AS460" i="1" s="1"/>
  <c r="C460" i="1" s="1"/>
  <c r="E17" i="28" l="1"/>
  <c r="F17" i="28"/>
  <c r="H17" i="28"/>
  <c r="G17" i="28"/>
  <c r="G28" i="28"/>
  <c r="H28" i="28"/>
  <c r="F28" i="28"/>
  <c r="E28" i="28"/>
  <c r="G30" i="28"/>
  <c r="H30" i="28"/>
  <c r="E30" i="28"/>
  <c r="F30" i="28"/>
  <c r="E33" i="28"/>
  <c r="F33" i="28"/>
  <c r="G33" i="28"/>
  <c r="H33" i="28"/>
  <c r="S257" i="1"/>
  <c r="C61" i="28"/>
  <c r="BO61" i="28"/>
  <c r="AU495" i="1"/>
  <c r="AS495" i="1" s="1"/>
  <c r="C495" i="1" s="1"/>
  <c r="R229" i="1"/>
  <c r="AC6" i="28" s="1"/>
  <c r="AD6" i="28" s="1"/>
  <c r="AE6" i="28" s="1"/>
  <c r="AF6" i="28" s="1"/>
  <c r="AG6" i="28" s="1"/>
  <c r="AH6" i="28" s="1"/>
  <c r="AI6" i="28" s="1"/>
  <c r="AJ6" i="28" s="1"/>
  <c r="AK6" i="28" s="1"/>
  <c r="AL6" i="28" s="1"/>
  <c r="AM6" i="28" s="1"/>
  <c r="AN6" i="28" s="1"/>
  <c r="AB6" i="28" s="1"/>
  <c r="R539" i="1"/>
  <c r="R538" i="1"/>
  <c r="R537" i="1"/>
  <c r="R536" i="1"/>
  <c r="AC16" i="28" s="1"/>
  <c r="AD16" i="28" s="1"/>
  <c r="AE16" i="28" s="1"/>
  <c r="AF16" i="28" s="1"/>
  <c r="AG16" i="28" s="1"/>
  <c r="AH16" i="28" s="1"/>
  <c r="AI16" i="28" s="1"/>
  <c r="AJ16" i="28" s="1"/>
  <c r="AK16" i="28" s="1"/>
  <c r="AL16" i="28" s="1"/>
  <c r="AM16" i="28" s="1"/>
  <c r="AN16" i="28" s="1"/>
  <c r="AB16" i="28" s="1"/>
  <c r="R530" i="1"/>
  <c r="R529" i="1"/>
  <c r="R528" i="1"/>
  <c r="R527" i="1"/>
  <c r="R526" i="1"/>
  <c r="R525" i="1"/>
  <c r="R524" i="1"/>
  <c r="R523" i="1"/>
  <c r="R522" i="1"/>
  <c r="R521" i="1"/>
  <c r="R520" i="1"/>
  <c r="R519" i="1"/>
  <c r="AC26" i="28" s="1"/>
  <c r="AD26" i="28" s="1"/>
  <c r="AE26" i="28" s="1"/>
  <c r="AF26" i="28" s="1"/>
  <c r="AG26" i="28" s="1"/>
  <c r="AH26" i="28" s="1"/>
  <c r="AI26" i="28" s="1"/>
  <c r="AJ26" i="28" s="1"/>
  <c r="AK26" i="28" s="1"/>
  <c r="AL26" i="28" s="1"/>
  <c r="AM26" i="28" s="1"/>
  <c r="AN26" i="28" s="1"/>
  <c r="AB26" i="28" s="1"/>
  <c r="R518" i="1"/>
  <c r="AC45" i="28" s="1"/>
  <c r="AD45" i="28" s="1"/>
  <c r="AE45" i="28" s="1"/>
  <c r="AF45" i="28" s="1"/>
  <c r="AG45" i="28" s="1"/>
  <c r="AH45" i="28" s="1"/>
  <c r="AI45" i="28" s="1"/>
  <c r="AJ45" i="28" s="1"/>
  <c r="AK45" i="28" s="1"/>
  <c r="AL45" i="28" s="1"/>
  <c r="AM45" i="28" s="1"/>
  <c r="AN45" i="28" s="1"/>
  <c r="AB45" i="28" s="1"/>
  <c r="R517" i="1"/>
  <c r="R516" i="1"/>
  <c r="R514" i="1"/>
  <c r="AC99" i="28" s="1"/>
  <c r="AD99" i="28" s="1"/>
  <c r="AE99" i="28" s="1"/>
  <c r="AF99" i="28" s="1"/>
  <c r="AG99" i="28" s="1"/>
  <c r="AH99" i="28" s="1"/>
  <c r="AI99" i="28" s="1"/>
  <c r="AJ99" i="28" s="1"/>
  <c r="AK99" i="28" s="1"/>
  <c r="AL99" i="28" s="1"/>
  <c r="AM99" i="28" s="1"/>
  <c r="AN99" i="28" s="1"/>
  <c r="AB99" i="28" s="1"/>
  <c r="R513" i="1"/>
  <c r="AC114" i="28" s="1"/>
  <c r="AD114" i="28" s="1"/>
  <c r="AE114" i="28" s="1"/>
  <c r="AF114" i="28" s="1"/>
  <c r="AG114" i="28" s="1"/>
  <c r="AH114" i="28" s="1"/>
  <c r="AI114" i="28" s="1"/>
  <c r="AJ114" i="28" s="1"/>
  <c r="AK114" i="28" s="1"/>
  <c r="AL114" i="28" s="1"/>
  <c r="AM114" i="28" s="1"/>
  <c r="AN114" i="28" s="1"/>
  <c r="AB114" i="28" s="1"/>
  <c r="R512" i="1"/>
  <c r="AC68" i="28" s="1"/>
  <c r="AD68" i="28" s="1"/>
  <c r="AE68" i="28" s="1"/>
  <c r="AF68" i="28" s="1"/>
  <c r="AG68" i="28" s="1"/>
  <c r="AH68" i="28" s="1"/>
  <c r="AI68" i="28" s="1"/>
  <c r="AJ68" i="28" s="1"/>
  <c r="AK68" i="28" s="1"/>
  <c r="AL68" i="28" s="1"/>
  <c r="AM68" i="28" s="1"/>
  <c r="AN68" i="28" s="1"/>
  <c r="AB68" i="28" s="1"/>
  <c r="R511" i="1"/>
  <c r="AC24" i="28" s="1"/>
  <c r="AD24" i="28" s="1"/>
  <c r="AE24" i="28" s="1"/>
  <c r="AF24" i="28" s="1"/>
  <c r="AG24" i="28" s="1"/>
  <c r="AH24" i="28" s="1"/>
  <c r="AI24" i="28" s="1"/>
  <c r="AJ24" i="28" s="1"/>
  <c r="AK24" i="28" s="1"/>
  <c r="AL24" i="28" s="1"/>
  <c r="AM24" i="28" s="1"/>
  <c r="AN24" i="28" s="1"/>
  <c r="AB24" i="28" s="1"/>
  <c r="R510" i="1"/>
  <c r="R509" i="1"/>
  <c r="AC23" i="28" s="1"/>
  <c r="AD23" i="28" s="1"/>
  <c r="AE23" i="28" s="1"/>
  <c r="AF23" i="28" s="1"/>
  <c r="AG23" i="28" s="1"/>
  <c r="AH23" i="28" s="1"/>
  <c r="AI23" i="28" s="1"/>
  <c r="AJ23" i="28" s="1"/>
  <c r="AK23" i="28" s="1"/>
  <c r="AL23" i="28" s="1"/>
  <c r="AM23" i="28" s="1"/>
  <c r="AN23" i="28" s="1"/>
  <c r="AB23" i="28" s="1"/>
  <c r="R508" i="1"/>
  <c r="R507" i="1"/>
  <c r="AC31" i="28" s="1"/>
  <c r="AD31" i="28" s="1"/>
  <c r="AE31" i="28" s="1"/>
  <c r="AF31" i="28" s="1"/>
  <c r="AG31" i="28" s="1"/>
  <c r="AH31" i="28" s="1"/>
  <c r="AI31" i="28" s="1"/>
  <c r="AJ31" i="28" s="1"/>
  <c r="AK31" i="28" s="1"/>
  <c r="AL31" i="28" s="1"/>
  <c r="AM31" i="28" s="1"/>
  <c r="AN31" i="28" s="1"/>
  <c r="AB31" i="28" s="1"/>
  <c r="R506" i="1"/>
  <c r="R505" i="1"/>
  <c r="R504" i="1"/>
  <c r="R503" i="1"/>
  <c r="R502" i="1"/>
  <c r="R501" i="1"/>
  <c r="AC88" i="28" s="1"/>
  <c r="AD88" i="28" s="1"/>
  <c r="AE88" i="28" s="1"/>
  <c r="AF88" i="28" s="1"/>
  <c r="AG88" i="28" s="1"/>
  <c r="AH88" i="28" s="1"/>
  <c r="AI88" i="28" s="1"/>
  <c r="AJ88" i="28" s="1"/>
  <c r="AK88" i="28" s="1"/>
  <c r="AL88" i="28" s="1"/>
  <c r="AM88" i="28" s="1"/>
  <c r="AN88" i="28" s="1"/>
  <c r="AB88" i="28" s="1"/>
  <c r="R500" i="1"/>
  <c r="R499" i="1"/>
  <c r="R498" i="1"/>
  <c r="R497" i="1"/>
  <c r="R496" i="1"/>
  <c r="R495" i="1"/>
  <c r="AC7" i="28" s="1"/>
  <c r="AD7" i="28" s="1"/>
  <c r="AE7" i="28" s="1"/>
  <c r="AF7" i="28" s="1"/>
  <c r="AG7" i="28" s="1"/>
  <c r="AH7" i="28" s="1"/>
  <c r="AI7" i="28" s="1"/>
  <c r="AJ7" i="28" s="1"/>
  <c r="AK7" i="28" s="1"/>
  <c r="AL7" i="28" s="1"/>
  <c r="AM7" i="28" s="1"/>
  <c r="AN7" i="28" s="1"/>
  <c r="AB7" i="28" s="1"/>
  <c r="R494" i="1"/>
  <c r="AC87" i="28" s="1"/>
  <c r="AD87" i="28" s="1"/>
  <c r="AE87" i="28" s="1"/>
  <c r="AF87" i="28" s="1"/>
  <c r="AG87" i="28" s="1"/>
  <c r="AH87" i="28" s="1"/>
  <c r="AI87" i="28" s="1"/>
  <c r="AJ87" i="28" s="1"/>
  <c r="AK87" i="28" s="1"/>
  <c r="AL87" i="28" s="1"/>
  <c r="AM87" i="28" s="1"/>
  <c r="AN87" i="28" s="1"/>
  <c r="AB87" i="28" s="1"/>
  <c r="R493" i="1"/>
  <c r="AC35" i="28" s="1"/>
  <c r="AD35" i="28" s="1"/>
  <c r="AE35" i="28" s="1"/>
  <c r="AF35" i="28" s="1"/>
  <c r="AG35" i="28" s="1"/>
  <c r="AH35" i="28" s="1"/>
  <c r="AI35" i="28" s="1"/>
  <c r="AJ35" i="28" s="1"/>
  <c r="AK35" i="28" s="1"/>
  <c r="AL35" i="28" s="1"/>
  <c r="AM35" i="28" s="1"/>
  <c r="AN35" i="28" s="1"/>
  <c r="AB35" i="28" s="1"/>
  <c r="R492" i="1"/>
  <c r="R491" i="1"/>
  <c r="R490" i="1"/>
  <c r="R489" i="1"/>
  <c r="AC84" i="28" s="1"/>
  <c r="AD84" i="28" s="1"/>
  <c r="AE84" i="28" s="1"/>
  <c r="AF84" i="28" s="1"/>
  <c r="AG84" i="28" s="1"/>
  <c r="AH84" i="28" s="1"/>
  <c r="AI84" i="28" s="1"/>
  <c r="AJ84" i="28" s="1"/>
  <c r="AK84" i="28" s="1"/>
  <c r="AL84" i="28" s="1"/>
  <c r="AM84" i="28" s="1"/>
  <c r="AN84" i="28" s="1"/>
  <c r="AB84" i="28" s="1"/>
  <c r="R488" i="1"/>
  <c r="R487" i="1"/>
  <c r="R486" i="1"/>
  <c r="R485" i="1"/>
  <c r="R484" i="1"/>
  <c r="R483" i="1"/>
  <c r="R482" i="1"/>
  <c r="R481" i="1"/>
  <c r="R480" i="1"/>
  <c r="R479" i="1"/>
  <c r="AC85" i="28" s="1"/>
  <c r="AD85" i="28" s="1"/>
  <c r="AE85" i="28" s="1"/>
  <c r="AF85" i="28" s="1"/>
  <c r="AG85" i="28" s="1"/>
  <c r="AH85" i="28" s="1"/>
  <c r="AI85" i="28" s="1"/>
  <c r="AJ85" i="28" s="1"/>
  <c r="AK85" i="28" s="1"/>
  <c r="AL85" i="28" s="1"/>
  <c r="AM85" i="28" s="1"/>
  <c r="AN85" i="28" s="1"/>
  <c r="AB85" i="28" s="1"/>
  <c r="R478" i="1"/>
  <c r="R477" i="1"/>
  <c r="R474" i="1"/>
  <c r="AC93" i="28" s="1"/>
  <c r="AD93" i="28" s="1"/>
  <c r="AE93" i="28" s="1"/>
  <c r="AF93" i="28" s="1"/>
  <c r="AG93" i="28" s="1"/>
  <c r="AH93" i="28" s="1"/>
  <c r="AI93" i="28" s="1"/>
  <c r="AJ93" i="28" s="1"/>
  <c r="AK93" i="28" s="1"/>
  <c r="AL93" i="28" s="1"/>
  <c r="AM93" i="28" s="1"/>
  <c r="AN93" i="28" s="1"/>
  <c r="AB93" i="28" s="1"/>
  <c r="R473" i="1"/>
  <c r="R472" i="1"/>
  <c r="R471" i="1"/>
  <c r="R470" i="1"/>
  <c r="R469" i="1"/>
  <c r="R468" i="1"/>
  <c r="R467" i="1"/>
  <c r="R466" i="1"/>
  <c r="R465" i="1"/>
  <c r="R464" i="1"/>
  <c r="R463" i="1"/>
  <c r="R462" i="1"/>
  <c r="R461" i="1"/>
  <c r="R460" i="1"/>
  <c r="AC9" i="28" s="1"/>
  <c r="AD9" i="28" s="1"/>
  <c r="AE9" i="28" s="1"/>
  <c r="AF9" i="28" s="1"/>
  <c r="AG9" i="28" s="1"/>
  <c r="AH9" i="28" s="1"/>
  <c r="AI9" i="28" s="1"/>
  <c r="AJ9" i="28" s="1"/>
  <c r="AK9" i="28" s="1"/>
  <c r="AL9" i="28" s="1"/>
  <c r="AM9" i="28" s="1"/>
  <c r="AN9" i="28" s="1"/>
  <c r="AB9" i="28" s="1"/>
  <c r="R456" i="1"/>
  <c r="AC32" i="28" s="1"/>
  <c r="AD32" i="28" s="1"/>
  <c r="AE32" i="28" s="1"/>
  <c r="AF32" i="28" s="1"/>
  <c r="AG32" i="28" s="1"/>
  <c r="AH32" i="28" s="1"/>
  <c r="AI32" i="28" s="1"/>
  <c r="AJ32" i="28" s="1"/>
  <c r="AK32" i="28" s="1"/>
  <c r="AL32" i="28" s="1"/>
  <c r="AM32" i="28" s="1"/>
  <c r="AN32" i="28" s="1"/>
  <c r="AB32" i="28" s="1"/>
  <c r="R455" i="1"/>
  <c r="AC94" i="28" s="1"/>
  <c r="AD94" i="28" s="1"/>
  <c r="AE94" i="28" s="1"/>
  <c r="AF94" i="28" s="1"/>
  <c r="AG94" i="28" s="1"/>
  <c r="AH94" i="28" s="1"/>
  <c r="AI94" i="28" s="1"/>
  <c r="AJ94" i="28" s="1"/>
  <c r="AK94" i="28" s="1"/>
  <c r="AL94" i="28" s="1"/>
  <c r="AM94" i="28" s="1"/>
  <c r="AN94" i="28" s="1"/>
  <c r="AB94" i="28" s="1"/>
  <c r="R454" i="1"/>
  <c r="R453" i="1"/>
  <c r="AC100" i="28" s="1"/>
  <c r="AD100" i="28" s="1"/>
  <c r="AE100" i="28" s="1"/>
  <c r="AF100" i="28" s="1"/>
  <c r="AG100" i="28" s="1"/>
  <c r="AH100" i="28" s="1"/>
  <c r="AI100" i="28" s="1"/>
  <c r="AJ100" i="28" s="1"/>
  <c r="AK100" i="28" s="1"/>
  <c r="AL100" i="28" s="1"/>
  <c r="AM100" i="28" s="1"/>
  <c r="AN100" i="28" s="1"/>
  <c r="AB100" i="28" s="1"/>
  <c r="R452" i="1"/>
  <c r="R451" i="1"/>
  <c r="R450" i="1"/>
  <c r="R449" i="1"/>
  <c r="AC92" i="28" s="1"/>
  <c r="AD92" i="28" s="1"/>
  <c r="AE92" i="28" s="1"/>
  <c r="AF92" i="28" s="1"/>
  <c r="AG92" i="28" s="1"/>
  <c r="AH92" i="28" s="1"/>
  <c r="AI92" i="28" s="1"/>
  <c r="AJ92" i="28" s="1"/>
  <c r="AK92" i="28" s="1"/>
  <c r="AL92" i="28" s="1"/>
  <c r="AM92" i="28" s="1"/>
  <c r="AN92" i="28" s="1"/>
  <c r="AB92" i="28" s="1"/>
  <c r="R448" i="1"/>
  <c r="R447" i="1"/>
  <c r="AC91" i="28" s="1"/>
  <c r="AD91" i="28" s="1"/>
  <c r="AE91" i="28" s="1"/>
  <c r="AF91" i="28" s="1"/>
  <c r="AG91" i="28" s="1"/>
  <c r="AH91" i="28" s="1"/>
  <c r="AI91" i="28" s="1"/>
  <c r="AJ91" i="28" s="1"/>
  <c r="AK91" i="28" s="1"/>
  <c r="AL91" i="28" s="1"/>
  <c r="AM91" i="28" s="1"/>
  <c r="AN91" i="28" s="1"/>
  <c r="AB91" i="28" s="1"/>
  <c r="R446" i="1"/>
  <c r="R445" i="1"/>
  <c r="AC13" i="28" s="1"/>
  <c r="AD13" i="28" s="1"/>
  <c r="AE13" i="28" s="1"/>
  <c r="AF13" i="28" s="1"/>
  <c r="AG13" i="28" s="1"/>
  <c r="AH13" i="28" s="1"/>
  <c r="AI13" i="28" s="1"/>
  <c r="AJ13" i="28" s="1"/>
  <c r="AK13" i="28" s="1"/>
  <c r="AL13" i="28" s="1"/>
  <c r="AM13" i="28" s="1"/>
  <c r="AN13" i="28" s="1"/>
  <c r="AB13" i="28" s="1"/>
  <c r="R444" i="1"/>
  <c r="AC5" i="28" s="1"/>
  <c r="AD5" i="28" s="1"/>
  <c r="AE5" i="28" s="1"/>
  <c r="AF5" i="28" s="1"/>
  <c r="AG5" i="28" s="1"/>
  <c r="AH5" i="28" s="1"/>
  <c r="AI5" i="28" s="1"/>
  <c r="AJ5" i="28" s="1"/>
  <c r="AK5" i="28" s="1"/>
  <c r="AL5" i="28" s="1"/>
  <c r="AM5" i="28" s="1"/>
  <c r="AN5" i="28" s="1"/>
  <c r="AB5" i="28" s="1"/>
  <c r="R443" i="1"/>
  <c r="R442" i="1"/>
  <c r="R441" i="1"/>
  <c r="R440" i="1"/>
  <c r="R439" i="1"/>
  <c r="R438" i="1"/>
  <c r="R437" i="1"/>
  <c r="R436" i="1"/>
  <c r="R435" i="1"/>
  <c r="R434" i="1"/>
  <c r="R433" i="1"/>
  <c r="R432" i="1"/>
  <c r="R429" i="1"/>
  <c r="AC86" i="28" s="1"/>
  <c r="AD86" i="28" s="1"/>
  <c r="AE86" i="28" s="1"/>
  <c r="AF86" i="28" s="1"/>
  <c r="AG86" i="28" s="1"/>
  <c r="AH86" i="28" s="1"/>
  <c r="AI86" i="28" s="1"/>
  <c r="AJ86" i="28" s="1"/>
  <c r="AK86" i="28" s="1"/>
  <c r="AL86" i="28" s="1"/>
  <c r="AM86" i="28" s="1"/>
  <c r="AN86" i="28" s="1"/>
  <c r="AB86" i="28" s="1"/>
  <c r="R428" i="1"/>
  <c r="AC97" i="28" s="1"/>
  <c r="AD97" i="28" s="1"/>
  <c r="AE97" i="28" s="1"/>
  <c r="AF97" i="28" s="1"/>
  <c r="AG97" i="28" s="1"/>
  <c r="AH97" i="28" s="1"/>
  <c r="AI97" i="28" s="1"/>
  <c r="AJ97" i="28" s="1"/>
  <c r="AK97" i="28" s="1"/>
  <c r="AL97" i="28" s="1"/>
  <c r="AM97" i="28" s="1"/>
  <c r="AN97" i="28" s="1"/>
  <c r="AB97" i="28" s="1"/>
  <c r="R427" i="1"/>
  <c r="AC78" i="28" s="1"/>
  <c r="AD78" i="28" s="1"/>
  <c r="AE78" i="28" s="1"/>
  <c r="AF78" i="28" s="1"/>
  <c r="AG78" i="28" s="1"/>
  <c r="AH78" i="28" s="1"/>
  <c r="AI78" i="28" s="1"/>
  <c r="AJ78" i="28" s="1"/>
  <c r="AK78" i="28" s="1"/>
  <c r="AL78" i="28" s="1"/>
  <c r="AM78" i="28" s="1"/>
  <c r="AN78" i="28" s="1"/>
  <c r="AB78" i="28" s="1"/>
  <c r="R426" i="1"/>
  <c r="R425" i="1"/>
  <c r="AC46" i="28" s="1"/>
  <c r="AD46" i="28" s="1"/>
  <c r="AE46" i="28" s="1"/>
  <c r="AF46" i="28" s="1"/>
  <c r="AG46" i="28" s="1"/>
  <c r="AH46" i="28" s="1"/>
  <c r="AI46" i="28" s="1"/>
  <c r="AJ46" i="28" s="1"/>
  <c r="AK46" i="28" s="1"/>
  <c r="AL46" i="28" s="1"/>
  <c r="AM46" i="28" s="1"/>
  <c r="AN46" i="28" s="1"/>
  <c r="AB46" i="28" s="1"/>
  <c r="R423" i="1"/>
  <c r="AC72" i="28" s="1"/>
  <c r="AD72" i="28" s="1"/>
  <c r="AE72" i="28" s="1"/>
  <c r="AF72" i="28" s="1"/>
  <c r="AG72" i="28" s="1"/>
  <c r="AH72" i="28" s="1"/>
  <c r="AI72" i="28" s="1"/>
  <c r="AJ72" i="28" s="1"/>
  <c r="AK72" i="28" s="1"/>
  <c r="AL72" i="28" s="1"/>
  <c r="AM72" i="28" s="1"/>
  <c r="AN72" i="28" s="1"/>
  <c r="AB72" i="28" s="1"/>
  <c r="R422" i="1"/>
  <c r="R421" i="1"/>
  <c r="AC37" i="28" s="1"/>
  <c r="AD37" i="28" s="1"/>
  <c r="AE37" i="28" s="1"/>
  <c r="AF37" i="28" s="1"/>
  <c r="AG37" i="28" s="1"/>
  <c r="AH37" i="28" s="1"/>
  <c r="AI37" i="28" s="1"/>
  <c r="AJ37" i="28" s="1"/>
  <c r="R417" i="1"/>
  <c r="AC73" i="28" s="1"/>
  <c r="AD73" i="28" s="1"/>
  <c r="AE73" i="28" s="1"/>
  <c r="AF73" i="28" s="1"/>
  <c r="AG73" i="28" s="1"/>
  <c r="AH73" i="28" s="1"/>
  <c r="AI73" i="28" s="1"/>
  <c r="AJ73" i="28" s="1"/>
  <c r="AK73" i="28" s="1"/>
  <c r="AL73" i="28" s="1"/>
  <c r="AM73" i="28" s="1"/>
  <c r="AN73" i="28" s="1"/>
  <c r="AB73" i="28" s="1"/>
  <c r="R416" i="1"/>
  <c r="AC98" i="28" s="1"/>
  <c r="AD98" i="28" s="1"/>
  <c r="AE98" i="28" s="1"/>
  <c r="AF98" i="28" s="1"/>
  <c r="AG98" i="28" s="1"/>
  <c r="AH98" i="28" s="1"/>
  <c r="AI98" i="28" s="1"/>
  <c r="AJ98" i="28" s="1"/>
  <c r="AK98" i="28" s="1"/>
  <c r="AL98" i="28" s="1"/>
  <c r="AM98" i="28" s="1"/>
  <c r="AN98" i="28" s="1"/>
  <c r="AB98" i="28" s="1"/>
  <c r="R415" i="1"/>
  <c r="R414" i="1"/>
  <c r="R413" i="1"/>
  <c r="AC49" i="28" s="1"/>
  <c r="AD49" i="28" s="1"/>
  <c r="AE49" i="28" s="1"/>
  <c r="AF49" i="28" s="1"/>
  <c r="AG49" i="28" s="1"/>
  <c r="AH49" i="28" s="1"/>
  <c r="AI49" i="28" s="1"/>
  <c r="AJ49" i="28" s="1"/>
  <c r="AK49" i="28" s="1"/>
  <c r="AL49" i="28" s="1"/>
  <c r="AM49" i="28" s="1"/>
  <c r="AN49" i="28" s="1"/>
  <c r="AB49" i="28" s="1"/>
  <c r="R411" i="1"/>
  <c r="AC74" i="28" s="1"/>
  <c r="AD74" i="28" s="1"/>
  <c r="AE74" i="28" s="1"/>
  <c r="AF74" i="28" s="1"/>
  <c r="AG74" i="28" s="1"/>
  <c r="AH74" i="28" s="1"/>
  <c r="AI74" i="28" s="1"/>
  <c r="AJ74" i="28" s="1"/>
  <c r="AK74" i="28" s="1"/>
  <c r="AL74" i="28" s="1"/>
  <c r="AM74" i="28" s="1"/>
  <c r="AN74" i="28" s="1"/>
  <c r="AB74" i="28" s="1"/>
  <c r="R410" i="1"/>
  <c r="AC55" i="28" s="1"/>
  <c r="AD55" i="28" s="1"/>
  <c r="AE55" i="28" s="1"/>
  <c r="AF55" i="28" s="1"/>
  <c r="AG55" i="28" s="1"/>
  <c r="AH55" i="28" s="1"/>
  <c r="AI55" i="28" s="1"/>
  <c r="AJ55" i="28" s="1"/>
  <c r="AK55" i="28" s="1"/>
  <c r="AL55" i="28" s="1"/>
  <c r="AM55" i="28" s="1"/>
  <c r="AN55" i="28" s="1"/>
  <c r="AB55" i="28" s="1"/>
  <c r="R409" i="1"/>
  <c r="R408" i="1"/>
  <c r="AC52" i="28" s="1"/>
  <c r="AD52" i="28" s="1"/>
  <c r="AE52" i="28" s="1"/>
  <c r="AF52" i="28" s="1"/>
  <c r="AG52" i="28" s="1"/>
  <c r="AH52" i="28" s="1"/>
  <c r="AI52" i="28" s="1"/>
  <c r="AJ52" i="28" s="1"/>
  <c r="AK52" i="28" s="1"/>
  <c r="AL52" i="28" s="1"/>
  <c r="AM52" i="28" s="1"/>
  <c r="AN52" i="28" s="1"/>
  <c r="AB52" i="28" s="1"/>
  <c r="R407" i="1"/>
  <c r="AC60" i="28" s="1"/>
  <c r="AD60" i="28" s="1"/>
  <c r="AE60" i="28" s="1"/>
  <c r="AF60" i="28" s="1"/>
  <c r="AG60" i="28" s="1"/>
  <c r="AH60" i="28" s="1"/>
  <c r="AI60" i="28" s="1"/>
  <c r="AJ60" i="28" s="1"/>
  <c r="AK60" i="28" s="1"/>
  <c r="AL60" i="28" s="1"/>
  <c r="AM60" i="28" s="1"/>
  <c r="AN60" i="28" s="1"/>
  <c r="AB60" i="28" s="1"/>
  <c r="R406" i="1"/>
  <c r="AC62" i="28" s="1"/>
  <c r="AD62" i="28" s="1"/>
  <c r="AE62" i="28" s="1"/>
  <c r="AF62" i="28" s="1"/>
  <c r="AG62" i="28" s="1"/>
  <c r="AH62" i="28" s="1"/>
  <c r="AI62" i="28" s="1"/>
  <c r="AJ62" i="28" s="1"/>
  <c r="AK62" i="28" s="1"/>
  <c r="AL62" i="28" s="1"/>
  <c r="AM62" i="28" s="1"/>
  <c r="AN62" i="28" s="1"/>
  <c r="AB62" i="28" s="1"/>
  <c r="R405" i="1"/>
  <c r="AC42" i="28" s="1"/>
  <c r="AD42" i="28" s="1"/>
  <c r="AE42" i="28" s="1"/>
  <c r="AF42" i="28" s="1"/>
  <c r="AG42" i="28" s="1"/>
  <c r="AH42" i="28" s="1"/>
  <c r="AI42" i="28" s="1"/>
  <c r="AJ42" i="28" s="1"/>
  <c r="AK42" i="28" s="1"/>
  <c r="AL42" i="28" s="1"/>
  <c r="AM42" i="28" s="1"/>
  <c r="AN42" i="28" s="1"/>
  <c r="AB42" i="28" s="1"/>
  <c r="R404" i="1"/>
  <c r="R403" i="1"/>
  <c r="AC58" i="28" s="1"/>
  <c r="AD58" i="28" s="1"/>
  <c r="AE58" i="28" s="1"/>
  <c r="AF58" i="28" s="1"/>
  <c r="AG58" i="28" s="1"/>
  <c r="AH58" i="28" s="1"/>
  <c r="AI58" i="28" s="1"/>
  <c r="AJ58" i="28" s="1"/>
  <c r="AK58" i="28" s="1"/>
  <c r="AL58" i="28" s="1"/>
  <c r="AM58" i="28" s="1"/>
  <c r="AN58" i="28" s="1"/>
  <c r="AB58" i="28" s="1"/>
  <c r="R402" i="1"/>
  <c r="R401" i="1"/>
  <c r="AC102" i="28" s="1"/>
  <c r="AD102" i="28" s="1"/>
  <c r="AE102" i="28" s="1"/>
  <c r="AF102" i="28" s="1"/>
  <c r="AG102" i="28" s="1"/>
  <c r="AH102" i="28" s="1"/>
  <c r="AI102" i="28" s="1"/>
  <c r="AJ102" i="28" s="1"/>
  <c r="AK102" i="28" s="1"/>
  <c r="AL102" i="28" s="1"/>
  <c r="AM102" i="28" s="1"/>
  <c r="AN102" i="28" s="1"/>
  <c r="AB102" i="28" s="1"/>
  <c r="R400" i="1"/>
  <c r="R399" i="1"/>
  <c r="R398" i="1"/>
  <c r="R397" i="1"/>
  <c r="R396" i="1"/>
  <c r="R395" i="1"/>
  <c r="R394" i="1"/>
  <c r="R393" i="1"/>
  <c r="R392" i="1"/>
  <c r="R391" i="1"/>
  <c r="R390" i="1"/>
  <c r="R389" i="1"/>
  <c r="R388" i="1"/>
  <c r="R386" i="1"/>
  <c r="R385" i="1"/>
  <c r="AC67" i="28" s="1"/>
  <c r="AD67" i="28" s="1"/>
  <c r="AE67" i="28" s="1"/>
  <c r="AF67" i="28" s="1"/>
  <c r="AG67" i="28" s="1"/>
  <c r="AH67" i="28" s="1"/>
  <c r="AI67" i="28" s="1"/>
  <c r="AJ67" i="28" s="1"/>
  <c r="AK67" i="28" s="1"/>
  <c r="AL67" i="28" s="1"/>
  <c r="AM67" i="28" s="1"/>
  <c r="AN67" i="28" s="1"/>
  <c r="AB67" i="28" s="1"/>
  <c r="R384" i="1"/>
  <c r="R383" i="1"/>
  <c r="R382" i="1"/>
  <c r="AC69" i="28" s="1"/>
  <c r="AD69" i="28" s="1"/>
  <c r="AE69" i="28" s="1"/>
  <c r="AF69" i="28" s="1"/>
  <c r="AG69" i="28" s="1"/>
  <c r="AH69" i="28" s="1"/>
  <c r="AI69" i="28" s="1"/>
  <c r="AJ69" i="28" s="1"/>
  <c r="AK69" i="28" s="1"/>
  <c r="AL69" i="28" s="1"/>
  <c r="AM69" i="28" s="1"/>
  <c r="AN69" i="28" s="1"/>
  <c r="AB69" i="28" s="1"/>
  <c r="R381" i="1"/>
  <c r="R380" i="1"/>
  <c r="R379" i="1"/>
  <c r="R378" i="1"/>
  <c r="R377" i="1"/>
  <c r="R376" i="1"/>
  <c r="R375" i="1"/>
  <c r="R374" i="1"/>
  <c r="AC70" i="28" s="1"/>
  <c r="AD70" i="28" s="1"/>
  <c r="AE70" i="28" s="1"/>
  <c r="AF70" i="28" s="1"/>
  <c r="AG70" i="28" s="1"/>
  <c r="AH70" i="28" s="1"/>
  <c r="AI70" i="28" s="1"/>
  <c r="AJ70" i="28" s="1"/>
  <c r="AK70" i="28" s="1"/>
  <c r="AL70" i="28" s="1"/>
  <c r="AM70" i="28" s="1"/>
  <c r="AN70" i="28" s="1"/>
  <c r="AB70" i="28" s="1"/>
  <c r="R373" i="1"/>
  <c r="AC63" i="28" s="1"/>
  <c r="AD63" i="28" s="1"/>
  <c r="AE63" i="28" s="1"/>
  <c r="AF63" i="28" s="1"/>
  <c r="AG63" i="28" s="1"/>
  <c r="AH63" i="28" s="1"/>
  <c r="AI63" i="28" s="1"/>
  <c r="AJ63" i="28" s="1"/>
  <c r="AK63" i="28" s="1"/>
  <c r="AL63" i="28" s="1"/>
  <c r="AM63" i="28" s="1"/>
  <c r="AN63" i="28" s="1"/>
  <c r="AB63" i="28" s="1"/>
  <c r="R372" i="1"/>
  <c r="R371" i="1"/>
  <c r="R370" i="1"/>
  <c r="R369" i="1"/>
  <c r="R368" i="1"/>
  <c r="R367" i="1"/>
  <c r="AC115" i="28" s="1"/>
  <c r="AD115" i="28" s="1"/>
  <c r="AE115" i="28" s="1"/>
  <c r="AF115" i="28" s="1"/>
  <c r="AG115" i="28" s="1"/>
  <c r="AH115" i="28" s="1"/>
  <c r="AI115" i="28" s="1"/>
  <c r="AJ115" i="28" s="1"/>
  <c r="AK115" i="28" s="1"/>
  <c r="AL115" i="28" s="1"/>
  <c r="AM115" i="28" s="1"/>
  <c r="AN115" i="28" s="1"/>
  <c r="AB115" i="28" s="1"/>
  <c r="R366" i="1"/>
  <c r="R365" i="1"/>
  <c r="R364" i="1"/>
  <c r="R363" i="1"/>
  <c r="R362" i="1"/>
  <c r="R361" i="1"/>
  <c r="R360" i="1"/>
  <c r="R359" i="1"/>
  <c r="R358" i="1"/>
  <c r="R357" i="1"/>
  <c r="R356" i="1"/>
  <c r="AC65" i="28" s="1"/>
  <c r="AD65" i="28" s="1"/>
  <c r="AE65" i="28" s="1"/>
  <c r="AF65" i="28" s="1"/>
  <c r="AG65" i="28" s="1"/>
  <c r="AH65" i="28" s="1"/>
  <c r="AI65" i="28" s="1"/>
  <c r="AJ65" i="28" s="1"/>
  <c r="AK65" i="28" s="1"/>
  <c r="AL65" i="28" s="1"/>
  <c r="AM65" i="28" s="1"/>
  <c r="AN65" i="28" s="1"/>
  <c r="AB65" i="28" s="1"/>
  <c r="R355" i="1"/>
  <c r="R354" i="1"/>
  <c r="R353" i="1"/>
  <c r="R352" i="1"/>
  <c r="AC66" i="28" s="1"/>
  <c r="AD66" i="28" s="1"/>
  <c r="AE66" i="28" s="1"/>
  <c r="AF66" i="28" s="1"/>
  <c r="AG66" i="28" s="1"/>
  <c r="AH66" i="28" s="1"/>
  <c r="AI66" i="28" s="1"/>
  <c r="AJ66" i="28" s="1"/>
  <c r="AK66" i="28" s="1"/>
  <c r="AL66" i="28" s="1"/>
  <c r="AM66" i="28" s="1"/>
  <c r="AN66" i="28" s="1"/>
  <c r="AB66" i="28" s="1"/>
  <c r="R351" i="1"/>
  <c r="R350" i="1"/>
  <c r="R349" i="1"/>
  <c r="R348" i="1"/>
  <c r="AC107" i="28" s="1"/>
  <c r="AD107" i="28" s="1"/>
  <c r="AE107" i="28" s="1"/>
  <c r="AF107" i="28" s="1"/>
  <c r="AG107" i="28" s="1"/>
  <c r="AH107" i="28" s="1"/>
  <c r="AI107" i="28" s="1"/>
  <c r="AJ107" i="28" s="1"/>
  <c r="AK107" i="28" s="1"/>
  <c r="AL107" i="28" s="1"/>
  <c r="AM107" i="28" s="1"/>
  <c r="AN107" i="28" s="1"/>
  <c r="AB107" i="28" s="1"/>
  <c r="R347" i="1"/>
  <c r="AC105" i="28" s="1"/>
  <c r="AD105" i="28" s="1"/>
  <c r="AE105" i="28" s="1"/>
  <c r="AF105" i="28" s="1"/>
  <c r="AG105" i="28" s="1"/>
  <c r="AH105" i="28" s="1"/>
  <c r="AI105" i="28" s="1"/>
  <c r="AJ105" i="28" s="1"/>
  <c r="AK105" i="28" s="1"/>
  <c r="AL105" i="28" s="1"/>
  <c r="AM105" i="28" s="1"/>
  <c r="AN105" i="28" s="1"/>
  <c r="AB105" i="28" s="1"/>
  <c r="R346" i="1"/>
  <c r="R344" i="1"/>
  <c r="AC104" i="28" s="1"/>
  <c r="AD104" i="28" s="1"/>
  <c r="AE104" i="28" s="1"/>
  <c r="AF104" i="28" s="1"/>
  <c r="AG104" i="28" s="1"/>
  <c r="AH104" i="28" s="1"/>
  <c r="AI104" i="28" s="1"/>
  <c r="AJ104" i="28" s="1"/>
  <c r="AK104" i="28" s="1"/>
  <c r="AL104" i="28" s="1"/>
  <c r="AM104" i="28" s="1"/>
  <c r="AN104" i="28" s="1"/>
  <c r="AB104" i="28" s="1"/>
  <c r="R343" i="1"/>
  <c r="R342" i="1"/>
  <c r="R341" i="1"/>
  <c r="R339" i="1"/>
  <c r="AC75" i="28" s="1"/>
  <c r="AD75" i="28" s="1"/>
  <c r="AE75" i="28" s="1"/>
  <c r="AF75" i="28" s="1"/>
  <c r="AG75" i="28" s="1"/>
  <c r="AH75" i="28" s="1"/>
  <c r="AI75" i="28" s="1"/>
  <c r="AJ75" i="28" s="1"/>
  <c r="AK75" i="28" s="1"/>
  <c r="AL75" i="28" s="1"/>
  <c r="AM75" i="28" s="1"/>
  <c r="AN75" i="28" s="1"/>
  <c r="AB75" i="28" s="1"/>
  <c r="R336" i="1"/>
  <c r="R335" i="1"/>
  <c r="R334" i="1"/>
  <c r="R333" i="1"/>
  <c r="R332" i="1"/>
  <c r="R331" i="1"/>
  <c r="R330" i="1"/>
  <c r="R329" i="1"/>
  <c r="R328" i="1"/>
  <c r="R327" i="1"/>
  <c r="R326" i="1"/>
  <c r="R324" i="1"/>
  <c r="AC29" i="28" s="1"/>
  <c r="AD29" i="28" s="1"/>
  <c r="AE29" i="28" s="1"/>
  <c r="AF29" i="28" s="1"/>
  <c r="AG29" i="28" s="1"/>
  <c r="AH29" i="28" s="1"/>
  <c r="AI29" i="28" s="1"/>
  <c r="AJ29" i="28" s="1"/>
  <c r="AK29" i="28" s="1"/>
  <c r="AL29" i="28" s="1"/>
  <c r="AM29" i="28" s="1"/>
  <c r="AN29" i="28" s="1"/>
  <c r="AB29" i="28" s="1"/>
  <c r="R323" i="1"/>
  <c r="AC90" i="28" s="1"/>
  <c r="AD90" i="28" s="1"/>
  <c r="AE90" i="28" s="1"/>
  <c r="AF90" i="28" s="1"/>
  <c r="AG90" i="28" s="1"/>
  <c r="AH90" i="28" s="1"/>
  <c r="AI90" i="28" s="1"/>
  <c r="AJ90" i="28" s="1"/>
  <c r="AK90" i="28" s="1"/>
  <c r="AL90" i="28" s="1"/>
  <c r="AM90" i="28" s="1"/>
  <c r="AN90" i="28" s="1"/>
  <c r="AB90" i="28" s="1"/>
  <c r="R322" i="1"/>
  <c r="AC89" i="28" s="1"/>
  <c r="AD89" i="28" s="1"/>
  <c r="AE89" i="28" s="1"/>
  <c r="AF89" i="28" s="1"/>
  <c r="AG89" i="28" s="1"/>
  <c r="AH89" i="28" s="1"/>
  <c r="AI89" i="28" s="1"/>
  <c r="AJ89" i="28" s="1"/>
  <c r="AK89" i="28" s="1"/>
  <c r="AL89" i="28" s="1"/>
  <c r="AM89" i="28" s="1"/>
  <c r="AN89" i="28" s="1"/>
  <c r="AB89" i="28" s="1"/>
  <c r="R321" i="1"/>
  <c r="R319" i="1"/>
  <c r="AC48" i="28" s="1"/>
  <c r="AD48" i="28" s="1"/>
  <c r="AE48" i="28" s="1"/>
  <c r="AF48" i="28" s="1"/>
  <c r="AG48" i="28" s="1"/>
  <c r="AH48" i="28" s="1"/>
  <c r="AI48" i="28" s="1"/>
  <c r="AJ48" i="28" s="1"/>
  <c r="AK48" i="28" s="1"/>
  <c r="AL48" i="28" s="1"/>
  <c r="AM48" i="28" s="1"/>
  <c r="AN48" i="28" s="1"/>
  <c r="AB48" i="28" s="1"/>
  <c r="R318" i="1"/>
  <c r="R317" i="1"/>
  <c r="R316" i="1"/>
  <c r="R315" i="1"/>
  <c r="R314" i="1"/>
  <c r="R313" i="1"/>
  <c r="R312" i="1"/>
  <c r="R311" i="1"/>
  <c r="R310" i="1"/>
  <c r="R309" i="1"/>
  <c r="R308" i="1"/>
  <c r="R307" i="1"/>
  <c r="R306" i="1"/>
  <c r="R305" i="1"/>
  <c r="AC57" i="28" s="1"/>
  <c r="AD57" i="28" s="1"/>
  <c r="AE57" i="28" s="1"/>
  <c r="AF57" i="28" s="1"/>
  <c r="AG57" i="28" s="1"/>
  <c r="AH57" i="28" s="1"/>
  <c r="AI57" i="28" s="1"/>
  <c r="AJ57" i="28" s="1"/>
  <c r="AK57" i="28" s="1"/>
  <c r="AL57" i="28" s="1"/>
  <c r="AM57" i="28" s="1"/>
  <c r="AN57" i="28" s="1"/>
  <c r="AB57" i="28" s="1"/>
  <c r="R304" i="1"/>
  <c r="AC51" i="28" s="1"/>
  <c r="AD51" i="28" s="1"/>
  <c r="AE51" i="28" s="1"/>
  <c r="AF51" i="28" s="1"/>
  <c r="AG51" i="28" s="1"/>
  <c r="AH51" i="28" s="1"/>
  <c r="AI51" i="28" s="1"/>
  <c r="AJ51" i="28" s="1"/>
  <c r="AK51" i="28" s="1"/>
  <c r="AL51" i="28" s="1"/>
  <c r="AM51" i="28" s="1"/>
  <c r="AN51" i="28" s="1"/>
  <c r="AB51" i="28" s="1"/>
  <c r="R302" i="1"/>
  <c r="AC38" i="28" s="1"/>
  <c r="AD38" i="28" s="1"/>
  <c r="AE38" i="28" s="1"/>
  <c r="AF38" i="28" s="1"/>
  <c r="AG38" i="28" s="1"/>
  <c r="AH38" i="28" s="1"/>
  <c r="AI38" i="28" s="1"/>
  <c r="AJ38" i="28" s="1"/>
  <c r="AK38" i="28" s="1"/>
  <c r="AL38" i="28" s="1"/>
  <c r="AM38" i="28" s="1"/>
  <c r="AN38" i="28" s="1"/>
  <c r="AB38" i="28" s="1"/>
  <c r="R301" i="1"/>
  <c r="R300" i="1"/>
  <c r="AC47" i="28" s="1"/>
  <c r="AD47" i="28" s="1"/>
  <c r="AE47" i="28" s="1"/>
  <c r="AF47" i="28" s="1"/>
  <c r="AG47" i="28" s="1"/>
  <c r="AH47" i="28" s="1"/>
  <c r="AI47" i="28" s="1"/>
  <c r="AJ47" i="28" s="1"/>
  <c r="AK47" i="28" s="1"/>
  <c r="AL47" i="28" s="1"/>
  <c r="AM47" i="28" s="1"/>
  <c r="AN47" i="28" s="1"/>
  <c r="AB47" i="28" s="1"/>
  <c r="R299" i="1"/>
  <c r="R298" i="1"/>
  <c r="R297" i="1"/>
  <c r="R296" i="1"/>
  <c r="R295" i="1"/>
  <c r="R294" i="1"/>
  <c r="R293" i="1"/>
  <c r="R292" i="1"/>
  <c r="R291" i="1"/>
  <c r="R290" i="1"/>
  <c r="R289" i="1"/>
  <c r="R288" i="1"/>
  <c r="R287" i="1"/>
  <c r="AC109" i="28" s="1"/>
  <c r="AD109" i="28" s="1"/>
  <c r="AE109" i="28" s="1"/>
  <c r="AF109" i="28" s="1"/>
  <c r="AG109" i="28" s="1"/>
  <c r="AH109" i="28" s="1"/>
  <c r="AI109" i="28" s="1"/>
  <c r="AJ109" i="28" s="1"/>
  <c r="AK109" i="28" s="1"/>
  <c r="AL109" i="28" s="1"/>
  <c r="AM109" i="28" s="1"/>
  <c r="AN109" i="28" s="1"/>
  <c r="AB109" i="28" s="1"/>
  <c r="R286" i="1"/>
  <c r="R285" i="1"/>
  <c r="R284" i="1"/>
  <c r="R283" i="1"/>
  <c r="R280" i="1"/>
  <c r="R279" i="1"/>
  <c r="R278" i="1"/>
  <c r="R277" i="1"/>
  <c r="R276" i="1"/>
  <c r="R275" i="1"/>
  <c r="R274" i="1"/>
  <c r="R273" i="1"/>
  <c r="R272" i="1"/>
  <c r="R271" i="1"/>
  <c r="AC71" i="28" s="1"/>
  <c r="AD71" i="28" s="1"/>
  <c r="AE71" i="28" s="1"/>
  <c r="AF71" i="28" s="1"/>
  <c r="AG71" i="28" s="1"/>
  <c r="AH71" i="28" s="1"/>
  <c r="AI71" i="28" s="1"/>
  <c r="AJ71" i="28" s="1"/>
  <c r="AK71" i="28" s="1"/>
  <c r="AL71" i="28" s="1"/>
  <c r="AM71" i="28" s="1"/>
  <c r="AN71" i="28" s="1"/>
  <c r="AB71" i="28" s="1"/>
  <c r="R270" i="1"/>
  <c r="R269" i="1"/>
  <c r="R268" i="1"/>
  <c r="AC64" i="28" s="1"/>
  <c r="AD64" i="28" s="1"/>
  <c r="AE64" i="28" s="1"/>
  <c r="AF64" i="28" s="1"/>
  <c r="AG64" i="28" s="1"/>
  <c r="AH64" i="28" s="1"/>
  <c r="AI64" i="28" s="1"/>
  <c r="AJ64" i="28" s="1"/>
  <c r="AK64" i="28" s="1"/>
  <c r="AL64" i="28" s="1"/>
  <c r="AM64" i="28" s="1"/>
  <c r="AN64" i="28" s="1"/>
  <c r="AB64" i="28" s="1"/>
  <c r="R267" i="1"/>
  <c r="R266" i="1"/>
  <c r="R265" i="1"/>
  <c r="R264" i="1"/>
  <c r="R263" i="1"/>
  <c r="AC40" i="28" s="1"/>
  <c r="AD40" i="28" s="1"/>
  <c r="AE40" i="28" s="1"/>
  <c r="AF40" i="28" s="1"/>
  <c r="AG40" i="28" s="1"/>
  <c r="AH40" i="28" s="1"/>
  <c r="AI40" i="28" s="1"/>
  <c r="AJ40" i="28" s="1"/>
  <c r="AK40" i="28" s="1"/>
  <c r="AL40" i="28" s="1"/>
  <c r="AM40" i="28" s="1"/>
  <c r="AN40" i="28" s="1"/>
  <c r="AB40" i="28" s="1"/>
  <c r="R262" i="1"/>
  <c r="R261" i="1"/>
  <c r="R260" i="1"/>
  <c r="AC56" i="28" s="1"/>
  <c r="AD56" i="28" s="1"/>
  <c r="AE56" i="28" s="1"/>
  <c r="AF56" i="28" s="1"/>
  <c r="AG56" i="28" s="1"/>
  <c r="AH56" i="28" s="1"/>
  <c r="AI56" i="28" s="1"/>
  <c r="AJ56" i="28" s="1"/>
  <c r="AK56" i="28" s="1"/>
  <c r="AL56" i="28" s="1"/>
  <c r="AM56" i="28" s="1"/>
  <c r="AN56" i="28" s="1"/>
  <c r="AB56" i="28" s="1"/>
  <c r="R259" i="1"/>
  <c r="R258" i="1"/>
  <c r="R256" i="1"/>
  <c r="R255" i="1"/>
  <c r="AC59" i="28" s="1"/>
  <c r="AD59" i="28" s="1"/>
  <c r="AE59" i="28" s="1"/>
  <c r="AF59" i="28" s="1"/>
  <c r="AG59" i="28" s="1"/>
  <c r="AH59" i="28" s="1"/>
  <c r="AI59" i="28" s="1"/>
  <c r="AJ59" i="28" s="1"/>
  <c r="AK59" i="28" s="1"/>
  <c r="AL59" i="28" s="1"/>
  <c r="AM59" i="28" s="1"/>
  <c r="AN59" i="28" s="1"/>
  <c r="AB59" i="28" s="1"/>
  <c r="R254" i="1"/>
  <c r="R253" i="1"/>
  <c r="R252" i="1"/>
  <c r="AC77" i="28" s="1"/>
  <c r="AD77" i="28" s="1"/>
  <c r="AE77" i="28" s="1"/>
  <c r="AF77" i="28" s="1"/>
  <c r="AG77" i="28" s="1"/>
  <c r="AH77" i="28" s="1"/>
  <c r="AI77" i="28" s="1"/>
  <c r="AJ77" i="28" s="1"/>
  <c r="AK77" i="28" s="1"/>
  <c r="AL77" i="28" s="1"/>
  <c r="AM77" i="28" s="1"/>
  <c r="AN77" i="28" s="1"/>
  <c r="AB77" i="28" s="1"/>
  <c r="R250" i="1"/>
  <c r="R246" i="1"/>
  <c r="AC53" i="28" s="1"/>
  <c r="AD53" i="28" s="1"/>
  <c r="AE53" i="28" s="1"/>
  <c r="AF53" i="28" s="1"/>
  <c r="AG53" i="28" s="1"/>
  <c r="AH53" i="28" s="1"/>
  <c r="AI53" i="28" s="1"/>
  <c r="AJ53" i="28" s="1"/>
  <c r="AK53" i="28" s="1"/>
  <c r="AL53" i="28" s="1"/>
  <c r="AM53" i="28" s="1"/>
  <c r="AN53" i="28" s="1"/>
  <c r="AB53" i="28" s="1"/>
  <c r="R245" i="1"/>
  <c r="R244" i="1"/>
  <c r="R243" i="1"/>
  <c r="R242" i="1"/>
  <c r="AC43" i="28" s="1"/>
  <c r="AD43" i="28" s="1"/>
  <c r="AE43" i="28" s="1"/>
  <c r="AF43" i="28" s="1"/>
  <c r="AG43" i="28" s="1"/>
  <c r="AH43" i="28" s="1"/>
  <c r="AI43" i="28" s="1"/>
  <c r="AJ43" i="28" s="1"/>
  <c r="AK43" i="28" s="1"/>
  <c r="AL43" i="28" s="1"/>
  <c r="AM43" i="28" s="1"/>
  <c r="AN43" i="28" s="1"/>
  <c r="AB43" i="28" s="1"/>
  <c r="R241" i="1"/>
  <c r="R239" i="1"/>
  <c r="R238" i="1"/>
  <c r="AC11" i="28" s="1"/>
  <c r="AD11" i="28" s="1"/>
  <c r="AE11" i="28" s="1"/>
  <c r="AF11" i="28" s="1"/>
  <c r="AG11" i="28" s="1"/>
  <c r="AH11" i="28" s="1"/>
  <c r="AI11" i="28" s="1"/>
  <c r="AJ11" i="28" s="1"/>
  <c r="AK11" i="28" s="1"/>
  <c r="AL11" i="28" s="1"/>
  <c r="AM11" i="28" s="1"/>
  <c r="AN11" i="28" s="1"/>
  <c r="AB11" i="28" s="1"/>
  <c r="R237" i="1"/>
  <c r="R236" i="1"/>
  <c r="AC54" i="28" s="1"/>
  <c r="AD54" i="28" s="1"/>
  <c r="AE54" i="28" s="1"/>
  <c r="AF54" i="28" s="1"/>
  <c r="AG54" i="28" s="1"/>
  <c r="AH54" i="28" s="1"/>
  <c r="AI54" i="28" s="1"/>
  <c r="AJ54" i="28" s="1"/>
  <c r="AK54" i="28" s="1"/>
  <c r="AL54" i="28" s="1"/>
  <c r="AM54" i="28" s="1"/>
  <c r="AN54" i="28" s="1"/>
  <c r="AB54" i="28" s="1"/>
  <c r="R235" i="1"/>
  <c r="R234" i="1"/>
  <c r="R233" i="1"/>
  <c r="R232" i="1"/>
  <c r="R231" i="1"/>
  <c r="AC12" i="28" s="1"/>
  <c r="AD12" i="28" s="1"/>
  <c r="AE12" i="28" s="1"/>
  <c r="AF12" i="28" s="1"/>
  <c r="AG12" i="28" s="1"/>
  <c r="AH12" i="28" s="1"/>
  <c r="AI12" i="28" s="1"/>
  <c r="AJ12" i="28" s="1"/>
  <c r="AK12" i="28" s="1"/>
  <c r="AL12" i="28" s="1"/>
  <c r="AM12" i="28" s="1"/>
  <c r="AN12" i="28" s="1"/>
  <c r="AB12" i="28" s="1"/>
  <c r="R230" i="1"/>
  <c r="AC14" i="28" s="1"/>
  <c r="AD14" i="28" s="1"/>
  <c r="AE14" i="28" s="1"/>
  <c r="AF14" i="28" s="1"/>
  <c r="AG14" i="28" s="1"/>
  <c r="AH14" i="28" s="1"/>
  <c r="AI14" i="28" s="1"/>
  <c r="AJ14" i="28" s="1"/>
  <c r="AK14" i="28" s="1"/>
  <c r="AL14" i="28" s="1"/>
  <c r="AM14" i="28" s="1"/>
  <c r="AN14" i="28" s="1"/>
  <c r="AB14" i="28" s="1"/>
  <c r="R228" i="1"/>
  <c r="AC4" i="28" s="1"/>
  <c r="AD4" i="28" s="1"/>
  <c r="AE4" i="28" s="1"/>
  <c r="AF4" i="28" s="1"/>
  <c r="AG4" i="28" s="1"/>
  <c r="AH4" i="28" s="1"/>
  <c r="AI4" i="28" s="1"/>
  <c r="AJ4" i="28" s="1"/>
  <c r="AK4" i="28" s="1"/>
  <c r="AL4" i="28" s="1"/>
  <c r="AM4" i="28" s="1"/>
  <c r="AN4" i="28" s="1"/>
  <c r="AB4" i="28" s="1"/>
  <c r="R227" i="1"/>
  <c r="AC10" i="28" s="1"/>
  <c r="AD10" i="28" s="1"/>
  <c r="AE10" i="28" s="1"/>
  <c r="AF10" i="28" s="1"/>
  <c r="AG10" i="28" s="1"/>
  <c r="AH10" i="28" s="1"/>
  <c r="AI10" i="28" s="1"/>
  <c r="AJ10" i="28" s="1"/>
  <c r="AK10" i="28" s="1"/>
  <c r="AL10" i="28" s="1"/>
  <c r="AM10" i="28" s="1"/>
  <c r="AN10" i="28" s="1"/>
  <c r="AB10" i="28" s="1"/>
  <c r="R226" i="1"/>
  <c r="R225" i="1"/>
  <c r="R224" i="1"/>
  <c r="R223" i="1"/>
  <c r="R222" i="1"/>
  <c r="AC113" i="28" s="1"/>
  <c r="AD113" i="28" s="1"/>
  <c r="AE113" i="28" s="1"/>
  <c r="AF113" i="28" s="1"/>
  <c r="AG113" i="28" s="1"/>
  <c r="AH113" i="28" s="1"/>
  <c r="AI113" i="28" s="1"/>
  <c r="AJ113" i="28" s="1"/>
  <c r="AK113" i="28" s="1"/>
  <c r="AL113" i="28" s="1"/>
  <c r="AM113" i="28" s="1"/>
  <c r="AN113" i="28" s="1"/>
  <c r="AB113" i="28" s="1"/>
  <c r="R221" i="1"/>
  <c r="R220" i="1"/>
  <c r="R219" i="1"/>
  <c r="R218" i="1"/>
  <c r="R217" i="1"/>
  <c r="R216" i="1"/>
  <c r="AC25" i="28" s="1"/>
  <c r="AD25" i="28" s="1"/>
  <c r="AE25" i="28" s="1"/>
  <c r="AF25" i="28" s="1"/>
  <c r="AG25" i="28" s="1"/>
  <c r="AH25" i="28" s="1"/>
  <c r="AI25" i="28" s="1"/>
  <c r="AJ25" i="28" s="1"/>
  <c r="AK25" i="28" s="1"/>
  <c r="AL25" i="28" s="1"/>
  <c r="AM25" i="28" s="1"/>
  <c r="AN25" i="28" s="1"/>
  <c r="AB25" i="28" s="1"/>
  <c r="R214" i="1"/>
  <c r="AC27" i="28" s="1"/>
  <c r="AD27" i="28" s="1"/>
  <c r="AE27" i="28" s="1"/>
  <c r="AF27" i="28" s="1"/>
  <c r="AG27" i="28" s="1"/>
  <c r="AH27" i="28" s="1"/>
  <c r="AI27" i="28" s="1"/>
  <c r="AJ27" i="28" s="1"/>
  <c r="AK27" i="28" s="1"/>
  <c r="AL27" i="28" s="1"/>
  <c r="AM27" i="28" s="1"/>
  <c r="AN27" i="28" s="1"/>
  <c r="AB27" i="28" s="1"/>
  <c r="R213" i="1"/>
  <c r="R212" i="1"/>
  <c r="R211" i="1"/>
  <c r="R210" i="1"/>
  <c r="R209" i="1"/>
  <c r="R208" i="1"/>
  <c r="R207" i="1"/>
  <c r="R206" i="1"/>
  <c r="R205" i="1"/>
  <c r="R204" i="1"/>
  <c r="R203" i="1"/>
  <c r="R202" i="1"/>
  <c r="R201" i="1"/>
  <c r="R200" i="1"/>
  <c r="R199" i="1"/>
  <c r="R198" i="1"/>
  <c r="R197" i="1"/>
  <c r="AC83" i="28" s="1"/>
  <c r="AD83" i="28" s="1"/>
  <c r="AE83" i="28" s="1"/>
  <c r="AF83" i="28" s="1"/>
  <c r="AG83" i="28" s="1"/>
  <c r="AH83" i="28" s="1"/>
  <c r="AI83" i="28" s="1"/>
  <c r="AJ83" i="28" s="1"/>
  <c r="AK83" i="28" s="1"/>
  <c r="AL83" i="28" s="1"/>
  <c r="AM83" i="28" s="1"/>
  <c r="AN83" i="28" s="1"/>
  <c r="AB83" i="28" s="1"/>
  <c r="R196" i="1"/>
  <c r="R195" i="1"/>
  <c r="R194" i="1"/>
  <c r="R191" i="1"/>
  <c r="AC15" i="28" s="1"/>
  <c r="AD15" i="28" s="1"/>
  <c r="AE15" i="28" s="1"/>
  <c r="AF15" i="28" s="1"/>
  <c r="AG15" i="28" s="1"/>
  <c r="AH15" i="28" s="1"/>
  <c r="AI15" i="28" s="1"/>
  <c r="AJ15" i="28" s="1"/>
  <c r="AK15" i="28" s="1"/>
  <c r="AL15" i="28" s="1"/>
  <c r="AM15" i="28" s="1"/>
  <c r="AN15" i="28" s="1"/>
  <c r="AB15" i="28" s="1"/>
  <c r="R188" i="1"/>
  <c r="R187" i="1"/>
  <c r="R186" i="1"/>
  <c r="AC111" i="28" s="1"/>
  <c r="AD111" i="28" s="1"/>
  <c r="AE111" i="28" s="1"/>
  <c r="AF111" i="28" s="1"/>
  <c r="AG111" i="28" s="1"/>
  <c r="AH111" i="28" s="1"/>
  <c r="AI111" i="28" s="1"/>
  <c r="AJ111" i="28" s="1"/>
  <c r="AK111" i="28" s="1"/>
  <c r="AL111" i="28" s="1"/>
  <c r="AM111" i="28" s="1"/>
  <c r="AN111" i="28" s="1"/>
  <c r="AB111" i="28" s="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AC18" i="28" s="1"/>
  <c r="AD18" i="28" s="1"/>
  <c r="AE18" i="28" s="1"/>
  <c r="AF18" i="28" s="1"/>
  <c r="AG18" i="28" s="1"/>
  <c r="AH18" i="28" s="1"/>
  <c r="AI18" i="28" s="1"/>
  <c r="AJ18" i="28" s="1"/>
  <c r="AK18" i="28" s="1"/>
  <c r="AL18" i="28" s="1"/>
  <c r="AM18" i="28" s="1"/>
  <c r="AN18" i="28" s="1"/>
  <c r="AB18" i="28" s="1"/>
  <c r="R130" i="1"/>
  <c r="AC34" i="28" s="1"/>
  <c r="AD34" i="28" s="1"/>
  <c r="AE34" i="28" s="1"/>
  <c r="AF34" i="28" s="1"/>
  <c r="AG34" i="28" s="1"/>
  <c r="AH34" i="28" s="1"/>
  <c r="AI34" i="28" s="1"/>
  <c r="AJ34" i="28" s="1"/>
  <c r="AK34" i="28" s="1"/>
  <c r="AL34" i="28" s="1"/>
  <c r="AM34" i="28" s="1"/>
  <c r="AN34" i="28" s="1"/>
  <c r="AB34" i="28" s="1"/>
  <c r="R129" i="1"/>
  <c r="R128" i="1"/>
  <c r="R125" i="1"/>
  <c r="AC82" i="28" s="1"/>
  <c r="AD82" i="28" s="1"/>
  <c r="AE82" i="28" s="1"/>
  <c r="AF82" i="28" s="1"/>
  <c r="AG82" i="28" s="1"/>
  <c r="AH82" i="28" s="1"/>
  <c r="AI82" i="28" s="1"/>
  <c r="AJ82" i="28" s="1"/>
  <c r="AK82" i="28" s="1"/>
  <c r="AL82" i="28" s="1"/>
  <c r="AM82" i="28" s="1"/>
  <c r="AN82" i="28" s="1"/>
  <c r="AB82" i="28" s="1"/>
  <c r="R124" i="1"/>
  <c r="AC95" i="28" s="1"/>
  <c r="AD95" i="28" s="1"/>
  <c r="AE95" i="28" s="1"/>
  <c r="AF95" i="28" s="1"/>
  <c r="AG95" i="28" s="1"/>
  <c r="AH95" i="28" s="1"/>
  <c r="AI95" i="28" s="1"/>
  <c r="AJ95" i="28" s="1"/>
  <c r="AK95" i="28" s="1"/>
  <c r="AL95" i="28" s="1"/>
  <c r="AM95" i="28" s="1"/>
  <c r="AN95" i="28" s="1"/>
  <c r="AB95" i="28" s="1"/>
  <c r="R123" i="1"/>
  <c r="AC96" i="28" s="1"/>
  <c r="AD96" i="28" s="1"/>
  <c r="AE96" i="28" s="1"/>
  <c r="AF96" i="28" s="1"/>
  <c r="AG96" i="28" s="1"/>
  <c r="AH96" i="28" s="1"/>
  <c r="AI96" i="28" s="1"/>
  <c r="AJ96" i="28" s="1"/>
  <c r="AK96" i="28" s="1"/>
  <c r="AL96" i="28" s="1"/>
  <c r="AM96" i="28" s="1"/>
  <c r="AN96" i="28" s="1"/>
  <c r="AB96" i="28" s="1"/>
  <c r="R122" i="1"/>
  <c r="R121" i="1"/>
  <c r="AC8" i="28" s="1"/>
  <c r="AD8" i="28" s="1"/>
  <c r="AE8" i="28" s="1"/>
  <c r="AF8" i="28" s="1"/>
  <c r="AG8" i="28" s="1"/>
  <c r="AH8" i="28" s="1"/>
  <c r="AI8" i="28" s="1"/>
  <c r="AJ8" i="28" s="1"/>
  <c r="AK8" i="28" s="1"/>
  <c r="AL8" i="28" s="1"/>
  <c r="AM8" i="28" s="1"/>
  <c r="AN8" i="28" s="1"/>
  <c r="AB8" i="28" s="1"/>
  <c r="R120" i="1"/>
  <c r="R119" i="1"/>
  <c r="R118" i="1"/>
  <c r="R117" i="1"/>
  <c r="R116" i="1"/>
  <c r="R115" i="1"/>
  <c r="R114" i="1"/>
  <c r="R113" i="1"/>
  <c r="R112" i="1"/>
  <c r="R111" i="1"/>
  <c r="R110" i="1"/>
  <c r="R109" i="1"/>
  <c r="R108" i="1"/>
  <c r="R107" i="1"/>
  <c r="R106" i="1"/>
  <c r="R105" i="1"/>
  <c r="R104" i="1"/>
  <c r="R103" i="1"/>
  <c r="R102" i="1"/>
  <c r="R101" i="1"/>
  <c r="AC36" i="28" s="1"/>
  <c r="AD36" i="28" s="1"/>
  <c r="AE36" i="28" s="1"/>
  <c r="AF36" i="28" s="1"/>
  <c r="AG36" i="28" s="1"/>
  <c r="AH36" i="28" s="1"/>
  <c r="AI36" i="28" s="1"/>
  <c r="AJ36" i="28" s="1"/>
  <c r="AK36" i="28" s="1"/>
  <c r="AL36" i="28" s="1"/>
  <c r="AM36" i="28" s="1"/>
  <c r="AN36" i="28" s="1"/>
  <c r="AB36" i="28" s="1"/>
  <c r="R100" i="1"/>
  <c r="R99" i="1"/>
  <c r="R98" i="1"/>
  <c r="R97" i="1"/>
  <c r="R96" i="1"/>
  <c r="R95" i="1"/>
  <c r="R94" i="1"/>
  <c r="R93" i="1"/>
  <c r="R92" i="1"/>
  <c r="R91" i="1"/>
  <c r="R90" i="1"/>
  <c r="R89" i="1"/>
  <c r="R88" i="1"/>
  <c r="R85" i="1"/>
  <c r="AC101" i="28" s="1"/>
  <c r="AD101" i="28" s="1"/>
  <c r="AE101" i="28" s="1"/>
  <c r="AF101" i="28" s="1"/>
  <c r="AG101" i="28" s="1"/>
  <c r="AH101" i="28" s="1"/>
  <c r="AI101" i="28" s="1"/>
  <c r="AJ101" i="28" s="1"/>
  <c r="AK101" i="28" s="1"/>
  <c r="AL101" i="28" s="1"/>
  <c r="AM101" i="28" s="1"/>
  <c r="AN101" i="28" s="1"/>
  <c r="AB101" i="28" s="1"/>
  <c r="R84" i="1"/>
  <c r="R83" i="1"/>
  <c r="R82" i="1"/>
  <c r="R81" i="1"/>
  <c r="R80" i="1"/>
  <c r="R79" i="1"/>
  <c r="R78" i="1"/>
  <c r="R77" i="1"/>
  <c r="R76" i="1"/>
  <c r="R75" i="1"/>
  <c r="R74" i="1"/>
  <c r="R73" i="1"/>
  <c r="R72" i="1"/>
  <c r="R71" i="1"/>
  <c r="R70" i="1"/>
  <c r="R69" i="1"/>
  <c r="R68" i="1"/>
  <c r="R67" i="1"/>
  <c r="R66" i="1"/>
  <c r="R65" i="1"/>
  <c r="AC19" i="28" s="1"/>
  <c r="AD19" i="28" s="1"/>
  <c r="AE19" i="28" s="1"/>
  <c r="AF19" i="28" s="1"/>
  <c r="AG19" i="28" s="1"/>
  <c r="AH19" i="28" s="1"/>
  <c r="AI19" i="28" s="1"/>
  <c r="AJ19" i="28" s="1"/>
  <c r="AK19" i="28" s="1"/>
  <c r="AL19" i="28" s="1"/>
  <c r="AM19" i="28" s="1"/>
  <c r="AN19" i="28" s="1"/>
  <c r="AB19" i="28" s="1"/>
  <c r="R64" i="1"/>
  <c r="R63" i="1"/>
  <c r="AC44" i="28" s="1"/>
  <c r="AD44" i="28" s="1"/>
  <c r="AE44" i="28" s="1"/>
  <c r="AF44" i="28" s="1"/>
  <c r="AG44" i="28" s="1"/>
  <c r="AH44" i="28" s="1"/>
  <c r="AI44" i="28" s="1"/>
  <c r="AJ44" i="28" s="1"/>
  <c r="AK44" i="28" s="1"/>
  <c r="AL44" i="28" s="1"/>
  <c r="AM44" i="28" s="1"/>
  <c r="AN44" i="28" s="1"/>
  <c r="AB44" i="28" s="1"/>
  <c r="R62" i="1"/>
  <c r="R61" i="1"/>
  <c r="R60" i="1"/>
  <c r="R59" i="1"/>
  <c r="R58" i="1"/>
  <c r="R57" i="1"/>
  <c r="R56" i="1"/>
  <c r="R55" i="1"/>
  <c r="AC103" i="28" s="1"/>
  <c r="AD103" i="28" s="1"/>
  <c r="AE103" i="28" s="1"/>
  <c r="AF103" i="28" s="1"/>
  <c r="AG103" i="28" s="1"/>
  <c r="AH103" i="28" s="1"/>
  <c r="AI103" i="28" s="1"/>
  <c r="AJ103" i="28" s="1"/>
  <c r="AK103" i="28" s="1"/>
  <c r="AL103" i="28" s="1"/>
  <c r="AM103" i="28" s="1"/>
  <c r="AN103" i="28" s="1"/>
  <c r="AB103" i="28" s="1"/>
  <c r="R54" i="1"/>
  <c r="R53" i="1"/>
  <c r="R52" i="1"/>
  <c r="R51" i="1"/>
  <c r="R50" i="1"/>
  <c r="R49" i="1"/>
  <c r="R48" i="1"/>
  <c r="R47" i="1"/>
  <c r="R46" i="1"/>
  <c r="AC21" i="28" s="1"/>
  <c r="AD21" i="28" s="1"/>
  <c r="AE21" i="28" s="1"/>
  <c r="AF21" i="28" s="1"/>
  <c r="AG21" i="28" s="1"/>
  <c r="AH21" i="28" s="1"/>
  <c r="AI21" i="28" s="1"/>
  <c r="AJ21" i="28" s="1"/>
  <c r="AK21" i="28" s="1"/>
  <c r="AL21" i="28" s="1"/>
  <c r="AM21" i="28" s="1"/>
  <c r="AN21" i="28" s="1"/>
  <c r="AB21" i="28" s="1"/>
  <c r="R45" i="1"/>
  <c r="R44" i="1"/>
  <c r="AC110" i="28" s="1"/>
  <c r="AD110" i="28" s="1"/>
  <c r="AE110" i="28" s="1"/>
  <c r="AF110" i="28" s="1"/>
  <c r="AG110" i="28" s="1"/>
  <c r="AH110" i="28" s="1"/>
  <c r="AI110" i="28" s="1"/>
  <c r="AJ110" i="28" s="1"/>
  <c r="AK110" i="28" s="1"/>
  <c r="AL110" i="28" s="1"/>
  <c r="AM110" i="28" s="1"/>
  <c r="AN110" i="28" s="1"/>
  <c r="AB110" i="28" s="1"/>
  <c r="R43" i="1"/>
  <c r="R42" i="1"/>
  <c r="R41" i="1"/>
  <c r="R40" i="1"/>
  <c r="R39" i="1"/>
  <c r="R38" i="1"/>
  <c r="R37" i="1"/>
  <c r="R36" i="1"/>
  <c r="AC20" i="28" s="1"/>
  <c r="AD20" i="28" s="1"/>
  <c r="AE20" i="28" s="1"/>
  <c r="AF20" i="28" s="1"/>
  <c r="AG20" i="28" s="1"/>
  <c r="AH20" i="28" s="1"/>
  <c r="AI20" i="28" s="1"/>
  <c r="AJ20" i="28" s="1"/>
  <c r="AK20" i="28" s="1"/>
  <c r="AL20" i="28" s="1"/>
  <c r="AM20" i="28" s="1"/>
  <c r="AN20" i="28" s="1"/>
  <c r="AB20" i="28" s="1"/>
  <c r="R35" i="1"/>
  <c r="R34" i="1"/>
  <c r="AC41" i="28" s="1"/>
  <c r="AD41" i="28" s="1"/>
  <c r="AE41" i="28" s="1"/>
  <c r="AF41" i="28" s="1"/>
  <c r="AG41" i="28" s="1"/>
  <c r="AH41" i="28" s="1"/>
  <c r="AI41" i="28" s="1"/>
  <c r="AJ41" i="28" s="1"/>
  <c r="AK41" i="28" s="1"/>
  <c r="AL41" i="28" s="1"/>
  <c r="AM41" i="28" s="1"/>
  <c r="AN41" i="28" s="1"/>
  <c r="AB41" i="28" s="1"/>
  <c r="R33" i="1"/>
  <c r="R32" i="1"/>
  <c r="R31" i="1"/>
  <c r="R30" i="1"/>
  <c r="R29" i="1"/>
  <c r="R28" i="1"/>
  <c r="R27" i="1"/>
  <c r="R26" i="1"/>
  <c r="AC50" i="28" s="1"/>
  <c r="AD50" i="28" s="1"/>
  <c r="AE50" i="28" s="1"/>
  <c r="AF50" i="28" s="1"/>
  <c r="AG50" i="28" s="1"/>
  <c r="AH50" i="28" s="1"/>
  <c r="AI50" i="28" s="1"/>
  <c r="AJ50" i="28" s="1"/>
  <c r="AK50" i="28" s="1"/>
  <c r="AL50" i="28" s="1"/>
  <c r="AM50" i="28" s="1"/>
  <c r="AN50" i="28" s="1"/>
  <c r="AB50" i="28" s="1"/>
  <c r="R25" i="1"/>
  <c r="R24" i="1"/>
  <c r="R23" i="1"/>
  <c r="AC108" i="28" s="1"/>
  <c r="AD108" i="28" s="1"/>
  <c r="AE108" i="28" s="1"/>
  <c r="AF108" i="28" s="1"/>
  <c r="AG108" i="28" s="1"/>
  <c r="AH108" i="28" s="1"/>
  <c r="AI108" i="28" s="1"/>
  <c r="AJ108" i="28" s="1"/>
  <c r="AK108" i="28" s="1"/>
  <c r="AL108" i="28" s="1"/>
  <c r="AM108" i="28" s="1"/>
  <c r="AN108" i="28" s="1"/>
  <c r="AB108" i="28" s="1"/>
  <c r="R22" i="1"/>
  <c r="R21" i="1"/>
  <c r="R20" i="1"/>
  <c r="R19" i="1"/>
  <c r="R18" i="1"/>
  <c r="R17" i="1"/>
  <c r="R16" i="1"/>
  <c r="R15" i="1"/>
  <c r="R14" i="1"/>
  <c r="R13" i="1"/>
  <c r="AC22" i="28" s="1"/>
  <c r="AD22" i="28" s="1"/>
  <c r="AE22" i="28" s="1"/>
  <c r="AF22" i="28" s="1"/>
  <c r="AG22" i="28" s="1"/>
  <c r="AH22" i="28" s="1"/>
  <c r="AI22" i="28" s="1"/>
  <c r="AJ22" i="28" s="1"/>
  <c r="AK22" i="28" s="1"/>
  <c r="AL22" i="28" s="1"/>
  <c r="AM22" i="28" s="1"/>
  <c r="AN22" i="28" s="1"/>
  <c r="AB22" i="28" s="1"/>
  <c r="R12" i="1"/>
  <c r="R11" i="1"/>
  <c r="AC39" i="28" s="1"/>
  <c r="AD39" i="28" s="1"/>
  <c r="AE39" i="28" s="1"/>
  <c r="AF39" i="28" s="1"/>
  <c r="AG39" i="28" s="1"/>
  <c r="AH39" i="28" s="1"/>
  <c r="AI39" i="28" s="1"/>
  <c r="AJ39" i="28" s="1"/>
  <c r="AK39" i="28" s="1"/>
  <c r="AL39" i="28" s="1"/>
  <c r="AM39" i="28" s="1"/>
  <c r="AN39" i="28" s="1"/>
  <c r="AB39" i="28" s="1"/>
  <c r="R10" i="1"/>
  <c r="R9" i="1"/>
  <c r="R515" i="1"/>
  <c r="AC3" i="28" s="1"/>
  <c r="AD3" i="28" s="1"/>
  <c r="AE3" i="28" s="1"/>
  <c r="AU517" i="1"/>
  <c r="AS517" i="1" s="1"/>
  <c r="C517" i="1" s="1"/>
  <c r="AU516" i="1"/>
  <c r="AS516" i="1" s="1"/>
  <c r="C516" i="1" s="1"/>
  <c r="AU515" i="1"/>
  <c r="AS515" i="1" s="1"/>
  <c r="C515" i="1" s="1"/>
  <c r="F115" i="28" l="1"/>
  <c r="G115" i="28"/>
  <c r="E115" i="28"/>
  <c r="F77" i="28"/>
  <c r="G77" i="28"/>
  <c r="H77" i="28"/>
  <c r="E77" i="28"/>
  <c r="F10" i="28"/>
  <c r="G10" i="28"/>
  <c r="E10" i="28"/>
  <c r="H10" i="28"/>
  <c r="G45" i="28"/>
  <c r="E45" i="28"/>
  <c r="H45" i="28"/>
  <c r="F45" i="28"/>
  <c r="E67" i="28"/>
  <c r="H67" i="28"/>
  <c r="F67" i="28"/>
  <c r="G67" i="28"/>
  <c r="F110" i="28"/>
  <c r="I110" i="28"/>
  <c r="H110" i="28"/>
  <c r="G110" i="28"/>
  <c r="E110" i="28"/>
  <c r="G34" i="28"/>
  <c r="E34" i="28"/>
  <c r="F34" i="28"/>
  <c r="H34" i="28"/>
  <c r="F7" i="28"/>
  <c r="E7" i="28"/>
  <c r="G7" i="28"/>
  <c r="H86" i="28"/>
  <c r="E86" i="28"/>
  <c r="G86" i="28"/>
  <c r="F86" i="28"/>
  <c r="G42" i="28"/>
  <c r="E42" i="28"/>
  <c r="F42" i="28"/>
  <c r="H42" i="28"/>
  <c r="I82" i="28"/>
  <c r="G82" i="28"/>
  <c r="E82" i="28"/>
  <c r="F82" i="28"/>
  <c r="J82" i="28"/>
  <c r="H82" i="28"/>
  <c r="G14" i="28"/>
  <c r="E14" i="28"/>
  <c r="H14" i="28"/>
  <c r="F14" i="28"/>
  <c r="F62" i="28"/>
  <c r="E62" i="28"/>
  <c r="G62" i="28"/>
  <c r="H12" i="28"/>
  <c r="G12" i="28"/>
  <c r="E12" i="28"/>
  <c r="F12" i="28"/>
  <c r="E19" i="28"/>
  <c r="H19" i="28"/>
  <c r="F19" i="28"/>
  <c r="I19" i="28"/>
  <c r="G19" i="28"/>
  <c r="E89" i="28"/>
  <c r="I89" i="28"/>
  <c r="H89" i="28"/>
  <c r="G89" i="28"/>
  <c r="F89" i="28"/>
  <c r="H94" i="28"/>
  <c r="G94" i="28"/>
  <c r="F94" i="28"/>
  <c r="E94" i="28"/>
  <c r="G107" i="28"/>
  <c r="H107" i="28"/>
  <c r="F107" i="28"/>
  <c r="E107" i="28"/>
  <c r="F38" i="28"/>
  <c r="E38" i="28"/>
  <c r="H38" i="28"/>
  <c r="G38" i="28"/>
  <c r="E74" i="28"/>
  <c r="F74" i="28"/>
  <c r="G74" i="28"/>
  <c r="H74" i="28"/>
  <c r="I74" i="28"/>
  <c r="F49" i="28"/>
  <c r="G49" i="28"/>
  <c r="E49" i="28"/>
  <c r="H49" i="28"/>
  <c r="BO30" i="28"/>
  <c r="C30" i="28"/>
  <c r="S325" i="1"/>
  <c r="G40" i="28"/>
  <c r="F40" i="28"/>
  <c r="E40" i="28"/>
  <c r="H40" i="28"/>
  <c r="G109" i="28"/>
  <c r="I109" i="28"/>
  <c r="H109" i="28"/>
  <c r="F109" i="28"/>
  <c r="E109" i="28"/>
  <c r="E5" i="28"/>
  <c r="H5" i="28"/>
  <c r="F5" i="28"/>
  <c r="G5" i="28"/>
  <c r="G103" i="28"/>
  <c r="I103" i="28"/>
  <c r="F103" i="28"/>
  <c r="E103" i="28"/>
  <c r="H103" i="28"/>
  <c r="F16" i="28"/>
  <c r="E16" i="28"/>
  <c r="G16" i="28"/>
  <c r="F113" i="28"/>
  <c r="I113" i="28"/>
  <c r="J113" i="28"/>
  <c r="E113" i="28"/>
  <c r="H113" i="28"/>
  <c r="G113" i="28"/>
  <c r="I72" i="28"/>
  <c r="G72" i="28"/>
  <c r="E72" i="28"/>
  <c r="H72" i="28"/>
  <c r="F72" i="28"/>
  <c r="G24" i="28"/>
  <c r="F24" i="28"/>
  <c r="H24" i="28"/>
  <c r="E24" i="28"/>
  <c r="E69" i="28"/>
  <c r="G69" i="28"/>
  <c r="F69" i="28"/>
  <c r="G96" i="28"/>
  <c r="F96" i="28"/>
  <c r="E96" i="28"/>
  <c r="H96" i="28"/>
  <c r="I4" i="28"/>
  <c r="H4" i="28"/>
  <c r="G4" i="28"/>
  <c r="E4" i="28"/>
  <c r="F4" i="28"/>
  <c r="H48" i="28"/>
  <c r="G48" i="28"/>
  <c r="F48" i="28"/>
  <c r="E48" i="28"/>
  <c r="F26" i="28"/>
  <c r="E26" i="28"/>
  <c r="H26" i="28"/>
  <c r="G26" i="28"/>
  <c r="G60" i="28"/>
  <c r="E60" i="28"/>
  <c r="F60" i="28"/>
  <c r="H111" i="28"/>
  <c r="G111" i="28"/>
  <c r="E111" i="28"/>
  <c r="F111" i="28"/>
  <c r="F105" i="28"/>
  <c r="H105" i="28"/>
  <c r="I105" i="28"/>
  <c r="E105" i="28"/>
  <c r="G105" i="28"/>
  <c r="F21" i="28"/>
  <c r="G21" i="28"/>
  <c r="H21" i="28"/>
  <c r="E21" i="28"/>
  <c r="S46" i="1" s="1"/>
  <c r="I21" i="28"/>
  <c r="I90" i="28"/>
  <c r="G90" i="28"/>
  <c r="E90" i="28"/>
  <c r="F90" i="28"/>
  <c r="H90" i="28"/>
  <c r="E88" i="28"/>
  <c r="H88" i="28"/>
  <c r="G88" i="28"/>
  <c r="F88" i="28"/>
  <c r="I88" i="28"/>
  <c r="G56" i="28"/>
  <c r="E56" i="28"/>
  <c r="H56" i="28"/>
  <c r="F56" i="28"/>
  <c r="I56" i="28"/>
  <c r="H55" i="28"/>
  <c r="F55" i="28"/>
  <c r="E55" i="28"/>
  <c r="G55" i="28"/>
  <c r="E51" i="28"/>
  <c r="G51" i="28"/>
  <c r="F51" i="28"/>
  <c r="H51" i="28"/>
  <c r="E57" i="28"/>
  <c r="F57" i="28"/>
  <c r="G57" i="28"/>
  <c r="H57" i="28"/>
  <c r="E66" i="28"/>
  <c r="F66" i="28"/>
  <c r="G66" i="28"/>
  <c r="H66" i="28"/>
  <c r="F11" i="28"/>
  <c r="H11" i="28"/>
  <c r="E11" i="28"/>
  <c r="G11" i="28"/>
  <c r="F70" i="28"/>
  <c r="G70" i="28"/>
  <c r="E70" i="28"/>
  <c r="F84" i="28"/>
  <c r="H84" i="28"/>
  <c r="E84" i="28"/>
  <c r="G84" i="28"/>
  <c r="G20" i="28"/>
  <c r="E20" i="28"/>
  <c r="H20" i="28"/>
  <c r="F20" i="28"/>
  <c r="E46" i="28"/>
  <c r="G46" i="28"/>
  <c r="F46" i="28"/>
  <c r="H46" i="28"/>
  <c r="F91" i="28"/>
  <c r="H91" i="28"/>
  <c r="G91" i="28"/>
  <c r="E91" i="28"/>
  <c r="F68" i="28"/>
  <c r="G68" i="28"/>
  <c r="E68" i="28"/>
  <c r="H68" i="28"/>
  <c r="E97" i="28"/>
  <c r="I97" i="28"/>
  <c r="F97" i="28"/>
  <c r="G97" i="28"/>
  <c r="J97" i="28"/>
  <c r="H97" i="28"/>
  <c r="E95" i="28"/>
  <c r="H95" i="28"/>
  <c r="G95" i="28"/>
  <c r="F95" i="28"/>
  <c r="H108" i="28"/>
  <c r="G108" i="28"/>
  <c r="I108" i="28"/>
  <c r="E108" i="28"/>
  <c r="F108" i="28"/>
  <c r="E104" i="28"/>
  <c r="F104" i="28"/>
  <c r="G104" i="28"/>
  <c r="I104" i="28"/>
  <c r="H104" i="28"/>
  <c r="G9" i="28"/>
  <c r="F9" i="28"/>
  <c r="E9" i="28"/>
  <c r="H9" i="28"/>
  <c r="BO33" i="28"/>
  <c r="S458" i="1"/>
  <c r="C33" i="28"/>
  <c r="E27" i="28"/>
  <c r="H27" i="28"/>
  <c r="G27" i="28"/>
  <c r="F27" i="28"/>
  <c r="E25" i="28"/>
  <c r="F25" i="28"/>
  <c r="J25" i="28"/>
  <c r="H25" i="28"/>
  <c r="K25" i="28"/>
  <c r="G25" i="28"/>
  <c r="I25" i="28"/>
  <c r="I63" i="28"/>
  <c r="J63" i="28"/>
  <c r="K63" i="28"/>
  <c r="E63" i="28"/>
  <c r="F63" i="28"/>
  <c r="G63" i="28"/>
  <c r="H63" i="28"/>
  <c r="E98" i="28"/>
  <c r="J98" i="28"/>
  <c r="F98" i="28"/>
  <c r="K98" i="28"/>
  <c r="G98" i="28"/>
  <c r="I98" i="28"/>
  <c r="H98" i="28"/>
  <c r="I22" i="28"/>
  <c r="E22" i="28"/>
  <c r="F22" i="28"/>
  <c r="G22" i="28"/>
  <c r="H22" i="28"/>
  <c r="F41" i="28"/>
  <c r="G41" i="28"/>
  <c r="H41" i="28"/>
  <c r="E41" i="28"/>
  <c r="I43" i="28"/>
  <c r="E43" i="28"/>
  <c r="G43" i="28"/>
  <c r="F43" i="28"/>
  <c r="H43" i="28"/>
  <c r="H65" i="28"/>
  <c r="F65" i="28"/>
  <c r="G65" i="28"/>
  <c r="E65" i="28"/>
  <c r="H13" i="28"/>
  <c r="E13" i="28"/>
  <c r="F13" i="28"/>
  <c r="G13" i="28"/>
  <c r="E53" i="28"/>
  <c r="G53" i="28"/>
  <c r="F53" i="28"/>
  <c r="H53" i="28"/>
  <c r="G71" i="28"/>
  <c r="I71" i="28"/>
  <c r="E71" i="28"/>
  <c r="H71" i="28"/>
  <c r="F71" i="28"/>
  <c r="K102" i="28"/>
  <c r="E102" i="28"/>
  <c r="Q102" i="28"/>
  <c r="H102" i="28"/>
  <c r="G102" i="28"/>
  <c r="J102" i="28"/>
  <c r="F102" i="28"/>
  <c r="M102" i="28"/>
  <c r="R102" i="28"/>
  <c r="P102" i="28"/>
  <c r="N102" i="28"/>
  <c r="L102" i="28"/>
  <c r="O102" i="28"/>
  <c r="T102" i="28"/>
  <c r="V102" i="28"/>
  <c r="U102" i="28"/>
  <c r="I102" i="28"/>
  <c r="S102" i="28"/>
  <c r="F35" i="28"/>
  <c r="G35" i="28"/>
  <c r="H35" i="28"/>
  <c r="E35" i="28"/>
  <c r="H114" i="28"/>
  <c r="F114" i="28"/>
  <c r="E114" i="28"/>
  <c r="G114" i="28"/>
  <c r="J114" i="28"/>
  <c r="I114" i="28"/>
  <c r="E58" i="28"/>
  <c r="G58" i="28"/>
  <c r="H58" i="28"/>
  <c r="F58" i="28"/>
  <c r="F93" i="28"/>
  <c r="G93" i="28"/>
  <c r="H93" i="28"/>
  <c r="E93" i="28"/>
  <c r="H44" i="28"/>
  <c r="E44" i="28"/>
  <c r="F44" i="28"/>
  <c r="G44" i="28"/>
  <c r="F59" i="28"/>
  <c r="E59" i="28"/>
  <c r="H59" i="28"/>
  <c r="G59" i="28"/>
  <c r="E100" i="28"/>
  <c r="G100" i="28"/>
  <c r="F100" i="28"/>
  <c r="H100" i="28"/>
  <c r="I100" i="28"/>
  <c r="I85" i="28"/>
  <c r="E85" i="28"/>
  <c r="H85" i="28"/>
  <c r="G85" i="28"/>
  <c r="F85" i="28"/>
  <c r="J101" i="28"/>
  <c r="H101" i="28"/>
  <c r="M101" i="28"/>
  <c r="N101" i="28"/>
  <c r="P101" i="28"/>
  <c r="L101" i="28"/>
  <c r="I101" i="28"/>
  <c r="K101" i="28"/>
  <c r="G101" i="28"/>
  <c r="F101" i="28"/>
  <c r="E101" i="28"/>
  <c r="O101" i="28"/>
  <c r="E47" i="28"/>
  <c r="H47" i="28"/>
  <c r="F47" i="28"/>
  <c r="G47" i="28"/>
  <c r="F52" i="28"/>
  <c r="G52" i="28"/>
  <c r="E52" i="28"/>
  <c r="S408" i="1" s="1"/>
  <c r="H52" i="28"/>
  <c r="G50" i="28"/>
  <c r="H50" i="28"/>
  <c r="E50" i="28"/>
  <c r="F50" i="28"/>
  <c r="E32" i="28"/>
  <c r="F32" i="28"/>
  <c r="G32" i="28"/>
  <c r="F18" i="28"/>
  <c r="H18" i="28"/>
  <c r="G18" i="28"/>
  <c r="E18" i="28"/>
  <c r="H29" i="28"/>
  <c r="F29" i="28"/>
  <c r="G29" i="28"/>
  <c r="E29" i="28"/>
  <c r="E15" i="28"/>
  <c r="G15" i="28"/>
  <c r="H15" i="28"/>
  <c r="F15" i="28"/>
  <c r="E54" i="28"/>
  <c r="H54" i="28"/>
  <c r="G54" i="28"/>
  <c r="F54" i="28"/>
  <c r="E39" i="28"/>
  <c r="F39" i="28"/>
  <c r="H39" i="28"/>
  <c r="G39" i="28"/>
  <c r="I83" i="28"/>
  <c r="H83" i="28"/>
  <c r="G83" i="28"/>
  <c r="F83" i="28"/>
  <c r="E83" i="28"/>
  <c r="G31" i="28"/>
  <c r="H31" i="28"/>
  <c r="E31" i="28"/>
  <c r="F31" i="28"/>
  <c r="I31" i="28"/>
  <c r="BO28" i="28"/>
  <c r="S240" i="1"/>
  <c r="C28" i="28"/>
  <c r="G73" i="28"/>
  <c r="F73" i="28"/>
  <c r="E73" i="28"/>
  <c r="H73" i="28"/>
  <c r="H8" i="28"/>
  <c r="F8" i="28"/>
  <c r="E8" i="28"/>
  <c r="G8" i="28"/>
  <c r="G75" i="28"/>
  <c r="H75" i="28"/>
  <c r="F75" i="28"/>
  <c r="E75" i="28"/>
  <c r="I78" i="28"/>
  <c r="H78" i="28"/>
  <c r="F78" i="28"/>
  <c r="E78" i="28"/>
  <c r="G78" i="28"/>
  <c r="E92" i="28"/>
  <c r="F92" i="28"/>
  <c r="H92" i="28"/>
  <c r="G92" i="28"/>
  <c r="E87" i="28"/>
  <c r="H87" i="28"/>
  <c r="F87" i="28"/>
  <c r="I87" i="28"/>
  <c r="G87" i="28"/>
  <c r="I99" i="28"/>
  <c r="F99" i="28"/>
  <c r="H99" i="28"/>
  <c r="G99" i="28"/>
  <c r="J99" i="28"/>
  <c r="E99" i="28"/>
  <c r="F6" i="28"/>
  <c r="E6" i="28"/>
  <c r="G6" i="28"/>
  <c r="H6" i="28"/>
  <c r="S282" i="1"/>
  <c r="BO17" i="28"/>
  <c r="C17" i="28"/>
  <c r="H64" i="28"/>
  <c r="E64" i="28"/>
  <c r="G64" i="28"/>
  <c r="F64" i="28"/>
  <c r="E23" i="28"/>
  <c r="G23" i="28"/>
  <c r="F23" i="28"/>
  <c r="H23" i="28"/>
  <c r="AK37" i="28"/>
  <c r="AL37" i="28" s="1"/>
  <c r="AM37" i="28" s="1"/>
  <c r="AN37" i="28" s="1"/>
  <c r="AB37" i="28" s="1"/>
  <c r="H36" i="28"/>
  <c r="G36" i="28"/>
  <c r="F36" i="28"/>
  <c r="E36" i="28"/>
  <c r="AQ502" i="1"/>
  <c r="B502" i="1" s="1"/>
  <c r="AQ501" i="1"/>
  <c r="B501" i="1" s="1"/>
  <c r="AQ500" i="1"/>
  <c r="B500" i="1" s="1"/>
  <c r="AQ499" i="1"/>
  <c r="B499" i="1" s="1"/>
  <c r="AQ498" i="1"/>
  <c r="B498" i="1" s="1"/>
  <c r="AQ497" i="1"/>
  <c r="B497" i="1" s="1"/>
  <c r="AQ491" i="1"/>
  <c r="B491" i="1" s="1"/>
  <c r="AQ489" i="1"/>
  <c r="B489" i="1" s="1"/>
  <c r="S367" i="1" l="1"/>
  <c r="BO115" i="28"/>
  <c r="C115" i="28"/>
  <c r="S304" i="1"/>
  <c r="C51" i="28"/>
  <c r="BO51" i="28"/>
  <c r="C21" i="28"/>
  <c r="BO21" i="28"/>
  <c r="S125" i="1"/>
  <c r="C82" i="28"/>
  <c r="BO82" i="28"/>
  <c r="BO50" i="28"/>
  <c r="S26" i="1"/>
  <c r="C50" i="28"/>
  <c r="S512" i="1"/>
  <c r="BO68" i="28"/>
  <c r="C68" i="28"/>
  <c r="BO72" i="28"/>
  <c r="S423" i="1"/>
  <c r="C72" i="28"/>
  <c r="BO11" i="28"/>
  <c r="S238" i="1"/>
  <c r="C11" i="28"/>
  <c r="BO22" i="28"/>
  <c r="C22" i="28"/>
  <c r="S13" i="1"/>
  <c r="S231" i="1"/>
  <c r="BO12" i="28"/>
  <c r="C12" i="28"/>
  <c r="BO78" i="28"/>
  <c r="C78" i="28"/>
  <c r="S427" i="1"/>
  <c r="BO15" i="28"/>
  <c r="S191" i="1"/>
  <c r="C15" i="28"/>
  <c r="BO107" i="28"/>
  <c r="S348" i="1"/>
  <c r="C107" i="28"/>
  <c r="BO31" i="28"/>
  <c r="C31" i="28"/>
  <c r="S507" i="1"/>
  <c r="S324" i="1"/>
  <c r="C29" i="28"/>
  <c r="BO29" i="28"/>
  <c r="S403" i="1"/>
  <c r="BO58" i="28"/>
  <c r="C58" i="28"/>
  <c r="S445" i="1"/>
  <c r="BO13" i="28"/>
  <c r="C13" i="28"/>
  <c r="S216" i="1"/>
  <c r="C25" i="28"/>
  <c r="BO25" i="28"/>
  <c r="BO40" i="28"/>
  <c r="C40" i="28"/>
  <c r="S263" i="1"/>
  <c r="BO86" i="28"/>
  <c r="S429" i="1"/>
  <c r="C86" i="28"/>
  <c r="S518" i="1"/>
  <c r="C45" i="28"/>
  <c r="BO45" i="28"/>
  <c r="S63" i="1"/>
  <c r="BO44" i="28"/>
  <c r="C44" i="28"/>
  <c r="S319" i="1"/>
  <c r="C48" i="28"/>
  <c r="BO48" i="28"/>
  <c r="S411" i="1"/>
  <c r="BO74" i="28"/>
  <c r="C74" i="28"/>
  <c r="S344" i="1"/>
  <c r="BO104" i="28"/>
  <c r="C104" i="28"/>
  <c r="C4" i="28"/>
  <c r="S228" i="1"/>
  <c r="BO4" i="28"/>
  <c r="BO19" i="28"/>
  <c r="C19" i="28"/>
  <c r="S65" i="1"/>
  <c r="BO92" i="28"/>
  <c r="S449" i="1"/>
  <c r="C92" i="28"/>
  <c r="BO67" i="28"/>
  <c r="S385" i="1"/>
  <c r="C67" i="28"/>
  <c r="BO96" i="28"/>
  <c r="S123" i="1"/>
  <c r="C96" i="28"/>
  <c r="BO47" i="28"/>
  <c r="S300" i="1"/>
  <c r="C47" i="28"/>
  <c r="BO95" i="28"/>
  <c r="S124" i="1"/>
  <c r="C95" i="28"/>
  <c r="BO60" i="28"/>
  <c r="S407" i="1"/>
  <c r="C60" i="28"/>
  <c r="BO71" i="28"/>
  <c r="S271" i="1"/>
  <c r="C71" i="28"/>
  <c r="BO5" i="28"/>
  <c r="S444" i="1"/>
  <c r="C5" i="28"/>
  <c r="BO52" i="28"/>
  <c r="C52" i="28"/>
  <c r="BO85" i="28"/>
  <c r="S479" i="1"/>
  <c r="C85" i="28"/>
  <c r="BO56" i="28"/>
  <c r="S260" i="1"/>
  <c r="C56" i="28"/>
  <c r="BO6" i="28"/>
  <c r="S229" i="1"/>
  <c r="C6" i="28"/>
  <c r="S406" i="1"/>
  <c r="C62" i="28"/>
  <c r="BO62" i="28"/>
  <c r="BO83" i="28"/>
  <c r="S197" i="1"/>
  <c r="C83" i="28"/>
  <c r="BO114" i="28"/>
  <c r="S513" i="1"/>
  <c r="C114" i="28"/>
  <c r="BO27" i="28"/>
  <c r="C27" i="28"/>
  <c r="S214" i="1"/>
  <c r="S501" i="1"/>
  <c r="BO88" i="28"/>
  <c r="C88" i="28"/>
  <c r="S416" i="1"/>
  <c r="C98" i="28"/>
  <c r="BO98" i="28"/>
  <c r="BO20" i="28"/>
  <c r="S36" i="1"/>
  <c r="C20" i="28"/>
  <c r="BO57" i="28"/>
  <c r="S305" i="1"/>
  <c r="C57" i="28"/>
  <c r="S382" i="1"/>
  <c r="C69" i="28"/>
  <c r="BO69" i="28"/>
  <c r="S55" i="1"/>
  <c r="C103" i="28"/>
  <c r="BO103" i="28"/>
  <c r="BO14" i="28"/>
  <c r="C14" i="28"/>
  <c r="S230" i="1"/>
  <c r="S252" i="1"/>
  <c r="BO77" i="28"/>
  <c r="C77" i="28"/>
  <c r="BO32" i="28"/>
  <c r="C32" i="28"/>
  <c r="S456" i="1"/>
  <c r="BO63" i="28"/>
  <c r="S373" i="1"/>
  <c r="C63" i="28"/>
  <c r="S34" i="1"/>
  <c r="BO41" i="28"/>
  <c r="C41" i="28"/>
  <c r="BO55" i="28"/>
  <c r="C55" i="28"/>
  <c r="S410" i="1"/>
  <c r="BO42" i="28"/>
  <c r="C42" i="28"/>
  <c r="S405" i="1"/>
  <c r="BO113" i="28"/>
  <c r="C113" i="28"/>
  <c r="S222" i="1"/>
  <c r="BO111" i="28"/>
  <c r="S186" i="1"/>
  <c r="C111" i="28"/>
  <c r="S514" i="1"/>
  <c r="BO99" i="28"/>
  <c r="C99" i="28"/>
  <c r="BO10" i="28"/>
  <c r="S227" i="1"/>
  <c r="C10" i="28"/>
  <c r="S85" i="1"/>
  <c r="BO101" i="28"/>
  <c r="C101" i="28"/>
  <c r="BO59" i="28"/>
  <c r="S255" i="1"/>
  <c r="C59" i="28"/>
  <c r="S493" i="1"/>
  <c r="BO35" i="28"/>
  <c r="C35" i="28"/>
  <c r="S401" i="1"/>
  <c r="C102" i="28"/>
  <c r="BO102" i="28"/>
  <c r="BO90" i="28"/>
  <c r="S323" i="1"/>
  <c r="C90" i="28"/>
  <c r="S511" i="1"/>
  <c r="BO24" i="28"/>
  <c r="C24" i="28"/>
  <c r="BO49" i="28"/>
  <c r="C49" i="28"/>
  <c r="S413" i="1"/>
  <c r="BO34" i="28"/>
  <c r="S130" i="1"/>
  <c r="C34" i="28"/>
  <c r="BO91" i="28"/>
  <c r="C91" i="28"/>
  <c r="S447" i="1"/>
  <c r="S246" i="1"/>
  <c r="BO53" i="28"/>
  <c r="C53" i="28"/>
  <c r="BO38" i="28"/>
  <c r="C38" i="28"/>
  <c r="S302" i="1"/>
  <c r="BO108" i="28"/>
  <c r="C108" i="28"/>
  <c r="S23" i="1"/>
  <c r="BO66" i="28"/>
  <c r="C66" i="28"/>
  <c r="S352" i="1"/>
  <c r="C46" i="28"/>
  <c r="S425" i="1"/>
  <c r="BO46" i="28"/>
  <c r="BO16" i="28"/>
  <c r="S536" i="1"/>
  <c r="C16" i="28"/>
  <c r="S495" i="1"/>
  <c r="BO7" i="28"/>
  <c r="C7" i="28"/>
  <c r="BO100" i="28"/>
  <c r="S453" i="1"/>
  <c r="C100" i="28"/>
  <c r="BO8" i="28"/>
  <c r="C8" i="28"/>
  <c r="S121" i="1"/>
  <c r="S11" i="1"/>
  <c r="BO39" i="28"/>
  <c r="C39" i="28"/>
  <c r="BO97" i="28"/>
  <c r="S428" i="1"/>
  <c r="C97" i="28"/>
  <c r="BO89" i="28"/>
  <c r="S322" i="1"/>
  <c r="C89" i="28"/>
  <c r="BO73" i="28"/>
  <c r="S417" i="1"/>
  <c r="C73" i="28"/>
  <c r="BO70" i="28"/>
  <c r="C70" i="28"/>
  <c r="S374" i="1"/>
  <c r="S494" i="1"/>
  <c r="BO87" i="28"/>
  <c r="C87" i="28"/>
  <c r="S474" i="1"/>
  <c r="C93" i="28"/>
  <c r="BO93" i="28"/>
  <c r="BO109" i="28"/>
  <c r="C109" i="28"/>
  <c r="S287" i="1"/>
  <c r="BO54" i="28"/>
  <c r="S236" i="1"/>
  <c r="C54" i="28"/>
  <c r="BO105" i="28"/>
  <c r="S347" i="1"/>
  <c r="C105" i="28"/>
  <c r="BO65" i="28"/>
  <c r="S356" i="1"/>
  <c r="C65" i="28"/>
  <c r="BO75" i="28"/>
  <c r="C75" i="28"/>
  <c r="S339" i="1"/>
  <c r="BO94" i="28"/>
  <c r="S455" i="1"/>
  <c r="C94" i="28"/>
  <c r="S131" i="1"/>
  <c r="BO18" i="28"/>
  <c r="C18" i="28"/>
  <c r="BO43" i="28"/>
  <c r="S242" i="1"/>
  <c r="C43" i="28"/>
  <c r="S460" i="1"/>
  <c r="BO9" i="28"/>
  <c r="C9" i="28"/>
  <c r="S489" i="1"/>
  <c r="C84" i="28"/>
  <c r="BO84" i="28"/>
  <c r="BO26" i="28"/>
  <c r="C26" i="28"/>
  <c r="S519" i="1"/>
  <c r="S44" i="1"/>
  <c r="C110" i="28"/>
  <c r="BO110" i="28"/>
  <c r="BO64" i="28"/>
  <c r="C64" i="28"/>
  <c r="S268" i="1"/>
  <c r="C23" i="28"/>
  <c r="BO23" i="28"/>
  <c r="S509" i="1"/>
  <c r="S101" i="1"/>
  <c r="BO36" i="28"/>
  <c r="C36" i="28"/>
  <c r="AQ479" i="1"/>
  <c r="B479" i="1" s="1"/>
  <c r="AQ478" i="1"/>
  <c r="B478" i="1" s="1"/>
  <c r="AQ472" i="1"/>
  <c r="B472" i="1" s="1"/>
  <c r="AQ471" i="1"/>
  <c r="B471" i="1" s="1"/>
  <c r="AQ470" i="1"/>
  <c r="B470" i="1" s="1"/>
  <c r="AQ466" i="1"/>
  <c r="B466" i="1" s="1"/>
  <c r="AQ465" i="1"/>
  <c r="B465" i="1" s="1"/>
  <c r="AQ464" i="1"/>
  <c r="B464" i="1" s="1"/>
  <c r="AQ463" i="1"/>
  <c r="B463" i="1" s="1"/>
  <c r="AQ462" i="1"/>
  <c r="B462" i="1" s="1"/>
  <c r="AQ461" i="1"/>
  <c r="B461" i="1" s="1"/>
  <c r="AQ469" i="1"/>
  <c r="B469" i="1" s="1"/>
  <c r="AQ468" i="1"/>
  <c r="B468" i="1" s="1"/>
  <c r="AQ453" i="1"/>
  <c r="B453" i="1" s="1"/>
  <c r="AQ452" i="1"/>
  <c r="B452" i="1" s="1"/>
  <c r="AQ449" i="1"/>
  <c r="B449" i="1" s="1"/>
  <c r="AQ447" i="1"/>
  <c r="B447" i="1" s="1"/>
  <c r="AQ448" i="1"/>
  <c r="B448" i="1" s="1"/>
  <c r="AQ446" i="1"/>
  <c r="B446" i="1" s="1"/>
  <c r="H37" i="28" l="1"/>
  <c r="E37" i="28"/>
  <c r="F37" i="28"/>
  <c r="G37" i="28"/>
  <c r="AQ445" i="1"/>
  <c r="B445" i="1" s="1"/>
  <c r="AQ444" i="1"/>
  <c r="B444" i="1" s="1"/>
  <c r="AQ442" i="1"/>
  <c r="B442" i="1" s="1"/>
  <c r="AQ441" i="1"/>
  <c r="B441" i="1" s="1"/>
  <c r="AQ440" i="1"/>
  <c r="B440" i="1" s="1"/>
  <c r="AQ439" i="1"/>
  <c r="B439" i="1" s="1"/>
  <c r="AQ437" i="1"/>
  <c r="B437" i="1" s="1"/>
  <c r="AQ438" i="1"/>
  <c r="B438" i="1" s="1"/>
  <c r="AQ436" i="1"/>
  <c r="B436" i="1" s="1"/>
  <c r="AQ410" i="1"/>
  <c r="B410" i="1" s="1"/>
  <c r="AQ405" i="1"/>
  <c r="B405" i="1" s="1"/>
  <c r="AQ380" i="1"/>
  <c r="B380" i="1" s="1"/>
  <c r="AQ379" i="1"/>
  <c r="B379" i="1" s="1"/>
  <c r="AQ356" i="1"/>
  <c r="B356" i="1" s="1"/>
  <c r="AQ355" i="1"/>
  <c r="B355" i="1" s="1"/>
  <c r="AQ354" i="1"/>
  <c r="B354" i="1" s="1"/>
  <c r="BO37" i="28" l="1"/>
  <c r="C37" i="28"/>
  <c r="S421" i="1"/>
  <c r="AQ352" i="1"/>
  <c r="B352" i="1" s="1"/>
  <c r="AQ351" i="1"/>
  <c r="B351" i="1" s="1"/>
  <c r="AQ342" i="1"/>
  <c r="B342" i="1" s="1"/>
  <c r="AQ341" i="1"/>
  <c r="B341" i="1" s="1"/>
  <c r="AQ339" i="1"/>
  <c r="B339" i="1" s="1"/>
  <c r="AQ331" i="1"/>
  <c r="B331" i="1" s="1"/>
  <c r="AQ330" i="1"/>
  <c r="B330" i="1" s="1"/>
  <c r="AQ295" i="1"/>
  <c r="B295" i="1" s="1"/>
  <c r="AQ294" i="1"/>
  <c r="B294" i="1" s="1"/>
  <c r="AQ293" i="1"/>
  <c r="B293" i="1" s="1"/>
  <c r="AQ292" i="1"/>
  <c r="B292" i="1" s="1"/>
  <c r="AQ285" i="1"/>
  <c r="B285" i="1" s="1"/>
  <c r="AQ284" i="1"/>
  <c r="B284" i="1" s="1"/>
  <c r="AQ287" i="1"/>
  <c r="B287" i="1" s="1"/>
  <c r="AQ286" i="1"/>
  <c r="B286" i="1" s="1"/>
  <c r="AQ291" i="1"/>
  <c r="B291" i="1" s="1"/>
  <c r="AQ290" i="1"/>
  <c r="B290" i="1" s="1"/>
  <c r="AQ289" i="1"/>
  <c r="B289" i="1" s="1"/>
  <c r="AQ274" i="1"/>
  <c r="B274" i="1" s="1"/>
  <c r="AQ276" i="1"/>
  <c r="B276" i="1" s="1"/>
  <c r="AQ277" i="1"/>
  <c r="B277" i="1" s="1"/>
  <c r="AQ278" i="1"/>
  <c r="B278" i="1" s="1"/>
  <c r="AQ279" i="1" l="1"/>
  <c r="B279" i="1" s="1"/>
  <c r="AQ275" i="1"/>
  <c r="B275" i="1" s="1"/>
  <c r="AQ273" i="1"/>
  <c r="B273" i="1" s="1"/>
  <c r="AQ272" i="1"/>
  <c r="B272" i="1" s="1"/>
  <c r="AQ271" i="1"/>
  <c r="B271" i="1" s="1"/>
  <c r="AQ269" i="1"/>
  <c r="B269" i="1" s="1"/>
  <c r="AQ268" i="1"/>
  <c r="B268" i="1" s="1"/>
  <c r="AQ265" i="1"/>
  <c r="B265" i="1" s="1"/>
  <c r="AQ264" i="1"/>
  <c r="B264" i="1" s="1"/>
  <c r="AQ262" i="1"/>
  <c r="B262" i="1" s="1"/>
  <c r="AQ261" i="1"/>
  <c r="B261" i="1" s="1"/>
  <c r="AQ260" i="1"/>
  <c r="B260" i="1" s="1"/>
  <c r="AQ244" i="1"/>
  <c r="B244" i="1" s="1"/>
  <c r="AQ243" i="1"/>
  <c r="B243" i="1" s="1"/>
  <c r="AQ242" i="1"/>
  <c r="B242" i="1" s="1"/>
  <c r="AQ163" i="1"/>
  <c r="B163" i="1" s="1"/>
  <c r="AQ160" i="1"/>
  <c r="B160" i="1" s="1"/>
  <c r="AQ157" i="1"/>
  <c r="B157" i="1" s="1"/>
  <c r="AQ154" i="1"/>
  <c r="B154" i="1" s="1"/>
  <c r="AQ151" i="1"/>
  <c r="B151" i="1" s="1"/>
  <c r="AQ148" i="1"/>
  <c r="B148" i="1" s="1"/>
  <c r="AQ185" i="1"/>
  <c r="B185" i="1" s="1"/>
  <c r="AQ183" i="1"/>
  <c r="B183" i="1" s="1"/>
  <c r="AQ181" i="1"/>
  <c r="B181" i="1" s="1"/>
  <c r="AQ178" i="1"/>
  <c r="B178" i="1" s="1"/>
  <c r="AQ175" i="1"/>
  <c r="B175" i="1" s="1"/>
  <c r="AQ172" i="1"/>
  <c r="B172" i="1" s="1"/>
  <c r="AQ169" i="1"/>
  <c r="B169" i="1" s="1"/>
  <c r="AQ212" i="1"/>
  <c r="B212" i="1" s="1"/>
  <c r="BH212" i="1" s="1"/>
  <c r="AQ213" i="1"/>
  <c r="B213" i="1" s="1"/>
  <c r="BH213" i="1" s="1"/>
  <c r="AQ211" i="1"/>
  <c r="B211" i="1" s="1"/>
  <c r="BH211" i="1" s="1"/>
  <c r="AQ184" i="1"/>
  <c r="B184" i="1" s="1"/>
  <c r="AQ182" i="1"/>
  <c r="B182" i="1" s="1"/>
  <c r="AQ180" i="1"/>
  <c r="B180" i="1" s="1"/>
  <c r="AQ179" i="1"/>
  <c r="B179" i="1" s="1"/>
  <c r="AQ177" i="1"/>
  <c r="B177" i="1" s="1"/>
  <c r="AQ176" i="1"/>
  <c r="B176" i="1" s="1"/>
  <c r="AQ174" i="1"/>
  <c r="B174" i="1" s="1"/>
  <c r="AQ173" i="1"/>
  <c r="B173" i="1" s="1"/>
  <c r="AQ171" i="1"/>
  <c r="B171" i="1" s="1"/>
  <c r="AQ170" i="1"/>
  <c r="B170" i="1" s="1"/>
  <c r="AQ167" i="1"/>
  <c r="B167" i="1" s="1"/>
  <c r="AQ166" i="1"/>
  <c r="B166" i="1" s="1"/>
  <c r="AQ164" i="1"/>
  <c r="B164" i="1" s="1"/>
  <c r="AQ162" i="1"/>
  <c r="B162" i="1" s="1"/>
  <c r="AQ161" i="1"/>
  <c r="B161" i="1" s="1"/>
  <c r="AQ159" i="1"/>
  <c r="B159" i="1" s="1"/>
  <c r="AQ158" i="1"/>
  <c r="B158" i="1" s="1"/>
  <c r="AQ156" i="1"/>
  <c r="B156" i="1" s="1"/>
  <c r="AQ147" i="1"/>
  <c r="B147" i="1" s="1"/>
  <c r="AQ155" i="1"/>
  <c r="B155" i="1" s="1"/>
  <c r="AQ153" i="1"/>
  <c r="B153" i="1" s="1"/>
  <c r="AQ152" i="1"/>
  <c r="B152" i="1" s="1"/>
  <c r="AQ150" i="1"/>
  <c r="B150" i="1" s="1"/>
  <c r="AQ149" i="1" l="1"/>
  <c r="B149" i="1" s="1"/>
  <c r="AQ146" i="1"/>
  <c r="B146" i="1" s="1"/>
  <c r="AQ145" i="1"/>
  <c r="B145" i="1" s="1"/>
  <c r="AQ144" i="1"/>
  <c r="B144" i="1" s="1"/>
  <c r="AQ143" i="1"/>
  <c r="B143" i="1" s="1"/>
  <c r="AQ142" i="1"/>
  <c r="B142" i="1" s="1"/>
  <c r="AQ141" i="1"/>
  <c r="B141" i="1" s="1"/>
  <c r="AQ140" i="1"/>
  <c r="B140" i="1" s="1"/>
  <c r="AQ139" i="1"/>
  <c r="B139" i="1" s="1"/>
  <c r="AQ236" i="1" l="1"/>
  <c r="B236" i="1" s="1"/>
  <c r="AQ235" i="1"/>
  <c r="B235" i="1" s="1"/>
  <c r="AQ234" i="1"/>
  <c r="B234" i="1" s="1"/>
  <c r="AQ233" i="1"/>
  <c r="B233" i="1" s="1"/>
  <c r="AQ226" i="1"/>
  <c r="B226" i="1" s="1"/>
  <c r="AQ224" i="1"/>
  <c r="B224" i="1" s="1"/>
  <c r="AQ223" i="1"/>
  <c r="B223" i="1" s="1"/>
  <c r="AQ222" i="1"/>
  <c r="B222" i="1" s="1"/>
  <c r="AQ129" i="1"/>
  <c r="B129" i="1" s="1"/>
  <c r="AQ122" i="1"/>
  <c r="B122" i="1" s="1"/>
  <c r="AQ121" i="1"/>
  <c r="B121" i="1" s="1"/>
  <c r="AQ96" i="1"/>
  <c r="B96" i="1" s="1"/>
  <c r="AQ104" i="1"/>
  <c r="B104" i="1" s="1"/>
  <c r="AQ103" i="1"/>
  <c r="B103" i="1" s="1"/>
  <c r="AQ107" i="1"/>
  <c r="B107" i="1" s="1"/>
  <c r="AQ106" i="1"/>
  <c r="B106" i="1" s="1"/>
  <c r="AQ27" i="1"/>
  <c r="B27" i="1" s="1"/>
  <c r="AQ37" i="1"/>
  <c r="B37" i="1" s="1"/>
  <c r="AQ36" i="1"/>
  <c r="B36" i="1" s="1"/>
  <c r="AQ66" i="1"/>
  <c r="B66" i="1" s="1"/>
  <c r="AQ65" i="1"/>
  <c r="B65" i="1" s="1"/>
  <c r="AQ47" i="1"/>
  <c r="B47" i="1" s="1"/>
  <c r="AQ46" i="1"/>
  <c r="B46" i="1" s="1"/>
  <c r="AQ14" i="1"/>
  <c r="B14" i="1" s="1"/>
  <c r="AQ13" i="1"/>
  <c r="B13" i="1" s="1"/>
  <c r="AQ57" i="1" l="1"/>
  <c r="B57" i="1" s="1"/>
  <c r="BH57" i="1" s="1"/>
  <c r="AQ56" i="1"/>
  <c r="B56" i="1" s="1"/>
  <c r="BH56" i="1" s="1"/>
  <c r="AQ55" i="1"/>
  <c r="B55" i="1" s="1"/>
  <c r="BH55" i="1" s="1"/>
  <c r="AQ54" i="1"/>
  <c r="B54" i="1" s="1"/>
  <c r="BH54" i="1" s="1"/>
  <c r="AQ53" i="1"/>
  <c r="B53" i="1" s="1"/>
  <c r="BH53" i="1" s="1"/>
  <c r="AQ52" i="1"/>
  <c r="B52" i="1" s="1"/>
  <c r="BH52" i="1" s="1"/>
  <c r="AQ51" i="1"/>
  <c r="B51" i="1" s="1"/>
  <c r="BH51" i="1" s="1"/>
  <c r="AQ50" i="1"/>
  <c r="B50" i="1" s="1"/>
  <c r="BH50" i="1" s="1"/>
  <c r="AQ49" i="1"/>
  <c r="B49" i="1" s="1"/>
  <c r="BH49" i="1" s="1"/>
  <c r="AQ48" i="1"/>
  <c r="B48" i="1" s="1"/>
  <c r="BH48" i="1" s="1"/>
  <c r="AQ25" i="1"/>
  <c r="B25" i="1" s="1"/>
  <c r="BH25" i="1" s="1"/>
  <c r="AQ24" i="1"/>
  <c r="B24" i="1" s="1"/>
  <c r="BH24" i="1" s="1"/>
  <c r="AQ23" i="1"/>
  <c r="B23" i="1" s="1"/>
  <c r="BH23" i="1" s="1"/>
  <c r="AQ22" i="1"/>
  <c r="B22" i="1" s="1"/>
  <c r="BH22" i="1" s="1"/>
  <c r="AQ21" i="1"/>
  <c r="B21" i="1" s="1"/>
  <c r="BH21" i="1" s="1"/>
  <c r="AQ20" i="1"/>
  <c r="B20" i="1" s="1"/>
  <c r="BH20" i="1" s="1"/>
  <c r="AQ19" i="1"/>
  <c r="B19" i="1" s="1"/>
  <c r="BH19" i="1" s="1"/>
  <c r="AQ18" i="1"/>
  <c r="B18" i="1" s="1"/>
  <c r="BH18" i="1" s="1"/>
  <c r="AQ17" i="1"/>
  <c r="B17" i="1" s="1"/>
  <c r="BH17" i="1" s="1"/>
  <c r="AQ64" i="1"/>
  <c r="B64" i="1" s="1"/>
  <c r="AQ35" i="1" l="1"/>
  <c r="B35" i="1" s="1"/>
  <c r="AQ45" i="1"/>
  <c r="B45" i="1" s="1"/>
  <c r="AQ496" i="1"/>
  <c r="B496" i="1" s="1"/>
  <c r="AQ288" i="1"/>
  <c r="B288" i="1" s="1"/>
  <c r="AQ16" i="1"/>
  <c r="B16" i="1" s="1"/>
  <c r="BH16" i="1" s="1"/>
  <c r="AN12" i="1"/>
  <c r="AQ12" i="1" s="1"/>
  <c r="B12" i="1" s="1"/>
  <c r="AQ519" i="1" l="1"/>
  <c r="B519" i="1" s="1"/>
  <c r="AQ514" i="1"/>
  <c r="B514" i="1" s="1"/>
  <c r="BH514" i="1" s="1"/>
  <c r="AQ493" i="1"/>
  <c r="B493" i="1" s="1"/>
  <c r="AQ492" i="1"/>
  <c r="B492" i="1" s="1"/>
  <c r="AQ490" i="1"/>
  <c r="B490" i="1" s="1"/>
  <c r="AQ488" i="1"/>
  <c r="B488" i="1" s="1"/>
  <c r="AQ477" i="1"/>
  <c r="B477" i="1" s="1"/>
  <c r="AQ467" i="1"/>
  <c r="B467" i="1" s="1"/>
  <c r="AQ454" i="1"/>
  <c r="B454" i="1" s="1"/>
  <c r="AQ451" i="1"/>
  <c r="B451" i="1" s="1"/>
  <c r="AQ450" i="1"/>
  <c r="B450" i="1" s="1"/>
  <c r="AQ443" i="1"/>
  <c r="B443" i="1" s="1"/>
  <c r="AQ435" i="1"/>
  <c r="B435" i="1" s="1"/>
  <c r="AQ434" i="1"/>
  <c r="B434" i="1" s="1"/>
  <c r="AQ433" i="1"/>
  <c r="B433" i="1" s="1"/>
  <c r="AQ409" i="1"/>
  <c r="B409" i="1" s="1"/>
  <c r="AQ408" i="1"/>
  <c r="B408" i="1" s="1"/>
  <c r="AQ404" i="1"/>
  <c r="B404" i="1" s="1"/>
  <c r="AQ403" i="1"/>
  <c r="B403" i="1" s="1"/>
  <c r="AQ385" i="1"/>
  <c r="B385" i="1" s="1"/>
  <c r="AQ383" i="1"/>
  <c r="B383" i="1" s="1"/>
  <c r="AQ382" i="1"/>
  <c r="B382" i="1" s="1"/>
  <c r="AQ381" i="1"/>
  <c r="B381" i="1" s="1"/>
  <c r="AQ378" i="1"/>
  <c r="B378" i="1" s="1"/>
  <c r="AQ377" i="1"/>
  <c r="B377" i="1" s="1"/>
  <c r="AQ374" i="1"/>
  <c r="B374" i="1" s="1"/>
  <c r="AQ373" i="1"/>
  <c r="B373" i="1" s="1"/>
  <c r="AQ372" i="1"/>
  <c r="B372" i="1" s="1"/>
  <c r="AQ371" i="1"/>
  <c r="B371" i="1" s="1"/>
  <c r="AQ365" i="1"/>
  <c r="B365" i="1" s="1"/>
  <c r="AQ362" i="1"/>
  <c r="B362" i="1" s="1"/>
  <c r="AQ359" i="1"/>
  <c r="B359" i="1" s="1"/>
  <c r="AQ358" i="1"/>
  <c r="B358" i="1" s="1"/>
  <c r="AQ357" i="1"/>
  <c r="B357" i="1" s="1"/>
  <c r="AQ353" i="1"/>
  <c r="B353" i="1" s="1"/>
  <c r="AQ350" i="1"/>
  <c r="B350" i="1" s="1"/>
  <c r="AQ348" i="1"/>
  <c r="B348" i="1" s="1"/>
  <c r="AQ347" i="1"/>
  <c r="B347" i="1" s="1"/>
  <c r="AQ346" i="1"/>
  <c r="B346" i="1" s="1"/>
  <c r="AQ344" i="1"/>
  <c r="B344" i="1" s="1"/>
  <c r="AQ336" i="1"/>
  <c r="B336" i="1" s="1"/>
  <c r="AQ335" i="1"/>
  <c r="B335" i="1" s="1"/>
  <c r="AQ343" i="1"/>
  <c r="B343" i="1" s="1"/>
  <c r="AQ329" i="1"/>
  <c r="B329" i="1" s="1"/>
  <c r="AQ328" i="1"/>
  <c r="B328" i="1" s="1"/>
  <c r="AQ324" i="1"/>
  <c r="B324" i="1" s="1"/>
  <c r="AQ323" i="1"/>
  <c r="B323" i="1" s="1"/>
  <c r="AQ322" i="1"/>
  <c r="B322" i="1" s="1"/>
  <c r="AQ307" i="1"/>
  <c r="B307" i="1" s="1"/>
  <c r="AQ270" i="1"/>
  <c r="B270" i="1" s="1"/>
  <c r="AQ267" i="1"/>
  <c r="B267" i="1" s="1"/>
  <c r="AQ263" i="1"/>
  <c r="B263" i="1" s="1"/>
  <c r="AQ259" i="1"/>
  <c r="B259" i="1" s="1"/>
  <c r="AQ253" i="1"/>
  <c r="B253" i="1" s="1"/>
  <c r="AQ241" i="1"/>
  <c r="B241" i="1" s="1"/>
  <c r="AQ238" i="1"/>
  <c r="B238" i="1" s="1"/>
  <c r="AQ232" i="1"/>
  <c r="B232" i="1" s="1"/>
  <c r="AQ231" i="1"/>
  <c r="B231" i="1" s="1"/>
  <c r="AQ230" i="1"/>
  <c r="B230" i="1" s="1"/>
  <c r="AQ229" i="1"/>
  <c r="B229" i="1" s="1"/>
  <c r="AQ228" i="1"/>
  <c r="B228" i="1" s="1"/>
  <c r="AQ227" i="1"/>
  <c r="B227" i="1" s="1"/>
  <c r="AQ225" i="1"/>
  <c r="B225" i="1" s="1"/>
  <c r="AQ221" i="1"/>
  <c r="B221" i="1" s="1"/>
  <c r="AQ197" i="1"/>
  <c r="B197" i="1" s="1"/>
  <c r="BH197" i="1" s="1"/>
  <c r="AQ168" i="1"/>
  <c r="B168" i="1" s="1"/>
  <c r="AQ165" i="1"/>
  <c r="B165" i="1" s="1"/>
  <c r="AQ186" i="1"/>
  <c r="B186" i="1" s="1"/>
  <c r="BH186" i="1" s="1"/>
  <c r="AQ131" i="1"/>
  <c r="B131" i="1" s="1"/>
  <c r="AQ128" i="1"/>
  <c r="B128" i="1" s="1"/>
  <c r="AQ125" i="1"/>
  <c r="B125" i="1" s="1"/>
  <c r="AQ124" i="1"/>
  <c r="B124" i="1" s="1"/>
  <c r="AQ123" i="1"/>
  <c r="B123" i="1" s="1"/>
  <c r="AQ120" i="1"/>
  <c r="B120" i="1" s="1"/>
  <c r="AQ112" i="1"/>
  <c r="B112" i="1" s="1"/>
  <c r="AQ110" i="1"/>
  <c r="B110" i="1" s="1"/>
  <c r="AQ105" i="1"/>
  <c r="B105" i="1" s="1"/>
  <c r="AQ102" i="1"/>
  <c r="B102" i="1" s="1"/>
  <c r="AQ98" i="1"/>
  <c r="B98" i="1" s="1"/>
  <c r="AQ97" i="1"/>
  <c r="B97" i="1" s="1"/>
  <c r="AQ95" i="1"/>
  <c r="B95" i="1" s="1"/>
  <c r="AQ94" i="1"/>
  <c r="B94" i="1" s="1"/>
  <c r="AQ92" i="1"/>
  <c r="B92" i="1" s="1"/>
  <c r="AQ91" i="1"/>
  <c r="B91" i="1" s="1"/>
  <c r="AQ85" i="1"/>
  <c r="B85" i="1" s="1"/>
  <c r="AQ84" i="1"/>
  <c r="B84" i="1" s="1"/>
  <c r="AQ79" i="1"/>
  <c r="B79" i="1" s="1"/>
  <c r="AQ76" i="1"/>
  <c r="B76" i="1" s="1"/>
  <c r="AQ68" i="1"/>
  <c r="B68" i="1" s="1"/>
  <c r="AQ63" i="1"/>
  <c r="B63" i="1" s="1"/>
  <c r="AQ44" i="1"/>
  <c r="B44" i="1" s="1"/>
  <c r="AQ39" i="1"/>
  <c r="B39" i="1" s="1"/>
  <c r="AQ34" i="1"/>
  <c r="B34" i="1" s="1"/>
  <c r="AQ26" i="1"/>
  <c r="B26" i="1" s="1"/>
  <c r="AN11" i="1"/>
  <c r="AQ11" i="1" s="1"/>
  <c r="B11" i="1" s="1"/>
  <c r="AE2" i="1"/>
  <c r="AE1" i="1"/>
  <c r="E26" i="1" l="1"/>
  <c r="E434" i="1"/>
  <c r="E120" i="1"/>
  <c r="E16" i="1"/>
  <c r="E357" i="1"/>
  <c r="E253" i="1"/>
  <c r="E362" i="1"/>
  <c r="E123" i="1"/>
  <c r="E124" i="1"/>
  <c r="E267" i="1"/>
  <c r="E365" i="1"/>
  <c r="E454" i="1"/>
  <c r="E373" i="1"/>
  <c r="E488" i="1"/>
  <c r="E329" i="1"/>
  <c r="E378" i="1"/>
  <c r="E492" i="1"/>
  <c r="E435" i="1"/>
  <c r="E44" i="1"/>
  <c r="E128" i="1"/>
  <c r="E307" i="1"/>
  <c r="E322" i="1"/>
  <c r="E323" i="1"/>
  <c r="E374" i="1"/>
  <c r="E377" i="1"/>
  <c r="E221" i="1"/>
  <c r="E94" i="1"/>
  <c r="E95" i="1"/>
  <c r="E97" i="1"/>
  <c r="E229" i="1"/>
  <c r="E344" i="1"/>
  <c r="E385" i="1"/>
  <c r="E35" i="1"/>
  <c r="E34" i="1"/>
  <c r="E263" i="1"/>
  <c r="E450" i="1"/>
  <c r="E68" i="1"/>
  <c r="E76" i="1"/>
  <c r="E79" i="1"/>
  <c r="E84" i="1"/>
  <c r="E197" i="1"/>
  <c r="E92" i="1"/>
  <c r="E519" i="1"/>
  <c r="E98" i="1"/>
  <c r="E230" i="1"/>
  <c r="E346" i="1"/>
  <c r="E403" i="1"/>
  <c r="E45" i="1"/>
  <c r="E358" i="1"/>
  <c r="E443" i="1"/>
  <c r="E63" i="1"/>
  <c r="E131" i="1"/>
  <c r="E186" i="1"/>
  <c r="E324" i="1"/>
  <c r="E490" i="1"/>
  <c r="E343" i="1"/>
  <c r="E227" i="1"/>
  <c r="E228" i="1"/>
  <c r="E102" i="1"/>
  <c r="E231" i="1"/>
  <c r="E347" i="1"/>
  <c r="E404" i="1"/>
  <c r="E496" i="1"/>
  <c r="E39" i="1"/>
  <c r="E125" i="1"/>
  <c r="E270" i="1"/>
  <c r="E371" i="1"/>
  <c r="E467" i="1"/>
  <c r="E477" i="1"/>
  <c r="E85" i="1"/>
  <c r="E493" i="1"/>
  <c r="E514" i="1"/>
  <c r="E232" i="1"/>
  <c r="E348" i="1"/>
  <c r="E408" i="1"/>
  <c r="E288" i="1"/>
  <c r="E451" i="1"/>
  <c r="E372" i="1"/>
  <c r="E91" i="1"/>
  <c r="E381" i="1"/>
  <c r="E335" i="1"/>
  <c r="E336" i="1"/>
  <c r="E105" i="1"/>
  <c r="E110" i="1"/>
  <c r="E238" i="1"/>
  <c r="E350" i="1"/>
  <c r="E409" i="1"/>
  <c r="E259" i="1"/>
  <c r="E359" i="1"/>
  <c r="E165" i="1"/>
  <c r="E168" i="1"/>
  <c r="E328" i="1"/>
  <c r="E225" i="1"/>
  <c r="E382" i="1"/>
  <c r="E383" i="1"/>
  <c r="E11" i="1"/>
  <c r="E534" i="1"/>
  <c r="E533" i="1"/>
  <c r="E86" i="1"/>
  <c r="E127" i="1"/>
  <c r="E429" i="1"/>
  <c r="E251" i="1"/>
  <c r="E535" i="1"/>
  <c r="E126" i="1"/>
  <c r="E249" i="1"/>
  <c r="E248" i="1"/>
  <c r="E345" i="1"/>
  <c r="E340" i="1"/>
  <c r="E430" i="1"/>
  <c r="E87" i="1"/>
  <c r="E250" i="1"/>
  <c r="E247" i="1"/>
  <c r="E337" i="1"/>
  <c r="E338" i="1"/>
  <c r="E531" i="1"/>
  <c r="E532" i="1"/>
  <c r="E512" i="1"/>
  <c r="E325" i="1"/>
  <c r="E500" i="1"/>
  <c r="E489" i="1"/>
  <c r="E502" i="1"/>
  <c r="E501" i="1"/>
  <c r="E491" i="1"/>
  <c r="E497" i="1"/>
  <c r="E499" i="1"/>
  <c r="E498" i="1"/>
  <c r="E468" i="1"/>
  <c r="E466" i="1"/>
  <c r="E448" i="1"/>
  <c r="E464" i="1"/>
  <c r="E446" i="1"/>
  <c r="E470" i="1"/>
  <c r="E447" i="1"/>
  <c r="E471" i="1"/>
  <c r="E463" i="1"/>
  <c r="E469" i="1"/>
  <c r="E449" i="1"/>
  <c r="E465" i="1"/>
  <c r="E452" i="1"/>
  <c r="E461" i="1"/>
  <c r="E472" i="1"/>
  <c r="E478" i="1"/>
  <c r="E462" i="1"/>
  <c r="E479" i="1"/>
  <c r="E453" i="1"/>
  <c r="E354" i="1"/>
  <c r="E440" i="1"/>
  <c r="E405" i="1"/>
  <c r="E445" i="1"/>
  <c r="E439" i="1"/>
  <c r="E442" i="1"/>
  <c r="E380" i="1"/>
  <c r="E436" i="1"/>
  <c r="E355" i="1"/>
  <c r="E438" i="1"/>
  <c r="E356" i="1"/>
  <c r="E444" i="1"/>
  <c r="E437" i="1"/>
  <c r="E379" i="1"/>
  <c r="E441" i="1"/>
  <c r="E410" i="1"/>
  <c r="E352" i="1"/>
  <c r="E278" i="1"/>
  <c r="E274" i="1"/>
  <c r="E286" i="1"/>
  <c r="E351" i="1"/>
  <c r="E341" i="1"/>
  <c r="E284" i="1"/>
  <c r="E293" i="1"/>
  <c r="E330" i="1"/>
  <c r="E289" i="1"/>
  <c r="E342" i="1"/>
  <c r="E285" i="1"/>
  <c r="E277" i="1"/>
  <c r="E291" i="1"/>
  <c r="E295" i="1"/>
  <c r="E339" i="1"/>
  <c r="E276" i="1"/>
  <c r="E290" i="1"/>
  <c r="E294" i="1"/>
  <c r="E331" i="1"/>
  <c r="E287" i="1"/>
  <c r="E292" i="1"/>
  <c r="E179" i="1"/>
  <c r="E161" i="1"/>
  <c r="E271" i="1"/>
  <c r="E180" i="1"/>
  <c r="E265" i="1"/>
  <c r="E213" i="1"/>
  <c r="E164" i="1"/>
  <c r="E148" i="1"/>
  <c r="E174" i="1"/>
  <c r="E260" i="1"/>
  <c r="E175" i="1"/>
  <c r="E152" i="1"/>
  <c r="E268" i="1"/>
  <c r="E272" i="1"/>
  <c r="E153" i="1"/>
  <c r="E158" i="1"/>
  <c r="E156" i="1"/>
  <c r="E181" i="1"/>
  <c r="E160" i="1"/>
  <c r="E154" i="1"/>
  <c r="E178" i="1"/>
  <c r="E173" i="1"/>
  <c r="E169" i="1"/>
  <c r="E264" i="1"/>
  <c r="E162" i="1"/>
  <c r="E273" i="1"/>
  <c r="E182" i="1"/>
  <c r="E243" i="1"/>
  <c r="E172" i="1"/>
  <c r="E244" i="1"/>
  <c r="E185" i="1"/>
  <c r="E176" i="1"/>
  <c r="E167" i="1"/>
  <c r="E171" i="1"/>
  <c r="E157" i="1"/>
  <c r="E177" i="1"/>
  <c r="E261" i="1"/>
  <c r="E211" i="1"/>
  <c r="E275" i="1"/>
  <c r="E151" i="1"/>
  <c r="E262" i="1"/>
  <c r="E150" i="1"/>
  <c r="E163" i="1"/>
  <c r="E147" i="1"/>
  <c r="E159" i="1"/>
  <c r="E170" i="1"/>
  <c r="E269" i="1"/>
  <c r="E184" i="1"/>
  <c r="E242" i="1"/>
  <c r="E166" i="1"/>
  <c r="E212" i="1"/>
  <c r="E183" i="1"/>
  <c r="E279" i="1"/>
  <c r="E155" i="1"/>
  <c r="E149" i="1"/>
  <c r="E140" i="1"/>
  <c r="E146" i="1"/>
  <c r="E143" i="1"/>
  <c r="E139" i="1"/>
  <c r="E142" i="1"/>
  <c r="E145" i="1"/>
  <c r="E144" i="1"/>
  <c r="E141" i="1"/>
  <c r="E122" i="1"/>
  <c r="E66" i="1"/>
  <c r="E14" i="1"/>
  <c r="E27" i="1"/>
  <c r="E234" i="1"/>
  <c r="E13" i="1"/>
  <c r="E104" i="1"/>
  <c r="E235" i="1"/>
  <c r="E129" i="1"/>
  <c r="E223" i="1"/>
  <c r="E46" i="1"/>
  <c r="E233" i="1"/>
  <c r="E47" i="1"/>
  <c r="E106" i="1"/>
  <c r="E236" i="1"/>
  <c r="E65" i="1"/>
  <c r="E107" i="1"/>
  <c r="E36" i="1"/>
  <c r="E103" i="1"/>
  <c r="E224" i="1"/>
  <c r="E222" i="1"/>
  <c r="E96" i="1"/>
  <c r="E37" i="1"/>
  <c r="E121" i="1"/>
  <c r="E226" i="1"/>
  <c r="E24" i="1"/>
  <c r="E54" i="1"/>
  <c r="E18" i="1"/>
  <c r="E49" i="1"/>
  <c r="E51" i="1"/>
  <c r="E20" i="1"/>
  <c r="E48" i="1"/>
  <c r="E23" i="1"/>
  <c r="E22" i="1"/>
  <c r="E55" i="1"/>
  <c r="E50" i="1"/>
  <c r="E57" i="1"/>
  <c r="E56" i="1"/>
  <c r="E19" i="1"/>
  <c r="E53" i="1"/>
  <c r="E21" i="1"/>
  <c r="E64" i="1"/>
  <c r="E25" i="1"/>
  <c r="E17" i="1"/>
  <c r="E52" i="1"/>
  <c r="E112" i="1"/>
  <c r="E241" i="1"/>
  <c r="E353" i="1"/>
  <c r="E433" i="1"/>
  <c r="E12" i="1"/>
  <c r="AE473" i="1"/>
  <c r="D9" i="11" l="1"/>
  <c r="D7" i="11"/>
  <c r="D6" i="11"/>
  <c r="C3" i="17" l="1"/>
  <c r="C6" i="17"/>
  <c r="B2" i="12"/>
  <c r="B2" i="22"/>
  <c r="B2" i="2"/>
  <c r="H2" i="1" l="1"/>
  <c r="C1" i="2" l="1"/>
  <c r="M7" i="18" l="1"/>
  <c r="W84" i="18"/>
  <c r="W83" i="18"/>
  <c r="W82" i="18"/>
  <c r="W81" i="18"/>
  <c r="W80" i="18"/>
  <c r="W79" i="18"/>
  <c r="W78" i="18"/>
  <c r="W77" i="18"/>
  <c r="W76" i="18"/>
  <c r="W75" i="18"/>
  <c r="W74" i="18"/>
  <c r="W73" i="18"/>
  <c r="W72" i="18"/>
  <c r="W71" i="18"/>
  <c r="W70" i="18"/>
  <c r="W69" i="18"/>
  <c r="W68" i="18"/>
  <c r="W67" i="18"/>
  <c r="W66" i="18"/>
  <c r="W65" i="18"/>
  <c r="W64" i="18"/>
  <c r="W63" i="18"/>
  <c r="W62" i="18"/>
  <c r="W61" i="18"/>
  <c r="W60" i="18"/>
  <c r="W59" i="18"/>
  <c r="W58" i="18"/>
  <c r="W57" i="18"/>
  <c r="W56" i="18"/>
  <c r="W55" i="18"/>
  <c r="W54" i="18"/>
  <c r="W53" i="18"/>
  <c r="W52" i="18"/>
  <c r="W51" i="18"/>
  <c r="W50" i="18"/>
  <c r="W49" i="18"/>
  <c r="W48" i="18"/>
  <c r="W47" i="18"/>
  <c r="W46" i="18"/>
  <c r="W45" i="18"/>
  <c r="W44" i="18"/>
  <c r="W43" i="18"/>
  <c r="W42" i="18"/>
  <c r="W41" i="18"/>
  <c r="W40" i="18"/>
  <c r="W39" i="18"/>
  <c r="W38" i="18"/>
  <c r="W37" i="18"/>
  <c r="W36" i="18"/>
  <c r="W35" i="18"/>
  <c r="W34" i="18"/>
  <c r="W33" i="18"/>
  <c r="W32" i="18"/>
  <c r="W31" i="18"/>
  <c r="W30" i="18"/>
  <c r="W29" i="18"/>
  <c r="W28" i="18"/>
  <c r="W27" i="18"/>
  <c r="W26" i="18"/>
  <c r="W25" i="18"/>
  <c r="W24" i="18"/>
  <c r="W23" i="18"/>
  <c r="W22" i="18"/>
  <c r="W21" i="18"/>
  <c r="W20" i="18"/>
  <c r="W19" i="18"/>
  <c r="W18" i="18"/>
  <c r="W17" i="18"/>
  <c r="W16" i="18"/>
  <c r="W15" i="18"/>
  <c r="W14" i="18"/>
  <c r="W13" i="18"/>
  <c r="W12" i="18"/>
  <c r="W11" i="18"/>
  <c r="W10" i="18"/>
  <c r="W9" i="18"/>
  <c r="W8" i="18"/>
  <c r="W7" i="18"/>
  <c r="W6" i="18"/>
  <c r="H2" i="18"/>
  <c r="G2" i="18"/>
  <c r="I2" i="18" s="1"/>
  <c r="R84" i="18"/>
  <c r="R83" i="18"/>
  <c r="R82" i="18"/>
  <c r="R81" i="18"/>
  <c r="R80" i="18"/>
  <c r="R79" i="18"/>
  <c r="R78" i="18"/>
  <c r="R77" i="18"/>
  <c r="R76" i="18"/>
  <c r="R75" i="18"/>
  <c r="R74" i="18"/>
  <c r="R73" i="18"/>
  <c r="R72" i="18"/>
  <c r="R71" i="18"/>
  <c r="R70" i="18"/>
  <c r="R69" i="18"/>
  <c r="R68" i="18"/>
  <c r="R67" i="18"/>
  <c r="R66" i="18"/>
  <c r="R65" i="18"/>
  <c r="R64" i="18"/>
  <c r="R63" i="18"/>
  <c r="R62" i="18"/>
  <c r="R61" i="18"/>
  <c r="R60" i="18"/>
  <c r="R59" i="18"/>
  <c r="R58" i="18"/>
  <c r="R57" i="18"/>
  <c r="R56" i="18"/>
  <c r="R55" i="18"/>
  <c r="R54" i="18"/>
  <c r="R53" i="18"/>
  <c r="R52" i="18"/>
  <c r="R51" i="18"/>
  <c r="R50" i="18"/>
  <c r="R49" i="18"/>
  <c r="R48" i="18"/>
  <c r="R47" i="18"/>
  <c r="R46" i="18"/>
  <c r="R45" i="18"/>
  <c r="R44" i="18"/>
  <c r="R43" i="18"/>
  <c r="R42" i="18"/>
  <c r="R41" i="18"/>
  <c r="R40" i="18"/>
  <c r="R39" i="18"/>
  <c r="R38" i="18"/>
  <c r="R37" i="18"/>
  <c r="R36" i="18"/>
  <c r="R35" i="18"/>
  <c r="R34" i="18"/>
  <c r="R33" i="18"/>
  <c r="R32" i="18"/>
  <c r="R31" i="18"/>
  <c r="R30" i="18"/>
  <c r="R29" i="18"/>
  <c r="R28" i="18"/>
  <c r="R27" i="18"/>
  <c r="R26" i="18"/>
  <c r="R25" i="18"/>
  <c r="R24" i="18"/>
  <c r="R23" i="18"/>
  <c r="R22" i="18"/>
  <c r="R21" i="18"/>
  <c r="R20" i="18"/>
  <c r="R19" i="18"/>
  <c r="R18" i="18"/>
  <c r="R17" i="18"/>
  <c r="R16" i="18"/>
  <c r="R15" i="18"/>
  <c r="R14" i="18"/>
  <c r="R13" i="18"/>
  <c r="R12" i="18"/>
  <c r="R11" i="18"/>
  <c r="R10" i="18"/>
  <c r="R9" i="18"/>
  <c r="R8" i="18"/>
  <c r="R7" i="18"/>
  <c r="R6" i="18"/>
  <c r="M84" i="18"/>
  <c r="M83" i="18"/>
  <c r="M82" i="18"/>
  <c r="M81" i="18"/>
  <c r="M80" i="18"/>
  <c r="M79" i="18"/>
  <c r="M78" i="18"/>
  <c r="M77" i="18"/>
  <c r="M76" i="18"/>
  <c r="M75" i="18"/>
  <c r="M74" i="18"/>
  <c r="M73" i="18"/>
  <c r="M72" i="18"/>
  <c r="M71" i="18"/>
  <c r="M70" i="18"/>
  <c r="M69" i="18"/>
  <c r="M68" i="18"/>
  <c r="M67" i="18"/>
  <c r="M66" i="18"/>
  <c r="M65" i="18"/>
  <c r="M64" i="18"/>
  <c r="M63" i="18"/>
  <c r="M62" i="18"/>
  <c r="M61" i="18"/>
  <c r="M60" i="18"/>
  <c r="M59" i="18"/>
  <c r="M58" i="18"/>
  <c r="M57" i="18"/>
  <c r="M56" i="18"/>
  <c r="M55" i="18"/>
  <c r="M54" i="18"/>
  <c r="M53" i="18"/>
  <c r="M52" i="18"/>
  <c r="M51" i="18"/>
  <c r="M50" i="18"/>
  <c r="M49" i="18"/>
  <c r="M48" i="18"/>
  <c r="M47" i="18"/>
  <c r="M46" i="18"/>
  <c r="M45" i="18"/>
  <c r="M44" i="18"/>
  <c r="M43" i="18"/>
  <c r="M42" i="18"/>
  <c r="M41" i="18"/>
  <c r="M40" i="18"/>
  <c r="M39" i="18"/>
  <c r="M38" i="18"/>
  <c r="M37" i="18"/>
  <c r="M36" i="18"/>
  <c r="M35" i="18"/>
  <c r="M34" i="18"/>
  <c r="M33" i="18"/>
  <c r="M32" i="18"/>
  <c r="M31" i="18"/>
  <c r="M30" i="18"/>
  <c r="M29" i="18"/>
  <c r="M28" i="18"/>
  <c r="M27" i="18"/>
  <c r="M26" i="18"/>
  <c r="M25" i="18"/>
  <c r="M24" i="18"/>
  <c r="M23" i="18"/>
  <c r="M22" i="18"/>
  <c r="M21" i="18"/>
  <c r="M20" i="18"/>
  <c r="M19" i="18"/>
  <c r="M18" i="18"/>
  <c r="M17" i="18"/>
  <c r="M16" i="18"/>
  <c r="M15" i="18"/>
  <c r="M14" i="18"/>
  <c r="M13" i="18"/>
  <c r="M12" i="18"/>
  <c r="M11" i="18"/>
  <c r="M10" i="18"/>
  <c r="M9" i="18"/>
  <c r="M8" i="18"/>
  <c r="M6" i="18"/>
  <c r="C3" i="18" l="1"/>
  <c r="I1" i="1" l="1"/>
  <c r="D2" i="18" l="1"/>
  <c r="F2" i="18" s="1"/>
  <c r="AF3" i="28" l="1"/>
  <c r="AG3" i="28" s="1"/>
  <c r="AH3" i="28" s="1"/>
  <c r="AI3" i="28" s="1"/>
  <c r="AJ3" i="28" s="1"/>
  <c r="AK3" i="28" l="1"/>
  <c r="AL3" i="28" s="1"/>
  <c r="AM3" i="28" s="1"/>
  <c r="AN3" i="28" s="1"/>
  <c r="AB3" i="28" s="1"/>
  <c r="E3" i="28" l="1"/>
  <c r="BO3" i="28" s="1"/>
  <c r="G3" i="28"/>
  <c r="H3" i="28"/>
  <c r="F3" i="28"/>
  <c r="S515" i="1" l="1"/>
  <c r="C3" i="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tc={2D74EA87-27C0-462B-9962-E55CD1E6A496}</author>
  </authors>
  <commentList>
    <comment ref="Z533" authorId="0" shapeId="0" xr:uid="{2D74EA87-27C0-462B-9962-E55CD1E6A496}">
      <text>
        <t>[Threaded comment]
Your version of Excel allows you to read this threaded comment; however, any edits to it will get removed if the file is opened in a newer version of Excel. Learn more: https://go.microsoft.com/fwlink/?linkid=870924
Comment:
    ENF 1/30/24: This was actually rear wheel.  I updated to fix this listing to properly indicate it is a rear wheel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<sst xmlns="http://schemas.openxmlformats.org/spreadsheetml/2006/main" count="13498" uniqueCount="2995">
  <si>
    <t>Likely $ (if 100% Good)</t>
  </si>
  <si>
    <t>Likely Bad (%)</t>
  </si>
  <si>
    <t>Expected $</t>
  </si>
  <si>
    <t>Average Actual Posted / Car ($)</t>
  </si>
  <si>
    <t>Average Actual Posted / Car (Qty)</t>
  </si>
  <si>
    <t>Average $ / Part</t>
  </si>
  <si>
    <t>Template Name</t>
  </si>
  <si>
    <t>65A. BMW X5 (F15) 14-18 (1) SUV (2) 14-18 N55 (3) Auto (4) RWD/AWD</t>
  </si>
  <si>
    <t>Temp Run Times</t>
  </si>
  <si>
    <t>Hours to Dismantle - By Category</t>
  </si>
  <si>
    <t>Hours to Dismantle - By Person</t>
  </si>
  <si>
    <t>Actual Posted ($) &amp; (Qty)</t>
  </si>
  <si>
    <t>Vehicle Folder Name</t>
  </si>
  <si>
    <t>Run By &amp; Date</t>
  </si>
  <si>
    <t>Updated for Any Changes During Sort?</t>
  </si>
  <si>
    <t>Other Relevant Temps Updated By &amp; Date</t>
  </si>
  <si>
    <t>Ext./Int./Eng. Bay/Comp. Check</t>
  </si>
  <si>
    <t>Suspension</t>
  </si>
  <si>
    <t>Doors</t>
  </si>
  <si>
    <t>Hood/Trunk</t>
  </si>
  <si>
    <t>Seats</t>
  </si>
  <si>
    <t>Engine/Trans</t>
  </si>
  <si>
    <t>Total</t>
  </si>
  <si>
    <t>Jason</t>
  </si>
  <si>
    <t>Devin</t>
  </si>
  <si>
    <t>Mike</t>
  </si>
  <si>
    <t>Elgin</t>
  </si>
  <si>
    <t>Totals</t>
  </si>
  <si>
    <t>Normal Quality Car?</t>
  </si>
  <si>
    <t>Use in Expected Average Stats?</t>
  </si>
  <si>
    <t>Actual Posted ($)</t>
  </si>
  <si>
    <t>Actual Posted (Qty)</t>
  </si>
  <si>
    <t>Avg. $ / Part</t>
  </si>
  <si>
    <t>Template Built From:</t>
  </si>
  <si>
    <t>840. 16 BMW X5 SUV (F15) 3.0T (N55) Auto AWD (White) (88767)</t>
  </si>
  <si>
    <t>ENF 4/19/22</t>
  </si>
  <si>
    <t>N/A (1st Template)</t>
  </si>
  <si>
    <t>Template Used On:</t>
  </si>
  <si>
    <t>854. 15 BMW X5 SUV (F15) 3.0T (N55) Auto AWD (Sophisto Grey) (63997)</t>
  </si>
  <si>
    <t>AJR 5/16/2022</t>
  </si>
  <si>
    <t>ELGIN KEEPING</t>
  </si>
  <si>
    <t>1140. 15 BMW X5 SUV (F15) 3.0T (N55) Auto AWD (Space Gray) (00579)</t>
  </si>
  <si>
    <t>AJR 5/21/2023</t>
  </si>
  <si>
    <t>AJR 8/16/2023</t>
  </si>
  <si>
    <t>1154. 16 BMW X5 (F15) 3.0T (N55) Auto RWD (White) (41852)</t>
  </si>
  <si>
    <t>ENF 6/8/23</t>
  </si>
  <si>
    <t>1213. 14 BMW X5 SUV (F15) 3.0T (N55) Auto AWD (Black) (51887)</t>
  </si>
  <si>
    <t>1240. 14 BMW X5 (F15) 3.0T (N55) Auto RWD (Brown) (00793)</t>
  </si>
  <si>
    <t>ENF 9/25/23</t>
  </si>
  <si>
    <t>Car Year, Make &amp; Model</t>
  </si>
  <si>
    <t>Testing Time</t>
  </si>
  <si>
    <t>Template Redesigned?</t>
  </si>
  <si>
    <t>Status per CoPart / IAA</t>
  </si>
  <si>
    <t>CoPart - R&amp;D</t>
  </si>
  <si>
    <t>Start 1:                                        End 1:                           Time:</t>
  </si>
  <si>
    <t>Yes ENF 9/11/18</t>
  </si>
  <si>
    <t>Primary Damage (per CoPart / IAA)</t>
  </si>
  <si>
    <t>Side</t>
  </si>
  <si>
    <t>Start 2:                                        End 2:                           Time:</t>
  </si>
  <si>
    <t>Secondary Damage (per CoPart / IAA)</t>
  </si>
  <si>
    <t>N/A</t>
  </si>
  <si>
    <t>Start 3:                                        End 3:                           Time:</t>
  </si>
  <si>
    <t>Dismantled During (Mo. / Yr.)</t>
  </si>
  <si>
    <t>Sep '23</t>
  </si>
  <si>
    <t>Start 4:                                        End 4:                           Time:</t>
  </si>
  <si>
    <t>VIN #:</t>
  </si>
  <si>
    <t>5UXKR2C54E0C00793</t>
  </si>
  <si>
    <t>Total Testing Time:</t>
  </si>
  <si>
    <t>Mileage:</t>
  </si>
  <si>
    <t xml:space="preserve">Gas Tank Level: </t>
  </si>
  <si>
    <t>TESTER</t>
  </si>
  <si>
    <t>TEST DATE</t>
  </si>
  <si>
    <t>Airbag Recall Check By/Date</t>
  </si>
  <si>
    <t>https://www.nhtsa.gov/recalls</t>
  </si>
  <si>
    <t>Total Outstanding Recalls</t>
  </si>
  <si>
    <t>NONE</t>
  </si>
  <si>
    <t>Any Outstanding Airbag Recalls?</t>
  </si>
  <si>
    <t>Works</t>
  </si>
  <si>
    <t>Category</t>
  </si>
  <si>
    <t>Item</t>
  </si>
  <si>
    <t>Yes</t>
  </si>
  <si>
    <t>No</t>
  </si>
  <si>
    <t>Notes</t>
  </si>
  <si>
    <t>Tech Level</t>
  </si>
  <si>
    <t>Lights</t>
  </si>
  <si>
    <t>LF Headlight (Normal)</t>
  </si>
  <si>
    <t>C</t>
  </si>
  <si>
    <t>LF Headlight (Brights)</t>
  </si>
  <si>
    <t>LF Headlight Halo</t>
  </si>
  <si>
    <t>LF Headlight Dynamic Adjustment Function</t>
  </si>
  <si>
    <t>A</t>
  </si>
  <si>
    <t>LF Turn Signal</t>
  </si>
  <si>
    <t>RF Headlight (Normal)</t>
  </si>
  <si>
    <t>RF Headlight (Brights)</t>
  </si>
  <si>
    <t>RF Headlight Halo</t>
  </si>
  <si>
    <t>RF Headlight Dynamic Adjustment Function</t>
  </si>
  <si>
    <t>RF Turn Signal</t>
  </si>
  <si>
    <t>LF Fog Light</t>
  </si>
  <si>
    <t>RF Fog Light</t>
  </si>
  <si>
    <t>LR Fog Light</t>
  </si>
  <si>
    <t>RR Fog Light</t>
  </si>
  <si>
    <t>LR Tail Light (Running Light)</t>
  </si>
  <si>
    <t>LR Tail Light (Brake Light)</t>
  </si>
  <si>
    <t>LR Turn Signal</t>
  </si>
  <si>
    <t>RR Tail Light (Running Light)</t>
  </si>
  <si>
    <t>RR Tail Light (Brake Light)</t>
  </si>
  <si>
    <t>RR Turn Signal</t>
  </si>
  <si>
    <t>3rd Brake Light</t>
  </si>
  <si>
    <t>Left Side Marker Light/Turn Signal</t>
  </si>
  <si>
    <t>Right Side Marker Light/Turn Signal</t>
  </si>
  <si>
    <t>Left License Plate Light</t>
  </si>
  <si>
    <t>Right License Plate Light</t>
  </si>
  <si>
    <t>Front Center Roof Dome Lights (the 2 big ones, don't test any others we're tossing the rest)</t>
  </si>
  <si>
    <t>Left Rear Dome Light</t>
  </si>
  <si>
    <t>Right Rear Dome Light</t>
  </si>
  <si>
    <t>Left front visor light(s) work (and condition of visor is good)</t>
  </si>
  <si>
    <t>Right front visor light(s) work (and condition of visor is good)</t>
  </si>
  <si>
    <t>LF Door Courtesy Light</t>
  </si>
  <si>
    <t>RF Door Courtesy Light</t>
  </si>
  <si>
    <t>LR Door Courtesy Light</t>
  </si>
  <si>
    <t>RR Door Courtesy Light</t>
  </si>
  <si>
    <t>Glove Box Courtesy Light</t>
  </si>
  <si>
    <t>Rear reverse lights</t>
  </si>
  <si>
    <t>C - 2 Person</t>
  </si>
  <si>
    <t>LF door exterior handle</t>
  </si>
  <si>
    <t>RF door exterior handle</t>
  </si>
  <si>
    <t>LR door exterior handle</t>
  </si>
  <si>
    <t>RR door exterior handle</t>
  </si>
  <si>
    <t>Trunk exterior handle</t>
  </si>
  <si>
    <t>LF door interior handle</t>
  </si>
  <si>
    <t>RF door interior handle</t>
  </si>
  <si>
    <t>LR door interior handle</t>
  </si>
  <si>
    <t>RR door interior handle</t>
  </si>
  <si>
    <t>LF (and RF if applicable) door lock - key works?</t>
  </si>
  <si>
    <t>LF door latch</t>
  </si>
  <si>
    <t>RF door latch</t>
  </si>
  <si>
    <t>LR door latch</t>
  </si>
  <si>
    <t>RR door latch</t>
  </si>
  <si>
    <t>Glove box latch</t>
  </si>
  <si>
    <t>Gas door latch</t>
  </si>
  <si>
    <t>Gas door release button</t>
  </si>
  <si>
    <t>LF door window up and down</t>
  </si>
  <si>
    <t>RF door window up and down</t>
  </si>
  <si>
    <t>LR door window up and down</t>
  </si>
  <si>
    <t>RR door window up and down</t>
  </si>
  <si>
    <t>LF door window switch</t>
  </si>
  <si>
    <t>RF door window switch</t>
  </si>
  <si>
    <t>LR door window switch</t>
  </si>
  <si>
    <t>RR door window switch</t>
  </si>
  <si>
    <t>Window lock switch works</t>
  </si>
  <si>
    <t>Door Mirrors</t>
  </si>
  <si>
    <t>LF door mirror housing &amp; paint is intact</t>
  </si>
  <si>
    <t>RF door mirror housing &amp; paint is intact</t>
  </si>
  <si>
    <t>Door mirror control switch works</t>
  </si>
  <si>
    <t>LF Door mirror glass adjust motor works</t>
  </si>
  <si>
    <t>RF Door mirror glass adjust motor works</t>
  </si>
  <si>
    <t>LF Mirror Electronic Folding Function</t>
  </si>
  <si>
    <t>B</t>
  </si>
  <si>
    <t>RF Mirror Electronic Folding Function</t>
  </si>
  <si>
    <t>LF Mirror Turn Signal</t>
  </si>
  <si>
    <t>RF Mirror Turn Signal</t>
  </si>
  <si>
    <t>Hood</t>
  </si>
  <si>
    <t>Hood shocks work</t>
  </si>
  <si>
    <t>Hood latch</t>
  </si>
  <si>
    <t>Hood release handle (one in car)</t>
  </si>
  <si>
    <t>Hood safety release handle/latch/lever (on hood)</t>
  </si>
  <si>
    <t>Trunk</t>
  </si>
  <si>
    <t>Trunk lock - key works?</t>
  </si>
  <si>
    <t>Trunk latch</t>
  </si>
  <si>
    <t>Trunk release handle (exterior)</t>
  </si>
  <si>
    <t>Trunk shocks work</t>
  </si>
  <si>
    <t>Wipers / Squirters</t>
  </si>
  <si>
    <t>Front wipers</t>
  </si>
  <si>
    <t>Rear wipers</t>
  </si>
  <si>
    <t>Front window squirters / wipe function</t>
  </si>
  <si>
    <t>Rear window squirters / wipe function</t>
  </si>
  <si>
    <t>Front left &amp; right headlight squirters</t>
  </si>
  <si>
    <t>Sunroof</t>
  </si>
  <si>
    <t>All sunroof positions work</t>
  </si>
  <si>
    <t>Sunroof motor works (not too slow, stuck, etc.)</t>
  </si>
  <si>
    <t>Speakers</t>
  </si>
  <si>
    <t>All speakers in car</t>
  </si>
  <si>
    <t>Seat belts</t>
  </si>
  <si>
    <t>LF driver seat belt retractor</t>
  </si>
  <si>
    <t>LF driver seat belt receiver</t>
  </si>
  <si>
    <t>RF passenger seat belt retractor</t>
  </si>
  <si>
    <t>RF passenger seat belt receiver</t>
  </si>
  <si>
    <t>LR passenger seat belt retractor</t>
  </si>
  <si>
    <t>LR passenger seat belt receiver</t>
  </si>
  <si>
    <t>RR passenger seat belt retractor</t>
  </si>
  <si>
    <t>RR passenger seat belt receiver</t>
  </si>
  <si>
    <t>CR passenger seat belt retractor</t>
  </si>
  <si>
    <t>CR passenger seat belt receiver</t>
  </si>
  <si>
    <t>LF Driver Seat - All functions</t>
  </si>
  <si>
    <t>RF Passenger Seat - All functions</t>
  </si>
  <si>
    <t xml:space="preserve">LF heated seat works </t>
  </si>
  <si>
    <t>LF heated seat adjustment knob works (all settings)</t>
  </si>
  <si>
    <t>RF heated seat works</t>
  </si>
  <si>
    <t>RF heated seat adjustment knob works (all settings)</t>
  </si>
  <si>
    <t>Rear heated seats and switches</t>
  </si>
  <si>
    <t>Interior - Dash</t>
  </si>
  <si>
    <t>AC / heater blower fan &amp; motor - all speeds</t>
  </si>
  <si>
    <t>AC front dash controls - all vent functions (floor, etc.)</t>
  </si>
  <si>
    <t>AC controls knobs backlight</t>
  </si>
  <si>
    <t>AC rear controls - all vent functions (floor, etc.)</t>
  </si>
  <si>
    <t>AC blows cold</t>
  </si>
  <si>
    <t>Cigarette lighters (all in car)</t>
  </si>
  <si>
    <t>ASR button (or equivalent) works</t>
  </si>
  <si>
    <t>Rain sensor senses water</t>
  </si>
  <si>
    <t>Rear view mirror compass / clock / lights</t>
  </si>
  <si>
    <t>Cluster lights &amp; screen work (none are faded)</t>
  </si>
  <si>
    <t>Cluster dimmer switch works</t>
  </si>
  <si>
    <t>Door lock/unlock switch</t>
  </si>
  <si>
    <t>Steering wheel adjust function works (motor &amp; switch; all functions)</t>
  </si>
  <si>
    <t>Steering wheel switches</t>
  </si>
  <si>
    <t>Hazard Light Switch</t>
  </si>
  <si>
    <t>Honks at sexy ladies?</t>
  </si>
  <si>
    <t>Interior - Other</t>
  </si>
  <si>
    <t>All convertible top functions work</t>
  </si>
  <si>
    <t>All sun shade screens &amp; function buttons work</t>
  </si>
  <si>
    <t>Radio / Navigation</t>
  </si>
  <si>
    <t>GPS button functions work?</t>
  </si>
  <si>
    <t>Screen doesn't have missing pixels or Black spots</t>
  </si>
  <si>
    <t>AM / FM Radio</t>
  </si>
  <si>
    <t>Tape Deck</t>
  </si>
  <si>
    <t>CD player</t>
  </si>
  <si>
    <t>CD player multi-disk switcher</t>
  </si>
  <si>
    <t>Radio function buttons</t>
  </si>
  <si>
    <t>Radio (or dash) clock</t>
  </si>
  <si>
    <t>Radio (or dash) clock backlight</t>
  </si>
  <si>
    <t>Radio backlight</t>
  </si>
  <si>
    <t>Engine</t>
  </si>
  <si>
    <t>Engine starts</t>
  </si>
  <si>
    <t>Radiator cooling fan(s) run when supposed to w/ no noise</t>
  </si>
  <si>
    <t>Engine runs at idle with no unusual noises</t>
  </si>
  <si>
    <t>Car moves under engine power</t>
  </si>
  <si>
    <t>Engine does not overheat under normal driving</t>
  </si>
  <si>
    <t>Cruise control function works</t>
  </si>
  <si>
    <t>Power steering works &amp; no unusual noises</t>
  </si>
  <si>
    <t>Transmission</t>
  </si>
  <si>
    <t>No unusual noises in transmission</t>
  </si>
  <si>
    <t>Transmission shifts fine into all gears</t>
  </si>
  <si>
    <t>Key FOB / Alarm System</t>
  </si>
  <si>
    <t>Key FOB #1: All function keys work at a reasonable distance?</t>
  </si>
  <si>
    <t>Key FOB #2: All function keys work at a reasonable distance?</t>
  </si>
  <si>
    <t>Panic button sets alarms / horns off?</t>
  </si>
  <si>
    <t>Alarm horn chime chirps when key FOB lock activated?</t>
  </si>
  <si>
    <t xml:space="preserve">Home Link </t>
  </si>
  <si>
    <t>Buttons work and L.E.D. lights up</t>
  </si>
  <si>
    <t>Other? (Please Add if Needed)</t>
  </si>
  <si>
    <t>Scan for Codes</t>
  </si>
  <si>
    <t>All codes scanned</t>
  </si>
  <si>
    <t>Attach Report</t>
  </si>
  <si>
    <t>Scanned report attached to back of checklist</t>
  </si>
  <si>
    <t>used</t>
  </si>
  <si>
    <t>A11</t>
  </si>
  <si>
    <t>A12</t>
  </si>
  <si>
    <t>A13</t>
  </si>
  <si>
    <t>A14</t>
  </si>
  <si>
    <t>A15</t>
  </si>
  <si>
    <t>A16</t>
  </si>
  <si>
    <t>A17</t>
  </si>
  <si>
    <t>A18</t>
  </si>
  <si>
    <t>A19</t>
  </si>
  <si>
    <t>A20</t>
  </si>
  <si>
    <t>A21</t>
  </si>
  <si>
    <t>A22</t>
  </si>
  <si>
    <t>A23</t>
  </si>
  <si>
    <t>A24</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</si>
  <si>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</si>
  <si>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</si>
  <si>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</si>
  <si>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</si>
  <si>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</si>
  <si>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</si>
  <si>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</si>
  <si>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</si>
  <si>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</si>
  <si>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</si>
  <si>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</si>
  <si>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</si>
  <si>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</si>
  <si>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</si>
  <si>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</si>
  <si>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</si>
  <si>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</si>
  <si>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</si>
  <si>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</si>
  <si>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</si>
  <si>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</si>
  <si>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</si>
  <si>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</si>
  <si>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</si>
  <si>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A49</t>
  </si>
  <si>
    <t>A50</t>
  </si>
  <si>
    <t>A51</t>
  </si>
  <si>
    <t>A52</t>
  </si>
  <si>
    <t>A53</t>
  </si>
  <si>
    <t>A54</t>
  </si>
  <si>
    <t>A55</t>
  </si>
  <si>
    <t>A56</t>
  </si>
  <si>
    <t>A57</t>
  </si>
  <si>
    <t>A58</t>
  </si>
  <si>
    <t>A59</t>
  </si>
  <si>
    <t>A60</t>
  </si>
  <si>
    <t>A61</t>
  </si>
  <si>
    <t>A62</t>
  </si>
  <si>
    <t>A63</t>
  </si>
  <si>
    <t>A64</t>
  </si>
  <si>
    <t>A65</t>
  </si>
  <si>
    <t>A66</t>
  </si>
  <si>
    <t>A67</t>
  </si>
  <si>
    <t>A68</t>
  </si>
  <si>
    <t>A69</t>
  </si>
  <si>
    <t>A70</t>
  </si>
  <si>
    <t>A71</t>
  </si>
  <si>
    <t>A72</t>
  </si>
  <si>
    <t>A73</t>
  </si>
  <si>
    <t>A74</t>
  </si>
  <si>
    <t>A75</t>
  </si>
  <si>
    <t>A76</t>
  </si>
  <si>
    <t>A77</t>
  </si>
  <si>
    <t>A78</t>
  </si>
  <si>
    <t>A79</t>
  </si>
  <si>
    <t>A80</t>
  </si>
  <si>
    <t>A81</t>
  </si>
  <si>
    <t>A82</t>
  </si>
  <si>
    <t>A83</t>
  </si>
  <si>
    <t>A84</t>
  </si>
  <si>
    <t>A85</t>
  </si>
  <si>
    <t>A86</t>
  </si>
  <si>
    <t>A87</t>
  </si>
  <si>
    <t>A88</t>
  </si>
  <si>
    <t>A89</t>
  </si>
  <si>
    <t>A90</t>
  </si>
  <si>
    <t>A91</t>
  </si>
  <si>
    <t>A92</t>
  </si>
  <si>
    <t>A93</t>
  </si>
  <si>
    <t>A94</t>
  </si>
  <si>
    <t>A95</t>
  </si>
  <si>
    <t>A96</t>
  </si>
  <si>
    <t>A97</t>
  </si>
  <si>
    <t>A98</t>
  </si>
  <si>
    <t>A99</t>
  </si>
  <si>
    <t>A100</t>
  </si>
  <si>
    <t>A101</t>
  </si>
  <si>
    <t>A102</t>
  </si>
  <si>
    <t>A103</t>
  </si>
  <si>
    <t>A104</t>
  </si>
  <si>
    <t>A105</t>
  </si>
  <si>
    <t>A106</t>
  </si>
  <si>
    <t>A107</t>
  </si>
  <si>
    <t>A108</t>
  </si>
  <si>
    <t>A109</t>
  </si>
  <si>
    <t>A110</t>
  </si>
  <si>
    <t>A111</t>
  </si>
  <si>
    <t>A112</t>
  </si>
  <si>
    <t>A113</t>
  </si>
  <si>
    <t>A114</t>
  </si>
  <si>
    <t>A115</t>
  </si>
  <si>
    <t>A116</t>
  </si>
  <si>
    <t>A117</t>
  </si>
  <si>
    <t>A118</t>
  </si>
  <si>
    <t>A119</t>
  </si>
  <si>
    <t>A120</t>
  </si>
  <si>
    <t>A121</t>
  </si>
  <si>
    <t>A122</t>
  </si>
  <si>
    <t>A123</t>
  </si>
  <si>
    <t>Template:</t>
  </si>
  <si>
    <t>Gas Tank Level</t>
  </si>
  <si>
    <t>Mileage</t>
  </si>
  <si>
    <t>Tester</t>
  </si>
  <si>
    <t>Poster</t>
  </si>
  <si>
    <t>Pusher</t>
  </si>
  <si>
    <t>Dismantler</t>
  </si>
  <si>
    <t>IF PAINTED</t>
  </si>
  <si>
    <t>Analysis</t>
  </si>
  <si>
    <t>Tag</t>
  </si>
  <si>
    <t>Interchange</t>
  </si>
  <si>
    <t>Viking ID</t>
  </si>
  <si>
    <t>Specific Tag</t>
  </si>
  <si>
    <t>Int. Cnt.</t>
  </si>
  <si>
    <t>Last Analyzed By</t>
  </si>
  <si>
    <t>Last Analyze Date</t>
  </si>
  <si>
    <t>Item Condition</t>
  </si>
  <si>
    <t>Keep / Toss?</t>
  </si>
  <si>
    <t>Location</t>
  </si>
  <si>
    <t>Item Type</t>
  </si>
  <si>
    <t>Interchange? (never, sometimes, always, always CPI+)</t>
  </si>
  <si>
    <t>Item-Num</t>
  </si>
  <si>
    <t>Parts In</t>
  </si>
  <si>
    <t>Qty to Inv</t>
  </si>
  <si>
    <t>Pic Name</t>
  </si>
  <si>
    <t>Pic</t>
  </si>
  <si>
    <t>Pic Qty</t>
  </si>
  <si>
    <t>MNF Part Num</t>
  </si>
  <si>
    <t>MNF Always Same</t>
  </si>
  <si>
    <t>FLAW</t>
  </si>
  <si>
    <t>Has Color</t>
  </si>
  <si>
    <t>Item Description</t>
  </si>
  <si>
    <t>How To Keep</t>
  </si>
  <si>
    <t>Dismantler Notes</t>
  </si>
  <si>
    <t>Single or SET</t>
  </si>
  <si>
    <t>Poster Notes</t>
  </si>
  <si>
    <t>Target Price</t>
  </si>
  <si>
    <t>FLAWs</t>
  </si>
  <si>
    <t>Checked Range</t>
  </si>
  <si>
    <t>Mike Test Notes</t>
  </si>
  <si>
    <t>t/m</t>
  </si>
  <si>
    <t>Searched</t>
  </si>
  <si>
    <t>Interchange Category</t>
  </si>
  <si>
    <t>-</t>
  </si>
  <si>
    <t>Interchange Number</t>
  </si>
  <si>
    <t>Option</t>
  </si>
  <si>
    <t>Viking Interchange</t>
  </si>
  <si>
    <t>NON-Interchange ID</t>
  </si>
  <si>
    <t>Painted?</t>
  </si>
  <si>
    <t>Seat Fabric?</t>
  </si>
  <si>
    <t>IF PAINTED: Finish</t>
  </si>
  <si>
    <t>IF PAINTED: Color</t>
  </si>
  <si>
    <t>IF PAINTED: Paint Color</t>
  </si>
  <si>
    <t>IF PAINTED: Paint Code</t>
  </si>
  <si>
    <t>IF SEAT FABRIC: Material</t>
  </si>
  <si>
    <t>IF SEAT FABRIC: Color</t>
  </si>
  <si>
    <t>IF SEAT FABRIC: Color &amp; Material (CODE)</t>
  </si>
  <si>
    <t>IF SEAT FABRIC: Color &amp; Material Code</t>
  </si>
  <si>
    <t>ENF</t>
  </si>
  <si>
    <t>KEEP</t>
  </si>
  <si>
    <t>Doors - ALL</t>
  </si>
  <si>
    <t>Scuff Plate</t>
  </si>
  <si>
    <t>never</t>
  </si>
  <si>
    <t>Scuff Plates SET4</t>
  </si>
  <si>
    <t>SET4, if some bad sell SET2, toss singles</t>
  </si>
  <si>
    <t>SET/4</t>
  </si>
  <si>
    <t>{q}</t>
  </si>
  <si>
    <t>14-18 ALL</t>
  </si>
  <si>
    <t>7313143; 7370423 (part #s from 16 X5)</t>
  </si>
  <si>
    <t>BMW F15 Sill Trim</t>
  </si>
  <si>
    <t>Scuff Plates SET2</t>
  </si>
  <si>
    <t>SET/2</t>
  </si>
  <si>
    <t>129-52061-1</t>
  </si>
  <si>
    <t>DRF Check</t>
  </si>
  <si>
    <t>Doors - LF</t>
  </si>
  <si>
    <t>Door Handle, Exterior</t>
  </si>
  <si>
    <t>always</t>
  </si>
  <si>
    <t>Box 3</t>
  </si>
  <si>
    <t>51217401211, 7401211, 51217433843, 7433843</t>
  </si>
  <si>
    <t>Door Handle, Exterior - FRONT - LEFT</t>
  </si>
  <si>
    <t>on base w/ cable, remove lock cyl &amp; put w/ SET A</t>
  </si>
  <si>
    <t>single</t>
  </si>
  <si>
    <t>left front &amp; rear are identical fitment (except LF has lock cylinder)</t>
  </si>
  <si>
    <t>129-52061; 129-52060; 129-52063; 129-52062</t>
  </si>
  <si>
    <t>BMW F15 Exterior Door Handle</t>
  </si>
  <si>
    <t>w/ comfort access</t>
  </si>
  <si>
    <t>129-52063-1</t>
  </si>
  <si>
    <t>51217401209, 7401209, 51217396305, 7396305</t>
  </si>
  <si>
    <t>w/o comfort access</t>
  </si>
  <si>
    <t>Door Latch</t>
  </si>
  <si>
    <t>always CPI+</t>
  </si>
  <si>
    <t>Box 2</t>
  </si>
  <si>
    <t>51217281945, 7281945, 51207323781, 7323781</t>
  </si>
  <si>
    <t>Door Latch, FRONT - LEFT Soft Close WITH Actuator SET2</t>
  </si>
  <si>
    <t>w/ cable + white actuator motor (for soft-close ones)</t>
  </si>
  <si>
    <t>toss both if 1 bad</t>
  </si>
  <si>
    <t>51217281931; 51217281945; 51217281934; 51217281948 (part #s from CM)</t>
  </si>
  <si>
    <t>BMW F15 Door Latch</t>
  </si>
  <si>
    <t>w/ soft close</t>
  </si>
  <si>
    <t>51217281931, 7281931</t>
  </si>
  <si>
    <t>Door Latch, FRONT - LEFT WITHOUT Soft Close</t>
  </si>
  <si>
    <t>w/ cable</t>
  </si>
  <si>
    <t>w/o soft close</t>
  </si>
  <si>
    <t>Lock Cylinder</t>
  </si>
  <si>
    <t>Door Lock Cylinder - LEFT FRONT (put in module box for SET A)</t>
  </si>
  <si>
    <t>SET A: 100% sure NOT required, but worthless solo - no $ change if missing)</t>
  </si>
  <si>
    <t>SET A (xxx)</t>
  </si>
  <si>
    <t>Mirror, Door</t>
  </si>
  <si>
    <t>Mirror, Door - FRONT LEFT</t>
  </si>
  <si>
    <t>ENF 4/19/22: I searched EVERY SINGLE 14-18 interchange there was in addition to search terms listed in CM (there's a LOT so I won't list all here).  There's not much under each one as these seem pretty rare and worth a lot no matter the option.</t>
  </si>
  <si>
    <t>BMW F15 Door Mirror; 16 BMW X5 Door Mirror (looking for ANY style 14-18 X5 ones and considered pricing and actives between blind spot or not, surround view or not, and auto dim or not)</t>
  </si>
  <si>
    <t>w/ auto dimming, w/ blind spot, w/ surround view, w/ high gloss</t>
  </si>
  <si>
    <t>w/ auto dimming, w/ blind spot, w/ surround view, w/o high gloss</t>
  </si>
  <si>
    <t>w/ auto dimming, w/ blind spot, w/o surround view, w/ high gloss</t>
  </si>
  <si>
    <t>w/ auto dimming, w/ blind spot, w/o surround view, w/o high gloss</t>
  </si>
  <si>
    <t>w/ auto dimming, w/o blind spot, w/ surround view, w/ high gloss</t>
  </si>
  <si>
    <t>w/ auto dimming, w/o blind spot, w/ surround view, w/o high gloss</t>
  </si>
  <si>
    <t>w/ auto dimming, w/o blind spot, w/o surround view, w/ high gloss</t>
  </si>
  <si>
    <t>51167363919, 7363919, 51167365113, 7365113, 51167354634, 7354634</t>
  </si>
  <si>
    <t>w/ auto dimming, w/o blind spot, w/o surround view, w/o high gloss</t>
  </si>
  <si>
    <t>w/o auto dimming, w/o blind spot, w/o surround view, w/ high gloss</t>
  </si>
  <si>
    <t>w/o auto dimming, w/o blind spot, w/o surround view, w/o high gloss</t>
  </si>
  <si>
    <t>Switch Button</t>
  </si>
  <si>
    <t>61319297349, 9297349</t>
  </si>
  <si>
    <t>Switch, Window Master</t>
  </si>
  <si>
    <t>remove &amp; toss trim</t>
  </si>
  <si>
    <t>641-54182; 61319362116; 641-54183; 61319297348</t>
  </si>
  <si>
    <t>BMW F15 Driver Window Switch</t>
  </si>
  <si>
    <t>641</t>
  </si>
  <si>
    <t>w/ power fold</t>
  </si>
  <si>
    <t>Switch, Window</t>
  </si>
  <si>
    <t>61319297348, 9297348</t>
  </si>
  <si>
    <t>w/o power fold</t>
  </si>
  <si>
    <t>Trim</t>
  </si>
  <si>
    <t>Trim Set, Entire Vehicle</t>
  </si>
  <si>
    <t>BMW F15 Trim Set; 16 BMW X5 Trim Set; BMW F15 Trim; 16 BMW X5 Trim</t>
  </si>
  <si>
    <t>Toss</t>
  </si>
  <si>
    <t>Door Handle, Interior</t>
  </si>
  <si>
    <t>Door Handle, Interior (if wood trim doesn't come off easily, put handle with trim SET)</t>
  </si>
  <si>
    <t>BMW F15 Door Handle; 16 BMW X5 Door Handle (looking for 14-18 X5 interior door handles for both search terms)</t>
  </si>
  <si>
    <t>AJR</t>
  </si>
  <si>
    <t>Switch, Door Lock</t>
  </si>
  <si>
    <t>sometimes</t>
  </si>
  <si>
    <t>Door Lock Unlock Switch</t>
  </si>
  <si>
    <t>641-10187; 7292077; 61316801351;</t>
  </si>
  <si>
    <t>Door Panel</t>
  </si>
  <si>
    <t>BMW F15 Door Panel</t>
  </si>
  <si>
    <t>DRF</t>
  </si>
  <si>
    <t>Switch, Trunk Release</t>
  </si>
  <si>
    <t>Trunk Release Switch</t>
  </si>
  <si>
    <t>Window Motor &amp; Regulator</t>
  </si>
  <si>
    <t>Window Motor &amp; Regulator (TOSS BOTH)</t>
  </si>
  <si>
    <t>BMW F15 Window Regulator; BMW F15 Window Motor; 16 BMW X5 Window Regulator; 16 BMW X5 Window Motor</t>
  </si>
  <si>
    <t>129-52061-2</t>
  </si>
  <si>
    <t>Doors - LR</t>
  </si>
  <si>
    <t>Door Handle, Exterior - REAR - LEFT</t>
  </si>
  <si>
    <t>on base w/ cable</t>
  </si>
  <si>
    <t>129</t>
  </si>
  <si>
    <t>129-52063-2</t>
  </si>
  <si>
    <t>left front &amp; rear are identical fitment</t>
  </si>
  <si>
    <t>51227281955, 7281955, 51207323783, 7323783</t>
  </si>
  <si>
    <t>Door Latch, REAR - LEFT Soft Close WITH Actuator SET2</t>
  </si>
  <si>
    <t>51207323783; 51227281941; 51227281955; 51207419842; 51227281942; 51227281956 (part #s from CM)</t>
  </si>
  <si>
    <t>51227281941, 7281941</t>
  </si>
  <si>
    <t>Door Latch, REAR - LEFT WITHOUT Soft Close</t>
  </si>
  <si>
    <t>Window Sun Shade</t>
  </si>
  <si>
    <t>Window Sun Shade, REAR - LEFT</t>
  </si>
  <si>
    <t xml:space="preserve">263-999496 (14-18); 51357373633 (14-18); </t>
  </si>
  <si>
    <t>263</t>
  </si>
  <si>
    <t>BMW F15 Window Switch</t>
  </si>
  <si>
    <t>129-52060-1</t>
  </si>
  <si>
    <t>Doors - RF</t>
  </si>
  <si>
    <t>51217401212, 7401212, 51217433844, 7433844</t>
  </si>
  <si>
    <t>Door Handle, Exterior - FRONT - RIGHT</t>
  </si>
  <si>
    <t>right front &amp; rear are identical fitment</t>
  </si>
  <si>
    <t>129-52062-1</t>
  </si>
  <si>
    <t>51217401210, 7401210, 51217396306, 7396306</t>
  </si>
  <si>
    <t>51217281948, 7281948, 51207323782, 7323782</t>
  </si>
  <si>
    <t>Door Latch, FRONT - RIGHT Soft Close WITH Actuator SET2</t>
  </si>
  <si>
    <t>51217281931; 51217281945; 51217281934; 51217281948</t>
  </si>
  <si>
    <t>51217281934, 7281934</t>
  </si>
  <si>
    <t>Door Latch, FRONT - RIGHT WITHOUT Soft Close</t>
  </si>
  <si>
    <t>Mirror, Door - FRONT RIGHT</t>
  </si>
  <si>
    <t>Flaw</t>
  </si>
  <si>
    <t>51167363920, 7363920, 51167365114, 7365114, 51167354631, 7354631</t>
  </si>
  <si>
    <t>129-52060-2</t>
  </si>
  <si>
    <t>Doors - RR</t>
  </si>
  <si>
    <t>Door Handle, Exterior - REAR - RIGHT</t>
  </si>
  <si>
    <t>129-52062-2</t>
  </si>
  <si>
    <t>51227281956, 7281956, 51207323784, 7323784</t>
  </si>
  <si>
    <t>Door Latch, REAR - RIGHT Soft Close WITH Actuator SET2</t>
  </si>
  <si>
    <t>51227281942, 7281942</t>
  </si>
  <si>
    <t>Door Latch, REAR - RIGHT WITHOUT Soft Close</t>
  </si>
  <si>
    <t>Window Sun Shade, REAR - RIGHT</t>
  </si>
  <si>
    <t>263-999495 (14-18); 51357373634</t>
  </si>
  <si>
    <t/>
  </si>
  <si>
    <t>CHECK</t>
  </si>
  <si>
    <t>EGR Valve Housing Pipe Assembly (and both EGR valves)</t>
  </si>
  <si>
    <t>Oil Cooler, Engine</t>
  </si>
  <si>
    <t>Vacuum Purge Solenoid Valve</t>
  </si>
  <si>
    <t>A/C Compressor</t>
  </si>
  <si>
    <t>14-18 N55 ALL</t>
  </si>
  <si>
    <t>682-50388; 64529399060 (part # from CM)</t>
  </si>
  <si>
    <t>682</t>
  </si>
  <si>
    <t>Air Induction Charge Pipe</t>
  </si>
  <si>
    <t>11-18 3.0L</t>
  </si>
  <si>
    <t>8626487;</t>
  </si>
  <si>
    <t>Air Intake Upper Duct Tube (2 Pieces Keep Together)</t>
  </si>
  <si>
    <t xml:space="preserve">13717605585; </t>
  </si>
  <si>
    <t>Alternator</t>
  </si>
  <si>
    <t>601-60994; 12317616119 (part # from CM)</t>
  </si>
  <si>
    <t>601</t>
  </si>
  <si>
    <t>INSPECT ALWAYS</t>
  </si>
  <si>
    <t>Camshaft, Eccentric (Leave On Head Unless Parting Out)</t>
  </si>
  <si>
    <t xml:space="preserve">11-18 3.0T N55 </t>
  </si>
  <si>
    <t>N55 Camshaft (Looking For Eccentric)</t>
  </si>
  <si>
    <t>Camshaft, Exhaust (Leave On Head Unless Parting Out)</t>
  </si>
  <si>
    <t>N55 Camshaft (Looking For Exhaust)</t>
  </si>
  <si>
    <t>Camshaft, Intake (Leave On Head Unless Parting Out)</t>
  </si>
  <si>
    <t>N55 Camshaft (Looking For Intake)</t>
  </si>
  <si>
    <t>Crank Shaft</t>
  </si>
  <si>
    <t>16 BMW X5 N55 Crankshaft; BMW F15 N55 Crankshaft; BMW N55 Crankshaft</t>
  </si>
  <si>
    <t>Cylinder Head</t>
  </si>
  <si>
    <t>306-50551; 11127624429 (part # from CM)</t>
  </si>
  <si>
    <t>16 BMW X5 N55 Cylinder Head</t>
  </si>
  <si>
    <t>306</t>
  </si>
  <si>
    <t>300-70932-1</t>
  </si>
  <si>
    <t>WHOLE &lt;125k</t>
  </si>
  <si>
    <t>Engine Assembly</t>
  </si>
  <si>
    <t>11002285394, 2285394</t>
  </si>
  <si>
    <t>Engine Assembly as FULL ASSEMBLY</t>
  </si>
  <si>
    <t>keep only &lt;125k, sell long block if full assembly bad</t>
  </si>
  <si>
    <t>ENF 6/7/23: Not the best sellers yet and there's quite a few up at decently low miles for $4700-6500.  We should only keep &lt;125k and not try and get too greedy on these since price is likely to fall for a few years due to excess supply and not enough demand.</t>
  </si>
  <si>
    <t>300-70932</t>
  </si>
  <si>
    <t>16 BMW X5 N55 Engine; BMW F15 N55 Engine (looking for 14-18 N55)</t>
  </si>
  <si>
    <t>300</t>
  </si>
  <si>
    <t>300-70932-2</t>
  </si>
  <si>
    <t>Engine Assembly as FULL ASSEMBLY WITHOUT TURBOS</t>
  </si>
  <si>
    <t>300-70932-3</t>
  </si>
  <si>
    <t>Engine Assembly as LONG BLOCK</t>
  </si>
  <si>
    <t>Engine Cylinder Block (LEAVE CRANK CRADLE ON)</t>
  </si>
  <si>
    <t>16 BMW X5 N55 Block (just looking for bare N55 blocks)</t>
  </si>
  <si>
    <t>Engine Mounts SET2 (Triangle Shaped ones)</t>
  </si>
  <si>
    <t>Engine Mounts SET/2 (Triangle Shaped ones)</t>
  </si>
  <si>
    <t>14-18 3.0L N55</t>
  </si>
  <si>
    <t xml:space="preserve">22116852855; 22116852858; bmw f15 engine mount; </t>
  </si>
  <si>
    <t>Engine Oil Level Sensor</t>
  </si>
  <si>
    <t>8608780;</t>
  </si>
  <si>
    <t>Fuel Injector SET6 (NOTE ANY PINTEL CAPS BROKEN) (sell SET4 &amp; singles if 1 bad)</t>
  </si>
  <si>
    <t>Fuel Injector SET/6 (NOTE ANY PINTEL CAPS BROKEN) (sell SET/4 &amp; singles if 1 bad)</t>
  </si>
  <si>
    <t>SET/6</t>
  </si>
  <si>
    <t>SET/4 (100, 125, 150); Singles (35, 45, 55)</t>
  </si>
  <si>
    <t>14-16 N55 ALL</t>
  </si>
  <si>
    <t>322-67441; 13647639994 (part # from CM)</t>
  </si>
  <si>
    <t>322</t>
  </si>
  <si>
    <t>Fuel Pump, High Pressure Engine Mounted</t>
  </si>
  <si>
    <t xml:space="preserve">14-18 3.0L </t>
  </si>
  <si>
    <t xml:space="preserve">323-59627; 13518604231; </t>
  </si>
  <si>
    <t>323</t>
  </si>
  <si>
    <t>Fuel Rail</t>
  </si>
  <si>
    <t xml:space="preserve">7649710; </t>
  </si>
  <si>
    <t>Harmonic Balancer</t>
  </si>
  <si>
    <t>309-50677; 11237573655 (part # from CM)</t>
  </si>
  <si>
    <t>309</t>
  </si>
  <si>
    <t>610-50203-1</t>
  </si>
  <si>
    <t>Ignition Coils</t>
  </si>
  <si>
    <t>Ignition Coils SET 6</t>
  </si>
  <si>
    <t>SET 6, if some bad sell SET 4, toss singles</t>
  </si>
  <si>
    <t>SET/4 (45, 49, 54)</t>
  </si>
  <si>
    <t>610-50203; 12138616153 (part # from CM)</t>
  </si>
  <si>
    <t>610</t>
  </si>
  <si>
    <t>610-50203-2</t>
  </si>
  <si>
    <t>Ignition Coils SET 4</t>
  </si>
  <si>
    <t xml:space="preserve">Intake Manifold </t>
  </si>
  <si>
    <t xml:space="preserve">329-50523; 11617576911; </t>
  </si>
  <si>
    <t>329</t>
  </si>
  <si>
    <t>Oil Pan, Engine</t>
  </si>
  <si>
    <t>w/ drain bolt</t>
  </si>
  <si>
    <t>check drain bolt &amp; hole for threading</t>
  </si>
  <si>
    <t>ENF 4/19/22: There's 0 sales, but only 2 active under all search terms for 527 (credible) and 800 (credible, but terrible pics).  It says $916 list price new in CM so we shouldn’t get too greedy, but we can try pricing (525, 750, 900) but that's aggressive still so tickmark {g}.  Price will most definitely creep down over time on this as more are listed so we should recheck soon and reprice any actives that aren't moving and update pricing.</t>
  </si>
  <si>
    <t>{g}</t>
  </si>
  <si>
    <t>311-59542; 11137635651 (part # from CM)</t>
  </si>
  <si>
    <t>16 BMW X5 N55 Oil Pan; BMW F15 N55 Oil Pan</t>
  </si>
  <si>
    <t>311</t>
  </si>
  <si>
    <t xml:space="preserve">Oil Pressure Solenoid </t>
  </si>
  <si>
    <t>11417622768;</t>
  </si>
  <si>
    <t xml:space="preserve">Oil Pump </t>
  </si>
  <si>
    <t>7613549;</t>
  </si>
  <si>
    <t>Oxygen Sensor</t>
  </si>
  <si>
    <t>7596908, 7645875</t>
  </si>
  <si>
    <t>Oxygen Sensor SET2</t>
  </si>
  <si>
    <t>remove w/ correct wrench</t>
  </si>
  <si>
    <t>7645875; 7596908</t>
  </si>
  <si>
    <t>F15</t>
  </si>
  <si>
    <t>ALL</t>
  </si>
  <si>
    <t>304-999565-1</t>
  </si>
  <si>
    <t>Pistons SET6 (sell singles if some bad)</t>
  </si>
  <si>
    <t>Pistons &amp; Rods SET6</t>
  </si>
  <si>
    <t>SET6, sell singles if 1 bad, sell rods SET6 if pistons bad</t>
  </si>
  <si>
    <t>304-999565; 11258619196 (part # from CM)</t>
  </si>
  <si>
    <t>BMW F15 N55 Piston; 16 BMW X5 N55 Piston; BMW N55 Piston</t>
  </si>
  <si>
    <t>304</t>
  </si>
  <si>
    <t>304-999565-2</t>
  </si>
  <si>
    <t>Pistons Single</t>
  </si>
  <si>
    <t>304-999565-3</t>
  </si>
  <si>
    <t>Piston Rod SET6</t>
  </si>
  <si>
    <t>Power Steering Pump</t>
  </si>
  <si>
    <t>w/ Pulley</t>
  </si>
  <si>
    <t>553-50399; 32414078156; 553-50401; 32416796454; 553-59280; 32416856680 (part #s from CM)</t>
  </si>
  <si>
    <t>553</t>
  </si>
  <si>
    <t>w/ active suspension (adaptive drive)</t>
  </si>
  <si>
    <t>w/o active suspension, w/ active steering</t>
  </si>
  <si>
    <t>w/o active suspension, w/o active steering</t>
  </si>
  <si>
    <t>Thermostat Housing</t>
  </si>
  <si>
    <t xml:space="preserve">7598865; </t>
  </si>
  <si>
    <t>Timing Gear Set (Leave On Head Unless Parting Out)</t>
  </si>
  <si>
    <t>Exhaust Single (60, 75, 85) Intake Single (60, 85, 95)</t>
  </si>
  <si>
    <t>11-13 3.0T N55</t>
  </si>
  <si>
    <t>11367583208; 11367583207</t>
  </si>
  <si>
    <t>Valve Cover</t>
  </si>
  <si>
    <t>350-999773; 11127570292 (part # from CM)</t>
  </si>
  <si>
    <t>350</t>
  </si>
  <si>
    <t xml:space="preserve">VVT Timing Solenoid SET2 </t>
  </si>
  <si>
    <t xml:space="preserve">VVT Timing Solenoid SET/2 </t>
  </si>
  <si>
    <t xml:space="preserve">11368605123; </t>
  </si>
  <si>
    <t>Water Pump</t>
  </si>
  <si>
    <t>Water Pump (Electric)</t>
  </si>
  <si>
    <t xml:space="preserve">324-58675; 11518625098; </t>
  </si>
  <si>
    <t>324</t>
  </si>
  <si>
    <t xml:space="preserve">Wiring Harness, Engine </t>
  </si>
  <si>
    <t>2014 BMW N55 Engine Harness;</t>
  </si>
  <si>
    <t>Camshaft Position Sensor</t>
  </si>
  <si>
    <t>Fuel Tank Ventilation Valve</t>
  </si>
  <si>
    <t>2014 BMW X5 Vent Valve;</t>
  </si>
  <si>
    <t>Map Pressure Sensor</t>
  </si>
  <si>
    <t>7599042;</t>
  </si>
  <si>
    <t>Starter</t>
  </si>
  <si>
    <t>604-50311; 12417631558 (part # from CM)</t>
  </si>
  <si>
    <t>Tensioners &amp; Timing Guides (TOSS ALL)</t>
  </si>
  <si>
    <t>BMW F15 Tensioner; 16 BMW X5 Tensioner</t>
  </si>
  <si>
    <t>Throttle Body</t>
  </si>
  <si>
    <t>337-50274; 13547597871 (part # from CM)</t>
  </si>
  <si>
    <t>Engine Bay</t>
  </si>
  <si>
    <t>ABS Pump &amp; Module</t>
  </si>
  <si>
    <t>14-18 ALL Except 2.0L</t>
  </si>
  <si>
    <t>545-53674; 34516884736; 545-53340; 34516884732 (part #s from CM)</t>
  </si>
  <si>
    <t>545</t>
  </si>
  <si>
    <t>w/ adaptive cruise</t>
  </si>
  <si>
    <t>Box 1</t>
  </si>
  <si>
    <t>34516866243, 6866243</t>
  </si>
  <si>
    <t>w/o adaptive cruise</t>
  </si>
  <si>
    <t>Horns SET2 WITH ~6" Metal Brackets ON (toss both horns if 1 horn bad)</t>
  </si>
  <si>
    <t>Metal brackets ON, toss both if 1 bad</t>
  </si>
  <si>
    <t>Same price if brackets missing</t>
  </si>
  <si>
    <t>BMW F15 Horn</t>
  </si>
  <si>
    <t>Intercooler</t>
  </si>
  <si>
    <t>Box Bulk 1</t>
  </si>
  <si>
    <t>17517809321, 7809321</t>
  </si>
  <si>
    <t>It's big one w/ plastic hoses on each end</t>
  </si>
  <si>
    <t>14-18 3.0T ALL (including diesels)</t>
  </si>
  <si>
    <t>317-50194; 17517809321 (part # from 16 X5 3.0T N55)</t>
  </si>
  <si>
    <t>317</t>
  </si>
  <si>
    <t>Power Brake Booster + Master Cylinder + Reservoir + Cap</t>
  </si>
  <si>
    <t>34336864074, 6864074, 34336772930, 6772930, 34336771718, 6771718</t>
  </si>
  <si>
    <t>POSTERS: Put under power brake booster interchange or fitment wrong</t>
  </si>
  <si>
    <t>540-59227; 17117807624</t>
  </si>
  <si>
    <t>540</t>
  </si>
  <si>
    <t>674-60229-1</t>
  </si>
  <si>
    <t>Radiator Fan</t>
  </si>
  <si>
    <t>17427634471, 7634471, 7629131, 67327634608, 7634608</t>
  </si>
  <si>
    <t>Radiator Fan &amp; Shroud Assembly</t>
  </si>
  <si>
    <t>sell fan + motor if shroud bad, sell motor if rest bad</t>
  </si>
  <si>
    <t>14-18 ALL Except 4.4TT</t>
  </si>
  <si>
    <t>674-60229; 1742764471 (part # from CM)</t>
  </si>
  <si>
    <t>674</t>
  </si>
  <si>
    <t>674-60229-2</t>
  </si>
  <si>
    <t>Radiator Fan Motor &amp; Fan Blade</t>
  </si>
  <si>
    <t>sell full assembly if good</t>
  </si>
  <si>
    <t>674-60229-3</t>
  </si>
  <si>
    <t>Radiator Fan Motor</t>
  </si>
  <si>
    <t>Radiator, Primary One (It's the thicker / bigger one)</t>
  </si>
  <si>
    <t>14-18 3.0T ALL</t>
  </si>
  <si>
    <t>675-59726; 17117807624; 675-59919; 17118654431 (part #s from CM)</t>
  </si>
  <si>
    <t>675</t>
  </si>
  <si>
    <t>14-16 partial</t>
  </si>
  <si>
    <t>16 partial - 18</t>
  </si>
  <si>
    <t>Windshield Washer Spray Nozzles</t>
  </si>
  <si>
    <t>Windshield Washer Spray Nozzles &amp; Rubber Hose</t>
  </si>
  <si>
    <t>BMW F15 Washer; BMW F15 Nozzle</t>
  </si>
  <si>
    <t>14-18</t>
  </si>
  <si>
    <t>Wiper Arm, FRONT</t>
  </si>
  <si>
    <t>61617304069, 7304069, 61617304071, 7304071</t>
  </si>
  <si>
    <t>Wiper Arms, FRONT SET2</t>
  </si>
  <si>
    <t>626-997571; 626-997570; 61617304069; 61617304071 (part #s from CM)</t>
  </si>
  <si>
    <t>BMW F15 Front Wiper Arm; 16 BMW X5 Front Wiper Arm</t>
  </si>
  <si>
    <t>626</t>
  </si>
  <si>
    <t>Air Filter Cleaner Assembly</t>
  </si>
  <si>
    <t xml:space="preserve">319-50456; 13717583713; </t>
  </si>
  <si>
    <t>Coolant Expansion Reservoir Tank &amp; Cap (TOSS ALL)</t>
  </si>
  <si>
    <t>8630170 (part # from 16 X5)</t>
  </si>
  <si>
    <t>Radiator, A/C Condenser Radiator (It's the skinnier / smaller one)</t>
  </si>
  <si>
    <t>9239992 (part # from 16 3.0T N55 X5)</t>
  </si>
  <si>
    <t>Support Cross Bars, Engine Bays (all aluminum - the big long one and the 2 smaller identical ones - TOSS ALL)</t>
  </si>
  <si>
    <t>7228081; 7184939; 7184940 (part #s from 16 X5)</t>
  </si>
  <si>
    <t>BMW F15 Support Bar</t>
  </si>
  <si>
    <t>Water Heater Coolant Control Valve Solenoid Pump (small black w/ 2 solenoids &amp; 3 tubes coming off it)</t>
  </si>
  <si>
    <t>6910544 (part # from 16 BMW X5 3.0T N55)</t>
  </si>
  <si>
    <t>Wiper Motor &amp; Transmission Linkage (TOSS BOTH)</t>
  </si>
  <si>
    <t>621-54605; 61617292653 (part # from CM)</t>
  </si>
  <si>
    <t>BMW F15 Front Wiper Motor</t>
  </si>
  <si>
    <t>Exterior - Body</t>
  </si>
  <si>
    <t>Bumper Reinforcement Bracket SET2</t>
  </si>
  <si>
    <t>Bumper Reinforcement Bracket SET/2</t>
  </si>
  <si>
    <t xml:space="preserve">Single (75, 90, 100); </t>
  </si>
  <si>
    <t xml:space="preserve">51117325324; 51117325323; </t>
  </si>
  <si>
    <t>Grille</t>
  </si>
  <si>
    <t>Grille, LOWER BUMPER - CENTER</t>
  </si>
  <si>
    <t>Single (60, 75, 90)</t>
  </si>
  <si>
    <t>{n}</t>
  </si>
  <si>
    <t>104-60050A (14-18 W/O Aero); 51117294476 (14-18 W/O Aero);</t>
  </si>
  <si>
    <t xml:space="preserve">104-60050B (14-18 w/o Aero, Tab Design); 51117336506 (14-18 w/o Aero, Tab Design); </t>
  </si>
  <si>
    <t>104</t>
  </si>
  <si>
    <t>w/ M-aero, w/ adaptive cruise</t>
  </si>
  <si>
    <t>w/ M-aero, w/o adaptive cruise</t>
  </si>
  <si>
    <t>60053A</t>
  </si>
  <si>
    <t>w/o M-aero, w/ adaptive cruise, w/ bar design, black</t>
  </si>
  <si>
    <t>60053B</t>
  </si>
  <si>
    <t>w/o M-aero, w/ adaptive cruise, w/ bar design, black w/ chrome edges</t>
  </si>
  <si>
    <t>60053C</t>
  </si>
  <si>
    <t>w/o M-aero, w/ adaptive cruise, w/ tab design</t>
  </si>
  <si>
    <t>60054A</t>
  </si>
  <si>
    <t>w/o M-aero, w/o adaptive cruise, w/ bar design, black</t>
  </si>
  <si>
    <t>60054B</t>
  </si>
  <si>
    <t>w/o M-aero, w/o adaptive cruise, w/ bar design, black w/ chrome edges</t>
  </si>
  <si>
    <t>60054C</t>
  </si>
  <si>
    <t>w/o M-aero, w/o adaptive cruise, w/ tab design</t>
  </si>
  <si>
    <t>104-60056A-1</t>
  </si>
  <si>
    <t>Grille, LOWER BUMPER - ENDS SET2</t>
  </si>
  <si>
    <t>sell single if 1 bad</t>
  </si>
  <si>
    <t>60056A</t>
  </si>
  <si>
    <t>w/ M-aero, w/ closed grid, SET/2</t>
  </si>
  <si>
    <t>104-60056A-2</t>
  </si>
  <si>
    <t>Grille, LOWER BUMPER - END - LEFT</t>
  </si>
  <si>
    <t>w/ M-aero, w/ closed grid, LEFT</t>
  </si>
  <si>
    <t>Grille, LOWER BUMPER - END - RIGHT</t>
  </si>
  <si>
    <t>60055A</t>
  </si>
  <si>
    <t>w/ M-aero, w/ closed grid, RIGHT</t>
  </si>
  <si>
    <t>104-60056B-1</t>
  </si>
  <si>
    <t>60056B</t>
  </si>
  <si>
    <t>w/ M-aero, w/ open grid, SET/2</t>
  </si>
  <si>
    <t>104-60056B-2</t>
  </si>
  <si>
    <t>w/ M-aero, w/ open grid, LEFT</t>
  </si>
  <si>
    <t>60055B</t>
  </si>
  <si>
    <t>w/ M-aero, w/ open grid, RIGHT</t>
  </si>
  <si>
    <t>104-60058A-1</t>
  </si>
  <si>
    <t>60058A</t>
  </si>
  <si>
    <t>w/o M-Aero, w/ bar design, w/ closed grid, SET/2</t>
  </si>
  <si>
    <t>104-60058A-2</t>
  </si>
  <si>
    <t>w/o M-Aero, w/ bar design, w/ closed grid, LEFT</t>
  </si>
  <si>
    <t>60057A</t>
  </si>
  <si>
    <t>w/o M-Aero, w/ bar design, w/ closed grid, RIGHT</t>
  </si>
  <si>
    <t>104-60058B-1</t>
  </si>
  <si>
    <t>60058B</t>
  </si>
  <si>
    <t>w/o M-Aero, w/ bar design, w/ open grid, SET/2</t>
  </si>
  <si>
    <t>104-60058B-2</t>
  </si>
  <si>
    <t>w/o M-Aero, w/ bar design, w/ open grid, LEFT</t>
  </si>
  <si>
    <t>60057B</t>
  </si>
  <si>
    <t>w/o M-Aero, w/ bar design, w/ open grid, RIGHT</t>
  </si>
  <si>
    <t>104-60058C-1</t>
  </si>
  <si>
    <t>60058C</t>
  </si>
  <si>
    <t>w/o M-Aero, w/ tab design, w/ closed grid, SET/2</t>
  </si>
  <si>
    <t>104-60058C-2</t>
  </si>
  <si>
    <t>w/o M-Aero, w/ tab design, w/ closed grid, LEFT</t>
  </si>
  <si>
    <t>60057C</t>
  </si>
  <si>
    <t>w/o M-Aero, w/ tab design, w/ closed grid, RIGHT</t>
  </si>
  <si>
    <t>104-60058D-1</t>
  </si>
  <si>
    <t>60058D</t>
  </si>
  <si>
    <t>w/o M-Aero, w/ tab design, w/ open grid, SET/2</t>
  </si>
  <si>
    <t>104-60058D-2</t>
  </si>
  <si>
    <t>w/o M-Aero, w/ tab design, w/ open grid, LEFT</t>
  </si>
  <si>
    <t>60057D</t>
  </si>
  <si>
    <t>w/o M-Aero, w/ tab design, w/ open grid, RIGHT</t>
  </si>
  <si>
    <t>Grille, CENTER MIDDLE</t>
  </si>
  <si>
    <t>w/ M-aero</t>
  </si>
  <si>
    <t>60050A</t>
  </si>
  <si>
    <t>w/o M-aero, w/ bar design</t>
  </si>
  <si>
    <t>60050B</t>
  </si>
  <si>
    <t>w/o M-aero, w/ tab design</t>
  </si>
  <si>
    <t>104-60041C-1</t>
  </si>
  <si>
    <t>Grille, UPPER KIDNEY GRILLE SET2</t>
  </si>
  <si>
    <t>Singles (50, 75, 80)</t>
  </si>
  <si>
    <t>60041C</t>
  </si>
  <si>
    <t>w/ night vision, w/ chrome surround, w/ aluminum matte center fins, SET/2</t>
  </si>
  <si>
    <t>104-60041C-2</t>
  </si>
  <si>
    <t>Grille, UPPER KIDNEY GRILLE, LEFT</t>
  </si>
  <si>
    <t>w/ night vision, w/ chrome surround, w/ aluminum matte center fins, LEFT</t>
  </si>
  <si>
    <t>Grille, UPPER KIDNEY GRILLE, RIGHT</t>
  </si>
  <si>
    <t>60040C</t>
  </si>
  <si>
    <t>w/ &amp; w/o night vision, w/ chrome surround, w/ aluminum matte center fins, RIGHT</t>
  </si>
  <si>
    <t>60041A</t>
  </si>
  <si>
    <t>w/ night vision, w/ chrome surround, w/ black center fins, SET/2</t>
  </si>
  <si>
    <t>w/ night vision, w/ chrome surround, w/ black center fins, LEFT</t>
  </si>
  <si>
    <t>60040A</t>
  </si>
  <si>
    <t>w/ &amp; w/o night vision, w/ chrome surround, w/ black center fins, RIGHT</t>
  </si>
  <si>
    <t>60041B</t>
  </si>
  <si>
    <t>w/ night vision, w/ chrome surround, w/ chrome edge center fins, SET/2</t>
  </si>
  <si>
    <t>w/ night vision, w/ chrome surround, w/ chrome edge center fins, LEFT</t>
  </si>
  <si>
    <t>60040B</t>
  </si>
  <si>
    <t>w/ &amp; w/o night vision, w/ chrome surround, w/ chrome edge center fins, RIGHT</t>
  </si>
  <si>
    <t>w/o night vision, w/ black surround, SET/2</t>
  </si>
  <si>
    <t>w/o night vision, w/ black surround, LEFT</t>
  </si>
  <si>
    <t>w/o night vision, w/ black surround, RIGHT</t>
  </si>
  <si>
    <t>60046C</t>
  </si>
  <si>
    <t>w/o night vision, w/ chrome surround, w/ aluminum matte center fins, SET/2</t>
  </si>
  <si>
    <t>w/o night vision, w/ chrome surround, w/ aluminum matte center fins, LEFT</t>
  </si>
  <si>
    <t>60046A</t>
  </si>
  <si>
    <t>w/o night vision, w/ chrome surround, w/ black center fins, SET/2</t>
  </si>
  <si>
    <t>w/o night vision, w/ chrome surround, w/ black center fins, LEFT</t>
  </si>
  <si>
    <t>60046B</t>
  </si>
  <si>
    <t>w/o night vision, w/ chrome surround, w/ chrome edge center fins, SET/2</t>
  </si>
  <si>
    <t>w/o night vision, w/ chrome surround, w/ chrome edge center fins, LEFT</t>
  </si>
  <si>
    <t>Fuel Tank Door</t>
  </si>
  <si>
    <t>51917312316, 7312316</t>
  </si>
  <si>
    <t>just door, toss housing</t>
  </si>
  <si>
    <t>177-999001; 51917312316 (part # from CM)</t>
  </si>
  <si>
    <t>BMW F15 Fuel Door</t>
  </si>
  <si>
    <t>177</t>
  </si>
  <si>
    <t>Headlight Washer Squirters &amp; Cover Caps SET2 (If  1 bad toss all)</t>
  </si>
  <si>
    <t>Headlight Washer Squirters &amp; Cover Caps SET/2 (If  1 bad toss all)</t>
  </si>
  <si>
    <t>bmw f15 washer cover</t>
  </si>
  <si>
    <t>PDC Sensor</t>
  </si>
  <si>
    <t>PDC SET4 With Harness, FRONT</t>
  </si>
  <si>
    <t>if harness bad still SET4 or SET2-TOSS singles</t>
  </si>
  <si>
    <t>SET/4 w/ Harness</t>
  </si>
  <si>
    <t>BMW F15 Front PDC</t>
  </si>
  <si>
    <t>PDC Sensor SET4, FRONT</t>
  </si>
  <si>
    <t>PDC Sensor SET2, FRONT</t>
  </si>
  <si>
    <t>PDC SET4 With Harness, REAR</t>
  </si>
  <si>
    <t>BMW F15 Rear PDC</t>
  </si>
  <si>
    <t>PDC Sensor SET4, REAR</t>
  </si>
  <si>
    <t>PDC Sensor SET2, REAR</t>
  </si>
  <si>
    <t>Roof Rails, SIDE-TO-SIDE as SET2 (the shorter ones)</t>
  </si>
  <si>
    <t>Roof Rails, SIDE-TO-SIDE as SET/2 (the shorter ones)</t>
  </si>
  <si>
    <t>BMW F15 Roof Rail</t>
  </si>
  <si>
    <t>Running Board, Left</t>
  </si>
  <si>
    <t>2015 BMW x5 Running Board</t>
  </si>
  <si>
    <t>Running Board, Right</t>
  </si>
  <si>
    <t>Spoiler</t>
  </si>
  <si>
    <t>51627294468, 7294468, 51317381572, 7381572</t>
  </si>
  <si>
    <t>Spoiler with 3rd Brake Light IN</t>
  </si>
  <si>
    <t>w/ 3rd brake light IN</t>
  </si>
  <si>
    <t>sell light solo if spoiler bad, toss spoiler if light bad</t>
  </si>
  <si>
    <t>ENF 4/29/22: This is 51.5x15.5x5 and would ship in our 52x28x6 box.  With bulging dimensions of 54x30x8 assuming 40 lbs. it would cost us $72.12 to NY by UPS (plus about 10 bucks for insurance).  Now if it's just 1 more inch any dimension it jumps up to $205.13 so we'll have to be careful here...even at that it'd likely still be profitable and what we'd sell it for, but wouldn't be worth selling if we knew we were going to hit that (or do actually hit that when we do ship one).  Under search terms there's several sales for $200-$300 and 1 sale for $500, but not that many active.  We could sell for (395, 495, 595).</t>
  </si>
  <si>
    <t>169-53399; 430407863531 (part # from CM)</t>
  </si>
  <si>
    <t xml:space="preserve">BMW F15 Spoiler; 51317381572; </t>
  </si>
  <si>
    <t>BMW F15 3rd Brake Light</t>
  </si>
  <si>
    <t>169</t>
  </si>
  <si>
    <t>Spoiler 3rd Brake Light</t>
  </si>
  <si>
    <t>Fender, FRONT - LEFT</t>
  </si>
  <si>
    <t>ENF 4/19/22: These measure 52x37x8 which is too big for any box we have and would cost over $200 to ship UPS/FedEx with high chance of damage.  We would have to ship freight for $200-$400.  There's 10+ sales but only 4 are above $400 and they're all less than $600.  After considering Ebay/PayPal fees and shipping this would net us less than $100 on average and not worth the trouble.  TOSS.</t>
  </si>
  <si>
    <t>110-61216; 110-61215; BMW F15 Fender; 16 BMW X5 Fender</t>
  </si>
  <si>
    <t>Fender, FRONT - RIGHT</t>
  </si>
  <si>
    <t>Gas Cap</t>
  </si>
  <si>
    <t>BMW F15 Gas Cap</t>
  </si>
  <si>
    <t>License Plate Mounts (TOSS BOTH - front &amp; rear)</t>
  </si>
  <si>
    <t>BMW F15 License Mount</t>
  </si>
  <si>
    <t>Reflectors, FENDER (TOSS BOTH)</t>
  </si>
  <si>
    <t>7290091; 7290092 (part #s from 16 BMW X5)</t>
  </si>
  <si>
    <t>BMW F15 Reflector</t>
  </si>
  <si>
    <t>Roof Rails, FRONT-TO-BACK (the big long ones black in color - CHECK BOX any other style)</t>
  </si>
  <si>
    <t>Shark Fin Cover &amp; Roof Antenna Module (TOSS BOTH)</t>
  </si>
  <si>
    <t>BMW F15 Shark Antenna</t>
  </si>
  <si>
    <t>Spoiler Winglet Molding (Toss Both)</t>
  </si>
  <si>
    <t xml:space="preserve">51627304605; </t>
  </si>
  <si>
    <t>Tow Hook</t>
  </si>
  <si>
    <t xml:space="preserve">F15 Tow Hook; </t>
  </si>
  <si>
    <t>Tow Hook Cover, Rear &amp; Front (TOSS Both)</t>
  </si>
  <si>
    <t>14-18 All</t>
  </si>
  <si>
    <t>Towing Hook Eye</t>
  </si>
  <si>
    <t>BMW F15 Tow Hook</t>
  </si>
  <si>
    <t>Wiper Squirter Nozzles SET2 WITH Hose (ENF 4/19 - we should check this…several actives up past $100 so may sell)</t>
  </si>
  <si>
    <t>Wiper Squirter Nozzles SET/2 WITH Hose (ENF 4/19 - we should check this…several actives up past $100 so may sell)</t>
  </si>
  <si>
    <t>Hood Hinge</t>
  </si>
  <si>
    <t>Hood Hinge SET2</t>
  </si>
  <si>
    <t>If single (65, 85, 95)</t>
  </si>
  <si>
    <t>BMW F15 Hood Hinge</t>
  </si>
  <si>
    <t>Hood Hinge, LEFT</t>
  </si>
  <si>
    <t>LEFT</t>
  </si>
  <si>
    <t>Hood Hinge, RIGHT</t>
  </si>
  <si>
    <t>RIGHT</t>
  </si>
  <si>
    <t>Hood Latch</t>
  </si>
  <si>
    <t>Hood Latches SET 2 WITH Cables</t>
  </si>
  <si>
    <t>sell hood latches SET2 if cables bad</t>
  </si>
  <si>
    <t>SET/2 &amp; Cables</t>
  </si>
  <si>
    <t>BMW F15 Hood Latch</t>
  </si>
  <si>
    <t>Hood Latches SET2 WITHOUT Cables</t>
  </si>
  <si>
    <t>Hood Release Lever</t>
  </si>
  <si>
    <t>51237308076, 7308076, 7294536</t>
  </si>
  <si>
    <t>Hood Upper Release Lever &amp; Cable &amp; Strikers as SET</t>
  </si>
  <si>
    <t>if 1 bad toss all</t>
  </si>
  <si>
    <t>SET</t>
  </si>
  <si>
    <t>Hood Emblem</t>
  </si>
  <si>
    <t>7376339 (part # from 16 X5)</t>
  </si>
  <si>
    <t>BMW F15 Hood Emblem</t>
  </si>
  <si>
    <t>Hood Shocks (TOSS ALL)</t>
  </si>
  <si>
    <t>BMW F15 Hood Shock</t>
  </si>
  <si>
    <t>Hood, Assembly (part out, then toss)</t>
  </si>
  <si>
    <t>117-59177; BMW F15 Hood</t>
  </si>
  <si>
    <t>Dash Cup Holder (remove from &amp; toss mount bracket)</t>
  </si>
  <si>
    <t>Climate Control Panel, Radio Control Panel</t>
  </si>
  <si>
    <t>Climate Control Panel, Radio Control Panel, and Trim, FRONT</t>
  </si>
  <si>
    <t>keep together unless 1 bad</t>
  </si>
  <si>
    <t>655-72539; 64119388809; 655-72540; 64119388808; 655-72546; 64119388807 (part #s from CM)</t>
  </si>
  <si>
    <t>655</t>
  </si>
  <si>
    <t>w/ auto temp control, w/ heated &amp; cooled front seats</t>
  </si>
  <si>
    <t>Climate Control, Radio Control</t>
  </si>
  <si>
    <t>64119321714, 9321714</t>
  </si>
  <si>
    <t>w/ auto temp control, w/o heated &amp; cooled front seats (ENF this has HEATED seats, but no cooled seats)</t>
  </si>
  <si>
    <t>w/o auto temp control 14-15 partial</t>
  </si>
  <si>
    <t>w/o auto temp control 15 partial-18</t>
  </si>
  <si>
    <t>Climate Control Panel, REAR</t>
  </si>
  <si>
    <t>655-72542; 655-72543; BMW F15 Rear Climate Control</t>
  </si>
  <si>
    <t>w/ heated rear seats</t>
  </si>
  <si>
    <t>w/o heated rear seats</t>
  </si>
  <si>
    <t>Airbag</t>
  </si>
  <si>
    <t>1034335, 1026516</t>
  </si>
  <si>
    <t>Airbag, DASH - RIGHT (PASSENGER)</t>
  </si>
  <si>
    <t>253-67828; 72129252311 (part # from CM)</t>
  </si>
  <si>
    <t>253</t>
  </si>
  <si>
    <t>72129311690, 9311690</t>
  </si>
  <si>
    <t>Airbag, KNEE - FRONT LEFT (DRIVER)</t>
  </si>
  <si>
    <t>253-67827; 72129311690 (part # from CM)</t>
  </si>
  <si>
    <t>16 BMW X5 Knee Airbag (looking for driver)</t>
  </si>
  <si>
    <t>72129311683, 9311683</t>
  </si>
  <si>
    <t>Airbag, KNEE - FRONT RIGHT (PASSENGER)</t>
  </si>
  <si>
    <t>253-67831; 72129311683 (part # from CM)</t>
  </si>
  <si>
    <t>16 BMW X5 Knee Airbag (looking for passenger)</t>
  </si>
  <si>
    <t>72127325697, 7325697</t>
  </si>
  <si>
    <t>Airbag, ROOF - LEFT (DRIVER)</t>
  </si>
  <si>
    <t>253-67825; 72127325697; 253-67829; 72127325698 (part #s from CM)</t>
  </si>
  <si>
    <t>72127325698, 7325698</t>
  </si>
  <si>
    <t>Airbag, ROOF - RIGHT (PASSENGER)</t>
  </si>
  <si>
    <t>Airbag, STEERING WHEEL</t>
  </si>
  <si>
    <t>253-67822; 253-53466; 253-67823; 253-67824; 253-67961; 32308092481; 32306888441; 32306888435; 32306888438; 32306888432 (part #s from CM)</t>
  </si>
  <si>
    <t>w/o M-aero, w/ diesel, w/ thumb rests</t>
  </si>
  <si>
    <t>w/o M-aero, w/ diesel, w/o thumb rests</t>
  </si>
  <si>
    <t>w/o M-aero, w/o diesel, w/ thumb rests</t>
  </si>
  <si>
    <t>32306888432, 6888432</t>
  </si>
  <si>
    <t>w/o M-aero, w/o diesel, w/o thumb rests</t>
  </si>
  <si>
    <t>Ambient Air Temperature Sensor (small black w/ a purple front)</t>
  </si>
  <si>
    <t>9289142 (part # from 16 X5)</t>
  </si>
  <si>
    <t>Blower Motor</t>
  </si>
  <si>
    <t>64119349769, 9349769, 9276112</t>
  </si>
  <si>
    <t>Blower Motor, FRONT FOOTWELL</t>
  </si>
  <si>
    <t>w/ resistor, toss both if 1 bad</t>
  </si>
  <si>
    <t>615-58781; 615-50168; 615-58782</t>
  </si>
  <si>
    <t>BMW F15 Blower Motor</t>
  </si>
  <si>
    <t>615</t>
  </si>
  <si>
    <t>Center Console Storage Compartment &amp; Lid (keep in switches / mats IN)</t>
  </si>
  <si>
    <t>BMW F15 Console</t>
  </si>
  <si>
    <t>Cell Phone Cradle</t>
  </si>
  <si>
    <t>NPN</t>
  </si>
  <si>
    <t>Center Console Cell Phone Cradle</t>
  </si>
  <si>
    <t>BMW F15 Cell Phone Cradle</t>
  </si>
  <si>
    <t>Combination Switch</t>
  </si>
  <si>
    <t>Combination Switch Assembly</t>
  </si>
  <si>
    <t>assembly, but toss steering wheel adjust switch</t>
  </si>
  <si>
    <t>629-61109; 629-61110; 629-61111; 629-61112</t>
  </si>
  <si>
    <t>9305954 (part # from clockspring from 16 X5); 9267366 (part # from steering wheel adjust switch from 16 X5)</t>
  </si>
  <si>
    <t>BMW F15 Combination Switch; BMW F15 Clockspring; BMW F15 Steering Adjust</t>
  </si>
  <si>
    <t>629</t>
  </si>
  <si>
    <t>w/ US market, w/ heated steering wheel, w/ auto high beam</t>
  </si>
  <si>
    <t>61319313911, 9313911, 61319320136, 9320136</t>
  </si>
  <si>
    <t>w/ US market, w/ heated steering wheel, w/o auto high beam</t>
  </si>
  <si>
    <t>w/ US market, w/o heated steering wheel, w/ auto high beam</t>
  </si>
  <si>
    <t>w/ US market, w/o heated steering wheel, w/o auto high beam</t>
  </si>
  <si>
    <t>Cup Holder, FRONT CENTER CONSOLE (the one w/ roll up door - leave all components IN)</t>
  </si>
  <si>
    <t>9315332 (part # from 16 X5)</t>
  </si>
  <si>
    <t>16 BMW X5 Cup Holder; BMW F15 Cup Holder</t>
  </si>
  <si>
    <t>Dome Light</t>
  </si>
  <si>
    <t>Dome Light, FRONT PRIMARY ONE</t>
  </si>
  <si>
    <t>BMW F15 Dome Light</t>
  </si>
  <si>
    <t>Shifter</t>
  </si>
  <si>
    <t>w/ parking switch &amp; trim (they are worthless solo)</t>
  </si>
  <si>
    <t>242-999155; 242-999156; 242-999154; 242-999153; BMW F15 Shifter</t>
  </si>
  <si>
    <t>w/o sport gearbox, w/ ceramic finish</t>
  </si>
  <si>
    <t>61319318966, 9318966</t>
  </si>
  <si>
    <t>Shifter (FLAW)</t>
  </si>
  <si>
    <t>w/o sport gearbox, w/o ceramic finish</t>
  </si>
  <si>
    <t>w/ sport gearbox, w/ ceramic finish</t>
  </si>
  <si>
    <t>w/ sport gearbox, w/o ceramic finish</t>
  </si>
  <si>
    <t>Glove Box</t>
  </si>
  <si>
    <t>Box 5</t>
  </si>
  <si>
    <t>51459276266, 9276266</t>
  </si>
  <si>
    <t>Black</t>
  </si>
  <si>
    <t>Glove Box Assembly WITH Handle, FRONT RIGHT PRIMARY</t>
  </si>
  <si>
    <t>toss the left dash smaller one</t>
  </si>
  <si>
    <t>BMW F15 Glove Box</t>
  </si>
  <si>
    <t>Head Up Display Projector (Remove Trim Sell Separate)</t>
  </si>
  <si>
    <t xml:space="preserve">596-892 (14-18); 62309384373 (14-18); </t>
  </si>
  <si>
    <t>596</t>
  </si>
  <si>
    <t>Head Up Display Screen Projector Trim</t>
  </si>
  <si>
    <t>BMW F15 Heads Up</t>
  </si>
  <si>
    <t>sometimes CPI+</t>
  </si>
  <si>
    <t>Headlight Switch</t>
  </si>
  <si>
    <t>9390196 (part # from 16 X5)</t>
  </si>
  <si>
    <t>I-Drive Navigation Radio Control Knob</t>
  </si>
  <si>
    <t>sell trim &amp; traction panel solo</t>
  </si>
  <si>
    <t>65829350723 (part # from 16 BMW X5 w/o ceramic); 65829286701 (part # from some other Ebay sellers listing from one that fits an F15 X5 w/ ceramic)</t>
  </si>
  <si>
    <t>BMW F15 Knob</t>
  </si>
  <si>
    <t>w/ ceramic finish</t>
  </si>
  <si>
    <t>w/o ceramic finish</t>
  </si>
  <si>
    <t>I-Drive Navigation / Radio Control Knob &amp; Switch Panel TRIM (remove &amp; sell knob &amp; traction control switch panel each solo)</t>
  </si>
  <si>
    <t>51169252115 (part # from 16 X5)</t>
  </si>
  <si>
    <t>Mirror, REARVIEW</t>
  </si>
  <si>
    <t>[YES-ENTER]</t>
  </si>
  <si>
    <t>267-51293; 267-51530; 267-51531; 267-51243</t>
  </si>
  <si>
    <t>BMW F15 Rearview Mirror</t>
  </si>
  <si>
    <t>267</t>
  </si>
  <si>
    <t>w/ garage opener, w/ auto high beam</t>
  </si>
  <si>
    <t>51169320305, 9320305</t>
  </si>
  <si>
    <t>w/ garage opener, w/o auto high beam</t>
  </si>
  <si>
    <t>w/o garage opener, w/ auto high beam</t>
  </si>
  <si>
    <t>w/o garage opener, w/o auto high beam</t>
  </si>
  <si>
    <t>Navigation Display Screen</t>
  </si>
  <si>
    <t>65509296939, 9296939</t>
  </si>
  <si>
    <t>594-1775; 65509347878; 594-10061; 65506816387; 594-1774; 65509296938 (part #s from CM)</t>
  </si>
  <si>
    <t>594</t>
  </si>
  <si>
    <t>14-16 10.25"</t>
  </si>
  <si>
    <t>17-18 10.25"</t>
  </si>
  <si>
    <t>14-18 6.5"</t>
  </si>
  <si>
    <t>Owners Manual + Case (toss both if 1 bad or even if there's any flaws…barely worth selling)</t>
  </si>
  <si>
    <t>BMW F15 Owners Manual; 16 BMW X5 Manual</t>
  </si>
  <si>
    <t>Radio</t>
  </si>
  <si>
    <t>Radio / Stereo Receiver Unit</t>
  </si>
  <si>
    <t>638-72259; 65126826791; 638-72260; 65126819953; 638-72909; 65128707017; 638-72910; 65129143586 (part #s from CM)</t>
  </si>
  <si>
    <t>638-73944; 65128721893 (part # from CM)</t>
  </si>
  <si>
    <t>638</t>
  </si>
  <si>
    <t>14-16 w/ DVD changer</t>
  </si>
  <si>
    <t>Box 4</t>
  </si>
  <si>
    <t>65129327320, 9327320</t>
  </si>
  <si>
    <t>Radio Receiver Unit</t>
  </si>
  <si>
    <t>14-16 w/o DVD changer</t>
  </si>
  <si>
    <t>17-18</t>
  </si>
  <si>
    <t>Speedometer</t>
  </si>
  <si>
    <t>14-18 ALL MPH</t>
  </si>
  <si>
    <t>257-66546; 6820601 (part # from 16 X5 3.0T N55)</t>
  </si>
  <si>
    <t>257</t>
  </si>
  <si>
    <t>14-18 w/ MPH, w/ display screen below gauges, w/ diesel</t>
  </si>
  <si>
    <t>62109339894, 9339894</t>
  </si>
  <si>
    <t>14-18 w/ MPH, w/ display screen below gauges, w/ gasoline</t>
  </si>
  <si>
    <t>14-18 w/ MPH, w/o display screen below gauges, w/ lane departure, w/ diesel</t>
  </si>
  <si>
    <t>14-17 w/ MPH, w/o display screen below gauges, w/ lane departure, w/ gasoline</t>
  </si>
  <si>
    <t>18 w/ MPH, w/o display screen below gauges, w/ gasoline</t>
  </si>
  <si>
    <t>14 w/ MPH, w/o display screen below gauges, w/o lane departure warning, w/ diesel</t>
  </si>
  <si>
    <t>14 thru 6/30/14 w/ MPH, w/o display screen below gauges, w/o lane departure warning, w/ gasoline</t>
  </si>
  <si>
    <t>14 from 7/1/14 w/ MPH, w/o display screen below gauges, w/o lane departure warning, w/ gasoline</t>
  </si>
  <si>
    <t>14-16 w/ all digital (no analog)</t>
  </si>
  <si>
    <t>17-18 w/ all digital (no analog)</t>
  </si>
  <si>
    <t>Steering Column Shaft</t>
  </si>
  <si>
    <t>Steering Column Center Rod &amp; Lower U-Joint Shaft SET2</t>
  </si>
  <si>
    <t>sell singles if 1 bad</t>
  </si>
  <si>
    <t>BMW F15 Column Shaft</t>
  </si>
  <si>
    <t>6774110 (part # from u-joint shaft from 16 X5); 6864137 (part # from center rod from 16 X5)</t>
  </si>
  <si>
    <t>Steering Column Center Rod Shaft</t>
  </si>
  <si>
    <t>Steering Column Lower U-Joint Shaft</t>
  </si>
  <si>
    <t xml:space="preserve">Steering Wheel Vibration Control Module </t>
  </si>
  <si>
    <t xml:space="preserve">61317849446; </t>
  </si>
  <si>
    <t>Steering Wheel</t>
  </si>
  <si>
    <t>w/ Switches &amp; Trim ON</t>
  </si>
  <si>
    <t>wheel bad sell switches+trim or 1 solo if other bad</t>
  </si>
  <si>
    <t>2460554385 (part # from non-sport steering wheel from 16 X5)</t>
  </si>
  <si>
    <t>BMW F15 Steering Wheel</t>
  </si>
  <si>
    <t>w/ X5M w/ M sport, w/ heated</t>
  </si>
  <si>
    <t>w/ X5M w/ M sport, w/o heated</t>
  </si>
  <si>
    <t>w/o sport, w/ heated, w/ lane warning</t>
  </si>
  <si>
    <t>32306881302, 6881302, 32306868758, 6868758, 32306876776, 6876776</t>
  </si>
  <si>
    <t>w/o sport, w/ heated, w/o lane warning</t>
  </si>
  <si>
    <t>w/o sport, w/o heated, w/ lane warning</t>
  </si>
  <si>
    <t>w/o sport, w/o heated, w/o lane warning</t>
  </si>
  <si>
    <t>w/ sport, w/ heated, w/ lane warning</t>
  </si>
  <si>
    <t>w/ sport, w/ heated, w/o lane warning</t>
  </si>
  <si>
    <t>w/ sport, w/o heated, w/ lane warning</t>
  </si>
  <si>
    <t>w/ sport, w/o heated, w/o lane warning</t>
  </si>
  <si>
    <t>w/ sDrive35i, w/ M Sport, w/ heated</t>
  </si>
  <si>
    <t>w/ sDrive35i, w/ M Sport, w/o heated</t>
  </si>
  <si>
    <t>Steering Wheel Switches</t>
  </si>
  <si>
    <t>Steering Wheel Switches SET2 WITH Trim</t>
  </si>
  <si>
    <t>keep ON wheel if selling that</t>
  </si>
  <si>
    <t>Steering Wheel Switches SET2 WITHOUT Trim</t>
  </si>
  <si>
    <t>Steering Wheel Trim</t>
  </si>
  <si>
    <t>Switch/Button, Engine Ignition Start/Stop Push Button</t>
  </si>
  <si>
    <t>SET A Considerations: ENF 5/3/22 90% sure NOT required for SET A</t>
  </si>
  <si>
    <t>9291689 (part # from 16 X5)</t>
  </si>
  <si>
    <t>Traction Control Switch Panel</t>
  </si>
  <si>
    <t>remove trim panel &amp; sell knob &amp; trim panel each solo</t>
  </si>
  <si>
    <t>9262721 (part # from 16 X5)</t>
  </si>
  <si>
    <t>USB Aux Socket Port</t>
  </si>
  <si>
    <t>Vent</t>
  </si>
  <si>
    <t>Vent, DASH - FRONT CENTER with Hazard Button</t>
  </si>
  <si>
    <t>with hazard button</t>
  </si>
  <si>
    <t>sell hazard button solo if vent bad</t>
  </si>
  <si>
    <t>927051610 (part # from LF from 16 X5); 927051711 (part # from RF from 16 X5); 925264810 (part # from center double vent from 16 X5); 61319389075 (part # from hazard switch from 16 X5)</t>
  </si>
  <si>
    <t>Switch, Hazard Button</t>
  </si>
  <si>
    <t>keep in vent if selling that</t>
  </si>
  <si>
    <t>Vent, DASH - FRONT LEFT</t>
  </si>
  <si>
    <t>Vent, DASH - FRONT RIGHT</t>
  </si>
  <si>
    <t>Vent, DASH - REAR CENTER CONSOLE</t>
  </si>
  <si>
    <t>64229252012 (part # from 16 X5)</t>
  </si>
  <si>
    <t>BMW F15 Rear Vent</t>
  </si>
  <si>
    <t>Visors</t>
  </si>
  <si>
    <t>Visors SET2 WITH Visor Clips if Good (toss all if 1 visor bad)</t>
  </si>
  <si>
    <t>SET2 WITH Visor Clips if Good (toss all if 1 visor bad)</t>
  </si>
  <si>
    <t>Same price if visor clips bad (they're just worthless solo so throwing in)</t>
  </si>
  <si>
    <t>268-11967; 268-11966</t>
  </si>
  <si>
    <t>268</t>
  </si>
  <si>
    <t>A/C HVAC Blend Door Flap Motors &amp; Harness (TOSS ALL)</t>
  </si>
  <si>
    <t>BMW F15 Blend</t>
  </si>
  <si>
    <t>Blower Motor Assemblies &amp; Resistors, REAR &amp; CENTER CONSOLE (TOSS BOTH - but DO KEEP the front blower motor)</t>
  </si>
  <si>
    <t>Dome Lights, ALL EXCEPT front primary one (do keep that one - rest are TOSS)</t>
  </si>
  <si>
    <t>Glove Box, LEFT FRONT DASH smaller one (DO KEEP the primary RF dash one)</t>
  </si>
  <si>
    <t>BMW F15 Storage</t>
  </si>
  <si>
    <t>Grab Handles / Oh Shit Bars (TOSS ALL)</t>
  </si>
  <si>
    <t>BMW F15 Grab Handle</t>
  </si>
  <si>
    <t>Microphone, Hands Free Roof Mounted Mics (TOSS ALL)</t>
  </si>
  <si>
    <t>BMW F15 Microphone</t>
  </si>
  <si>
    <t>Pedal, Gas Pedal</t>
  </si>
  <si>
    <t>35426853175 (part # from 16 X5)</t>
  </si>
  <si>
    <t>REAR CENTER CONSOLE Storage Tray, Trim Panel &amp; 12v Sockets (TOSS, but DO KEEP vent &amp; climate control)</t>
  </si>
  <si>
    <t>51169252009; 5HL008941 (part #s from 16 X5)</t>
  </si>
  <si>
    <t>Speaker Grilles (TOSS ALL)</t>
  </si>
  <si>
    <t>BMW F15 Speaker Grille</t>
  </si>
  <si>
    <t>Speedometer Instrument Gauge Cluster Trim (big plastic piece)</t>
  </si>
  <si>
    <t>51459252537 (part # from 16 X5)</t>
  </si>
  <si>
    <t>Steering Column Assembly &amp; Adjust Motors (the big primary one - TOSS ALL)</t>
  </si>
  <si>
    <t>BMW F15 Steering Column</t>
  </si>
  <si>
    <t>Steering Wheel Adjust Switch With Steering Wheel Heater</t>
  </si>
  <si>
    <t>w/ steering wheel heater</t>
  </si>
  <si>
    <t>Steering Wheel Adjust Switch Without Steering Wheel Heater</t>
  </si>
  <si>
    <t>w/o steering wheel heater</t>
  </si>
  <si>
    <t>Vent, Pillar</t>
  </si>
  <si>
    <t>BMW F15 Vent</t>
  </si>
  <si>
    <t>Interior - Roof</t>
  </si>
  <si>
    <t>Sunroof, Glass</t>
  </si>
  <si>
    <t>54137386959, 7386959</t>
  </si>
  <si>
    <t>Sunroof, Glass - PANORAMIC, FRONT</t>
  </si>
  <si>
    <t>ENF 4/19/22: This measures 35x28x4 and will be cheap to ship.  {q}</t>
  </si>
  <si>
    <t>288-50844; 5413736959; 288-50845; 54137386961</t>
  </si>
  <si>
    <t>BMW F15 Sunroof Glass Front; BMW F15 Sunroof Glass Rear</t>
  </si>
  <si>
    <t>288</t>
  </si>
  <si>
    <t>54137386961, 7386961</t>
  </si>
  <si>
    <t>Sunroof, Glass - PANORAMIC, REAR</t>
  </si>
  <si>
    <t>ENF 4/19/22: This measures 35x14x4 and will be cheap to ship.  {q}</t>
  </si>
  <si>
    <t>628-999907-1</t>
  </si>
  <si>
    <t>Sunroof, Motor</t>
  </si>
  <si>
    <t>67617316396, 7316396</t>
  </si>
  <si>
    <t>2 per car &amp; their identical</t>
  </si>
  <si>
    <t>628-999907; 54102993883 (part # from CM)</t>
  </si>
  <si>
    <t>BMW F15 Sunroof Motor</t>
  </si>
  <si>
    <t>628</t>
  </si>
  <si>
    <t>Part Out</t>
  </si>
  <si>
    <t>Sunroof, Assembly</t>
  </si>
  <si>
    <t>ENF 4/19/22: This is panoramic and HUGE - would have to go freight and it's NOT selling for $1,000 with lots up.  Not worth it - part out.</t>
  </si>
  <si>
    <t>152-59894A</t>
  </si>
  <si>
    <t>BMW F15 Sunroof</t>
  </si>
  <si>
    <t>3rd Brake Light (keep IN spoiler if selling that - if not can sell solo)</t>
  </si>
  <si>
    <t>3rd Brake Light Solo (100, 125, 150)</t>
  </si>
  <si>
    <t>In Spoiler</t>
  </si>
  <si>
    <t>BMW F15 Spoiler</t>
  </si>
  <si>
    <t>Fog Light</t>
  </si>
  <si>
    <t>Fog Light, FRONT - LEFT</t>
  </si>
  <si>
    <t>116-60560; 63177317251; 116-60559; 63177317252 (part #s from CM)</t>
  </si>
  <si>
    <t>116</t>
  </si>
  <si>
    <t>w/o night vision, LEFT</t>
  </si>
  <si>
    <t>Fog Light, FRONT - RIGHT</t>
  </si>
  <si>
    <t>w/o night vision, RIGHT</t>
  </si>
  <si>
    <t>w/ night vision, LEFT</t>
  </si>
  <si>
    <t>w/ night vision, RIGHT</t>
  </si>
  <si>
    <t>Headlight TMS Control Module (Has visible circuit board)</t>
  </si>
  <si>
    <t>Headlight, Access Cover (Keep on Light unless bad, 2 per light sell as singles)</t>
  </si>
  <si>
    <t>bmw x5 f15 headlight cover</t>
  </si>
  <si>
    <t>Headlight, Daytime Running Light DRL Angel Eye Module (2 per car bag as singles)</t>
  </si>
  <si>
    <t>bmw x5 f15 headlight module</t>
  </si>
  <si>
    <t>Headlight</t>
  </si>
  <si>
    <t>63117381141, 7381141</t>
  </si>
  <si>
    <t>Headlight, FRONT - LEFT</t>
  </si>
  <si>
    <t>if bad keep: ballast, adaptive control module</t>
  </si>
  <si>
    <t>if part out toss: caps, LED running light module</t>
  </si>
  <si>
    <t>114-60265; 63117381141; 114-60264; 63117381142; 114-60686; 63117442651; 114-60685; 63117442652 (part #s from CM)</t>
  </si>
  <si>
    <t>114-60267; 63117317109; 114-60266; 63117317110 (part #s from CM)</t>
  </si>
  <si>
    <t>114</t>
  </si>
  <si>
    <t>LED, 14-15 thru 6/30/15, LEFT</t>
  </si>
  <si>
    <t>63117381142, 7381142</t>
  </si>
  <si>
    <t>Headlight, FRONT - RIGHT</t>
  </si>
  <si>
    <t>LED, 14-15 thru 6/30/15, RIGHT</t>
  </si>
  <si>
    <t>63117442651, 7442651</t>
  </si>
  <si>
    <t>LED, 15-18 from 7/1/15, LEFT</t>
  </si>
  <si>
    <t>63117442652, 7442652</t>
  </si>
  <si>
    <t>LED, 15-18 from 7/1/15, RIGHT</t>
  </si>
  <si>
    <t>63117317109, 7317109</t>
  </si>
  <si>
    <t>Xenon, LEFT</t>
  </si>
  <si>
    <t>63117317110, 7317110</t>
  </si>
  <si>
    <t>foggy lens (see pictures)</t>
  </si>
  <si>
    <t>Headlight, FRONT - RIGHT (FLAW)</t>
  </si>
  <si>
    <t>Xenon, RIGHT</t>
  </si>
  <si>
    <t>Headlight Parts</t>
  </si>
  <si>
    <t>Headlight Adaptive Control Module</t>
  </si>
  <si>
    <t>black plastic w/ vent slats</t>
  </si>
  <si>
    <t xml:space="preserve">591-71543; 63127296090; </t>
  </si>
  <si>
    <t>591</t>
  </si>
  <si>
    <t>Headlight Ballast Control Module</t>
  </si>
  <si>
    <t>shiny silver metal</t>
  </si>
  <si>
    <t>Taillight</t>
  </si>
  <si>
    <t>63217290103, 7290103</t>
  </si>
  <si>
    <t>Taillight, QUARTER PANEL MOUNTED - LEFT</t>
  </si>
  <si>
    <t>166-60725; 63217290103; 166-60724; 63217290103 (part #s from CM)</t>
  </si>
  <si>
    <t>166</t>
  </si>
  <si>
    <t>63217290104, 7290104</t>
  </si>
  <si>
    <t>Taillight, QUARTER PANEL MOUNTED - RIGHT (FLAWED)</t>
  </si>
  <si>
    <t>Taillight, QUARTER PANEL MOUNTED - RIGHT</t>
  </si>
  <si>
    <t>63217329045, 7329045</t>
  </si>
  <si>
    <t>Taillight, TRUNK MOUNTED - LEFT</t>
  </si>
  <si>
    <t>166-60727; 63217329045; 166-60726; 63217329046 (part #s from CM)</t>
  </si>
  <si>
    <t>63217329046, 7329046</t>
  </si>
  <si>
    <t>Taillight, TRUNK MOUNTED - RIGHT</t>
  </si>
  <si>
    <t>License Plate Lights (TOSS BOTH)</t>
  </si>
  <si>
    <t>BMW F15 License Plate Lights</t>
  </si>
  <si>
    <t>Module</t>
  </si>
  <si>
    <t>ABS ICM Integrated Chassis Management Module</t>
  </si>
  <si>
    <t>ABS ICM Integrated Chassis Management SRS Control Module</t>
  </si>
  <si>
    <t>looks like an airbag module</t>
  </si>
  <si>
    <t>591-54686; 65776807634 (part # from 16 X5)</t>
  </si>
  <si>
    <t>w/ lane departure</t>
  </si>
  <si>
    <t>w/o lane departure, w/ active steering</t>
  </si>
  <si>
    <t>34526866567, 6866567</t>
  </si>
  <si>
    <t>w/o lane departure, w/o active steering</t>
  </si>
  <si>
    <t>Amplifier</t>
  </si>
  <si>
    <t>Amplifier, Bang &amp; Olufsen</t>
  </si>
  <si>
    <t>638-72906; 65129326468 (part # from CM)</t>
  </si>
  <si>
    <t>638-59327' 65129393185; 638-74034; 65129393182 (part #s from CM)</t>
  </si>
  <si>
    <t>14-18 Bang &amp; Olufsen</t>
  </si>
  <si>
    <t>Amplifier, Harman Kardon</t>
  </si>
  <si>
    <t>14-16 Harman Kardon</t>
  </si>
  <si>
    <t>17-18 Harman Kardon</t>
  </si>
  <si>
    <t>65129321075, 9321075</t>
  </si>
  <si>
    <t>Amplifier, HiFi</t>
  </si>
  <si>
    <t>14-18 Hifi</t>
  </si>
  <si>
    <t>Blind Spot Sensor Module</t>
  </si>
  <si>
    <t>Blind Spot Alert Sensor Module, Master</t>
  </si>
  <si>
    <t>Posters: 2014 not fitted for anything &amp; 15-18 only have X5M fitment</t>
  </si>
  <si>
    <t>596-10444; 66326867157</t>
  </si>
  <si>
    <t>Blind Spot Alert Sensor Module, Slave</t>
  </si>
  <si>
    <t xml:space="preserve">596-10443; 66326867158; </t>
  </si>
  <si>
    <t>Body Control Module</t>
  </si>
  <si>
    <t>Body Power Control Module</t>
  </si>
  <si>
    <t>w/ SET A unless no set (REQUIRED)</t>
  </si>
  <si>
    <t>SET A: ENF 5/3/22 100% sure REQUIRED</t>
  </si>
  <si>
    <t>591-74037; 6808576 (part # from 16 X5)</t>
  </si>
  <si>
    <t>Camera</t>
  </si>
  <si>
    <t>Camera, FRONT Bumper</t>
  </si>
  <si>
    <t>NOTE: Front Bumper &amp; Rear Trunk Handle Cameras are IDENTICAL</t>
  </si>
  <si>
    <t>07938879701 (part # from 16 X5)</t>
  </si>
  <si>
    <t>Camera, Side (Mark Location)</t>
  </si>
  <si>
    <t>590-62356-1</t>
  </si>
  <si>
    <t>Engine Control Module</t>
  </si>
  <si>
    <t>14-18 3.0T N55 ALL</t>
  </si>
  <si>
    <t>590-62356; 8665279 (part # from 16 X5 3.0T N55)</t>
  </si>
  <si>
    <t>590</t>
  </si>
  <si>
    <t>Exhaust Flap Servo Actuator Motor</t>
  </si>
  <si>
    <t>8632154 (part # from 16 X5)</t>
  </si>
  <si>
    <t>Fuse Box</t>
  </si>
  <si>
    <t>Fuse Box, FRONT (it's about 10x6 inches flat black plastic located in FRONT)</t>
  </si>
  <si>
    <t>61149360371 (part # from 16 X5)</t>
  </si>
  <si>
    <t>BMW F15 Front Fuse Box</t>
  </si>
  <si>
    <t>Fuse Box, REAR ENGINE fuse box (it's about 10x6 inches flat black plastic located in REAR but it's for engine)</t>
  </si>
  <si>
    <t>~10x6" flat black plastic (in rear but it's for engine)</t>
  </si>
  <si>
    <t>646-10185; 9360372 (part # from 16 X5)</t>
  </si>
  <si>
    <t>646</t>
  </si>
  <si>
    <t>Ignition Key Detect Ring</t>
  </si>
  <si>
    <t>Ignition Anti-Theft Key Detection Immobilizer Ring</t>
  </si>
  <si>
    <t>w/ SET A unless no set (NOT REQUIRED)</t>
  </si>
  <si>
    <t>SET A: ENF 5/3/22 100% sure NOT required, worthless solo so include</t>
  </si>
  <si>
    <t>worthless solo</t>
  </si>
  <si>
    <t>BMW F15 Key</t>
  </si>
  <si>
    <t>Integrated Power Module</t>
  </si>
  <si>
    <t>12637591534, 7591534</t>
  </si>
  <si>
    <t>8645514 (part # from 16 X5)</t>
  </si>
  <si>
    <t>Key FOB + Skeleton Key (60, 75, 90 if solo)</t>
  </si>
  <si>
    <t>Key FOB + Skeleton Key</t>
  </si>
  <si>
    <t>Keyless Antenna</t>
  </si>
  <si>
    <t>Keyless Entry Antenna SET6 (this may be SET7, but I only got 6…let me know on next one - ENF 5/3/22) (TOSS ALL if less than 6)</t>
  </si>
  <si>
    <t>65209220831 x6 (part #s from 16 X5)</t>
  </si>
  <si>
    <t>Keyless Entry Control Module (worthless solo)</t>
  </si>
  <si>
    <t>SET A: ENF 5/3/22 about 75% sure NOT required, worthless solo so INCLUDE</t>
  </si>
  <si>
    <t>9397846 (part # from 16 X5)</t>
  </si>
  <si>
    <t>Lane Departure Warning Camera</t>
  </si>
  <si>
    <t xml:space="preserve">596-893; 66519399269; 9281717; </t>
  </si>
  <si>
    <t>Camera Module</t>
  </si>
  <si>
    <t>Lane Departure Warning Camera Control Module (Not The Camera)</t>
  </si>
  <si>
    <t xml:space="preserve">591-74060; 34529338298; 9338298; </t>
  </si>
  <si>
    <t>590-62356-2</t>
  </si>
  <si>
    <t>Module &amp; Key SET</t>
  </si>
  <si>
    <t>12148626762, 8626762, 61359343371, 9343371</t>
  </si>
  <si>
    <t>Module &amp; Key SET A (ECM + BCM + Keyless Mod + FOB + LF Lock Cyl + Immobilizer Ring)</t>
  </si>
  <si>
    <t>This is SET A</t>
  </si>
  <si>
    <t>This is actual SET A pricing</t>
  </si>
  <si>
    <t>590-62356; 8665279 (part # from 16 X5 3.0T N55); 591-74037; 6808576 (part # from 16 X5) (looking for ONLY key/module SETs for 14-18 X5 3.0T N55s)</t>
  </si>
  <si>
    <t>BMW F15 Key Set (looking for 14-18 3.0T N55 X5 module &amp; key sets only)</t>
  </si>
  <si>
    <t>66339327352, 9327352</t>
  </si>
  <si>
    <t>Park Assist Control Module PDC</t>
  </si>
  <si>
    <t>591-74039; 66206805061 (part # from 16 X5)</t>
  </si>
  <si>
    <t>Radio Remote Receiver Control Module</t>
  </si>
  <si>
    <t>Rain Solar Light Sensor (mounted on windshield)</t>
  </si>
  <si>
    <t>9387624 (part # from 16 X5)</t>
  </si>
  <si>
    <t>BMW F15 Rain Sensor; BMW F15 Light Sensor</t>
  </si>
  <si>
    <t>591-74854-1</t>
  </si>
  <si>
    <t>Seat Module</t>
  </si>
  <si>
    <t>Seat Control &amp; Memory Module, Comfort Seat - FRONT LEFT</t>
  </si>
  <si>
    <t>toss if without comfort seats, note LF &amp; RF are same</t>
  </si>
  <si>
    <t>NOTE: LF &amp; RF are IDENTICAL</t>
  </si>
  <si>
    <t>591-74854; 61357943755; 591-62201; 61359459682 (part #s from CM)</t>
  </si>
  <si>
    <t>w/ comfort seats</t>
  </si>
  <si>
    <t>591-74854-2</t>
  </si>
  <si>
    <t>Seat Control &amp; Memory Module, Comfort Seat - FRONT RIGHT</t>
  </si>
  <si>
    <t>Seat Control &amp; Memory Module, w/o Comfort Seat - FRONT LEFT</t>
  </si>
  <si>
    <t>keep if comfort seats, note LF &amp; RF are same</t>
  </si>
  <si>
    <t>w/o comfort seats</t>
  </si>
  <si>
    <t>Seat Control &amp; Memory Module, w/o Comfort Seat - FRONT RIGHT</t>
  </si>
  <si>
    <t>Surround View Camera Control Module</t>
  </si>
  <si>
    <t>aluminum w/ 1 black &amp; 1 white plug</t>
  </si>
  <si>
    <t>591-74065</t>
  </si>
  <si>
    <t>BMW F15 Camera Control Module</t>
  </si>
  <si>
    <t>61357384722, 7384722</t>
  </si>
  <si>
    <t>Tailgate Trunk Control Module</t>
  </si>
  <si>
    <t>591-74058; 61357412610 (part # from 16 X5); 591-10244; 61359451483 (part #s from CM)</t>
  </si>
  <si>
    <t>Telematics Module</t>
  </si>
  <si>
    <t>Telematics Communication Control Module</t>
  </si>
  <si>
    <t>591-74038; 84109389659 (part # from 16 X5)</t>
  </si>
  <si>
    <t xml:space="preserve">Towing Control Module </t>
  </si>
  <si>
    <t>71606867931'</t>
  </si>
  <si>
    <t>61429310452, 9310452</t>
  </si>
  <si>
    <t>Voltage Converter Control Module</t>
  </si>
  <si>
    <t xml:space="preserve">660-50116 (14-18); </t>
  </si>
  <si>
    <t>660</t>
  </si>
  <si>
    <t>Airbag Control Module</t>
  </si>
  <si>
    <r>
      <t xml:space="preserve">Airbag Control Module, PRIMARY (plastic module w/ white on top and rest is black) </t>
    </r>
    <r>
      <rPr>
        <b/>
        <sz val="11"/>
        <color rgb="FFFF33CC"/>
        <rFont val="Calibri"/>
        <family val="2"/>
        <scheme val="minor"/>
      </rPr>
      <t>(DO KEEP THE ALUMINUM MODULE THAT SAYS "AIRBAG" - HIGH $$)</t>
    </r>
  </si>
  <si>
    <t>Fuel Module</t>
  </si>
  <si>
    <t>Fuel Pump Control Module</t>
  </si>
  <si>
    <t>591-53748; 16147411596; 591-72035; 16147358145; 591-74752; 16147411595 (part #s from CM)</t>
  </si>
  <si>
    <t>Antenna Amplifier Control Module, BACKUP one (it's square black plastic)</t>
  </si>
  <si>
    <t>9325735 (part # from 16 X5)</t>
  </si>
  <si>
    <t>Antenna Amplifier Control Module, PRIMARY one (it's rectangular black plastic)</t>
  </si>
  <si>
    <t>65209334692 (part # from 16 X5)</t>
  </si>
  <si>
    <t>Antenna Noise Filter Control Module (mounted left rear roof - TOSS)</t>
  </si>
  <si>
    <t>9343304 (part # from 16 X5)</t>
  </si>
  <si>
    <t>Bus Interface Control Module (TOSS BOTH - look like ribbed black Legos…about same size too)</t>
  </si>
  <si>
    <t>926683801 (part # from 16 X5)</t>
  </si>
  <si>
    <t>Cooling Fan Relay Module</t>
  </si>
  <si>
    <t>9198302 (part # from 16 X5)</t>
  </si>
  <si>
    <t>Crash Sensors (TOSS ALL on vehicle)</t>
  </si>
  <si>
    <t>6577924177 x2 (part # from 16 X5)</t>
  </si>
  <si>
    <t>Front Power Distribution Terminal Module (flat black plastic module 4x3" &amp; has 3 red wires going to it)</t>
  </si>
  <si>
    <t>61149289374 (part # from 16 X5)</t>
  </si>
  <si>
    <t>i-Drive Navigation / Radio Knob Control Module</t>
  </si>
  <si>
    <t>65829347470 (part # from 16 X5)</t>
  </si>
  <si>
    <t>Lojack Vehicle Recovery Transmitter Module &amp; Cable (TOSS BOTH) (mounted RR wheel well)</t>
  </si>
  <si>
    <t>6900-1103-01 (part # from 16 X5)</t>
  </si>
  <si>
    <t>Positive Battery Junction Box (many call it "small fuse box") (5x5 inch black plastic w/ a small red battery cable going to it)</t>
  </si>
  <si>
    <t>928550305 (part # from 16 X5)</t>
  </si>
  <si>
    <t>Seat Control Module - REAR</t>
  </si>
  <si>
    <t>9216468 (part # from 16 X5)</t>
  </si>
  <si>
    <t>Steering Column Control Module (including the black plastic sleeve it's in)</t>
  </si>
  <si>
    <t>32306865245 (part # from 16 X5)</t>
  </si>
  <si>
    <t>TEST ALWAYS</t>
  </si>
  <si>
    <t>Depends</t>
  </si>
  <si>
    <t>Multiple</t>
  </si>
  <si>
    <t>Speakers - TOSS Standard BMW Branded Ones (KEEP Harman or Bang)</t>
  </si>
  <si>
    <t>Harmon Kardon Orange Sticker (400, 450, 500); Bang &amp; Olufsen (CHECK); Standard (TOSS)</t>
  </si>
  <si>
    <t>65139287757; 430407863531; 65139295684; 65139151127; 65139286367; 65139220750 (part #s from standard BMW branded ones from a 16 BMW X5)</t>
  </si>
  <si>
    <t>BMW F15 Speaker Set; BMW F15 Speaker; 65139247342; 9288368; 2015 BMW X5 Speaker (Looking for the orange sticker one);</t>
  </si>
  <si>
    <t>5187100, 5187200, 5187600, 927047406, 7292182, 7292181, 5187500, 1236964, 1236967</t>
  </si>
  <si>
    <t>Airbag, SEATS (TOSS BOTH, but keep in seat cushions if selling those)</t>
  </si>
  <si>
    <t>253-67826; 72127467207; 253-67830; 72127467208 (part #s from CM)</t>
  </si>
  <si>
    <t>BMW F15 Upper Seat Airbag; 16 BMW X5 Upper Seat Airbag</t>
  </si>
  <si>
    <t>210-53562-1</t>
  </si>
  <si>
    <t>Seatbelts - LF</t>
  </si>
  <si>
    <t>Seatbelt, Buckle</t>
  </si>
  <si>
    <t>72117297131, 7297131</t>
  </si>
  <si>
    <t>Seatbelt Buckle, FRONT - LEFT</t>
  </si>
  <si>
    <t>Posters: note LF &amp; RF seat belt buckles are identical</t>
  </si>
  <si>
    <t>210-53562; 72117297131 (part # from CM) - not LF &amp; RF seat belt buckle are identical</t>
  </si>
  <si>
    <t>BMW F15 Left Front Seat Belt</t>
  </si>
  <si>
    <t>210</t>
  </si>
  <si>
    <t>Seatbelt, Retractor</t>
  </si>
  <si>
    <t>Seatbelt Retractor, FRONT - LEFT</t>
  </si>
  <si>
    <t>remove from &amp; toss pillar</t>
  </si>
  <si>
    <t>210-53851; 72117384677; 21053565; 72117343637; 210-53851 (part #s from CM)</t>
  </si>
  <si>
    <t>BMW F15 Seat Belt Left Front; 16 BMW X5 Seat Belt Left Front (looking for 14-18 retractors any style)</t>
  </si>
  <si>
    <t>w/ active protection</t>
  </si>
  <si>
    <t>72117343637, 7343637</t>
  </si>
  <si>
    <t>w/o active protection</t>
  </si>
  <si>
    <t>Seatbelts - Rear</t>
  </si>
  <si>
    <t>7318459, 7318063</t>
  </si>
  <si>
    <t>Seatbelt, Buckles REAR 2ND ROW - SET 3</t>
  </si>
  <si>
    <t>SET/3</t>
  </si>
  <si>
    <t>BMW F15 Seat Belt Rear; 16 BMW X5 Seat Belt Rear (looking for any 14-18 rear buckles)</t>
  </si>
  <si>
    <t>7318376, 7318375</t>
  </si>
  <si>
    <t>Seatbelt, Retractors REAR 2nd ROW - LEFT &amp; RIGHT SET2</t>
  </si>
  <si>
    <t>skip middle (it has to be cut out)</t>
  </si>
  <si>
    <t>BMW F15 Seat Belt Rear Retractor; 16 BMW X5 Seat Belt Rear Retractor (looking for 14-18 rear retractors any style)</t>
  </si>
  <si>
    <t>210-53562-2</t>
  </si>
  <si>
    <t>Seatbelts - RF</t>
  </si>
  <si>
    <t>Seatbelt Buckle, FRONT - RIGHT</t>
  </si>
  <si>
    <t>Seatbelt Retractor, FRONT - RIGHT</t>
  </si>
  <si>
    <t>210-53852; 72117384678; 210-53566; 72117343638 (part #s from CM)</t>
  </si>
  <si>
    <t>BMW F15 Seat Belt Right Front; 16 BMW X5 Seat Belt Right Front (looking for 14-18 retractors any style)</t>
  </si>
  <si>
    <t>72117343638, 7343638</t>
  </si>
  <si>
    <t>Seats, LF</t>
  </si>
  <si>
    <t>Headrest</t>
  </si>
  <si>
    <t>Headrest, FRONT - LEFT (ACTIVE)</t>
  </si>
  <si>
    <t>sell/tag as SINGLE</t>
  </si>
  <si>
    <t>BMW F15 Headrest Front; 16 BMW X5 Headrest Front (looking for any 14-18 LF or RF ones)</t>
  </si>
  <si>
    <t>Headrest, FRONT - LEFT (STANDARD)</t>
  </si>
  <si>
    <t>Seat Switch</t>
  </si>
  <si>
    <t>Seat Adjust Switch, FRONT - LEFT</t>
  </si>
  <si>
    <t>9359811 (part # from 16 X5 LF); 9347418 (part # from 16 X5 RF)</t>
  </si>
  <si>
    <t>Seat Cushion, LOWER</t>
  </si>
  <si>
    <t>Seat Cushions, FRONT LEFT - LOWER</t>
  </si>
  <si>
    <t>BMW F15 Front Left Cushion Lower; 16 BMW X5 Front Left Cushion Lower</t>
  </si>
  <si>
    <t>Seat Cushion, UPPER</t>
  </si>
  <si>
    <t>Seat Cushions, FRONT LEFT - UPPER</t>
  </si>
  <si>
    <t>BMW F15 Front Left Cushion Upper; 16 BMW X5 Front Left Cushion Upper</t>
  </si>
  <si>
    <t>Seat Track</t>
  </si>
  <si>
    <t>52107329931, 7329931</t>
  </si>
  <si>
    <t>Seat Track WITH Motors, FRONT LEFT</t>
  </si>
  <si>
    <t>toss all if motors or track bad</t>
  </si>
  <si>
    <t>BMW F15 Seat Track; 16 BMW F15 Seat Track</t>
  </si>
  <si>
    <t>Seats, Rear</t>
  </si>
  <si>
    <t>Headrests, REAR 2nd ROW SET 3</t>
  </si>
  <si>
    <t>sell SINGLES if some bad</t>
  </si>
  <si>
    <t>BMW F15 Headrest Rear; 16 BMW X5 Headrest Rear (looking for any 14-18 LF or RF ones)</t>
  </si>
  <si>
    <t>Headrests, REAR 2nd ROW - LEFT</t>
  </si>
  <si>
    <t>sell SET 3 unless some bad/missing</t>
  </si>
  <si>
    <t>Headrests, REAR 2nd ROW - RIGHT</t>
  </si>
  <si>
    <t>Headrests, REAR 2nd ROW - CENTER</t>
  </si>
  <si>
    <t>Rear Arm Rest</t>
  </si>
  <si>
    <t>Rear Arm Rest &amp; Cup Holder</t>
  </si>
  <si>
    <t>BMW F15 Rear Arm Rest</t>
  </si>
  <si>
    <t>Seat Cushions, ALL Rear (including side bolster cushions, but do keep rear arm rest/cup holder)</t>
  </si>
  <si>
    <t>BMW F15 Rear Cushion; 16 BMW X5 Rear Cushion</t>
  </si>
  <si>
    <t>BMW F15 Rear Bolster; 16 BMW X5 Rear Bolster</t>
  </si>
  <si>
    <t>Seats, RF</t>
  </si>
  <si>
    <t>Headrest, FRONT - RIGHT (ACTIVE)</t>
  </si>
  <si>
    <t>Headrest, FRONT - RIGHT (STANDARD)</t>
  </si>
  <si>
    <t>Seat Adjust Switch, FRONT - RIGHT</t>
  </si>
  <si>
    <t>Seat Cushions, FRONT RIGHT - LOWER</t>
  </si>
  <si>
    <t>BMW F15 Front RIGHT Cushion Lower; 16 BMW X5 Front RIGHT Cushion Lower</t>
  </si>
  <si>
    <t>Seat Cushions, FRONT RIGHT - UPPER</t>
  </si>
  <si>
    <t>BMW F15 Front RIGHT Cushion Upper; 16 BMW X5 Front RIGHT Cushion Upper</t>
  </si>
  <si>
    <t>52107299678, 7299678</t>
  </si>
  <si>
    <t>Seat Track WITH Motors, FRONT RIGHT</t>
  </si>
  <si>
    <t>DRF Chk Opt</t>
  </si>
  <si>
    <t>Driveshaft, REAR</t>
  </si>
  <si>
    <t>26107636431, 7636431</t>
  </si>
  <si>
    <t>Driveshaft, REAR, RWD</t>
  </si>
  <si>
    <t>keep all RWD ones</t>
  </si>
  <si>
    <t>14-18 RWD/AWD ALL</t>
  </si>
  <si>
    <t>431-59823; 26107636785; 431-50669; 26107589129; 431-50668; 26107589128 (part #s from CM)</t>
  </si>
  <si>
    <t>431-59702; 26108693406 (part # from CM)</t>
  </si>
  <si>
    <t>Driveshaft</t>
  </si>
  <si>
    <t>Driveshaft, REAR (KEEP AWD if part# 7636785)</t>
  </si>
  <si>
    <t>keep only AWD 16-18 1412mm part # 7636785</t>
  </si>
  <si>
    <t>Driveshaft, REAR (TOSS 14-15 ALL AWD &amp; 16-18 AWD if part #s 7589129, 7589128)</t>
  </si>
  <si>
    <t>TOSS 14-15 ALL AWD &amp; 16-18 AWD if part #s 7589129, 7589128</t>
  </si>
  <si>
    <t>DEPENDS</t>
  </si>
  <si>
    <t>Sway Bar / Stabilizer Bar, FRONT (KEEP Dynamic Drive, TOSS ALL OTHERS)</t>
  </si>
  <si>
    <t>WITH Dynamic Drive (240, 320, 395); WITHOUT Dynamic Drive (TOSS)</t>
  </si>
  <si>
    <t>524-50283; 37116856418; 524-59758; 31356863638; 524-59759; 31356863402; 524-59760; 31356854141 (part #s from CM)</t>
  </si>
  <si>
    <t>Axle Shaft</t>
  </si>
  <si>
    <t>Axle Shafts, FRONT - LEFT</t>
  </si>
  <si>
    <t>447-62278; 31607607937; 447-62277; 31607607938 (part #s from CM)</t>
  </si>
  <si>
    <t>BMW F15 Axle Shaft Front Left; BMW F15 Axle Shaft Front Right</t>
  </si>
  <si>
    <t>447</t>
  </si>
  <si>
    <t>Axle Shafts, FRONT - RIGHT</t>
  </si>
  <si>
    <t>512-59488-1</t>
  </si>
  <si>
    <t>Control Arm</t>
  </si>
  <si>
    <t>Control Arms, FRONT - LOWER LEFT FORWARD + REARWARD SET2</t>
  </si>
  <si>
    <t>sell singles if 1 bad, sell upper "U" separate</t>
  </si>
  <si>
    <t>POSTERS: Inventory under 512</t>
  </si>
  <si>
    <t>512-59488; 512-59487; 512-59490; 512-59489; 512-59492; 512-59491; 511-50148; 511-50147</t>
  </si>
  <si>
    <t>BMW F15 Control Arm; 16 BMW X5 Front Control Arm</t>
  </si>
  <si>
    <t>512</t>
  </si>
  <si>
    <t>w/ active steering</t>
  </si>
  <si>
    <t>512-59488-2</t>
  </si>
  <si>
    <t>Control Arms, FRONT - LOWER LEFT, FORWARD</t>
  </si>
  <si>
    <t>w/o active steering</t>
  </si>
  <si>
    <t>Control Arms, FRONT - LOWER LEFT, REARWARD</t>
  </si>
  <si>
    <t>512-59487-1</t>
  </si>
  <si>
    <t>Control Arms, FRONT - LOWER RIGHT FORWARD + REARWARD SET2</t>
  </si>
  <si>
    <t>512-59487-2</t>
  </si>
  <si>
    <t>Control Arms, FRONT - LOWER RIGHT, FORWARD</t>
  </si>
  <si>
    <t>Control Arms, FRONT - LOWER RIGHT, REARWARD</t>
  </si>
  <si>
    <t>511-50148-1</t>
  </si>
  <si>
    <t>Control Arms, FRONT - UPPER "U" WISHBONE ONES as SET2</t>
  </si>
  <si>
    <t>511-50148-2</t>
  </si>
  <si>
    <t>31126863785, 6863785</t>
  </si>
  <si>
    <t>Control Arms, FRONT - UPPER "U" WISHBONE, LEFT</t>
  </si>
  <si>
    <t>31126863786, 6863786</t>
  </si>
  <si>
    <t>Control Arms, FRONT - UPPER "U" WISHBONE, RIGHT</t>
  </si>
  <si>
    <t>513-50296-1</t>
  </si>
  <si>
    <t>Control Arms, REAR - LEFT SET3</t>
  </si>
  <si>
    <t>keep only big one if one bad</t>
  </si>
  <si>
    <t>POSTERS: Inventory under 513</t>
  </si>
  <si>
    <t>BMW F15 Control Arm</t>
  </si>
  <si>
    <t>513-50296-2</t>
  </si>
  <si>
    <t>33326770953, 6770953</t>
  </si>
  <si>
    <t>Control Arms, REAR - LEFT Large Control Arm</t>
  </si>
  <si>
    <t>513-50295-1</t>
  </si>
  <si>
    <t>Control Arms, REAR - RIGHT SET3</t>
  </si>
  <si>
    <t>513-50295-2</t>
  </si>
  <si>
    <t>33326770954, 6770954</t>
  </si>
  <si>
    <t>Control Arms, REAR - RIGHT Large Control Arm</t>
  </si>
  <si>
    <t>Differential, FRONT</t>
  </si>
  <si>
    <t>440-59360; 31507590898 (part # from CM)</t>
  </si>
  <si>
    <t>440</t>
  </si>
  <si>
    <t>Differential, REAR</t>
  </si>
  <si>
    <t>440-50572; 33107595261; 440-59426; 33107636992 (part #s from CM)</t>
  </si>
  <si>
    <t>440-59427</t>
  </si>
  <si>
    <t>BMW F15 Rear Differential; 16 BMW X5 Rear Differential</t>
  </si>
  <si>
    <t>3.0T Gas &amp; Diesel, w/ AWD, w/ adaptive suspension</t>
  </si>
  <si>
    <t>3.0T Gas &amp; Diesel, w/ AWD, w/o adaptive suspension</t>
  </si>
  <si>
    <t>33107636996, 7636996</t>
  </si>
  <si>
    <t>3.0T Gas &amp; Diesel, w/ RWD</t>
  </si>
  <si>
    <t>Driveshaft, FRONT</t>
  </si>
  <si>
    <t>14-18 ALL Except 2.0T</t>
  </si>
  <si>
    <t>430-50149; 26208605866 (part # from CM)</t>
  </si>
  <si>
    <t>430</t>
  </si>
  <si>
    <t>Parking Brake Actuator</t>
  </si>
  <si>
    <t>34436795145, 6795145</t>
  </si>
  <si>
    <t>Emergency Parking Brake Actuator</t>
  </si>
  <si>
    <t>WITH cables ON</t>
  </si>
  <si>
    <t>34436868514 (part # from 16 X5)</t>
  </si>
  <si>
    <t>BMW F15 Parking Actuator</t>
  </si>
  <si>
    <t>Height Level Sensor</t>
  </si>
  <si>
    <t>6853747, 6854863</t>
  </si>
  <si>
    <t>Height Level Sensors, FRONT - LEFT</t>
  </si>
  <si>
    <t>leave arms on, mark location each obtained from</t>
  </si>
  <si>
    <t>6879441 (part # from LF from 16 X5)</t>
  </si>
  <si>
    <t>BMW F15 Height Sensor</t>
  </si>
  <si>
    <t>Check Part</t>
  </si>
  <si>
    <t>Height Level Sensors, FRONT - RIGHT</t>
  </si>
  <si>
    <t>6853747, 6752797</t>
  </si>
  <si>
    <t>Height Level Sensors, REAR - LEFT</t>
  </si>
  <si>
    <t>Height Level Sensors, REAR - RIGHT</t>
  </si>
  <si>
    <t>Muffler Tips</t>
  </si>
  <si>
    <t>Muffler Tips SET2</t>
  </si>
  <si>
    <t>BMW F15 Exhaust; BMW F15 Muffler</t>
  </si>
  <si>
    <t>3.0T N55</t>
  </si>
  <si>
    <t>527-61348-1</t>
  </si>
  <si>
    <t>Shock Struts, FRONT</t>
  </si>
  <si>
    <t>Shock Struts, FRONT SET2</t>
  </si>
  <si>
    <t>14-18 3.0T RWD/AWD ALL</t>
  </si>
  <si>
    <t>527-61356, 31316851745, 527-61355; 31316851745 (part #s from CM)</t>
  </si>
  <si>
    <t>527</t>
  </si>
  <si>
    <t>3.0T gas &amp; diesel, w/ adaptive M suspension, w/ dynamic control, w/ AWD, SET/2</t>
  </si>
  <si>
    <t>527-61348-2</t>
  </si>
  <si>
    <t>Shock Struts, FRONT - LEFT</t>
  </si>
  <si>
    <t>3.0T gas &amp; diesel, w/ adaptive M suspension, w/ dynamic control, w/ AWD, LEFT</t>
  </si>
  <si>
    <t>Shock Struts, FRONT - RIGHT</t>
  </si>
  <si>
    <t>3.0T gas &amp; diesel, w/ adaptive M suspension, w/ dynamic control, w/ AWD, RIGHT</t>
  </si>
  <si>
    <t>527-61352-1</t>
  </si>
  <si>
    <t>w/ adaptive M suspension, w/o dynamic control, w/ AWD, SET/2</t>
  </si>
  <si>
    <t>527-61352-2</t>
  </si>
  <si>
    <t>w/ adaptive M suspension, w/o dynamic control, w/ AWD, LEFT</t>
  </si>
  <si>
    <t>w/ adaptive M suspension, w/o dynamic control, w/ AWD, RIGHT</t>
  </si>
  <si>
    <t>527-61354-1</t>
  </si>
  <si>
    <t>527-61354; 31316851747; 527-61353; 31316851747 (part #s from CM)</t>
  </si>
  <si>
    <t>3.0T gas &amp; diesel, w/o adaptive M suspension, w/ AWD, SET/2</t>
  </si>
  <si>
    <t>527-61354-2</t>
  </si>
  <si>
    <t>3.0T gas &amp; diesel, w/o adaptive M suspension, w/ AWD, LEFT</t>
  </si>
  <si>
    <t>3.0T gas &amp; diesel, w/o adaptive M suspension, w/ AWD, RIGHT</t>
  </si>
  <si>
    <t>527-61356-1</t>
  </si>
  <si>
    <t>3.0T gas &amp; diesel, w/o adaptive M suspension, w/ RWD, SET/2</t>
  </si>
  <si>
    <t>527-61356-2</t>
  </si>
  <si>
    <t>3.0T gas &amp; diesel, w/o adaptive M suspension, w/ RWD, LEFT</t>
  </si>
  <si>
    <t>3.0T gas &amp; diesel, w/o adaptive M suspension, w/ RWD, RIGHT</t>
  </si>
  <si>
    <t>Shock Struts, REAR</t>
  </si>
  <si>
    <t>Shock Struts, REAR (w/o adaptive = SET2, toss singles) (w/ adaptive = SINGLES)</t>
  </si>
  <si>
    <t>Shock Struts, REAR (w/o adaptive = SET/2, toss singles) (w/ adaptive = SINGLES)</t>
  </si>
  <si>
    <t>w/o adaptive SET/2 (125, 160, 200); w/ adaptive SINGLES (250, 350, 450)/each</t>
  </si>
  <si>
    <t>BMW F15 Rear Shock; 16 BMW X5 Rear Shock (looking for any 14-18 ones for any engine size and any style, but differentiating pricing between adaptative &amp; non-adaptive)</t>
  </si>
  <si>
    <t>Shock Springs</t>
  </si>
  <si>
    <t>Springs, REAR Shock Springs as SET2 WITH Gromets</t>
  </si>
  <si>
    <t>sell singles if 1 bad, sell even if gromets missing</t>
  </si>
  <si>
    <t>BMW F15 Spring; 16 BMW X5 Spring</t>
  </si>
  <si>
    <t>Springs, REAR - LEFT</t>
  </si>
  <si>
    <t>Springs, REAR - RIGHT</t>
  </si>
  <si>
    <t>Steering Gear Rack &amp; Pinion</t>
  </si>
  <si>
    <t>551-60088; 32106863863; 551-60089; 32106889094; 551-60087; 32106863862 (part #s from CM)</t>
  </si>
  <si>
    <t>BMW F15 Steering Gear; 16 BMW X5 Steering Gear (looking for any 14-18 ones, but differentiating between engine sizes &amp; active vs. non-active steering ones)</t>
  </si>
  <si>
    <t>551</t>
  </si>
  <si>
    <t>3.0T Diesel &amp; 4.4TT, w/ active steering</t>
  </si>
  <si>
    <t>3.0T Gas, w/ active steering</t>
  </si>
  <si>
    <t>Steering Gear</t>
  </si>
  <si>
    <t>32106866277, 6866277</t>
  </si>
  <si>
    <t>ALL w/o active steering</t>
  </si>
  <si>
    <t>Axle Shafts, REAR - TOSS ALL</t>
  </si>
  <si>
    <t>447-50793; 33204567167; 447-50583; 33208609838 (part #s from CM)</t>
  </si>
  <si>
    <t>447-50919</t>
  </si>
  <si>
    <t>Brake Calipers</t>
  </si>
  <si>
    <t>536-61477; 536-61476; 536-50529; 536-50528</t>
  </si>
  <si>
    <t>16 BMW X5 Caliper Front; 16 BMW X5 Caliper Rear</t>
  </si>
  <si>
    <t>Brake Rotors (TOSS ALL - no need to save for sizing)</t>
  </si>
  <si>
    <t>16 BMW X5 Rotor</t>
  </si>
  <si>
    <t>Charcoal Canister / Evap Box (TOSS)</t>
  </si>
  <si>
    <t>7327885 (part # from 16 3.0T N55 X5)</t>
  </si>
  <si>
    <t>BMW F15 Canister</t>
  </si>
  <si>
    <t>Spindle / Knuckles (TOSS ALL - fronts &amp; rears)</t>
  </si>
  <si>
    <t>515-50269; 31216869869; 515-50266; 31216869870 (part #s from CM)</t>
  </si>
  <si>
    <t>490-50256; 33326879101; 490-50255; 33326879101 (part #s from CM)</t>
  </si>
  <si>
    <t>Subframe / Crossmember, REAR (the REALLY BIG one that diff mounted in)</t>
  </si>
  <si>
    <t>BMW F15 Subframe</t>
  </si>
  <si>
    <t>Sway Bar / Stabilizer Bar, REAR (TOSS ALL - even dynamic ones)</t>
  </si>
  <si>
    <t>524-50286; 37126856419 (part # from CM); 524-50431; 524-59761</t>
  </si>
  <si>
    <t>Flywheel</t>
  </si>
  <si>
    <t>Automatic Flywheel Flex Plate</t>
  </si>
  <si>
    <t>14-18 3.0T Gas</t>
  </si>
  <si>
    <t>409-50394; 11227589480 (part # from CM)</t>
  </si>
  <si>
    <t>Torque Converter</t>
  </si>
  <si>
    <t>14-18 3.0T Gas RWD/AWD</t>
  </si>
  <si>
    <t>407-999939; 24408632180 (part # from CM)</t>
  </si>
  <si>
    <t>BMW F15 Torque Converter; 16 BMW X5 Torque Converter</t>
  </si>
  <si>
    <t>407</t>
  </si>
  <si>
    <t>from 10/2013</t>
  </si>
  <si>
    <t>24408632180, 8632180</t>
  </si>
  <si>
    <t>to 10/2013</t>
  </si>
  <si>
    <t>Transfer Case</t>
  </si>
  <si>
    <t>sell shift motor separately</t>
  </si>
  <si>
    <t>POSTERS: Add "Note: shift motor NOT included"</t>
  </si>
  <si>
    <t>412-59249; 27108643151; 412-59298; 27108643152 (part #s from CM)</t>
  </si>
  <si>
    <t>BMW F15 Transfer Case; 16 BMW X5 Transfer Case</t>
  </si>
  <si>
    <t>420-194; 27608643153 (part # from CM)</t>
  </si>
  <si>
    <t>412</t>
  </si>
  <si>
    <t>All except 4.4TT</t>
  </si>
  <si>
    <t>4.4TT</t>
  </si>
  <si>
    <t>Transfer Case Shift Motor</t>
  </si>
  <si>
    <t>Transmission Oil Cooler</t>
  </si>
  <si>
    <t>17217647315, 7647315</t>
  </si>
  <si>
    <t xml:space="preserve">414-999923; 17217647315; </t>
  </si>
  <si>
    <t>414</t>
  </si>
  <si>
    <t>Transmission Oil Pump, Mechanical</t>
  </si>
  <si>
    <t>1090310089, 1090110045</t>
  </si>
  <si>
    <t>Transmission Oil Pump</t>
  </si>
  <si>
    <t>BMW F15 Transmission Oil Pump; 15 BMW X5 Transmission Oil Pump</t>
  </si>
  <si>
    <t>Transmission Oil Pump, Hydraulic</t>
  </si>
  <si>
    <t>0501333558</t>
  </si>
  <si>
    <t xml:space="preserve">0501333558; </t>
  </si>
  <si>
    <t>Valve Body</t>
  </si>
  <si>
    <t>BMW F15 Valve Body; 16 BMW X5 Valve Body (looking for 14-18 ANY)</t>
  </si>
  <si>
    <t>3.0T w/ AWD, thru 9/2013</t>
  </si>
  <si>
    <t>3.0T w/ AWD, from 10/2013 &amp; thru 3/2014</t>
  </si>
  <si>
    <t>3.0T w/ AWD, from 4/2014 &amp; thru 3/31/2015</t>
  </si>
  <si>
    <t>3.0T w/ AWD, from 4/1/2015</t>
  </si>
  <si>
    <t>3.0T w/ RWD, thru 9/2013</t>
  </si>
  <si>
    <t>0260550074, 6058008114</t>
  </si>
  <si>
    <t>3.0T w/ RWD, from 10/1/2013 &amp; thru 10/31/2013</t>
  </si>
  <si>
    <t>3.0T w/ RWD, from 11/2013</t>
  </si>
  <si>
    <t xml:space="preserve">Transmission Assembly </t>
  </si>
  <si>
    <t>14-18 N55 RWD/AWD ALL</t>
  </si>
  <si>
    <t>400-62833; 400-62834; 400-62503; 400-63134</t>
  </si>
  <si>
    <t>400-62722</t>
  </si>
  <si>
    <t>Guibos (TOSS ALL)</t>
  </si>
  <si>
    <t>BMW F15 Guibo</t>
  </si>
  <si>
    <t>Oil Pan, Transmission</t>
  </si>
  <si>
    <t>ENF 4/23/22: Looks like these are the plastic disposable ones - TOSS ALL.</t>
  </si>
  <si>
    <t>416-999913; 24118612901 (part # from CM)</t>
  </si>
  <si>
    <t>BMW F15 Transmission Oil Pan (looking for ANY 14-18 ones)</t>
  </si>
  <si>
    <t>Transmission Crossmember Mount Bracket</t>
  </si>
  <si>
    <t>6854188 (Cost $35 to ship)</t>
  </si>
  <si>
    <t>Trunk Latch</t>
  </si>
  <si>
    <t>51244817123, 4817123</t>
  </si>
  <si>
    <t>Trunk Latch WITH Soft Close Actuator Motor &amp; Cables</t>
  </si>
  <si>
    <t>51244817123 (part # from 14 X5)</t>
  </si>
  <si>
    <t>Trunk Handle (remove backup camera first &amp; sell solo) (If no camera toss)</t>
  </si>
  <si>
    <t xml:space="preserve">w/ Camera (40, 58, 59) (50%); w/o Camera option ($0) (50%); </t>
  </si>
  <si>
    <t>51247345700 (part # from 16 X5)</t>
  </si>
  <si>
    <t>Battery Cable</t>
  </si>
  <si>
    <t>12429329739, 9329739</t>
  </si>
  <si>
    <t>Battery Cable, NEGATIVE With IBS Module ON</t>
  </si>
  <si>
    <t>61219380966 (part # from 16 X5)</t>
  </si>
  <si>
    <t>Battery Cable, POSITIVE</t>
  </si>
  <si>
    <t>Battery Cable, POSITIVE &amp; Attached Junction Bracket, THE SMALL ONE</t>
  </si>
  <si>
    <t>short red/black cable w/ black plastic terminal at end</t>
  </si>
  <si>
    <t>THE SMALL ONE, toss both if 1 bad</t>
  </si>
  <si>
    <t>61149367807; 9333445 (part #s from 16 BMW X5)</t>
  </si>
  <si>
    <t>Battery Cable, POSITIVE &amp; Attached Terminal Bracket, THE BIG PRIMARY ONE</t>
  </si>
  <si>
    <t>thicker red cable w/ red terminal</t>
  </si>
  <si>
    <t>THE BIG ONE, toss both if 1 bad</t>
  </si>
  <si>
    <t>9322056; 9230017 (part #s from 16 BMW X5)</t>
  </si>
  <si>
    <t>BMW F15 Positive Terminal</t>
  </si>
  <si>
    <t>06932935001, 1327011118, 90846804</t>
  </si>
  <si>
    <t>Camera, REAR Backup Camera</t>
  </si>
  <si>
    <t>remove from trunk handle &amp; sell each solo</t>
  </si>
  <si>
    <t>mark location</t>
  </si>
  <si>
    <t>596-894; 07938879701 (part # from 16 X5)</t>
  </si>
  <si>
    <t>Cargo Cover</t>
  </si>
  <si>
    <t>Cargo Cover, Large Retractable</t>
  </si>
  <si>
    <t>only keep if minor flaws or better</t>
  </si>
  <si>
    <t>ENF 5/3/22: This measures 50x6x4 and would ship in our 60x6x6 box.  Assuming bulging dimensions of 62x8x8 and 35 lbs. it would cost about $49 to ship to NY residential.  Quick analysis to determine pricing.</t>
  </si>
  <si>
    <t>BMW F15 Cargo Cover</t>
  </si>
  <si>
    <t>Tailgate, Lower</t>
  </si>
  <si>
    <t>41007378123, 7378123</t>
  </si>
  <si>
    <t>Trunk Assembly - LOWER TAILGATE</t>
  </si>
  <si>
    <t>170-60923; 41007378123 (part # from CM)</t>
  </si>
  <si>
    <t>BMW F15 Trunk; 16 BMW X5 Trunk (looking for lower tailgate in both search terms)</t>
  </si>
  <si>
    <t>170</t>
  </si>
  <si>
    <t>Trunk Shock, Electric</t>
  </si>
  <si>
    <t>7294469, 7361878</t>
  </si>
  <si>
    <t>Trunk Electric Shock SET2</t>
  </si>
  <si>
    <t>7294469; 7361878 (part #s from 16 X5)</t>
  </si>
  <si>
    <t>BMW F15 Rear Shock Trunk</t>
  </si>
  <si>
    <t>Trunk Electric Shock</t>
  </si>
  <si>
    <t>Trunk Electric Shock, LEFT</t>
  </si>
  <si>
    <t>Trunk Electric Shock, RIGHT</t>
  </si>
  <si>
    <t>Emblem</t>
  </si>
  <si>
    <t>51147294465, 7294465</t>
  </si>
  <si>
    <t>Trunk Emblem</t>
  </si>
  <si>
    <t>51147294465 (part # from 16 X5)</t>
  </si>
  <si>
    <t>Wiper Motor</t>
  </si>
  <si>
    <t>61627318710, 7318710</t>
  </si>
  <si>
    <t>Wiper Motor, Trunk</t>
  </si>
  <si>
    <t>618-56287; 61627318710 (part # from CM)</t>
  </si>
  <si>
    <t>618</t>
  </si>
  <si>
    <t>Trunk Assembly - UPPER TRUNK (part out)</t>
  </si>
  <si>
    <t>BMW F15 Trunk; 16 BMW X5 Trunk (looking for upper trunk in both search terms)</t>
  </si>
  <si>
    <t>Cargo Hooks (these are the 4 that slide on rails - TOSS ALL)</t>
  </si>
  <si>
    <t>BMW F15 Cargo Hook</t>
  </si>
  <si>
    <t>Cargo Net</t>
  </si>
  <si>
    <t>BMW F15 Cargo Net</t>
  </si>
  <si>
    <t>Cargo Rails (the 2 aluminum ones - TOSS BOTH)</t>
  </si>
  <si>
    <t>BMW F15 Cargo Rail</t>
  </si>
  <si>
    <t>Nebative Battery Cable (Standard brown cable no module)</t>
  </si>
  <si>
    <t>Positive Battery Distribution Box (6x6 inch flat w/ red plastic on top &amp; black on bottom)</t>
  </si>
  <si>
    <t>928550803 (part # from 16 X5)</t>
  </si>
  <si>
    <t>BMW F15 Distribution</t>
  </si>
  <si>
    <t>Switch/Button, Trunk Lid Lock / Open Close Switch Button (trunk mounted)</t>
  </si>
  <si>
    <t>61319275121 (part # from 16 X5)</t>
  </si>
  <si>
    <t>Wiper Arm, REAR</t>
  </si>
  <si>
    <t>BMW F15 Rear Wiper Arm</t>
  </si>
  <si>
    <t>Wheels</t>
  </si>
  <si>
    <t>Wheel Lock Nuts &amp; Key</t>
  </si>
  <si>
    <t>Wheels (ask DRF - tons of options)</t>
  </si>
  <si>
    <t xml:space="preserve">SET-4 (850) SINGLE (210) </t>
  </si>
  <si>
    <t>Ask DRF</t>
  </si>
  <si>
    <t>560-86054-1</t>
  </si>
  <si>
    <t>36116858528, 6858528, 36116858527, 6858527</t>
  </si>
  <si>
    <t>Wheels SET/4 (560-86059 x2 &amp; 560-86054 x2)</t>
  </si>
  <si>
    <t>sell as SET/4, but sell singles if 1 bad</t>
  </si>
  <si>
    <t>SET 4</t>
  </si>
  <si>
    <t>560-86054-2</t>
  </si>
  <si>
    <t>36116858527, 6858527</t>
  </si>
  <si>
    <t>Wheel, FRONT LEFT or RIGHT (marked 2)</t>
  </si>
  <si>
    <t>Wheel, FRONT LEFT or RIGHT (marked 3)</t>
  </si>
  <si>
    <t>36116858528, 6858528</t>
  </si>
  <si>
    <t>Wheel, REAR LEFT or RIGHT (marked 1)</t>
  </si>
  <si>
    <t>Wheel, REAR LEFT or RIGHT (marked INSERT HERE)</t>
  </si>
  <si>
    <t>TPMS Sensor</t>
  </si>
  <si>
    <t>TPMS Tire Pressure Sensor SET4</t>
  </si>
  <si>
    <t>Wheel Lock Nuts &amp; Key (If 1 Missing Toss All)</t>
  </si>
  <si>
    <t>F15 Lug nut</t>
  </si>
  <si>
    <t>Lug Nuts</t>
  </si>
  <si>
    <t>BMW F15 Lug Nut</t>
  </si>
  <si>
    <t>Wheel Speed Sensors (TOSS ALL)</t>
  </si>
  <si>
    <t>BMW F15 Wheel Speed Sensor</t>
  </si>
  <si>
    <t>Stock</t>
  </si>
  <si>
    <t>Last</t>
  </si>
  <si>
    <t>LOC</t>
  </si>
  <si>
    <t>Year</t>
  </si>
  <si>
    <t>Model</t>
  </si>
  <si>
    <t>VIN</t>
  </si>
  <si>
    <t>Description</t>
  </si>
  <si>
    <t>Multiple Titles?</t>
  </si>
  <si>
    <t>Custom Title</t>
  </si>
  <si>
    <t>Ebay Title 1</t>
  </si>
  <si>
    <t>Ebay Title 2</t>
  </si>
  <si>
    <t>Ebay Title 3</t>
  </si>
  <si>
    <t>Ebay Title 4</t>
  </si>
  <si>
    <t>Price</t>
  </si>
  <si>
    <t>129-52061</t>
  </si>
  <si>
    <t>14-21 BMW X1 X2 X5 X6 (F15 F16 F39 F48) LEFT FRONT COMFORT DOOR HANDLE (*******)</t>
  </si>
  <si>
    <t>14-21 BMW X1 X2 X5 X6 (F15 F16 F39 F48) LEFT REAR COMFORT DOOR HANDLE (********)</t>
  </si>
  <si>
    <t>285-999723</t>
  </si>
  <si>
    <t>129-52063</t>
  </si>
  <si>
    <t>2014-2021 BMW X5 X6 (F15 F16) LEFT FRONT DRIVER EXTERIOR DOOR HANDLE (*********)</t>
  </si>
  <si>
    <t>2014-2021 BMW X5 X6 (F15 F16) LEFT REAR EXTERIOR DOOR HANDLE (*****************)</t>
  </si>
  <si>
    <t>128-11763</t>
  </si>
  <si>
    <t>641-54182</t>
  </si>
  <si>
    <t>285-999717</t>
  </si>
  <si>
    <t>286-999771</t>
  </si>
  <si>
    <t>128-11745</t>
  </si>
  <si>
    <t>129-52060</t>
  </si>
  <si>
    <t>128-11751</t>
  </si>
  <si>
    <t>14-21 BMW X1 X2 X5 X6 (F15 F16 F39 F48) RIGHT FRONT COMFORT DOOR HANDLE (*****)</t>
  </si>
  <si>
    <t>14-21 BMW X1 X2 X5 X6 (F15 F16 F39 F48) RIGHT REAR COMFORT DOOR HANDLE (*****)</t>
  </si>
  <si>
    <t>285-999722</t>
  </si>
  <si>
    <t>128-11753</t>
  </si>
  <si>
    <t>2014-2021 BMW X1 X5 X6 (F15 F16 F48) RIGHT FRONT PASSENGER DOOR HANDLE (*******)</t>
  </si>
  <si>
    <t>2014-2021 BMW X1 X5 X6 (F15 F16 F48) RIGHT REAR EXTERIOR DOOR HANDLE (*********)</t>
  </si>
  <si>
    <t>128-11762</t>
  </si>
  <si>
    <t>128-11755</t>
  </si>
  <si>
    <t>128-11757</t>
  </si>
  <si>
    <t>286-999770</t>
  </si>
  <si>
    <t>128-11759</t>
  </si>
  <si>
    <t>128-11761</t>
  </si>
  <si>
    <t>545-53340</t>
  </si>
  <si>
    <t>128-11765</t>
  </si>
  <si>
    <t>317-50194</t>
  </si>
  <si>
    <t>128-11767</t>
  </si>
  <si>
    <t>540-59227</t>
  </si>
  <si>
    <t>641-</t>
  </si>
  <si>
    <t>674-60229</t>
  </si>
  <si>
    <t>263-</t>
  </si>
  <si>
    <t>626-997571</t>
  </si>
  <si>
    <t>129-52062</t>
  </si>
  <si>
    <t>177-999001</t>
  </si>
  <si>
    <t>285-999716</t>
  </si>
  <si>
    <t>169-53399</t>
  </si>
  <si>
    <t>128-11744</t>
  </si>
  <si>
    <t>128-11750</t>
  </si>
  <si>
    <t>128-11752</t>
  </si>
  <si>
    <t>655-72540</t>
  </si>
  <si>
    <t>128-11754</t>
  </si>
  <si>
    <t>253-67828</t>
  </si>
  <si>
    <t>128-11756</t>
  </si>
  <si>
    <t>253-67827</t>
  </si>
  <si>
    <t>128-11758</t>
  </si>
  <si>
    <t>253-67831</t>
  </si>
  <si>
    <t>128-11760</t>
  </si>
  <si>
    <t>253-67825</t>
  </si>
  <si>
    <t>253-67829</t>
  </si>
  <si>
    <t>128-11764</t>
  </si>
  <si>
    <t>253-67961</t>
  </si>
  <si>
    <t>128-11766</t>
  </si>
  <si>
    <t>615-58781</t>
  </si>
  <si>
    <t>629-61110</t>
  </si>
  <si>
    <t>242-999156</t>
  </si>
  <si>
    <t>267-51293</t>
  </si>
  <si>
    <t>594-1775</t>
  </si>
  <si>
    <t>638-72260</t>
  </si>
  <si>
    <t>257-66546</t>
  </si>
  <si>
    <t>235-992180</t>
  </si>
  <si>
    <t>288-50844</t>
  </si>
  <si>
    <t>288-50845</t>
  </si>
  <si>
    <t>628-999907</t>
  </si>
  <si>
    <t>114-60267</t>
  </si>
  <si>
    <t>114-60266</t>
  </si>
  <si>
    <t>166-60725</t>
  </si>
  <si>
    <t>166-60724</t>
  </si>
  <si>
    <t>166-60727</t>
  </si>
  <si>
    <t>166-60726</t>
  </si>
  <si>
    <t>591-74062</t>
  </si>
  <si>
    <t>638-72908</t>
  </si>
  <si>
    <t>590-62356</t>
  </si>
  <si>
    <t>591-74039</t>
  </si>
  <si>
    <t>591-74058</t>
  </si>
  <si>
    <t>660-50116</t>
  </si>
  <si>
    <t>210-53562</t>
  </si>
  <si>
    <t>210-53565</t>
  </si>
  <si>
    <t>210-53566</t>
  </si>
  <si>
    <t>431-59702</t>
  </si>
  <si>
    <t>511-50148</t>
  </si>
  <si>
    <t>511-50147</t>
  </si>
  <si>
    <t>513-50296</t>
  </si>
  <si>
    <t>513-50295</t>
  </si>
  <si>
    <t>551-60089</t>
  </si>
  <si>
    <t>Viking-ENF-2023-10-10-1</t>
  </si>
  <si>
    <t>407-999940</t>
  </si>
  <si>
    <t>Viking-ENF-2023-10-10-2</t>
  </si>
  <si>
    <t>414-999923</t>
  </si>
  <si>
    <t>Viking-ENF-2023-10-10-3</t>
  </si>
  <si>
    <t>400-62833</t>
  </si>
  <si>
    <t>596-894</t>
  </si>
  <si>
    <t>170-60923</t>
  </si>
  <si>
    <t>618-56287</t>
  </si>
  <si>
    <t>560-86054</t>
  </si>
  <si>
    <t>560-86059</t>
  </si>
  <si>
    <t>Tag-Num</t>
  </si>
  <si>
    <t>Part #(s)</t>
  </si>
  <si>
    <t>Oxygen Sensor SET 2</t>
  </si>
  <si>
    <t>Seatbelt, Buckles SET3</t>
  </si>
  <si>
    <t>Item photos URLs for Ebay File Exchange Upload</t>
  </si>
  <si>
    <t>How Many Photos</t>
  </si>
  <si>
    <t>Item Photo URL 1</t>
  </si>
  <si>
    <t>Item Photo URL 2</t>
  </si>
  <si>
    <t>Item Photo URL 3</t>
  </si>
  <si>
    <t>Item Photo URL 4</t>
  </si>
  <si>
    <t>Item Photo URL 6</t>
  </si>
  <si>
    <t>Item Photo URL 8</t>
  </si>
  <si>
    <t>Item Photo URL 9</t>
  </si>
  <si>
    <t>Item Photo URL 10</t>
  </si>
  <si>
    <t>Item Photo URL 11</t>
  </si>
  <si>
    <t>Item Photo URL 12</t>
  </si>
  <si>
    <t>Item Photo URL 13</t>
  </si>
  <si>
    <t>Item Photo URL 14</t>
  </si>
  <si>
    <t>Item Photo URL 5</t>
  </si>
  <si>
    <t>Item Photo URL 16</t>
  </si>
  <si>
    <t>Item Photo URL 17</t>
  </si>
  <si>
    <t>Item Photo URL 18</t>
  </si>
  <si>
    <t>Item Photo URL 19</t>
  </si>
  <si>
    <t>Item Photo URL 20</t>
  </si>
  <si>
    <t>Item Photo URL 21</t>
  </si>
  <si>
    <t>Item Photo URL 22</t>
  </si>
  <si>
    <t>Item Photo URL 23</t>
  </si>
  <si>
    <t>Item Photo URL 24</t>
  </si>
  <si>
    <t>Base folder for pictures</t>
  </si>
  <si>
    <t>Picture Name Converted to URL Code</t>
  </si>
  <si>
    <t>Picture Name</t>
  </si>
  <si>
    <t>Plus to %2B</t>
  </si>
  <si>
    <t>Space to Plus</t>
  </si>
  <si>
    <t>, to %2C</t>
  </si>
  <si>
    <t>; to %3B</t>
  </si>
  <si>
    <t>: to %3A</t>
  </si>
  <si>
    <t>@ to 40%</t>
  </si>
  <si>
    <t>&amp; to %26</t>
  </si>
  <si>
    <t>= to %3D</t>
  </si>
  <si>
    <t>? To %3F</t>
  </si>
  <si>
    <t>/ to %2F</t>
  </si>
  <si>
    <t>" to BLANK</t>
  </si>
  <si>
    <t>To Concatenate</t>
  </si>
  <si>
    <t>Hyperlink</t>
  </si>
  <si>
    <t>https://viking-pictures.s3.us-west-1.amazonaws.com/AA1155/</t>
  </si>
  <si>
    <t>+</t>
  </si>
  <si>
    <t>(1)</t>
  </si>
  <si>
    <t>(2)</t>
  </si>
  <si>
    <t>(3)</t>
  </si>
  <si>
    <t>(4)</t>
  </si>
  <si>
    <t>(5)</t>
  </si>
  <si>
    <t>(6)</t>
  </si>
  <si>
    <t>(7)</t>
  </si>
  <si>
    <t>(8)</t>
  </si>
  <si>
    <t>(9)</t>
  </si>
  <si>
    <t>(10)</t>
  </si>
  <si>
    <t>(11)</t>
  </si>
  <si>
    <t>(12)</t>
  </si>
  <si>
    <t>(13)</t>
  </si>
  <si>
    <t>(14)</t>
  </si>
  <si>
    <t>(15)</t>
  </si>
  <si>
    <t>(16)</t>
  </si>
  <si>
    <t>(17)</t>
  </si>
  <si>
    <t>(18)</t>
  </si>
  <si>
    <t>(19)</t>
  </si>
  <si>
    <t>(20)</t>
  </si>
  <si>
    <t>(21)</t>
  </si>
  <si>
    <t>(22)</t>
  </si>
  <si>
    <t>(23)</t>
  </si>
  <si>
    <t>(24)</t>
  </si>
  <si>
    <t>.JPG</t>
  </si>
  <si>
    <t>https://viking-pictures.s3.us-west-1.amazonaws.com/AA1155/A16.+ABS+Pump+26%+Module+(1).JPG</t>
  </si>
  <si>
    <t>https://viking-pictures.s3.us-west-1.amazonaws.com/AA1155/A16.+ABS+Pump+%26+Module+(1).JPG</t>
  </si>
  <si>
    <t>https://viking-pictures.s3.us-west-1.amazonaws.com/AA1155/A44.+Oxygen+Sensor+SET2+(1).JPG</t>
  </si>
  <si>
    <t>https://viking-pictures.s3.us-west-1.amazonaws.com/AA1155/A44.+Oxygen+Sensor+SET+2+(1).JPG</t>
  </si>
  <si>
    <t>https://viking-pictures.s3.us-west-1.amazonaws.com/AA1155/A103.+Power+Brake+Booster+%2B+Master+Cylinder+%2B+Reservoir+%2B+Cap+(1).JPG</t>
  </si>
  <si>
    <t>https://viking-pictures.s3.us-west-1.amazonaws.com/AA1155/A103.+Power+Brake+Booster+++Master+Cylinder+++Reservoir+++Cap+(1).JPG</t>
  </si>
  <si>
    <t>https://viking-pictures.s3.us-west-1.amazonaws.com/AA1155/A45.+Rear+Arm+Rest++Cup+Holder+(1).JPG</t>
  </si>
  <si>
    <t>https://viking-pictures.s3.us-west-1.amazonaws.com/AA1155/A13.+Control+Arms%2C+FRONT+-+UPPER+U+WISHBONE%2C+LEFT+(1).JPG</t>
  </si>
  <si>
    <t>https://viking-pictures.s3.us-west-1.amazonaws.com/AA1155/A108.+Differential%2C+REAR+(1).jpg</t>
  </si>
  <si>
    <t>https://viking-pictures.s3.us-west-1.amazonaws.com/AA1155/A31.+Battery+Cable%2C+NEGATIVE+w+IBS+Module+ON+(1).JPG</t>
  </si>
  <si>
    <r>
      <t>AWD CloudShell COMMAND to get it to list all pictures in a folder (</t>
    </r>
    <r>
      <rPr>
        <sz val="11"/>
        <color rgb="FFFF0000"/>
        <rFont val="Calibri"/>
        <family val="2"/>
        <scheme val="minor"/>
      </rPr>
      <t>just change the stock #</t>
    </r>
    <r>
      <rPr>
        <sz val="11"/>
        <color theme="1"/>
        <rFont val="Calibri"/>
        <family val="2"/>
        <scheme val="minor"/>
      </rPr>
      <t>):</t>
    </r>
  </si>
  <si>
    <t>aws s3 ls s3://viking-pictures/AA1155 --recursive</t>
  </si>
  <si>
    <t>Pictures per previous tab</t>
  </si>
  <si>
    <t>Pictures in current tab</t>
  </si>
  <si>
    <t>Difference (should be ZERO)</t>
  </si>
  <si>
    <t>ENF 10/25/23: small enough don't care</t>
  </si>
  <si>
    <t>2023-10-25 17:12:17     462465 AA1155/A100. Control Arms, REAR - RIGHT Large Control Arm (1).JPG</t>
  </si>
  <si>
    <t>2023-10-25 17:12:17     418465 AA1155/A100. Control Arms, REAR - RIGHT Large Control Arm (2).JPG</t>
  </si>
  <si>
    <t>2023-10-25 17:12:17     518041 AA1155/A100. Control Arms, REAR - RIGHT Large Control Arm (3).JPG</t>
  </si>
  <si>
    <t>2023-10-25 17:12:17     456232 AA1155/A100. Control Arms, REAR - RIGHT Large Control Arm (4).JPG</t>
  </si>
  <si>
    <t>2023-10-25 17:12:17    1281353 AA1155/A100. Control Arms, REAR - RIGHT Large Control Arm (5).JPG</t>
  </si>
  <si>
    <t>2023-10-25 17:12:17     451768 AA1155/A101. Springs, REAR Shock Springs as SET2 WITH Gromets (1).JPG</t>
  </si>
  <si>
    <t>2023-10-25 17:12:17     465139 AA1155/A101. Springs, REAR Shock Springs as SET2 WITH Gromets (2).JPG</t>
  </si>
  <si>
    <t>2023-10-25 17:12:17     463305 AA1155/A101. Springs, REAR Shock Springs as SET2 WITH Gromets (3).JPG</t>
  </si>
  <si>
    <t>2023-10-25 17:12:17     482199 AA1155/A101. Springs, REAR Shock Springs as SET2 WITH Gromets (4).JPG</t>
  </si>
  <si>
    <t>2023-10-25 17:12:17     592048 AA1155/A101. Springs, REAR Shock Springs as SET2 WITH Gromets (5).JPG</t>
  </si>
  <si>
    <t>2023-10-25 17:12:17     272812 AA1155/A102. Emergency Parking Brake Actuator (1).JPG</t>
  </si>
  <si>
    <t>2023-10-25 17:12:17     309678 AA1155/A102. Emergency Parking Brake Actuator (2).JPG</t>
  </si>
  <si>
    <t>2023-10-25 17:12:17     479310 AA1155/A102. Emergency Parking Brake Actuator (3).JPG</t>
  </si>
  <si>
    <t>2023-10-25 17:12:17     358567 AA1155/A102. Emergency Parking Brake Actuator (4).JPG</t>
  </si>
  <si>
    <t>2023-10-25 17:12:17     323670 AA1155/A102. Emergency Parking Brake Actuator (5).JPG</t>
  </si>
  <si>
    <t>2023-10-25 17:12:17     423794 AA1155/A103. Power Brake Booster + Master Cylinder + Reservoir + Cap (1).JPG</t>
  </si>
  <si>
    <t>2023-10-25 17:12:17     364241 AA1155/A103. Power Brake Booster + Master Cylinder + Reservoir + Cap (2).JPG</t>
  </si>
  <si>
    <t>2023-10-25 17:12:17     583471 AA1155/A103. Power Brake Booster + Master Cylinder + Reservoir + Cap (3).JPG</t>
  </si>
  <si>
    <t>2023-10-25 17:12:17     552355 AA1155/A103. Power Brake Booster + Master Cylinder + Reservoir + Cap (4).JPG</t>
  </si>
  <si>
    <t>2023-10-25 17:12:17     783641 AA1155/A103. Power Brake Booster + Master Cylinder + Reservoir + Cap (5).JPG</t>
  </si>
  <si>
    <t>2023-10-25 17:12:17     542427 AA1155/A104. Intercooler (1).JPG</t>
  </si>
  <si>
    <t>2023-10-25 17:12:17     587824 AA1155/A104. Intercooler (2).JPG</t>
  </si>
  <si>
    <t>2023-10-25 17:12:17     628227 AA1155/A104. Intercooler (3).JPG</t>
  </si>
  <si>
    <t>2023-10-25 17:12:17     779591 AA1155/A104. Intercooler (4).JPG</t>
  </si>
  <si>
    <t>2023-10-25 17:12:17     911345 AA1155/A104. Intercooler (5).JPG</t>
  </si>
  <si>
    <t>2023-10-25 17:12:17     546256 AA1155/A105. Seat Track WITH Motors, FRONT RIGHT (1).JPG</t>
  </si>
  <si>
    <t>2023-10-25 17:12:17     523917 AA1155/A105. Seat Track WITH Motors, FRONT RIGHT (2).JPG</t>
  </si>
  <si>
    <t>2023-10-25 17:12:17     690737 AA1155/A105. Seat Track WITH Motors, FRONT RIGHT (3).JPG</t>
  </si>
  <si>
    <t>2023-10-25 17:12:17     730370 AA1155/A105. Seat Track WITH Motors, FRONT RIGHT (4).JPG</t>
  </si>
  <si>
    <t>2023-10-25 17:12:17     575068 AA1155/A105. Seat Track WITH Motors, FRONT RIGHT (5).JPG</t>
  </si>
  <si>
    <t>2023-10-25 17:12:17     848155 AA1155/A105. Seat Track WITH Motors, FRONT RIGHT (6).JPG</t>
  </si>
  <si>
    <t>2023-10-25 17:12:17     658391 AA1155/A105. Seat Track WITH Motors, FRONT RIGHT (7).JPG</t>
  </si>
  <si>
    <t>2023-10-25 17:12:17     639289 AA1155/A105. Seat Track WITH Motors, FRONT RIGHT (8).JPG</t>
  </si>
  <si>
    <t>2023-10-25 17:12:17     499775 AA1155/A106. Seat Track WITH Motors, FRONT LEFT (1).JPG</t>
  </si>
  <si>
    <t>2023-10-25 17:12:17     500897 AA1155/A106. Seat Track WITH Motors, FRONT LEFT (2).JPG</t>
  </si>
  <si>
    <t>2023-10-25 17:12:17     603826 AA1155/A106. Seat Track WITH Motors, FRONT LEFT (3).JPG</t>
  </si>
  <si>
    <t>2023-10-25 17:12:17     628260 AA1155/A106. Seat Track WITH Motors, FRONT LEFT (4).JPG</t>
  </si>
  <si>
    <t>2023-10-25 17:12:17     755067 AA1155/A106. Seat Track WITH Motors, FRONT LEFT (5).JPG</t>
  </si>
  <si>
    <t>2023-10-25 17:12:17    1072313 AA1155/A106. Seat Track WITH Motors, FRONT LEFT (6).JPG</t>
  </si>
  <si>
    <t>2023-10-25 17:12:17     746534 AA1155/A106. Seat Track WITH Motors, FRONT LEFT (7).JPG</t>
  </si>
  <si>
    <t>2023-10-25 17:12:18    1175944 AA1155/A106. Seat Track WITH Motors, FRONT LEFT (8).JPG</t>
  </si>
  <si>
    <t>2023-10-25 17:12:18     561490 AA1155/A106. Seat Track WITH Motors, FRONT LEFT (9).JPG</t>
  </si>
  <si>
    <t>2023-10-25 17:12:18     382167 AA1155/A107. Trunk Assembly - LOWER TAILGATE (1).JPG</t>
  </si>
  <si>
    <t>2023-10-25 17:12:18     387414 AA1155/A107. Trunk Assembly - LOWER TAILGATE (2).JPG</t>
  </si>
  <si>
    <t>2023-10-25 17:12:18     363622 AA1155/A107. Trunk Assembly - LOWER TAILGATE (3).JPG</t>
  </si>
  <si>
    <t>2023-10-25 17:12:18     459773 AA1155/A107. Trunk Assembly - LOWER TAILGATE (4).JPG</t>
  </si>
  <si>
    <t>2023-10-25 17:12:18     526998 AA1155/A107. Trunk Assembly - LOWER TAILGATE (5).JPG</t>
  </si>
  <si>
    <t>2023-10-25 17:12:18    1080621 AA1155/A107. Trunk Assembly - LOWER TAILGATE (6).JPG</t>
  </si>
  <si>
    <t>2023-10-25 17:12:18     919014 AA1155/A107. Trunk Assembly - LOWER TAILGATE (7).JPG</t>
  </si>
  <si>
    <t>2023-10-25 17:12:18     887854 AA1155/A107. Trunk Assembly - LOWER TAILGATE (8).JPG</t>
  </si>
  <si>
    <t>2023-10-25 17:12:18     750667 AA1155/A108. Differential, REAR (1).jpg</t>
  </si>
  <si>
    <t>2023-10-25 17:12:18     773338 AA1155/A108. Differential, REAR (2).jpg</t>
  </si>
  <si>
    <t>2023-10-25 17:12:18     674181 AA1155/A108. Differential, REAR (3).jpg</t>
  </si>
  <si>
    <t>2023-10-25 17:12:18     849886 AA1155/A108. Differential, REAR (4).jpg</t>
  </si>
  <si>
    <t>2023-10-25 17:12:18     418438 AA1155/A108. Differential, REAR (5).jpg</t>
  </si>
  <si>
    <t>2023-10-25 17:12:18    1328604 AA1155/A108. Differential, REAR (6).jpg</t>
  </si>
  <si>
    <t>2023-10-25 17:12:18     798776 AA1155/A109. Engine Assembly as FULL ASSEMBLY (1).JPG</t>
  </si>
  <si>
    <t>2023-10-25 17:12:18     872379 AA1155/A109. Engine Assembly as FULL ASSEMBLY (10).JPG</t>
  </si>
  <si>
    <t>2023-10-25 17:12:18     830914 AA1155/A109. Engine Assembly as FULL ASSEMBLY (11).JPG</t>
  </si>
  <si>
    <t>2023-10-25 17:12:18     793457 AA1155/A109. Engine Assembly as FULL ASSEMBLY (12).JPG</t>
  </si>
  <si>
    <t>2023-10-25 17:12:18     757292 AA1155/A109. Engine Assembly as FULL ASSEMBLY (13).JPG</t>
  </si>
  <si>
    <t>2023-10-25 17:12:18     514977 AA1155/A109. Engine Assembly as FULL ASSEMBLY (14).JPG</t>
  </si>
  <si>
    <t>2023-10-25 17:12:18     815578 AA1155/A109. Engine Assembly as FULL ASSEMBLY (2).JPG</t>
  </si>
  <si>
    <t>2023-10-25 17:12:18     828514 AA1155/A109. Engine Assembly as FULL ASSEMBLY (3).JPG</t>
  </si>
  <si>
    <t>2023-10-25 17:12:18     919514 AA1155/A109. Engine Assembly as FULL ASSEMBLY (4).JPG</t>
  </si>
  <si>
    <t>2023-10-25 17:12:18     666897 AA1155/A109. Engine Assembly as FULL ASSEMBLY (5).JPG</t>
  </si>
  <si>
    <t>2023-10-25 17:12:18     834943 AA1155/A109. Engine Assembly as FULL ASSEMBLY (6).JPG</t>
  </si>
  <si>
    <t>2023-10-25 17:12:18     867712 AA1155/A109. Engine Assembly as FULL ASSEMBLY (7).JPG</t>
  </si>
  <si>
    <t>2023-10-25 17:12:18     780628 AA1155/A109. Engine Assembly as FULL ASSEMBLY (8).JPG</t>
  </si>
  <si>
    <t>2023-10-25 17:12:18     836231 AA1155/A109. Engine Assembly as FULL ASSEMBLY (9).JPG</t>
  </si>
  <si>
    <t>2023-10-25 16:09:10     330129 AA1155/A11. Trunk Electric Shock SET2 (1).JPG</t>
  </si>
  <si>
    <t>2023-10-25 16:09:11     329509 AA1155/A11. Trunk Electric Shock SET2 (2).JPG</t>
  </si>
  <si>
    <t>2023-10-25 16:09:11     292747 AA1155/A11. Trunk Electric Shock SET2 (3).JPG</t>
  </si>
  <si>
    <t>2023-10-25 16:09:11     315623 AA1155/A11. Trunk Electric Shock SET2 (4).JPG</t>
  </si>
  <si>
    <t>2023-10-25 16:09:12     344441 AA1155/A11. Trunk Electric Shock SET2 (5).JPG</t>
  </si>
  <si>
    <t>2023-10-25 17:12:18     524478 AA1155/A110. Trim Set, Entire Vehicle (1).JPG</t>
  </si>
  <si>
    <t>2023-10-25 17:12:18     975210 AA1155/A110. Trim Set, Entire Vehicle (10).JPG</t>
  </si>
  <si>
    <t>2023-10-25 17:12:18    1062324 AA1155/A110. Trim Set, Entire Vehicle (11).JPG</t>
  </si>
  <si>
    <t>2023-10-25 17:12:18     756514 AA1155/A110. Trim Set, Entire Vehicle (12).JPG</t>
  </si>
  <si>
    <t>2023-10-25 17:12:18     918147 AA1155/A110. Trim Set, Entire Vehicle (13).JPG</t>
  </si>
  <si>
    <t>2023-10-25 17:12:18     754291 AA1155/A110. Trim Set, Entire Vehicle (14).JPG</t>
  </si>
  <si>
    <t>2023-10-25 17:12:18     338992 AA1155/A110. Trim Set, Entire Vehicle (15).JPG</t>
  </si>
  <si>
    <t>2023-10-25 17:12:18     791963 AA1155/A110. Trim Set, Entire Vehicle (16).JPG</t>
  </si>
  <si>
    <t>2023-10-25 17:12:18     962121 AA1155/A110. Trim Set, Entire Vehicle (17).JPG</t>
  </si>
  <si>
    <t>2023-10-25 17:12:18     343104 AA1155/A110. Trim Set, Entire Vehicle (18).JPG</t>
  </si>
  <si>
    <t>2023-10-25 17:12:19     812907 AA1155/A110. Trim Set, Entire Vehicle (19).JPG</t>
  </si>
  <si>
    <t>2023-10-25 17:12:18     359537 AA1155/A110. Trim Set, Entire Vehicle (2).JPG</t>
  </si>
  <si>
    <t>2023-10-25 17:12:18     637301 AA1155/A110. Trim Set, Entire Vehicle (20).JPG</t>
  </si>
  <si>
    <t>2023-10-25 17:12:19    1027945 AA1155/A110. Trim Set, Entire Vehicle (3).JPG</t>
  </si>
  <si>
    <t>2023-10-25 17:12:19    1091959 AA1155/A110. Trim Set, Entire Vehicle (4).JPG</t>
  </si>
  <si>
    <t>2023-10-25 17:12:19    1047287 AA1155/A110. Trim Set, Entire Vehicle (5).JPG</t>
  </si>
  <si>
    <t>2023-10-25 17:12:18    1139588 AA1155/A110. Trim Set, Entire Vehicle (6).JPG</t>
  </si>
  <si>
    <t>2023-10-25 17:12:19    1097749 AA1155/A110. Trim Set, Entire Vehicle (7).JPG</t>
  </si>
  <si>
    <t>2023-10-25 17:12:19     695960 AA1155/A110. Trim Set, Entire Vehicle (8).JPG</t>
  </si>
  <si>
    <t>2023-10-25 17:12:19     936446 AA1155/A110. Trim Set, Entire Vehicle (9).JPG</t>
  </si>
  <si>
    <t>2023-10-25 17:12:19     288220 AA1155/A111. Mirror, Door - FRONT RIGHT (1).JPG</t>
  </si>
  <si>
    <t>2023-10-25 17:12:19     198583 AA1155/A111. Mirror, Door - FRONT RIGHT (2).jpg</t>
  </si>
  <si>
    <t>2023-10-25 17:12:19     266094 AA1155/A111. Mirror, Door - FRONT RIGHT (3).JPG</t>
  </si>
  <si>
    <t>2023-10-25 17:12:19     480197 AA1155/A111. Mirror, Door - FRONT RIGHT (4).JPG</t>
  </si>
  <si>
    <t>2023-10-25 17:12:19     513680 AA1155/A111. Mirror, Door - FRONT RIGHT (5).JPG</t>
  </si>
  <si>
    <t>2023-10-25 17:12:19     542019 AA1155/A111. Mirror, Door - FRONT RIGHT (6).JPG</t>
  </si>
  <si>
    <t>2023-10-25 17:12:18    1189422 AA1155/A111. Mirror, Door - FRONT RIGHT (7).JPG</t>
  </si>
  <si>
    <t>2023-10-25 17:12:18     588909 AA1155/A112. Taillight, QUARTER PANEL MOUNTED - LEFT (1).JPG</t>
  </si>
  <si>
    <t>2023-10-25 17:12:19     231321 AA1155/A112. Taillight, QUARTER PANEL MOUNTED - LEFT (2).jpg</t>
  </si>
  <si>
    <t>2023-10-25 17:12:19     523242 AA1155/A112. Taillight, QUARTER PANEL MOUNTED - LEFT (3).JPG</t>
  </si>
  <si>
    <t>2023-10-25 17:12:19     627883 AA1155/A112. Taillight, QUARTER PANEL MOUNTED - LEFT (4).JPG</t>
  </si>
  <si>
    <t>2023-10-25 17:12:19     681359 AA1155/A112. Taillight, QUARTER PANEL MOUNTED - LEFT (5).JPG</t>
  </si>
  <si>
    <t>2023-10-25 17:12:19    1155277 AA1155/A112. Taillight, QUARTER PANEL MOUNTED - LEFT (6).JPG</t>
  </si>
  <si>
    <t>2023-10-25 17:12:19    1175965 AA1155/A112. Taillight, QUARTER PANEL MOUNTED - LEFT (7).JPG</t>
  </si>
  <si>
    <t>2023-10-25 17:12:19     543016 AA1155/A113. Taillight, TRUNK MOUNTED - LEFT (1).JPG</t>
  </si>
  <si>
    <t>2023-10-25 17:12:19     231321 AA1155/A113. Taillight, TRUNK MOUNTED - LEFT (2).jpg</t>
  </si>
  <si>
    <t>2023-10-25 17:12:19     547959 AA1155/A113. Taillight, TRUNK MOUNTED - LEFT (3).JPG</t>
  </si>
  <si>
    <t>2023-10-25 17:12:19     705315 AA1155/A113. Taillight, TRUNK MOUNTED - LEFT (4).JPG</t>
  </si>
  <si>
    <t>2023-10-25 17:12:19    1019514 AA1155/A113. Taillight, TRUNK MOUNTED - LEFT (5).JPG</t>
  </si>
  <si>
    <t>2023-10-25 17:12:19    1185834 AA1155/A113. Taillight, TRUNK MOUNTED - LEFT (6).JPG</t>
  </si>
  <si>
    <t>2023-10-25 17:12:19     576432 AA1155/A114. Taillight, QUARTER PANEL MOUNTED - RIGHT (FLAWED) (1).JPG</t>
  </si>
  <si>
    <t>2023-10-25 17:12:19     178650 AA1155/A114. Taillight, QUARTER PANEL MOUNTED - RIGHT (FLAWED) (2).jpg</t>
  </si>
  <si>
    <t>2023-10-25 17:12:19     572844 AA1155/A114. Taillight, QUARTER PANEL MOUNTED - RIGHT (FLAWED) (3).JPG</t>
  </si>
  <si>
    <t>2023-10-25 17:12:19     620844 AA1155/A114. Taillight, QUARTER PANEL MOUNTED - RIGHT (FLAWED) (4).JPG</t>
  </si>
  <si>
    <t>2023-10-25 17:12:19     714395 AA1155/A114. Taillight, QUARTER PANEL MOUNTED - RIGHT (FLAWED) (5).JPG</t>
  </si>
  <si>
    <t>2023-10-25 17:12:19    1919384 AA1155/A114. Taillight, QUARTER PANEL MOUNTED - RIGHT (FLAWED) (6).JPG</t>
  </si>
  <si>
    <t>2023-10-25 17:12:19     649152 AA1155/A115. Taillight, TRUNK MOUNTED - RIGHT (1).JPG</t>
  </si>
  <si>
    <t>2023-10-25 17:12:19     178650 AA1155/A115. Taillight, TRUNK MOUNTED - RIGHT (2).jpg</t>
  </si>
  <si>
    <t>2023-10-25 17:12:19     720654 AA1155/A115. Taillight, TRUNK MOUNTED - RIGHT (3).JPG</t>
  </si>
  <si>
    <t>2023-10-25 17:12:19     653338 AA1155/A115. Taillight, TRUNK MOUNTED - RIGHT (4).JPG</t>
  </si>
  <si>
    <t>2023-10-25 17:12:19    1133161 AA1155/A115. Taillight, TRUNK MOUNTED - RIGHT (5).JPG</t>
  </si>
  <si>
    <t>2023-10-25 17:12:19     322520 AA1155/A116. Mirror, Door - FRONT LEFT (1).JPG</t>
  </si>
  <si>
    <t>2023-10-25 17:12:19     278389 AA1155/A116. Mirror, Door - FRONT LEFT (2).JPG</t>
  </si>
  <si>
    <t>2023-10-25 17:12:19     430008 AA1155/A116. Mirror, Door - FRONT LEFT (3).JPG</t>
  </si>
  <si>
    <t>2023-10-25 17:12:19     488255 AA1155/A116. Mirror, Door - FRONT LEFT (4).JPG</t>
  </si>
  <si>
    <t>2023-10-25 17:12:19     528346 AA1155/A116. Mirror, Door - FRONT LEFT (5).JPG</t>
  </si>
  <si>
    <t>2023-10-25 17:12:19    1474296 AA1155/A116. Mirror, Door - FRONT LEFT (6).JPG</t>
  </si>
  <si>
    <t>2023-10-25 17:12:19     695542 AA1155/A117. Steering Wheel (1).JPG</t>
  </si>
  <si>
    <t>2023-10-25 17:12:19     737317 AA1155/A117. Steering Wheel (2).JPG</t>
  </si>
  <si>
    <t>2023-10-25 17:12:19     611465 AA1155/A117. Steering Wheel (3).JPG</t>
  </si>
  <si>
    <t>2023-10-25 17:12:19     670652 AA1155/A117. Steering Wheel (4).JPG</t>
  </si>
  <si>
    <t>2023-10-25 17:12:19     614753 AA1155/A117. Steering Wheel (5).JPG</t>
  </si>
  <si>
    <t>2023-10-25 17:12:19     678598 AA1155/A117. Steering Wheel (6).JPG</t>
  </si>
  <si>
    <t>2023-10-25 17:12:19     381586 AA1155/A118. Door Handle, Exterior - FRONT - RIGHT (1).JPG</t>
  </si>
  <si>
    <t>2023-10-25 17:12:19     416763 AA1155/A118. Door Handle, Exterior - FRONT - RIGHT (2).JPG</t>
  </si>
  <si>
    <t>2023-10-25 17:12:19     438657 AA1155/A118. Door Handle, Exterior - FRONT - RIGHT (3).JPG</t>
  </si>
  <si>
    <t>2023-10-25 17:12:19     624967 AA1155/A118. Door Handle, Exterior - FRONT - RIGHT (4).JPG</t>
  </si>
  <si>
    <t>2023-10-25 17:12:19     713349 AA1155/A118. Door Handle, Exterior - FRONT - RIGHT (5).JPG</t>
  </si>
  <si>
    <t>2023-10-25 17:12:19    1009592 AA1155/A118. Door Handle, Exterior - FRONT - RIGHT (6).JPG</t>
  </si>
  <si>
    <t>2023-10-25 17:12:19     542265 AA1155/A119. Fuel Tank Door (1).JPG</t>
  </si>
  <si>
    <t>2023-10-25 17:12:19     652942 AA1155/A119. Fuel Tank Door (2).JPG</t>
  </si>
  <si>
    <t>2023-10-25 17:12:19     480697 AA1155/A119. Fuel Tank Door (3).JPG</t>
  </si>
  <si>
    <t>2023-10-25 17:12:19    1128531 AA1155/A119. Fuel Tank Door (4).JPG</t>
  </si>
  <si>
    <t>2023-10-25 16:09:12     421194 AA1155/A12. Airbag, KNEE - FRONT LEFT (DRIVER) (1).JPG</t>
  </si>
  <si>
    <t>2023-10-25 16:09:13     412783 AA1155/A12. Airbag, KNEE - FRONT LEFT (DRIVER) (2).JPG</t>
  </si>
  <si>
    <t>2023-10-25 16:09:13     495788 AA1155/A12. Airbag, KNEE - FRONT LEFT (DRIVER) (3).JPG</t>
  </si>
  <si>
    <t>2023-10-25 16:09:13     512720 AA1155/A12. Airbag, KNEE - FRONT LEFT (DRIVER) (4).JPG</t>
  </si>
  <si>
    <t>2023-10-25 16:09:14     489482 AA1155/A12. Airbag, KNEE - FRONT LEFT (DRIVER) (5).JPG</t>
  </si>
  <si>
    <t>2023-10-25 16:09:14     728015 AA1155/A12. Airbag, KNEE - FRONT LEFT (DRIVER) (6).JPG</t>
  </si>
  <si>
    <t>2023-10-25 17:12:19     337285 AA1155/A120. Shifter (FLAW) (1).JPG</t>
  </si>
  <si>
    <t>2023-10-25 17:12:19      66626 AA1155/A120. Shifter (FLAW) (2).jpg</t>
  </si>
  <si>
    <t>2023-10-25 17:12:19     315864 AA1155/A120. Shifter (FLAW) (3).JPG</t>
  </si>
  <si>
    <t>2023-10-25 17:12:19     309929 AA1155/A120. Shifter (FLAW) (4).JPG</t>
  </si>
  <si>
    <t>2023-10-25 17:12:19     416738 AA1155/A120. Shifter (FLAW) (5).JPG</t>
  </si>
  <si>
    <t>2023-10-25 17:12:20     625364 AA1155/A120. Shifter (FLAW) (6).JPG</t>
  </si>
  <si>
    <t>2023-10-25 17:12:20    1058870 AA1155/A120. Shifter (FLAW) (7).JPG</t>
  </si>
  <si>
    <t>2023-10-25 17:12:19     508617 AA1155/A121. Climate Control Panel, Radio Control Panel, and Trim, FRONT (1).JPG</t>
  </si>
  <si>
    <t>2023-10-25 17:12:19     215758 AA1155/A121. Climate Control Panel, Radio Control Panel, and Trim, FRONT (2).jpg</t>
  </si>
  <si>
    <t>2023-10-25 17:12:19     129670 AA1155/A121. Climate Control Panel, Radio Control Panel, and Trim, FRONT (3).jpg</t>
  </si>
  <si>
    <t>2023-10-25 17:12:20     487513 AA1155/A121. Climate Control Panel, Radio Control Panel, and Trim, FRONT (4).JPG</t>
  </si>
  <si>
    <t>2023-10-25 17:12:20     607663 AA1155/A121. Climate Control Panel, Radio Control Panel, and Trim, FRONT (5).JPG</t>
  </si>
  <si>
    <t>2023-10-25 17:12:19     548097 AA1155/A121. Climate Control Panel, Radio Control Panel, and Trim, FRONT (6).JPG</t>
  </si>
  <si>
    <t>2023-10-25 17:12:19     579891 AA1155/A121. Climate Control Panel, Radio Control Panel, and Trim, FRONT (7).JPG</t>
  </si>
  <si>
    <t>2023-10-25 17:12:19     889147 AA1155/A121. Climate Control Panel, Radio Control Panel, and Trim, FRONT (8).JPG</t>
  </si>
  <si>
    <t>2023-10-25 17:12:19     380278 AA1155/A122. Cargo Cover, Large Retractable (1).JPG</t>
  </si>
  <si>
    <t>2023-10-25 17:12:19     323037 AA1155/A122. Cargo Cover, Large Retractable (2).JPG</t>
  </si>
  <si>
    <t>2023-10-25 17:12:20     332944 AA1155/A122. Cargo Cover, Large Retractable (3).JPG</t>
  </si>
  <si>
    <t>2023-10-25 17:12:20     318712 AA1155/A122. Cargo Cover, Large Retractable (4).JPG</t>
  </si>
  <si>
    <t>2023-10-25 17:12:20     318748 AA1155/A122. Cargo Cover, Large Retractable (5).JPG</t>
  </si>
  <si>
    <t>2023-10-25 17:12:20     621353 AA1155/A122. Cargo Cover, Large Retractable (6).JPG</t>
  </si>
  <si>
    <t>2023-10-25 17:12:20     616669 AA1155/A122. Cargo Cover, Large Retractable (7).JPG</t>
  </si>
  <si>
    <t>2023-10-25 17:12:20     763073 AA1155/A122. Cargo Cover, Large Retractable (8).JPG</t>
  </si>
  <si>
    <t>2023-10-25 16:09:15     417329 AA1155/A13. Control Arms, FRONT - UPPER U WISHBONE, LEFT (1).JPG</t>
  </si>
  <si>
    <t>2023-10-25 16:09:15     337817 AA1155/A13. Control Arms, FRONT - UPPER U WISHBONE, LEFT (2).JPG</t>
  </si>
  <si>
    <t>2023-10-25 16:09:16     398075 AA1155/A13. Control Arms, FRONT - UPPER U WISHBONE, LEFT (3).JPG</t>
  </si>
  <si>
    <t>2023-10-25 16:09:16     604385 AA1155/A13. Control Arms, FRONT - UPPER U WISHBONE, LEFT (4).JPG</t>
  </si>
  <si>
    <t>2023-10-25 16:09:16     829689 AA1155/A13. Control Arms, FRONT - UPPER U WISHBONE, LEFT (5).JPG</t>
  </si>
  <si>
    <t>2023-10-25 16:09:17     530976 AA1155/A14. Airbag, KNEE - FRONT RIGHT (PASSENGER) (1).JPG</t>
  </si>
  <si>
    <t>2023-10-25 16:09:17     544063 AA1155/A14. Airbag, KNEE - FRONT RIGHT (PASSENGER) (2).JPG</t>
  </si>
  <si>
    <t>2023-10-25 16:09:18     462020 AA1155/A14. Airbag, KNEE - FRONT RIGHT (PASSENGER) (3).JPG</t>
  </si>
  <si>
    <t>2023-10-25 16:09:18     474853 AA1155/A14. Airbag, KNEE - FRONT RIGHT (PASSENGER) (4).JPG</t>
  </si>
  <si>
    <t>2023-10-25 16:09:19     808571 AA1155/A14. Airbag, KNEE - FRONT RIGHT (PASSENGER) (5).JPG</t>
  </si>
  <si>
    <t>2023-10-25 16:09:19     331652 AA1155/A15. Transmission Oil Pump, Hydraulic (1).JPG</t>
  </si>
  <si>
    <t>2023-10-25 16:09:19     365768 AA1155/A15. Transmission Oil Pump, Hydraulic (2).JPG</t>
  </si>
  <si>
    <t>2023-10-25 16:09:20     427112 AA1155/A15. Transmission Oil Pump, Hydraulic (3).JPG</t>
  </si>
  <si>
    <t>2023-10-25 16:09:20     430162 AA1155/A16. ABS Pump &amp; Module (1).JPG</t>
  </si>
  <si>
    <t>2023-10-25 16:09:21     445759 AA1155/A16. ABS Pump &amp; Module (2).JPG</t>
  </si>
  <si>
    <t>2023-10-25 16:09:21     521571 AA1155/A16. ABS Pump &amp; Module (3).JPG</t>
  </si>
  <si>
    <t>2023-10-25 16:09:22     661679 AA1155/A16. ABS Pump &amp; Module (4).JPG</t>
  </si>
  <si>
    <t>2023-10-25 16:09:22     842998 AA1155/A16. ABS Pump &amp; Module (5).JPG</t>
  </si>
  <si>
    <t>2023-10-25 16:09:22     296169 AA1155/A17. Muffler Tips SET2 (1).JPG</t>
  </si>
  <si>
    <t>2023-10-25 16:09:23     362900 AA1155/A17. Muffler Tips SET2 (2).JPG</t>
  </si>
  <si>
    <t>2023-10-25 16:09:23     351458 AA1155/A17. Muffler Tips SET2 (3).JPG</t>
  </si>
  <si>
    <t>2023-10-25 16:09:24     854407 AA1155/A17. Muffler Tips SET2 (4).JPG</t>
  </si>
  <si>
    <t>2023-10-25 16:09:24     590833 AA1155/A18. Airbag, DASH - RIGHT (PASSENGER) (1).JPG</t>
  </si>
  <si>
    <t>2023-10-25 16:09:25     641633 AA1155/A18. Airbag, DASH - RIGHT (PASSENGER) (2).JPG</t>
  </si>
  <si>
    <t>2023-10-25 16:09:25     701519 AA1155/A18. Airbag, DASH - RIGHT (PASSENGER) (3).JPG</t>
  </si>
  <si>
    <t>2023-10-25 16:09:26     827630 AA1155/A18. Airbag, DASH - RIGHT (PASSENGER) (4).JPG</t>
  </si>
  <si>
    <t>2023-10-25 16:09:26    1010234 AA1155/A18. Airbag, DASH - RIGHT (PASSENGER) (5).JPG</t>
  </si>
  <si>
    <t>2023-10-25 16:09:26     512832 AA1155/A19. Blower Motor, FRONT FOOTWELL (1).JPG</t>
  </si>
  <si>
    <t>2023-10-25 16:09:27     533316 AA1155/A19. Blower Motor, FRONT FOOTWELL (2).JPG</t>
  </si>
  <si>
    <t>2023-10-25 16:09:27     620942 AA1155/A19. Blower Motor, FRONT FOOTWELL (3).JPG</t>
  </si>
  <si>
    <t>2023-10-25 16:09:28     704004 AA1155/A19. Blower Motor, FRONT FOOTWELL (4).JPG</t>
  </si>
  <si>
    <t>2023-10-25 16:09:28     497480 AA1155/A20. Airbag, ROOF - RIGHT (PASSENGER) (1).JPG</t>
  </si>
  <si>
    <t>2023-10-25 16:09:29     628894 AA1155/A20. Airbag, ROOF - RIGHT (PASSENGER) (2).JPG</t>
  </si>
  <si>
    <t>2023-10-25 16:09:29     562457 AA1155/A20. Airbag, ROOF - RIGHT (PASSENGER) (3).JPG</t>
  </si>
  <si>
    <t>2023-10-25 16:09:29     673108 AA1155/A20. Airbag, ROOF - RIGHT (PASSENGER) (4).JPG</t>
  </si>
  <si>
    <t>2023-10-25 16:09:30     595411 AA1155/A20. Airbag, ROOF - RIGHT (PASSENGER) (5).JPG</t>
  </si>
  <si>
    <t>2023-10-25 16:09:30     339108 AA1155/A21. Control Arms, FRONT - UPPER U WISHBONE, RIGHT (1).JPG</t>
  </si>
  <si>
    <t>2023-10-25 16:09:31     365277 AA1155/A21. Control Arms, FRONT - UPPER U WISHBONE, RIGHT (2).JPG</t>
  </si>
  <si>
    <t>2023-10-25 16:09:31     410133 AA1155/A21. Control Arms, FRONT - UPPER U WISHBONE, RIGHT (3).JPG</t>
  </si>
  <si>
    <t>2023-10-25 16:09:31     712138 AA1155/A21. Control Arms, FRONT - UPPER U WISHBONE, RIGHT (4).JPG</t>
  </si>
  <si>
    <t>2023-10-25 16:09:32     663661 AA1155/A21. Control Arms, FRONT - UPPER U WISHBONE, RIGHT (5).JPG</t>
  </si>
  <si>
    <t>2023-10-25 16:09:32     786631 AA1155/A22. Airbag, ROOF - LEFT (DRIVER) (1).JPG</t>
  </si>
  <si>
    <t>2023-10-25 16:09:33     611234 AA1155/A22. Airbag, ROOF - LEFT (DRIVER) (2).JPG</t>
  </si>
  <si>
    <t>2023-10-25 16:09:33     517628 AA1155/A22. Airbag, ROOF - LEFT (DRIVER) (3).JPG</t>
  </si>
  <si>
    <t>2023-10-25 16:09:34     932063 AA1155/A22. Airbag, ROOF - LEFT (DRIVER) (4).JPG</t>
  </si>
  <si>
    <t>2023-10-25 16:09:34    1104214 AA1155/A22. Airbag, ROOF - LEFT (DRIVER) (5).JPG</t>
  </si>
  <si>
    <t>2023-10-25 16:09:35     355850 AA1155/A23. PDC SET4 With Harness, REAR (1).JPG</t>
  </si>
  <si>
    <t>2023-10-25 16:09:35     334413 AA1155/A23. PDC SET4 With Harness, REAR (2).JPG</t>
  </si>
  <si>
    <t>2023-10-25 16:09:35     844067 AA1155/A23. PDC SET4 With Harness, REAR (3).JPG</t>
  </si>
  <si>
    <t>2023-10-25 16:09:36     746324 AA1155/A23. PDC SET4 With Harness, REAR (4).JPG</t>
  </si>
  <si>
    <t>2023-10-25 16:09:36     467797 AA1155/A23. PDC SET4 With Harness, REAR (5).JPG</t>
  </si>
  <si>
    <t>2023-10-25 16:09:37     422470 AA1155/A24. TPMS Tire Pressure Sensor SET4 (1).JPG</t>
  </si>
  <si>
    <t>2023-10-25 16:09:37     422415 AA1155/A24. TPMS Tire Pressure Sensor SET4 (2).JPG</t>
  </si>
  <si>
    <t>2023-10-25 16:09:37     456481 AA1155/A24. TPMS Tire Pressure Sensor SET4 (3).JPG</t>
  </si>
  <si>
    <t>2023-10-25 16:09:38     398088 AA1155/A25. Steering Column Lower U-Joint Shaft (1).JPG</t>
  </si>
  <si>
    <t>2023-10-25 16:09:38     394659 AA1155/A25. Steering Column Lower U-Joint Shaft (2).JPG</t>
  </si>
  <si>
    <t>2023-10-25 16:09:39     392695 AA1155/A25. Steering Column Lower U-Joint Shaft (3).JPG</t>
  </si>
  <si>
    <t>2023-10-25 16:09:39     632057 AA1155/A25. Steering Column Lower U-Joint Shaft (4).JPG</t>
  </si>
  <si>
    <t>2023-10-25 16:09:39     338890 AA1155/A26. Wiper Arms, FRONT SET2 (1).JPG</t>
  </si>
  <si>
    <t>2023-10-25 16:09:40     368804 AA1155/A26. Wiper Arms, FRONT SET2 (2).JPG</t>
  </si>
  <si>
    <t>2023-10-25 16:09:40     359337 AA1155/A26. Wiper Arms, FRONT SET2 (3).JPG</t>
  </si>
  <si>
    <t>2023-10-25 16:09:41     742749 AA1155/A26. Wiper Arms, FRONT SET2 (4).JPG</t>
  </si>
  <si>
    <t>2023-10-25 16:09:41     739177 AA1155/A26. Wiper Arms, FRONT SET2 (5).JPG</t>
  </si>
  <si>
    <t>2023-10-25 17:12:20     418519 AA1155/A27. Door Latch, REAR - RIGHT Soft Close WITH Actuator SET2 (1).JPG</t>
  </si>
  <si>
    <t>2023-10-25 17:12:20     577332 AA1155/A27. Door Latch, REAR - RIGHT Soft Close WITH Actuator SET2 (2).JPG</t>
  </si>
  <si>
    <t>2023-10-25 17:12:20     381897 AA1155/A27. Door Latch, REAR - RIGHT Soft Close WITH Actuator SET2 (3).JPG</t>
  </si>
  <si>
    <t>2023-10-25 17:12:20     343257 AA1155/A27. Door Latch, REAR - RIGHT Soft Close WITH Actuator SET2 (4).JPG</t>
  </si>
  <si>
    <t>2023-10-25 17:12:20     742171 AA1155/A27. Door Latch, REAR - RIGHT Soft Close WITH Actuator SET2 (5).JPG</t>
  </si>
  <si>
    <t>2023-10-25 17:12:20     429628 AA1155/A27. Door Latch, REAR - RIGHT Soft Close WITH Actuator SET2 (6).JPG</t>
  </si>
  <si>
    <t>2023-10-25 17:12:20    1341261 AA1155/A27. Door Latch, REAR - RIGHT Soft Close WITH Actuator SET2 (7).JPG</t>
  </si>
  <si>
    <t>2023-10-25 17:12:20     376825 AA1155/A28. Door Latch, REAR - LEFT Soft Close WITH Actuator SET2 (1).JPG</t>
  </si>
  <si>
    <t>2023-10-25 17:12:20     413866 AA1155/A28. Door Latch, REAR - LEFT Soft Close WITH Actuator SET2 (2).JPG</t>
  </si>
  <si>
    <t>2023-10-25 17:12:20     498220 AA1155/A28. Door Latch, REAR - LEFT Soft Close WITH Actuator SET2 (3).JPG</t>
  </si>
  <si>
    <t>2023-10-25 17:12:20     637783 AA1155/A28. Door Latch, REAR - LEFT Soft Close WITH Actuator SET2 (4).JPG</t>
  </si>
  <si>
    <t>2023-10-25 17:12:20    1429787 AA1155/A28. Door Latch, REAR - LEFT Soft Close WITH Actuator SET2 (5).JPG</t>
  </si>
  <si>
    <t>2023-10-25 17:12:20     387933 AA1155/A29. Door Latch, FRONT - RIGHT Soft Close WITH Actuator SET2 (1).JPG</t>
  </si>
  <si>
    <t>2023-10-25 17:12:20     541329 AA1155/A29. Door Latch, FRONT - RIGHT Soft Close WITH Actuator SET2 (2).JPG</t>
  </si>
  <si>
    <t>2023-10-25 17:12:20     456730 AA1155/A29. Door Latch, FRONT - RIGHT Soft Close WITH Actuator SET2 (3).JPG</t>
  </si>
  <si>
    <t>2023-10-25 17:12:20     477718 AA1155/A29. Door Latch, FRONT - RIGHT Soft Close WITH Actuator SET2 (4).JPG</t>
  </si>
  <si>
    <t>2023-10-25 17:12:20     556316 AA1155/A29. Door Latch, FRONT - RIGHT Soft Close WITH Actuator SET2 (5).JPG</t>
  </si>
  <si>
    <t>2023-10-25 17:12:20    1351161 AA1155/A29. Door Latch, FRONT - RIGHT Soft Close WITH Actuator SET2 (6).JPG</t>
  </si>
  <si>
    <t>2023-10-25 17:12:20     470287 AA1155/A30. Door Latch, FRONT - LEFT Soft Close WITH Actuator SET2 (1).JPG</t>
  </si>
  <si>
    <t>2023-10-25 17:12:20     502596 AA1155/A30. Door Latch, FRONT - LEFT Soft Close WITH Actuator SET2 (2).JPG</t>
  </si>
  <si>
    <t>2023-10-25 17:12:20     513173 AA1155/A30. Door Latch, FRONT - LEFT Soft Close WITH Actuator SET2 (3).JPG</t>
  </si>
  <si>
    <t>2023-10-25 17:12:20     678910 AA1155/A30. Door Latch, FRONT - LEFT Soft Close WITH Actuator SET2 (4).JPG</t>
  </si>
  <si>
    <t>2023-10-25 17:12:20     636989 AA1155/A30. Door Latch, FRONT - LEFT Soft Close WITH Actuator SET2 (5).JPG</t>
  </si>
  <si>
    <t>2023-10-25 17:12:20    1231995 AA1155/A30. Door Latch, FRONT - LEFT Soft Close WITH Actuator SET2 (6).JPG</t>
  </si>
  <si>
    <t>2023-10-25 17:12:20     320179 AA1155/A31. Battery Cable, NEGATIVE w IBS Module ON (1).JPG</t>
  </si>
  <si>
    <t>2023-10-25 17:12:20     318329 AA1155/A31. Battery Cable, NEGATIVE w IBS Module ON (2).JPG</t>
  </si>
  <si>
    <t>2023-10-25 17:12:20     284483 AA1155/A31. Battery Cable, NEGATIVE w IBS Module ON (3).JPG</t>
  </si>
  <si>
    <t>2023-10-25 17:12:20     674076 AA1155/A31. Battery Cable, NEGATIVE w IBS Module ON (4).JPG</t>
  </si>
  <si>
    <t>2023-10-25 17:10:29     419542 AA1155/A32. Battery Cable, POSITIVE &amp; Attached Terminal Bracket, THE BIG PRIMARY ONE (1).JPG</t>
  </si>
  <si>
    <t>2023-10-25 17:10:29     476384 AA1155/A32. Battery Cable, POSITIVE &amp; Attached Terminal Bracket, THE BIG PRIMARY ONE (2).JPG</t>
  </si>
  <si>
    <t>2023-10-25 17:10:29     426435 AA1155/A32. Battery Cable, POSITIVE &amp; Attached Terminal Bracket, THE BIG PRIMARY ONE (3).JPG</t>
  </si>
  <si>
    <t>2023-10-25 17:10:30     823389 AA1155/A32. Battery Cable, POSITIVE &amp; Attached Terminal Bracket, THE BIG PRIMARY ONE (4).JPG</t>
  </si>
  <si>
    <t>2023-10-25 17:12:20     404756 AA1155/A33. Hood Upper Release Lever &amp; Cable &amp; Strikers as SET (1).JPG</t>
  </si>
  <si>
    <t>2023-10-25 17:12:20     376890 AA1155/A33. Hood Upper Release Lever &amp; Cable &amp; Strikers as SET (2).JPG</t>
  </si>
  <si>
    <t>2023-10-25 17:12:20     389380 AA1155/A33. Hood Upper Release Lever &amp; Cable &amp; Strikers as SET (3).JPG</t>
  </si>
  <si>
    <t>2023-10-25 17:12:20     431546 AA1155/A33. Hood Upper Release Lever &amp; Cable &amp; Strikers as SET (4).JPG</t>
  </si>
  <si>
    <t>2023-10-25 17:12:20     645902 AA1155/A33. Hood Upper Release Lever &amp; Cable &amp; Strikers as SET (5).JPG</t>
  </si>
  <si>
    <t>2023-10-25 17:12:20     984109 AA1155/A33. Hood Upper Release Lever &amp; Cable &amp; Strikers as SET (6).JPG</t>
  </si>
  <si>
    <t>2023-10-25 17:12:21     530852 AA1155/A33. Hood Upper Release Lever &amp; Cable &amp; Strikers as SET (7).JPG</t>
  </si>
  <si>
    <t>2023-10-25 17:12:21     411867 AA1155/A33. Hood Upper Release Lever &amp; Cable &amp; Strikers as SET (8).JPG</t>
  </si>
  <si>
    <t>2023-10-25 17:12:21     850550 AA1155/A33. Hood Upper Release Lever &amp; Cable &amp; Strikers as SET (9).JPG</t>
  </si>
  <si>
    <t>2023-10-25 17:12:21     543428 AA1155/A34. Wiper Motor, Trunk (1).JPG</t>
  </si>
  <si>
    <t>2023-10-25 17:12:21     423258 AA1155/A34. Wiper Motor, Trunk (2).JPG</t>
  </si>
  <si>
    <t>2023-10-25 17:12:21     481849 AA1155/A34. Wiper Motor, Trunk (3).JPG</t>
  </si>
  <si>
    <t>2023-10-25 17:12:21     930883 AA1155/A34. Wiper Motor, Trunk (4).JPG</t>
  </si>
  <si>
    <t>2023-10-25 17:12:21     494282 AA1155/A35. Hood Latches SET2 WITH Cables (1).JPG</t>
  </si>
  <si>
    <t>2023-10-25 17:12:21     547427 AA1155/A35. Hood Latches SET2 WITH Cables (2).JPG</t>
  </si>
  <si>
    <t>2023-10-25 17:12:21     630145 AA1155/A35. Hood Latches SET2 WITH Cables (3).JPG</t>
  </si>
  <si>
    <t>2023-10-25 17:12:21     370704 AA1155/A35. Hood Latches SET2 WITH Cables (4).JPG</t>
  </si>
  <si>
    <t>2023-10-25 17:12:21     713405 AA1155/A35. Hood Latches SET2 WITH Cables (5).JPG</t>
  </si>
  <si>
    <t>2023-10-25 17:12:21     334615 AA1155/A36. Center Console Cell Phone Cradle (1).JPG</t>
  </si>
  <si>
    <t>2023-10-25 17:12:21     320065 AA1155/A36. Center Console Cell Phone Cradle (2).JPG</t>
  </si>
  <si>
    <t>2023-10-25 17:12:21     340804 AA1155/A36. Center Console Cell Phone Cradle (3).JPG</t>
  </si>
  <si>
    <t>2023-10-25 17:12:21     394095 AA1155/A36. Center Console Cell Phone Cradle (4).JPG</t>
  </si>
  <si>
    <t>2023-10-25 17:12:21     474347 AA1155/A37. Sunroof, Motor (1).JPG</t>
  </si>
  <si>
    <t>2023-10-25 17:12:21     512809 AA1155/A37. Sunroof, Motor (2).JPG</t>
  </si>
  <si>
    <t>2023-10-25 17:12:21     450779 AA1155/A37. Sunroof, Motor (3).JPG</t>
  </si>
  <si>
    <t>2023-10-25 17:12:21     845797 AA1155/A37. Sunroof, Motor (4).JPG</t>
  </si>
  <si>
    <t>2023-10-25 17:12:21     504180 AA1155/A38. Sunroof, Motor (1).JPG</t>
  </si>
  <si>
    <t>2023-10-25 17:12:21     455457 AA1155/A38. Sunroof, Motor (2).JPG</t>
  </si>
  <si>
    <t>2023-10-25 17:12:21     502683 AA1155/A38. Sunroof, Motor (3).JPG</t>
  </si>
  <si>
    <t>2023-10-25 17:12:21     959567 AA1155/A38. Sunroof, Motor (4).JPG</t>
  </si>
  <si>
    <t>2023-10-25 17:12:21     406978 AA1155/A39. Trunk Latch WITH Soft Close Actuator Motor &amp; Cables (1).JPG</t>
  </si>
  <si>
    <t>2023-10-25 17:12:21     434928 AA1155/A39. Trunk Latch WITH Soft Close Actuator Motor &amp; Cables (2).JPG</t>
  </si>
  <si>
    <t>2023-10-25 17:12:21     635986 AA1155/A39. Trunk Latch WITH Soft Close Actuator Motor &amp; Cables (3).JPG</t>
  </si>
  <si>
    <t>2023-10-25 17:12:21     569128 AA1155/A39. Trunk Latch WITH Soft Close Actuator Motor &amp; Cables (4).JPG</t>
  </si>
  <si>
    <t>2023-10-25 17:12:21     577586 AA1155/A39. Trunk Latch WITH Soft Close Actuator Motor &amp; Cables (5).JPG</t>
  </si>
  <si>
    <t>2023-10-25 17:12:21     658461 AA1155/A39. Trunk Latch WITH Soft Close Actuator Motor &amp; Cables (6).JPG</t>
  </si>
  <si>
    <t>2023-10-25 17:12:21     970977 AA1155/A39. Trunk Latch WITH Soft Close Actuator Motor &amp; Cables (7).JPG</t>
  </si>
  <si>
    <t>2023-10-25 17:12:21     388543 AA1155/A40. Height Level Sensors, FRONT - LEFT (1).JPG</t>
  </si>
  <si>
    <t>2023-10-25 17:12:21     360103 AA1155/A40. Height Level Sensors, FRONT - LEFT (2).JPG</t>
  </si>
  <si>
    <t>2023-10-25 17:12:21     334377 AA1155/A40. Height Level Sensors, FRONT - LEFT (3).JPG</t>
  </si>
  <si>
    <t>2023-10-25 17:12:21     352512 AA1155/A41. Height Level Sensors, REAR - LEFT (1).JPG</t>
  </si>
  <si>
    <t>2023-10-25 17:12:21     344760 AA1155/A41. Height Level Sensors, REAR - LEFT (2).JPG</t>
  </si>
  <si>
    <t>2023-10-25 17:12:21     353030 AA1155/A41. Height Level Sensors, REAR - LEFT (3).JPG</t>
  </si>
  <si>
    <t>2023-10-25 17:12:21     536318 AA1155/A41. Height Level Sensors, REAR - LEFT (4).JPG</t>
  </si>
  <si>
    <t>2023-10-25 17:12:21     407323 AA1155/A42. Windshield Washer Spray Nozzles &amp; Rubber Hose (1).JPG</t>
  </si>
  <si>
    <t>2023-10-25 17:12:21     370541 AA1155/A42. Windshield Washer Spray Nozzles &amp; Rubber Hose (2).JPG</t>
  </si>
  <si>
    <t>2023-10-25 17:12:21     470903 AA1155/A42. Windshield Washer Spray Nozzles &amp; Rubber Hose (3).JPG</t>
  </si>
  <si>
    <t>2023-10-25 17:12:21     434512 AA1155/A42. Windshield Washer Spray Nozzles &amp; Rubber Hose (4).JPG</t>
  </si>
  <si>
    <t>2023-10-25 17:12:21     539252 AA1155/A43. Transmission Oil Cooler (1).JPG</t>
  </si>
  <si>
    <t>2023-10-25 17:12:21     538257 AA1155/A43. Transmission Oil Cooler (2).JPG</t>
  </si>
  <si>
    <t>2023-10-25 17:12:21     575935 AA1155/A43. Transmission Oil Cooler (3).JPG</t>
  </si>
  <si>
    <t>2023-10-25 17:12:21     448934 AA1155/A43. Transmission Oil Cooler (4).JPG</t>
  </si>
  <si>
    <t>2023-10-25 17:12:21     917136 AA1155/A43. Transmission Oil Cooler (5).JPG</t>
  </si>
  <si>
    <t>2023-10-25 17:12:21     355249 AA1155/A44. Oxygen Sensor SET2 (1).JPG</t>
  </si>
  <si>
    <t>2023-10-25 17:12:21     377815 AA1155/A44. Oxygen Sensor SET2 (2).JPG</t>
  </si>
  <si>
    <t>2023-10-25 17:12:21     359692 AA1155/A44. Oxygen Sensor SET2 (3).JPG</t>
  </si>
  <si>
    <t>2023-10-25 17:12:21    1065160 AA1155/A44. Oxygen Sensor SET2 (4).JPG</t>
  </si>
  <si>
    <t>2023-10-25 17:12:21     673545 AA1155/A44. Oxygen Sensor SET2 (5).JPG</t>
  </si>
  <si>
    <t>2023-10-25 17:12:21     694256 AA1155/A45. Rear Arm Rest  Cup Holder (1).JPG</t>
  </si>
  <si>
    <t>2023-10-25 17:12:21     484583 AA1155/A45. Rear Arm Rest  Cup Holder (2).JPG</t>
  </si>
  <si>
    <t>2023-10-25 17:12:21     454160 AA1155/A45. Rear Arm Rest  Cup Holder (3).JPG</t>
  </si>
  <si>
    <t>2023-10-25 17:12:21     555413 AA1155/A45. Rear Arm Rest  Cup Holder (4).JPG</t>
  </si>
  <si>
    <t>2023-10-25 17:12:21     480160 AA1155/A45. Rear Arm Rest  Cup Holder (5).JPG</t>
  </si>
  <si>
    <t>2023-10-25 17:12:21     450447 AA1155/A46. Vent, DASH - FRONT CENTER with Hazard Button (1).JPG</t>
  </si>
  <si>
    <t>2023-10-25 17:12:21     455891 AA1155/A46. Vent, DASH - FRONT CENTER with Hazard Button (2).JPG</t>
  </si>
  <si>
    <t>2023-10-25 17:12:21     420186 AA1155/A46. Vent, DASH - FRONT CENTER with Hazard Button (3).JPG</t>
  </si>
  <si>
    <t>2023-10-25 17:12:22     526337 AA1155/A46. Vent, DASH - FRONT CENTER with Hazard Button (4).JPG</t>
  </si>
  <si>
    <t>2023-10-25 17:12:21     797520 AA1155/A46. Vent, DASH - FRONT CENTER with Hazard Button (5).JPG</t>
  </si>
  <si>
    <t>2023-10-25 17:12:21     524151 AA1155/A47. Door Handle, Exterior - FRONT - LEFT (1).JPG</t>
  </si>
  <si>
    <t>2023-10-25 17:12:21     457479 AA1155/A47. Door Handle, Exterior - FRONT - LEFT (2).JPG</t>
  </si>
  <si>
    <t>2023-10-25 17:12:22     468356 AA1155/A47. Door Handle, Exterior - FRONT - LEFT (3).JPG</t>
  </si>
  <si>
    <t>2023-10-25 17:12:22     463840 AA1155/A47. Door Handle, Exterior - FRONT - LEFT (4).JPG</t>
  </si>
  <si>
    <t>2023-10-25 17:12:22     658915 AA1155/A47. Door Handle, Exterior - FRONT - LEFT (5).JPG</t>
  </si>
  <si>
    <t>2023-10-25 17:12:21     473082 AA1155/A48. Navigation Display Screen (1).JPG</t>
  </si>
  <si>
    <t>2023-10-25 17:12:22     300441 AA1155/A48. Navigation Display Screen (2).jpg</t>
  </si>
  <si>
    <t>2023-10-25 17:12:21     267973 AA1155/A48. Navigation Display Screen (3).jpg</t>
  </si>
  <si>
    <t>2023-10-25 17:12:21     297200 AA1155/A48. Navigation Display Screen (4).JPG</t>
  </si>
  <si>
    <t>2023-10-25 17:12:21     379233 AA1155/A48. Navigation Display Screen (5).JPG</t>
  </si>
  <si>
    <t>2023-10-25 17:12:22     558984 AA1155/A48. Navigation Display Screen (6).JPG</t>
  </si>
  <si>
    <t>2023-10-25 17:12:22    1057755 AA1155/A48. Navigation Display Screen (7).JPG</t>
  </si>
  <si>
    <t>2023-10-25 17:12:21     474770 AA1155/A49. Door Handle, Exterior - REAR - LEFT (1).JPG</t>
  </si>
  <si>
    <t>2023-10-25 17:12:21     528462 AA1155/A49. Door Handle, Exterior - REAR - LEFT (2).JPG</t>
  </si>
  <si>
    <t>2023-10-25 17:12:22     527681 AA1155/A49. Door Handle, Exterior - REAR - LEFT (3).JPG</t>
  </si>
  <si>
    <t>2023-10-25 17:12:22     503812 AA1155/A49. Door Handle, Exterior - REAR - LEFT (4).JPG</t>
  </si>
  <si>
    <t>2023-10-25 17:12:22     889722 AA1155/A49. Door Handle, Exterior - REAR - LEFT (5).JPG</t>
  </si>
  <si>
    <t>2023-10-25 17:12:22     327664 AA1155/A50. Seatbelt Retractor, FRONT - LEFT (1).JPG</t>
  </si>
  <si>
    <t>2023-10-25 17:12:22     324471 AA1155/A50. Seatbelt Retractor, FRONT - LEFT (2).JPG</t>
  </si>
  <si>
    <t>2023-10-25 17:12:22     397197 AA1155/A50. Seatbelt Retractor, FRONT - LEFT (3).JPG</t>
  </si>
  <si>
    <t>2023-10-25 17:12:22     795829 AA1155/A50. Seatbelt Retractor, FRONT - LEFT (4).JPG</t>
  </si>
  <si>
    <t>2023-10-25 17:12:22     440405 AA1155/A51. Combination Switch Assembly (1).JPG</t>
  </si>
  <si>
    <t>2023-10-25 17:12:22     467913 AA1155/A51. Combination Switch Assembly (2).JPG</t>
  </si>
  <si>
    <t>2023-10-25 17:12:22     408392 AA1155/A51. Combination Switch Assembly (3).JPG</t>
  </si>
  <si>
    <t>2023-10-25 17:12:22     447637 AA1155/A51. Combination Switch Assembly (4).JPG</t>
  </si>
  <si>
    <t>2023-10-25 17:12:22     887434 AA1155/A51. Combination Switch Assembly (5).JPG</t>
  </si>
  <si>
    <t>2023-10-25 17:12:22     756733 AA1155/A51. Combination Switch Assembly (6).JPG</t>
  </si>
  <si>
    <t>2023-10-25 17:12:22     447056 AA1155/A52. Door Handle, Exterior - REAR - RIGHT (1).JPG</t>
  </si>
  <si>
    <t>2023-10-25 17:12:22     436262 AA1155/A52. Door Handle, Exterior - REAR - RIGHT (2).JPG</t>
  </si>
  <si>
    <t>2023-10-25 17:12:22     495120 AA1155/A52. Door Handle, Exterior - REAR - RIGHT (3).JPG</t>
  </si>
  <si>
    <t>2023-10-25 17:12:22     491655 AA1155/A52. Door Handle, Exterior - REAR - RIGHT (4).JPG</t>
  </si>
  <si>
    <t>2023-10-25 17:12:22     984372 AA1155/A52. Door Handle, Exterior - REAR - RIGHT (5).JPG</t>
  </si>
  <si>
    <t>2023-10-25 17:12:22     417884 AA1155/A53. Trunk Emblem (1).JPG</t>
  </si>
  <si>
    <t>2023-10-25 17:12:22     459355 AA1155/A53. Trunk Emblem (2).JPG</t>
  </si>
  <si>
    <t>2023-10-25 17:12:22     568167 AA1155/A53. Trunk Emblem (3).JPG</t>
  </si>
  <si>
    <t>2023-10-25 17:12:22    1068753 AA1155/A53. Trunk Emblem (4).JPG</t>
  </si>
  <si>
    <t>2023-10-25 17:12:22     505541 AA1155/A54. Seat Adjust Switch, FRONT - RIGHT (1).JPG</t>
  </si>
  <si>
    <t>2023-10-25 17:12:22     419079 AA1155/A54. Seat Adjust Switch, FRONT - RIGHT (2).JPG</t>
  </si>
  <si>
    <t>2023-10-25 17:13:02     547804 AA1155/A54. Seat Adjust Switch, FRONT - RIGHT (3).JPG</t>
  </si>
  <si>
    <t>2023-10-25 17:13:02     517766 AA1155/A54. Seat Adjust Switch, FRONT - RIGHT (4).JPG</t>
  </si>
  <si>
    <t>2023-10-25 17:13:01     457020 AA1155/A55. Traction Control Switch Panel (1).JPG</t>
  </si>
  <si>
    <t>2023-10-25 17:13:02      72737 AA1155/A55. Traction Control Switch Panel (2).jpg</t>
  </si>
  <si>
    <t>2023-10-25 17:13:02     338639 AA1155/A55. Traction Control Switch Panel (3).JPG</t>
  </si>
  <si>
    <t>2023-10-25 17:13:01     281348 AA1155/A55. Traction Control Switch Panel (4).JPG</t>
  </si>
  <si>
    <t>2023-10-25 17:13:02     509404 AA1155/A55. Traction Control Switch Panel (5).JPG</t>
  </si>
  <si>
    <t>2023-10-25 17:13:01     573869 AA1155/A55. Traction Control Switch Panel (6).JPG</t>
  </si>
  <si>
    <t>2023-10-25 17:13:02     314526 AA1155/A56. Steering Wheel Adjust Switch With Steering Wheel Heater (1).JPG</t>
  </si>
  <si>
    <t>2023-10-25 17:13:01     256577 AA1155/A56. Steering Wheel Adjust Switch With Steering Wheel Heater (2).JPG</t>
  </si>
  <si>
    <t>2023-10-25 17:13:02     309831 AA1155/A56. Steering Wheel Adjust Switch With Steering Wheel Heater (3).JPG</t>
  </si>
  <si>
    <t>2023-10-25 17:13:02     325227 AA1155/A56. Steering Wheel Adjust Switch With Steering Wheel Heater (4).JPG</t>
  </si>
  <si>
    <t>2023-10-25 17:13:01     560895 AA1155/A56. Steering Wheel Adjust Switch With Steering Wheel Heater (5).JPG</t>
  </si>
  <si>
    <t>2023-10-25 17:13:02     554744 AA1155/A57. Seat Adjust Switch, FRONT - LEFT (1).JPG</t>
  </si>
  <si>
    <t>2023-10-25 17:13:01     472404 AA1155/A57. Seat Adjust Switch, FRONT - LEFT (2).JPG</t>
  </si>
  <si>
    <t>2023-10-25 17:13:01     573501 AA1155/A57. Seat Adjust Switch, FRONT - LEFT (3).JPG</t>
  </si>
  <si>
    <t>2023-10-25 17:13:01     600452 AA1155/A57. Seat Adjust Switch, FRONT - LEFT (4).JPG</t>
  </si>
  <si>
    <t>2023-10-25 17:13:02     225410 AA1155/A58. Switch, Window Master (1).JPG</t>
  </si>
  <si>
    <t>2023-10-25 17:13:02     347077 AA1155/A58. Switch, Window Master (2).JPG</t>
  </si>
  <si>
    <t>2023-10-25 17:13:02     313286 AA1155/A58. Switch, Window Master (3).JPG</t>
  </si>
  <si>
    <t>2023-10-25 17:13:01     577353 AA1155/A58. Switch, Window Master (4).JPG</t>
  </si>
  <si>
    <t>2023-10-25 17:13:01     596626 AA1155/A58. Switch, Window Master (5).JPG</t>
  </si>
  <si>
    <t>2023-10-25 17:13:01     429869 AA1155/A59. Vent, DASH - FRONT LEFT (1).JPG</t>
  </si>
  <si>
    <t>2023-10-25 17:13:01     394837 AA1155/A59. Vent, DASH - FRONT LEFT (2).JPG</t>
  </si>
  <si>
    <t>2023-10-25 17:13:01     470654 AA1155/A59. Vent, DASH - FRONT LEFT (3).JPG</t>
  </si>
  <si>
    <t>2023-10-25 17:13:01     428574 AA1155/A59. Vent, DASH - FRONT LEFT (4).JPG</t>
  </si>
  <si>
    <t>2023-10-25 17:13:01     320171 AA1155/A60. Seatbelt Buckle, FRONT - RIGHT (1).JPG</t>
  </si>
  <si>
    <t>2023-10-25 17:13:01     294635 AA1155/A60. Seatbelt Buckle, FRONT - RIGHT (2).JPG</t>
  </si>
  <si>
    <t>2023-10-25 17:13:01     365989 AA1155/A60. Seatbelt Buckle, FRONT - RIGHT (3).JPG</t>
  </si>
  <si>
    <t>2023-10-25 17:13:01     760745 AA1155/A60. Seatbelt Buckle, FRONT - RIGHT (4).JPG</t>
  </si>
  <si>
    <t>2023-10-25 17:13:01     380617 AA1155/A61. Dome Light, FRONT PRIMARY ONE (1).JPG</t>
  </si>
  <si>
    <t>2023-10-25 17:13:01     416987 AA1155/A61. Dome Light, FRONT PRIMARY ONE (2).JPG</t>
  </si>
  <si>
    <t>2023-10-25 17:13:01     523051 AA1155/A61. Dome Light, FRONT PRIMARY ONE (3).JPG</t>
  </si>
  <si>
    <t>2023-10-25 17:13:01     784631 AA1155/A61. Dome Light, FRONT PRIMARY ONE (4).JPG</t>
  </si>
  <si>
    <t>2023-10-25 17:13:01     967237 AA1155/A61. Dome Light, FRONT PRIMARY ONE (5).JPG</t>
  </si>
  <si>
    <t>2023-10-25 17:13:01     525004 AA1155/A62. Airbag, STEERING WHEEL (1).JPG</t>
  </si>
  <si>
    <t>2023-10-25 17:13:01     538184 AA1155/A62. Airbag, STEERING WHEEL (2).JPG</t>
  </si>
  <si>
    <t>2023-10-25 17:13:01     549852 AA1155/A62. Airbag, STEERING WHEEL (3).JPG</t>
  </si>
  <si>
    <t>2023-10-25 17:13:01     655173 AA1155/A62. Airbag, STEERING WHEEL (4).JPG</t>
  </si>
  <si>
    <t>2023-10-25 17:13:01     339842 AA1155/A63. Seatbelt Retractor, FRONT - RIGHT (1).JPG</t>
  </si>
  <si>
    <t>2023-10-25 17:13:02     338608 AA1155/A63. Seatbelt Retractor, FRONT - RIGHT (2).JPG</t>
  </si>
  <si>
    <t>2023-10-25 17:13:02     472439 AA1155/A63. Seatbelt Retractor, FRONT - RIGHT (3).JPG</t>
  </si>
  <si>
    <t>2023-10-25 17:13:02     857728 AA1155/A63. Seatbelt Retractor, FRONT - RIGHT (4).JPG</t>
  </si>
  <si>
    <t>2023-10-25 17:13:02     426573 AA1155/A64. Mirror, REARVIEW (1).JPG</t>
  </si>
  <si>
    <t>2023-10-25 17:13:02     397025 AA1155/A64. Mirror, REARVIEW (2).JPG</t>
  </si>
  <si>
    <t>2023-10-25 17:13:02     379911 AA1155/A64. Mirror, REARVIEW (3).JPG</t>
  </si>
  <si>
    <t>2023-10-25 17:13:02     327722 AA1155/A64. Mirror, REARVIEW (4).JPG</t>
  </si>
  <si>
    <t>2023-10-25 17:13:02     434663 AA1155/A64. Mirror, REARVIEW (5).JPG</t>
  </si>
  <si>
    <t>2023-10-25 17:13:02     418207 AA1155/A64. Mirror, REARVIEW (6).JPG</t>
  </si>
  <si>
    <t>2023-10-25 17:13:02     438852 AA1155/A65. Vent, DASH - FRONT RIGHT (1).JPG</t>
  </si>
  <si>
    <t>2023-10-25 17:13:02     427174 AA1155/A65. Vent, DASH - FRONT RIGHT (2).JPG</t>
  </si>
  <si>
    <t>2023-10-25 17:13:02     442482 AA1155/A65. Vent, DASH - FRONT RIGHT (3).JPG</t>
  </si>
  <si>
    <t>2023-10-25 17:13:02     368568 AA1155/A65. Vent, DASH - FRONT RIGHT (4).JPG</t>
  </si>
  <si>
    <t>2023-10-25 17:13:02     313529 AA1155/A66. Seatbelt Buckle, FRONT - LEFT (1).JPG</t>
  </si>
  <si>
    <t>2023-10-25 17:13:02     302135 AA1155/A66. Seatbelt Buckle, FRONT - LEFT (2).JPG</t>
  </si>
  <si>
    <t>2023-10-25 17:13:02     339150 AA1155/A66. Seatbelt Buckle, FRONT - LEFT (3).JPG</t>
  </si>
  <si>
    <t>2023-10-25 17:13:02     431318 AA1155/A66. Seatbelt Buckle, FRONT - LEFT (4).JPG</t>
  </si>
  <si>
    <t>2023-10-25 17:13:02     355720 AA1155/A67. Headlight Switch (1).JPG</t>
  </si>
  <si>
    <t>2023-10-25 17:13:02     350157 AA1155/A67. Headlight Switch (2).JPG</t>
  </si>
  <si>
    <t>2023-10-25 17:13:02     575043 AA1155/A67. Headlight Switch (3).JPG</t>
  </si>
  <si>
    <t>2023-10-25 17:13:02     647927 AA1155/A67. Headlight Switch (4).JPG</t>
  </si>
  <si>
    <t>2023-10-25 17:13:02     402667 AA1155/A68. Seatbelt, Retractors REAR 2nd ROW - LEFT &amp; RIGHT SET2 (1).JPG</t>
  </si>
  <si>
    <t>2023-10-25 17:13:02     399877 AA1155/A68. Seatbelt, Retractors REAR 2nd ROW - LEFT &amp; RIGHT SET2 (2).JPG</t>
  </si>
  <si>
    <t>2023-10-25 17:13:02     473634 AA1155/A68. Seatbelt, Retractors REAR 2nd ROW - LEFT &amp; RIGHT SET2 (3).JPG</t>
  </si>
  <si>
    <t>2023-10-25 17:13:02     350947 AA1155/A69. I-Drive Navigation Radio Control Knob (1).JPG</t>
  </si>
  <si>
    <t>2023-10-25 17:13:02     136564 AA1155/A69. I-Drive Navigation Radio Control Knob (2).1.jpg</t>
  </si>
  <si>
    <t>2023-10-25 17:13:02     403006 AA1155/A69. I-Drive Navigation Radio Control Knob (2).JPG</t>
  </si>
  <si>
    <t>2023-10-25 17:13:02     353147 AA1155/A69. I-Drive Navigation Radio Control Knob (3).JPG</t>
  </si>
  <si>
    <t>2023-10-25 17:13:02     432178 AA1155/A69. I-Drive Navigation Radio Control Knob (4).JPG</t>
  </si>
  <si>
    <t>2023-10-25 17:13:02     349380 AA1155/A70. Seatbelt, Buckles SET3 (1).JPG</t>
  </si>
  <si>
    <t>2023-10-25 17:13:02     360367 AA1155/A70. Seatbelt, Buckles SET3 (2).JPG</t>
  </si>
  <si>
    <t>2023-10-25 17:13:02     493163 AA1155/A70. Seatbelt, Buckles SET3 (3).JPG</t>
  </si>
  <si>
    <t>2023-10-25 17:11:18     426947 AA1155/A71. Module &amp; Key SET A (ECM + BCM + Keyless Mod + FOB + LF Lock Cyl + Immobilizer Ring) (1).JPG</t>
  </si>
  <si>
    <t>2023-10-25 17:11:19     434464 AA1155/A71. Module &amp; Key SET A (ECM + BCM + Keyless Mod + FOB + LF Lock Cyl + Immobilizer Ring) (2).JPG</t>
  </si>
  <si>
    <t>2023-10-25 17:11:19     459448 AA1155/A71. Module &amp; Key SET A (ECM + BCM + Keyless Mod + FOB + LF Lock Cyl + Immobilizer Ring) (3).JPG</t>
  </si>
  <si>
    <t>2023-10-25 17:11:19     702248 AA1155/A71. Module &amp; Key SET A (ECM + BCM + Keyless Mod + FOB + LF Lock Cyl + Immobilizer Ring) (4).JPG</t>
  </si>
  <si>
    <t>2023-10-25 17:11:20     568431 AA1155/A71. Module &amp; Key SET A (ECM + BCM + Keyless Mod + FOB + LF Lock Cyl + Immobilizer Ring) (5).JPG</t>
  </si>
  <si>
    <t>2023-10-25 17:11:20     509954 AA1155/A71. Module &amp; Key SET A (ECM + BCM + Keyless Mod + FOB + LF Lock Cyl + Immobilizer Ring) (6).JPG</t>
  </si>
  <si>
    <t>2023-10-25 17:13:02     431326 AA1155/A72. Radio  Stereo Receiver Unit (1).JPG</t>
  </si>
  <si>
    <t>2023-10-25 17:13:02     461122 AA1155/A72. Radio  Stereo Receiver Unit (2).JPG</t>
  </si>
  <si>
    <t>2023-10-25 17:13:02     520557 AA1155/A72. Radio  Stereo Receiver Unit (3).JPG</t>
  </si>
  <si>
    <t>2023-10-25 17:13:02     684117 AA1155/A72. Radio  Stereo Receiver Unit (4).JPG</t>
  </si>
  <si>
    <t>2023-10-25 17:13:02    1023303 AA1155/A72. Radio  Stereo Receiver Unit (5).JPG</t>
  </si>
  <si>
    <t>2023-10-25 17:13:02     559358 AA1155/A73. Amplifier, HiFi (1).JPG</t>
  </si>
  <si>
    <t>2023-10-25 17:13:02     463612 AA1155/A73. Amplifier, HiFi (2).JPG</t>
  </si>
  <si>
    <t>2023-10-25 17:13:02     635751 AA1155/A73. Amplifier, HiFi (3).JPG</t>
  </si>
  <si>
    <t>2023-10-25 17:13:03    1016065 AA1155/A73. Amplifier, HiFi (4).JPG</t>
  </si>
  <si>
    <t>2023-10-25 17:13:03     542274 AA1155/A74. ABS ICM Integrated Chassis Management SRS Control Module (1).JPG</t>
  </si>
  <si>
    <t>2023-10-25 17:13:03     512205 AA1155/A74. ABS ICM Integrated Chassis Management SRS Control Module (2).JPG</t>
  </si>
  <si>
    <t>2023-10-25 17:13:03     617706 AA1155/A74. ABS ICM Integrated Chassis Management SRS Control Module (3).JPG</t>
  </si>
  <si>
    <t>2023-10-25 17:13:03     417279 AA1155/A74. ABS ICM Integrated Chassis Management SRS Control Module (4).JPG</t>
  </si>
  <si>
    <t>2023-10-25 17:13:03     552113 AA1155/A75. Voltage Converter Control Module (1).JPG</t>
  </si>
  <si>
    <t>2023-10-25 17:13:03     508584 AA1155/A75. Voltage Converter Control Module (2).JPG</t>
  </si>
  <si>
    <t>2023-10-25 17:13:03     908332 AA1155/A75. Voltage Converter Control Module (3).JPG</t>
  </si>
  <si>
    <t>2023-10-25 17:13:03    1142402 AA1155/A75. Voltage Converter Control Module (4).JPG</t>
  </si>
  <si>
    <t>2023-10-25 17:13:03     197166 AA1155/A76. Camera, REAR Backup Camera (1).JPG</t>
  </si>
  <si>
    <t>2023-10-25 17:13:03     246958 AA1155/A76. Camera, REAR Backup Camera (2).JPG</t>
  </si>
  <si>
    <t>2023-10-25 17:13:03     250404 AA1155/A76. Camera, REAR Backup Camera (3).JPG</t>
  </si>
  <si>
    <t>2023-10-25 17:13:03     450687 AA1155/A76. Camera, REAR Backup Camera (4).JPG</t>
  </si>
  <si>
    <t>2023-10-25 17:13:03     552504 AA1155/A77. Tailgate Trunk Control Module (1).JPG</t>
  </si>
  <si>
    <t>2023-10-25 17:13:03     468874 AA1155/A77. Tailgate Trunk Control Module (2).JPG</t>
  </si>
  <si>
    <t>2023-10-25 17:13:03     336945 AA1155/A77. Tailgate Trunk Control Module (3).JPG</t>
  </si>
  <si>
    <t>2023-10-25 17:13:03     418863 AA1155/A78. Park Assist Control Module PDC (1).JPG</t>
  </si>
  <si>
    <t>2023-10-25 17:13:03     691193 AA1155/A78. Park Assist Control Module PDC (2).JPG</t>
  </si>
  <si>
    <t>2023-10-25 17:13:03     390161 AA1155/A78. Park Assist Control Module PDC (3).JPG</t>
  </si>
  <si>
    <t>2023-10-25 17:13:03     579224 AA1155/A79. Speedometer (1).JPG</t>
  </si>
  <si>
    <t>2023-10-25 17:13:03     346024 AA1155/A79. Speedometer (2).jpg</t>
  </si>
  <si>
    <t>2023-10-25 17:13:03     581424 AA1155/A79. Speedometer (3).JPG</t>
  </si>
  <si>
    <t>2023-10-25 17:13:03     523995 AA1155/A79. Speedometer (4).JPG</t>
  </si>
  <si>
    <t>2023-10-25 17:13:03     589421 AA1155/A79. Speedometer (5).JPG</t>
  </si>
  <si>
    <t>2023-10-25 17:13:03     924832 AA1155/A79. Speedometer (6).JPG</t>
  </si>
  <si>
    <t>2023-10-25 17:13:03     239116 AA1155/A80. Headrest, FRONT - RIGHT (1).JPG</t>
  </si>
  <si>
    <t>2023-10-25 17:13:03     212594 AA1155/A80. Headrest, FRONT - RIGHT (2).JPG</t>
  </si>
  <si>
    <t>2023-10-25 17:13:03     359817 AA1155/A80. Headrest, FRONT - RIGHT (3).JPG</t>
  </si>
  <si>
    <t>2023-10-25 17:13:03     433516 AA1155/A80. Headrest, FRONT - RIGHT (4).JPG</t>
  </si>
  <si>
    <t>2023-10-25 17:13:03     393280 AA1155/A80. Headrest, FRONT - RIGHT (5).JPG</t>
  </si>
  <si>
    <t>2023-10-25 17:13:03     402208 AA1155/A80. Headrest, FRONT - RIGHT (6).JPG</t>
  </si>
  <si>
    <t>2023-10-25 17:13:03     347675 AA1155/A81. Headrests, REAR 2nd ROW SET 3 (1).JPG</t>
  </si>
  <si>
    <t>2023-10-25 17:13:03     386586 AA1155/A81. Headrests, REAR 2nd ROW SET 3 (2).JPG</t>
  </si>
  <si>
    <t>2023-10-25 17:13:03     367810 AA1155/A81. Headrests, REAR 2nd ROW SET 3 (3).JPG</t>
  </si>
  <si>
    <t>2023-10-25 17:13:03     329262 AA1155/A81. Headrests, REAR 2nd ROW SET 3 (4).JPG</t>
  </si>
  <si>
    <t>2023-10-25 17:13:03     384117 AA1155/A81. Headrests, REAR 2nd ROW SET 3 (5).JPG</t>
  </si>
  <si>
    <t>2023-10-25 17:13:03     306990 AA1155/A82. Headrest, FRONT - LEFT (1).JPG</t>
  </si>
  <si>
    <t>2023-10-25 17:13:03     264302 AA1155/A82. Headrest, FRONT - LEFT (2).JPG</t>
  </si>
  <si>
    <t>2023-10-25 17:13:03     481512 AA1155/A82. Headrest, FRONT - LEFT (3).JPG</t>
  </si>
  <si>
    <t>2023-10-25 17:13:03     401586 AA1155/A82. Headrest, FRONT - LEFT (4).JPG</t>
  </si>
  <si>
    <t>2023-10-25 17:13:04     310052 AA1155/A82. Headrest, FRONT - LEFT (5).JPG</t>
  </si>
  <si>
    <t>2023-10-25 17:13:04     660487 AA1155/A82. Headrest, FRONT - LEFT (6).JPG</t>
  </si>
  <si>
    <t>2023-10-25 17:13:04     592071 AA1155/A83. Headlight, FRONT - LEFT (1).JPG</t>
  </si>
  <si>
    <t>2023-10-25 17:13:04     109680 AA1155/A83. Headlight, FRONT - LEFT (2).jpg</t>
  </si>
  <si>
    <t>2023-10-25 17:13:04     549320 AA1155/A83. Headlight, FRONT - LEFT (3).JPG</t>
  </si>
  <si>
    <t>2023-10-25 17:13:04     534340 AA1155/A83. Headlight, FRONT - LEFT (4).JPG</t>
  </si>
  <si>
    <t>2023-10-25 17:13:04    1052407 AA1155/A83. Headlight, FRONT - LEFT (5).JPG</t>
  </si>
  <si>
    <t>2023-10-25 17:13:04    1462254 AA1155/A84. Headlight, FRONT - RIGHT (FLAW) (1).JPG</t>
  </si>
  <si>
    <t>2023-10-25 17:13:04    1240329 AA1155/A84. Headlight, FRONT - RIGHT (FLAW) (2).JPG</t>
  </si>
  <si>
    <t>2023-10-25 17:13:04    1499935 AA1155/A84. Headlight, FRONT - RIGHT (FLAW) (3).JPG</t>
  </si>
  <si>
    <t>2023-10-25 17:13:04    1287023 AA1155/A84. Headlight, FRONT - RIGHT (FLAW) (4).JPG</t>
  </si>
  <si>
    <t>2023-10-25 17:13:04    6843431 AA1155/A84. Headlight, FRONT - RIGHT (FLAW) (5).JPG</t>
  </si>
  <si>
    <t>2023-10-25 17:13:04    6048882 AA1155/A84. Headlight, FRONT - RIGHT (FLAW) (6).JPG</t>
  </si>
  <si>
    <t>2023-10-25 17:13:04     512950 AA1155/A85. Glove Box Assembly WITH Handle, FRONT RIGHT PRIMARY (1).JPG</t>
  </si>
  <si>
    <t>2023-10-25 17:13:04     636288 AA1155/A85. Glove Box Assembly WITH Handle, FRONT RIGHT PRIMARY (2).JPG</t>
  </si>
  <si>
    <t>2023-10-25 17:13:04     609796 AA1155/A85. Glove Box Assembly WITH Handle, FRONT RIGHT PRIMARY (3).JPG</t>
  </si>
  <si>
    <t>2023-10-25 17:13:04     512449 AA1155/A85. Glove Box Assembly WITH Handle, FRONT RIGHT PRIMARY (4).JPG</t>
  </si>
  <si>
    <t>2023-10-25 17:13:04    1247138 AA1155/A85. Glove Box Assembly WITH Handle, FRONT RIGHT PRIMARY (5).JPG</t>
  </si>
  <si>
    <t>2023-10-25 17:13:04     531167 AA1155/A86. Seat Cushions, FRONT RIGHT - UPPER (1).JPG</t>
  </si>
  <si>
    <t>2023-10-25 17:13:04     542444 AA1155/A86. Seat Cushions, FRONT RIGHT - UPPER (2).JPG</t>
  </si>
  <si>
    <t>2023-10-25 17:13:05     577620 AA1155/A86. Seat Cushions, FRONT RIGHT - UPPER (3).JPG</t>
  </si>
  <si>
    <t>2023-10-25 17:13:04     515766 AA1155/A86. Seat Cushions, FRONT RIGHT - UPPER (4).JPG</t>
  </si>
  <si>
    <t>2023-10-25 17:13:05     513575 AA1155/A86. Seat Cushions, FRONT RIGHT - UPPER (5).JPG</t>
  </si>
  <si>
    <t>2023-10-25 17:13:04     896704 AA1155/A86. Seat Cushions, FRONT RIGHT - UPPER (6).JPG</t>
  </si>
  <si>
    <t>2023-10-25 17:13:05     464580 AA1155/A87. Wheel, FRONT LEFT or RIGHT (marked 2) (1).JPG</t>
  </si>
  <si>
    <t>2023-10-25 17:13:04     540069 AA1155/A87. Wheel, FRONT LEFT or RIGHT (marked 2) (2).JPG</t>
  </si>
  <si>
    <t>2023-10-25 17:13:04     543765 AA1155/A87. Wheel, FRONT LEFT or RIGHT (marked 2) (3).JPG</t>
  </si>
  <si>
    <t>2023-10-25 17:13:04     556066 AA1155/A87. Wheel, FRONT LEFT or RIGHT (marked 2) (4).JPG</t>
  </si>
  <si>
    <t>2023-10-25 17:13:04     530641 AA1155/A87. Wheel, FRONT LEFT or RIGHT (marked 2) (5).JPG</t>
  </si>
  <si>
    <t>2023-10-25 17:13:04     890902 AA1155/A87. Wheel, FRONT LEFT or RIGHT (marked 2) (6).JPG</t>
  </si>
  <si>
    <t>2023-10-25 17:13:05     868802 AA1155/A87. Wheel, FRONT LEFT or RIGHT (marked 2) (7).JPG</t>
  </si>
  <si>
    <t>2023-10-25 17:13:04    1000124 AA1155/A87. Wheel, FRONT LEFT or RIGHT (marked 2) (8).JPG</t>
  </si>
  <si>
    <t>2023-10-25 17:13:05     588447 AA1155/A87. Wheel, FRONT LEFT or RIGHT (marked 2) (9).JPG</t>
  </si>
  <si>
    <t>2023-10-25 17:13:05     465129 AA1155/A88. Wheel, FRONT LEFT or RIGHT (marked 3) (1).JPG</t>
  </si>
  <si>
    <t>2023-10-25 17:13:04     653631 AA1155/A88. Wheel, FRONT LEFT or RIGHT (marked 3) (2).JPG</t>
  </si>
  <si>
    <t>2023-10-25 17:13:05     575203 AA1155/A88. Wheel, FRONT LEFT or RIGHT (marked 3) (3).JPG</t>
  </si>
  <si>
    <t>2023-10-25 17:13:04     597393 AA1155/A88. Wheel, FRONT LEFT or RIGHT (marked 3) (4).JPG</t>
  </si>
  <si>
    <t>2023-10-25 17:13:05     449545 AA1155/A88. Wheel, FRONT LEFT or RIGHT (marked 3) (5).JPG</t>
  </si>
  <si>
    <t>2023-10-25 17:13:04    1125723 AA1155/A88. Wheel, FRONT LEFT or RIGHT (marked 3) (6).JPG</t>
  </si>
  <si>
    <t>2023-10-25 17:13:04    1162911 AA1155/A88. Wheel, FRONT LEFT or RIGHT (marked 3) (7).JPG</t>
  </si>
  <si>
    <t>2023-10-25 17:13:05     953143 AA1155/A88. Wheel, FRONT LEFT or RIGHT (marked 3) (8).JPG</t>
  </si>
  <si>
    <t>2023-10-25 17:13:05     866954 AA1155/A88. Wheel, FRONT LEFT or RIGHT (marked 3) (9).JPG</t>
  </si>
  <si>
    <t>2023-10-25 17:13:05     573162 AA1155/A89. Wheel, REAR LEFT or RIGHT (marked 1) (1).JPG</t>
  </si>
  <si>
    <t>2023-10-25 17:13:05     513177 AA1155/A89. Wheel, REAR LEFT or RIGHT (marked 1) (2).JPG</t>
  </si>
  <si>
    <t>2023-10-25 17:13:05     866123 AA1155/A89. Wheel, REAR LEFT or RIGHT (marked 1) (3).JPG</t>
  </si>
  <si>
    <t>2023-10-25 17:13:05     524504 AA1155/A89. Wheel, REAR LEFT or RIGHT (marked 1) (4).JPG</t>
  </si>
  <si>
    <t>2023-10-25 17:13:05     468575 AA1155/A89. Wheel, REAR LEFT or RIGHT (marked 1) (5).JPG</t>
  </si>
  <si>
    <t>2023-10-25 17:13:05    1120054 AA1155/A89. Wheel, REAR LEFT or RIGHT (marked 1) (6).JPG</t>
  </si>
  <si>
    <t>2023-10-25 17:13:05    1226805 AA1155/A89. Wheel, REAR LEFT or RIGHT (marked 1) (7).JPG</t>
  </si>
  <si>
    <t>2023-10-25 17:13:05     985716 AA1155/A89. Wheel, REAR LEFT or RIGHT (marked 1) (8).JPG</t>
  </si>
  <si>
    <t>2023-10-25 17:13:05     903174 AA1155/A89. Wheel, REAR LEFT or RIGHT (marked 1) (9).JPG</t>
  </si>
  <si>
    <t>2023-10-25 17:13:05     755130 AA1155/A90. Radiator Fan &amp; Shroud Assembly (1).JPG</t>
  </si>
  <si>
    <t>2023-10-25 17:13:05     727200 AA1155/A90. Radiator Fan &amp; Shroud Assembly (2).JPG</t>
  </si>
  <si>
    <t>2023-10-25 17:13:05     664269 AA1155/A90. Radiator Fan &amp; Shroud Assembly (3).JPG</t>
  </si>
  <si>
    <t>2023-10-25 17:13:05     707107 AA1155/A90. Radiator Fan &amp; Shroud Assembly (4).JPG</t>
  </si>
  <si>
    <t>2023-10-25 17:13:05     708486 AA1155/A90. Radiator Fan &amp; Shroud Assembly (5).JPG</t>
  </si>
  <si>
    <t>2023-10-25 17:13:05    1424928 AA1155/A90. Radiator Fan &amp; Shroud Assembly (6).JPG</t>
  </si>
  <si>
    <t>2023-10-25 17:13:05    1114755 AA1155/A90. Radiator Fan &amp; Shroud Assembly (7).JPG</t>
  </si>
  <si>
    <t>2023-10-25 17:13:05    1091846 AA1155/A90. Radiator Fan &amp; Shroud Assembly (8).JPG</t>
  </si>
  <si>
    <t>2023-10-25 17:13:05     397213 AA1155/A91. Spoiler with 3rd Brake Light IN (1).JPG</t>
  </si>
  <si>
    <t>2023-10-25 17:13:06     404549 AA1155/A91. Spoiler with 3rd Brake Light IN (2).JPG</t>
  </si>
  <si>
    <t>2023-10-25 17:13:06     266653 AA1155/A91. Spoiler with 3rd Brake Light IN (3).JPG</t>
  </si>
  <si>
    <t>2023-10-25 17:13:05     437547 AA1155/A91. Spoiler with 3rd Brake Light IN (4).JPG</t>
  </si>
  <si>
    <t>2023-10-25 17:13:06     436289 AA1155/A91. Spoiler with 3rd Brake Light IN (5).JPG</t>
  </si>
  <si>
    <t>2023-10-25 17:13:06     911012 AA1155/A91. Spoiler with 3rd Brake Light IN (6).JPG</t>
  </si>
  <si>
    <t>2023-10-25 17:13:06     946321 AA1155/A91. Spoiler with 3rd Brake Light IN (7).JPG</t>
  </si>
  <si>
    <t>2023-10-25 17:13:06     350984 AA1155/A92. Torque Converter (1).JPG</t>
  </si>
  <si>
    <t>2023-10-25 17:13:05     371017 AA1155/A92. Torque Converter (2).JPG</t>
  </si>
  <si>
    <t>2023-10-25 17:13:06     532130 AA1155/A92. Torque Converter (3).JPG</t>
  </si>
  <si>
    <t>2023-10-25 17:13:05     723419 AA1155/A92. Torque Converter (4).JPG</t>
  </si>
  <si>
    <t>2023-10-25 17:13:06     310106 AA1155/A93. Steering Gear Rack &amp; Pinion (1).JPG</t>
  </si>
  <si>
    <t>2023-10-25 17:13:06     321219 AA1155/A93. Steering Gear Rack &amp; Pinion (2).JPG</t>
  </si>
  <si>
    <t>2023-10-25 17:13:06     300552 AA1155/A93. Steering Gear Rack &amp; Pinion (3).JPG</t>
  </si>
  <si>
    <t>2023-10-25 17:13:06    1001928 AA1155/A93. Steering Gear Rack &amp; Pinion (4).JPG</t>
  </si>
  <si>
    <t>2023-10-25 17:13:06     779544 AA1155/A93. Steering Gear Rack &amp; Pinion (5).JPG</t>
  </si>
  <si>
    <t>2023-10-25 17:13:05     950433 AA1155/A93. Steering Gear Rack &amp; Pinion (6).JPG</t>
  </si>
  <si>
    <t>2023-10-25 17:13:06     760365 AA1155/A93. Steering Gear Rack &amp; Pinion (7).JPG</t>
  </si>
  <si>
    <t>2023-10-25 17:13:06     221571 AA1155/A94. Driveshaft, REAR, RWD (1).JPG</t>
  </si>
  <si>
    <t>2023-10-25 17:13:06     257866 AA1155/A94. Driveshaft, REAR, RWD (2).JPG</t>
  </si>
  <si>
    <t>2023-10-25 17:13:06     251793 AA1155/A94. Driveshaft, REAR, RWD (3).JPG</t>
  </si>
  <si>
    <t>2023-10-25 17:13:05     234163 AA1155/A94. Driveshaft, REAR, RWD (4).JPG</t>
  </si>
  <si>
    <t>2023-10-25 17:13:05     526146 AA1155/A94. Driveshaft, REAR, RWD (5).JPG</t>
  </si>
  <si>
    <t>2023-10-25 17:13:05     582614 AA1155/A95. Transmission Oil Pump (1).JPG</t>
  </si>
  <si>
    <t>2023-10-25 17:13:05     629709 AA1155/A95. Transmission Oil Pump (2).JPG</t>
  </si>
  <si>
    <t>2023-10-25 17:13:05     770451 AA1155/A95. Transmission Oil Pump (3).JPG</t>
  </si>
  <si>
    <t>2023-10-25 17:13:05     549498 AA1155/A95. Transmission Oil Pump (4).JPG</t>
  </si>
  <si>
    <t>2023-10-25 17:13:05     649713 AA1155/A95. Transmission Oil Pump (5).JPG</t>
  </si>
  <si>
    <t>2023-10-25 17:13:05    1195299 AA1155/A95. Transmission Oil Pump (6).JPG</t>
  </si>
  <si>
    <t>2023-10-25 17:13:05     698309 AA1155/A96. Valve Body (1).JPG</t>
  </si>
  <si>
    <t>2023-10-25 17:13:05     787858 AA1155/A96. Valve Body (2).JPG</t>
  </si>
  <si>
    <t>2023-10-25 17:13:05     629854 AA1155/A96. Valve Body (3).JPG</t>
  </si>
  <si>
    <t>2023-10-25 17:13:05     774928 AA1155/A96. Valve Body (4).JPG</t>
  </si>
  <si>
    <t>2023-10-25 17:13:05     709604 AA1155/A96. Valve Body (5).JPG</t>
  </si>
  <si>
    <t>2023-10-25 17:13:05     890117 AA1155/A96. Valve Body (6).JPG</t>
  </si>
  <si>
    <t>2023-10-25 17:13:05     440376 AA1155/A97. Sunroof, Glass - PANORAMIC, FRONT (1).JPG</t>
  </si>
  <si>
    <t>2023-10-25 17:13:05     404126 AA1155/A97. Sunroof, Glass - PANORAMIC, FRONT (2).JPG</t>
  </si>
  <si>
    <t>2023-10-25 17:13:05     411717 AA1155/A97. Sunroof, Glass - PANORAMIC, FRONT (3).JPG</t>
  </si>
  <si>
    <t>2023-10-25 17:13:05     465307 AA1155/A97. Sunroof, Glass - PANORAMIC, FRONT (4).JPG</t>
  </si>
  <si>
    <t>2023-10-25 17:13:05     317175 AA1155/A97. Sunroof, Glass - PANORAMIC, FRONT (5).JPG</t>
  </si>
  <si>
    <t>2023-10-25 17:13:05    1160873 AA1155/A97. Sunroof, Glass - PANORAMIC, FRONT (6).JPG</t>
  </si>
  <si>
    <t>2023-10-25 17:13:06     412223 AA1155/A98. Sunroof, Glass - PANORAMIC, REAR (1).JPG</t>
  </si>
  <si>
    <t>2023-10-25 17:13:06     430268 AA1155/A98. Sunroof, Glass - PANORAMIC, REAR (2).JPG</t>
  </si>
  <si>
    <t>2023-10-25 17:13:06     422476 AA1155/A98. Sunroof, Glass - PANORAMIC, REAR (3).JPG</t>
  </si>
  <si>
    <t>2023-10-25 17:13:06     547345 AA1155/A98. Sunroof, Glass - PANORAMIC, REAR (4).JPG</t>
  </si>
  <si>
    <t>2023-10-25 17:13:06     411363 AA1155/A98. Sunroof, Glass - PANORAMIC, REAR (5).JPG</t>
  </si>
  <si>
    <t>2023-10-25 17:13:06    1579111 AA1155/A98. Sunroof, Glass - PANORAMIC, REAR (6).JPG</t>
  </si>
  <si>
    <t>2023-10-25 17:13:06     502405 AA1155/A99. Control Arms, REAR - LEFT Large Control Arm (1).JPG</t>
  </si>
  <si>
    <t>2023-10-25 17:13:06     527672 AA1155/A99. Control Arms, REAR - LEFT Large Control Arm (2).JPG</t>
  </si>
  <si>
    <t>2023-10-25 17:13:06     636824 AA1155/A99. Control Arms, REAR - LEFT Large Control Arm (3).JPG</t>
  </si>
  <si>
    <t>2023-10-25 17:13:06     418004 AA1155/A99. Control Arms, REAR - LEFT Large Control Arm (4).JPG</t>
  </si>
  <si>
    <t>2023-10-25 17:13:06    1189453 AA1155/A99. Control Arms, REAR - LEFT Large Control Arm (5).JPG</t>
  </si>
  <si>
    <t>VEHICLE SPECIFICS</t>
  </si>
  <si>
    <t>Vehicle:</t>
  </si>
  <si>
    <t>Chassis:</t>
  </si>
  <si>
    <t>BMW X5 (F15) (14-18)</t>
  </si>
  <si>
    <t>Body Style:</t>
  </si>
  <si>
    <t>SUV</t>
  </si>
  <si>
    <t xml:space="preserve">VIN#: </t>
  </si>
  <si>
    <t>Turbo / Non-Turbo:</t>
  </si>
  <si>
    <t>Turbo</t>
  </si>
  <si>
    <t>FWD, RWD, 4WD, AWD:</t>
  </si>
  <si>
    <t>RWD/AWD (this template covers both)</t>
  </si>
  <si>
    <t>Transmission Type (Auto/Man &amp; Speeds)</t>
  </si>
  <si>
    <t>Automatic RWD 8 Speed</t>
  </si>
  <si>
    <t>Exterior Paint Color &amp; Code</t>
  </si>
  <si>
    <t>Sparkling Brown Metallic (B53)</t>
  </si>
  <si>
    <t>Painted</t>
  </si>
  <si>
    <t>Brown</t>
  </si>
  <si>
    <t>Sparkling Brown Metallic</t>
  </si>
  <si>
    <t>B53</t>
  </si>
  <si>
    <t>Interior Seat Fabric, Color &amp; Code</t>
  </si>
  <si>
    <t>Black Dakota Leather (LCSW)</t>
  </si>
  <si>
    <t>Leather</t>
  </si>
  <si>
    <t>LCSW</t>
  </si>
  <si>
    <t>REARVIEW Mirror Color</t>
  </si>
  <si>
    <t>Seatbelt Retractor Color</t>
  </si>
  <si>
    <t>Glove Box Color</t>
  </si>
  <si>
    <t>Primary Trim Color &amp; Finish</t>
  </si>
  <si>
    <t>Poplar Grain Fine Wood Trim</t>
  </si>
  <si>
    <t>Transmission Code:</t>
  </si>
  <si>
    <t>Differential Code:</t>
  </si>
  <si>
    <t>OPTION CODES DECRYPTED:</t>
  </si>
  <si>
    <t>Vehicle information</t>
  </si>
  <si>
    <t>Vin</t>
  </si>
  <si>
    <t>Production date</t>
  </si>
  <si>
    <t>X5 35i</t>
  </si>
  <si>
    <t>Series</t>
  </si>
  <si>
    <t>X5</t>
  </si>
  <si>
    <t>Generation</t>
  </si>
  <si>
    <t>Body type</t>
  </si>
  <si>
    <t>SAV</t>
  </si>
  <si>
    <t>Type code</t>
  </si>
  <si>
    <t>KR23</t>
  </si>
  <si>
    <t>Engine code</t>
  </si>
  <si>
    <t>N55</t>
  </si>
  <si>
    <t>Power</t>
  </si>
  <si>
    <t>Fuel type</t>
  </si>
  <si>
    <t>Displacement</t>
  </si>
  <si>
    <t>Drive type</t>
  </si>
  <si>
    <t>RWD</t>
  </si>
  <si>
    <t>Steering side</t>
  </si>
  <si>
    <t>Right</t>
  </si>
  <si>
    <t>Color</t>
  </si>
  <si>
    <t>Sparkling-brown metallic (L0B53)</t>
  </si>
  <si>
    <t>Interior</t>
  </si>
  <si>
    <t>LCSW (PLCSW)</t>
  </si>
  <si>
    <t>Automatic</t>
  </si>
  <si>
    <t>Transmission code</t>
  </si>
  <si>
    <t>Vehicle Options</t>
  </si>
  <si>
    <t>Code</t>
  </si>
  <si>
    <t>S01CA</t>
  </si>
  <si>
    <t>Selection of COP-relevant vehicles</t>
  </si>
  <si>
    <t>S0212</t>
  </si>
  <si>
    <t>Equipment, brake syst. country-specific</t>
  </si>
  <si>
    <t>S0245</t>
  </si>
  <si>
    <t>Steering wheel column adjustment,electr.</t>
  </si>
  <si>
    <t>S0248</t>
  </si>
  <si>
    <t>Steering wheel heater</t>
  </si>
  <si>
    <t>S0258</t>
  </si>
  <si>
    <t>Tyres with runflat properties</t>
  </si>
  <si>
    <t>S02AZ</t>
  </si>
  <si>
    <t>BMW LA wheel, double spoke 446</t>
  </si>
  <si>
    <t>S02VB</t>
  </si>
  <si>
    <t>Tyre pressure display</t>
  </si>
  <si>
    <t>S0302</t>
  </si>
  <si>
    <t>Alarm system</t>
  </si>
  <si>
    <t>S0316</t>
  </si>
  <si>
    <t>automatic trunk lid mechanism</t>
  </si>
  <si>
    <t>S0319</t>
  </si>
  <si>
    <t>Integrated universal remote control</t>
  </si>
  <si>
    <t>S0322</t>
  </si>
  <si>
    <t>Comfort access</t>
  </si>
  <si>
    <t>S0323</t>
  </si>
  <si>
    <t>Soft-Close-Automatic doors</t>
  </si>
  <si>
    <t>S0346</t>
  </si>
  <si>
    <t>Chrome Line exterieur</t>
  </si>
  <si>
    <t>S03AA</t>
  </si>
  <si>
    <t>Roof railing black</t>
  </si>
  <si>
    <t>S03AG</t>
  </si>
  <si>
    <t>Reversing camera</t>
  </si>
  <si>
    <t>S0402</t>
  </si>
  <si>
    <t>Panorama glass roof</t>
  </si>
  <si>
    <t>S0420</t>
  </si>
  <si>
    <t>Sun protection glazing</t>
  </si>
  <si>
    <t>S0423</t>
  </si>
  <si>
    <t>Floor mats velours</t>
  </si>
  <si>
    <t>S0430</t>
  </si>
  <si>
    <t>Interior/outside mirror with auto dip</t>
  </si>
  <si>
    <t>S0441</t>
  </si>
  <si>
    <t>Smoker package</t>
  </si>
  <si>
    <t>S0459</t>
  </si>
  <si>
    <t>Seat adjustment, electric, with memory</t>
  </si>
  <si>
    <t>S0488</t>
  </si>
  <si>
    <t>Lumbar support, driver and passenger</t>
  </si>
  <si>
    <t>S0493</t>
  </si>
  <si>
    <t>Storage compartment package</t>
  </si>
  <si>
    <t>S0494</t>
  </si>
  <si>
    <t>Seat heating driver/passenger</t>
  </si>
  <si>
    <t>S0496</t>
  </si>
  <si>
    <t>Seat heating, rear</t>
  </si>
  <si>
    <t>S04AC</t>
  </si>
  <si>
    <t>Fine wood trim poplar grain</t>
  </si>
  <si>
    <t>S04NE</t>
  </si>
  <si>
    <t>Blow-by heater</t>
  </si>
  <si>
    <t>S0502</t>
  </si>
  <si>
    <t>Headlight cleaning system</t>
  </si>
  <si>
    <t>S0508</t>
  </si>
  <si>
    <t>Park Distance Control (PDC)</t>
  </si>
  <si>
    <t>S0522</t>
  </si>
  <si>
    <t>Xenon light</t>
  </si>
  <si>
    <t>S0524</t>
  </si>
  <si>
    <t>Adaptive Headlights</t>
  </si>
  <si>
    <t>S0534</t>
  </si>
  <si>
    <t>Automatic air conditioning</t>
  </si>
  <si>
    <t>S0563</t>
  </si>
  <si>
    <t>Light package</t>
  </si>
  <si>
    <t>S0575</t>
  </si>
  <si>
    <t>Additional 12V sockets</t>
  </si>
  <si>
    <t>S05A1</t>
  </si>
  <si>
    <t>LED fog lights</t>
  </si>
  <si>
    <t>S0609</t>
  </si>
  <si>
    <t>Navigation system Professional</t>
  </si>
  <si>
    <t>S0645</t>
  </si>
  <si>
    <t>BMW US Radio</t>
  </si>
  <si>
    <t>S0655</t>
  </si>
  <si>
    <t>Satellite tuner</t>
  </si>
  <si>
    <t>S0676</t>
  </si>
  <si>
    <t>HiFi speaker system</t>
  </si>
  <si>
    <t>S0697</t>
  </si>
  <si>
    <t>Area-Code 1 for DVD</t>
  </si>
  <si>
    <t>S06AC</t>
  </si>
  <si>
    <t>Intelligent Emergency Call</t>
  </si>
  <si>
    <t>S06AE</t>
  </si>
  <si>
    <t>Teleservices</t>
  </si>
  <si>
    <t>S06AK</t>
  </si>
  <si>
    <t>Connected Drive Services</t>
  </si>
  <si>
    <t>S06AM</t>
  </si>
  <si>
    <t>Real-Time Traffic Information</t>
  </si>
  <si>
    <t>S06AP</t>
  </si>
  <si>
    <t>Remote Services</t>
  </si>
  <si>
    <t>S06NR</t>
  </si>
  <si>
    <t>Apps</t>
  </si>
  <si>
    <t>S06NS</t>
  </si>
  <si>
    <t>Comfort telephony w/ enhanced Smartphone</t>
  </si>
  <si>
    <t>S0823</t>
  </si>
  <si>
    <t>Hot-climate version</t>
  </si>
  <si>
    <t>S0845</t>
  </si>
  <si>
    <t>Acoustic fasten seat belt reminder</t>
  </si>
  <si>
    <t>S0853</t>
  </si>
  <si>
    <t>Language version, English</t>
  </si>
  <si>
    <t>S08KL</t>
  </si>
  <si>
    <t>Oil service interval 15,000 km/12 months</t>
  </si>
  <si>
    <t>S08S4</t>
  </si>
  <si>
    <t>Decoding, variable light distribution</t>
  </si>
  <si>
    <t>S08SL</t>
  </si>
  <si>
    <t>Trailer coupling preparation</t>
  </si>
  <si>
    <t>S08SM</t>
  </si>
  <si>
    <t>Car ident. number visible from outside</t>
  </si>
  <si>
    <t>S08TN</t>
  </si>
  <si>
    <t>Daytime driv.lights adjus.via light menu</t>
  </si>
  <si>
    <t>S0992</t>
  </si>
  <si>
    <t>Control of number-plate attachment</t>
  </si>
  <si>
    <t>Price-Low</t>
  </si>
  <si>
    <t>Price-High</t>
  </si>
  <si>
    <t>Permanent Notes</t>
  </si>
  <si>
    <t>TESTER - Info to Get</t>
  </si>
  <si>
    <t>RADIO</t>
  </si>
  <si>
    <t>Keeping Radio to Sell?</t>
  </si>
  <si>
    <t>YES</t>
  </si>
  <si>
    <t>Radio Code (Tester to Obtain):</t>
  </si>
  <si>
    <t>SEATS</t>
  </si>
  <si>
    <t>Heated Seats? (Tester to Obtain)</t>
  </si>
  <si>
    <t>(RIGHT SEAT INOP)</t>
  </si>
  <si>
    <t>Memory Seats? (Tester to Obtain)</t>
  </si>
  <si>
    <t>DOOR MIRRORS</t>
  </si>
  <si>
    <t>Door Mirrors: Electronic Folding? (Tester Obtain)</t>
  </si>
  <si>
    <t>Door Mirrors: Heated? (Tester Obtain)</t>
  </si>
  <si>
    <t>Door Mirrors: Memory? (Tester Obtain)</t>
  </si>
  <si>
    <t>Door Mirrors: Auto-Dim? (Tester Obtain)</t>
  </si>
  <si>
    <t>Door Mirrors: Blind Spot? (Tester Obtain)</t>
  </si>
  <si>
    <t>NO</t>
  </si>
  <si>
    <t>Door Mirrors: Auto Reverse Tilt (Tester Obtain)</t>
  </si>
  <si>
    <t>Door Mirrors: Camera (Tester Obtain)</t>
  </si>
  <si>
    <t>REARVIEW MIRROR</t>
  </si>
  <si>
    <t>Compass?</t>
  </si>
  <si>
    <t>Auto-Dim?</t>
  </si>
  <si>
    <t>HomeLink?</t>
  </si>
  <si>
    <t>WHEEL</t>
  </si>
  <si>
    <t>FRONT - Wheel &amp; Tire Size (Tester Obtain)</t>
  </si>
  <si>
    <t>275/40/20</t>
  </si>
  <si>
    <t>REAR - Wheel &amp; Tire Size (Tester Obtain)</t>
  </si>
  <si>
    <t>315/35/20</t>
  </si>
  <si>
    <t>PRODUCTION DATE</t>
  </si>
  <si>
    <t>Production Date</t>
  </si>
  <si>
    <t>Road Tested?</t>
  </si>
  <si>
    <t xml:space="preserve">ENGINE RUNS GOOD. SLIGHT SQUEEL ON STARTUP IN VIDEO INDACTING CCV BREATHER (VALVE COVEROR JUST THE VALVE) WILL NEED REPLACMENT SOON. CHECK ENGINE LIGHT ON FOR OXYGEN SENSOR CODE (TOSSING). TRANS OK, MADE GEARS AND SET NO FAULTS. TIPSHIFT OK. ABS OK. SUSPENSION FEELS SHOT, LOTS OF DIVE ON BRAKING. TOSSING STRUTS AND INSPECTING CONTROL ARMS. </t>
  </si>
  <si>
    <t>Testing Prepared By</t>
  </si>
  <si>
    <t>MKF 9/27/23</t>
  </si>
  <si>
    <t>Testing Date Prepared</t>
  </si>
  <si>
    <t>Total Hours To Test &amp; Input</t>
  </si>
  <si>
    <t>1/8TH</t>
  </si>
  <si>
    <t>DRF Check Prepared By</t>
  </si>
  <si>
    <t>DRF Check Performed Date</t>
  </si>
  <si>
    <t>Final Review By &amp; Date</t>
  </si>
  <si>
    <t>DISMANTLERS - Info to Get</t>
  </si>
  <si>
    <t>Changes to Sheet</t>
  </si>
  <si>
    <t>Catalytic Converters Expected/ Actual</t>
  </si>
  <si>
    <t>Chassis</t>
  </si>
  <si>
    <t>Particulate Filters Expected/ Actual</t>
  </si>
  <si>
    <t>Important TESTER Notes to Dismantlers About Vehicle (low coolant, low oil, don't start, etc.)</t>
  </si>
  <si>
    <t>Engine / Transmission</t>
  </si>
  <si>
    <t>Full Time Dismantlers Time Tracker</t>
  </si>
  <si>
    <t>Lead Dismantler Total Time Calculations</t>
  </si>
  <si>
    <t>Prior Vehicle End Date &amp; Time:</t>
  </si>
  <si>
    <t>Total Time per uAttend between start/end: Lift Lead</t>
  </si>
  <si>
    <t>Current Vehicle Start Date &amp; Time:</t>
  </si>
  <si>
    <t>Total Time per uAttend between start/end: Lift 2nd</t>
  </si>
  <si>
    <t>Explanation if Any Difference Between End &amp; Start:</t>
  </si>
  <si>
    <t>Total Time per "floater time tracker" below: Floater 1</t>
  </si>
  <si>
    <t>Current Vehicle Full-Time Dismantlers Assigned to Lift:</t>
  </si>
  <si>
    <t>Total Time per "floater time tracker" below: Floater 2</t>
  </si>
  <si>
    <t>Current Vehicle Completed Date &amp; Time:</t>
  </si>
  <si>
    <t>Total Time for Complete Dismantle of Vehicle</t>
  </si>
  <si>
    <r>
      <t>Back Out Random Tasks (</t>
    </r>
    <r>
      <rPr>
        <b/>
        <i/>
        <sz val="11"/>
        <color theme="1"/>
        <rFont val="Calibri"/>
        <family val="2"/>
        <scheme val="minor"/>
      </rPr>
      <t>ideal to keep to minimum</t>
    </r>
    <r>
      <rPr>
        <b/>
        <sz val="11"/>
        <color theme="1"/>
        <rFont val="Calibri"/>
        <family val="2"/>
        <scheme val="minor"/>
      </rPr>
      <t>)</t>
    </r>
  </si>
  <si>
    <t>Person</t>
  </si>
  <si>
    <t>Date</t>
  </si>
  <si>
    <t>Hours</t>
  </si>
  <si>
    <t>Task</t>
  </si>
  <si>
    <t>Preapprove by Lead Dismantler (initials &amp; date)</t>
  </si>
  <si>
    <t>Floater Time Tracker</t>
  </si>
  <si>
    <t>Sign-off by Lift Lead (initials &amp; date)</t>
  </si>
  <si>
    <t>Items Damaged in Removal</t>
  </si>
  <si>
    <t>Initial &amp; Date</t>
  </si>
  <si>
    <t>Broken Item</t>
  </si>
  <si>
    <t>What Damaged &amp; Why? How to Do Better?</t>
  </si>
  <si>
    <t>Items to Inspect / Fix</t>
  </si>
  <si>
    <t>Test / Inspect Notes</t>
  </si>
  <si>
    <t>Initial/Date</t>
  </si>
  <si>
    <t>What Done?</t>
  </si>
  <si>
    <t>Conclusion (Fixed, Bad, Good)</t>
  </si>
  <si>
    <t>TEST / INSPECT / BAD / FLAWED LIST - FOR DISMANTLERS</t>
  </si>
  <si>
    <t>Tested Bad?</t>
  </si>
  <si>
    <t>Engine Compression Test</t>
  </si>
  <si>
    <t>Engine Type:</t>
  </si>
  <si>
    <t>BMW 3.0L TURBO N55 ENGINE</t>
  </si>
  <si>
    <t>BAR to PSI conversion (1 BAR = 14.5038 PSI)</t>
  </si>
  <si>
    <t>BAR</t>
  </si>
  <si>
    <t>PSI</t>
  </si>
  <si>
    <r>
      <t xml:space="preserve">Factory Specified </t>
    </r>
    <r>
      <rPr>
        <b/>
        <u/>
        <sz val="11"/>
        <color theme="1"/>
        <rFont val="Calibri"/>
        <family val="2"/>
        <scheme val="minor"/>
      </rPr>
      <t>Low</t>
    </r>
    <r>
      <rPr>
        <b/>
        <sz val="11"/>
        <color theme="1"/>
        <rFont val="Calibri"/>
        <family val="2"/>
        <scheme val="minor"/>
      </rPr>
      <t xml:space="preserve"> End of "New Range"</t>
    </r>
  </si>
  <si>
    <r>
      <t xml:space="preserve">Factory Specified </t>
    </r>
    <r>
      <rPr>
        <b/>
        <u/>
        <sz val="11"/>
        <color theme="1"/>
        <rFont val="Calibri"/>
        <family val="2"/>
        <scheme val="minor"/>
      </rPr>
      <t>High</t>
    </r>
    <r>
      <rPr>
        <b/>
        <sz val="11"/>
        <color theme="1"/>
        <rFont val="Calibri"/>
        <family val="2"/>
        <scheme val="minor"/>
      </rPr>
      <t xml:space="preserve"> End of "New Range"</t>
    </r>
  </si>
  <si>
    <t>Factory Specified "Wear Limit"</t>
  </si>
  <si>
    <t>Not Specified</t>
  </si>
  <si>
    <t xml:space="preserve"> Not Specified </t>
  </si>
  <si>
    <t>Tolerable Variance</t>
  </si>
  <si>
    <t>Cylinder</t>
  </si>
  <si>
    <t>Dry Results (PSI)</t>
  </si>
  <si>
    <t>Wet Results* (PSI)</t>
  </si>
  <si>
    <t>* Only perform wet results if the dry results are outside of normal specs (they are to tell us what is likely wrong)</t>
  </si>
  <si>
    <t>{a}</t>
  </si>
  <si>
    <t>We will need to recheck this item soon to see if we still want to keep/list these.  It is a combination of one or more of the following:
1) unpopular seller
2) large and expensive to ship (profit margins are low)
3) labor intensive to dismantle, clean, picture, or package</t>
  </si>
  <si>
    <t>{b}</t>
  </si>
  <si>
    <t>We should check this again to see if we want to start selling based on more recent sales data.  It was determined to not be a good seller at the time and/or we had lots of sets up we need to wait for them to sell through.</t>
  </si>
  <si>
    <t>{c}</t>
  </si>
  <si>
    <t>Have Janelle Get Dimensions, Weight, &amp; Ship to NY Cost &amp; Enter Here</t>
  </si>
  <si>
    <t>{d}</t>
  </si>
  <si>
    <t>These were repriced down, but we have a lot active and sales of this item are minimal and/or not for much.  Monitor these each time we do one of these vehicle models to see if we want to delist/scrap these items if they don't move after a time.</t>
  </si>
  <si>
    <t>{e}</t>
  </si>
  <si>
    <t>Too big to ship right now, but reassess once we have good freight vendor or have a yard in big population center where we can do local pickups and move them.</t>
  </si>
  <si>
    <t>{f}</t>
  </si>
  <si>
    <t>Checkmate fitment table on Ebay is incorrect because it clicks ALL vehicles (all engine sizes, all body styles like Coupe or Sedans) instead of limiting just to those the item fits.  They sometimes describe in margins to left that it only fits certain models, but not sufficient for Ebay to protect us or to prevent customers from buying it thinking it fits their vehicle.  
So, we have analyzed the cost of time to fix it (e.g., 20 mins, etc.) and the risk of people getting it wrong (e.g., not much risk in someone buying a convertible top component for a sedan, but high risk someone buys a 330i shock for a 330Xi which won't fit), and the cost in time (e.g., typically about 45 minutes to process a return including messaging back and forth) &amp; shipping cost (e.g., it can be $25-$50 to ship back some shock struts that don't fit, etc.).  We have concluded the following for this item:</t>
  </si>
  <si>
    <t>{f-1}</t>
  </si>
  <si>
    <t>FULLY FIX ITEM FITMENT AFTER PUSH TO EBAY
The cost of time to fix is justified (cost of time to fix is low and/or there is a high change someone will buy it for wrong vehicle and/or ship cost will be high)</t>
  </si>
  <si>
    <t>{f-2}</t>
  </si>
  <si>
    <t>PARTIALLY FIX FITMENT AFTER PUSH TO EBAY (just limit to model it came from like 07-13 X5, etc. &amp; fix fitment on those)
The cost of time to fix fitment is not fully justified, but the cost to fix fitment by just limiting it to exact model it came from is since that will fix most of the problem with fitment (no need to limit to exact year, can use year range still)</t>
  </si>
  <si>
    <t>{f-3A}</t>
  </si>
  <si>
    <t>DON'T FIX ITEM FITMENT AFTER PUSH TO EBAY
The item takes too long to fix and the risk that someone will get it wrong and/or the shipping return cost is low</t>
  </si>
  <si>
    <t>{f-3B}</t>
  </si>
  <si>
    <t>DON'T FIX ITEM FITMENT AFTER PUSH TO EBAY
The item fitment only has a few or very minor errors that are not likely to impact us much. Don't waste the time to fix.</t>
  </si>
  <si>
    <t>{f-c}</t>
  </si>
  <si>
    <t>NO CHANGE NECESSARY - ITEM HAS CORRECT FITMENT
We checked the Ebay fitment table against the fitment listed in Checkmate and it is correct.  No need to fix anything.</t>
  </si>
  <si>
    <t>{f-c1}</t>
  </si>
  <si>
    <t>NO CHANGE NECESSARY - ITEM HAS CORRECT FITMENT
Other than Ebay having 2008+ (typically 08-11 but sometimes 08-13) 500 series (e.g., R500, ML500, etc.) and our Checkmate fitment software does not (not sure why…the 2008+ ML500 series seems to be the "Lujo" branded one and maybe that wasn't offered in USA) fitment is correct.  Ebay has some R500 or ML500 2008 models clicked as it fitting it, but honestly it may fit those...or maybe not but it's pretty minor and correct other than that so no update necessary to fitment and considering it as "correct".</t>
  </si>
  <si>
    <t>{f-Misc}</t>
  </si>
  <si>
    <t>INVENTORY UNDER MISC. CATEGORY
The cost of time to fix fitment is not justified and the dollar value of the part is low enough that we'd be better off to just inventory under a misc. category instead of taking the time to fix fitment after inventorying under the correct category.</t>
  </si>
  <si>
    <t>{f-Assembly}</t>
  </si>
  <si>
    <t>COMPARE ITEM FITMENT AND PICK THE MOST LIMITED ONE OR MISC. CATEGORY IT
This item being inventoried is an assembly of 1 item with fitment and at least 1 other item that may or may not have fitment, but whatever it fits it we can't conclude is  the same.  This will require the person inventorying it in Checkmate to compare fitment and do 1 of the following: 1) inventory it under the category with the most limited fitment. This is the preferred choice, but if the item in the preferred category also fits makes/models that the other category does not then we can't do that and we should, 2) inventory under a misc. category and make sure to note in item title the important notes that limit fitment (e.g., heated vs. non-heated, color, finish, etc. etc.)</t>
  </si>
  <si>
    <t>Aggressive pricing since this is a popular selling item and/or not a lot up. We should watch pricing regularly though and adjust analysis to indicate lower minimum price is acceptable if people start undercutting us a lot.</t>
  </si>
  <si>
    <t>{h}</t>
  </si>
  <si>
    <t>{i}</t>
  </si>
  <si>
    <t>{j}</t>
  </si>
  <si>
    <t>{k}</t>
  </si>
  <si>
    <t>{l}</t>
  </si>
  <si>
    <t>{m}</t>
  </si>
  <si>
    <t>ENF 10/10/23: Not going to document search terms.  I'm just gonna see what happens when I don't.  Maybe we're wasting our time.</t>
  </si>
  <si>
    <t>{o}</t>
  </si>
  <si>
    <t>{p}</t>
  </si>
  <si>
    <t>{r}</t>
  </si>
  <si>
    <t>{s}</t>
  </si>
  <si>
    <t>{t}</t>
  </si>
  <si>
    <t>{u}</t>
  </si>
  <si>
    <t>{v}</t>
  </si>
  <si>
    <t>{w}</t>
  </si>
  <si>
    <t>{x}</t>
  </si>
  <si>
    <t>{y}</t>
  </si>
  <si>
    <t>{z}</t>
  </si>
  <si>
    <t>Extremely weak sales data.  It's probably worth trying to sell these, but watch both pricing and quantity closely &amp; adjust.</t>
  </si>
  <si>
    <t>Fits1</t>
  </si>
  <si>
    <t>Fits2</t>
  </si>
  <si>
    <t>Primary Trim Short Name for Title</t>
  </si>
  <si>
    <t>Poplar Wood</t>
  </si>
  <si>
    <t>Model Year</t>
  </si>
  <si>
    <t>Vent Color</t>
  </si>
  <si>
    <t>Dome Light Color</t>
  </si>
  <si>
    <t>Steering Wheel Color</t>
  </si>
  <si>
    <t>Cargo Cover Color</t>
  </si>
  <si>
    <t>Gray</t>
  </si>
  <si>
    <t>Make</t>
  </si>
  <si>
    <t>BMW</t>
  </si>
  <si>
    <t>Fitment Note</t>
  </si>
  <si>
    <t xml:space="preserve">scratches, scuffs </t>
  </si>
  <si>
    <t xml:space="preserve">very tiny pits in paint finish </t>
  </si>
  <si>
    <t xml:space="preserve">chips, scratches, scuffs in clear coat </t>
  </si>
  <si>
    <t xml:space="preserve">button wear </t>
  </si>
  <si>
    <t xml:space="preserve">cracks in indicator cover plastic </t>
  </si>
  <si>
    <t xml:space="preserve">leather wear </t>
  </si>
  <si>
    <t xml:space="preserve">scuffs, scratches </t>
  </si>
  <si>
    <t xml:space="preserve">crack in lense, scuffs, scratches </t>
  </si>
  <si>
    <t xml:space="preserve">scuffs on frame </t>
  </si>
  <si>
    <t xml:space="preserve">scuffs, scratches, curb rash </t>
  </si>
  <si>
    <t>scratches in paint finish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</si>
</sst>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_(* #,##0.0000_);_(* \(#,##0.0000\);_(* &quot;-&quot;??_);_(@_)"/>
    <numFmt numFmtId="165" formatCode="_(* #,##0_);_(* \(#,##0\);_(* &quot;-&quot;??_);_(@_)"/>
    <numFmt numFmtId="166" formatCode="#\ ??/16"/>
    <numFmt numFmtId="167" formatCode="_([$$-409]* #,##0_);_([$$-409]* \(#,##0\);_([$$-409]* &quot;-&quot;??_);_(@_)"/>
    <numFmt numFmtId="168" formatCode="_(* #,##0.0_);_(* \(#,##0.0\);_(* &quot;-&quot;??_);_(@_)"/>
  </numFmts>
  <fonts count="41" x14ac:knownFonts="1">
    <font>
      <sz val="11"/>
      <color theme="1"/>
      <name val="Calibri"/>
      <family val="2"/>
      <scheme val="minor"/>
    </font>
    <font>
      <b/>
      <sz val="11"/>
      <color theme="1"/>
      <name val="Calibri"/>
      <family val="2"/>
      <scheme val="minor"/>
    </font>
    <font>
      <b/>
      <sz val="11"/>
      <color rgb="FFFF0000"/>
      <name val="Calibri"/>
      <family val="2"/>
      <scheme val="minor"/>
    </font>
    <font>
      <sz val="11"/>
      <color rgb="FFFF0000"/>
      <name val="Calibri"/>
      <family val="2"/>
      <scheme val="minor"/>
    </font>
    <font>
      <b/>
      <sz val="11"/>
      <color rgb="FF0000FF"/>
      <name val="Calibri"/>
      <family val="2"/>
      <scheme val="minor"/>
    </font>
    <font>
      <b/>
      <sz val="11"/>
      <color rgb="FF7030A0"/>
      <name val="Calibri"/>
      <family val="2"/>
      <scheme val="minor"/>
    </font>
    <font>
      <sz val="11"/>
      <color theme="1"/>
      <name val="Calibri"/>
      <family val="2"/>
      <scheme val="minor"/>
    </font>
    <font>
      <b/>
      <u/>
      <sz val="11"/>
      <color theme="1"/>
      <name val="Calibri"/>
      <family val="2"/>
      <scheme val="minor"/>
    </font>
    <font>
      <b/>
      <u/>
      <sz val="11.5"/>
      <color rgb="FF222222"/>
      <name val="Arial"/>
      <family val="2"/>
    </font>
    <font>
      <sz val="11.5"/>
      <color rgb="FF222222"/>
      <name val="Arial"/>
      <family val="2"/>
    </font>
    <font>
      <b/>
      <sz val="11"/>
      <color rgb="FF000000"/>
      <name val="Calibri"/>
      <family val="2"/>
      <scheme val="minor"/>
    </font>
    <font>
      <sz val="11"/>
      <color rgb="FF000000"/>
      <name val="Calibri"/>
      <family val="2"/>
      <scheme val="minor"/>
    </font>
    <font>
      <sz val="10"/>
      <color rgb="FF000000"/>
      <name val="Arial"/>
      <family val="2"/>
    </font>
    <font>
      <sz val="10"/>
      <color rgb="FF1D1D1D"/>
      <name val="Arial"/>
      <family val="2"/>
    </font>
    <font>
      <b/>
      <sz val="10"/>
      <color rgb="FF3A4351"/>
      <name val="Arial"/>
      <family val="2"/>
    </font>
    <font>
      <sz val="20"/>
      <color rgb="FFFF0000"/>
      <name val="Calibri"/>
      <family val="2"/>
      <scheme val="minor"/>
    </font>
    <font>
      <b/>
      <i/>
      <sz val="11"/>
      <color theme="1"/>
      <name val="Calibri"/>
      <family val="2"/>
      <scheme val="minor"/>
    </font>
    <font>
      <u/>
      <sz val="11"/>
      <color theme="10"/>
      <name val="Calibri"/>
      <family val="2"/>
      <scheme val="minor"/>
    </font>
    <font>
      <b/>
      <sz val="11"/>
      <color rgb="FF339933"/>
      <name val="Calibri"/>
      <family val="2"/>
      <scheme val="minor"/>
    </font>
    <font>
      <b/>
      <sz val="14"/>
      <color theme="1"/>
      <name val="Calibri"/>
      <family val="2"/>
      <scheme val="minor"/>
    </font>
    <font>
      <b/>
      <sz val="14"/>
      <color rgb="FFFF0000"/>
      <name val="Calibri"/>
      <family val="2"/>
      <scheme val="minor"/>
    </font>
    <font>
      <b/>
      <sz val="14"/>
      <color rgb="FF7030A0"/>
      <name val="Calibri"/>
      <family val="2"/>
      <scheme val="minor"/>
    </font>
    <font>
      <b/>
      <sz val="14"/>
      <color rgb="FF0000FF"/>
      <name val="Calibri"/>
      <family val="2"/>
      <scheme val="minor"/>
    </font>
    <font>
      <sz val="11"/>
      <color rgb="FF00B050"/>
      <name val="Calibri"/>
      <family val="2"/>
      <scheme val="minor"/>
    </font>
    <font>
      <sz val="11"/>
      <color rgb="FF0000FF"/>
      <name val="Calibri"/>
      <family val="2"/>
      <scheme val="minor"/>
    </font>
    <font>
      <b/>
      <sz val="11"/>
      <color rgb="FF00B050"/>
      <name val="Calibri"/>
      <family val="2"/>
      <scheme val="minor"/>
    </font>
    <font>
      <b/>
      <sz val="11"/>
      <color rgb="FF00B0F0"/>
      <name val="Calibri"/>
      <family val="2"/>
      <scheme val="minor"/>
    </font>
    <font>
      <sz val="11"/>
      <color rgb="FF00B0F0"/>
      <name val="Calibri"/>
      <family val="2"/>
      <scheme val="minor"/>
    </font>
    <font>
      <b/>
      <sz val="11"/>
      <color rgb="FFFF33CC"/>
      <name val="Calibri"/>
      <family val="2"/>
      <scheme val="minor"/>
    </font>
    <font>
      <b/>
      <sz val="11"/>
      <name val="Calibri"/>
      <family val="2"/>
      <scheme val="minor"/>
    </font>
    <font>
      <b/>
      <i/>
      <sz val="11"/>
      <name val="Calibri"/>
      <family val="2"/>
      <scheme val="minor"/>
    </font>
    <font>
      <sz val="11"/>
      <name val="Calibri"/>
      <family val="2"/>
      <scheme val="minor"/>
    </font>
    <font>
      <b/>
      <i/>
      <sz val="11"/>
      <color rgb="FF0000FF"/>
      <name val="Calibri"/>
      <family val="2"/>
      <scheme val="minor"/>
    </font>
    <font>
      <b/>
      <sz val="11"/>
      <color theme="1" tint="4.9989318521683403E-2"/>
      <name val="Calibri"/>
      <family val="2"/>
      <scheme val="minor"/>
    </font>
    <font>
      <sz val="11"/>
      <color theme="1" tint="4.9989318521683403E-2"/>
      <name val="Calibri"/>
      <family val="2"/>
      <scheme val="minor"/>
    </font>
    <font>
      <sz val="11"/>
      <color rgb="FF7030A0"/>
      <name val="Calibri"/>
      <family val="2"/>
      <scheme val="minor"/>
    </font>
    <font>
      <sz val="8"/>
      <name val="Calibri"/>
      <family val="2"/>
      <scheme val="minor"/>
    </font>
    <font>
      <sz val="12"/>
      <color rgb="FF212529"/>
      <name val="Roboto"/>
    </font>
    <font>
      <b/>
      <sz val="11"/>
      <color rgb="FF212529"/>
      <name val="Roboto"/>
    </font>
    <font>
      <sz val="11"/>
      <color rgb="FF212529"/>
      <name val="Roboto"/>
    </font>
    <font>
      <b/>
      <sz val="12"/>
      <color rgb="FF212529"/>
      <name val="Roboto"/>
    </font>
  </fonts>
  <fills count="24">
    <fill>
      <patternFill patternType="none"/>
    </fill>
    <fill>
      <patternFill patternType="gray125"/>
    </fill>
    <fill>
      <patternFill patternType="solid">
        <fgColor rgb="FF00B0F0"/>
        <bgColor indexed="64"/>
      </patternFill>
    </fill>
    <fill>
      <patternFill patternType="solid">
        <fgColor rgb="FFFFFF99"/>
        <bgColor indexed="64"/>
      </patternFill>
    </fill>
    <fill>
      <patternFill patternType="solid">
        <fgColor rgb="FF00B050"/>
        <bgColor indexed="64"/>
      </patternFill>
    </fill>
    <fill>
      <patternFill patternType="solid">
        <fgColor rgb="FF66FF33"/>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0"/>
        <bgColor indexed="64"/>
      </patternFill>
    </fill>
    <fill>
      <patternFill patternType="solid">
        <fgColor theme="7"/>
        <bgColor indexed="64"/>
      </patternFill>
    </fill>
    <fill>
      <patternFill patternType="solid">
        <fgColor rgb="FFFFC000"/>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99FF"/>
        <bgColor indexed="64"/>
      </patternFill>
    </fill>
    <fill>
      <patternFill patternType="solid">
        <fgColor theme="2" tint="-0.249977111117893"/>
        <bgColor indexed="64"/>
      </patternFill>
    </fill>
    <fill>
      <patternFill patternType="solid">
        <fgColor rgb="FF7030A0"/>
        <bgColor indexed="64"/>
      </patternFill>
    </fill>
    <fill>
      <patternFill patternType="solid">
        <fgColor rgb="FFFF33CC"/>
        <bgColor indexed="64"/>
      </patternFill>
    </fill>
    <fill>
      <patternFill patternType="solid">
        <fgColor rgb="FF339933"/>
        <bgColor indexed="64"/>
      </patternFill>
    </fill>
    <fill>
      <patternFill patternType="solid">
        <fgColor rgb="FFFF0000"/>
        <bgColor indexed="64"/>
      </patternFill>
    </fill>
    <fill>
      <patternFill patternType="solid">
        <fgColor rgb="FF00FF00"/>
        <bgColor indexed="64"/>
      </patternFill>
    </fill>
  </fills>
  <borders count="44">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rgb="FF000000"/>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bottom style="thin">
        <color indexed="64"/>
      </bottom>
      <diagonal/>
    </border>
    <border>
      <left style="thick">
        <color indexed="64"/>
      </left>
      <right/>
      <top style="medium">
        <color indexed="64"/>
      </top>
      <bottom style="thin">
        <color indexed="64"/>
      </bottom>
      <diagonal/>
    </border>
    <border>
      <left style="thick">
        <color indexed="64"/>
      </left>
      <right/>
      <top/>
      <bottom style="thin">
        <color indexed="64"/>
      </bottom>
      <diagonal/>
    </border>
    <border>
      <left style="thick">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indexed="64"/>
      </top>
      <bottom style="double">
        <color indexed="64"/>
      </bottom>
      <diagonal/>
    </border>
    <border>
      <left style="thin">
        <color indexed="64"/>
      </left>
      <right style="medium">
        <color indexed="64"/>
      </right>
      <top style="medium">
        <color indexed="64"/>
      </top>
      <bottom style="thin">
        <color indexed="64"/>
      </bottom>
      <diagonal/>
    </border>
    <border>
      <left/>
      <right/>
      <top style="medium">
        <color rgb="FFDEE2E6"/>
      </top>
      <bottom/>
      <diagonal/>
    </border>
    <border>
      <left/>
      <right/>
      <top style="medium">
        <color rgb="FFDEE2E6"/>
      </top>
      <bottom style="thick">
        <color rgb="FFDEE2E6"/>
      </bottom>
      <diagonal/>
    </border>
    <border>
      <left style="thin">
        <color indexed="64"/>
      </left>
      <right style="thin">
        <color indexed="64"/>
      </right>
      <top/>
      <bottom/>
      <diagonal/>
    </border>
  </borders>
  <cellStyleXfs count="3">
    <xf numFmtId="0" fontId="0" fillId="0" borderId="0"/>
    <xf numFmtId="43" fontId="6" fillId="0" borderId="0" applyFont="0" applyFill="0" applyBorder="0" applyAlignment="0" applyProtection="0"/>
    <xf numFmtId="0" fontId="17" fillId="0" borderId="0" applyNumberFormat="0" applyFill="0" applyBorder="0" applyAlignment="0" applyProtection="0"/>
  </cellStyleXfs>
  <cellXfs count="438">
    <xf numFmtId="0" fontId="0" fillId="0" borderId="0" xfId="0"/>
    <xf numFmtId="0" fontId="1" fillId="0" borderId="0" xfId="0" applyFont="1" applyAlignment="1">
      <alignment horizontal="center"/>
    </xf>
    <xf numFmtId="0" fontId="1" fillId="2" borderId="1" xfId="0" applyFont="1" applyFill="1" applyBorder="1" applyAlignment="1">
      <alignment horizontal="center"/>
    </xf>
    <xf numFmtId="49" fontId="0" fillId="0" borderId="0" xfId="0" applyNumberFormat="1"/>
    <xf numFmtId="49" fontId="1" fillId="0" borderId="0" xfId="0" applyNumberFormat="1" applyFont="1" applyAlignment="1">
      <alignment horizontal="center"/>
    </xf>
    <xf numFmtId="0" fontId="2" fillId="0" borderId="0" xfId="0" applyFont="1"/>
    <xf numFmtId="0" fontId="1" fillId="2" borderId="1" xfId="0" applyFont="1" applyFill="1" applyBorder="1" applyAlignment="1">
      <alignment horizontal="right"/>
    </xf>
    <xf numFmtId="0" fontId="0" fillId="0" borderId="9" xfId="0" applyBorder="1"/>
    <xf numFmtId="0" fontId="1" fillId="5" borderId="9" xfId="0" applyFont="1" applyFill="1" applyBorder="1" applyAlignment="1">
      <alignment horizontal="center"/>
    </xf>
    <xf numFmtId="0" fontId="1" fillId="2" borderId="2" xfId="0" applyFont="1" applyFill="1" applyBorder="1" applyAlignment="1">
      <alignment horizontal="center"/>
    </xf>
    <xf numFmtId="0" fontId="0" fillId="0" borderId="4" xfId="0" applyBorder="1"/>
    <xf numFmtId="0" fontId="0" fillId="0" borderId="0" xfId="0" applyAlignment="1">
      <alignment horizontal="left"/>
    </xf>
    <xf numFmtId="0" fontId="0" fillId="0" borderId="0" xfId="0" applyAlignment="1">
      <alignment vertical="top"/>
    </xf>
    <xf numFmtId="0" fontId="0" fillId="0" borderId="4" xfId="0" applyBorder="1" applyAlignment="1">
      <alignment vertical="top" wrapText="1"/>
    </xf>
    <xf numFmtId="0" fontId="2" fillId="0" borderId="0" xfId="0" applyFont="1" applyAlignment="1">
      <alignment horizontal="right" vertical="top"/>
    </xf>
    <xf numFmtId="0" fontId="0" fillId="0" borderId="5" xfId="0" applyBorder="1"/>
    <xf numFmtId="0" fontId="1" fillId="0" borderId="4" xfId="0" applyFont="1" applyBorder="1"/>
    <xf numFmtId="0" fontId="1" fillId="2" borderId="3" xfId="0" applyFont="1" applyFill="1" applyBorder="1" applyAlignment="1">
      <alignment horizontal="center"/>
    </xf>
    <xf numFmtId="0" fontId="1" fillId="0" borderId="4" xfId="0" applyFont="1" applyBorder="1" applyAlignment="1">
      <alignment horizontal="right"/>
    </xf>
    <xf numFmtId="0" fontId="4" fillId="0" borderId="4" xfId="0" applyFont="1" applyBorder="1" applyAlignment="1">
      <alignment horizontal="center"/>
    </xf>
    <xf numFmtId="1" fontId="1" fillId="0" borderId="4" xfId="0" applyNumberFormat="1" applyFont="1" applyBorder="1"/>
    <xf numFmtId="0" fontId="1" fillId="3" borderId="9" xfId="0" applyFont="1" applyFill="1" applyBorder="1" applyAlignment="1">
      <alignment horizontal="center"/>
    </xf>
    <xf numFmtId="0" fontId="0" fillId="0" borderId="0" xfId="0" quotePrefix="1"/>
    <xf numFmtId="0" fontId="1" fillId="6" borderId="9" xfId="0" applyFont="1" applyFill="1" applyBorder="1" applyAlignment="1">
      <alignment horizontal="center"/>
    </xf>
    <xf numFmtId="0" fontId="0" fillId="0" borderId="9" xfId="0" applyBorder="1" applyAlignment="1">
      <alignment horizontal="left"/>
    </xf>
    <xf numFmtId="164" fontId="1" fillId="2" borderId="1" xfId="1" quotePrefix="1" applyNumberFormat="1" applyFont="1" applyFill="1" applyBorder="1" applyAlignment="1">
      <alignment horizontal="center"/>
    </xf>
    <xf numFmtId="43" fontId="0" fillId="0" borderId="10" xfId="0" applyNumberFormat="1" applyBorder="1"/>
    <xf numFmtId="0" fontId="1" fillId="8" borderId="1" xfId="0" quotePrefix="1" applyFont="1" applyFill="1" applyBorder="1" applyAlignment="1">
      <alignment horizontal="center"/>
    </xf>
    <xf numFmtId="0" fontId="1" fillId="0" borderId="0" xfId="0" quotePrefix="1" applyFont="1" applyAlignment="1">
      <alignment horizontal="center"/>
    </xf>
    <xf numFmtId="0" fontId="1" fillId="0" borderId="0" xfId="0" applyFont="1" applyAlignment="1">
      <alignment horizontal="right"/>
    </xf>
    <xf numFmtId="14" fontId="0" fillId="0" borderId="9" xfId="1" applyNumberFormat="1" applyFont="1" applyBorder="1" applyAlignment="1">
      <alignment horizontal="right"/>
    </xf>
    <xf numFmtId="14" fontId="3" fillId="9" borderId="9" xfId="1" applyNumberFormat="1" applyFont="1" applyFill="1" applyBorder="1" applyAlignment="1">
      <alignment horizontal="right"/>
    </xf>
    <xf numFmtId="0" fontId="0" fillId="6" borderId="1" xfId="0" applyFill="1" applyBorder="1" applyAlignment="1">
      <alignment horizontal="left"/>
    </xf>
    <xf numFmtId="0" fontId="0" fillId="6" borderId="3" xfId="0" applyFill="1" applyBorder="1" applyAlignment="1">
      <alignment horizontal="left"/>
    </xf>
    <xf numFmtId="0" fontId="1" fillId="0" borderId="0" xfId="0" applyFont="1" applyAlignment="1">
      <alignment horizontal="center" vertical="top"/>
    </xf>
    <xf numFmtId="0" fontId="1" fillId="2" borderId="2" xfId="0" applyFont="1" applyFill="1" applyBorder="1" applyAlignment="1">
      <alignment horizontal="center" vertical="top" wrapText="1"/>
    </xf>
    <xf numFmtId="0" fontId="0" fillId="0" borderId="16" xfId="0" applyBorder="1"/>
    <xf numFmtId="0" fontId="0" fillId="0" borderId="17" xfId="0" applyBorder="1"/>
    <xf numFmtId="0" fontId="1" fillId="2" borderId="18" xfId="0" applyFont="1" applyFill="1" applyBorder="1"/>
    <xf numFmtId="0" fontId="1" fillId="2" borderId="15" xfId="0" applyFont="1" applyFill="1" applyBorder="1"/>
    <xf numFmtId="0" fontId="0" fillId="7" borderId="13" xfId="0" applyFill="1" applyBorder="1"/>
    <xf numFmtId="0" fontId="1" fillId="3" borderId="19" xfId="0" applyFont="1" applyFill="1" applyBorder="1"/>
    <xf numFmtId="0" fontId="1" fillId="3" borderId="15" xfId="0" applyFont="1" applyFill="1" applyBorder="1"/>
    <xf numFmtId="0" fontId="1" fillId="2" borderId="19" xfId="0" applyFont="1" applyFill="1" applyBorder="1"/>
    <xf numFmtId="17" fontId="0" fillId="0" borderId="9" xfId="0" applyNumberFormat="1" applyBorder="1" applyAlignment="1">
      <alignment horizontal="left"/>
    </xf>
    <xf numFmtId="14" fontId="0" fillId="9" borderId="0" xfId="1" applyNumberFormat="1" applyFont="1" applyFill="1" applyAlignment="1">
      <alignment horizontal="right"/>
    </xf>
    <xf numFmtId="0" fontId="0" fillId="0" borderId="0" xfId="0" applyAlignment="1">
      <alignment horizontal="center"/>
    </xf>
    <xf numFmtId="0" fontId="1" fillId="3" borderId="9" xfId="0" applyFont="1" applyFill="1" applyBorder="1" applyAlignment="1">
      <alignment horizontal="center" vertical="top" wrapText="1"/>
    </xf>
    <xf numFmtId="9" fontId="0" fillId="0" borderId="1" xfId="0" applyNumberFormat="1" applyBorder="1"/>
    <xf numFmtId="0" fontId="1" fillId="2" borderId="1" xfId="0" applyFont="1" applyFill="1" applyBorder="1" applyAlignment="1">
      <alignment horizontal="center" vertical="top"/>
    </xf>
    <xf numFmtId="0" fontId="0" fillId="0" borderId="8" xfId="0" applyBorder="1"/>
    <xf numFmtId="0" fontId="1" fillId="3" borderId="6" xfId="0" applyFont="1" applyFill="1" applyBorder="1" applyAlignment="1">
      <alignment horizontal="center"/>
    </xf>
    <xf numFmtId="0" fontId="1" fillId="3" borderId="8" xfId="0" applyFont="1" applyFill="1" applyBorder="1" applyAlignment="1">
      <alignment horizontal="center"/>
    </xf>
    <xf numFmtId="14" fontId="0" fillId="0" borderId="0" xfId="1" applyNumberFormat="1" applyFont="1" applyAlignment="1">
      <alignment horizontal="right"/>
    </xf>
    <xf numFmtId="0" fontId="0" fillId="6" borderId="9" xfId="0" applyFill="1" applyBorder="1" applyAlignment="1">
      <alignment horizontal="left"/>
    </xf>
    <xf numFmtId="0" fontId="5" fillId="0" borderId="0" xfId="0" applyFont="1" applyAlignment="1">
      <alignment horizontal="center"/>
    </xf>
    <xf numFmtId="0" fontId="5" fillId="0" borderId="0" xfId="0" applyFont="1"/>
    <xf numFmtId="0" fontId="8" fillId="0" borderId="0" xfId="0" applyFont="1" applyAlignment="1">
      <alignment vertical="center"/>
    </xf>
    <xf numFmtId="0" fontId="9" fillId="0" borderId="0" xfId="0" applyFont="1" applyAlignment="1">
      <alignment vertical="center"/>
    </xf>
    <xf numFmtId="0" fontId="11" fillId="0" borderId="13" xfId="0" applyFont="1" applyBorder="1" applyAlignment="1">
      <alignment vertical="center"/>
    </xf>
    <xf numFmtId="0" fontId="12" fillId="0" borderId="13" xfId="0" applyFont="1" applyBorder="1" applyAlignment="1">
      <alignment vertical="center"/>
    </xf>
    <xf numFmtId="0" fontId="11" fillId="2" borderId="15" xfId="0" applyFont="1" applyFill="1" applyBorder="1" applyAlignment="1">
      <alignment horizontal="right" vertical="center"/>
    </xf>
    <xf numFmtId="0" fontId="11" fillId="7" borderId="13" xfId="0" applyFont="1" applyFill="1" applyBorder="1" applyAlignment="1">
      <alignment vertical="center"/>
    </xf>
    <xf numFmtId="0" fontId="11" fillId="2" borderId="9" xfId="0" applyFont="1" applyFill="1" applyBorder="1" applyAlignment="1">
      <alignment horizontal="right" vertical="center"/>
    </xf>
    <xf numFmtId="0" fontId="11" fillId="0" borderId="3" xfId="0" applyFont="1" applyBorder="1" applyAlignment="1">
      <alignment vertical="center"/>
    </xf>
    <xf numFmtId="0" fontId="11" fillId="10" borderId="13" xfId="0" applyFont="1" applyFill="1" applyBorder="1" applyAlignment="1">
      <alignment vertical="center"/>
    </xf>
    <xf numFmtId="167" fontId="0" fillId="10" borderId="9" xfId="0" applyNumberFormat="1" applyFill="1" applyBorder="1"/>
    <xf numFmtId="167" fontId="0" fillId="0" borderId="9" xfId="1" applyNumberFormat="1" applyFont="1" applyBorder="1"/>
    <xf numFmtId="0" fontId="0" fillId="4" borderId="9" xfId="0" applyFill="1" applyBorder="1"/>
    <xf numFmtId="0" fontId="2" fillId="0" borderId="0" xfId="0" applyFont="1" applyAlignment="1">
      <alignment horizontal="center" vertical="top"/>
    </xf>
    <xf numFmtId="2" fontId="0" fillId="0" borderId="9" xfId="1" applyNumberFormat="1" applyFont="1" applyBorder="1" applyAlignment="1">
      <alignment horizontal="right"/>
    </xf>
    <xf numFmtId="168" fontId="0" fillId="0" borderId="5" xfId="1" applyNumberFormat="1" applyFont="1" applyBorder="1"/>
    <xf numFmtId="168" fontId="0" fillId="0" borderId="4" xfId="1" applyNumberFormat="1" applyFont="1" applyBorder="1"/>
    <xf numFmtId="49" fontId="0" fillId="0" borderId="9" xfId="0" applyNumberFormat="1" applyBorder="1" applyAlignment="1">
      <alignment horizontal="right"/>
    </xf>
    <xf numFmtId="0" fontId="1" fillId="12" borderId="3" xfId="0" applyFont="1" applyFill="1" applyBorder="1" applyAlignment="1">
      <alignment horizontal="center" vertical="top" wrapText="1"/>
    </xf>
    <xf numFmtId="0" fontId="1" fillId="12" borderId="8" xfId="0" applyFont="1" applyFill="1" applyBorder="1" applyAlignment="1">
      <alignment horizontal="center" vertical="top" wrapText="1"/>
    </xf>
    <xf numFmtId="0" fontId="0" fillId="0" borderId="25" xfId="0" applyBorder="1"/>
    <xf numFmtId="0" fontId="0" fillId="6" borderId="26" xfId="0" applyFill="1" applyBorder="1"/>
    <xf numFmtId="0" fontId="0" fillId="0" borderId="26" xfId="0" applyBorder="1"/>
    <xf numFmtId="14" fontId="0" fillId="0" borderId="24" xfId="0" applyNumberFormat="1" applyBorder="1"/>
    <xf numFmtId="0" fontId="1" fillId="12" borderId="7" xfId="0" applyFont="1" applyFill="1" applyBorder="1" applyAlignment="1">
      <alignment horizontal="center" vertical="top" wrapText="1"/>
    </xf>
    <xf numFmtId="0" fontId="1" fillId="12" borderId="1" xfId="0" applyFont="1" applyFill="1" applyBorder="1" applyAlignment="1">
      <alignment horizontal="center" vertical="top" wrapText="1"/>
    </xf>
    <xf numFmtId="0" fontId="1" fillId="12" borderId="2" xfId="0" applyFont="1" applyFill="1" applyBorder="1" applyAlignment="1">
      <alignment horizontal="center" vertical="top" wrapText="1"/>
    </xf>
    <xf numFmtId="0" fontId="1" fillId="15" borderId="3" xfId="0" applyFont="1" applyFill="1" applyBorder="1" applyAlignment="1">
      <alignment horizontal="center" vertical="top"/>
    </xf>
    <xf numFmtId="0" fontId="1" fillId="15" borderId="6" xfId="0" applyFont="1" applyFill="1" applyBorder="1" applyAlignment="1">
      <alignment horizontal="center" vertical="top"/>
    </xf>
    <xf numFmtId="0" fontId="1" fillId="15" borderId="7" xfId="0" applyFont="1" applyFill="1" applyBorder="1" applyAlignment="1">
      <alignment horizontal="center" vertical="top"/>
    </xf>
    <xf numFmtId="168" fontId="0" fillId="0" borderId="27" xfId="1" applyNumberFormat="1" applyFont="1" applyBorder="1"/>
    <xf numFmtId="168" fontId="0" fillId="0" borderId="24" xfId="1" applyNumberFormat="1" applyFont="1" applyBorder="1"/>
    <xf numFmtId="168" fontId="0" fillId="0" borderId="26" xfId="1" applyNumberFormat="1" applyFont="1" applyBorder="1"/>
    <xf numFmtId="168" fontId="0" fillId="0" borderId="25" xfId="1" applyNumberFormat="1" applyFont="1" applyBorder="1"/>
    <xf numFmtId="168" fontId="0" fillId="6" borderId="29" xfId="1" applyNumberFormat="1" applyFont="1" applyFill="1" applyBorder="1"/>
    <xf numFmtId="168" fontId="0" fillId="6" borderId="30" xfId="1" applyNumberFormat="1" applyFont="1" applyFill="1" applyBorder="1"/>
    <xf numFmtId="0" fontId="1" fillId="12" borderId="6" xfId="0" applyFont="1" applyFill="1" applyBorder="1" applyAlignment="1">
      <alignment horizontal="center" vertical="top" wrapText="1"/>
    </xf>
    <xf numFmtId="0" fontId="0" fillId="6" borderId="28" xfId="0" applyFill="1" applyBorder="1"/>
    <xf numFmtId="0" fontId="0" fillId="6" borderId="29" xfId="0" applyFill="1" applyBorder="1"/>
    <xf numFmtId="167" fontId="0" fillId="0" borderId="4" xfId="0" applyNumberFormat="1" applyBorder="1"/>
    <xf numFmtId="167" fontId="0" fillId="0" borderId="9" xfId="0" applyNumberFormat="1" applyBorder="1"/>
    <xf numFmtId="168" fontId="0" fillId="0" borderId="9" xfId="1" applyNumberFormat="1" applyFont="1" applyBorder="1"/>
    <xf numFmtId="0" fontId="0" fillId="0" borderId="4" xfId="0" applyBorder="1" applyAlignment="1">
      <alignment horizontal="right"/>
    </xf>
    <xf numFmtId="0" fontId="2" fillId="0" borderId="0" xfId="0" applyFont="1" applyAlignment="1">
      <alignment horizontal="center"/>
    </xf>
    <xf numFmtId="0" fontId="1" fillId="11" borderId="4" xfId="0" applyFont="1" applyFill="1" applyBorder="1"/>
    <xf numFmtId="0" fontId="4" fillId="0" borderId="4" xfId="0" applyFont="1" applyBorder="1"/>
    <xf numFmtId="0" fontId="4" fillId="0" borderId="4" xfId="0" applyFont="1" applyBorder="1" applyAlignment="1">
      <alignment horizontal="right"/>
    </xf>
    <xf numFmtId="1" fontId="4" fillId="0" borderId="4" xfId="0" applyNumberFormat="1" applyFont="1" applyBorder="1"/>
    <xf numFmtId="0" fontId="1" fillId="0" borderId="10" xfId="0" applyFont="1" applyBorder="1" applyAlignment="1">
      <alignment horizontal="right"/>
    </xf>
    <xf numFmtId="0" fontId="1" fillId="0" borderId="12" xfId="0" applyFont="1" applyBorder="1" applyAlignment="1">
      <alignment horizontal="right"/>
    </xf>
    <xf numFmtId="166" fontId="0" fillId="0" borderId="15" xfId="1" applyNumberFormat="1" applyFont="1" applyBorder="1" applyAlignment="1">
      <alignment horizontal="right"/>
    </xf>
    <xf numFmtId="0" fontId="13" fillId="0" borderId="9" xfId="0" applyFont="1" applyBorder="1"/>
    <xf numFmtId="0" fontId="1" fillId="0" borderId="0" xfId="0" applyFont="1"/>
    <xf numFmtId="0" fontId="1" fillId="4" borderId="3" xfId="0" applyFont="1" applyFill="1" applyBorder="1" applyAlignment="1">
      <alignment horizontal="center"/>
    </xf>
    <xf numFmtId="0" fontId="0" fillId="0" borderId="37" xfId="0" applyBorder="1"/>
    <xf numFmtId="0" fontId="0" fillId="16" borderId="0" xfId="0" applyFill="1"/>
    <xf numFmtId="17" fontId="0" fillId="0" borderId="15" xfId="0" applyNumberFormat="1" applyBorder="1" applyAlignment="1">
      <alignment horizontal="left"/>
    </xf>
    <xf numFmtId="0" fontId="1" fillId="3" borderId="6" xfId="0" applyFont="1" applyFill="1" applyBorder="1" applyAlignment="1">
      <alignment horizontal="right"/>
    </xf>
    <xf numFmtId="0" fontId="1" fillId="3" borderId="7" xfId="0" applyFont="1" applyFill="1" applyBorder="1" applyAlignment="1">
      <alignment horizontal="center"/>
    </xf>
    <xf numFmtId="0" fontId="0" fillId="0" borderId="35" xfId="0" applyBorder="1" applyAlignment="1">
      <alignment horizontal="right"/>
    </xf>
    <xf numFmtId="0" fontId="0" fillId="0" borderId="36" xfId="0" applyBorder="1"/>
    <xf numFmtId="0" fontId="0" fillId="0" borderId="40" xfId="0" applyBorder="1" applyAlignment="1">
      <alignment horizontal="center"/>
    </xf>
    <xf numFmtId="0" fontId="0" fillId="0" borderId="38" xfId="0" applyBorder="1" applyAlignment="1">
      <alignment horizontal="center"/>
    </xf>
    <xf numFmtId="0" fontId="0" fillId="0" borderId="37" xfId="0" applyBorder="1" applyAlignment="1">
      <alignment horizontal="right"/>
    </xf>
    <xf numFmtId="3" fontId="14" fillId="0" borderId="9" xfId="0" applyNumberFormat="1" applyFont="1" applyBorder="1"/>
    <xf numFmtId="0" fontId="1" fillId="17" borderId="1" xfId="0" applyFont="1" applyFill="1" applyBorder="1" applyAlignment="1">
      <alignment horizontal="center"/>
    </xf>
    <xf numFmtId="0" fontId="1" fillId="17" borderId="3" xfId="0" applyFont="1" applyFill="1" applyBorder="1" applyAlignment="1">
      <alignment horizontal="center"/>
    </xf>
    <xf numFmtId="0" fontId="1" fillId="0" borderId="1" xfId="0" applyFont="1" applyBorder="1" applyAlignment="1">
      <alignment horizontal="right"/>
    </xf>
    <xf numFmtId="0" fontId="0" fillId="0" borderId="9" xfId="0" applyBorder="1" applyAlignment="1">
      <alignment horizontal="center"/>
    </xf>
    <xf numFmtId="0" fontId="1" fillId="0" borderId="9" xfId="0" applyFont="1" applyBorder="1" applyAlignment="1">
      <alignment horizontal="right"/>
    </xf>
    <xf numFmtId="0" fontId="1" fillId="17" borderId="19" xfId="0" applyFont="1" applyFill="1" applyBorder="1" applyAlignment="1">
      <alignment horizontal="center"/>
    </xf>
    <xf numFmtId="0" fontId="1" fillId="0" borderId="6" xfId="0" applyFont="1" applyBorder="1" applyAlignment="1">
      <alignment horizontal="right"/>
    </xf>
    <xf numFmtId="0" fontId="0" fillId="0" borderId="15" xfId="0" applyBorder="1" applyAlignment="1">
      <alignment horizontal="center"/>
    </xf>
    <xf numFmtId="0" fontId="0" fillId="13" borderId="9" xfId="0" applyFill="1" applyBorder="1" applyAlignment="1">
      <alignment horizontal="center"/>
    </xf>
    <xf numFmtId="0" fontId="1" fillId="17" borderId="2" xfId="0" applyFont="1" applyFill="1" applyBorder="1" applyAlignment="1">
      <alignment horizontal="center"/>
    </xf>
    <xf numFmtId="0" fontId="1" fillId="7" borderId="1" xfId="0" applyFont="1" applyFill="1" applyBorder="1" applyAlignment="1">
      <alignment horizontal="center"/>
    </xf>
    <xf numFmtId="0" fontId="1" fillId="7" borderId="2" xfId="0" applyFont="1" applyFill="1" applyBorder="1" applyAlignment="1">
      <alignment horizontal="center"/>
    </xf>
    <xf numFmtId="0" fontId="1" fillId="18" borderId="1" xfId="0" applyFont="1" applyFill="1" applyBorder="1" applyAlignment="1">
      <alignment horizontal="center"/>
    </xf>
    <xf numFmtId="0" fontId="1" fillId="18" borderId="2" xfId="0" applyFont="1" applyFill="1" applyBorder="1" applyAlignment="1">
      <alignment horizontal="center"/>
    </xf>
    <xf numFmtId="0" fontId="1" fillId="18" borderId="3" xfId="0" applyFont="1" applyFill="1" applyBorder="1" applyAlignment="1">
      <alignment horizontal="center"/>
    </xf>
    <xf numFmtId="0" fontId="0" fillId="0" borderId="0" xfId="0" applyAlignment="1">
      <alignment horizontal="center" vertical="top"/>
    </xf>
    <xf numFmtId="0" fontId="0" fillId="0" borderId="5" xfId="0" applyBorder="1" applyAlignment="1">
      <alignment horizontal="center" vertical="top"/>
    </xf>
    <xf numFmtId="0" fontId="0" fillId="0" borderId="24" xfId="0" applyBorder="1" applyAlignment="1">
      <alignment horizontal="center" vertical="top"/>
    </xf>
    <xf numFmtId="0" fontId="0" fillId="0" borderId="4" xfId="0" applyBorder="1" applyAlignment="1">
      <alignment horizontal="center" vertical="top"/>
    </xf>
    <xf numFmtId="0" fontId="0" fillId="0" borderId="25" xfId="0" applyBorder="1" applyAlignment="1">
      <alignment horizontal="center" vertical="top"/>
    </xf>
    <xf numFmtId="0" fontId="1" fillId="18" borderId="7" xfId="0" applyFont="1" applyFill="1" applyBorder="1" applyAlignment="1">
      <alignment horizontal="center"/>
    </xf>
    <xf numFmtId="0" fontId="0" fillId="0" borderId="16" xfId="0" applyBorder="1" applyAlignment="1">
      <alignment horizontal="center" vertical="top" wrapText="1"/>
    </xf>
    <xf numFmtId="0" fontId="0" fillId="0" borderId="16" xfId="0" applyBorder="1" applyAlignment="1">
      <alignment horizontal="center" vertical="top"/>
    </xf>
    <xf numFmtId="0" fontId="0" fillId="0" borderId="3" xfId="0" applyBorder="1" applyAlignment="1">
      <alignment horizontal="center"/>
    </xf>
    <xf numFmtId="16" fontId="0" fillId="0" borderId="3" xfId="0" applyNumberFormat="1" applyBorder="1" applyAlignment="1">
      <alignment horizontal="center"/>
    </xf>
    <xf numFmtId="0" fontId="0" fillId="0" borderId="9" xfId="0" applyBorder="1" applyAlignment="1">
      <alignment horizontal="right"/>
    </xf>
    <xf numFmtId="0" fontId="17" fillId="0" borderId="0" xfId="2"/>
    <xf numFmtId="0" fontId="1" fillId="2" borderId="1" xfId="0" applyFont="1" applyFill="1" applyBorder="1" applyAlignment="1">
      <alignment horizontal="right" vertical="top"/>
    </xf>
    <xf numFmtId="0" fontId="1" fillId="6" borderId="1" xfId="0" applyFont="1" applyFill="1" applyBorder="1" applyAlignment="1">
      <alignment horizontal="center"/>
    </xf>
    <xf numFmtId="165" fontId="1" fillId="8" borderId="9" xfId="0" applyNumberFormat="1" applyFont="1" applyFill="1" applyBorder="1" applyAlignment="1">
      <alignment horizontal="center"/>
    </xf>
    <xf numFmtId="0" fontId="5" fillId="11" borderId="0" xfId="0" applyFont="1" applyFill="1"/>
    <xf numFmtId="0" fontId="2" fillId="11" borderId="0" xfId="0" applyFont="1" applyFill="1" applyAlignment="1">
      <alignment horizontal="center" vertical="top"/>
    </xf>
    <xf numFmtId="0" fontId="1" fillId="11" borderId="4" xfId="0" applyFont="1" applyFill="1" applyBorder="1" applyAlignment="1">
      <alignment horizontal="right"/>
    </xf>
    <xf numFmtId="0" fontId="1" fillId="11" borderId="0" xfId="0" applyFont="1" applyFill="1"/>
    <xf numFmtId="165" fontId="1" fillId="17" borderId="4" xfId="1" applyNumberFormat="1" applyFont="1" applyFill="1" applyBorder="1"/>
    <xf numFmtId="0" fontId="4" fillId="0" borderId="0" xfId="0" applyFont="1"/>
    <xf numFmtId="0" fontId="19" fillId="0" borderId="0" xfId="0" applyFont="1" applyAlignment="1">
      <alignment horizontal="center"/>
    </xf>
    <xf numFmtId="0" fontId="20" fillId="0" borderId="0" xfId="0" applyFont="1"/>
    <xf numFmtId="0" fontId="19" fillId="2" borderId="6" xfId="0" applyFont="1" applyFill="1" applyBorder="1" applyAlignment="1">
      <alignment horizontal="center"/>
    </xf>
    <xf numFmtId="0" fontId="19" fillId="2" borderId="7" xfId="0" applyFont="1" applyFill="1" applyBorder="1" applyAlignment="1">
      <alignment horizontal="center"/>
    </xf>
    <xf numFmtId="0" fontId="19" fillId="2" borderId="8" xfId="0" applyFont="1" applyFill="1" applyBorder="1" applyAlignment="1">
      <alignment horizontal="center"/>
    </xf>
    <xf numFmtId="0" fontId="21" fillId="0" borderId="4" xfId="0" applyFont="1" applyBorder="1" applyAlignment="1">
      <alignment horizontal="center" wrapText="1"/>
    </xf>
    <xf numFmtId="0" fontId="21" fillId="0" borderId="4" xfId="0" applyFont="1" applyBorder="1" applyAlignment="1">
      <alignment wrapText="1"/>
    </xf>
    <xf numFmtId="165" fontId="21" fillId="17" borderId="4" xfId="1" applyNumberFormat="1" applyFont="1" applyFill="1" applyBorder="1" applyAlignment="1">
      <alignment wrapText="1"/>
    </xf>
    <xf numFmtId="0" fontId="22" fillId="11" borderId="4" xfId="0" applyFont="1" applyFill="1" applyBorder="1" applyAlignment="1">
      <alignment horizontal="center" wrapText="1"/>
    </xf>
    <xf numFmtId="0" fontId="22" fillId="11" borderId="4" xfId="0" applyFont="1" applyFill="1" applyBorder="1" applyAlignment="1">
      <alignment wrapText="1"/>
    </xf>
    <xf numFmtId="0" fontId="22" fillId="0" borderId="4" xfId="0" applyFont="1" applyBorder="1" applyAlignment="1">
      <alignment horizontal="center" wrapText="1"/>
    </xf>
    <xf numFmtId="0" fontId="22" fillId="0" borderId="4" xfId="0" applyFont="1" applyBorder="1" applyAlignment="1">
      <alignment wrapText="1"/>
    </xf>
    <xf numFmtId="0" fontId="22" fillId="0" borderId="4" xfId="0" applyFont="1" applyBorder="1" applyAlignment="1">
      <alignment horizontal="right" wrapText="1"/>
    </xf>
    <xf numFmtId="1" fontId="22" fillId="0" borderId="4" xfId="0" applyNumberFormat="1" applyFont="1" applyBorder="1" applyAlignment="1">
      <alignment wrapText="1"/>
    </xf>
    <xf numFmtId="1" fontId="1" fillId="11" borderId="3" xfId="0" applyNumberFormat="1" applyFont="1" applyFill="1" applyBorder="1" applyAlignment="1">
      <alignment horizontal="center"/>
    </xf>
    <xf numFmtId="0" fontId="1" fillId="3" borderId="2" xfId="0" applyFont="1" applyFill="1" applyBorder="1" applyAlignment="1">
      <alignment horizontal="right"/>
    </xf>
    <xf numFmtId="3" fontId="1" fillId="10" borderId="3" xfId="0" applyNumberFormat="1" applyFont="1" applyFill="1" applyBorder="1" applyAlignment="1">
      <alignment horizontal="center"/>
    </xf>
    <xf numFmtId="0" fontId="5" fillId="0" borderId="4" xfId="0" applyFont="1" applyBorder="1" applyAlignment="1">
      <alignment horizontal="center"/>
    </xf>
    <xf numFmtId="0" fontId="18" fillId="0" borderId="4" xfId="0" applyFont="1" applyBorder="1" applyAlignment="1">
      <alignment horizontal="center"/>
    </xf>
    <xf numFmtId="0" fontId="23" fillId="0" borderId="4" xfId="0" applyFont="1" applyBorder="1" applyAlignment="1">
      <alignment horizontal="center"/>
    </xf>
    <xf numFmtId="0" fontId="2" fillId="0" borderId="4" xfId="0" applyFont="1" applyBorder="1" applyAlignment="1">
      <alignment horizontal="center"/>
    </xf>
    <xf numFmtId="0" fontId="3" fillId="0" borderId="4" xfId="0" applyFont="1" applyBorder="1" applyAlignment="1">
      <alignment horizontal="center"/>
    </xf>
    <xf numFmtId="0" fontId="4" fillId="11" borderId="4" xfId="0" applyFont="1" applyFill="1" applyBorder="1" applyAlignment="1">
      <alignment horizontal="center"/>
    </xf>
    <xf numFmtId="0" fontId="24" fillId="0" borderId="4" xfId="0" applyFont="1" applyBorder="1"/>
    <xf numFmtId="1" fontId="1" fillId="17" borderId="4" xfId="0" applyNumberFormat="1" applyFont="1" applyFill="1" applyBorder="1"/>
    <xf numFmtId="0" fontId="24" fillId="0" borderId="4" xfId="0" applyFont="1" applyBorder="1" applyAlignment="1">
      <alignment horizontal="center"/>
    </xf>
    <xf numFmtId="0" fontId="1" fillId="0" borderId="4" xfId="0" quotePrefix="1" applyFont="1" applyBorder="1"/>
    <xf numFmtId="0" fontId="1" fillId="11" borderId="4" xfId="0" applyFont="1" applyFill="1" applyBorder="1" applyAlignment="1">
      <alignment horizontal="center"/>
    </xf>
    <xf numFmtId="0" fontId="2" fillId="11" borderId="4" xfId="0" applyFont="1" applyFill="1" applyBorder="1" applyAlignment="1">
      <alignment horizontal="center"/>
    </xf>
    <xf numFmtId="0" fontId="18" fillId="11" borderId="4" xfId="0" applyFont="1" applyFill="1" applyBorder="1" applyAlignment="1">
      <alignment horizontal="center"/>
    </xf>
    <xf numFmtId="0" fontId="25" fillId="0" borderId="4" xfId="0" applyFont="1" applyBorder="1" applyAlignment="1">
      <alignment horizontal="center"/>
    </xf>
    <xf numFmtId="0" fontId="1" fillId="0" borderId="4" xfId="0" applyFont="1" applyBorder="1" applyAlignment="1">
      <alignment horizontal="center"/>
    </xf>
    <xf numFmtId="0" fontId="16" fillId="0" borderId="4" xfId="0" applyFont="1" applyBorder="1"/>
    <xf numFmtId="0" fontId="27" fillId="0" borderId="4" xfId="0" applyFont="1" applyBorder="1"/>
    <xf numFmtId="0" fontId="1" fillId="0" borderId="5" xfId="0" applyFont="1" applyBorder="1"/>
    <xf numFmtId="165" fontId="1" fillId="0" borderId="4" xfId="1" applyNumberFormat="1" applyFont="1" applyFill="1" applyBorder="1"/>
    <xf numFmtId="0" fontId="29" fillId="0" borderId="4" xfId="0" applyFont="1" applyBorder="1"/>
    <xf numFmtId="165" fontId="29" fillId="0" borderId="4" xfId="1" applyNumberFormat="1" applyFont="1" applyFill="1" applyBorder="1" applyAlignment="1"/>
    <xf numFmtId="0" fontId="29" fillId="0" borderId="4" xfId="0" applyFont="1" applyBorder="1" applyAlignment="1">
      <alignment horizontal="center"/>
    </xf>
    <xf numFmtId="0" fontId="29" fillId="0" borderId="5" xfId="0" applyFont="1" applyBorder="1"/>
    <xf numFmtId="0" fontId="29" fillId="11" borderId="4" xfId="0" applyFont="1" applyFill="1" applyBorder="1" applyAlignment="1">
      <alignment horizontal="center"/>
    </xf>
    <xf numFmtId="0" fontId="29" fillId="11" borderId="4" xfId="0" applyFont="1" applyFill="1" applyBorder="1"/>
    <xf numFmtId="0" fontId="31" fillId="0" borderId="4" xfId="0" applyFont="1" applyBorder="1"/>
    <xf numFmtId="0" fontId="3" fillId="0" borderId="0" xfId="0" applyFont="1" applyAlignment="1">
      <alignment horizontal="center"/>
    </xf>
    <xf numFmtId="0" fontId="2" fillId="0" borderId="14" xfId="0" applyFont="1" applyBorder="1" applyAlignment="1">
      <alignment horizontal="center"/>
    </xf>
    <xf numFmtId="0" fontId="0" fillId="19" borderId="4" xfId="0" applyFill="1" applyBorder="1"/>
    <xf numFmtId="0" fontId="0" fillId="0" borderId="4" xfId="0" applyBorder="1" applyAlignment="1">
      <alignment horizontal="center"/>
    </xf>
    <xf numFmtId="0" fontId="0" fillId="11" borderId="0" xfId="0" applyFill="1"/>
    <xf numFmtId="0" fontId="0" fillId="11" borderId="0" xfId="0" applyFill="1" applyAlignment="1">
      <alignment horizontal="left"/>
    </xf>
    <xf numFmtId="49" fontId="0" fillId="11" borderId="0" xfId="0" applyNumberFormat="1" applyFill="1"/>
    <xf numFmtId="0" fontId="0" fillId="11" borderId="4" xfId="0" applyFill="1" applyBorder="1"/>
    <xf numFmtId="0" fontId="0" fillId="4" borderId="0" xfId="0" applyFill="1"/>
    <xf numFmtId="1" fontId="0" fillId="0" borderId="4" xfId="0" applyNumberFormat="1" applyBorder="1"/>
    <xf numFmtId="0" fontId="0" fillId="0" borderId="4" xfId="0" quotePrefix="1" applyBorder="1"/>
    <xf numFmtId="0" fontId="0" fillId="19" borderId="0" xfId="0" applyFill="1"/>
    <xf numFmtId="0" fontId="32" fillId="0" borderId="4" xfId="0" applyFont="1" applyBorder="1"/>
    <xf numFmtId="0" fontId="29" fillId="17" borderId="4" xfId="0" applyFont="1" applyFill="1" applyBorder="1"/>
    <xf numFmtId="0" fontId="30" fillId="0" borderId="5" xfId="0" applyFont="1" applyBorder="1"/>
    <xf numFmtId="49" fontId="24" fillId="0" borderId="0" xfId="0" applyNumberFormat="1" applyFont="1"/>
    <xf numFmtId="0" fontId="4" fillId="0" borderId="0" xfId="0" applyFont="1" applyAlignment="1">
      <alignment horizontal="center"/>
    </xf>
    <xf numFmtId="49" fontId="31" fillId="0" borderId="0" xfId="0" applyNumberFormat="1" applyFont="1"/>
    <xf numFmtId="0" fontId="33" fillId="0" borderId="4" xfId="0" applyFont="1" applyBorder="1" applyAlignment="1">
      <alignment horizontal="center"/>
    </xf>
    <xf numFmtId="0" fontId="33" fillId="0" borderId="4" xfId="0" applyFont="1" applyBorder="1"/>
    <xf numFmtId="0" fontId="33" fillId="0" borderId="4" xfId="0" applyFont="1" applyBorder="1" applyAlignment="1">
      <alignment horizontal="right"/>
    </xf>
    <xf numFmtId="49" fontId="34" fillId="0" borderId="0" xfId="0" applyNumberFormat="1" applyFont="1"/>
    <xf numFmtId="0" fontId="33" fillId="0" borderId="0" xfId="0" applyFont="1" applyAlignment="1">
      <alignment horizontal="center"/>
    </xf>
    <xf numFmtId="0" fontId="33" fillId="0" borderId="0" xfId="0" applyFont="1" applyAlignment="1">
      <alignment horizontal="center" vertical="top"/>
    </xf>
    <xf numFmtId="0" fontId="34" fillId="0" borderId="0" xfId="0" applyFont="1"/>
    <xf numFmtId="0" fontId="3" fillId="0" borderId="14" xfId="0" applyFont="1" applyBorder="1" applyAlignment="1">
      <alignment horizontal="center"/>
    </xf>
    <xf numFmtId="0" fontId="1" fillId="0" borderId="1" xfId="0" applyFont="1" applyBorder="1" applyAlignment="1">
      <alignment horizontal="left"/>
    </xf>
    <xf numFmtId="0" fontId="1" fillId="0" borderId="3" xfId="0" applyFont="1" applyBorder="1" applyAlignment="1">
      <alignment horizontal="left"/>
    </xf>
    <xf numFmtId="14" fontId="1" fillId="0" borderId="3" xfId="0" applyNumberFormat="1" applyFont="1" applyBorder="1" applyAlignment="1">
      <alignment horizontal="left"/>
    </xf>
    <xf numFmtId="0" fontId="1" fillId="10" borderId="2" xfId="0" applyFont="1" applyFill="1" applyBorder="1" applyAlignment="1">
      <alignment horizontal="left"/>
    </xf>
    <xf numFmtId="14" fontId="0" fillId="0" borderId="0" xfId="0" applyNumberFormat="1"/>
    <xf numFmtId="0" fontId="29" fillId="0" borderId="4" xfId="0" applyFont="1" applyBorder="1" applyAlignment="1">
      <alignment horizontal="right"/>
    </xf>
    <xf numFmtId="0" fontId="0" fillId="5" borderId="0" xfId="0" applyFill="1"/>
    <xf numFmtId="0" fontId="0" fillId="5" borderId="0" xfId="0" applyFill="1" applyAlignment="1">
      <alignment horizontal="center"/>
    </xf>
    <xf numFmtId="0" fontId="34" fillId="0" borderId="0" xfId="0" applyFont="1" applyAlignment="1">
      <alignment horizontal="center"/>
    </xf>
    <xf numFmtId="0" fontId="1" fillId="5" borderId="4" xfId="0" applyFont="1" applyFill="1" applyBorder="1" applyAlignment="1">
      <alignment horizontal="center"/>
    </xf>
    <xf numFmtId="0" fontId="1" fillId="2" borderId="4" xfId="0" applyFont="1" applyFill="1" applyBorder="1" applyAlignment="1">
      <alignment horizontal="center"/>
    </xf>
    <xf numFmtId="0" fontId="1" fillId="20" borderId="4" xfId="0" applyFont="1" applyFill="1" applyBorder="1" applyAlignment="1">
      <alignment horizontal="center"/>
    </xf>
    <xf numFmtId="0" fontId="1" fillId="21" borderId="4" xfId="0" applyFont="1" applyFill="1" applyBorder="1" applyAlignment="1">
      <alignment horizontal="center"/>
    </xf>
    <xf numFmtId="0" fontId="1" fillId="17" borderId="4" xfId="0" applyFont="1" applyFill="1" applyBorder="1" applyAlignment="1">
      <alignment horizontal="center"/>
    </xf>
    <xf numFmtId="0" fontId="1" fillId="0" borderId="0" xfId="0" applyFont="1" applyAlignment="1">
      <alignment horizontal="left"/>
    </xf>
    <xf numFmtId="14" fontId="0" fillId="5" borderId="0" xfId="0" applyNumberFormat="1" applyFill="1"/>
    <xf numFmtId="0" fontId="18" fillId="5" borderId="4" xfId="0" applyFont="1" applyFill="1" applyBorder="1" applyAlignment="1">
      <alignment horizontal="center"/>
    </xf>
    <xf numFmtId="0" fontId="29" fillId="5" borderId="4" xfId="0" applyFont="1" applyFill="1" applyBorder="1" applyAlignment="1">
      <alignment horizontal="center"/>
    </xf>
    <xf numFmtId="0" fontId="29" fillId="5" borderId="4" xfId="0" applyFont="1" applyFill="1" applyBorder="1"/>
    <xf numFmtId="0" fontId="29" fillId="5" borderId="5" xfId="0" applyFont="1" applyFill="1" applyBorder="1"/>
    <xf numFmtId="165" fontId="29" fillId="5" borderId="4" xfId="1" applyNumberFormat="1" applyFont="1" applyFill="1" applyBorder="1"/>
    <xf numFmtId="0" fontId="5" fillId="5" borderId="0" xfId="0" applyFont="1" applyFill="1"/>
    <xf numFmtId="49" fontId="0" fillId="5" borderId="0" xfId="0" applyNumberFormat="1" applyFill="1"/>
    <xf numFmtId="0" fontId="2" fillId="5" borderId="0" xfId="0" applyFont="1" applyFill="1" applyAlignment="1">
      <alignment horizontal="center" vertical="top"/>
    </xf>
    <xf numFmtId="0" fontId="1" fillId="5" borderId="4" xfId="0" applyFont="1" applyFill="1" applyBorder="1"/>
    <xf numFmtId="0" fontId="1" fillId="5" borderId="5" xfId="0" applyFont="1" applyFill="1" applyBorder="1"/>
    <xf numFmtId="0" fontId="2" fillId="5" borderId="0" xfId="0" applyFont="1" applyFill="1" applyAlignment="1">
      <alignment horizontal="center"/>
    </xf>
    <xf numFmtId="0" fontId="5" fillId="5" borderId="4" xfId="0" applyFont="1" applyFill="1" applyBorder="1" applyAlignment="1">
      <alignment horizontal="center"/>
    </xf>
    <xf numFmtId="0" fontId="29" fillId="5" borderId="4" xfId="0" applyFont="1" applyFill="1" applyBorder="1" applyAlignment="1">
      <alignment horizontal="right"/>
    </xf>
    <xf numFmtId="165" fontId="1" fillId="5" borderId="4" xfId="1" applyNumberFormat="1" applyFont="1" applyFill="1" applyBorder="1"/>
    <xf numFmtId="0" fontId="2" fillId="5" borderId="4" xfId="0" applyFont="1" applyFill="1" applyBorder="1" applyAlignment="1">
      <alignment horizontal="center"/>
    </xf>
    <xf numFmtId="0" fontId="4" fillId="5" borderId="4" xfId="0" applyFont="1" applyFill="1" applyBorder="1" applyAlignment="1">
      <alignment horizontal="center"/>
    </xf>
    <xf numFmtId="0" fontId="4" fillId="5" borderId="0" xfId="0" applyFont="1" applyFill="1"/>
    <xf numFmtId="0" fontId="1" fillId="5" borderId="4" xfId="0" applyFont="1" applyFill="1" applyBorder="1" applyAlignment="1">
      <alignment horizontal="right"/>
    </xf>
    <xf numFmtId="0" fontId="4" fillId="5" borderId="4" xfId="0" applyFont="1" applyFill="1" applyBorder="1"/>
    <xf numFmtId="0" fontId="4" fillId="5" borderId="4" xfId="0" applyFont="1" applyFill="1" applyBorder="1" applyAlignment="1">
      <alignment horizontal="right"/>
    </xf>
    <xf numFmtId="0" fontId="0" fillId="5" borderId="0" xfId="0" applyFill="1" applyAlignment="1">
      <alignment horizontal="left"/>
    </xf>
    <xf numFmtId="0" fontId="24" fillId="5" borderId="4" xfId="0" applyFont="1" applyFill="1" applyBorder="1" applyAlignment="1">
      <alignment horizontal="center"/>
    </xf>
    <xf numFmtId="0" fontId="0" fillId="5" borderId="4" xfId="0" applyFill="1" applyBorder="1"/>
    <xf numFmtId="1" fontId="1" fillId="5" borderId="4" xfId="0" applyNumberFormat="1" applyFont="1" applyFill="1" applyBorder="1"/>
    <xf numFmtId="0" fontId="1" fillId="5" borderId="4" xfId="0" quotePrefix="1" applyFont="1" applyFill="1" applyBorder="1"/>
    <xf numFmtId="0" fontId="2" fillId="5" borderId="14" xfId="0" applyFont="1" applyFill="1" applyBorder="1" applyAlignment="1">
      <alignment horizontal="center"/>
    </xf>
    <xf numFmtId="0" fontId="25" fillId="5" borderId="4" xfId="0" applyFont="1" applyFill="1" applyBorder="1" applyAlignment="1">
      <alignment horizontal="center"/>
    </xf>
    <xf numFmtId="0" fontId="3" fillId="5" borderId="4" xfId="0" applyFont="1" applyFill="1" applyBorder="1" applyAlignment="1">
      <alignment horizontal="center"/>
    </xf>
    <xf numFmtId="1" fontId="29" fillId="5" borderId="4" xfId="0" applyNumberFormat="1" applyFont="1" applyFill="1" applyBorder="1"/>
    <xf numFmtId="0" fontId="3" fillId="5" borderId="0" xfId="0" applyFont="1" applyFill="1"/>
    <xf numFmtId="0" fontId="0" fillId="5" borderId="0" xfId="0" applyFill="1" applyAlignment="1">
      <alignment horizontal="right"/>
    </xf>
    <xf numFmtId="0" fontId="29" fillId="5" borderId="4" xfId="0" applyFont="1" applyFill="1" applyBorder="1" applyAlignment="1">
      <alignment horizontal="left"/>
    </xf>
    <xf numFmtId="0" fontId="23" fillId="5" borderId="4" xfId="0" applyFont="1" applyFill="1" applyBorder="1" applyAlignment="1">
      <alignment horizontal="center"/>
    </xf>
    <xf numFmtId="0" fontId="0" fillId="5" borderId="4" xfId="0" applyFill="1" applyBorder="1" applyAlignment="1">
      <alignment horizontal="center"/>
    </xf>
    <xf numFmtId="0" fontId="26" fillId="5" borderId="4" xfId="0" applyFont="1" applyFill="1" applyBorder="1"/>
    <xf numFmtId="0" fontId="31" fillId="5" borderId="4" xfId="0" applyFont="1" applyFill="1" applyBorder="1" applyAlignment="1">
      <alignment horizontal="right"/>
    </xf>
    <xf numFmtId="0" fontId="31" fillId="5" borderId="4" xfId="0" applyFont="1" applyFill="1" applyBorder="1"/>
    <xf numFmtId="0" fontId="3" fillId="5" borderId="0" xfId="0" applyFont="1" applyFill="1" applyAlignment="1">
      <alignment horizontal="center"/>
    </xf>
    <xf numFmtId="0" fontId="35" fillId="5" borderId="0" xfId="0" applyFont="1" applyFill="1"/>
    <xf numFmtId="0" fontId="3" fillId="5" borderId="0" xfId="0" applyFont="1" applyFill="1" applyAlignment="1">
      <alignment horizontal="center" vertical="top"/>
    </xf>
    <xf numFmtId="0" fontId="0" fillId="5" borderId="5" xfId="0" applyFill="1" applyBorder="1"/>
    <xf numFmtId="0" fontId="31" fillId="5" borderId="4" xfId="0" applyFont="1" applyFill="1" applyBorder="1" applyAlignment="1">
      <alignment horizontal="center"/>
    </xf>
    <xf numFmtId="0" fontId="1" fillId="5" borderId="5" xfId="0" applyFont="1" applyFill="1" applyBorder="1" applyAlignment="1">
      <alignment horizontal="center"/>
    </xf>
    <xf numFmtId="0" fontId="29" fillId="5" borderId="5" xfId="0" applyFont="1" applyFill="1" applyBorder="1" applyAlignment="1">
      <alignment horizontal="center"/>
    </xf>
    <xf numFmtId="0" fontId="1" fillId="6" borderId="5" xfId="0" applyFont="1" applyFill="1" applyBorder="1"/>
    <xf numFmtId="0" fontId="29" fillId="5" borderId="5" xfId="0" applyFont="1" applyFill="1" applyBorder="1" applyAlignment="1">
      <alignment horizontal="right"/>
    </xf>
    <xf numFmtId="0" fontId="29" fillId="0" borderId="5" xfId="0" applyFont="1" applyBorder="1" applyAlignment="1">
      <alignment horizontal="right"/>
    </xf>
    <xf numFmtId="0" fontId="1" fillId="0" borderId="5" xfId="0" applyFont="1" applyBorder="1" applyAlignment="1">
      <alignment horizontal="center"/>
    </xf>
    <xf numFmtId="0" fontId="1" fillId="0" borderId="5" xfId="0" applyFont="1" applyBorder="1" applyAlignment="1">
      <alignment horizontal="right"/>
    </xf>
    <xf numFmtId="0" fontId="1" fillId="5" borderId="5" xfId="0" applyFont="1" applyFill="1" applyBorder="1" applyAlignment="1">
      <alignment horizontal="right"/>
    </xf>
    <xf numFmtId="0" fontId="29" fillId="0" borderId="5" xfId="0" applyFont="1" applyBorder="1" applyAlignment="1">
      <alignment horizontal="center"/>
    </xf>
    <xf numFmtId="0" fontId="29" fillId="5" borderId="5" xfId="0" applyFont="1" applyFill="1" applyBorder="1" applyAlignment="1">
      <alignment horizontal="left"/>
    </xf>
    <xf numFmtId="0" fontId="31" fillId="5" borderId="5" xfId="0" applyFont="1" applyFill="1" applyBorder="1" applyAlignment="1">
      <alignment horizontal="right"/>
    </xf>
    <xf numFmtId="0" fontId="31" fillId="5" borderId="5" xfId="0" applyFont="1" applyFill="1" applyBorder="1" applyAlignment="1">
      <alignment horizontal="center"/>
    </xf>
    <xf numFmtId="0" fontId="0" fillId="17" borderId="0" xfId="0" applyFill="1"/>
    <xf numFmtId="14" fontId="0" fillId="17" borderId="0" xfId="0" applyNumberFormat="1" applyFill="1"/>
    <xf numFmtId="0" fontId="1" fillId="17" borderId="4" xfId="0" applyFont="1" applyFill="1" applyBorder="1"/>
    <xf numFmtId="0" fontId="1" fillId="17" borderId="5" xfId="0" applyFont="1" applyFill="1" applyBorder="1"/>
    <xf numFmtId="0" fontId="2" fillId="17" borderId="0" xfId="0" applyFont="1" applyFill="1" applyAlignment="1">
      <alignment horizontal="center"/>
    </xf>
    <xf numFmtId="0" fontId="5" fillId="17" borderId="0" xfId="0" applyFont="1" applyFill="1"/>
    <xf numFmtId="49" fontId="0" fillId="17" borderId="0" xfId="0" applyNumberFormat="1" applyFill="1"/>
    <xf numFmtId="0" fontId="2" fillId="17" borderId="0" xfId="0" applyFont="1" applyFill="1" applyAlignment="1">
      <alignment horizontal="center" vertical="top"/>
    </xf>
    <xf numFmtId="0" fontId="29" fillId="6" borderId="4" xfId="0" applyFont="1" applyFill="1" applyBorder="1"/>
    <xf numFmtId="0" fontId="1" fillId="2" borderId="2" xfId="0" applyFont="1" applyFill="1" applyBorder="1" applyAlignment="1">
      <alignment horizontal="left"/>
    </xf>
    <xf numFmtId="0" fontId="29" fillId="17" borderId="4" xfId="0" applyFont="1" applyFill="1" applyBorder="1" applyAlignment="1">
      <alignment horizontal="center"/>
    </xf>
    <xf numFmtId="0" fontId="29" fillId="17" borderId="4" xfId="0" quotePrefix="1" applyFont="1" applyFill="1" applyBorder="1"/>
    <xf numFmtId="0" fontId="0" fillId="17" borderId="0" xfId="0" applyFill="1" applyAlignment="1">
      <alignment horizontal="center"/>
    </xf>
    <xf numFmtId="0" fontId="4" fillId="17" borderId="4" xfId="0" applyFont="1" applyFill="1" applyBorder="1" applyAlignment="1">
      <alignment horizontal="center"/>
    </xf>
    <xf numFmtId="0" fontId="29" fillId="17" borderId="5" xfId="0" applyFont="1" applyFill="1" applyBorder="1" applyAlignment="1">
      <alignment horizontal="center"/>
    </xf>
    <xf numFmtId="0" fontId="37" fillId="0" borderId="0" xfId="0" applyFont="1" applyAlignment="1">
      <alignment horizontal="left" vertical="center" wrapText="1"/>
    </xf>
    <xf numFmtId="0" fontId="0" fillId="0" borderId="0" xfId="0" applyAlignment="1">
      <alignment horizontal="left" vertical="center" wrapText="1" indent="1"/>
    </xf>
    <xf numFmtId="0" fontId="38" fillId="0" borderId="41" xfId="0" applyFont="1" applyBorder="1" applyAlignment="1">
      <alignment horizontal="right" vertical="top" wrapText="1"/>
    </xf>
    <xf numFmtId="0" fontId="39" fillId="0" borderId="41" xfId="0" applyFont="1" applyBorder="1" applyAlignment="1">
      <alignment vertical="top" wrapText="1"/>
    </xf>
    <xf numFmtId="0" fontId="40" fillId="0" borderId="0" xfId="0" applyFont="1" applyAlignment="1">
      <alignment horizontal="right" vertical="center" wrapText="1"/>
    </xf>
    <xf numFmtId="0" fontId="1" fillId="0" borderId="0" xfId="0" applyFont="1" applyAlignment="1">
      <alignment horizontal="right" vertical="center" wrapText="1" indent="1"/>
    </xf>
    <xf numFmtId="0" fontId="38" fillId="0" borderId="42" xfId="0" applyFont="1" applyBorder="1" applyAlignment="1">
      <alignment horizontal="right" wrapText="1"/>
    </xf>
    <xf numFmtId="0" fontId="38" fillId="0" borderId="42" xfId="0" applyFont="1" applyBorder="1" applyAlignment="1">
      <alignment horizontal="center" wrapText="1"/>
    </xf>
    <xf numFmtId="0" fontId="1" fillId="17" borderId="4" xfId="0" applyFont="1" applyFill="1" applyBorder="1" applyAlignment="1">
      <alignment horizontal="right"/>
    </xf>
    <xf numFmtId="0" fontId="0" fillId="17" borderId="4" xfId="0" applyFill="1" applyBorder="1"/>
    <xf numFmtId="0" fontId="2" fillId="17" borderId="4" xfId="0" applyFont="1" applyFill="1" applyBorder="1" applyAlignment="1">
      <alignment horizontal="center"/>
    </xf>
    <xf numFmtId="0" fontId="18" fillId="17" borderId="4" xfId="0" applyFont="1" applyFill="1" applyBorder="1" applyAlignment="1">
      <alignment horizontal="center"/>
    </xf>
    <xf numFmtId="0" fontId="1" fillId="17" borderId="4" xfId="0" quotePrefix="1" applyFont="1" applyFill="1" applyBorder="1"/>
    <xf numFmtId="0" fontId="2" fillId="17" borderId="14" xfId="0" applyFont="1" applyFill="1" applyBorder="1" applyAlignment="1">
      <alignment horizontal="center"/>
    </xf>
    <xf numFmtId="0" fontId="29" fillId="17" borderId="5" xfId="0" applyFont="1" applyFill="1" applyBorder="1"/>
    <xf numFmtId="0" fontId="3" fillId="17" borderId="0" xfId="0" applyFont="1" applyFill="1" applyAlignment="1">
      <alignment horizontal="center"/>
    </xf>
    <xf numFmtId="0" fontId="1" fillId="17" borderId="5" xfId="0" applyFont="1" applyFill="1" applyBorder="1" applyAlignment="1">
      <alignment horizontal="right"/>
    </xf>
    <xf numFmtId="0" fontId="1" fillId="17" borderId="5" xfId="0" applyFont="1" applyFill="1" applyBorder="1" applyAlignment="1">
      <alignment horizontal="center"/>
    </xf>
    <xf numFmtId="0" fontId="0" fillId="6" borderId="5" xfId="0" applyFill="1" applyBorder="1"/>
    <xf numFmtId="165" fontId="4" fillId="5" borderId="4" xfId="1" applyNumberFormat="1" applyFont="1" applyFill="1" applyBorder="1"/>
    <xf numFmtId="0" fontId="31" fillId="5" borderId="5" xfId="0" applyFont="1" applyFill="1" applyBorder="1"/>
    <xf numFmtId="165" fontId="31" fillId="5" borderId="4" xfId="1" applyNumberFormat="1" applyFont="1" applyFill="1" applyBorder="1"/>
    <xf numFmtId="0" fontId="17" fillId="5" borderId="4" xfId="2" applyFill="1" applyBorder="1" applyAlignment="1"/>
    <xf numFmtId="14" fontId="39" fillId="0" borderId="41" xfId="0" applyNumberFormat="1" applyFont="1" applyBorder="1" applyAlignment="1">
      <alignment horizontal="left" vertical="top" wrapText="1"/>
    </xf>
    <xf numFmtId="0" fontId="29" fillId="5" borderId="4" xfId="0" quotePrefix="1" applyFont="1" applyFill="1" applyBorder="1"/>
    <xf numFmtId="0" fontId="5" fillId="17" borderId="4" xfId="0" applyFont="1" applyFill="1" applyBorder="1" applyAlignment="1">
      <alignment horizontal="center"/>
    </xf>
    <xf numFmtId="0" fontId="0" fillId="22" borderId="0" xfId="0" applyFill="1"/>
    <xf numFmtId="14" fontId="0" fillId="22" borderId="0" xfId="0" applyNumberFormat="1" applyFill="1"/>
    <xf numFmtId="0" fontId="25" fillId="22" borderId="4" xfId="0" applyFont="1" applyFill="1" applyBorder="1" applyAlignment="1">
      <alignment horizontal="center"/>
    </xf>
    <xf numFmtId="0" fontId="1" fillId="22" borderId="4" xfId="0" applyFont="1" applyFill="1" applyBorder="1" applyAlignment="1">
      <alignment horizontal="center"/>
    </xf>
    <xf numFmtId="0" fontId="1" fillId="22" borderId="4" xfId="0" applyFont="1" applyFill="1" applyBorder="1"/>
    <xf numFmtId="0" fontId="29" fillId="22" borderId="4" xfId="0" applyFont="1" applyFill="1" applyBorder="1" applyAlignment="1">
      <alignment horizontal="center"/>
    </xf>
    <xf numFmtId="0" fontId="29" fillId="22" borderId="5" xfId="0" applyFont="1" applyFill="1" applyBorder="1" applyAlignment="1">
      <alignment horizontal="center"/>
    </xf>
    <xf numFmtId="0" fontId="1" fillId="22" borderId="5" xfId="0" applyFont="1" applyFill="1" applyBorder="1"/>
    <xf numFmtId="0" fontId="29" fillId="22" borderId="4" xfId="0" applyFont="1" applyFill="1" applyBorder="1"/>
    <xf numFmtId="0" fontId="2" fillId="22" borderId="0" xfId="0" applyFont="1" applyFill="1" applyAlignment="1">
      <alignment horizontal="center"/>
    </xf>
    <xf numFmtId="0" fontId="5" fillId="22" borderId="0" xfId="0" applyFont="1" applyFill="1"/>
    <xf numFmtId="49" fontId="0" fillId="22" borderId="0" xfId="0" applyNumberFormat="1" applyFill="1"/>
    <xf numFmtId="0" fontId="2" fillId="22" borderId="0" xfId="0" applyFont="1" applyFill="1" applyAlignment="1">
      <alignment horizontal="center" vertical="top"/>
    </xf>
    <xf numFmtId="0" fontId="0" fillId="22" borderId="0" xfId="0" applyFill="1" applyAlignment="1">
      <alignment horizontal="center"/>
    </xf>
    <xf numFmtId="0" fontId="1" fillId="22" borderId="4" xfId="0" applyFont="1" applyFill="1" applyBorder="1" applyAlignment="1">
      <alignment horizontal="right"/>
    </xf>
    <xf numFmtId="0" fontId="1" fillId="22" borderId="5" xfId="0" applyFont="1" applyFill="1" applyBorder="1" applyAlignment="1">
      <alignment horizontal="right"/>
    </xf>
    <xf numFmtId="1" fontId="1" fillId="22" borderId="4" xfId="0" applyNumberFormat="1" applyFont="1" applyFill="1" applyBorder="1"/>
    <xf numFmtId="0" fontId="4" fillId="22" borderId="4" xfId="0" applyFont="1" applyFill="1" applyBorder="1" applyAlignment="1">
      <alignment horizontal="center"/>
    </xf>
    <xf numFmtId="165" fontId="29" fillId="22" borderId="4" xfId="1" applyNumberFormat="1" applyFont="1" applyFill="1" applyBorder="1"/>
    <xf numFmtId="0" fontId="4" fillId="22" borderId="0" xfId="0" applyFont="1" applyFill="1"/>
    <xf numFmtId="0" fontId="1" fillId="2" borderId="0" xfId="0" applyFont="1" applyFill="1" applyAlignment="1">
      <alignment horizontal="center"/>
    </xf>
    <xf numFmtId="0" fontId="0" fillId="6" borderId="0" xfId="0" applyFill="1"/>
    <xf numFmtId="0" fontId="0" fillId="6" borderId="0" xfId="0" quotePrefix="1" applyFill="1"/>
    <xf numFmtId="1" fontId="0" fillId="6" borderId="0" xfId="0" applyNumberFormat="1" applyFill="1"/>
    <xf numFmtId="1" fontId="0" fillId="0" borderId="39" xfId="0" applyNumberFormat="1" applyBorder="1"/>
    <xf numFmtId="0" fontId="1" fillId="6" borderId="24" xfId="0" applyFont="1" applyFill="1" applyBorder="1"/>
    <xf numFmtId="0" fontId="29" fillId="5" borderId="16" xfId="0" applyFont="1" applyFill="1" applyBorder="1" applyAlignment="1">
      <alignment horizontal="center"/>
    </xf>
    <xf numFmtId="0" fontId="1" fillId="6" borderId="43" xfId="0" applyFont="1" applyFill="1" applyBorder="1"/>
    <xf numFmtId="0" fontId="17" fillId="14" borderId="9" xfId="2" applyFill="1" applyBorder="1" applyAlignment="1">
      <alignment horizontal="center"/>
    </xf>
    <xf numFmtId="0" fontId="11" fillId="23" borderId="15" xfId="0" applyFont="1" applyFill="1" applyBorder="1" applyAlignment="1">
      <alignment horizontal="right" vertical="center"/>
    </xf>
    <xf numFmtId="0" fontId="12" fillId="6" borderId="13" xfId="0" applyFont="1" applyFill="1" applyBorder="1" applyAlignment="1">
      <alignment vertical="center"/>
    </xf>
    <xf numFmtId="0" fontId="31" fillId="0" borderId="4" xfId="0" applyFont="1" applyBorder="1" applyAlignment="1">
      <alignment horizontal="center"/>
    </xf>
    <xf numFmtId="0" fontId="35" fillId="0" borderId="0" xfId="0" applyFont="1"/>
    <xf numFmtId="0" fontId="3" fillId="0" borderId="0" xfId="0" applyFont="1" applyAlignment="1">
      <alignment horizontal="center" vertical="top"/>
    </xf>
    <xf numFmtId="0" fontId="31" fillId="0" borderId="5" xfId="0" applyFont="1" applyBorder="1" applyAlignment="1">
      <alignment horizontal="center"/>
    </xf>
    <xf numFmtId="0" fontId="10" fillId="3" borderId="1" xfId="0" applyFont="1" applyFill="1" applyBorder="1" applyAlignment="1">
      <alignment horizontal="center" vertical="center"/>
    </xf>
    <xf numFmtId="0" fontId="10" fillId="3" borderId="23" xfId="0" applyFont="1" applyFill="1" applyBorder="1" applyAlignment="1">
      <alignment horizontal="center" vertical="center"/>
    </xf>
    <xf numFmtId="0" fontId="0" fillId="0" borderId="6" xfId="0" applyBorder="1" applyAlignment="1">
      <alignment vertical="top" wrapText="1"/>
    </xf>
    <xf numFmtId="0" fontId="0" fillId="0" borderId="8" xfId="0" applyBorder="1" applyAlignment="1">
      <alignment vertical="top" wrapText="1"/>
    </xf>
    <xf numFmtId="0" fontId="0" fillId="0" borderId="10" xfId="0" applyBorder="1" applyAlignment="1">
      <alignment vertical="top" wrapText="1"/>
    </xf>
    <xf numFmtId="0" fontId="0" fillId="0" borderId="11" xfId="0" applyBorder="1" applyAlignment="1">
      <alignment vertical="top" wrapText="1"/>
    </xf>
    <xf numFmtId="0" fontId="0" fillId="0" borderId="12" xfId="0" applyBorder="1" applyAlignment="1">
      <alignment vertical="top" wrapText="1"/>
    </xf>
    <xf numFmtId="0" fontId="0" fillId="0" borderId="13" xfId="0" applyBorder="1" applyAlignment="1">
      <alignment vertical="top" wrapText="1"/>
    </xf>
    <xf numFmtId="0" fontId="0" fillId="3" borderId="1" xfId="0" applyFill="1" applyBorder="1" applyAlignment="1">
      <alignment horizontal="center"/>
    </xf>
    <xf numFmtId="0" fontId="0" fillId="3" borderId="3" xfId="0" applyFill="1" applyBorder="1" applyAlignment="1">
      <alignment horizontal="center"/>
    </xf>
    <xf numFmtId="0" fontId="0" fillId="10" borderId="1" xfId="0" applyFill="1" applyBorder="1" applyAlignment="1">
      <alignment horizontal="center"/>
    </xf>
    <xf numFmtId="0" fontId="0" fillId="10" borderId="3" xfId="0" applyFill="1" applyBorder="1" applyAlignment="1">
      <alignment horizontal="center"/>
    </xf>
    <xf numFmtId="0" fontId="11" fillId="0" borderId="13" xfId="0" applyFont="1" applyBorder="1" applyAlignment="1">
      <alignment horizontal="left" vertical="center"/>
    </xf>
    <xf numFmtId="0" fontId="1" fillId="13" borderId="6" xfId="0" applyFont="1" applyFill="1" applyBorder="1" applyAlignment="1">
      <alignment horizontal="center"/>
    </xf>
    <xf numFmtId="0" fontId="1" fillId="13" borderId="7" xfId="0" applyFont="1" applyFill="1" applyBorder="1" applyAlignment="1">
      <alignment horizontal="center"/>
    </xf>
    <xf numFmtId="0" fontId="1" fillId="13" borderId="8" xfId="0" applyFont="1" applyFill="1" applyBorder="1" applyAlignment="1">
      <alignment horizontal="center"/>
    </xf>
    <xf numFmtId="0" fontId="1" fillId="14" borderId="6" xfId="0" applyFont="1" applyFill="1" applyBorder="1" applyAlignment="1">
      <alignment horizontal="center"/>
    </xf>
    <xf numFmtId="0" fontId="1" fillId="14" borderId="7" xfId="0" applyFont="1" applyFill="1" applyBorder="1" applyAlignment="1">
      <alignment horizontal="center"/>
    </xf>
    <xf numFmtId="0" fontId="1" fillId="14" borderId="8" xfId="0" applyFont="1" applyFill="1" applyBorder="1" applyAlignment="1">
      <alignment horizontal="center"/>
    </xf>
    <xf numFmtId="0" fontId="1" fillId="13" borderId="1" xfId="0" applyFont="1" applyFill="1" applyBorder="1" applyAlignment="1">
      <alignment horizontal="center"/>
    </xf>
    <xf numFmtId="0" fontId="1" fillId="13" borderId="2" xfId="0" applyFont="1" applyFill="1" applyBorder="1" applyAlignment="1">
      <alignment horizontal="center"/>
    </xf>
    <xf numFmtId="0" fontId="1" fillId="13" borderId="3" xfId="0" applyFont="1" applyFill="1"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6" borderId="3" xfId="0" applyFont="1" applyFill="1" applyBorder="1" applyAlignment="1">
      <alignment horizontal="center"/>
    </xf>
    <xf numFmtId="0" fontId="1" fillId="0" borderId="20" xfId="0" applyFont="1" applyBorder="1"/>
    <xf numFmtId="0" fontId="1" fillId="0" borderId="21" xfId="0" applyFont="1" applyBorder="1"/>
    <xf numFmtId="0" fontId="1" fillId="0" borderId="22" xfId="0" applyFont="1" applyBorder="1"/>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1" fillId="0" borderId="10" xfId="0" applyFont="1" applyBorder="1"/>
    <xf numFmtId="0" fontId="1" fillId="0" borderId="0" xfId="0" applyFont="1"/>
    <xf numFmtId="0" fontId="1" fillId="0" borderId="11" xfId="0" applyFont="1" applyBorder="1"/>
    <xf numFmtId="0" fontId="1" fillId="10" borderId="1" xfId="0" applyFont="1" applyFill="1" applyBorder="1" applyAlignment="1">
      <alignment horizontal="left"/>
    </xf>
    <xf numFmtId="0" fontId="1" fillId="10" borderId="2" xfId="0" applyFont="1" applyFill="1" applyBorder="1" applyAlignment="1">
      <alignment horizontal="left"/>
    </xf>
    <xf numFmtId="0" fontId="1" fillId="10" borderId="3" xfId="0" applyFont="1" applyFill="1" applyBorder="1" applyAlignment="1">
      <alignment horizontal="left"/>
    </xf>
    <xf numFmtId="0" fontId="0" fillId="0" borderId="25" xfId="0" applyBorder="1" applyAlignment="1">
      <alignment horizontal="center" vertical="top"/>
    </xf>
    <xf numFmtId="0" fontId="0" fillId="0" borderId="31" xfId="0" applyBorder="1" applyAlignment="1">
      <alignment horizontal="center" vertical="top"/>
    </xf>
    <xf numFmtId="0" fontId="0" fillId="0" borderId="16" xfId="0" applyBorder="1" applyAlignment="1">
      <alignment horizontal="center" vertical="top"/>
    </xf>
    <xf numFmtId="0" fontId="0" fillId="10" borderId="1" xfId="0" applyFill="1" applyBorder="1" applyAlignment="1">
      <alignment horizontal="center"/>
    </xf>
    <xf numFmtId="0" fontId="0" fillId="10" borderId="3" xfId="0" applyFill="1" applyBorder="1" applyAlignment="1">
      <alignment horizontal="center"/>
    </xf>
    <xf numFmtId="0" fontId="1" fillId="19" borderId="1" xfId="0" applyFont="1" applyFill="1" applyBorder="1" applyAlignment="1">
      <alignment horizontal="center"/>
    </xf>
    <xf numFmtId="0" fontId="1" fillId="19" borderId="3" xfId="0" applyFont="1" applyFill="1" applyBorder="1" applyAlignment="1">
      <alignment horizontal="center"/>
    </xf>
    <xf numFmtId="0" fontId="15" fillId="0" borderId="6" xfId="0" applyFont="1" applyBorder="1" applyAlignment="1">
      <alignment horizontal="left" vertical="top" wrapText="1"/>
    </xf>
    <xf numFmtId="0" fontId="15" fillId="0" borderId="8" xfId="0" applyFont="1" applyBorder="1" applyAlignment="1">
      <alignment horizontal="left" vertical="top" wrapText="1"/>
    </xf>
    <xf numFmtId="0" fontId="15" fillId="0" borderId="10" xfId="0" applyFont="1" applyBorder="1" applyAlignment="1">
      <alignment horizontal="left" vertical="top" wrapText="1"/>
    </xf>
    <xf numFmtId="0" fontId="15" fillId="0" borderId="11" xfId="0" applyFont="1" applyBorder="1" applyAlignment="1">
      <alignment horizontal="left" vertical="top" wrapText="1"/>
    </xf>
    <xf numFmtId="0" fontId="15" fillId="0" borderId="12" xfId="0" applyFont="1" applyBorder="1" applyAlignment="1">
      <alignment horizontal="left" vertical="top" wrapText="1"/>
    </xf>
    <xf numFmtId="0" fontId="15" fillId="0" borderId="13" xfId="0" applyFont="1" applyBorder="1" applyAlignment="1">
      <alignment horizontal="left" vertical="top" wrapText="1"/>
    </xf>
    <xf numFmtId="0" fontId="1" fillId="4" borderId="1" xfId="0" applyFont="1" applyFill="1" applyBorder="1" applyAlignment="1">
      <alignment horizontal="center"/>
    </xf>
    <xf numFmtId="0" fontId="1" fillId="4" borderId="3" xfId="0" applyFont="1" applyFill="1" applyBorder="1" applyAlignment="1">
      <alignment horizontal="center"/>
    </xf>
    <xf numFmtId="0" fontId="1" fillId="17" borderId="1" xfId="0" applyFont="1" applyFill="1" applyBorder="1" applyAlignment="1">
      <alignment horizontal="center"/>
    </xf>
    <xf numFmtId="0" fontId="1" fillId="17" borderId="2" xfId="0" applyFont="1" applyFill="1" applyBorder="1" applyAlignment="1">
      <alignment horizontal="center"/>
    </xf>
    <xf numFmtId="0" fontId="1" fillId="18" borderId="2" xfId="0" applyFont="1" applyFill="1" applyBorder="1" applyAlignment="1">
      <alignment horizontal="center"/>
    </xf>
    <xf numFmtId="0" fontId="0" fillId="0" borderId="32" xfId="0" applyBorder="1" applyAlignment="1">
      <alignment horizontal="center" vertical="top"/>
    </xf>
    <xf numFmtId="0" fontId="0" fillId="0" borderId="33" xfId="0" applyBorder="1" applyAlignment="1">
      <alignment horizontal="center" vertical="top"/>
    </xf>
    <xf numFmtId="0" fontId="0" fillId="0" borderId="34" xfId="0" applyBorder="1" applyAlignment="1">
      <alignment horizontal="center" vertical="top"/>
    </xf>
    <xf numFmtId="0" fontId="1" fillId="11" borderId="1" xfId="0" applyFont="1" applyFill="1" applyBorder="1" applyAlignment="1">
      <alignment horizontal="center"/>
    </xf>
    <xf numFmtId="0" fontId="1" fillId="11" borderId="3" xfId="0" applyFont="1" applyFill="1" applyBorder="1" applyAlignment="1">
      <alignment horizontal="center"/>
    </xf>
    <xf numFmtId="0" fontId="19" fillId="5" borderId="1" xfId="0" applyFont="1" applyFill="1" applyBorder="1" applyAlignment="1">
      <alignment horizontal="center"/>
    </xf>
    <xf numFmtId="0" fontId="19" fillId="5" borderId="2" xfId="0" applyFont="1" applyFill="1" applyBorder="1" applyAlignment="1">
      <alignment horizontal="center"/>
    </xf>
    <xf numFmtId="0" fontId="19" fillId="5" borderId="3" xfId="0" applyFont="1" applyFill="1" applyBorder="1" applyAlignment="1">
      <alignment horizontal="center"/>
    </xf>
    <xf numFmtId="0" fontId="19" fillId="10" borderId="1" xfId="0" applyFont="1" applyFill="1" applyBorder="1" applyAlignment="1">
      <alignment horizontal="left"/>
    </xf>
    <xf numFmtId="0" fontId="19" fillId="10" borderId="2" xfId="0" applyFont="1" applyFill="1" applyBorder="1" applyAlignment="1">
      <alignment horizontal="left"/>
    </xf>
    <xf numFmtId="0" fontId="19" fillId="10" borderId="3" xfId="0" applyFont="1" applyFill="1" applyBorder="1" applyAlignment="1">
      <alignment horizontal="left"/>
    </xf>
  </cellXfs>
  <cellStyles count="3">
    <cellStyle name="Comma" xfId="1" builtinId="3"/>
    <cellStyle name="Hyperlink" xfId="2" builtinId="8"/>
    <cellStyle name="Normal" xfId="0" builtinId="0"/>
  </cellStyles>
  <dxfs count="27">
    <dxf>
      <fill>
        <patternFill>
          <bgColor theme="4" tint="0.59996337778862885"/>
        </patternFill>
      </fill>
    </dxf>
    <dxf>
      <fill>
        <patternFill>
          <bgColor theme="4" tint="0.59996337778862885"/>
        </patternFill>
      </fill>
    </dxf>
    <dxf>
      <fill>
        <patternFill>
          <bgColor theme="4"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99FF"/>
      <color rgb="FF66FF33"/>
      <color rgb="FF339933"/>
      <color rgb="FFFF33CC"/>
      <color rgb="FF0000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Z533" dT="2024-01-30T17:09:39.26" personId="{00000000-0000-0000-0000-000000000000}" id="{2D74EA87-27C0-462B-9962-E55CD1E6A496}">
    <text>ENF 1/30/24: This was actually rear wheel.  I updated to fix this listing to properly indicate it is a rear wheel</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htsa.gov/recall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hyperlink" Target="https://viking-pictures.s3.us-west-1.amazonaws.com/AA1155/A11.+Trunk+Electric+Shock+SET2+(1).JPG" TargetMode="External"/><Relationship Id="rId2" Type="http://schemas.openxmlformats.org/officeDocument/2006/relationships/hyperlink" Target="https://viking-pictures.s3.us-west-1.amazonaws.com/AA1155/A11.+Trunk+Electric+Shock+SET2+(1).JPG" TargetMode="External"/><Relationship Id="rId1" Type="http://schemas.openxmlformats.org/officeDocument/2006/relationships/hyperlink" Target="https://viking-pictures.s3.us-west-1.amazonaws.com/AA1155/A11.+Trunk+Electric+Shock+SET2+(1).JPG" TargetMode="External"/><Relationship Id="rId4"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hyperlink" Target="https://viking-pictures.s3.us-west-1.amazonaws.com/AA1155/A108.+Differential%2C+REAR+(1).jpg" TargetMode="External"/><Relationship Id="rId3" Type="http://schemas.openxmlformats.org/officeDocument/2006/relationships/hyperlink" Target="https://viking-pictures.s3.us-west-1.amazonaws.com/AA1155/A44.+Oxygen+Sensor+SET2+(1).JPG" TargetMode="External"/><Relationship Id="rId7" Type="http://schemas.openxmlformats.org/officeDocument/2006/relationships/hyperlink" Target="https://viking-pictures.s3.us-west-1.amazonaws.com/AA1155/A13.+Control+Arms%2C+FRONT+-+UPPER+U+WISHBONE%2C+LEFT+(1).JPG" TargetMode="External"/><Relationship Id="rId2" Type="http://schemas.openxmlformats.org/officeDocument/2006/relationships/hyperlink" Target="https://viking-pictures.s3.us-west-1.amazonaws.com/AA1155/A16.+ABS+Pump+%26+Module+(1).JPG" TargetMode="External"/><Relationship Id="rId1" Type="http://schemas.openxmlformats.org/officeDocument/2006/relationships/hyperlink" Target="https://viking-pictures.s3.us-west-1.amazonaws.com/AA1155/A16.+ABS+Pump+%26+Module+(1).JPG" TargetMode="External"/><Relationship Id="rId6" Type="http://schemas.openxmlformats.org/officeDocument/2006/relationships/hyperlink" Target="https://viking-pictures.s3.us-west-1.amazonaws.com/AA1155/A45.+Rear+Arm+Rest++Cup+Holder+(1).JPG" TargetMode="External"/><Relationship Id="rId11" Type="http://schemas.openxmlformats.org/officeDocument/2006/relationships/printerSettings" Target="../printerSettings/printerSettings9.bin"/><Relationship Id="rId5" Type="http://schemas.openxmlformats.org/officeDocument/2006/relationships/hyperlink" Target="https://viking-pictures.s3.us-west-1.amazonaws.com/AA1155/A103.+Power+Brake+Booster+%2B+Master+Cylinder+%2B+Reservoir+%2B+Cap+(1).JPG" TargetMode="External"/><Relationship Id="rId10" Type="http://schemas.openxmlformats.org/officeDocument/2006/relationships/hyperlink" Target="https://viking-pictures.s3.us-west-1.amazonaws.com/AA1155/A31.+Battery+Cable%2C+NEGATIVE+w+IBS+Module+ON+(1).JPG" TargetMode="External"/><Relationship Id="rId4" Type="http://schemas.openxmlformats.org/officeDocument/2006/relationships/hyperlink" Target="https://viking-pictures.s3.us-west-1.amazonaws.com/AA1155/A44.+Oxygen+Sensor+SET2+(1).JPG" TargetMode="External"/><Relationship Id="rId9" Type="http://schemas.openxmlformats.org/officeDocument/2006/relationships/hyperlink" Target="https://viking-pictures.s3.us-west-1.amazonaws.com/AA1155/A108.+Differential%2C+REAR+(1).jpg"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A8750-2256-43DE-BE7B-F1D336D8B20A}">
  <sheetPr codeName="Sheet11"/>
  <dimension ref="B1:W84"/>
  <sheetViews>
    <sheetView showGridLines="0" workbookViewId="0">
      <selection activeCell="C50" sqref="C50"/>
    </sheetView>
  </sheetViews>
  <sheetFormatPr defaultRowHeight="15" x14ac:dyDescent="0.25"/>
  <cols>
    <col min="2" max="2" width="19.85546875" bestFit="1" customWidth="1"/>
    <col min="3" max="3" width="92.42578125" bestFit="1" customWidth="1"/>
    <col min="4" max="4" width="13.7109375" customWidth="1"/>
    <col min="5" max="5" width="22.5703125" customWidth="1"/>
    <col min="6" max="6" width="22.85546875" customWidth="1"/>
    <col min="7" max="13" width="17.85546875" customWidth="1"/>
    <col min="19" max="19" width="16.140625" bestFit="1" customWidth="1"/>
    <col min="20" max="20" width="18.42578125" bestFit="1" customWidth="1"/>
    <col min="21" max="21" width="11" customWidth="1"/>
    <col min="22" max="22" width="12.7109375" customWidth="1"/>
  </cols>
  <sheetData>
    <row r="1" spans="2:23" ht="30.75" thickBot="1" x14ac:dyDescent="0.3">
      <c r="D1" s="47" t="s">
        <v>0</v>
      </c>
      <c r="E1" s="47" t="s">
        <v>1</v>
      </c>
      <c r="F1" s="47" t="s">
        <v>2</v>
      </c>
      <c r="G1" s="47" t="s">
        <v>3</v>
      </c>
      <c r="H1" s="47" t="s">
        <v>4</v>
      </c>
      <c r="I1" s="47" t="s">
        <v>5</v>
      </c>
    </row>
    <row r="2" spans="2:23" ht="15.75" thickBot="1" x14ac:dyDescent="0.3">
      <c r="B2" s="41" t="s">
        <v>6</v>
      </c>
      <c r="C2" s="50" t="s">
        <v>7</v>
      </c>
      <c r="D2" s="66" t="e">
        <f>SUM('3. Keep &amp; Toss Items'!#REF!)</f>
        <v>#REF!</v>
      </c>
      <c r="E2" s="48">
        <v>0.15</v>
      </c>
      <c r="F2" s="67" t="e">
        <f>D2*(1-E2)</f>
        <v>#REF!</v>
      </c>
      <c r="G2" s="96" t="e">
        <f>AVERAGEIF($T$6:$T$84,"YES",U6:U84)</f>
        <v>#DIV/0!</v>
      </c>
      <c r="H2" s="97" t="e">
        <f>AVERAGEIF($T$6:$T$84,"YES",V6:V84)</f>
        <v>#DIV/0!</v>
      </c>
      <c r="I2" s="97" t="e">
        <f>G2/H2</f>
        <v>#DIV/0!</v>
      </c>
    </row>
    <row r="3" spans="2:23" ht="15.75" thickBot="1" x14ac:dyDescent="0.3">
      <c r="B3" s="42" t="s">
        <v>8</v>
      </c>
      <c r="C3" s="40">
        <f>COUNTA(C6:C86)</f>
        <v>6</v>
      </c>
    </row>
    <row r="4" spans="2:23" ht="15.75" thickBot="1" x14ac:dyDescent="0.3">
      <c r="G4" s="385" t="s">
        <v>9</v>
      </c>
      <c r="H4" s="386"/>
      <c r="I4" s="386"/>
      <c r="J4" s="386"/>
      <c r="K4" s="386"/>
      <c r="L4" s="386"/>
      <c r="M4" s="387"/>
      <c r="N4" s="388" t="s">
        <v>10</v>
      </c>
      <c r="O4" s="389"/>
      <c r="P4" s="389"/>
      <c r="Q4" s="389"/>
      <c r="R4" s="390"/>
      <c r="S4" s="391" t="s">
        <v>11</v>
      </c>
      <c r="T4" s="392"/>
      <c r="U4" s="392"/>
      <c r="V4" s="392"/>
      <c r="W4" s="393"/>
    </row>
    <row r="5" spans="2:23" s="34" customFormat="1" ht="30.75" thickBot="1" x14ac:dyDescent="0.3">
      <c r="C5" s="49" t="s">
        <v>12</v>
      </c>
      <c r="D5" s="35" t="s">
        <v>13</v>
      </c>
      <c r="E5" s="35" t="s">
        <v>14</v>
      </c>
      <c r="F5" s="35" t="s">
        <v>15</v>
      </c>
      <c r="G5" s="81" t="s">
        <v>16</v>
      </c>
      <c r="H5" s="82" t="s">
        <v>17</v>
      </c>
      <c r="I5" s="82" t="s">
        <v>18</v>
      </c>
      <c r="J5" s="82" t="s">
        <v>19</v>
      </c>
      <c r="K5" s="82" t="s">
        <v>20</v>
      </c>
      <c r="L5" s="82" t="s">
        <v>21</v>
      </c>
      <c r="M5" s="74" t="s">
        <v>22</v>
      </c>
      <c r="N5" s="84" t="s">
        <v>23</v>
      </c>
      <c r="O5" s="85" t="s">
        <v>24</v>
      </c>
      <c r="P5" s="85" t="s">
        <v>25</v>
      </c>
      <c r="Q5" s="85" t="s">
        <v>26</v>
      </c>
      <c r="R5" s="83" t="s">
        <v>27</v>
      </c>
      <c r="S5" s="92" t="s">
        <v>28</v>
      </c>
      <c r="T5" s="80" t="s">
        <v>29</v>
      </c>
      <c r="U5" s="80" t="s">
        <v>30</v>
      </c>
      <c r="V5" s="80" t="s">
        <v>31</v>
      </c>
      <c r="W5" s="75" t="s">
        <v>32</v>
      </c>
    </row>
    <row r="6" spans="2:23" x14ac:dyDescent="0.25">
      <c r="B6" s="43" t="s">
        <v>33</v>
      </c>
      <c r="C6" s="37" t="s">
        <v>34</v>
      </c>
      <c r="D6" s="15" t="s">
        <v>35</v>
      </c>
      <c r="E6" s="79" t="s">
        <v>36</v>
      </c>
      <c r="F6" s="79" t="s">
        <v>36</v>
      </c>
      <c r="G6" s="86"/>
      <c r="H6" s="71"/>
      <c r="I6" s="71"/>
      <c r="J6" s="71"/>
      <c r="K6" s="71"/>
      <c r="L6" s="87"/>
      <c r="M6" s="90">
        <f>SUM(G6:L6)</f>
        <v>0</v>
      </c>
      <c r="N6" s="88"/>
      <c r="O6" s="72"/>
      <c r="P6" s="72"/>
      <c r="Q6" s="89"/>
      <c r="R6" s="93">
        <f>SUM(N6:Q6)</f>
        <v>0</v>
      </c>
      <c r="S6" s="78"/>
      <c r="T6" s="10"/>
      <c r="U6" s="95"/>
      <c r="V6" s="89"/>
      <c r="W6" s="77" t="e">
        <f>U6/V6</f>
        <v>#DIV/0!</v>
      </c>
    </row>
    <row r="7" spans="2:23" x14ac:dyDescent="0.25">
      <c r="B7" s="38" t="s">
        <v>37</v>
      </c>
      <c r="C7" s="36" t="s">
        <v>38</v>
      </c>
      <c r="D7" s="10" t="s">
        <v>39</v>
      </c>
      <c r="E7" s="202" t="s">
        <v>40</v>
      </c>
      <c r="F7" s="202" t="s">
        <v>40</v>
      </c>
      <c r="G7" s="88"/>
      <c r="H7" s="72"/>
      <c r="I7" s="72"/>
      <c r="J7" s="72"/>
      <c r="K7" s="72"/>
      <c r="L7" s="89"/>
      <c r="M7" s="91">
        <f t="shared" ref="M7:M70" si="0">SUM(G7:L7)</f>
        <v>0</v>
      </c>
      <c r="N7" s="88"/>
      <c r="O7" s="72"/>
      <c r="P7" s="72"/>
      <c r="Q7" s="89"/>
      <c r="R7" s="94">
        <f t="shared" ref="R7:R70" si="1">SUM(N7:Q7)</f>
        <v>0</v>
      </c>
      <c r="S7" s="78"/>
      <c r="T7" s="10"/>
      <c r="U7" s="95"/>
      <c r="V7" s="89"/>
      <c r="W7" s="77" t="e">
        <f t="shared" ref="W7:W70" si="2">U7/V7</f>
        <v>#DIV/0!</v>
      </c>
    </row>
    <row r="8" spans="2:23" x14ac:dyDescent="0.25">
      <c r="B8" s="38" t="s">
        <v>37</v>
      </c>
      <c r="C8" s="36" t="s">
        <v>41</v>
      </c>
      <c r="D8" s="10" t="s">
        <v>42</v>
      </c>
      <c r="E8" s="10" t="s">
        <v>43</v>
      </c>
      <c r="F8" s="10" t="s">
        <v>43</v>
      </c>
      <c r="G8" s="88"/>
      <c r="H8" s="72"/>
      <c r="I8" s="72"/>
      <c r="J8" s="72"/>
      <c r="K8" s="72"/>
      <c r="L8" s="89"/>
      <c r="M8" s="91">
        <f t="shared" si="0"/>
        <v>0</v>
      </c>
      <c r="N8" s="88"/>
      <c r="O8" s="72"/>
      <c r="P8" s="72"/>
      <c r="Q8" s="89"/>
      <c r="R8" s="94">
        <f t="shared" si="1"/>
        <v>0</v>
      </c>
      <c r="S8" s="78"/>
      <c r="T8" s="10"/>
      <c r="U8" s="95"/>
      <c r="V8" s="89"/>
      <c r="W8" s="77" t="e">
        <f t="shared" si="2"/>
        <v>#DIV/0!</v>
      </c>
    </row>
    <row r="9" spans="2:23" x14ac:dyDescent="0.25">
      <c r="B9" s="38" t="s">
        <v>37</v>
      </c>
      <c r="C9" s="36" t="s">
        <v>44</v>
      </c>
      <c r="D9" s="10" t="s">
        <v>45</v>
      </c>
      <c r="E9" s="10" t="s">
        <v>43</v>
      </c>
      <c r="F9" s="10" t="s">
        <v>43</v>
      </c>
      <c r="G9" s="88"/>
      <c r="H9" s="72"/>
      <c r="I9" s="72"/>
      <c r="J9" s="72"/>
      <c r="K9" s="72"/>
      <c r="L9" s="89"/>
      <c r="M9" s="91">
        <f t="shared" si="0"/>
        <v>0</v>
      </c>
      <c r="N9" s="88"/>
      <c r="O9" s="72"/>
      <c r="P9" s="72"/>
      <c r="Q9" s="89"/>
      <c r="R9" s="94">
        <f t="shared" si="1"/>
        <v>0</v>
      </c>
      <c r="S9" s="78"/>
      <c r="T9" s="10"/>
      <c r="U9" s="95"/>
      <c r="V9" s="89"/>
      <c r="W9" s="77" t="e">
        <f t="shared" si="2"/>
        <v>#DIV/0!</v>
      </c>
    </row>
    <row r="10" spans="2:23" x14ac:dyDescent="0.25">
      <c r="B10" s="38" t="s">
        <v>37</v>
      </c>
      <c r="C10" s="36" t="s">
        <v>46</v>
      </c>
      <c r="D10" s="10" t="s">
        <v>43</v>
      </c>
      <c r="E10" s="10"/>
      <c r="F10" s="76"/>
      <c r="G10" s="88"/>
      <c r="H10" s="72"/>
      <c r="I10" s="72"/>
      <c r="J10" s="72"/>
      <c r="K10" s="72"/>
      <c r="L10" s="89"/>
      <c r="M10" s="91">
        <f t="shared" si="0"/>
        <v>0</v>
      </c>
      <c r="N10" s="88"/>
      <c r="O10" s="72"/>
      <c r="P10" s="72"/>
      <c r="Q10" s="89"/>
      <c r="R10" s="94">
        <f t="shared" si="1"/>
        <v>0</v>
      </c>
      <c r="S10" s="78"/>
      <c r="T10" s="10"/>
      <c r="U10" s="95"/>
      <c r="V10" s="89"/>
      <c r="W10" s="77" t="e">
        <f t="shared" si="2"/>
        <v>#DIV/0!</v>
      </c>
    </row>
    <row r="11" spans="2:23" x14ac:dyDescent="0.25">
      <c r="B11" s="38" t="s">
        <v>37</v>
      </c>
      <c r="C11" s="36" t="s">
        <v>47</v>
      </c>
      <c r="D11" s="10" t="s">
        <v>48</v>
      </c>
      <c r="E11" s="10"/>
      <c r="F11" s="76"/>
      <c r="G11" s="88"/>
      <c r="H11" s="72"/>
      <c r="I11" s="72"/>
      <c r="J11" s="72"/>
      <c r="K11" s="72"/>
      <c r="L11" s="89"/>
      <c r="M11" s="91">
        <f t="shared" si="0"/>
        <v>0</v>
      </c>
      <c r="N11" s="88"/>
      <c r="O11" s="72"/>
      <c r="P11" s="72"/>
      <c r="Q11" s="89"/>
      <c r="R11" s="94">
        <f t="shared" si="1"/>
        <v>0</v>
      </c>
      <c r="S11" s="78"/>
      <c r="T11" s="10"/>
      <c r="U11" s="95"/>
      <c r="V11" s="89"/>
      <c r="W11" s="77" t="e">
        <f t="shared" si="2"/>
        <v>#DIV/0!</v>
      </c>
    </row>
    <row r="12" spans="2:23" x14ac:dyDescent="0.25">
      <c r="B12" s="38" t="s">
        <v>37</v>
      </c>
      <c r="C12" s="36"/>
      <c r="D12" s="10"/>
      <c r="E12" s="10"/>
      <c r="F12" s="76"/>
      <c r="G12" s="88"/>
      <c r="H12" s="72"/>
      <c r="I12" s="72"/>
      <c r="J12" s="72"/>
      <c r="K12" s="72"/>
      <c r="L12" s="89"/>
      <c r="M12" s="91">
        <f t="shared" si="0"/>
        <v>0</v>
      </c>
      <c r="N12" s="88"/>
      <c r="O12" s="72"/>
      <c r="P12" s="72"/>
      <c r="Q12" s="89"/>
      <c r="R12" s="94">
        <f t="shared" si="1"/>
        <v>0</v>
      </c>
      <c r="S12" s="78"/>
      <c r="T12" s="10"/>
      <c r="U12" s="95"/>
      <c r="V12" s="89"/>
      <c r="W12" s="77" t="e">
        <f t="shared" si="2"/>
        <v>#DIV/0!</v>
      </c>
    </row>
    <row r="13" spans="2:23" x14ac:dyDescent="0.25">
      <c r="B13" s="38" t="s">
        <v>37</v>
      </c>
      <c r="C13" s="36"/>
      <c r="D13" s="10"/>
      <c r="E13" s="10"/>
      <c r="F13" s="76"/>
      <c r="G13" s="88"/>
      <c r="H13" s="72"/>
      <c r="I13" s="72"/>
      <c r="J13" s="72"/>
      <c r="K13" s="72"/>
      <c r="L13" s="89"/>
      <c r="M13" s="91">
        <f t="shared" si="0"/>
        <v>0</v>
      </c>
      <c r="N13" s="88"/>
      <c r="O13" s="72"/>
      <c r="P13" s="72"/>
      <c r="Q13" s="89"/>
      <c r="R13" s="94">
        <f t="shared" si="1"/>
        <v>0</v>
      </c>
      <c r="S13" s="78"/>
      <c r="T13" s="10"/>
      <c r="U13" s="95"/>
      <c r="V13" s="89"/>
      <c r="W13" s="77" t="e">
        <f t="shared" si="2"/>
        <v>#DIV/0!</v>
      </c>
    </row>
    <row r="14" spans="2:23" x14ac:dyDescent="0.25">
      <c r="B14" s="38" t="s">
        <v>37</v>
      </c>
      <c r="C14" s="36"/>
      <c r="D14" s="10"/>
      <c r="E14" s="10"/>
      <c r="F14" s="76"/>
      <c r="G14" s="88"/>
      <c r="H14" s="72"/>
      <c r="I14" s="72"/>
      <c r="J14" s="72"/>
      <c r="K14" s="72"/>
      <c r="L14" s="89"/>
      <c r="M14" s="91">
        <f t="shared" si="0"/>
        <v>0</v>
      </c>
      <c r="N14" s="88"/>
      <c r="O14" s="72"/>
      <c r="P14" s="72"/>
      <c r="Q14" s="89"/>
      <c r="R14" s="94">
        <f t="shared" si="1"/>
        <v>0</v>
      </c>
      <c r="S14" s="78"/>
      <c r="T14" s="10"/>
      <c r="U14" s="95"/>
      <c r="V14" s="89"/>
      <c r="W14" s="77" t="e">
        <f t="shared" si="2"/>
        <v>#DIV/0!</v>
      </c>
    </row>
    <row r="15" spans="2:23" x14ac:dyDescent="0.25">
      <c r="B15" s="38" t="s">
        <v>37</v>
      </c>
      <c r="C15" s="36"/>
      <c r="D15" s="10"/>
      <c r="E15" s="10"/>
      <c r="F15" s="76"/>
      <c r="G15" s="88"/>
      <c r="H15" s="72"/>
      <c r="I15" s="72"/>
      <c r="J15" s="72"/>
      <c r="K15" s="72"/>
      <c r="L15" s="89"/>
      <c r="M15" s="91">
        <f t="shared" si="0"/>
        <v>0</v>
      </c>
      <c r="N15" s="88"/>
      <c r="O15" s="72"/>
      <c r="P15" s="72"/>
      <c r="Q15" s="89"/>
      <c r="R15" s="94">
        <f t="shared" si="1"/>
        <v>0</v>
      </c>
      <c r="S15" s="78"/>
      <c r="T15" s="10"/>
      <c r="U15" s="95"/>
      <c r="V15" s="89"/>
      <c r="W15" s="77" t="e">
        <f t="shared" si="2"/>
        <v>#DIV/0!</v>
      </c>
    </row>
    <row r="16" spans="2:23" x14ac:dyDescent="0.25">
      <c r="B16" s="38" t="s">
        <v>37</v>
      </c>
      <c r="C16" s="36"/>
      <c r="D16" s="10"/>
      <c r="E16" s="10"/>
      <c r="F16" s="76"/>
      <c r="G16" s="88"/>
      <c r="H16" s="72"/>
      <c r="I16" s="72"/>
      <c r="J16" s="72"/>
      <c r="K16" s="72"/>
      <c r="L16" s="89"/>
      <c r="M16" s="91">
        <f t="shared" si="0"/>
        <v>0</v>
      </c>
      <c r="N16" s="88"/>
      <c r="O16" s="72"/>
      <c r="P16" s="72"/>
      <c r="Q16" s="89"/>
      <c r="R16" s="94">
        <f t="shared" si="1"/>
        <v>0</v>
      </c>
      <c r="S16" s="78"/>
      <c r="T16" s="10"/>
      <c r="U16" s="95"/>
      <c r="V16" s="89"/>
      <c r="W16" s="77" t="e">
        <f t="shared" si="2"/>
        <v>#DIV/0!</v>
      </c>
    </row>
    <row r="17" spans="2:23" x14ac:dyDescent="0.25">
      <c r="B17" s="38" t="s">
        <v>37</v>
      </c>
      <c r="C17" s="36"/>
      <c r="D17" s="10"/>
      <c r="E17" s="10"/>
      <c r="F17" s="76"/>
      <c r="G17" s="88"/>
      <c r="H17" s="72"/>
      <c r="I17" s="72"/>
      <c r="J17" s="72"/>
      <c r="K17" s="72"/>
      <c r="L17" s="89"/>
      <c r="M17" s="91">
        <f t="shared" si="0"/>
        <v>0</v>
      </c>
      <c r="N17" s="88"/>
      <c r="O17" s="72"/>
      <c r="P17" s="72"/>
      <c r="Q17" s="89"/>
      <c r="R17" s="94">
        <f t="shared" si="1"/>
        <v>0</v>
      </c>
      <c r="S17" s="78"/>
      <c r="T17" s="10"/>
      <c r="U17" s="95"/>
      <c r="V17" s="89"/>
      <c r="W17" s="77" t="e">
        <f t="shared" si="2"/>
        <v>#DIV/0!</v>
      </c>
    </row>
    <row r="18" spans="2:23" x14ac:dyDescent="0.25">
      <c r="B18" s="38" t="s">
        <v>37</v>
      </c>
      <c r="C18" s="36"/>
      <c r="D18" s="10"/>
      <c r="E18" s="10"/>
      <c r="F18" s="76"/>
      <c r="G18" s="88"/>
      <c r="H18" s="72"/>
      <c r="I18" s="72"/>
      <c r="J18" s="72"/>
      <c r="K18" s="72"/>
      <c r="L18" s="89"/>
      <c r="M18" s="91">
        <f t="shared" si="0"/>
        <v>0</v>
      </c>
      <c r="N18" s="88"/>
      <c r="O18" s="72"/>
      <c r="P18" s="72"/>
      <c r="Q18" s="89"/>
      <c r="R18" s="94">
        <f t="shared" si="1"/>
        <v>0</v>
      </c>
      <c r="S18" s="78"/>
      <c r="T18" s="10"/>
      <c r="U18" s="95"/>
      <c r="V18" s="89"/>
      <c r="W18" s="77" t="e">
        <f t="shared" si="2"/>
        <v>#DIV/0!</v>
      </c>
    </row>
    <row r="19" spans="2:23" x14ac:dyDescent="0.25">
      <c r="B19" s="38" t="s">
        <v>37</v>
      </c>
      <c r="C19" s="36"/>
      <c r="D19" s="10"/>
      <c r="E19" s="10"/>
      <c r="F19" s="76"/>
      <c r="G19" s="88"/>
      <c r="H19" s="72"/>
      <c r="I19" s="72"/>
      <c r="J19" s="72"/>
      <c r="K19" s="72"/>
      <c r="L19" s="89"/>
      <c r="M19" s="91">
        <f t="shared" si="0"/>
        <v>0</v>
      </c>
      <c r="N19" s="88"/>
      <c r="O19" s="72"/>
      <c r="P19" s="72"/>
      <c r="Q19" s="89"/>
      <c r="R19" s="94">
        <f t="shared" si="1"/>
        <v>0</v>
      </c>
      <c r="S19" s="78"/>
      <c r="T19" s="10"/>
      <c r="U19" s="95"/>
      <c r="V19" s="89"/>
      <c r="W19" s="77" t="e">
        <f t="shared" si="2"/>
        <v>#DIV/0!</v>
      </c>
    </row>
    <row r="20" spans="2:23" x14ac:dyDescent="0.25">
      <c r="B20" s="38" t="s">
        <v>37</v>
      </c>
      <c r="C20" s="36"/>
      <c r="D20" s="10"/>
      <c r="E20" s="10"/>
      <c r="F20" s="76"/>
      <c r="G20" s="88"/>
      <c r="H20" s="72"/>
      <c r="I20" s="72"/>
      <c r="J20" s="72"/>
      <c r="K20" s="72"/>
      <c r="L20" s="89"/>
      <c r="M20" s="91">
        <f t="shared" si="0"/>
        <v>0</v>
      </c>
      <c r="N20" s="88"/>
      <c r="O20" s="72"/>
      <c r="P20" s="72"/>
      <c r="Q20" s="89"/>
      <c r="R20" s="94">
        <f t="shared" si="1"/>
        <v>0</v>
      </c>
      <c r="S20" s="78"/>
      <c r="T20" s="10"/>
      <c r="U20" s="95"/>
      <c r="V20" s="89"/>
      <c r="W20" s="77" t="e">
        <f t="shared" si="2"/>
        <v>#DIV/0!</v>
      </c>
    </row>
    <row r="21" spans="2:23" x14ac:dyDescent="0.25">
      <c r="B21" s="38" t="s">
        <v>37</v>
      </c>
      <c r="C21" s="36"/>
      <c r="D21" s="10"/>
      <c r="E21" s="10"/>
      <c r="F21" s="76"/>
      <c r="G21" s="88"/>
      <c r="H21" s="72"/>
      <c r="I21" s="72"/>
      <c r="J21" s="72"/>
      <c r="K21" s="72"/>
      <c r="L21" s="89"/>
      <c r="M21" s="91">
        <f t="shared" si="0"/>
        <v>0</v>
      </c>
      <c r="N21" s="88"/>
      <c r="O21" s="72"/>
      <c r="P21" s="72"/>
      <c r="Q21" s="89"/>
      <c r="R21" s="94">
        <f t="shared" si="1"/>
        <v>0</v>
      </c>
      <c r="S21" s="78"/>
      <c r="T21" s="10"/>
      <c r="U21" s="95"/>
      <c r="V21" s="89"/>
      <c r="W21" s="77" t="e">
        <f t="shared" si="2"/>
        <v>#DIV/0!</v>
      </c>
    </row>
    <row r="22" spans="2:23" x14ac:dyDescent="0.25">
      <c r="B22" s="38" t="s">
        <v>37</v>
      </c>
      <c r="C22" s="36"/>
      <c r="D22" s="10"/>
      <c r="E22" s="10"/>
      <c r="F22" s="76"/>
      <c r="G22" s="88"/>
      <c r="H22" s="72"/>
      <c r="I22" s="72"/>
      <c r="J22" s="72"/>
      <c r="K22" s="72"/>
      <c r="L22" s="89"/>
      <c r="M22" s="91">
        <f t="shared" si="0"/>
        <v>0</v>
      </c>
      <c r="N22" s="88"/>
      <c r="O22" s="72"/>
      <c r="P22" s="72"/>
      <c r="Q22" s="89"/>
      <c r="R22" s="94">
        <f t="shared" si="1"/>
        <v>0</v>
      </c>
      <c r="S22" s="78"/>
      <c r="T22" s="10"/>
      <c r="U22" s="95"/>
      <c r="V22" s="89"/>
      <c r="W22" s="77" t="e">
        <f t="shared" si="2"/>
        <v>#DIV/0!</v>
      </c>
    </row>
    <row r="23" spans="2:23" x14ac:dyDescent="0.25">
      <c r="B23" s="38" t="s">
        <v>37</v>
      </c>
      <c r="C23" s="36"/>
      <c r="D23" s="10"/>
      <c r="E23" s="10"/>
      <c r="F23" s="76"/>
      <c r="G23" s="88"/>
      <c r="H23" s="72"/>
      <c r="I23" s="72"/>
      <c r="J23" s="72"/>
      <c r="K23" s="72"/>
      <c r="L23" s="89"/>
      <c r="M23" s="91">
        <f t="shared" si="0"/>
        <v>0</v>
      </c>
      <c r="N23" s="88"/>
      <c r="O23" s="72"/>
      <c r="P23" s="72"/>
      <c r="Q23" s="89"/>
      <c r="R23" s="94">
        <f t="shared" si="1"/>
        <v>0</v>
      </c>
      <c r="S23" s="78"/>
      <c r="T23" s="10"/>
      <c r="U23" s="95"/>
      <c r="V23" s="89"/>
      <c r="W23" s="77" t="e">
        <f t="shared" si="2"/>
        <v>#DIV/0!</v>
      </c>
    </row>
    <row r="24" spans="2:23" x14ac:dyDescent="0.25">
      <c r="B24" s="38" t="s">
        <v>37</v>
      </c>
      <c r="C24" s="36"/>
      <c r="D24" s="10"/>
      <c r="E24" s="10"/>
      <c r="F24" s="76"/>
      <c r="G24" s="88"/>
      <c r="H24" s="72"/>
      <c r="I24" s="72"/>
      <c r="J24" s="72"/>
      <c r="K24" s="72"/>
      <c r="L24" s="89"/>
      <c r="M24" s="91">
        <f t="shared" si="0"/>
        <v>0</v>
      </c>
      <c r="N24" s="88"/>
      <c r="O24" s="72"/>
      <c r="P24" s="72"/>
      <c r="Q24" s="89"/>
      <c r="R24" s="94">
        <f t="shared" si="1"/>
        <v>0</v>
      </c>
      <c r="S24" s="78"/>
      <c r="T24" s="10"/>
      <c r="U24" s="95"/>
      <c r="V24" s="89"/>
      <c r="W24" s="77" t="e">
        <f t="shared" si="2"/>
        <v>#DIV/0!</v>
      </c>
    </row>
    <row r="25" spans="2:23" x14ac:dyDescent="0.25">
      <c r="B25" s="38" t="s">
        <v>37</v>
      </c>
      <c r="C25" s="36"/>
      <c r="D25" s="10"/>
      <c r="E25" s="10"/>
      <c r="F25" s="76"/>
      <c r="G25" s="88"/>
      <c r="H25" s="72"/>
      <c r="I25" s="72"/>
      <c r="J25" s="72"/>
      <c r="K25" s="72"/>
      <c r="L25" s="89"/>
      <c r="M25" s="91">
        <f t="shared" si="0"/>
        <v>0</v>
      </c>
      <c r="N25" s="88"/>
      <c r="O25" s="72"/>
      <c r="P25" s="72"/>
      <c r="Q25" s="89"/>
      <c r="R25" s="94">
        <f t="shared" si="1"/>
        <v>0</v>
      </c>
      <c r="S25" s="78"/>
      <c r="T25" s="10"/>
      <c r="U25" s="95"/>
      <c r="V25" s="89"/>
      <c r="W25" s="77" t="e">
        <f t="shared" si="2"/>
        <v>#DIV/0!</v>
      </c>
    </row>
    <row r="26" spans="2:23" x14ac:dyDescent="0.25">
      <c r="B26" s="38" t="s">
        <v>37</v>
      </c>
      <c r="C26" s="36"/>
      <c r="D26" s="10"/>
      <c r="E26" s="10"/>
      <c r="F26" s="76"/>
      <c r="G26" s="88"/>
      <c r="H26" s="72"/>
      <c r="I26" s="72"/>
      <c r="J26" s="72"/>
      <c r="K26" s="72"/>
      <c r="L26" s="89"/>
      <c r="M26" s="91">
        <f t="shared" si="0"/>
        <v>0</v>
      </c>
      <c r="N26" s="88"/>
      <c r="O26" s="72"/>
      <c r="P26" s="72"/>
      <c r="Q26" s="89"/>
      <c r="R26" s="94">
        <f t="shared" si="1"/>
        <v>0</v>
      </c>
      <c r="S26" s="78"/>
      <c r="T26" s="10"/>
      <c r="U26" s="95"/>
      <c r="V26" s="89"/>
      <c r="W26" s="77" t="e">
        <f t="shared" si="2"/>
        <v>#DIV/0!</v>
      </c>
    </row>
    <row r="27" spans="2:23" x14ac:dyDescent="0.25">
      <c r="B27" s="38" t="s">
        <v>37</v>
      </c>
      <c r="C27" s="36"/>
      <c r="D27" s="10"/>
      <c r="E27" s="10"/>
      <c r="F27" s="76"/>
      <c r="G27" s="88"/>
      <c r="H27" s="72"/>
      <c r="I27" s="72"/>
      <c r="J27" s="72"/>
      <c r="K27" s="72"/>
      <c r="L27" s="89"/>
      <c r="M27" s="91">
        <f t="shared" si="0"/>
        <v>0</v>
      </c>
      <c r="N27" s="88"/>
      <c r="O27" s="72"/>
      <c r="P27" s="72"/>
      <c r="Q27" s="89"/>
      <c r="R27" s="94">
        <f t="shared" si="1"/>
        <v>0</v>
      </c>
      <c r="S27" s="78"/>
      <c r="T27" s="10"/>
      <c r="U27" s="95"/>
      <c r="V27" s="89"/>
      <c r="W27" s="77" t="e">
        <f t="shared" si="2"/>
        <v>#DIV/0!</v>
      </c>
    </row>
    <row r="28" spans="2:23" x14ac:dyDescent="0.25">
      <c r="B28" s="38" t="s">
        <v>37</v>
      </c>
      <c r="C28" s="36"/>
      <c r="D28" s="10"/>
      <c r="E28" s="10"/>
      <c r="F28" s="76"/>
      <c r="G28" s="88"/>
      <c r="H28" s="72"/>
      <c r="I28" s="72"/>
      <c r="J28" s="72"/>
      <c r="K28" s="72"/>
      <c r="L28" s="89"/>
      <c r="M28" s="91">
        <f t="shared" si="0"/>
        <v>0</v>
      </c>
      <c r="N28" s="88"/>
      <c r="O28" s="72"/>
      <c r="P28" s="72"/>
      <c r="Q28" s="89"/>
      <c r="R28" s="94">
        <f t="shared" si="1"/>
        <v>0</v>
      </c>
      <c r="S28" s="78"/>
      <c r="T28" s="10"/>
      <c r="U28" s="95"/>
      <c r="V28" s="89"/>
      <c r="W28" s="77" t="e">
        <f t="shared" si="2"/>
        <v>#DIV/0!</v>
      </c>
    </row>
    <row r="29" spans="2:23" x14ac:dyDescent="0.25">
      <c r="B29" s="38" t="s">
        <v>37</v>
      </c>
      <c r="C29" s="36"/>
      <c r="D29" s="10"/>
      <c r="E29" s="10"/>
      <c r="F29" s="76"/>
      <c r="G29" s="88"/>
      <c r="H29" s="72"/>
      <c r="I29" s="72"/>
      <c r="J29" s="72"/>
      <c r="K29" s="72"/>
      <c r="L29" s="89"/>
      <c r="M29" s="91">
        <f t="shared" si="0"/>
        <v>0</v>
      </c>
      <c r="N29" s="88"/>
      <c r="O29" s="72"/>
      <c r="P29" s="72"/>
      <c r="Q29" s="89"/>
      <c r="R29" s="94">
        <f t="shared" si="1"/>
        <v>0</v>
      </c>
      <c r="S29" s="78"/>
      <c r="T29" s="10"/>
      <c r="U29" s="95"/>
      <c r="V29" s="89"/>
      <c r="W29" s="77" t="e">
        <f t="shared" si="2"/>
        <v>#DIV/0!</v>
      </c>
    </row>
    <row r="30" spans="2:23" x14ac:dyDescent="0.25">
      <c r="B30" s="38" t="s">
        <v>37</v>
      </c>
      <c r="C30" s="36"/>
      <c r="D30" s="10"/>
      <c r="E30" s="10"/>
      <c r="F30" s="76"/>
      <c r="G30" s="88"/>
      <c r="H30" s="72"/>
      <c r="I30" s="72"/>
      <c r="J30" s="72"/>
      <c r="K30" s="72"/>
      <c r="L30" s="89"/>
      <c r="M30" s="91">
        <f t="shared" si="0"/>
        <v>0</v>
      </c>
      <c r="N30" s="88"/>
      <c r="O30" s="72"/>
      <c r="P30" s="72"/>
      <c r="Q30" s="89"/>
      <c r="R30" s="94">
        <f t="shared" si="1"/>
        <v>0</v>
      </c>
      <c r="S30" s="78"/>
      <c r="T30" s="10"/>
      <c r="U30" s="95"/>
      <c r="V30" s="89"/>
      <c r="W30" s="77" t="e">
        <f t="shared" si="2"/>
        <v>#DIV/0!</v>
      </c>
    </row>
    <row r="31" spans="2:23" x14ac:dyDescent="0.25">
      <c r="B31" s="38" t="s">
        <v>37</v>
      </c>
      <c r="C31" s="36"/>
      <c r="D31" s="10"/>
      <c r="E31" s="10"/>
      <c r="F31" s="76"/>
      <c r="G31" s="88"/>
      <c r="H31" s="72"/>
      <c r="I31" s="72"/>
      <c r="J31" s="72"/>
      <c r="K31" s="72"/>
      <c r="L31" s="89"/>
      <c r="M31" s="91">
        <f t="shared" si="0"/>
        <v>0</v>
      </c>
      <c r="N31" s="88"/>
      <c r="O31" s="72"/>
      <c r="P31" s="72"/>
      <c r="Q31" s="89"/>
      <c r="R31" s="94">
        <f t="shared" si="1"/>
        <v>0</v>
      </c>
      <c r="S31" s="78"/>
      <c r="T31" s="10"/>
      <c r="U31" s="95"/>
      <c r="V31" s="89"/>
      <c r="W31" s="77" t="e">
        <f t="shared" si="2"/>
        <v>#DIV/0!</v>
      </c>
    </row>
    <row r="32" spans="2:23" x14ac:dyDescent="0.25">
      <c r="B32" s="38" t="s">
        <v>37</v>
      </c>
      <c r="C32" s="36"/>
      <c r="D32" s="10"/>
      <c r="E32" s="10"/>
      <c r="F32" s="76"/>
      <c r="G32" s="88"/>
      <c r="H32" s="72"/>
      <c r="I32" s="72"/>
      <c r="J32" s="72"/>
      <c r="K32" s="72"/>
      <c r="L32" s="89"/>
      <c r="M32" s="91">
        <f t="shared" si="0"/>
        <v>0</v>
      </c>
      <c r="N32" s="88"/>
      <c r="O32" s="72"/>
      <c r="P32" s="72"/>
      <c r="Q32" s="89"/>
      <c r="R32" s="94">
        <f t="shared" si="1"/>
        <v>0</v>
      </c>
      <c r="S32" s="78"/>
      <c r="T32" s="10"/>
      <c r="U32" s="95"/>
      <c r="V32" s="89"/>
      <c r="W32" s="77" t="e">
        <f t="shared" si="2"/>
        <v>#DIV/0!</v>
      </c>
    </row>
    <row r="33" spans="2:23" x14ac:dyDescent="0.25">
      <c r="B33" s="38" t="s">
        <v>37</v>
      </c>
      <c r="C33" s="36"/>
      <c r="D33" s="10"/>
      <c r="E33" s="10"/>
      <c r="F33" s="76"/>
      <c r="G33" s="88"/>
      <c r="H33" s="72"/>
      <c r="I33" s="72"/>
      <c r="J33" s="72"/>
      <c r="K33" s="72"/>
      <c r="L33" s="89"/>
      <c r="M33" s="91">
        <f t="shared" si="0"/>
        <v>0</v>
      </c>
      <c r="N33" s="88"/>
      <c r="O33" s="72"/>
      <c r="P33" s="72"/>
      <c r="Q33" s="89"/>
      <c r="R33" s="94">
        <f t="shared" si="1"/>
        <v>0</v>
      </c>
      <c r="S33" s="78"/>
      <c r="T33" s="10"/>
      <c r="U33" s="95"/>
      <c r="V33" s="89"/>
      <c r="W33" s="77" t="e">
        <f t="shared" si="2"/>
        <v>#DIV/0!</v>
      </c>
    </row>
    <row r="34" spans="2:23" x14ac:dyDescent="0.25">
      <c r="B34" s="38" t="s">
        <v>37</v>
      </c>
      <c r="C34" s="36"/>
      <c r="D34" s="10"/>
      <c r="E34" s="10"/>
      <c r="F34" s="76"/>
      <c r="G34" s="88"/>
      <c r="H34" s="72"/>
      <c r="I34" s="72"/>
      <c r="J34" s="72"/>
      <c r="K34" s="72"/>
      <c r="L34" s="89"/>
      <c r="M34" s="91">
        <f t="shared" si="0"/>
        <v>0</v>
      </c>
      <c r="N34" s="88"/>
      <c r="O34" s="72"/>
      <c r="P34" s="72"/>
      <c r="Q34" s="89"/>
      <c r="R34" s="94">
        <f t="shared" si="1"/>
        <v>0</v>
      </c>
      <c r="S34" s="78"/>
      <c r="T34" s="10"/>
      <c r="U34" s="95"/>
      <c r="V34" s="89"/>
      <c r="W34" s="77" t="e">
        <f t="shared" si="2"/>
        <v>#DIV/0!</v>
      </c>
    </row>
    <row r="35" spans="2:23" x14ac:dyDescent="0.25">
      <c r="B35" s="38" t="s">
        <v>37</v>
      </c>
      <c r="C35" s="36"/>
      <c r="D35" s="10"/>
      <c r="E35" s="10"/>
      <c r="F35" s="76"/>
      <c r="G35" s="88"/>
      <c r="H35" s="72"/>
      <c r="I35" s="72"/>
      <c r="J35" s="72"/>
      <c r="K35" s="72"/>
      <c r="L35" s="89"/>
      <c r="M35" s="91">
        <f t="shared" si="0"/>
        <v>0</v>
      </c>
      <c r="N35" s="88"/>
      <c r="O35" s="72"/>
      <c r="P35" s="72"/>
      <c r="Q35" s="89"/>
      <c r="R35" s="94">
        <f t="shared" si="1"/>
        <v>0</v>
      </c>
      <c r="S35" s="78"/>
      <c r="T35" s="10"/>
      <c r="U35" s="95"/>
      <c r="V35" s="89"/>
      <c r="W35" s="77" t="e">
        <f t="shared" si="2"/>
        <v>#DIV/0!</v>
      </c>
    </row>
    <row r="36" spans="2:23" x14ac:dyDescent="0.25">
      <c r="B36" s="38" t="s">
        <v>37</v>
      </c>
      <c r="C36" s="36"/>
      <c r="D36" s="10"/>
      <c r="E36" s="10"/>
      <c r="F36" s="76"/>
      <c r="G36" s="88"/>
      <c r="H36" s="72"/>
      <c r="I36" s="72"/>
      <c r="J36" s="72"/>
      <c r="K36" s="72"/>
      <c r="L36" s="89"/>
      <c r="M36" s="91">
        <f t="shared" si="0"/>
        <v>0</v>
      </c>
      <c r="N36" s="88"/>
      <c r="O36" s="72"/>
      <c r="P36" s="72"/>
      <c r="Q36" s="89"/>
      <c r="R36" s="94">
        <f t="shared" si="1"/>
        <v>0</v>
      </c>
      <c r="S36" s="78"/>
      <c r="T36" s="10"/>
      <c r="U36" s="95"/>
      <c r="V36" s="89"/>
      <c r="W36" s="77" t="e">
        <f t="shared" si="2"/>
        <v>#DIV/0!</v>
      </c>
    </row>
    <row r="37" spans="2:23" x14ac:dyDescent="0.25">
      <c r="B37" s="38" t="s">
        <v>37</v>
      </c>
      <c r="C37" s="36"/>
      <c r="D37" s="10"/>
      <c r="E37" s="10"/>
      <c r="F37" s="76"/>
      <c r="G37" s="88"/>
      <c r="H37" s="72"/>
      <c r="I37" s="72"/>
      <c r="J37" s="72"/>
      <c r="K37" s="72"/>
      <c r="L37" s="89"/>
      <c r="M37" s="91">
        <f t="shared" si="0"/>
        <v>0</v>
      </c>
      <c r="N37" s="88"/>
      <c r="O37" s="72"/>
      <c r="P37" s="72"/>
      <c r="Q37" s="89"/>
      <c r="R37" s="94">
        <f t="shared" si="1"/>
        <v>0</v>
      </c>
      <c r="S37" s="78"/>
      <c r="T37" s="10"/>
      <c r="U37" s="95"/>
      <c r="V37" s="89"/>
      <c r="W37" s="77" t="e">
        <f t="shared" si="2"/>
        <v>#DIV/0!</v>
      </c>
    </row>
    <row r="38" spans="2:23" x14ac:dyDescent="0.25">
      <c r="B38" s="38" t="s">
        <v>37</v>
      </c>
      <c r="C38" s="36"/>
      <c r="D38" s="10"/>
      <c r="E38" s="10"/>
      <c r="F38" s="76"/>
      <c r="G38" s="88"/>
      <c r="H38" s="72"/>
      <c r="I38" s="72"/>
      <c r="J38" s="72"/>
      <c r="K38" s="72"/>
      <c r="L38" s="89"/>
      <c r="M38" s="91">
        <f t="shared" si="0"/>
        <v>0</v>
      </c>
      <c r="N38" s="88"/>
      <c r="O38" s="72"/>
      <c r="P38" s="72"/>
      <c r="Q38" s="89"/>
      <c r="R38" s="94">
        <f t="shared" si="1"/>
        <v>0</v>
      </c>
      <c r="S38" s="78"/>
      <c r="T38" s="10"/>
      <c r="U38" s="95"/>
      <c r="V38" s="89"/>
      <c r="W38" s="77" t="e">
        <f t="shared" si="2"/>
        <v>#DIV/0!</v>
      </c>
    </row>
    <row r="39" spans="2:23" x14ac:dyDescent="0.25">
      <c r="B39" s="38" t="s">
        <v>37</v>
      </c>
      <c r="C39" s="36"/>
      <c r="D39" s="10"/>
      <c r="E39" s="10"/>
      <c r="F39" s="76"/>
      <c r="G39" s="88"/>
      <c r="H39" s="72"/>
      <c r="I39" s="72"/>
      <c r="J39" s="72"/>
      <c r="K39" s="72"/>
      <c r="L39" s="89"/>
      <c r="M39" s="91">
        <f t="shared" si="0"/>
        <v>0</v>
      </c>
      <c r="N39" s="88"/>
      <c r="O39" s="72"/>
      <c r="P39" s="72"/>
      <c r="Q39" s="89"/>
      <c r="R39" s="94">
        <f t="shared" si="1"/>
        <v>0</v>
      </c>
      <c r="S39" s="78"/>
      <c r="T39" s="10"/>
      <c r="U39" s="95"/>
      <c r="V39" s="89"/>
      <c r="W39" s="77" t="e">
        <f t="shared" si="2"/>
        <v>#DIV/0!</v>
      </c>
    </row>
    <row r="40" spans="2:23" x14ac:dyDescent="0.25">
      <c r="B40" s="38" t="s">
        <v>37</v>
      </c>
      <c r="C40" s="36"/>
      <c r="D40" s="10"/>
      <c r="E40" s="10"/>
      <c r="F40" s="76"/>
      <c r="G40" s="88"/>
      <c r="H40" s="72"/>
      <c r="I40" s="72"/>
      <c r="J40" s="72"/>
      <c r="K40" s="72"/>
      <c r="L40" s="89"/>
      <c r="M40" s="91">
        <f t="shared" si="0"/>
        <v>0</v>
      </c>
      <c r="N40" s="88"/>
      <c r="O40" s="72"/>
      <c r="P40" s="72"/>
      <c r="Q40" s="89"/>
      <c r="R40" s="94">
        <f t="shared" si="1"/>
        <v>0</v>
      </c>
      <c r="S40" s="78"/>
      <c r="T40" s="10"/>
      <c r="U40" s="95"/>
      <c r="V40" s="89"/>
      <c r="W40" s="77" t="e">
        <f t="shared" si="2"/>
        <v>#DIV/0!</v>
      </c>
    </row>
    <row r="41" spans="2:23" x14ac:dyDescent="0.25">
      <c r="B41" s="38" t="s">
        <v>37</v>
      </c>
      <c r="C41" s="36"/>
      <c r="D41" s="10"/>
      <c r="E41" s="10"/>
      <c r="F41" s="76"/>
      <c r="G41" s="88"/>
      <c r="H41" s="72"/>
      <c r="I41" s="72"/>
      <c r="J41" s="72"/>
      <c r="K41" s="72"/>
      <c r="L41" s="89"/>
      <c r="M41" s="91">
        <f t="shared" si="0"/>
        <v>0</v>
      </c>
      <c r="N41" s="88"/>
      <c r="O41" s="72"/>
      <c r="P41" s="72"/>
      <c r="Q41" s="89"/>
      <c r="R41" s="94">
        <f t="shared" si="1"/>
        <v>0</v>
      </c>
      <c r="S41" s="78"/>
      <c r="T41" s="10"/>
      <c r="U41" s="95"/>
      <c r="V41" s="89"/>
      <c r="W41" s="77" t="e">
        <f t="shared" si="2"/>
        <v>#DIV/0!</v>
      </c>
    </row>
    <row r="42" spans="2:23" x14ac:dyDescent="0.25">
      <c r="B42" s="38" t="s">
        <v>37</v>
      </c>
      <c r="C42" s="36"/>
      <c r="D42" s="10"/>
      <c r="E42" s="10"/>
      <c r="F42" s="76"/>
      <c r="G42" s="88"/>
      <c r="H42" s="72"/>
      <c r="I42" s="72"/>
      <c r="J42" s="72"/>
      <c r="K42" s="72"/>
      <c r="L42" s="89"/>
      <c r="M42" s="91">
        <f t="shared" si="0"/>
        <v>0</v>
      </c>
      <c r="N42" s="88"/>
      <c r="O42" s="72"/>
      <c r="P42" s="72"/>
      <c r="Q42" s="89"/>
      <c r="R42" s="94">
        <f t="shared" si="1"/>
        <v>0</v>
      </c>
      <c r="S42" s="78"/>
      <c r="T42" s="10"/>
      <c r="U42" s="95"/>
      <c r="V42" s="89"/>
      <c r="W42" s="77" t="e">
        <f t="shared" si="2"/>
        <v>#DIV/0!</v>
      </c>
    </row>
    <row r="43" spans="2:23" x14ac:dyDescent="0.25">
      <c r="B43" s="38" t="s">
        <v>37</v>
      </c>
      <c r="C43" s="36"/>
      <c r="D43" s="10"/>
      <c r="E43" s="10"/>
      <c r="F43" s="76"/>
      <c r="G43" s="88"/>
      <c r="H43" s="72"/>
      <c r="I43" s="72"/>
      <c r="J43" s="72"/>
      <c r="K43" s="72"/>
      <c r="L43" s="89"/>
      <c r="M43" s="91">
        <f t="shared" si="0"/>
        <v>0</v>
      </c>
      <c r="N43" s="88"/>
      <c r="O43" s="72"/>
      <c r="P43" s="72"/>
      <c r="Q43" s="89"/>
      <c r="R43" s="94">
        <f t="shared" si="1"/>
        <v>0</v>
      </c>
      <c r="S43" s="78"/>
      <c r="T43" s="10"/>
      <c r="U43" s="95"/>
      <c r="V43" s="89"/>
      <c r="W43" s="77" t="e">
        <f t="shared" si="2"/>
        <v>#DIV/0!</v>
      </c>
    </row>
    <row r="44" spans="2:23" x14ac:dyDescent="0.25">
      <c r="B44" s="38" t="s">
        <v>37</v>
      </c>
      <c r="C44" s="36"/>
      <c r="D44" s="10"/>
      <c r="E44" s="10"/>
      <c r="F44" s="76"/>
      <c r="G44" s="88"/>
      <c r="H44" s="72"/>
      <c r="I44" s="72"/>
      <c r="J44" s="72"/>
      <c r="K44" s="72"/>
      <c r="L44" s="89"/>
      <c r="M44" s="91">
        <f t="shared" si="0"/>
        <v>0</v>
      </c>
      <c r="N44" s="88"/>
      <c r="O44" s="72"/>
      <c r="P44" s="72"/>
      <c r="Q44" s="89"/>
      <c r="R44" s="94">
        <f t="shared" si="1"/>
        <v>0</v>
      </c>
      <c r="S44" s="78"/>
      <c r="T44" s="10"/>
      <c r="U44" s="95"/>
      <c r="V44" s="89"/>
      <c r="W44" s="77" t="e">
        <f t="shared" si="2"/>
        <v>#DIV/0!</v>
      </c>
    </row>
    <row r="45" spans="2:23" x14ac:dyDescent="0.25">
      <c r="B45" s="38" t="s">
        <v>37</v>
      </c>
      <c r="C45" s="36"/>
      <c r="D45" s="10"/>
      <c r="E45" s="10"/>
      <c r="F45" s="76"/>
      <c r="G45" s="88"/>
      <c r="H45" s="72"/>
      <c r="I45" s="72"/>
      <c r="J45" s="72"/>
      <c r="K45" s="72"/>
      <c r="L45" s="89"/>
      <c r="M45" s="91">
        <f t="shared" si="0"/>
        <v>0</v>
      </c>
      <c r="N45" s="88"/>
      <c r="O45" s="72"/>
      <c r="P45" s="72"/>
      <c r="Q45" s="89"/>
      <c r="R45" s="94">
        <f t="shared" si="1"/>
        <v>0</v>
      </c>
      <c r="S45" s="78"/>
      <c r="T45" s="10"/>
      <c r="U45" s="95"/>
      <c r="V45" s="89"/>
      <c r="W45" s="77" t="e">
        <f t="shared" si="2"/>
        <v>#DIV/0!</v>
      </c>
    </row>
    <row r="46" spans="2:23" x14ac:dyDescent="0.25">
      <c r="B46" s="38" t="s">
        <v>37</v>
      </c>
      <c r="C46" s="36"/>
      <c r="D46" s="10"/>
      <c r="E46" s="10"/>
      <c r="F46" s="76"/>
      <c r="G46" s="88"/>
      <c r="H46" s="72"/>
      <c r="I46" s="72"/>
      <c r="J46" s="72"/>
      <c r="K46" s="72"/>
      <c r="L46" s="89"/>
      <c r="M46" s="91">
        <f t="shared" si="0"/>
        <v>0</v>
      </c>
      <c r="N46" s="88"/>
      <c r="O46" s="72"/>
      <c r="P46" s="72"/>
      <c r="Q46" s="89"/>
      <c r="R46" s="94">
        <f t="shared" si="1"/>
        <v>0</v>
      </c>
      <c r="S46" s="78"/>
      <c r="T46" s="10"/>
      <c r="U46" s="95"/>
      <c r="V46" s="89"/>
      <c r="W46" s="77" t="e">
        <f t="shared" si="2"/>
        <v>#DIV/0!</v>
      </c>
    </row>
    <row r="47" spans="2:23" x14ac:dyDescent="0.25">
      <c r="B47" s="38" t="s">
        <v>37</v>
      </c>
      <c r="C47" s="36"/>
      <c r="D47" s="10"/>
      <c r="E47" s="10"/>
      <c r="F47" s="76"/>
      <c r="G47" s="88"/>
      <c r="H47" s="72"/>
      <c r="I47" s="72"/>
      <c r="J47" s="72"/>
      <c r="K47" s="72"/>
      <c r="L47" s="89"/>
      <c r="M47" s="91">
        <f t="shared" si="0"/>
        <v>0</v>
      </c>
      <c r="N47" s="88"/>
      <c r="O47" s="72"/>
      <c r="P47" s="72"/>
      <c r="Q47" s="89"/>
      <c r="R47" s="94">
        <f t="shared" si="1"/>
        <v>0</v>
      </c>
      <c r="S47" s="78"/>
      <c r="T47" s="10"/>
      <c r="U47" s="95"/>
      <c r="V47" s="89"/>
      <c r="W47" s="77" t="e">
        <f t="shared" si="2"/>
        <v>#DIV/0!</v>
      </c>
    </row>
    <row r="48" spans="2:23" x14ac:dyDescent="0.25">
      <c r="B48" s="38" t="s">
        <v>37</v>
      </c>
      <c r="C48" s="36"/>
      <c r="D48" s="10"/>
      <c r="E48" s="10"/>
      <c r="F48" s="76"/>
      <c r="G48" s="88"/>
      <c r="H48" s="72"/>
      <c r="I48" s="72"/>
      <c r="J48" s="72"/>
      <c r="K48" s="72"/>
      <c r="L48" s="89"/>
      <c r="M48" s="91">
        <f t="shared" si="0"/>
        <v>0</v>
      </c>
      <c r="N48" s="88"/>
      <c r="O48" s="72"/>
      <c r="P48" s="72"/>
      <c r="Q48" s="89"/>
      <c r="R48" s="94">
        <f t="shared" si="1"/>
        <v>0</v>
      </c>
      <c r="S48" s="78"/>
      <c r="T48" s="10"/>
      <c r="U48" s="95"/>
      <c r="V48" s="89"/>
      <c r="W48" s="77" t="e">
        <f t="shared" si="2"/>
        <v>#DIV/0!</v>
      </c>
    </row>
    <row r="49" spans="2:23" x14ac:dyDescent="0.25">
      <c r="B49" s="38" t="s">
        <v>37</v>
      </c>
      <c r="C49" s="36"/>
      <c r="D49" s="10"/>
      <c r="E49" s="10"/>
      <c r="F49" s="76"/>
      <c r="G49" s="88"/>
      <c r="H49" s="72"/>
      <c r="I49" s="72"/>
      <c r="J49" s="72"/>
      <c r="K49" s="72"/>
      <c r="L49" s="89"/>
      <c r="M49" s="91">
        <f t="shared" si="0"/>
        <v>0</v>
      </c>
      <c r="N49" s="88"/>
      <c r="O49" s="72"/>
      <c r="P49" s="72"/>
      <c r="Q49" s="89"/>
      <c r="R49" s="94">
        <f t="shared" si="1"/>
        <v>0</v>
      </c>
      <c r="S49" s="78"/>
      <c r="T49" s="10"/>
      <c r="U49" s="95"/>
      <c r="V49" s="89"/>
      <c r="W49" s="77" t="e">
        <f t="shared" si="2"/>
        <v>#DIV/0!</v>
      </c>
    </row>
    <row r="50" spans="2:23" x14ac:dyDescent="0.25">
      <c r="B50" s="38" t="s">
        <v>37</v>
      </c>
      <c r="C50" s="36"/>
      <c r="D50" s="10"/>
      <c r="E50" s="10"/>
      <c r="F50" s="76"/>
      <c r="G50" s="88"/>
      <c r="H50" s="72"/>
      <c r="I50" s="72"/>
      <c r="J50" s="72"/>
      <c r="K50" s="72"/>
      <c r="L50" s="89"/>
      <c r="M50" s="91">
        <f t="shared" si="0"/>
        <v>0</v>
      </c>
      <c r="N50" s="88"/>
      <c r="O50" s="72"/>
      <c r="P50" s="72"/>
      <c r="Q50" s="89"/>
      <c r="R50" s="94">
        <f t="shared" si="1"/>
        <v>0</v>
      </c>
      <c r="S50" s="78"/>
      <c r="T50" s="10"/>
      <c r="U50" s="95"/>
      <c r="V50" s="89"/>
      <c r="W50" s="77" t="e">
        <f t="shared" si="2"/>
        <v>#DIV/0!</v>
      </c>
    </row>
    <row r="51" spans="2:23" x14ac:dyDescent="0.25">
      <c r="B51" s="38" t="s">
        <v>37</v>
      </c>
      <c r="C51" s="36"/>
      <c r="D51" s="10"/>
      <c r="E51" s="10"/>
      <c r="F51" s="76"/>
      <c r="G51" s="88"/>
      <c r="H51" s="72"/>
      <c r="I51" s="72"/>
      <c r="J51" s="72"/>
      <c r="K51" s="72"/>
      <c r="L51" s="89"/>
      <c r="M51" s="91">
        <f t="shared" si="0"/>
        <v>0</v>
      </c>
      <c r="N51" s="88"/>
      <c r="O51" s="72"/>
      <c r="P51" s="72"/>
      <c r="Q51" s="89"/>
      <c r="R51" s="94">
        <f t="shared" si="1"/>
        <v>0</v>
      </c>
      <c r="S51" s="78"/>
      <c r="T51" s="10"/>
      <c r="U51" s="95"/>
      <c r="V51" s="89"/>
      <c r="W51" s="77" t="e">
        <f t="shared" si="2"/>
        <v>#DIV/0!</v>
      </c>
    </row>
    <row r="52" spans="2:23" x14ac:dyDescent="0.25">
      <c r="B52" s="38" t="s">
        <v>37</v>
      </c>
      <c r="C52" s="36"/>
      <c r="D52" s="10"/>
      <c r="E52" s="10"/>
      <c r="F52" s="76"/>
      <c r="G52" s="88"/>
      <c r="H52" s="72"/>
      <c r="I52" s="72"/>
      <c r="J52" s="72"/>
      <c r="K52" s="72"/>
      <c r="L52" s="89"/>
      <c r="M52" s="91">
        <f t="shared" si="0"/>
        <v>0</v>
      </c>
      <c r="N52" s="88"/>
      <c r="O52" s="72"/>
      <c r="P52" s="72"/>
      <c r="Q52" s="89"/>
      <c r="R52" s="94">
        <f t="shared" si="1"/>
        <v>0</v>
      </c>
      <c r="S52" s="78"/>
      <c r="T52" s="10"/>
      <c r="U52" s="95"/>
      <c r="V52" s="89"/>
      <c r="W52" s="77" t="e">
        <f t="shared" si="2"/>
        <v>#DIV/0!</v>
      </c>
    </row>
    <row r="53" spans="2:23" x14ac:dyDescent="0.25">
      <c r="B53" s="38" t="s">
        <v>37</v>
      </c>
      <c r="C53" s="36"/>
      <c r="D53" s="10"/>
      <c r="E53" s="10"/>
      <c r="F53" s="76"/>
      <c r="G53" s="88"/>
      <c r="H53" s="72"/>
      <c r="I53" s="72"/>
      <c r="J53" s="72"/>
      <c r="K53" s="72"/>
      <c r="L53" s="89"/>
      <c r="M53" s="91">
        <f t="shared" si="0"/>
        <v>0</v>
      </c>
      <c r="N53" s="88"/>
      <c r="O53" s="72"/>
      <c r="P53" s="72"/>
      <c r="Q53" s="89"/>
      <c r="R53" s="94">
        <f t="shared" si="1"/>
        <v>0</v>
      </c>
      <c r="S53" s="78"/>
      <c r="T53" s="10"/>
      <c r="U53" s="95"/>
      <c r="V53" s="89"/>
      <c r="W53" s="77" t="e">
        <f t="shared" si="2"/>
        <v>#DIV/0!</v>
      </c>
    </row>
    <row r="54" spans="2:23" x14ac:dyDescent="0.25">
      <c r="B54" s="38" t="s">
        <v>37</v>
      </c>
      <c r="C54" s="36"/>
      <c r="D54" s="10"/>
      <c r="E54" s="10"/>
      <c r="F54" s="76"/>
      <c r="G54" s="88"/>
      <c r="H54" s="72"/>
      <c r="I54" s="72"/>
      <c r="J54" s="72"/>
      <c r="K54" s="72"/>
      <c r="L54" s="89"/>
      <c r="M54" s="91">
        <f t="shared" si="0"/>
        <v>0</v>
      </c>
      <c r="N54" s="88"/>
      <c r="O54" s="72"/>
      <c r="P54" s="72"/>
      <c r="Q54" s="89"/>
      <c r="R54" s="94">
        <f t="shared" si="1"/>
        <v>0</v>
      </c>
      <c r="S54" s="78"/>
      <c r="T54" s="10"/>
      <c r="U54" s="95"/>
      <c r="V54" s="89"/>
      <c r="W54" s="77" t="e">
        <f t="shared" si="2"/>
        <v>#DIV/0!</v>
      </c>
    </row>
    <row r="55" spans="2:23" x14ac:dyDescent="0.25">
      <c r="B55" s="38" t="s">
        <v>37</v>
      </c>
      <c r="C55" s="36"/>
      <c r="D55" s="10"/>
      <c r="E55" s="10"/>
      <c r="F55" s="76"/>
      <c r="G55" s="88"/>
      <c r="H55" s="72"/>
      <c r="I55" s="72"/>
      <c r="J55" s="72"/>
      <c r="K55" s="72"/>
      <c r="L55" s="89"/>
      <c r="M55" s="91">
        <f t="shared" si="0"/>
        <v>0</v>
      </c>
      <c r="N55" s="88"/>
      <c r="O55" s="72"/>
      <c r="P55" s="72"/>
      <c r="Q55" s="89"/>
      <c r="R55" s="94">
        <f t="shared" si="1"/>
        <v>0</v>
      </c>
      <c r="S55" s="78"/>
      <c r="T55" s="10"/>
      <c r="U55" s="95"/>
      <c r="V55" s="89"/>
      <c r="W55" s="77" t="e">
        <f t="shared" si="2"/>
        <v>#DIV/0!</v>
      </c>
    </row>
    <row r="56" spans="2:23" x14ac:dyDescent="0.25">
      <c r="B56" s="38" t="s">
        <v>37</v>
      </c>
      <c r="C56" s="36"/>
      <c r="D56" s="10"/>
      <c r="E56" s="10"/>
      <c r="F56" s="76"/>
      <c r="G56" s="88"/>
      <c r="H56" s="72"/>
      <c r="I56" s="72"/>
      <c r="J56" s="72"/>
      <c r="K56" s="72"/>
      <c r="L56" s="89"/>
      <c r="M56" s="91">
        <f t="shared" si="0"/>
        <v>0</v>
      </c>
      <c r="N56" s="88"/>
      <c r="O56" s="72"/>
      <c r="P56" s="72"/>
      <c r="Q56" s="89"/>
      <c r="R56" s="94">
        <f t="shared" si="1"/>
        <v>0</v>
      </c>
      <c r="S56" s="78"/>
      <c r="T56" s="10"/>
      <c r="U56" s="95"/>
      <c r="V56" s="89"/>
      <c r="W56" s="77" t="e">
        <f t="shared" si="2"/>
        <v>#DIV/0!</v>
      </c>
    </row>
    <row r="57" spans="2:23" x14ac:dyDescent="0.25">
      <c r="B57" s="38" t="s">
        <v>37</v>
      </c>
      <c r="C57" s="36"/>
      <c r="D57" s="10"/>
      <c r="E57" s="10"/>
      <c r="F57" s="76"/>
      <c r="G57" s="88"/>
      <c r="H57" s="72"/>
      <c r="I57" s="72"/>
      <c r="J57" s="72"/>
      <c r="K57" s="72"/>
      <c r="L57" s="89"/>
      <c r="M57" s="91">
        <f t="shared" si="0"/>
        <v>0</v>
      </c>
      <c r="N57" s="88"/>
      <c r="O57" s="72"/>
      <c r="P57" s="72"/>
      <c r="Q57" s="89"/>
      <c r="R57" s="94">
        <f t="shared" si="1"/>
        <v>0</v>
      </c>
      <c r="S57" s="78"/>
      <c r="T57" s="10"/>
      <c r="U57" s="95"/>
      <c r="V57" s="89"/>
      <c r="W57" s="77" t="e">
        <f t="shared" si="2"/>
        <v>#DIV/0!</v>
      </c>
    </row>
    <row r="58" spans="2:23" x14ac:dyDescent="0.25">
      <c r="B58" s="38" t="s">
        <v>37</v>
      </c>
      <c r="C58" s="36"/>
      <c r="D58" s="10"/>
      <c r="E58" s="10"/>
      <c r="F58" s="76"/>
      <c r="G58" s="88"/>
      <c r="H58" s="72"/>
      <c r="I58" s="72"/>
      <c r="J58" s="72"/>
      <c r="K58" s="72"/>
      <c r="L58" s="89"/>
      <c r="M58" s="91">
        <f t="shared" si="0"/>
        <v>0</v>
      </c>
      <c r="N58" s="88"/>
      <c r="O58" s="72"/>
      <c r="P58" s="72"/>
      <c r="Q58" s="89"/>
      <c r="R58" s="94">
        <f t="shared" si="1"/>
        <v>0</v>
      </c>
      <c r="S58" s="78"/>
      <c r="T58" s="10"/>
      <c r="U58" s="95"/>
      <c r="V58" s="89"/>
      <c r="W58" s="77" t="e">
        <f t="shared" si="2"/>
        <v>#DIV/0!</v>
      </c>
    </row>
    <row r="59" spans="2:23" x14ac:dyDescent="0.25">
      <c r="B59" s="38" t="s">
        <v>37</v>
      </c>
      <c r="C59" s="36"/>
      <c r="D59" s="10"/>
      <c r="E59" s="10"/>
      <c r="F59" s="76"/>
      <c r="G59" s="88"/>
      <c r="H59" s="72"/>
      <c r="I59" s="72"/>
      <c r="J59" s="72"/>
      <c r="K59" s="72"/>
      <c r="L59" s="89"/>
      <c r="M59" s="91">
        <f t="shared" si="0"/>
        <v>0</v>
      </c>
      <c r="N59" s="88"/>
      <c r="O59" s="72"/>
      <c r="P59" s="72"/>
      <c r="Q59" s="89"/>
      <c r="R59" s="94">
        <f t="shared" si="1"/>
        <v>0</v>
      </c>
      <c r="S59" s="78"/>
      <c r="T59" s="10"/>
      <c r="U59" s="95"/>
      <c r="V59" s="89"/>
      <c r="W59" s="77" t="e">
        <f t="shared" si="2"/>
        <v>#DIV/0!</v>
      </c>
    </row>
    <row r="60" spans="2:23" x14ac:dyDescent="0.25">
      <c r="B60" s="38" t="s">
        <v>37</v>
      </c>
      <c r="C60" s="36"/>
      <c r="D60" s="10"/>
      <c r="E60" s="10"/>
      <c r="F60" s="76"/>
      <c r="G60" s="88"/>
      <c r="H60" s="72"/>
      <c r="I60" s="72"/>
      <c r="J60" s="72"/>
      <c r="K60" s="72"/>
      <c r="L60" s="89"/>
      <c r="M60" s="91">
        <f t="shared" si="0"/>
        <v>0</v>
      </c>
      <c r="N60" s="88"/>
      <c r="O60" s="72"/>
      <c r="P60" s="72"/>
      <c r="Q60" s="89"/>
      <c r="R60" s="94">
        <f t="shared" si="1"/>
        <v>0</v>
      </c>
      <c r="S60" s="78"/>
      <c r="T60" s="10"/>
      <c r="U60" s="95"/>
      <c r="V60" s="89"/>
      <c r="W60" s="77" t="e">
        <f t="shared" si="2"/>
        <v>#DIV/0!</v>
      </c>
    </row>
    <row r="61" spans="2:23" x14ac:dyDescent="0.25">
      <c r="B61" s="38" t="s">
        <v>37</v>
      </c>
      <c r="C61" s="36"/>
      <c r="D61" s="10"/>
      <c r="E61" s="10"/>
      <c r="F61" s="76"/>
      <c r="G61" s="88"/>
      <c r="H61" s="72"/>
      <c r="I61" s="72"/>
      <c r="J61" s="72"/>
      <c r="K61" s="72"/>
      <c r="L61" s="89"/>
      <c r="M61" s="91">
        <f t="shared" si="0"/>
        <v>0</v>
      </c>
      <c r="N61" s="88"/>
      <c r="O61" s="72"/>
      <c r="P61" s="72"/>
      <c r="Q61" s="89"/>
      <c r="R61" s="94">
        <f t="shared" si="1"/>
        <v>0</v>
      </c>
      <c r="S61" s="78"/>
      <c r="T61" s="10"/>
      <c r="U61" s="95"/>
      <c r="V61" s="89"/>
      <c r="W61" s="77" t="e">
        <f t="shared" si="2"/>
        <v>#DIV/0!</v>
      </c>
    </row>
    <row r="62" spans="2:23" x14ac:dyDescent="0.25">
      <c r="B62" s="38" t="s">
        <v>37</v>
      </c>
      <c r="C62" s="36"/>
      <c r="D62" s="10"/>
      <c r="E62" s="10"/>
      <c r="F62" s="76"/>
      <c r="G62" s="88"/>
      <c r="H62" s="72"/>
      <c r="I62" s="72"/>
      <c r="J62" s="72"/>
      <c r="K62" s="72"/>
      <c r="L62" s="89"/>
      <c r="M62" s="91">
        <f t="shared" si="0"/>
        <v>0</v>
      </c>
      <c r="N62" s="88"/>
      <c r="O62" s="72"/>
      <c r="P62" s="72"/>
      <c r="Q62" s="89"/>
      <c r="R62" s="94">
        <f t="shared" si="1"/>
        <v>0</v>
      </c>
      <c r="S62" s="78"/>
      <c r="T62" s="10"/>
      <c r="U62" s="95"/>
      <c r="V62" s="89"/>
      <c r="W62" s="77" t="e">
        <f t="shared" si="2"/>
        <v>#DIV/0!</v>
      </c>
    </row>
    <row r="63" spans="2:23" x14ac:dyDescent="0.25">
      <c r="B63" s="38" t="s">
        <v>37</v>
      </c>
      <c r="C63" s="36"/>
      <c r="D63" s="10"/>
      <c r="E63" s="10"/>
      <c r="F63" s="76"/>
      <c r="G63" s="88"/>
      <c r="H63" s="72"/>
      <c r="I63" s="72"/>
      <c r="J63" s="72"/>
      <c r="K63" s="72"/>
      <c r="L63" s="89"/>
      <c r="M63" s="91">
        <f t="shared" si="0"/>
        <v>0</v>
      </c>
      <c r="N63" s="88"/>
      <c r="O63" s="72"/>
      <c r="P63" s="72"/>
      <c r="Q63" s="89"/>
      <c r="R63" s="94">
        <f t="shared" si="1"/>
        <v>0</v>
      </c>
      <c r="S63" s="78"/>
      <c r="T63" s="10"/>
      <c r="U63" s="95"/>
      <c r="V63" s="89"/>
      <c r="W63" s="77" t="e">
        <f t="shared" si="2"/>
        <v>#DIV/0!</v>
      </c>
    </row>
    <row r="64" spans="2:23" x14ac:dyDescent="0.25">
      <c r="B64" s="38" t="s">
        <v>37</v>
      </c>
      <c r="C64" s="36"/>
      <c r="D64" s="10"/>
      <c r="E64" s="10"/>
      <c r="F64" s="76"/>
      <c r="G64" s="88"/>
      <c r="H64" s="72"/>
      <c r="I64" s="72"/>
      <c r="J64" s="72"/>
      <c r="K64" s="72"/>
      <c r="L64" s="89"/>
      <c r="M64" s="91">
        <f t="shared" si="0"/>
        <v>0</v>
      </c>
      <c r="N64" s="88"/>
      <c r="O64" s="72"/>
      <c r="P64" s="72"/>
      <c r="Q64" s="89"/>
      <c r="R64" s="94">
        <f t="shared" si="1"/>
        <v>0</v>
      </c>
      <c r="S64" s="78"/>
      <c r="T64" s="10"/>
      <c r="U64" s="95"/>
      <c r="V64" s="89"/>
      <c r="W64" s="77" t="e">
        <f t="shared" si="2"/>
        <v>#DIV/0!</v>
      </c>
    </row>
    <row r="65" spans="2:23" x14ac:dyDescent="0.25">
      <c r="B65" s="38" t="s">
        <v>37</v>
      </c>
      <c r="C65" s="36"/>
      <c r="D65" s="10"/>
      <c r="E65" s="10"/>
      <c r="F65" s="76"/>
      <c r="G65" s="88"/>
      <c r="H65" s="72"/>
      <c r="I65" s="72"/>
      <c r="J65" s="72"/>
      <c r="K65" s="72"/>
      <c r="L65" s="89"/>
      <c r="M65" s="91">
        <f t="shared" si="0"/>
        <v>0</v>
      </c>
      <c r="N65" s="88"/>
      <c r="O65" s="72"/>
      <c r="P65" s="72"/>
      <c r="Q65" s="89"/>
      <c r="R65" s="94">
        <f t="shared" si="1"/>
        <v>0</v>
      </c>
      <c r="S65" s="78"/>
      <c r="T65" s="10"/>
      <c r="U65" s="95"/>
      <c r="V65" s="89"/>
      <c r="W65" s="77" t="e">
        <f t="shared" si="2"/>
        <v>#DIV/0!</v>
      </c>
    </row>
    <row r="66" spans="2:23" x14ac:dyDescent="0.25">
      <c r="B66" s="38" t="s">
        <v>37</v>
      </c>
      <c r="C66" s="36"/>
      <c r="D66" s="10"/>
      <c r="E66" s="10"/>
      <c r="F66" s="76"/>
      <c r="G66" s="88"/>
      <c r="H66" s="72"/>
      <c r="I66" s="72"/>
      <c r="J66" s="72"/>
      <c r="K66" s="72"/>
      <c r="L66" s="89"/>
      <c r="M66" s="91">
        <f t="shared" si="0"/>
        <v>0</v>
      </c>
      <c r="N66" s="88"/>
      <c r="O66" s="72"/>
      <c r="P66" s="72"/>
      <c r="Q66" s="89"/>
      <c r="R66" s="94">
        <f t="shared" si="1"/>
        <v>0</v>
      </c>
      <c r="S66" s="78"/>
      <c r="T66" s="10"/>
      <c r="U66" s="95"/>
      <c r="V66" s="89"/>
      <c r="W66" s="77" t="e">
        <f t="shared" si="2"/>
        <v>#DIV/0!</v>
      </c>
    </row>
    <row r="67" spans="2:23" x14ac:dyDescent="0.25">
      <c r="B67" s="38" t="s">
        <v>37</v>
      </c>
      <c r="C67" s="36"/>
      <c r="D67" s="10"/>
      <c r="E67" s="10"/>
      <c r="F67" s="76"/>
      <c r="G67" s="88"/>
      <c r="H67" s="72"/>
      <c r="I67" s="72"/>
      <c r="J67" s="72"/>
      <c r="K67" s="72"/>
      <c r="L67" s="89"/>
      <c r="M67" s="91">
        <f t="shared" si="0"/>
        <v>0</v>
      </c>
      <c r="N67" s="88"/>
      <c r="O67" s="72"/>
      <c r="P67" s="72"/>
      <c r="Q67" s="89"/>
      <c r="R67" s="94">
        <f t="shared" si="1"/>
        <v>0</v>
      </c>
      <c r="S67" s="78"/>
      <c r="T67" s="10"/>
      <c r="U67" s="95"/>
      <c r="V67" s="89"/>
      <c r="W67" s="77" t="e">
        <f t="shared" si="2"/>
        <v>#DIV/0!</v>
      </c>
    </row>
    <row r="68" spans="2:23" x14ac:dyDescent="0.25">
      <c r="B68" s="38" t="s">
        <v>37</v>
      </c>
      <c r="C68" s="36"/>
      <c r="D68" s="10"/>
      <c r="E68" s="10"/>
      <c r="F68" s="76"/>
      <c r="G68" s="88"/>
      <c r="H68" s="72"/>
      <c r="I68" s="72"/>
      <c r="J68" s="72"/>
      <c r="K68" s="72"/>
      <c r="L68" s="89"/>
      <c r="M68" s="91">
        <f t="shared" si="0"/>
        <v>0</v>
      </c>
      <c r="N68" s="88"/>
      <c r="O68" s="72"/>
      <c r="P68" s="72"/>
      <c r="Q68" s="89"/>
      <c r="R68" s="94">
        <f t="shared" si="1"/>
        <v>0</v>
      </c>
      <c r="S68" s="78"/>
      <c r="T68" s="10"/>
      <c r="U68" s="95"/>
      <c r="V68" s="89"/>
      <c r="W68" s="77" t="e">
        <f t="shared" si="2"/>
        <v>#DIV/0!</v>
      </c>
    </row>
    <row r="69" spans="2:23" x14ac:dyDescent="0.25">
      <c r="B69" s="38" t="s">
        <v>37</v>
      </c>
      <c r="C69" s="36"/>
      <c r="D69" s="10"/>
      <c r="E69" s="10"/>
      <c r="F69" s="76"/>
      <c r="G69" s="88"/>
      <c r="H69" s="72"/>
      <c r="I69" s="72"/>
      <c r="J69" s="72"/>
      <c r="K69" s="72"/>
      <c r="L69" s="89"/>
      <c r="M69" s="91">
        <f t="shared" si="0"/>
        <v>0</v>
      </c>
      <c r="N69" s="88"/>
      <c r="O69" s="72"/>
      <c r="P69" s="72"/>
      <c r="Q69" s="89"/>
      <c r="R69" s="94">
        <f t="shared" si="1"/>
        <v>0</v>
      </c>
      <c r="S69" s="78"/>
      <c r="T69" s="10"/>
      <c r="U69" s="95"/>
      <c r="V69" s="89"/>
      <c r="W69" s="77" t="e">
        <f t="shared" si="2"/>
        <v>#DIV/0!</v>
      </c>
    </row>
    <row r="70" spans="2:23" x14ac:dyDescent="0.25">
      <c r="B70" s="38" t="s">
        <v>37</v>
      </c>
      <c r="C70" s="36"/>
      <c r="D70" s="10"/>
      <c r="E70" s="10"/>
      <c r="F70" s="76"/>
      <c r="G70" s="88"/>
      <c r="H70" s="72"/>
      <c r="I70" s="72"/>
      <c r="J70" s="72"/>
      <c r="K70" s="72"/>
      <c r="L70" s="89"/>
      <c r="M70" s="91">
        <f t="shared" si="0"/>
        <v>0</v>
      </c>
      <c r="N70" s="88"/>
      <c r="O70" s="72"/>
      <c r="P70" s="72"/>
      <c r="Q70" s="89"/>
      <c r="R70" s="94">
        <f t="shared" si="1"/>
        <v>0</v>
      </c>
      <c r="S70" s="78"/>
      <c r="T70" s="10"/>
      <c r="U70" s="95"/>
      <c r="V70" s="89"/>
      <c r="W70" s="77" t="e">
        <f t="shared" si="2"/>
        <v>#DIV/0!</v>
      </c>
    </row>
    <row r="71" spans="2:23" x14ac:dyDescent="0.25">
      <c r="B71" s="38" t="s">
        <v>37</v>
      </c>
      <c r="C71" s="36"/>
      <c r="D71" s="10"/>
      <c r="E71" s="10"/>
      <c r="F71" s="76"/>
      <c r="G71" s="88"/>
      <c r="H71" s="72"/>
      <c r="I71" s="72"/>
      <c r="J71" s="72"/>
      <c r="K71" s="72"/>
      <c r="L71" s="89"/>
      <c r="M71" s="91">
        <f t="shared" ref="M71:M84" si="3">SUM(G71:L71)</f>
        <v>0</v>
      </c>
      <c r="N71" s="88"/>
      <c r="O71" s="72"/>
      <c r="P71" s="72"/>
      <c r="Q71" s="89"/>
      <c r="R71" s="94">
        <f t="shared" ref="R71:R84" si="4">SUM(N71:Q71)</f>
        <v>0</v>
      </c>
      <c r="S71" s="78"/>
      <c r="T71" s="10"/>
      <c r="U71" s="95"/>
      <c r="V71" s="89"/>
      <c r="W71" s="77" t="e">
        <f t="shared" ref="W71:W84" si="5">U71/V71</f>
        <v>#DIV/0!</v>
      </c>
    </row>
    <row r="72" spans="2:23" x14ac:dyDescent="0.25">
      <c r="B72" s="38" t="s">
        <v>37</v>
      </c>
      <c r="C72" s="36"/>
      <c r="D72" s="10"/>
      <c r="E72" s="10"/>
      <c r="F72" s="76"/>
      <c r="G72" s="88"/>
      <c r="H72" s="72"/>
      <c r="I72" s="72"/>
      <c r="J72" s="72"/>
      <c r="K72" s="72"/>
      <c r="L72" s="89"/>
      <c r="M72" s="91">
        <f t="shared" si="3"/>
        <v>0</v>
      </c>
      <c r="N72" s="88"/>
      <c r="O72" s="72"/>
      <c r="P72" s="72"/>
      <c r="Q72" s="89"/>
      <c r="R72" s="94">
        <f t="shared" si="4"/>
        <v>0</v>
      </c>
      <c r="S72" s="78"/>
      <c r="T72" s="10"/>
      <c r="U72" s="95"/>
      <c r="V72" s="89"/>
      <c r="W72" s="77" t="e">
        <f t="shared" si="5"/>
        <v>#DIV/0!</v>
      </c>
    </row>
    <row r="73" spans="2:23" x14ac:dyDescent="0.25">
      <c r="B73" s="38" t="s">
        <v>37</v>
      </c>
      <c r="C73" s="36"/>
      <c r="D73" s="10"/>
      <c r="E73" s="10"/>
      <c r="F73" s="76"/>
      <c r="G73" s="88"/>
      <c r="H73" s="72"/>
      <c r="I73" s="72"/>
      <c r="J73" s="72"/>
      <c r="K73" s="72"/>
      <c r="L73" s="89"/>
      <c r="M73" s="91">
        <f t="shared" si="3"/>
        <v>0</v>
      </c>
      <c r="N73" s="88"/>
      <c r="O73" s="72"/>
      <c r="P73" s="72"/>
      <c r="Q73" s="89"/>
      <c r="R73" s="94">
        <f t="shared" si="4"/>
        <v>0</v>
      </c>
      <c r="S73" s="78"/>
      <c r="T73" s="10"/>
      <c r="U73" s="95"/>
      <c r="V73" s="89"/>
      <c r="W73" s="77" t="e">
        <f t="shared" si="5"/>
        <v>#DIV/0!</v>
      </c>
    </row>
    <row r="74" spans="2:23" x14ac:dyDescent="0.25">
      <c r="B74" s="38" t="s">
        <v>37</v>
      </c>
      <c r="C74" s="36"/>
      <c r="D74" s="10"/>
      <c r="E74" s="10"/>
      <c r="F74" s="76"/>
      <c r="G74" s="88"/>
      <c r="H74" s="72"/>
      <c r="I74" s="72"/>
      <c r="J74" s="72"/>
      <c r="K74" s="72"/>
      <c r="L74" s="89"/>
      <c r="M74" s="91">
        <f t="shared" si="3"/>
        <v>0</v>
      </c>
      <c r="N74" s="88"/>
      <c r="O74" s="72"/>
      <c r="P74" s="72"/>
      <c r="Q74" s="89"/>
      <c r="R74" s="94">
        <f t="shared" si="4"/>
        <v>0</v>
      </c>
      <c r="S74" s="78"/>
      <c r="T74" s="10"/>
      <c r="U74" s="95"/>
      <c r="V74" s="89"/>
      <c r="W74" s="77" t="e">
        <f t="shared" si="5"/>
        <v>#DIV/0!</v>
      </c>
    </row>
    <row r="75" spans="2:23" x14ac:dyDescent="0.25">
      <c r="B75" s="38" t="s">
        <v>37</v>
      </c>
      <c r="C75" s="36"/>
      <c r="D75" s="10"/>
      <c r="E75" s="10"/>
      <c r="F75" s="76"/>
      <c r="G75" s="88"/>
      <c r="H75" s="72"/>
      <c r="I75" s="72"/>
      <c r="J75" s="72"/>
      <c r="K75" s="72"/>
      <c r="L75" s="89"/>
      <c r="M75" s="91">
        <f t="shared" si="3"/>
        <v>0</v>
      </c>
      <c r="N75" s="88"/>
      <c r="O75" s="72"/>
      <c r="P75" s="72"/>
      <c r="Q75" s="89"/>
      <c r="R75" s="94">
        <f t="shared" si="4"/>
        <v>0</v>
      </c>
      <c r="S75" s="78"/>
      <c r="T75" s="10"/>
      <c r="U75" s="95"/>
      <c r="V75" s="89"/>
      <c r="W75" s="77" t="e">
        <f t="shared" si="5"/>
        <v>#DIV/0!</v>
      </c>
    </row>
    <row r="76" spans="2:23" x14ac:dyDescent="0.25">
      <c r="B76" s="38" t="s">
        <v>37</v>
      </c>
      <c r="C76" s="36"/>
      <c r="D76" s="10"/>
      <c r="E76" s="10"/>
      <c r="F76" s="76"/>
      <c r="G76" s="88"/>
      <c r="H76" s="72"/>
      <c r="I76" s="72"/>
      <c r="J76" s="72"/>
      <c r="K76" s="72"/>
      <c r="L76" s="89"/>
      <c r="M76" s="91">
        <f t="shared" si="3"/>
        <v>0</v>
      </c>
      <c r="N76" s="88"/>
      <c r="O76" s="72"/>
      <c r="P76" s="72"/>
      <c r="Q76" s="89"/>
      <c r="R76" s="94">
        <f t="shared" si="4"/>
        <v>0</v>
      </c>
      <c r="S76" s="78"/>
      <c r="T76" s="10"/>
      <c r="U76" s="95"/>
      <c r="V76" s="89"/>
      <c r="W76" s="77" t="e">
        <f t="shared" si="5"/>
        <v>#DIV/0!</v>
      </c>
    </row>
    <row r="77" spans="2:23" x14ac:dyDescent="0.25">
      <c r="B77" s="38" t="s">
        <v>37</v>
      </c>
      <c r="C77" s="36"/>
      <c r="D77" s="10"/>
      <c r="E77" s="10"/>
      <c r="F77" s="76"/>
      <c r="G77" s="88"/>
      <c r="H77" s="72"/>
      <c r="I77" s="72"/>
      <c r="J77" s="72"/>
      <c r="K77" s="72"/>
      <c r="L77" s="89"/>
      <c r="M77" s="91">
        <f t="shared" si="3"/>
        <v>0</v>
      </c>
      <c r="N77" s="88"/>
      <c r="O77" s="72"/>
      <c r="P77" s="72"/>
      <c r="Q77" s="89"/>
      <c r="R77" s="94">
        <f t="shared" si="4"/>
        <v>0</v>
      </c>
      <c r="S77" s="78"/>
      <c r="T77" s="10"/>
      <c r="U77" s="95"/>
      <c r="V77" s="89"/>
      <c r="W77" s="77" t="e">
        <f t="shared" si="5"/>
        <v>#DIV/0!</v>
      </c>
    </row>
    <row r="78" spans="2:23" x14ac:dyDescent="0.25">
      <c r="B78" s="38" t="s">
        <v>37</v>
      </c>
      <c r="C78" s="36"/>
      <c r="D78" s="10"/>
      <c r="E78" s="10"/>
      <c r="F78" s="76"/>
      <c r="G78" s="88"/>
      <c r="H78" s="72"/>
      <c r="I78" s="72"/>
      <c r="J78" s="72"/>
      <c r="K78" s="72"/>
      <c r="L78" s="89"/>
      <c r="M78" s="91">
        <f t="shared" si="3"/>
        <v>0</v>
      </c>
      <c r="N78" s="88"/>
      <c r="O78" s="72"/>
      <c r="P78" s="72"/>
      <c r="Q78" s="89"/>
      <c r="R78" s="94">
        <f t="shared" si="4"/>
        <v>0</v>
      </c>
      <c r="S78" s="78"/>
      <c r="T78" s="10"/>
      <c r="U78" s="95"/>
      <c r="V78" s="89"/>
      <c r="W78" s="77" t="e">
        <f t="shared" si="5"/>
        <v>#DIV/0!</v>
      </c>
    </row>
    <row r="79" spans="2:23" x14ac:dyDescent="0.25">
      <c r="B79" s="38" t="s">
        <v>37</v>
      </c>
      <c r="C79" s="36"/>
      <c r="D79" s="10"/>
      <c r="E79" s="10"/>
      <c r="F79" s="76"/>
      <c r="G79" s="88"/>
      <c r="H79" s="72"/>
      <c r="I79" s="72"/>
      <c r="J79" s="72"/>
      <c r="K79" s="72"/>
      <c r="L79" s="89"/>
      <c r="M79" s="91">
        <f t="shared" si="3"/>
        <v>0</v>
      </c>
      <c r="N79" s="88"/>
      <c r="O79" s="72"/>
      <c r="P79" s="72"/>
      <c r="Q79" s="89"/>
      <c r="R79" s="94">
        <f t="shared" si="4"/>
        <v>0</v>
      </c>
      <c r="S79" s="78"/>
      <c r="T79" s="10"/>
      <c r="U79" s="95"/>
      <c r="V79" s="89"/>
      <c r="W79" s="77" t="e">
        <f t="shared" si="5"/>
        <v>#DIV/0!</v>
      </c>
    </row>
    <row r="80" spans="2:23" x14ac:dyDescent="0.25">
      <c r="B80" s="38" t="s">
        <v>37</v>
      </c>
      <c r="C80" s="36"/>
      <c r="D80" s="10"/>
      <c r="E80" s="10"/>
      <c r="F80" s="76"/>
      <c r="G80" s="88"/>
      <c r="H80" s="72"/>
      <c r="I80" s="72"/>
      <c r="J80" s="72"/>
      <c r="K80" s="72"/>
      <c r="L80" s="89"/>
      <c r="M80" s="91">
        <f t="shared" si="3"/>
        <v>0</v>
      </c>
      <c r="N80" s="88"/>
      <c r="O80" s="72"/>
      <c r="P80" s="72"/>
      <c r="Q80" s="89"/>
      <c r="R80" s="94">
        <f t="shared" si="4"/>
        <v>0</v>
      </c>
      <c r="S80" s="78"/>
      <c r="T80" s="10"/>
      <c r="U80" s="95"/>
      <c r="V80" s="89"/>
      <c r="W80" s="77" t="e">
        <f t="shared" si="5"/>
        <v>#DIV/0!</v>
      </c>
    </row>
    <row r="81" spans="2:23" x14ac:dyDescent="0.25">
      <c r="B81" s="38" t="s">
        <v>37</v>
      </c>
      <c r="C81" s="36"/>
      <c r="D81" s="10"/>
      <c r="E81" s="10"/>
      <c r="F81" s="76"/>
      <c r="G81" s="88"/>
      <c r="H81" s="72"/>
      <c r="I81" s="72"/>
      <c r="J81" s="72"/>
      <c r="K81" s="72"/>
      <c r="L81" s="89"/>
      <c r="M81" s="91">
        <f t="shared" si="3"/>
        <v>0</v>
      </c>
      <c r="N81" s="88"/>
      <c r="O81" s="72"/>
      <c r="P81" s="72"/>
      <c r="Q81" s="89"/>
      <c r="R81" s="94">
        <f t="shared" si="4"/>
        <v>0</v>
      </c>
      <c r="S81" s="78"/>
      <c r="T81" s="10"/>
      <c r="U81" s="95"/>
      <c r="V81" s="89"/>
      <c r="W81" s="77" t="e">
        <f t="shared" si="5"/>
        <v>#DIV/0!</v>
      </c>
    </row>
    <row r="82" spans="2:23" x14ac:dyDescent="0.25">
      <c r="B82" s="38" t="s">
        <v>37</v>
      </c>
      <c r="C82" s="36"/>
      <c r="D82" s="10"/>
      <c r="E82" s="10"/>
      <c r="F82" s="76"/>
      <c r="G82" s="88"/>
      <c r="H82" s="72"/>
      <c r="I82" s="72"/>
      <c r="J82" s="72"/>
      <c r="K82" s="72"/>
      <c r="L82" s="89"/>
      <c r="M82" s="91">
        <f t="shared" si="3"/>
        <v>0</v>
      </c>
      <c r="N82" s="88"/>
      <c r="O82" s="72"/>
      <c r="P82" s="72"/>
      <c r="Q82" s="89"/>
      <c r="R82" s="94">
        <f t="shared" si="4"/>
        <v>0</v>
      </c>
      <c r="S82" s="78"/>
      <c r="T82" s="10"/>
      <c r="U82" s="95"/>
      <c r="V82" s="89"/>
      <c r="W82" s="77" t="e">
        <f t="shared" si="5"/>
        <v>#DIV/0!</v>
      </c>
    </row>
    <row r="83" spans="2:23" x14ac:dyDescent="0.25">
      <c r="B83" s="38" t="s">
        <v>37</v>
      </c>
      <c r="C83" s="36"/>
      <c r="D83" s="10"/>
      <c r="E83" s="10"/>
      <c r="F83" s="76"/>
      <c r="G83" s="88"/>
      <c r="H83" s="72"/>
      <c r="I83" s="72"/>
      <c r="J83" s="72"/>
      <c r="K83" s="72"/>
      <c r="L83" s="89"/>
      <c r="M83" s="91">
        <f t="shared" si="3"/>
        <v>0</v>
      </c>
      <c r="N83" s="88"/>
      <c r="O83" s="72"/>
      <c r="P83" s="72"/>
      <c r="Q83" s="89"/>
      <c r="R83" s="94">
        <f t="shared" si="4"/>
        <v>0</v>
      </c>
      <c r="S83" s="78"/>
      <c r="T83" s="10"/>
      <c r="U83" s="95"/>
      <c r="V83" s="89"/>
      <c r="W83" s="77" t="e">
        <f t="shared" si="5"/>
        <v>#DIV/0!</v>
      </c>
    </row>
    <row r="84" spans="2:23" ht="15.75" thickBot="1" x14ac:dyDescent="0.3">
      <c r="B84" s="39" t="s">
        <v>37</v>
      </c>
      <c r="C84" s="36"/>
      <c r="D84" s="10"/>
      <c r="E84" s="10"/>
      <c r="F84" s="10"/>
      <c r="G84" s="72"/>
      <c r="H84" s="72"/>
      <c r="I84" s="72"/>
      <c r="J84" s="72"/>
      <c r="K84" s="72"/>
      <c r="L84" s="89"/>
      <c r="M84" s="91">
        <f t="shared" si="3"/>
        <v>0</v>
      </c>
      <c r="N84" s="88"/>
      <c r="O84" s="72"/>
      <c r="P84" s="72"/>
      <c r="Q84" s="89"/>
      <c r="R84" s="94">
        <f t="shared" si="4"/>
        <v>0</v>
      </c>
      <c r="S84" s="78"/>
      <c r="T84" s="10"/>
      <c r="U84" s="95"/>
      <c r="V84" s="89"/>
      <c r="W84" s="77" t="e">
        <f t="shared" si="5"/>
        <v>#DIV/0!</v>
      </c>
    </row>
  </sheetData>
  <mergeCells count="3">
    <mergeCell ref="G4:M4"/>
    <mergeCell ref="N4:R4"/>
    <mergeCell ref="S4:W4"/>
  </mergeCells>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E6868-053B-4825-8938-C2ACA769E8D1}">
  <sheetPr codeName="Sheet2">
    <pageSetUpPr fitToPage="1"/>
  </sheetPr>
  <dimension ref="B1:I171"/>
  <sheetViews>
    <sheetView showGridLines="0" zoomScale="85" zoomScaleNormal="85" workbookViewId="0">
      <selection activeCell="G30" sqref="G30"/>
    </sheetView>
  </sheetViews>
  <sheetFormatPr defaultRowHeight="15" x14ac:dyDescent="0.25"/>
  <cols>
    <col min="1" max="1" width="1.7109375" customWidth="1"/>
    <col min="2" max="2" width="34.5703125" bestFit="1" customWidth="1"/>
    <col min="3" max="3" width="89.85546875" customWidth="1"/>
    <col min="4" max="6" width="5.140625" customWidth="1"/>
    <col min="7" max="7" width="55.28515625" customWidth="1"/>
    <col min="8" max="8" width="11.5703125" bestFit="1" customWidth="1"/>
  </cols>
  <sheetData>
    <row r="1" spans="2:9" ht="8.25" customHeight="1" thickBot="1" x14ac:dyDescent="0.3"/>
    <row r="2" spans="2:9" ht="15.75" thickBot="1" x14ac:dyDescent="0.3">
      <c r="B2" s="108" t="s">
        <v>49</v>
      </c>
      <c r="C2" s="7" t="s">
        <v>47</v>
      </c>
      <c r="E2" s="400" t="s">
        <v>50</v>
      </c>
      <c r="F2" s="401"/>
      <c r="G2" s="402"/>
      <c r="I2" s="108" t="s">
        <v>51</v>
      </c>
    </row>
    <row r="3" spans="2:9" ht="15.75" thickBot="1" x14ac:dyDescent="0.3">
      <c r="B3" s="108" t="s">
        <v>52</v>
      </c>
      <c r="C3" s="112" t="s">
        <v>53</v>
      </c>
      <c r="E3" s="403" t="s">
        <v>54</v>
      </c>
      <c r="F3" s="404"/>
      <c r="G3" s="405"/>
      <c r="I3" t="s">
        <v>55</v>
      </c>
    </row>
    <row r="4" spans="2:9" ht="15.75" thickBot="1" x14ac:dyDescent="0.3">
      <c r="B4" s="108" t="s">
        <v>56</v>
      </c>
      <c r="C4" s="24" t="s">
        <v>57</v>
      </c>
      <c r="E4" s="403" t="s">
        <v>58</v>
      </c>
      <c r="F4" s="404"/>
      <c r="G4" s="405"/>
    </row>
    <row r="5" spans="2:9" ht="15.75" thickBot="1" x14ac:dyDescent="0.3">
      <c r="B5" s="108" t="s">
        <v>59</v>
      </c>
      <c r="C5" s="24" t="s">
        <v>60</v>
      </c>
      <c r="E5" s="403" t="s">
        <v>61</v>
      </c>
      <c r="F5" s="404"/>
      <c r="G5" s="405"/>
    </row>
    <row r="6" spans="2:9" ht="15.75" thickBot="1" x14ac:dyDescent="0.3">
      <c r="B6" s="108" t="s">
        <v>62</v>
      </c>
      <c r="C6" s="44" t="s">
        <v>63</v>
      </c>
      <c r="E6" s="403" t="s">
        <v>64</v>
      </c>
      <c r="F6" s="404"/>
      <c r="G6" s="405"/>
    </row>
    <row r="7" spans="2:9" ht="15.75" thickBot="1" x14ac:dyDescent="0.3">
      <c r="B7" s="108" t="s">
        <v>65</v>
      </c>
      <c r="C7" s="107" t="s">
        <v>66</v>
      </c>
      <c r="E7" s="397" t="s">
        <v>67</v>
      </c>
      <c r="F7" s="398"/>
      <c r="G7" s="399"/>
    </row>
    <row r="8" spans="2:9" ht="15.75" thickBot="1" x14ac:dyDescent="0.3">
      <c r="B8" s="108" t="s">
        <v>68</v>
      </c>
      <c r="C8" s="120">
        <v>125576</v>
      </c>
    </row>
    <row r="9" spans="2:9" ht="15.75" thickBot="1" x14ac:dyDescent="0.3">
      <c r="B9" s="108" t="s">
        <v>69</v>
      </c>
      <c r="C9" s="106"/>
    </row>
    <row r="10" spans="2:9" ht="15.75" thickBot="1" x14ac:dyDescent="0.3">
      <c r="B10" s="108" t="s">
        <v>70</v>
      </c>
      <c r="C10" s="30"/>
    </row>
    <row r="11" spans="2:9" ht="15.75" thickBot="1" x14ac:dyDescent="0.3">
      <c r="B11" s="108" t="s">
        <v>71</v>
      </c>
      <c r="C11" s="30"/>
    </row>
    <row r="12" spans="2:9" ht="15.75" thickBot="1" x14ac:dyDescent="0.3">
      <c r="B12" s="108" t="s">
        <v>72</v>
      </c>
      <c r="C12" s="146" t="s">
        <v>48</v>
      </c>
      <c r="D12" s="147" t="s">
        <v>73</v>
      </c>
    </row>
    <row r="13" spans="2:9" ht="15.75" thickBot="1" x14ac:dyDescent="0.3">
      <c r="B13" s="108" t="s">
        <v>74</v>
      </c>
      <c r="C13" s="146" t="s">
        <v>75</v>
      </c>
    </row>
    <row r="14" spans="2:9" ht="15.75" thickBot="1" x14ac:dyDescent="0.3">
      <c r="B14" s="108" t="s">
        <v>76</v>
      </c>
      <c r="C14" s="146" t="s">
        <v>75</v>
      </c>
    </row>
    <row r="15" spans="2:9" ht="15.75" thickBot="1" x14ac:dyDescent="0.3"/>
    <row r="16" spans="2:9" ht="15.75" thickBot="1" x14ac:dyDescent="0.3">
      <c r="B16" s="108"/>
      <c r="C16" s="45"/>
      <c r="D16" s="394" t="s">
        <v>77</v>
      </c>
      <c r="E16" s="395"/>
      <c r="F16" s="396"/>
      <c r="H16" s="46"/>
    </row>
    <row r="17" spans="2:8" s="1" customFormat="1" ht="15.75" thickBot="1" x14ac:dyDescent="0.3">
      <c r="B17" s="2" t="s">
        <v>78</v>
      </c>
      <c r="C17" s="9" t="s">
        <v>79</v>
      </c>
      <c r="D17" s="9" t="s">
        <v>80</v>
      </c>
      <c r="E17" s="9" t="s">
        <v>81</v>
      </c>
      <c r="F17" s="9" t="s">
        <v>60</v>
      </c>
      <c r="G17" s="17" t="s">
        <v>82</v>
      </c>
      <c r="H17" s="1" t="s">
        <v>83</v>
      </c>
    </row>
    <row r="18" spans="2:8" x14ac:dyDescent="0.25">
      <c r="B18" s="10" t="s">
        <v>84</v>
      </c>
      <c r="C18" s="10" t="s">
        <v>85</v>
      </c>
      <c r="D18" s="10"/>
      <c r="E18" s="10"/>
      <c r="F18" s="10"/>
      <c r="G18" s="10"/>
      <c r="H18" s="46" t="s">
        <v>86</v>
      </c>
    </row>
    <row r="19" spans="2:8" x14ac:dyDescent="0.25">
      <c r="B19" s="10" t="s">
        <v>84</v>
      </c>
      <c r="C19" s="10" t="s">
        <v>87</v>
      </c>
      <c r="D19" s="10"/>
      <c r="E19" s="10"/>
      <c r="F19" s="10"/>
      <c r="G19" s="10"/>
      <c r="H19" s="46" t="s">
        <v>86</v>
      </c>
    </row>
    <row r="20" spans="2:8" x14ac:dyDescent="0.25">
      <c r="B20" s="10" t="s">
        <v>84</v>
      </c>
      <c r="C20" s="10" t="s">
        <v>88</v>
      </c>
      <c r="D20" s="10"/>
      <c r="E20" s="10"/>
      <c r="F20" s="10"/>
      <c r="G20" s="10"/>
      <c r="H20" s="46" t="s">
        <v>86</v>
      </c>
    </row>
    <row r="21" spans="2:8" x14ac:dyDescent="0.25">
      <c r="B21" s="10" t="s">
        <v>84</v>
      </c>
      <c r="C21" s="10" t="s">
        <v>89</v>
      </c>
      <c r="D21" s="10"/>
      <c r="E21" s="10"/>
      <c r="F21" s="10"/>
      <c r="G21" s="10"/>
      <c r="H21" s="46" t="s">
        <v>90</v>
      </c>
    </row>
    <row r="22" spans="2:8" x14ac:dyDescent="0.25">
      <c r="B22" s="10" t="s">
        <v>84</v>
      </c>
      <c r="C22" s="10" t="s">
        <v>91</v>
      </c>
      <c r="D22" s="10"/>
      <c r="E22" s="10"/>
      <c r="F22" s="10"/>
      <c r="G22" s="10"/>
      <c r="H22" s="46" t="s">
        <v>86</v>
      </c>
    </row>
    <row r="23" spans="2:8" x14ac:dyDescent="0.25">
      <c r="B23" s="15" t="s">
        <v>84</v>
      </c>
      <c r="C23" s="15" t="s">
        <v>92</v>
      </c>
      <c r="D23" s="15"/>
      <c r="E23" s="15"/>
      <c r="F23" s="15"/>
      <c r="G23" s="15"/>
      <c r="H23" s="46" t="s">
        <v>86</v>
      </c>
    </row>
    <row r="24" spans="2:8" x14ac:dyDescent="0.25">
      <c r="B24" s="10" t="s">
        <v>84</v>
      </c>
      <c r="C24" s="10" t="s">
        <v>93</v>
      </c>
      <c r="D24" s="10"/>
      <c r="E24" s="10"/>
      <c r="F24" s="10"/>
      <c r="G24" s="10"/>
      <c r="H24" s="46" t="s">
        <v>86</v>
      </c>
    </row>
    <row r="25" spans="2:8" x14ac:dyDescent="0.25">
      <c r="B25" s="10" t="s">
        <v>84</v>
      </c>
      <c r="C25" s="10" t="s">
        <v>94</v>
      </c>
      <c r="D25" s="10"/>
      <c r="E25" s="10"/>
      <c r="F25" s="10"/>
      <c r="G25" s="10"/>
      <c r="H25" s="46" t="s">
        <v>86</v>
      </c>
    </row>
    <row r="26" spans="2:8" x14ac:dyDescent="0.25">
      <c r="B26" s="10" t="s">
        <v>84</v>
      </c>
      <c r="C26" s="10" t="s">
        <v>95</v>
      </c>
      <c r="D26" s="10"/>
      <c r="E26" s="10"/>
      <c r="F26" s="10"/>
      <c r="G26" s="10"/>
      <c r="H26" s="46" t="s">
        <v>90</v>
      </c>
    </row>
    <row r="27" spans="2:8" x14ac:dyDescent="0.25">
      <c r="B27" s="10" t="s">
        <v>84</v>
      </c>
      <c r="C27" s="10" t="s">
        <v>96</v>
      </c>
      <c r="D27" s="10"/>
      <c r="E27" s="10"/>
      <c r="F27" s="10"/>
      <c r="G27" s="10"/>
      <c r="H27" s="46" t="s">
        <v>86</v>
      </c>
    </row>
    <row r="28" spans="2:8" x14ac:dyDescent="0.25">
      <c r="B28" s="10" t="s">
        <v>84</v>
      </c>
      <c r="C28" s="10" t="s">
        <v>97</v>
      </c>
      <c r="D28" s="10"/>
      <c r="E28" s="10"/>
      <c r="F28" s="10"/>
      <c r="G28" s="10"/>
      <c r="H28" s="46" t="s">
        <v>86</v>
      </c>
    </row>
    <row r="29" spans="2:8" x14ac:dyDescent="0.25">
      <c r="B29" s="10" t="s">
        <v>84</v>
      </c>
      <c r="C29" s="10" t="s">
        <v>98</v>
      </c>
      <c r="D29" s="10"/>
      <c r="E29" s="10"/>
      <c r="F29" s="10"/>
      <c r="G29" s="10"/>
      <c r="H29" s="46" t="s">
        <v>86</v>
      </c>
    </row>
    <row r="30" spans="2:8" x14ac:dyDescent="0.25">
      <c r="B30" s="10" t="s">
        <v>84</v>
      </c>
      <c r="C30" s="10" t="s">
        <v>99</v>
      </c>
      <c r="D30" s="10"/>
      <c r="E30" s="10"/>
      <c r="F30" s="10"/>
      <c r="G30" s="10"/>
      <c r="H30" s="46" t="s">
        <v>86</v>
      </c>
    </row>
    <row r="31" spans="2:8" x14ac:dyDescent="0.25">
      <c r="B31" s="10" t="s">
        <v>84</v>
      </c>
      <c r="C31" s="10" t="s">
        <v>100</v>
      </c>
      <c r="D31" s="10"/>
      <c r="E31" s="10"/>
      <c r="F31" s="10"/>
      <c r="G31" s="10"/>
      <c r="H31" s="46" t="s">
        <v>86</v>
      </c>
    </row>
    <row r="32" spans="2:8" x14ac:dyDescent="0.25">
      <c r="B32" s="10" t="s">
        <v>84</v>
      </c>
      <c r="C32" s="10" t="s">
        <v>101</v>
      </c>
      <c r="D32" s="10"/>
      <c r="E32" s="10"/>
      <c r="F32" s="10"/>
      <c r="G32" s="10"/>
      <c r="H32" s="46" t="s">
        <v>86</v>
      </c>
    </row>
    <row r="33" spans="2:9" x14ac:dyDescent="0.25">
      <c r="B33" s="10" t="s">
        <v>84</v>
      </c>
      <c r="C33" s="10" t="s">
        <v>102</v>
      </c>
      <c r="D33" s="10"/>
      <c r="E33" s="10"/>
      <c r="F33" s="10"/>
      <c r="G33" s="10"/>
      <c r="H33" s="46" t="s">
        <v>86</v>
      </c>
    </row>
    <row r="34" spans="2:9" x14ac:dyDescent="0.25">
      <c r="B34" s="10" t="s">
        <v>84</v>
      </c>
      <c r="C34" s="10" t="s">
        <v>103</v>
      </c>
      <c r="D34" s="10"/>
      <c r="E34" s="10"/>
      <c r="F34" s="10"/>
      <c r="G34" s="10"/>
      <c r="H34" s="46" t="s">
        <v>86</v>
      </c>
    </row>
    <row r="35" spans="2:9" x14ac:dyDescent="0.25">
      <c r="B35" s="10" t="s">
        <v>84</v>
      </c>
      <c r="C35" s="10" t="s">
        <v>104</v>
      </c>
      <c r="D35" s="10"/>
      <c r="E35" s="10"/>
      <c r="F35" s="10"/>
      <c r="G35" s="10"/>
      <c r="H35" s="46" t="s">
        <v>86</v>
      </c>
      <c r="I35" s="46"/>
    </row>
    <row r="36" spans="2:9" x14ac:dyDescent="0.25">
      <c r="B36" s="10" t="s">
        <v>84</v>
      </c>
      <c r="C36" s="10" t="s">
        <v>105</v>
      </c>
      <c r="D36" s="10"/>
      <c r="E36" s="10"/>
      <c r="F36" s="10"/>
      <c r="G36" s="10"/>
      <c r="H36" s="46" t="s">
        <v>86</v>
      </c>
      <c r="I36" s="46"/>
    </row>
    <row r="37" spans="2:9" x14ac:dyDescent="0.25">
      <c r="B37" s="10" t="s">
        <v>84</v>
      </c>
      <c r="C37" s="10" t="s">
        <v>106</v>
      </c>
      <c r="D37" s="10"/>
      <c r="E37" s="10"/>
      <c r="F37" s="10"/>
      <c r="G37" s="10"/>
      <c r="H37" s="46" t="s">
        <v>86</v>
      </c>
    </row>
    <row r="38" spans="2:9" x14ac:dyDescent="0.25">
      <c r="B38" s="10" t="s">
        <v>84</v>
      </c>
      <c r="C38" s="10" t="s">
        <v>107</v>
      </c>
      <c r="D38" s="10"/>
      <c r="E38" s="10"/>
      <c r="F38" s="10"/>
      <c r="G38" s="10"/>
      <c r="H38" s="46" t="s">
        <v>86</v>
      </c>
    </row>
    <row r="39" spans="2:9" x14ac:dyDescent="0.25">
      <c r="B39" s="10" t="s">
        <v>84</v>
      </c>
      <c r="C39" s="10" t="s">
        <v>108</v>
      </c>
      <c r="D39" s="10"/>
      <c r="E39" s="10"/>
      <c r="F39" s="10"/>
      <c r="G39" s="10"/>
      <c r="H39" s="46" t="s">
        <v>86</v>
      </c>
    </row>
    <row r="40" spans="2:9" x14ac:dyDescent="0.25">
      <c r="B40" s="10" t="s">
        <v>84</v>
      </c>
      <c r="C40" s="10" t="s">
        <v>109</v>
      </c>
      <c r="D40" s="10"/>
      <c r="E40" s="10"/>
      <c r="F40" s="10"/>
      <c r="G40" s="10"/>
      <c r="H40" s="46" t="s">
        <v>86</v>
      </c>
    </row>
    <row r="41" spans="2:9" x14ac:dyDescent="0.25">
      <c r="B41" s="10" t="s">
        <v>84</v>
      </c>
      <c r="C41" s="10" t="s">
        <v>110</v>
      </c>
      <c r="D41" s="10"/>
      <c r="E41" s="10"/>
      <c r="F41" s="10"/>
      <c r="G41" s="10"/>
      <c r="H41" s="46" t="s">
        <v>86</v>
      </c>
    </row>
    <row r="42" spans="2:9" x14ac:dyDescent="0.25">
      <c r="B42" s="10" t="s">
        <v>84</v>
      </c>
      <c r="C42" s="10" t="s">
        <v>111</v>
      </c>
      <c r="D42" s="10"/>
      <c r="E42" s="10"/>
      <c r="F42" s="10"/>
      <c r="G42" s="10"/>
      <c r="H42" s="46" t="s">
        <v>86</v>
      </c>
    </row>
    <row r="43" spans="2:9" x14ac:dyDescent="0.25">
      <c r="B43" s="10" t="s">
        <v>84</v>
      </c>
      <c r="C43" s="10" t="s">
        <v>112</v>
      </c>
      <c r="D43" s="10"/>
      <c r="E43" s="10"/>
      <c r="F43" s="10"/>
      <c r="G43" s="10"/>
      <c r="H43" s="46" t="s">
        <v>86</v>
      </c>
    </row>
    <row r="44" spans="2:9" x14ac:dyDescent="0.25">
      <c r="B44" s="10" t="s">
        <v>84</v>
      </c>
      <c r="C44" s="10" t="s">
        <v>113</v>
      </c>
      <c r="D44" s="10"/>
      <c r="E44" s="10"/>
      <c r="F44" s="10"/>
      <c r="G44" s="10"/>
      <c r="H44" s="46" t="s">
        <v>86</v>
      </c>
    </row>
    <row r="45" spans="2:9" x14ac:dyDescent="0.25">
      <c r="B45" s="10" t="s">
        <v>84</v>
      </c>
      <c r="C45" s="10" t="s">
        <v>114</v>
      </c>
      <c r="D45" s="10"/>
      <c r="E45" s="10"/>
      <c r="F45" s="10"/>
      <c r="G45" s="10"/>
      <c r="H45" s="46" t="s">
        <v>86</v>
      </c>
    </row>
    <row r="46" spans="2:9" x14ac:dyDescent="0.25">
      <c r="B46" s="10" t="s">
        <v>84</v>
      </c>
      <c r="C46" s="10" t="s">
        <v>115</v>
      </c>
      <c r="D46" s="10"/>
      <c r="E46" s="10"/>
      <c r="F46" s="10"/>
      <c r="G46" s="10"/>
      <c r="H46" s="46" t="s">
        <v>86</v>
      </c>
    </row>
    <row r="47" spans="2:9" x14ac:dyDescent="0.25">
      <c r="B47" s="10" t="s">
        <v>84</v>
      </c>
      <c r="C47" s="10" t="s">
        <v>116</v>
      </c>
      <c r="D47" s="10"/>
      <c r="E47" s="10"/>
      <c r="F47" s="10"/>
      <c r="G47" s="10"/>
      <c r="H47" s="46" t="s">
        <v>86</v>
      </c>
    </row>
    <row r="48" spans="2:9" x14ac:dyDescent="0.25">
      <c r="B48" s="10" t="s">
        <v>84</v>
      </c>
      <c r="C48" s="10" t="s">
        <v>117</v>
      </c>
      <c r="D48" s="10"/>
      <c r="E48" s="10"/>
      <c r="F48" s="10"/>
      <c r="G48" s="10"/>
      <c r="H48" s="46" t="s">
        <v>86</v>
      </c>
    </row>
    <row r="49" spans="2:8" x14ac:dyDescent="0.25">
      <c r="B49" s="10" t="s">
        <v>84</v>
      </c>
      <c r="C49" s="10" t="s">
        <v>118</v>
      </c>
      <c r="D49" s="10"/>
      <c r="E49" s="10"/>
      <c r="F49" s="10"/>
      <c r="G49" s="10"/>
      <c r="H49" s="46" t="s">
        <v>86</v>
      </c>
    </row>
    <row r="50" spans="2:8" x14ac:dyDescent="0.25">
      <c r="B50" s="10" t="s">
        <v>84</v>
      </c>
      <c r="C50" s="10" t="s">
        <v>119</v>
      </c>
      <c r="D50" s="10"/>
      <c r="E50" s="10"/>
      <c r="F50" s="10"/>
      <c r="G50" s="10"/>
      <c r="H50" s="46" t="s">
        <v>86</v>
      </c>
    </row>
    <row r="51" spans="2:8" x14ac:dyDescent="0.25">
      <c r="B51" s="10" t="s">
        <v>84</v>
      </c>
      <c r="C51" s="10" t="s">
        <v>120</v>
      </c>
      <c r="D51" s="10"/>
      <c r="E51" s="10"/>
      <c r="F51" s="10"/>
      <c r="G51" s="10"/>
      <c r="H51" s="46" t="s">
        <v>86</v>
      </c>
    </row>
    <row r="52" spans="2:8" x14ac:dyDescent="0.25">
      <c r="B52" s="10" t="s">
        <v>84</v>
      </c>
      <c r="C52" s="10" t="s">
        <v>121</v>
      </c>
      <c r="D52" s="10"/>
      <c r="E52" s="10"/>
      <c r="F52" s="10"/>
      <c r="G52" s="10"/>
      <c r="H52" s="46" t="s">
        <v>86</v>
      </c>
    </row>
    <row r="53" spans="2:8" x14ac:dyDescent="0.25">
      <c r="B53" s="10" t="s">
        <v>84</v>
      </c>
      <c r="C53" s="10" t="s">
        <v>122</v>
      </c>
      <c r="D53" s="10"/>
      <c r="E53" s="10"/>
      <c r="F53" s="10"/>
      <c r="G53" s="10"/>
      <c r="H53" s="46" t="s">
        <v>123</v>
      </c>
    </row>
    <row r="54" spans="2:8" x14ac:dyDescent="0.25">
      <c r="B54" s="10" t="s">
        <v>18</v>
      </c>
      <c r="C54" s="10" t="s">
        <v>124</v>
      </c>
      <c r="D54" s="10"/>
      <c r="E54" s="10"/>
      <c r="F54" s="10"/>
      <c r="G54" s="10"/>
      <c r="H54" s="46" t="s">
        <v>86</v>
      </c>
    </row>
    <row r="55" spans="2:8" x14ac:dyDescent="0.25">
      <c r="B55" s="10" t="s">
        <v>18</v>
      </c>
      <c r="C55" s="10" t="s">
        <v>125</v>
      </c>
      <c r="D55" s="10"/>
      <c r="E55" s="10"/>
      <c r="F55" s="10"/>
      <c r="G55" s="10"/>
      <c r="H55" s="46" t="s">
        <v>86</v>
      </c>
    </row>
    <row r="56" spans="2:8" x14ac:dyDescent="0.25">
      <c r="B56" s="10" t="s">
        <v>18</v>
      </c>
      <c r="C56" s="10" t="s">
        <v>126</v>
      </c>
      <c r="D56" s="10"/>
      <c r="E56" s="10"/>
      <c r="F56" s="10"/>
      <c r="G56" s="10"/>
      <c r="H56" s="46" t="s">
        <v>86</v>
      </c>
    </row>
    <row r="57" spans="2:8" x14ac:dyDescent="0.25">
      <c r="B57" s="10" t="s">
        <v>18</v>
      </c>
      <c r="C57" s="10" t="s">
        <v>127</v>
      </c>
      <c r="D57" s="10"/>
      <c r="E57" s="10"/>
      <c r="F57" s="10"/>
      <c r="G57" s="10"/>
      <c r="H57" s="46" t="s">
        <v>86</v>
      </c>
    </row>
    <row r="58" spans="2:8" x14ac:dyDescent="0.25">
      <c r="B58" s="10" t="s">
        <v>18</v>
      </c>
      <c r="C58" s="10" t="s">
        <v>128</v>
      </c>
      <c r="D58" s="10"/>
      <c r="E58" s="10"/>
      <c r="F58" s="10"/>
      <c r="G58" s="10"/>
      <c r="H58" s="46" t="s">
        <v>86</v>
      </c>
    </row>
    <row r="59" spans="2:8" x14ac:dyDescent="0.25">
      <c r="B59" s="10" t="s">
        <v>18</v>
      </c>
      <c r="C59" s="10" t="s">
        <v>129</v>
      </c>
      <c r="D59" s="10"/>
      <c r="E59" s="10"/>
      <c r="F59" s="10"/>
      <c r="G59" s="10"/>
      <c r="H59" s="46" t="s">
        <v>86</v>
      </c>
    </row>
    <row r="60" spans="2:8" x14ac:dyDescent="0.25">
      <c r="B60" s="10" t="s">
        <v>18</v>
      </c>
      <c r="C60" s="10" t="s">
        <v>130</v>
      </c>
      <c r="D60" s="10"/>
      <c r="E60" s="10"/>
      <c r="F60" s="10"/>
      <c r="G60" s="10"/>
      <c r="H60" s="46" t="s">
        <v>86</v>
      </c>
    </row>
    <row r="61" spans="2:8" x14ac:dyDescent="0.25">
      <c r="B61" s="10" t="s">
        <v>18</v>
      </c>
      <c r="C61" s="10" t="s">
        <v>131</v>
      </c>
      <c r="D61" s="10"/>
      <c r="E61" s="10"/>
      <c r="F61" s="10"/>
      <c r="G61" s="10"/>
      <c r="H61" s="46" t="s">
        <v>86</v>
      </c>
    </row>
    <row r="62" spans="2:8" x14ac:dyDescent="0.25">
      <c r="B62" s="10" t="s">
        <v>18</v>
      </c>
      <c r="C62" s="10" t="s">
        <v>132</v>
      </c>
      <c r="D62" s="10"/>
      <c r="E62" s="10"/>
      <c r="F62" s="10"/>
      <c r="G62" s="10"/>
      <c r="H62" s="46" t="s">
        <v>86</v>
      </c>
    </row>
    <row r="63" spans="2:8" x14ac:dyDescent="0.25">
      <c r="B63" s="10" t="s">
        <v>18</v>
      </c>
      <c r="C63" s="10" t="s">
        <v>133</v>
      </c>
      <c r="D63" s="10"/>
      <c r="E63" s="10"/>
      <c r="F63" s="10"/>
      <c r="G63" s="10"/>
      <c r="H63" s="46" t="s">
        <v>86</v>
      </c>
    </row>
    <row r="64" spans="2:8" x14ac:dyDescent="0.25">
      <c r="B64" s="10" t="s">
        <v>18</v>
      </c>
      <c r="C64" s="10" t="s">
        <v>134</v>
      </c>
      <c r="D64" s="10"/>
      <c r="E64" s="10"/>
      <c r="F64" s="10"/>
      <c r="G64" s="10"/>
      <c r="H64" s="46" t="s">
        <v>86</v>
      </c>
    </row>
    <row r="65" spans="2:8" x14ac:dyDescent="0.25">
      <c r="B65" s="10" t="s">
        <v>18</v>
      </c>
      <c r="C65" s="10" t="s">
        <v>135</v>
      </c>
      <c r="D65" s="10"/>
      <c r="E65" s="10"/>
      <c r="F65" s="10"/>
      <c r="G65" s="10"/>
      <c r="H65" s="46" t="s">
        <v>86</v>
      </c>
    </row>
    <row r="66" spans="2:8" x14ac:dyDescent="0.25">
      <c r="B66" s="10" t="s">
        <v>18</v>
      </c>
      <c r="C66" s="10" t="s">
        <v>136</v>
      </c>
      <c r="D66" s="10"/>
      <c r="E66" s="10"/>
      <c r="F66" s="10"/>
      <c r="G66" s="10"/>
      <c r="H66" s="46" t="s">
        <v>86</v>
      </c>
    </row>
    <row r="67" spans="2:8" x14ac:dyDescent="0.25">
      <c r="B67" s="10" t="s">
        <v>18</v>
      </c>
      <c r="C67" s="10" t="s">
        <v>137</v>
      </c>
      <c r="D67" s="10"/>
      <c r="E67" s="10"/>
      <c r="F67" s="10"/>
      <c r="G67" s="10"/>
      <c r="H67" s="46" t="s">
        <v>86</v>
      </c>
    </row>
    <row r="68" spans="2:8" x14ac:dyDescent="0.25">
      <c r="B68" s="10" t="s">
        <v>18</v>
      </c>
      <c r="C68" s="10" t="s">
        <v>138</v>
      </c>
      <c r="D68" s="10"/>
      <c r="E68" s="10"/>
      <c r="F68" s="10"/>
      <c r="G68" s="10"/>
      <c r="H68" s="46" t="s">
        <v>86</v>
      </c>
    </row>
    <row r="69" spans="2:8" x14ac:dyDescent="0.25">
      <c r="B69" s="10" t="s">
        <v>18</v>
      </c>
      <c r="C69" s="10" t="s">
        <v>139</v>
      </c>
      <c r="D69" s="10"/>
      <c r="E69" s="10"/>
      <c r="F69" s="10"/>
      <c r="G69" s="10"/>
      <c r="H69" s="46" t="s">
        <v>86</v>
      </c>
    </row>
    <row r="70" spans="2:8" x14ac:dyDescent="0.25">
      <c r="B70" s="10" t="s">
        <v>18</v>
      </c>
      <c r="C70" s="10" t="s">
        <v>140</v>
      </c>
      <c r="D70" s="10"/>
      <c r="E70" s="10"/>
      <c r="F70" s="10"/>
      <c r="G70" s="10"/>
      <c r="H70" s="46" t="s">
        <v>86</v>
      </c>
    </row>
    <row r="71" spans="2:8" x14ac:dyDescent="0.25">
      <c r="B71" s="10" t="s">
        <v>18</v>
      </c>
      <c r="C71" s="10" t="s">
        <v>141</v>
      </c>
      <c r="D71" s="10"/>
      <c r="E71" s="10"/>
      <c r="F71" s="10"/>
      <c r="G71" s="10"/>
      <c r="H71" s="46" t="s">
        <v>86</v>
      </c>
    </row>
    <row r="72" spans="2:8" x14ac:dyDescent="0.25">
      <c r="B72" s="10" t="s">
        <v>18</v>
      </c>
      <c r="C72" s="10" t="s">
        <v>142</v>
      </c>
      <c r="D72" s="10"/>
      <c r="E72" s="10"/>
      <c r="F72" s="10"/>
      <c r="G72" s="10"/>
      <c r="H72" s="46" t="s">
        <v>86</v>
      </c>
    </row>
    <row r="73" spans="2:8" x14ac:dyDescent="0.25">
      <c r="B73" s="10" t="s">
        <v>18</v>
      </c>
      <c r="C73" s="10" t="s">
        <v>143</v>
      </c>
      <c r="D73" s="10"/>
      <c r="E73" s="10"/>
      <c r="F73" s="10"/>
      <c r="G73" s="10"/>
      <c r="H73" s="46" t="s">
        <v>86</v>
      </c>
    </row>
    <row r="74" spans="2:8" x14ac:dyDescent="0.25">
      <c r="B74" s="10" t="s">
        <v>18</v>
      </c>
      <c r="C74" s="10" t="s">
        <v>144</v>
      </c>
      <c r="D74" s="10"/>
      <c r="E74" s="10"/>
      <c r="F74" s="10"/>
      <c r="G74" s="10"/>
      <c r="H74" s="46" t="s">
        <v>86</v>
      </c>
    </row>
    <row r="75" spans="2:8" x14ac:dyDescent="0.25">
      <c r="B75" s="10" t="s">
        <v>18</v>
      </c>
      <c r="C75" s="10" t="s">
        <v>145</v>
      </c>
      <c r="D75" s="10"/>
      <c r="E75" s="10"/>
      <c r="F75" s="10"/>
      <c r="G75" s="10"/>
      <c r="H75" s="46" t="s">
        <v>86</v>
      </c>
    </row>
    <row r="76" spans="2:8" x14ac:dyDescent="0.25">
      <c r="B76" s="10" t="s">
        <v>18</v>
      </c>
      <c r="C76" s="10" t="s">
        <v>146</v>
      </c>
      <c r="D76" s="10"/>
      <c r="E76" s="10"/>
      <c r="F76" s="10"/>
      <c r="G76" s="10"/>
      <c r="H76" s="46" t="s">
        <v>86</v>
      </c>
    </row>
    <row r="77" spans="2:8" x14ac:dyDescent="0.25">
      <c r="B77" s="10" t="s">
        <v>18</v>
      </c>
      <c r="C77" s="10" t="s">
        <v>147</v>
      </c>
      <c r="D77" s="10"/>
      <c r="E77" s="10"/>
      <c r="F77" s="10"/>
      <c r="G77" s="10"/>
      <c r="H77" s="46" t="s">
        <v>86</v>
      </c>
    </row>
    <row r="78" spans="2:8" x14ac:dyDescent="0.25">
      <c r="B78" s="10" t="s">
        <v>18</v>
      </c>
      <c r="C78" s="10" t="s">
        <v>148</v>
      </c>
      <c r="D78" s="10"/>
      <c r="E78" s="10"/>
      <c r="F78" s="10"/>
      <c r="G78" s="10"/>
      <c r="H78" s="46" t="s">
        <v>86</v>
      </c>
    </row>
    <row r="79" spans="2:8" x14ac:dyDescent="0.25">
      <c r="B79" s="10" t="s">
        <v>18</v>
      </c>
      <c r="C79" s="10" t="s">
        <v>149</v>
      </c>
      <c r="D79" s="10"/>
      <c r="E79" s="10"/>
      <c r="F79" s="10"/>
      <c r="G79" s="10"/>
      <c r="H79" s="46" t="s">
        <v>86</v>
      </c>
    </row>
    <row r="80" spans="2:8" x14ac:dyDescent="0.25">
      <c r="B80" s="10" t="s">
        <v>150</v>
      </c>
      <c r="C80" s="10" t="s">
        <v>151</v>
      </c>
      <c r="D80" s="10"/>
      <c r="E80" s="10"/>
      <c r="F80" s="10"/>
      <c r="G80" s="10"/>
      <c r="H80" s="46" t="s">
        <v>86</v>
      </c>
    </row>
    <row r="81" spans="2:8" x14ac:dyDescent="0.25">
      <c r="B81" s="10" t="s">
        <v>150</v>
      </c>
      <c r="C81" s="10" t="s">
        <v>152</v>
      </c>
      <c r="D81" s="10"/>
      <c r="E81" s="10"/>
      <c r="F81" s="10"/>
      <c r="G81" s="10"/>
      <c r="H81" s="46" t="s">
        <v>86</v>
      </c>
    </row>
    <row r="82" spans="2:8" x14ac:dyDescent="0.25">
      <c r="B82" s="10" t="s">
        <v>150</v>
      </c>
      <c r="C82" s="10" t="s">
        <v>153</v>
      </c>
      <c r="D82" s="10"/>
      <c r="E82" s="10"/>
      <c r="F82" s="10"/>
      <c r="G82" s="10"/>
      <c r="H82" s="46" t="s">
        <v>86</v>
      </c>
    </row>
    <row r="83" spans="2:8" x14ac:dyDescent="0.25">
      <c r="B83" s="10" t="s">
        <v>150</v>
      </c>
      <c r="C83" s="10" t="s">
        <v>154</v>
      </c>
      <c r="D83" s="10"/>
      <c r="E83" s="10"/>
      <c r="F83" s="10"/>
      <c r="G83" s="10"/>
      <c r="H83" s="46" t="s">
        <v>86</v>
      </c>
    </row>
    <row r="84" spans="2:8" x14ac:dyDescent="0.25">
      <c r="B84" s="10" t="s">
        <v>150</v>
      </c>
      <c r="C84" s="10" t="s">
        <v>155</v>
      </c>
      <c r="D84" s="10"/>
      <c r="E84" s="10"/>
      <c r="F84" s="10"/>
      <c r="G84" s="10"/>
      <c r="H84" s="46" t="s">
        <v>86</v>
      </c>
    </row>
    <row r="85" spans="2:8" x14ac:dyDescent="0.25">
      <c r="B85" s="10" t="s">
        <v>150</v>
      </c>
      <c r="C85" s="10" t="s">
        <v>156</v>
      </c>
      <c r="D85" s="10"/>
      <c r="E85" s="10"/>
      <c r="F85" s="10"/>
      <c r="G85" s="10"/>
      <c r="H85" s="46" t="s">
        <v>157</v>
      </c>
    </row>
    <row r="86" spans="2:8" x14ac:dyDescent="0.25">
      <c r="B86" s="10" t="s">
        <v>150</v>
      </c>
      <c r="C86" s="10" t="s">
        <v>158</v>
      </c>
      <c r="D86" s="10"/>
      <c r="E86" s="10"/>
      <c r="F86" s="10"/>
      <c r="G86" s="10"/>
      <c r="H86" s="46" t="s">
        <v>157</v>
      </c>
    </row>
    <row r="87" spans="2:8" x14ac:dyDescent="0.25">
      <c r="B87" s="10" t="s">
        <v>150</v>
      </c>
      <c r="C87" s="10" t="s">
        <v>159</v>
      </c>
      <c r="D87" s="10"/>
      <c r="E87" s="10"/>
      <c r="F87" s="10"/>
      <c r="G87" s="10"/>
      <c r="H87" s="46" t="s">
        <v>86</v>
      </c>
    </row>
    <row r="88" spans="2:8" x14ac:dyDescent="0.25">
      <c r="B88" s="10" t="s">
        <v>150</v>
      </c>
      <c r="C88" s="10" t="s">
        <v>160</v>
      </c>
      <c r="D88" s="10"/>
      <c r="E88" s="10"/>
      <c r="F88" s="10"/>
      <c r="G88" s="10"/>
      <c r="H88" s="46" t="s">
        <v>86</v>
      </c>
    </row>
    <row r="89" spans="2:8" x14ac:dyDescent="0.25">
      <c r="B89" s="10" t="s">
        <v>161</v>
      </c>
      <c r="C89" s="10" t="s">
        <v>162</v>
      </c>
      <c r="D89" s="10"/>
      <c r="E89" s="10"/>
      <c r="F89" s="10"/>
      <c r="G89" s="10"/>
      <c r="H89" s="46" t="s">
        <v>157</v>
      </c>
    </row>
    <row r="90" spans="2:8" x14ac:dyDescent="0.25">
      <c r="B90" s="10" t="s">
        <v>161</v>
      </c>
      <c r="C90" s="10" t="s">
        <v>163</v>
      </c>
      <c r="D90" s="10"/>
      <c r="E90" s="10"/>
      <c r="F90" s="10"/>
      <c r="G90" s="10"/>
      <c r="H90" s="46" t="s">
        <v>86</v>
      </c>
    </row>
    <row r="91" spans="2:8" x14ac:dyDescent="0.25">
      <c r="B91" s="10" t="s">
        <v>161</v>
      </c>
      <c r="C91" s="10" t="s">
        <v>164</v>
      </c>
      <c r="D91" s="10"/>
      <c r="E91" s="10"/>
      <c r="F91" s="10"/>
      <c r="G91" s="10"/>
      <c r="H91" s="46" t="s">
        <v>86</v>
      </c>
    </row>
    <row r="92" spans="2:8" x14ac:dyDescent="0.25">
      <c r="B92" s="10" t="s">
        <v>161</v>
      </c>
      <c r="C92" s="10" t="s">
        <v>165</v>
      </c>
      <c r="D92" s="10"/>
      <c r="E92" s="10"/>
      <c r="F92" s="10"/>
      <c r="G92" s="10"/>
      <c r="H92" s="46" t="s">
        <v>86</v>
      </c>
    </row>
    <row r="93" spans="2:8" x14ac:dyDescent="0.25">
      <c r="B93" s="10" t="s">
        <v>166</v>
      </c>
      <c r="C93" s="10" t="s">
        <v>167</v>
      </c>
      <c r="D93" s="10"/>
      <c r="E93" s="10"/>
      <c r="F93" s="10"/>
      <c r="G93" s="10"/>
      <c r="H93" s="46" t="s">
        <v>86</v>
      </c>
    </row>
    <row r="94" spans="2:8" x14ac:dyDescent="0.25">
      <c r="B94" s="10" t="s">
        <v>166</v>
      </c>
      <c r="C94" s="10" t="s">
        <v>168</v>
      </c>
      <c r="D94" s="10"/>
      <c r="E94" s="10"/>
      <c r="F94" s="10"/>
      <c r="G94" s="10"/>
      <c r="H94" s="46" t="s">
        <v>86</v>
      </c>
    </row>
    <row r="95" spans="2:8" x14ac:dyDescent="0.25">
      <c r="B95" s="10" t="s">
        <v>166</v>
      </c>
      <c r="C95" s="10" t="s">
        <v>169</v>
      </c>
      <c r="D95" s="10"/>
      <c r="E95" s="10"/>
      <c r="F95" s="10"/>
      <c r="G95" s="10"/>
      <c r="H95" s="46" t="s">
        <v>86</v>
      </c>
    </row>
    <row r="96" spans="2:8" x14ac:dyDescent="0.25">
      <c r="B96" s="10" t="s">
        <v>166</v>
      </c>
      <c r="C96" s="10" t="s">
        <v>170</v>
      </c>
      <c r="D96" s="10"/>
      <c r="E96" s="10"/>
      <c r="F96" s="10"/>
      <c r="G96" s="10"/>
      <c r="H96" s="46" t="s">
        <v>157</v>
      </c>
    </row>
    <row r="97" spans="2:8" x14ac:dyDescent="0.25">
      <c r="B97" s="10" t="s">
        <v>171</v>
      </c>
      <c r="C97" s="10" t="s">
        <v>172</v>
      </c>
      <c r="D97" s="10"/>
      <c r="E97" s="10"/>
      <c r="F97" s="10"/>
      <c r="G97" s="10"/>
      <c r="H97" s="46" t="s">
        <v>86</v>
      </c>
    </row>
    <row r="98" spans="2:8" x14ac:dyDescent="0.25">
      <c r="B98" s="10" t="s">
        <v>171</v>
      </c>
      <c r="C98" s="10" t="s">
        <v>173</v>
      </c>
      <c r="D98" s="10"/>
      <c r="E98" s="10"/>
      <c r="F98" s="10"/>
      <c r="G98" s="10"/>
      <c r="H98" s="46" t="s">
        <v>86</v>
      </c>
    </row>
    <row r="99" spans="2:8" x14ac:dyDescent="0.25">
      <c r="B99" s="10" t="s">
        <v>171</v>
      </c>
      <c r="C99" s="10" t="s">
        <v>174</v>
      </c>
      <c r="D99" s="10"/>
      <c r="E99" s="10"/>
      <c r="F99" s="10"/>
      <c r="G99" s="10"/>
      <c r="H99" s="46" t="s">
        <v>86</v>
      </c>
    </row>
    <row r="100" spans="2:8" x14ac:dyDescent="0.25">
      <c r="B100" s="10" t="s">
        <v>171</v>
      </c>
      <c r="C100" s="10" t="s">
        <v>175</v>
      </c>
      <c r="D100" s="10"/>
      <c r="E100" s="10"/>
      <c r="F100" s="10"/>
      <c r="G100" s="10"/>
      <c r="H100" s="46" t="s">
        <v>86</v>
      </c>
    </row>
    <row r="101" spans="2:8" x14ac:dyDescent="0.25">
      <c r="B101" s="10" t="s">
        <v>171</v>
      </c>
      <c r="C101" s="10" t="s">
        <v>176</v>
      </c>
      <c r="D101" s="10"/>
      <c r="E101" s="10"/>
      <c r="F101" s="10"/>
      <c r="G101" s="10"/>
      <c r="H101" s="46" t="s">
        <v>86</v>
      </c>
    </row>
    <row r="102" spans="2:8" x14ac:dyDescent="0.25">
      <c r="B102" s="10" t="s">
        <v>177</v>
      </c>
      <c r="C102" s="10" t="s">
        <v>178</v>
      </c>
      <c r="D102" s="10"/>
      <c r="E102" s="10"/>
      <c r="F102" s="10"/>
      <c r="G102" s="10"/>
      <c r="H102" s="46" t="s">
        <v>86</v>
      </c>
    </row>
    <row r="103" spans="2:8" x14ac:dyDescent="0.25">
      <c r="B103" s="10" t="s">
        <v>177</v>
      </c>
      <c r="C103" s="10" t="s">
        <v>179</v>
      </c>
      <c r="D103" s="10"/>
      <c r="E103" s="10"/>
      <c r="F103" s="10"/>
      <c r="G103" s="10"/>
      <c r="H103" s="46" t="s">
        <v>86</v>
      </c>
    </row>
    <row r="104" spans="2:8" x14ac:dyDescent="0.25">
      <c r="B104" s="10" t="s">
        <v>180</v>
      </c>
      <c r="C104" s="10" t="s">
        <v>181</v>
      </c>
      <c r="D104" s="10"/>
      <c r="E104" s="10"/>
      <c r="F104" s="10"/>
      <c r="G104" s="10"/>
      <c r="H104" s="46" t="s">
        <v>86</v>
      </c>
    </row>
    <row r="105" spans="2:8" x14ac:dyDescent="0.25">
      <c r="B105" s="10" t="s">
        <v>182</v>
      </c>
      <c r="C105" s="10" t="s">
        <v>183</v>
      </c>
      <c r="D105" s="10"/>
      <c r="E105" s="10"/>
      <c r="F105" s="10"/>
      <c r="G105" s="10"/>
      <c r="H105" s="46" t="s">
        <v>86</v>
      </c>
    </row>
    <row r="106" spans="2:8" x14ac:dyDescent="0.25">
      <c r="B106" s="10" t="s">
        <v>182</v>
      </c>
      <c r="C106" s="10" t="s">
        <v>184</v>
      </c>
      <c r="D106" s="10"/>
      <c r="E106" s="10"/>
      <c r="F106" s="10"/>
      <c r="G106" s="10"/>
      <c r="H106" s="46" t="s">
        <v>86</v>
      </c>
    </row>
    <row r="107" spans="2:8" x14ac:dyDescent="0.25">
      <c r="B107" s="10" t="s">
        <v>182</v>
      </c>
      <c r="C107" s="10" t="s">
        <v>185</v>
      </c>
      <c r="D107" s="10"/>
      <c r="E107" s="10"/>
      <c r="F107" s="10"/>
      <c r="G107" s="10"/>
      <c r="H107" s="46" t="s">
        <v>86</v>
      </c>
    </row>
    <row r="108" spans="2:8" x14ac:dyDescent="0.25">
      <c r="B108" s="10" t="s">
        <v>182</v>
      </c>
      <c r="C108" s="10" t="s">
        <v>186</v>
      </c>
      <c r="D108" s="10"/>
      <c r="E108" s="10"/>
      <c r="F108" s="10"/>
      <c r="G108" s="10"/>
      <c r="H108" s="46" t="s">
        <v>86</v>
      </c>
    </row>
    <row r="109" spans="2:8" x14ac:dyDescent="0.25">
      <c r="B109" s="10" t="s">
        <v>182</v>
      </c>
      <c r="C109" s="10" t="s">
        <v>187</v>
      </c>
      <c r="D109" s="10"/>
      <c r="E109" s="10"/>
      <c r="F109" s="10"/>
      <c r="G109" s="10"/>
      <c r="H109" s="46" t="s">
        <v>86</v>
      </c>
    </row>
    <row r="110" spans="2:8" x14ac:dyDescent="0.25">
      <c r="B110" s="10" t="s">
        <v>182</v>
      </c>
      <c r="C110" s="10" t="s">
        <v>188</v>
      </c>
      <c r="D110" s="10"/>
      <c r="E110" s="10"/>
      <c r="F110" s="10"/>
      <c r="G110" s="10"/>
      <c r="H110" s="46" t="s">
        <v>86</v>
      </c>
    </row>
    <row r="111" spans="2:8" x14ac:dyDescent="0.25">
      <c r="B111" s="10" t="s">
        <v>182</v>
      </c>
      <c r="C111" s="10" t="s">
        <v>189</v>
      </c>
      <c r="D111" s="10"/>
      <c r="E111" s="10"/>
      <c r="F111" s="10"/>
      <c r="G111" s="10"/>
      <c r="H111" s="46" t="s">
        <v>86</v>
      </c>
    </row>
    <row r="112" spans="2:8" x14ac:dyDescent="0.25">
      <c r="B112" s="10" t="s">
        <v>182</v>
      </c>
      <c r="C112" s="10" t="s">
        <v>190</v>
      </c>
      <c r="D112" s="10"/>
      <c r="E112" s="10"/>
      <c r="F112" s="10"/>
      <c r="G112" s="10"/>
      <c r="H112" s="46" t="s">
        <v>86</v>
      </c>
    </row>
    <row r="113" spans="2:8" x14ac:dyDescent="0.25">
      <c r="B113" s="10" t="s">
        <v>182</v>
      </c>
      <c r="C113" s="10" t="s">
        <v>191</v>
      </c>
      <c r="D113" s="10"/>
      <c r="E113" s="10"/>
      <c r="F113" s="10"/>
      <c r="G113" s="10"/>
      <c r="H113" s="46" t="s">
        <v>86</v>
      </c>
    </row>
    <row r="114" spans="2:8" x14ac:dyDescent="0.25">
      <c r="B114" s="10" t="s">
        <v>182</v>
      </c>
      <c r="C114" s="10" t="s">
        <v>192</v>
      </c>
      <c r="D114" s="10"/>
      <c r="E114" s="10"/>
      <c r="F114" s="10"/>
      <c r="G114" s="10"/>
      <c r="H114" s="46" t="s">
        <v>86</v>
      </c>
    </row>
    <row r="115" spans="2:8" x14ac:dyDescent="0.25">
      <c r="B115" s="10" t="s">
        <v>20</v>
      </c>
      <c r="C115" s="10" t="s">
        <v>193</v>
      </c>
      <c r="D115" s="10"/>
      <c r="E115" s="10"/>
      <c r="F115" s="10"/>
      <c r="G115" s="10"/>
      <c r="H115" s="46" t="s">
        <v>86</v>
      </c>
    </row>
    <row r="116" spans="2:8" x14ac:dyDescent="0.25">
      <c r="B116" s="10" t="s">
        <v>20</v>
      </c>
      <c r="C116" s="10" t="s">
        <v>194</v>
      </c>
      <c r="D116" s="10"/>
      <c r="E116" s="10"/>
      <c r="F116" s="10"/>
      <c r="G116" s="10"/>
      <c r="H116" s="46" t="s">
        <v>86</v>
      </c>
    </row>
    <row r="117" spans="2:8" x14ac:dyDescent="0.25">
      <c r="B117" s="10" t="s">
        <v>20</v>
      </c>
      <c r="C117" s="10" t="s">
        <v>195</v>
      </c>
      <c r="D117" s="10"/>
      <c r="E117" s="10"/>
      <c r="F117" s="10"/>
      <c r="G117" s="10"/>
      <c r="H117" s="46" t="s">
        <v>86</v>
      </c>
    </row>
    <row r="118" spans="2:8" x14ac:dyDescent="0.25">
      <c r="B118" s="10" t="s">
        <v>20</v>
      </c>
      <c r="C118" s="10" t="s">
        <v>196</v>
      </c>
      <c r="D118" s="10"/>
      <c r="E118" s="10"/>
      <c r="F118" s="10"/>
      <c r="G118" s="10"/>
      <c r="H118" s="46" t="s">
        <v>86</v>
      </c>
    </row>
    <row r="119" spans="2:8" x14ac:dyDescent="0.25">
      <c r="B119" s="10" t="s">
        <v>20</v>
      </c>
      <c r="C119" s="10" t="s">
        <v>197</v>
      </c>
      <c r="D119" s="10"/>
      <c r="E119" s="10"/>
      <c r="F119" s="10"/>
      <c r="G119" s="10"/>
      <c r="H119" s="46" t="s">
        <v>86</v>
      </c>
    </row>
    <row r="120" spans="2:8" x14ac:dyDescent="0.25">
      <c r="B120" s="10" t="s">
        <v>20</v>
      </c>
      <c r="C120" s="10" t="s">
        <v>198</v>
      </c>
      <c r="D120" s="10"/>
      <c r="E120" s="10"/>
      <c r="F120" s="10"/>
      <c r="G120" s="10"/>
      <c r="H120" s="46" t="s">
        <v>86</v>
      </c>
    </row>
    <row r="121" spans="2:8" x14ac:dyDescent="0.25">
      <c r="B121" s="10" t="s">
        <v>20</v>
      </c>
      <c r="C121" s="10" t="s">
        <v>199</v>
      </c>
      <c r="D121" s="10"/>
      <c r="E121" s="10"/>
      <c r="F121" s="10"/>
      <c r="G121" s="10"/>
      <c r="H121" s="46" t="s">
        <v>86</v>
      </c>
    </row>
    <row r="122" spans="2:8" x14ac:dyDescent="0.25">
      <c r="B122" s="10" t="s">
        <v>200</v>
      </c>
      <c r="C122" s="10" t="s">
        <v>201</v>
      </c>
      <c r="D122" s="10"/>
      <c r="E122" s="10"/>
      <c r="F122" s="10"/>
      <c r="G122" s="10"/>
      <c r="H122" s="46" t="s">
        <v>86</v>
      </c>
    </row>
    <row r="123" spans="2:8" x14ac:dyDescent="0.25">
      <c r="B123" s="10" t="s">
        <v>200</v>
      </c>
      <c r="C123" s="10" t="s">
        <v>202</v>
      </c>
      <c r="D123" s="10"/>
      <c r="E123" s="10"/>
      <c r="F123" s="10"/>
      <c r="G123" s="10"/>
      <c r="H123" s="46" t="s">
        <v>86</v>
      </c>
    </row>
    <row r="124" spans="2:8" x14ac:dyDescent="0.25">
      <c r="B124" s="10" t="s">
        <v>200</v>
      </c>
      <c r="C124" s="10" t="s">
        <v>203</v>
      </c>
      <c r="D124" s="10"/>
      <c r="E124" s="10"/>
      <c r="F124" s="10"/>
      <c r="G124" s="10"/>
      <c r="H124" s="46" t="s">
        <v>86</v>
      </c>
    </row>
    <row r="125" spans="2:8" x14ac:dyDescent="0.25">
      <c r="B125" s="10" t="s">
        <v>200</v>
      </c>
      <c r="C125" s="10" t="s">
        <v>204</v>
      </c>
      <c r="D125" s="10"/>
      <c r="E125" s="10"/>
      <c r="F125" s="10"/>
      <c r="G125" s="10"/>
      <c r="H125" s="46" t="s">
        <v>86</v>
      </c>
    </row>
    <row r="126" spans="2:8" x14ac:dyDescent="0.25">
      <c r="B126" s="10" t="s">
        <v>200</v>
      </c>
      <c r="C126" s="10" t="s">
        <v>205</v>
      </c>
      <c r="D126" s="10"/>
      <c r="E126" s="10"/>
      <c r="F126" s="10"/>
      <c r="G126" s="10"/>
      <c r="H126" s="46" t="s">
        <v>157</v>
      </c>
    </row>
    <row r="127" spans="2:8" x14ac:dyDescent="0.25">
      <c r="B127" s="10" t="s">
        <v>200</v>
      </c>
      <c r="C127" s="10" t="s">
        <v>206</v>
      </c>
      <c r="D127" s="10"/>
      <c r="E127" s="10"/>
      <c r="F127" s="10"/>
      <c r="G127" s="10"/>
      <c r="H127" s="46" t="s">
        <v>86</v>
      </c>
    </row>
    <row r="128" spans="2:8" x14ac:dyDescent="0.25">
      <c r="B128" s="10" t="s">
        <v>200</v>
      </c>
      <c r="C128" s="10" t="s">
        <v>207</v>
      </c>
      <c r="D128" s="10"/>
      <c r="E128" s="10"/>
      <c r="F128" s="10"/>
      <c r="G128" s="10"/>
      <c r="H128" s="46" t="s">
        <v>86</v>
      </c>
    </row>
    <row r="129" spans="2:9" x14ac:dyDescent="0.25">
      <c r="B129" s="10" t="s">
        <v>200</v>
      </c>
      <c r="C129" s="10" t="s">
        <v>208</v>
      </c>
      <c r="D129" s="10"/>
      <c r="E129" s="10"/>
      <c r="F129" s="10"/>
      <c r="G129" s="10"/>
      <c r="H129" s="46" t="s">
        <v>157</v>
      </c>
    </row>
    <row r="130" spans="2:9" x14ac:dyDescent="0.25">
      <c r="B130" s="10" t="s">
        <v>200</v>
      </c>
      <c r="C130" s="10" t="s">
        <v>209</v>
      </c>
      <c r="D130" s="10"/>
      <c r="E130" s="10"/>
      <c r="F130" s="10"/>
      <c r="G130" s="10"/>
      <c r="H130" s="46" t="s">
        <v>86</v>
      </c>
    </row>
    <row r="131" spans="2:9" x14ac:dyDescent="0.25">
      <c r="B131" s="10" t="s">
        <v>200</v>
      </c>
      <c r="C131" s="10" t="s">
        <v>210</v>
      </c>
      <c r="D131" s="10"/>
      <c r="E131" s="10"/>
      <c r="F131" s="10"/>
      <c r="G131" s="10"/>
      <c r="H131" s="46" t="s">
        <v>157</v>
      </c>
    </row>
    <row r="132" spans="2:9" x14ac:dyDescent="0.25">
      <c r="B132" s="10" t="s">
        <v>200</v>
      </c>
      <c r="C132" s="10" t="s">
        <v>211</v>
      </c>
      <c r="D132" s="10"/>
      <c r="E132" s="10"/>
      <c r="F132" s="10"/>
      <c r="G132" s="10"/>
      <c r="H132" s="46" t="s">
        <v>86</v>
      </c>
    </row>
    <row r="133" spans="2:9" x14ac:dyDescent="0.25">
      <c r="B133" s="10" t="s">
        <v>200</v>
      </c>
      <c r="C133" s="10" t="s">
        <v>212</v>
      </c>
      <c r="D133" s="10"/>
      <c r="E133" s="10"/>
      <c r="F133" s="10"/>
      <c r="G133" s="10"/>
      <c r="H133" s="46" t="s">
        <v>86</v>
      </c>
      <c r="I133" s="46"/>
    </row>
    <row r="134" spans="2:9" x14ac:dyDescent="0.25">
      <c r="B134" s="10" t="s">
        <v>200</v>
      </c>
      <c r="C134" s="10" t="s">
        <v>213</v>
      </c>
      <c r="D134" s="10"/>
      <c r="E134" s="10"/>
      <c r="F134" s="10"/>
      <c r="G134" s="10"/>
      <c r="H134" s="46" t="s">
        <v>157</v>
      </c>
    </row>
    <row r="135" spans="2:9" x14ac:dyDescent="0.25">
      <c r="B135" s="10" t="s">
        <v>200</v>
      </c>
      <c r="C135" s="10" t="s">
        <v>214</v>
      </c>
      <c r="D135" s="10"/>
      <c r="E135" s="10"/>
      <c r="F135" s="10"/>
      <c r="G135" s="10"/>
      <c r="H135" s="46" t="s">
        <v>86</v>
      </c>
      <c r="I135" s="46"/>
    </row>
    <row r="136" spans="2:9" x14ac:dyDescent="0.25">
      <c r="B136" s="10" t="s">
        <v>200</v>
      </c>
      <c r="C136" s="10" t="s">
        <v>215</v>
      </c>
      <c r="D136" s="10"/>
      <c r="E136" s="10"/>
      <c r="F136" s="10"/>
      <c r="G136" s="10"/>
      <c r="H136" s="46" t="s">
        <v>86</v>
      </c>
    </row>
    <row r="137" spans="2:9" x14ac:dyDescent="0.25">
      <c r="B137" s="10" t="s">
        <v>200</v>
      </c>
      <c r="C137" s="10" t="s">
        <v>216</v>
      </c>
      <c r="D137" s="10"/>
      <c r="E137" s="10"/>
      <c r="F137" s="10"/>
      <c r="G137" s="10"/>
      <c r="H137" s="46" t="s">
        <v>86</v>
      </c>
    </row>
    <row r="138" spans="2:9" x14ac:dyDescent="0.25">
      <c r="B138" s="10" t="s">
        <v>217</v>
      </c>
      <c r="C138" s="10" t="s">
        <v>218</v>
      </c>
      <c r="D138" s="10"/>
      <c r="E138" s="10"/>
      <c r="F138" s="10"/>
      <c r="G138" s="10"/>
      <c r="H138" s="46" t="s">
        <v>157</v>
      </c>
    </row>
    <row r="139" spans="2:9" x14ac:dyDescent="0.25">
      <c r="B139" s="10" t="s">
        <v>217</v>
      </c>
      <c r="C139" s="10" t="s">
        <v>219</v>
      </c>
      <c r="D139" s="10"/>
      <c r="E139" s="10"/>
      <c r="F139" s="10"/>
      <c r="G139" s="10"/>
      <c r="H139" s="46" t="s">
        <v>86</v>
      </c>
    </row>
    <row r="140" spans="2:9" x14ac:dyDescent="0.25">
      <c r="B140" s="10" t="s">
        <v>220</v>
      </c>
      <c r="C140" s="10" t="s">
        <v>221</v>
      </c>
      <c r="D140" s="10"/>
      <c r="E140" s="10"/>
      <c r="F140" s="10"/>
      <c r="G140" s="10"/>
      <c r="H140" s="46" t="s">
        <v>157</v>
      </c>
    </row>
    <row r="141" spans="2:9" x14ac:dyDescent="0.25">
      <c r="B141" s="10" t="s">
        <v>220</v>
      </c>
      <c r="C141" s="10" t="s">
        <v>222</v>
      </c>
      <c r="D141" s="10"/>
      <c r="E141" s="10"/>
      <c r="F141" s="10"/>
      <c r="G141" s="10"/>
      <c r="H141" s="46" t="s">
        <v>157</v>
      </c>
    </row>
    <row r="142" spans="2:9" x14ac:dyDescent="0.25">
      <c r="B142" s="10" t="s">
        <v>220</v>
      </c>
      <c r="C142" s="10" t="s">
        <v>223</v>
      </c>
      <c r="D142" s="10"/>
      <c r="E142" s="10"/>
      <c r="F142" s="10"/>
      <c r="G142" s="10"/>
      <c r="H142" s="46" t="s">
        <v>157</v>
      </c>
    </row>
    <row r="143" spans="2:9" x14ac:dyDescent="0.25">
      <c r="B143" s="10" t="s">
        <v>220</v>
      </c>
      <c r="C143" s="10" t="s">
        <v>224</v>
      </c>
      <c r="D143" s="10"/>
      <c r="E143" s="10"/>
      <c r="F143" s="10"/>
      <c r="G143" s="10"/>
      <c r="H143" s="46" t="s">
        <v>86</v>
      </c>
    </row>
    <row r="144" spans="2:9" x14ac:dyDescent="0.25">
      <c r="B144" s="10" t="s">
        <v>220</v>
      </c>
      <c r="C144" s="10" t="s">
        <v>225</v>
      </c>
      <c r="D144" s="10"/>
      <c r="E144" s="10"/>
      <c r="F144" s="10"/>
      <c r="G144" s="10"/>
      <c r="H144" s="46" t="s">
        <v>157</v>
      </c>
    </row>
    <row r="145" spans="2:8" x14ac:dyDescent="0.25">
      <c r="B145" s="10" t="s">
        <v>220</v>
      </c>
      <c r="C145" s="10" t="s">
        <v>226</v>
      </c>
      <c r="D145" s="10"/>
      <c r="E145" s="10"/>
      <c r="F145" s="10"/>
      <c r="G145" s="10"/>
      <c r="H145" s="46" t="s">
        <v>157</v>
      </c>
    </row>
    <row r="146" spans="2:8" x14ac:dyDescent="0.25">
      <c r="B146" s="10" t="s">
        <v>220</v>
      </c>
      <c r="C146" s="10" t="s">
        <v>227</v>
      </c>
      <c r="D146" s="10"/>
      <c r="E146" s="10"/>
      <c r="F146" s="10"/>
      <c r="G146" s="10"/>
      <c r="H146" s="46" t="s">
        <v>157</v>
      </c>
    </row>
    <row r="147" spans="2:8" x14ac:dyDescent="0.25">
      <c r="B147" s="10" t="s">
        <v>220</v>
      </c>
      <c r="C147" s="10" t="s">
        <v>228</v>
      </c>
      <c r="D147" s="10"/>
      <c r="E147" s="10"/>
      <c r="F147" s="10"/>
      <c r="G147" s="10"/>
      <c r="H147" s="46" t="s">
        <v>157</v>
      </c>
    </row>
    <row r="148" spans="2:8" x14ac:dyDescent="0.25">
      <c r="B148" s="10" t="s">
        <v>220</v>
      </c>
      <c r="C148" s="10" t="s">
        <v>229</v>
      </c>
      <c r="D148" s="10"/>
      <c r="E148" s="10"/>
      <c r="F148" s="10"/>
      <c r="G148" s="10"/>
      <c r="H148" s="46" t="s">
        <v>157</v>
      </c>
    </row>
    <row r="149" spans="2:8" x14ac:dyDescent="0.25">
      <c r="B149" s="10" t="s">
        <v>220</v>
      </c>
      <c r="C149" s="10" t="s">
        <v>230</v>
      </c>
      <c r="D149" s="10"/>
      <c r="E149" s="10"/>
      <c r="F149" s="10"/>
      <c r="G149" s="10"/>
      <c r="H149" s="46" t="s">
        <v>157</v>
      </c>
    </row>
    <row r="150" spans="2:8" x14ac:dyDescent="0.25">
      <c r="B150" s="10" t="s">
        <v>231</v>
      </c>
      <c r="C150" s="10" t="s">
        <v>232</v>
      </c>
      <c r="D150" s="10"/>
      <c r="E150" s="10"/>
      <c r="F150" s="10"/>
      <c r="G150" s="10"/>
      <c r="H150" s="46" t="s">
        <v>90</v>
      </c>
    </row>
    <row r="151" spans="2:8" x14ac:dyDescent="0.25">
      <c r="B151" s="10" t="s">
        <v>231</v>
      </c>
      <c r="C151" s="10" t="s">
        <v>233</v>
      </c>
      <c r="D151" s="10"/>
      <c r="E151" s="10"/>
      <c r="F151" s="10"/>
      <c r="G151" s="10"/>
      <c r="H151" s="46" t="s">
        <v>90</v>
      </c>
    </row>
    <row r="152" spans="2:8" x14ac:dyDescent="0.25">
      <c r="B152" s="10" t="s">
        <v>231</v>
      </c>
      <c r="C152" s="10" t="s">
        <v>234</v>
      </c>
      <c r="D152" s="10"/>
      <c r="E152" s="10"/>
      <c r="F152" s="10"/>
      <c r="G152" s="10"/>
      <c r="H152" s="46" t="s">
        <v>90</v>
      </c>
    </row>
    <row r="153" spans="2:8" x14ac:dyDescent="0.25">
      <c r="B153" s="10" t="s">
        <v>231</v>
      </c>
      <c r="C153" s="10" t="s">
        <v>235</v>
      </c>
      <c r="D153" s="10"/>
      <c r="E153" s="10"/>
      <c r="F153" s="10"/>
      <c r="G153" s="10"/>
      <c r="H153" s="46" t="s">
        <v>90</v>
      </c>
    </row>
    <row r="154" spans="2:8" x14ac:dyDescent="0.25">
      <c r="B154" s="10" t="s">
        <v>231</v>
      </c>
      <c r="C154" s="10" t="s">
        <v>236</v>
      </c>
      <c r="D154" s="10"/>
      <c r="E154" s="10"/>
      <c r="F154" s="10"/>
      <c r="G154" s="10"/>
      <c r="H154" s="46" t="s">
        <v>90</v>
      </c>
    </row>
    <row r="155" spans="2:8" x14ac:dyDescent="0.25">
      <c r="B155" s="10" t="s">
        <v>231</v>
      </c>
      <c r="C155" s="10" t="s">
        <v>237</v>
      </c>
      <c r="D155" s="10"/>
      <c r="E155" s="10"/>
      <c r="F155" s="10"/>
      <c r="G155" s="10"/>
      <c r="H155" s="46" t="s">
        <v>90</v>
      </c>
    </row>
    <row r="156" spans="2:8" x14ac:dyDescent="0.25">
      <c r="B156" s="10" t="s">
        <v>231</v>
      </c>
      <c r="C156" s="10" t="s">
        <v>238</v>
      </c>
      <c r="D156" s="10"/>
      <c r="E156" s="10"/>
      <c r="F156" s="10"/>
      <c r="G156" s="10"/>
      <c r="H156" s="46" t="s">
        <v>90</v>
      </c>
    </row>
    <row r="157" spans="2:8" x14ac:dyDescent="0.25">
      <c r="B157" s="10" t="s">
        <v>239</v>
      </c>
      <c r="C157" s="10" t="s">
        <v>240</v>
      </c>
      <c r="D157" s="10"/>
      <c r="E157" s="10"/>
      <c r="F157" s="10"/>
      <c r="G157" s="10"/>
      <c r="H157" s="46" t="s">
        <v>90</v>
      </c>
    </row>
    <row r="158" spans="2:8" x14ac:dyDescent="0.25">
      <c r="B158" s="10" t="s">
        <v>239</v>
      </c>
      <c r="C158" s="10" t="s">
        <v>241</v>
      </c>
      <c r="D158" s="10"/>
      <c r="E158" s="10"/>
      <c r="F158" s="10"/>
      <c r="G158" s="10"/>
      <c r="H158" s="46" t="s">
        <v>90</v>
      </c>
    </row>
    <row r="159" spans="2:8" x14ac:dyDescent="0.25">
      <c r="B159" s="10" t="s">
        <v>242</v>
      </c>
      <c r="C159" s="10" t="s">
        <v>243</v>
      </c>
      <c r="D159" s="10"/>
      <c r="E159" s="10"/>
      <c r="F159" s="10"/>
      <c r="G159" s="10"/>
      <c r="H159" s="46" t="s">
        <v>86</v>
      </c>
    </row>
    <row r="160" spans="2:8" x14ac:dyDescent="0.25">
      <c r="B160" s="10" t="s">
        <v>242</v>
      </c>
      <c r="C160" s="10" t="s">
        <v>244</v>
      </c>
      <c r="D160" s="10"/>
      <c r="E160" s="10"/>
      <c r="F160" s="10"/>
      <c r="G160" s="10"/>
      <c r="H160" s="46" t="s">
        <v>86</v>
      </c>
    </row>
    <row r="161" spans="2:8" x14ac:dyDescent="0.25">
      <c r="B161" s="10" t="s">
        <v>242</v>
      </c>
      <c r="C161" s="10" t="s">
        <v>245</v>
      </c>
      <c r="D161" s="10"/>
      <c r="E161" s="10"/>
      <c r="F161" s="10"/>
      <c r="G161" s="10"/>
      <c r="H161" s="46" t="s">
        <v>157</v>
      </c>
    </row>
    <row r="162" spans="2:8" x14ac:dyDescent="0.25">
      <c r="B162" s="10" t="s">
        <v>242</v>
      </c>
      <c r="C162" s="10" t="s">
        <v>246</v>
      </c>
      <c r="D162" s="10"/>
      <c r="E162" s="10"/>
      <c r="F162" s="10"/>
      <c r="G162" s="10"/>
      <c r="H162" s="46" t="s">
        <v>157</v>
      </c>
    </row>
    <row r="163" spans="2:8" x14ac:dyDescent="0.25">
      <c r="B163" s="10" t="s">
        <v>247</v>
      </c>
      <c r="C163" s="10" t="s">
        <v>248</v>
      </c>
      <c r="D163" s="10"/>
      <c r="E163" s="10"/>
      <c r="F163" s="10"/>
      <c r="G163" s="10"/>
      <c r="H163" s="46" t="s">
        <v>157</v>
      </c>
    </row>
    <row r="164" spans="2:8" x14ac:dyDescent="0.25">
      <c r="B164" s="10" t="s">
        <v>249</v>
      </c>
      <c r="C164" s="10"/>
      <c r="D164" s="10"/>
      <c r="E164" s="10"/>
      <c r="F164" s="10"/>
      <c r="G164" s="10"/>
      <c r="H164" s="46"/>
    </row>
    <row r="165" spans="2:8" x14ac:dyDescent="0.25">
      <c r="B165" s="10" t="s">
        <v>249</v>
      </c>
      <c r="C165" s="10"/>
      <c r="D165" s="10"/>
      <c r="E165" s="10"/>
      <c r="F165" s="10"/>
      <c r="G165" s="10"/>
      <c r="H165" s="46"/>
    </row>
    <row r="166" spans="2:8" x14ac:dyDescent="0.25">
      <c r="B166" s="10" t="s">
        <v>249</v>
      </c>
      <c r="C166" s="10"/>
      <c r="D166" s="10"/>
      <c r="E166" s="10"/>
      <c r="F166" s="10"/>
      <c r="G166" s="10"/>
      <c r="H166" s="46"/>
    </row>
    <row r="167" spans="2:8" x14ac:dyDescent="0.25">
      <c r="B167" s="10" t="s">
        <v>249</v>
      </c>
      <c r="C167" s="10"/>
      <c r="D167" s="10"/>
      <c r="E167" s="10"/>
      <c r="F167" s="10"/>
      <c r="G167" s="10"/>
      <c r="H167" s="46"/>
    </row>
    <row r="168" spans="2:8" ht="15.75" thickBot="1" x14ac:dyDescent="0.3">
      <c r="H168" s="46"/>
    </row>
    <row r="169" spans="2:8" ht="15.75" thickBot="1" x14ac:dyDescent="0.3">
      <c r="B169" s="23" t="s">
        <v>250</v>
      </c>
      <c r="H169" s="46"/>
    </row>
    <row r="170" spans="2:8" x14ac:dyDescent="0.25">
      <c r="B170" s="15" t="s">
        <v>250</v>
      </c>
      <c r="C170" s="10" t="s">
        <v>251</v>
      </c>
      <c r="D170" s="10"/>
      <c r="E170" s="10"/>
      <c r="F170" s="10"/>
      <c r="G170" s="10"/>
      <c r="H170" s="46" t="s">
        <v>90</v>
      </c>
    </row>
    <row r="171" spans="2:8" x14ac:dyDescent="0.25">
      <c r="B171" s="10" t="s">
        <v>252</v>
      </c>
      <c r="C171" s="10" t="s">
        <v>253</v>
      </c>
      <c r="D171" s="10"/>
      <c r="E171" s="10"/>
      <c r="F171" s="10"/>
      <c r="G171" s="10"/>
      <c r="H171" s="46" t="s">
        <v>90</v>
      </c>
    </row>
  </sheetData>
  <mergeCells count="7">
    <mergeCell ref="D16:F16"/>
    <mergeCell ref="E7:G7"/>
    <mergeCell ref="E2:G2"/>
    <mergeCell ref="E3:G3"/>
    <mergeCell ref="E4:G4"/>
    <mergeCell ref="E5:G5"/>
    <mergeCell ref="E6:G6"/>
  </mergeCells>
  <hyperlinks>
    <hyperlink ref="D12" r:id="rId1" xr:uid="{3B641ADA-1F88-4959-AFF4-FFB078576CDC}"/>
  </hyperlinks>
  <pageMargins left="0.7" right="0.7" top="0.75" bottom="0.75" header="0.3" footer="0.3"/>
  <pageSetup scale="10" fitToHeight="0" orientation="landscape" horizontalDpi="4294967293" r:id="rId2"/>
  <headerFooter>
    <oddFooter>&amp;C&amp;P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B6F05-A101-4ED0-90B6-FE444769E40B}">
  <sheetPr codeName="Sheet12"/>
  <dimension ref="A2:C115"/>
  <sheetViews>
    <sheetView topLeftCell="A77" workbookViewId="0">
      <selection activeCell="B115" sqref="B115:C115"/>
    </sheetView>
  </sheetViews>
  <sheetFormatPr defaultRowHeight="15" x14ac:dyDescent="0.25"/>
  <sheetData>
    <row r="2" spans="1:3" x14ac:dyDescent="0.25">
      <c r="B2" t="s">
        <v>79</v>
      </c>
    </row>
    <row r="3" spans="1:3" x14ac:dyDescent="0.25">
      <c r="A3" t="s">
        <v>254</v>
      </c>
      <c r="B3">
        <v>1</v>
      </c>
      <c r="C3" t="s">
        <v>255</v>
      </c>
    </row>
    <row r="4" spans="1:3" x14ac:dyDescent="0.25">
      <c r="A4" t="s">
        <v>254</v>
      </c>
      <c r="B4">
        <v>2</v>
      </c>
      <c r="C4" t="s">
        <v>256</v>
      </c>
    </row>
    <row r="5" spans="1:3" x14ac:dyDescent="0.25">
      <c r="A5" t="s">
        <v>254</v>
      </c>
      <c r="B5">
        <v>3</v>
      </c>
      <c r="C5" t="s">
        <v>257</v>
      </c>
    </row>
    <row r="6" spans="1:3" x14ac:dyDescent="0.25">
      <c r="A6" t="s">
        <v>254</v>
      </c>
      <c r="B6">
        <v>4</v>
      </c>
      <c r="C6" t="s">
        <v>258</v>
      </c>
    </row>
    <row r="7" spans="1:3" x14ac:dyDescent="0.25">
      <c r="A7" t="s">
        <v>254</v>
      </c>
      <c r="B7">
        <v>5</v>
      </c>
      <c r="C7" t="s">
        <v>259</v>
      </c>
    </row>
    <row r="8" spans="1:3" x14ac:dyDescent="0.25">
      <c r="A8" t="s">
        <v>254</v>
      </c>
      <c r="B8">
        <v>6</v>
      </c>
      <c r="C8" t="s">
        <v>260</v>
      </c>
    </row>
    <row r="9" spans="1:3" x14ac:dyDescent="0.25">
      <c r="A9" t="s">
        <v>254</v>
      </c>
      <c r="B9">
        <v>7</v>
      </c>
      <c r="C9" t="s">
        <v>261</v>
      </c>
    </row>
    <row r="10" spans="1:3" x14ac:dyDescent="0.25">
      <c r="A10" t="s">
        <v>254</v>
      </c>
      <c r="B10">
        <v>8</v>
      </c>
      <c r="C10" t="s">
        <v>262</v>
      </c>
    </row>
    <row r="11" spans="1:3" x14ac:dyDescent="0.25">
      <c r="A11" t="s">
        <v>254</v>
      </c>
      <c r="B11">
        <v>9</v>
      </c>
      <c r="C11" t="s">
        <v>263</v>
      </c>
    </row>
    <row r="12" spans="1:3" x14ac:dyDescent="0.25">
      <c r="A12" t="s">
        <v>254</v>
      </c>
      <c r="B12">
        <v>10</v>
      </c>
      <c r="C12" t="s">
        <v>264</v>
      </c>
    </row>
    <row r="13" spans="1:3" x14ac:dyDescent="0.25">
      <c r="A13" t="s">
        <v>254</v>
      </c>
      <c r="B13">
        <v>11</v>
      </c>
      <c r="C13" t="s">
        <v>265</v>
      </c>
    </row>
    <row r="14" spans="1:3" x14ac:dyDescent="0.25">
      <c r="A14" t="s">
        <v>254</v>
      </c>
      <c r="B14">
        <v>12</v>
      </c>
      <c r="C14" t="s">
        <v>266</v>
      </c>
    </row>
    <row r="15" spans="1:3" x14ac:dyDescent="0.25">
      <c r="A15" t="s">
        <v>254</v>
      </c>
      <c r="B15">
        <v>13</v>
      </c>
      <c r="C15" t="s">
        <v>267</v>
      </c>
    </row>
    <row r="16" spans="1:3" x14ac:dyDescent="0.25">
      <c r="A16" t="s">
        <v>254</v>
      </c>
      <c r="B16">
        <v>14</v>
      </c>
      <c r="C16" t="s">
        <v>268</v>
      </c>
    </row>
    <row r="17" spans="1:3" x14ac:dyDescent="0.25">
      <c r="A17" t="s">
        <v>254</v>
      </c>
      <c r="B17">
        <v>15</v>
      </c>
      <c r="C17" t="s">
        <v>269</v>
      </c>
    </row>
    <row r="18" spans="1:3" x14ac:dyDescent="0.25">
      <c r="A18" t="s">
        <v>254</v>
      </c>
      <c r="B18">
        <v>16</v>
      </c>
      <c r="C18" t="s">
        <v>270</v>
      </c>
    </row>
    <row r="19" spans="1:3" x14ac:dyDescent="0.25">
      <c r="A19" t="s">
        <v>254</v>
      </c>
      <c r="B19">
        <v>17</v>
      </c>
      <c r="C19" t="s">
        <v>271</v>
      </c>
    </row>
    <row r="20" spans="1:3" x14ac:dyDescent="0.25">
      <c r="A20" t="s">
        <v>254</v>
      </c>
      <c r="B20">
        <v>18</v>
      </c>
      <c r="C20" t="s">
        <v>272</v>
      </c>
    </row>
    <row r="21" spans="1:3" x14ac:dyDescent="0.25">
      <c r="A21" t="s">
        <v>254</v>
      </c>
      <c r="B21">
        <v>19</v>
      </c>
      <c r="C21" t="s">
        <v>273</v>
      </c>
    </row>
    <row r="22" spans="1:3" x14ac:dyDescent="0.25">
      <c r="A22" t="s">
        <v>254</v>
      </c>
      <c r="B22">
        <v>20</v>
      </c>
      <c r="C22" t="s">
        <v>274</v>
      </c>
    </row>
    <row r="23" spans="1:3" x14ac:dyDescent="0.25">
      <c r="A23" t="s">
        <v>254</v>
      </c>
      <c r="B23">
        <v>21</v>
      </c>
      <c r="C23" t="s">
        <v>275</v>
      </c>
    </row>
    <row r="24" spans="1:3" x14ac:dyDescent="0.25">
      <c r="A24" t="s">
        <v>254</v>
      </c>
      <c r="B24">
        <v>22</v>
      </c>
      <c r="C24" t="s">
        <v>276</v>
      </c>
    </row>
    <row r="25" spans="1:3" x14ac:dyDescent="0.25">
      <c r="A25" t="s">
        <v>254</v>
      </c>
      <c r="B25">
        <v>23</v>
      </c>
      <c r="C25" t="s">
        <v>277</v>
      </c>
    </row>
    <row r="26" spans="1:3" x14ac:dyDescent="0.25">
      <c r="A26" t="s">
        <v>254</v>
      </c>
      <c r="B26">
        <v>24</v>
      </c>
      <c r="C26" t="s">
        <v>278</v>
      </c>
    </row>
    <row r="27" spans="1:3" x14ac:dyDescent="0.25">
      <c r="A27" t="s">
        <v>254</v>
      </c>
      <c r="B27">
        <v>25</v>
      </c>
      <c r="C27" t="s">
        <v>279</v>
      </c>
    </row>
    <row r="28" spans="1:3" x14ac:dyDescent="0.25">
      <c r="A28" t="s">
        <v>254</v>
      </c>
      <c r="B28">
        <v>26</v>
      </c>
      <c r="C28" t="s">
        <v>280</v>
      </c>
    </row>
    <row r="29" spans="1:3" x14ac:dyDescent="0.25">
      <c r="A29" t="s">
        <v>254</v>
      </c>
      <c r="B29">
        <v>27</v>
      </c>
      <c r="C29" t="s">
        <v>281</v>
      </c>
    </row>
    <row r="30" spans="1:3" x14ac:dyDescent="0.25">
      <c r="A30" t="s">
        <v>254</v>
      </c>
      <c r="B30">
        <v>28</v>
      </c>
      <c r="C30" t="s">
        <v>282</v>
      </c>
    </row>
    <row r="31" spans="1:3" x14ac:dyDescent="0.25">
      <c r="A31" t="s">
        <v>254</v>
      </c>
      <c r="B31">
        <v>29</v>
      </c>
      <c r="C31" t="s">
        <v>283</v>
      </c>
    </row>
    <row r="32" spans="1:3" x14ac:dyDescent="0.25">
      <c r="A32" t="s">
        <v>254</v>
      </c>
      <c r="B32">
        <v>30</v>
      </c>
      <c r="C32" t="s">
        <v>284</v>
      </c>
    </row>
    <row r="33" spans="1:3" x14ac:dyDescent="0.25">
      <c r="A33" t="s">
        <v>254</v>
      </c>
      <c r="B33">
        <v>31</v>
      </c>
      <c r="C33" t="s">
        <v>285</v>
      </c>
    </row>
    <row r="34" spans="1:3" x14ac:dyDescent="0.25">
      <c r="A34" t="s">
        <v>254</v>
      </c>
      <c r="B34">
        <v>32</v>
      </c>
      <c r="C34" t="s">
        <v>286</v>
      </c>
    </row>
    <row r="35" spans="1:3" x14ac:dyDescent="0.25">
      <c r="A35" t="s">
        <v>254</v>
      </c>
      <c r="B35">
        <v>33</v>
      </c>
      <c r="C35" t="s">
        <v>287</v>
      </c>
    </row>
    <row r="36" spans="1:3" x14ac:dyDescent="0.25">
      <c r="A36" t="s">
        <v>254</v>
      </c>
      <c r="B36">
        <v>34</v>
      </c>
      <c r="C36" t="s">
        <v>288</v>
      </c>
    </row>
    <row r="37" spans="1:3" x14ac:dyDescent="0.25">
      <c r="A37" t="s">
        <v>254</v>
      </c>
      <c r="B37">
        <v>35</v>
      </c>
      <c r="C37" t="s">
        <v>289</v>
      </c>
    </row>
    <row r="38" spans="1:3" x14ac:dyDescent="0.25">
      <c r="A38" t="s">
        <v>254</v>
      </c>
      <c r="B38">
        <v>36</v>
      </c>
      <c r="C38" t="s">
        <v>290</v>
      </c>
    </row>
    <row r="39" spans="1:3" x14ac:dyDescent="0.25">
      <c r="A39" t="s">
        <v>254</v>
      </c>
      <c r="B39">
        <v>37</v>
      </c>
      <c r="C39" t="s">
        <v>291</v>
      </c>
    </row>
    <row r="40" spans="1:3" x14ac:dyDescent="0.25">
      <c r="A40" t="s">
        <v>254</v>
      </c>
      <c r="B40">
        <v>38</v>
      </c>
      <c r="C40" t="s">
        <v>292</v>
      </c>
    </row>
    <row r="41" spans="1:3" x14ac:dyDescent="0.25">
      <c r="A41" t="s">
        <v>254</v>
      </c>
      <c r="B41">
        <v>39</v>
      </c>
      <c r="C41" t="s">
        <v>293</v>
      </c>
    </row>
    <row r="42" spans="1:3" x14ac:dyDescent="0.25">
      <c r="A42" t="s">
        <v>254</v>
      </c>
      <c r="B42">
        <v>40</v>
      </c>
      <c r="C42" t="s">
        <v>294</v>
      </c>
    </row>
    <row r="43" spans="1:3" x14ac:dyDescent="0.25">
      <c r="A43" t="s">
        <v>254</v>
      </c>
      <c r="B43">
        <v>41</v>
      </c>
      <c r="C43" t="s">
        <v>295</v>
      </c>
    </row>
    <row r="44" spans="1:3" x14ac:dyDescent="0.25">
      <c r="A44" t="s">
        <v>254</v>
      </c>
      <c r="B44">
        <v>42</v>
      </c>
      <c r="C44" t="s">
        <v>296</v>
      </c>
    </row>
    <row r="45" spans="1:3" x14ac:dyDescent="0.25">
      <c r="A45" t="s">
        <v>254</v>
      </c>
      <c r="B45">
        <v>43</v>
      </c>
      <c r="C45" t="s">
        <v>297</v>
      </c>
    </row>
    <row r="46" spans="1:3" x14ac:dyDescent="0.25">
      <c r="A46" t="s">
        <v>254</v>
      </c>
      <c r="B46">
        <v>44</v>
      </c>
      <c r="C46" t="s">
        <v>298</v>
      </c>
    </row>
    <row r="47" spans="1:3" x14ac:dyDescent="0.25">
      <c r="A47" t="s">
        <v>254</v>
      </c>
      <c r="B47">
        <v>45</v>
      </c>
      <c r="C47" t="s">
        <v>299</v>
      </c>
    </row>
    <row r="48" spans="1:3" x14ac:dyDescent="0.25">
      <c r="A48" t="s">
        <v>254</v>
      </c>
      <c r="B48">
        <v>46</v>
      </c>
      <c r="C48" t="s">
        <v>300</v>
      </c>
    </row>
    <row r="49" spans="1:3" x14ac:dyDescent="0.25">
      <c r="A49" t="s">
        <v>254</v>
      </c>
      <c r="B49">
        <v>47</v>
      </c>
      <c r="C49" t="s">
        <v>301</v>
      </c>
    </row>
    <row r="50" spans="1:3" x14ac:dyDescent="0.25">
      <c r="A50" t="s">
        <v>254</v>
      </c>
      <c r="B50">
        <v>48</v>
      </c>
      <c r="C50" t="s">
        <v>302</v>
      </c>
    </row>
    <row r="51" spans="1:3" x14ac:dyDescent="0.25">
      <c r="A51" t="s">
        <v>254</v>
      </c>
      <c r="B51">
        <v>49</v>
      </c>
      <c r="C51" t="s">
        <v>303</v>
      </c>
    </row>
    <row r="52" spans="1:3" x14ac:dyDescent="0.25">
      <c r="A52" t="s">
        <v>254</v>
      </c>
      <c r="B52">
        <v>50</v>
      </c>
      <c r="C52" t="s">
        <v>304</v>
      </c>
    </row>
    <row r="53" spans="1:3" x14ac:dyDescent="0.25">
      <c r="A53" t="s">
        <v>254</v>
      </c>
      <c r="B53">
        <v>51</v>
      </c>
      <c r="C53" t="s">
        <v>305</v>
      </c>
    </row>
    <row r="54" spans="1:3" x14ac:dyDescent="0.25">
      <c r="A54" t="s">
        <v>254</v>
      </c>
      <c r="B54">
        <v>52</v>
      </c>
      <c r="C54" t="s">
        <v>306</v>
      </c>
    </row>
    <row r="55" spans="1:3" x14ac:dyDescent="0.25">
      <c r="A55" t="s">
        <v>254</v>
      </c>
      <c r="B55">
        <v>53</v>
      </c>
      <c r="C55" t="s">
        <v>307</v>
      </c>
    </row>
    <row r="56" spans="1:3" x14ac:dyDescent="0.25">
      <c r="A56" t="s">
        <v>254</v>
      </c>
      <c r="B56">
        <v>54</v>
      </c>
      <c r="C56" t="s">
        <v>308</v>
      </c>
    </row>
    <row r="57" spans="1:3" x14ac:dyDescent="0.25">
      <c r="A57" t="s">
        <v>254</v>
      </c>
      <c r="B57">
        <v>55</v>
      </c>
      <c r="C57" t="s">
        <v>309</v>
      </c>
    </row>
    <row r="58" spans="1:3" x14ac:dyDescent="0.25">
      <c r="A58" t="s">
        <v>254</v>
      </c>
      <c r="B58">
        <v>56</v>
      </c>
      <c r="C58" t="s">
        <v>310</v>
      </c>
    </row>
    <row r="59" spans="1:3" x14ac:dyDescent="0.25">
      <c r="A59" t="s">
        <v>254</v>
      </c>
      <c r="B59">
        <v>57</v>
      </c>
      <c r="C59" t="s">
        <v>311</v>
      </c>
    </row>
    <row r="60" spans="1:3" x14ac:dyDescent="0.25">
      <c r="A60" t="s">
        <v>254</v>
      </c>
      <c r="B60">
        <v>58</v>
      </c>
      <c r="C60" t="s">
        <v>312</v>
      </c>
    </row>
    <row r="61" spans="1:3" x14ac:dyDescent="0.25">
      <c r="A61" t="s">
        <v>254</v>
      </c>
      <c r="B61">
        <v>59</v>
      </c>
      <c r="C61" t="s">
        <v>313</v>
      </c>
    </row>
    <row r="62" spans="1:3" x14ac:dyDescent="0.25">
      <c r="A62" t="s">
        <v>254</v>
      </c>
      <c r="B62">
        <v>60</v>
      </c>
      <c r="C62" t="s">
        <v>314</v>
      </c>
    </row>
    <row r="63" spans="1:3" x14ac:dyDescent="0.25">
      <c r="A63" t="s">
        <v>254</v>
      </c>
      <c r="B63">
        <v>61</v>
      </c>
      <c r="C63" t="s">
        <v>315</v>
      </c>
    </row>
    <row r="64" spans="1:3" x14ac:dyDescent="0.25">
      <c r="A64" t="s">
        <v>254</v>
      </c>
      <c r="B64">
        <v>62</v>
      </c>
      <c r="C64" t="s">
        <v>316</v>
      </c>
    </row>
    <row r="65" spans="1:3" x14ac:dyDescent="0.25">
      <c r="A65" t="s">
        <v>254</v>
      </c>
      <c r="B65">
        <v>63</v>
      </c>
      <c r="C65" t="s">
        <v>317</v>
      </c>
    </row>
    <row r="66" spans="1:3" x14ac:dyDescent="0.25">
      <c r="A66" t="s">
        <v>254</v>
      </c>
      <c r="B66">
        <v>64</v>
      </c>
      <c r="C66" t="s">
        <v>318</v>
      </c>
    </row>
    <row r="67" spans="1:3" x14ac:dyDescent="0.25">
      <c r="A67" t="s">
        <v>254</v>
      </c>
      <c r="B67">
        <v>65</v>
      </c>
      <c r="C67" t="s">
        <v>319</v>
      </c>
    </row>
    <row r="68" spans="1:3" x14ac:dyDescent="0.25">
      <c r="A68" t="s">
        <v>254</v>
      </c>
      <c r="B68">
        <v>66</v>
      </c>
      <c r="C68" t="s">
        <v>320</v>
      </c>
    </row>
    <row r="69" spans="1:3" x14ac:dyDescent="0.25">
      <c r="A69" t="s">
        <v>254</v>
      </c>
      <c r="B69">
        <v>67</v>
      </c>
      <c r="C69" t="s">
        <v>321</v>
      </c>
    </row>
    <row r="70" spans="1:3" x14ac:dyDescent="0.25">
      <c r="A70" t="s">
        <v>254</v>
      </c>
      <c r="B70">
        <v>68</v>
      </c>
      <c r="C70" t="s">
        <v>322</v>
      </c>
    </row>
    <row r="71" spans="1:3" x14ac:dyDescent="0.25">
      <c r="A71" t="s">
        <v>254</v>
      </c>
      <c r="B71">
        <v>69</v>
      </c>
      <c r="C71" t="s">
        <v>323</v>
      </c>
    </row>
    <row r="72" spans="1:3" x14ac:dyDescent="0.25">
      <c r="A72" t="s">
        <v>254</v>
      </c>
      <c r="B72">
        <v>70</v>
      </c>
      <c r="C72" t="s">
        <v>324</v>
      </c>
    </row>
    <row r="73" spans="1:3" x14ac:dyDescent="0.25">
      <c r="A73" t="s">
        <v>254</v>
      </c>
      <c r="B73">
        <v>71</v>
      </c>
      <c r="C73" t="s">
        <v>325</v>
      </c>
    </row>
    <row r="74" spans="1:3" x14ac:dyDescent="0.25">
      <c r="A74" t="s">
        <v>254</v>
      </c>
      <c r="B74">
        <v>72</v>
      </c>
      <c r="C74" t="s">
        <v>326</v>
      </c>
    </row>
    <row r="75" spans="1:3" x14ac:dyDescent="0.25">
      <c r="A75" t="s">
        <v>254</v>
      </c>
      <c r="B75">
        <v>73</v>
      </c>
      <c r="C75" t="s">
        <v>327</v>
      </c>
    </row>
    <row r="76" spans="1:3" x14ac:dyDescent="0.25">
      <c r="A76" t="s">
        <v>254</v>
      </c>
      <c r="B76">
        <v>74</v>
      </c>
      <c r="C76" t="s">
        <v>328</v>
      </c>
    </row>
    <row r="77" spans="1:3" x14ac:dyDescent="0.25">
      <c r="A77" t="s">
        <v>254</v>
      </c>
      <c r="B77">
        <v>75</v>
      </c>
      <c r="C77" t="s">
        <v>329</v>
      </c>
    </row>
    <row r="78" spans="1:3" x14ac:dyDescent="0.25">
      <c r="A78" t="s">
        <v>254</v>
      </c>
      <c r="B78">
        <v>76</v>
      </c>
      <c r="C78" t="s">
        <v>330</v>
      </c>
    </row>
    <row r="79" spans="1:3" x14ac:dyDescent="0.25">
      <c r="A79" t="s">
        <v>254</v>
      </c>
      <c r="B79">
        <v>77</v>
      </c>
      <c r="C79" t="s">
        <v>331</v>
      </c>
    </row>
    <row r="80" spans="1:3" x14ac:dyDescent="0.25">
      <c r="A80" t="s">
        <v>254</v>
      </c>
      <c r="B80">
        <v>78</v>
      </c>
      <c r="C80" t="s">
        <v>332</v>
      </c>
    </row>
    <row r="81" spans="1:3" x14ac:dyDescent="0.25">
      <c r="A81" t="s">
        <v>254</v>
      </c>
      <c r="B81">
        <v>79</v>
      </c>
      <c r="C81" t="s">
        <v>333</v>
      </c>
    </row>
    <row r="82" spans="1:3" x14ac:dyDescent="0.25">
      <c r="A82" t="s">
        <v>254</v>
      </c>
      <c r="B82">
        <v>80</v>
      </c>
      <c r="C82" t="s">
        <v>334</v>
      </c>
    </row>
    <row r="83" spans="1:3" x14ac:dyDescent="0.25">
      <c r="A83" t="s">
        <v>254</v>
      </c>
      <c r="B83">
        <v>81</v>
      </c>
      <c r="C83" t="s">
        <v>335</v>
      </c>
    </row>
    <row r="84" spans="1:3" x14ac:dyDescent="0.25">
      <c r="A84" t="s">
        <v>254</v>
      </c>
      <c r="B84">
        <v>82</v>
      </c>
      <c r="C84" t="s">
        <v>336</v>
      </c>
    </row>
    <row r="85" spans="1:3" x14ac:dyDescent="0.25">
      <c r="A85" t="s">
        <v>254</v>
      </c>
      <c r="B85">
        <v>83</v>
      </c>
      <c r="C85" t="s">
        <v>337</v>
      </c>
    </row>
    <row r="86" spans="1:3" x14ac:dyDescent="0.25">
      <c r="A86" t="s">
        <v>254</v>
      </c>
      <c r="B86">
        <v>84</v>
      </c>
      <c r="C86" t="s">
        <v>338</v>
      </c>
    </row>
    <row r="87" spans="1:3" x14ac:dyDescent="0.25">
      <c r="A87" t="s">
        <v>254</v>
      </c>
      <c r="B87">
        <v>85</v>
      </c>
      <c r="C87" t="s">
        <v>339</v>
      </c>
    </row>
    <row r="88" spans="1:3" x14ac:dyDescent="0.25">
      <c r="A88" t="s">
        <v>254</v>
      </c>
      <c r="B88">
        <v>86</v>
      </c>
      <c r="C88" t="s">
        <v>340</v>
      </c>
    </row>
    <row r="89" spans="1:3" x14ac:dyDescent="0.25">
      <c r="A89" t="s">
        <v>254</v>
      </c>
      <c r="B89">
        <v>87</v>
      </c>
      <c r="C89" t="s">
        <v>341</v>
      </c>
    </row>
    <row r="90" spans="1:3" x14ac:dyDescent="0.25">
      <c r="A90" t="s">
        <v>254</v>
      </c>
      <c r="B90">
        <v>88</v>
      </c>
      <c r="C90" t="s">
        <v>342</v>
      </c>
    </row>
    <row r="91" spans="1:3" x14ac:dyDescent="0.25">
      <c r="A91" t="s">
        <v>254</v>
      </c>
      <c r="B91">
        <v>89</v>
      </c>
      <c r="C91" t="s">
        <v>343</v>
      </c>
    </row>
    <row r="92" spans="1:3" x14ac:dyDescent="0.25">
      <c r="A92" t="s">
        <v>254</v>
      </c>
      <c r="B92">
        <v>90</v>
      </c>
      <c r="C92" t="s">
        <v>344</v>
      </c>
    </row>
    <row r="93" spans="1:3" x14ac:dyDescent="0.25">
      <c r="A93" t="s">
        <v>254</v>
      </c>
      <c r="B93">
        <v>91</v>
      </c>
      <c r="C93" t="s">
        <v>345</v>
      </c>
    </row>
    <row r="94" spans="1:3" x14ac:dyDescent="0.25">
      <c r="A94" t="s">
        <v>254</v>
      </c>
      <c r="B94">
        <v>92</v>
      </c>
      <c r="C94" t="s">
        <v>346</v>
      </c>
    </row>
    <row r="95" spans="1:3" x14ac:dyDescent="0.25">
      <c r="A95" t="s">
        <v>254</v>
      </c>
      <c r="B95">
        <v>93</v>
      </c>
      <c r="C95" t="s">
        <v>347</v>
      </c>
    </row>
    <row r="96" spans="1:3" x14ac:dyDescent="0.25">
      <c r="A96" t="s">
        <v>254</v>
      </c>
      <c r="B96">
        <v>94</v>
      </c>
      <c r="C96" t="s">
        <v>348</v>
      </c>
    </row>
    <row r="97" spans="1:3" x14ac:dyDescent="0.25">
      <c r="A97" t="s">
        <v>254</v>
      </c>
      <c r="B97">
        <v>95</v>
      </c>
      <c r="C97" t="s">
        <v>349</v>
      </c>
    </row>
    <row r="98" spans="1:3" x14ac:dyDescent="0.25">
      <c r="A98" t="s">
        <v>254</v>
      </c>
      <c r="B98">
        <v>96</v>
      </c>
      <c r="C98" t="s">
        <v>350</v>
      </c>
    </row>
    <row r="99" spans="1:3" x14ac:dyDescent="0.25">
      <c r="A99" t="s">
        <v>254</v>
      </c>
      <c r="B99">
        <v>97</v>
      </c>
      <c r="C99" t="s">
        <v>351</v>
      </c>
    </row>
    <row r="100" spans="1:3" x14ac:dyDescent="0.25">
      <c r="A100" t="s">
        <v>254</v>
      </c>
      <c r="B100">
        <v>98</v>
      </c>
      <c r="C100" t="s">
        <v>352</v>
      </c>
    </row>
    <row r="101" spans="1:3" x14ac:dyDescent="0.25">
      <c r="A101" t="s">
        <v>254</v>
      </c>
      <c r="B101">
        <v>99</v>
      </c>
      <c r="C101" t="s">
        <v>353</v>
      </c>
    </row>
    <row r="102" spans="1:3" x14ac:dyDescent="0.25">
      <c r="A102" t="s">
        <v>254</v>
      </c>
      <c r="B102">
        <v>100</v>
      </c>
      <c r="C102" t="s">
        <v>354</v>
      </c>
    </row>
    <row r="103" spans="1:3" x14ac:dyDescent="0.25">
      <c r="A103" t="s">
        <v>254</v>
      </c>
      <c r="B103">
        <v>101</v>
      </c>
      <c r="C103" t="s">
        <v>355</v>
      </c>
    </row>
    <row r="104" spans="1:3" x14ac:dyDescent="0.25">
      <c r="A104" t="s">
        <v>254</v>
      </c>
      <c r="B104">
        <v>102</v>
      </c>
      <c r="C104" t="s">
        <v>356</v>
      </c>
    </row>
    <row r="105" spans="1:3" x14ac:dyDescent="0.25">
      <c r="A105" t="s">
        <v>254</v>
      </c>
      <c r="B105">
        <v>103</v>
      </c>
      <c r="C105" t="s">
        <v>357</v>
      </c>
    </row>
    <row r="106" spans="1:3" x14ac:dyDescent="0.25">
      <c r="A106" t="s">
        <v>254</v>
      </c>
      <c r="B106">
        <v>104</v>
      </c>
      <c r="C106" t="s">
        <v>358</v>
      </c>
    </row>
    <row r="107" spans="1:3" x14ac:dyDescent="0.25">
      <c r="A107" t="s">
        <v>254</v>
      </c>
      <c r="B107">
        <v>105</v>
      </c>
      <c r="C107" t="s">
        <v>359</v>
      </c>
    </row>
    <row r="108" spans="1:3" x14ac:dyDescent="0.25">
      <c r="A108" t="s">
        <v>254</v>
      </c>
      <c r="B108">
        <v>106</v>
      </c>
      <c r="C108" t="s">
        <v>360</v>
      </c>
    </row>
    <row r="109" spans="1:3" x14ac:dyDescent="0.25">
      <c r="A109" t="s">
        <v>254</v>
      </c>
      <c r="B109">
        <v>107</v>
      </c>
      <c r="C109" t="s">
        <v>361</v>
      </c>
    </row>
    <row r="110" spans="1:3" x14ac:dyDescent="0.25">
      <c r="A110" t="s">
        <v>254</v>
      </c>
      <c r="B110">
        <v>108</v>
      </c>
      <c r="C110" t="s">
        <v>362</v>
      </c>
    </row>
    <row r="111" spans="1:3" x14ac:dyDescent="0.25">
      <c r="A111" t="s">
        <v>254</v>
      </c>
      <c r="B111">
        <v>109</v>
      </c>
      <c r="C111" t="s">
        <v>363</v>
      </c>
    </row>
    <row r="112" spans="1:3" x14ac:dyDescent="0.25">
      <c r="A112" t="s">
        <v>254</v>
      </c>
      <c r="B112">
        <v>110</v>
      </c>
      <c r="C112" t="s">
        <v>364</v>
      </c>
    </row>
    <row r="113" spans="1:3" x14ac:dyDescent="0.25">
      <c r="A113" t="s">
        <v>254</v>
      </c>
      <c r="B113">
        <v>111</v>
      </c>
      <c r="C113" t="s">
        <v>365</v>
      </c>
    </row>
    <row r="114" spans="1:3" x14ac:dyDescent="0.25">
      <c r="A114" t="s">
        <v>254</v>
      </c>
      <c r="B114">
        <v>112</v>
      </c>
      <c r="C114" t="s">
        <v>366</v>
      </c>
    </row>
    <row r="115" spans="1:3" x14ac:dyDescent="0.25">
      <c r="A115" t="s">
        <v>254</v>
      </c>
      <c r="B115">
        <v>113</v>
      </c>
      <c r="C115" t="s">
        <v>367</v>
      </c>
    </row>
  </sheetData>
  <phoneticPr fontId="36" type="noConversion"/>
  <pageMargins left="0.7" right="0.7" top="0.75" bottom="0.75" header="0.3" footer="0.3"/>
  <pageSetup paperSize="256" orientation="portrait" horizontalDpi="203" verticalDpi="203"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BH1422"/>
  <sheetViews>
    <sheetView tabSelected="1" zoomScale="85" zoomScaleNormal="85" workbookViewId="0">
      <pane ySplit="8" topLeftCell="A341" activePane="bottomLeft" state="frozen"/>
      <selection activeCell="G43" sqref="G43"/>
      <selection pane="bottomLeft" activeCell="L363" sqref="L363"/>
    </sheetView>
  </sheetViews>
  <sheetFormatPr defaultRowHeight="15" outlineLevelCol="2" x14ac:dyDescent="0.25"/>
  <cols>
    <col min="2" max="2" width="11.5703125" bestFit="1" customWidth="1"/>
    <col min="3" max="3" width="46.7109375" customWidth="1"/>
    <col min="4" max="4" width="15.140625" customWidth="1"/>
    <col min="6" max="6" width="10.42578125" customWidth="1"/>
    <col min="7" max="7" width="19.5703125" customWidth="1"/>
    <col min="8" max="8" width="20.7109375" bestFit="1" customWidth="1"/>
    <col min="9" max="9" width="16.42578125" customWidth="1"/>
    <col min="10" max="10" width="13.140625" bestFit="1" customWidth="1"/>
    <col min="11" max="11" width="28.42578125" bestFit="1" customWidth="1"/>
    <col min="12" max="12" width="49.28515625" customWidth="1"/>
    <col min="13" max="13" width="49.28515625" style="108" customWidth="1"/>
    <col min="14" max="14" width="9.5703125" style="108" bestFit="1" customWidth="1"/>
    <col min="15" max="17" width="9.5703125" style="108" customWidth="1"/>
    <col min="18" max="18" width="31.140625" style="108" customWidth="1"/>
    <col min="19" max="19" width="5.42578125" style="108" customWidth="1"/>
    <col min="20" max="20" width="9.5703125" style="108" customWidth="1"/>
    <col min="21" max="25" width="14.140625" style="108" bestFit="1" customWidth="1"/>
    <col min="26" max="26" width="100.140625" customWidth="1"/>
    <col min="27" max="28" width="47.42578125" customWidth="1" outlineLevel="1"/>
    <col min="29" max="29" width="17.28515625" customWidth="1" outlineLevel="1"/>
    <col min="30" max="30" width="69.42578125" customWidth="1" outlineLevel="1"/>
    <col min="31" max="31" width="15.140625" customWidth="1" outlineLevel="1"/>
    <col min="32" max="32" width="15.140625" style="200" customWidth="1" outlineLevel="2"/>
    <col min="33" max="33" width="26" style="56" customWidth="1" outlineLevel="2"/>
    <col min="34" max="34" width="22.42578125" style="3" customWidth="1" outlineLevel="1"/>
    <col min="35" max="35" width="26" customWidth="1" outlineLevel="2"/>
    <col min="36" max="36" width="10" customWidth="1" outlineLevel="2"/>
    <col min="37" max="37" width="11.85546875" customWidth="1" outlineLevel="1"/>
    <col min="38" max="39" width="11.85546875" customWidth="1" outlineLevel="2"/>
    <col min="40" max="40" width="24.7109375" style="46" customWidth="1" outlineLevel="1"/>
    <col min="41" max="41" width="3" customWidth="1" outlineLevel="1"/>
    <col min="42" max="42" width="9.140625" customWidth="1" outlineLevel="1"/>
    <col min="43" max="43" width="11.140625" customWidth="1" outlineLevel="1"/>
    <col min="44" max="44" width="19" customWidth="1" outlineLevel="1"/>
    <col min="45" max="45" width="37.140625" customWidth="1" outlineLevel="1"/>
    <col min="46" max="46" width="17.28515625" customWidth="1" outlineLevel="1"/>
    <col min="47" max="49" width="19.140625" customWidth="1" outlineLevel="1"/>
    <col min="50" max="50" width="11.140625" style="108" customWidth="1"/>
    <col min="51" max="51" width="11.5703125" style="108" bestFit="1" customWidth="1"/>
    <col min="52" max="52" width="17.28515625" bestFit="1" customWidth="1"/>
    <col min="53" max="53" width="16.5703125" bestFit="1" customWidth="1"/>
    <col min="54" max="54" width="24.5703125" bestFit="1" customWidth="1"/>
    <col min="55" max="55" width="21.7109375" bestFit="1" customWidth="1"/>
    <col min="56" max="56" width="23" bestFit="1" customWidth="1"/>
    <col min="57" max="57" width="20" bestFit="1" customWidth="1"/>
    <col min="58" max="58" width="37.28515625" bestFit="1" customWidth="1"/>
    <col min="59" max="59" width="35.5703125" bestFit="1" customWidth="1"/>
  </cols>
  <sheetData>
    <row r="1" spans="1:60" ht="15.75" thickBot="1" x14ac:dyDescent="0.3">
      <c r="H1" s="23" t="s">
        <v>368</v>
      </c>
      <c r="I1" s="406" t="str">
        <f>'1. Template Stats'!C2</f>
        <v>65A. BMW X5 (F15) 14-18 (1) SUV (2) 14-18 N55 (3) Auto (4) RWD/AWD</v>
      </c>
      <c r="J1" s="407"/>
      <c r="K1" s="407"/>
      <c r="L1" s="407"/>
      <c r="M1" s="407"/>
      <c r="N1" s="407"/>
      <c r="O1" s="407"/>
      <c r="P1" s="407"/>
      <c r="Q1" s="407"/>
      <c r="R1" s="407"/>
      <c r="S1" s="407"/>
      <c r="T1" s="407"/>
      <c r="U1" s="407"/>
      <c r="V1" s="407"/>
      <c r="W1" s="407"/>
      <c r="X1" s="407"/>
      <c r="Y1" s="407"/>
      <c r="Z1" s="407"/>
      <c r="AA1" s="408"/>
      <c r="AB1" s="229"/>
      <c r="AC1" s="229"/>
      <c r="AD1" s="149" t="s">
        <v>369</v>
      </c>
      <c r="AE1" s="171" t="str">
        <f>'5. Review &amp; Tester Info to Get'!$C$40</f>
        <v>1/8TH</v>
      </c>
      <c r="AJ1" s="69"/>
      <c r="AX1"/>
      <c r="AY1"/>
    </row>
    <row r="2" spans="1:60" ht="15.75" thickBot="1" x14ac:dyDescent="0.3">
      <c r="H2" s="406" t="str">
        <f>'2. Items to Test'!C2</f>
        <v>1240. 14 BMW X5 (F15) 3.0T (N55) Auto RWD (Brown) (00793)</v>
      </c>
      <c r="I2" s="407"/>
      <c r="J2" s="407"/>
      <c r="K2" s="407"/>
      <c r="L2" s="407"/>
      <c r="M2" s="407"/>
      <c r="N2" s="407"/>
      <c r="O2" s="407"/>
      <c r="P2" s="407"/>
      <c r="Q2" s="407"/>
      <c r="R2" s="407"/>
      <c r="S2" s="407"/>
      <c r="T2" s="407"/>
      <c r="U2" s="407"/>
      <c r="V2" s="407"/>
      <c r="W2" s="407"/>
      <c r="X2" s="407"/>
      <c r="Y2" s="407"/>
      <c r="Z2" s="407"/>
      <c r="AA2" s="407"/>
      <c r="AB2" s="229"/>
      <c r="AC2" s="229"/>
      <c r="AD2" s="172" t="s">
        <v>370</v>
      </c>
      <c r="AE2" s="173">
        <f>'2. Items to Test'!$C$8</f>
        <v>125576</v>
      </c>
      <c r="AJ2" s="69"/>
      <c r="AX2"/>
      <c r="AY2"/>
    </row>
    <row r="3" spans="1:60" x14ac:dyDescent="0.25">
      <c r="H3" s="240"/>
      <c r="I3" s="239" t="s">
        <v>371</v>
      </c>
      <c r="J3" s="240"/>
      <c r="K3" s="239" t="s">
        <v>371</v>
      </c>
      <c r="L3" s="239" t="s">
        <v>371</v>
      </c>
      <c r="M3" s="240"/>
      <c r="N3" s="240"/>
      <c r="O3" s="240"/>
      <c r="P3" s="240"/>
      <c r="Q3" s="240"/>
      <c r="R3" s="240"/>
      <c r="S3" s="240"/>
      <c r="T3" s="240"/>
      <c r="V3" s="240"/>
      <c r="Z3" s="239" t="s">
        <v>371</v>
      </c>
      <c r="AA3" s="240"/>
      <c r="AB3" s="240"/>
      <c r="AC3" s="240"/>
      <c r="AD3" s="29"/>
      <c r="AE3" s="239" t="s">
        <v>371</v>
      </c>
      <c r="AG3" s="239" t="s">
        <v>371</v>
      </c>
      <c r="AI3" s="239" t="s">
        <v>371</v>
      </c>
      <c r="AJ3" s="69"/>
    </row>
    <row r="4" spans="1:60" x14ac:dyDescent="0.25">
      <c r="H4" s="240"/>
      <c r="I4" s="240"/>
      <c r="J4" s="240"/>
      <c r="K4" s="238" t="s">
        <v>372</v>
      </c>
      <c r="L4" s="238" t="s">
        <v>372</v>
      </c>
      <c r="M4" s="240"/>
      <c r="N4" s="238" t="s">
        <v>372</v>
      </c>
      <c r="O4" s="238" t="s">
        <v>372</v>
      </c>
      <c r="P4" s="238" t="s">
        <v>372</v>
      </c>
      <c r="Q4" s="238" t="s">
        <v>372</v>
      </c>
      <c r="R4" s="238" t="s">
        <v>372</v>
      </c>
      <c r="S4" s="238"/>
      <c r="T4" s="238" t="s">
        <v>372</v>
      </c>
      <c r="U4" s="238" t="s">
        <v>372</v>
      </c>
      <c r="V4" s="238" t="s">
        <v>372</v>
      </c>
      <c r="W4" s="238" t="s">
        <v>372</v>
      </c>
      <c r="X4" s="238" t="s">
        <v>372</v>
      </c>
      <c r="Y4" s="238" t="s">
        <v>372</v>
      </c>
      <c r="Z4" s="238" t="s">
        <v>372</v>
      </c>
      <c r="AA4" s="240"/>
      <c r="AB4" s="240"/>
      <c r="AC4" s="238" t="s">
        <v>372</v>
      </c>
      <c r="AD4" s="238" t="s">
        <v>372</v>
      </c>
      <c r="AE4" s="238" t="s">
        <v>372</v>
      </c>
      <c r="AG4" s="238" t="s">
        <v>372</v>
      </c>
      <c r="AI4" s="238" t="s">
        <v>372</v>
      </c>
      <c r="AJ4" s="69"/>
      <c r="AQ4" s="238" t="s">
        <v>372</v>
      </c>
      <c r="AR4" s="238" t="s">
        <v>372</v>
      </c>
    </row>
    <row r="5" spans="1:60" x14ac:dyDescent="0.25">
      <c r="H5" s="240"/>
      <c r="I5" s="240"/>
      <c r="J5" s="240"/>
      <c r="K5" s="240"/>
      <c r="L5" s="240"/>
      <c r="M5" s="240"/>
      <c r="N5" s="240"/>
      <c r="O5" s="240"/>
      <c r="P5" s="240"/>
      <c r="Q5" s="240"/>
      <c r="R5" s="240"/>
      <c r="S5" s="240"/>
      <c r="T5" s="240"/>
      <c r="V5" s="240"/>
      <c r="Z5" s="240"/>
      <c r="AA5" s="240"/>
      <c r="AB5" s="240"/>
      <c r="AC5" s="240"/>
      <c r="AD5" s="29"/>
      <c r="AE5" s="235" t="s">
        <v>373</v>
      </c>
      <c r="AJ5" s="69"/>
      <c r="AQ5" s="235" t="s">
        <v>373</v>
      </c>
      <c r="AR5" s="235" t="s">
        <v>373</v>
      </c>
    </row>
    <row r="6" spans="1:60" x14ac:dyDescent="0.25">
      <c r="H6" s="236" t="s">
        <v>374</v>
      </c>
      <c r="I6" s="240"/>
      <c r="J6" s="236" t="s">
        <v>374</v>
      </c>
      <c r="K6" s="236" t="s">
        <v>374</v>
      </c>
      <c r="L6" s="236" t="s">
        <v>374</v>
      </c>
      <c r="M6" s="240"/>
      <c r="N6" s="240"/>
      <c r="O6" s="240"/>
      <c r="P6" s="240"/>
      <c r="Q6" s="240"/>
      <c r="R6" s="240"/>
      <c r="S6" s="240"/>
      <c r="T6" s="240"/>
      <c r="V6" s="240"/>
      <c r="Z6" s="236" t="s">
        <v>374</v>
      </c>
      <c r="AA6" s="236" t="s">
        <v>374</v>
      </c>
      <c r="AB6" s="236" t="s">
        <v>374</v>
      </c>
      <c r="AC6" s="236" t="s">
        <v>374</v>
      </c>
      <c r="AD6" s="29"/>
      <c r="AE6" s="236" t="s">
        <v>374</v>
      </c>
      <c r="AG6" s="236" t="s">
        <v>374</v>
      </c>
      <c r="AI6" s="236" t="s">
        <v>374</v>
      </c>
      <c r="AJ6" s="69"/>
      <c r="AZ6" t="s">
        <v>375</v>
      </c>
    </row>
    <row r="7" spans="1:60" ht="15.75" thickBot="1" x14ac:dyDescent="0.3">
      <c r="B7" s="237" t="s">
        <v>376</v>
      </c>
      <c r="C7" s="237" t="s">
        <v>376</v>
      </c>
      <c r="D7" s="237" t="s">
        <v>376</v>
      </c>
      <c r="E7" s="237"/>
      <c r="F7" s="237" t="s">
        <v>376</v>
      </c>
      <c r="G7" s="237" t="s">
        <v>376</v>
      </c>
      <c r="H7" s="237" t="s">
        <v>376</v>
      </c>
      <c r="I7" s="237" t="s">
        <v>376</v>
      </c>
      <c r="J7" s="237" t="s">
        <v>376</v>
      </c>
      <c r="K7" s="237" t="s">
        <v>376</v>
      </c>
      <c r="L7" s="237" t="s">
        <v>376</v>
      </c>
      <c r="M7" s="237" t="s">
        <v>376</v>
      </c>
      <c r="N7" s="237" t="s">
        <v>376</v>
      </c>
      <c r="O7" s="237" t="s">
        <v>376</v>
      </c>
      <c r="P7" s="237" t="s">
        <v>376</v>
      </c>
      <c r="Q7" s="237" t="s">
        <v>376</v>
      </c>
      <c r="R7" s="237" t="s">
        <v>376</v>
      </c>
      <c r="S7" s="237"/>
      <c r="T7" s="237" t="s">
        <v>376</v>
      </c>
      <c r="U7" s="237" t="s">
        <v>376</v>
      </c>
      <c r="V7" s="237" t="s">
        <v>376</v>
      </c>
      <c r="W7" s="237" t="s">
        <v>376</v>
      </c>
      <c r="X7" s="237" t="s">
        <v>376</v>
      </c>
      <c r="Y7" s="237" t="s">
        <v>376</v>
      </c>
      <c r="Z7" s="237" t="s">
        <v>376</v>
      </c>
      <c r="AA7" s="237" t="s">
        <v>376</v>
      </c>
      <c r="AB7" s="237" t="s">
        <v>376</v>
      </c>
      <c r="AC7" s="237" t="s">
        <v>376</v>
      </c>
      <c r="AD7" s="237" t="s">
        <v>376</v>
      </c>
      <c r="AE7" s="237" t="s">
        <v>376</v>
      </c>
      <c r="AF7" s="237" t="s">
        <v>376</v>
      </c>
      <c r="AG7" s="237" t="s">
        <v>376</v>
      </c>
      <c r="AH7" s="237" t="s">
        <v>376</v>
      </c>
      <c r="AI7" s="237" t="s">
        <v>376</v>
      </c>
      <c r="AJ7" s="237" t="s">
        <v>376</v>
      </c>
      <c r="AK7" s="237" t="s">
        <v>376</v>
      </c>
      <c r="AL7" s="237" t="s">
        <v>376</v>
      </c>
      <c r="AM7" s="237" t="s">
        <v>376</v>
      </c>
      <c r="AN7" s="237" t="s">
        <v>376</v>
      </c>
      <c r="AO7" s="237" t="s">
        <v>376</v>
      </c>
      <c r="AP7" s="237" t="s">
        <v>376</v>
      </c>
      <c r="AQ7" s="237" t="s">
        <v>376</v>
      </c>
      <c r="AR7" s="237" t="s">
        <v>376</v>
      </c>
      <c r="AS7" s="237" t="s">
        <v>376</v>
      </c>
      <c r="AT7" s="237" t="s">
        <v>376</v>
      </c>
      <c r="AU7" s="237" t="s">
        <v>376</v>
      </c>
      <c r="AV7" s="237" t="s">
        <v>376</v>
      </c>
      <c r="AW7" s="237" t="s">
        <v>376</v>
      </c>
      <c r="AX7" s="237" t="s">
        <v>376</v>
      </c>
      <c r="AY7" s="237" t="s">
        <v>376</v>
      </c>
      <c r="AZ7" s="237" t="s">
        <v>376</v>
      </c>
      <c r="BA7" s="237" t="s">
        <v>376</v>
      </c>
      <c r="BB7" s="237" t="s">
        <v>376</v>
      </c>
      <c r="BC7" s="237" t="s">
        <v>376</v>
      </c>
      <c r="BD7" s="237" t="s">
        <v>376</v>
      </c>
      <c r="BE7" s="237" t="s">
        <v>376</v>
      </c>
      <c r="BF7" s="237" t="s">
        <v>376</v>
      </c>
      <c r="BG7" s="237" t="s">
        <v>376</v>
      </c>
    </row>
    <row r="8" spans="1:60" s="1" customFormat="1" ht="15.75" thickBot="1" x14ac:dyDescent="0.3">
      <c r="A8" s="1" t="s">
        <v>377</v>
      </c>
      <c r="B8" s="1" t="s">
        <v>378</v>
      </c>
      <c r="C8" s="1" t="s">
        <v>379</v>
      </c>
      <c r="D8" s="1" t="s">
        <v>380</v>
      </c>
      <c r="E8" s="1" t="s">
        <v>381</v>
      </c>
      <c r="F8" s="1" t="s">
        <v>382</v>
      </c>
      <c r="G8" s="1" t="s">
        <v>383</v>
      </c>
      <c r="H8" s="2" t="s">
        <v>384</v>
      </c>
      <c r="I8" s="9" t="s">
        <v>82</v>
      </c>
      <c r="J8" s="9" t="s">
        <v>385</v>
      </c>
      <c r="K8" s="9" t="s">
        <v>386</v>
      </c>
      <c r="L8" s="9" t="s">
        <v>387</v>
      </c>
      <c r="M8" s="9" t="s">
        <v>388</v>
      </c>
      <c r="N8" s="9" t="s">
        <v>389</v>
      </c>
      <c r="O8" s="9" t="s">
        <v>377</v>
      </c>
      <c r="P8" s="9" t="s">
        <v>390</v>
      </c>
      <c r="Q8" s="9" t="s">
        <v>391</v>
      </c>
      <c r="R8" s="9" t="s">
        <v>392</v>
      </c>
      <c r="S8" s="9" t="s">
        <v>393</v>
      </c>
      <c r="T8" s="9" t="s">
        <v>394</v>
      </c>
      <c r="U8" s="9" t="s">
        <v>395</v>
      </c>
      <c r="V8" s="305" t="s">
        <v>396</v>
      </c>
      <c r="W8" s="9" t="s">
        <v>397</v>
      </c>
      <c r="X8" s="9" t="s">
        <v>2983</v>
      </c>
      <c r="Y8" s="9" t="s">
        <v>398</v>
      </c>
      <c r="Z8" s="9" t="s">
        <v>399</v>
      </c>
      <c r="AA8" s="9" t="s">
        <v>400</v>
      </c>
      <c r="AB8" s="9" t="s">
        <v>401</v>
      </c>
      <c r="AC8" s="9" t="s">
        <v>402</v>
      </c>
      <c r="AD8" s="9" t="s">
        <v>403</v>
      </c>
      <c r="AE8" s="17" t="s">
        <v>404</v>
      </c>
      <c r="AF8" s="4" t="s">
        <v>376</v>
      </c>
      <c r="AG8" s="55" t="s">
        <v>405</v>
      </c>
      <c r="AH8" s="4" t="s">
        <v>406</v>
      </c>
      <c r="AI8" s="99" t="s">
        <v>407</v>
      </c>
      <c r="AJ8" s="69" t="s">
        <v>408</v>
      </c>
      <c r="AK8" s="1" t="s">
        <v>409</v>
      </c>
      <c r="AL8" s="1" t="s">
        <v>409</v>
      </c>
      <c r="AM8" s="1" t="s">
        <v>409</v>
      </c>
      <c r="AN8" s="1" t="s">
        <v>410</v>
      </c>
      <c r="AO8" s="1" t="s">
        <v>411</v>
      </c>
      <c r="AP8" s="1" t="s">
        <v>412</v>
      </c>
      <c r="AQ8" s="1" t="s">
        <v>378</v>
      </c>
      <c r="AR8" s="1" t="s">
        <v>413</v>
      </c>
      <c r="AS8" s="1" t="s">
        <v>414</v>
      </c>
      <c r="AT8" s="1" t="s">
        <v>2872</v>
      </c>
      <c r="AU8" s="1" t="s">
        <v>415</v>
      </c>
      <c r="AV8" s="1" t="s">
        <v>2971</v>
      </c>
      <c r="AW8" s="1" t="s">
        <v>2972</v>
      </c>
      <c r="AX8" s="9" t="s">
        <v>416</v>
      </c>
      <c r="AY8" s="9" t="s">
        <v>417</v>
      </c>
      <c r="AZ8" s="1" t="s">
        <v>418</v>
      </c>
      <c r="BA8" s="1" t="s">
        <v>419</v>
      </c>
      <c r="BB8" s="1" t="s">
        <v>420</v>
      </c>
      <c r="BC8" s="1" t="s">
        <v>421</v>
      </c>
      <c r="BD8" s="1" t="s">
        <v>422</v>
      </c>
      <c r="BE8" s="1" t="s">
        <v>423</v>
      </c>
      <c r="BF8" s="1" t="s">
        <v>424</v>
      </c>
      <c r="BG8" s="1" t="s">
        <v>425</v>
      </c>
    </row>
    <row r="9" spans="1:60" s="232" customFormat="1" x14ac:dyDescent="0.25">
      <c r="A9" s="232" t="str">
        <f>IF(O9&lt;&gt;"",O9,"")</f>
        <v/>
      </c>
      <c r="B9" s="358" t="str">
        <f>IF(AQ9&lt;&gt;"",AQ9,"")</f>
        <v/>
      </c>
      <c r="C9" s="358" t="str">
        <f>IF(AS9&lt;&gt;"",AS9,"")</f>
        <v/>
      </c>
      <c r="D9" s="358"/>
      <c r="E9" s="358" t="str">
        <f t="shared" ref="E9:E72" si="0">IF(B9&lt;&gt;"",COUNTIF($B$9:$B$2175,B9),"")</f>
        <v/>
      </c>
      <c r="F9" s="232" t="s">
        <v>426</v>
      </c>
      <c r="G9" s="241">
        <v>44683</v>
      </c>
      <c r="H9" s="250"/>
      <c r="I9" s="250"/>
      <c r="J9" s="251" t="s">
        <v>427</v>
      </c>
      <c r="K9" s="251" t="s">
        <v>428</v>
      </c>
      <c r="L9" s="251" t="s">
        <v>429</v>
      </c>
      <c r="M9" s="251" t="s">
        <v>430</v>
      </c>
      <c r="N9" s="251"/>
      <c r="O9" s="251"/>
      <c r="P9" s="251"/>
      <c r="Q9" s="251"/>
      <c r="R9" s="286" t="str">
        <f t="shared" ref="R9:R72" si="1">CONCATENATE(O9,". ",Z9)</f>
        <v>. Scuff Plates SET4</v>
      </c>
      <c r="S9" s="286"/>
      <c r="T9" s="251"/>
      <c r="U9" s="251"/>
      <c r="V9" s="251"/>
      <c r="W9" s="251"/>
      <c r="X9" s="251"/>
      <c r="Y9" s="251"/>
      <c r="Z9" s="251" t="s">
        <v>431</v>
      </c>
      <c r="AA9" s="251" t="s">
        <v>432</v>
      </c>
      <c r="AB9" s="251"/>
      <c r="AC9" s="251" t="s">
        <v>433</v>
      </c>
      <c r="AD9" s="250"/>
      <c r="AE9" s="250">
        <v>100</v>
      </c>
      <c r="AF9" s="252" t="s">
        <v>434</v>
      </c>
      <c r="AG9" s="247"/>
      <c r="AH9" s="248" t="s">
        <v>435</v>
      </c>
      <c r="AJ9" s="249"/>
      <c r="AK9" s="232" t="s">
        <v>436</v>
      </c>
      <c r="AL9" s="232" t="s">
        <v>437</v>
      </c>
      <c r="AX9" s="251"/>
      <c r="AY9" s="251"/>
      <c r="AZ9" s="232" t="str">
        <f>IF($AX9="Yes",'8. Option Codes Decrypted'!$C$15,"")</f>
        <v/>
      </c>
      <c r="BA9" s="232" t="str">
        <f>IF($AX9="Yes",'8. Option Codes Decrypted'!$C$16,"")</f>
        <v/>
      </c>
      <c r="BB9" s="232" t="str">
        <f>IF($AX9="Yes",'8. Option Codes Decrypted'!$C$17,"")</f>
        <v/>
      </c>
      <c r="BC9" s="232" t="str">
        <f>IF($AX9="Yes",'8. Option Codes Decrypted'!$C$18,"")</f>
        <v/>
      </c>
      <c r="BD9" s="232" t="str">
        <f>IF($AY9="Yes",'8. Option Codes Decrypted'!$C$20,"")</f>
        <v/>
      </c>
      <c r="BE9" s="232" t="str">
        <f>IF($AY9="Yes",'8. Option Codes Decrypted'!$C$21,"")</f>
        <v/>
      </c>
      <c r="BF9" s="232" t="str">
        <f>IF($AY9="Yes",'8. Option Codes Decrypted'!$C$22,"")</f>
        <v/>
      </c>
      <c r="BG9" s="232" t="str">
        <f>IF($AY9="Yes",'8. Option Codes Decrypted'!$C$23,"")</f>
        <v/>
      </c>
    </row>
    <row r="10" spans="1:60" s="232" customFormat="1" ht="15.75" thickBot="1" x14ac:dyDescent="0.3">
      <c r="A10" s="232" t="str">
        <f t="shared" ref="A10:A73" si="2">IF(O10&lt;&gt;"",O10,"")</f>
        <v/>
      </c>
      <c r="B10" s="358" t="str">
        <f>IF(AQ10&lt;&gt;"",AQ10,"")</f>
        <v/>
      </c>
      <c r="C10" s="358" t="str">
        <f>IF(AS10&lt;&gt;"",AS10,"")</f>
        <v/>
      </c>
      <c r="D10" s="358"/>
      <c r="E10" s="358" t="str">
        <f t="shared" si="0"/>
        <v/>
      </c>
      <c r="F10" s="232" t="s">
        <v>426</v>
      </c>
      <c r="G10" s="241">
        <v>44683</v>
      </c>
      <c r="H10" s="250"/>
      <c r="I10" s="250"/>
      <c r="J10" s="251" t="s">
        <v>427</v>
      </c>
      <c r="K10" s="251" t="s">
        <v>428</v>
      </c>
      <c r="L10" s="251" t="s">
        <v>429</v>
      </c>
      <c r="M10" s="251" t="s">
        <v>430</v>
      </c>
      <c r="N10" s="251"/>
      <c r="O10" s="251"/>
      <c r="P10" s="251"/>
      <c r="Q10" s="251"/>
      <c r="R10" s="286" t="str">
        <f t="shared" si="1"/>
        <v>. Scuff Plates SET2</v>
      </c>
      <c r="S10" s="364"/>
      <c r="T10" s="251"/>
      <c r="U10" s="251"/>
      <c r="V10" s="251"/>
      <c r="W10" s="251"/>
      <c r="X10" s="251"/>
      <c r="Y10" s="251"/>
      <c r="Z10" s="251" t="s">
        <v>438</v>
      </c>
      <c r="AA10" s="251" t="s">
        <v>432</v>
      </c>
      <c r="AB10" s="251"/>
      <c r="AC10" s="251" t="s">
        <v>439</v>
      </c>
      <c r="AD10" s="250"/>
      <c r="AE10" s="250">
        <v>60</v>
      </c>
      <c r="AF10" s="252" t="s">
        <v>434</v>
      </c>
      <c r="AG10" s="247"/>
      <c r="AH10" s="248" t="s">
        <v>435</v>
      </c>
      <c r="AJ10" s="249"/>
      <c r="AK10" s="232" t="s">
        <v>436</v>
      </c>
      <c r="AL10" s="232" t="s">
        <v>437</v>
      </c>
      <c r="AX10" s="251"/>
      <c r="AY10" s="251"/>
      <c r="AZ10" s="232" t="str">
        <f>IF($AX10="Yes",'8. Option Codes Decrypted'!$C$15,"")</f>
        <v/>
      </c>
      <c r="BA10" s="232" t="str">
        <f>IF($AX10="Yes",'8. Option Codes Decrypted'!$C$16,"")</f>
        <v/>
      </c>
      <c r="BB10" s="232" t="str">
        <f>IF($AX10="Yes",'8. Option Codes Decrypted'!$C$17,"")</f>
        <v/>
      </c>
      <c r="BC10" s="232" t="str">
        <f>IF($AX10="Yes",'8. Option Codes Decrypted'!$C$18,"")</f>
        <v/>
      </c>
      <c r="BD10" s="232" t="str">
        <f>IF($AY10="Yes",'8. Option Codes Decrypted'!$C$20,"")</f>
        <v/>
      </c>
      <c r="BE10" s="232" t="str">
        <f>IF($AY10="Yes",'8. Option Codes Decrypted'!$C$21,"")</f>
        <v/>
      </c>
      <c r="BF10" s="232" t="str">
        <f>IF($AY10="Yes",'8. Option Codes Decrypted'!$C$22,"")</f>
        <v/>
      </c>
      <c r="BG10" s="232" t="str">
        <f>IF($AY10="Yes",'8. Option Codes Decrypted'!$C$23,"")</f>
        <v/>
      </c>
    </row>
    <row r="11" spans="1:60" s="232" customFormat="1" ht="15.75" thickBot="1" x14ac:dyDescent="0.3">
      <c r="A11" s="232" t="str">
        <f t="shared" si="2"/>
        <v>A47</v>
      </c>
      <c r="B11" s="358" t="str">
        <f>IF(AQ11&lt;&gt;"",AQ11,"")</f>
        <v>129-52061</v>
      </c>
      <c r="C11" s="358" t="s">
        <v>440</v>
      </c>
      <c r="D11" s="358"/>
      <c r="E11" s="358">
        <f t="shared" si="0"/>
        <v>2</v>
      </c>
      <c r="F11" s="232" t="s">
        <v>426</v>
      </c>
      <c r="G11" s="241">
        <v>44670</v>
      </c>
      <c r="H11" s="253"/>
      <c r="I11" s="243" t="s">
        <v>441</v>
      </c>
      <c r="J11" s="244" t="s">
        <v>427</v>
      </c>
      <c r="K11" s="244" t="s">
        <v>442</v>
      </c>
      <c r="L11" s="244" t="s">
        <v>443</v>
      </c>
      <c r="M11" s="243" t="s">
        <v>444</v>
      </c>
      <c r="N11" s="243">
        <v>37</v>
      </c>
      <c r="O11" s="285" t="s">
        <v>291</v>
      </c>
      <c r="P11" s="285" t="s">
        <v>445</v>
      </c>
      <c r="Q11" s="285">
        <v>1</v>
      </c>
      <c r="R11" s="362" t="str">
        <f t="shared" si="1"/>
        <v>A47. Door Handle, Exterior - FRONT - LEFT</v>
      </c>
      <c r="S11" s="365" t="str">
        <f>HYPERLINK(VLOOKUP(O11,'3D. Pictures'!$B$3:$E$500,4,FALSE),"PIC")</f>
        <v>PIC</v>
      </c>
      <c r="T11" s="363">
        <v>5</v>
      </c>
      <c r="U11" s="244" t="s">
        <v>446</v>
      </c>
      <c r="V11" s="243" t="s">
        <v>80</v>
      </c>
      <c r="W11" s="244"/>
      <c r="X11" s="244"/>
      <c r="Y11" s="244"/>
      <c r="Z11" s="244" t="s">
        <v>447</v>
      </c>
      <c r="AA11" s="244" t="s">
        <v>448</v>
      </c>
      <c r="AB11" s="244"/>
      <c r="AC11" s="244" t="s">
        <v>449</v>
      </c>
      <c r="AD11" s="244" t="s">
        <v>450</v>
      </c>
      <c r="AE11" s="246">
        <v>150</v>
      </c>
      <c r="AF11" s="252" t="s">
        <v>434</v>
      </c>
      <c r="AG11" s="247"/>
      <c r="AH11" s="248" t="s">
        <v>435</v>
      </c>
      <c r="AI11" s="247"/>
      <c r="AJ11" s="249"/>
      <c r="AK11" s="232" t="s">
        <v>451</v>
      </c>
      <c r="AL11" s="232" t="s">
        <v>452</v>
      </c>
      <c r="AN11" s="233" t="str">
        <f>LEFT(AK11,3)</f>
        <v>129</v>
      </c>
      <c r="AO11" s="232" t="s">
        <v>411</v>
      </c>
      <c r="AP11" s="232">
        <v>52061</v>
      </c>
      <c r="AQ11" s="232" t="str">
        <f>CONCATENATE(AN11,AO11,AP11)</f>
        <v>129-52061</v>
      </c>
      <c r="AR11" s="232" t="s">
        <v>453</v>
      </c>
      <c r="AX11" s="244" t="s">
        <v>80</v>
      </c>
      <c r="AY11" s="244"/>
      <c r="AZ11" s="232" t="str">
        <f>IF($AX11="Yes",'8. Option Codes Decrypted'!$C$15,"")</f>
        <v>Painted</v>
      </c>
      <c r="BA11" s="232" t="str">
        <f>IF($AX11="Yes",'8. Option Codes Decrypted'!$C$16,"")</f>
        <v>Brown</v>
      </c>
      <c r="BB11" s="232" t="str">
        <f>IF($AX11="Yes",'8. Option Codes Decrypted'!$C$17,"")</f>
        <v>Sparkling Brown Metallic</v>
      </c>
      <c r="BC11" s="232" t="str">
        <f>IF($AX11="Yes",'8. Option Codes Decrypted'!$C$18,"")</f>
        <v>B53</v>
      </c>
      <c r="BD11" s="232" t="str">
        <f>IF($AY11="Yes",'8. Option Codes Decrypted'!$C$20,"")</f>
        <v/>
      </c>
      <c r="BE11" s="232" t="str">
        <f>IF($AY11="Yes",'8. Option Codes Decrypted'!$C$21,"")</f>
        <v/>
      </c>
      <c r="BF11" s="232" t="str">
        <f>IF($AY11="Yes",'8. Option Codes Decrypted'!$C$22,"")</f>
        <v/>
      </c>
      <c r="BG11" s="232" t="str">
        <f>IF($AY11="Yes",'8. Option Codes Decrypted'!$C$23,"")</f>
        <v/>
      </c>
      <c r="BH11" s="232" t="str">
        <f>C11</f>
        <v>129-52061-1</v>
      </c>
    </row>
    <row r="12" spans="1:60" s="232" customFormat="1" ht="15.75" thickBot="1" x14ac:dyDescent="0.3">
      <c r="A12" s="232" t="str">
        <f t="shared" si="2"/>
        <v/>
      </c>
      <c r="B12" s="358" t="str">
        <f t="shared" ref="B12" si="3">IF(AQ12&lt;&gt;"",AQ12,"")</f>
        <v>129-52063</v>
      </c>
      <c r="C12" s="358" t="s">
        <v>454</v>
      </c>
      <c r="D12" s="358"/>
      <c r="E12" s="358">
        <f t="shared" si="0"/>
        <v>2</v>
      </c>
      <c r="F12" s="232" t="s">
        <v>426</v>
      </c>
      <c r="G12" s="241">
        <v>44670</v>
      </c>
      <c r="H12" s="253"/>
      <c r="I12" s="243" t="s">
        <v>441</v>
      </c>
      <c r="J12" s="244" t="s">
        <v>427</v>
      </c>
      <c r="K12" s="244" t="s">
        <v>442</v>
      </c>
      <c r="L12" s="244" t="s">
        <v>443</v>
      </c>
      <c r="M12" s="243" t="s">
        <v>444</v>
      </c>
      <c r="N12" s="243"/>
      <c r="O12" s="285"/>
      <c r="P12" s="285"/>
      <c r="Q12" s="285"/>
      <c r="R12" s="286" t="str">
        <f t="shared" si="1"/>
        <v>. Door Handle, Exterior - FRONT - LEFT</v>
      </c>
      <c r="S12" s="286"/>
      <c r="T12" s="243"/>
      <c r="U12" s="250" t="s">
        <v>455</v>
      </c>
      <c r="V12" s="243" t="s">
        <v>80</v>
      </c>
      <c r="W12" s="244"/>
      <c r="X12" s="244"/>
      <c r="Y12" s="244"/>
      <c r="Z12" s="244" t="s">
        <v>447</v>
      </c>
      <c r="AA12" s="244" t="s">
        <v>448</v>
      </c>
      <c r="AB12" s="244"/>
      <c r="AC12" s="244" t="s">
        <v>449</v>
      </c>
      <c r="AD12" s="244" t="s">
        <v>450</v>
      </c>
      <c r="AE12" s="246">
        <v>120</v>
      </c>
      <c r="AF12" s="252" t="s">
        <v>434</v>
      </c>
      <c r="AG12" s="247"/>
      <c r="AH12" s="248" t="s">
        <v>435</v>
      </c>
      <c r="AI12" s="247"/>
      <c r="AJ12" s="249"/>
      <c r="AK12" s="232" t="s">
        <v>451</v>
      </c>
      <c r="AL12" s="232" t="s">
        <v>452</v>
      </c>
      <c r="AN12" s="233" t="str">
        <f>LEFT(AK12,3)</f>
        <v>129</v>
      </c>
      <c r="AO12" s="232" t="s">
        <v>411</v>
      </c>
      <c r="AP12" s="232">
        <v>52063</v>
      </c>
      <c r="AQ12" s="232" t="str">
        <f>CONCATENATE(AN12,AO12,AP12)</f>
        <v>129-52063</v>
      </c>
      <c r="AR12" s="232" t="s">
        <v>456</v>
      </c>
      <c r="AX12" s="244" t="s">
        <v>80</v>
      </c>
      <c r="AY12" s="244"/>
      <c r="AZ12" s="232" t="str">
        <f>IF($AX12="Yes",'8. Option Codes Decrypted'!$C$15,"")</f>
        <v>Painted</v>
      </c>
      <c r="BA12" s="232" t="str">
        <f>IF($AX12="Yes",'8. Option Codes Decrypted'!$C$16,"")</f>
        <v>Brown</v>
      </c>
      <c r="BB12" s="232" t="str">
        <f>IF($AX12="Yes",'8. Option Codes Decrypted'!$C$17,"")</f>
        <v>Sparkling Brown Metallic</v>
      </c>
      <c r="BC12" s="232" t="str">
        <f>IF($AX12="Yes",'8. Option Codes Decrypted'!$C$18,"")</f>
        <v>B53</v>
      </c>
      <c r="BD12" s="232" t="str">
        <f>IF($AY12="Yes",'8. Option Codes Decrypted'!$C$20,"")</f>
        <v/>
      </c>
      <c r="BE12" s="232" t="str">
        <f>IF($AY12="Yes",'8. Option Codes Decrypted'!$C$21,"")</f>
        <v/>
      </c>
      <c r="BF12" s="232" t="str">
        <f>IF($AY12="Yes",'8. Option Codes Decrypted'!$C$22,"")</f>
        <v/>
      </c>
      <c r="BG12" s="232" t="str">
        <f>IF($AY12="Yes",'8. Option Codes Decrypted'!$C$23,"")</f>
        <v/>
      </c>
      <c r="BH12" s="232" t="str">
        <f>C12</f>
        <v>129-52063-1</v>
      </c>
    </row>
    <row r="13" spans="1:60" s="232" customFormat="1" ht="15.75" thickBot="1" x14ac:dyDescent="0.3">
      <c r="A13" s="232" t="str">
        <f t="shared" si="2"/>
        <v>A30</v>
      </c>
      <c r="B13" s="358" t="str">
        <f>IF(AQ13&lt;&gt;"",AQ13,"")</f>
        <v>285-999723</v>
      </c>
      <c r="C13" s="358" t="str">
        <f t="shared" ref="C13:C33" si="4">IF(AS13&lt;&gt;"",AS13,"")</f>
        <v/>
      </c>
      <c r="D13" s="358"/>
      <c r="E13" s="358">
        <f t="shared" si="0"/>
        <v>1</v>
      </c>
      <c r="F13" s="232" t="s">
        <v>426</v>
      </c>
      <c r="G13" s="241">
        <v>44670</v>
      </c>
      <c r="H13" s="250"/>
      <c r="I13" s="250"/>
      <c r="J13" s="250" t="s">
        <v>427</v>
      </c>
      <c r="K13" s="250" t="s">
        <v>442</v>
      </c>
      <c r="L13" s="250" t="s">
        <v>457</v>
      </c>
      <c r="M13" s="254" t="s">
        <v>458</v>
      </c>
      <c r="N13" s="254">
        <v>20</v>
      </c>
      <c r="O13" s="287" t="s">
        <v>274</v>
      </c>
      <c r="P13" s="287" t="s">
        <v>459</v>
      </c>
      <c r="Q13" s="287">
        <v>1</v>
      </c>
      <c r="R13" s="286" t="str">
        <f t="shared" si="1"/>
        <v>A30. Door Latch, FRONT - LEFT Soft Close WITH Actuator SET2</v>
      </c>
      <c r="S13" s="365" t="str">
        <f>HYPERLINK(VLOOKUP(O13,'3D. Pictures'!$B$3:$E$500,4,FALSE),"PIC")</f>
        <v>PIC</v>
      </c>
      <c r="T13" s="254">
        <v>6</v>
      </c>
      <c r="U13" s="244" t="s">
        <v>460</v>
      </c>
      <c r="V13" s="254" t="s">
        <v>80</v>
      </c>
      <c r="W13" s="244"/>
      <c r="X13" s="244"/>
      <c r="Y13" s="244"/>
      <c r="Z13" s="250" t="s">
        <v>461</v>
      </c>
      <c r="AA13" s="250" t="s">
        <v>462</v>
      </c>
      <c r="AB13" s="250" t="s">
        <v>463</v>
      </c>
      <c r="AC13" s="244" t="s">
        <v>449</v>
      </c>
      <c r="AD13" s="250"/>
      <c r="AE13" s="255">
        <v>250</v>
      </c>
      <c r="AF13" s="252" t="s">
        <v>434</v>
      </c>
      <c r="AG13" s="247"/>
      <c r="AH13" s="248" t="s">
        <v>435</v>
      </c>
      <c r="AJ13" s="249"/>
      <c r="AK13" s="232" t="s">
        <v>464</v>
      </c>
      <c r="AL13" s="232" t="s">
        <v>465</v>
      </c>
      <c r="AN13" s="233">
        <v>285</v>
      </c>
      <c r="AO13" s="232" t="s">
        <v>411</v>
      </c>
      <c r="AP13" s="232">
        <v>999723</v>
      </c>
      <c r="AQ13" s="232" t="str">
        <f>CONCATENATE(AN13,AO13,AP13)</f>
        <v>285-999723</v>
      </c>
      <c r="AR13" s="232" t="s">
        <v>466</v>
      </c>
      <c r="AX13" s="244"/>
      <c r="AY13" s="244"/>
      <c r="AZ13" s="232" t="str">
        <f>IF($AX13="Yes",'8. Option Codes Decrypted'!$C$15,"")</f>
        <v/>
      </c>
      <c r="BA13" s="232" t="str">
        <f>IF($AX13="Yes",'8. Option Codes Decrypted'!$C$16,"")</f>
        <v/>
      </c>
      <c r="BB13" s="232" t="str">
        <f>IF($AX13="Yes",'8. Option Codes Decrypted'!$C$17,"")</f>
        <v/>
      </c>
      <c r="BC13" s="232" t="str">
        <f>IF($AX13="Yes",'8. Option Codes Decrypted'!$C$18,"")</f>
        <v/>
      </c>
      <c r="BD13" s="232" t="str">
        <f>IF($AY13="Yes",'8. Option Codes Decrypted'!$C$20,"")</f>
        <v/>
      </c>
      <c r="BE13" s="232" t="str">
        <f>IF($AY13="Yes",'8. Option Codes Decrypted'!$C$21,"")</f>
        <v/>
      </c>
      <c r="BF13" s="232" t="str">
        <f>IF($AY13="Yes",'8. Option Codes Decrypted'!$C$22,"")</f>
        <v/>
      </c>
      <c r="BG13" s="232" t="str">
        <f>IF($AY13="Yes",'8. Option Codes Decrypted'!$C$23,"")</f>
        <v/>
      </c>
    </row>
    <row r="14" spans="1:60" s="232" customFormat="1" x14ac:dyDescent="0.25">
      <c r="A14" s="232" t="str">
        <f t="shared" si="2"/>
        <v/>
      </c>
      <c r="B14" s="358" t="str">
        <f>IF(AQ14&lt;&gt;"",AQ14,"")</f>
        <v>285-999717</v>
      </c>
      <c r="C14" s="358" t="str">
        <f t="shared" si="4"/>
        <v/>
      </c>
      <c r="D14" s="358"/>
      <c r="E14" s="358">
        <f t="shared" si="0"/>
        <v>1</v>
      </c>
      <c r="F14" s="232" t="s">
        <v>426</v>
      </c>
      <c r="G14" s="241">
        <v>44670</v>
      </c>
      <c r="H14" s="250"/>
      <c r="I14" s="250"/>
      <c r="J14" s="250" t="s">
        <v>427</v>
      </c>
      <c r="K14" s="250" t="s">
        <v>442</v>
      </c>
      <c r="L14" s="250" t="s">
        <v>457</v>
      </c>
      <c r="M14" s="254" t="s">
        <v>458</v>
      </c>
      <c r="N14" s="254"/>
      <c r="O14" s="287"/>
      <c r="P14" s="287"/>
      <c r="Q14" s="287"/>
      <c r="R14" s="286" t="str">
        <f t="shared" si="1"/>
        <v>. Door Latch, FRONT - LEFT WITHOUT Soft Close</v>
      </c>
      <c r="S14" s="286"/>
      <c r="T14" s="254"/>
      <c r="U14" s="244" t="s">
        <v>467</v>
      </c>
      <c r="V14" s="254" t="s">
        <v>80</v>
      </c>
      <c r="W14" s="244"/>
      <c r="X14" s="244"/>
      <c r="Y14" s="244"/>
      <c r="Z14" s="250" t="s">
        <v>468</v>
      </c>
      <c r="AA14" s="250" t="s">
        <v>469</v>
      </c>
      <c r="AB14" s="250"/>
      <c r="AC14" s="244" t="s">
        <v>449</v>
      </c>
      <c r="AD14" s="250"/>
      <c r="AE14" s="255">
        <v>78</v>
      </c>
      <c r="AF14" s="252" t="s">
        <v>434</v>
      </c>
      <c r="AG14" s="247"/>
      <c r="AH14" s="248" t="s">
        <v>435</v>
      </c>
      <c r="AJ14" s="249"/>
      <c r="AK14" s="232" t="s">
        <v>464</v>
      </c>
      <c r="AL14" s="232" t="s">
        <v>465</v>
      </c>
      <c r="AN14" s="233">
        <v>285</v>
      </c>
      <c r="AO14" s="232" t="s">
        <v>411</v>
      </c>
      <c r="AP14" s="232">
        <v>999717</v>
      </c>
      <c r="AQ14" s="232" t="str">
        <f>CONCATENATE(AN14,AO14,AP14)</f>
        <v>285-999717</v>
      </c>
      <c r="AR14" s="232" t="s">
        <v>470</v>
      </c>
      <c r="AX14" s="244"/>
      <c r="AY14" s="244"/>
      <c r="AZ14" s="232" t="str">
        <f>IF($AX14="Yes",'8. Option Codes Decrypted'!$C$15,"")</f>
        <v/>
      </c>
      <c r="BA14" s="232" t="str">
        <f>IF($AX14="Yes",'8. Option Codes Decrypted'!$C$16,"")</f>
        <v/>
      </c>
      <c r="BB14" s="232" t="str">
        <f>IF($AX14="Yes",'8. Option Codes Decrypted'!$C$17,"")</f>
        <v/>
      </c>
      <c r="BC14" s="232" t="str">
        <f>IF($AX14="Yes",'8. Option Codes Decrypted'!$C$18,"")</f>
        <v/>
      </c>
      <c r="BD14" s="232" t="str">
        <f>IF($AY14="Yes",'8. Option Codes Decrypted'!$C$20,"")</f>
        <v/>
      </c>
      <c r="BE14" s="232" t="str">
        <f>IF($AY14="Yes",'8. Option Codes Decrypted'!$C$21,"")</f>
        <v/>
      </c>
      <c r="BF14" s="232" t="str">
        <f>IF($AY14="Yes",'8. Option Codes Decrypted'!$C$22,"")</f>
        <v/>
      </c>
      <c r="BG14" s="232" t="str">
        <f>IF($AY14="Yes",'8. Option Codes Decrypted'!$C$23,"")</f>
        <v/>
      </c>
    </row>
    <row r="15" spans="1:60" x14ac:dyDescent="0.25">
      <c r="A15" s="232" t="str">
        <f t="shared" si="2"/>
        <v/>
      </c>
      <c r="B15" s="358" t="str">
        <f>IF(AQ15&lt;&gt;"",AQ15,"")</f>
        <v/>
      </c>
      <c r="C15" s="358" t="str">
        <f t="shared" si="4"/>
        <v/>
      </c>
      <c r="D15" s="358"/>
      <c r="E15" s="358" t="str">
        <f t="shared" si="0"/>
        <v/>
      </c>
      <c r="F15" t="s">
        <v>426</v>
      </c>
      <c r="G15" s="230">
        <v>44684</v>
      </c>
      <c r="H15" s="16"/>
      <c r="I15" s="16"/>
      <c r="J15" s="16" t="s">
        <v>427</v>
      </c>
      <c r="K15" s="191" t="s">
        <v>442</v>
      </c>
      <c r="L15" s="16" t="s">
        <v>471</v>
      </c>
      <c r="M15" s="191" t="s">
        <v>430</v>
      </c>
      <c r="N15" s="191"/>
      <c r="O15" s="191"/>
      <c r="P15" s="191"/>
      <c r="Q15" s="191"/>
      <c r="R15" s="286" t="str">
        <f t="shared" si="1"/>
        <v>. Door Lock Cylinder - LEFT FRONT (put in module box for SET A)</v>
      </c>
      <c r="S15" s="286"/>
      <c r="T15" s="191"/>
      <c r="U15" s="191"/>
      <c r="V15" s="191"/>
      <c r="W15" s="191"/>
      <c r="X15" s="191"/>
      <c r="Y15" s="191"/>
      <c r="Z15" s="16" t="s">
        <v>472</v>
      </c>
      <c r="AA15" s="16" t="s">
        <v>472</v>
      </c>
      <c r="AB15" s="16" t="s">
        <v>472</v>
      </c>
      <c r="AC15" s="193" t="s">
        <v>449</v>
      </c>
      <c r="AD15" s="16" t="s">
        <v>473</v>
      </c>
      <c r="AE15" s="192" t="s">
        <v>474</v>
      </c>
      <c r="AF15" s="99" t="s">
        <v>434</v>
      </c>
      <c r="AH15" s="3" t="s">
        <v>435</v>
      </c>
      <c r="AJ15" s="69"/>
      <c r="AK15" t="s">
        <v>464</v>
      </c>
      <c r="AL15" t="s">
        <v>465</v>
      </c>
      <c r="AN15"/>
      <c r="AX15" s="191"/>
      <c r="AY15" s="191"/>
      <c r="AZ15" s="232" t="str">
        <f>IF($AX15="Yes",'8. Option Codes Decrypted'!$C$15,"")</f>
        <v/>
      </c>
      <c r="BA15" s="232" t="str">
        <f>IF($AX15="Yes",'8. Option Codes Decrypted'!$C$16,"")</f>
        <v/>
      </c>
      <c r="BB15" s="232" t="str">
        <f>IF($AX15="Yes",'8. Option Codes Decrypted'!$C$17,"")</f>
        <v/>
      </c>
      <c r="BC15" s="232" t="str">
        <f>IF($AX15="Yes",'8. Option Codes Decrypted'!$C$18,"")</f>
        <v/>
      </c>
      <c r="BD15" s="232" t="str">
        <f>IF($AY15="Yes",'8. Option Codes Decrypted'!$C$20,"")</f>
        <v/>
      </c>
      <c r="BE15" s="232" t="str">
        <f>IF($AY15="Yes",'8. Option Codes Decrypted'!$C$21,"")</f>
        <v/>
      </c>
      <c r="BF15" s="232" t="str">
        <f>IF($AY15="Yes",'8. Option Codes Decrypted'!$C$22,"")</f>
        <v/>
      </c>
      <c r="BG15" s="232" t="str">
        <f>IF($AY15="Yes",'8. Option Codes Decrypted'!$C$23,"")</f>
        <v/>
      </c>
    </row>
    <row r="16" spans="1:60" s="232" customFormat="1" x14ac:dyDescent="0.25">
      <c r="A16" s="232" t="str">
        <f t="shared" si="2"/>
        <v/>
      </c>
      <c r="B16" s="358" t="str">
        <f t="shared" ref="B16:B25" si="5">IF(AQ16&lt;&gt;"",AQ16,"")</f>
        <v>128-11745</v>
      </c>
      <c r="C16" s="358" t="str">
        <f t="shared" si="4"/>
        <v/>
      </c>
      <c r="D16" s="358"/>
      <c r="E16" s="358">
        <f t="shared" si="0"/>
        <v>1</v>
      </c>
      <c r="F16" s="232" t="s">
        <v>426</v>
      </c>
      <c r="G16" s="241">
        <v>44670</v>
      </c>
      <c r="H16" s="242"/>
      <c r="I16" s="243" t="s">
        <v>441</v>
      </c>
      <c r="J16" s="244" t="s">
        <v>427</v>
      </c>
      <c r="K16" s="245" t="s">
        <v>442</v>
      </c>
      <c r="L16" s="244" t="s">
        <v>475</v>
      </c>
      <c r="M16" s="243" t="s">
        <v>444</v>
      </c>
      <c r="N16" s="243"/>
      <c r="O16" s="285"/>
      <c r="P16" s="285"/>
      <c r="Q16" s="285"/>
      <c r="R16" s="286" t="str">
        <f t="shared" si="1"/>
        <v>. Mirror, Door - FRONT LEFT</v>
      </c>
      <c r="S16" s="286"/>
      <c r="T16" s="243"/>
      <c r="U16" s="244"/>
      <c r="V16" s="243"/>
      <c r="W16" s="244"/>
      <c r="X16" s="244"/>
      <c r="Y16" s="244"/>
      <c r="Z16" s="244" t="s">
        <v>476</v>
      </c>
      <c r="AA16" s="244"/>
      <c r="AB16" s="244"/>
      <c r="AC16" s="244" t="s">
        <v>449</v>
      </c>
      <c r="AD16" s="244"/>
      <c r="AE16" s="246">
        <v>1000</v>
      </c>
      <c r="AF16" s="232" t="s">
        <v>477</v>
      </c>
      <c r="AG16" s="247"/>
      <c r="AH16" s="248" t="s">
        <v>435</v>
      </c>
      <c r="AJ16" s="249"/>
      <c r="AK16" s="232" t="s">
        <v>477</v>
      </c>
      <c r="AL16" s="232" t="s">
        <v>478</v>
      </c>
      <c r="AN16" s="233">
        <v>128</v>
      </c>
      <c r="AO16" s="232" t="s">
        <v>411</v>
      </c>
      <c r="AP16" s="232">
        <v>11745</v>
      </c>
      <c r="AQ16" s="232" t="str">
        <f t="shared" ref="AQ16:AQ27" si="6">CONCATENATE(AN16,AO16,AP16)</f>
        <v>128-11745</v>
      </c>
      <c r="AR16" s="232" t="s">
        <v>479</v>
      </c>
      <c r="AX16" s="244" t="s">
        <v>80</v>
      </c>
      <c r="AY16" s="244"/>
      <c r="AZ16" s="232" t="str">
        <f>IF($AX16="Yes",'8. Option Codes Decrypted'!$C$15,"")</f>
        <v>Painted</v>
      </c>
      <c r="BA16" s="232" t="str">
        <f>IF($AX16="Yes",'8. Option Codes Decrypted'!$C$16,"")</f>
        <v>Brown</v>
      </c>
      <c r="BB16" s="232" t="str">
        <f>IF($AX16="Yes",'8. Option Codes Decrypted'!$C$17,"")</f>
        <v>Sparkling Brown Metallic</v>
      </c>
      <c r="BC16" s="232" t="str">
        <f>IF($AX16="Yes",'8. Option Codes Decrypted'!$C$18,"")</f>
        <v>B53</v>
      </c>
      <c r="BD16" s="232" t="str">
        <f>IF($AY16="Yes",'8. Option Codes Decrypted'!$C$20,"")</f>
        <v/>
      </c>
      <c r="BE16" s="232" t="str">
        <f>IF($AY16="Yes",'8. Option Codes Decrypted'!$C$21,"")</f>
        <v/>
      </c>
      <c r="BF16" s="232" t="str">
        <f>IF($AY16="Yes",'8. Option Codes Decrypted'!$C$22,"")</f>
        <v/>
      </c>
      <c r="BG16" s="232" t="str">
        <f>IF($AY16="Yes",'8. Option Codes Decrypted'!$C$23,"")</f>
        <v/>
      </c>
      <c r="BH16" s="232" t="str">
        <f>B16</f>
        <v>128-11745</v>
      </c>
    </row>
    <row r="17" spans="1:60" s="232" customFormat="1" x14ac:dyDescent="0.25">
      <c r="A17" s="232" t="str">
        <f t="shared" si="2"/>
        <v/>
      </c>
      <c r="B17" s="358" t="str">
        <f t="shared" si="5"/>
        <v>128-11751</v>
      </c>
      <c r="C17" s="358" t="str">
        <f t="shared" si="4"/>
        <v/>
      </c>
      <c r="D17" s="358"/>
      <c r="E17" s="358">
        <f t="shared" si="0"/>
        <v>1</v>
      </c>
      <c r="F17" s="232" t="s">
        <v>426</v>
      </c>
      <c r="G17" s="241">
        <v>44670</v>
      </c>
      <c r="H17" s="242"/>
      <c r="I17" s="243" t="s">
        <v>441</v>
      </c>
      <c r="J17" s="244" t="s">
        <v>427</v>
      </c>
      <c r="K17" s="245" t="s">
        <v>442</v>
      </c>
      <c r="L17" s="244" t="s">
        <v>475</v>
      </c>
      <c r="M17" s="243" t="s">
        <v>444</v>
      </c>
      <c r="N17" s="243"/>
      <c r="O17" s="285"/>
      <c r="P17" s="285"/>
      <c r="Q17" s="285"/>
      <c r="R17" s="286" t="str">
        <f t="shared" si="1"/>
        <v>. Mirror, Door - FRONT LEFT</v>
      </c>
      <c r="S17" s="286"/>
      <c r="T17" s="243"/>
      <c r="U17" s="244"/>
      <c r="V17" s="243"/>
      <c r="W17" s="244"/>
      <c r="X17" s="244"/>
      <c r="Y17" s="244"/>
      <c r="Z17" s="244" t="s">
        <v>476</v>
      </c>
      <c r="AA17" s="244"/>
      <c r="AB17" s="244"/>
      <c r="AC17" s="244" t="s">
        <v>449</v>
      </c>
      <c r="AD17" s="244"/>
      <c r="AE17" s="246">
        <v>1000</v>
      </c>
      <c r="AF17" s="232" t="s">
        <v>477</v>
      </c>
      <c r="AG17" s="247"/>
      <c r="AH17" s="248" t="s">
        <v>435</v>
      </c>
      <c r="AJ17" s="249"/>
      <c r="AK17" s="232" t="s">
        <v>477</v>
      </c>
      <c r="AL17" s="232" t="s">
        <v>478</v>
      </c>
      <c r="AN17" s="233">
        <v>128</v>
      </c>
      <c r="AO17" s="232" t="s">
        <v>411</v>
      </c>
      <c r="AP17" s="232">
        <v>11751</v>
      </c>
      <c r="AQ17" s="232" t="str">
        <f t="shared" si="6"/>
        <v>128-11751</v>
      </c>
      <c r="AR17" s="232" t="s">
        <v>480</v>
      </c>
      <c r="AX17" s="244" t="s">
        <v>80</v>
      </c>
      <c r="AY17" s="244"/>
      <c r="AZ17" s="232" t="str">
        <f>IF($AX17="Yes",'8. Option Codes Decrypted'!$C$15,"")</f>
        <v>Painted</v>
      </c>
      <c r="BA17" s="232" t="str">
        <f>IF($AX17="Yes",'8. Option Codes Decrypted'!$C$16,"")</f>
        <v>Brown</v>
      </c>
      <c r="BB17" s="232" t="str">
        <f>IF($AX17="Yes",'8. Option Codes Decrypted'!$C$17,"")</f>
        <v>Sparkling Brown Metallic</v>
      </c>
      <c r="BC17" s="232" t="str">
        <f>IF($AX17="Yes",'8. Option Codes Decrypted'!$C$18,"")</f>
        <v>B53</v>
      </c>
      <c r="BD17" s="232" t="str">
        <f>IF($AY17="Yes",'8. Option Codes Decrypted'!$C$20,"")</f>
        <v/>
      </c>
      <c r="BE17" s="232" t="str">
        <f>IF($AY17="Yes",'8. Option Codes Decrypted'!$C$21,"")</f>
        <v/>
      </c>
      <c r="BF17" s="232" t="str">
        <f>IF($AY17="Yes",'8. Option Codes Decrypted'!$C$22,"")</f>
        <v/>
      </c>
      <c r="BG17" s="232" t="str">
        <f>IF($AY17="Yes",'8. Option Codes Decrypted'!$C$23,"")</f>
        <v/>
      </c>
      <c r="BH17" s="232" t="str">
        <f t="shared" ref="BH17:BH25" si="7">B17</f>
        <v>128-11751</v>
      </c>
    </row>
    <row r="18" spans="1:60" s="232" customFormat="1" x14ac:dyDescent="0.25">
      <c r="A18" s="232" t="str">
        <f t="shared" si="2"/>
        <v/>
      </c>
      <c r="B18" s="358" t="str">
        <f t="shared" si="5"/>
        <v>128-11753</v>
      </c>
      <c r="C18" s="358" t="str">
        <f t="shared" si="4"/>
        <v/>
      </c>
      <c r="D18" s="358"/>
      <c r="E18" s="358">
        <f t="shared" si="0"/>
        <v>1</v>
      </c>
      <c r="F18" s="232" t="s">
        <v>426</v>
      </c>
      <c r="G18" s="241">
        <v>44670</v>
      </c>
      <c r="H18" s="242"/>
      <c r="I18" s="243" t="s">
        <v>441</v>
      </c>
      <c r="J18" s="244" t="s">
        <v>427</v>
      </c>
      <c r="K18" s="245" t="s">
        <v>442</v>
      </c>
      <c r="L18" s="244" t="s">
        <v>475</v>
      </c>
      <c r="M18" s="243" t="s">
        <v>444</v>
      </c>
      <c r="N18" s="243"/>
      <c r="O18" s="285"/>
      <c r="P18" s="285"/>
      <c r="Q18" s="285"/>
      <c r="R18" s="286" t="str">
        <f t="shared" si="1"/>
        <v>. Mirror, Door - FRONT LEFT</v>
      </c>
      <c r="S18" s="286"/>
      <c r="T18" s="243"/>
      <c r="U18" s="244"/>
      <c r="V18" s="243"/>
      <c r="W18" s="244"/>
      <c r="X18" s="244"/>
      <c r="Y18" s="244"/>
      <c r="Z18" s="244" t="s">
        <v>476</v>
      </c>
      <c r="AA18" s="244"/>
      <c r="AB18" s="244"/>
      <c r="AC18" s="244" t="s">
        <v>449</v>
      </c>
      <c r="AD18" s="244"/>
      <c r="AE18" s="246">
        <v>750</v>
      </c>
      <c r="AF18" s="232" t="s">
        <v>477</v>
      </c>
      <c r="AG18" s="247"/>
      <c r="AH18" s="248" t="s">
        <v>435</v>
      </c>
      <c r="AJ18" s="249"/>
      <c r="AK18" s="232" t="s">
        <v>477</v>
      </c>
      <c r="AL18" s="232" t="s">
        <v>478</v>
      </c>
      <c r="AN18" s="233">
        <v>128</v>
      </c>
      <c r="AO18" s="232" t="s">
        <v>411</v>
      </c>
      <c r="AP18" s="232">
        <v>11753</v>
      </c>
      <c r="AQ18" s="232" t="str">
        <f t="shared" si="6"/>
        <v>128-11753</v>
      </c>
      <c r="AR18" s="232" t="s">
        <v>481</v>
      </c>
      <c r="AX18" s="244" t="s">
        <v>80</v>
      </c>
      <c r="AY18" s="244"/>
      <c r="AZ18" s="232" t="str">
        <f>IF($AX18="Yes",'8. Option Codes Decrypted'!$C$15,"")</f>
        <v>Painted</v>
      </c>
      <c r="BA18" s="232" t="str">
        <f>IF($AX18="Yes",'8. Option Codes Decrypted'!$C$16,"")</f>
        <v>Brown</v>
      </c>
      <c r="BB18" s="232" t="str">
        <f>IF($AX18="Yes",'8. Option Codes Decrypted'!$C$17,"")</f>
        <v>Sparkling Brown Metallic</v>
      </c>
      <c r="BC18" s="232" t="str">
        <f>IF($AX18="Yes",'8. Option Codes Decrypted'!$C$18,"")</f>
        <v>B53</v>
      </c>
      <c r="BD18" s="232" t="str">
        <f>IF($AY18="Yes",'8. Option Codes Decrypted'!$C$20,"")</f>
        <v/>
      </c>
      <c r="BE18" s="232" t="str">
        <f>IF($AY18="Yes",'8. Option Codes Decrypted'!$C$21,"")</f>
        <v/>
      </c>
      <c r="BF18" s="232" t="str">
        <f>IF($AY18="Yes",'8. Option Codes Decrypted'!$C$22,"")</f>
        <v/>
      </c>
      <c r="BG18" s="232" t="str">
        <f>IF($AY18="Yes",'8. Option Codes Decrypted'!$C$23,"")</f>
        <v/>
      </c>
      <c r="BH18" s="232" t="str">
        <f t="shared" si="7"/>
        <v>128-11753</v>
      </c>
    </row>
    <row r="19" spans="1:60" s="232" customFormat="1" x14ac:dyDescent="0.25">
      <c r="A19" s="232" t="str">
        <f t="shared" si="2"/>
        <v/>
      </c>
      <c r="B19" s="358" t="str">
        <f t="shared" si="5"/>
        <v>128-11755</v>
      </c>
      <c r="C19" s="358" t="str">
        <f t="shared" si="4"/>
        <v/>
      </c>
      <c r="D19" s="358"/>
      <c r="E19" s="358">
        <f t="shared" si="0"/>
        <v>1</v>
      </c>
      <c r="F19" s="232" t="s">
        <v>426</v>
      </c>
      <c r="G19" s="241">
        <v>44670</v>
      </c>
      <c r="H19" s="242"/>
      <c r="I19" s="243" t="s">
        <v>441</v>
      </c>
      <c r="J19" s="244" t="s">
        <v>427</v>
      </c>
      <c r="K19" s="245" t="s">
        <v>442</v>
      </c>
      <c r="L19" s="244" t="s">
        <v>475</v>
      </c>
      <c r="M19" s="243" t="s">
        <v>444</v>
      </c>
      <c r="N19" s="243"/>
      <c r="O19" s="285"/>
      <c r="P19" s="285"/>
      <c r="Q19" s="285"/>
      <c r="R19" s="286" t="str">
        <f t="shared" si="1"/>
        <v>. Mirror, Door - FRONT LEFT</v>
      </c>
      <c r="S19" s="286"/>
      <c r="T19" s="243"/>
      <c r="U19" s="244"/>
      <c r="V19" s="243"/>
      <c r="W19" s="244"/>
      <c r="X19" s="244"/>
      <c r="Y19" s="244"/>
      <c r="Z19" s="244" t="s">
        <v>476</v>
      </c>
      <c r="AA19" s="244"/>
      <c r="AB19" s="244"/>
      <c r="AC19" s="244" t="s">
        <v>449</v>
      </c>
      <c r="AD19" s="244"/>
      <c r="AE19" s="246">
        <v>750</v>
      </c>
      <c r="AF19" s="232" t="s">
        <v>477</v>
      </c>
      <c r="AG19" s="247"/>
      <c r="AH19" s="248" t="s">
        <v>435</v>
      </c>
      <c r="AJ19" s="249"/>
      <c r="AK19" s="232" t="s">
        <v>477</v>
      </c>
      <c r="AL19" s="232" t="s">
        <v>478</v>
      </c>
      <c r="AN19" s="233">
        <v>128</v>
      </c>
      <c r="AO19" s="232" t="s">
        <v>411</v>
      </c>
      <c r="AP19" s="232">
        <v>11755</v>
      </c>
      <c r="AQ19" s="232" t="str">
        <f t="shared" si="6"/>
        <v>128-11755</v>
      </c>
      <c r="AR19" s="232" t="s">
        <v>482</v>
      </c>
      <c r="AX19" s="244" t="s">
        <v>80</v>
      </c>
      <c r="AY19" s="244"/>
      <c r="AZ19" s="232" t="str">
        <f>IF($AX19="Yes",'8. Option Codes Decrypted'!$C$15,"")</f>
        <v>Painted</v>
      </c>
      <c r="BA19" s="232" t="str">
        <f>IF($AX19="Yes",'8. Option Codes Decrypted'!$C$16,"")</f>
        <v>Brown</v>
      </c>
      <c r="BB19" s="232" t="str">
        <f>IF($AX19="Yes",'8. Option Codes Decrypted'!$C$17,"")</f>
        <v>Sparkling Brown Metallic</v>
      </c>
      <c r="BC19" s="232" t="str">
        <f>IF($AX19="Yes",'8. Option Codes Decrypted'!$C$18,"")</f>
        <v>B53</v>
      </c>
      <c r="BD19" s="232" t="str">
        <f>IF($AY19="Yes",'8. Option Codes Decrypted'!$C$20,"")</f>
        <v/>
      </c>
      <c r="BE19" s="232" t="str">
        <f>IF($AY19="Yes",'8. Option Codes Decrypted'!$C$21,"")</f>
        <v/>
      </c>
      <c r="BF19" s="232" t="str">
        <f>IF($AY19="Yes",'8. Option Codes Decrypted'!$C$22,"")</f>
        <v/>
      </c>
      <c r="BG19" s="232" t="str">
        <f>IF($AY19="Yes",'8. Option Codes Decrypted'!$C$23,"")</f>
        <v/>
      </c>
      <c r="BH19" s="232" t="str">
        <f t="shared" si="7"/>
        <v>128-11755</v>
      </c>
    </row>
    <row r="20" spans="1:60" s="232" customFormat="1" x14ac:dyDescent="0.25">
      <c r="A20" s="232" t="str">
        <f t="shared" si="2"/>
        <v/>
      </c>
      <c r="B20" s="358" t="str">
        <f t="shared" si="5"/>
        <v>128-11757</v>
      </c>
      <c r="C20" s="358" t="str">
        <f t="shared" si="4"/>
        <v/>
      </c>
      <c r="D20" s="358"/>
      <c r="E20" s="358">
        <f t="shared" si="0"/>
        <v>1</v>
      </c>
      <c r="F20" s="232" t="s">
        <v>426</v>
      </c>
      <c r="G20" s="241">
        <v>44670</v>
      </c>
      <c r="H20" s="242"/>
      <c r="I20" s="243" t="s">
        <v>441</v>
      </c>
      <c r="J20" s="244" t="s">
        <v>427</v>
      </c>
      <c r="K20" s="245" t="s">
        <v>442</v>
      </c>
      <c r="L20" s="244" t="s">
        <v>475</v>
      </c>
      <c r="M20" s="243" t="s">
        <v>444</v>
      </c>
      <c r="N20" s="243"/>
      <c r="O20" s="285"/>
      <c r="P20" s="285"/>
      <c r="Q20" s="285"/>
      <c r="R20" s="286" t="str">
        <f t="shared" si="1"/>
        <v>. Mirror, Door - FRONT LEFT</v>
      </c>
      <c r="S20" s="286"/>
      <c r="T20" s="243"/>
      <c r="U20" s="244"/>
      <c r="V20" s="243"/>
      <c r="W20" s="244"/>
      <c r="X20" s="244"/>
      <c r="Y20" s="244"/>
      <c r="Z20" s="244" t="s">
        <v>476</v>
      </c>
      <c r="AA20" s="244"/>
      <c r="AB20" s="244"/>
      <c r="AC20" s="244" t="s">
        <v>449</v>
      </c>
      <c r="AD20" s="244"/>
      <c r="AE20" s="246">
        <v>800</v>
      </c>
      <c r="AF20" s="232" t="s">
        <v>477</v>
      </c>
      <c r="AG20" s="247"/>
      <c r="AH20" s="248" t="s">
        <v>435</v>
      </c>
      <c r="AJ20" s="249"/>
      <c r="AK20" s="232" t="s">
        <v>477</v>
      </c>
      <c r="AL20" s="232" t="s">
        <v>478</v>
      </c>
      <c r="AN20" s="233">
        <v>128</v>
      </c>
      <c r="AO20" s="232" t="s">
        <v>411</v>
      </c>
      <c r="AP20" s="232">
        <v>11757</v>
      </c>
      <c r="AQ20" s="232" t="str">
        <f t="shared" si="6"/>
        <v>128-11757</v>
      </c>
      <c r="AR20" s="232" t="s">
        <v>483</v>
      </c>
      <c r="AX20" s="244" t="s">
        <v>80</v>
      </c>
      <c r="AY20" s="244"/>
      <c r="AZ20" s="232" t="str">
        <f>IF($AX20="Yes",'8. Option Codes Decrypted'!$C$15,"")</f>
        <v>Painted</v>
      </c>
      <c r="BA20" s="232" t="str">
        <f>IF($AX20="Yes",'8. Option Codes Decrypted'!$C$16,"")</f>
        <v>Brown</v>
      </c>
      <c r="BB20" s="232" t="str">
        <f>IF($AX20="Yes",'8. Option Codes Decrypted'!$C$17,"")</f>
        <v>Sparkling Brown Metallic</v>
      </c>
      <c r="BC20" s="232" t="str">
        <f>IF($AX20="Yes",'8. Option Codes Decrypted'!$C$18,"")</f>
        <v>B53</v>
      </c>
      <c r="BD20" s="232" t="str">
        <f>IF($AY20="Yes",'8. Option Codes Decrypted'!$C$20,"")</f>
        <v/>
      </c>
      <c r="BE20" s="232" t="str">
        <f>IF($AY20="Yes",'8. Option Codes Decrypted'!$C$21,"")</f>
        <v/>
      </c>
      <c r="BF20" s="232" t="str">
        <f>IF($AY20="Yes",'8. Option Codes Decrypted'!$C$22,"")</f>
        <v/>
      </c>
      <c r="BG20" s="232" t="str">
        <f>IF($AY20="Yes",'8. Option Codes Decrypted'!$C$23,"")</f>
        <v/>
      </c>
      <c r="BH20" s="232" t="str">
        <f t="shared" si="7"/>
        <v>128-11757</v>
      </c>
    </row>
    <row r="21" spans="1:60" s="232" customFormat="1" x14ac:dyDescent="0.25">
      <c r="A21" s="232" t="str">
        <f t="shared" si="2"/>
        <v/>
      </c>
      <c r="B21" s="358" t="str">
        <f t="shared" si="5"/>
        <v>128-11759</v>
      </c>
      <c r="C21" s="358" t="str">
        <f t="shared" si="4"/>
        <v/>
      </c>
      <c r="D21" s="358"/>
      <c r="E21" s="358">
        <f t="shared" si="0"/>
        <v>1</v>
      </c>
      <c r="F21" s="232" t="s">
        <v>426</v>
      </c>
      <c r="G21" s="241">
        <v>44670</v>
      </c>
      <c r="H21" s="242"/>
      <c r="I21" s="243" t="s">
        <v>441</v>
      </c>
      <c r="J21" s="244" t="s">
        <v>427</v>
      </c>
      <c r="K21" s="245" t="s">
        <v>442</v>
      </c>
      <c r="L21" s="244" t="s">
        <v>475</v>
      </c>
      <c r="M21" s="243" t="s">
        <v>444</v>
      </c>
      <c r="N21" s="243"/>
      <c r="O21" s="285"/>
      <c r="P21" s="285"/>
      <c r="Q21" s="285"/>
      <c r="R21" s="286" t="str">
        <f t="shared" si="1"/>
        <v>. Mirror, Door - FRONT LEFT</v>
      </c>
      <c r="S21" s="286"/>
      <c r="T21" s="243"/>
      <c r="U21" s="244"/>
      <c r="V21" s="243"/>
      <c r="W21" s="244"/>
      <c r="X21" s="244"/>
      <c r="Y21" s="244"/>
      <c r="Z21" s="244" t="s">
        <v>476</v>
      </c>
      <c r="AA21" s="244"/>
      <c r="AB21" s="244"/>
      <c r="AC21" s="244" t="s">
        <v>449</v>
      </c>
      <c r="AD21" s="244"/>
      <c r="AE21" s="246">
        <v>800</v>
      </c>
      <c r="AF21" s="232" t="s">
        <v>477</v>
      </c>
      <c r="AG21" s="247"/>
      <c r="AH21" s="248" t="s">
        <v>435</v>
      </c>
      <c r="AJ21" s="249"/>
      <c r="AK21" s="232" t="s">
        <v>477</v>
      </c>
      <c r="AL21" s="232" t="s">
        <v>478</v>
      </c>
      <c r="AN21" s="233">
        <v>128</v>
      </c>
      <c r="AO21" s="232" t="s">
        <v>411</v>
      </c>
      <c r="AP21" s="232">
        <v>11759</v>
      </c>
      <c r="AQ21" s="232" t="str">
        <f t="shared" si="6"/>
        <v>128-11759</v>
      </c>
      <c r="AR21" s="232" t="s">
        <v>484</v>
      </c>
      <c r="AX21" s="244" t="s">
        <v>80</v>
      </c>
      <c r="AY21" s="244"/>
      <c r="AZ21" s="232" t="str">
        <f>IF($AX21="Yes",'8. Option Codes Decrypted'!$C$15,"")</f>
        <v>Painted</v>
      </c>
      <c r="BA21" s="232" t="str">
        <f>IF($AX21="Yes",'8. Option Codes Decrypted'!$C$16,"")</f>
        <v>Brown</v>
      </c>
      <c r="BB21" s="232" t="str">
        <f>IF($AX21="Yes",'8. Option Codes Decrypted'!$C$17,"")</f>
        <v>Sparkling Brown Metallic</v>
      </c>
      <c r="BC21" s="232" t="str">
        <f>IF($AX21="Yes",'8. Option Codes Decrypted'!$C$18,"")</f>
        <v>B53</v>
      </c>
      <c r="BD21" s="232" t="str">
        <f>IF($AY21="Yes",'8. Option Codes Decrypted'!$C$20,"")</f>
        <v/>
      </c>
      <c r="BE21" s="232" t="str">
        <f>IF($AY21="Yes",'8. Option Codes Decrypted'!$C$21,"")</f>
        <v/>
      </c>
      <c r="BF21" s="232" t="str">
        <f>IF($AY21="Yes",'8. Option Codes Decrypted'!$C$22,"")</f>
        <v/>
      </c>
      <c r="BG21" s="232" t="str">
        <f>IF($AY21="Yes",'8. Option Codes Decrypted'!$C$23,"")</f>
        <v/>
      </c>
      <c r="BH21" s="232" t="str">
        <f t="shared" si="7"/>
        <v>128-11759</v>
      </c>
    </row>
    <row r="22" spans="1:60" s="232" customFormat="1" ht="15.75" thickBot="1" x14ac:dyDescent="0.3">
      <c r="A22" s="232" t="str">
        <f t="shared" si="2"/>
        <v/>
      </c>
      <c r="B22" s="358" t="str">
        <f t="shared" si="5"/>
        <v>128-11761</v>
      </c>
      <c r="C22" s="358" t="str">
        <f t="shared" si="4"/>
        <v/>
      </c>
      <c r="D22" s="358"/>
      <c r="E22" s="358">
        <f t="shared" si="0"/>
        <v>1</v>
      </c>
      <c r="F22" s="232" t="s">
        <v>426</v>
      </c>
      <c r="G22" s="241">
        <v>44670</v>
      </c>
      <c r="H22" s="242"/>
      <c r="I22" s="243" t="s">
        <v>441</v>
      </c>
      <c r="J22" s="244" t="s">
        <v>427</v>
      </c>
      <c r="K22" s="245" t="s">
        <v>442</v>
      </c>
      <c r="L22" s="244" t="s">
        <v>475</v>
      </c>
      <c r="M22" s="243" t="s">
        <v>444</v>
      </c>
      <c r="N22" s="243"/>
      <c r="O22" s="285"/>
      <c r="P22" s="285"/>
      <c r="Q22" s="285"/>
      <c r="R22" s="286" t="str">
        <f t="shared" si="1"/>
        <v>. Mirror, Door - FRONT LEFT</v>
      </c>
      <c r="S22" s="286"/>
      <c r="T22" s="243"/>
      <c r="U22" s="244"/>
      <c r="V22" s="243"/>
      <c r="W22" s="244"/>
      <c r="X22" s="244"/>
      <c r="Y22" s="244"/>
      <c r="Z22" s="244" t="s">
        <v>476</v>
      </c>
      <c r="AA22" s="244"/>
      <c r="AB22" s="244"/>
      <c r="AC22" s="244" t="s">
        <v>449</v>
      </c>
      <c r="AD22" s="244"/>
      <c r="AE22" s="246">
        <v>700</v>
      </c>
      <c r="AF22" s="232" t="s">
        <v>477</v>
      </c>
      <c r="AG22" s="247"/>
      <c r="AH22" s="248" t="s">
        <v>435</v>
      </c>
      <c r="AJ22" s="249"/>
      <c r="AK22" s="232" t="s">
        <v>477</v>
      </c>
      <c r="AL22" s="232" t="s">
        <v>478</v>
      </c>
      <c r="AN22" s="233">
        <v>128</v>
      </c>
      <c r="AO22" s="232" t="s">
        <v>411</v>
      </c>
      <c r="AP22" s="232">
        <v>11761</v>
      </c>
      <c r="AQ22" s="232" t="str">
        <f t="shared" si="6"/>
        <v>128-11761</v>
      </c>
      <c r="AR22" s="232" t="s">
        <v>485</v>
      </c>
      <c r="AX22" s="244" t="s">
        <v>80</v>
      </c>
      <c r="AY22" s="244"/>
      <c r="AZ22" s="232" t="str">
        <f>IF($AX22="Yes",'8. Option Codes Decrypted'!$C$15,"")</f>
        <v>Painted</v>
      </c>
      <c r="BA22" s="232" t="str">
        <f>IF($AX22="Yes",'8. Option Codes Decrypted'!$C$16,"")</f>
        <v>Brown</v>
      </c>
      <c r="BB22" s="232" t="str">
        <f>IF($AX22="Yes",'8. Option Codes Decrypted'!$C$17,"")</f>
        <v>Sparkling Brown Metallic</v>
      </c>
      <c r="BC22" s="232" t="str">
        <f>IF($AX22="Yes",'8. Option Codes Decrypted'!$C$18,"")</f>
        <v>B53</v>
      </c>
      <c r="BD22" s="232" t="str">
        <f>IF($AY22="Yes",'8. Option Codes Decrypted'!$C$20,"")</f>
        <v/>
      </c>
      <c r="BE22" s="232" t="str">
        <f>IF($AY22="Yes",'8. Option Codes Decrypted'!$C$21,"")</f>
        <v/>
      </c>
      <c r="BF22" s="232" t="str">
        <f>IF($AY22="Yes",'8. Option Codes Decrypted'!$C$22,"")</f>
        <v/>
      </c>
      <c r="BG22" s="232" t="str">
        <f>IF($AY22="Yes",'8. Option Codes Decrypted'!$C$23,"")</f>
        <v/>
      </c>
      <c r="BH22" s="232" t="str">
        <f t="shared" si="7"/>
        <v>128-11761</v>
      </c>
    </row>
    <row r="23" spans="1:60" s="232" customFormat="1" ht="15.75" thickBot="1" x14ac:dyDescent="0.3">
      <c r="A23" s="232" t="str">
        <f t="shared" si="2"/>
        <v>A116</v>
      </c>
      <c r="B23" s="358" t="str">
        <f t="shared" si="5"/>
        <v>128-11763</v>
      </c>
      <c r="C23" s="358" t="str">
        <f t="shared" si="4"/>
        <v/>
      </c>
      <c r="D23" s="358"/>
      <c r="E23" s="358">
        <f t="shared" si="0"/>
        <v>1</v>
      </c>
      <c r="F23" s="232" t="s">
        <v>426</v>
      </c>
      <c r="G23" s="241">
        <v>44670</v>
      </c>
      <c r="H23" s="242"/>
      <c r="I23" s="243" t="s">
        <v>441</v>
      </c>
      <c r="J23" s="244" t="s">
        <v>427</v>
      </c>
      <c r="K23" s="245" t="s">
        <v>442</v>
      </c>
      <c r="L23" s="244" t="s">
        <v>475</v>
      </c>
      <c r="M23" s="243" t="s">
        <v>444</v>
      </c>
      <c r="N23" s="243">
        <v>106</v>
      </c>
      <c r="O23" s="285" t="s">
        <v>360</v>
      </c>
      <c r="P23" s="285" t="s">
        <v>397</v>
      </c>
      <c r="Q23" s="285">
        <v>1</v>
      </c>
      <c r="R23" s="286" t="str">
        <f t="shared" si="1"/>
        <v>A116. Mirror, Door - FRONT LEFT</v>
      </c>
      <c r="S23" s="365" t="str">
        <f>HYPERLINK(VLOOKUP(O23,'3D. Pictures'!$B$3:$E$500,4,FALSE),"PIC")</f>
        <v>PIC</v>
      </c>
      <c r="T23" s="243">
        <v>6</v>
      </c>
      <c r="U23" s="244" t="s">
        <v>486</v>
      </c>
      <c r="V23" s="243" t="s">
        <v>80</v>
      </c>
      <c r="W23" s="244" t="s">
        <v>2994</v>
      </c>
      <c r="X23" s="244"/>
      <c r="Y23" s="244"/>
      <c r="Z23" s="244" t="s">
        <v>476</v>
      </c>
      <c r="AA23" s="244"/>
      <c r="AB23" s="244"/>
      <c r="AC23" s="244" t="s">
        <v>449</v>
      </c>
      <c r="AD23" s="244"/>
      <c r="AE23" s="246">
        <v>700</v>
      </c>
      <c r="AF23" s="232" t="s">
        <v>477</v>
      </c>
      <c r="AG23" s="247"/>
      <c r="AH23" s="248" t="s">
        <v>435</v>
      </c>
      <c r="AJ23" s="249"/>
      <c r="AK23" s="232" t="s">
        <v>477</v>
      </c>
      <c r="AL23" s="232" t="s">
        <v>478</v>
      </c>
      <c r="AN23" s="233">
        <v>128</v>
      </c>
      <c r="AO23" s="232" t="s">
        <v>411</v>
      </c>
      <c r="AP23" s="232">
        <v>11763</v>
      </c>
      <c r="AQ23" s="232" t="str">
        <f t="shared" si="6"/>
        <v>128-11763</v>
      </c>
      <c r="AR23" s="232" t="s">
        <v>487</v>
      </c>
      <c r="AX23" s="244" t="s">
        <v>80</v>
      </c>
      <c r="AY23" s="244"/>
      <c r="AZ23" s="232" t="str">
        <f>IF($AX23="Yes",'8. Option Codes Decrypted'!$C$15,"")</f>
        <v>Painted</v>
      </c>
      <c r="BA23" s="232" t="str">
        <f>IF($AX23="Yes",'8. Option Codes Decrypted'!$C$16,"")</f>
        <v>Brown</v>
      </c>
      <c r="BB23" s="232" t="str">
        <f>IF($AX23="Yes",'8. Option Codes Decrypted'!$C$17,"")</f>
        <v>Sparkling Brown Metallic</v>
      </c>
      <c r="BC23" s="232" t="str">
        <f>IF($AX23="Yes",'8. Option Codes Decrypted'!$C$18,"")</f>
        <v>B53</v>
      </c>
      <c r="BD23" s="232" t="str">
        <f>IF($AY23="Yes",'8. Option Codes Decrypted'!$C$20,"")</f>
        <v/>
      </c>
      <c r="BE23" s="232" t="str">
        <f>IF($AY23="Yes",'8. Option Codes Decrypted'!$C$21,"")</f>
        <v/>
      </c>
      <c r="BF23" s="232" t="str">
        <f>IF($AY23="Yes",'8. Option Codes Decrypted'!$C$22,"")</f>
        <v/>
      </c>
      <c r="BG23" s="232" t="str">
        <f>IF($AY23="Yes",'8. Option Codes Decrypted'!$C$23,"")</f>
        <v/>
      </c>
      <c r="BH23" s="232" t="str">
        <f t="shared" si="7"/>
        <v>128-11763</v>
      </c>
    </row>
    <row r="24" spans="1:60" s="232" customFormat="1" x14ac:dyDescent="0.25">
      <c r="A24" s="232" t="str">
        <f t="shared" si="2"/>
        <v/>
      </c>
      <c r="B24" s="358" t="str">
        <f t="shared" si="5"/>
        <v>128-11765</v>
      </c>
      <c r="C24" s="358" t="str">
        <f t="shared" si="4"/>
        <v/>
      </c>
      <c r="D24" s="358"/>
      <c r="E24" s="358">
        <f t="shared" si="0"/>
        <v>1</v>
      </c>
      <c r="F24" s="232" t="s">
        <v>426</v>
      </c>
      <c r="G24" s="241">
        <v>44670</v>
      </c>
      <c r="H24" s="242"/>
      <c r="I24" s="243" t="s">
        <v>441</v>
      </c>
      <c r="J24" s="244" t="s">
        <v>427</v>
      </c>
      <c r="K24" s="245" t="s">
        <v>442</v>
      </c>
      <c r="L24" s="244" t="s">
        <v>475</v>
      </c>
      <c r="M24" s="243" t="s">
        <v>444</v>
      </c>
      <c r="N24" s="243"/>
      <c r="O24" s="285"/>
      <c r="P24" s="285"/>
      <c r="Q24" s="285"/>
      <c r="R24" s="286" t="str">
        <f t="shared" si="1"/>
        <v>. Mirror, Door - FRONT LEFT</v>
      </c>
      <c r="S24" s="286"/>
      <c r="T24" s="243"/>
      <c r="U24" s="244"/>
      <c r="V24" s="243"/>
      <c r="W24" s="244"/>
      <c r="X24" s="244"/>
      <c r="Y24" s="244"/>
      <c r="Z24" s="244" t="s">
        <v>476</v>
      </c>
      <c r="AA24" s="244"/>
      <c r="AB24" s="244"/>
      <c r="AC24" s="244" t="s">
        <v>449</v>
      </c>
      <c r="AD24" s="244"/>
      <c r="AE24" s="246">
        <v>700</v>
      </c>
      <c r="AF24" s="232" t="s">
        <v>477</v>
      </c>
      <c r="AG24" s="247"/>
      <c r="AH24" s="248" t="s">
        <v>435</v>
      </c>
      <c r="AJ24" s="249"/>
      <c r="AK24" s="232" t="s">
        <v>477</v>
      </c>
      <c r="AL24" s="232" t="s">
        <v>478</v>
      </c>
      <c r="AN24" s="233">
        <v>128</v>
      </c>
      <c r="AO24" s="232" t="s">
        <v>411</v>
      </c>
      <c r="AP24" s="232">
        <v>11765</v>
      </c>
      <c r="AQ24" s="232" t="str">
        <f t="shared" si="6"/>
        <v>128-11765</v>
      </c>
      <c r="AR24" s="232" t="s">
        <v>488</v>
      </c>
      <c r="AX24" s="244" t="s">
        <v>80</v>
      </c>
      <c r="AY24" s="244"/>
      <c r="AZ24" s="232" t="str">
        <f>IF($AX24="Yes",'8. Option Codes Decrypted'!$C$15,"")</f>
        <v>Painted</v>
      </c>
      <c r="BA24" s="232" t="str">
        <f>IF($AX24="Yes",'8. Option Codes Decrypted'!$C$16,"")</f>
        <v>Brown</v>
      </c>
      <c r="BB24" s="232" t="str">
        <f>IF($AX24="Yes",'8. Option Codes Decrypted'!$C$17,"")</f>
        <v>Sparkling Brown Metallic</v>
      </c>
      <c r="BC24" s="232" t="str">
        <f>IF($AX24="Yes",'8. Option Codes Decrypted'!$C$18,"")</f>
        <v>B53</v>
      </c>
      <c r="BD24" s="232" t="str">
        <f>IF($AY24="Yes",'8. Option Codes Decrypted'!$C$20,"")</f>
        <v/>
      </c>
      <c r="BE24" s="232" t="str">
        <f>IF($AY24="Yes",'8. Option Codes Decrypted'!$C$21,"")</f>
        <v/>
      </c>
      <c r="BF24" s="232" t="str">
        <f>IF($AY24="Yes",'8. Option Codes Decrypted'!$C$22,"")</f>
        <v/>
      </c>
      <c r="BG24" s="232" t="str">
        <f>IF($AY24="Yes",'8. Option Codes Decrypted'!$C$23,"")</f>
        <v/>
      </c>
      <c r="BH24" s="232" t="str">
        <f t="shared" si="7"/>
        <v>128-11765</v>
      </c>
    </row>
    <row r="25" spans="1:60" s="232" customFormat="1" ht="15.75" thickBot="1" x14ac:dyDescent="0.3">
      <c r="A25" s="232" t="str">
        <f t="shared" si="2"/>
        <v/>
      </c>
      <c r="B25" s="358" t="str">
        <f t="shared" si="5"/>
        <v>128-11767</v>
      </c>
      <c r="C25" s="358" t="str">
        <f t="shared" si="4"/>
        <v/>
      </c>
      <c r="D25" s="358"/>
      <c r="E25" s="358">
        <f t="shared" si="0"/>
        <v>1</v>
      </c>
      <c r="F25" s="232" t="s">
        <v>426</v>
      </c>
      <c r="G25" s="241">
        <v>44670</v>
      </c>
      <c r="H25" s="242"/>
      <c r="I25" s="243" t="s">
        <v>441</v>
      </c>
      <c r="J25" s="244" t="s">
        <v>427</v>
      </c>
      <c r="K25" s="245" t="s">
        <v>442</v>
      </c>
      <c r="L25" s="244" t="s">
        <v>475</v>
      </c>
      <c r="M25" s="243" t="s">
        <v>444</v>
      </c>
      <c r="N25" s="243"/>
      <c r="O25" s="285"/>
      <c r="P25" s="285"/>
      <c r="Q25" s="285"/>
      <c r="R25" s="286" t="str">
        <f t="shared" si="1"/>
        <v>. Mirror, Door - FRONT LEFT</v>
      </c>
      <c r="S25" s="286"/>
      <c r="T25" s="243"/>
      <c r="U25" s="244"/>
      <c r="V25" s="243"/>
      <c r="W25" s="244"/>
      <c r="X25" s="244"/>
      <c r="Y25" s="244"/>
      <c r="Z25" s="244" t="s">
        <v>476</v>
      </c>
      <c r="AA25" s="244"/>
      <c r="AB25" s="244"/>
      <c r="AC25" s="244" t="s">
        <v>449</v>
      </c>
      <c r="AD25" s="244"/>
      <c r="AE25" s="246">
        <v>700</v>
      </c>
      <c r="AF25" s="232" t="s">
        <v>477</v>
      </c>
      <c r="AG25" s="247"/>
      <c r="AH25" s="248" t="s">
        <v>435</v>
      </c>
      <c r="AJ25" s="249"/>
      <c r="AK25" s="232" t="s">
        <v>477</v>
      </c>
      <c r="AL25" s="232" t="s">
        <v>478</v>
      </c>
      <c r="AN25" s="233">
        <v>128</v>
      </c>
      <c r="AO25" s="232" t="s">
        <v>411</v>
      </c>
      <c r="AP25" s="232">
        <v>11767</v>
      </c>
      <c r="AQ25" s="232" t="str">
        <f t="shared" si="6"/>
        <v>128-11767</v>
      </c>
      <c r="AR25" s="232" t="s">
        <v>489</v>
      </c>
      <c r="AX25" s="244" t="s">
        <v>80</v>
      </c>
      <c r="AY25" s="244"/>
      <c r="AZ25" s="232" t="str">
        <f>IF($AX25="Yes",'8. Option Codes Decrypted'!$C$15,"")</f>
        <v>Painted</v>
      </c>
      <c r="BA25" s="232" t="str">
        <f>IF($AX25="Yes",'8. Option Codes Decrypted'!$C$16,"")</f>
        <v>Brown</v>
      </c>
      <c r="BB25" s="232" t="str">
        <f>IF($AX25="Yes",'8. Option Codes Decrypted'!$C$17,"")</f>
        <v>Sparkling Brown Metallic</v>
      </c>
      <c r="BC25" s="232" t="str">
        <f>IF($AX25="Yes",'8. Option Codes Decrypted'!$C$18,"")</f>
        <v>B53</v>
      </c>
      <c r="BD25" s="232" t="str">
        <f>IF($AY25="Yes",'8. Option Codes Decrypted'!$C$20,"")</f>
        <v/>
      </c>
      <c r="BE25" s="232" t="str">
        <f>IF($AY25="Yes",'8. Option Codes Decrypted'!$C$21,"")</f>
        <v/>
      </c>
      <c r="BF25" s="232" t="str">
        <f>IF($AY25="Yes",'8. Option Codes Decrypted'!$C$22,"")</f>
        <v/>
      </c>
      <c r="BG25" s="232" t="str">
        <f>IF($AY25="Yes",'8. Option Codes Decrypted'!$C$23,"")</f>
        <v/>
      </c>
      <c r="BH25" s="232" t="str">
        <f t="shared" si="7"/>
        <v>128-11767</v>
      </c>
    </row>
    <row r="26" spans="1:60" s="232" customFormat="1" ht="15.75" thickBot="1" x14ac:dyDescent="0.3">
      <c r="A26" s="232" t="str">
        <f t="shared" si="2"/>
        <v>A58</v>
      </c>
      <c r="B26" s="358" t="str">
        <f t="shared" ref="B26:B33" si="8">IF(AQ26&lt;&gt;"",AQ26,"")</f>
        <v>641-54182</v>
      </c>
      <c r="C26" s="358" t="str">
        <f t="shared" si="4"/>
        <v/>
      </c>
      <c r="D26" s="358"/>
      <c r="E26" s="358">
        <f t="shared" si="0"/>
        <v>1</v>
      </c>
      <c r="F26" s="232" t="s">
        <v>426</v>
      </c>
      <c r="G26" s="241">
        <v>45218</v>
      </c>
      <c r="H26" s="242"/>
      <c r="I26" s="243" t="s">
        <v>441</v>
      </c>
      <c r="J26" s="244" t="s">
        <v>427</v>
      </c>
      <c r="K26" s="245" t="s">
        <v>442</v>
      </c>
      <c r="L26" s="244" t="s">
        <v>490</v>
      </c>
      <c r="M26" s="243" t="s">
        <v>444</v>
      </c>
      <c r="N26" s="243">
        <v>48</v>
      </c>
      <c r="O26" s="285" t="s">
        <v>302</v>
      </c>
      <c r="P26" s="285" t="s">
        <v>445</v>
      </c>
      <c r="Q26" s="285">
        <v>1</v>
      </c>
      <c r="R26" s="286" t="str">
        <f t="shared" si="1"/>
        <v>A58. Switch, Window Master</v>
      </c>
      <c r="S26" s="365" t="str">
        <f>HYPERLINK(VLOOKUP(O26,'3D. Pictures'!$B$3:$E$500,4,FALSE),"PIC")</f>
        <v>PIC</v>
      </c>
      <c r="T26" s="243">
        <v>5</v>
      </c>
      <c r="U26" s="244" t="s">
        <v>491</v>
      </c>
      <c r="V26" s="243" t="s">
        <v>80</v>
      </c>
      <c r="W26" s="244"/>
      <c r="X26" s="244"/>
      <c r="Y26" s="244"/>
      <c r="Z26" s="244" t="s">
        <v>492</v>
      </c>
      <c r="AA26" s="244" t="s">
        <v>493</v>
      </c>
      <c r="AB26" s="244"/>
      <c r="AC26" s="244" t="s">
        <v>449</v>
      </c>
      <c r="AD26" s="244"/>
      <c r="AE26" s="244">
        <v>45</v>
      </c>
      <c r="AF26" s="252" t="s">
        <v>434</v>
      </c>
      <c r="AG26" s="247"/>
      <c r="AH26" s="248" t="s">
        <v>435</v>
      </c>
      <c r="AJ26" s="249"/>
      <c r="AK26" s="232" t="s">
        <v>494</v>
      </c>
      <c r="AL26" s="232" t="s">
        <v>495</v>
      </c>
      <c r="AN26" s="233" t="s">
        <v>496</v>
      </c>
      <c r="AO26" s="232" t="s">
        <v>411</v>
      </c>
      <c r="AP26" s="232">
        <v>54182</v>
      </c>
      <c r="AQ26" s="232" t="str">
        <f t="shared" si="6"/>
        <v>641-54182</v>
      </c>
      <c r="AR26" s="232" t="s">
        <v>497</v>
      </c>
      <c r="AX26" s="244"/>
      <c r="AY26" s="244"/>
      <c r="AZ26" s="232" t="str">
        <f>IF($AX26="Yes",'8. Option Codes Decrypted'!$C$15,"")</f>
        <v/>
      </c>
      <c r="BA26" s="232" t="str">
        <f>IF($AX26="Yes",'8. Option Codes Decrypted'!$C$16,"")</f>
        <v/>
      </c>
      <c r="BB26" s="232" t="str">
        <f>IF($AX26="Yes",'8. Option Codes Decrypted'!$C$17,"")</f>
        <v/>
      </c>
      <c r="BC26" s="232" t="str">
        <f>IF($AX26="Yes",'8. Option Codes Decrypted'!$C$18,"")</f>
        <v/>
      </c>
      <c r="BD26" s="232" t="str">
        <f>IF($AY26="Yes",'8. Option Codes Decrypted'!$C$20,"")</f>
        <v/>
      </c>
      <c r="BE26" s="232" t="str">
        <f>IF($AY26="Yes",'8. Option Codes Decrypted'!$C$21,"")</f>
        <v/>
      </c>
      <c r="BF26" s="232" t="str">
        <f>IF($AY26="Yes",'8. Option Codes Decrypted'!$C$22,"")</f>
        <v/>
      </c>
      <c r="BG26" s="232" t="str">
        <f>IF($AY26="Yes",'8. Option Codes Decrypted'!$C$23,"")</f>
        <v/>
      </c>
    </row>
    <row r="27" spans="1:60" s="232" customFormat="1" x14ac:dyDescent="0.25">
      <c r="A27" s="232" t="str">
        <f t="shared" si="2"/>
        <v/>
      </c>
      <c r="B27" s="358" t="str">
        <f t="shared" si="8"/>
        <v>641-54183</v>
      </c>
      <c r="C27" s="358" t="str">
        <f t="shared" si="4"/>
        <v/>
      </c>
      <c r="D27" s="358"/>
      <c r="E27" s="358">
        <f t="shared" si="0"/>
        <v>1</v>
      </c>
      <c r="F27" s="232" t="s">
        <v>426</v>
      </c>
      <c r="G27" s="241">
        <v>45218</v>
      </c>
      <c r="H27" s="242"/>
      <c r="I27" s="243" t="s">
        <v>441</v>
      </c>
      <c r="J27" s="244" t="s">
        <v>427</v>
      </c>
      <c r="K27" s="245" t="s">
        <v>442</v>
      </c>
      <c r="L27" s="244" t="s">
        <v>498</v>
      </c>
      <c r="M27" s="243" t="s">
        <v>444</v>
      </c>
      <c r="N27" s="243"/>
      <c r="O27" s="285"/>
      <c r="P27" s="285"/>
      <c r="Q27" s="285"/>
      <c r="R27" s="286" t="str">
        <f t="shared" si="1"/>
        <v>. Switch, Window Master</v>
      </c>
      <c r="S27" s="286"/>
      <c r="T27" s="243"/>
      <c r="U27" s="244" t="s">
        <v>499</v>
      </c>
      <c r="V27" s="243" t="s">
        <v>80</v>
      </c>
      <c r="W27" s="244"/>
      <c r="X27" s="244"/>
      <c r="Y27" s="244"/>
      <c r="Z27" s="244" t="s">
        <v>492</v>
      </c>
      <c r="AA27" s="244" t="s">
        <v>493</v>
      </c>
      <c r="AB27" s="244"/>
      <c r="AC27" s="244" t="s">
        <v>449</v>
      </c>
      <c r="AD27" s="244"/>
      <c r="AE27" s="244">
        <v>45</v>
      </c>
      <c r="AF27" s="252" t="s">
        <v>434</v>
      </c>
      <c r="AG27" s="247"/>
      <c r="AH27" s="248" t="s">
        <v>435</v>
      </c>
      <c r="AJ27" s="249"/>
      <c r="AK27" s="232" t="s">
        <v>494</v>
      </c>
      <c r="AL27" s="232" t="s">
        <v>495</v>
      </c>
      <c r="AN27" s="233" t="s">
        <v>496</v>
      </c>
      <c r="AO27" s="232" t="s">
        <v>411</v>
      </c>
      <c r="AP27" s="232">
        <v>54183</v>
      </c>
      <c r="AQ27" s="232" t="str">
        <f t="shared" si="6"/>
        <v>641-54183</v>
      </c>
      <c r="AR27" s="232" t="s">
        <v>500</v>
      </c>
      <c r="AX27" s="244"/>
      <c r="AY27" s="244"/>
      <c r="AZ27" s="232" t="str">
        <f>IF($AX27="Yes",'8. Option Codes Decrypted'!$C$15,"")</f>
        <v/>
      </c>
      <c r="BA27" s="232" t="str">
        <f>IF($AX27="Yes",'8. Option Codes Decrypted'!$C$16,"")</f>
        <v/>
      </c>
      <c r="BB27" s="232" t="str">
        <f>IF($AX27="Yes",'8. Option Codes Decrypted'!$C$17,"")</f>
        <v/>
      </c>
      <c r="BC27" s="232" t="str">
        <f>IF($AX27="Yes",'8. Option Codes Decrypted'!$C$18,"")</f>
        <v/>
      </c>
      <c r="BD27" s="232" t="str">
        <f>IF($AY27="Yes",'8. Option Codes Decrypted'!$C$20,"")</f>
        <v/>
      </c>
      <c r="BE27" s="232" t="str">
        <f>IF($AY27="Yes",'8. Option Codes Decrypted'!$C$21,"")</f>
        <v/>
      </c>
      <c r="BF27" s="232" t="str">
        <f>IF($AY27="Yes",'8. Option Codes Decrypted'!$C$22,"")</f>
        <v/>
      </c>
      <c r="BG27" s="232" t="str">
        <f>IF($AY27="Yes",'8. Option Codes Decrypted'!$C$23,"")</f>
        <v/>
      </c>
    </row>
    <row r="28" spans="1:60" x14ac:dyDescent="0.25">
      <c r="A28" s="232" t="str">
        <f t="shared" si="2"/>
        <v/>
      </c>
      <c r="B28" s="358" t="str">
        <f t="shared" si="8"/>
        <v/>
      </c>
      <c r="C28" s="358" t="str">
        <f t="shared" si="4"/>
        <v/>
      </c>
      <c r="D28" s="358"/>
      <c r="E28" s="358" t="str">
        <f t="shared" si="0"/>
        <v/>
      </c>
      <c r="F28" t="s">
        <v>426</v>
      </c>
      <c r="G28" s="230">
        <v>44670</v>
      </c>
      <c r="H28" s="174"/>
      <c r="I28" s="195" t="s">
        <v>441</v>
      </c>
      <c r="J28" s="193" t="s">
        <v>427</v>
      </c>
      <c r="K28" s="196" t="s">
        <v>442</v>
      </c>
      <c r="L28" s="193" t="s">
        <v>501</v>
      </c>
      <c r="M28" s="191" t="s">
        <v>430</v>
      </c>
      <c r="N28" s="191"/>
      <c r="O28" s="191"/>
      <c r="P28" s="191"/>
      <c r="Q28" s="191"/>
      <c r="R28" s="286" t="str">
        <f t="shared" si="1"/>
        <v>. Trim Set, Entire Vehicle</v>
      </c>
      <c r="S28" s="286"/>
      <c r="T28" s="191"/>
      <c r="U28" s="191"/>
      <c r="V28" s="191"/>
      <c r="W28" s="191"/>
      <c r="X28" s="191"/>
      <c r="Y28" s="191"/>
      <c r="Z28" s="193" t="s">
        <v>502</v>
      </c>
      <c r="AA28" s="193" t="s">
        <v>502</v>
      </c>
      <c r="AB28" s="193" t="s">
        <v>502</v>
      </c>
      <c r="AC28" s="193" t="s">
        <v>449</v>
      </c>
      <c r="AD28" s="193"/>
      <c r="AE28" s="193">
        <v>495</v>
      </c>
      <c r="AF28" s="99" t="s">
        <v>434</v>
      </c>
      <c r="AH28" s="3" t="s">
        <v>435</v>
      </c>
      <c r="AI28" s="56"/>
      <c r="AJ28" s="69"/>
      <c r="AK28" t="s">
        <v>503</v>
      </c>
      <c r="AN28"/>
      <c r="AX28" s="191"/>
      <c r="AY28" s="191"/>
      <c r="AZ28" s="232" t="str">
        <f>IF($AX28="Yes",'8. Option Codes Decrypted'!$C$15,"")</f>
        <v/>
      </c>
      <c r="BA28" s="232" t="str">
        <f>IF($AX28="Yes",'8. Option Codes Decrypted'!$C$16,"")</f>
        <v/>
      </c>
      <c r="BB28" s="232" t="str">
        <f>IF($AX28="Yes",'8. Option Codes Decrypted'!$C$17,"")</f>
        <v/>
      </c>
      <c r="BC28" s="232" t="str">
        <f>IF($AX28="Yes",'8. Option Codes Decrypted'!$C$18,"")</f>
        <v/>
      </c>
      <c r="BD28" s="232" t="str">
        <f>IF($AY28="Yes",'8. Option Codes Decrypted'!$C$20,"")</f>
        <v/>
      </c>
      <c r="BE28" s="232" t="str">
        <f>IF($AY28="Yes",'8. Option Codes Decrypted'!$C$21,"")</f>
        <v/>
      </c>
      <c r="BF28" s="232" t="str">
        <f>IF($AY28="Yes",'8. Option Codes Decrypted'!$C$22,"")</f>
        <v/>
      </c>
      <c r="BG28" s="232" t="str">
        <f>IF($AY28="Yes",'8. Option Codes Decrypted'!$C$23,"")</f>
        <v/>
      </c>
    </row>
    <row r="29" spans="1:60" x14ac:dyDescent="0.25">
      <c r="A29" s="232" t="str">
        <f t="shared" si="2"/>
        <v/>
      </c>
      <c r="B29" s="358" t="str">
        <f t="shared" si="8"/>
        <v/>
      </c>
      <c r="C29" s="358" t="str">
        <f t="shared" si="4"/>
        <v/>
      </c>
      <c r="D29" s="358"/>
      <c r="E29" s="358" t="str">
        <f t="shared" si="0"/>
        <v/>
      </c>
      <c r="F29" t="s">
        <v>426</v>
      </c>
      <c r="G29" s="230">
        <v>44670</v>
      </c>
      <c r="H29" s="10"/>
      <c r="I29" s="10"/>
      <c r="J29" s="10" t="s">
        <v>504</v>
      </c>
      <c r="K29" s="15" t="s">
        <v>442</v>
      </c>
      <c r="L29" s="10" t="s">
        <v>505</v>
      </c>
      <c r="M29" s="191" t="s">
        <v>430</v>
      </c>
      <c r="N29" s="191"/>
      <c r="O29" s="191"/>
      <c r="P29" s="191"/>
      <c r="Q29" s="191"/>
      <c r="R29" s="286" t="str">
        <f t="shared" si="1"/>
        <v>. Door Handle, Interior (if wood trim doesn't come off easily, put handle with trim SET)</v>
      </c>
      <c r="S29" s="286"/>
      <c r="T29" s="191"/>
      <c r="U29" s="191"/>
      <c r="V29" s="191"/>
      <c r="W29" s="191"/>
      <c r="X29" s="191"/>
      <c r="Y29" s="191"/>
      <c r="Z29" s="10" t="s">
        <v>506</v>
      </c>
      <c r="AA29" s="10" t="s">
        <v>506</v>
      </c>
      <c r="AB29" s="10" t="s">
        <v>506</v>
      </c>
      <c r="AC29" s="193" t="s">
        <v>449</v>
      </c>
      <c r="AD29" s="10"/>
      <c r="AE29" s="10"/>
      <c r="AF29" s="200" t="s">
        <v>434</v>
      </c>
      <c r="AH29" s="3" t="s">
        <v>435</v>
      </c>
      <c r="AJ29" s="69"/>
      <c r="AK29" t="s">
        <v>507</v>
      </c>
      <c r="AN29"/>
      <c r="AX29" s="191"/>
      <c r="AY29" s="191"/>
      <c r="AZ29" s="232" t="str">
        <f>IF($AX29="Yes",'8. Option Codes Decrypted'!$C$15,"")</f>
        <v/>
      </c>
      <c r="BA29" s="232" t="str">
        <f>IF($AX29="Yes",'8. Option Codes Decrypted'!$C$16,"")</f>
        <v/>
      </c>
      <c r="BB29" s="232" t="str">
        <f>IF($AX29="Yes",'8. Option Codes Decrypted'!$C$17,"")</f>
        <v/>
      </c>
      <c r="BC29" s="232" t="str">
        <f>IF($AX29="Yes",'8. Option Codes Decrypted'!$C$18,"")</f>
        <v/>
      </c>
      <c r="BD29" s="232" t="str">
        <f>IF($AY29="Yes",'8. Option Codes Decrypted'!$C$20,"")</f>
        <v/>
      </c>
      <c r="BE29" s="232" t="str">
        <f>IF($AY29="Yes",'8. Option Codes Decrypted'!$C$21,"")</f>
        <v/>
      </c>
      <c r="BF29" s="232" t="str">
        <f>IF($AY29="Yes",'8. Option Codes Decrypted'!$C$22,"")</f>
        <v/>
      </c>
      <c r="BG29" s="232" t="str">
        <f>IF($AY29="Yes",'8. Option Codes Decrypted'!$C$23,"")</f>
        <v/>
      </c>
    </row>
    <row r="30" spans="1:60" x14ac:dyDescent="0.25">
      <c r="A30" s="232" t="str">
        <f t="shared" si="2"/>
        <v/>
      </c>
      <c r="B30" s="358" t="str">
        <f t="shared" si="8"/>
        <v/>
      </c>
      <c r="C30" s="358" t="str">
        <f t="shared" si="4"/>
        <v/>
      </c>
      <c r="D30" s="358"/>
      <c r="E30" s="358" t="str">
        <f t="shared" si="0"/>
        <v/>
      </c>
      <c r="F30" t="s">
        <v>508</v>
      </c>
      <c r="G30" s="230">
        <v>44936</v>
      </c>
      <c r="H30" s="10"/>
      <c r="I30" s="10"/>
      <c r="J30" s="15" t="s">
        <v>504</v>
      </c>
      <c r="K30" s="10" t="s">
        <v>442</v>
      </c>
      <c r="L30" s="10" t="s">
        <v>509</v>
      </c>
      <c r="M30" s="231" t="s">
        <v>510</v>
      </c>
      <c r="N30" s="231"/>
      <c r="O30" s="288"/>
      <c r="P30" s="288"/>
      <c r="Q30" s="288"/>
      <c r="R30" s="286" t="str">
        <f t="shared" si="1"/>
        <v>. Door Lock Unlock Switch</v>
      </c>
      <c r="S30" s="286"/>
      <c r="T30" s="231"/>
      <c r="U30" s="193"/>
      <c r="V30" s="231"/>
      <c r="W30" s="193"/>
      <c r="X30" s="193"/>
      <c r="Y30" s="193"/>
      <c r="Z30" s="10" t="s">
        <v>511</v>
      </c>
      <c r="AA30" s="10" t="s">
        <v>511</v>
      </c>
      <c r="AB30" s="10" t="s">
        <v>511</v>
      </c>
      <c r="AC30" s="193" t="s">
        <v>449</v>
      </c>
      <c r="AD30" s="10"/>
      <c r="AE30" s="10"/>
      <c r="AF30" s="200" t="s">
        <v>434</v>
      </c>
      <c r="AH30" s="3" t="s">
        <v>435</v>
      </c>
      <c r="AJ30" s="69"/>
      <c r="AK30" t="s">
        <v>512</v>
      </c>
      <c r="AN30"/>
      <c r="AO30" t="s">
        <v>411</v>
      </c>
      <c r="AX30" s="193"/>
      <c r="AY30" s="193"/>
      <c r="AZ30" s="232" t="str">
        <f>IF($AX30="Yes",'8. Option Codes Decrypted'!$C$15,"")</f>
        <v/>
      </c>
      <c r="BA30" s="232" t="str">
        <f>IF($AX30="Yes",'8. Option Codes Decrypted'!$C$16,"")</f>
        <v/>
      </c>
      <c r="BB30" s="232" t="str">
        <f>IF($AX30="Yes",'8. Option Codes Decrypted'!$C$17,"")</f>
        <v/>
      </c>
      <c r="BC30" s="232" t="str">
        <f>IF($AX30="Yes",'8. Option Codes Decrypted'!$C$18,"")</f>
        <v/>
      </c>
      <c r="BD30" s="232" t="str">
        <f>IF($AY30="Yes",'8. Option Codes Decrypted'!$C$20,"")</f>
        <v/>
      </c>
      <c r="BE30" s="232" t="str">
        <f>IF($AY30="Yes",'8. Option Codes Decrypted'!$C$21,"")</f>
        <v/>
      </c>
      <c r="BF30" s="232" t="str">
        <f>IF($AY30="Yes",'8. Option Codes Decrypted'!$C$22,"")</f>
        <v/>
      </c>
      <c r="BG30" s="232" t="str">
        <f>IF($AY30="Yes",'8. Option Codes Decrypted'!$C$23,"")</f>
        <v/>
      </c>
    </row>
    <row r="31" spans="1:60" x14ac:dyDescent="0.25">
      <c r="A31" s="232" t="str">
        <f t="shared" si="2"/>
        <v/>
      </c>
      <c r="B31" s="358" t="str">
        <f t="shared" si="8"/>
        <v/>
      </c>
      <c r="C31" s="358" t="str">
        <f t="shared" si="4"/>
        <v/>
      </c>
      <c r="D31" s="358"/>
      <c r="E31" s="358" t="str">
        <f t="shared" si="0"/>
        <v/>
      </c>
      <c r="F31" t="s">
        <v>426</v>
      </c>
      <c r="G31" s="230">
        <v>44670</v>
      </c>
      <c r="H31" s="10"/>
      <c r="I31" s="10"/>
      <c r="J31" s="10" t="s">
        <v>504</v>
      </c>
      <c r="K31" s="10" t="s">
        <v>442</v>
      </c>
      <c r="L31" s="10" t="s">
        <v>513</v>
      </c>
      <c r="M31" s="191" t="s">
        <v>430</v>
      </c>
      <c r="N31" s="191"/>
      <c r="O31" s="191"/>
      <c r="P31" s="191"/>
      <c r="Q31" s="191"/>
      <c r="R31" s="286" t="str">
        <f t="shared" si="1"/>
        <v>. Door Panel</v>
      </c>
      <c r="S31" s="286"/>
      <c r="T31" s="191"/>
      <c r="U31" s="191"/>
      <c r="V31" s="191"/>
      <c r="W31" s="191"/>
      <c r="X31" s="191"/>
      <c r="Y31" s="191"/>
      <c r="Z31" s="10" t="s">
        <v>513</v>
      </c>
      <c r="AA31" s="10" t="s">
        <v>513</v>
      </c>
      <c r="AB31" s="10" t="s">
        <v>513</v>
      </c>
      <c r="AC31" s="193" t="s">
        <v>449</v>
      </c>
      <c r="AD31" s="16"/>
      <c r="AE31" s="10"/>
      <c r="AF31" s="200" t="s">
        <v>434</v>
      </c>
      <c r="AH31" s="3" t="s">
        <v>435</v>
      </c>
      <c r="AJ31" s="69"/>
      <c r="AK31" t="s">
        <v>514</v>
      </c>
      <c r="AN31"/>
      <c r="AX31" s="191"/>
      <c r="AY31" s="191"/>
      <c r="AZ31" s="232" t="str">
        <f>IF($AX31="Yes",'8. Option Codes Decrypted'!$C$15,"")</f>
        <v/>
      </c>
      <c r="BA31" s="232" t="str">
        <f>IF($AX31="Yes",'8. Option Codes Decrypted'!$C$16,"")</f>
        <v/>
      </c>
      <c r="BB31" s="232" t="str">
        <f>IF($AX31="Yes",'8. Option Codes Decrypted'!$C$17,"")</f>
        <v/>
      </c>
      <c r="BC31" s="232" t="str">
        <f>IF($AX31="Yes",'8. Option Codes Decrypted'!$C$18,"")</f>
        <v/>
      </c>
      <c r="BD31" s="232" t="str">
        <f>IF($AY31="Yes",'8. Option Codes Decrypted'!$C$20,"")</f>
        <v/>
      </c>
      <c r="BE31" s="232" t="str">
        <f>IF($AY31="Yes",'8. Option Codes Decrypted'!$C$21,"")</f>
        <v/>
      </c>
      <c r="BF31" s="232" t="str">
        <f>IF($AY31="Yes",'8. Option Codes Decrypted'!$C$22,"")</f>
        <v/>
      </c>
      <c r="BG31" s="232" t="str">
        <f>IF($AY31="Yes",'8. Option Codes Decrypted'!$C$23,"")</f>
        <v/>
      </c>
    </row>
    <row r="32" spans="1:60" x14ac:dyDescent="0.25">
      <c r="A32" s="232" t="str">
        <f t="shared" si="2"/>
        <v/>
      </c>
      <c r="B32" s="358" t="str">
        <f t="shared" si="8"/>
        <v/>
      </c>
      <c r="C32" s="358" t="str">
        <f t="shared" si="4"/>
        <v/>
      </c>
      <c r="D32" s="358"/>
      <c r="E32" s="358" t="str">
        <f t="shared" si="0"/>
        <v/>
      </c>
      <c r="F32" t="s">
        <v>515</v>
      </c>
      <c r="G32" s="230">
        <v>44928</v>
      </c>
      <c r="H32" s="10"/>
      <c r="I32" s="10"/>
      <c r="J32" s="15" t="s">
        <v>504</v>
      </c>
      <c r="K32" s="10" t="s">
        <v>442</v>
      </c>
      <c r="L32" s="10" t="s">
        <v>516</v>
      </c>
      <c r="M32" s="231" t="s">
        <v>510</v>
      </c>
      <c r="N32" s="231"/>
      <c r="O32" s="288"/>
      <c r="P32" s="288"/>
      <c r="Q32" s="288"/>
      <c r="R32" s="286" t="str">
        <f t="shared" si="1"/>
        <v>. Trunk Release Switch</v>
      </c>
      <c r="S32" s="286"/>
      <c r="T32" s="231"/>
      <c r="U32" s="193"/>
      <c r="V32" s="231"/>
      <c r="W32" s="193"/>
      <c r="X32" s="193"/>
      <c r="Y32" s="193"/>
      <c r="Z32" s="10" t="s">
        <v>517</v>
      </c>
      <c r="AA32" s="10" t="s">
        <v>517</v>
      </c>
      <c r="AB32" s="10" t="s">
        <v>517</v>
      </c>
      <c r="AC32" s="193" t="s">
        <v>449</v>
      </c>
      <c r="AD32" s="16"/>
      <c r="AE32" s="10"/>
      <c r="AF32" s="200" t="s">
        <v>434</v>
      </c>
      <c r="AH32" s="3" t="s">
        <v>435</v>
      </c>
      <c r="AJ32" s="69"/>
      <c r="AN32"/>
      <c r="AO32" t="s">
        <v>411</v>
      </c>
      <c r="AX32" s="193"/>
      <c r="AY32" s="193"/>
      <c r="AZ32" s="232" t="str">
        <f>IF($AX32="Yes",'8. Option Codes Decrypted'!$C$15,"")</f>
        <v/>
      </c>
      <c r="BA32" s="232" t="str">
        <f>IF($AX32="Yes",'8. Option Codes Decrypted'!$C$16,"")</f>
        <v/>
      </c>
      <c r="BB32" s="232" t="str">
        <f>IF($AX32="Yes",'8. Option Codes Decrypted'!$C$17,"")</f>
        <v/>
      </c>
      <c r="BC32" s="232" t="str">
        <f>IF($AX32="Yes",'8. Option Codes Decrypted'!$C$18,"")</f>
        <v/>
      </c>
      <c r="BD32" s="232" t="str">
        <f>IF($AY32="Yes",'8. Option Codes Decrypted'!$C$20,"")</f>
        <v/>
      </c>
      <c r="BE32" s="232" t="str">
        <f>IF($AY32="Yes",'8. Option Codes Decrypted'!$C$21,"")</f>
        <v/>
      </c>
      <c r="BF32" s="232" t="str">
        <f>IF($AY32="Yes",'8. Option Codes Decrypted'!$C$22,"")</f>
        <v/>
      </c>
      <c r="BG32" s="232" t="str">
        <f>IF($AY32="Yes",'8. Option Codes Decrypted'!$C$23,"")</f>
        <v/>
      </c>
    </row>
    <row r="33" spans="1:60" ht="15.75" thickBot="1" x14ac:dyDescent="0.3">
      <c r="A33" s="232" t="str">
        <f t="shared" si="2"/>
        <v/>
      </c>
      <c r="B33" s="358" t="str">
        <f t="shared" si="8"/>
        <v/>
      </c>
      <c r="C33" s="358" t="str">
        <f t="shared" si="4"/>
        <v/>
      </c>
      <c r="D33" s="358"/>
      <c r="E33" s="358" t="str">
        <f t="shared" si="0"/>
        <v/>
      </c>
      <c r="F33" t="s">
        <v>426</v>
      </c>
      <c r="G33" s="230">
        <v>44670</v>
      </c>
      <c r="H33" s="176"/>
      <c r="I33" s="203"/>
      <c r="J33" s="10" t="s">
        <v>504</v>
      </c>
      <c r="K33" s="15" t="s">
        <v>442</v>
      </c>
      <c r="L33" s="10" t="s">
        <v>518</v>
      </c>
      <c r="M33" s="188" t="s">
        <v>444</v>
      </c>
      <c r="N33" s="188"/>
      <c r="O33" s="289"/>
      <c r="P33" s="289"/>
      <c r="Q33" s="289"/>
      <c r="R33" s="286" t="str">
        <f t="shared" si="1"/>
        <v>. Window Motor &amp; Regulator (TOSS BOTH)</v>
      </c>
      <c r="S33" s="286"/>
      <c r="T33" s="188"/>
      <c r="U33" s="16"/>
      <c r="V33" s="188"/>
      <c r="W33" s="16"/>
      <c r="X33" s="16"/>
      <c r="Y33" s="16"/>
      <c r="Z33" s="10" t="s">
        <v>519</v>
      </c>
      <c r="AA33" s="10" t="s">
        <v>519</v>
      </c>
      <c r="AB33" s="10" t="s">
        <v>519</v>
      </c>
      <c r="AC33" s="193" t="s">
        <v>449</v>
      </c>
      <c r="AD33" s="10"/>
      <c r="AE33" s="10"/>
      <c r="AF33" s="200" t="s">
        <v>434</v>
      </c>
      <c r="AH33" s="3" t="s">
        <v>435</v>
      </c>
      <c r="AJ33" s="69"/>
      <c r="AK33" t="s">
        <v>520</v>
      </c>
      <c r="AN33"/>
      <c r="AO33" t="s">
        <v>411</v>
      </c>
      <c r="AX33" s="16"/>
      <c r="AY33" s="16"/>
      <c r="AZ33" s="232" t="str">
        <f>IF($AX33="Yes",'8. Option Codes Decrypted'!$C$15,"")</f>
        <v/>
      </c>
      <c r="BA33" s="232" t="str">
        <f>IF($AX33="Yes",'8. Option Codes Decrypted'!$C$16,"")</f>
        <v/>
      </c>
      <c r="BB33" s="232" t="str">
        <f>IF($AX33="Yes",'8. Option Codes Decrypted'!$C$17,"")</f>
        <v/>
      </c>
      <c r="BC33" s="232" t="str">
        <f>IF($AX33="Yes",'8. Option Codes Decrypted'!$C$18,"")</f>
        <v/>
      </c>
      <c r="BD33" s="232" t="str">
        <f>IF($AY33="Yes",'8. Option Codes Decrypted'!$C$20,"")</f>
        <v/>
      </c>
      <c r="BE33" s="232" t="str">
        <f>IF($AY33="Yes",'8. Option Codes Decrypted'!$C$21,"")</f>
        <v/>
      </c>
      <c r="BF33" s="232" t="str">
        <f>IF($AY33="Yes",'8. Option Codes Decrypted'!$C$22,"")</f>
        <v/>
      </c>
      <c r="BG33" s="232" t="str">
        <f>IF($AY33="Yes",'8. Option Codes Decrypted'!$C$23,"")</f>
        <v/>
      </c>
    </row>
    <row r="34" spans="1:60" s="232" customFormat="1" ht="15.75" thickBot="1" x14ac:dyDescent="0.3">
      <c r="A34" s="232" t="str">
        <f t="shared" si="2"/>
        <v>A49</v>
      </c>
      <c r="B34" s="358" t="str">
        <f t="shared" ref="B34:B35" si="9">IF(AQ34&lt;&gt;"",AQ34,"")</f>
        <v>129-52061</v>
      </c>
      <c r="C34" s="358" t="s">
        <v>521</v>
      </c>
      <c r="D34" s="358"/>
      <c r="E34" s="358">
        <f t="shared" si="0"/>
        <v>2</v>
      </c>
      <c r="F34" s="232" t="s">
        <v>426</v>
      </c>
      <c r="G34" s="241">
        <v>44670</v>
      </c>
      <c r="H34" s="242"/>
      <c r="I34" s="243" t="s">
        <v>441</v>
      </c>
      <c r="J34" s="244" t="s">
        <v>427</v>
      </c>
      <c r="K34" s="245" t="s">
        <v>522</v>
      </c>
      <c r="L34" s="244" t="s">
        <v>443</v>
      </c>
      <c r="M34" s="235" t="s">
        <v>444</v>
      </c>
      <c r="N34" s="235">
        <v>39</v>
      </c>
      <c r="O34" s="284" t="s">
        <v>293</v>
      </c>
      <c r="P34" s="284" t="s">
        <v>445</v>
      </c>
      <c r="Q34" s="284">
        <v>1</v>
      </c>
      <c r="R34" s="286" t="str">
        <f t="shared" si="1"/>
        <v>A49. Door Handle, Exterior - REAR - LEFT</v>
      </c>
      <c r="S34" s="365" t="str">
        <f>HYPERLINK(VLOOKUP(O34,'3D. Pictures'!$B$3:$E$500,4,FALSE),"PIC")</f>
        <v>PIC</v>
      </c>
      <c r="T34" s="235">
        <v>5</v>
      </c>
      <c r="U34" s="244" t="s">
        <v>446</v>
      </c>
      <c r="V34" s="235" t="s">
        <v>80</v>
      </c>
      <c r="W34" s="250"/>
      <c r="X34" s="250"/>
      <c r="Y34" s="250"/>
      <c r="Z34" s="244" t="s">
        <v>523</v>
      </c>
      <c r="AA34" s="244" t="s">
        <v>524</v>
      </c>
      <c r="AB34" s="244"/>
      <c r="AC34" s="244" t="s">
        <v>449</v>
      </c>
      <c r="AD34" s="244" t="s">
        <v>450</v>
      </c>
      <c r="AE34" s="246">
        <v>140</v>
      </c>
      <c r="AF34" s="252" t="s">
        <v>434</v>
      </c>
      <c r="AG34" s="247"/>
      <c r="AH34" s="248" t="s">
        <v>435</v>
      </c>
      <c r="AJ34" s="249"/>
      <c r="AK34" s="232" t="s">
        <v>451</v>
      </c>
      <c r="AL34" s="232" t="s">
        <v>452</v>
      </c>
      <c r="AN34" s="233" t="s">
        <v>525</v>
      </c>
      <c r="AO34" s="232" t="s">
        <v>411</v>
      </c>
      <c r="AP34" s="232">
        <v>52061</v>
      </c>
      <c r="AQ34" s="232" t="str">
        <f>CONCATENATE(AN34,AO34,AP34)</f>
        <v>129-52061</v>
      </c>
      <c r="AR34" s="232" t="s">
        <v>453</v>
      </c>
      <c r="AX34" s="244" t="s">
        <v>80</v>
      </c>
      <c r="AY34" s="250"/>
      <c r="AZ34" s="232" t="str">
        <f>IF($AX34="Yes",'8. Option Codes Decrypted'!$C$15,"")</f>
        <v>Painted</v>
      </c>
      <c r="BA34" s="232" t="str">
        <f>IF($AX34="Yes",'8. Option Codes Decrypted'!$C$16,"")</f>
        <v>Brown</v>
      </c>
      <c r="BB34" s="232" t="str">
        <f>IF($AX34="Yes",'8. Option Codes Decrypted'!$C$17,"")</f>
        <v>Sparkling Brown Metallic</v>
      </c>
      <c r="BC34" s="232" t="str">
        <f>IF($AX34="Yes",'8. Option Codes Decrypted'!$C$18,"")</f>
        <v>B53</v>
      </c>
      <c r="BD34" s="232" t="str">
        <f>IF($AY34="Yes",'8. Option Codes Decrypted'!$C$20,"")</f>
        <v/>
      </c>
      <c r="BE34" s="232" t="str">
        <f>IF($AY34="Yes",'8. Option Codes Decrypted'!$C$21,"")</f>
        <v/>
      </c>
      <c r="BF34" s="232" t="str">
        <f>IF($AY34="Yes",'8. Option Codes Decrypted'!$C$22,"")</f>
        <v/>
      </c>
      <c r="BG34" s="232" t="str">
        <f>IF($AY34="Yes",'8. Option Codes Decrypted'!$C$23,"")</f>
        <v/>
      </c>
      <c r="BH34" s="232" t="str">
        <f t="shared" ref="BH34:BH35" si="10">C34</f>
        <v>129-52061-2</v>
      </c>
    </row>
    <row r="35" spans="1:60" s="232" customFormat="1" ht="15.75" thickBot="1" x14ac:dyDescent="0.3">
      <c r="A35" s="232" t="str">
        <f t="shared" si="2"/>
        <v/>
      </c>
      <c r="B35" s="358" t="str">
        <f t="shared" si="9"/>
        <v>129-52063</v>
      </c>
      <c r="C35" s="358" t="s">
        <v>526</v>
      </c>
      <c r="D35" s="358"/>
      <c r="E35" s="358">
        <f t="shared" si="0"/>
        <v>2</v>
      </c>
      <c r="F35" s="232" t="s">
        <v>426</v>
      </c>
      <c r="G35" s="241">
        <v>44670</v>
      </c>
      <c r="H35" s="242"/>
      <c r="I35" s="243" t="s">
        <v>441</v>
      </c>
      <c r="J35" s="244" t="s">
        <v>427</v>
      </c>
      <c r="K35" s="245" t="s">
        <v>522</v>
      </c>
      <c r="L35" s="244" t="s">
        <v>443</v>
      </c>
      <c r="M35" s="235" t="s">
        <v>444</v>
      </c>
      <c r="N35" s="235"/>
      <c r="O35" s="284"/>
      <c r="P35" s="284"/>
      <c r="Q35" s="284"/>
      <c r="R35" s="286" t="str">
        <f t="shared" si="1"/>
        <v>. Door Handle, Exterior - REAR - LEFT</v>
      </c>
      <c r="S35" s="286"/>
      <c r="T35" s="235"/>
      <c r="U35" s="250" t="s">
        <v>455</v>
      </c>
      <c r="V35" s="243" t="s">
        <v>80</v>
      </c>
      <c r="W35" s="244"/>
      <c r="X35" s="244"/>
      <c r="Y35" s="244"/>
      <c r="Z35" s="244" t="s">
        <v>523</v>
      </c>
      <c r="AA35" s="244" t="s">
        <v>524</v>
      </c>
      <c r="AB35" s="244"/>
      <c r="AC35" s="244" t="s">
        <v>449</v>
      </c>
      <c r="AD35" s="244" t="s">
        <v>527</v>
      </c>
      <c r="AE35" s="246">
        <v>120</v>
      </c>
      <c r="AF35" s="252" t="s">
        <v>434</v>
      </c>
      <c r="AG35" s="247"/>
      <c r="AH35" s="248" t="s">
        <v>435</v>
      </c>
      <c r="AJ35" s="249"/>
      <c r="AK35" s="232" t="s">
        <v>451</v>
      </c>
      <c r="AL35" s="232" t="s">
        <v>452</v>
      </c>
      <c r="AN35" s="233" t="s">
        <v>525</v>
      </c>
      <c r="AO35" s="232" t="s">
        <v>411</v>
      </c>
      <c r="AP35" s="232">
        <v>52063</v>
      </c>
      <c r="AQ35" s="232" t="str">
        <f>CONCATENATE(AN35,AO35,AP35)</f>
        <v>129-52063</v>
      </c>
      <c r="AR35" s="232" t="s">
        <v>456</v>
      </c>
      <c r="AX35" s="244" t="s">
        <v>80</v>
      </c>
      <c r="AY35" s="244"/>
      <c r="AZ35" s="232" t="str">
        <f>IF($AX35="Yes",'8. Option Codes Decrypted'!$C$15,"")</f>
        <v>Painted</v>
      </c>
      <c r="BA35" s="232" t="str">
        <f>IF($AX35="Yes",'8. Option Codes Decrypted'!$C$16,"")</f>
        <v>Brown</v>
      </c>
      <c r="BB35" s="232" t="str">
        <f>IF($AX35="Yes",'8. Option Codes Decrypted'!$C$17,"")</f>
        <v>Sparkling Brown Metallic</v>
      </c>
      <c r="BC35" s="232" t="str">
        <f>IF($AX35="Yes",'8. Option Codes Decrypted'!$C$18,"")</f>
        <v>B53</v>
      </c>
      <c r="BD35" s="232" t="str">
        <f>IF($AY35="Yes",'8. Option Codes Decrypted'!$C$20,"")</f>
        <v/>
      </c>
      <c r="BE35" s="232" t="str">
        <f>IF($AY35="Yes",'8. Option Codes Decrypted'!$C$21,"")</f>
        <v/>
      </c>
      <c r="BF35" s="232" t="str">
        <f>IF($AY35="Yes",'8. Option Codes Decrypted'!$C$22,"")</f>
        <v/>
      </c>
      <c r="BG35" s="232" t="str">
        <f>IF($AY35="Yes",'8. Option Codes Decrypted'!$C$23,"")</f>
        <v/>
      </c>
      <c r="BH35" s="232" t="str">
        <f t="shared" si="10"/>
        <v>129-52063-2</v>
      </c>
    </row>
    <row r="36" spans="1:60" s="232" customFormat="1" ht="15.75" thickBot="1" x14ac:dyDescent="0.3">
      <c r="A36" s="232" t="str">
        <f t="shared" si="2"/>
        <v>A28</v>
      </c>
      <c r="B36" s="358" t="str">
        <f t="shared" ref="B36:B43" si="11">IF(AQ36&lt;&gt;"",AQ36,"")</f>
        <v>286-999771</v>
      </c>
      <c r="C36" s="358" t="str">
        <f t="shared" ref="C36:C43" si="12">IF(AS36&lt;&gt;"",AS36,"")</f>
        <v/>
      </c>
      <c r="D36" s="358"/>
      <c r="E36" s="358">
        <f t="shared" si="0"/>
        <v>1</v>
      </c>
      <c r="F36" s="232" t="s">
        <v>426</v>
      </c>
      <c r="G36" s="241">
        <v>44670</v>
      </c>
      <c r="H36" s="256"/>
      <c r="I36" s="250"/>
      <c r="J36" s="250" t="s">
        <v>427</v>
      </c>
      <c r="K36" s="251" t="s">
        <v>522</v>
      </c>
      <c r="L36" s="250" t="s">
        <v>457</v>
      </c>
      <c r="M36" s="235" t="s">
        <v>444</v>
      </c>
      <c r="N36" s="235">
        <v>18</v>
      </c>
      <c r="O36" s="284" t="s">
        <v>272</v>
      </c>
      <c r="P36" s="284" t="s">
        <v>459</v>
      </c>
      <c r="Q36" s="284">
        <v>1</v>
      </c>
      <c r="R36" s="286" t="str">
        <f t="shared" si="1"/>
        <v>A28. Door Latch, REAR - LEFT Soft Close WITH Actuator SET2</v>
      </c>
      <c r="S36" s="365" t="str">
        <f>HYPERLINK(VLOOKUP(O36,'3D. Pictures'!$B$3:$E$500,4,FALSE),"PIC")</f>
        <v>PIC</v>
      </c>
      <c r="T36" s="235">
        <v>5</v>
      </c>
      <c r="U36" s="250" t="s">
        <v>528</v>
      </c>
      <c r="V36" s="235" t="s">
        <v>80</v>
      </c>
      <c r="W36" s="250"/>
      <c r="X36" s="250"/>
      <c r="Y36" s="250"/>
      <c r="Z36" s="250" t="s">
        <v>529</v>
      </c>
      <c r="AA36" s="250" t="s">
        <v>462</v>
      </c>
      <c r="AB36" s="250" t="s">
        <v>463</v>
      </c>
      <c r="AC36" s="244" t="s">
        <v>449</v>
      </c>
      <c r="AD36" s="250"/>
      <c r="AE36" s="255">
        <v>245</v>
      </c>
      <c r="AF36" s="252" t="s">
        <v>434</v>
      </c>
      <c r="AG36" s="247"/>
      <c r="AH36" s="248" t="s">
        <v>435</v>
      </c>
      <c r="AJ36" s="249"/>
      <c r="AK36" s="232" t="s">
        <v>530</v>
      </c>
      <c r="AL36" s="232" t="s">
        <v>465</v>
      </c>
      <c r="AN36" s="233">
        <v>286</v>
      </c>
      <c r="AO36" s="232" t="s">
        <v>411</v>
      </c>
      <c r="AP36" s="232">
        <v>999771</v>
      </c>
      <c r="AQ36" s="232" t="str">
        <f>CONCATENATE(AN36,AO36,AP36)</f>
        <v>286-999771</v>
      </c>
      <c r="AR36" s="232" t="s">
        <v>466</v>
      </c>
      <c r="AX36" s="250"/>
      <c r="AY36" s="250"/>
      <c r="AZ36" s="232" t="str">
        <f>IF($AX36="Yes",'8. Option Codes Decrypted'!$C$15,"")</f>
        <v/>
      </c>
      <c r="BA36" s="232" t="str">
        <f>IF($AX36="Yes",'8. Option Codes Decrypted'!$C$16,"")</f>
        <v/>
      </c>
      <c r="BB36" s="232" t="str">
        <f>IF($AX36="Yes",'8. Option Codes Decrypted'!$C$17,"")</f>
        <v/>
      </c>
      <c r="BC36" s="232" t="str">
        <f>IF($AX36="Yes",'8. Option Codes Decrypted'!$C$18,"")</f>
        <v/>
      </c>
      <c r="BD36" s="232" t="str">
        <f>IF($AY36="Yes",'8. Option Codes Decrypted'!$C$20,"")</f>
        <v/>
      </c>
      <c r="BE36" s="232" t="str">
        <f>IF($AY36="Yes",'8. Option Codes Decrypted'!$C$21,"")</f>
        <v/>
      </c>
      <c r="BF36" s="232" t="str">
        <f>IF($AY36="Yes",'8. Option Codes Decrypted'!$C$22,"")</f>
        <v/>
      </c>
      <c r="BG36" s="232" t="str">
        <f>IF($AY36="Yes",'8. Option Codes Decrypted'!$C$23,"")</f>
        <v/>
      </c>
    </row>
    <row r="37" spans="1:60" s="232" customFormat="1" x14ac:dyDescent="0.25">
      <c r="A37" s="232" t="str">
        <f t="shared" si="2"/>
        <v/>
      </c>
      <c r="B37" s="358" t="str">
        <f t="shared" si="11"/>
        <v>286-999763</v>
      </c>
      <c r="C37" s="358" t="str">
        <f t="shared" si="12"/>
        <v/>
      </c>
      <c r="D37" s="358"/>
      <c r="E37" s="358">
        <f t="shared" si="0"/>
        <v>1</v>
      </c>
      <c r="F37" s="232" t="s">
        <v>426</v>
      </c>
      <c r="G37" s="241">
        <v>44670</v>
      </c>
      <c r="H37" s="256"/>
      <c r="I37" s="250"/>
      <c r="J37" s="250" t="s">
        <v>427</v>
      </c>
      <c r="K37" s="251" t="s">
        <v>522</v>
      </c>
      <c r="L37" s="250" t="s">
        <v>457</v>
      </c>
      <c r="M37" s="235" t="s">
        <v>444</v>
      </c>
      <c r="N37" s="235"/>
      <c r="O37" s="284"/>
      <c r="P37" s="284"/>
      <c r="Q37" s="284"/>
      <c r="R37" s="286" t="str">
        <f t="shared" si="1"/>
        <v>. Door Latch, REAR - LEFT WITHOUT Soft Close</v>
      </c>
      <c r="S37" s="286"/>
      <c r="T37" s="235"/>
      <c r="U37" s="250" t="s">
        <v>531</v>
      </c>
      <c r="V37" s="235" t="s">
        <v>80</v>
      </c>
      <c r="W37" s="250"/>
      <c r="X37" s="250"/>
      <c r="Y37" s="250"/>
      <c r="Z37" s="250" t="s">
        <v>532</v>
      </c>
      <c r="AA37" s="250" t="s">
        <v>469</v>
      </c>
      <c r="AB37" s="250"/>
      <c r="AC37" s="244" t="s">
        <v>449</v>
      </c>
      <c r="AD37" s="250"/>
      <c r="AE37" s="255">
        <v>75</v>
      </c>
      <c r="AF37" s="252" t="s">
        <v>434</v>
      </c>
      <c r="AG37" s="247"/>
      <c r="AH37" s="248" t="s">
        <v>435</v>
      </c>
      <c r="AJ37" s="249"/>
      <c r="AK37" s="232" t="s">
        <v>530</v>
      </c>
      <c r="AL37" s="232" t="s">
        <v>465</v>
      </c>
      <c r="AN37" s="233">
        <v>286</v>
      </c>
      <c r="AO37" s="232" t="s">
        <v>411</v>
      </c>
      <c r="AP37" s="232">
        <v>999763</v>
      </c>
      <c r="AQ37" s="232" t="str">
        <f>CONCATENATE(AN37,AO37,AP37)</f>
        <v>286-999763</v>
      </c>
      <c r="AR37" s="232" t="s">
        <v>470</v>
      </c>
      <c r="AX37" s="250"/>
      <c r="AY37" s="250"/>
      <c r="AZ37" s="232" t="str">
        <f>IF($AX37="Yes",'8. Option Codes Decrypted'!$C$15,"")</f>
        <v/>
      </c>
      <c r="BA37" s="232" t="str">
        <f>IF($AX37="Yes",'8. Option Codes Decrypted'!$C$16,"")</f>
        <v/>
      </c>
      <c r="BB37" s="232" t="str">
        <f>IF($AX37="Yes",'8. Option Codes Decrypted'!$C$17,"")</f>
        <v/>
      </c>
      <c r="BC37" s="232" t="str">
        <f>IF($AX37="Yes",'8. Option Codes Decrypted'!$C$18,"")</f>
        <v/>
      </c>
      <c r="BD37" s="232" t="str">
        <f>IF($AY37="Yes",'8. Option Codes Decrypted'!$C$20,"")</f>
        <v/>
      </c>
      <c r="BE37" s="232" t="str">
        <f>IF($AY37="Yes",'8. Option Codes Decrypted'!$C$21,"")</f>
        <v/>
      </c>
      <c r="BF37" s="232" t="str">
        <f>IF($AY37="Yes",'8. Option Codes Decrypted'!$C$22,"")</f>
        <v/>
      </c>
      <c r="BG37" s="232" t="str">
        <f>IF($AY37="Yes",'8. Option Codes Decrypted'!$C$23,"")</f>
        <v/>
      </c>
    </row>
    <row r="38" spans="1:60" x14ac:dyDescent="0.25">
      <c r="A38" s="232" t="str">
        <f t="shared" si="2"/>
        <v/>
      </c>
      <c r="B38" s="358" t="str">
        <f t="shared" si="11"/>
        <v/>
      </c>
      <c r="C38" s="358" t="str">
        <f t="shared" si="12"/>
        <v/>
      </c>
      <c r="D38" s="358"/>
      <c r="E38" s="358" t="str">
        <f t="shared" si="0"/>
        <v/>
      </c>
      <c r="F38" t="s">
        <v>426</v>
      </c>
      <c r="G38" s="230">
        <v>44670</v>
      </c>
      <c r="H38" s="174"/>
      <c r="I38" s="195" t="s">
        <v>441</v>
      </c>
      <c r="J38" s="193" t="s">
        <v>427</v>
      </c>
      <c r="K38" s="193" t="s">
        <v>522</v>
      </c>
      <c r="L38" s="193" t="s">
        <v>501</v>
      </c>
      <c r="M38" s="193" t="s">
        <v>430</v>
      </c>
      <c r="N38" s="193"/>
      <c r="O38" s="196"/>
      <c r="P38" s="196"/>
      <c r="Q38" s="196"/>
      <c r="R38" s="286" t="str">
        <f t="shared" si="1"/>
        <v>. Trim Set, Entire Vehicle</v>
      </c>
      <c r="S38" s="286"/>
      <c r="T38" s="193"/>
      <c r="U38" s="193"/>
      <c r="V38" s="193"/>
      <c r="W38" s="193"/>
      <c r="X38" s="193"/>
      <c r="Y38" s="193"/>
      <c r="Z38" s="193" t="s">
        <v>502</v>
      </c>
      <c r="AA38" s="193" t="s">
        <v>502</v>
      </c>
      <c r="AB38" s="193" t="s">
        <v>502</v>
      </c>
      <c r="AC38" s="193" t="s">
        <v>449</v>
      </c>
      <c r="AD38" s="193"/>
      <c r="AE38" s="193">
        <v>495</v>
      </c>
      <c r="AF38" s="99" t="s">
        <v>434</v>
      </c>
      <c r="AH38" s="3" t="s">
        <v>435</v>
      </c>
      <c r="AI38" s="56"/>
      <c r="AJ38" s="69"/>
      <c r="AK38" t="s">
        <v>503</v>
      </c>
      <c r="AN38"/>
      <c r="AX38" s="193"/>
      <c r="AY38" s="193"/>
      <c r="AZ38" s="232" t="str">
        <f>IF($AX38="Yes",'8. Option Codes Decrypted'!$C$15,"")</f>
        <v/>
      </c>
      <c r="BA38" s="232" t="str">
        <f>IF($AX38="Yes",'8. Option Codes Decrypted'!$C$16,"")</f>
        <v/>
      </c>
      <c r="BB38" s="232" t="str">
        <f>IF($AX38="Yes",'8. Option Codes Decrypted'!$C$17,"")</f>
        <v/>
      </c>
      <c r="BC38" s="232" t="str">
        <f>IF($AX38="Yes",'8. Option Codes Decrypted'!$C$18,"")</f>
        <v/>
      </c>
      <c r="BD38" s="232" t="str">
        <f>IF($AY38="Yes",'8. Option Codes Decrypted'!$C$20,"")</f>
        <v/>
      </c>
      <c r="BE38" s="232" t="str">
        <f>IF($AY38="Yes",'8. Option Codes Decrypted'!$C$21,"")</f>
        <v/>
      </c>
      <c r="BF38" s="232" t="str">
        <f>IF($AY38="Yes",'8. Option Codes Decrypted'!$C$22,"")</f>
        <v/>
      </c>
      <c r="BG38" s="232" t="str">
        <f>IF($AY38="Yes",'8. Option Codes Decrypted'!$C$23,"")</f>
        <v/>
      </c>
    </row>
    <row r="39" spans="1:60" s="232" customFormat="1" x14ac:dyDescent="0.25">
      <c r="A39" s="232" t="str">
        <f t="shared" si="2"/>
        <v/>
      </c>
      <c r="B39" s="358" t="str">
        <f t="shared" si="11"/>
        <v>263-999496</v>
      </c>
      <c r="C39" s="358" t="str">
        <f t="shared" si="12"/>
        <v/>
      </c>
      <c r="D39" s="358"/>
      <c r="E39" s="358">
        <f t="shared" si="0"/>
        <v>1</v>
      </c>
      <c r="F39" s="232" t="s">
        <v>508</v>
      </c>
      <c r="G39" s="241">
        <v>44811</v>
      </c>
      <c r="H39" s="257"/>
      <c r="I39" s="257"/>
      <c r="J39" s="251" t="s">
        <v>427</v>
      </c>
      <c r="K39" s="250" t="s">
        <v>522</v>
      </c>
      <c r="L39" s="244" t="s">
        <v>533</v>
      </c>
      <c r="M39" s="254" t="s">
        <v>458</v>
      </c>
      <c r="N39" s="254"/>
      <c r="O39" s="287"/>
      <c r="P39" s="287"/>
      <c r="Q39" s="287"/>
      <c r="R39" s="286" t="str">
        <f t="shared" si="1"/>
        <v>. Window Sun Shade, REAR - LEFT</v>
      </c>
      <c r="S39" s="286"/>
      <c r="T39" s="254"/>
      <c r="U39" s="244"/>
      <c r="V39" s="254"/>
      <c r="W39" s="244"/>
      <c r="X39" s="244"/>
      <c r="Y39" s="244"/>
      <c r="Z39" s="244" t="s">
        <v>534</v>
      </c>
      <c r="AA39" s="244"/>
      <c r="AB39" s="244"/>
      <c r="AC39" s="244" t="s">
        <v>449</v>
      </c>
      <c r="AD39" s="244"/>
      <c r="AE39" s="244">
        <v>190</v>
      </c>
      <c r="AF39" s="252" t="s">
        <v>434</v>
      </c>
      <c r="AG39" s="247"/>
      <c r="AH39" s="248" t="s">
        <v>435</v>
      </c>
      <c r="AI39" s="258"/>
      <c r="AJ39" s="249"/>
      <c r="AK39" s="232" t="s">
        <v>535</v>
      </c>
      <c r="AN39" s="233" t="s">
        <v>536</v>
      </c>
      <c r="AO39" s="232" t="s">
        <v>411</v>
      </c>
      <c r="AP39" s="232">
        <v>999496</v>
      </c>
      <c r="AQ39" s="232" t="str">
        <f>CONCATENATE(AN39,AO39,AP39)</f>
        <v>263-999496</v>
      </c>
      <c r="AX39" s="244"/>
      <c r="AY39" s="244"/>
      <c r="AZ39" s="232" t="str">
        <f>IF($AX39="Yes",'8. Option Codes Decrypted'!$C$15,"")</f>
        <v/>
      </c>
      <c r="BA39" s="232" t="str">
        <f>IF($AX39="Yes",'8. Option Codes Decrypted'!$C$16,"")</f>
        <v/>
      </c>
      <c r="BB39" s="232" t="str">
        <f>IF($AX39="Yes",'8. Option Codes Decrypted'!$C$17,"")</f>
        <v/>
      </c>
      <c r="BC39" s="232" t="str">
        <f>IF($AX39="Yes",'8. Option Codes Decrypted'!$C$18,"")</f>
        <v/>
      </c>
      <c r="BD39" s="232" t="str">
        <f>IF($AY39="Yes",'8. Option Codes Decrypted'!$C$20,"")</f>
        <v/>
      </c>
      <c r="BE39" s="232" t="str">
        <f>IF($AY39="Yes",'8. Option Codes Decrypted'!$C$21,"")</f>
        <v/>
      </c>
      <c r="BF39" s="232" t="str">
        <f>IF($AY39="Yes",'8. Option Codes Decrypted'!$C$22,"")</f>
        <v/>
      </c>
      <c r="BG39" s="232" t="str">
        <f>IF($AY39="Yes",'8. Option Codes Decrypted'!$C$23,"")</f>
        <v/>
      </c>
    </row>
    <row r="40" spans="1:60" x14ac:dyDescent="0.25">
      <c r="A40" s="232" t="str">
        <f t="shared" si="2"/>
        <v/>
      </c>
      <c r="B40" s="358" t="str">
        <f t="shared" si="11"/>
        <v/>
      </c>
      <c r="C40" s="358" t="str">
        <f t="shared" si="12"/>
        <v/>
      </c>
      <c r="D40" s="358"/>
      <c r="E40" s="358" t="str">
        <f t="shared" si="0"/>
        <v/>
      </c>
      <c r="F40" t="s">
        <v>426</v>
      </c>
      <c r="G40" s="230">
        <v>44670</v>
      </c>
      <c r="H40" s="10"/>
      <c r="I40" s="10"/>
      <c r="J40" s="10" t="s">
        <v>504</v>
      </c>
      <c r="K40" s="10" t="s">
        <v>522</v>
      </c>
      <c r="L40" s="10" t="s">
        <v>505</v>
      </c>
      <c r="M40" s="16" t="s">
        <v>430</v>
      </c>
      <c r="N40" s="16"/>
      <c r="O40" s="191"/>
      <c r="P40" s="191"/>
      <c r="Q40" s="191"/>
      <c r="R40" s="286" t="str">
        <f t="shared" si="1"/>
        <v>. Door Handle, Interior (if wood trim doesn't come off easily, put handle with trim SET)</v>
      </c>
      <c r="S40" s="286"/>
      <c r="T40" s="16"/>
      <c r="U40" s="16"/>
      <c r="V40" s="16"/>
      <c r="W40" s="16"/>
      <c r="X40" s="16"/>
      <c r="Y40" s="16"/>
      <c r="Z40" s="10" t="s">
        <v>506</v>
      </c>
      <c r="AA40" s="10" t="s">
        <v>506</v>
      </c>
      <c r="AB40" s="10" t="s">
        <v>506</v>
      </c>
      <c r="AC40" s="193" t="s">
        <v>449</v>
      </c>
      <c r="AD40" s="16"/>
      <c r="AE40" s="16"/>
      <c r="AF40" s="200" t="s">
        <v>434</v>
      </c>
      <c r="AH40" s="3" t="s">
        <v>435</v>
      </c>
      <c r="AJ40" s="69"/>
      <c r="AK40" t="s">
        <v>507</v>
      </c>
      <c r="AN40"/>
      <c r="AX40" s="16"/>
      <c r="AY40" s="16"/>
      <c r="AZ40" s="232" t="str">
        <f>IF($AX40="Yes",'8. Option Codes Decrypted'!$C$15,"")</f>
        <v/>
      </c>
      <c r="BA40" s="232" t="str">
        <f>IF($AX40="Yes",'8. Option Codes Decrypted'!$C$16,"")</f>
        <v/>
      </c>
      <c r="BB40" s="232" t="str">
        <f>IF($AX40="Yes",'8. Option Codes Decrypted'!$C$17,"")</f>
        <v/>
      </c>
      <c r="BC40" s="232" t="str">
        <f>IF($AX40="Yes",'8. Option Codes Decrypted'!$C$18,"")</f>
        <v/>
      </c>
      <c r="BD40" s="232" t="str">
        <f>IF($AY40="Yes",'8. Option Codes Decrypted'!$C$20,"")</f>
        <v/>
      </c>
      <c r="BE40" s="232" t="str">
        <f>IF($AY40="Yes",'8. Option Codes Decrypted'!$C$21,"")</f>
        <v/>
      </c>
      <c r="BF40" s="232" t="str">
        <f>IF($AY40="Yes",'8. Option Codes Decrypted'!$C$22,"")</f>
        <v/>
      </c>
      <c r="BG40" s="232" t="str">
        <f>IF($AY40="Yes",'8. Option Codes Decrypted'!$C$23,"")</f>
        <v/>
      </c>
    </row>
    <row r="41" spans="1:60" x14ac:dyDescent="0.25">
      <c r="A41" s="232" t="str">
        <f t="shared" si="2"/>
        <v/>
      </c>
      <c r="B41" s="358" t="str">
        <f t="shared" si="11"/>
        <v/>
      </c>
      <c r="C41" s="358" t="str">
        <f t="shared" si="12"/>
        <v/>
      </c>
      <c r="D41" s="358"/>
      <c r="E41" s="358" t="str">
        <f t="shared" si="0"/>
        <v/>
      </c>
      <c r="F41" t="s">
        <v>426</v>
      </c>
      <c r="G41" s="230">
        <v>44670</v>
      </c>
      <c r="H41" s="10"/>
      <c r="I41" s="10"/>
      <c r="J41" s="10" t="s">
        <v>504</v>
      </c>
      <c r="K41" s="15" t="s">
        <v>522</v>
      </c>
      <c r="L41" s="10" t="s">
        <v>513</v>
      </c>
      <c r="M41" s="16" t="s">
        <v>430</v>
      </c>
      <c r="N41" s="16"/>
      <c r="O41" s="191"/>
      <c r="P41" s="191"/>
      <c r="Q41" s="191"/>
      <c r="R41" s="286" t="str">
        <f t="shared" si="1"/>
        <v>. Door Panel</v>
      </c>
      <c r="S41" s="286"/>
      <c r="T41" s="16"/>
      <c r="U41" s="16"/>
      <c r="V41" s="16"/>
      <c r="W41" s="16"/>
      <c r="X41" s="16"/>
      <c r="Y41" s="16"/>
      <c r="Z41" s="10" t="s">
        <v>513</v>
      </c>
      <c r="AA41" s="10" t="s">
        <v>513</v>
      </c>
      <c r="AB41" s="10" t="s">
        <v>513</v>
      </c>
      <c r="AC41" s="193" t="s">
        <v>449</v>
      </c>
      <c r="AD41" s="10"/>
      <c r="AE41" s="10"/>
      <c r="AF41" s="200" t="s">
        <v>434</v>
      </c>
      <c r="AH41" s="3" t="s">
        <v>435</v>
      </c>
      <c r="AJ41" s="69"/>
      <c r="AK41" t="s">
        <v>514</v>
      </c>
      <c r="AN41"/>
      <c r="AX41" s="16"/>
      <c r="AY41" s="16"/>
      <c r="AZ41" s="232" t="str">
        <f>IF($AX41="Yes",'8. Option Codes Decrypted'!$C$15,"")</f>
        <v/>
      </c>
      <c r="BA41" s="232" t="str">
        <f>IF($AX41="Yes",'8. Option Codes Decrypted'!$C$16,"")</f>
        <v/>
      </c>
      <c r="BB41" s="232" t="str">
        <f>IF($AX41="Yes",'8. Option Codes Decrypted'!$C$17,"")</f>
        <v/>
      </c>
      <c r="BC41" s="232" t="str">
        <f>IF($AX41="Yes",'8. Option Codes Decrypted'!$C$18,"")</f>
        <v/>
      </c>
      <c r="BD41" s="232" t="str">
        <f>IF($AY41="Yes",'8. Option Codes Decrypted'!$C$20,"")</f>
        <v/>
      </c>
      <c r="BE41" s="232" t="str">
        <f>IF($AY41="Yes",'8. Option Codes Decrypted'!$C$21,"")</f>
        <v/>
      </c>
      <c r="BF41" s="232" t="str">
        <f>IF($AY41="Yes",'8. Option Codes Decrypted'!$C$22,"")</f>
        <v/>
      </c>
      <c r="BG41" s="232" t="str">
        <f>IF($AY41="Yes",'8. Option Codes Decrypted'!$C$23,"")</f>
        <v/>
      </c>
    </row>
    <row r="42" spans="1:60" x14ac:dyDescent="0.25">
      <c r="A42" s="232" t="str">
        <f t="shared" si="2"/>
        <v/>
      </c>
      <c r="B42" s="358" t="str">
        <f t="shared" si="11"/>
        <v/>
      </c>
      <c r="C42" s="358" t="str">
        <f t="shared" si="12"/>
        <v/>
      </c>
      <c r="D42" s="358"/>
      <c r="E42" s="358" t="str">
        <f t="shared" si="0"/>
        <v/>
      </c>
      <c r="F42" t="s">
        <v>426</v>
      </c>
      <c r="G42" s="230">
        <v>44670</v>
      </c>
      <c r="H42" s="178"/>
      <c r="I42" s="10"/>
      <c r="J42" s="10" t="s">
        <v>504</v>
      </c>
      <c r="K42" s="15" t="s">
        <v>522</v>
      </c>
      <c r="L42" s="10" t="s">
        <v>498</v>
      </c>
      <c r="M42" s="16" t="s">
        <v>430</v>
      </c>
      <c r="N42" s="16"/>
      <c r="O42" s="191"/>
      <c r="P42" s="191"/>
      <c r="Q42" s="191"/>
      <c r="R42" s="286" t="str">
        <f t="shared" si="1"/>
        <v>. Switch, Window</v>
      </c>
      <c r="S42" s="286"/>
      <c r="T42" s="16"/>
      <c r="U42" s="16"/>
      <c r="V42" s="16"/>
      <c r="W42" s="16"/>
      <c r="X42" s="16"/>
      <c r="Y42" s="16"/>
      <c r="Z42" s="10" t="s">
        <v>498</v>
      </c>
      <c r="AA42" s="10" t="s">
        <v>498</v>
      </c>
      <c r="AB42" s="10" t="s">
        <v>498</v>
      </c>
      <c r="AC42" s="193" t="s">
        <v>449</v>
      </c>
      <c r="AD42" s="10"/>
      <c r="AE42" s="10"/>
      <c r="AF42" s="200" t="s">
        <v>434</v>
      </c>
      <c r="AH42" s="3" t="s">
        <v>435</v>
      </c>
      <c r="AJ42" s="69"/>
      <c r="AK42" t="s">
        <v>537</v>
      </c>
      <c r="AN42"/>
      <c r="AX42" s="16"/>
      <c r="AY42" s="16"/>
      <c r="AZ42" s="232" t="str">
        <f>IF($AX42="Yes",'8. Option Codes Decrypted'!$C$15,"")</f>
        <v/>
      </c>
      <c r="BA42" s="232" t="str">
        <f>IF($AX42="Yes",'8. Option Codes Decrypted'!$C$16,"")</f>
        <v/>
      </c>
      <c r="BB42" s="232" t="str">
        <f>IF($AX42="Yes",'8. Option Codes Decrypted'!$C$17,"")</f>
        <v/>
      </c>
      <c r="BC42" s="232" t="str">
        <f>IF($AX42="Yes",'8. Option Codes Decrypted'!$C$18,"")</f>
        <v/>
      </c>
      <c r="BD42" s="232" t="str">
        <f>IF($AY42="Yes",'8. Option Codes Decrypted'!$C$20,"")</f>
        <v/>
      </c>
      <c r="BE42" s="232" t="str">
        <f>IF($AY42="Yes",'8. Option Codes Decrypted'!$C$21,"")</f>
        <v/>
      </c>
      <c r="BF42" s="232" t="str">
        <f>IF($AY42="Yes",'8. Option Codes Decrypted'!$C$22,"")</f>
        <v/>
      </c>
      <c r="BG42" s="232" t="str">
        <f>IF($AY42="Yes",'8. Option Codes Decrypted'!$C$23,"")</f>
        <v/>
      </c>
    </row>
    <row r="43" spans="1:60" ht="15.75" thickBot="1" x14ac:dyDescent="0.3">
      <c r="A43" s="232" t="str">
        <f t="shared" si="2"/>
        <v/>
      </c>
      <c r="B43" s="358" t="str">
        <f t="shared" si="11"/>
        <v/>
      </c>
      <c r="C43" s="358" t="str">
        <f t="shared" si="12"/>
        <v/>
      </c>
      <c r="D43" s="358"/>
      <c r="E43" s="358" t="str">
        <f t="shared" si="0"/>
        <v/>
      </c>
      <c r="F43" t="s">
        <v>426</v>
      </c>
      <c r="G43" s="230">
        <v>44670</v>
      </c>
      <c r="H43" s="176"/>
      <c r="I43" s="203"/>
      <c r="J43" s="10" t="s">
        <v>504</v>
      </c>
      <c r="K43" s="15" t="s">
        <v>522</v>
      </c>
      <c r="L43" s="10" t="s">
        <v>518</v>
      </c>
      <c r="M43" s="188" t="s">
        <v>444</v>
      </c>
      <c r="N43" s="188"/>
      <c r="O43" s="289"/>
      <c r="P43" s="289"/>
      <c r="Q43" s="289"/>
      <c r="R43" s="286" t="str">
        <f t="shared" si="1"/>
        <v>. Window Motor &amp; Regulator (TOSS BOTH)</v>
      </c>
      <c r="S43" s="286"/>
      <c r="T43" s="188"/>
      <c r="U43" s="16"/>
      <c r="V43" s="188"/>
      <c r="W43" s="16"/>
      <c r="X43" s="16"/>
      <c r="Y43" s="16"/>
      <c r="Z43" s="10" t="s">
        <v>519</v>
      </c>
      <c r="AA43" s="10" t="s">
        <v>519</v>
      </c>
      <c r="AB43" s="10" t="s">
        <v>519</v>
      </c>
      <c r="AC43" s="193" t="s">
        <v>449</v>
      </c>
      <c r="AD43" s="10"/>
      <c r="AE43" s="10"/>
      <c r="AF43" s="200" t="s">
        <v>434</v>
      </c>
      <c r="AH43" s="3" t="s">
        <v>435</v>
      </c>
      <c r="AJ43" s="69"/>
      <c r="AK43" t="s">
        <v>520</v>
      </c>
      <c r="AN43"/>
      <c r="AO43" t="s">
        <v>411</v>
      </c>
      <c r="AX43" s="16"/>
      <c r="AY43" s="16"/>
      <c r="AZ43" s="232" t="str">
        <f>IF($AX43="Yes",'8. Option Codes Decrypted'!$C$15,"")</f>
        <v/>
      </c>
      <c r="BA43" s="232" t="str">
        <f>IF($AX43="Yes",'8. Option Codes Decrypted'!$C$16,"")</f>
        <v/>
      </c>
      <c r="BB43" s="232" t="str">
        <f>IF($AX43="Yes",'8. Option Codes Decrypted'!$C$17,"")</f>
        <v/>
      </c>
      <c r="BC43" s="232" t="str">
        <f>IF($AX43="Yes",'8. Option Codes Decrypted'!$C$18,"")</f>
        <v/>
      </c>
      <c r="BD43" s="232" t="str">
        <f>IF($AY43="Yes",'8. Option Codes Decrypted'!$C$20,"")</f>
        <v/>
      </c>
      <c r="BE43" s="232" t="str">
        <f>IF($AY43="Yes",'8. Option Codes Decrypted'!$C$21,"")</f>
        <v/>
      </c>
      <c r="BF43" s="232" t="str">
        <f>IF($AY43="Yes",'8. Option Codes Decrypted'!$C$22,"")</f>
        <v/>
      </c>
      <c r="BG43" s="232" t="str">
        <f>IF($AY43="Yes",'8. Option Codes Decrypted'!$C$23,"")</f>
        <v/>
      </c>
    </row>
    <row r="44" spans="1:60" s="232" customFormat="1" ht="15.75" thickBot="1" x14ac:dyDescent="0.3">
      <c r="A44" s="232" t="str">
        <f t="shared" si="2"/>
        <v>A118</v>
      </c>
      <c r="B44" s="358" t="str">
        <f t="shared" ref="B44:B45" si="13">IF(AQ44&lt;&gt;"",AQ44,"")</f>
        <v>129-52060</v>
      </c>
      <c r="C44" s="358" t="s">
        <v>538</v>
      </c>
      <c r="D44" s="358"/>
      <c r="E44" s="358">
        <f t="shared" si="0"/>
        <v>2</v>
      </c>
      <c r="F44" s="232" t="s">
        <v>426</v>
      </c>
      <c r="G44" s="241">
        <v>44670</v>
      </c>
      <c r="H44" s="242"/>
      <c r="I44" s="243" t="s">
        <v>441</v>
      </c>
      <c r="J44" s="244" t="s">
        <v>427</v>
      </c>
      <c r="K44" s="245" t="s">
        <v>539</v>
      </c>
      <c r="L44" s="244" t="s">
        <v>443</v>
      </c>
      <c r="M44" s="243" t="s">
        <v>444</v>
      </c>
      <c r="N44" s="243">
        <v>108</v>
      </c>
      <c r="O44" s="285" t="s">
        <v>362</v>
      </c>
      <c r="P44" s="285" t="s">
        <v>397</v>
      </c>
      <c r="Q44" s="284">
        <v>1</v>
      </c>
      <c r="R44" s="286" t="str">
        <f t="shared" si="1"/>
        <v>A118. Door Handle, Exterior - FRONT - RIGHT</v>
      </c>
      <c r="S44" s="365" t="str">
        <f>HYPERLINK(VLOOKUP(O44,'3D. Pictures'!$B$3:$E$500,4,FALSE),"PIC")</f>
        <v>PIC</v>
      </c>
      <c r="T44" s="243">
        <v>6</v>
      </c>
      <c r="U44" s="250" t="s">
        <v>540</v>
      </c>
      <c r="V44" s="243" t="s">
        <v>80</v>
      </c>
      <c r="W44" s="244" t="s">
        <v>2984</v>
      </c>
      <c r="X44" s="244"/>
      <c r="Y44" s="244"/>
      <c r="Z44" s="244" t="s">
        <v>541</v>
      </c>
      <c r="AA44" s="244" t="s">
        <v>524</v>
      </c>
      <c r="AB44" s="244"/>
      <c r="AC44" s="244" t="s">
        <v>449</v>
      </c>
      <c r="AD44" s="244" t="s">
        <v>542</v>
      </c>
      <c r="AE44" s="246">
        <v>175</v>
      </c>
      <c r="AF44" s="252" t="s">
        <v>434</v>
      </c>
      <c r="AG44" s="247"/>
      <c r="AH44" s="248" t="s">
        <v>435</v>
      </c>
      <c r="AJ44" s="249"/>
      <c r="AK44" s="232" t="s">
        <v>451</v>
      </c>
      <c r="AL44" s="232" t="s">
        <v>452</v>
      </c>
      <c r="AN44" s="233" t="s">
        <v>525</v>
      </c>
      <c r="AO44" s="232" t="s">
        <v>411</v>
      </c>
      <c r="AP44" s="232">
        <v>52060</v>
      </c>
      <c r="AQ44" s="232" t="str">
        <f>CONCATENATE(AN44,AO44,AP44)</f>
        <v>129-52060</v>
      </c>
      <c r="AR44" s="232" t="s">
        <v>453</v>
      </c>
      <c r="AX44" s="244" t="s">
        <v>80</v>
      </c>
      <c r="AY44" s="244"/>
      <c r="AZ44" s="232" t="str">
        <f>IF($AX44="Yes",'8. Option Codes Decrypted'!$C$15,"")</f>
        <v>Painted</v>
      </c>
      <c r="BA44" s="232" t="str">
        <f>IF($AX44="Yes",'8. Option Codes Decrypted'!$C$16,"")</f>
        <v>Brown</v>
      </c>
      <c r="BB44" s="232" t="str">
        <f>IF($AX44="Yes",'8. Option Codes Decrypted'!$C$17,"")</f>
        <v>Sparkling Brown Metallic</v>
      </c>
      <c r="BC44" s="232" t="str">
        <f>IF($AX44="Yes",'8. Option Codes Decrypted'!$C$18,"")</f>
        <v>B53</v>
      </c>
      <c r="BD44" s="232" t="str">
        <f>IF($AY44="Yes",'8. Option Codes Decrypted'!$C$20,"")</f>
        <v/>
      </c>
      <c r="BE44" s="232" t="str">
        <f>IF($AY44="Yes",'8. Option Codes Decrypted'!$C$21,"")</f>
        <v/>
      </c>
      <c r="BF44" s="232" t="str">
        <f>IF($AY44="Yes",'8. Option Codes Decrypted'!$C$22,"")</f>
        <v/>
      </c>
      <c r="BG44" s="232" t="str">
        <f>IF($AY44="Yes",'8. Option Codes Decrypted'!$C$23,"")</f>
        <v/>
      </c>
      <c r="BH44" s="232" t="str">
        <f t="shared" ref="BH44:BH45" si="14">C44</f>
        <v>129-52060-1</v>
      </c>
    </row>
    <row r="45" spans="1:60" s="232" customFormat="1" ht="15.75" thickBot="1" x14ac:dyDescent="0.3">
      <c r="A45" s="232" t="str">
        <f t="shared" si="2"/>
        <v/>
      </c>
      <c r="B45" s="358" t="str">
        <f t="shared" si="13"/>
        <v>129-52062</v>
      </c>
      <c r="C45" s="358" t="s">
        <v>543</v>
      </c>
      <c r="D45" s="358"/>
      <c r="E45" s="358">
        <f t="shared" si="0"/>
        <v>2</v>
      </c>
      <c r="F45" s="232" t="s">
        <v>426</v>
      </c>
      <c r="G45" s="241">
        <v>44670</v>
      </c>
      <c r="H45" s="242"/>
      <c r="I45" s="243" t="s">
        <v>441</v>
      </c>
      <c r="J45" s="244" t="s">
        <v>427</v>
      </c>
      <c r="K45" s="245" t="s">
        <v>539</v>
      </c>
      <c r="L45" s="244" t="s">
        <v>443</v>
      </c>
      <c r="M45" s="243" t="s">
        <v>444</v>
      </c>
      <c r="N45" s="243"/>
      <c r="O45" s="285"/>
      <c r="P45" s="285"/>
      <c r="Q45" s="285"/>
      <c r="R45" s="286" t="str">
        <f t="shared" si="1"/>
        <v>. Door Handle, Exterior - FRONT - RIGHT</v>
      </c>
      <c r="S45" s="286"/>
      <c r="T45" s="243"/>
      <c r="U45" s="250" t="s">
        <v>544</v>
      </c>
      <c r="V45" s="243" t="s">
        <v>80</v>
      </c>
      <c r="W45" s="244"/>
      <c r="X45" s="244"/>
      <c r="Y45" s="244"/>
      <c r="Z45" s="244" t="s">
        <v>541</v>
      </c>
      <c r="AA45" s="244" t="s">
        <v>524</v>
      </c>
      <c r="AB45" s="244"/>
      <c r="AC45" s="244" t="s">
        <v>449</v>
      </c>
      <c r="AD45" s="244" t="s">
        <v>542</v>
      </c>
      <c r="AE45" s="246">
        <v>140</v>
      </c>
      <c r="AF45" s="252" t="s">
        <v>434</v>
      </c>
      <c r="AG45" s="247"/>
      <c r="AH45" s="248" t="s">
        <v>435</v>
      </c>
      <c r="AJ45" s="249"/>
      <c r="AK45" s="232" t="s">
        <v>451</v>
      </c>
      <c r="AL45" s="232" t="s">
        <v>452</v>
      </c>
      <c r="AN45" s="233" t="s">
        <v>525</v>
      </c>
      <c r="AO45" s="232" t="s">
        <v>411</v>
      </c>
      <c r="AP45" s="232">
        <v>52062</v>
      </c>
      <c r="AQ45" s="232" t="str">
        <f>CONCATENATE(AN45,AO45,AP45)</f>
        <v>129-52062</v>
      </c>
      <c r="AR45" s="232" t="s">
        <v>456</v>
      </c>
      <c r="AX45" s="244" t="s">
        <v>80</v>
      </c>
      <c r="AY45" s="244"/>
      <c r="AZ45" s="232" t="str">
        <f>IF($AX45="Yes",'8. Option Codes Decrypted'!$C$15,"")</f>
        <v>Painted</v>
      </c>
      <c r="BA45" s="232" t="str">
        <f>IF($AX45="Yes",'8. Option Codes Decrypted'!$C$16,"")</f>
        <v>Brown</v>
      </c>
      <c r="BB45" s="232" t="str">
        <f>IF($AX45="Yes",'8. Option Codes Decrypted'!$C$17,"")</f>
        <v>Sparkling Brown Metallic</v>
      </c>
      <c r="BC45" s="232" t="str">
        <f>IF($AX45="Yes",'8. Option Codes Decrypted'!$C$18,"")</f>
        <v>B53</v>
      </c>
      <c r="BD45" s="232" t="str">
        <f>IF($AY45="Yes",'8. Option Codes Decrypted'!$C$20,"")</f>
        <v/>
      </c>
      <c r="BE45" s="232" t="str">
        <f>IF($AY45="Yes",'8. Option Codes Decrypted'!$C$21,"")</f>
        <v/>
      </c>
      <c r="BF45" s="232" t="str">
        <f>IF($AY45="Yes",'8. Option Codes Decrypted'!$C$22,"")</f>
        <v/>
      </c>
      <c r="BG45" s="232" t="str">
        <f>IF($AY45="Yes",'8. Option Codes Decrypted'!$C$23,"")</f>
        <v/>
      </c>
      <c r="BH45" s="232" t="str">
        <f t="shared" si="14"/>
        <v>129-52062-1</v>
      </c>
    </row>
    <row r="46" spans="1:60" s="232" customFormat="1" ht="15.75" thickBot="1" x14ac:dyDescent="0.3">
      <c r="A46" s="232" t="str">
        <f t="shared" si="2"/>
        <v>A29</v>
      </c>
      <c r="B46" s="358" t="str">
        <f>IF(AQ46&lt;&gt;"",AQ46,"")</f>
        <v>285-999722</v>
      </c>
      <c r="C46" s="358" t="str">
        <f t="shared" ref="C46:C62" si="15">IF(AS46&lt;&gt;"",AS46,"")</f>
        <v/>
      </c>
      <c r="D46" s="358"/>
      <c r="E46" s="358">
        <f t="shared" si="0"/>
        <v>1</v>
      </c>
      <c r="F46" s="232" t="s">
        <v>426</v>
      </c>
      <c r="G46" s="241">
        <v>44670</v>
      </c>
      <c r="H46" s="250"/>
      <c r="I46" s="250"/>
      <c r="J46" s="250" t="s">
        <v>427</v>
      </c>
      <c r="K46" s="250" t="s">
        <v>539</v>
      </c>
      <c r="L46" s="250" t="s">
        <v>457</v>
      </c>
      <c r="M46" s="235" t="s">
        <v>444</v>
      </c>
      <c r="N46" s="235">
        <v>19</v>
      </c>
      <c r="O46" s="284" t="s">
        <v>273</v>
      </c>
      <c r="P46" s="284" t="s">
        <v>459</v>
      </c>
      <c r="Q46" s="284">
        <v>1</v>
      </c>
      <c r="R46" s="286" t="str">
        <f t="shared" si="1"/>
        <v>A29. Door Latch, FRONT - RIGHT Soft Close WITH Actuator SET2</v>
      </c>
      <c r="S46" s="365" t="str">
        <f>HYPERLINK(VLOOKUP(O46,'3D. Pictures'!$B$3:$E$500,4,FALSE),"PIC")</f>
        <v>PIC</v>
      </c>
      <c r="T46" s="235">
        <v>7</v>
      </c>
      <c r="U46" s="250" t="s">
        <v>545</v>
      </c>
      <c r="V46" s="235" t="s">
        <v>80</v>
      </c>
      <c r="W46" s="250"/>
      <c r="X46" s="250"/>
      <c r="Y46" s="250"/>
      <c r="Z46" s="250" t="s">
        <v>546</v>
      </c>
      <c r="AA46" s="250" t="s">
        <v>462</v>
      </c>
      <c r="AB46" s="250" t="s">
        <v>463</v>
      </c>
      <c r="AC46" s="244" t="s">
        <v>449</v>
      </c>
      <c r="AD46" s="250"/>
      <c r="AE46" s="255">
        <v>250</v>
      </c>
      <c r="AF46" s="252" t="s">
        <v>434</v>
      </c>
      <c r="AG46" s="247"/>
      <c r="AH46" s="248" t="s">
        <v>435</v>
      </c>
      <c r="AJ46" s="249"/>
      <c r="AK46" s="232" t="s">
        <v>547</v>
      </c>
      <c r="AL46" s="232" t="s">
        <v>465</v>
      </c>
      <c r="AN46" s="233">
        <v>285</v>
      </c>
      <c r="AO46" s="232" t="s">
        <v>411</v>
      </c>
      <c r="AP46" s="232">
        <v>999722</v>
      </c>
      <c r="AQ46" s="232" t="str">
        <f>CONCATENATE(AN46,AO46,AP46)</f>
        <v>285-999722</v>
      </c>
      <c r="AR46" s="232" t="s">
        <v>466</v>
      </c>
      <c r="AX46" s="250"/>
      <c r="AY46" s="250"/>
      <c r="AZ46" s="232" t="str">
        <f>IF($AX46="Yes",'8. Option Codes Decrypted'!$C$15,"")</f>
        <v/>
      </c>
      <c r="BA46" s="232" t="str">
        <f>IF($AX46="Yes",'8. Option Codes Decrypted'!$C$16,"")</f>
        <v/>
      </c>
      <c r="BB46" s="232" t="str">
        <f>IF($AX46="Yes",'8. Option Codes Decrypted'!$C$17,"")</f>
        <v/>
      </c>
      <c r="BC46" s="232" t="str">
        <f>IF($AX46="Yes",'8. Option Codes Decrypted'!$C$18,"")</f>
        <v/>
      </c>
      <c r="BD46" s="232" t="str">
        <f>IF($AY46="Yes",'8. Option Codes Decrypted'!$C$20,"")</f>
        <v/>
      </c>
      <c r="BE46" s="232" t="str">
        <f>IF($AY46="Yes",'8. Option Codes Decrypted'!$C$21,"")</f>
        <v/>
      </c>
      <c r="BF46" s="232" t="str">
        <f>IF($AY46="Yes",'8. Option Codes Decrypted'!$C$22,"")</f>
        <v/>
      </c>
      <c r="BG46" s="232" t="str">
        <f>IF($AY46="Yes",'8. Option Codes Decrypted'!$C$23,"")</f>
        <v/>
      </c>
    </row>
    <row r="47" spans="1:60" s="232" customFormat="1" x14ac:dyDescent="0.25">
      <c r="A47" s="232" t="str">
        <f t="shared" si="2"/>
        <v/>
      </c>
      <c r="B47" s="358" t="str">
        <f>IF(AQ47&lt;&gt;"",AQ47,"")</f>
        <v>285-999716</v>
      </c>
      <c r="C47" s="358" t="str">
        <f t="shared" si="15"/>
        <v/>
      </c>
      <c r="D47" s="358"/>
      <c r="E47" s="358">
        <f t="shared" si="0"/>
        <v>1</v>
      </c>
      <c r="F47" s="232" t="s">
        <v>426</v>
      </c>
      <c r="G47" s="241">
        <v>44670</v>
      </c>
      <c r="H47" s="250"/>
      <c r="I47" s="250"/>
      <c r="J47" s="250" t="s">
        <v>427</v>
      </c>
      <c r="K47" s="250" t="s">
        <v>539</v>
      </c>
      <c r="L47" s="250" t="s">
        <v>457</v>
      </c>
      <c r="M47" s="235" t="s">
        <v>444</v>
      </c>
      <c r="N47" s="235"/>
      <c r="O47" s="284"/>
      <c r="P47" s="284"/>
      <c r="Q47" s="284"/>
      <c r="R47" s="286" t="str">
        <f t="shared" si="1"/>
        <v>. Door Latch, FRONT - RIGHT WITHOUT Soft Close</v>
      </c>
      <c r="S47" s="286"/>
      <c r="T47" s="235"/>
      <c r="U47" s="250" t="s">
        <v>548</v>
      </c>
      <c r="V47" s="235" t="s">
        <v>80</v>
      </c>
      <c r="W47" s="250"/>
      <c r="X47" s="250"/>
      <c r="Y47" s="250"/>
      <c r="Z47" s="250" t="s">
        <v>549</v>
      </c>
      <c r="AA47" s="250" t="s">
        <v>469</v>
      </c>
      <c r="AB47" s="250"/>
      <c r="AC47" s="244" t="s">
        <v>449</v>
      </c>
      <c r="AD47" s="250"/>
      <c r="AE47" s="255">
        <v>78</v>
      </c>
      <c r="AF47" s="252" t="s">
        <v>434</v>
      </c>
      <c r="AG47" s="247"/>
      <c r="AH47" s="248" t="s">
        <v>435</v>
      </c>
      <c r="AJ47" s="249"/>
      <c r="AK47" s="232" t="s">
        <v>547</v>
      </c>
      <c r="AL47" s="232" t="s">
        <v>465</v>
      </c>
      <c r="AN47" s="233">
        <v>285</v>
      </c>
      <c r="AO47" s="232" t="s">
        <v>411</v>
      </c>
      <c r="AP47" s="232">
        <v>999716</v>
      </c>
      <c r="AQ47" s="232" t="str">
        <f>CONCATENATE(AN47,AO47,AP47)</f>
        <v>285-999716</v>
      </c>
      <c r="AR47" s="232" t="s">
        <v>470</v>
      </c>
      <c r="AX47" s="250"/>
      <c r="AY47" s="250"/>
      <c r="AZ47" s="232" t="str">
        <f>IF($AX47="Yes",'8. Option Codes Decrypted'!$C$15,"")</f>
        <v/>
      </c>
      <c r="BA47" s="232" t="str">
        <f>IF($AX47="Yes",'8. Option Codes Decrypted'!$C$16,"")</f>
        <v/>
      </c>
      <c r="BB47" s="232" t="str">
        <f>IF($AX47="Yes",'8. Option Codes Decrypted'!$C$17,"")</f>
        <v/>
      </c>
      <c r="BC47" s="232" t="str">
        <f>IF($AX47="Yes",'8. Option Codes Decrypted'!$C$18,"")</f>
        <v/>
      </c>
      <c r="BD47" s="232" t="str">
        <f>IF($AY47="Yes",'8. Option Codes Decrypted'!$C$20,"")</f>
        <v/>
      </c>
      <c r="BE47" s="232" t="str">
        <f>IF($AY47="Yes",'8. Option Codes Decrypted'!$C$21,"")</f>
        <v/>
      </c>
      <c r="BF47" s="232" t="str">
        <f>IF($AY47="Yes",'8. Option Codes Decrypted'!$C$22,"")</f>
        <v/>
      </c>
      <c r="BG47" s="232" t="str">
        <f>IF($AY47="Yes",'8. Option Codes Decrypted'!$C$23,"")</f>
        <v/>
      </c>
    </row>
    <row r="48" spans="1:60" s="232" customFormat="1" x14ac:dyDescent="0.25">
      <c r="A48" s="232" t="str">
        <f t="shared" si="2"/>
        <v/>
      </c>
      <c r="B48" s="358" t="str">
        <f t="shared" ref="B48:B57" si="16">IF(AQ48&lt;&gt;"",AQ48,"")</f>
        <v>128-11744</v>
      </c>
      <c r="C48" s="358" t="str">
        <f t="shared" si="15"/>
        <v/>
      </c>
      <c r="D48" s="358"/>
      <c r="E48" s="358">
        <f t="shared" si="0"/>
        <v>1</v>
      </c>
      <c r="F48" s="232" t="s">
        <v>426</v>
      </c>
      <c r="G48" s="241">
        <v>44670</v>
      </c>
      <c r="H48" s="242"/>
      <c r="I48" s="243" t="s">
        <v>441</v>
      </c>
      <c r="J48" s="244" t="s">
        <v>427</v>
      </c>
      <c r="K48" s="245" t="s">
        <v>539</v>
      </c>
      <c r="L48" s="244" t="s">
        <v>475</v>
      </c>
      <c r="M48" s="243" t="s">
        <v>444</v>
      </c>
      <c r="N48" s="243"/>
      <c r="O48" s="285"/>
      <c r="P48" s="285"/>
      <c r="Q48" s="285"/>
      <c r="R48" s="286" t="str">
        <f t="shared" si="1"/>
        <v>. Mirror, Door - FRONT RIGHT</v>
      </c>
      <c r="S48" s="286"/>
      <c r="T48" s="243"/>
      <c r="U48" s="244"/>
      <c r="V48" s="243"/>
      <c r="W48" s="244"/>
      <c r="X48" s="244"/>
      <c r="Y48" s="244"/>
      <c r="Z48" s="244" t="s">
        <v>550</v>
      </c>
      <c r="AA48" s="244"/>
      <c r="AB48" s="244"/>
      <c r="AC48" s="244" t="s">
        <v>449</v>
      </c>
      <c r="AD48" s="244"/>
      <c r="AE48" s="246">
        <v>1000</v>
      </c>
      <c r="AF48" s="232" t="s">
        <v>477</v>
      </c>
      <c r="AG48" s="247"/>
      <c r="AH48" s="248" t="s">
        <v>435</v>
      </c>
      <c r="AJ48" s="249"/>
      <c r="AK48" s="232" t="s">
        <v>477</v>
      </c>
      <c r="AL48" s="232" t="s">
        <v>478</v>
      </c>
      <c r="AN48" s="233">
        <v>128</v>
      </c>
      <c r="AO48" s="232" t="s">
        <v>411</v>
      </c>
      <c r="AP48" s="232">
        <v>11744</v>
      </c>
      <c r="AQ48" s="232" t="str">
        <f t="shared" ref="AQ48:AQ57" si="17">CONCATENATE(AN48,AO48,AP48)</f>
        <v>128-11744</v>
      </c>
      <c r="AR48" s="232" t="s">
        <v>479</v>
      </c>
      <c r="AX48" s="244" t="s">
        <v>80</v>
      </c>
      <c r="AY48" s="244"/>
      <c r="AZ48" s="232" t="str">
        <f>IF($AX48="Yes",'8. Option Codes Decrypted'!$C$15,"")</f>
        <v>Painted</v>
      </c>
      <c r="BA48" s="232" t="str">
        <f>IF($AX48="Yes",'8. Option Codes Decrypted'!$C$16,"")</f>
        <v>Brown</v>
      </c>
      <c r="BB48" s="232" t="str">
        <f>IF($AX48="Yes",'8. Option Codes Decrypted'!$C$17,"")</f>
        <v>Sparkling Brown Metallic</v>
      </c>
      <c r="BC48" s="232" t="str">
        <f>IF($AX48="Yes",'8. Option Codes Decrypted'!$C$18,"")</f>
        <v>B53</v>
      </c>
      <c r="BD48" s="232" t="str">
        <f>IF($AY48="Yes",'8. Option Codes Decrypted'!$C$20,"")</f>
        <v/>
      </c>
      <c r="BE48" s="232" t="str">
        <f>IF($AY48="Yes",'8. Option Codes Decrypted'!$C$21,"")</f>
        <v/>
      </c>
      <c r="BF48" s="232" t="str">
        <f>IF($AY48="Yes",'8. Option Codes Decrypted'!$C$22,"")</f>
        <v/>
      </c>
      <c r="BG48" s="232" t="str">
        <f>IF($AY48="Yes",'8. Option Codes Decrypted'!$C$23,"")</f>
        <v/>
      </c>
      <c r="BH48" s="232" t="str">
        <f t="shared" ref="BH48:BH57" si="18">B48</f>
        <v>128-11744</v>
      </c>
    </row>
    <row r="49" spans="1:60" s="232" customFormat="1" x14ac:dyDescent="0.25">
      <c r="A49" s="232" t="str">
        <f t="shared" si="2"/>
        <v/>
      </c>
      <c r="B49" s="358" t="str">
        <f t="shared" si="16"/>
        <v>128-11750</v>
      </c>
      <c r="C49" s="358" t="str">
        <f t="shared" si="15"/>
        <v/>
      </c>
      <c r="D49" s="358"/>
      <c r="E49" s="358">
        <f t="shared" si="0"/>
        <v>1</v>
      </c>
      <c r="F49" s="232" t="s">
        <v>426</v>
      </c>
      <c r="G49" s="241">
        <v>44670</v>
      </c>
      <c r="H49" s="242"/>
      <c r="I49" s="243" t="s">
        <v>441</v>
      </c>
      <c r="J49" s="244" t="s">
        <v>427</v>
      </c>
      <c r="K49" s="245" t="s">
        <v>539</v>
      </c>
      <c r="L49" s="244" t="s">
        <v>475</v>
      </c>
      <c r="M49" s="243" t="s">
        <v>444</v>
      </c>
      <c r="N49" s="243"/>
      <c r="O49" s="285"/>
      <c r="P49" s="285"/>
      <c r="Q49" s="285"/>
      <c r="R49" s="286" t="str">
        <f t="shared" si="1"/>
        <v>. Mirror, Door - FRONT RIGHT</v>
      </c>
      <c r="S49" s="286"/>
      <c r="T49" s="243"/>
      <c r="U49" s="244"/>
      <c r="V49" s="243"/>
      <c r="W49" s="244"/>
      <c r="X49" s="244"/>
      <c r="Y49" s="244"/>
      <c r="Z49" s="244" t="s">
        <v>550</v>
      </c>
      <c r="AA49" s="244"/>
      <c r="AB49" s="244"/>
      <c r="AC49" s="244" t="s">
        <v>449</v>
      </c>
      <c r="AD49" s="244"/>
      <c r="AE49" s="246">
        <v>1000</v>
      </c>
      <c r="AF49" s="232" t="s">
        <v>477</v>
      </c>
      <c r="AG49" s="247"/>
      <c r="AH49" s="248" t="s">
        <v>435</v>
      </c>
      <c r="AJ49" s="249"/>
      <c r="AK49" s="232" t="s">
        <v>477</v>
      </c>
      <c r="AL49" s="232" t="s">
        <v>478</v>
      </c>
      <c r="AN49" s="233">
        <v>128</v>
      </c>
      <c r="AO49" s="232" t="s">
        <v>411</v>
      </c>
      <c r="AP49" s="232">
        <v>11750</v>
      </c>
      <c r="AQ49" s="232" t="str">
        <f t="shared" si="17"/>
        <v>128-11750</v>
      </c>
      <c r="AR49" s="232" t="s">
        <v>480</v>
      </c>
      <c r="AX49" s="244" t="s">
        <v>80</v>
      </c>
      <c r="AY49" s="244"/>
      <c r="AZ49" s="232" t="str">
        <f>IF($AX49="Yes",'8. Option Codes Decrypted'!$C$15,"")</f>
        <v>Painted</v>
      </c>
      <c r="BA49" s="232" t="str">
        <f>IF($AX49="Yes",'8. Option Codes Decrypted'!$C$16,"")</f>
        <v>Brown</v>
      </c>
      <c r="BB49" s="232" t="str">
        <f>IF($AX49="Yes",'8. Option Codes Decrypted'!$C$17,"")</f>
        <v>Sparkling Brown Metallic</v>
      </c>
      <c r="BC49" s="232" t="str">
        <f>IF($AX49="Yes",'8. Option Codes Decrypted'!$C$18,"")</f>
        <v>B53</v>
      </c>
      <c r="BD49" s="232" t="str">
        <f>IF($AY49="Yes",'8. Option Codes Decrypted'!$C$20,"")</f>
        <v/>
      </c>
      <c r="BE49" s="232" t="str">
        <f>IF($AY49="Yes",'8. Option Codes Decrypted'!$C$21,"")</f>
        <v/>
      </c>
      <c r="BF49" s="232" t="str">
        <f>IF($AY49="Yes",'8. Option Codes Decrypted'!$C$22,"")</f>
        <v/>
      </c>
      <c r="BG49" s="232" t="str">
        <f>IF($AY49="Yes",'8. Option Codes Decrypted'!$C$23,"")</f>
        <v/>
      </c>
      <c r="BH49" s="232" t="str">
        <f t="shared" si="18"/>
        <v>128-11750</v>
      </c>
    </row>
    <row r="50" spans="1:60" s="232" customFormat="1" x14ac:dyDescent="0.25">
      <c r="A50" s="232" t="str">
        <f t="shared" si="2"/>
        <v/>
      </c>
      <c r="B50" s="358" t="str">
        <f t="shared" si="16"/>
        <v>128-11752</v>
      </c>
      <c r="C50" s="358" t="str">
        <f t="shared" si="15"/>
        <v/>
      </c>
      <c r="D50" s="358"/>
      <c r="E50" s="358">
        <f t="shared" si="0"/>
        <v>1</v>
      </c>
      <c r="F50" s="232" t="s">
        <v>426</v>
      </c>
      <c r="G50" s="241">
        <v>44670</v>
      </c>
      <c r="H50" s="242"/>
      <c r="I50" s="243" t="s">
        <v>441</v>
      </c>
      <c r="J50" s="244" t="s">
        <v>427</v>
      </c>
      <c r="K50" s="245" t="s">
        <v>539</v>
      </c>
      <c r="L50" s="244" t="s">
        <v>475</v>
      </c>
      <c r="M50" s="243" t="s">
        <v>444</v>
      </c>
      <c r="N50" s="243"/>
      <c r="O50" s="285"/>
      <c r="P50" s="285"/>
      <c r="Q50" s="285"/>
      <c r="R50" s="286" t="str">
        <f t="shared" si="1"/>
        <v>. Mirror, Door - FRONT RIGHT</v>
      </c>
      <c r="S50" s="286"/>
      <c r="T50" s="243"/>
      <c r="U50" s="244"/>
      <c r="V50" s="243"/>
      <c r="W50" s="244"/>
      <c r="X50" s="244"/>
      <c r="Y50" s="244"/>
      <c r="Z50" s="244" t="s">
        <v>550</v>
      </c>
      <c r="AA50" s="244"/>
      <c r="AB50" s="244"/>
      <c r="AC50" s="244" t="s">
        <v>449</v>
      </c>
      <c r="AD50" s="244"/>
      <c r="AE50" s="246">
        <v>750</v>
      </c>
      <c r="AF50" s="232" t="s">
        <v>477</v>
      </c>
      <c r="AG50" s="247"/>
      <c r="AH50" s="248" t="s">
        <v>435</v>
      </c>
      <c r="AJ50" s="249"/>
      <c r="AK50" s="232" t="s">
        <v>477</v>
      </c>
      <c r="AL50" s="232" t="s">
        <v>478</v>
      </c>
      <c r="AN50" s="233">
        <v>128</v>
      </c>
      <c r="AO50" s="232" t="s">
        <v>411</v>
      </c>
      <c r="AP50" s="232">
        <v>11752</v>
      </c>
      <c r="AQ50" s="232" t="str">
        <f t="shared" si="17"/>
        <v>128-11752</v>
      </c>
      <c r="AR50" s="232" t="s">
        <v>481</v>
      </c>
      <c r="AX50" s="244" t="s">
        <v>80</v>
      </c>
      <c r="AY50" s="244"/>
      <c r="AZ50" s="232" t="str">
        <f>IF($AX50="Yes",'8. Option Codes Decrypted'!$C$15,"")</f>
        <v>Painted</v>
      </c>
      <c r="BA50" s="232" t="str">
        <f>IF($AX50="Yes",'8. Option Codes Decrypted'!$C$16,"")</f>
        <v>Brown</v>
      </c>
      <c r="BB50" s="232" t="str">
        <f>IF($AX50="Yes",'8. Option Codes Decrypted'!$C$17,"")</f>
        <v>Sparkling Brown Metallic</v>
      </c>
      <c r="BC50" s="232" t="str">
        <f>IF($AX50="Yes",'8. Option Codes Decrypted'!$C$18,"")</f>
        <v>B53</v>
      </c>
      <c r="BD50" s="232" t="str">
        <f>IF($AY50="Yes",'8. Option Codes Decrypted'!$C$20,"")</f>
        <v/>
      </c>
      <c r="BE50" s="232" t="str">
        <f>IF($AY50="Yes",'8. Option Codes Decrypted'!$C$21,"")</f>
        <v/>
      </c>
      <c r="BF50" s="232" t="str">
        <f>IF($AY50="Yes",'8. Option Codes Decrypted'!$C$22,"")</f>
        <v/>
      </c>
      <c r="BG50" s="232" t="str">
        <f>IF($AY50="Yes",'8. Option Codes Decrypted'!$C$23,"")</f>
        <v/>
      </c>
      <c r="BH50" s="232" t="str">
        <f t="shared" si="18"/>
        <v>128-11752</v>
      </c>
    </row>
    <row r="51" spans="1:60" s="232" customFormat="1" x14ac:dyDescent="0.25">
      <c r="A51" s="232" t="str">
        <f t="shared" si="2"/>
        <v/>
      </c>
      <c r="B51" s="358" t="str">
        <f t="shared" si="16"/>
        <v>128-11754</v>
      </c>
      <c r="C51" s="358" t="str">
        <f t="shared" si="15"/>
        <v/>
      </c>
      <c r="D51" s="358"/>
      <c r="E51" s="358">
        <f t="shared" si="0"/>
        <v>1</v>
      </c>
      <c r="F51" s="232" t="s">
        <v>426</v>
      </c>
      <c r="G51" s="241">
        <v>44670</v>
      </c>
      <c r="H51" s="242"/>
      <c r="I51" s="243" t="s">
        <v>441</v>
      </c>
      <c r="J51" s="244" t="s">
        <v>427</v>
      </c>
      <c r="K51" s="245" t="s">
        <v>539</v>
      </c>
      <c r="L51" s="244" t="s">
        <v>475</v>
      </c>
      <c r="M51" s="243" t="s">
        <v>444</v>
      </c>
      <c r="N51" s="243"/>
      <c r="O51" s="285"/>
      <c r="P51" s="285"/>
      <c r="Q51" s="285"/>
      <c r="R51" s="286" t="str">
        <f t="shared" si="1"/>
        <v>. Mirror, Door - FRONT RIGHT</v>
      </c>
      <c r="S51" s="286"/>
      <c r="T51" s="243"/>
      <c r="U51" s="244"/>
      <c r="V51" s="243"/>
      <c r="W51" s="244"/>
      <c r="X51" s="244"/>
      <c r="Y51" s="244"/>
      <c r="Z51" s="244" t="s">
        <v>550</v>
      </c>
      <c r="AA51" s="244"/>
      <c r="AB51" s="244"/>
      <c r="AC51" s="244" t="s">
        <v>449</v>
      </c>
      <c r="AD51" s="244"/>
      <c r="AE51" s="246">
        <v>750</v>
      </c>
      <c r="AF51" s="232" t="s">
        <v>477</v>
      </c>
      <c r="AG51" s="247"/>
      <c r="AH51" s="248" t="s">
        <v>435</v>
      </c>
      <c r="AJ51" s="249"/>
      <c r="AK51" s="232" t="s">
        <v>477</v>
      </c>
      <c r="AL51" s="232" t="s">
        <v>478</v>
      </c>
      <c r="AN51" s="233">
        <v>128</v>
      </c>
      <c r="AO51" s="232" t="s">
        <v>411</v>
      </c>
      <c r="AP51" s="232">
        <v>11754</v>
      </c>
      <c r="AQ51" s="232" t="str">
        <f t="shared" si="17"/>
        <v>128-11754</v>
      </c>
      <c r="AR51" s="232" t="s">
        <v>482</v>
      </c>
      <c r="AX51" s="244" t="s">
        <v>80</v>
      </c>
      <c r="AY51" s="244"/>
      <c r="AZ51" s="232" t="str">
        <f>IF($AX51="Yes",'8. Option Codes Decrypted'!$C$15,"")</f>
        <v>Painted</v>
      </c>
      <c r="BA51" s="232" t="str">
        <f>IF($AX51="Yes",'8. Option Codes Decrypted'!$C$16,"")</f>
        <v>Brown</v>
      </c>
      <c r="BB51" s="232" t="str">
        <f>IF($AX51="Yes",'8. Option Codes Decrypted'!$C$17,"")</f>
        <v>Sparkling Brown Metallic</v>
      </c>
      <c r="BC51" s="232" t="str">
        <f>IF($AX51="Yes",'8. Option Codes Decrypted'!$C$18,"")</f>
        <v>B53</v>
      </c>
      <c r="BD51" s="232" t="str">
        <f>IF($AY51="Yes",'8. Option Codes Decrypted'!$C$20,"")</f>
        <v/>
      </c>
      <c r="BE51" s="232" t="str">
        <f>IF($AY51="Yes",'8. Option Codes Decrypted'!$C$21,"")</f>
        <v/>
      </c>
      <c r="BF51" s="232" t="str">
        <f>IF($AY51="Yes",'8. Option Codes Decrypted'!$C$22,"")</f>
        <v/>
      </c>
      <c r="BG51" s="232" t="str">
        <f>IF($AY51="Yes",'8. Option Codes Decrypted'!$C$23,"")</f>
        <v/>
      </c>
      <c r="BH51" s="232" t="str">
        <f t="shared" si="18"/>
        <v>128-11754</v>
      </c>
    </row>
    <row r="52" spans="1:60" s="232" customFormat="1" x14ac:dyDescent="0.25">
      <c r="A52" s="232" t="str">
        <f t="shared" si="2"/>
        <v/>
      </c>
      <c r="B52" s="358" t="str">
        <f t="shared" si="16"/>
        <v>128-11756</v>
      </c>
      <c r="C52" s="358" t="str">
        <f t="shared" si="15"/>
        <v/>
      </c>
      <c r="D52" s="358"/>
      <c r="E52" s="358">
        <f t="shared" si="0"/>
        <v>1</v>
      </c>
      <c r="F52" s="232" t="s">
        <v>426</v>
      </c>
      <c r="G52" s="241">
        <v>44670</v>
      </c>
      <c r="H52" s="242"/>
      <c r="I52" s="243" t="s">
        <v>441</v>
      </c>
      <c r="J52" s="244" t="s">
        <v>427</v>
      </c>
      <c r="K52" s="245" t="s">
        <v>539</v>
      </c>
      <c r="L52" s="244" t="s">
        <v>475</v>
      </c>
      <c r="M52" s="243" t="s">
        <v>444</v>
      </c>
      <c r="N52" s="243"/>
      <c r="O52" s="285"/>
      <c r="P52" s="285"/>
      <c r="Q52" s="285"/>
      <c r="R52" s="286" t="str">
        <f t="shared" si="1"/>
        <v>. Mirror, Door - FRONT RIGHT</v>
      </c>
      <c r="S52" s="286"/>
      <c r="T52" s="243"/>
      <c r="U52" s="244"/>
      <c r="V52" s="243"/>
      <c r="W52" s="244"/>
      <c r="X52" s="244"/>
      <c r="Y52" s="244"/>
      <c r="Z52" s="244" t="s">
        <v>550</v>
      </c>
      <c r="AA52" s="244"/>
      <c r="AB52" s="244"/>
      <c r="AC52" s="244" t="s">
        <v>449</v>
      </c>
      <c r="AD52" s="244"/>
      <c r="AE52" s="246">
        <v>800</v>
      </c>
      <c r="AF52" s="232" t="s">
        <v>477</v>
      </c>
      <c r="AG52" s="247"/>
      <c r="AH52" s="248" t="s">
        <v>435</v>
      </c>
      <c r="AJ52" s="249"/>
      <c r="AK52" s="232" t="s">
        <v>477</v>
      </c>
      <c r="AL52" s="232" t="s">
        <v>478</v>
      </c>
      <c r="AN52" s="233">
        <v>128</v>
      </c>
      <c r="AO52" s="232" t="s">
        <v>411</v>
      </c>
      <c r="AP52" s="232">
        <v>11756</v>
      </c>
      <c r="AQ52" s="232" t="str">
        <f t="shared" si="17"/>
        <v>128-11756</v>
      </c>
      <c r="AR52" s="232" t="s">
        <v>483</v>
      </c>
      <c r="AX52" s="244" t="s">
        <v>80</v>
      </c>
      <c r="AY52" s="244"/>
      <c r="AZ52" s="232" t="str">
        <f>IF($AX52="Yes",'8. Option Codes Decrypted'!$C$15,"")</f>
        <v>Painted</v>
      </c>
      <c r="BA52" s="232" t="str">
        <f>IF($AX52="Yes",'8. Option Codes Decrypted'!$C$16,"")</f>
        <v>Brown</v>
      </c>
      <c r="BB52" s="232" t="str">
        <f>IF($AX52="Yes",'8. Option Codes Decrypted'!$C$17,"")</f>
        <v>Sparkling Brown Metallic</v>
      </c>
      <c r="BC52" s="232" t="str">
        <f>IF($AX52="Yes",'8. Option Codes Decrypted'!$C$18,"")</f>
        <v>B53</v>
      </c>
      <c r="BD52" s="232" t="str">
        <f>IF($AY52="Yes",'8. Option Codes Decrypted'!$C$20,"")</f>
        <v/>
      </c>
      <c r="BE52" s="232" t="str">
        <f>IF($AY52="Yes",'8. Option Codes Decrypted'!$C$21,"")</f>
        <v/>
      </c>
      <c r="BF52" s="232" t="str">
        <f>IF($AY52="Yes",'8. Option Codes Decrypted'!$C$22,"")</f>
        <v/>
      </c>
      <c r="BG52" s="232" t="str">
        <f>IF($AY52="Yes",'8. Option Codes Decrypted'!$C$23,"")</f>
        <v/>
      </c>
      <c r="BH52" s="232" t="str">
        <f t="shared" si="18"/>
        <v>128-11756</v>
      </c>
    </row>
    <row r="53" spans="1:60" s="232" customFormat="1" x14ac:dyDescent="0.25">
      <c r="A53" s="232" t="str">
        <f t="shared" si="2"/>
        <v/>
      </c>
      <c r="B53" s="358" t="str">
        <f t="shared" si="16"/>
        <v>128-11758</v>
      </c>
      <c r="C53" s="358" t="str">
        <f t="shared" si="15"/>
        <v/>
      </c>
      <c r="D53" s="358"/>
      <c r="E53" s="358">
        <f t="shared" si="0"/>
        <v>1</v>
      </c>
      <c r="F53" s="232" t="s">
        <v>426</v>
      </c>
      <c r="G53" s="241">
        <v>44670</v>
      </c>
      <c r="H53" s="242"/>
      <c r="I53" s="243" t="s">
        <v>441</v>
      </c>
      <c r="J53" s="244" t="s">
        <v>427</v>
      </c>
      <c r="K53" s="245" t="s">
        <v>539</v>
      </c>
      <c r="L53" s="244" t="s">
        <v>475</v>
      </c>
      <c r="M53" s="243" t="s">
        <v>444</v>
      </c>
      <c r="N53" s="243"/>
      <c r="O53" s="285"/>
      <c r="P53" s="285"/>
      <c r="Q53" s="285"/>
      <c r="R53" s="286" t="str">
        <f t="shared" si="1"/>
        <v>. Mirror, Door - FRONT RIGHT</v>
      </c>
      <c r="S53" s="286"/>
      <c r="T53" s="243"/>
      <c r="U53" s="244"/>
      <c r="V53" s="243"/>
      <c r="W53" s="244"/>
      <c r="X53" s="244"/>
      <c r="Y53" s="244"/>
      <c r="Z53" s="244" t="s">
        <v>550</v>
      </c>
      <c r="AA53" s="244"/>
      <c r="AB53" s="244"/>
      <c r="AC53" s="244" t="s">
        <v>449</v>
      </c>
      <c r="AD53" s="244"/>
      <c r="AE53" s="246">
        <v>800</v>
      </c>
      <c r="AF53" s="232" t="s">
        <v>477</v>
      </c>
      <c r="AG53" s="247"/>
      <c r="AH53" s="248" t="s">
        <v>435</v>
      </c>
      <c r="AJ53" s="249"/>
      <c r="AK53" s="232" t="s">
        <v>477</v>
      </c>
      <c r="AL53" s="232" t="s">
        <v>478</v>
      </c>
      <c r="AN53" s="233">
        <v>128</v>
      </c>
      <c r="AO53" s="232" t="s">
        <v>411</v>
      </c>
      <c r="AP53" s="232">
        <v>11758</v>
      </c>
      <c r="AQ53" s="232" t="str">
        <f t="shared" si="17"/>
        <v>128-11758</v>
      </c>
      <c r="AR53" s="232" t="s">
        <v>484</v>
      </c>
      <c r="AX53" s="244" t="s">
        <v>80</v>
      </c>
      <c r="AY53" s="244"/>
      <c r="AZ53" s="232" t="str">
        <f>IF($AX53="Yes",'8. Option Codes Decrypted'!$C$15,"")</f>
        <v>Painted</v>
      </c>
      <c r="BA53" s="232" t="str">
        <f>IF($AX53="Yes",'8. Option Codes Decrypted'!$C$16,"")</f>
        <v>Brown</v>
      </c>
      <c r="BB53" s="232" t="str">
        <f>IF($AX53="Yes",'8. Option Codes Decrypted'!$C$17,"")</f>
        <v>Sparkling Brown Metallic</v>
      </c>
      <c r="BC53" s="232" t="str">
        <f>IF($AX53="Yes",'8. Option Codes Decrypted'!$C$18,"")</f>
        <v>B53</v>
      </c>
      <c r="BD53" s="232" t="str">
        <f>IF($AY53="Yes",'8. Option Codes Decrypted'!$C$20,"")</f>
        <v/>
      </c>
      <c r="BE53" s="232" t="str">
        <f>IF($AY53="Yes",'8. Option Codes Decrypted'!$C$21,"")</f>
        <v/>
      </c>
      <c r="BF53" s="232" t="str">
        <f>IF($AY53="Yes",'8. Option Codes Decrypted'!$C$22,"")</f>
        <v/>
      </c>
      <c r="BG53" s="232" t="str">
        <f>IF($AY53="Yes",'8. Option Codes Decrypted'!$C$23,"")</f>
        <v/>
      </c>
      <c r="BH53" s="232" t="str">
        <f t="shared" si="18"/>
        <v>128-11758</v>
      </c>
    </row>
    <row r="54" spans="1:60" s="232" customFormat="1" ht="15.75" thickBot="1" x14ac:dyDescent="0.3">
      <c r="A54" s="232" t="str">
        <f t="shared" si="2"/>
        <v/>
      </c>
      <c r="B54" s="358" t="str">
        <f t="shared" si="16"/>
        <v>128-11760</v>
      </c>
      <c r="C54" s="358" t="str">
        <f t="shared" si="15"/>
        <v/>
      </c>
      <c r="D54" s="358"/>
      <c r="E54" s="358">
        <f t="shared" si="0"/>
        <v>1</v>
      </c>
      <c r="F54" s="232" t="s">
        <v>426</v>
      </c>
      <c r="G54" s="241">
        <v>44670</v>
      </c>
      <c r="H54" s="242"/>
      <c r="I54" s="243" t="s">
        <v>441</v>
      </c>
      <c r="J54" s="244" t="s">
        <v>427</v>
      </c>
      <c r="K54" s="245" t="s">
        <v>539</v>
      </c>
      <c r="L54" s="244" t="s">
        <v>475</v>
      </c>
      <c r="M54" s="243" t="s">
        <v>444</v>
      </c>
      <c r="N54" s="243"/>
      <c r="O54" s="285"/>
      <c r="P54" s="285"/>
      <c r="Q54" s="285"/>
      <c r="R54" s="286" t="str">
        <f t="shared" si="1"/>
        <v>. Mirror, Door - FRONT RIGHT</v>
      </c>
      <c r="S54" s="286"/>
      <c r="T54" s="243"/>
      <c r="U54" s="244"/>
      <c r="V54" s="243"/>
      <c r="W54" s="244"/>
      <c r="X54" s="244"/>
      <c r="Y54" s="244"/>
      <c r="Z54" s="244" t="s">
        <v>550</v>
      </c>
      <c r="AA54" s="244"/>
      <c r="AB54" s="244"/>
      <c r="AC54" s="244" t="s">
        <v>449</v>
      </c>
      <c r="AD54" s="244"/>
      <c r="AE54" s="246">
        <v>700</v>
      </c>
      <c r="AF54" s="232" t="s">
        <v>477</v>
      </c>
      <c r="AG54" s="247"/>
      <c r="AH54" s="248" t="s">
        <v>435</v>
      </c>
      <c r="AJ54" s="249"/>
      <c r="AK54" s="232" t="s">
        <v>477</v>
      </c>
      <c r="AL54" s="232" t="s">
        <v>478</v>
      </c>
      <c r="AN54" s="233">
        <v>128</v>
      </c>
      <c r="AO54" s="232" t="s">
        <v>411</v>
      </c>
      <c r="AP54" s="232">
        <v>11760</v>
      </c>
      <c r="AQ54" s="232" t="str">
        <f t="shared" si="17"/>
        <v>128-11760</v>
      </c>
      <c r="AR54" s="232" t="s">
        <v>485</v>
      </c>
      <c r="AX54" s="244" t="s">
        <v>80</v>
      </c>
      <c r="AY54" s="244"/>
      <c r="AZ54" s="232" t="str">
        <f>IF($AX54="Yes",'8. Option Codes Decrypted'!$C$15,"")</f>
        <v>Painted</v>
      </c>
      <c r="BA54" s="232" t="str">
        <f>IF($AX54="Yes",'8. Option Codes Decrypted'!$C$16,"")</f>
        <v>Brown</v>
      </c>
      <c r="BB54" s="232" t="str">
        <f>IF($AX54="Yes",'8. Option Codes Decrypted'!$C$17,"")</f>
        <v>Sparkling Brown Metallic</v>
      </c>
      <c r="BC54" s="232" t="str">
        <f>IF($AX54="Yes",'8. Option Codes Decrypted'!$C$18,"")</f>
        <v>B53</v>
      </c>
      <c r="BD54" s="232" t="str">
        <f>IF($AY54="Yes",'8. Option Codes Decrypted'!$C$20,"")</f>
        <v/>
      </c>
      <c r="BE54" s="232" t="str">
        <f>IF($AY54="Yes",'8. Option Codes Decrypted'!$C$21,"")</f>
        <v/>
      </c>
      <c r="BF54" s="232" t="str">
        <f>IF($AY54="Yes",'8. Option Codes Decrypted'!$C$22,"")</f>
        <v/>
      </c>
      <c r="BG54" s="232" t="str">
        <f>IF($AY54="Yes",'8. Option Codes Decrypted'!$C$23,"")</f>
        <v/>
      </c>
      <c r="BH54" s="232" t="str">
        <f t="shared" si="18"/>
        <v>128-11760</v>
      </c>
    </row>
    <row r="55" spans="1:60" s="232" customFormat="1" ht="15.75" thickBot="1" x14ac:dyDescent="0.3">
      <c r="A55" s="232" t="str">
        <f t="shared" si="2"/>
        <v>A111</v>
      </c>
      <c r="B55" s="358" t="str">
        <f t="shared" si="16"/>
        <v>128-11762</v>
      </c>
      <c r="C55" s="358" t="str">
        <f t="shared" si="15"/>
        <v/>
      </c>
      <c r="D55" s="358"/>
      <c r="E55" s="358">
        <f t="shared" si="0"/>
        <v>1</v>
      </c>
      <c r="F55" s="232" t="s">
        <v>426</v>
      </c>
      <c r="G55" s="241">
        <v>44670</v>
      </c>
      <c r="H55" s="242"/>
      <c r="I55" s="243" t="s">
        <v>441</v>
      </c>
      <c r="J55" s="244" t="s">
        <v>427</v>
      </c>
      <c r="K55" s="245" t="s">
        <v>539</v>
      </c>
      <c r="L55" s="244" t="s">
        <v>475</v>
      </c>
      <c r="M55" s="243" t="s">
        <v>444</v>
      </c>
      <c r="N55" s="243">
        <v>101</v>
      </c>
      <c r="O55" s="285" t="s">
        <v>355</v>
      </c>
      <c r="P55" s="285" t="s">
        <v>551</v>
      </c>
      <c r="Q55" s="285">
        <v>1</v>
      </c>
      <c r="R55" s="286" t="str">
        <f t="shared" si="1"/>
        <v>A111. Mirror, Door - FRONT RIGHT</v>
      </c>
      <c r="S55" s="365" t="str">
        <f>HYPERLINK(VLOOKUP(O55,'3D. Pictures'!$B$3:$E$500,4,FALSE),"PIC")</f>
        <v>PIC</v>
      </c>
      <c r="T55" s="243">
        <v>7</v>
      </c>
      <c r="U55" s="244" t="s">
        <v>552</v>
      </c>
      <c r="V55" s="243" t="s">
        <v>80</v>
      </c>
      <c r="W55" s="244" t="s">
        <v>2985</v>
      </c>
      <c r="X55" s="244"/>
      <c r="Y55" s="244"/>
      <c r="Z55" s="244" t="s">
        <v>550</v>
      </c>
      <c r="AA55" s="244"/>
      <c r="AB55" s="244"/>
      <c r="AC55" s="244" t="s">
        <v>449</v>
      </c>
      <c r="AD55" s="244"/>
      <c r="AE55" s="246">
        <v>700</v>
      </c>
      <c r="AF55" s="232" t="s">
        <v>477</v>
      </c>
      <c r="AG55" s="247"/>
      <c r="AH55" s="248" t="s">
        <v>435</v>
      </c>
      <c r="AJ55" s="249"/>
      <c r="AK55" s="232" t="s">
        <v>477</v>
      </c>
      <c r="AL55" s="232" t="s">
        <v>478</v>
      </c>
      <c r="AN55" s="233">
        <v>128</v>
      </c>
      <c r="AO55" s="232" t="s">
        <v>411</v>
      </c>
      <c r="AP55" s="232">
        <v>11762</v>
      </c>
      <c r="AQ55" s="232" t="str">
        <f t="shared" si="17"/>
        <v>128-11762</v>
      </c>
      <c r="AR55" s="232" t="s">
        <v>487</v>
      </c>
      <c r="AX55" s="244" t="s">
        <v>80</v>
      </c>
      <c r="AY55" s="244"/>
      <c r="AZ55" s="232" t="str">
        <f>IF($AX55="Yes",'8. Option Codes Decrypted'!$C$15,"")</f>
        <v>Painted</v>
      </c>
      <c r="BA55" s="232" t="str">
        <f>IF($AX55="Yes",'8. Option Codes Decrypted'!$C$16,"")</f>
        <v>Brown</v>
      </c>
      <c r="BB55" s="232" t="str">
        <f>IF($AX55="Yes",'8. Option Codes Decrypted'!$C$17,"")</f>
        <v>Sparkling Brown Metallic</v>
      </c>
      <c r="BC55" s="232" t="str">
        <f>IF($AX55="Yes",'8. Option Codes Decrypted'!$C$18,"")</f>
        <v>B53</v>
      </c>
      <c r="BD55" s="232" t="str">
        <f>IF($AY55="Yes",'8. Option Codes Decrypted'!$C$20,"")</f>
        <v/>
      </c>
      <c r="BE55" s="232" t="str">
        <f>IF($AY55="Yes",'8. Option Codes Decrypted'!$C$21,"")</f>
        <v/>
      </c>
      <c r="BF55" s="232" t="str">
        <f>IF($AY55="Yes",'8. Option Codes Decrypted'!$C$22,"")</f>
        <v/>
      </c>
      <c r="BG55" s="232" t="str">
        <f>IF($AY55="Yes",'8. Option Codes Decrypted'!$C$23,"")</f>
        <v/>
      </c>
      <c r="BH55" s="232" t="str">
        <f t="shared" si="18"/>
        <v>128-11762</v>
      </c>
    </row>
    <row r="56" spans="1:60" s="232" customFormat="1" x14ac:dyDescent="0.25">
      <c r="A56" s="232" t="str">
        <f t="shared" si="2"/>
        <v/>
      </c>
      <c r="B56" s="358" t="str">
        <f t="shared" si="16"/>
        <v>128-11764</v>
      </c>
      <c r="C56" s="358" t="str">
        <f t="shared" si="15"/>
        <v/>
      </c>
      <c r="D56" s="358"/>
      <c r="E56" s="358">
        <f t="shared" si="0"/>
        <v>1</v>
      </c>
      <c r="F56" s="232" t="s">
        <v>426</v>
      </c>
      <c r="G56" s="241">
        <v>44670</v>
      </c>
      <c r="H56" s="242"/>
      <c r="I56" s="243" t="s">
        <v>441</v>
      </c>
      <c r="J56" s="244" t="s">
        <v>427</v>
      </c>
      <c r="K56" s="245" t="s">
        <v>539</v>
      </c>
      <c r="L56" s="244" t="s">
        <v>475</v>
      </c>
      <c r="M56" s="243" t="s">
        <v>444</v>
      </c>
      <c r="N56" s="243"/>
      <c r="O56" s="285"/>
      <c r="P56" s="285"/>
      <c r="Q56" s="285"/>
      <c r="R56" s="286" t="str">
        <f t="shared" si="1"/>
        <v>. Mirror, Door - FRONT RIGHT</v>
      </c>
      <c r="S56" s="286"/>
      <c r="T56" s="243"/>
      <c r="U56" s="244"/>
      <c r="V56" s="243"/>
      <c r="W56" s="244"/>
      <c r="X56" s="244"/>
      <c r="Y56" s="244"/>
      <c r="Z56" s="244" t="s">
        <v>550</v>
      </c>
      <c r="AA56" s="244"/>
      <c r="AB56" s="244"/>
      <c r="AC56" s="244" t="s">
        <v>449</v>
      </c>
      <c r="AD56" s="244"/>
      <c r="AE56" s="246">
        <v>700</v>
      </c>
      <c r="AF56" s="232" t="s">
        <v>477</v>
      </c>
      <c r="AG56" s="247"/>
      <c r="AH56" s="248" t="s">
        <v>435</v>
      </c>
      <c r="AJ56" s="249"/>
      <c r="AK56" s="232" t="s">
        <v>477</v>
      </c>
      <c r="AL56" s="232" t="s">
        <v>478</v>
      </c>
      <c r="AN56" s="233">
        <v>128</v>
      </c>
      <c r="AO56" s="232" t="s">
        <v>411</v>
      </c>
      <c r="AP56" s="232">
        <v>11764</v>
      </c>
      <c r="AQ56" s="232" t="str">
        <f t="shared" si="17"/>
        <v>128-11764</v>
      </c>
      <c r="AR56" s="232" t="s">
        <v>488</v>
      </c>
      <c r="AX56" s="244" t="s">
        <v>80</v>
      </c>
      <c r="AY56" s="244"/>
      <c r="AZ56" s="232" t="str">
        <f>IF($AX56="Yes",'8. Option Codes Decrypted'!$C$15,"")</f>
        <v>Painted</v>
      </c>
      <c r="BA56" s="232" t="str">
        <f>IF($AX56="Yes",'8. Option Codes Decrypted'!$C$16,"")</f>
        <v>Brown</v>
      </c>
      <c r="BB56" s="232" t="str">
        <f>IF($AX56="Yes",'8. Option Codes Decrypted'!$C$17,"")</f>
        <v>Sparkling Brown Metallic</v>
      </c>
      <c r="BC56" s="232" t="str">
        <f>IF($AX56="Yes",'8. Option Codes Decrypted'!$C$18,"")</f>
        <v>B53</v>
      </c>
      <c r="BD56" s="232" t="str">
        <f>IF($AY56="Yes",'8. Option Codes Decrypted'!$C$20,"")</f>
        <v/>
      </c>
      <c r="BE56" s="232" t="str">
        <f>IF($AY56="Yes",'8. Option Codes Decrypted'!$C$21,"")</f>
        <v/>
      </c>
      <c r="BF56" s="232" t="str">
        <f>IF($AY56="Yes",'8. Option Codes Decrypted'!$C$22,"")</f>
        <v/>
      </c>
      <c r="BG56" s="232" t="str">
        <f>IF($AY56="Yes",'8. Option Codes Decrypted'!$C$23,"")</f>
        <v/>
      </c>
      <c r="BH56" s="232" t="str">
        <f t="shared" si="18"/>
        <v>128-11764</v>
      </c>
    </row>
    <row r="57" spans="1:60" s="232" customFormat="1" x14ac:dyDescent="0.25">
      <c r="A57" s="232" t="str">
        <f t="shared" si="2"/>
        <v/>
      </c>
      <c r="B57" s="358" t="str">
        <f t="shared" si="16"/>
        <v>128-11766</v>
      </c>
      <c r="C57" s="358" t="str">
        <f t="shared" si="15"/>
        <v/>
      </c>
      <c r="D57" s="358"/>
      <c r="E57" s="358">
        <f t="shared" si="0"/>
        <v>1</v>
      </c>
      <c r="F57" s="232" t="s">
        <v>426</v>
      </c>
      <c r="G57" s="241">
        <v>44670</v>
      </c>
      <c r="H57" s="242"/>
      <c r="I57" s="243" t="s">
        <v>441</v>
      </c>
      <c r="J57" s="244" t="s">
        <v>427</v>
      </c>
      <c r="K57" s="245" t="s">
        <v>539</v>
      </c>
      <c r="L57" s="244" t="s">
        <v>475</v>
      </c>
      <c r="M57" s="243" t="s">
        <v>444</v>
      </c>
      <c r="N57" s="243"/>
      <c r="O57" s="285"/>
      <c r="P57" s="285"/>
      <c r="Q57" s="285"/>
      <c r="R57" s="286" t="str">
        <f t="shared" si="1"/>
        <v>. Mirror, Door - FRONT RIGHT</v>
      </c>
      <c r="S57" s="286"/>
      <c r="T57" s="243"/>
      <c r="U57" s="244"/>
      <c r="V57" s="243"/>
      <c r="W57" s="244"/>
      <c r="X57" s="244"/>
      <c r="Y57" s="244"/>
      <c r="Z57" s="244" t="s">
        <v>550</v>
      </c>
      <c r="AA57" s="244"/>
      <c r="AB57" s="244"/>
      <c r="AC57" s="244" t="s">
        <v>449</v>
      </c>
      <c r="AD57" s="244"/>
      <c r="AE57" s="246">
        <v>700</v>
      </c>
      <c r="AF57" s="232" t="s">
        <v>477</v>
      </c>
      <c r="AG57" s="247"/>
      <c r="AH57" s="248" t="s">
        <v>435</v>
      </c>
      <c r="AJ57" s="249"/>
      <c r="AK57" s="232" t="s">
        <v>477</v>
      </c>
      <c r="AL57" s="232" t="s">
        <v>478</v>
      </c>
      <c r="AN57" s="233">
        <v>128</v>
      </c>
      <c r="AO57" s="232" t="s">
        <v>411</v>
      </c>
      <c r="AP57" s="232">
        <v>11766</v>
      </c>
      <c r="AQ57" s="232" t="str">
        <f t="shared" si="17"/>
        <v>128-11766</v>
      </c>
      <c r="AR57" s="232" t="s">
        <v>489</v>
      </c>
      <c r="AX57" s="244" t="s">
        <v>80</v>
      </c>
      <c r="AY57" s="244"/>
      <c r="AZ57" s="232" t="str">
        <f>IF($AX57="Yes",'8. Option Codes Decrypted'!$C$15,"")</f>
        <v>Painted</v>
      </c>
      <c r="BA57" s="232" t="str">
        <f>IF($AX57="Yes",'8. Option Codes Decrypted'!$C$16,"")</f>
        <v>Brown</v>
      </c>
      <c r="BB57" s="232" t="str">
        <f>IF($AX57="Yes",'8. Option Codes Decrypted'!$C$17,"")</f>
        <v>Sparkling Brown Metallic</v>
      </c>
      <c r="BC57" s="232" t="str">
        <f>IF($AX57="Yes",'8. Option Codes Decrypted'!$C$18,"")</f>
        <v>B53</v>
      </c>
      <c r="BD57" s="232" t="str">
        <f>IF($AY57="Yes",'8. Option Codes Decrypted'!$C$20,"")</f>
        <v/>
      </c>
      <c r="BE57" s="232" t="str">
        <f>IF($AY57="Yes",'8. Option Codes Decrypted'!$C$21,"")</f>
        <v/>
      </c>
      <c r="BF57" s="232" t="str">
        <f>IF($AY57="Yes",'8. Option Codes Decrypted'!$C$22,"")</f>
        <v/>
      </c>
      <c r="BG57" s="232" t="str">
        <f>IF($AY57="Yes",'8. Option Codes Decrypted'!$C$23,"")</f>
        <v/>
      </c>
      <c r="BH57" s="232" t="str">
        <f t="shared" si="18"/>
        <v>128-11766</v>
      </c>
    </row>
    <row r="58" spans="1:60" x14ac:dyDescent="0.25">
      <c r="A58" s="232" t="str">
        <f t="shared" si="2"/>
        <v/>
      </c>
      <c r="B58" s="358" t="str">
        <f>IF(AQ58&lt;&gt;"",AQ58,"")</f>
        <v/>
      </c>
      <c r="C58" s="358" t="str">
        <f t="shared" si="15"/>
        <v/>
      </c>
      <c r="D58" s="358"/>
      <c r="E58" s="358" t="str">
        <f t="shared" si="0"/>
        <v/>
      </c>
      <c r="F58" t="s">
        <v>426</v>
      </c>
      <c r="G58" s="230">
        <v>44670</v>
      </c>
      <c r="H58" s="175"/>
      <c r="I58" s="195" t="s">
        <v>441</v>
      </c>
      <c r="J58" s="196" t="s">
        <v>427</v>
      </c>
      <c r="K58" s="193" t="s">
        <v>539</v>
      </c>
      <c r="L58" s="193" t="s">
        <v>501</v>
      </c>
      <c r="M58" s="193" t="s">
        <v>430</v>
      </c>
      <c r="N58" s="193"/>
      <c r="O58" s="196"/>
      <c r="P58" s="196"/>
      <c r="Q58" s="196"/>
      <c r="R58" s="286" t="str">
        <f t="shared" si="1"/>
        <v>. Trim Set, Entire Vehicle</v>
      </c>
      <c r="S58" s="286"/>
      <c r="T58" s="193"/>
      <c r="U58" s="193"/>
      <c r="V58" s="193"/>
      <c r="W58" s="193"/>
      <c r="X58" s="193"/>
      <c r="Y58" s="193"/>
      <c r="Z58" s="193" t="s">
        <v>502</v>
      </c>
      <c r="AA58" s="193" t="s">
        <v>502</v>
      </c>
      <c r="AB58" s="193" t="s">
        <v>502</v>
      </c>
      <c r="AC58" s="193" t="s">
        <v>449</v>
      </c>
      <c r="AD58" s="193"/>
      <c r="AE58" s="193">
        <v>495</v>
      </c>
      <c r="AF58" s="99" t="s">
        <v>434</v>
      </c>
      <c r="AH58" s="3" t="s">
        <v>435</v>
      </c>
      <c r="AJ58" s="69"/>
      <c r="AK58" t="s">
        <v>503</v>
      </c>
      <c r="AN58"/>
      <c r="AX58" s="193"/>
      <c r="AY58" s="193"/>
      <c r="AZ58" s="232" t="str">
        <f>IF($AX58="Yes",'8. Option Codes Decrypted'!$C$15,"")</f>
        <v/>
      </c>
      <c r="BA58" s="232" t="str">
        <f>IF($AX58="Yes",'8. Option Codes Decrypted'!$C$16,"")</f>
        <v/>
      </c>
      <c r="BB58" s="232" t="str">
        <f>IF($AX58="Yes",'8. Option Codes Decrypted'!$C$17,"")</f>
        <v/>
      </c>
      <c r="BC58" s="232" t="str">
        <f>IF($AX58="Yes",'8. Option Codes Decrypted'!$C$18,"")</f>
        <v/>
      </c>
      <c r="BD58" s="232" t="str">
        <f>IF($AY58="Yes",'8. Option Codes Decrypted'!$C$20,"")</f>
        <v/>
      </c>
      <c r="BE58" s="232" t="str">
        <f>IF($AY58="Yes",'8. Option Codes Decrypted'!$C$21,"")</f>
        <v/>
      </c>
      <c r="BF58" s="232" t="str">
        <f>IF($AY58="Yes",'8. Option Codes Decrypted'!$C$22,"")</f>
        <v/>
      </c>
      <c r="BG58" s="232" t="str">
        <f>IF($AY58="Yes",'8. Option Codes Decrypted'!$C$23,"")</f>
        <v/>
      </c>
    </row>
    <row r="59" spans="1:60" x14ac:dyDescent="0.25">
      <c r="A59" s="232" t="str">
        <f t="shared" si="2"/>
        <v/>
      </c>
      <c r="B59" s="358" t="str">
        <f>IF(AQ59&lt;&gt;"",AQ59,"")</f>
        <v/>
      </c>
      <c r="C59" s="358" t="str">
        <f t="shared" si="15"/>
        <v/>
      </c>
      <c r="D59" s="358"/>
      <c r="E59" s="358" t="str">
        <f t="shared" si="0"/>
        <v/>
      </c>
      <c r="F59" t="s">
        <v>426</v>
      </c>
      <c r="G59" s="230">
        <v>44670</v>
      </c>
      <c r="H59" s="10"/>
      <c r="I59" s="10"/>
      <c r="J59" s="10" t="s">
        <v>504</v>
      </c>
      <c r="K59" s="10" t="s">
        <v>539</v>
      </c>
      <c r="L59" s="10" t="s">
        <v>505</v>
      </c>
      <c r="M59" s="16" t="s">
        <v>430</v>
      </c>
      <c r="N59" s="16"/>
      <c r="O59" s="191"/>
      <c r="P59" s="191"/>
      <c r="Q59" s="191"/>
      <c r="R59" s="286" t="str">
        <f t="shared" si="1"/>
        <v>. Door Handle, Interior (if wood trim doesn't come off easily, put handle with trim SET)</v>
      </c>
      <c r="S59" s="286"/>
      <c r="T59" s="16"/>
      <c r="U59" s="16"/>
      <c r="V59" s="16"/>
      <c r="W59" s="16"/>
      <c r="X59" s="16"/>
      <c r="Y59" s="16"/>
      <c r="Z59" s="10" t="s">
        <v>506</v>
      </c>
      <c r="AA59" s="10" t="s">
        <v>506</v>
      </c>
      <c r="AB59" s="10" t="s">
        <v>506</v>
      </c>
      <c r="AC59" s="193" t="s">
        <v>449</v>
      </c>
      <c r="AD59" s="10"/>
      <c r="AE59" s="10"/>
      <c r="AF59" s="200" t="s">
        <v>434</v>
      </c>
      <c r="AH59" s="3" t="s">
        <v>435</v>
      </c>
      <c r="AJ59" s="69"/>
      <c r="AK59" t="s">
        <v>507</v>
      </c>
      <c r="AN59"/>
      <c r="AX59" s="16"/>
      <c r="AY59" s="16"/>
      <c r="AZ59" s="232" t="str">
        <f>IF($AX59="Yes",'8. Option Codes Decrypted'!$C$15,"")</f>
        <v/>
      </c>
      <c r="BA59" s="232" t="str">
        <f>IF($AX59="Yes",'8. Option Codes Decrypted'!$C$16,"")</f>
        <v/>
      </c>
      <c r="BB59" s="232" t="str">
        <f>IF($AX59="Yes",'8. Option Codes Decrypted'!$C$17,"")</f>
        <v/>
      </c>
      <c r="BC59" s="232" t="str">
        <f>IF($AX59="Yes",'8. Option Codes Decrypted'!$C$18,"")</f>
        <v/>
      </c>
      <c r="BD59" s="232" t="str">
        <f>IF($AY59="Yes",'8. Option Codes Decrypted'!$C$20,"")</f>
        <v/>
      </c>
      <c r="BE59" s="232" t="str">
        <f>IF($AY59="Yes",'8. Option Codes Decrypted'!$C$21,"")</f>
        <v/>
      </c>
      <c r="BF59" s="232" t="str">
        <f>IF($AY59="Yes",'8. Option Codes Decrypted'!$C$22,"")</f>
        <v/>
      </c>
      <c r="BG59" s="232" t="str">
        <f>IF($AY59="Yes",'8. Option Codes Decrypted'!$C$23,"")</f>
        <v/>
      </c>
    </row>
    <row r="60" spans="1:60" x14ac:dyDescent="0.25">
      <c r="A60" s="232" t="str">
        <f t="shared" si="2"/>
        <v/>
      </c>
      <c r="B60" s="358" t="str">
        <f>IF(AQ60&lt;&gt;"",AQ60,"")</f>
        <v/>
      </c>
      <c r="C60" s="358" t="str">
        <f t="shared" si="15"/>
        <v/>
      </c>
      <c r="D60" s="358"/>
      <c r="E60" s="358" t="str">
        <f t="shared" si="0"/>
        <v/>
      </c>
      <c r="F60" t="s">
        <v>426</v>
      </c>
      <c r="G60" s="230">
        <v>44670</v>
      </c>
      <c r="H60" s="10"/>
      <c r="I60" s="10"/>
      <c r="J60" s="10" t="s">
        <v>504</v>
      </c>
      <c r="K60" s="10" t="s">
        <v>539</v>
      </c>
      <c r="L60" s="10" t="s">
        <v>513</v>
      </c>
      <c r="M60" s="16" t="s">
        <v>430</v>
      </c>
      <c r="N60" s="16"/>
      <c r="O60" s="191"/>
      <c r="P60" s="191"/>
      <c r="Q60" s="191"/>
      <c r="R60" s="286" t="str">
        <f t="shared" si="1"/>
        <v>. Door Panel</v>
      </c>
      <c r="S60" s="286"/>
      <c r="T60" s="16"/>
      <c r="U60" s="16"/>
      <c r="V60" s="16"/>
      <c r="W60" s="16"/>
      <c r="X60" s="16"/>
      <c r="Y60" s="16"/>
      <c r="Z60" s="10" t="s">
        <v>513</v>
      </c>
      <c r="AA60" s="10" t="s">
        <v>513</v>
      </c>
      <c r="AB60" s="10" t="s">
        <v>513</v>
      </c>
      <c r="AC60" s="193" t="s">
        <v>449</v>
      </c>
      <c r="AD60" s="10"/>
      <c r="AE60" s="10"/>
      <c r="AF60" s="200" t="s">
        <v>434</v>
      </c>
      <c r="AH60" s="3" t="s">
        <v>435</v>
      </c>
      <c r="AJ60" s="69"/>
      <c r="AK60" t="s">
        <v>514</v>
      </c>
      <c r="AN60"/>
      <c r="AX60" s="16"/>
      <c r="AY60" s="16"/>
      <c r="AZ60" s="232" t="str">
        <f>IF($AX60="Yes",'8. Option Codes Decrypted'!$C$15,"")</f>
        <v/>
      </c>
      <c r="BA60" s="232" t="str">
        <f>IF($AX60="Yes",'8. Option Codes Decrypted'!$C$16,"")</f>
        <v/>
      </c>
      <c r="BB60" s="232" t="str">
        <f>IF($AX60="Yes",'8. Option Codes Decrypted'!$C$17,"")</f>
        <v/>
      </c>
      <c r="BC60" s="232" t="str">
        <f>IF($AX60="Yes",'8. Option Codes Decrypted'!$C$18,"")</f>
        <v/>
      </c>
      <c r="BD60" s="232" t="str">
        <f>IF($AY60="Yes",'8. Option Codes Decrypted'!$C$20,"")</f>
        <v/>
      </c>
      <c r="BE60" s="232" t="str">
        <f>IF($AY60="Yes",'8. Option Codes Decrypted'!$C$21,"")</f>
        <v/>
      </c>
      <c r="BF60" s="232" t="str">
        <f>IF($AY60="Yes",'8. Option Codes Decrypted'!$C$22,"")</f>
        <v/>
      </c>
      <c r="BG60" s="232" t="str">
        <f>IF($AY60="Yes",'8. Option Codes Decrypted'!$C$23,"")</f>
        <v/>
      </c>
    </row>
    <row r="61" spans="1:60" x14ac:dyDescent="0.25">
      <c r="A61" s="232" t="str">
        <f t="shared" si="2"/>
        <v/>
      </c>
      <c r="B61" s="358" t="str">
        <f>IF(AQ61&lt;&gt;"",AQ61,"")</f>
        <v/>
      </c>
      <c r="C61" s="358" t="str">
        <f t="shared" si="15"/>
        <v/>
      </c>
      <c r="D61" s="358"/>
      <c r="E61" s="358" t="str">
        <f t="shared" si="0"/>
        <v/>
      </c>
      <c r="F61" t="s">
        <v>426</v>
      </c>
      <c r="G61" s="230">
        <v>44670</v>
      </c>
      <c r="H61" s="178"/>
      <c r="I61" s="10"/>
      <c r="J61" s="10" t="s">
        <v>504</v>
      </c>
      <c r="K61" s="15" t="s">
        <v>539</v>
      </c>
      <c r="L61" s="10" t="s">
        <v>498</v>
      </c>
      <c r="M61" s="16" t="s">
        <v>430</v>
      </c>
      <c r="N61" s="16"/>
      <c r="O61" s="191"/>
      <c r="P61" s="191"/>
      <c r="Q61" s="191"/>
      <c r="R61" s="286" t="str">
        <f t="shared" si="1"/>
        <v>. Switch, Window</v>
      </c>
      <c r="S61" s="286"/>
      <c r="T61" s="16"/>
      <c r="U61" s="16"/>
      <c r="V61" s="16"/>
      <c r="W61" s="16"/>
      <c r="X61" s="16"/>
      <c r="Y61" s="16"/>
      <c r="Z61" s="10" t="s">
        <v>498</v>
      </c>
      <c r="AA61" s="10" t="s">
        <v>498</v>
      </c>
      <c r="AB61" s="10" t="s">
        <v>498</v>
      </c>
      <c r="AC61" s="193" t="s">
        <v>449</v>
      </c>
      <c r="AD61" s="10"/>
      <c r="AE61" s="10"/>
      <c r="AF61" s="200" t="s">
        <v>434</v>
      </c>
      <c r="AH61" s="3" t="s">
        <v>435</v>
      </c>
      <c r="AJ61" s="69"/>
      <c r="AK61" t="s">
        <v>537</v>
      </c>
      <c r="AN61"/>
      <c r="AX61" s="16"/>
      <c r="AY61" s="16"/>
      <c r="AZ61" s="232" t="str">
        <f>IF($AX61="Yes",'8. Option Codes Decrypted'!$C$15,"")</f>
        <v/>
      </c>
      <c r="BA61" s="232" t="str">
        <f>IF($AX61="Yes",'8. Option Codes Decrypted'!$C$16,"")</f>
        <v/>
      </c>
      <c r="BB61" s="232" t="str">
        <f>IF($AX61="Yes",'8. Option Codes Decrypted'!$C$17,"")</f>
        <v/>
      </c>
      <c r="BC61" s="232" t="str">
        <f>IF($AX61="Yes",'8. Option Codes Decrypted'!$C$18,"")</f>
        <v/>
      </c>
      <c r="BD61" s="232" t="str">
        <f>IF($AY61="Yes",'8. Option Codes Decrypted'!$C$20,"")</f>
        <v/>
      </c>
      <c r="BE61" s="232" t="str">
        <f>IF($AY61="Yes",'8. Option Codes Decrypted'!$C$21,"")</f>
        <v/>
      </c>
      <c r="BF61" s="232" t="str">
        <f>IF($AY61="Yes",'8. Option Codes Decrypted'!$C$22,"")</f>
        <v/>
      </c>
      <c r="BG61" s="232" t="str">
        <f>IF($AY61="Yes",'8. Option Codes Decrypted'!$C$23,"")</f>
        <v/>
      </c>
    </row>
    <row r="62" spans="1:60" ht="15.75" thickBot="1" x14ac:dyDescent="0.3">
      <c r="A62" s="232" t="str">
        <f t="shared" si="2"/>
        <v/>
      </c>
      <c r="B62" s="358" t="str">
        <f>IF(AQ62&lt;&gt;"",AQ62,"")</f>
        <v/>
      </c>
      <c r="C62" s="358" t="str">
        <f t="shared" si="15"/>
        <v/>
      </c>
      <c r="D62" s="358"/>
      <c r="E62" s="358" t="str">
        <f t="shared" si="0"/>
        <v/>
      </c>
      <c r="F62" t="s">
        <v>426</v>
      </c>
      <c r="G62" s="230">
        <v>44670</v>
      </c>
      <c r="H62" s="176"/>
      <c r="I62" s="203"/>
      <c r="J62" s="10" t="s">
        <v>504</v>
      </c>
      <c r="K62" s="15" t="s">
        <v>539</v>
      </c>
      <c r="L62" s="10" t="s">
        <v>518</v>
      </c>
      <c r="M62" s="188" t="s">
        <v>444</v>
      </c>
      <c r="N62" s="188"/>
      <c r="O62" s="289"/>
      <c r="P62" s="289"/>
      <c r="Q62" s="289"/>
      <c r="R62" s="286" t="str">
        <f t="shared" si="1"/>
        <v>. Window Motor &amp; Regulator (TOSS BOTH)</v>
      </c>
      <c r="S62" s="286"/>
      <c r="T62" s="188"/>
      <c r="U62" s="16"/>
      <c r="V62" s="188"/>
      <c r="W62" s="16"/>
      <c r="X62" s="16"/>
      <c r="Y62" s="16"/>
      <c r="Z62" s="10" t="s">
        <v>519</v>
      </c>
      <c r="AA62" s="10" t="s">
        <v>519</v>
      </c>
      <c r="AB62" s="10" t="s">
        <v>519</v>
      </c>
      <c r="AC62" s="193" t="s">
        <v>449</v>
      </c>
      <c r="AD62" s="10"/>
      <c r="AE62" s="10"/>
      <c r="AF62" s="200" t="s">
        <v>434</v>
      </c>
      <c r="AH62" s="3" t="s">
        <v>435</v>
      </c>
      <c r="AJ62" s="69"/>
      <c r="AK62" t="s">
        <v>520</v>
      </c>
      <c r="AN62"/>
      <c r="AO62" t="s">
        <v>411</v>
      </c>
      <c r="AX62" s="16"/>
      <c r="AY62" s="16"/>
      <c r="AZ62" s="232" t="str">
        <f>IF($AX62="Yes",'8. Option Codes Decrypted'!$C$15,"")</f>
        <v/>
      </c>
      <c r="BA62" s="232" t="str">
        <f>IF($AX62="Yes",'8. Option Codes Decrypted'!$C$16,"")</f>
        <v/>
      </c>
      <c r="BB62" s="232" t="str">
        <f>IF($AX62="Yes",'8. Option Codes Decrypted'!$C$17,"")</f>
        <v/>
      </c>
      <c r="BC62" s="232" t="str">
        <f>IF($AX62="Yes",'8. Option Codes Decrypted'!$C$18,"")</f>
        <v/>
      </c>
      <c r="BD62" s="232" t="str">
        <f>IF($AY62="Yes",'8. Option Codes Decrypted'!$C$20,"")</f>
        <v/>
      </c>
      <c r="BE62" s="232" t="str">
        <f>IF($AY62="Yes",'8. Option Codes Decrypted'!$C$21,"")</f>
        <v/>
      </c>
      <c r="BF62" s="232" t="str">
        <f>IF($AY62="Yes",'8. Option Codes Decrypted'!$C$22,"")</f>
        <v/>
      </c>
      <c r="BG62" s="232" t="str">
        <f>IF($AY62="Yes",'8. Option Codes Decrypted'!$C$23,"")</f>
        <v/>
      </c>
    </row>
    <row r="63" spans="1:60" s="232" customFormat="1" ht="15.75" thickBot="1" x14ac:dyDescent="0.3">
      <c r="A63" s="232" t="str">
        <f t="shared" si="2"/>
        <v>A52</v>
      </c>
      <c r="B63" s="358" t="str">
        <f t="shared" ref="B63:B64" si="19">IF(AQ63&lt;&gt;"",AQ63,"")</f>
        <v>129-52060</v>
      </c>
      <c r="C63" s="358" t="s">
        <v>553</v>
      </c>
      <c r="D63" s="358"/>
      <c r="E63" s="358">
        <f t="shared" si="0"/>
        <v>2</v>
      </c>
      <c r="F63" s="232" t="s">
        <v>426</v>
      </c>
      <c r="G63" s="241">
        <v>44670</v>
      </c>
      <c r="H63" s="242"/>
      <c r="I63" s="243" t="s">
        <v>441</v>
      </c>
      <c r="J63" s="244" t="s">
        <v>427</v>
      </c>
      <c r="K63" s="244" t="s">
        <v>554</v>
      </c>
      <c r="L63" s="244" t="s">
        <v>443</v>
      </c>
      <c r="M63" s="235" t="s">
        <v>444</v>
      </c>
      <c r="N63" s="235">
        <v>42</v>
      </c>
      <c r="O63" s="284" t="s">
        <v>296</v>
      </c>
      <c r="P63" s="284" t="s">
        <v>445</v>
      </c>
      <c r="Q63" s="284">
        <v>1</v>
      </c>
      <c r="R63" s="286" t="str">
        <f t="shared" si="1"/>
        <v>A52. Door Handle, Exterior - REAR - RIGHT</v>
      </c>
      <c r="S63" s="365" t="str">
        <f>HYPERLINK(VLOOKUP(O63,'3D. Pictures'!$B$3:$E$500,4,FALSE),"PIC")</f>
        <v>PIC</v>
      </c>
      <c r="T63" s="235">
        <v>5</v>
      </c>
      <c r="U63" s="250" t="s">
        <v>540</v>
      </c>
      <c r="V63" s="235" t="s">
        <v>80</v>
      </c>
      <c r="W63" s="250"/>
      <c r="X63" s="250"/>
      <c r="Y63" s="250"/>
      <c r="Z63" s="244" t="s">
        <v>555</v>
      </c>
      <c r="AA63" s="244" t="s">
        <v>524</v>
      </c>
      <c r="AB63" s="244"/>
      <c r="AC63" s="244" t="s">
        <v>449</v>
      </c>
      <c r="AD63" s="244" t="s">
        <v>542</v>
      </c>
      <c r="AE63" s="246">
        <v>175</v>
      </c>
      <c r="AF63" s="252" t="s">
        <v>434</v>
      </c>
      <c r="AG63" s="247"/>
      <c r="AH63" s="248" t="s">
        <v>435</v>
      </c>
      <c r="AJ63" s="249"/>
      <c r="AK63" s="232" t="s">
        <v>451</v>
      </c>
      <c r="AL63" s="232" t="s">
        <v>452</v>
      </c>
      <c r="AN63" s="233" t="s">
        <v>525</v>
      </c>
      <c r="AO63" s="232" t="s">
        <v>411</v>
      </c>
      <c r="AP63" s="232">
        <v>52060</v>
      </c>
      <c r="AQ63" s="232" t="str">
        <f>CONCATENATE(AN63,AO63,AP63)</f>
        <v>129-52060</v>
      </c>
      <c r="AR63" s="232" t="s">
        <v>453</v>
      </c>
      <c r="AX63" s="244" t="s">
        <v>80</v>
      </c>
      <c r="AY63" s="250"/>
      <c r="AZ63" s="232" t="str">
        <f>IF($AX63="Yes",'8. Option Codes Decrypted'!$C$15,"")</f>
        <v>Painted</v>
      </c>
      <c r="BA63" s="232" t="str">
        <f>IF($AX63="Yes",'8. Option Codes Decrypted'!$C$16,"")</f>
        <v>Brown</v>
      </c>
      <c r="BB63" s="232" t="str">
        <f>IF($AX63="Yes",'8. Option Codes Decrypted'!$C$17,"")</f>
        <v>Sparkling Brown Metallic</v>
      </c>
      <c r="BC63" s="232" t="str">
        <f>IF($AX63="Yes",'8. Option Codes Decrypted'!$C$18,"")</f>
        <v>B53</v>
      </c>
      <c r="BD63" s="232" t="str">
        <f>IF($AY63="Yes",'8. Option Codes Decrypted'!$C$20,"")</f>
        <v/>
      </c>
      <c r="BE63" s="232" t="str">
        <f>IF($AY63="Yes",'8. Option Codes Decrypted'!$C$21,"")</f>
        <v/>
      </c>
      <c r="BF63" s="232" t="str">
        <f>IF($AY63="Yes",'8. Option Codes Decrypted'!$C$22,"")</f>
        <v/>
      </c>
      <c r="BG63" s="232" t="str">
        <f>IF($AY63="Yes",'8. Option Codes Decrypted'!$C$23,"")</f>
        <v/>
      </c>
      <c r="BH63" s="232" t="str">
        <f t="shared" ref="BH63:BH64" si="20">C63</f>
        <v>129-52060-2</v>
      </c>
    </row>
    <row r="64" spans="1:60" s="232" customFormat="1" ht="15.75" thickBot="1" x14ac:dyDescent="0.3">
      <c r="A64" s="232" t="str">
        <f t="shared" si="2"/>
        <v/>
      </c>
      <c r="B64" s="358" t="str">
        <f t="shared" si="19"/>
        <v>129-52062</v>
      </c>
      <c r="C64" s="358" t="s">
        <v>556</v>
      </c>
      <c r="D64" s="358"/>
      <c r="E64" s="358">
        <f t="shared" si="0"/>
        <v>2</v>
      </c>
      <c r="F64" s="232" t="s">
        <v>426</v>
      </c>
      <c r="G64" s="241">
        <v>44670</v>
      </c>
      <c r="H64" s="242"/>
      <c r="I64" s="243" t="s">
        <v>441</v>
      </c>
      <c r="J64" s="244" t="s">
        <v>427</v>
      </c>
      <c r="K64" s="244" t="s">
        <v>554</v>
      </c>
      <c r="L64" s="244" t="s">
        <v>443</v>
      </c>
      <c r="M64" s="235" t="s">
        <v>444</v>
      </c>
      <c r="N64" s="235"/>
      <c r="O64" s="284"/>
      <c r="P64" s="284"/>
      <c r="Q64" s="284"/>
      <c r="R64" s="286" t="str">
        <f t="shared" si="1"/>
        <v>. Door Handle, Exterior - REAR - RIGHT</v>
      </c>
      <c r="S64" s="286"/>
      <c r="T64" s="235"/>
      <c r="U64" s="250" t="s">
        <v>544</v>
      </c>
      <c r="V64" s="235" t="s">
        <v>80</v>
      </c>
      <c r="W64" s="250"/>
      <c r="X64" s="250"/>
      <c r="Y64" s="250"/>
      <c r="Z64" s="244" t="s">
        <v>555</v>
      </c>
      <c r="AA64" s="244" t="s">
        <v>524</v>
      </c>
      <c r="AB64" s="244"/>
      <c r="AC64" s="244" t="s">
        <v>449</v>
      </c>
      <c r="AD64" s="244" t="s">
        <v>542</v>
      </c>
      <c r="AE64" s="246">
        <v>140</v>
      </c>
      <c r="AF64" s="252" t="s">
        <v>434</v>
      </c>
      <c r="AG64" s="247"/>
      <c r="AH64" s="248" t="s">
        <v>435</v>
      </c>
      <c r="AJ64" s="249"/>
      <c r="AK64" s="232" t="s">
        <v>451</v>
      </c>
      <c r="AL64" s="232" t="s">
        <v>452</v>
      </c>
      <c r="AN64" s="233" t="s">
        <v>525</v>
      </c>
      <c r="AO64" s="232" t="s">
        <v>411</v>
      </c>
      <c r="AP64" s="232">
        <v>52062</v>
      </c>
      <c r="AQ64" s="232" t="str">
        <f>CONCATENATE(AN64,AO64,AP64)</f>
        <v>129-52062</v>
      </c>
      <c r="AR64" s="232" t="s">
        <v>456</v>
      </c>
      <c r="AX64" s="244" t="s">
        <v>80</v>
      </c>
      <c r="AY64" s="250"/>
      <c r="AZ64" s="232" t="str">
        <f>IF($AX64="Yes",'8. Option Codes Decrypted'!$C$15,"")</f>
        <v>Painted</v>
      </c>
      <c r="BA64" s="232" t="str">
        <f>IF($AX64="Yes",'8. Option Codes Decrypted'!$C$16,"")</f>
        <v>Brown</v>
      </c>
      <c r="BB64" s="232" t="str">
        <f>IF($AX64="Yes",'8. Option Codes Decrypted'!$C$17,"")</f>
        <v>Sparkling Brown Metallic</v>
      </c>
      <c r="BC64" s="232" t="str">
        <f>IF($AX64="Yes",'8. Option Codes Decrypted'!$C$18,"")</f>
        <v>B53</v>
      </c>
      <c r="BD64" s="232" t="str">
        <f>IF($AY64="Yes",'8. Option Codes Decrypted'!$C$20,"")</f>
        <v/>
      </c>
      <c r="BE64" s="232" t="str">
        <f>IF($AY64="Yes",'8. Option Codes Decrypted'!$C$21,"")</f>
        <v/>
      </c>
      <c r="BF64" s="232" t="str">
        <f>IF($AY64="Yes",'8. Option Codes Decrypted'!$C$22,"")</f>
        <v/>
      </c>
      <c r="BG64" s="232" t="str">
        <f>IF($AY64="Yes",'8. Option Codes Decrypted'!$C$23,"")</f>
        <v/>
      </c>
      <c r="BH64" s="232" t="str">
        <f t="shared" si="20"/>
        <v>129-52062-2</v>
      </c>
    </row>
    <row r="65" spans="1:59" s="232" customFormat="1" ht="15.75" thickBot="1" x14ac:dyDescent="0.3">
      <c r="A65" s="232" t="str">
        <f t="shared" si="2"/>
        <v>A27</v>
      </c>
      <c r="B65" s="358" t="str">
        <f t="shared" ref="B65:B73" si="21">IF(AQ65&lt;&gt;"",AQ65,"")</f>
        <v>286-999770</v>
      </c>
      <c r="C65" s="358" t="str">
        <f t="shared" ref="C65:C84" si="22">IF(AS65&lt;&gt;"",AS65,"")</f>
        <v/>
      </c>
      <c r="D65" s="358"/>
      <c r="E65" s="358">
        <f t="shared" si="0"/>
        <v>1</v>
      </c>
      <c r="F65" s="232" t="s">
        <v>426</v>
      </c>
      <c r="G65" s="241">
        <v>44670</v>
      </c>
      <c r="H65" s="250"/>
      <c r="I65" s="250"/>
      <c r="J65" s="250" t="s">
        <v>427</v>
      </c>
      <c r="K65" s="250" t="s">
        <v>554</v>
      </c>
      <c r="L65" s="250" t="s">
        <v>457</v>
      </c>
      <c r="M65" s="235" t="s">
        <v>444</v>
      </c>
      <c r="N65" s="235">
        <v>17</v>
      </c>
      <c r="O65" s="284" t="s">
        <v>271</v>
      </c>
      <c r="P65" s="284" t="s">
        <v>459</v>
      </c>
      <c r="Q65" s="284">
        <v>1</v>
      </c>
      <c r="R65" s="286" t="str">
        <f t="shared" si="1"/>
        <v>A27. Door Latch, REAR - RIGHT Soft Close WITH Actuator SET2</v>
      </c>
      <c r="S65" s="365" t="str">
        <f>HYPERLINK(VLOOKUP(O65,'3D. Pictures'!$B$3:$E$500,4,FALSE),"PIC")</f>
        <v>PIC</v>
      </c>
      <c r="T65" s="235">
        <v>6</v>
      </c>
      <c r="U65" s="250" t="s">
        <v>557</v>
      </c>
      <c r="V65" s="235" t="s">
        <v>80</v>
      </c>
      <c r="W65" s="250"/>
      <c r="X65" s="250"/>
      <c r="Y65" s="250"/>
      <c r="Z65" s="250" t="s">
        <v>558</v>
      </c>
      <c r="AA65" s="250" t="s">
        <v>462</v>
      </c>
      <c r="AB65" s="250" t="s">
        <v>463</v>
      </c>
      <c r="AC65" s="244" t="s">
        <v>449</v>
      </c>
      <c r="AD65" s="250"/>
      <c r="AE65" s="255">
        <v>245</v>
      </c>
      <c r="AF65" s="252" t="s">
        <v>434</v>
      </c>
      <c r="AG65" s="247"/>
      <c r="AH65" s="248" t="s">
        <v>435</v>
      </c>
      <c r="AJ65" s="249"/>
      <c r="AK65" s="232" t="s">
        <v>530</v>
      </c>
      <c r="AL65" s="232" t="s">
        <v>465</v>
      </c>
      <c r="AN65" s="233">
        <v>286</v>
      </c>
      <c r="AO65" s="232" t="s">
        <v>411</v>
      </c>
      <c r="AP65" s="232">
        <v>999770</v>
      </c>
      <c r="AQ65" s="232" t="str">
        <f>CONCATENATE(AN65,AO65,AP65)</f>
        <v>286-999770</v>
      </c>
      <c r="AR65" s="232" t="s">
        <v>466</v>
      </c>
      <c r="AX65" s="250"/>
      <c r="AY65" s="250"/>
      <c r="AZ65" s="232" t="str">
        <f>IF($AX65="Yes",'8. Option Codes Decrypted'!$C$15,"")</f>
        <v/>
      </c>
      <c r="BA65" s="232" t="str">
        <f>IF($AX65="Yes",'8. Option Codes Decrypted'!$C$16,"")</f>
        <v/>
      </c>
      <c r="BB65" s="232" t="str">
        <f>IF($AX65="Yes",'8. Option Codes Decrypted'!$C$17,"")</f>
        <v/>
      </c>
      <c r="BC65" s="232" t="str">
        <f>IF($AX65="Yes",'8. Option Codes Decrypted'!$C$18,"")</f>
        <v/>
      </c>
      <c r="BD65" s="232" t="str">
        <f>IF($AY65="Yes",'8. Option Codes Decrypted'!$C$20,"")</f>
        <v/>
      </c>
      <c r="BE65" s="232" t="str">
        <f>IF($AY65="Yes",'8. Option Codes Decrypted'!$C$21,"")</f>
        <v/>
      </c>
      <c r="BF65" s="232" t="str">
        <f>IF($AY65="Yes",'8. Option Codes Decrypted'!$C$22,"")</f>
        <v/>
      </c>
      <c r="BG65" s="232" t="str">
        <f>IF($AY65="Yes",'8. Option Codes Decrypted'!$C$23,"")</f>
        <v/>
      </c>
    </row>
    <row r="66" spans="1:59" s="232" customFormat="1" x14ac:dyDescent="0.25">
      <c r="A66" s="232" t="str">
        <f t="shared" si="2"/>
        <v/>
      </c>
      <c r="B66" s="358" t="str">
        <f t="shared" si="21"/>
        <v>286-999762</v>
      </c>
      <c r="C66" s="358" t="str">
        <f t="shared" si="22"/>
        <v/>
      </c>
      <c r="D66" s="358"/>
      <c r="E66" s="358">
        <f t="shared" si="0"/>
        <v>1</v>
      </c>
      <c r="F66" s="232" t="s">
        <v>426</v>
      </c>
      <c r="G66" s="241">
        <v>44670</v>
      </c>
      <c r="H66" s="250"/>
      <c r="I66" s="250"/>
      <c r="J66" s="250" t="s">
        <v>427</v>
      </c>
      <c r="K66" s="250" t="s">
        <v>554</v>
      </c>
      <c r="L66" s="250" t="s">
        <v>457</v>
      </c>
      <c r="M66" s="235" t="s">
        <v>444</v>
      </c>
      <c r="N66" s="235"/>
      <c r="O66" s="284"/>
      <c r="P66" s="284"/>
      <c r="Q66" s="284"/>
      <c r="R66" s="286" t="str">
        <f t="shared" si="1"/>
        <v>. Door Latch, REAR - RIGHT WITHOUT Soft Close</v>
      </c>
      <c r="S66" s="286"/>
      <c r="T66" s="235"/>
      <c r="U66" s="250" t="s">
        <v>559</v>
      </c>
      <c r="V66" s="235" t="s">
        <v>80</v>
      </c>
      <c r="W66" s="250"/>
      <c r="X66" s="250"/>
      <c r="Y66" s="250"/>
      <c r="Z66" s="250" t="s">
        <v>560</v>
      </c>
      <c r="AA66" s="250" t="s">
        <v>469</v>
      </c>
      <c r="AB66" s="250"/>
      <c r="AC66" s="244" t="s">
        <v>449</v>
      </c>
      <c r="AD66" s="250"/>
      <c r="AE66" s="255">
        <v>75</v>
      </c>
      <c r="AF66" s="252" t="s">
        <v>434</v>
      </c>
      <c r="AG66" s="247"/>
      <c r="AH66" s="248" t="s">
        <v>435</v>
      </c>
      <c r="AJ66" s="249"/>
      <c r="AK66" s="232" t="s">
        <v>530</v>
      </c>
      <c r="AL66" s="232" t="s">
        <v>465</v>
      </c>
      <c r="AN66" s="233">
        <v>286</v>
      </c>
      <c r="AO66" s="232" t="s">
        <v>411</v>
      </c>
      <c r="AP66" s="232">
        <v>999762</v>
      </c>
      <c r="AQ66" s="232" t="str">
        <f>CONCATENATE(AN66,AO66,AP66)</f>
        <v>286-999762</v>
      </c>
      <c r="AR66" s="232" t="s">
        <v>470</v>
      </c>
      <c r="AX66" s="250"/>
      <c r="AY66" s="250"/>
      <c r="AZ66" s="232" t="str">
        <f>IF($AX66="Yes",'8. Option Codes Decrypted'!$C$15,"")</f>
        <v/>
      </c>
      <c r="BA66" s="232" t="str">
        <f>IF($AX66="Yes",'8. Option Codes Decrypted'!$C$16,"")</f>
        <v/>
      </c>
      <c r="BB66" s="232" t="str">
        <f>IF($AX66="Yes",'8. Option Codes Decrypted'!$C$17,"")</f>
        <v/>
      </c>
      <c r="BC66" s="232" t="str">
        <f>IF($AX66="Yes",'8. Option Codes Decrypted'!$C$18,"")</f>
        <v/>
      </c>
      <c r="BD66" s="232" t="str">
        <f>IF($AY66="Yes",'8. Option Codes Decrypted'!$C$20,"")</f>
        <v/>
      </c>
      <c r="BE66" s="232" t="str">
        <f>IF($AY66="Yes",'8. Option Codes Decrypted'!$C$21,"")</f>
        <v/>
      </c>
      <c r="BF66" s="232" t="str">
        <f>IF($AY66="Yes",'8. Option Codes Decrypted'!$C$22,"")</f>
        <v/>
      </c>
      <c r="BG66" s="232" t="str">
        <f>IF($AY66="Yes",'8. Option Codes Decrypted'!$C$23,"")</f>
        <v/>
      </c>
    </row>
    <row r="67" spans="1:59" x14ac:dyDescent="0.25">
      <c r="A67" s="232" t="str">
        <f t="shared" si="2"/>
        <v/>
      </c>
      <c r="B67" s="358" t="str">
        <f t="shared" si="21"/>
        <v/>
      </c>
      <c r="C67" s="358" t="str">
        <f t="shared" si="22"/>
        <v/>
      </c>
      <c r="D67" s="358"/>
      <c r="E67" s="358" t="str">
        <f t="shared" si="0"/>
        <v/>
      </c>
      <c r="F67" t="s">
        <v>426</v>
      </c>
      <c r="G67" s="230">
        <v>44670</v>
      </c>
      <c r="H67" s="174"/>
      <c r="I67" s="195" t="s">
        <v>441</v>
      </c>
      <c r="J67" s="193" t="s">
        <v>427</v>
      </c>
      <c r="K67" s="193" t="s">
        <v>554</v>
      </c>
      <c r="L67" s="193" t="s">
        <v>501</v>
      </c>
      <c r="M67" s="193" t="s">
        <v>430</v>
      </c>
      <c r="N67" s="193"/>
      <c r="O67" s="196"/>
      <c r="P67" s="196"/>
      <c r="Q67" s="196"/>
      <c r="R67" s="286" t="str">
        <f t="shared" si="1"/>
        <v>. Trim Set, Entire Vehicle</v>
      </c>
      <c r="S67" s="286"/>
      <c r="T67" s="193"/>
      <c r="U67" s="193"/>
      <c r="V67" s="193"/>
      <c r="W67" s="193"/>
      <c r="X67" s="193"/>
      <c r="Y67" s="193"/>
      <c r="Z67" s="193" t="s">
        <v>502</v>
      </c>
      <c r="AA67" s="193" t="s">
        <v>502</v>
      </c>
      <c r="AB67" s="193" t="s">
        <v>502</v>
      </c>
      <c r="AC67" s="193" t="s">
        <v>449</v>
      </c>
      <c r="AD67" s="193"/>
      <c r="AE67" s="193">
        <v>495</v>
      </c>
      <c r="AF67" s="99" t="s">
        <v>434</v>
      </c>
      <c r="AH67" s="3" t="s">
        <v>435</v>
      </c>
      <c r="AI67" s="56"/>
      <c r="AJ67" s="69"/>
      <c r="AK67" t="s">
        <v>503</v>
      </c>
      <c r="AN67"/>
      <c r="AX67" s="193"/>
      <c r="AY67" s="193"/>
      <c r="AZ67" s="232" t="str">
        <f>IF($AX67="Yes",'8. Option Codes Decrypted'!$C$15,"")</f>
        <v/>
      </c>
      <c r="BA67" s="232" t="str">
        <f>IF($AX67="Yes",'8. Option Codes Decrypted'!$C$16,"")</f>
        <v/>
      </c>
      <c r="BB67" s="232" t="str">
        <f>IF($AX67="Yes",'8. Option Codes Decrypted'!$C$17,"")</f>
        <v/>
      </c>
      <c r="BC67" s="232" t="str">
        <f>IF($AX67="Yes",'8. Option Codes Decrypted'!$C$18,"")</f>
        <v/>
      </c>
      <c r="BD67" s="232" t="str">
        <f>IF($AY67="Yes",'8. Option Codes Decrypted'!$C$20,"")</f>
        <v/>
      </c>
      <c r="BE67" s="232" t="str">
        <f>IF($AY67="Yes",'8. Option Codes Decrypted'!$C$21,"")</f>
        <v/>
      </c>
      <c r="BF67" s="232" t="str">
        <f>IF($AY67="Yes",'8. Option Codes Decrypted'!$C$22,"")</f>
        <v/>
      </c>
      <c r="BG67" s="232" t="str">
        <f>IF($AY67="Yes",'8. Option Codes Decrypted'!$C$23,"")</f>
        <v/>
      </c>
    </row>
    <row r="68" spans="1:59" s="232" customFormat="1" x14ac:dyDescent="0.25">
      <c r="A68" s="232" t="str">
        <f t="shared" si="2"/>
        <v/>
      </c>
      <c r="B68" s="358" t="str">
        <f t="shared" si="21"/>
        <v>263-999495</v>
      </c>
      <c r="C68" s="358" t="str">
        <f t="shared" si="22"/>
        <v/>
      </c>
      <c r="D68" s="358"/>
      <c r="E68" s="358">
        <f t="shared" si="0"/>
        <v>1</v>
      </c>
      <c r="F68" s="232" t="s">
        <v>426</v>
      </c>
      <c r="G68" s="241">
        <v>45208</v>
      </c>
      <c r="H68" s="257"/>
      <c r="I68" s="257"/>
      <c r="J68" s="251" t="s">
        <v>427</v>
      </c>
      <c r="K68" s="250" t="s">
        <v>554</v>
      </c>
      <c r="L68" s="244" t="s">
        <v>533</v>
      </c>
      <c r="M68" s="235" t="s">
        <v>444</v>
      </c>
      <c r="N68" s="235"/>
      <c r="O68" s="284"/>
      <c r="P68" s="284"/>
      <c r="Q68" s="284"/>
      <c r="R68" s="286" t="str">
        <f t="shared" si="1"/>
        <v>. Window Sun Shade, REAR - RIGHT</v>
      </c>
      <c r="S68" s="286"/>
      <c r="T68" s="235"/>
      <c r="U68" s="250"/>
      <c r="V68" s="235"/>
      <c r="W68" s="250"/>
      <c r="X68" s="250"/>
      <c r="Y68" s="250"/>
      <c r="Z68" s="244" t="s">
        <v>561</v>
      </c>
      <c r="AA68" s="244"/>
      <c r="AB68" s="244"/>
      <c r="AC68" s="244" t="s">
        <v>449</v>
      </c>
      <c r="AD68" s="244"/>
      <c r="AE68" s="244">
        <v>190</v>
      </c>
      <c r="AF68" s="252" t="s">
        <v>434</v>
      </c>
      <c r="AG68" s="247"/>
      <c r="AH68" s="248" t="s">
        <v>435</v>
      </c>
      <c r="AI68" s="258"/>
      <c r="AJ68" s="249"/>
      <c r="AK68" s="232" t="s">
        <v>562</v>
      </c>
      <c r="AN68" s="233" t="s">
        <v>536</v>
      </c>
      <c r="AO68" s="232" t="s">
        <v>411</v>
      </c>
      <c r="AP68" s="232">
        <v>999495</v>
      </c>
      <c r="AQ68" s="232" t="str">
        <f>CONCATENATE(AN68,AO68,AP68)</f>
        <v>263-999495</v>
      </c>
      <c r="AX68" s="250"/>
      <c r="AY68" s="250"/>
      <c r="AZ68" s="232" t="str">
        <f>IF($AX68="Yes",'8. Option Codes Decrypted'!$C$15,"")</f>
        <v/>
      </c>
      <c r="BA68" s="232" t="str">
        <f>IF($AX68="Yes",'8. Option Codes Decrypted'!$C$16,"")</f>
        <v/>
      </c>
      <c r="BB68" s="232" t="str">
        <f>IF($AX68="Yes",'8. Option Codes Decrypted'!$C$17,"")</f>
        <v/>
      </c>
      <c r="BC68" s="232" t="str">
        <f>IF($AX68="Yes",'8. Option Codes Decrypted'!$C$18,"")</f>
        <v/>
      </c>
      <c r="BD68" s="232" t="str">
        <f>IF($AY68="Yes",'8. Option Codes Decrypted'!$C$20,"")</f>
        <v/>
      </c>
      <c r="BE68" s="232" t="str">
        <f>IF($AY68="Yes",'8. Option Codes Decrypted'!$C$21,"")</f>
        <v/>
      </c>
      <c r="BF68" s="232" t="str">
        <f>IF($AY68="Yes",'8. Option Codes Decrypted'!$C$22,"")</f>
        <v/>
      </c>
      <c r="BG68" s="232" t="str">
        <f>IF($AY68="Yes",'8. Option Codes Decrypted'!$C$23,"")</f>
        <v/>
      </c>
    </row>
    <row r="69" spans="1:59" x14ac:dyDescent="0.25">
      <c r="A69" s="232" t="str">
        <f t="shared" si="2"/>
        <v/>
      </c>
      <c r="B69" s="358" t="str">
        <f t="shared" si="21"/>
        <v/>
      </c>
      <c r="C69" s="358" t="str">
        <f t="shared" si="22"/>
        <v/>
      </c>
      <c r="D69" s="358"/>
      <c r="E69" s="358" t="str">
        <f t="shared" si="0"/>
        <v/>
      </c>
      <c r="F69" t="s">
        <v>426</v>
      </c>
      <c r="G69" s="230">
        <v>44670</v>
      </c>
      <c r="H69" s="10"/>
      <c r="I69" s="10"/>
      <c r="J69" s="10" t="s">
        <v>504</v>
      </c>
      <c r="K69" s="10" t="s">
        <v>554</v>
      </c>
      <c r="L69" s="10" t="s">
        <v>505</v>
      </c>
      <c r="M69" s="193" t="s">
        <v>430</v>
      </c>
      <c r="N69" s="193"/>
      <c r="O69" s="196"/>
      <c r="P69" s="196"/>
      <c r="Q69" s="196"/>
      <c r="R69" s="286" t="str">
        <f t="shared" si="1"/>
        <v>. Door Handle, Interior (if wood trim doesn't come off easily, put handle with trim SET)</v>
      </c>
      <c r="S69" s="286"/>
      <c r="T69" s="193"/>
      <c r="U69" s="193"/>
      <c r="V69" s="193"/>
      <c r="W69" s="193"/>
      <c r="X69" s="193"/>
      <c r="Y69" s="193"/>
      <c r="Z69" s="10" t="s">
        <v>506</v>
      </c>
      <c r="AA69" s="10" t="s">
        <v>506</v>
      </c>
      <c r="AB69" s="10" t="s">
        <v>506</v>
      </c>
      <c r="AC69" s="193" t="s">
        <v>449</v>
      </c>
      <c r="AD69" s="10"/>
      <c r="AE69" s="10"/>
      <c r="AF69" s="200" t="s">
        <v>434</v>
      </c>
      <c r="AH69" s="3" t="s">
        <v>435</v>
      </c>
      <c r="AJ69" s="69"/>
      <c r="AK69" t="s">
        <v>507</v>
      </c>
      <c r="AN69"/>
      <c r="AX69" s="193"/>
      <c r="AY69" s="193"/>
      <c r="AZ69" s="232" t="str">
        <f>IF($AX69="Yes",'8. Option Codes Decrypted'!$C$15,"")</f>
        <v/>
      </c>
      <c r="BA69" s="232" t="str">
        <f>IF($AX69="Yes",'8. Option Codes Decrypted'!$C$16,"")</f>
        <v/>
      </c>
      <c r="BB69" s="232" t="str">
        <f>IF($AX69="Yes",'8. Option Codes Decrypted'!$C$17,"")</f>
        <v/>
      </c>
      <c r="BC69" s="232" t="str">
        <f>IF($AX69="Yes",'8. Option Codes Decrypted'!$C$18,"")</f>
        <v/>
      </c>
      <c r="BD69" s="232" t="str">
        <f>IF($AY69="Yes",'8. Option Codes Decrypted'!$C$20,"")</f>
        <v/>
      </c>
      <c r="BE69" s="232" t="str">
        <f>IF($AY69="Yes",'8. Option Codes Decrypted'!$C$21,"")</f>
        <v/>
      </c>
      <c r="BF69" s="232" t="str">
        <f>IF($AY69="Yes",'8. Option Codes Decrypted'!$C$22,"")</f>
        <v/>
      </c>
      <c r="BG69" s="232" t="str">
        <f>IF($AY69="Yes",'8. Option Codes Decrypted'!$C$23,"")</f>
        <v/>
      </c>
    </row>
    <row r="70" spans="1:59" x14ac:dyDescent="0.25">
      <c r="A70" s="232" t="str">
        <f t="shared" si="2"/>
        <v/>
      </c>
      <c r="B70" s="358" t="str">
        <f t="shared" si="21"/>
        <v/>
      </c>
      <c r="C70" s="358" t="str">
        <f t="shared" si="22"/>
        <v/>
      </c>
      <c r="D70" s="358"/>
      <c r="E70" s="358" t="str">
        <f t="shared" si="0"/>
        <v/>
      </c>
      <c r="F70" t="s">
        <v>426</v>
      </c>
      <c r="G70" s="230">
        <v>44670</v>
      </c>
      <c r="H70" s="10"/>
      <c r="I70" s="10"/>
      <c r="J70" s="10" t="s">
        <v>504</v>
      </c>
      <c r="K70" s="10" t="s">
        <v>554</v>
      </c>
      <c r="L70" s="10" t="s">
        <v>513</v>
      </c>
      <c r="M70" s="193" t="s">
        <v>430</v>
      </c>
      <c r="N70" s="193"/>
      <c r="O70" s="196"/>
      <c r="P70" s="196"/>
      <c r="Q70" s="196"/>
      <c r="R70" s="286" t="str">
        <f t="shared" si="1"/>
        <v>. Door Panel</v>
      </c>
      <c r="S70" s="286"/>
      <c r="T70" s="193"/>
      <c r="U70" s="193"/>
      <c r="V70" s="193"/>
      <c r="W70" s="193"/>
      <c r="X70" s="193"/>
      <c r="Y70" s="193"/>
      <c r="Z70" s="10" t="s">
        <v>513</v>
      </c>
      <c r="AA70" s="10" t="s">
        <v>513</v>
      </c>
      <c r="AB70" s="10" t="s">
        <v>513</v>
      </c>
      <c r="AC70" s="193" t="s">
        <v>449</v>
      </c>
      <c r="AD70" s="10"/>
      <c r="AE70" s="10"/>
      <c r="AF70" s="200" t="s">
        <v>434</v>
      </c>
      <c r="AH70" s="3" t="s">
        <v>435</v>
      </c>
      <c r="AJ70" s="69"/>
      <c r="AK70" t="s">
        <v>514</v>
      </c>
      <c r="AN70"/>
      <c r="AX70" s="193"/>
      <c r="AY70" s="193"/>
      <c r="AZ70" s="232" t="str">
        <f>IF($AX70="Yes",'8. Option Codes Decrypted'!$C$15,"")</f>
        <v/>
      </c>
      <c r="BA70" s="232" t="str">
        <f>IF($AX70="Yes",'8. Option Codes Decrypted'!$C$16,"")</f>
        <v/>
      </c>
      <c r="BB70" s="232" t="str">
        <f>IF($AX70="Yes",'8. Option Codes Decrypted'!$C$17,"")</f>
        <v/>
      </c>
      <c r="BC70" s="232" t="str">
        <f>IF($AX70="Yes",'8. Option Codes Decrypted'!$C$18,"")</f>
        <v/>
      </c>
      <c r="BD70" s="232" t="str">
        <f>IF($AY70="Yes",'8. Option Codes Decrypted'!$C$20,"")</f>
        <v/>
      </c>
      <c r="BE70" s="232" t="str">
        <f>IF($AY70="Yes",'8. Option Codes Decrypted'!$C$21,"")</f>
        <v/>
      </c>
      <c r="BF70" s="232" t="str">
        <f>IF($AY70="Yes",'8. Option Codes Decrypted'!$C$22,"")</f>
        <v/>
      </c>
      <c r="BG70" s="232" t="str">
        <f>IF($AY70="Yes",'8. Option Codes Decrypted'!$C$23,"")</f>
        <v/>
      </c>
    </row>
    <row r="71" spans="1:59" x14ac:dyDescent="0.25">
      <c r="A71" s="232" t="str">
        <f t="shared" si="2"/>
        <v/>
      </c>
      <c r="B71" s="358" t="str">
        <f t="shared" si="21"/>
        <v/>
      </c>
      <c r="C71" s="358" t="str">
        <f t="shared" si="22"/>
        <v/>
      </c>
      <c r="D71" s="358"/>
      <c r="E71" s="358" t="str">
        <f t="shared" si="0"/>
        <v/>
      </c>
      <c r="F71" t="s">
        <v>426</v>
      </c>
      <c r="G71" s="230">
        <v>44670</v>
      </c>
      <c r="H71" s="178"/>
      <c r="I71" s="10"/>
      <c r="J71" s="10" t="s">
        <v>504</v>
      </c>
      <c r="K71" s="10" t="s">
        <v>554</v>
      </c>
      <c r="L71" s="10" t="s">
        <v>498</v>
      </c>
      <c r="M71" s="193" t="s">
        <v>430</v>
      </c>
      <c r="N71" s="193"/>
      <c r="O71" s="196"/>
      <c r="P71" s="196"/>
      <c r="Q71" s="196"/>
      <c r="R71" s="286" t="str">
        <f t="shared" si="1"/>
        <v>. Switch, Window</v>
      </c>
      <c r="S71" s="286"/>
      <c r="T71" s="193"/>
      <c r="U71" s="193"/>
      <c r="V71" s="193"/>
      <c r="W71" s="193"/>
      <c r="X71" s="193"/>
      <c r="Y71" s="193"/>
      <c r="Z71" s="10" t="s">
        <v>498</v>
      </c>
      <c r="AA71" s="10" t="s">
        <v>498</v>
      </c>
      <c r="AB71" s="10" t="s">
        <v>498</v>
      </c>
      <c r="AC71" s="193" t="s">
        <v>449</v>
      </c>
      <c r="AD71" s="10"/>
      <c r="AE71" s="10"/>
      <c r="AF71" s="200" t="s">
        <v>434</v>
      </c>
      <c r="AH71" s="3" t="s">
        <v>435</v>
      </c>
      <c r="AJ71" s="69"/>
      <c r="AK71" t="s">
        <v>537</v>
      </c>
      <c r="AN71"/>
      <c r="AX71" s="193"/>
      <c r="AY71" s="193"/>
      <c r="AZ71" s="232" t="str">
        <f>IF($AX71="Yes",'8. Option Codes Decrypted'!$C$15,"")</f>
        <v/>
      </c>
      <c r="BA71" s="232" t="str">
        <f>IF($AX71="Yes",'8. Option Codes Decrypted'!$C$16,"")</f>
        <v/>
      </c>
      <c r="BB71" s="232" t="str">
        <f>IF($AX71="Yes",'8. Option Codes Decrypted'!$C$17,"")</f>
        <v/>
      </c>
      <c r="BC71" s="232" t="str">
        <f>IF($AX71="Yes",'8. Option Codes Decrypted'!$C$18,"")</f>
        <v/>
      </c>
      <c r="BD71" s="232" t="str">
        <f>IF($AY71="Yes",'8. Option Codes Decrypted'!$C$20,"")</f>
        <v/>
      </c>
      <c r="BE71" s="232" t="str">
        <f>IF($AY71="Yes",'8. Option Codes Decrypted'!$C$21,"")</f>
        <v/>
      </c>
      <c r="BF71" s="232" t="str">
        <f>IF($AY71="Yes",'8. Option Codes Decrypted'!$C$22,"")</f>
        <v/>
      </c>
      <c r="BG71" s="232" t="str">
        <f>IF($AY71="Yes",'8. Option Codes Decrypted'!$C$23,"")</f>
        <v/>
      </c>
    </row>
    <row r="72" spans="1:59" x14ac:dyDescent="0.25">
      <c r="A72" s="232" t="str">
        <f t="shared" si="2"/>
        <v/>
      </c>
      <c r="B72" s="358" t="str">
        <f t="shared" si="21"/>
        <v/>
      </c>
      <c r="C72" s="358" t="str">
        <f t="shared" si="22"/>
        <v/>
      </c>
      <c r="D72" s="358"/>
      <c r="E72" s="358" t="str">
        <f t="shared" si="0"/>
        <v/>
      </c>
      <c r="F72" t="s">
        <v>426</v>
      </c>
      <c r="G72" s="230">
        <v>44670</v>
      </c>
      <c r="H72" s="176"/>
      <c r="I72" s="203"/>
      <c r="J72" s="10" t="s">
        <v>504</v>
      </c>
      <c r="K72" s="10" t="s">
        <v>554</v>
      </c>
      <c r="L72" s="10" t="s">
        <v>518</v>
      </c>
      <c r="M72" s="188" t="s">
        <v>444</v>
      </c>
      <c r="N72" s="188"/>
      <c r="O72" s="289"/>
      <c r="P72" s="289"/>
      <c r="Q72" s="289"/>
      <c r="R72" s="286" t="str">
        <f t="shared" si="1"/>
        <v>. Window Motor &amp; Regulator (TOSS BOTH)</v>
      </c>
      <c r="S72" s="286"/>
      <c r="T72" s="188"/>
      <c r="U72" s="16"/>
      <c r="V72" s="188"/>
      <c r="W72" s="16"/>
      <c r="X72" s="16"/>
      <c r="Y72" s="16"/>
      <c r="Z72" s="10" t="s">
        <v>519</v>
      </c>
      <c r="AA72" s="10" t="s">
        <v>519</v>
      </c>
      <c r="AB72" s="10" t="s">
        <v>519</v>
      </c>
      <c r="AC72" s="193" t="s">
        <v>449</v>
      </c>
      <c r="AD72" s="10"/>
      <c r="AE72" s="10"/>
      <c r="AF72" s="200" t="s">
        <v>434</v>
      </c>
      <c r="AH72" s="3" t="s">
        <v>435</v>
      </c>
      <c r="AJ72" s="69"/>
      <c r="AK72" t="s">
        <v>520</v>
      </c>
      <c r="AN72"/>
      <c r="AO72" t="s">
        <v>411</v>
      </c>
      <c r="AX72" s="16"/>
      <c r="AY72" s="16"/>
      <c r="AZ72" s="232" t="str">
        <f>IF($AX72="Yes",'8. Option Codes Decrypted'!$C$15,"")</f>
        <v/>
      </c>
      <c r="BA72" s="232" t="str">
        <f>IF($AX72="Yes",'8. Option Codes Decrypted'!$C$16,"")</f>
        <v/>
      </c>
      <c r="BB72" s="232" t="str">
        <f>IF($AX72="Yes",'8. Option Codes Decrypted'!$C$17,"")</f>
        <v/>
      </c>
      <c r="BC72" s="232" t="str">
        <f>IF($AX72="Yes",'8. Option Codes Decrypted'!$C$18,"")</f>
        <v/>
      </c>
      <c r="BD72" s="232" t="str">
        <f>IF($AY72="Yes",'8. Option Codes Decrypted'!$C$20,"")</f>
        <v/>
      </c>
      <c r="BE72" s="232" t="str">
        <f>IF($AY72="Yes",'8. Option Codes Decrypted'!$C$21,"")</f>
        <v/>
      </c>
      <c r="BF72" s="232" t="str">
        <f>IF($AY72="Yes",'8. Option Codes Decrypted'!$C$22,"")</f>
        <v/>
      </c>
      <c r="BG72" s="232" t="str">
        <f>IF($AY72="Yes",'8. Option Codes Decrypted'!$C$23,"")</f>
        <v/>
      </c>
    </row>
    <row r="73" spans="1:59" x14ac:dyDescent="0.25">
      <c r="A73" s="232" t="str">
        <f t="shared" si="2"/>
        <v/>
      </c>
      <c r="B73" s="358" t="str">
        <f t="shared" si="21"/>
        <v/>
      </c>
      <c r="C73" s="358" t="str">
        <f t="shared" si="22"/>
        <v/>
      </c>
      <c r="D73" s="358"/>
      <c r="E73" s="358" t="str">
        <f t="shared" ref="E73:E136" si="23">IF(B73&lt;&gt;"",COUNTIF($B$9:$B$2175,B73),"")</f>
        <v/>
      </c>
      <c r="F73" t="s">
        <v>563</v>
      </c>
      <c r="G73" s="204"/>
      <c r="H73" s="100"/>
      <c r="I73" s="100"/>
      <c r="J73" s="100" t="s">
        <v>564</v>
      </c>
      <c r="K73" s="100" t="s">
        <v>231</v>
      </c>
      <c r="L73" s="100" t="s">
        <v>565</v>
      </c>
      <c r="M73" s="16" t="s">
        <v>430</v>
      </c>
      <c r="N73" s="16"/>
      <c r="O73" s="191"/>
      <c r="P73" s="191"/>
      <c r="Q73" s="191"/>
      <c r="R73" s="286" t="str">
        <f t="shared" ref="R73:R136" si="24">CONCATENATE(O73,". ",Z73)</f>
        <v>. EGR Valve Housing Pipe Assembly (and both EGR valves)</v>
      </c>
      <c r="S73" s="286"/>
      <c r="T73" s="16"/>
      <c r="U73" s="16"/>
      <c r="V73" s="16"/>
      <c r="W73" s="16"/>
      <c r="X73" s="16"/>
      <c r="Y73" s="16"/>
      <c r="Z73" s="100" t="s">
        <v>565</v>
      </c>
      <c r="AA73" s="100" t="s">
        <v>565</v>
      </c>
      <c r="AB73" s="100" t="s">
        <v>565</v>
      </c>
      <c r="AC73" s="193" t="s">
        <v>449</v>
      </c>
      <c r="AD73" s="207"/>
      <c r="AE73" s="100"/>
      <c r="AF73" s="205"/>
      <c r="AG73" s="151"/>
      <c r="AH73" s="206"/>
      <c r="AI73" s="204"/>
      <c r="AJ73" s="152"/>
      <c r="AK73" s="204"/>
      <c r="AL73" s="204"/>
      <c r="AM73" s="204"/>
      <c r="AN73"/>
      <c r="AX73" s="16"/>
      <c r="AY73" s="16"/>
      <c r="AZ73" s="232" t="str">
        <f>IF($AX73="Yes",'8. Option Codes Decrypted'!$C$15,"")</f>
        <v/>
      </c>
      <c r="BA73" s="232" t="str">
        <f>IF($AX73="Yes",'8. Option Codes Decrypted'!$C$16,"")</f>
        <v/>
      </c>
      <c r="BB73" s="232" t="str">
        <f>IF($AX73="Yes",'8. Option Codes Decrypted'!$C$17,"")</f>
        <v/>
      </c>
      <c r="BC73" s="232" t="str">
        <f>IF($AX73="Yes",'8. Option Codes Decrypted'!$C$18,"")</f>
        <v/>
      </c>
      <c r="BD73" s="232" t="str">
        <f>IF($AY73="Yes",'8. Option Codes Decrypted'!$C$20,"")</f>
        <v/>
      </c>
      <c r="BE73" s="232" t="str">
        <f>IF($AY73="Yes",'8. Option Codes Decrypted'!$C$21,"")</f>
        <v/>
      </c>
      <c r="BF73" s="232" t="str">
        <f>IF($AY73="Yes",'8. Option Codes Decrypted'!$C$22,"")</f>
        <v/>
      </c>
      <c r="BG73" s="232" t="str">
        <f>IF($AY73="Yes",'8. Option Codes Decrypted'!$C$23,"")</f>
        <v/>
      </c>
    </row>
    <row r="74" spans="1:59" s="208" customFormat="1" x14ac:dyDescent="0.25">
      <c r="A74" s="232" t="str">
        <f t="shared" ref="A74:A137" si="25">IF(O74&lt;&gt;"",O74,"")</f>
        <v/>
      </c>
      <c r="B74" s="358" t="str">
        <f t="shared" ref="B74:B137" si="26">IF(AQ74&lt;&gt;"",AQ74,"")</f>
        <v/>
      </c>
      <c r="C74" s="358" t="str">
        <f t="shared" si="22"/>
        <v/>
      </c>
      <c r="D74" s="358"/>
      <c r="E74" s="358" t="str">
        <f t="shared" si="23"/>
        <v/>
      </c>
      <c r="F74" t="s">
        <v>563</v>
      </c>
      <c r="G74" s="204"/>
      <c r="H74" s="179"/>
      <c r="I74" s="100"/>
      <c r="J74" s="100" t="s">
        <v>564</v>
      </c>
      <c r="K74" s="100" t="s">
        <v>231</v>
      </c>
      <c r="L74" s="100" t="s">
        <v>566</v>
      </c>
      <c r="M74" s="18" t="s">
        <v>510</v>
      </c>
      <c r="N74" s="18"/>
      <c r="O74" s="290"/>
      <c r="P74" s="290"/>
      <c r="Q74" s="290"/>
      <c r="R74" s="286" t="str">
        <f t="shared" si="24"/>
        <v>. Oil Cooler, Engine</v>
      </c>
      <c r="S74" s="286"/>
      <c r="T74" s="18"/>
      <c r="U74" s="16"/>
      <c r="V74" s="18"/>
      <c r="W74" s="16"/>
      <c r="X74" s="16"/>
      <c r="Y74" s="16"/>
      <c r="Z74" s="100" t="s">
        <v>566</v>
      </c>
      <c r="AA74" s="100" t="s">
        <v>566</v>
      </c>
      <c r="AB74" s="100" t="s">
        <v>566</v>
      </c>
      <c r="AC74" s="193" t="s">
        <v>449</v>
      </c>
      <c r="AD74" s="100"/>
      <c r="AE74" s="153"/>
      <c r="AF74" s="205"/>
      <c r="AG74" s="151"/>
      <c r="AH74" s="206"/>
      <c r="AI74" s="204"/>
      <c r="AJ74" s="152"/>
      <c r="AK74" s="204"/>
      <c r="AL74" s="204"/>
      <c r="AM74" s="204"/>
      <c r="AO74" t="s">
        <v>411</v>
      </c>
      <c r="AX74" s="16"/>
      <c r="AY74" s="16"/>
      <c r="AZ74" s="232" t="str">
        <f>IF($AX74="Yes",'8. Option Codes Decrypted'!$C$15,"")</f>
        <v/>
      </c>
      <c r="BA74" s="232" t="str">
        <f>IF($AX74="Yes",'8. Option Codes Decrypted'!$C$16,"")</f>
        <v/>
      </c>
      <c r="BB74" s="232" t="str">
        <f>IF($AX74="Yes",'8. Option Codes Decrypted'!$C$17,"")</f>
        <v/>
      </c>
      <c r="BC74" s="232" t="str">
        <f>IF($AX74="Yes",'8. Option Codes Decrypted'!$C$18,"")</f>
        <v/>
      </c>
      <c r="BD74" s="232" t="str">
        <f>IF($AY74="Yes",'8. Option Codes Decrypted'!$C$20,"")</f>
        <v/>
      </c>
      <c r="BE74" s="232" t="str">
        <f>IF($AY74="Yes",'8. Option Codes Decrypted'!$C$21,"")</f>
        <v/>
      </c>
      <c r="BF74" s="232" t="str">
        <f>IF($AY74="Yes",'8. Option Codes Decrypted'!$C$22,"")</f>
        <v/>
      </c>
      <c r="BG74" s="232" t="str">
        <f>IF($AY74="Yes",'8. Option Codes Decrypted'!$C$23,"")</f>
        <v/>
      </c>
    </row>
    <row r="75" spans="1:59" x14ac:dyDescent="0.25">
      <c r="A75" s="232" t="str">
        <f t="shared" si="25"/>
        <v/>
      </c>
      <c r="B75" s="358" t="str">
        <f t="shared" si="26"/>
        <v/>
      </c>
      <c r="C75" s="358" t="str">
        <f t="shared" si="22"/>
        <v/>
      </c>
      <c r="D75" s="358"/>
      <c r="E75" s="358" t="str">
        <f t="shared" si="23"/>
        <v/>
      </c>
      <c r="F75" t="s">
        <v>563</v>
      </c>
      <c r="G75" s="204"/>
      <c r="H75" s="100"/>
      <c r="I75" s="100"/>
      <c r="J75" s="100" t="s">
        <v>564</v>
      </c>
      <c r="K75" s="100" t="s">
        <v>231</v>
      </c>
      <c r="L75" s="100" t="s">
        <v>567</v>
      </c>
      <c r="M75" s="16" t="s">
        <v>430</v>
      </c>
      <c r="N75" s="16"/>
      <c r="O75" s="191"/>
      <c r="P75" s="191"/>
      <c r="Q75" s="191"/>
      <c r="R75" s="286" t="str">
        <f t="shared" si="24"/>
        <v>. Vacuum Purge Solenoid Valve</v>
      </c>
      <c r="S75" s="286"/>
      <c r="T75" s="16"/>
      <c r="U75" s="16"/>
      <c r="V75" s="16"/>
      <c r="W75" s="16"/>
      <c r="X75" s="16"/>
      <c r="Y75" s="16"/>
      <c r="Z75" s="100" t="s">
        <v>567</v>
      </c>
      <c r="AA75" s="100" t="s">
        <v>567</v>
      </c>
      <c r="AB75" s="100" t="s">
        <v>567</v>
      </c>
      <c r="AC75" s="193" t="s">
        <v>449</v>
      </c>
      <c r="AD75" s="207"/>
      <c r="AE75" s="100"/>
      <c r="AF75" s="205"/>
      <c r="AG75" s="151"/>
      <c r="AH75" s="206"/>
      <c r="AI75" s="204"/>
      <c r="AJ75" s="152"/>
      <c r="AK75" s="204"/>
      <c r="AL75" s="204"/>
      <c r="AM75" s="204"/>
      <c r="AN75"/>
      <c r="AX75" s="16"/>
      <c r="AY75" s="16"/>
      <c r="AZ75" s="232" t="str">
        <f>IF($AX75="Yes",'8. Option Codes Decrypted'!$C$15,"")</f>
        <v/>
      </c>
      <c r="BA75" s="232" t="str">
        <f>IF($AX75="Yes",'8. Option Codes Decrypted'!$C$16,"")</f>
        <v/>
      </c>
      <c r="BB75" s="232" t="str">
        <f>IF($AX75="Yes",'8. Option Codes Decrypted'!$C$17,"")</f>
        <v/>
      </c>
      <c r="BC75" s="232" t="str">
        <f>IF($AX75="Yes",'8. Option Codes Decrypted'!$C$18,"")</f>
        <v/>
      </c>
      <c r="BD75" s="232" t="str">
        <f>IF($AY75="Yes",'8. Option Codes Decrypted'!$C$20,"")</f>
        <v/>
      </c>
      <c r="BE75" s="232" t="str">
        <f>IF($AY75="Yes",'8. Option Codes Decrypted'!$C$21,"")</f>
        <v/>
      </c>
      <c r="BF75" s="232" t="str">
        <f>IF($AY75="Yes",'8. Option Codes Decrypted'!$C$22,"")</f>
        <v/>
      </c>
      <c r="BG75" s="232" t="str">
        <f>IF($AY75="Yes",'8. Option Codes Decrypted'!$C$23,"")</f>
        <v/>
      </c>
    </row>
    <row r="76" spans="1:59" s="232" customFormat="1" x14ac:dyDescent="0.25">
      <c r="A76" s="232" t="str">
        <f t="shared" si="25"/>
        <v/>
      </c>
      <c r="B76" s="358" t="str">
        <f t="shared" si="26"/>
        <v>682-50388</v>
      </c>
      <c r="C76" s="358" t="str">
        <f t="shared" si="22"/>
        <v/>
      </c>
      <c r="D76" s="358"/>
      <c r="E76" s="358">
        <f t="shared" si="23"/>
        <v>1</v>
      </c>
      <c r="F76" s="232" t="s">
        <v>426</v>
      </c>
      <c r="G76" s="241">
        <v>44670</v>
      </c>
      <c r="H76" s="257"/>
      <c r="I76" s="250"/>
      <c r="J76" s="250" t="s">
        <v>427</v>
      </c>
      <c r="K76" s="250" t="s">
        <v>231</v>
      </c>
      <c r="L76" s="250" t="s">
        <v>568</v>
      </c>
      <c r="M76" s="235" t="s">
        <v>444</v>
      </c>
      <c r="N76" s="235"/>
      <c r="O76" s="284"/>
      <c r="P76" s="284"/>
      <c r="Q76" s="284"/>
      <c r="R76" s="286" t="str">
        <f t="shared" si="24"/>
        <v>. A/C Compressor</v>
      </c>
      <c r="S76" s="286"/>
      <c r="T76" s="235"/>
      <c r="U76" s="250"/>
      <c r="V76" s="235"/>
      <c r="W76" s="250"/>
      <c r="X76" s="250"/>
      <c r="Y76" s="250"/>
      <c r="Z76" s="250" t="s">
        <v>568</v>
      </c>
      <c r="AA76" s="250"/>
      <c r="AB76" s="250"/>
      <c r="AC76" s="244" t="s">
        <v>449</v>
      </c>
      <c r="AD76" s="250"/>
      <c r="AE76" s="259">
        <v>150</v>
      </c>
      <c r="AF76" s="252" t="s">
        <v>434</v>
      </c>
      <c r="AG76" s="247"/>
      <c r="AH76" s="248" t="s">
        <v>569</v>
      </c>
      <c r="AJ76" s="249"/>
      <c r="AK76" s="232" t="s">
        <v>570</v>
      </c>
      <c r="AN76" s="233" t="s">
        <v>571</v>
      </c>
      <c r="AO76" s="232" t="s">
        <v>411</v>
      </c>
      <c r="AP76" s="232">
        <v>50388</v>
      </c>
      <c r="AQ76" s="232" t="str">
        <f>CONCATENATE(AN76,AO76,AP76)</f>
        <v>682-50388</v>
      </c>
      <c r="AX76" s="250"/>
      <c r="AY76" s="250"/>
      <c r="AZ76" s="232" t="str">
        <f>IF($AX76="Yes",'8. Option Codes Decrypted'!$C$15,"")</f>
        <v/>
      </c>
      <c r="BA76" s="232" t="str">
        <f>IF($AX76="Yes",'8. Option Codes Decrypted'!$C$16,"")</f>
        <v/>
      </c>
      <c r="BB76" s="232" t="str">
        <f>IF($AX76="Yes",'8. Option Codes Decrypted'!$C$17,"")</f>
        <v/>
      </c>
      <c r="BC76" s="232" t="str">
        <f>IF($AX76="Yes",'8. Option Codes Decrypted'!$C$18,"")</f>
        <v/>
      </c>
      <c r="BD76" s="232" t="str">
        <f>IF($AY76="Yes",'8. Option Codes Decrypted'!$C$20,"")</f>
        <v/>
      </c>
      <c r="BE76" s="232" t="str">
        <f>IF($AY76="Yes",'8. Option Codes Decrypted'!$C$21,"")</f>
        <v/>
      </c>
      <c r="BF76" s="232" t="str">
        <f>IF($AY76="Yes",'8. Option Codes Decrypted'!$C$22,"")</f>
        <v/>
      </c>
      <c r="BG76" s="232" t="str">
        <f>IF($AY76="Yes",'8. Option Codes Decrypted'!$C$23,"")</f>
        <v/>
      </c>
    </row>
    <row r="77" spans="1:59" x14ac:dyDescent="0.25">
      <c r="A77" s="232" t="str">
        <f t="shared" si="25"/>
        <v/>
      </c>
      <c r="B77" s="358" t="str">
        <f t="shared" si="26"/>
        <v/>
      </c>
      <c r="C77" s="358" t="str">
        <f t="shared" si="22"/>
        <v/>
      </c>
      <c r="D77" s="358"/>
      <c r="E77" s="358" t="str">
        <f t="shared" si="23"/>
        <v/>
      </c>
      <c r="F77" t="s">
        <v>508</v>
      </c>
      <c r="G77" s="230">
        <v>45099</v>
      </c>
      <c r="H77" s="10"/>
      <c r="I77" s="10"/>
      <c r="J77" s="16" t="s">
        <v>427</v>
      </c>
      <c r="K77" s="16" t="s">
        <v>231</v>
      </c>
      <c r="L77" s="16" t="s">
        <v>572</v>
      </c>
      <c r="M77" s="16" t="s">
        <v>430</v>
      </c>
      <c r="N77" s="16"/>
      <c r="O77" s="191"/>
      <c r="P77" s="191"/>
      <c r="Q77" s="191"/>
      <c r="R77" s="286" t="str">
        <f t="shared" si="24"/>
        <v>. Air Induction Charge Pipe</v>
      </c>
      <c r="S77" s="286"/>
      <c r="T77" s="16"/>
      <c r="U77" s="16"/>
      <c r="V77" s="16"/>
      <c r="W77" s="16"/>
      <c r="X77" s="16"/>
      <c r="Y77" s="16"/>
      <c r="Z77" s="16" t="s">
        <v>572</v>
      </c>
      <c r="AA77" s="16" t="s">
        <v>572</v>
      </c>
      <c r="AB77" s="16" t="s">
        <v>572</v>
      </c>
      <c r="AC77" s="193" t="s">
        <v>449</v>
      </c>
      <c r="AD77" s="16">
        <v>8626487</v>
      </c>
      <c r="AE77" s="20">
        <v>105</v>
      </c>
      <c r="AF77" s="99" t="s">
        <v>434</v>
      </c>
      <c r="AH77" s="3" t="s">
        <v>573</v>
      </c>
      <c r="AJ77" s="69"/>
      <c r="AK77" t="s">
        <v>574</v>
      </c>
      <c r="AN77"/>
      <c r="AX77" s="16"/>
      <c r="AY77" s="16"/>
      <c r="AZ77" s="232" t="str">
        <f>IF($AX77="Yes",'8. Option Codes Decrypted'!$C$15,"")</f>
        <v/>
      </c>
      <c r="BA77" s="232" t="str">
        <f>IF($AX77="Yes",'8. Option Codes Decrypted'!$C$16,"")</f>
        <v/>
      </c>
      <c r="BB77" s="232" t="str">
        <f>IF($AX77="Yes",'8. Option Codes Decrypted'!$C$17,"")</f>
        <v/>
      </c>
      <c r="BC77" s="232" t="str">
        <f>IF($AX77="Yes",'8. Option Codes Decrypted'!$C$18,"")</f>
        <v/>
      </c>
      <c r="BD77" s="232" t="str">
        <f>IF($AY77="Yes",'8. Option Codes Decrypted'!$C$20,"")</f>
        <v/>
      </c>
      <c r="BE77" s="232" t="str">
        <f>IF($AY77="Yes",'8. Option Codes Decrypted'!$C$21,"")</f>
        <v/>
      </c>
      <c r="BF77" s="232" t="str">
        <f>IF($AY77="Yes",'8. Option Codes Decrypted'!$C$22,"")</f>
        <v/>
      </c>
      <c r="BG77" s="232" t="str">
        <f>IF($AY77="Yes",'8. Option Codes Decrypted'!$C$23,"")</f>
        <v/>
      </c>
    </row>
    <row r="78" spans="1:59" x14ac:dyDescent="0.25">
      <c r="A78" s="232" t="str">
        <f t="shared" si="25"/>
        <v/>
      </c>
      <c r="B78" s="358" t="str">
        <f t="shared" si="26"/>
        <v/>
      </c>
      <c r="C78" s="358" t="str">
        <f t="shared" si="22"/>
        <v/>
      </c>
      <c r="D78" s="358"/>
      <c r="E78" s="358" t="str">
        <f t="shared" si="23"/>
        <v/>
      </c>
      <c r="F78" t="s">
        <v>508</v>
      </c>
      <c r="G78" s="230">
        <v>45099</v>
      </c>
      <c r="H78" s="10"/>
      <c r="I78" s="10"/>
      <c r="J78" s="16" t="s">
        <v>427</v>
      </c>
      <c r="K78" s="16" t="s">
        <v>231</v>
      </c>
      <c r="L78" s="16" t="s">
        <v>575</v>
      </c>
      <c r="M78" s="16" t="s">
        <v>430</v>
      </c>
      <c r="N78" s="16"/>
      <c r="O78" s="191"/>
      <c r="P78" s="191"/>
      <c r="Q78" s="191"/>
      <c r="R78" s="286" t="str">
        <f t="shared" si="24"/>
        <v>. Air Intake Upper Duct Tube (2 Pieces Keep Together)</v>
      </c>
      <c r="S78" s="286"/>
      <c r="T78" s="16"/>
      <c r="U78" s="16"/>
      <c r="V78" s="16"/>
      <c r="W78" s="16"/>
      <c r="X78" s="16"/>
      <c r="Y78" s="16"/>
      <c r="Z78" s="16" t="s">
        <v>575</v>
      </c>
      <c r="AA78" s="16" t="s">
        <v>575</v>
      </c>
      <c r="AB78" s="16" t="s">
        <v>575</v>
      </c>
      <c r="AC78" s="193" t="s">
        <v>449</v>
      </c>
      <c r="AD78" s="16">
        <v>13717605585</v>
      </c>
      <c r="AE78" s="20">
        <v>125</v>
      </c>
      <c r="AF78" s="99" t="s">
        <v>434</v>
      </c>
      <c r="AH78" s="3" t="s">
        <v>573</v>
      </c>
      <c r="AJ78" s="69"/>
      <c r="AK78" t="s">
        <v>576</v>
      </c>
      <c r="AN78"/>
      <c r="AX78" s="16"/>
      <c r="AY78" s="16"/>
      <c r="AZ78" s="232" t="str">
        <f>IF($AX78="Yes",'8. Option Codes Decrypted'!$C$15,"")</f>
        <v/>
      </c>
      <c r="BA78" s="232" t="str">
        <f>IF($AX78="Yes",'8. Option Codes Decrypted'!$C$16,"")</f>
        <v/>
      </c>
      <c r="BB78" s="232" t="str">
        <f>IF($AX78="Yes",'8. Option Codes Decrypted'!$C$17,"")</f>
        <v/>
      </c>
      <c r="BC78" s="232" t="str">
        <f>IF($AX78="Yes",'8. Option Codes Decrypted'!$C$18,"")</f>
        <v/>
      </c>
      <c r="BD78" s="232" t="str">
        <f>IF($AY78="Yes",'8. Option Codes Decrypted'!$C$20,"")</f>
        <v/>
      </c>
      <c r="BE78" s="232" t="str">
        <f>IF($AY78="Yes",'8. Option Codes Decrypted'!$C$21,"")</f>
        <v/>
      </c>
      <c r="BF78" s="232" t="str">
        <f>IF($AY78="Yes",'8. Option Codes Decrypted'!$C$22,"")</f>
        <v/>
      </c>
      <c r="BG78" s="232" t="str">
        <f>IF($AY78="Yes",'8. Option Codes Decrypted'!$C$23,"")</f>
        <v/>
      </c>
    </row>
    <row r="79" spans="1:59" s="232" customFormat="1" x14ac:dyDescent="0.25">
      <c r="A79" s="232" t="str">
        <f t="shared" si="25"/>
        <v/>
      </c>
      <c r="B79" s="358" t="str">
        <f t="shared" si="26"/>
        <v>601-60994</v>
      </c>
      <c r="C79" s="358" t="str">
        <f t="shared" si="22"/>
        <v/>
      </c>
      <c r="D79" s="358"/>
      <c r="E79" s="358">
        <f t="shared" si="23"/>
        <v>1</v>
      </c>
      <c r="F79" s="232" t="s">
        <v>426</v>
      </c>
      <c r="G79" s="241">
        <v>44670</v>
      </c>
      <c r="H79" s="257"/>
      <c r="I79" s="250"/>
      <c r="J79" s="250" t="s">
        <v>427</v>
      </c>
      <c r="K79" s="250" t="s">
        <v>231</v>
      </c>
      <c r="L79" s="250" t="s">
        <v>577</v>
      </c>
      <c r="M79" s="235" t="s">
        <v>444</v>
      </c>
      <c r="N79" s="235"/>
      <c r="O79" s="284"/>
      <c r="P79" s="284"/>
      <c r="Q79" s="284"/>
      <c r="R79" s="286" t="str">
        <f t="shared" si="24"/>
        <v>. Alternator</v>
      </c>
      <c r="S79" s="286"/>
      <c r="T79" s="235"/>
      <c r="U79" s="250"/>
      <c r="V79" s="235"/>
      <c r="W79" s="250"/>
      <c r="X79" s="250"/>
      <c r="Y79" s="250"/>
      <c r="Z79" s="250" t="s">
        <v>577</v>
      </c>
      <c r="AA79" s="250"/>
      <c r="AB79" s="250"/>
      <c r="AC79" s="244" t="s">
        <v>449</v>
      </c>
      <c r="AD79" s="250"/>
      <c r="AE79" s="250">
        <v>100</v>
      </c>
      <c r="AF79" s="252" t="s">
        <v>434</v>
      </c>
      <c r="AG79" s="247"/>
      <c r="AH79" s="248" t="s">
        <v>569</v>
      </c>
      <c r="AJ79" s="249"/>
      <c r="AK79" s="232" t="s">
        <v>578</v>
      </c>
      <c r="AN79" s="233" t="s">
        <v>579</v>
      </c>
      <c r="AO79" s="232" t="s">
        <v>411</v>
      </c>
      <c r="AP79" s="232">
        <v>60994</v>
      </c>
      <c r="AQ79" s="232" t="str">
        <f>CONCATENATE(AN79,AO79,AP79)</f>
        <v>601-60994</v>
      </c>
      <c r="AX79" s="250"/>
      <c r="AY79" s="250"/>
      <c r="AZ79" s="232" t="str">
        <f>IF($AX79="Yes",'8. Option Codes Decrypted'!$C$15,"")</f>
        <v/>
      </c>
      <c r="BA79" s="232" t="str">
        <f>IF($AX79="Yes",'8. Option Codes Decrypted'!$C$16,"")</f>
        <v/>
      </c>
      <c r="BB79" s="232" t="str">
        <f>IF($AX79="Yes",'8. Option Codes Decrypted'!$C$17,"")</f>
        <v/>
      </c>
      <c r="BC79" s="232" t="str">
        <f>IF($AX79="Yes",'8. Option Codes Decrypted'!$C$18,"")</f>
        <v/>
      </c>
      <c r="BD79" s="232" t="str">
        <f>IF($AY79="Yes",'8. Option Codes Decrypted'!$C$20,"")</f>
        <v/>
      </c>
      <c r="BE79" s="232" t="str">
        <f>IF($AY79="Yes",'8. Option Codes Decrypted'!$C$21,"")</f>
        <v/>
      </c>
      <c r="BF79" s="232" t="str">
        <f>IF($AY79="Yes",'8. Option Codes Decrypted'!$C$22,"")</f>
        <v/>
      </c>
      <c r="BG79" s="232" t="str">
        <f>IF($AY79="Yes",'8. Option Codes Decrypted'!$C$23,"")</f>
        <v/>
      </c>
    </row>
    <row r="80" spans="1:59" x14ac:dyDescent="0.25">
      <c r="A80" s="232" t="str">
        <f t="shared" si="25"/>
        <v/>
      </c>
      <c r="B80" s="358" t="str">
        <f t="shared" si="26"/>
        <v/>
      </c>
      <c r="C80" s="358" t="str">
        <f t="shared" si="22"/>
        <v/>
      </c>
      <c r="D80" s="358"/>
      <c r="E80" s="358" t="str">
        <f t="shared" si="23"/>
        <v/>
      </c>
      <c r="F80" t="s">
        <v>515</v>
      </c>
      <c r="G80" s="230">
        <v>45091</v>
      </c>
      <c r="H80" s="19" t="s">
        <v>580</v>
      </c>
      <c r="I80" s="101"/>
      <c r="J80" s="101" t="s">
        <v>427</v>
      </c>
      <c r="K80" s="101" t="s">
        <v>231</v>
      </c>
      <c r="L80" s="101" t="s">
        <v>581</v>
      </c>
      <c r="M80" s="188" t="s">
        <v>444</v>
      </c>
      <c r="N80" s="188"/>
      <c r="O80" s="289"/>
      <c r="P80" s="289"/>
      <c r="Q80" s="289"/>
      <c r="R80" s="286" t="str">
        <f t="shared" si="24"/>
        <v>. Camshaft, Eccentric (Leave On Head Unless Parting Out)</v>
      </c>
      <c r="S80" s="286"/>
      <c r="T80" s="188"/>
      <c r="U80" s="16"/>
      <c r="V80" s="188"/>
      <c r="W80" s="16"/>
      <c r="X80" s="16"/>
      <c r="Y80" s="16"/>
      <c r="Z80" s="101" t="s">
        <v>581</v>
      </c>
      <c r="AA80" s="101" t="s">
        <v>581</v>
      </c>
      <c r="AB80" s="101" t="s">
        <v>581</v>
      </c>
      <c r="AC80" s="193" t="s">
        <v>449</v>
      </c>
      <c r="AD80" s="101"/>
      <c r="AE80" s="102">
        <v>175</v>
      </c>
      <c r="AF80" s="99" t="s">
        <v>434</v>
      </c>
      <c r="AG80" s="156"/>
      <c r="AH80" s="215" t="s">
        <v>582</v>
      </c>
      <c r="AI80" s="216"/>
      <c r="AJ80" s="69"/>
      <c r="AK80" t="s">
        <v>583</v>
      </c>
      <c r="AO80" t="s">
        <v>411</v>
      </c>
      <c r="AX80" s="16"/>
      <c r="AY80" s="16"/>
      <c r="AZ80" s="232" t="str">
        <f>IF($AX80="Yes",'8. Option Codes Decrypted'!$C$15,"")</f>
        <v/>
      </c>
      <c r="BA80" s="232" t="str">
        <f>IF($AX80="Yes",'8. Option Codes Decrypted'!$C$16,"")</f>
        <v/>
      </c>
      <c r="BB80" s="232" t="str">
        <f>IF($AX80="Yes",'8. Option Codes Decrypted'!$C$17,"")</f>
        <v/>
      </c>
      <c r="BC80" s="232" t="str">
        <f>IF($AX80="Yes",'8. Option Codes Decrypted'!$C$18,"")</f>
        <v/>
      </c>
      <c r="BD80" s="232" t="str">
        <f>IF($AY80="Yes",'8. Option Codes Decrypted'!$C$20,"")</f>
        <v/>
      </c>
      <c r="BE80" s="232" t="str">
        <f>IF($AY80="Yes",'8. Option Codes Decrypted'!$C$21,"")</f>
        <v/>
      </c>
      <c r="BF80" s="232" t="str">
        <f>IF($AY80="Yes",'8. Option Codes Decrypted'!$C$22,"")</f>
        <v/>
      </c>
      <c r="BG80" s="232" t="str">
        <f>IF($AY80="Yes",'8. Option Codes Decrypted'!$C$23,"")</f>
        <v/>
      </c>
    </row>
    <row r="81" spans="1:59" x14ac:dyDescent="0.25">
      <c r="A81" s="232" t="str">
        <f t="shared" si="25"/>
        <v/>
      </c>
      <c r="B81" s="358" t="str">
        <f t="shared" si="26"/>
        <v/>
      </c>
      <c r="C81" s="358" t="str">
        <f t="shared" si="22"/>
        <v/>
      </c>
      <c r="D81" s="358"/>
      <c r="E81" s="358" t="str">
        <f t="shared" si="23"/>
        <v/>
      </c>
      <c r="F81" t="s">
        <v>515</v>
      </c>
      <c r="G81" s="230">
        <v>45091</v>
      </c>
      <c r="H81" s="19" t="s">
        <v>580</v>
      </c>
      <c r="I81" s="101"/>
      <c r="J81" s="101" t="s">
        <v>427</v>
      </c>
      <c r="K81" s="101" t="s">
        <v>231</v>
      </c>
      <c r="L81" s="101" t="s">
        <v>584</v>
      </c>
      <c r="M81" s="188" t="s">
        <v>444</v>
      </c>
      <c r="N81" s="188"/>
      <c r="O81" s="289"/>
      <c r="P81" s="289"/>
      <c r="Q81" s="289"/>
      <c r="R81" s="286" t="str">
        <f t="shared" si="24"/>
        <v>. Camshaft, Exhaust (Leave On Head Unless Parting Out)</v>
      </c>
      <c r="S81" s="286"/>
      <c r="T81" s="188"/>
      <c r="U81" s="16"/>
      <c r="V81" s="188"/>
      <c r="W81" s="16"/>
      <c r="X81" s="16"/>
      <c r="Y81" s="16"/>
      <c r="Z81" s="101" t="s">
        <v>584</v>
      </c>
      <c r="AA81" s="101" t="s">
        <v>584</v>
      </c>
      <c r="AB81" s="101" t="s">
        <v>584</v>
      </c>
      <c r="AC81" s="193" t="s">
        <v>449</v>
      </c>
      <c r="AD81" s="101"/>
      <c r="AE81" s="102">
        <v>240</v>
      </c>
      <c r="AF81" s="99" t="s">
        <v>434</v>
      </c>
      <c r="AG81" s="156"/>
      <c r="AH81" s="215" t="s">
        <v>582</v>
      </c>
      <c r="AI81" s="216"/>
      <c r="AJ81" s="69"/>
      <c r="AK81" t="s">
        <v>585</v>
      </c>
      <c r="AO81" t="s">
        <v>411</v>
      </c>
      <c r="AX81" s="16"/>
      <c r="AY81" s="16"/>
      <c r="AZ81" s="232" t="str">
        <f>IF($AX81="Yes",'8. Option Codes Decrypted'!$C$15,"")</f>
        <v/>
      </c>
      <c r="BA81" s="232" t="str">
        <f>IF($AX81="Yes",'8. Option Codes Decrypted'!$C$16,"")</f>
        <v/>
      </c>
      <c r="BB81" s="232" t="str">
        <f>IF($AX81="Yes",'8. Option Codes Decrypted'!$C$17,"")</f>
        <v/>
      </c>
      <c r="BC81" s="232" t="str">
        <f>IF($AX81="Yes",'8. Option Codes Decrypted'!$C$18,"")</f>
        <v/>
      </c>
      <c r="BD81" s="232" t="str">
        <f>IF($AY81="Yes",'8. Option Codes Decrypted'!$C$20,"")</f>
        <v/>
      </c>
      <c r="BE81" s="232" t="str">
        <f>IF($AY81="Yes",'8. Option Codes Decrypted'!$C$21,"")</f>
        <v/>
      </c>
      <c r="BF81" s="232" t="str">
        <f>IF($AY81="Yes",'8. Option Codes Decrypted'!$C$22,"")</f>
        <v/>
      </c>
      <c r="BG81" s="232" t="str">
        <f>IF($AY81="Yes",'8. Option Codes Decrypted'!$C$23,"")</f>
        <v/>
      </c>
    </row>
    <row r="82" spans="1:59" x14ac:dyDescent="0.25">
      <c r="A82" s="232" t="str">
        <f t="shared" si="25"/>
        <v/>
      </c>
      <c r="B82" s="358" t="str">
        <f t="shared" si="26"/>
        <v/>
      </c>
      <c r="C82" s="358" t="str">
        <f t="shared" si="22"/>
        <v/>
      </c>
      <c r="D82" s="358"/>
      <c r="E82" s="358" t="str">
        <f t="shared" si="23"/>
        <v/>
      </c>
      <c r="F82" t="s">
        <v>515</v>
      </c>
      <c r="G82" s="230">
        <v>45091</v>
      </c>
      <c r="H82" s="19" t="s">
        <v>580</v>
      </c>
      <c r="I82" s="101"/>
      <c r="J82" s="101" t="s">
        <v>427</v>
      </c>
      <c r="K82" s="101" t="s">
        <v>231</v>
      </c>
      <c r="L82" s="101" t="s">
        <v>586</v>
      </c>
      <c r="M82" s="188" t="s">
        <v>444</v>
      </c>
      <c r="N82" s="188"/>
      <c r="O82" s="289"/>
      <c r="P82" s="289"/>
      <c r="Q82" s="289"/>
      <c r="R82" s="286" t="str">
        <f t="shared" si="24"/>
        <v>. Camshaft, Intake (Leave On Head Unless Parting Out)</v>
      </c>
      <c r="S82" s="286"/>
      <c r="T82" s="188"/>
      <c r="U82" s="16"/>
      <c r="V82" s="188"/>
      <c r="W82" s="16"/>
      <c r="X82" s="16"/>
      <c r="Y82" s="16"/>
      <c r="Z82" s="101" t="s">
        <v>586</v>
      </c>
      <c r="AA82" s="101" t="s">
        <v>586</v>
      </c>
      <c r="AB82" s="101" t="s">
        <v>586</v>
      </c>
      <c r="AC82" s="193" t="s">
        <v>449</v>
      </c>
      <c r="AD82" s="101"/>
      <c r="AE82" s="102">
        <v>400</v>
      </c>
      <c r="AF82" s="99" t="s">
        <v>434</v>
      </c>
      <c r="AG82" s="156"/>
      <c r="AH82" s="215" t="s">
        <v>582</v>
      </c>
      <c r="AI82" s="216"/>
      <c r="AJ82" s="69"/>
      <c r="AK82" t="s">
        <v>587</v>
      </c>
      <c r="AO82" t="s">
        <v>411</v>
      </c>
      <c r="AX82" s="16"/>
      <c r="AY82" s="16"/>
      <c r="AZ82" s="232" t="str">
        <f>IF($AX82="Yes",'8. Option Codes Decrypted'!$C$15,"")</f>
        <v/>
      </c>
      <c r="BA82" s="232" t="str">
        <f>IF($AX82="Yes",'8. Option Codes Decrypted'!$C$16,"")</f>
        <v/>
      </c>
      <c r="BB82" s="232" t="str">
        <f>IF($AX82="Yes",'8. Option Codes Decrypted'!$C$17,"")</f>
        <v/>
      </c>
      <c r="BC82" s="232" t="str">
        <f>IF($AX82="Yes",'8. Option Codes Decrypted'!$C$18,"")</f>
        <v/>
      </c>
      <c r="BD82" s="232" t="str">
        <f>IF($AY82="Yes",'8. Option Codes Decrypted'!$C$20,"")</f>
        <v/>
      </c>
      <c r="BE82" s="232" t="str">
        <f>IF($AY82="Yes",'8. Option Codes Decrypted'!$C$21,"")</f>
        <v/>
      </c>
      <c r="BF82" s="232" t="str">
        <f>IF($AY82="Yes",'8. Option Codes Decrypted'!$C$22,"")</f>
        <v/>
      </c>
      <c r="BG82" s="232" t="str">
        <f>IF($AY82="Yes",'8. Option Codes Decrypted'!$C$23,"")</f>
        <v/>
      </c>
    </row>
    <row r="83" spans="1:59" x14ac:dyDescent="0.25">
      <c r="A83" s="232" t="str">
        <f t="shared" si="25"/>
        <v/>
      </c>
      <c r="B83" s="358" t="str">
        <f t="shared" si="26"/>
        <v/>
      </c>
      <c r="C83" s="358" t="str">
        <f t="shared" si="22"/>
        <v/>
      </c>
      <c r="D83" s="358"/>
      <c r="E83" s="358" t="str">
        <f t="shared" si="23"/>
        <v/>
      </c>
      <c r="F83" t="s">
        <v>426</v>
      </c>
      <c r="G83" s="230">
        <v>44670</v>
      </c>
      <c r="H83" s="19" t="s">
        <v>580</v>
      </c>
      <c r="I83" s="101"/>
      <c r="J83" s="101" t="s">
        <v>427</v>
      </c>
      <c r="K83" s="101" t="s">
        <v>231</v>
      </c>
      <c r="L83" s="101" t="s">
        <v>588</v>
      </c>
      <c r="M83" s="16" t="s">
        <v>430</v>
      </c>
      <c r="N83" s="16"/>
      <c r="O83" s="191"/>
      <c r="P83" s="191"/>
      <c r="Q83" s="191"/>
      <c r="R83" s="286" t="str">
        <f t="shared" si="24"/>
        <v>. Crank Shaft</v>
      </c>
      <c r="S83" s="286"/>
      <c r="T83" s="16"/>
      <c r="U83" s="16"/>
      <c r="V83" s="16"/>
      <c r="W83" s="16"/>
      <c r="X83" s="16"/>
      <c r="Y83" s="16"/>
      <c r="Z83" s="101" t="s">
        <v>588</v>
      </c>
      <c r="AA83" s="101" t="s">
        <v>588</v>
      </c>
      <c r="AB83" s="101" t="s">
        <v>588</v>
      </c>
      <c r="AC83" s="193" t="s">
        <v>449</v>
      </c>
      <c r="AD83" s="180"/>
      <c r="AE83" s="103">
        <v>1600</v>
      </c>
      <c r="AF83" s="99" t="s">
        <v>434</v>
      </c>
      <c r="AH83" s="3" t="s">
        <v>569</v>
      </c>
      <c r="AI83" s="156" t="s">
        <v>580</v>
      </c>
      <c r="AJ83" s="69"/>
      <c r="AK83" t="s">
        <v>589</v>
      </c>
      <c r="AN83"/>
      <c r="AX83" s="16"/>
      <c r="AY83" s="16"/>
      <c r="AZ83" s="232" t="str">
        <f>IF($AX83="Yes",'8. Option Codes Decrypted'!$C$15,"")</f>
        <v/>
      </c>
      <c r="BA83" s="232" t="str">
        <f>IF($AX83="Yes",'8. Option Codes Decrypted'!$C$16,"")</f>
        <v/>
      </c>
      <c r="BB83" s="232" t="str">
        <f>IF($AX83="Yes",'8. Option Codes Decrypted'!$C$17,"")</f>
        <v/>
      </c>
      <c r="BC83" s="232" t="str">
        <f>IF($AX83="Yes",'8. Option Codes Decrypted'!$C$18,"")</f>
        <v/>
      </c>
      <c r="BD83" s="232" t="str">
        <f>IF($AY83="Yes",'8. Option Codes Decrypted'!$C$20,"")</f>
        <v/>
      </c>
      <c r="BE83" s="232" t="str">
        <f>IF($AY83="Yes",'8. Option Codes Decrypted'!$C$21,"")</f>
        <v/>
      </c>
      <c r="BF83" s="232" t="str">
        <f>IF($AY83="Yes",'8. Option Codes Decrypted'!$C$22,"")</f>
        <v/>
      </c>
      <c r="BG83" s="232" t="str">
        <f>IF($AY83="Yes",'8. Option Codes Decrypted'!$C$23,"")</f>
        <v/>
      </c>
    </row>
    <row r="84" spans="1:59" s="232" customFormat="1" ht="15.75" thickBot="1" x14ac:dyDescent="0.3">
      <c r="A84" s="232" t="str">
        <f t="shared" si="25"/>
        <v/>
      </c>
      <c r="B84" s="358" t="str">
        <f t="shared" si="26"/>
        <v>306-50551</v>
      </c>
      <c r="C84" s="358" t="str">
        <f t="shared" si="22"/>
        <v/>
      </c>
      <c r="D84" s="358"/>
      <c r="E84" s="358">
        <f t="shared" si="23"/>
        <v>1</v>
      </c>
      <c r="F84" s="232" t="s">
        <v>426</v>
      </c>
      <c r="G84" s="241">
        <v>44670</v>
      </c>
      <c r="H84" s="257" t="s">
        <v>580</v>
      </c>
      <c r="I84" s="260"/>
      <c r="J84" s="260" t="s">
        <v>427</v>
      </c>
      <c r="K84" s="260" t="s">
        <v>231</v>
      </c>
      <c r="L84" s="260" t="s">
        <v>590</v>
      </c>
      <c r="M84" s="235" t="s">
        <v>444</v>
      </c>
      <c r="N84" s="235"/>
      <c r="O84" s="284"/>
      <c r="P84" s="284"/>
      <c r="Q84" s="284"/>
      <c r="R84" s="286" t="str">
        <f t="shared" si="24"/>
        <v>. Cylinder Head</v>
      </c>
      <c r="S84" s="286"/>
      <c r="T84" s="235"/>
      <c r="U84" s="250"/>
      <c r="V84" s="235"/>
      <c r="W84" s="250"/>
      <c r="X84" s="250"/>
      <c r="Y84" s="250"/>
      <c r="Z84" s="260" t="s">
        <v>590</v>
      </c>
      <c r="AA84" s="260"/>
      <c r="AB84" s="260"/>
      <c r="AC84" s="244" t="s">
        <v>449</v>
      </c>
      <c r="AD84" s="260"/>
      <c r="AE84" s="261">
        <v>1250</v>
      </c>
      <c r="AF84" s="252" t="s">
        <v>434</v>
      </c>
      <c r="AG84" s="247"/>
      <c r="AH84" s="248" t="s">
        <v>569</v>
      </c>
      <c r="AI84" s="258" t="s">
        <v>580</v>
      </c>
      <c r="AJ84" s="249"/>
      <c r="AK84" s="232" t="s">
        <v>591</v>
      </c>
      <c r="AL84" s="232" t="s">
        <v>592</v>
      </c>
      <c r="AN84" s="233" t="s">
        <v>593</v>
      </c>
      <c r="AO84" s="232" t="s">
        <v>411</v>
      </c>
      <c r="AP84" s="232">
        <v>50551</v>
      </c>
      <c r="AQ84" s="232" t="str">
        <f>CONCATENATE(AN84,AO84,AP84)</f>
        <v>306-50551</v>
      </c>
      <c r="AX84" s="250"/>
      <c r="AY84" s="250"/>
      <c r="AZ84" s="232" t="str">
        <f>IF($AX84="Yes",'8. Option Codes Decrypted'!$C$15,"")</f>
        <v/>
      </c>
      <c r="BA84" s="232" t="str">
        <f>IF($AX84="Yes",'8. Option Codes Decrypted'!$C$16,"")</f>
        <v/>
      </c>
      <c r="BB84" s="232" t="str">
        <f>IF($AX84="Yes",'8. Option Codes Decrypted'!$C$17,"")</f>
        <v/>
      </c>
      <c r="BC84" s="232" t="str">
        <f>IF($AX84="Yes",'8. Option Codes Decrypted'!$C$18,"")</f>
        <v/>
      </c>
      <c r="BD84" s="232" t="str">
        <f>IF($AY84="Yes",'8. Option Codes Decrypted'!$C$20,"")</f>
        <v/>
      </c>
      <c r="BE84" s="232" t="str">
        <f>IF($AY84="Yes",'8. Option Codes Decrypted'!$C$21,"")</f>
        <v/>
      </c>
      <c r="BF84" s="232" t="str">
        <f>IF($AY84="Yes",'8. Option Codes Decrypted'!$C$22,"")</f>
        <v/>
      </c>
      <c r="BG84" s="232" t="str">
        <f>IF($AY84="Yes",'8. Option Codes Decrypted'!$C$23,"")</f>
        <v/>
      </c>
    </row>
    <row r="85" spans="1:59" s="232" customFormat="1" ht="15.75" thickBot="1" x14ac:dyDescent="0.3">
      <c r="A85" s="232" t="str">
        <f t="shared" si="25"/>
        <v>A109</v>
      </c>
      <c r="B85" s="358" t="str">
        <f t="shared" si="26"/>
        <v>300-70932</v>
      </c>
      <c r="C85" s="358" t="s">
        <v>594</v>
      </c>
      <c r="D85" s="358"/>
      <c r="E85" s="358">
        <f t="shared" si="23"/>
        <v>3</v>
      </c>
      <c r="F85" s="232" t="s">
        <v>426</v>
      </c>
      <c r="G85" s="241">
        <v>45084</v>
      </c>
      <c r="H85" s="257" t="s">
        <v>580</v>
      </c>
      <c r="I85" s="260" t="s">
        <v>595</v>
      </c>
      <c r="J85" s="260" t="s">
        <v>427</v>
      </c>
      <c r="K85" s="260" t="s">
        <v>231</v>
      </c>
      <c r="L85" s="260" t="s">
        <v>596</v>
      </c>
      <c r="M85" s="235" t="s">
        <v>444</v>
      </c>
      <c r="N85" s="235">
        <v>99</v>
      </c>
      <c r="O85" s="284" t="s">
        <v>353</v>
      </c>
      <c r="P85" s="284" t="s">
        <v>231</v>
      </c>
      <c r="Q85" s="284">
        <v>1</v>
      </c>
      <c r="R85" s="286" t="str">
        <f t="shared" si="24"/>
        <v>A109. Engine Assembly as FULL ASSEMBLY</v>
      </c>
      <c r="S85" s="365" t="str">
        <f>HYPERLINK(VLOOKUP(O85,'3D. Pictures'!$B$3:$E$500,4,FALSE),"PIC")</f>
        <v>PIC</v>
      </c>
      <c r="T85" s="235">
        <v>14</v>
      </c>
      <c r="U85" s="250" t="s">
        <v>597</v>
      </c>
      <c r="V85" s="235" t="s">
        <v>80</v>
      </c>
      <c r="W85" s="250"/>
      <c r="X85" s="250"/>
      <c r="Y85" s="250"/>
      <c r="Z85" s="260" t="s">
        <v>598</v>
      </c>
      <c r="AA85" s="260" t="s">
        <v>599</v>
      </c>
      <c r="AB85" s="260"/>
      <c r="AC85" s="244" t="s">
        <v>449</v>
      </c>
      <c r="AD85" s="260"/>
      <c r="AE85" s="260">
        <v>6000</v>
      </c>
      <c r="AF85" s="262" t="s">
        <v>600</v>
      </c>
      <c r="AG85" s="247"/>
      <c r="AH85" s="248" t="s">
        <v>569</v>
      </c>
      <c r="AI85" s="258" t="s">
        <v>580</v>
      </c>
      <c r="AJ85" s="249"/>
      <c r="AK85" s="232" t="s">
        <v>601</v>
      </c>
      <c r="AL85" s="232" t="s">
        <v>602</v>
      </c>
      <c r="AN85" s="233" t="s">
        <v>603</v>
      </c>
      <c r="AO85" s="232" t="s">
        <v>411</v>
      </c>
      <c r="AP85" s="232">
        <v>70932</v>
      </c>
      <c r="AQ85" s="232" t="str">
        <f>CONCATENATE(AN85,AO85,AP85)</f>
        <v>300-70932</v>
      </c>
      <c r="AX85" s="250"/>
      <c r="AY85" s="250"/>
      <c r="AZ85" s="232" t="str">
        <f>IF($AX85="Yes",'8. Option Codes Decrypted'!$C$15,"")</f>
        <v/>
      </c>
      <c r="BA85" s="232" t="str">
        <f>IF($AX85="Yes",'8. Option Codes Decrypted'!$C$16,"")</f>
        <v/>
      </c>
      <c r="BB85" s="232" t="str">
        <f>IF($AX85="Yes",'8. Option Codes Decrypted'!$C$17,"")</f>
        <v/>
      </c>
      <c r="BC85" s="232" t="str">
        <f>IF($AX85="Yes",'8. Option Codes Decrypted'!$C$18,"")</f>
        <v/>
      </c>
      <c r="BD85" s="232" t="str">
        <f>IF($AY85="Yes",'8. Option Codes Decrypted'!$C$20,"")</f>
        <v/>
      </c>
      <c r="BE85" s="232" t="str">
        <f>IF($AY85="Yes",'8. Option Codes Decrypted'!$C$21,"")</f>
        <v/>
      </c>
      <c r="BF85" s="232" t="str">
        <f>IF($AY85="Yes",'8. Option Codes Decrypted'!$C$22,"")</f>
        <v/>
      </c>
      <c r="BG85" s="232" t="str">
        <f>IF($AY85="Yes",'8. Option Codes Decrypted'!$C$23,"")</f>
        <v/>
      </c>
    </row>
    <row r="86" spans="1:59" s="232" customFormat="1" x14ac:dyDescent="0.25">
      <c r="A86" s="232" t="str">
        <f t="shared" si="25"/>
        <v/>
      </c>
      <c r="B86" s="358" t="str">
        <f t="shared" si="26"/>
        <v>300-70932</v>
      </c>
      <c r="C86" s="358" t="s">
        <v>604</v>
      </c>
      <c r="D86" s="358"/>
      <c r="E86" s="358">
        <f t="shared" si="23"/>
        <v>3</v>
      </c>
      <c r="F86" s="232" t="s">
        <v>426</v>
      </c>
      <c r="G86" s="241">
        <v>45084</v>
      </c>
      <c r="H86" s="257" t="s">
        <v>580</v>
      </c>
      <c r="I86" s="260" t="s">
        <v>595</v>
      </c>
      <c r="J86" s="260" t="s">
        <v>427</v>
      </c>
      <c r="K86" s="260" t="s">
        <v>231</v>
      </c>
      <c r="L86" s="260" t="s">
        <v>596</v>
      </c>
      <c r="M86" s="235" t="s">
        <v>444</v>
      </c>
      <c r="N86" s="235"/>
      <c r="O86" s="284"/>
      <c r="P86" s="284"/>
      <c r="Q86" s="284"/>
      <c r="R86" s="286" t="str">
        <f t="shared" si="24"/>
        <v>. Engine Assembly as FULL ASSEMBLY WITHOUT TURBOS</v>
      </c>
      <c r="S86" s="286"/>
      <c r="T86" s="235"/>
      <c r="U86" s="250"/>
      <c r="V86" s="235"/>
      <c r="W86" s="250"/>
      <c r="X86" s="250"/>
      <c r="Y86" s="250"/>
      <c r="Z86" s="260" t="s">
        <v>605</v>
      </c>
      <c r="AA86" s="260" t="s">
        <v>599</v>
      </c>
      <c r="AB86" s="260"/>
      <c r="AC86" s="244" t="s">
        <v>449</v>
      </c>
      <c r="AD86" s="260"/>
      <c r="AE86" s="260">
        <v>5500</v>
      </c>
      <c r="AF86" s="262" t="s">
        <v>600</v>
      </c>
      <c r="AG86" s="247"/>
      <c r="AH86" s="248" t="s">
        <v>569</v>
      </c>
      <c r="AI86" s="258" t="s">
        <v>580</v>
      </c>
      <c r="AJ86" s="249"/>
      <c r="AK86" s="232" t="s">
        <v>601</v>
      </c>
      <c r="AL86" s="232" t="s">
        <v>602</v>
      </c>
      <c r="AN86" s="233" t="s">
        <v>603</v>
      </c>
      <c r="AO86" s="232" t="s">
        <v>411</v>
      </c>
      <c r="AP86" s="232">
        <v>70932</v>
      </c>
      <c r="AQ86" s="232" t="str">
        <f>CONCATENATE(AN86,AO86,AP86)</f>
        <v>300-70932</v>
      </c>
      <c r="AX86" s="250"/>
      <c r="AY86" s="250"/>
      <c r="AZ86" s="232" t="str">
        <f>IF($AX86="Yes",'8. Option Codes Decrypted'!$C$15,"")</f>
        <v/>
      </c>
      <c r="BA86" s="232" t="str">
        <f>IF($AX86="Yes",'8. Option Codes Decrypted'!$C$16,"")</f>
        <v/>
      </c>
      <c r="BB86" s="232" t="str">
        <f>IF($AX86="Yes",'8. Option Codes Decrypted'!$C$17,"")</f>
        <v/>
      </c>
      <c r="BC86" s="232" t="str">
        <f>IF($AX86="Yes",'8. Option Codes Decrypted'!$C$18,"")</f>
        <v/>
      </c>
      <c r="BD86" s="232" t="str">
        <f>IF($AY86="Yes",'8. Option Codes Decrypted'!$C$20,"")</f>
        <v/>
      </c>
      <c r="BE86" s="232" t="str">
        <f>IF($AY86="Yes",'8. Option Codes Decrypted'!$C$21,"")</f>
        <v/>
      </c>
      <c r="BF86" s="232" t="str">
        <f>IF($AY86="Yes",'8. Option Codes Decrypted'!$C$22,"")</f>
        <v/>
      </c>
      <c r="BG86" s="232" t="str">
        <f>IF($AY86="Yes",'8. Option Codes Decrypted'!$C$23,"")</f>
        <v/>
      </c>
    </row>
    <row r="87" spans="1:59" s="232" customFormat="1" x14ac:dyDescent="0.25">
      <c r="A87" s="232" t="str">
        <f t="shared" si="25"/>
        <v/>
      </c>
      <c r="B87" s="358" t="str">
        <f t="shared" si="26"/>
        <v>300-70932</v>
      </c>
      <c r="C87" s="358" t="s">
        <v>606</v>
      </c>
      <c r="D87" s="358"/>
      <c r="E87" s="358">
        <f t="shared" si="23"/>
        <v>3</v>
      </c>
      <c r="F87" s="232" t="s">
        <v>426</v>
      </c>
      <c r="G87" s="241">
        <v>45084</v>
      </c>
      <c r="H87" s="257" t="s">
        <v>580</v>
      </c>
      <c r="I87" s="260" t="s">
        <v>595</v>
      </c>
      <c r="J87" s="260" t="s">
        <v>427</v>
      </c>
      <c r="K87" s="260" t="s">
        <v>231</v>
      </c>
      <c r="L87" s="260" t="s">
        <v>596</v>
      </c>
      <c r="M87" s="235" t="s">
        <v>444</v>
      </c>
      <c r="N87" s="235"/>
      <c r="O87" s="284"/>
      <c r="P87" s="284"/>
      <c r="Q87" s="284"/>
      <c r="R87" s="286" t="str">
        <f t="shared" si="24"/>
        <v>. Engine Assembly as LONG BLOCK</v>
      </c>
      <c r="S87" s="286"/>
      <c r="T87" s="235"/>
      <c r="U87" s="250"/>
      <c r="V87" s="235"/>
      <c r="W87" s="250"/>
      <c r="X87" s="250"/>
      <c r="Y87" s="250"/>
      <c r="Z87" s="260" t="s">
        <v>607</v>
      </c>
      <c r="AA87" s="260" t="s">
        <v>599</v>
      </c>
      <c r="AB87" s="260"/>
      <c r="AC87" s="244" t="s">
        <v>449</v>
      </c>
      <c r="AD87" s="260"/>
      <c r="AE87" s="260">
        <v>4500</v>
      </c>
      <c r="AF87" s="262" t="s">
        <v>600</v>
      </c>
      <c r="AG87" s="247"/>
      <c r="AH87" s="248" t="s">
        <v>569</v>
      </c>
      <c r="AI87" s="258" t="s">
        <v>580</v>
      </c>
      <c r="AJ87" s="249"/>
      <c r="AK87" s="232" t="s">
        <v>601</v>
      </c>
      <c r="AL87" s="232" t="s">
        <v>602</v>
      </c>
      <c r="AN87" s="233" t="s">
        <v>603</v>
      </c>
      <c r="AO87" s="232" t="s">
        <v>411</v>
      </c>
      <c r="AP87" s="232">
        <v>70932</v>
      </c>
      <c r="AQ87" s="232" t="str">
        <f>CONCATENATE(AN87,AO87,AP87)</f>
        <v>300-70932</v>
      </c>
      <c r="AX87" s="250"/>
      <c r="AY87" s="250"/>
      <c r="AZ87" s="232" t="str">
        <f>IF($AX87="Yes",'8. Option Codes Decrypted'!$C$15,"")</f>
        <v/>
      </c>
      <c r="BA87" s="232" t="str">
        <f>IF($AX87="Yes",'8. Option Codes Decrypted'!$C$16,"")</f>
        <v/>
      </c>
      <c r="BB87" s="232" t="str">
        <f>IF($AX87="Yes",'8. Option Codes Decrypted'!$C$17,"")</f>
        <v/>
      </c>
      <c r="BC87" s="232" t="str">
        <f>IF($AX87="Yes",'8. Option Codes Decrypted'!$C$18,"")</f>
        <v/>
      </c>
      <c r="BD87" s="232" t="str">
        <f>IF($AY87="Yes",'8. Option Codes Decrypted'!$C$20,"")</f>
        <v/>
      </c>
      <c r="BE87" s="232" t="str">
        <f>IF($AY87="Yes",'8. Option Codes Decrypted'!$C$21,"")</f>
        <v/>
      </c>
      <c r="BF87" s="232" t="str">
        <f>IF($AY87="Yes",'8. Option Codes Decrypted'!$C$22,"")</f>
        <v/>
      </c>
      <c r="BG87" s="232" t="str">
        <f>IF($AY87="Yes",'8. Option Codes Decrypted'!$C$23,"")</f>
        <v/>
      </c>
    </row>
    <row r="88" spans="1:59" x14ac:dyDescent="0.25">
      <c r="A88" s="232" t="str">
        <f t="shared" si="25"/>
        <v/>
      </c>
      <c r="B88" s="358" t="str">
        <f t="shared" si="26"/>
        <v/>
      </c>
      <c r="C88" s="358" t="str">
        <f t="shared" ref="C88:C94" si="27">IF(AS88&lt;&gt;"",AS88,"")</f>
        <v/>
      </c>
      <c r="D88" s="358"/>
      <c r="E88" s="358" t="str">
        <f t="shared" si="23"/>
        <v/>
      </c>
      <c r="F88" t="s">
        <v>426</v>
      </c>
      <c r="G88" s="230">
        <v>44670</v>
      </c>
      <c r="H88" s="19" t="s">
        <v>580</v>
      </c>
      <c r="I88" s="101"/>
      <c r="J88" s="101" t="s">
        <v>427</v>
      </c>
      <c r="K88" s="101" t="s">
        <v>231</v>
      </c>
      <c r="L88" s="101" t="s">
        <v>608</v>
      </c>
      <c r="M88" s="188" t="s">
        <v>444</v>
      </c>
      <c r="N88" s="188"/>
      <c r="O88" s="289"/>
      <c r="P88" s="289"/>
      <c r="Q88" s="289"/>
      <c r="R88" s="286" t="str">
        <f t="shared" si="24"/>
        <v>. Engine Cylinder Block (LEAVE CRANK CRADLE ON)</v>
      </c>
      <c r="S88" s="286"/>
      <c r="T88" s="188"/>
      <c r="U88" s="16"/>
      <c r="V88" s="188"/>
      <c r="W88" s="16"/>
      <c r="X88" s="16"/>
      <c r="Y88" s="16"/>
      <c r="Z88" s="101" t="s">
        <v>608</v>
      </c>
      <c r="AA88" s="101" t="s">
        <v>608</v>
      </c>
      <c r="AB88" s="101" t="s">
        <v>608</v>
      </c>
      <c r="AC88" s="193" t="s">
        <v>449</v>
      </c>
      <c r="AD88" s="101"/>
      <c r="AE88" s="102">
        <v>750</v>
      </c>
      <c r="AF88" s="99" t="s">
        <v>434</v>
      </c>
      <c r="AH88" s="3" t="s">
        <v>569</v>
      </c>
      <c r="AI88" s="156" t="s">
        <v>580</v>
      </c>
      <c r="AJ88" s="69"/>
      <c r="AK88" t="s">
        <v>609</v>
      </c>
      <c r="AO88" t="s">
        <v>411</v>
      </c>
      <c r="AX88" s="16"/>
      <c r="AY88" s="16"/>
      <c r="AZ88" s="232" t="str">
        <f>IF($AX88="Yes",'8. Option Codes Decrypted'!$C$15,"")</f>
        <v/>
      </c>
      <c r="BA88" s="232" t="str">
        <f>IF($AX88="Yes",'8. Option Codes Decrypted'!$C$16,"")</f>
        <v/>
      </c>
      <c r="BB88" s="232" t="str">
        <f>IF($AX88="Yes",'8. Option Codes Decrypted'!$C$17,"")</f>
        <v/>
      </c>
      <c r="BC88" s="232" t="str">
        <f>IF($AX88="Yes",'8. Option Codes Decrypted'!$C$18,"")</f>
        <v/>
      </c>
      <c r="BD88" s="232" t="str">
        <f>IF($AY88="Yes",'8. Option Codes Decrypted'!$C$20,"")</f>
        <v/>
      </c>
      <c r="BE88" s="232" t="str">
        <f>IF($AY88="Yes",'8. Option Codes Decrypted'!$C$21,"")</f>
        <v/>
      </c>
      <c r="BF88" s="232" t="str">
        <f>IF($AY88="Yes",'8. Option Codes Decrypted'!$C$22,"")</f>
        <v/>
      </c>
      <c r="BG88" s="232" t="str">
        <f>IF($AY88="Yes",'8. Option Codes Decrypted'!$C$23,"")</f>
        <v/>
      </c>
    </row>
    <row r="89" spans="1:59" x14ac:dyDescent="0.25">
      <c r="A89" s="232" t="str">
        <f t="shared" si="25"/>
        <v/>
      </c>
      <c r="B89" s="358" t="str">
        <f t="shared" si="26"/>
        <v/>
      </c>
      <c r="C89" s="358" t="str">
        <f t="shared" si="27"/>
        <v/>
      </c>
      <c r="D89" s="358"/>
      <c r="E89" s="358" t="str">
        <f t="shared" si="23"/>
        <v/>
      </c>
      <c r="F89" t="s">
        <v>508</v>
      </c>
      <c r="G89" s="230">
        <v>45099</v>
      </c>
      <c r="H89" s="19"/>
      <c r="I89" s="16"/>
      <c r="J89" s="16" t="s">
        <v>427</v>
      </c>
      <c r="K89" s="16" t="s">
        <v>231</v>
      </c>
      <c r="L89" s="16" t="s">
        <v>610</v>
      </c>
      <c r="M89" s="16" t="s">
        <v>430</v>
      </c>
      <c r="N89" s="16"/>
      <c r="O89" s="191"/>
      <c r="P89" s="191"/>
      <c r="Q89" s="191"/>
      <c r="R89" s="286" t="str">
        <f t="shared" si="24"/>
        <v>. Engine Mounts SET2 (Triangle Shaped ones)</v>
      </c>
      <c r="S89" s="286"/>
      <c r="T89" s="16"/>
      <c r="U89" s="16"/>
      <c r="V89" s="16"/>
      <c r="W89" s="16"/>
      <c r="X89" s="16"/>
      <c r="Y89" s="16"/>
      <c r="Z89" s="16" t="s">
        <v>610</v>
      </c>
      <c r="AA89" s="16" t="s">
        <v>610</v>
      </c>
      <c r="AB89" s="16" t="s">
        <v>611</v>
      </c>
      <c r="AC89" s="193" t="s">
        <v>439</v>
      </c>
      <c r="AD89" s="16"/>
      <c r="AE89" s="20">
        <v>120</v>
      </c>
      <c r="AF89" s="99" t="s">
        <v>434</v>
      </c>
      <c r="AH89" s="3" t="s">
        <v>612</v>
      </c>
      <c r="AJ89" s="69"/>
      <c r="AK89" t="s">
        <v>613</v>
      </c>
      <c r="AN89"/>
      <c r="AX89" s="16"/>
      <c r="AY89" s="16"/>
      <c r="AZ89" s="232" t="str">
        <f>IF($AX89="Yes",'8. Option Codes Decrypted'!$C$15,"")</f>
        <v/>
      </c>
      <c r="BA89" s="232" t="str">
        <f>IF($AX89="Yes",'8. Option Codes Decrypted'!$C$16,"")</f>
        <v/>
      </c>
      <c r="BB89" s="232" t="str">
        <f>IF($AX89="Yes",'8. Option Codes Decrypted'!$C$17,"")</f>
        <v/>
      </c>
      <c r="BC89" s="232" t="str">
        <f>IF($AX89="Yes",'8. Option Codes Decrypted'!$C$18,"")</f>
        <v/>
      </c>
      <c r="BD89" s="232" t="str">
        <f>IF($AY89="Yes",'8. Option Codes Decrypted'!$C$20,"")</f>
        <v/>
      </c>
      <c r="BE89" s="232" t="str">
        <f>IF($AY89="Yes",'8. Option Codes Decrypted'!$C$21,"")</f>
        <v/>
      </c>
      <c r="BF89" s="232" t="str">
        <f>IF($AY89="Yes",'8. Option Codes Decrypted'!$C$22,"")</f>
        <v/>
      </c>
      <c r="BG89" s="232" t="str">
        <f>IF($AY89="Yes",'8. Option Codes Decrypted'!$C$23,"")</f>
        <v/>
      </c>
    </row>
    <row r="90" spans="1:59" x14ac:dyDescent="0.25">
      <c r="A90" s="232" t="str">
        <f t="shared" si="25"/>
        <v/>
      </c>
      <c r="B90" s="358" t="str">
        <f t="shared" si="26"/>
        <v/>
      </c>
      <c r="C90" s="358" t="str">
        <f t="shared" si="27"/>
        <v/>
      </c>
      <c r="D90" s="358"/>
      <c r="E90" s="358" t="str">
        <f t="shared" si="23"/>
        <v/>
      </c>
      <c r="F90" t="s">
        <v>508</v>
      </c>
      <c r="G90" s="230">
        <v>45099</v>
      </c>
      <c r="H90" s="19"/>
      <c r="I90" s="16"/>
      <c r="J90" s="16" t="s">
        <v>427</v>
      </c>
      <c r="K90" s="16" t="s">
        <v>231</v>
      </c>
      <c r="L90" s="16" t="s">
        <v>614</v>
      </c>
      <c r="M90" s="16" t="s">
        <v>430</v>
      </c>
      <c r="N90" s="16"/>
      <c r="O90" s="191"/>
      <c r="P90" s="191"/>
      <c r="Q90" s="191"/>
      <c r="R90" s="286" t="str">
        <f t="shared" si="24"/>
        <v>. Engine Oil Level Sensor</v>
      </c>
      <c r="S90" s="286"/>
      <c r="T90" s="16"/>
      <c r="U90" s="16"/>
      <c r="V90" s="16"/>
      <c r="W90" s="16"/>
      <c r="X90" s="16"/>
      <c r="Y90" s="16"/>
      <c r="Z90" s="16" t="s">
        <v>614</v>
      </c>
      <c r="AA90" s="16" t="s">
        <v>614</v>
      </c>
      <c r="AB90" s="16" t="s">
        <v>614</v>
      </c>
      <c r="AC90" s="193" t="s">
        <v>449</v>
      </c>
      <c r="AD90" s="16"/>
      <c r="AE90" s="16">
        <v>76</v>
      </c>
      <c r="AF90" s="99" t="s">
        <v>434</v>
      </c>
      <c r="AH90" s="3" t="s">
        <v>612</v>
      </c>
      <c r="AJ90" s="69"/>
      <c r="AK90" t="s">
        <v>615</v>
      </c>
      <c r="AN90"/>
      <c r="AX90" s="16"/>
      <c r="AY90" s="16"/>
      <c r="AZ90" s="232" t="str">
        <f>IF($AX90="Yes",'8. Option Codes Decrypted'!$C$15,"")</f>
        <v/>
      </c>
      <c r="BA90" s="232" t="str">
        <f>IF($AX90="Yes",'8. Option Codes Decrypted'!$C$16,"")</f>
        <v/>
      </c>
      <c r="BB90" s="232" t="str">
        <f>IF($AX90="Yes",'8. Option Codes Decrypted'!$C$17,"")</f>
        <v/>
      </c>
      <c r="BC90" s="232" t="str">
        <f>IF($AX90="Yes",'8. Option Codes Decrypted'!$C$18,"")</f>
        <v/>
      </c>
      <c r="BD90" s="232" t="str">
        <f>IF($AY90="Yes",'8. Option Codes Decrypted'!$C$20,"")</f>
        <v/>
      </c>
      <c r="BE90" s="232" t="str">
        <f>IF($AY90="Yes",'8. Option Codes Decrypted'!$C$21,"")</f>
        <v/>
      </c>
      <c r="BF90" s="232" t="str">
        <f>IF($AY90="Yes",'8. Option Codes Decrypted'!$C$22,"")</f>
        <v/>
      </c>
      <c r="BG90" s="232" t="str">
        <f>IF($AY90="Yes",'8. Option Codes Decrypted'!$C$23,"")</f>
        <v/>
      </c>
    </row>
    <row r="91" spans="1:59" s="232" customFormat="1" x14ac:dyDescent="0.25">
      <c r="A91" s="232" t="str">
        <f t="shared" si="25"/>
        <v/>
      </c>
      <c r="B91" s="358" t="str">
        <f t="shared" si="26"/>
        <v>322-67441</v>
      </c>
      <c r="C91" s="358" t="str">
        <f t="shared" si="27"/>
        <v/>
      </c>
      <c r="D91" s="358"/>
      <c r="E91" s="358">
        <f t="shared" si="23"/>
        <v>1</v>
      </c>
      <c r="F91" s="232" t="s">
        <v>426</v>
      </c>
      <c r="G91" s="241">
        <v>44670</v>
      </c>
      <c r="H91" s="257" t="s">
        <v>580</v>
      </c>
      <c r="I91" s="260"/>
      <c r="J91" s="260" t="s">
        <v>427</v>
      </c>
      <c r="K91" s="260" t="s">
        <v>231</v>
      </c>
      <c r="L91" s="260" t="s">
        <v>616</v>
      </c>
      <c r="M91" s="235" t="s">
        <v>444</v>
      </c>
      <c r="N91" s="235"/>
      <c r="O91" s="284"/>
      <c r="P91" s="284"/>
      <c r="Q91" s="284"/>
      <c r="R91" s="286" t="str">
        <f t="shared" si="24"/>
        <v>. Fuel Injector SET6 (NOTE ANY PINTEL CAPS BROKEN) (sell SET4 &amp; singles if 1 bad)</v>
      </c>
      <c r="S91" s="286"/>
      <c r="T91" s="235"/>
      <c r="U91" s="250"/>
      <c r="V91" s="235"/>
      <c r="W91" s="250"/>
      <c r="X91" s="250"/>
      <c r="Y91" s="250"/>
      <c r="Z91" s="260" t="s">
        <v>616</v>
      </c>
      <c r="AA91" s="260" t="s">
        <v>616</v>
      </c>
      <c r="AB91" s="260" t="s">
        <v>617</v>
      </c>
      <c r="AC91" s="244" t="s">
        <v>618</v>
      </c>
      <c r="AD91" s="260" t="s">
        <v>619</v>
      </c>
      <c r="AE91" s="260">
        <v>200</v>
      </c>
      <c r="AF91" s="252" t="s">
        <v>434</v>
      </c>
      <c r="AG91" s="247"/>
      <c r="AH91" s="248" t="s">
        <v>620</v>
      </c>
      <c r="AI91" s="258" t="s">
        <v>580</v>
      </c>
      <c r="AJ91" s="249"/>
      <c r="AK91" s="232" t="s">
        <v>621</v>
      </c>
      <c r="AN91" s="233" t="s">
        <v>622</v>
      </c>
      <c r="AO91" s="232" t="s">
        <v>411</v>
      </c>
      <c r="AP91" s="232">
        <v>67441</v>
      </c>
      <c r="AQ91" s="232" t="str">
        <f>CONCATENATE(AN91,AO91,AP91)</f>
        <v>322-67441</v>
      </c>
      <c r="AX91" s="250"/>
      <c r="AY91" s="250"/>
      <c r="AZ91" s="232" t="str">
        <f>IF($AX91="Yes",'8. Option Codes Decrypted'!$C$15,"")</f>
        <v/>
      </c>
      <c r="BA91" s="232" t="str">
        <f>IF($AX91="Yes",'8. Option Codes Decrypted'!$C$16,"")</f>
        <v/>
      </c>
      <c r="BB91" s="232" t="str">
        <f>IF($AX91="Yes",'8. Option Codes Decrypted'!$C$17,"")</f>
        <v/>
      </c>
      <c r="BC91" s="232" t="str">
        <f>IF($AX91="Yes",'8. Option Codes Decrypted'!$C$18,"")</f>
        <v/>
      </c>
      <c r="BD91" s="232" t="str">
        <f>IF($AY91="Yes",'8. Option Codes Decrypted'!$C$20,"")</f>
        <v/>
      </c>
      <c r="BE91" s="232" t="str">
        <f>IF($AY91="Yes",'8. Option Codes Decrypted'!$C$21,"")</f>
        <v/>
      </c>
      <c r="BF91" s="232" t="str">
        <f>IF($AY91="Yes",'8. Option Codes Decrypted'!$C$22,"")</f>
        <v/>
      </c>
      <c r="BG91" s="232" t="str">
        <f>IF($AY91="Yes",'8. Option Codes Decrypted'!$C$23,"")</f>
        <v/>
      </c>
    </row>
    <row r="92" spans="1:59" s="232" customFormat="1" x14ac:dyDescent="0.25">
      <c r="A92" s="232" t="str">
        <f t="shared" si="25"/>
        <v/>
      </c>
      <c r="B92" s="358" t="str">
        <f t="shared" si="26"/>
        <v>323-59654</v>
      </c>
      <c r="C92" s="358" t="str">
        <f t="shared" si="27"/>
        <v/>
      </c>
      <c r="D92" s="358"/>
      <c r="E92" s="358">
        <f t="shared" si="23"/>
        <v>1</v>
      </c>
      <c r="F92" s="232" t="s">
        <v>508</v>
      </c>
      <c r="G92" s="241">
        <v>45107</v>
      </c>
      <c r="H92" s="250"/>
      <c r="I92" s="235"/>
      <c r="J92" s="250" t="s">
        <v>427</v>
      </c>
      <c r="K92" s="250" t="s">
        <v>231</v>
      </c>
      <c r="L92" s="250" t="s">
        <v>623</v>
      </c>
      <c r="M92" s="235" t="s">
        <v>444</v>
      </c>
      <c r="N92" s="235"/>
      <c r="O92" s="284"/>
      <c r="P92" s="284"/>
      <c r="Q92" s="284"/>
      <c r="R92" s="286" t="str">
        <f t="shared" si="24"/>
        <v>. Fuel Pump, High Pressure Engine Mounted</v>
      </c>
      <c r="S92" s="286"/>
      <c r="T92" s="235"/>
      <c r="U92" s="250"/>
      <c r="V92" s="235"/>
      <c r="W92" s="250"/>
      <c r="X92" s="250"/>
      <c r="Y92" s="250"/>
      <c r="Z92" s="250" t="s">
        <v>623</v>
      </c>
      <c r="AA92" s="250" t="s">
        <v>623</v>
      </c>
      <c r="AB92" s="250" t="s">
        <v>623</v>
      </c>
      <c r="AC92" s="244" t="s">
        <v>449</v>
      </c>
      <c r="AD92" s="250"/>
      <c r="AE92" s="259">
        <v>100</v>
      </c>
      <c r="AF92" s="252" t="s">
        <v>434</v>
      </c>
      <c r="AG92" s="247"/>
      <c r="AH92" s="248" t="s">
        <v>624</v>
      </c>
      <c r="AJ92" s="249"/>
      <c r="AK92" s="232" t="s">
        <v>625</v>
      </c>
      <c r="AN92" s="233" t="s">
        <v>626</v>
      </c>
      <c r="AO92" s="232" t="s">
        <v>411</v>
      </c>
      <c r="AP92" s="232">
        <v>59654</v>
      </c>
      <c r="AQ92" s="232" t="str">
        <f>CONCATENATE(AN92,AO92,AP92)</f>
        <v>323-59654</v>
      </c>
      <c r="AX92" s="250"/>
      <c r="AY92" s="250"/>
      <c r="AZ92" s="232" t="str">
        <f>IF($AX92="Yes",'8. Option Codes Decrypted'!$C$15,"")</f>
        <v/>
      </c>
      <c r="BA92" s="232" t="str">
        <f>IF($AX92="Yes",'8. Option Codes Decrypted'!$C$16,"")</f>
        <v/>
      </c>
      <c r="BB92" s="232" t="str">
        <f>IF($AX92="Yes",'8. Option Codes Decrypted'!$C$17,"")</f>
        <v/>
      </c>
      <c r="BC92" s="232" t="str">
        <f>IF($AX92="Yes",'8. Option Codes Decrypted'!$C$18,"")</f>
        <v/>
      </c>
      <c r="BD92" s="232" t="str">
        <f>IF($AY92="Yes",'8. Option Codes Decrypted'!$C$20,"")</f>
        <v/>
      </c>
      <c r="BE92" s="232" t="str">
        <f>IF($AY92="Yes",'8. Option Codes Decrypted'!$C$21,"")</f>
        <v/>
      </c>
      <c r="BF92" s="232" t="str">
        <f>IF($AY92="Yes",'8. Option Codes Decrypted'!$C$22,"")</f>
        <v/>
      </c>
      <c r="BG92" s="232" t="str">
        <f>IF($AY92="Yes",'8. Option Codes Decrypted'!$C$23,"")</f>
        <v/>
      </c>
    </row>
    <row r="93" spans="1:59" x14ac:dyDescent="0.25">
      <c r="A93" s="232" t="str">
        <f t="shared" si="25"/>
        <v/>
      </c>
      <c r="B93" s="358" t="str">
        <f t="shared" si="26"/>
        <v/>
      </c>
      <c r="C93" s="358" t="str">
        <f t="shared" si="27"/>
        <v/>
      </c>
      <c r="D93" s="358"/>
      <c r="E93" s="358" t="str">
        <f t="shared" si="23"/>
        <v/>
      </c>
      <c r="F93" t="s">
        <v>508</v>
      </c>
      <c r="G93" s="230">
        <v>45099</v>
      </c>
      <c r="H93" s="190"/>
      <c r="I93" s="10"/>
      <c r="J93" s="16" t="s">
        <v>427</v>
      </c>
      <c r="K93" s="16" t="s">
        <v>231</v>
      </c>
      <c r="L93" s="16" t="s">
        <v>627</v>
      </c>
      <c r="M93" s="16" t="s">
        <v>430</v>
      </c>
      <c r="N93" s="16"/>
      <c r="O93" s="191"/>
      <c r="P93" s="191"/>
      <c r="Q93" s="191"/>
      <c r="R93" s="286" t="str">
        <f t="shared" si="24"/>
        <v>. Fuel Rail</v>
      </c>
      <c r="S93" s="286"/>
      <c r="T93" s="16"/>
      <c r="U93" s="16"/>
      <c r="V93" s="16"/>
      <c r="W93" s="16"/>
      <c r="X93" s="16"/>
      <c r="Y93" s="16"/>
      <c r="Z93" s="16" t="s">
        <v>627</v>
      </c>
      <c r="AA93" s="16" t="s">
        <v>627</v>
      </c>
      <c r="AB93" s="16" t="s">
        <v>627</v>
      </c>
      <c r="AC93" s="193" t="s">
        <v>449</v>
      </c>
      <c r="AD93" s="10"/>
      <c r="AE93" s="16">
        <v>99</v>
      </c>
      <c r="AF93" s="99" t="s">
        <v>434</v>
      </c>
      <c r="AH93" s="3" t="s">
        <v>612</v>
      </c>
      <c r="AJ93" s="69"/>
      <c r="AK93" t="s">
        <v>628</v>
      </c>
      <c r="AN93"/>
      <c r="AX93" s="16"/>
      <c r="AY93" s="16"/>
      <c r="AZ93" s="232" t="str">
        <f>IF($AX93="Yes",'8. Option Codes Decrypted'!$C$15,"")</f>
        <v/>
      </c>
      <c r="BA93" s="232" t="str">
        <f>IF($AX93="Yes",'8. Option Codes Decrypted'!$C$16,"")</f>
        <v/>
      </c>
      <c r="BB93" s="232" t="str">
        <f>IF($AX93="Yes",'8. Option Codes Decrypted'!$C$17,"")</f>
        <v/>
      </c>
      <c r="BC93" s="232" t="str">
        <f>IF($AX93="Yes",'8. Option Codes Decrypted'!$C$18,"")</f>
        <v/>
      </c>
      <c r="BD93" s="232" t="str">
        <f>IF($AY93="Yes",'8. Option Codes Decrypted'!$C$20,"")</f>
        <v/>
      </c>
      <c r="BE93" s="232" t="str">
        <f>IF($AY93="Yes",'8. Option Codes Decrypted'!$C$21,"")</f>
        <v/>
      </c>
      <c r="BF93" s="232" t="str">
        <f>IF($AY93="Yes",'8. Option Codes Decrypted'!$C$22,"")</f>
        <v/>
      </c>
      <c r="BG93" s="232" t="str">
        <f>IF($AY93="Yes",'8. Option Codes Decrypted'!$C$23,"")</f>
        <v/>
      </c>
    </row>
    <row r="94" spans="1:59" s="232" customFormat="1" x14ac:dyDescent="0.25">
      <c r="A94" s="232" t="str">
        <f t="shared" si="25"/>
        <v/>
      </c>
      <c r="B94" s="358" t="str">
        <f t="shared" si="26"/>
        <v>309-50677</v>
      </c>
      <c r="C94" s="358" t="str">
        <f t="shared" si="27"/>
        <v/>
      </c>
      <c r="D94" s="358"/>
      <c r="E94" s="358">
        <f t="shared" si="23"/>
        <v>1</v>
      </c>
      <c r="F94" s="232" t="s">
        <v>426</v>
      </c>
      <c r="G94" s="241">
        <v>44670</v>
      </c>
      <c r="H94" s="257"/>
      <c r="I94" s="250"/>
      <c r="J94" s="250" t="s">
        <v>427</v>
      </c>
      <c r="K94" s="250" t="s">
        <v>231</v>
      </c>
      <c r="L94" s="250" t="s">
        <v>629</v>
      </c>
      <c r="M94" s="235" t="s">
        <v>444</v>
      </c>
      <c r="N94" s="235"/>
      <c r="O94" s="284"/>
      <c r="P94" s="284"/>
      <c r="Q94" s="284"/>
      <c r="R94" s="286" t="str">
        <f t="shared" si="24"/>
        <v>. Harmonic Balancer</v>
      </c>
      <c r="S94" s="286"/>
      <c r="T94" s="235"/>
      <c r="U94" s="250"/>
      <c r="V94" s="235"/>
      <c r="W94" s="250"/>
      <c r="X94" s="250"/>
      <c r="Y94" s="250"/>
      <c r="Z94" s="250" t="s">
        <v>629</v>
      </c>
      <c r="AA94" s="250" t="s">
        <v>629</v>
      </c>
      <c r="AB94" s="250" t="s">
        <v>629</v>
      </c>
      <c r="AC94" s="244" t="s">
        <v>449</v>
      </c>
      <c r="AD94" s="250"/>
      <c r="AE94" s="250">
        <v>225</v>
      </c>
      <c r="AF94" s="252" t="s">
        <v>434</v>
      </c>
      <c r="AG94" s="247"/>
      <c r="AH94" s="248" t="s">
        <v>569</v>
      </c>
      <c r="AJ94" s="249"/>
      <c r="AK94" s="232" t="s">
        <v>630</v>
      </c>
      <c r="AN94" s="233" t="s">
        <v>631</v>
      </c>
      <c r="AO94" s="232" t="s">
        <v>411</v>
      </c>
      <c r="AP94" s="232">
        <v>50677</v>
      </c>
      <c r="AQ94" s="232" t="str">
        <f>CONCATENATE(AN94,AO94,AP94)</f>
        <v>309-50677</v>
      </c>
      <c r="AX94" s="250"/>
      <c r="AY94" s="250"/>
      <c r="AZ94" s="232" t="str">
        <f>IF($AX94="Yes",'8. Option Codes Decrypted'!$C$15,"")</f>
        <v/>
      </c>
      <c r="BA94" s="232" t="str">
        <f>IF($AX94="Yes",'8. Option Codes Decrypted'!$C$16,"")</f>
        <v/>
      </c>
      <c r="BB94" s="232" t="str">
        <f>IF($AX94="Yes",'8. Option Codes Decrypted'!$C$17,"")</f>
        <v/>
      </c>
      <c r="BC94" s="232" t="str">
        <f>IF($AX94="Yes",'8. Option Codes Decrypted'!$C$18,"")</f>
        <v/>
      </c>
      <c r="BD94" s="232" t="str">
        <f>IF($AY94="Yes",'8. Option Codes Decrypted'!$C$20,"")</f>
        <v/>
      </c>
      <c r="BE94" s="232" t="str">
        <f>IF($AY94="Yes",'8. Option Codes Decrypted'!$C$21,"")</f>
        <v/>
      </c>
      <c r="BF94" s="232" t="str">
        <f>IF($AY94="Yes",'8. Option Codes Decrypted'!$C$22,"")</f>
        <v/>
      </c>
      <c r="BG94" s="232" t="str">
        <f>IF($AY94="Yes",'8. Option Codes Decrypted'!$C$23,"")</f>
        <v/>
      </c>
    </row>
    <row r="95" spans="1:59" s="232" customFormat="1" x14ac:dyDescent="0.25">
      <c r="A95" s="232" t="str">
        <f t="shared" si="25"/>
        <v/>
      </c>
      <c r="B95" s="358" t="str">
        <f t="shared" si="26"/>
        <v>610-50203</v>
      </c>
      <c r="C95" s="358" t="s">
        <v>632</v>
      </c>
      <c r="D95" s="358"/>
      <c r="E95" s="358">
        <f t="shared" si="23"/>
        <v>2</v>
      </c>
      <c r="F95" s="232" t="s">
        <v>426</v>
      </c>
      <c r="G95" s="241">
        <v>44670</v>
      </c>
      <c r="H95" s="257"/>
      <c r="I95" s="250"/>
      <c r="J95" s="250" t="s">
        <v>427</v>
      </c>
      <c r="K95" s="250" t="s">
        <v>231</v>
      </c>
      <c r="L95" s="250" t="s">
        <v>633</v>
      </c>
      <c r="M95" s="235" t="s">
        <v>444</v>
      </c>
      <c r="N95" s="235"/>
      <c r="O95" s="284"/>
      <c r="P95" s="284"/>
      <c r="Q95" s="284"/>
      <c r="R95" s="286" t="str">
        <f t="shared" si="24"/>
        <v>. Ignition Coils SET 6</v>
      </c>
      <c r="S95" s="286"/>
      <c r="T95" s="235"/>
      <c r="U95" s="250"/>
      <c r="V95" s="235"/>
      <c r="W95" s="250"/>
      <c r="X95" s="250"/>
      <c r="Y95" s="250"/>
      <c r="Z95" s="250" t="s">
        <v>634</v>
      </c>
      <c r="AA95" s="250" t="s">
        <v>635</v>
      </c>
      <c r="AB95" s="250"/>
      <c r="AC95" s="244" t="s">
        <v>618</v>
      </c>
      <c r="AD95" s="250" t="s">
        <v>636</v>
      </c>
      <c r="AE95" s="250">
        <v>75</v>
      </c>
      <c r="AF95" s="252" t="s">
        <v>434</v>
      </c>
      <c r="AG95" s="247"/>
      <c r="AH95" s="248" t="s">
        <v>569</v>
      </c>
      <c r="AJ95" s="249"/>
      <c r="AK95" s="232" t="s">
        <v>637</v>
      </c>
      <c r="AN95" s="233" t="s">
        <v>638</v>
      </c>
      <c r="AO95" s="232" t="s">
        <v>411</v>
      </c>
      <c r="AP95" s="232">
        <v>50203</v>
      </c>
      <c r="AQ95" s="232" t="str">
        <f>CONCATENATE(AN95,AO95,AP95)</f>
        <v>610-50203</v>
      </c>
      <c r="AX95" s="250"/>
      <c r="AY95" s="250"/>
      <c r="AZ95" s="232" t="str">
        <f>IF($AX95="Yes",'8. Option Codes Decrypted'!$C$15,"")</f>
        <v/>
      </c>
      <c r="BA95" s="232" t="str">
        <f>IF($AX95="Yes",'8. Option Codes Decrypted'!$C$16,"")</f>
        <v/>
      </c>
      <c r="BB95" s="232" t="str">
        <f>IF($AX95="Yes",'8. Option Codes Decrypted'!$C$17,"")</f>
        <v/>
      </c>
      <c r="BC95" s="232" t="str">
        <f>IF($AX95="Yes",'8. Option Codes Decrypted'!$C$18,"")</f>
        <v/>
      </c>
      <c r="BD95" s="232" t="str">
        <f>IF($AY95="Yes",'8. Option Codes Decrypted'!$C$20,"")</f>
        <v/>
      </c>
      <c r="BE95" s="232" t="str">
        <f>IF($AY95="Yes",'8. Option Codes Decrypted'!$C$21,"")</f>
        <v/>
      </c>
      <c r="BF95" s="232" t="str">
        <f>IF($AY95="Yes",'8. Option Codes Decrypted'!$C$22,"")</f>
        <v/>
      </c>
      <c r="BG95" s="232" t="str">
        <f>IF($AY95="Yes",'8. Option Codes Decrypted'!$C$23,"")</f>
        <v/>
      </c>
    </row>
    <row r="96" spans="1:59" s="232" customFormat="1" x14ac:dyDescent="0.25">
      <c r="A96" s="232" t="str">
        <f t="shared" si="25"/>
        <v/>
      </c>
      <c r="B96" s="358" t="str">
        <f t="shared" si="26"/>
        <v>610-50203</v>
      </c>
      <c r="C96" s="358" t="s">
        <v>639</v>
      </c>
      <c r="D96" s="358"/>
      <c r="E96" s="358">
        <f t="shared" si="23"/>
        <v>2</v>
      </c>
      <c r="F96" s="232" t="s">
        <v>426</v>
      </c>
      <c r="G96" s="241">
        <v>44670</v>
      </c>
      <c r="H96" s="257"/>
      <c r="I96" s="250"/>
      <c r="J96" s="250" t="s">
        <v>427</v>
      </c>
      <c r="K96" s="250" t="s">
        <v>231</v>
      </c>
      <c r="L96" s="250" t="s">
        <v>633</v>
      </c>
      <c r="M96" s="235" t="s">
        <v>444</v>
      </c>
      <c r="N96" s="235"/>
      <c r="O96" s="284"/>
      <c r="P96" s="284"/>
      <c r="Q96" s="284"/>
      <c r="R96" s="286" t="str">
        <f t="shared" si="24"/>
        <v>. Ignition Coils SET 4</v>
      </c>
      <c r="S96" s="286"/>
      <c r="T96" s="235"/>
      <c r="U96" s="250"/>
      <c r="V96" s="235"/>
      <c r="W96" s="250"/>
      <c r="X96" s="250"/>
      <c r="Y96" s="250"/>
      <c r="Z96" s="250" t="s">
        <v>640</v>
      </c>
      <c r="AA96" s="250"/>
      <c r="AB96" s="250"/>
      <c r="AC96" s="244" t="s">
        <v>618</v>
      </c>
      <c r="AD96" s="250"/>
      <c r="AE96" s="250">
        <v>49</v>
      </c>
      <c r="AF96" s="252" t="s">
        <v>434</v>
      </c>
      <c r="AG96" s="247"/>
      <c r="AH96" s="248" t="s">
        <v>569</v>
      </c>
      <c r="AJ96" s="249"/>
      <c r="AK96" s="232" t="s">
        <v>637</v>
      </c>
      <c r="AN96" s="233" t="s">
        <v>638</v>
      </c>
      <c r="AO96" s="232" t="s">
        <v>411</v>
      </c>
      <c r="AP96" s="232">
        <v>50203</v>
      </c>
      <c r="AQ96" s="232" t="str">
        <f>CONCATENATE(AN96,AO96,AP96)</f>
        <v>610-50203</v>
      </c>
      <c r="AX96" s="250"/>
      <c r="AY96" s="250"/>
      <c r="AZ96" s="232" t="str">
        <f>IF($AX96="Yes",'8. Option Codes Decrypted'!$C$15,"")</f>
        <v/>
      </c>
      <c r="BA96" s="232" t="str">
        <f>IF($AX96="Yes",'8. Option Codes Decrypted'!$C$16,"")</f>
        <v/>
      </c>
      <c r="BB96" s="232" t="str">
        <f>IF($AX96="Yes",'8. Option Codes Decrypted'!$C$17,"")</f>
        <v/>
      </c>
      <c r="BC96" s="232" t="str">
        <f>IF($AX96="Yes",'8. Option Codes Decrypted'!$C$18,"")</f>
        <v/>
      </c>
      <c r="BD96" s="232" t="str">
        <f>IF($AY96="Yes",'8. Option Codes Decrypted'!$C$20,"")</f>
        <v/>
      </c>
      <c r="BE96" s="232" t="str">
        <f>IF($AY96="Yes",'8. Option Codes Decrypted'!$C$21,"")</f>
        <v/>
      </c>
      <c r="BF96" s="232" t="str">
        <f>IF($AY96="Yes",'8. Option Codes Decrypted'!$C$22,"")</f>
        <v/>
      </c>
      <c r="BG96" s="232" t="str">
        <f>IF($AY96="Yes",'8. Option Codes Decrypted'!$C$23,"")</f>
        <v/>
      </c>
    </row>
    <row r="97" spans="1:59" s="232" customFormat="1" x14ac:dyDescent="0.25">
      <c r="A97" s="232" t="str">
        <f t="shared" si="25"/>
        <v/>
      </c>
      <c r="B97" s="358" t="str">
        <f t="shared" si="26"/>
        <v>329-50523</v>
      </c>
      <c r="C97" s="358" t="str">
        <f>IF(AS97&lt;&gt;"",AS97,"")</f>
        <v/>
      </c>
      <c r="D97" s="358"/>
      <c r="E97" s="358">
        <f t="shared" si="23"/>
        <v>1</v>
      </c>
      <c r="F97" s="232" t="s">
        <v>508</v>
      </c>
      <c r="G97" s="241">
        <v>45099</v>
      </c>
      <c r="H97" s="263"/>
      <c r="I97" s="264"/>
      <c r="J97" s="250" t="s">
        <v>427</v>
      </c>
      <c r="K97" s="250" t="s">
        <v>231</v>
      </c>
      <c r="L97" s="250" t="s">
        <v>641</v>
      </c>
      <c r="M97" s="235" t="s">
        <v>444</v>
      </c>
      <c r="N97" s="235"/>
      <c r="O97" s="284"/>
      <c r="P97" s="284"/>
      <c r="Q97" s="284"/>
      <c r="R97" s="286" t="str">
        <f t="shared" si="24"/>
        <v xml:space="preserve">. Intake Manifold </v>
      </c>
      <c r="S97" s="286"/>
      <c r="T97" s="235"/>
      <c r="U97" s="250"/>
      <c r="V97" s="235"/>
      <c r="W97" s="250"/>
      <c r="X97" s="250"/>
      <c r="Y97" s="250"/>
      <c r="Z97" s="250" t="s">
        <v>641</v>
      </c>
      <c r="AA97" s="250"/>
      <c r="AB97" s="250"/>
      <c r="AC97" s="244" t="s">
        <v>449</v>
      </c>
      <c r="AD97" s="250">
        <v>1148742</v>
      </c>
      <c r="AE97" s="250">
        <v>90</v>
      </c>
      <c r="AF97" s="252" t="s">
        <v>434</v>
      </c>
      <c r="AG97" s="247"/>
      <c r="AH97" s="248" t="s">
        <v>569</v>
      </c>
      <c r="AJ97" s="249"/>
      <c r="AK97" s="232" t="s">
        <v>642</v>
      </c>
      <c r="AN97" s="233" t="s">
        <v>643</v>
      </c>
      <c r="AO97" s="232" t="s">
        <v>411</v>
      </c>
      <c r="AP97" s="232">
        <v>50523</v>
      </c>
      <c r="AQ97" s="232" t="str">
        <f>CONCATENATE(AN97,AO97,AP97)</f>
        <v>329-50523</v>
      </c>
      <c r="AX97" s="250"/>
      <c r="AY97" s="250"/>
      <c r="AZ97" s="232" t="str">
        <f>IF($AX97="Yes",'8. Option Codes Decrypted'!$C$15,"")</f>
        <v/>
      </c>
      <c r="BA97" s="232" t="str">
        <f>IF($AX97="Yes",'8. Option Codes Decrypted'!$C$16,"")</f>
        <v/>
      </c>
      <c r="BB97" s="232" t="str">
        <f>IF($AX97="Yes",'8. Option Codes Decrypted'!$C$17,"")</f>
        <v/>
      </c>
      <c r="BC97" s="232" t="str">
        <f>IF($AX97="Yes",'8. Option Codes Decrypted'!$C$18,"")</f>
        <v/>
      </c>
      <c r="BD97" s="232" t="str">
        <f>IF($AY97="Yes",'8. Option Codes Decrypted'!$C$20,"")</f>
        <v/>
      </c>
      <c r="BE97" s="232" t="str">
        <f>IF($AY97="Yes",'8. Option Codes Decrypted'!$C$21,"")</f>
        <v/>
      </c>
      <c r="BF97" s="232" t="str">
        <f>IF($AY97="Yes",'8. Option Codes Decrypted'!$C$22,"")</f>
        <v/>
      </c>
      <c r="BG97" s="232" t="str">
        <f>IF($AY97="Yes",'8. Option Codes Decrypted'!$C$23,"")</f>
        <v/>
      </c>
    </row>
    <row r="98" spans="1:59" s="232" customFormat="1" x14ac:dyDescent="0.25">
      <c r="A98" s="232" t="str">
        <f t="shared" si="25"/>
        <v/>
      </c>
      <c r="B98" s="358" t="str">
        <f t="shared" si="26"/>
        <v>311-59542</v>
      </c>
      <c r="C98" s="358" t="str">
        <f>IF(AS98&lt;&gt;"",AS98,"")</f>
        <v/>
      </c>
      <c r="D98" s="358"/>
      <c r="E98" s="358">
        <f t="shared" si="23"/>
        <v>1</v>
      </c>
      <c r="F98" s="232" t="s">
        <v>426</v>
      </c>
      <c r="G98" s="241">
        <v>44670</v>
      </c>
      <c r="H98" s="257" t="s">
        <v>580</v>
      </c>
      <c r="I98" s="260"/>
      <c r="J98" s="260" t="s">
        <v>427</v>
      </c>
      <c r="K98" s="260" t="s">
        <v>231</v>
      </c>
      <c r="L98" s="260" t="s">
        <v>644</v>
      </c>
      <c r="M98" s="235" t="s">
        <v>444</v>
      </c>
      <c r="N98" s="235"/>
      <c r="O98" s="284"/>
      <c r="P98" s="284"/>
      <c r="Q98" s="284"/>
      <c r="R98" s="286" t="str">
        <f t="shared" si="24"/>
        <v>. Oil Pan, Engine</v>
      </c>
      <c r="S98" s="286"/>
      <c r="T98" s="235"/>
      <c r="U98" s="250"/>
      <c r="V98" s="235"/>
      <c r="W98" s="250"/>
      <c r="X98" s="250"/>
      <c r="Y98" s="250"/>
      <c r="Z98" s="260" t="s">
        <v>644</v>
      </c>
      <c r="AA98" s="260" t="s">
        <v>645</v>
      </c>
      <c r="AB98" s="260" t="s">
        <v>646</v>
      </c>
      <c r="AC98" s="244" t="s">
        <v>449</v>
      </c>
      <c r="AD98" s="260"/>
      <c r="AE98" s="260">
        <v>750</v>
      </c>
      <c r="AF98" s="262" t="s">
        <v>647</v>
      </c>
      <c r="AG98" s="247"/>
      <c r="AH98" s="248" t="s">
        <v>569</v>
      </c>
      <c r="AI98" s="258" t="s">
        <v>580</v>
      </c>
      <c r="AJ98" s="249" t="s">
        <v>648</v>
      </c>
      <c r="AK98" s="232" t="s">
        <v>649</v>
      </c>
      <c r="AL98" s="232" t="s">
        <v>650</v>
      </c>
      <c r="AN98" s="233" t="s">
        <v>651</v>
      </c>
      <c r="AO98" s="232" t="s">
        <v>411</v>
      </c>
      <c r="AP98" s="232">
        <v>59542</v>
      </c>
      <c r="AQ98" s="232" t="str">
        <f>CONCATENATE(AN98,AO98,AP98)</f>
        <v>311-59542</v>
      </c>
      <c r="AX98" s="250"/>
      <c r="AY98" s="250"/>
      <c r="AZ98" s="232" t="str">
        <f>IF($AX98="Yes",'8. Option Codes Decrypted'!$C$15,"")</f>
        <v/>
      </c>
      <c r="BA98" s="232" t="str">
        <f>IF($AX98="Yes",'8. Option Codes Decrypted'!$C$16,"")</f>
        <v/>
      </c>
      <c r="BB98" s="232" t="str">
        <f>IF($AX98="Yes",'8. Option Codes Decrypted'!$C$17,"")</f>
        <v/>
      </c>
      <c r="BC98" s="232" t="str">
        <f>IF($AX98="Yes",'8. Option Codes Decrypted'!$C$18,"")</f>
        <v/>
      </c>
      <c r="BD98" s="232" t="str">
        <f>IF($AY98="Yes",'8. Option Codes Decrypted'!$C$20,"")</f>
        <v/>
      </c>
      <c r="BE98" s="232" t="str">
        <f>IF($AY98="Yes",'8. Option Codes Decrypted'!$C$21,"")</f>
        <v/>
      </c>
      <c r="BF98" s="232" t="str">
        <f>IF($AY98="Yes",'8. Option Codes Decrypted'!$C$22,"")</f>
        <v/>
      </c>
      <c r="BG98" s="232" t="str">
        <f>IF($AY98="Yes",'8. Option Codes Decrypted'!$C$23,"")</f>
        <v/>
      </c>
    </row>
    <row r="99" spans="1:59" x14ac:dyDescent="0.25">
      <c r="A99" s="232" t="str">
        <f t="shared" si="25"/>
        <v/>
      </c>
      <c r="B99" s="358" t="str">
        <f t="shared" si="26"/>
        <v/>
      </c>
      <c r="C99" s="358" t="str">
        <f>IF(AS99&lt;&gt;"",AS99,"")</f>
        <v/>
      </c>
      <c r="D99" s="358"/>
      <c r="E99" s="358" t="str">
        <f t="shared" si="23"/>
        <v/>
      </c>
      <c r="F99" t="s">
        <v>508</v>
      </c>
      <c r="G99" s="230">
        <v>45099</v>
      </c>
      <c r="H99" s="10"/>
      <c r="I99" s="203"/>
      <c r="J99" s="16" t="s">
        <v>427</v>
      </c>
      <c r="K99" s="16" t="s">
        <v>231</v>
      </c>
      <c r="L99" s="16" t="s">
        <v>652</v>
      </c>
      <c r="M99" s="16" t="s">
        <v>430</v>
      </c>
      <c r="N99" s="16"/>
      <c r="O99" s="191"/>
      <c r="P99" s="191"/>
      <c r="Q99" s="191"/>
      <c r="R99" s="286" t="str">
        <f t="shared" si="24"/>
        <v xml:space="preserve">. Oil Pressure Solenoid </v>
      </c>
      <c r="S99" s="286"/>
      <c r="T99" s="16"/>
      <c r="U99" s="16"/>
      <c r="V99" s="16"/>
      <c r="W99" s="16"/>
      <c r="X99" s="16"/>
      <c r="Y99" s="16"/>
      <c r="Z99" s="16" t="s">
        <v>652</v>
      </c>
      <c r="AA99" s="16" t="s">
        <v>652</v>
      </c>
      <c r="AB99" s="16" t="s">
        <v>652</v>
      </c>
      <c r="AC99" s="193" t="s">
        <v>449</v>
      </c>
      <c r="AD99" s="16"/>
      <c r="AE99" s="16">
        <v>55</v>
      </c>
      <c r="AF99" s="99" t="s">
        <v>434</v>
      </c>
      <c r="AH99" s="3" t="s">
        <v>435</v>
      </c>
      <c r="AJ99" s="69"/>
      <c r="AK99" t="s">
        <v>653</v>
      </c>
      <c r="AN99"/>
      <c r="AX99" s="16"/>
      <c r="AY99" s="16"/>
      <c r="AZ99" s="232" t="str">
        <f>IF($AX99="Yes",'8. Option Codes Decrypted'!$C$15,"")</f>
        <v/>
      </c>
      <c r="BA99" s="232" t="str">
        <f>IF($AX99="Yes",'8. Option Codes Decrypted'!$C$16,"")</f>
        <v/>
      </c>
      <c r="BB99" s="232" t="str">
        <f>IF($AX99="Yes",'8. Option Codes Decrypted'!$C$17,"")</f>
        <v/>
      </c>
      <c r="BC99" s="232" t="str">
        <f>IF($AX99="Yes",'8. Option Codes Decrypted'!$C$18,"")</f>
        <v/>
      </c>
      <c r="BD99" s="232" t="str">
        <f>IF($AY99="Yes",'8. Option Codes Decrypted'!$C$20,"")</f>
        <v/>
      </c>
      <c r="BE99" s="232" t="str">
        <f>IF($AY99="Yes",'8. Option Codes Decrypted'!$C$21,"")</f>
        <v/>
      </c>
      <c r="BF99" s="232" t="str">
        <f>IF($AY99="Yes",'8. Option Codes Decrypted'!$C$22,"")</f>
        <v/>
      </c>
      <c r="BG99" s="232" t="str">
        <f>IF($AY99="Yes",'8. Option Codes Decrypted'!$C$23,"")</f>
        <v/>
      </c>
    </row>
    <row r="100" spans="1:59" ht="15.75" thickBot="1" x14ac:dyDescent="0.3">
      <c r="A100" s="232" t="str">
        <f t="shared" si="25"/>
        <v/>
      </c>
      <c r="B100" s="358" t="str">
        <f t="shared" si="26"/>
        <v/>
      </c>
      <c r="C100" s="358" t="str">
        <f>IF(AS100&lt;&gt;"",AS100,"")</f>
        <v/>
      </c>
      <c r="D100" s="358"/>
      <c r="E100" s="358" t="str">
        <f t="shared" si="23"/>
        <v/>
      </c>
      <c r="F100" t="s">
        <v>508</v>
      </c>
      <c r="G100" s="230">
        <v>45099</v>
      </c>
      <c r="H100" s="19"/>
      <c r="I100" s="16"/>
      <c r="J100" s="16" t="s">
        <v>427</v>
      </c>
      <c r="K100" s="16" t="s">
        <v>231</v>
      </c>
      <c r="L100" s="16" t="s">
        <v>654</v>
      </c>
      <c r="M100" s="16" t="s">
        <v>430</v>
      </c>
      <c r="N100" s="16"/>
      <c r="O100" s="191"/>
      <c r="P100" s="191"/>
      <c r="Q100" s="191"/>
      <c r="R100" s="286" t="str">
        <f t="shared" si="24"/>
        <v xml:space="preserve">. Oil Pump </v>
      </c>
      <c r="S100" s="286"/>
      <c r="T100" s="16"/>
      <c r="U100" s="16"/>
      <c r="V100" s="16"/>
      <c r="W100" s="16"/>
      <c r="X100" s="16"/>
      <c r="Y100" s="16"/>
      <c r="Z100" s="16" t="s">
        <v>654</v>
      </c>
      <c r="AA100" s="16" t="s">
        <v>654</v>
      </c>
      <c r="AB100" s="16" t="s">
        <v>654</v>
      </c>
      <c r="AC100" s="193" t="s">
        <v>449</v>
      </c>
      <c r="AD100" s="16"/>
      <c r="AE100" s="20">
        <v>130</v>
      </c>
      <c r="AF100" s="99" t="s">
        <v>434</v>
      </c>
      <c r="AH100" s="3" t="s">
        <v>612</v>
      </c>
      <c r="AJ100" s="69"/>
      <c r="AK100" t="s">
        <v>655</v>
      </c>
      <c r="AN100"/>
      <c r="AX100" s="16"/>
      <c r="AY100" s="16"/>
      <c r="AZ100" s="232" t="str">
        <f>IF($AX100="Yes",'8. Option Codes Decrypted'!$C$15,"")</f>
        <v/>
      </c>
      <c r="BA100" s="232" t="str">
        <f>IF($AX100="Yes",'8. Option Codes Decrypted'!$C$16,"")</f>
        <v/>
      </c>
      <c r="BB100" s="232" t="str">
        <f>IF($AX100="Yes",'8. Option Codes Decrypted'!$C$17,"")</f>
        <v/>
      </c>
      <c r="BC100" s="232" t="str">
        <f>IF($AX100="Yes",'8. Option Codes Decrypted'!$C$18,"")</f>
        <v/>
      </c>
      <c r="BD100" s="232" t="str">
        <f>IF($AY100="Yes",'8. Option Codes Decrypted'!$C$20,"")</f>
        <v/>
      </c>
      <c r="BE100" s="232" t="str">
        <f>IF($AY100="Yes",'8. Option Codes Decrypted'!$C$21,"")</f>
        <v/>
      </c>
      <c r="BF100" s="232" t="str">
        <f>IF($AY100="Yes",'8. Option Codes Decrypted'!$C$22,"")</f>
        <v/>
      </c>
      <c r="BG100" s="232" t="str">
        <f>IF($AY100="Yes",'8. Option Codes Decrypted'!$C$23,"")</f>
        <v/>
      </c>
    </row>
    <row r="101" spans="1:59" s="296" customFormat="1" ht="15.75" thickBot="1" x14ac:dyDescent="0.3">
      <c r="A101" s="232" t="str">
        <f t="shared" si="25"/>
        <v>A44</v>
      </c>
      <c r="B101" s="358" t="str">
        <f t="shared" si="26"/>
        <v/>
      </c>
      <c r="C101" s="358" t="str">
        <f>IF(AS101&lt;&gt;"",AS101,"")</f>
        <v>F15-Oxygen Sensor SET2-14-18 3.0L N55-ALL</v>
      </c>
      <c r="D101" s="358"/>
      <c r="E101" s="358" t="str">
        <f t="shared" si="23"/>
        <v/>
      </c>
      <c r="F101" s="296" t="s">
        <v>508</v>
      </c>
      <c r="G101" s="297">
        <v>44691</v>
      </c>
      <c r="H101" s="309"/>
      <c r="I101" s="298"/>
      <c r="J101" s="298" t="s">
        <v>427</v>
      </c>
      <c r="K101" s="298" t="s">
        <v>231</v>
      </c>
      <c r="L101" s="298" t="s">
        <v>656</v>
      </c>
      <c r="M101" s="298" t="s">
        <v>430</v>
      </c>
      <c r="N101" s="298">
        <v>34</v>
      </c>
      <c r="O101" s="299" t="s">
        <v>288</v>
      </c>
      <c r="P101" s="299" t="s">
        <v>459</v>
      </c>
      <c r="Q101" s="299">
        <v>1</v>
      </c>
      <c r="R101" s="299" t="str">
        <f t="shared" si="24"/>
        <v>A44. Oxygen Sensor SET2</v>
      </c>
      <c r="S101" s="365" t="str">
        <f>HYPERLINK(VLOOKUP(O101,'3D. Pictures'!$B$3:$E$500,4,FALSE),"PIC")</f>
        <v>PIC</v>
      </c>
      <c r="T101" s="298">
        <v>5</v>
      </c>
      <c r="U101" s="298" t="s">
        <v>657</v>
      </c>
      <c r="V101" s="298" t="s">
        <v>81</v>
      </c>
      <c r="W101" s="298"/>
      <c r="X101" s="298"/>
      <c r="Y101" s="298"/>
      <c r="Z101" s="298" t="s">
        <v>658</v>
      </c>
      <c r="AA101" s="298" t="s">
        <v>463</v>
      </c>
      <c r="AB101" s="298" t="s">
        <v>659</v>
      </c>
      <c r="AC101" s="213" t="s">
        <v>439</v>
      </c>
      <c r="AD101" s="298"/>
      <c r="AE101" s="298">
        <v>75</v>
      </c>
      <c r="AF101" s="99" t="s">
        <v>434</v>
      </c>
      <c r="AG101" s="56"/>
      <c r="AH101" s="302" t="s">
        <v>435</v>
      </c>
      <c r="AI101"/>
      <c r="AJ101" s="69"/>
      <c r="AK101" s="296" t="s">
        <v>660</v>
      </c>
      <c r="AL101"/>
      <c r="AM101"/>
      <c r="AS101" s="296" t="str">
        <f>CONCATENATE(AT101,"-",AU101,"-",AV101,"-",AW101)</f>
        <v>F15-Oxygen Sensor SET2-14-18 3.0L N55-ALL</v>
      </c>
      <c r="AT101" s="296" t="s">
        <v>661</v>
      </c>
      <c r="AU101" s="296" t="str">
        <f>Z101</f>
        <v>Oxygen Sensor SET2</v>
      </c>
      <c r="AV101" s="296" t="s">
        <v>612</v>
      </c>
      <c r="AW101" s="296" t="s">
        <v>662</v>
      </c>
      <c r="AX101" s="298"/>
      <c r="AY101" s="298"/>
      <c r="AZ101" s="232" t="str">
        <f>IF($AX101="Yes",'8. Option Codes Decrypted'!$C$15,"")</f>
        <v/>
      </c>
      <c r="BA101" s="232" t="str">
        <f>IF($AX101="Yes",'8. Option Codes Decrypted'!$C$16,"")</f>
        <v/>
      </c>
      <c r="BB101" s="232" t="str">
        <f>IF($AX101="Yes",'8. Option Codes Decrypted'!$C$17,"")</f>
        <v/>
      </c>
      <c r="BC101" s="232" t="str">
        <f>IF($AX101="Yes",'8. Option Codes Decrypted'!$C$18,"")</f>
        <v/>
      </c>
      <c r="BD101" s="232" t="str">
        <f>IF($AY101="Yes",'8. Option Codes Decrypted'!$C$20,"")</f>
        <v/>
      </c>
      <c r="BE101" s="232" t="str">
        <f>IF($AY101="Yes",'8. Option Codes Decrypted'!$C$21,"")</f>
        <v/>
      </c>
      <c r="BF101" s="232" t="str">
        <f>IF($AY101="Yes",'8. Option Codes Decrypted'!$C$22,"")</f>
        <v/>
      </c>
      <c r="BG101" s="232" t="str">
        <f>IF($AY101="Yes",'8. Option Codes Decrypted'!$C$23,"")</f>
        <v/>
      </c>
    </row>
    <row r="102" spans="1:59" s="232" customFormat="1" x14ac:dyDescent="0.25">
      <c r="A102" s="232" t="str">
        <f t="shared" si="25"/>
        <v/>
      </c>
      <c r="B102" s="358" t="str">
        <f t="shared" si="26"/>
        <v>304-999565</v>
      </c>
      <c r="C102" s="358" t="s">
        <v>663</v>
      </c>
      <c r="D102" s="358"/>
      <c r="E102" s="358">
        <f t="shared" si="23"/>
        <v>3</v>
      </c>
      <c r="F102" s="232" t="s">
        <v>426</v>
      </c>
      <c r="G102" s="241">
        <v>44670</v>
      </c>
      <c r="H102" s="257" t="s">
        <v>580</v>
      </c>
      <c r="I102" s="260"/>
      <c r="J102" s="260" t="s">
        <v>427</v>
      </c>
      <c r="K102" s="260" t="s">
        <v>231</v>
      </c>
      <c r="L102" s="260" t="s">
        <v>664</v>
      </c>
      <c r="M102" s="235" t="s">
        <v>444</v>
      </c>
      <c r="N102" s="235"/>
      <c r="O102" s="284"/>
      <c r="P102" s="284"/>
      <c r="Q102" s="284"/>
      <c r="R102" s="286" t="str">
        <f t="shared" si="24"/>
        <v>. Pistons &amp; Rods SET6</v>
      </c>
      <c r="S102" s="286"/>
      <c r="T102" s="235"/>
      <c r="U102" s="250"/>
      <c r="V102" s="235"/>
      <c r="W102" s="250"/>
      <c r="X102" s="250"/>
      <c r="Y102" s="250"/>
      <c r="Z102" s="260" t="s">
        <v>665</v>
      </c>
      <c r="AA102" s="260" t="s">
        <v>666</v>
      </c>
      <c r="AB102" s="260"/>
      <c r="AC102" s="244" t="s">
        <v>618</v>
      </c>
      <c r="AD102" s="260"/>
      <c r="AE102" s="260">
        <v>850</v>
      </c>
      <c r="AF102" s="252" t="s">
        <v>434</v>
      </c>
      <c r="AG102" s="247"/>
      <c r="AH102" s="248" t="s">
        <v>569</v>
      </c>
      <c r="AI102" s="258" t="s">
        <v>580</v>
      </c>
      <c r="AJ102" s="249"/>
      <c r="AK102" s="232" t="s">
        <v>667</v>
      </c>
      <c r="AL102" s="232" t="s">
        <v>668</v>
      </c>
      <c r="AN102" s="233" t="s">
        <v>669</v>
      </c>
      <c r="AO102" s="232" t="s">
        <v>411</v>
      </c>
      <c r="AP102" s="232">
        <v>999565</v>
      </c>
      <c r="AQ102" s="232" t="str">
        <f t="shared" ref="AQ102:AQ107" si="28">CONCATENATE(AN102,AO102,AP102)</f>
        <v>304-999565</v>
      </c>
      <c r="AX102" s="250"/>
      <c r="AY102" s="250"/>
      <c r="AZ102" s="232" t="str">
        <f>IF($AX102="Yes",'8. Option Codes Decrypted'!$C$15,"")</f>
        <v/>
      </c>
      <c r="BA102" s="232" t="str">
        <f>IF($AX102="Yes",'8. Option Codes Decrypted'!$C$16,"")</f>
        <v/>
      </c>
      <c r="BB102" s="232" t="str">
        <f>IF($AX102="Yes",'8. Option Codes Decrypted'!$C$17,"")</f>
        <v/>
      </c>
      <c r="BC102" s="232" t="str">
        <f>IF($AX102="Yes",'8. Option Codes Decrypted'!$C$18,"")</f>
        <v/>
      </c>
      <c r="BD102" s="232" t="str">
        <f>IF($AY102="Yes",'8. Option Codes Decrypted'!$C$20,"")</f>
        <v/>
      </c>
      <c r="BE102" s="232" t="str">
        <f>IF($AY102="Yes",'8. Option Codes Decrypted'!$C$21,"")</f>
        <v/>
      </c>
      <c r="BF102" s="232" t="str">
        <f>IF($AY102="Yes",'8. Option Codes Decrypted'!$C$22,"")</f>
        <v/>
      </c>
      <c r="BG102" s="232" t="str">
        <f>IF($AY102="Yes",'8. Option Codes Decrypted'!$C$23,"")</f>
        <v/>
      </c>
    </row>
    <row r="103" spans="1:59" s="232" customFormat="1" x14ac:dyDescent="0.25">
      <c r="A103" s="232" t="str">
        <f t="shared" si="25"/>
        <v/>
      </c>
      <c r="B103" s="358" t="str">
        <f t="shared" si="26"/>
        <v>304-999565</v>
      </c>
      <c r="C103" s="358" t="s">
        <v>670</v>
      </c>
      <c r="D103" s="358"/>
      <c r="E103" s="358">
        <f t="shared" si="23"/>
        <v>3</v>
      </c>
      <c r="F103" s="232" t="s">
        <v>426</v>
      </c>
      <c r="G103" s="241">
        <v>44670</v>
      </c>
      <c r="H103" s="257" t="s">
        <v>580</v>
      </c>
      <c r="I103" s="260"/>
      <c r="J103" s="260" t="s">
        <v>427</v>
      </c>
      <c r="K103" s="260" t="s">
        <v>231</v>
      </c>
      <c r="L103" s="260" t="s">
        <v>664</v>
      </c>
      <c r="M103" s="235" t="s">
        <v>444</v>
      </c>
      <c r="N103" s="235"/>
      <c r="O103" s="284"/>
      <c r="P103" s="284"/>
      <c r="Q103" s="284"/>
      <c r="R103" s="286" t="str">
        <f t="shared" si="24"/>
        <v>. Pistons Single</v>
      </c>
      <c r="S103" s="286"/>
      <c r="T103" s="235"/>
      <c r="U103" s="250"/>
      <c r="V103" s="235"/>
      <c r="W103" s="250"/>
      <c r="X103" s="250"/>
      <c r="Y103" s="250"/>
      <c r="Z103" s="260" t="s">
        <v>671</v>
      </c>
      <c r="AA103" s="260"/>
      <c r="AB103" s="260"/>
      <c r="AC103" s="244" t="s">
        <v>618</v>
      </c>
      <c r="AD103" s="260"/>
      <c r="AE103" s="260">
        <v>150</v>
      </c>
      <c r="AF103" s="252" t="s">
        <v>434</v>
      </c>
      <c r="AG103" s="247"/>
      <c r="AH103" s="248" t="s">
        <v>569</v>
      </c>
      <c r="AI103" s="258" t="s">
        <v>580</v>
      </c>
      <c r="AJ103" s="249"/>
      <c r="AK103" s="232" t="s">
        <v>667</v>
      </c>
      <c r="AL103" s="232" t="s">
        <v>668</v>
      </c>
      <c r="AN103" s="233" t="s">
        <v>669</v>
      </c>
      <c r="AO103" s="232" t="s">
        <v>411</v>
      </c>
      <c r="AP103" s="232">
        <v>999565</v>
      </c>
      <c r="AQ103" s="232" t="str">
        <f t="shared" si="28"/>
        <v>304-999565</v>
      </c>
      <c r="AX103" s="250"/>
      <c r="AY103" s="250"/>
      <c r="AZ103" s="232" t="str">
        <f>IF($AX103="Yes",'8. Option Codes Decrypted'!$C$15,"")</f>
        <v/>
      </c>
      <c r="BA103" s="232" t="str">
        <f>IF($AX103="Yes",'8. Option Codes Decrypted'!$C$16,"")</f>
        <v/>
      </c>
      <c r="BB103" s="232" t="str">
        <f>IF($AX103="Yes",'8. Option Codes Decrypted'!$C$17,"")</f>
        <v/>
      </c>
      <c r="BC103" s="232" t="str">
        <f>IF($AX103="Yes",'8. Option Codes Decrypted'!$C$18,"")</f>
        <v/>
      </c>
      <c r="BD103" s="232" t="str">
        <f>IF($AY103="Yes",'8. Option Codes Decrypted'!$C$20,"")</f>
        <v/>
      </c>
      <c r="BE103" s="232" t="str">
        <f>IF($AY103="Yes",'8. Option Codes Decrypted'!$C$21,"")</f>
        <v/>
      </c>
      <c r="BF103" s="232" t="str">
        <f>IF($AY103="Yes",'8. Option Codes Decrypted'!$C$22,"")</f>
        <v/>
      </c>
      <c r="BG103" s="232" t="str">
        <f>IF($AY103="Yes",'8. Option Codes Decrypted'!$C$23,"")</f>
        <v/>
      </c>
    </row>
    <row r="104" spans="1:59" s="232" customFormat="1" x14ac:dyDescent="0.25">
      <c r="A104" s="232" t="str">
        <f t="shared" si="25"/>
        <v/>
      </c>
      <c r="B104" s="358" t="str">
        <f t="shared" si="26"/>
        <v>304-999565</v>
      </c>
      <c r="C104" s="358" t="s">
        <v>672</v>
      </c>
      <c r="D104" s="358"/>
      <c r="E104" s="358">
        <f t="shared" si="23"/>
        <v>3</v>
      </c>
      <c r="F104" s="232" t="s">
        <v>426</v>
      </c>
      <c r="G104" s="241">
        <v>44670</v>
      </c>
      <c r="H104" s="257" t="s">
        <v>580</v>
      </c>
      <c r="I104" s="260"/>
      <c r="J104" s="260" t="s">
        <v>427</v>
      </c>
      <c r="K104" s="260" t="s">
        <v>231</v>
      </c>
      <c r="L104" s="260" t="s">
        <v>664</v>
      </c>
      <c r="M104" s="235" t="s">
        <v>444</v>
      </c>
      <c r="N104" s="235"/>
      <c r="O104" s="284"/>
      <c r="P104" s="284"/>
      <c r="Q104" s="284"/>
      <c r="R104" s="286" t="str">
        <f t="shared" si="24"/>
        <v>. Piston Rod SET6</v>
      </c>
      <c r="S104" s="286"/>
      <c r="T104" s="235"/>
      <c r="U104" s="250"/>
      <c r="V104" s="235"/>
      <c r="W104" s="250"/>
      <c r="X104" s="250"/>
      <c r="Y104" s="250"/>
      <c r="Z104" s="260" t="s">
        <v>673</v>
      </c>
      <c r="AA104" s="260"/>
      <c r="AB104" s="260"/>
      <c r="AC104" s="244" t="s">
        <v>618</v>
      </c>
      <c r="AD104" s="260"/>
      <c r="AE104" s="260">
        <v>200</v>
      </c>
      <c r="AF104" s="252" t="s">
        <v>434</v>
      </c>
      <c r="AG104" s="247"/>
      <c r="AH104" s="248" t="s">
        <v>569</v>
      </c>
      <c r="AI104" s="258" t="s">
        <v>580</v>
      </c>
      <c r="AJ104" s="249"/>
      <c r="AK104" s="232" t="s">
        <v>667</v>
      </c>
      <c r="AL104" s="232" t="s">
        <v>668</v>
      </c>
      <c r="AN104" s="233" t="s">
        <v>669</v>
      </c>
      <c r="AO104" s="232" t="s">
        <v>411</v>
      </c>
      <c r="AP104" s="232">
        <v>999565</v>
      </c>
      <c r="AQ104" s="232" t="str">
        <f t="shared" si="28"/>
        <v>304-999565</v>
      </c>
      <c r="AX104" s="250"/>
      <c r="AY104" s="250"/>
      <c r="AZ104" s="232" t="str">
        <f>IF($AX104="Yes",'8. Option Codes Decrypted'!$C$15,"")</f>
        <v/>
      </c>
      <c r="BA104" s="232" t="str">
        <f>IF($AX104="Yes",'8. Option Codes Decrypted'!$C$16,"")</f>
        <v/>
      </c>
      <c r="BB104" s="232" t="str">
        <f>IF($AX104="Yes",'8. Option Codes Decrypted'!$C$17,"")</f>
        <v/>
      </c>
      <c r="BC104" s="232" t="str">
        <f>IF($AX104="Yes",'8. Option Codes Decrypted'!$C$18,"")</f>
        <v/>
      </c>
      <c r="BD104" s="232" t="str">
        <f>IF($AY104="Yes",'8. Option Codes Decrypted'!$C$20,"")</f>
        <v/>
      </c>
      <c r="BE104" s="232" t="str">
        <f>IF($AY104="Yes",'8. Option Codes Decrypted'!$C$21,"")</f>
        <v/>
      </c>
      <c r="BF104" s="232" t="str">
        <f>IF($AY104="Yes",'8. Option Codes Decrypted'!$C$22,"")</f>
        <v/>
      </c>
      <c r="BG104" s="232" t="str">
        <f>IF($AY104="Yes",'8. Option Codes Decrypted'!$C$23,"")</f>
        <v/>
      </c>
    </row>
    <row r="105" spans="1:59" s="232" customFormat="1" x14ac:dyDescent="0.25">
      <c r="A105" s="232" t="str">
        <f t="shared" si="25"/>
        <v/>
      </c>
      <c r="B105" s="358" t="str">
        <f t="shared" si="26"/>
        <v>553-50399</v>
      </c>
      <c r="C105" s="358" t="str">
        <f t="shared" ref="C105:C124" si="29">IF(AS105&lt;&gt;"",AS105,"")</f>
        <v/>
      </c>
      <c r="D105" s="358"/>
      <c r="E105" s="358">
        <f t="shared" si="23"/>
        <v>1</v>
      </c>
      <c r="F105" s="232" t="s">
        <v>426</v>
      </c>
      <c r="G105" s="241">
        <v>44670</v>
      </c>
      <c r="H105" s="257"/>
      <c r="I105" s="250"/>
      <c r="J105" s="250" t="s">
        <v>427</v>
      </c>
      <c r="K105" s="250" t="s">
        <v>231</v>
      </c>
      <c r="L105" s="250" t="s">
        <v>674</v>
      </c>
      <c r="M105" s="235" t="s">
        <v>444</v>
      </c>
      <c r="N105" s="235"/>
      <c r="O105" s="284"/>
      <c r="P105" s="284"/>
      <c r="Q105" s="284"/>
      <c r="R105" s="286" t="str">
        <f t="shared" si="24"/>
        <v>. Power Steering Pump</v>
      </c>
      <c r="S105" s="286"/>
      <c r="T105" s="235"/>
      <c r="U105" s="250"/>
      <c r="V105" s="235"/>
      <c r="W105" s="250"/>
      <c r="X105" s="250"/>
      <c r="Y105" s="250"/>
      <c r="Z105" s="250" t="s">
        <v>674</v>
      </c>
      <c r="AA105" s="250" t="s">
        <v>675</v>
      </c>
      <c r="AB105" s="250"/>
      <c r="AC105" s="244" t="s">
        <v>449</v>
      </c>
      <c r="AD105" s="250"/>
      <c r="AE105" s="250">
        <v>400</v>
      </c>
      <c r="AF105" s="252" t="s">
        <v>434</v>
      </c>
      <c r="AG105" s="247"/>
      <c r="AH105" s="248" t="s">
        <v>569</v>
      </c>
      <c r="AJ105" s="249"/>
      <c r="AK105" s="232" t="s">
        <v>676</v>
      </c>
      <c r="AN105" s="233" t="s">
        <v>677</v>
      </c>
      <c r="AO105" s="232" t="s">
        <v>411</v>
      </c>
      <c r="AP105" s="232">
        <v>50399</v>
      </c>
      <c r="AQ105" s="232" t="str">
        <f t="shared" si="28"/>
        <v>553-50399</v>
      </c>
      <c r="AR105" s="232" t="s">
        <v>678</v>
      </c>
      <c r="AX105" s="250"/>
      <c r="AY105" s="250"/>
      <c r="AZ105" s="232" t="str">
        <f>IF($AX105="Yes",'8. Option Codes Decrypted'!$C$15,"")</f>
        <v/>
      </c>
      <c r="BA105" s="232" t="str">
        <f>IF($AX105="Yes",'8. Option Codes Decrypted'!$C$16,"")</f>
        <v/>
      </c>
      <c r="BB105" s="232" t="str">
        <f>IF($AX105="Yes",'8. Option Codes Decrypted'!$C$17,"")</f>
        <v/>
      </c>
      <c r="BC105" s="232" t="str">
        <f>IF($AX105="Yes",'8. Option Codes Decrypted'!$C$18,"")</f>
        <v/>
      </c>
      <c r="BD105" s="232" t="str">
        <f>IF($AY105="Yes",'8. Option Codes Decrypted'!$C$20,"")</f>
        <v/>
      </c>
      <c r="BE105" s="232" t="str">
        <f>IF($AY105="Yes",'8. Option Codes Decrypted'!$C$21,"")</f>
        <v/>
      </c>
      <c r="BF105" s="232" t="str">
        <f>IF($AY105="Yes",'8. Option Codes Decrypted'!$C$22,"")</f>
        <v/>
      </c>
      <c r="BG105" s="232" t="str">
        <f>IF($AY105="Yes",'8. Option Codes Decrypted'!$C$23,"")</f>
        <v/>
      </c>
    </row>
    <row r="106" spans="1:59" s="232" customFormat="1" x14ac:dyDescent="0.25">
      <c r="A106" s="232" t="str">
        <f t="shared" si="25"/>
        <v/>
      </c>
      <c r="B106" s="358" t="str">
        <f t="shared" si="26"/>
        <v>553-50401</v>
      </c>
      <c r="C106" s="358" t="str">
        <f t="shared" si="29"/>
        <v/>
      </c>
      <c r="D106" s="358"/>
      <c r="E106" s="358">
        <f t="shared" si="23"/>
        <v>1</v>
      </c>
      <c r="F106" s="232" t="s">
        <v>426</v>
      </c>
      <c r="G106" s="241">
        <v>44670</v>
      </c>
      <c r="H106" s="257"/>
      <c r="I106" s="250"/>
      <c r="J106" s="250" t="s">
        <v>427</v>
      </c>
      <c r="K106" s="250" t="s">
        <v>231</v>
      </c>
      <c r="L106" s="250" t="s">
        <v>674</v>
      </c>
      <c r="M106" s="235" t="s">
        <v>444</v>
      </c>
      <c r="N106" s="235"/>
      <c r="O106" s="284"/>
      <c r="P106" s="284"/>
      <c r="Q106" s="284"/>
      <c r="R106" s="286" t="str">
        <f t="shared" si="24"/>
        <v>. Power Steering Pump</v>
      </c>
      <c r="S106" s="286"/>
      <c r="T106" s="235"/>
      <c r="U106" s="250"/>
      <c r="V106" s="235"/>
      <c r="W106" s="250"/>
      <c r="X106" s="250"/>
      <c r="Y106" s="250"/>
      <c r="Z106" s="250" t="s">
        <v>674</v>
      </c>
      <c r="AA106" s="250" t="s">
        <v>675</v>
      </c>
      <c r="AB106" s="250"/>
      <c r="AC106" s="244" t="s">
        <v>449</v>
      </c>
      <c r="AD106" s="250"/>
      <c r="AE106" s="250">
        <v>250</v>
      </c>
      <c r="AF106" s="252" t="s">
        <v>434</v>
      </c>
      <c r="AG106" s="247"/>
      <c r="AH106" s="248" t="s">
        <v>569</v>
      </c>
      <c r="AJ106" s="249"/>
      <c r="AK106" s="232" t="s">
        <v>676</v>
      </c>
      <c r="AN106" s="233" t="s">
        <v>677</v>
      </c>
      <c r="AO106" s="232" t="s">
        <v>411</v>
      </c>
      <c r="AP106" s="232">
        <v>50401</v>
      </c>
      <c r="AQ106" s="232" t="str">
        <f t="shared" si="28"/>
        <v>553-50401</v>
      </c>
      <c r="AR106" s="232" t="s">
        <v>679</v>
      </c>
      <c r="AX106" s="250"/>
      <c r="AY106" s="250"/>
      <c r="AZ106" s="232" t="str">
        <f>IF($AX106="Yes",'8. Option Codes Decrypted'!$C$15,"")</f>
        <v/>
      </c>
      <c r="BA106" s="232" t="str">
        <f>IF($AX106="Yes",'8. Option Codes Decrypted'!$C$16,"")</f>
        <v/>
      </c>
      <c r="BB106" s="232" t="str">
        <f>IF($AX106="Yes",'8. Option Codes Decrypted'!$C$17,"")</f>
        <v/>
      </c>
      <c r="BC106" s="232" t="str">
        <f>IF($AX106="Yes",'8. Option Codes Decrypted'!$C$18,"")</f>
        <v/>
      </c>
      <c r="BD106" s="232" t="str">
        <f>IF($AY106="Yes",'8. Option Codes Decrypted'!$C$20,"")</f>
        <v/>
      </c>
      <c r="BE106" s="232" t="str">
        <f>IF($AY106="Yes",'8. Option Codes Decrypted'!$C$21,"")</f>
        <v/>
      </c>
      <c r="BF106" s="232" t="str">
        <f>IF($AY106="Yes",'8. Option Codes Decrypted'!$C$22,"")</f>
        <v/>
      </c>
      <c r="BG106" s="232" t="str">
        <f>IF($AY106="Yes",'8. Option Codes Decrypted'!$C$23,"")</f>
        <v/>
      </c>
    </row>
    <row r="107" spans="1:59" s="232" customFormat="1" x14ac:dyDescent="0.25">
      <c r="A107" s="232" t="str">
        <f t="shared" si="25"/>
        <v/>
      </c>
      <c r="B107" s="358" t="str">
        <f t="shared" si="26"/>
        <v>553-59280</v>
      </c>
      <c r="C107" s="358" t="str">
        <f t="shared" si="29"/>
        <v/>
      </c>
      <c r="D107" s="358"/>
      <c r="E107" s="358">
        <f t="shared" si="23"/>
        <v>1</v>
      </c>
      <c r="F107" s="232" t="s">
        <v>426</v>
      </c>
      <c r="G107" s="241">
        <v>44670</v>
      </c>
      <c r="H107" s="257"/>
      <c r="I107" s="250"/>
      <c r="J107" s="250" t="s">
        <v>427</v>
      </c>
      <c r="K107" s="250" t="s">
        <v>231</v>
      </c>
      <c r="L107" s="250" t="s">
        <v>674</v>
      </c>
      <c r="M107" s="235" t="s">
        <v>444</v>
      </c>
      <c r="N107" s="235"/>
      <c r="O107" s="284"/>
      <c r="P107" s="284"/>
      <c r="Q107" s="284"/>
      <c r="R107" s="286" t="str">
        <f t="shared" si="24"/>
        <v>. Power Steering Pump</v>
      </c>
      <c r="S107" s="286"/>
      <c r="T107" s="235"/>
      <c r="U107" s="250"/>
      <c r="V107" s="235"/>
      <c r="W107" s="250"/>
      <c r="X107" s="250"/>
      <c r="Y107" s="250"/>
      <c r="Z107" s="250" t="s">
        <v>674</v>
      </c>
      <c r="AA107" s="250" t="s">
        <v>675</v>
      </c>
      <c r="AB107" s="250"/>
      <c r="AC107" s="244" t="s">
        <v>449</v>
      </c>
      <c r="AD107" s="250"/>
      <c r="AE107" s="250">
        <v>250</v>
      </c>
      <c r="AF107" s="252" t="s">
        <v>434</v>
      </c>
      <c r="AG107" s="247"/>
      <c r="AH107" s="248" t="s">
        <v>569</v>
      </c>
      <c r="AJ107" s="249"/>
      <c r="AK107" s="232" t="s">
        <v>676</v>
      </c>
      <c r="AN107" s="233" t="s">
        <v>677</v>
      </c>
      <c r="AO107" s="232" t="s">
        <v>411</v>
      </c>
      <c r="AP107" s="232">
        <v>59280</v>
      </c>
      <c r="AQ107" s="232" t="str">
        <f t="shared" si="28"/>
        <v>553-59280</v>
      </c>
      <c r="AR107" s="232" t="s">
        <v>680</v>
      </c>
      <c r="AX107" s="250"/>
      <c r="AY107" s="250"/>
      <c r="AZ107" s="232" t="str">
        <f>IF($AX107="Yes",'8. Option Codes Decrypted'!$C$15,"")</f>
        <v/>
      </c>
      <c r="BA107" s="232" t="str">
        <f>IF($AX107="Yes",'8. Option Codes Decrypted'!$C$16,"")</f>
        <v/>
      </c>
      <c r="BB107" s="232" t="str">
        <f>IF($AX107="Yes",'8. Option Codes Decrypted'!$C$17,"")</f>
        <v/>
      </c>
      <c r="BC107" s="232" t="str">
        <f>IF($AX107="Yes",'8. Option Codes Decrypted'!$C$18,"")</f>
        <v/>
      </c>
      <c r="BD107" s="232" t="str">
        <f>IF($AY107="Yes",'8. Option Codes Decrypted'!$C$20,"")</f>
        <v/>
      </c>
      <c r="BE107" s="232" t="str">
        <f>IF($AY107="Yes",'8. Option Codes Decrypted'!$C$21,"")</f>
        <v/>
      </c>
      <c r="BF107" s="232" t="str">
        <f>IF($AY107="Yes",'8. Option Codes Decrypted'!$C$22,"")</f>
        <v/>
      </c>
      <c r="BG107" s="232" t="str">
        <f>IF($AY107="Yes",'8. Option Codes Decrypted'!$C$23,"")</f>
        <v/>
      </c>
    </row>
    <row r="108" spans="1:59" x14ac:dyDescent="0.25">
      <c r="A108" s="232" t="str">
        <f t="shared" si="25"/>
        <v/>
      </c>
      <c r="B108" s="358" t="str">
        <f t="shared" si="26"/>
        <v/>
      </c>
      <c r="C108" s="358" t="str">
        <f t="shared" si="29"/>
        <v/>
      </c>
      <c r="D108" s="358"/>
      <c r="E108" s="358" t="str">
        <f t="shared" si="23"/>
        <v/>
      </c>
      <c r="F108" t="s">
        <v>508</v>
      </c>
      <c r="G108" s="230">
        <v>45099</v>
      </c>
      <c r="H108" s="19"/>
      <c r="I108" s="16"/>
      <c r="J108" s="16" t="s">
        <v>427</v>
      </c>
      <c r="K108" s="16" t="s">
        <v>231</v>
      </c>
      <c r="L108" s="16" t="s">
        <v>681</v>
      </c>
      <c r="M108" s="16" t="s">
        <v>430</v>
      </c>
      <c r="N108" s="16"/>
      <c r="O108" s="191"/>
      <c r="P108" s="191"/>
      <c r="Q108" s="191"/>
      <c r="R108" s="286" t="str">
        <f t="shared" si="24"/>
        <v>. Thermostat Housing</v>
      </c>
      <c r="S108" s="286"/>
      <c r="T108" s="16"/>
      <c r="U108" s="16"/>
      <c r="V108" s="16"/>
      <c r="W108" s="16"/>
      <c r="X108" s="16"/>
      <c r="Y108" s="16"/>
      <c r="Z108" s="16" t="s">
        <v>681</v>
      </c>
      <c r="AA108" s="16" t="s">
        <v>681</v>
      </c>
      <c r="AB108" s="16" t="s">
        <v>681</v>
      </c>
      <c r="AC108" s="193" t="s">
        <v>449</v>
      </c>
      <c r="AD108" s="16"/>
      <c r="AE108" s="16">
        <v>45</v>
      </c>
      <c r="AF108" s="99" t="s">
        <v>434</v>
      </c>
      <c r="AH108" s="217" t="s">
        <v>582</v>
      </c>
      <c r="AJ108" s="69"/>
      <c r="AK108" t="s">
        <v>682</v>
      </c>
      <c r="AN108"/>
      <c r="AX108" s="16"/>
      <c r="AY108" s="16"/>
      <c r="AZ108" s="232" t="str">
        <f>IF($AX108="Yes",'8. Option Codes Decrypted'!$C$15,"")</f>
        <v/>
      </c>
      <c r="BA108" s="232" t="str">
        <f>IF($AX108="Yes",'8. Option Codes Decrypted'!$C$16,"")</f>
        <v/>
      </c>
      <c r="BB108" s="232" t="str">
        <f>IF($AX108="Yes",'8. Option Codes Decrypted'!$C$17,"")</f>
        <v/>
      </c>
      <c r="BC108" s="232" t="str">
        <f>IF($AX108="Yes",'8. Option Codes Decrypted'!$C$18,"")</f>
        <v/>
      </c>
      <c r="BD108" s="232" t="str">
        <f>IF($AY108="Yes",'8. Option Codes Decrypted'!$C$20,"")</f>
        <v/>
      </c>
      <c r="BE108" s="232" t="str">
        <f>IF($AY108="Yes",'8. Option Codes Decrypted'!$C$21,"")</f>
        <v/>
      </c>
      <c r="BF108" s="232" t="str">
        <f>IF($AY108="Yes",'8. Option Codes Decrypted'!$C$22,"")</f>
        <v/>
      </c>
      <c r="BG108" s="232" t="str">
        <f>IF($AY108="Yes",'8. Option Codes Decrypted'!$C$23,"")</f>
        <v/>
      </c>
    </row>
    <row r="109" spans="1:59" s="224" customFormat="1" x14ac:dyDescent="0.25">
      <c r="A109" s="232" t="str">
        <f t="shared" si="25"/>
        <v/>
      </c>
      <c r="B109" s="358" t="str">
        <f t="shared" si="26"/>
        <v/>
      </c>
      <c r="C109" s="358" t="str">
        <f t="shared" si="29"/>
        <v/>
      </c>
      <c r="D109" s="358"/>
      <c r="E109" s="358" t="str">
        <f t="shared" si="23"/>
        <v/>
      </c>
      <c r="F109" t="s">
        <v>515</v>
      </c>
      <c r="G109" s="230">
        <v>45091</v>
      </c>
      <c r="H109" s="218"/>
      <c r="I109" s="219"/>
      <c r="J109" s="219" t="s">
        <v>427</v>
      </c>
      <c r="K109" s="219" t="s">
        <v>231</v>
      </c>
      <c r="L109" s="219" t="s">
        <v>683</v>
      </c>
      <c r="M109" s="188" t="s">
        <v>444</v>
      </c>
      <c r="N109" s="188"/>
      <c r="O109" s="289"/>
      <c r="P109" s="289"/>
      <c r="Q109" s="289"/>
      <c r="R109" s="286" t="str">
        <f t="shared" si="24"/>
        <v>. Timing Gear Set (Leave On Head Unless Parting Out)</v>
      </c>
      <c r="S109" s="286"/>
      <c r="T109" s="188"/>
      <c r="U109" s="16"/>
      <c r="V109" s="188"/>
      <c r="W109" s="16"/>
      <c r="X109" s="16"/>
      <c r="Y109" s="16"/>
      <c r="Z109" s="219" t="s">
        <v>683</v>
      </c>
      <c r="AA109" s="219" t="s">
        <v>683</v>
      </c>
      <c r="AB109" s="219" t="s">
        <v>683</v>
      </c>
      <c r="AC109" s="193" t="s">
        <v>449</v>
      </c>
      <c r="AD109" s="219" t="s">
        <v>684</v>
      </c>
      <c r="AE109" s="220">
        <v>125</v>
      </c>
      <c r="AF109" s="99" t="s">
        <v>434</v>
      </c>
      <c r="AG109" s="156"/>
      <c r="AH109" s="221" t="s">
        <v>685</v>
      </c>
      <c r="AI109" s="222"/>
      <c r="AJ109" s="223"/>
      <c r="AK109" s="224" t="s">
        <v>686</v>
      </c>
      <c r="AN109" s="234"/>
      <c r="AO109" t="s">
        <v>411</v>
      </c>
      <c r="AX109" s="16"/>
      <c r="AY109" s="16"/>
      <c r="AZ109" s="232" t="str">
        <f>IF($AX109="Yes",'8. Option Codes Decrypted'!$C$15,"")</f>
        <v/>
      </c>
      <c r="BA109" s="232" t="str">
        <f>IF($AX109="Yes",'8. Option Codes Decrypted'!$C$16,"")</f>
        <v/>
      </c>
      <c r="BB109" s="232" t="str">
        <f>IF($AX109="Yes",'8. Option Codes Decrypted'!$C$17,"")</f>
        <v/>
      </c>
      <c r="BC109" s="232" t="str">
        <f>IF($AX109="Yes",'8. Option Codes Decrypted'!$C$18,"")</f>
        <v/>
      </c>
      <c r="BD109" s="232" t="str">
        <f>IF($AY109="Yes",'8. Option Codes Decrypted'!$C$20,"")</f>
        <v/>
      </c>
      <c r="BE109" s="232" t="str">
        <f>IF($AY109="Yes",'8. Option Codes Decrypted'!$C$21,"")</f>
        <v/>
      </c>
      <c r="BF109" s="232" t="str">
        <f>IF($AY109="Yes",'8. Option Codes Decrypted'!$C$22,"")</f>
        <v/>
      </c>
      <c r="BG109" s="232" t="str">
        <f>IF($AY109="Yes",'8. Option Codes Decrypted'!$C$23,"")</f>
        <v/>
      </c>
    </row>
    <row r="110" spans="1:59" s="232" customFormat="1" x14ac:dyDescent="0.25">
      <c r="A110" s="232" t="str">
        <f t="shared" si="25"/>
        <v/>
      </c>
      <c r="B110" s="358" t="str">
        <f t="shared" si="26"/>
        <v>350-999773</v>
      </c>
      <c r="C110" s="358" t="str">
        <f t="shared" si="29"/>
        <v/>
      </c>
      <c r="D110" s="358"/>
      <c r="E110" s="358">
        <f t="shared" si="23"/>
        <v>1</v>
      </c>
      <c r="F110" s="232" t="s">
        <v>426</v>
      </c>
      <c r="G110" s="241">
        <v>44670</v>
      </c>
      <c r="H110" s="257"/>
      <c r="I110" s="250"/>
      <c r="J110" s="250" t="s">
        <v>427</v>
      </c>
      <c r="K110" s="250" t="s">
        <v>231</v>
      </c>
      <c r="L110" s="250" t="s">
        <v>687</v>
      </c>
      <c r="M110" s="259" t="s">
        <v>458</v>
      </c>
      <c r="N110" s="259"/>
      <c r="O110" s="291"/>
      <c r="P110" s="291"/>
      <c r="Q110" s="291"/>
      <c r="R110" s="286" t="str">
        <f t="shared" si="24"/>
        <v>. Valve Cover</v>
      </c>
      <c r="S110" s="286"/>
      <c r="T110" s="259"/>
      <c r="U110" s="250"/>
      <c r="V110" s="259"/>
      <c r="W110" s="250"/>
      <c r="X110" s="250"/>
      <c r="Y110" s="250"/>
      <c r="Z110" s="250" t="s">
        <v>687</v>
      </c>
      <c r="AA110" s="250"/>
      <c r="AB110" s="250"/>
      <c r="AC110" s="244" t="s">
        <v>449</v>
      </c>
      <c r="AD110" s="250"/>
      <c r="AE110" s="250">
        <v>120</v>
      </c>
      <c r="AF110" s="252" t="s">
        <v>434</v>
      </c>
      <c r="AG110" s="247"/>
      <c r="AH110" s="248" t="s">
        <v>569</v>
      </c>
      <c r="AJ110" s="249"/>
      <c r="AK110" s="232" t="s">
        <v>688</v>
      </c>
      <c r="AN110" s="233" t="s">
        <v>689</v>
      </c>
      <c r="AO110" s="232" t="s">
        <v>411</v>
      </c>
      <c r="AP110" s="232">
        <v>999773</v>
      </c>
      <c r="AQ110" s="232" t="str">
        <f>CONCATENATE(AN110,AO110,AP110)</f>
        <v>350-999773</v>
      </c>
      <c r="AX110" s="250"/>
      <c r="AY110" s="250"/>
      <c r="AZ110" s="232" t="str">
        <f>IF($AX110="Yes",'8. Option Codes Decrypted'!$C$15,"")</f>
        <v/>
      </c>
      <c r="BA110" s="232" t="str">
        <f>IF($AX110="Yes",'8. Option Codes Decrypted'!$C$16,"")</f>
        <v/>
      </c>
      <c r="BB110" s="232" t="str">
        <f>IF($AX110="Yes",'8. Option Codes Decrypted'!$C$17,"")</f>
        <v/>
      </c>
      <c r="BC110" s="232" t="str">
        <f>IF($AX110="Yes",'8. Option Codes Decrypted'!$C$18,"")</f>
        <v/>
      </c>
      <c r="BD110" s="232" t="str">
        <f>IF($AY110="Yes",'8. Option Codes Decrypted'!$C$20,"")</f>
        <v/>
      </c>
      <c r="BE110" s="232" t="str">
        <f>IF($AY110="Yes",'8. Option Codes Decrypted'!$C$21,"")</f>
        <v/>
      </c>
      <c r="BF110" s="232" t="str">
        <f>IF($AY110="Yes",'8. Option Codes Decrypted'!$C$22,"")</f>
        <v/>
      </c>
      <c r="BG110" s="232" t="str">
        <f>IF($AY110="Yes",'8. Option Codes Decrypted'!$C$23,"")</f>
        <v/>
      </c>
    </row>
    <row r="111" spans="1:59" x14ac:dyDescent="0.25">
      <c r="A111" s="232" t="str">
        <f t="shared" si="25"/>
        <v/>
      </c>
      <c r="B111" s="358" t="str">
        <f t="shared" si="26"/>
        <v/>
      </c>
      <c r="C111" s="358" t="str">
        <f t="shared" si="29"/>
        <v/>
      </c>
      <c r="D111" s="358"/>
      <c r="E111" s="358" t="str">
        <f t="shared" si="23"/>
        <v/>
      </c>
      <c r="F111" t="s">
        <v>508</v>
      </c>
      <c r="G111" s="230">
        <v>45099</v>
      </c>
      <c r="H111" s="19"/>
      <c r="I111" s="16"/>
      <c r="J111" s="16" t="s">
        <v>427</v>
      </c>
      <c r="K111" s="16" t="s">
        <v>231</v>
      </c>
      <c r="L111" s="16" t="s">
        <v>690</v>
      </c>
      <c r="M111" s="16" t="s">
        <v>430</v>
      </c>
      <c r="N111" s="16"/>
      <c r="O111" s="191"/>
      <c r="P111" s="191"/>
      <c r="Q111" s="191"/>
      <c r="R111" s="286" t="str">
        <f t="shared" si="24"/>
        <v xml:space="preserve">. VVT Timing Solenoid SET2 </v>
      </c>
      <c r="S111" s="286"/>
      <c r="T111" s="16"/>
      <c r="U111" s="16"/>
      <c r="V111" s="16"/>
      <c r="W111" s="16"/>
      <c r="X111" s="16"/>
      <c r="Y111" s="16"/>
      <c r="Z111" s="16" t="s">
        <v>690</v>
      </c>
      <c r="AA111" s="16" t="s">
        <v>690</v>
      </c>
      <c r="AB111" s="16" t="s">
        <v>691</v>
      </c>
      <c r="AC111" s="193" t="s">
        <v>439</v>
      </c>
      <c r="AD111" s="16"/>
      <c r="AE111" s="16">
        <v>60</v>
      </c>
      <c r="AF111" s="99" t="s">
        <v>434</v>
      </c>
      <c r="AH111" s="217" t="s">
        <v>582</v>
      </c>
      <c r="AJ111" s="69"/>
      <c r="AK111" t="s">
        <v>692</v>
      </c>
      <c r="AN111"/>
      <c r="AX111" s="16"/>
      <c r="AY111" s="16"/>
      <c r="AZ111" s="232" t="str">
        <f>IF($AX111="Yes",'8. Option Codes Decrypted'!$C$15,"")</f>
        <v/>
      </c>
      <c r="BA111" s="232" t="str">
        <f>IF($AX111="Yes",'8. Option Codes Decrypted'!$C$16,"")</f>
        <v/>
      </c>
      <c r="BB111" s="232" t="str">
        <f>IF($AX111="Yes",'8. Option Codes Decrypted'!$C$17,"")</f>
        <v/>
      </c>
      <c r="BC111" s="232" t="str">
        <f>IF($AX111="Yes",'8. Option Codes Decrypted'!$C$18,"")</f>
        <v/>
      </c>
      <c r="BD111" s="232" t="str">
        <f>IF($AY111="Yes",'8. Option Codes Decrypted'!$C$20,"")</f>
        <v/>
      </c>
      <c r="BE111" s="232" t="str">
        <f>IF($AY111="Yes",'8. Option Codes Decrypted'!$C$21,"")</f>
        <v/>
      </c>
      <c r="BF111" s="232" t="str">
        <f>IF($AY111="Yes",'8. Option Codes Decrypted'!$C$22,"")</f>
        <v/>
      </c>
      <c r="BG111" s="232" t="str">
        <f>IF($AY111="Yes",'8. Option Codes Decrypted'!$C$23,"")</f>
        <v/>
      </c>
    </row>
    <row r="112" spans="1:59" s="232" customFormat="1" x14ac:dyDescent="0.25">
      <c r="A112" s="232" t="str">
        <f t="shared" si="25"/>
        <v/>
      </c>
      <c r="B112" s="358" t="str">
        <f t="shared" si="26"/>
        <v>324-58675</v>
      </c>
      <c r="C112" s="358" t="str">
        <f t="shared" si="29"/>
        <v/>
      </c>
      <c r="D112" s="358"/>
      <c r="E112" s="358">
        <f t="shared" si="23"/>
        <v>1</v>
      </c>
      <c r="F112" s="232" t="s">
        <v>508</v>
      </c>
      <c r="G112" s="241">
        <v>45099</v>
      </c>
      <c r="H112" s="257"/>
      <c r="I112" s="250"/>
      <c r="J112" s="251" t="s">
        <v>427</v>
      </c>
      <c r="K112" s="251" t="s">
        <v>231</v>
      </c>
      <c r="L112" s="251" t="s">
        <v>693</v>
      </c>
      <c r="M112" s="235" t="s">
        <v>444</v>
      </c>
      <c r="N112" s="235"/>
      <c r="O112" s="284"/>
      <c r="P112" s="284"/>
      <c r="Q112" s="284"/>
      <c r="R112" s="286" t="str">
        <f t="shared" si="24"/>
        <v>. Water Pump (Electric)</v>
      </c>
      <c r="S112" s="286"/>
      <c r="T112" s="284"/>
      <c r="U112" s="251"/>
      <c r="V112" s="284"/>
      <c r="W112" s="251"/>
      <c r="X112" s="251"/>
      <c r="Y112" s="251"/>
      <c r="Z112" s="251" t="s">
        <v>694</v>
      </c>
      <c r="AA112" s="251"/>
      <c r="AB112" s="251"/>
      <c r="AC112" s="244" t="s">
        <v>449</v>
      </c>
      <c r="AD112" s="250"/>
      <c r="AE112" s="265">
        <v>125</v>
      </c>
      <c r="AF112" s="252" t="s">
        <v>434</v>
      </c>
      <c r="AG112" s="247"/>
      <c r="AH112" s="248" t="s">
        <v>612</v>
      </c>
      <c r="AJ112" s="249"/>
      <c r="AK112" s="232" t="s">
        <v>695</v>
      </c>
      <c r="AN112" s="233" t="s">
        <v>696</v>
      </c>
      <c r="AO112" s="232" t="s">
        <v>411</v>
      </c>
      <c r="AP112" s="232">
        <v>58675</v>
      </c>
      <c r="AQ112" s="232" t="str">
        <f>CONCATENATE(AN112,AO112,AP112)</f>
        <v>324-58675</v>
      </c>
      <c r="AX112" s="251"/>
      <c r="AY112" s="251"/>
      <c r="AZ112" s="232" t="str">
        <f>IF($AX112="Yes",'8. Option Codes Decrypted'!$C$15,"")</f>
        <v/>
      </c>
      <c r="BA112" s="232" t="str">
        <f>IF($AX112="Yes",'8. Option Codes Decrypted'!$C$16,"")</f>
        <v/>
      </c>
      <c r="BB112" s="232" t="str">
        <f>IF($AX112="Yes",'8. Option Codes Decrypted'!$C$17,"")</f>
        <v/>
      </c>
      <c r="BC112" s="232" t="str">
        <f>IF($AX112="Yes",'8. Option Codes Decrypted'!$C$18,"")</f>
        <v/>
      </c>
      <c r="BD112" s="232" t="str">
        <f>IF($AY112="Yes",'8. Option Codes Decrypted'!$C$20,"")</f>
        <v/>
      </c>
      <c r="BE112" s="232" t="str">
        <f>IF($AY112="Yes",'8. Option Codes Decrypted'!$C$21,"")</f>
        <v/>
      </c>
      <c r="BF112" s="232" t="str">
        <f>IF($AY112="Yes",'8. Option Codes Decrypted'!$C$22,"")</f>
        <v/>
      </c>
      <c r="BG112" s="232" t="str">
        <f>IF($AY112="Yes",'8. Option Codes Decrypted'!$C$23,"")</f>
        <v/>
      </c>
    </row>
    <row r="113" spans="1:59" x14ac:dyDescent="0.25">
      <c r="A113" s="232" t="str">
        <f t="shared" si="25"/>
        <v/>
      </c>
      <c r="B113" s="358" t="str">
        <f t="shared" si="26"/>
        <v/>
      </c>
      <c r="C113" s="358" t="str">
        <f t="shared" si="29"/>
        <v/>
      </c>
      <c r="D113" s="358"/>
      <c r="E113" s="358" t="str">
        <f t="shared" si="23"/>
        <v/>
      </c>
      <c r="F113" t="s">
        <v>508</v>
      </c>
      <c r="G113" s="230">
        <v>45099</v>
      </c>
      <c r="H113" s="19" t="s">
        <v>580</v>
      </c>
      <c r="I113" s="101"/>
      <c r="J113" s="101" t="s">
        <v>427</v>
      </c>
      <c r="K113" s="101" t="s">
        <v>231</v>
      </c>
      <c r="L113" s="101" t="s">
        <v>697</v>
      </c>
      <c r="M113" s="16" t="s">
        <v>430</v>
      </c>
      <c r="N113" s="16"/>
      <c r="O113" s="191"/>
      <c r="P113" s="191"/>
      <c r="Q113" s="191"/>
      <c r="R113" s="286" t="str">
        <f t="shared" si="24"/>
        <v xml:space="preserve">. Wiring Harness, Engine </v>
      </c>
      <c r="S113" s="286"/>
      <c r="T113" s="16"/>
      <c r="U113" s="16"/>
      <c r="V113" s="16"/>
      <c r="W113" s="16"/>
      <c r="X113" s="16"/>
      <c r="Y113" s="16"/>
      <c r="Z113" s="101" t="s">
        <v>697</v>
      </c>
      <c r="AA113" s="101" t="s">
        <v>697</v>
      </c>
      <c r="AB113" s="101" t="s">
        <v>697</v>
      </c>
      <c r="AC113" s="193" t="s">
        <v>449</v>
      </c>
      <c r="AD113" s="101"/>
      <c r="AE113" s="101">
        <v>200</v>
      </c>
      <c r="AF113" s="99" t="s">
        <v>434</v>
      </c>
      <c r="AH113" s="215" t="s">
        <v>582</v>
      </c>
      <c r="AI113" s="156" t="s">
        <v>580</v>
      </c>
      <c r="AJ113" s="69"/>
      <c r="AK113" t="s">
        <v>698</v>
      </c>
      <c r="AN113"/>
      <c r="AX113" s="16"/>
      <c r="AY113" s="16"/>
      <c r="AZ113" s="232" t="str">
        <f>IF($AX113="Yes",'8. Option Codes Decrypted'!$C$15,"")</f>
        <v/>
      </c>
      <c r="BA113" s="232" t="str">
        <f>IF($AX113="Yes",'8. Option Codes Decrypted'!$C$16,"")</f>
        <v/>
      </c>
      <c r="BB113" s="232" t="str">
        <f>IF($AX113="Yes",'8. Option Codes Decrypted'!$C$17,"")</f>
        <v/>
      </c>
      <c r="BC113" s="232" t="str">
        <f>IF($AX113="Yes",'8. Option Codes Decrypted'!$C$18,"")</f>
        <v/>
      </c>
      <c r="BD113" s="232" t="str">
        <f>IF($AY113="Yes",'8. Option Codes Decrypted'!$C$20,"")</f>
        <v/>
      </c>
      <c r="BE113" s="232" t="str">
        <f>IF($AY113="Yes",'8. Option Codes Decrypted'!$C$21,"")</f>
        <v/>
      </c>
      <c r="BF113" s="232" t="str">
        <f>IF($AY113="Yes",'8. Option Codes Decrypted'!$C$22,"")</f>
        <v/>
      </c>
      <c r="BG113" s="232" t="str">
        <f>IF($AY113="Yes",'8. Option Codes Decrypted'!$C$23,"")</f>
        <v/>
      </c>
    </row>
    <row r="114" spans="1:59" x14ac:dyDescent="0.25">
      <c r="A114" s="232" t="str">
        <f t="shared" si="25"/>
        <v/>
      </c>
      <c r="B114" s="358" t="str">
        <f t="shared" si="26"/>
        <v/>
      </c>
      <c r="C114" s="358" t="str">
        <f t="shared" si="29"/>
        <v/>
      </c>
      <c r="D114" s="358"/>
      <c r="E114" s="358" t="str">
        <f t="shared" si="23"/>
        <v/>
      </c>
      <c r="F114" t="s">
        <v>508</v>
      </c>
      <c r="G114" s="230">
        <v>45099</v>
      </c>
      <c r="H114" s="19"/>
      <c r="I114" s="16"/>
      <c r="J114" s="10" t="s">
        <v>504</v>
      </c>
      <c r="K114" s="10" t="s">
        <v>231</v>
      </c>
      <c r="L114" s="10" t="s">
        <v>699</v>
      </c>
      <c r="M114" s="16" t="s">
        <v>430</v>
      </c>
      <c r="N114" s="16"/>
      <c r="O114" s="191"/>
      <c r="P114" s="191"/>
      <c r="Q114" s="191"/>
      <c r="R114" s="286" t="str">
        <f t="shared" si="24"/>
        <v>. Camshaft Position Sensor</v>
      </c>
      <c r="S114" s="286"/>
      <c r="T114" s="16"/>
      <c r="U114" s="16"/>
      <c r="V114" s="16"/>
      <c r="W114" s="16"/>
      <c r="X114" s="16"/>
      <c r="Y114" s="16"/>
      <c r="Z114" s="10" t="s">
        <v>699</v>
      </c>
      <c r="AA114" s="10" t="s">
        <v>699</v>
      </c>
      <c r="AB114" s="10" t="s">
        <v>699</v>
      </c>
      <c r="AC114" s="193" t="s">
        <v>449</v>
      </c>
      <c r="AD114" s="10"/>
      <c r="AE114" s="10"/>
      <c r="AF114" s="200" t="s">
        <v>434</v>
      </c>
      <c r="AH114" s="3" t="s">
        <v>612</v>
      </c>
      <c r="AJ114" s="69"/>
      <c r="AK114">
        <v>7525014</v>
      </c>
      <c r="AN114"/>
      <c r="AX114" s="16"/>
      <c r="AY114" s="16"/>
      <c r="AZ114" s="232" t="str">
        <f>IF($AX114="Yes",'8. Option Codes Decrypted'!$C$15,"")</f>
        <v/>
      </c>
      <c r="BA114" s="232" t="str">
        <f>IF($AX114="Yes",'8. Option Codes Decrypted'!$C$16,"")</f>
        <v/>
      </c>
      <c r="BB114" s="232" t="str">
        <f>IF($AX114="Yes",'8. Option Codes Decrypted'!$C$17,"")</f>
        <v/>
      </c>
      <c r="BC114" s="232" t="str">
        <f>IF($AX114="Yes",'8. Option Codes Decrypted'!$C$18,"")</f>
        <v/>
      </c>
      <c r="BD114" s="232" t="str">
        <f>IF($AY114="Yes",'8. Option Codes Decrypted'!$C$20,"")</f>
        <v/>
      </c>
      <c r="BE114" s="232" t="str">
        <f>IF($AY114="Yes",'8. Option Codes Decrypted'!$C$21,"")</f>
        <v/>
      </c>
      <c r="BF114" s="232" t="str">
        <f>IF($AY114="Yes",'8. Option Codes Decrypted'!$C$22,"")</f>
        <v/>
      </c>
      <c r="BG114" s="232" t="str">
        <f>IF($AY114="Yes",'8. Option Codes Decrypted'!$C$23,"")</f>
        <v/>
      </c>
    </row>
    <row r="115" spans="1:59" x14ac:dyDescent="0.25">
      <c r="A115" s="232" t="str">
        <f t="shared" si="25"/>
        <v/>
      </c>
      <c r="B115" s="358" t="str">
        <f t="shared" si="26"/>
        <v/>
      </c>
      <c r="C115" s="358" t="str">
        <f t="shared" si="29"/>
        <v/>
      </c>
      <c r="D115" s="358"/>
      <c r="E115" s="358" t="str">
        <f t="shared" si="23"/>
        <v/>
      </c>
      <c r="F115" t="s">
        <v>508</v>
      </c>
      <c r="G115" s="230">
        <v>45099</v>
      </c>
      <c r="H115" s="16"/>
      <c r="I115" s="16"/>
      <c r="J115" s="10" t="s">
        <v>504</v>
      </c>
      <c r="K115" s="10" t="s">
        <v>231</v>
      </c>
      <c r="L115" s="10" t="s">
        <v>700</v>
      </c>
      <c r="M115" s="16" t="s">
        <v>430</v>
      </c>
      <c r="N115" s="16"/>
      <c r="O115" s="191"/>
      <c r="P115" s="191"/>
      <c r="Q115" s="191"/>
      <c r="R115" s="286" t="str">
        <f t="shared" si="24"/>
        <v>. Fuel Tank Ventilation Valve</v>
      </c>
      <c r="S115" s="286"/>
      <c r="T115" s="16"/>
      <c r="U115" s="16"/>
      <c r="V115" s="16"/>
      <c r="W115" s="16"/>
      <c r="X115" s="16"/>
      <c r="Y115" s="16"/>
      <c r="Z115" s="10" t="s">
        <v>700</v>
      </c>
      <c r="AA115" s="10" t="s">
        <v>700</v>
      </c>
      <c r="AB115" s="10" t="s">
        <v>700</v>
      </c>
      <c r="AC115" s="193" t="s">
        <v>449</v>
      </c>
      <c r="AD115" s="10"/>
      <c r="AE115" s="16"/>
      <c r="AF115" s="200" t="s">
        <v>434</v>
      </c>
      <c r="AH115" s="3" t="s">
        <v>435</v>
      </c>
      <c r="AJ115" s="69"/>
      <c r="AK115" t="s">
        <v>701</v>
      </c>
      <c r="AN115"/>
      <c r="AX115" s="16"/>
      <c r="AY115" s="16"/>
      <c r="AZ115" s="232" t="str">
        <f>IF($AX115="Yes",'8. Option Codes Decrypted'!$C$15,"")</f>
        <v/>
      </c>
      <c r="BA115" s="232" t="str">
        <f>IF($AX115="Yes",'8. Option Codes Decrypted'!$C$16,"")</f>
        <v/>
      </c>
      <c r="BB115" s="232" t="str">
        <f>IF($AX115="Yes",'8. Option Codes Decrypted'!$C$17,"")</f>
        <v/>
      </c>
      <c r="BC115" s="232" t="str">
        <f>IF($AX115="Yes",'8. Option Codes Decrypted'!$C$18,"")</f>
        <v/>
      </c>
      <c r="BD115" s="232" t="str">
        <f>IF($AY115="Yes",'8. Option Codes Decrypted'!$C$20,"")</f>
        <v/>
      </c>
      <c r="BE115" s="232" t="str">
        <f>IF($AY115="Yes",'8. Option Codes Decrypted'!$C$21,"")</f>
        <v/>
      </c>
      <c r="BF115" s="232" t="str">
        <f>IF($AY115="Yes",'8. Option Codes Decrypted'!$C$22,"")</f>
        <v/>
      </c>
      <c r="BG115" s="232" t="str">
        <f>IF($AY115="Yes",'8. Option Codes Decrypted'!$C$23,"")</f>
        <v/>
      </c>
    </row>
    <row r="116" spans="1:59" x14ac:dyDescent="0.25">
      <c r="A116" s="232" t="str">
        <f t="shared" si="25"/>
        <v/>
      </c>
      <c r="B116" s="358" t="str">
        <f t="shared" si="26"/>
        <v/>
      </c>
      <c r="C116" s="358" t="str">
        <f t="shared" si="29"/>
        <v/>
      </c>
      <c r="D116" s="358"/>
      <c r="E116" s="358" t="str">
        <f t="shared" si="23"/>
        <v/>
      </c>
      <c r="F116" t="s">
        <v>508</v>
      </c>
      <c r="G116" s="230">
        <v>45099</v>
      </c>
      <c r="H116" s="10"/>
      <c r="I116" s="10"/>
      <c r="J116" s="10" t="s">
        <v>504</v>
      </c>
      <c r="K116" s="10" t="s">
        <v>231</v>
      </c>
      <c r="L116" s="10" t="s">
        <v>702</v>
      </c>
      <c r="M116" s="16" t="s">
        <v>430</v>
      </c>
      <c r="N116" s="16"/>
      <c r="O116" s="191"/>
      <c r="P116" s="191"/>
      <c r="Q116" s="191"/>
      <c r="R116" s="286" t="str">
        <f t="shared" si="24"/>
        <v>. Map Pressure Sensor</v>
      </c>
      <c r="S116" s="286"/>
      <c r="T116" s="16"/>
      <c r="U116" s="16"/>
      <c r="V116" s="16"/>
      <c r="W116" s="16"/>
      <c r="X116" s="16"/>
      <c r="Y116" s="16"/>
      <c r="Z116" s="10" t="s">
        <v>702</v>
      </c>
      <c r="AA116" s="10" t="s">
        <v>702</v>
      </c>
      <c r="AB116" s="10" t="s">
        <v>702</v>
      </c>
      <c r="AC116" s="193" t="s">
        <v>449</v>
      </c>
      <c r="AD116" s="210"/>
      <c r="AE116" s="209"/>
      <c r="AF116" s="200" t="s">
        <v>434</v>
      </c>
      <c r="AH116" s="3" t="s">
        <v>569</v>
      </c>
      <c r="AJ116" s="69"/>
      <c r="AK116" t="s">
        <v>703</v>
      </c>
      <c r="AN116"/>
      <c r="AX116" s="16"/>
      <c r="AY116" s="16"/>
      <c r="AZ116" s="232" t="str">
        <f>IF($AX116="Yes",'8. Option Codes Decrypted'!$C$15,"")</f>
        <v/>
      </c>
      <c r="BA116" s="232" t="str">
        <f>IF($AX116="Yes",'8. Option Codes Decrypted'!$C$16,"")</f>
        <v/>
      </c>
      <c r="BB116" s="232" t="str">
        <f>IF($AX116="Yes",'8. Option Codes Decrypted'!$C$17,"")</f>
        <v/>
      </c>
      <c r="BC116" s="232" t="str">
        <f>IF($AX116="Yes",'8. Option Codes Decrypted'!$C$18,"")</f>
        <v/>
      </c>
      <c r="BD116" s="232" t="str">
        <f>IF($AY116="Yes",'8. Option Codes Decrypted'!$C$20,"")</f>
        <v/>
      </c>
      <c r="BE116" s="232" t="str">
        <f>IF($AY116="Yes",'8. Option Codes Decrypted'!$C$21,"")</f>
        <v/>
      </c>
      <c r="BF116" s="232" t="str">
        <f>IF($AY116="Yes",'8. Option Codes Decrypted'!$C$22,"")</f>
        <v/>
      </c>
      <c r="BG116" s="232" t="str">
        <f>IF($AY116="Yes",'8. Option Codes Decrypted'!$C$23,"")</f>
        <v/>
      </c>
    </row>
    <row r="117" spans="1:59" x14ac:dyDescent="0.25">
      <c r="A117" s="232" t="str">
        <f t="shared" si="25"/>
        <v/>
      </c>
      <c r="B117" s="358" t="str">
        <f t="shared" si="26"/>
        <v/>
      </c>
      <c r="C117" s="358" t="str">
        <f t="shared" si="29"/>
        <v/>
      </c>
      <c r="D117" s="358"/>
      <c r="E117" s="358" t="str">
        <f t="shared" si="23"/>
        <v/>
      </c>
      <c r="F117" t="s">
        <v>426</v>
      </c>
      <c r="G117" s="230">
        <v>44670</v>
      </c>
      <c r="H117" s="182"/>
      <c r="I117" s="10"/>
      <c r="J117" s="10" t="s">
        <v>504</v>
      </c>
      <c r="K117" s="10" t="s">
        <v>231</v>
      </c>
      <c r="L117" s="10" t="s">
        <v>704</v>
      </c>
      <c r="M117" s="188" t="s">
        <v>444</v>
      </c>
      <c r="N117" s="188"/>
      <c r="O117" s="289"/>
      <c r="P117" s="289"/>
      <c r="Q117" s="289"/>
      <c r="R117" s="286" t="str">
        <f t="shared" si="24"/>
        <v>. Starter</v>
      </c>
      <c r="S117" s="286"/>
      <c r="T117" s="188"/>
      <c r="U117" s="16"/>
      <c r="V117" s="188"/>
      <c r="W117" s="16"/>
      <c r="X117" s="16"/>
      <c r="Y117" s="16"/>
      <c r="Z117" s="10" t="s">
        <v>704</v>
      </c>
      <c r="AA117" s="10" t="s">
        <v>704</v>
      </c>
      <c r="AB117" s="10" t="s">
        <v>704</v>
      </c>
      <c r="AC117" s="193" t="s">
        <v>449</v>
      </c>
      <c r="AD117" s="10"/>
      <c r="AE117" s="10"/>
      <c r="AF117" s="200" t="s">
        <v>434</v>
      </c>
      <c r="AH117" s="3" t="s">
        <v>569</v>
      </c>
      <c r="AJ117" s="69"/>
      <c r="AK117" t="s">
        <v>705</v>
      </c>
      <c r="AN117"/>
      <c r="AO117" t="s">
        <v>411</v>
      </c>
      <c r="AX117" s="16"/>
      <c r="AY117" s="16"/>
      <c r="AZ117" s="232" t="str">
        <f>IF($AX117="Yes",'8. Option Codes Decrypted'!$C$15,"")</f>
        <v/>
      </c>
      <c r="BA117" s="232" t="str">
        <f>IF($AX117="Yes",'8. Option Codes Decrypted'!$C$16,"")</f>
        <v/>
      </c>
      <c r="BB117" s="232" t="str">
        <f>IF($AX117="Yes",'8. Option Codes Decrypted'!$C$17,"")</f>
        <v/>
      </c>
      <c r="BC117" s="232" t="str">
        <f>IF($AX117="Yes",'8. Option Codes Decrypted'!$C$18,"")</f>
        <v/>
      </c>
      <c r="BD117" s="232" t="str">
        <f>IF($AY117="Yes",'8. Option Codes Decrypted'!$C$20,"")</f>
        <v/>
      </c>
      <c r="BE117" s="232" t="str">
        <f>IF($AY117="Yes",'8. Option Codes Decrypted'!$C$21,"")</f>
        <v/>
      </c>
      <c r="BF117" s="232" t="str">
        <f>IF($AY117="Yes",'8. Option Codes Decrypted'!$C$22,"")</f>
        <v/>
      </c>
      <c r="BG117" s="232" t="str">
        <f>IF($AY117="Yes",'8. Option Codes Decrypted'!$C$23,"")</f>
        <v/>
      </c>
    </row>
    <row r="118" spans="1:59" x14ac:dyDescent="0.25">
      <c r="A118" s="232" t="str">
        <f t="shared" si="25"/>
        <v/>
      </c>
      <c r="B118" s="358" t="str">
        <f t="shared" si="26"/>
        <v/>
      </c>
      <c r="C118" s="358" t="str">
        <f t="shared" si="29"/>
        <v/>
      </c>
      <c r="D118" s="358"/>
      <c r="E118" s="358" t="str">
        <f t="shared" si="23"/>
        <v/>
      </c>
      <c r="F118" t="s">
        <v>426</v>
      </c>
      <c r="G118" s="230">
        <v>44670</v>
      </c>
      <c r="H118" s="10"/>
      <c r="I118" s="10"/>
      <c r="J118" s="10" t="s">
        <v>504</v>
      </c>
      <c r="K118" s="10" t="s">
        <v>231</v>
      </c>
      <c r="L118" s="10" t="s">
        <v>706</v>
      </c>
      <c r="M118" s="16" t="s">
        <v>430</v>
      </c>
      <c r="N118" s="16"/>
      <c r="O118" s="191"/>
      <c r="P118" s="191"/>
      <c r="Q118" s="191"/>
      <c r="R118" s="286" t="str">
        <f t="shared" si="24"/>
        <v>. Tensioners &amp; Timing Guides (TOSS ALL)</v>
      </c>
      <c r="S118" s="286"/>
      <c r="T118" s="16"/>
      <c r="U118" s="16"/>
      <c r="V118" s="16"/>
      <c r="W118" s="16"/>
      <c r="X118" s="16"/>
      <c r="Y118" s="16"/>
      <c r="Z118" s="10" t="s">
        <v>706</v>
      </c>
      <c r="AA118" s="10" t="s">
        <v>706</v>
      </c>
      <c r="AB118" s="10" t="s">
        <v>706</v>
      </c>
      <c r="AC118" s="193" t="s">
        <v>449</v>
      </c>
      <c r="AD118" s="210"/>
      <c r="AE118" s="209"/>
      <c r="AF118" s="200" t="s">
        <v>434</v>
      </c>
      <c r="AH118" s="3" t="s">
        <v>569</v>
      </c>
      <c r="AJ118" s="69"/>
      <c r="AK118" t="s">
        <v>707</v>
      </c>
      <c r="AN118"/>
      <c r="AX118" s="16"/>
      <c r="AY118" s="16"/>
      <c r="AZ118" s="232" t="str">
        <f>IF($AX118="Yes",'8. Option Codes Decrypted'!$C$15,"")</f>
        <v/>
      </c>
      <c r="BA118" s="232" t="str">
        <f>IF($AX118="Yes",'8. Option Codes Decrypted'!$C$16,"")</f>
        <v/>
      </c>
      <c r="BB118" s="232" t="str">
        <f>IF($AX118="Yes",'8. Option Codes Decrypted'!$C$17,"")</f>
        <v/>
      </c>
      <c r="BC118" s="232" t="str">
        <f>IF($AX118="Yes",'8. Option Codes Decrypted'!$C$18,"")</f>
        <v/>
      </c>
      <c r="BD118" s="232" t="str">
        <f>IF($AY118="Yes",'8. Option Codes Decrypted'!$C$20,"")</f>
        <v/>
      </c>
      <c r="BE118" s="232" t="str">
        <f>IF($AY118="Yes",'8. Option Codes Decrypted'!$C$21,"")</f>
        <v/>
      </c>
      <c r="BF118" s="232" t="str">
        <f>IF($AY118="Yes",'8. Option Codes Decrypted'!$C$22,"")</f>
        <v/>
      </c>
      <c r="BG118" s="232" t="str">
        <f>IF($AY118="Yes",'8. Option Codes Decrypted'!$C$23,"")</f>
        <v/>
      </c>
    </row>
    <row r="119" spans="1:59" x14ac:dyDescent="0.25">
      <c r="A119" s="232" t="str">
        <f t="shared" si="25"/>
        <v/>
      </c>
      <c r="B119" s="358" t="str">
        <f t="shared" si="26"/>
        <v/>
      </c>
      <c r="C119" s="358" t="str">
        <f t="shared" si="29"/>
        <v/>
      </c>
      <c r="D119" s="358"/>
      <c r="E119" s="358" t="str">
        <f t="shared" si="23"/>
        <v/>
      </c>
      <c r="F119" t="s">
        <v>426</v>
      </c>
      <c r="G119" s="230">
        <v>44670</v>
      </c>
      <c r="H119" s="182"/>
      <c r="I119" s="10"/>
      <c r="J119" s="10" t="s">
        <v>504</v>
      </c>
      <c r="K119" s="10" t="s">
        <v>231</v>
      </c>
      <c r="L119" s="10" t="s">
        <v>708</v>
      </c>
      <c r="M119" s="188" t="s">
        <v>444</v>
      </c>
      <c r="N119" s="188"/>
      <c r="O119" s="289"/>
      <c r="P119" s="289"/>
      <c r="Q119" s="289"/>
      <c r="R119" s="286" t="str">
        <f t="shared" si="24"/>
        <v>. Throttle Body</v>
      </c>
      <c r="S119" s="286"/>
      <c r="T119" s="188"/>
      <c r="U119" s="16"/>
      <c r="V119" s="188"/>
      <c r="W119" s="16"/>
      <c r="X119" s="16"/>
      <c r="Y119" s="16"/>
      <c r="Z119" s="10" t="s">
        <v>708</v>
      </c>
      <c r="AA119" s="10" t="s">
        <v>708</v>
      </c>
      <c r="AB119" s="10" t="s">
        <v>708</v>
      </c>
      <c r="AC119" s="193" t="s">
        <v>449</v>
      </c>
      <c r="AD119" s="10"/>
      <c r="AE119" s="10"/>
      <c r="AF119" s="200" t="s">
        <v>434</v>
      </c>
      <c r="AH119" s="3" t="s">
        <v>569</v>
      </c>
      <c r="AJ119" s="69"/>
      <c r="AK119" t="s">
        <v>709</v>
      </c>
      <c r="AN119"/>
      <c r="AO119" t="s">
        <v>411</v>
      </c>
      <c r="AX119" s="16"/>
      <c r="AY119" s="16"/>
      <c r="AZ119" s="232" t="str">
        <f>IF($AX119="Yes",'8. Option Codes Decrypted'!$C$15,"")</f>
        <v/>
      </c>
      <c r="BA119" s="232" t="str">
        <f>IF($AX119="Yes",'8. Option Codes Decrypted'!$C$16,"")</f>
        <v/>
      </c>
      <c r="BB119" s="232" t="str">
        <f>IF($AX119="Yes",'8. Option Codes Decrypted'!$C$17,"")</f>
        <v/>
      </c>
      <c r="BC119" s="232" t="str">
        <f>IF($AX119="Yes",'8. Option Codes Decrypted'!$C$18,"")</f>
        <v/>
      </c>
      <c r="BD119" s="232" t="str">
        <f>IF($AY119="Yes",'8. Option Codes Decrypted'!$C$20,"")</f>
        <v/>
      </c>
      <c r="BE119" s="232" t="str">
        <f>IF($AY119="Yes",'8. Option Codes Decrypted'!$C$21,"")</f>
        <v/>
      </c>
      <c r="BF119" s="232" t="str">
        <f>IF($AY119="Yes",'8. Option Codes Decrypted'!$C$22,"")</f>
        <v/>
      </c>
      <c r="BG119" s="232" t="str">
        <f>IF($AY119="Yes",'8. Option Codes Decrypted'!$C$23,"")</f>
        <v/>
      </c>
    </row>
    <row r="120" spans="1:59" s="232" customFormat="1" ht="15.75" thickBot="1" x14ac:dyDescent="0.3">
      <c r="A120" s="232" t="str">
        <f t="shared" si="25"/>
        <v/>
      </c>
      <c r="B120" s="358" t="str">
        <f t="shared" si="26"/>
        <v>545-53674</v>
      </c>
      <c r="C120" s="358" t="str">
        <f t="shared" si="29"/>
        <v/>
      </c>
      <c r="D120" s="358"/>
      <c r="E120" s="358">
        <f t="shared" si="23"/>
        <v>1</v>
      </c>
      <c r="F120" s="232" t="s">
        <v>426</v>
      </c>
      <c r="G120" s="241">
        <v>44680</v>
      </c>
      <c r="H120" s="250"/>
      <c r="I120" s="250"/>
      <c r="J120" s="250" t="s">
        <v>427</v>
      </c>
      <c r="K120" s="250" t="s">
        <v>710</v>
      </c>
      <c r="L120" s="250" t="s">
        <v>711</v>
      </c>
      <c r="M120" s="235" t="s">
        <v>444</v>
      </c>
      <c r="N120" s="235"/>
      <c r="O120" s="284"/>
      <c r="P120" s="284"/>
      <c r="Q120" s="284"/>
      <c r="R120" s="286" t="str">
        <f t="shared" si="24"/>
        <v>. ABS Pump &amp; Module</v>
      </c>
      <c r="S120" s="286"/>
      <c r="T120" s="235"/>
      <c r="U120" s="250"/>
      <c r="V120" s="235"/>
      <c r="W120" s="250"/>
      <c r="X120" s="250"/>
      <c r="Y120" s="250"/>
      <c r="Z120" s="250" t="s">
        <v>711</v>
      </c>
      <c r="AA120" s="250"/>
      <c r="AB120" s="250"/>
      <c r="AC120" s="244" t="s">
        <v>449</v>
      </c>
      <c r="AD120" s="266"/>
      <c r="AE120" s="265">
        <v>400</v>
      </c>
      <c r="AF120" s="252" t="s">
        <v>434</v>
      </c>
      <c r="AG120" s="247"/>
      <c r="AH120" s="248" t="s">
        <v>712</v>
      </c>
      <c r="AJ120" s="249"/>
      <c r="AK120" s="232" t="s">
        <v>713</v>
      </c>
      <c r="AN120" s="233" t="s">
        <v>714</v>
      </c>
      <c r="AO120" s="232" t="s">
        <v>411</v>
      </c>
      <c r="AP120" s="232">
        <v>53674</v>
      </c>
      <c r="AQ120" s="232" t="str">
        <f>CONCATENATE(AN120,AO120,AP120)</f>
        <v>545-53674</v>
      </c>
      <c r="AR120" s="232" t="s">
        <v>715</v>
      </c>
      <c r="AX120" s="250"/>
      <c r="AY120" s="250"/>
      <c r="AZ120" s="232" t="str">
        <f>IF($AX120="Yes",'8. Option Codes Decrypted'!$C$15,"")</f>
        <v/>
      </c>
      <c r="BA120" s="232" t="str">
        <f>IF($AX120="Yes",'8. Option Codes Decrypted'!$C$16,"")</f>
        <v/>
      </c>
      <c r="BB120" s="232" t="str">
        <f>IF($AX120="Yes",'8. Option Codes Decrypted'!$C$17,"")</f>
        <v/>
      </c>
      <c r="BC120" s="232" t="str">
        <f>IF($AX120="Yes",'8. Option Codes Decrypted'!$C$18,"")</f>
        <v/>
      </c>
      <c r="BD120" s="232" t="str">
        <f>IF($AY120="Yes",'8. Option Codes Decrypted'!$C$20,"")</f>
        <v/>
      </c>
      <c r="BE120" s="232" t="str">
        <f>IF($AY120="Yes",'8. Option Codes Decrypted'!$C$21,"")</f>
        <v/>
      </c>
      <c r="BF120" s="232" t="str">
        <f>IF($AY120="Yes",'8. Option Codes Decrypted'!$C$22,"")</f>
        <v/>
      </c>
      <c r="BG120" s="232" t="str">
        <f>IF($AY120="Yes",'8. Option Codes Decrypted'!$C$23,"")</f>
        <v/>
      </c>
    </row>
    <row r="121" spans="1:59" s="232" customFormat="1" ht="15.75" thickBot="1" x14ac:dyDescent="0.3">
      <c r="A121" s="232" t="str">
        <f t="shared" si="25"/>
        <v>A16</v>
      </c>
      <c r="B121" s="358" t="str">
        <f t="shared" si="26"/>
        <v>545-53340</v>
      </c>
      <c r="C121" s="358" t="str">
        <f t="shared" si="29"/>
        <v/>
      </c>
      <c r="D121" s="358"/>
      <c r="E121" s="358">
        <f t="shared" si="23"/>
        <v>1</v>
      </c>
      <c r="F121" s="232" t="s">
        <v>426</v>
      </c>
      <c r="G121" s="241">
        <v>44680</v>
      </c>
      <c r="H121" s="250"/>
      <c r="I121" s="250"/>
      <c r="J121" s="250" t="s">
        <v>427</v>
      </c>
      <c r="K121" s="250" t="s">
        <v>710</v>
      </c>
      <c r="L121" s="250" t="s">
        <v>711</v>
      </c>
      <c r="M121" s="235" t="s">
        <v>444</v>
      </c>
      <c r="N121" s="235">
        <v>6</v>
      </c>
      <c r="O121" s="284" t="s">
        <v>260</v>
      </c>
      <c r="P121" s="284" t="s">
        <v>716</v>
      </c>
      <c r="Q121" s="284">
        <v>1</v>
      </c>
      <c r="R121" s="286" t="str">
        <f t="shared" si="24"/>
        <v>A16. ABS Pump &amp; Module</v>
      </c>
      <c r="S121" s="365" t="str">
        <f>HYPERLINK(VLOOKUP(O121,'3D. Pictures'!$B$3:$E$500,4,FALSE),"PIC")</f>
        <v>PIC</v>
      </c>
      <c r="T121" s="235">
        <v>5</v>
      </c>
      <c r="U121" s="250" t="s">
        <v>717</v>
      </c>
      <c r="V121" s="235" t="s">
        <v>81</v>
      </c>
      <c r="W121" s="250"/>
      <c r="X121" s="250"/>
      <c r="Y121" s="250"/>
      <c r="Z121" s="250" t="s">
        <v>711</v>
      </c>
      <c r="AA121" s="250"/>
      <c r="AB121" s="250"/>
      <c r="AC121" s="244" t="s">
        <v>449</v>
      </c>
      <c r="AD121" s="266"/>
      <c r="AE121" s="265">
        <v>115</v>
      </c>
      <c r="AF121" s="252" t="s">
        <v>434</v>
      </c>
      <c r="AG121" s="247"/>
      <c r="AH121" s="248" t="s">
        <v>712</v>
      </c>
      <c r="AJ121" s="249"/>
      <c r="AK121" s="232" t="s">
        <v>713</v>
      </c>
      <c r="AN121" s="233" t="s">
        <v>714</v>
      </c>
      <c r="AO121" s="232" t="s">
        <v>411</v>
      </c>
      <c r="AP121" s="232">
        <v>53340</v>
      </c>
      <c r="AQ121" s="232" t="str">
        <f>CONCATENATE(AN121,AO121,AP121)</f>
        <v>545-53340</v>
      </c>
      <c r="AR121" s="232" t="s">
        <v>718</v>
      </c>
      <c r="AX121" s="250"/>
      <c r="AY121" s="250"/>
      <c r="AZ121" s="232" t="str">
        <f>IF($AX121="Yes",'8. Option Codes Decrypted'!$C$15,"")</f>
        <v/>
      </c>
      <c r="BA121" s="232" t="str">
        <f>IF($AX121="Yes",'8. Option Codes Decrypted'!$C$16,"")</f>
        <v/>
      </c>
      <c r="BB121" s="232" t="str">
        <f>IF($AX121="Yes",'8. Option Codes Decrypted'!$C$17,"")</f>
        <v/>
      </c>
      <c r="BC121" s="232" t="str">
        <f>IF($AX121="Yes",'8. Option Codes Decrypted'!$C$18,"")</f>
        <v/>
      </c>
      <c r="BD121" s="232" t="str">
        <f>IF($AY121="Yes",'8. Option Codes Decrypted'!$C$20,"")</f>
        <v/>
      </c>
      <c r="BE121" s="232" t="str">
        <f>IF($AY121="Yes",'8. Option Codes Decrypted'!$C$21,"")</f>
        <v/>
      </c>
      <c r="BF121" s="232" t="str">
        <f>IF($AY121="Yes",'8. Option Codes Decrypted'!$C$22,"")</f>
        <v/>
      </c>
      <c r="BG121" s="232" t="str">
        <f>IF($AY121="Yes",'8. Option Codes Decrypted'!$C$23,"")</f>
        <v/>
      </c>
    </row>
    <row r="122" spans="1:59" s="232" customFormat="1" ht="15.75" thickBot="1" x14ac:dyDescent="0.3">
      <c r="A122" s="232" t="str">
        <f t="shared" si="25"/>
        <v/>
      </c>
      <c r="B122" s="358" t="str">
        <f t="shared" si="26"/>
        <v>613-998926</v>
      </c>
      <c r="C122" s="358" t="str">
        <f t="shared" si="29"/>
        <v/>
      </c>
      <c r="D122" s="358"/>
      <c r="E122" s="358">
        <f t="shared" si="23"/>
        <v>1</v>
      </c>
      <c r="F122" s="232" t="s">
        <v>426</v>
      </c>
      <c r="G122" s="241">
        <v>44684</v>
      </c>
      <c r="H122" s="250"/>
      <c r="I122" s="250"/>
      <c r="J122" s="250" t="s">
        <v>427</v>
      </c>
      <c r="K122" s="250" t="s">
        <v>710</v>
      </c>
      <c r="L122" s="250" t="s">
        <v>719</v>
      </c>
      <c r="M122" s="259" t="s">
        <v>458</v>
      </c>
      <c r="N122" s="259"/>
      <c r="O122" s="291"/>
      <c r="P122" s="291"/>
      <c r="Q122" s="291"/>
      <c r="R122" s="286" t="str">
        <f t="shared" si="24"/>
        <v>. Horns SET2 WITH ~6" Metal Brackets ON (toss both horns if 1 horn bad)</v>
      </c>
      <c r="S122" s="286"/>
      <c r="T122" s="259"/>
      <c r="U122" s="250"/>
      <c r="V122" s="259"/>
      <c r="W122" s="250"/>
      <c r="X122" s="250"/>
      <c r="Y122" s="250"/>
      <c r="Z122" s="250" t="s">
        <v>719</v>
      </c>
      <c r="AA122" s="250" t="s">
        <v>720</v>
      </c>
      <c r="AB122" s="250"/>
      <c r="AC122" s="244" t="s">
        <v>439</v>
      </c>
      <c r="AD122" s="266" t="s">
        <v>721</v>
      </c>
      <c r="AE122" s="265">
        <v>75</v>
      </c>
      <c r="AF122" s="267" t="s">
        <v>434</v>
      </c>
      <c r="AG122" s="247"/>
      <c r="AH122" s="248" t="s">
        <v>435</v>
      </c>
      <c r="AJ122" s="249"/>
      <c r="AK122" s="232" t="s">
        <v>722</v>
      </c>
      <c r="AN122" s="233">
        <v>613</v>
      </c>
      <c r="AO122" s="232" t="s">
        <v>411</v>
      </c>
      <c r="AP122" s="232">
        <v>998926</v>
      </c>
      <c r="AQ122" s="232" t="str">
        <f>CONCATENATE(AN122,AO122,AP122)</f>
        <v>613-998926</v>
      </c>
      <c r="AX122" s="250"/>
      <c r="AY122" s="250"/>
      <c r="AZ122" s="232" t="str">
        <f>IF($AX122="Yes",'8. Option Codes Decrypted'!$C$15,"")</f>
        <v/>
      </c>
      <c r="BA122" s="232" t="str">
        <f>IF($AX122="Yes",'8. Option Codes Decrypted'!$C$16,"")</f>
        <v/>
      </c>
      <c r="BB122" s="232" t="str">
        <f>IF($AX122="Yes",'8. Option Codes Decrypted'!$C$17,"")</f>
        <v/>
      </c>
      <c r="BC122" s="232" t="str">
        <f>IF($AX122="Yes",'8. Option Codes Decrypted'!$C$18,"")</f>
        <v/>
      </c>
      <c r="BD122" s="232" t="str">
        <f>IF($AY122="Yes",'8. Option Codes Decrypted'!$C$20,"")</f>
        <v/>
      </c>
      <c r="BE122" s="232" t="str">
        <f>IF($AY122="Yes",'8. Option Codes Decrypted'!$C$21,"")</f>
        <v/>
      </c>
      <c r="BF122" s="232" t="str">
        <f>IF($AY122="Yes",'8. Option Codes Decrypted'!$C$22,"")</f>
        <v/>
      </c>
      <c r="BG122" s="232" t="str">
        <f>IF($AY122="Yes",'8. Option Codes Decrypted'!$C$23,"")</f>
        <v/>
      </c>
    </row>
    <row r="123" spans="1:59" s="232" customFormat="1" ht="15.75" thickBot="1" x14ac:dyDescent="0.3">
      <c r="A123" s="232" t="str">
        <f t="shared" si="25"/>
        <v>A104</v>
      </c>
      <c r="B123" s="358" t="str">
        <f t="shared" si="26"/>
        <v>317-50194</v>
      </c>
      <c r="C123" s="358" t="str">
        <f t="shared" si="29"/>
        <v/>
      </c>
      <c r="D123" s="358"/>
      <c r="E123" s="358">
        <f t="shared" si="23"/>
        <v>1</v>
      </c>
      <c r="F123" s="232" t="s">
        <v>426</v>
      </c>
      <c r="G123" s="241">
        <v>44680</v>
      </c>
      <c r="H123" s="250"/>
      <c r="I123" s="250"/>
      <c r="J123" s="250" t="s">
        <v>427</v>
      </c>
      <c r="K123" s="250" t="s">
        <v>710</v>
      </c>
      <c r="L123" s="250" t="s">
        <v>723</v>
      </c>
      <c r="M123" s="259" t="s">
        <v>510</v>
      </c>
      <c r="N123" s="259">
        <v>94</v>
      </c>
      <c r="O123" s="291" t="s">
        <v>348</v>
      </c>
      <c r="P123" s="284" t="s">
        <v>724</v>
      </c>
      <c r="Q123" s="284">
        <v>1</v>
      </c>
      <c r="R123" s="286" t="str">
        <f t="shared" si="24"/>
        <v>A104. Intercooler</v>
      </c>
      <c r="S123" s="365" t="str">
        <f>HYPERLINK(VLOOKUP(O123,'3D. Pictures'!$B$3:$E$500,4,FALSE),"PIC")</f>
        <v>PIC</v>
      </c>
      <c r="T123" s="259">
        <v>5</v>
      </c>
      <c r="U123" s="250" t="s">
        <v>725</v>
      </c>
      <c r="V123" s="259" t="s">
        <v>80</v>
      </c>
      <c r="W123" s="250"/>
      <c r="X123" s="250"/>
      <c r="Y123" s="250"/>
      <c r="Z123" s="250" t="s">
        <v>723</v>
      </c>
      <c r="AA123" s="250"/>
      <c r="AB123" s="250" t="s">
        <v>726</v>
      </c>
      <c r="AC123" s="244" t="s">
        <v>449</v>
      </c>
      <c r="AD123" s="266"/>
      <c r="AE123" s="265">
        <v>150</v>
      </c>
      <c r="AF123" s="252" t="s">
        <v>434</v>
      </c>
      <c r="AG123" s="247"/>
      <c r="AH123" s="248" t="s">
        <v>727</v>
      </c>
      <c r="AJ123" s="249"/>
      <c r="AK123" s="232" t="s">
        <v>728</v>
      </c>
      <c r="AN123" s="233" t="s">
        <v>729</v>
      </c>
      <c r="AO123" s="232" t="s">
        <v>411</v>
      </c>
      <c r="AP123" s="232">
        <v>50194</v>
      </c>
      <c r="AQ123" s="232" t="str">
        <f t="shared" ref="AQ123:AQ128" si="30">CONCATENATE(AN123,AO123,AP123)</f>
        <v>317-50194</v>
      </c>
      <c r="AX123" s="250"/>
      <c r="AY123" s="250"/>
      <c r="AZ123" s="232" t="str">
        <f>IF($AX123="Yes",'8. Option Codes Decrypted'!$C$15,"")</f>
        <v/>
      </c>
      <c r="BA123" s="232" t="str">
        <f>IF($AX123="Yes",'8. Option Codes Decrypted'!$C$16,"")</f>
        <v/>
      </c>
      <c r="BB123" s="232" t="str">
        <f>IF($AX123="Yes",'8. Option Codes Decrypted'!$C$17,"")</f>
        <v/>
      </c>
      <c r="BC123" s="232" t="str">
        <f>IF($AX123="Yes",'8. Option Codes Decrypted'!$C$18,"")</f>
        <v/>
      </c>
      <c r="BD123" s="232" t="str">
        <f>IF($AY123="Yes",'8. Option Codes Decrypted'!$C$20,"")</f>
        <v/>
      </c>
      <c r="BE123" s="232" t="str">
        <f>IF($AY123="Yes",'8. Option Codes Decrypted'!$C$21,"")</f>
        <v/>
      </c>
      <c r="BF123" s="232" t="str">
        <f>IF($AY123="Yes",'8. Option Codes Decrypted'!$C$22,"")</f>
        <v/>
      </c>
      <c r="BG123" s="232" t="str">
        <f>IF($AY123="Yes",'8. Option Codes Decrypted'!$C$23,"")</f>
        <v/>
      </c>
    </row>
    <row r="124" spans="1:59" s="232" customFormat="1" ht="15.75" thickBot="1" x14ac:dyDescent="0.3">
      <c r="A124" s="232" t="str">
        <f t="shared" si="25"/>
        <v>A103</v>
      </c>
      <c r="B124" s="358" t="str">
        <f t="shared" si="26"/>
        <v>540-59227</v>
      </c>
      <c r="C124" s="358" t="str">
        <f t="shared" si="29"/>
        <v/>
      </c>
      <c r="D124" s="358"/>
      <c r="E124" s="358">
        <f t="shared" si="23"/>
        <v>1</v>
      </c>
      <c r="F124" s="232" t="s">
        <v>426</v>
      </c>
      <c r="G124" s="241">
        <v>44680</v>
      </c>
      <c r="H124" s="250"/>
      <c r="I124" s="250"/>
      <c r="J124" s="250" t="s">
        <v>427</v>
      </c>
      <c r="K124" s="250" t="s">
        <v>710</v>
      </c>
      <c r="L124" s="250" t="s">
        <v>730</v>
      </c>
      <c r="M124" s="235" t="s">
        <v>444</v>
      </c>
      <c r="N124" s="235">
        <v>93</v>
      </c>
      <c r="O124" s="284" t="s">
        <v>347</v>
      </c>
      <c r="P124" s="284" t="s">
        <v>724</v>
      </c>
      <c r="Q124" s="284">
        <v>1</v>
      </c>
      <c r="R124" s="286" t="str">
        <f t="shared" si="24"/>
        <v>A103. Power Brake Booster + Master Cylinder + Reservoir + Cap</v>
      </c>
      <c r="S124" s="365" t="str">
        <f>HYPERLINK(VLOOKUP(O124,'3D. Pictures'!$B$3:$E$500,4,FALSE),"PIC")</f>
        <v>PIC</v>
      </c>
      <c r="T124" s="235">
        <v>5</v>
      </c>
      <c r="U124" s="250" t="s">
        <v>731</v>
      </c>
      <c r="V124" s="235" t="s">
        <v>80</v>
      </c>
      <c r="W124" s="250"/>
      <c r="X124" s="250"/>
      <c r="Y124" s="250"/>
      <c r="Z124" s="250" t="s">
        <v>730</v>
      </c>
      <c r="AA124" s="250"/>
      <c r="AB124" s="250"/>
      <c r="AC124" s="244" t="s">
        <v>449</v>
      </c>
      <c r="AD124" s="266" t="s">
        <v>732</v>
      </c>
      <c r="AE124" s="250">
        <v>130</v>
      </c>
      <c r="AF124" s="267" t="s">
        <v>434</v>
      </c>
      <c r="AG124" s="247"/>
      <c r="AH124" s="248" t="s">
        <v>712</v>
      </c>
      <c r="AJ124" s="249"/>
      <c r="AK124" s="232" t="s">
        <v>733</v>
      </c>
      <c r="AN124" s="233" t="s">
        <v>734</v>
      </c>
      <c r="AO124" s="232" t="s">
        <v>411</v>
      </c>
      <c r="AP124" s="232">
        <v>59227</v>
      </c>
      <c r="AQ124" s="232" t="str">
        <f t="shared" si="30"/>
        <v>540-59227</v>
      </c>
      <c r="AX124" s="250"/>
      <c r="AY124" s="250"/>
      <c r="AZ124" s="232" t="str">
        <f>IF($AX124="Yes",'8. Option Codes Decrypted'!$C$15,"")</f>
        <v/>
      </c>
      <c r="BA124" s="232" t="str">
        <f>IF($AX124="Yes",'8. Option Codes Decrypted'!$C$16,"")</f>
        <v/>
      </c>
      <c r="BB124" s="232" t="str">
        <f>IF($AX124="Yes",'8. Option Codes Decrypted'!$C$17,"")</f>
        <v/>
      </c>
      <c r="BC124" s="232" t="str">
        <f>IF($AX124="Yes",'8. Option Codes Decrypted'!$C$18,"")</f>
        <v/>
      </c>
      <c r="BD124" s="232" t="str">
        <f>IF($AY124="Yes",'8. Option Codes Decrypted'!$C$20,"")</f>
        <v/>
      </c>
      <c r="BE124" s="232" t="str">
        <f>IF($AY124="Yes",'8. Option Codes Decrypted'!$C$21,"")</f>
        <v/>
      </c>
      <c r="BF124" s="232" t="str">
        <f>IF($AY124="Yes",'8. Option Codes Decrypted'!$C$22,"")</f>
        <v/>
      </c>
      <c r="BG124" s="232" t="str">
        <f>IF($AY124="Yes",'8. Option Codes Decrypted'!$C$23,"")</f>
        <v/>
      </c>
    </row>
    <row r="125" spans="1:59" s="232" customFormat="1" ht="15.75" thickBot="1" x14ac:dyDescent="0.3">
      <c r="A125" s="232" t="str">
        <f t="shared" si="25"/>
        <v>A90</v>
      </c>
      <c r="B125" s="358" t="str">
        <f t="shared" si="26"/>
        <v>674-60229</v>
      </c>
      <c r="C125" s="358" t="s">
        <v>735</v>
      </c>
      <c r="D125" s="358"/>
      <c r="E125" s="358">
        <f t="shared" si="23"/>
        <v>3</v>
      </c>
      <c r="F125" s="232" t="s">
        <v>426</v>
      </c>
      <c r="G125" s="241">
        <v>44680</v>
      </c>
      <c r="H125" s="250"/>
      <c r="I125" s="250"/>
      <c r="J125" s="250" t="s">
        <v>427</v>
      </c>
      <c r="K125" s="250" t="s">
        <v>710</v>
      </c>
      <c r="L125" s="250" t="s">
        <v>736</v>
      </c>
      <c r="M125" s="235" t="s">
        <v>444</v>
      </c>
      <c r="N125" s="235">
        <v>80</v>
      </c>
      <c r="O125" s="284" t="s">
        <v>334</v>
      </c>
      <c r="P125" s="284" t="s">
        <v>724</v>
      </c>
      <c r="Q125" s="284">
        <v>1</v>
      </c>
      <c r="R125" s="286" t="str">
        <f t="shared" si="24"/>
        <v>A90. Radiator Fan &amp; Shroud Assembly</v>
      </c>
      <c r="S125" s="365" t="str">
        <f>HYPERLINK(VLOOKUP(O125,'3D. Pictures'!$B$3:$E$500,4,FALSE),"PIC")</f>
        <v>PIC</v>
      </c>
      <c r="T125" s="235">
        <v>8</v>
      </c>
      <c r="U125" s="250" t="s">
        <v>737</v>
      </c>
      <c r="V125" s="235" t="s">
        <v>80</v>
      </c>
      <c r="W125" s="250"/>
      <c r="X125" s="250"/>
      <c r="Y125" s="250"/>
      <c r="Z125" s="250" t="s">
        <v>738</v>
      </c>
      <c r="AA125" s="250" t="s">
        <v>739</v>
      </c>
      <c r="AB125" s="250"/>
      <c r="AC125" s="244" t="s">
        <v>449</v>
      </c>
      <c r="AD125" s="266"/>
      <c r="AE125" s="265">
        <v>550</v>
      </c>
      <c r="AF125" s="267" t="s">
        <v>434</v>
      </c>
      <c r="AG125" s="247"/>
      <c r="AH125" s="248" t="s">
        <v>740</v>
      </c>
      <c r="AJ125" s="249"/>
      <c r="AK125" s="232" t="s">
        <v>741</v>
      </c>
      <c r="AN125" s="233" t="s">
        <v>742</v>
      </c>
      <c r="AO125" s="232" t="s">
        <v>411</v>
      </c>
      <c r="AP125" s="232">
        <v>60229</v>
      </c>
      <c r="AQ125" s="232" t="str">
        <f t="shared" si="30"/>
        <v>674-60229</v>
      </c>
      <c r="AX125" s="250"/>
      <c r="AY125" s="250"/>
      <c r="AZ125" s="232" t="str">
        <f>IF($AX125="Yes",'8. Option Codes Decrypted'!$C$15,"")</f>
        <v/>
      </c>
      <c r="BA125" s="232" t="str">
        <f>IF($AX125="Yes",'8. Option Codes Decrypted'!$C$16,"")</f>
        <v/>
      </c>
      <c r="BB125" s="232" t="str">
        <f>IF($AX125="Yes",'8. Option Codes Decrypted'!$C$17,"")</f>
        <v/>
      </c>
      <c r="BC125" s="232" t="str">
        <f>IF($AX125="Yes",'8. Option Codes Decrypted'!$C$18,"")</f>
        <v/>
      </c>
      <c r="BD125" s="232" t="str">
        <f>IF($AY125="Yes",'8. Option Codes Decrypted'!$C$20,"")</f>
        <v/>
      </c>
      <c r="BE125" s="232" t="str">
        <f>IF($AY125="Yes",'8. Option Codes Decrypted'!$C$21,"")</f>
        <v/>
      </c>
      <c r="BF125" s="232" t="str">
        <f>IF($AY125="Yes",'8. Option Codes Decrypted'!$C$22,"")</f>
        <v/>
      </c>
      <c r="BG125" s="232" t="str">
        <f>IF($AY125="Yes",'8. Option Codes Decrypted'!$C$23,"")</f>
        <v/>
      </c>
    </row>
    <row r="126" spans="1:59" s="232" customFormat="1" x14ac:dyDescent="0.25">
      <c r="A126" s="232" t="str">
        <f t="shared" si="25"/>
        <v/>
      </c>
      <c r="B126" s="358" t="str">
        <f t="shared" si="26"/>
        <v>674-60229</v>
      </c>
      <c r="C126" s="358" t="s">
        <v>743</v>
      </c>
      <c r="D126" s="358"/>
      <c r="E126" s="358">
        <f t="shared" si="23"/>
        <v>3</v>
      </c>
      <c r="F126" s="232" t="s">
        <v>426</v>
      </c>
      <c r="G126" s="241">
        <v>44680</v>
      </c>
      <c r="H126" s="250"/>
      <c r="I126" s="250"/>
      <c r="J126" s="250" t="s">
        <v>427</v>
      </c>
      <c r="K126" s="250" t="s">
        <v>710</v>
      </c>
      <c r="L126" s="250" t="s">
        <v>736</v>
      </c>
      <c r="M126" s="235" t="s">
        <v>444</v>
      </c>
      <c r="N126" s="235"/>
      <c r="O126" s="284"/>
      <c r="P126" s="284"/>
      <c r="Q126" s="284"/>
      <c r="R126" s="286" t="str">
        <f t="shared" si="24"/>
        <v>. Radiator Fan Motor &amp; Fan Blade</v>
      </c>
      <c r="S126" s="286"/>
      <c r="T126" s="235"/>
      <c r="U126" s="250"/>
      <c r="V126" s="235"/>
      <c r="W126" s="250"/>
      <c r="X126" s="250"/>
      <c r="Y126" s="250"/>
      <c r="Z126" s="250" t="s">
        <v>744</v>
      </c>
      <c r="AA126" s="250" t="s">
        <v>745</v>
      </c>
      <c r="AB126" s="250"/>
      <c r="AC126" s="244" t="s">
        <v>449</v>
      </c>
      <c r="AD126" s="266"/>
      <c r="AE126" s="265">
        <v>295</v>
      </c>
      <c r="AF126" s="267" t="s">
        <v>434</v>
      </c>
      <c r="AG126" s="247"/>
      <c r="AH126" s="248" t="s">
        <v>740</v>
      </c>
      <c r="AJ126" s="249"/>
      <c r="AK126" s="232" t="s">
        <v>741</v>
      </c>
      <c r="AN126" s="233" t="s">
        <v>742</v>
      </c>
      <c r="AO126" s="232" t="s">
        <v>411</v>
      </c>
      <c r="AP126" s="232">
        <v>60229</v>
      </c>
      <c r="AQ126" s="232" t="str">
        <f>CONCATENATE(AN126,AO126,AP126)</f>
        <v>674-60229</v>
      </c>
      <c r="AX126" s="250"/>
      <c r="AY126" s="250"/>
      <c r="AZ126" s="232" t="str">
        <f>IF($AX126="Yes",'8. Option Codes Decrypted'!$C$15,"")</f>
        <v/>
      </c>
      <c r="BA126" s="232" t="str">
        <f>IF($AX126="Yes",'8. Option Codes Decrypted'!$C$16,"")</f>
        <v/>
      </c>
      <c r="BB126" s="232" t="str">
        <f>IF($AX126="Yes",'8. Option Codes Decrypted'!$C$17,"")</f>
        <v/>
      </c>
      <c r="BC126" s="232" t="str">
        <f>IF($AX126="Yes",'8. Option Codes Decrypted'!$C$18,"")</f>
        <v/>
      </c>
      <c r="BD126" s="232" t="str">
        <f>IF($AY126="Yes",'8. Option Codes Decrypted'!$C$20,"")</f>
        <v/>
      </c>
      <c r="BE126" s="232" t="str">
        <f>IF($AY126="Yes",'8. Option Codes Decrypted'!$C$21,"")</f>
        <v/>
      </c>
      <c r="BF126" s="232" t="str">
        <f>IF($AY126="Yes",'8. Option Codes Decrypted'!$C$22,"")</f>
        <v/>
      </c>
      <c r="BG126" s="232" t="str">
        <f>IF($AY126="Yes",'8. Option Codes Decrypted'!$C$23,"")</f>
        <v/>
      </c>
    </row>
    <row r="127" spans="1:59" s="232" customFormat="1" x14ac:dyDescent="0.25">
      <c r="A127" s="232" t="str">
        <f t="shared" si="25"/>
        <v/>
      </c>
      <c r="B127" s="358" t="str">
        <f t="shared" si="26"/>
        <v>674-60229</v>
      </c>
      <c r="C127" s="358" t="s">
        <v>746</v>
      </c>
      <c r="D127" s="358"/>
      <c r="E127" s="358">
        <f t="shared" si="23"/>
        <v>3</v>
      </c>
      <c r="F127" s="232" t="s">
        <v>426</v>
      </c>
      <c r="G127" s="241">
        <v>44680</v>
      </c>
      <c r="H127" s="250"/>
      <c r="I127" s="250"/>
      <c r="J127" s="250" t="s">
        <v>427</v>
      </c>
      <c r="K127" s="250" t="s">
        <v>710</v>
      </c>
      <c r="L127" s="250" t="s">
        <v>736</v>
      </c>
      <c r="M127" s="235" t="s">
        <v>444</v>
      </c>
      <c r="N127" s="235"/>
      <c r="O127" s="284"/>
      <c r="P127" s="284"/>
      <c r="Q127" s="284"/>
      <c r="R127" s="286" t="str">
        <f t="shared" si="24"/>
        <v>. Radiator Fan Motor</v>
      </c>
      <c r="S127" s="286"/>
      <c r="T127" s="235"/>
      <c r="U127" s="250"/>
      <c r="V127" s="235"/>
      <c r="W127" s="250"/>
      <c r="X127" s="250"/>
      <c r="Y127" s="250"/>
      <c r="Z127" s="250" t="s">
        <v>747</v>
      </c>
      <c r="AA127" s="250" t="s">
        <v>745</v>
      </c>
      <c r="AB127" s="250"/>
      <c r="AC127" s="244" t="s">
        <v>449</v>
      </c>
      <c r="AD127" s="266"/>
      <c r="AE127" s="265">
        <v>195</v>
      </c>
      <c r="AF127" s="267" t="s">
        <v>434</v>
      </c>
      <c r="AG127" s="247"/>
      <c r="AH127" s="248" t="s">
        <v>740</v>
      </c>
      <c r="AJ127" s="249"/>
      <c r="AK127" s="232" t="s">
        <v>741</v>
      </c>
      <c r="AN127" s="233" t="s">
        <v>742</v>
      </c>
      <c r="AO127" s="232" t="s">
        <v>411</v>
      </c>
      <c r="AP127" s="232">
        <v>60229</v>
      </c>
      <c r="AQ127" s="232" t="str">
        <f>CONCATENATE(AN127,AO127,AP127)</f>
        <v>674-60229</v>
      </c>
      <c r="AX127" s="250"/>
      <c r="AY127" s="250"/>
      <c r="AZ127" s="232" t="str">
        <f>IF($AX127="Yes",'8. Option Codes Decrypted'!$C$15,"")</f>
        <v/>
      </c>
      <c r="BA127" s="232" t="str">
        <f>IF($AX127="Yes",'8. Option Codes Decrypted'!$C$16,"")</f>
        <v/>
      </c>
      <c r="BB127" s="232" t="str">
        <f>IF($AX127="Yes",'8. Option Codes Decrypted'!$C$17,"")</f>
        <v/>
      </c>
      <c r="BC127" s="232" t="str">
        <f>IF($AX127="Yes",'8. Option Codes Decrypted'!$C$18,"")</f>
        <v/>
      </c>
      <c r="BD127" s="232" t="str">
        <f>IF($AY127="Yes",'8. Option Codes Decrypted'!$C$20,"")</f>
        <v/>
      </c>
      <c r="BE127" s="232" t="str">
        <f>IF($AY127="Yes",'8. Option Codes Decrypted'!$C$21,"")</f>
        <v/>
      </c>
      <c r="BF127" s="232" t="str">
        <f>IF($AY127="Yes",'8. Option Codes Decrypted'!$C$22,"")</f>
        <v/>
      </c>
      <c r="BG127" s="232" t="str">
        <f>IF($AY127="Yes",'8. Option Codes Decrypted'!$C$23,"")</f>
        <v/>
      </c>
    </row>
    <row r="128" spans="1:59" s="232" customFormat="1" x14ac:dyDescent="0.25">
      <c r="A128" s="232" t="str">
        <f t="shared" si="25"/>
        <v/>
      </c>
      <c r="B128" s="358" t="str">
        <f t="shared" si="26"/>
        <v>675-59726</v>
      </c>
      <c r="C128" s="358" t="str">
        <f t="shared" ref="C128:C146" si="31">IF(AS128&lt;&gt;"",AS128,"")</f>
        <v/>
      </c>
      <c r="D128" s="358"/>
      <c r="E128" s="358">
        <f t="shared" si="23"/>
        <v>1</v>
      </c>
      <c r="F128" s="232" t="s">
        <v>426</v>
      </c>
      <c r="G128" s="241">
        <v>44680</v>
      </c>
      <c r="H128" s="250"/>
      <c r="I128" s="250"/>
      <c r="J128" s="250" t="s">
        <v>427</v>
      </c>
      <c r="K128" s="250" t="s">
        <v>710</v>
      </c>
      <c r="L128" s="250" t="s">
        <v>748</v>
      </c>
      <c r="M128" s="235" t="s">
        <v>444</v>
      </c>
      <c r="N128" s="235"/>
      <c r="O128" s="284"/>
      <c r="P128" s="284"/>
      <c r="Q128" s="284"/>
      <c r="R128" s="286" t="str">
        <f t="shared" si="24"/>
        <v>. Radiator, Primary One (It's the thicker / bigger one)</v>
      </c>
      <c r="S128" s="286"/>
      <c r="T128" s="235"/>
      <c r="U128" s="250"/>
      <c r="V128" s="235"/>
      <c r="W128" s="250"/>
      <c r="X128" s="250"/>
      <c r="Y128" s="250"/>
      <c r="Z128" s="250" t="s">
        <v>748</v>
      </c>
      <c r="AA128" s="250" t="s">
        <v>748</v>
      </c>
      <c r="AB128" s="250" t="s">
        <v>748</v>
      </c>
      <c r="AC128" s="244" t="s">
        <v>449</v>
      </c>
      <c r="AD128" s="266"/>
      <c r="AE128" s="265">
        <v>225</v>
      </c>
      <c r="AF128" s="267" t="s">
        <v>434</v>
      </c>
      <c r="AG128" s="247"/>
      <c r="AH128" s="248" t="s">
        <v>749</v>
      </c>
      <c r="AJ128" s="249"/>
      <c r="AK128" s="232" t="s">
        <v>750</v>
      </c>
      <c r="AN128" s="233" t="s">
        <v>751</v>
      </c>
      <c r="AO128" s="232" t="s">
        <v>411</v>
      </c>
      <c r="AP128" s="232">
        <v>59726</v>
      </c>
      <c r="AQ128" s="232" t="str">
        <f t="shared" si="30"/>
        <v>675-59726</v>
      </c>
      <c r="AR128" s="232" t="s">
        <v>752</v>
      </c>
      <c r="AX128" s="250"/>
      <c r="AY128" s="250"/>
      <c r="AZ128" s="232" t="str">
        <f>IF($AX128="Yes",'8. Option Codes Decrypted'!$C$15,"")</f>
        <v/>
      </c>
      <c r="BA128" s="232" t="str">
        <f>IF($AX128="Yes",'8. Option Codes Decrypted'!$C$16,"")</f>
        <v/>
      </c>
      <c r="BB128" s="232" t="str">
        <f>IF($AX128="Yes",'8. Option Codes Decrypted'!$C$17,"")</f>
        <v/>
      </c>
      <c r="BC128" s="232" t="str">
        <f>IF($AX128="Yes",'8. Option Codes Decrypted'!$C$18,"")</f>
        <v/>
      </c>
      <c r="BD128" s="232" t="str">
        <f>IF($AY128="Yes",'8. Option Codes Decrypted'!$C$20,"")</f>
        <v/>
      </c>
      <c r="BE128" s="232" t="str">
        <f>IF($AY128="Yes",'8. Option Codes Decrypted'!$C$21,"")</f>
        <v/>
      </c>
      <c r="BF128" s="232" t="str">
        <f>IF($AY128="Yes",'8. Option Codes Decrypted'!$C$22,"")</f>
        <v/>
      </c>
      <c r="BG128" s="232" t="str">
        <f>IF($AY128="Yes",'8. Option Codes Decrypted'!$C$23,"")</f>
        <v/>
      </c>
    </row>
    <row r="129" spans="1:59" s="232" customFormat="1" ht="15.75" thickBot="1" x14ac:dyDescent="0.3">
      <c r="A129" s="232" t="str">
        <f t="shared" si="25"/>
        <v/>
      </c>
      <c r="B129" s="358" t="str">
        <f t="shared" si="26"/>
        <v>675-59919</v>
      </c>
      <c r="C129" s="358" t="str">
        <f t="shared" si="31"/>
        <v/>
      </c>
      <c r="D129" s="358"/>
      <c r="E129" s="358">
        <f t="shared" si="23"/>
        <v>1</v>
      </c>
      <c r="F129" s="232" t="s">
        <v>426</v>
      </c>
      <c r="G129" s="241">
        <v>44680</v>
      </c>
      <c r="H129" s="250"/>
      <c r="I129" s="250"/>
      <c r="J129" s="250" t="s">
        <v>427</v>
      </c>
      <c r="K129" s="250" t="s">
        <v>710</v>
      </c>
      <c r="L129" s="250" t="s">
        <v>748</v>
      </c>
      <c r="M129" s="235" t="s">
        <v>444</v>
      </c>
      <c r="N129" s="235"/>
      <c r="O129" s="284"/>
      <c r="P129" s="284"/>
      <c r="Q129" s="284"/>
      <c r="R129" s="286" t="str">
        <f t="shared" si="24"/>
        <v>. Radiator, Primary One (It's the thicker / bigger one)</v>
      </c>
      <c r="S129" s="286"/>
      <c r="T129" s="235"/>
      <c r="U129" s="250"/>
      <c r="V129" s="235"/>
      <c r="W129" s="250"/>
      <c r="X129" s="250"/>
      <c r="Y129" s="250"/>
      <c r="Z129" s="250" t="s">
        <v>748</v>
      </c>
      <c r="AA129" s="250" t="s">
        <v>748</v>
      </c>
      <c r="AB129" s="250" t="s">
        <v>748</v>
      </c>
      <c r="AC129" s="244" t="s">
        <v>449</v>
      </c>
      <c r="AD129" s="266"/>
      <c r="AE129" s="265">
        <v>225</v>
      </c>
      <c r="AF129" s="267" t="s">
        <v>434</v>
      </c>
      <c r="AG129" s="247"/>
      <c r="AH129" s="248" t="s">
        <v>749</v>
      </c>
      <c r="AJ129" s="249"/>
      <c r="AK129" s="232" t="s">
        <v>750</v>
      </c>
      <c r="AN129" s="233" t="s">
        <v>751</v>
      </c>
      <c r="AO129" s="232" t="s">
        <v>411</v>
      </c>
      <c r="AP129" s="232">
        <v>59919</v>
      </c>
      <c r="AQ129" s="232" t="str">
        <f>CONCATENATE(AN129,AO129,AP129)</f>
        <v>675-59919</v>
      </c>
      <c r="AR129" s="232" t="s">
        <v>753</v>
      </c>
      <c r="AX129" s="250"/>
      <c r="AY129" s="250"/>
      <c r="AZ129" s="232" t="str">
        <f>IF($AX129="Yes",'8. Option Codes Decrypted'!$C$15,"")</f>
        <v/>
      </c>
      <c r="BA129" s="232" t="str">
        <f>IF($AX129="Yes",'8. Option Codes Decrypted'!$C$16,"")</f>
        <v/>
      </c>
      <c r="BB129" s="232" t="str">
        <f>IF($AX129="Yes",'8. Option Codes Decrypted'!$C$17,"")</f>
        <v/>
      </c>
      <c r="BC129" s="232" t="str">
        <f>IF($AX129="Yes",'8. Option Codes Decrypted'!$C$18,"")</f>
        <v/>
      </c>
      <c r="BD129" s="232" t="str">
        <f>IF($AY129="Yes",'8. Option Codes Decrypted'!$C$20,"")</f>
        <v/>
      </c>
      <c r="BE129" s="232" t="str">
        <f>IF($AY129="Yes",'8. Option Codes Decrypted'!$C$21,"")</f>
        <v/>
      </c>
      <c r="BF129" s="232" t="str">
        <f>IF($AY129="Yes",'8. Option Codes Decrypted'!$C$22,"")</f>
        <v/>
      </c>
      <c r="BG129" s="232" t="str">
        <f>IF($AY129="Yes",'8. Option Codes Decrypted'!$C$23,"")</f>
        <v/>
      </c>
    </row>
    <row r="130" spans="1:59" s="296" customFormat="1" ht="15.75" thickBot="1" x14ac:dyDescent="0.3">
      <c r="A130" s="232" t="str">
        <f t="shared" si="25"/>
        <v>A42</v>
      </c>
      <c r="B130" s="358" t="str">
        <f t="shared" si="26"/>
        <v/>
      </c>
      <c r="C130" s="358" t="str">
        <f t="shared" si="31"/>
        <v>F15-Windshield Washer Spray Nozzles &amp; Rubber Hose-14-18-ALL</v>
      </c>
      <c r="D130" s="358"/>
      <c r="E130" s="358" t="str">
        <f t="shared" si="23"/>
        <v/>
      </c>
      <c r="F130" s="296" t="s">
        <v>426</v>
      </c>
      <c r="G130" s="297">
        <v>45248</v>
      </c>
      <c r="H130" s="320"/>
      <c r="I130" s="320"/>
      <c r="J130" s="298" t="s">
        <v>427</v>
      </c>
      <c r="K130" s="298" t="s">
        <v>710</v>
      </c>
      <c r="L130" s="298" t="s">
        <v>754</v>
      </c>
      <c r="M130" s="298" t="s">
        <v>430</v>
      </c>
      <c r="N130" s="298">
        <v>32</v>
      </c>
      <c r="O130" s="299" t="s">
        <v>286</v>
      </c>
      <c r="P130" s="299" t="s">
        <v>459</v>
      </c>
      <c r="Q130" s="299">
        <v>1</v>
      </c>
      <c r="R130" s="299" t="str">
        <f t="shared" si="24"/>
        <v>A42. Windshield Washer Spray Nozzles &amp; Rubber Hose</v>
      </c>
      <c r="S130" s="365" t="str">
        <f>HYPERLINK(VLOOKUP(O130,'3D. Pictures'!$B$3:$E$500,4,FALSE),"PIC")</f>
        <v>PIC</v>
      </c>
      <c r="T130" s="298">
        <v>4</v>
      </c>
      <c r="U130" s="298">
        <v>7292659</v>
      </c>
      <c r="V130" s="298" t="s">
        <v>80</v>
      </c>
      <c r="W130" s="298"/>
      <c r="X130" s="298"/>
      <c r="Y130" s="298"/>
      <c r="Z130" s="298" t="s">
        <v>755</v>
      </c>
      <c r="AA130" s="298" t="s">
        <v>463</v>
      </c>
      <c r="AB130" s="298"/>
      <c r="AC130" s="213" t="s">
        <v>449</v>
      </c>
      <c r="AD130" s="323"/>
      <c r="AE130" s="181">
        <v>125</v>
      </c>
      <c r="AF130" s="324" t="s">
        <v>434</v>
      </c>
      <c r="AG130" s="301"/>
      <c r="AH130" s="302" t="s">
        <v>435</v>
      </c>
      <c r="AJ130" s="303"/>
      <c r="AK130" s="296" t="s">
        <v>756</v>
      </c>
      <c r="AS130" s="296" t="str">
        <f>CONCATENATE(AT130,"-",AU130,"-",AV130,"-",AW130)</f>
        <v>F15-Windshield Washer Spray Nozzles &amp; Rubber Hose-14-18-ALL</v>
      </c>
      <c r="AT130" s="296" t="s">
        <v>661</v>
      </c>
      <c r="AU130" s="296" t="str">
        <f>Z130</f>
        <v>Windshield Washer Spray Nozzles &amp; Rubber Hose</v>
      </c>
      <c r="AV130" s="296" t="s">
        <v>757</v>
      </c>
      <c r="AW130" s="296" t="s">
        <v>662</v>
      </c>
      <c r="AX130" s="298"/>
      <c r="AY130" s="298"/>
      <c r="AZ130" s="232" t="str">
        <f>IF($AX130="Yes",'8. Option Codes Decrypted'!$C$15,"")</f>
        <v/>
      </c>
      <c r="BA130" s="232" t="str">
        <f>IF($AX130="Yes",'8. Option Codes Decrypted'!$C$16,"")</f>
        <v/>
      </c>
      <c r="BB130" s="232" t="str">
        <f>IF($AX130="Yes",'8. Option Codes Decrypted'!$C$17,"")</f>
        <v/>
      </c>
      <c r="BC130" s="232" t="str">
        <f>IF($AX130="Yes",'8. Option Codes Decrypted'!$C$18,"")</f>
        <v/>
      </c>
      <c r="BD130" s="232" t="str">
        <f>IF($AY130="Yes",'8. Option Codes Decrypted'!$C$20,"")</f>
        <v/>
      </c>
      <c r="BE130" s="232" t="str">
        <f>IF($AY130="Yes",'8. Option Codes Decrypted'!$C$21,"")</f>
        <v/>
      </c>
      <c r="BF130" s="232" t="str">
        <f>IF($AY130="Yes",'8. Option Codes Decrypted'!$C$22,"")</f>
        <v/>
      </c>
      <c r="BG130" s="232" t="str">
        <f>IF($AY130="Yes",'8. Option Codes Decrypted'!$C$23,"")</f>
        <v/>
      </c>
    </row>
    <row r="131" spans="1:59" s="232" customFormat="1" ht="15.75" thickBot="1" x14ac:dyDescent="0.3">
      <c r="A131" s="232" t="str">
        <f t="shared" si="25"/>
        <v>A26</v>
      </c>
      <c r="B131" s="358" t="str">
        <f t="shared" si="26"/>
        <v>626-997571</v>
      </c>
      <c r="C131" s="358" t="str">
        <f t="shared" si="31"/>
        <v/>
      </c>
      <c r="D131" s="358"/>
      <c r="E131" s="358">
        <f t="shared" si="23"/>
        <v>1</v>
      </c>
      <c r="F131" s="232" t="s">
        <v>426</v>
      </c>
      <c r="G131" s="241">
        <v>44674</v>
      </c>
      <c r="H131" s="250"/>
      <c r="I131" s="250"/>
      <c r="J131" s="250" t="s">
        <v>427</v>
      </c>
      <c r="K131" s="250" t="s">
        <v>710</v>
      </c>
      <c r="L131" s="250" t="s">
        <v>758</v>
      </c>
      <c r="M131" s="235" t="s">
        <v>444</v>
      </c>
      <c r="N131" s="235">
        <v>16</v>
      </c>
      <c r="O131" s="284" t="s">
        <v>270</v>
      </c>
      <c r="P131" s="284" t="s">
        <v>716</v>
      </c>
      <c r="Q131" s="284">
        <v>1</v>
      </c>
      <c r="R131" s="286" t="str">
        <f t="shared" si="24"/>
        <v>A26. Wiper Arms, FRONT SET2</v>
      </c>
      <c r="S131" s="365" t="str">
        <f>HYPERLINK(VLOOKUP(O131,'3D. Pictures'!$B$3:$E$500,4,FALSE),"PIC")</f>
        <v>PIC</v>
      </c>
      <c r="T131" s="235">
        <v>5</v>
      </c>
      <c r="U131" s="250" t="s">
        <v>759</v>
      </c>
      <c r="V131" s="235" t="s">
        <v>80</v>
      </c>
      <c r="W131" s="250"/>
      <c r="X131" s="250"/>
      <c r="Y131" s="250"/>
      <c r="Z131" s="250" t="s">
        <v>760</v>
      </c>
      <c r="AA131" s="250" t="s">
        <v>463</v>
      </c>
      <c r="AB131" s="250"/>
      <c r="AC131" s="244" t="s">
        <v>439</v>
      </c>
      <c r="AD131" s="266"/>
      <c r="AE131" s="265">
        <v>100</v>
      </c>
      <c r="AF131" s="252" t="s">
        <v>434</v>
      </c>
      <c r="AG131" s="247"/>
      <c r="AH131" s="248" t="s">
        <v>435</v>
      </c>
      <c r="AJ131" s="249"/>
      <c r="AK131" s="232" t="s">
        <v>761</v>
      </c>
      <c r="AM131" s="232" t="s">
        <v>762</v>
      </c>
      <c r="AN131" s="233" t="s">
        <v>763</v>
      </c>
      <c r="AO131" s="232" t="s">
        <v>411</v>
      </c>
      <c r="AP131" s="232">
        <v>997571</v>
      </c>
      <c r="AQ131" s="232" t="str">
        <f>CONCATENATE(AN131,AO131,AP131)</f>
        <v>626-997571</v>
      </c>
      <c r="AX131" s="250"/>
      <c r="AY131" s="250"/>
      <c r="AZ131" s="232" t="str">
        <f>IF($AX131="Yes",'8. Option Codes Decrypted'!$C$15,"")</f>
        <v/>
      </c>
      <c r="BA131" s="232" t="str">
        <f>IF($AX131="Yes",'8. Option Codes Decrypted'!$C$16,"")</f>
        <v/>
      </c>
      <c r="BB131" s="232" t="str">
        <f>IF($AX131="Yes",'8. Option Codes Decrypted'!$C$17,"")</f>
        <v/>
      </c>
      <c r="BC131" s="232" t="str">
        <f>IF($AX131="Yes",'8. Option Codes Decrypted'!$C$18,"")</f>
        <v/>
      </c>
      <c r="BD131" s="232" t="str">
        <f>IF($AY131="Yes",'8. Option Codes Decrypted'!$C$20,"")</f>
        <v/>
      </c>
      <c r="BE131" s="232" t="str">
        <f>IF($AY131="Yes",'8. Option Codes Decrypted'!$C$21,"")</f>
        <v/>
      </c>
      <c r="BF131" s="232" t="str">
        <f>IF($AY131="Yes",'8. Option Codes Decrypted'!$C$22,"")</f>
        <v/>
      </c>
      <c r="BG131" s="232" t="str">
        <f>IF($AY131="Yes",'8. Option Codes Decrypted'!$C$23,"")</f>
        <v/>
      </c>
    </row>
    <row r="132" spans="1:59" x14ac:dyDescent="0.25">
      <c r="A132" s="232" t="str">
        <f t="shared" si="25"/>
        <v/>
      </c>
      <c r="B132" s="358" t="str">
        <f t="shared" si="26"/>
        <v/>
      </c>
      <c r="C132" s="358" t="str">
        <f t="shared" si="31"/>
        <v/>
      </c>
      <c r="D132" s="358"/>
      <c r="E132" s="358" t="str">
        <f t="shared" si="23"/>
        <v/>
      </c>
      <c r="F132" t="s">
        <v>508</v>
      </c>
      <c r="G132" s="230">
        <v>45099</v>
      </c>
      <c r="H132" s="10"/>
      <c r="I132" s="10"/>
      <c r="J132" s="10" t="s">
        <v>504</v>
      </c>
      <c r="K132" s="10" t="s">
        <v>710</v>
      </c>
      <c r="L132" s="10" t="s">
        <v>764</v>
      </c>
      <c r="M132" s="18" t="s">
        <v>458</v>
      </c>
      <c r="N132" s="18"/>
      <c r="O132" s="290"/>
      <c r="P132" s="290"/>
      <c r="Q132" s="290"/>
      <c r="R132" s="286" t="str">
        <f t="shared" si="24"/>
        <v>. Air Filter Cleaner Assembly</v>
      </c>
      <c r="S132" s="286"/>
      <c r="T132" s="18"/>
      <c r="U132" s="16"/>
      <c r="V132" s="18"/>
      <c r="W132" s="16"/>
      <c r="X132" s="16"/>
      <c r="Y132" s="16"/>
      <c r="Z132" s="10" t="s">
        <v>764</v>
      </c>
      <c r="AA132" s="10" t="s">
        <v>764</v>
      </c>
      <c r="AB132" s="10" t="s">
        <v>764</v>
      </c>
      <c r="AC132" s="193" t="s">
        <v>449</v>
      </c>
      <c r="AD132" s="210"/>
      <c r="AE132" s="209"/>
      <c r="AF132" s="225" t="s">
        <v>434</v>
      </c>
      <c r="AH132" s="3" t="s">
        <v>573</v>
      </c>
      <c r="AJ132" s="69"/>
      <c r="AK132" t="s">
        <v>765</v>
      </c>
      <c r="AN132"/>
      <c r="AO132" t="s">
        <v>411</v>
      </c>
      <c r="AX132" s="16"/>
      <c r="AY132" s="16"/>
      <c r="AZ132" s="232" t="str">
        <f>IF($AX132="Yes",'8. Option Codes Decrypted'!$C$15,"")</f>
        <v/>
      </c>
      <c r="BA132" s="232" t="str">
        <f>IF($AX132="Yes",'8. Option Codes Decrypted'!$C$16,"")</f>
        <v/>
      </c>
      <c r="BB132" s="232" t="str">
        <f>IF($AX132="Yes",'8. Option Codes Decrypted'!$C$17,"")</f>
        <v/>
      </c>
      <c r="BC132" s="232" t="str">
        <f>IF($AX132="Yes",'8. Option Codes Decrypted'!$C$18,"")</f>
        <v/>
      </c>
      <c r="BD132" s="232" t="str">
        <f>IF($AY132="Yes",'8. Option Codes Decrypted'!$C$20,"")</f>
        <v/>
      </c>
      <c r="BE132" s="232" t="str">
        <f>IF($AY132="Yes",'8. Option Codes Decrypted'!$C$21,"")</f>
        <v/>
      </c>
      <c r="BF132" s="232" t="str">
        <f>IF($AY132="Yes",'8. Option Codes Decrypted'!$C$22,"")</f>
        <v/>
      </c>
      <c r="BG132" s="232" t="str">
        <f>IF($AY132="Yes",'8. Option Codes Decrypted'!$C$23,"")</f>
        <v/>
      </c>
    </row>
    <row r="133" spans="1:59" x14ac:dyDescent="0.25">
      <c r="A133" s="232" t="str">
        <f t="shared" si="25"/>
        <v/>
      </c>
      <c r="B133" s="358" t="str">
        <f t="shared" si="26"/>
        <v/>
      </c>
      <c r="C133" s="358" t="str">
        <f t="shared" si="31"/>
        <v/>
      </c>
      <c r="D133" s="358"/>
      <c r="E133" s="358" t="str">
        <f t="shared" si="23"/>
        <v/>
      </c>
      <c r="F133" t="s">
        <v>426</v>
      </c>
      <c r="G133" s="230">
        <v>44683</v>
      </c>
      <c r="H133" s="10"/>
      <c r="I133" s="10"/>
      <c r="J133" s="10" t="s">
        <v>504</v>
      </c>
      <c r="K133" s="10" t="s">
        <v>710</v>
      </c>
      <c r="L133" s="10" t="s">
        <v>766</v>
      </c>
      <c r="M133" s="18" t="s">
        <v>458</v>
      </c>
      <c r="N133" s="18"/>
      <c r="O133" s="290"/>
      <c r="P133" s="290"/>
      <c r="Q133" s="290"/>
      <c r="R133" s="286" t="str">
        <f t="shared" si="24"/>
        <v>. Coolant Expansion Reservoir Tank &amp; Cap (TOSS ALL)</v>
      </c>
      <c r="S133" s="286"/>
      <c r="T133" s="18"/>
      <c r="U133" s="16"/>
      <c r="V133" s="18"/>
      <c r="W133" s="16"/>
      <c r="X133" s="16"/>
      <c r="Y133" s="16"/>
      <c r="Z133" s="10" t="s">
        <v>766</v>
      </c>
      <c r="AA133" s="10" t="s">
        <v>766</v>
      </c>
      <c r="AB133" s="10" t="s">
        <v>766</v>
      </c>
      <c r="AC133" s="193" t="s">
        <v>449</v>
      </c>
      <c r="AD133" s="210"/>
      <c r="AE133" s="209"/>
      <c r="AF133" s="225" t="s">
        <v>434</v>
      </c>
      <c r="AH133" s="3" t="s">
        <v>435</v>
      </c>
      <c r="AJ133" s="69"/>
      <c r="AK133" t="s">
        <v>767</v>
      </c>
      <c r="AN133"/>
      <c r="AO133" t="s">
        <v>411</v>
      </c>
      <c r="AX133" s="16"/>
      <c r="AY133" s="16"/>
      <c r="AZ133" s="232" t="str">
        <f>IF($AX133="Yes",'8. Option Codes Decrypted'!$C$15,"")</f>
        <v/>
      </c>
      <c r="BA133" s="232" t="str">
        <f>IF($AX133="Yes",'8. Option Codes Decrypted'!$C$16,"")</f>
        <v/>
      </c>
      <c r="BB133" s="232" t="str">
        <f>IF($AX133="Yes",'8. Option Codes Decrypted'!$C$17,"")</f>
        <v/>
      </c>
      <c r="BC133" s="232" t="str">
        <f>IF($AX133="Yes",'8. Option Codes Decrypted'!$C$18,"")</f>
        <v/>
      </c>
      <c r="BD133" s="232" t="str">
        <f>IF($AY133="Yes",'8. Option Codes Decrypted'!$C$20,"")</f>
        <v/>
      </c>
      <c r="BE133" s="232" t="str">
        <f>IF($AY133="Yes",'8. Option Codes Decrypted'!$C$21,"")</f>
        <v/>
      </c>
      <c r="BF133" s="232" t="str">
        <f>IF($AY133="Yes",'8. Option Codes Decrypted'!$C$22,"")</f>
        <v/>
      </c>
      <c r="BG133" s="232" t="str">
        <f>IF($AY133="Yes",'8. Option Codes Decrypted'!$C$23,"")</f>
        <v/>
      </c>
    </row>
    <row r="134" spans="1:59" x14ac:dyDescent="0.25">
      <c r="A134" s="232" t="str">
        <f t="shared" si="25"/>
        <v/>
      </c>
      <c r="B134" s="358" t="str">
        <f t="shared" si="26"/>
        <v/>
      </c>
      <c r="C134" s="358" t="str">
        <f t="shared" si="31"/>
        <v/>
      </c>
      <c r="D134" s="358"/>
      <c r="E134" s="358" t="str">
        <f t="shared" si="23"/>
        <v/>
      </c>
      <c r="F134" t="s">
        <v>426</v>
      </c>
      <c r="G134" s="230">
        <v>44680</v>
      </c>
      <c r="H134" s="10"/>
      <c r="I134" s="10"/>
      <c r="J134" s="10" t="s">
        <v>504</v>
      </c>
      <c r="K134" s="10" t="s">
        <v>710</v>
      </c>
      <c r="L134" s="10" t="s">
        <v>768</v>
      </c>
      <c r="M134" s="18" t="s">
        <v>510</v>
      </c>
      <c r="N134" s="18"/>
      <c r="O134" s="290"/>
      <c r="P134" s="290"/>
      <c r="Q134" s="290"/>
      <c r="R134" s="286" t="str">
        <f t="shared" si="24"/>
        <v>. Radiator, A/C Condenser Radiator (It's the skinnier / smaller one)</v>
      </c>
      <c r="S134" s="286"/>
      <c r="T134" s="18"/>
      <c r="U134" s="16"/>
      <c r="V134" s="18"/>
      <c r="W134" s="16"/>
      <c r="X134" s="16"/>
      <c r="Y134" s="16"/>
      <c r="Z134" s="10" t="s">
        <v>768</v>
      </c>
      <c r="AA134" s="10" t="s">
        <v>768</v>
      </c>
      <c r="AB134" s="10" t="s">
        <v>768</v>
      </c>
      <c r="AC134" s="193" t="s">
        <v>449</v>
      </c>
      <c r="AD134" s="210"/>
      <c r="AE134" s="209"/>
      <c r="AF134" s="200" t="s">
        <v>434</v>
      </c>
      <c r="AH134" s="3" t="s">
        <v>749</v>
      </c>
      <c r="AJ134" s="69"/>
      <c r="AK134" t="s">
        <v>769</v>
      </c>
      <c r="AN134"/>
      <c r="AO134" t="s">
        <v>411</v>
      </c>
      <c r="AX134" s="16"/>
      <c r="AY134" s="16"/>
      <c r="AZ134" s="232" t="str">
        <f>IF($AX134="Yes",'8. Option Codes Decrypted'!$C$15,"")</f>
        <v/>
      </c>
      <c r="BA134" s="232" t="str">
        <f>IF($AX134="Yes",'8. Option Codes Decrypted'!$C$16,"")</f>
        <v/>
      </c>
      <c r="BB134" s="232" t="str">
        <f>IF($AX134="Yes",'8. Option Codes Decrypted'!$C$17,"")</f>
        <v/>
      </c>
      <c r="BC134" s="232" t="str">
        <f>IF($AX134="Yes",'8. Option Codes Decrypted'!$C$18,"")</f>
        <v/>
      </c>
      <c r="BD134" s="232" t="str">
        <f>IF($AY134="Yes",'8. Option Codes Decrypted'!$C$20,"")</f>
        <v/>
      </c>
      <c r="BE134" s="232" t="str">
        <f>IF($AY134="Yes",'8. Option Codes Decrypted'!$C$21,"")</f>
        <v/>
      </c>
      <c r="BF134" s="232" t="str">
        <f>IF($AY134="Yes",'8. Option Codes Decrypted'!$C$22,"")</f>
        <v/>
      </c>
      <c r="BG134" s="232" t="str">
        <f>IF($AY134="Yes",'8. Option Codes Decrypted'!$C$23,"")</f>
        <v/>
      </c>
    </row>
    <row r="135" spans="1:59" x14ac:dyDescent="0.25">
      <c r="A135" s="232" t="str">
        <f t="shared" si="25"/>
        <v/>
      </c>
      <c r="B135" s="358" t="str">
        <f t="shared" si="26"/>
        <v/>
      </c>
      <c r="C135" s="358" t="str">
        <f t="shared" si="31"/>
        <v/>
      </c>
      <c r="D135" s="358"/>
      <c r="E135" s="358" t="str">
        <f t="shared" si="23"/>
        <v/>
      </c>
      <c r="F135" t="s">
        <v>426</v>
      </c>
      <c r="G135" s="230">
        <v>44684</v>
      </c>
      <c r="H135" s="178"/>
      <c r="I135" s="203"/>
      <c r="J135" s="10" t="s">
        <v>504</v>
      </c>
      <c r="K135" s="10" t="s">
        <v>710</v>
      </c>
      <c r="L135" s="10" t="s">
        <v>770</v>
      </c>
      <c r="M135" s="16" t="s">
        <v>430</v>
      </c>
      <c r="N135" s="16"/>
      <c r="O135" s="191"/>
      <c r="P135" s="191"/>
      <c r="Q135" s="191"/>
      <c r="R135" s="286" t="str">
        <f t="shared" si="24"/>
        <v>. Support Cross Bars, Engine Bays (all aluminum - the big long one and the 2 smaller identical ones - TOSS ALL)</v>
      </c>
      <c r="S135" s="286"/>
      <c r="T135" s="16"/>
      <c r="U135" s="16"/>
      <c r="V135" s="16"/>
      <c r="W135" s="16"/>
      <c r="X135" s="16"/>
      <c r="Y135" s="16"/>
      <c r="Z135" s="10" t="s">
        <v>770</v>
      </c>
      <c r="AA135" s="10" t="s">
        <v>770</v>
      </c>
      <c r="AB135" s="10" t="s">
        <v>770</v>
      </c>
      <c r="AC135" s="193" t="s">
        <v>449</v>
      </c>
      <c r="AD135" s="10"/>
      <c r="AE135" s="10"/>
      <c r="AF135" s="200" t="s">
        <v>434</v>
      </c>
      <c r="AH135" s="3" t="s">
        <v>435</v>
      </c>
      <c r="AJ135" s="69"/>
      <c r="AK135" t="s">
        <v>771</v>
      </c>
      <c r="AL135" t="s">
        <v>772</v>
      </c>
      <c r="AN135"/>
      <c r="AX135" s="16"/>
      <c r="AY135" s="16"/>
      <c r="AZ135" s="232" t="str">
        <f>IF($AX135="Yes",'8. Option Codes Decrypted'!$C$15,"")</f>
        <v/>
      </c>
      <c r="BA135" s="232" t="str">
        <f>IF($AX135="Yes",'8. Option Codes Decrypted'!$C$16,"")</f>
        <v/>
      </c>
      <c r="BB135" s="232" t="str">
        <f>IF($AX135="Yes",'8. Option Codes Decrypted'!$C$17,"")</f>
        <v/>
      </c>
      <c r="BC135" s="232" t="str">
        <f>IF($AX135="Yes",'8. Option Codes Decrypted'!$C$18,"")</f>
        <v/>
      </c>
      <c r="BD135" s="232" t="str">
        <f>IF($AY135="Yes",'8. Option Codes Decrypted'!$C$20,"")</f>
        <v/>
      </c>
      <c r="BE135" s="232" t="str">
        <f>IF($AY135="Yes",'8. Option Codes Decrypted'!$C$21,"")</f>
        <v/>
      </c>
      <c r="BF135" s="232" t="str">
        <f>IF($AY135="Yes",'8. Option Codes Decrypted'!$C$22,"")</f>
        <v/>
      </c>
      <c r="BG135" s="232" t="str">
        <f>IF($AY135="Yes",'8. Option Codes Decrypted'!$C$23,"")</f>
        <v/>
      </c>
    </row>
    <row r="136" spans="1:59" x14ac:dyDescent="0.25">
      <c r="A136" s="232" t="str">
        <f t="shared" si="25"/>
        <v/>
      </c>
      <c r="B136" s="358" t="str">
        <f t="shared" si="26"/>
        <v/>
      </c>
      <c r="C136" s="358" t="str">
        <f t="shared" si="31"/>
        <v/>
      </c>
      <c r="D136" s="358"/>
      <c r="E136" s="358" t="str">
        <f t="shared" si="23"/>
        <v/>
      </c>
      <c r="F136" t="s">
        <v>426</v>
      </c>
      <c r="G136" s="230">
        <v>44683</v>
      </c>
      <c r="H136" s="10"/>
      <c r="I136" s="10"/>
      <c r="J136" s="10" t="s">
        <v>504</v>
      </c>
      <c r="K136" s="10" t="s">
        <v>710</v>
      </c>
      <c r="L136" s="10" t="s">
        <v>773</v>
      </c>
      <c r="M136" s="16" t="s">
        <v>430</v>
      </c>
      <c r="N136" s="16"/>
      <c r="O136" s="191"/>
      <c r="P136" s="191"/>
      <c r="Q136" s="191"/>
      <c r="R136" s="286" t="str">
        <f t="shared" si="24"/>
        <v>. Water Heater Coolant Control Valve Solenoid Pump (small black w/ 2 solenoids &amp; 3 tubes coming off it)</v>
      </c>
      <c r="S136" s="286"/>
      <c r="T136" s="16"/>
      <c r="U136" s="16"/>
      <c r="V136" s="16"/>
      <c r="W136" s="16"/>
      <c r="X136" s="16"/>
      <c r="Y136" s="16"/>
      <c r="Z136" s="10" t="s">
        <v>773</v>
      </c>
      <c r="AA136" s="10" t="s">
        <v>773</v>
      </c>
      <c r="AB136" s="10" t="s">
        <v>773</v>
      </c>
      <c r="AC136" s="193" t="s">
        <v>449</v>
      </c>
      <c r="AD136" s="210"/>
      <c r="AE136" s="209"/>
      <c r="AF136" s="200" t="s">
        <v>434</v>
      </c>
      <c r="AH136" s="3" t="s">
        <v>435</v>
      </c>
      <c r="AJ136" s="69"/>
      <c r="AK136" t="s">
        <v>774</v>
      </c>
      <c r="AN136"/>
      <c r="AX136" s="16"/>
      <c r="AY136" s="16"/>
      <c r="AZ136" s="232" t="str">
        <f>IF($AX136="Yes",'8. Option Codes Decrypted'!$C$15,"")</f>
        <v/>
      </c>
      <c r="BA136" s="232" t="str">
        <f>IF($AX136="Yes",'8. Option Codes Decrypted'!$C$16,"")</f>
        <v/>
      </c>
      <c r="BB136" s="232" t="str">
        <f>IF($AX136="Yes",'8. Option Codes Decrypted'!$C$17,"")</f>
        <v/>
      </c>
      <c r="BC136" s="232" t="str">
        <f>IF($AX136="Yes",'8. Option Codes Decrypted'!$C$18,"")</f>
        <v/>
      </c>
      <c r="BD136" s="232" t="str">
        <f>IF($AY136="Yes",'8. Option Codes Decrypted'!$C$20,"")</f>
        <v/>
      </c>
      <c r="BE136" s="232" t="str">
        <f>IF($AY136="Yes",'8. Option Codes Decrypted'!$C$21,"")</f>
        <v/>
      </c>
      <c r="BF136" s="232" t="str">
        <f>IF($AY136="Yes",'8. Option Codes Decrypted'!$C$22,"")</f>
        <v/>
      </c>
      <c r="BG136" s="232" t="str">
        <f>IF($AY136="Yes",'8. Option Codes Decrypted'!$C$23,"")</f>
        <v/>
      </c>
    </row>
    <row r="137" spans="1:59" x14ac:dyDescent="0.25">
      <c r="A137" s="232" t="str">
        <f t="shared" si="25"/>
        <v/>
      </c>
      <c r="B137" s="358" t="str">
        <f t="shared" si="26"/>
        <v/>
      </c>
      <c r="C137" s="358" t="str">
        <f t="shared" si="31"/>
        <v/>
      </c>
      <c r="D137" s="358"/>
      <c r="E137" s="358" t="str">
        <f t="shared" ref="E137:E200" si="32">IF(B137&lt;&gt;"",COUNTIF($B$9:$B$2175,B137),"")</f>
        <v/>
      </c>
      <c r="F137" t="s">
        <v>426</v>
      </c>
      <c r="G137" s="230">
        <v>44674</v>
      </c>
      <c r="H137" s="10"/>
      <c r="I137" s="10"/>
      <c r="J137" s="10" t="s">
        <v>504</v>
      </c>
      <c r="K137" s="10" t="s">
        <v>710</v>
      </c>
      <c r="L137" s="10" t="s">
        <v>775</v>
      </c>
      <c r="M137" s="188" t="s">
        <v>444</v>
      </c>
      <c r="N137" s="188"/>
      <c r="O137" s="289"/>
      <c r="P137" s="289"/>
      <c r="Q137" s="289"/>
      <c r="R137" s="286" t="str">
        <f t="shared" ref="R137:R200" si="33">CONCATENATE(O137,". ",Z137)</f>
        <v>. Wiper Motor &amp; Transmission Linkage (TOSS BOTH)</v>
      </c>
      <c r="S137" s="286"/>
      <c r="T137" s="188"/>
      <c r="U137" s="16"/>
      <c r="V137" s="188"/>
      <c r="W137" s="16"/>
      <c r="X137" s="16"/>
      <c r="Y137" s="16"/>
      <c r="Z137" s="10" t="s">
        <v>775</v>
      </c>
      <c r="AA137" s="10" t="s">
        <v>775</v>
      </c>
      <c r="AB137" s="10" t="s">
        <v>775</v>
      </c>
      <c r="AC137" s="193" t="s">
        <v>449</v>
      </c>
      <c r="AD137" s="210"/>
      <c r="AE137" s="209"/>
      <c r="AF137" s="200" t="s">
        <v>434</v>
      </c>
      <c r="AH137" s="3" t="s">
        <v>435</v>
      </c>
      <c r="AJ137" s="69"/>
      <c r="AK137" t="s">
        <v>776</v>
      </c>
      <c r="AL137" t="s">
        <v>777</v>
      </c>
      <c r="AN137"/>
      <c r="AO137" t="s">
        <v>411</v>
      </c>
      <c r="AX137" s="16"/>
      <c r="AY137" s="16"/>
      <c r="AZ137" s="232" t="str">
        <f>IF($AX137="Yes",'8. Option Codes Decrypted'!$C$15,"")</f>
        <v/>
      </c>
      <c r="BA137" s="232" t="str">
        <f>IF($AX137="Yes",'8. Option Codes Decrypted'!$C$16,"")</f>
        <v/>
      </c>
      <c r="BB137" s="232" t="str">
        <f>IF($AX137="Yes",'8. Option Codes Decrypted'!$C$17,"")</f>
        <v/>
      </c>
      <c r="BC137" s="232" t="str">
        <f>IF($AX137="Yes",'8. Option Codes Decrypted'!$C$18,"")</f>
        <v/>
      </c>
      <c r="BD137" s="232" t="str">
        <f>IF($AY137="Yes",'8. Option Codes Decrypted'!$C$20,"")</f>
        <v/>
      </c>
      <c r="BE137" s="232" t="str">
        <f>IF($AY137="Yes",'8. Option Codes Decrypted'!$C$21,"")</f>
        <v/>
      </c>
      <c r="BF137" s="232" t="str">
        <f>IF($AY137="Yes",'8. Option Codes Decrypted'!$C$22,"")</f>
        <v/>
      </c>
      <c r="BG137" s="232" t="str">
        <f>IF($AY137="Yes",'8. Option Codes Decrypted'!$C$23,"")</f>
        <v/>
      </c>
    </row>
    <row r="138" spans="1:59" x14ac:dyDescent="0.25">
      <c r="A138" s="232" t="str">
        <f t="shared" ref="A138:A201" si="34">IF(O138&lt;&gt;"",O138,"")</f>
        <v/>
      </c>
      <c r="B138" s="358" t="str">
        <f t="shared" ref="B138:B169" si="35">IF(AQ138&lt;&gt;"",AQ138,"")</f>
        <v/>
      </c>
      <c r="C138" s="358" t="str">
        <f t="shared" si="31"/>
        <v/>
      </c>
      <c r="D138" s="358"/>
      <c r="E138" s="358" t="str">
        <f t="shared" si="32"/>
        <v/>
      </c>
      <c r="F138" t="s">
        <v>508</v>
      </c>
      <c r="G138" s="230">
        <v>44993</v>
      </c>
      <c r="H138" s="177"/>
      <c r="I138" s="188"/>
      <c r="J138" s="16" t="s">
        <v>427</v>
      </c>
      <c r="K138" s="16" t="s">
        <v>778</v>
      </c>
      <c r="L138" s="16" t="s">
        <v>779</v>
      </c>
      <c r="M138" s="18" t="s">
        <v>510</v>
      </c>
      <c r="N138" s="18"/>
      <c r="O138" s="290"/>
      <c r="P138" s="290"/>
      <c r="Q138" s="290"/>
      <c r="R138" s="286" t="str">
        <f t="shared" si="33"/>
        <v>. Bumper Reinforcement Bracket SET2</v>
      </c>
      <c r="S138" s="286"/>
      <c r="T138" s="18"/>
      <c r="U138" s="16"/>
      <c r="V138" s="18"/>
      <c r="W138" s="16"/>
      <c r="X138" s="16"/>
      <c r="Y138" s="16"/>
      <c r="Z138" s="16" t="s">
        <v>779</v>
      </c>
      <c r="AA138" s="16" t="s">
        <v>779</v>
      </c>
      <c r="AB138" s="16" t="s">
        <v>780</v>
      </c>
      <c r="AC138" s="193" t="s">
        <v>439</v>
      </c>
      <c r="AD138" s="16" t="s">
        <v>781</v>
      </c>
      <c r="AE138" s="16">
        <v>160</v>
      </c>
      <c r="AF138" s="201" t="s">
        <v>434</v>
      </c>
      <c r="AH138" s="3" t="s">
        <v>435</v>
      </c>
      <c r="AJ138" s="69"/>
      <c r="AK138" t="s">
        <v>782</v>
      </c>
      <c r="AO138" t="s">
        <v>411</v>
      </c>
      <c r="AX138" s="16"/>
      <c r="AY138" s="16"/>
      <c r="AZ138" s="232" t="str">
        <f>IF($AX138="Yes",'8. Option Codes Decrypted'!$C$15,"")</f>
        <v/>
      </c>
      <c r="BA138" s="232" t="str">
        <f>IF($AX138="Yes",'8. Option Codes Decrypted'!$C$16,"")</f>
        <v/>
      </c>
      <c r="BB138" s="232" t="str">
        <f>IF($AX138="Yes",'8. Option Codes Decrypted'!$C$17,"")</f>
        <v/>
      </c>
      <c r="BC138" s="232" t="str">
        <f>IF($AX138="Yes",'8. Option Codes Decrypted'!$C$18,"")</f>
        <v/>
      </c>
      <c r="BD138" s="232" t="str">
        <f>IF($AY138="Yes",'8. Option Codes Decrypted'!$C$20,"")</f>
        <v/>
      </c>
      <c r="BE138" s="232" t="str">
        <f>IF($AY138="Yes",'8. Option Codes Decrypted'!$C$21,"")</f>
        <v/>
      </c>
      <c r="BF138" s="232" t="str">
        <f>IF($AY138="Yes",'8. Option Codes Decrypted'!$C$22,"")</f>
        <v/>
      </c>
      <c r="BG138" s="232" t="str">
        <f>IF($AY138="Yes",'8. Option Codes Decrypted'!$C$23,"")</f>
        <v/>
      </c>
    </row>
    <row r="139" spans="1:59" s="232" customFormat="1" x14ac:dyDescent="0.25">
      <c r="A139" s="232" t="str">
        <f t="shared" si="34"/>
        <v/>
      </c>
      <c r="B139" s="358" t="str">
        <f t="shared" si="35"/>
        <v>104-60051</v>
      </c>
      <c r="C139" s="358" t="str">
        <f t="shared" si="31"/>
        <v/>
      </c>
      <c r="D139" s="358"/>
      <c r="E139" s="358">
        <f t="shared" si="32"/>
        <v>1</v>
      </c>
      <c r="F139" s="232" t="s">
        <v>426</v>
      </c>
      <c r="G139" s="241">
        <v>45209</v>
      </c>
      <c r="H139" s="256"/>
      <c r="I139" s="269"/>
      <c r="J139" s="244" t="s">
        <v>427</v>
      </c>
      <c r="K139" s="244" t="s">
        <v>778</v>
      </c>
      <c r="L139" s="250" t="s">
        <v>783</v>
      </c>
      <c r="M139" s="235" t="s">
        <v>444</v>
      </c>
      <c r="N139" s="235"/>
      <c r="O139" s="284"/>
      <c r="P139" s="284"/>
      <c r="Q139" s="284"/>
      <c r="R139" s="286" t="str">
        <f t="shared" si="33"/>
        <v>. Grille, LOWER BUMPER - CENTER</v>
      </c>
      <c r="S139" s="286"/>
      <c r="T139" s="235"/>
      <c r="U139" s="250"/>
      <c r="V139" s="235"/>
      <c r="W139" s="250"/>
      <c r="X139" s="250"/>
      <c r="Y139" s="250"/>
      <c r="Z139" s="244" t="s">
        <v>784</v>
      </c>
      <c r="AA139" s="244"/>
      <c r="AB139" s="244"/>
      <c r="AC139" s="244" t="s">
        <v>439</v>
      </c>
      <c r="AD139" s="244" t="s">
        <v>785</v>
      </c>
      <c r="AE139" s="270">
        <v>150</v>
      </c>
      <c r="AF139" s="252" t="s">
        <v>434</v>
      </c>
      <c r="AG139" s="247"/>
      <c r="AH139" s="248" t="s">
        <v>435</v>
      </c>
      <c r="AI139" s="271"/>
      <c r="AJ139" s="249"/>
      <c r="AK139" s="252" t="s">
        <v>786</v>
      </c>
      <c r="AL139" s="232" t="s">
        <v>787</v>
      </c>
      <c r="AM139" s="232" t="s">
        <v>788</v>
      </c>
      <c r="AN139" s="233" t="s">
        <v>789</v>
      </c>
      <c r="AO139" s="232" t="s">
        <v>411</v>
      </c>
      <c r="AP139" s="232">
        <v>60051</v>
      </c>
      <c r="AQ139" s="232" t="str">
        <f t="shared" ref="AQ139:AQ154" si="36">CONCATENATE(AN139,AO139,AP139)</f>
        <v>104-60051</v>
      </c>
      <c r="AR139" s="232" t="s">
        <v>790</v>
      </c>
      <c r="AX139" s="250"/>
      <c r="AY139" s="250"/>
      <c r="AZ139" s="232" t="str">
        <f>IF($AX139="Yes",'8. Option Codes Decrypted'!$C$15,"")</f>
        <v/>
      </c>
      <c r="BA139" s="232" t="str">
        <f>IF($AX139="Yes",'8. Option Codes Decrypted'!$C$16,"")</f>
        <v/>
      </c>
      <c r="BB139" s="232" t="str">
        <f>IF($AX139="Yes",'8. Option Codes Decrypted'!$C$17,"")</f>
        <v/>
      </c>
      <c r="BC139" s="232" t="str">
        <f>IF($AX139="Yes",'8. Option Codes Decrypted'!$C$18,"")</f>
        <v/>
      </c>
      <c r="BD139" s="232" t="str">
        <f>IF($AY139="Yes",'8. Option Codes Decrypted'!$C$20,"")</f>
        <v/>
      </c>
      <c r="BE139" s="232" t="str">
        <f>IF($AY139="Yes",'8. Option Codes Decrypted'!$C$21,"")</f>
        <v/>
      </c>
      <c r="BF139" s="232" t="str">
        <f>IF($AY139="Yes",'8. Option Codes Decrypted'!$C$22,"")</f>
        <v/>
      </c>
      <c r="BG139" s="232" t="str">
        <f>IF($AY139="Yes",'8. Option Codes Decrypted'!$C$23,"")</f>
        <v/>
      </c>
    </row>
    <row r="140" spans="1:59" s="232" customFormat="1" x14ac:dyDescent="0.25">
      <c r="A140" s="232" t="str">
        <f t="shared" si="34"/>
        <v/>
      </c>
      <c r="B140" s="358" t="str">
        <f t="shared" si="35"/>
        <v>104-60052</v>
      </c>
      <c r="C140" s="358" t="str">
        <f t="shared" si="31"/>
        <v/>
      </c>
      <c r="D140" s="358"/>
      <c r="E140" s="358">
        <f t="shared" si="32"/>
        <v>1</v>
      </c>
      <c r="F140" s="232" t="s">
        <v>426</v>
      </c>
      <c r="G140" s="241">
        <v>45209</v>
      </c>
      <c r="H140" s="256"/>
      <c r="I140" s="269"/>
      <c r="J140" s="244" t="s">
        <v>427</v>
      </c>
      <c r="K140" s="244" t="s">
        <v>778</v>
      </c>
      <c r="L140" s="250" t="s">
        <v>783</v>
      </c>
      <c r="M140" s="235" t="s">
        <v>444</v>
      </c>
      <c r="N140" s="235"/>
      <c r="O140" s="284"/>
      <c r="P140" s="284"/>
      <c r="Q140" s="284"/>
      <c r="R140" s="286" t="str">
        <f t="shared" si="33"/>
        <v>. Grille, LOWER BUMPER - CENTER</v>
      </c>
      <c r="S140" s="286"/>
      <c r="T140" s="235"/>
      <c r="U140" s="250"/>
      <c r="V140" s="235"/>
      <c r="W140" s="250"/>
      <c r="X140" s="250"/>
      <c r="Y140" s="250"/>
      <c r="Z140" s="244" t="s">
        <v>784</v>
      </c>
      <c r="AA140" s="244"/>
      <c r="AB140" s="244"/>
      <c r="AC140" s="244" t="s">
        <v>439</v>
      </c>
      <c r="AD140" s="244" t="s">
        <v>785</v>
      </c>
      <c r="AE140" s="270">
        <v>150</v>
      </c>
      <c r="AF140" s="252" t="s">
        <v>434</v>
      </c>
      <c r="AG140" s="247"/>
      <c r="AH140" s="248" t="s">
        <v>435</v>
      </c>
      <c r="AI140" s="271"/>
      <c r="AJ140" s="249"/>
      <c r="AK140" s="252" t="s">
        <v>786</v>
      </c>
      <c r="AL140" s="232" t="s">
        <v>787</v>
      </c>
      <c r="AM140" s="232" t="s">
        <v>788</v>
      </c>
      <c r="AN140" s="233" t="s">
        <v>789</v>
      </c>
      <c r="AO140" s="232" t="s">
        <v>411</v>
      </c>
      <c r="AP140" s="232">
        <v>60052</v>
      </c>
      <c r="AQ140" s="232" t="str">
        <f t="shared" si="36"/>
        <v>104-60052</v>
      </c>
      <c r="AR140" s="232" t="s">
        <v>791</v>
      </c>
      <c r="AX140" s="250"/>
      <c r="AY140" s="250"/>
      <c r="AZ140" s="232" t="str">
        <f>IF($AX140="Yes",'8. Option Codes Decrypted'!$C$15,"")</f>
        <v/>
      </c>
      <c r="BA140" s="232" t="str">
        <f>IF($AX140="Yes",'8. Option Codes Decrypted'!$C$16,"")</f>
        <v/>
      </c>
      <c r="BB140" s="232" t="str">
        <f>IF($AX140="Yes",'8. Option Codes Decrypted'!$C$17,"")</f>
        <v/>
      </c>
      <c r="BC140" s="232" t="str">
        <f>IF($AX140="Yes",'8. Option Codes Decrypted'!$C$18,"")</f>
        <v/>
      </c>
      <c r="BD140" s="232" t="str">
        <f>IF($AY140="Yes",'8. Option Codes Decrypted'!$C$20,"")</f>
        <v/>
      </c>
      <c r="BE140" s="232" t="str">
        <f>IF($AY140="Yes",'8. Option Codes Decrypted'!$C$21,"")</f>
        <v/>
      </c>
      <c r="BF140" s="232" t="str">
        <f>IF($AY140="Yes",'8. Option Codes Decrypted'!$C$22,"")</f>
        <v/>
      </c>
      <c r="BG140" s="232" t="str">
        <f>IF($AY140="Yes",'8. Option Codes Decrypted'!$C$23,"")</f>
        <v/>
      </c>
    </row>
    <row r="141" spans="1:59" s="232" customFormat="1" x14ac:dyDescent="0.25">
      <c r="A141" s="232" t="str">
        <f t="shared" si="34"/>
        <v/>
      </c>
      <c r="B141" s="358" t="str">
        <f t="shared" si="35"/>
        <v>104-60053A</v>
      </c>
      <c r="C141" s="358" t="str">
        <f t="shared" si="31"/>
        <v/>
      </c>
      <c r="D141" s="358"/>
      <c r="E141" s="358">
        <f t="shared" si="32"/>
        <v>1</v>
      </c>
      <c r="F141" s="232" t="s">
        <v>426</v>
      </c>
      <c r="G141" s="241">
        <v>45209</v>
      </c>
      <c r="H141" s="256"/>
      <c r="I141" s="269"/>
      <c r="J141" s="244" t="s">
        <v>427</v>
      </c>
      <c r="K141" s="244" t="s">
        <v>778</v>
      </c>
      <c r="L141" s="250" t="s">
        <v>783</v>
      </c>
      <c r="M141" s="235" t="s">
        <v>444</v>
      </c>
      <c r="N141" s="235"/>
      <c r="O141" s="284"/>
      <c r="P141" s="284"/>
      <c r="Q141" s="284"/>
      <c r="R141" s="286" t="str">
        <f t="shared" si="33"/>
        <v>. Grille, LOWER BUMPER - CENTER</v>
      </c>
      <c r="S141" s="286"/>
      <c r="T141" s="235"/>
      <c r="U141" s="250"/>
      <c r="V141" s="235"/>
      <c r="W141" s="250"/>
      <c r="X141" s="250"/>
      <c r="Y141" s="250"/>
      <c r="Z141" s="244" t="s">
        <v>784</v>
      </c>
      <c r="AA141" s="244"/>
      <c r="AB141" s="244"/>
      <c r="AC141" s="244" t="s">
        <v>439</v>
      </c>
      <c r="AD141" s="244" t="s">
        <v>785</v>
      </c>
      <c r="AE141" s="270">
        <v>150</v>
      </c>
      <c r="AF141" s="252" t="s">
        <v>434</v>
      </c>
      <c r="AG141" s="247"/>
      <c r="AH141" s="248" t="s">
        <v>435</v>
      </c>
      <c r="AI141" s="271"/>
      <c r="AJ141" s="249"/>
      <c r="AK141" s="252" t="s">
        <v>786</v>
      </c>
      <c r="AL141" s="232" t="s">
        <v>787</v>
      </c>
      <c r="AM141" s="232" t="s">
        <v>788</v>
      </c>
      <c r="AN141" s="233" t="s">
        <v>789</v>
      </c>
      <c r="AO141" s="232" t="s">
        <v>411</v>
      </c>
      <c r="AP141" s="272" t="s">
        <v>792</v>
      </c>
      <c r="AQ141" s="232" t="str">
        <f t="shared" si="36"/>
        <v>104-60053A</v>
      </c>
      <c r="AR141" s="232" t="s">
        <v>793</v>
      </c>
      <c r="AX141" s="250"/>
      <c r="AY141" s="250"/>
      <c r="AZ141" s="232" t="str">
        <f>IF($AX141="Yes",'8. Option Codes Decrypted'!$C$15,"")</f>
        <v/>
      </c>
      <c r="BA141" s="232" t="str">
        <f>IF($AX141="Yes",'8. Option Codes Decrypted'!$C$16,"")</f>
        <v/>
      </c>
      <c r="BB141" s="232" t="str">
        <f>IF($AX141="Yes",'8. Option Codes Decrypted'!$C$17,"")</f>
        <v/>
      </c>
      <c r="BC141" s="232" t="str">
        <f>IF($AX141="Yes",'8. Option Codes Decrypted'!$C$18,"")</f>
        <v/>
      </c>
      <c r="BD141" s="232" t="str">
        <f>IF($AY141="Yes",'8. Option Codes Decrypted'!$C$20,"")</f>
        <v/>
      </c>
      <c r="BE141" s="232" t="str">
        <f>IF($AY141="Yes",'8. Option Codes Decrypted'!$C$21,"")</f>
        <v/>
      </c>
      <c r="BF141" s="232" t="str">
        <f>IF($AY141="Yes",'8. Option Codes Decrypted'!$C$22,"")</f>
        <v/>
      </c>
      <c r="BG141" s="232" t="str">
        <f>IF($AY141="Yes",'8. Option Codes Decrypted'!$C$23,"")</f>
        <v/>
      </c>
    </row>
    <row r="142" spans="1:59" s="232" customFormat="1" x14ac:dyDescent="0.25">
      <c r="A142" s="232" t="str">
        <f t="shared" si="34"/>
        <v/>
      </c>
      <c r="B142" s="358" t="str">
        <f t="shared" si="35"/>
        <v>104-60053B</v>
      </c>
      <c r="C142" s="358" t="str">
        <f t="shared" si="31"/>
        <v/>
      </c>
      <c r="D142" s="358"/>
      <c r="E142" s="358">
        <f t="shared" si="32"/>
        <v>1</v>
      </c>
      <c r="F142" s="232" t="s">
        <v>426</v>
      </c>
      <c r="G142" s="241">
        <v>45209</v>
      </c>
      <c r="H142" s="256"/>
      <c r="I142" s="269"/>
      <c r="J142" s="244" t="s">
        <v>427</v>
      </c>
      <c r="K142" s="244" t="s">
        <v>778</v>
      </c>
      <c r="L142" s="250" t="s">
        <v>783</v>
      </c>
      <c r="M142" s="235" t="s">
        <v>444</v>
      </c>
      <c r="N142" s="235"/>
      <c r="O142" s="284"/>
      <c r="P142" s="284"/>
      <c r="Q142" s="284"/>
      <c r="R142" s="286" t="str">
        <f t="shared" si="33"/>
        <v>. Grille, LOWER BUMPER - CENTER</v>
      </c>
      <c r="S142" s="286"/>
      <c r="T142" s="235"/>
      <c r="U142" s="250"/>
      <c r="V142" s="235"/>
      <c r="W142" s="250"/>
      <c r="X142" s="250"/>
      <c r="Y142" s="250"/>
      <c r="Z142" s="244" t="s">
        <v>784</v>
      </c>
      <c r="AA142" s="244"/>
      <c r="AB142" s="244"/>
      <c r="AC142" s="244" t="s">
        <v>439</v>
      </c>
      <c r="AD142" s="244" t="s">
        <v>785</v>
      </c>
      <c r="AE142" s="270">
        <v>150</v>
      </c>
      <c r="AF142" s="252" t="s">
        <v>434</v>
      </c>
      <c r="AG142" s="247"/>
      <c r="AH142" s="248" t="s">
        <v>435</v>
      </c>
      <c r="AI142" s="271"/>
      <c r="AJ142" s="249"/>
      <c r="AK142" s="252" t="s">
        <v>786</v>
      </c>
      <c r="AL142" s="232" t="s">
        <v>787</v>
      </c>
      <c r="AM142" s="232" t="s">
        <v>788</v>
      </c>
      <c r="AN142" s="233" t="s">
        <v>789</v>
      </c>
      <c r="AO142" s="232" t="s">
        <v>411</v>
      </c>
      <c r="AP142" s="272" t="s">
        <v>794</v>
      </c>
      <c r="AQ142" s="232" t="str">
        <f t="shared" si="36"/>
        <v>104-60053B</v>
      </c>
      <c r="AR142" s="232" t="s">
        <v>795</v>
      </c>
      <c r="AX142" s="250"/>
      <c r="AY142" s="250"/>
      <c r="AZ142" s="232" t="str">
        <f>IF($AX142="Yes",'8. Option Codes Decrypted'!$C$15,"")</f>
        <v/>
      </c>
      <c r="BA142" s="232" t="str">
        <f>IF($AX142="Yes",'8. Option Codes Decrypted'!$C$16,"")</f>
        <v/>
      </c>
      <c r="BB142" s="232" t="str">
        <f>IF($AX142="Yes",'8. Option Codes Decrypted'!$C$17,"")</f>
        <v/>
      </c>
      <c r="BC142" s="232" t="str">
        <f>IF($AX142="Yes",'8. Option Codes Decrypted'!$C$18,"")</f>
        <v/>
      </c>
      <c r="BD142" s="232" t="str">
        <f>IF($AY142="Yes",'8. Option Codes Decrypted'!$C$20,"")</f>
        <v/>
      </c>
      <c r="BE142" s="232" t="str">
        <f>IF($AY142="Yes",'8. Option Codes Decrypted'!$C$21,"")</f>
        <v/>
      </c>
      <c r="BF142" s="232" t="str">
        <f>IF($AY142="Yes",'8. Option Codes Decrypted'!$C$22,"")</f>
        <v/>
      </c>
      <c r="BG142" s="232" t="str">
        <f>IF($AY142="Yes",'8. Option Codes Decrypted'!$C$23,"")</f>
        <v/>
      </c>
    </row>
    <row r="143" spans="1:59" s="232" customFormat="1" x14ac:dyDescent="0.25">
      <c r="A143" s="232" t="str">
        <f t="shared" si="34"/>
        <v/>
      </c>
      <c r="B143" s="358" t="str">
        <f t="shared" si="35"/>
        <v>104-60053C</v>
      </c>
      <c r="C143" s="358" t="str">
        <f t="shared" si="31"/>
        <v/>
      </c>
      <c r="D143" s="358"/>
      <c r="E143" s="358">
        <f t="shared" si="32"/>
        <v>1</v>
      </c>
      <c r="F143" s="232" t="s">
        <v>426</v>
      </c>
      <c r="G143" s="241">
        <v>45209</v>
      </c>
      <c r="H143" s="256"/>
      <c r="I143" s="269"/>
      <c r="J143" s="244" t="s">
        <v>427</v>
      </c>
      <c r="K143" s="244" t="s">
        <v>778</v>
      </c>
      <c r="L143" s="250" t="s">
        <v>783</v>
      </c>
      <c r="M143" s="235" t="s">
        <v>444</v>
      </c>
      <c r="N143" s="235"/>
      <c r="O143" s="284"/>
      <c r="P143" s="284"/>
      <c r="Q143" s="284"/>
      <c r="R143" s="286" t="str">
        <f t="shared" si="33"/>
        <v>. Grille, LOWER BUMPER - CENTER</v>
      </c>
      <c r="S143" s="286"/>
      <c r="T143" s="235"/>
      <c r="U143" s="250"/>
      <c r="V143" s="235"/>
      <c r="W143" s="250"/>
      <c r="X143" s="250"/>
      <c r="Y143" s="250"/>
      <c r="Z143" s="244" t="s">
        <v>784</v>
      </c>
      <c r="AA143" s="244"/>
      <c r="AB143" s="244"/>
      <c r="AC143" s="244" t="s">
        <v>439</v>
      </c>
      <c r="AD143" s="244" t="s">
        <v>785</v>
      </c>
      <c r="AE143" s="270">
        <v>150</v>
      </c>
      <c r="AF143" s="252" t="s">
        <v>434</v>
      </c>
      <c r="AG143" s="247"/>
      <c r="AH143" s="248" t="s">
        <v>435</v>
      </c>
      <c r="AI143" s="271"/>
      <c r="AJ143" s="249"/>
      <c r="AK143" s="252" t="s">
        <v>786</v>
      </c>
      <c r="AL143" s="232" t="s">
        <v>787</v>
      </c>
      <c r="AM143" s="232" t="s">
        <v>788</v>
      </c>
      <c r="AN143" s="233" t="s">
        <v>789</v>
      </c>
      <c r="AO143" s="232" t="s">
        <v>411</v>
      </c>
      <c r="AP143" s="272" t="s">
        <v>796</v>
      </c>
      <c r="AQ143" s="232" t="str">
        <f t="shared" si="36"/>
        <v>104-60053C</v>
      </c>
      <c r="AR143" s="232" t="s">
        <v>797</v>
      </c>
      <c r="AX143" s="250"/>
      <c r="AY143" s="250"/>
      <c r="AZ143" s="232" t="str">
        <f>IF($AX143="Yes",'8. Option Codes Decrypted'!$C$15,"")</f>
        <v/>
      </c>
      <c r="BA143" s="232" t="str">
        <f>IF($AX143="Yes",'8. Option Codes Decrypted'!$C$16,"")</f>
        <v/>
      </c>
      <c r="BB143" s="232" t="str">
        <f>IF($AX143="Yes",'8. Option Codes Decrypted'!$C$17,"")</f>
        <v/>
      </c>
      <c r="BC143" s="232" t="str">
        <f>IF($AX143="Yes",'8. Option Codes Decrypted'!$C$18,"")</f>
        <v/>
      </c>
      <c r="BD143" s="232" t="str">
        <f>IF($AY143="Yes",'8. Option Codes Decrypted'!$C$20,"")</f>
        <v/>
      </c>
      <c r="BE143" s="232" t="str">
        <f>IF($AY143="Yes",'8. Option Codes Decrypted'!$C$21,"")</f>
        <v/>
      </c>
      <c r="BF143" s="232" t="str">
        <f>IF($AY143="Yes",'8. Option Codes Decrypted'!$C$22,"")</f>
        <v/>
      </c>
      <c r="BG143" s="232" t="str">
        <f>IF($AY143="Yes",'8. Option Codes Decrypted'!$C$23,"")</f>
        <v/>
      </c>
    </row>
    <row r="144" spans="1:59" s="232" customFormat="1" x14ac:dyDescent="0.25">
      <c r="A144" s="232" t="str">
        <f t="shared" si="34"/>
        <v/>
      </c>
      <c r="B144" s="358" t="str">
        <f t="shared" si="35"/>
        <v>104-60054A</v>
      </c>
      <c r="C144" s="358" t="str">
        <f t="shared" si="31"/>
        <v/>
      </c>
      <c r="D144" s="358"/>
      <c r="E144" s="358">
        <f t="shared" si="32"/>
        <v>1</v>
      </c>
      <c r="F144" s="232" t="s">
        <v>426</v>
      </c>
      <c r="G144" s="241">
        <v>45209</v>
      </c>
      <c r="H144" s="256"/>
      <c r="I144" s="269"/>
      <c r="J144" s="244" t="s">
        <v>427</v>
      </c>
      <c r="K144" s="244" t="s">
        <v>778</v>
      </c>
      <c r="L144" s="250" t="s">
        <v>783</v>
      </c>
      <c r="M144" s="235" t="s">
        <v>444</v>
      </c>
      <c r="N144" s="235"/>
      <c r="O144" s="284"/>
      <c r="P144" s="284"/>
      <c r="Q144" s="284"/>
      <c r="R144" s="286" t="str">
        <f t="shared" si="33"/>
        <v>. Grille, LOWER BUMPER - CENTER</v>
      </c>
      <c r="S144" s="286"/>
      <c r="T144" s="235"/>
      <c r="U144" s="250"/>
      <c r="V144" s="235"/>
      <c r="W144" s="250"/>
      <c r="X144" s="250"/>
      <c r="Y144" s="250"/>
      <c r="Z144" s="244" t="s">
        <v>784</v>
      </c>
      <c r="AA144" s="244"/>
      <c r="AB144" s="244"/>
      <c r="AC144" s="244" t="s">
        <v>439</v>
      </c>
      <c r="AD144" s="244" t="s">
        <v>785</v>
      </c>
      <c r="AE144" s="270">
        <v>150</v>
      </c>
      <c r="AF144" s="252" t="s">
        <v>434</v>
      </c>
      <c r="AG144" s="247"/>
      <c r="AH144" s="248" t="s">
        <v>435</v>
      </c>
      <c r="AI144" s="271"/>
      <c r="AJ144" s="249"/>
      <c r="AK144" s="252" t="s">
        <v>786</v>
      </c>
      <c r="AL144" s="232" t="s">
        <v>787</v>
      </c>
      <c r="AM144" s="232" t="s">
        <v>788</v>
      </c>
      <c r="AN144" s="233" t="s">
        <v>789</v>
      </c>
      <c r="AO144" s="232" t="s">
        <v>411</v>
      </c>
      <c r="AP144" s="272" t="s">
        <v>798</v>
      </c>
      <c r="AQ144" s="232" t="str">
        <f t="shared" si="36"/>
        <v>104-60054A</v>
      </c>
      <c r="AR144" s="232" t="s">
        <v>799</v>
      </c>
      <c r="AX144" s="250"/>
      <c r="AY144" s="250"/>
      <c r="AZ144" s="232" t="str">
        <f>IF($AX144="Yes",'8. Option Codes Decrypted'!$C$15,"")</f>
        <v/>
      </c>
      <c r="BA144" s="232" t="str">
        <f>IF($AX144="Yes",'8. Option Codes Decrypted'!$C$16,"")</f>
        <v/>
      </c>
      <c r="BB144" s="232" t="str">
        <f>IF($AX144="Yes",'8. Option Codes Decrypted'!$C$17,"")</f>
        <v/>
      </c>
      <c r="BC144" s="232" t="str">
        <f>IF($AX144="Yes",'8. Option Codes Decrypted'!$C$18,"")</f>
        <v/>
      </c>
      <c r="BD144" s="232" t="str">
        <f>IF($AY144="Yes",'8. Option Codes Decrypted'!$C$20,"")</f>
        <v/>
      </c>
      <c r="BE144" s="232" t="str">
        <f>IF($AY144="Yes",'8. Option Codes Decrypted'!$C$21,"")</f>
        <v/>
      </c>
      <c r="BF144" s="232" t="str">
        <f>IF($AY144="Yes",'8. Option Codes Decrypted'!$C$22,"")</f>
        <v/>
      </c>
      <c r="BG144" s="232" t="str">
        <f>IF($AY144="Yes",'8. Option Codes Decrypted'!$C$23,"")</f>
        <v/>
      </c>
    </row>
    <row r="145" spans="1:59" s="232" customFormat="1" x14ac:dyDescent="0.25">
      <c r="A145" s="232" t="str">
        <f t="shared" si="34"/>
        <v/>
      </c>
      <c r="B145" s="358" t="str">
        <f t="shared" si="35"/>
        <v>104-60054B</v>
      </c>
      <c r="C145" s="358" t="str">
        <f t="shared" si="31"/>
        <v/>
      </c>
      <c r="D145" s="358"/>
      <c r="E145" s="358">
        <f t="shared" si="32"/>
        <v>1</v>
      </c>
      <c r="F145" s="232" t="s">
        <v>426</v>
      </c>
      <c r="G145" s="241">
        <v>45209</v>
      </c>
      <c r="H145" s="256"/>
      <c r="I145" s="269"/>
      <c r="J145" s="244" t="s">
        <v>427</v>
      </c>
      <c r="K145" s="244" t="s">
        <v>778</v>
      </c>
      <c r="L145" s="250" t="s">
        <v>783</v>
      </c>
      <c r="M145" s="235" t="s">
        <v>444</v>
      </c>
      <c r="N145" s="235"/>
      <c r="O145" s="284"/>
      <c r="P145" s="284"/>
      <c r="Q145" s="284"/>
      <c r="R145" s="286" t="str">
        <f t="shared" si="33"/>
        <v>. Grille, LOWER BUMPER - CENTER</v>
      </c>
      <c r="S145" s="286"/>
      <c r="T145" s="235"/>
      <c r="U145" s="250"/>
      <c r="V145" s="235"/>
      <c r="W145" s="250"/>
      <c r="X145" s="250"/>
      <c r="Y145" s="250"/>
      <c r="Z145" s="244" t="s">
        <v>784</v>
      </c>
      <c r="AA145" s="244"/>
      <c r="AB145" s="244"/>
      <c r="AC145" s="244" t="s">
        <v>439</v>
      </c>
      <c r="AD145" s="244" t="s">
        <v>785</v>
      </c>
      <c r="AE145" s="270">
        <v>150</v>
      </c>
      <c r="AF145" s="252" t="s">
        <v>434</v>
      </c>
      <c r="AG145" s="247"/>
      <c r="AH145" s="248" t="s">
        <v>435</v>
      </c>
      <c r="AI145" s="271"/>
      <c r="AJ145" s="249"/>
      <c r="AK145" s="252" t="s">
        <v>786</v>
      </c>
      <c r="AL145" s="232" t="s">
        <v>787</v>
      </c>
      <c r="AM145" s="232" t="s">
        <v>788</v>
      </c>
      <c r="AN145" s="233" t="s">
        <v>789</v>
      </c>
      <c r="AO145" s="232" t="s">
        <v>411</v>
      </c>
      <c r="AP145" s="272" t="s">
        <v>800</v>
      </c>
      <c r="AQ145" s="232" t="str">
        <f t="shared" si="36"/>
        <v>104-60054B</v>
      </c>
      <c r="AR145" s="232" t="s">
        <v>801</v>
      </c>
      <c r="AX145" s="250"/>
      <c r="AY145" s="250"/>
      <c r="AZ145" s="232" t="str">
        <f>IF($AX145="Yes",'8. Option Codes Decrypted'!$C$15,"")</f>
        <v/>
      </c>
      <c r="BA145" s="232" t="str">
        <f>IF($AX145="Yes",'8. Option Codes Decrypted'!$C$16,"")</f>
        <v/>
      </c>
      <c r="BB145" s="232" t="str">
        <f>IF($AX145="Yes",'8. Option Codes Decrypted'!$C$17,"")</f>
        <v/>
      </c>
      <c r="BC145" s="232" t="str">
        <f>IF($AX145="Yes",'8. Option Codes Decrypted'!$C$18,"")</f>
        <v/>
      </c>
      <c r="BD145" s="232" t="str">
        <f>IF($AY145="Yes",'8. Option Codes Decrypted'!$C$20,"")</f>
        <v/>
      </c>
      <c r="BE145" s="232" t="str">
        <f>IF($AY145="Yes",'8. Option Codes Decrypted'!$C$21,"")</f>
        <v/>
      </c>
      <c r="BF145" s="232" t="str">
        <f>IF($AY145="Yes",'8. Option Codes Decrypted'!$C$22,"")</f>
        <v/>
      </c>
      <c r="BG145" s="232" t="str">
        <f>IF($AY145="Yes",'8. Option Codes Decrypted'!$C$23,"")</f>
        <v/>
      </c>
    </row>
    <row r="146" spans="1:59" s="232" customFormat="1" x14ac:dyDescent="0.25">
      <c r="A146" s="232" t="str">
        <f t="shared" si="34"/>
        <v/>
      </c>
      <c r="B146" s="358" t="str">
        <f t="shared" si="35"/>
        <v>104-60054C</v>
      </c>
      <c r="C146" s="358" t="str">
        <f t="shared" si="31"/>
        <v/>
      </c>
      <c r="D146" s="358"/>
      <c r="E146" s="358">
        <f t="shared" si="32"/>
        <v>1</v>
      </c>
      <c r="F146" s="232" t="s">
        <v>426</v>
      </c>
      <c r="G146" s="241">
        <v>45209</v>
      </c>
      <c r="H146" s="256"/>
      <c r="I146" s="269"/>
      <c r="J146" s="244" t="s">
        <v>427</v>
      </c>
      <c r="K146" s="244" t="s">
        <v>778</v>
      </c>
      <c r="L146" s="250" t="s">
        <v>783</v>
      </c>
      <c r="M146" s="235" t="s">
        <v>444</v>
      </c>
      <c r="N146" s="235"/>
      <c r="O146" s="284"/>
      <c r="P146" s="284"/>
      <c r="Q146" s="284"/>
      <c r="R146" s="286" t="str">
        <f t="shared" si="33"/>
        <v>. Grille, LOWER BUMPER - CENTER</v>
      </c>
      <c r="S146" s="286"/>
      <c r="T146" s="235"/>
      <c r="U146" s="250"/>
      <c r="V146" s="235"/>
      <c r="W146" s="250"/>
      <c r="X146" s="250"/>
      <c r="Y146" s="250"/>
      <c r="Z146" s="244" t="s">
        <v>784</v>
      </c>
      <c r="AA146" s="244"/>
      <c r="AB146" s="244"/>
      <c r="AC146" s="244" t="s">
        <v>439</v>
      </c>
      <c r="AD146" s="244" t="s">
        <v>785</v>
      </c>
      <c r="AE146" s="270">
        <v>150</v>
      </c>
      <c r="AF146" s="252" t="s">
        <v>434</v>
      </c>
      <c r="AG146" s="247"/>
      <c r="AH146" s="248" t="s">
        <v>435</v>
      </c>
      <c r="AI146" s="271"/>
      <c r="AJ146" s="249"/>
      <c r="AK146" s="252" t="s">
        <v>786</v>
      </c>
      <c r="AL146" s="232" t="s">
        <v>787</v>
      </c>
      <c r="AM146" s="232" t="s">
        <v>788</v>
      </c>
      <c r="AN146" s="233" t="s">
        <v>789</v>
      </c>
      <c r="AO146" s="232" t="s">
        <v>411</v>
      </c>
      <c r="AP146" s="272" t="s">
        <v>802</v>
      </c>
      <c r="AQ146" s="232" t="str">
        <f t="shared" si="36"/>
        <v>104-60054C</v>
      </c>
      <c r="AR146" s="232" t="s">
        <v>803</v>
      </c>
      <c r="AX146" s="250"/>
      <c r="AY146" s="250"/>
      <c r="AZ146" s="232" t="str">
        <f>IF($AX146="Yes",'8. Option Codes Decrypted'!$C$15,"")</f>
        <v/>
      </c>
      <c r="BA146" s="232" t="str">
        <f>IF($AX146="Yes",'8. Option Codes Decrypted'!$C$16,"")</f>
        <v/>
      </c>
      <c r="BB146" s="232" t="str">
        <f>IF($AX146="Yes",'8. Option Codes Decrypted'!$C$17,"")</f>
        <v/>
      </c>
      <c r="BC146" s="232" t="str">
        <f>IF($AX146="Yes",'8. Option Codes Decrypted'!$C$18,"")</f>
        <v/>
      </c>
      <c r="BD146" s="232" t="str">
        <f>IF($AY146="Yes",'8. Option Codes Decrypted'!$C$20,"")</f>
        <v/>
      </c>
      <c r="BE146" s="232" t="str">
        <f>IF($AY146="Yes",'8. Option Codes Decrypted'!$C$21,"")</f>
        <v/>
      </c>
      <c r="BF146" s="232" t="str">
        <f>IF($AY146="Yes",'8. Option Codes Decrypted'!$C$22,"")</f>
        <v/>
      </c>
      <c r="BG146" s="232" t="str">
        <f>IF($AY146="Yes",'8. Option Codes Decrypted'!$C$23,"")</f>
        <v/>
      </c>
    </row>
    <row r="147" spans="1:59" s="232" customFormat="1" x14ac:dyDescent="0.25">
      <c r="A147" s="232" t="str">
        <f t="shared" si="34"/>
        <v/>
      </c>
      <c r="B147" s="358" t="str">
        <f t="shared" si="35"/>
        <v>104-60056A</v>
      </c>
      <c r="C147" s="358" t="s">
        <v>804</v>
      </c>
      <c r="D147" s="358"/>
      <c r="E147" s="358">
        <f t="shared" si="32"/>
        <v>2</v>
      </c>
      <c r="F147" s="232" t="s">
        <v>426</v>
      </c>
      <c r="G147" s="241">
        <v>45209</v>
      </c>
      <c r="H147" s="256"/>
      <c r="I147" s="269"/>
      <c r="J147" s="244" t="s">
        <v>427</v>
      </c>
      <c r="K147" s="244" t="s">
        <v>778</v>
      </c>
      <c r="L147" s="250" t="s">
        <v>783</v>
      </c>
      <c r="M147" s="235" t="s">
        <v>444</v>
      </c>
      <c r="N147" s="235"/>
      <c r="O147" s="284"/>
      <c r="P147" s="284"/>
      <c r="Q147" s="284"/>
      <c r="R147" s="286" t="str">
        <f t="shared" si="33"/>
        <v>. Grille, LOWER BUMPER - ENDS SET2</v>
      </c>
      <c r="S147" s="286"/>
      <c r="T147" s="235"/>
      <c r="U147" s="250"/>
      <c r="V147" s="235"/>
      <c r="W147" s="250"/>
      <c r="X147" s="250"/>
      <c r="Y147" s="250"/>
      <c r="Z147" s="244" t="s">
        <v>805</v>
      </c>
      <c r="AA147" s="244" t="s">
        <v>806</v>
      </c>
      <c r="AB147" s="244"/>
      <c r="AC147" s="244" t="s">
        <v>439</v>
      </c>
      <c r="AD147" s="244" t="s">
        <v>785</v>
      </c>
      <c r="AE147" s="270">
        <v>125</v>
      </c>
      <c r="AF147" s="252" t="s">
        <v>434</v>
      </c>
      <c r="AG147" s="247"/>
      <c r="AH147" s="248" t="s">
        <v>435</v>
      </c>
      <c r="AI147" s="271"/>
      <c r="AJ147" s="249"/>
      <c r="AK147" s="252" t="s">
        <v>786</v>
      </c>
      <c r="AL147" s="232" t="s">
        <v>787</v>
      </c>
      <c r="AM147" s="232" t="s">
        <v>788</v>
      </c>
      <c r="AN147" s="233" t="s">
        <v>789</v>
      </c>
      <c r="AO147" s="232" t="s">
        <v>411</v>
      </c>
      <c r="AP147" s="272" t="s">
        <v>807</v>
      </c>
      <c r="AQ147" s="232" t="str">
        <f t="shared" si="36"/>
        <v>104-60056A</v>
      </c>
      <c r="AR147" s="232" t="s">
        <v>808</v>
      </c>
      <c r="AX147" s="250"/>
      <c r="AY147" s="250"/>
      <c r="AZ147" s="232" t="str">
        <f>IF($AX147="Yes",'8. Option Codes Decrypted'!$C$15,"")</f>
        <v/>
      </c>
      <c r="BA147" s="232" t="str">
        <f>IF($AX147="Yes",'8. Option Codes Decrypted'!$C$16,"")</f>
        <v/>
      </c>
      <c r="BB147" s="232" t="str">
        <f>IF($AX147="Yes",'8. Option Codes Decrypted'!$C$17,"")</f>
        <v/>
      </c>
      <c r="BC147" s="232" t="str">
        <f>IF($AX147="Yes",'8. Option Codes Decrypted'!$C$18,"")</f>
        <v/>
      </c>
      <c r="BD147" s="232" t="str">
        <f>IF($AY147="Yes",'8. Option Codes Decrypted'!$C$20,"")</f>
        <v/>
      </c>
      <c r="BE147" s="232" t="str">
        <f>IF($AY147="Yes",'8. Option Codes Decrypted'!$C$21,"")</f>
        <v/>
      </c>
      <c r="BF147" s="232" t="str">
        <f>IF($AY147="Yes",'8. Option Codes Decrypted'!$C$22,"")</f>
        <v/>
      </c>
      <c r="BG147" s="232" t="str">
        <f>IF($AY147="Yes",'8. Option Codes Decrypted'!$C$23,"")</f>
        <v/>
      </c>
    </row>
    <row r="148" spans="1:59" s="232" customFormat="1" x14ac:dyDescent="0.25">
      <c r="A148" s="232" t="str">
        <f t="shared" si="34"/>
        <v/>
      </c>
      <c r="B148" s="358" t="str">
        <f t="shared" si="35"/>
        <v>104-60056A</v>
      </c>
      <c r="C148" s="358" t="s">
        <v>809</v>
      </c>
      <c r="D148" s="358"/>
      <c r="E148" s="358">
        <f t="shared" si="32"/>
        <v>2</v>
      </c>
      <c r="F148" s="232" t="s">
        <v>426</v>
      </c>
      <c r="G148" s="241">
        <v>45209</v>
      </c>
      <c r="H148" s="256"/>
      <c r="I148" s="269"/>
      <c r="J148" s="244" t="s">
        <v>427</v>
      </c>
      <c r="K148" s="244" t="s">
        <v>778</v>
      </c>
      <c r="L148" s="250" t="s">
        <v>783</v>
      </c>
      <c r="M148" s="235" t="s">
        <v>444</v>
      </c>
      <c r="N148" s="235"/>
      <c r="O148" s="284"/>
      <c r="P148" s="284"/>
      <c r="Q148" s="284"/>
      <c r="R148" s="286" t="str">
        <f t="shared" si="33"/>
        <v>. Grille, LOWER BUMPER - END - LEFT</v>
      </c>
      <c r="S148" s="286"/>
      <c r="T148" s="235"/>
      <c r="U148" s="250"/>
      <c r="V148" s="235"/>
      <c r="W148" s="250"/>
      <c r="X148" s="250"/>
      <c r="Y148" s="250"/>
      <c r="Z148" s="244" t="s">
        <v>810</v>
      </c>
      <c r="AA148" s="244"/>
      <c r="AB148" s="244"/>
      <c r="AC148" s="244" t="s">
        <v>449</v>
      </c>
      <c r="AD148" s="244"/>
      <c r="AE148" s="270">
        <v>75</v>
      </c>
      <c r="AF148" s="252" t="s">
        <v>434</v>
      </c>
      <c r="AG148" s="247"/>
      <c r="AH148" s="248" t="s">
        <v>435</v>
      </c>
      <c r="AI148" s="271"/>
      <c r="AJ148" s="249"/>
      <c r="AK148" s="252" t="s">
        <v>786</v>
      </c>
      <c r="AL148" s="232" t="s">
        <v>787</v>
      </c>
      <c r="AM148" s="232" t="s">
        <v>788</v>
      </c>
      <c r="AN148" s="233" t="s">
        <v>789</v>
      </c>
      <c r="AO148" s="232" t="s">
        <v>411</v>
      </c>
      <c r="AP148" s="272" t="s">
        <v>807</v>
      </c>
      <c r="AQ148" s="232" t="str">
        <f t="shared" si="36"/>
        <v>104-60056A</v>
      </c>
      <c r="AR148" s="232" t="s">
        <v>811</v>
      </c>
      <c r="AX148" s="250"/>
      <c r="AY148" s="250"/>
      <c r="AZ148" s="232" t="str">
        <f>IF($AX148="Yes",'8. Option Codes Decrypted'!$C$15,"")</f>
        <v/>
      </c>
      <c r="BA148" s="232" t="str">
        <f>IF($AX148="Yes",'8. Option Codes Decrypted'!$C$16,"")</f>
        <v/>
      </c>
      <c r="BB148" s="232" t="str">
        <f>IF($AX148="Yes",'8. Option Codes Decrypted'!$C$17,"")</f>
        <v/>
      </c>
      <c r="BC148" s="232" t="str">
        <f>IF($AX148="Yes",'8. Option Codes Decrypted'!$C$18,"")</f>
        <v/>
      </c>
      <c r="BD148" s="232" t="str">
        <f>IF($AY148="Yes",'8. Option Codes Decrypted'!$C$20,"")</f>
        <v/>
      </c>
      <c r="BE148" s="232" t="str">
        <f>IF($AY148="Yes",'8. Option Codes Decrypted'!$C$21,"")</f>
        <v/>
      </c>
      <c r="BF148" s="232" t="str">
        <f>IF($AY148="Yes",'8. Option Codes Decrypted'!$C$22,"")</f>
        <v/>
      </c>
      <c r="BG148" s="232" t="str">
        <f>IF($AY148="Yes",'8. Option Codes Decrypted'!$C$23,"")</f>
        <v/>
      </c>
    </row>
    <row r="149" spans="1:59" s="232" customFormat="1" x14ac:dyDescent="0.25">
      <c r="A149" s="232" t="str">
        <f t="shared" si="34"/>
        <v/>
      </c>
      <c r="B149" s="358" t="str">
        <f t="shared" si="35"/>
        <v>104-60055A</v>
      </c>
      <c r="C149" s="358" t="str">
        <f>IF(AS149&lt;&gt;"",AS149,"")</f>
        <v/>
      </c>
      <c r="D149" s="358"/>
      <c r="E149" s="358">
        <f t="shared" si="32"/>
        <v>1</v>
      </c>
      <c r="F149" s="232" t="s">
        <v>426</v>
      </c>
      <c r="G149" s="241">
        <v>45209</v>
      </c>
      <c r="H149" s="256"/>
      <c r="I149" s="269"/>
      <c r="J149" s="244" t="s">
        <v>427</v>
      </c>
      <c r="K149" s="244" t="s">
        <v>778</v>
      </c>
      <c r="L149" s="250" t="s">
        <v>783</v>
      </c>
      <c r="M149" s="235" t="s">
        <v>444</v>
      </c>
      <c r="N149" s="235"/>
      <c r="O149" s="284"/>
      <c r="P149" s="284"/>
      <c r="Q149" s="284"/>
      <c r="R149" s="286" t="str">
        <f t="shared" si="33"/>
        <v>. Grille, LOWER BUMPER - END - RIGHT</v>
      </c>
      <c r="S149" s="286"/>
      <c r="T149" s="235"/>
      <c r="U149" s="250"/>
      <c r="V149" s="235"/>
      <c r="W149" s="250"/>
      <c r="X149" s="250"/>
      <c r="Y149" s="250"/>
      <c r="Z149" s="244" t="s">
        <v>812</v>
      </c>
      <c r="AA149" s="244"/>
      <c r="AB149" s="244"/>
      <c r="AC149" s="244" t="s">
        <v>449</v>
      </c>
      <c r="AD149" s="244"/>
      <c r="AE149" s="270">
        <v>75</v>
      </c>
      <c r="AF149" s="252" t="s">
        <v>434</v>
      </c>
      <c r="AG149" s="247"/>
      <c r="AH149" s="248" t="s">
        <v>435</v>
      </c>
      <c r="AI149" s="271"/>
      <c r="AJ149" s="249"/>
      <c r="AK149" s="252" t="s">
        <v>786</v>
      </c>
      <c r="AL149" s="232" t="s">
        <v>787</v>
      </c>
      <c r="AM149" s="232" t="s">
        <v>788</v>
      </c>
      <c r="AN149" s="233" t="s">
        <v>789</v>
      </c>
      <c r="AO149" s="232" t="s">
        <v>411</v>
      </c>
      <c r="AP149" s="272" t="s">
        <v>813</v>
      </c>
      <c r="AQ149" s="232" t="str">
        <f t="shared" si="36"/>
        <v>104-60055A</v>
      </c>
      <c r="AR149" s="232" t="s">
        <v>814</v>
      </c>
      <c r="AX149" s="250"/>
      <c r="AY149" s="250"/>
      <c r="AZ149" s="232" t="str">
        <f>IF($AX149="Yes",'8. Option Codes Decrypted'!$C$15,"")</f>
        <v/>
      </c>
      <c r="BA149" s="232" t="str">
        <f>IF($AX149="Yes",'8. Option Codes Decrypted'!$C$16,"")</f>
        <v/>
      </c>
      <c r="BB149" s="232" t="str">
        <f>IF($AX149="Yes",'8. Option Codes Decrypted'!$C$17,"")</f>
        <v/>
      </c>
      <c r="BC149" s="232" t="str">
        <f>IF($AX149="Yes",'8. Option Codes Decrypted'!$C$18,"")</f>
        <v/>
      </c>
      <c r="BD149" s="232" t="str">
        <f>IF($AY149="Yes",'8. Option Codes Decrypted'!$C$20,"")</f>
        <v/>
      </c>
      <c r="BE149" s="232" t="str">
        <f>IF($AY149="Yes",'8. Option Codes Decrypted'!$C$21,"")</f>
        <v/>
      </c>
      <c r="BF149" s="232" t="str">
        <f>IF($AY149="Yes",'8. Option Codes Decrypted'!$C$22,"")</f>
        <v/>
      </c>
      <c r="BG149" s="232" t="str">
        <f>IF($AY149="Yes",'8. Option Codes Decrypted'!$C$23,"")</f>
        <v/>
      </c>
    </row>
    <row r="150" spans="1:59" s="232" customFormat="1" x14ac:dyDescent="0.25">
      <c r="A150" s="232" t="str">
        <f t="shared" si="34"/>
        <v/>
      </c>
      <c r="B150" s="358" t="str">
        <f t="shared" si="35"/>
        <v>104-60056B</v>
      </c>
      <c r="C150" s="358" t="s">
        <v>815</v>
      </c>
      <c r="D150" s="358"/>
      <c r="E150" s="358">
        <f t="shared" si="32"/>
        <v>2</v>
      </c>
      <c r="F150" s="232" t="s">
        <v>426</v>
      </c>
      <c r="G150" s="241">
        <v>45209</v>
      </c>
      <c r="H150" s="256"/>
      <c r="I150" s="269"/>
      <c r="J150" s="244" t="s">
        <v>427</v>
      </c>
      <c r="K150" s="244" t="s">
        <v>778</v>
      </c>
      <c r="L150" s="250" t="s">
        <v>783</v>
      </c>
      <c r="M150" s="235" t="s">
        <v>444</v>
      </c>
      <c r="N150" s="235"/>
      <c r="O150" s="284"/>
      <c r="P150" s="284"/>
      <c r="Q150" s="284"/>
      <c r="R150" s="286" t="str">
        <f t="shared" si="33"/>
        <v>. Grille, LOWER BUMPER - ENDS SET2</v>
      </c>
      <c r="S150" s="286"/>
      <c r="T150" s="235"/>
      <c r="U150" s="250"/>
      <c r="V150" s="235"/>
      <c r="W150" s="250"/>
      <c r="X150" s="250"/>
      <c r="Y150" s="250"/>
      <c r="Z150" s="244" t="s">
        <v>805</v>
      </c>
      <c r="AA150" s="244" t="s">
        <v>806</v>
      </c>
      <c r="AB150" s="244"/>
      <c r="AC150" s="244" t="s">
        <v>439</v>
      </c>
      <c r="AD150" s="244" t="s">
        <v>785</v>
      </c>
      <c r="AE150" s="270">
        <v>125</v>
      </c>
      <c r="AF150" s="252" t="s">
        <v>434</v>
      </c>
      <c r="AG150" s="247"/>
      <c r="AH150" s="248" t="s">
        <v>435</v>
      </c>
      <c r="AI150" s="271"/>
      <c r="AJ150" s="249"/>
      <c r="AK150" s="252" t="s">
        <v>786</v>
      </c>
      <c r="AL150" s="232" t="s">
        <v>787</v>
      </c>
      <c r="AM150" s="232" t="s">
        <v>788</v>
      </c>
      <c r="AN150" s="233" t="s">
        <v>789</v>
      </c>
      <c r="AO150" s="232" t="s">
        <v>411</v>
      </c>
      <c r="AP150" s="272" t="s">
        <v>816</v>
      </c>
      <c r="AQ150" s="232" t="str">
        <f t="shared" si="36"/>
        <v>104-60056B</v>
      </c>
      <c r="AR150" s="232" t="s">
        <v>817</v>
      </c>
      <c r="AX150" s="250"/>
      <c r="AY150" s="250"/>
      <c r="AZ150" s="232" t="str">
        <f>IF($AX150="Yes",'8. Option Codes Decrypted'!$C$15,"")</f>
        <v/>
      </c>
      <c r="BA150" s="232" t="str">
        <f>IF($AX150="Yes",'8. Option Codes Decrypted'!$C$16,"")</f>
        <v/>
      </c>
      <c r="BB150" s="232" t="str">
        <f>IF($AX150="Yes",'8. Option Codes Decrypted'!$C$17,"")</f>
        <v/>
      </c>
      <c r="BC150" s="232" t="str">
        <f>IF($AX150="Yes",'8. Option Codes Decrypted'!$C$18,"")</f>
        <v/>
      </c>
      <c r="BD150" s="232" t="str">
        <f>IF($AY150="Yes",'8. Option Codes Decrypted'!$C$20,"")</f>
        <v/>
      </c>
      <c r="BE150" s="232" t="str">
        <f>IF($AY150="Yes",'8. Option Codes Decrypted'!$C$21,"")</f>
        <v/>
      </c>
      <c r="BF150" s="232" t="str">
        <f>IF($AY150="Yes",'8. Option Codes Decrypted'!$C$22,"")</f>
        <v/>
      </c>
      <c r="BG150" s="232" t="str">
        <f>IF($AY150="Yes",'8. Option Codes Decrypted'!$C$23,"")</f>
        <v/>
      </c>
    </row>
    <row r="151" spans="1:59" s="232" customFormat="1" x14ac:dyDescent="0.25">
      <c r="A151" s="232" t="str">
        <f t="shared" si="34"/>
        <v/>
      </c>
      <c r="B151" s="358" t="str">
        <f t="shared" si="35"/>
        <v>104-60056B</v>
      </c>
      <c r="C151" s="358" t="s">
        <v>818</v>
      </c>
      <c r="D151" s="358"/>
      <c r="E151" s="358">
        <f t="shared" si="32"/>
        <v>2</v>
      </c>
      <c r="F151" s="232" t="s">
        <v>426</v>
      </c>
      <c r="G151" s="241">
        <v>45209</v>
      </c>
      <c r="H151" s="256"/>
      <c r="I151" s="269"/>
      <c r="J151" s="244" t="s">
        <v>427</v>
      </c>
      <c r="K151" s="244" t="s">
        <v>778</v>
      </c>
      <c r="L151" s="250" t="s">
        <v>783</v>
      </c>
      <c r="M151" s="235" t="s">
        <v>444</v>
      </c>
      <c r="N151" s="235"/>
      <c r="O151" s="284"/>
      <c r="P151" s="284"/>
      <c r="Q151" s="284"/>
      <c r="R151" s="286" t="str">
        <f t="shared" si="33"/>
        <v>. Grille, LOWER BUMPER - END - LEFT</v>
      </c>
      <c r="S151" s="286"/>
      <c r="T151" s="235"/>
      <c r="U151" s="250"/>
      <c r="V151" s="235"/>
      <c r="W151" s="250"/>
      <c r="X151" s="250"/>
      <c r="Y151" s="250"/>
      <c r="Z151" s="244" t="s">
        <v>810</v>
      </c>
      <c r="AA151" s="244"/>
      <c r="AB151" s="244"/>
      <c r="AC151" s="244" t="s">
        <v>449</v>
      </c>
      <c r="AD151" s="244"/>
      <c r="AE151" s="270">
        <v>75</v>
      </c>
      <c r="AF151" s="252" t="s">
        <v>434</v>
      </c>
      <c r="AG151" s="247"/>
      <c r="AH151" s="248" t="s">
        <v>435</v>
      </c>
      <c r="AI151" s="271"/>
      <c r="AJ151" s="249"/>
      <c r="AK151" s="252" t="s">
        <v>786</v>
      </c>
      <c r="AL151" s="232" t="s">
        <v>787</v>
      </c>
      <c r="AM151" s="232" t="s">
        <v>788</v>
      </c>
      <c r="AN151" s="233" t="s">
        <v>789</v>
      </c>
      <c r="AO151" s="232" t="s">
        <v>411</v>
      </c>
      <c r="AP151" s="272" t="s">
        <v>816</v>
      </c>
      <c r="AQ151" s="232" t="str">
        <f t="shared" si="36"/>
        <v>104-60056B</v>
      </c>
      <c r="AR151" s="232" t="s">
        <v>819</v>
      </c>
      <c r="AX151" s="250"/>
      <c r="AY151" s="250"/>
      <c r="AZ151" s="232" t="str">
        <f>IF($AX151="Yes",'8. Option Codes Decrypted'!$C$15,"")</f>
        <v/>
      </c>
      <c r="BA151" s="232" t="str">
        <f>IF($AX151="Yes",'8. Option Codes Decrypted'!$C$16,"")</f>
        <v/>
      </c>
      <c r="BB151" s="232" t="str">
        <f>IF($AX151="Yes",'8. Option Codes Decrypted'!$C$17,"")</f>
        <v/>
      </c>
      <c r="BC151" s="232" t="str">
        <f>IF($AX151="Yes",'8. Option Codes Decrypted'!$C$18,"")</f>
        <v/>
      </c>
      <c r="BD151" s="232" t="str">
        <f>IF($AY151="Yes",'8. Option Codes Decrypted'!$C$20,"")</f>
        <v/>
      </c>
      <c r="BE151" s="232" t="str">
        <f>IF($AY151="Yes",'8. Option Codes Decrypted'!$C$21,"")</f>
        <v/>
      </c>
      <c r="BF151" s="232" t="str">
        <f>IF($AY151="Yes",'8. Option Codes Decrypted'!$C$22,"")</f>
        <v/>
      </c>
      <c r="BG151" s="232" t="str">
        <f>IF($AY151="Yes",'8. Option Codes Decrypted'!$C$23,"")</f>
        <v/>
      </c>
    </row>
    <row r="152" spans="1:59" s="232" customFormat="1" x14ac:dyDescent="0.25">
      <c r="A152" s="232" t="str">
        <f t="shared" si="34"/>
        <v/>
      </c>
      <c r="B152" s="358" t="str">
        <f t="shared" si="35"/>
        <v>104-60055B</v>
      </c>
      <c r="C152" s="358" t="str">
        <f>IF(AS152&lt;&gt;"",AS152,"")</f>
        <v/>
      </c>
      <c r="D152" s="358"/>
      <c r="E152" s="358">
        <f t="shared" si="32"/>
        <v>1</v>
      </c>
      <c r="F152" s="232" t="s">
        <v>426</v>
      </c>
      <c r="G152" s="241">
        <v>45209</v>
      </c>
      <c r="H152" s="256"/>
      <c r="I152" s="269"/>
      <c r="J152" s="244" t="s">
        <v>427</v>
      </c>
      <c r="K152" s="244" t="s">
        <v>778</v>
      </c>
      <c r="L152" s="250" t="s">
        <v>783</v>
      </c>
      <c r="M152" s="235" t="s">
        <v>444</v>
      </c>
      <c r="N152" s="235"/>
      <c r="O152" s="284"/>
      <c r="P152" s="284"/>
      <c r="Q152" s="284"/>
      <c r="R152" s="286" t="str">
        <f t="shared" si="33"/>
        <v>. Grille, LOWER BUMPER - END - RIGHT</v>
      </c>
      <c r="S152" s="286"/>
      <c r="T152" s="235"/>
      <c r="U152" s="250"/>
      <c r="V152" s="235"/>
      <c r="W152" s="250"/>
      <c r="X152" s="250"/>
      <c r="Y152" s="250"/>
      <c r="Z152" s="244" t="s">
        <v>812</v>
      </c>
      <c r="AA152" s="244"/>
      <c r="AB152" s="244"/>
      <c r="AC152" s="244" t="s">
        <v>449</v>
      </c>
      <c r="AD152" s="244"/>
      <c r="AE152" s="270">
        <v>75</v>
      </c>
      <c r="AF152" s="252" t="s">
        <v>434</v>
      </c>
      <c r="AG152" s="247"/>
      <c r="AH152" s="248" t="s">
        <v>435</v>
      </c>
      <c r="AI152" s="271"/>
      <c r="AJ152" s="249"/>
      <c r="AK152" s="252" t="s">
        <v>786</v>
      </c>
      <c r="AL152" s="232" t="s">
        <v>787</v>
      </c>
      <c r="AM152" s="232" t="s">
        <v>788</v>
      </c>
      <c r="AN152" s="233" t="s">
        <v>789</v>
      </c>
      <c r="AO152" s="232" t="s">
        <v>411</v>
      </c>
      <c r="AP152" s="272" t="s">
        <v>820</v>
      </c>
      <c r="AQ152" s="232" t="str">
        <f t="shared" si="36"/>
        <v>104-60055B</v>
      </c>
      <c r="AR152" s="232" t="s">
        <v>821</v>
      </c>
      <c r="AX152" s="250"/>
      <c r="AY152" s="250"/>
      <c r="AZ152" s="232" t="str">
        <f>IF($AX152="Yes",'8. Option Codes Decrypted'!$C$15,"")</f>
        <v/>
      </c>
      <c r="BA152" s="232" t="str">
        <f>IF($AX152="Yes",'8. Option Codes Decrypted'!$C$16,"")</f>
        <v/>
      </c>
      <c r="BB152" s="232" t="str">
        <f>IF($AX152="Yes",'8. Option Codes Decrypted'!$C$17,"")</f>
        <v/>
      </c>
      <c r="BC152" s="232" t="str">
        <f>IF($AX152="Yes",'8. Option Codes Decrypted'!$C$18,"")</f>
        <v/>
      </c>
      <c r="BD152" s="232" t="str">
        <f>IF($AY152="Yes",'8. Option Codes Decrypted'!$C$20,"")</f>
        <v/>
      </c>
      <c r="BE152" s="232" t="str">
        <f>IF($AY152="Yes",'8. Option Codes Decrypted'!$C$21,"")</f>
        <v/>
      </c>
      <c r="BF152" s="232" t="str">
        <f>IF($AY152="Yes",'8. Option Codes Decrypted'!$C$22,"")</f>
        <v/>
      </c>
      <c r="BG152" s="232" t="str">
        <f>IF($AY152="Yes",'8. Option Codes Decrypted'!$C$23,"")</f>
        <v/>
      </c>
    </row>
    <row r="153" spans="1:59" s="232" customFormat="1" x14ac:dyDescent="0.25">
      <c r="A153" s="232" t="str">
        <f t="shared" si="34"/>
        <v/>
      </c>
      <c r="B153" s="358" t="str">
        <f t="shared" si="35"/>
        <v>104-60058A</v>
      </c>
      <c r="C153" s="358" t="s">
        <v>822</v>
      </c>
      <c r="D153" s="358"/>
      <c r="E153" s="358">
        <f t="shared" si="32"/>
        <v>2</v>
      </c>
      <c r="F153" s="232" t="s">
        <v>426</v>
      </c>
      <c r="G153" s="241">
        <v>45209</v>
      </c>
      <c r="H153" s="256"/>
      <c r="I153" s="269"/>
      <c r="J153" s="244" t="s">
        <v>427</v>
      </c>
      <c r="K153" s="244" t="s">
        <v>778</v>
      </c>
      <c r="L153" s="250" t="s">
        <v>783</v>
      </c>
      <c r="M153" s="235" t="s">
        <v>444</v>
      </c>
      <c r="N153" s="235"/>
      <c r="O153" s="284"/>
      <c r="P153" s="284"/>
      <c r="Q153" s="284"/>
      <c r="R153" s="286" t="str">
        <f t="shared" si="33"/>
        <v>. Grille, LOWER BUMPER - ENDS SET2</v>
      </c>
      <c r="S153" s="286"/>
      <c r="T153" s="235"/>
      <c r="U153" s="250"/>
      <c r="V153" s="235"/>
      <c r="W153" s="250"/>
      <c r="X153" s="250"/>
      <c r="Y153" s="250"/>
      <c r="Z153" s="244" t="s">
        <v>805</v>
      </c>
      <c r="AA153" s="244" t="s">
        <v>806</v>
      </c>
      <c r="AB153" s="244"/>
      <c r="AC153" s="244" t="s">
        <v>439</v>
      </c>
      <c r="AD153" s="244" t="s">
        <v>785</v>
      </c>
      <c r="AE153" s="270">
        <v>125</v>
      </c>
      <c r="AF153" s="252" t="s">
        <v>434</v>
      </c>
      <c r="AG153" s="247"/>
      <c r="AH153" s="248" t="s">
        <v>435</v>
      </c>
      <c r="AI153" s="271"/>
      <c r="AJ153" s="249"/>
      <c r="AK153" s="252" t="s">
        <v>786</v>
      </c>
      <c r="AL153" s="232" t="s">
        <v>787</v>
      </c>
      <c r="AM153" s="232" t="s">
        <v>788</v>
      </c>
      <c r="AN153" s="233" t="s">
        <v>789</v>
      </c>
      <c r="AO153" s="232" t="s">
        <v>411</v>
      </c>
      <c r="AP153" s="272" t="s">
        <v>823</v>
      </c>
      <c r="AQ153" s="232" t="str">
        <f t="shared" si="36"/>
        <v>104-60058A</v>
      </c>
      <c r="AR153" s="232" t="s">
        <v>824</v>
      </c>
      <c r="AX153" s="250"/>
      <c r="AY153" s="250"/>
      <c r="AZ153" s="232" t="str">
        <f>IF($AX153="Yes",'8. Option Codes Decrypted'!$C$15,"")</f>
        <v/>
      </c>
      <c r="BA153" s="232" t="str">
        <f>IF($AX153="Yes",'8. Option Codes Decrypted'!$C$16,"")</f>
        <v/>
      </c>
      <c r="BB153" s="232" t="str">
        <f>IF($AX153="Yes",'8. Option Codes Decrypted'!$C$17,"")</f>
        <v/>
      </c>
      <c r="BC153" s="232" t="str">
        <f>IF($AX153="Yes",'8. Option Codes Decrypted'!$C$18,"")</f>
        <v/>
      </c>
      <c r="BD153" s="232" t="str">
        <f>IF($AY153="Yes",'8. Option Codes Decrypted'!$C$20,"")</f>
        <v/>
      </c>
      <c r="BE153" s="232" t="str">
        <f>IF($AY153="Yes",'8. Option Codes Decrypted'!$C$21,"")</f>
        <v/>
      </c>
      <c r="BF153" s="232" t="str">
        <f>IF($AY153="Yes",'8. Option Codes Decrypted'!$C$22,"")</f>
        <v/>
      </c>
      <c r="BG153" s="232" t="str">
        <f>IF($AY153="Yes",'8. Option Codes Decrypted'!$C$23,"")</f>
        <v/>
      </c>
    </row>
    <row r="154" spans="1:59" s="232" customFormat="1" x14ac:dyDescent="0.25">
      <c r="A154" s="232" t="str">
        <f t="shared" si="34"/>
        <v/>
      </c>
      <c r="B154" s="358" t="str">
        <f t="shared" si="35"/>
        <v>104-60058A</v>
      </c>
      <c r="C154" s="358" t="s">
        <v>825</v>
      </c>
      <c r="D154" s="358"/>
      <c r="E154" s="358">
        <f t="shared" si="32"/>
        <v>2</v>
      </c>
      <c r="F154" s="232" t="s">
        <v>426</v>
      </c>
      <c r="G154" s="241">
        <v>45209</v>
      </c>
      <c r="H154" s="256"/>
      <c r="I154" s="269"/>
      <c r="J154" s="244" t="s">
        <v>427</v>
      </c>
      <c r="K154" s="244" t="s">
        <v>778</v>
      </c>
      <c r="L154" s="250" t="s">
        <v>783</v>
      </c>
      <c r="M154" s="235" t="s">
        <v>444</v>
      </c>
      <c r="N154" s="235"/>
      <c r="O154" s="284"/>
      <c r="P154" s="284"/>
      <c r="Q154" s="284"/>
      <c r="R154" s="286" t="str">
        <f t="shared" si="33"/>
        <v>. Grille, LOWER BUMPER - END - LEFT</v>
      </c>
      <c r="S154" s="286"/>
      <c r="T154" s="235"/>
      <c r="U154" s="250"/>
      <c r="V154" s="235"/>
      <c r="W154" s="250"/>
      <c r="X154" s="250"/>
      <c r="Y154" s="250"/>
      <c r="Z154" s="244" t="s">
        <v>810</v>
      </c>
      <c r="AA154" s="244"/>
      <c r="AB154" s="244"/>
      <c r="AC154" s="244" t="s">
        <v>449</v>
      </c>
      <c r="AD154" s="244"/>
      <c r="AE154" s="270">
        <v>75</v>
      </c>
      <c r="AF154" s="252" t="s">
        <v>434</v>
      </c>
      <c r="AG154" s="247"/>
      <c r="AH154" s="248" t="s">
        <v>435</v>
      </c>
      <c r="AI154" s="271"/>
      <c r="AJ154" s="249"/>
      <c r="AK154" s="252" t="s">
        <v>786</v>
      </c>
      <c r="AL154" s="232" t="s">
        <v>787</v>
      </c>
      <c r="AM154" s="232" t="s">
        <v>788</v>
      </c>
      <c r="AN154" s="233" t="s">
        <v>789</v>
      </c>
      <c r="AO154" s="232" t="s">
        <v>411</v>
      </c>
      <c r="AP154" s="272" t="s">
        <v>823</v>
      </c>
      <c r="AQ154" s="232" t="str">
        <f t="shared" si="36"/>
        <v>104-60058A</v>
      </c>
      <c r="AR154" s="232" t="s">
        <v>826</v>
      </c>
      <c r="AX154" s="250"/>
      <c r="AY154" s="250"/>
      <c r="AZ154" s="232" t="str">
        <f>IF($AX154="Yes",'8. Option Codes Decrypted'!$C$15,"")</f>
        <v/>
      </c>
      <c r="BA154" s="232" t="str">
        <f>IF($AX154="Yes",'8. Option Codes Decrypted'!$C$16,"")</f>
        <v/>
      </c>
      <c r="BB154" s="232" t="str">
        <f>IF($AX154="Yes",'8. Option Codes Decrypted'!$C$17,"")</f>
        <v/>
      </c>
      <c r="BC154" s="232" t="str">
        <f>IF($AX154="Yes",'8. Option Codes Decrypted'!$C$18,"")</f>
        <v/>
      </c>
      <c r="BD154" s="232" t="str">
        <f>IF($AY154="Yes",'8. Option Codes Decrypted'!$C$20,"")</f>
        <v/>
      </c>
      <c r="BE154" s="232" t="str">
        <f>IF($AY154="Yes",'8. Option Codes Decrypted'!$C$21,"")</f>
        <v/>
      </c>
      <c r="BF154" s="232" t="str">
        <f>IF($AY154="Yes",'8. Option Codes Decrypted'!$C$22,"")</f>
        <v/>
      </c>
      <c r="BG154" s="232" t="str">
        <f>IF($AY154="Yes",'8. Option Codes Decrypted'!$C$23,"")</f>
        <v/>
      </c>
    </row>
    <row r="155" spans="1:59" s="232" customFormat="1" x14ac:dyDescent="0.25">
      <c r="A155" s="232" t="str">
        <f t="shared" si="34"/>
        <v/>
      </c>
      <c r="B155" s="358" t="str">
        <f t="shared" si="35"/>
        <v>104-60057A</v>
      </c>
      <c r="C155" s="358" t="str">
        <f>IF(AS155&lt;&gt;"",AS155,"")</f>
        <v/>
      </c>
      <c r="D155" s="358"/>
      <c r="E155" s="358">
        <f t="shared" si="32"/>
        <v>1</v>
      </c>
      <c r="F155" s="232" t="s">
        <v>426</v>
      </c>
      <c r="G155" s="241">
        <v>45209</v>
      </c>
      <c r="H155" s="256"/>
      <c r="I155" s="269"/>
      <c r="J155" s="244" t="s">
        <v>427</v>
      </c>
      <c r="K155" s="244" t="s">
        <v>778</v>
      </c>
      <c r="L155" s="250" t="s">
        <v>783</v>
      </c>
      <c r="M155" s="235" t="s">
        <v>444</v>
      </c>
      <c r="N155" s="235"/>
      <c r="O155" s="284"/>
      <c r="P155" s="284"/>
      <c r="Q155" s="284"/>
      <c r="R155" s="286" t="str">
        <f t="shared" si="33"/>
        <v>. Grille, LOWER BUMPER - END - RIGHT</v>
      </c>
      <c r="S155" s="286"/>
      <c r="T155" s="235"/>
      <c r="U155" s="250"/>
      <c r="V155" s="235"/>
      <c r="W155" s="250"/>
      <c r="X155" s="250"/>
      <c r="Y155" s="250"/>
      <c r="Z155" s="244" t="s">
        <v>812</v>
      </c>
      <c r="AA155" s="244"/>
      <c r="AB155" s="244"/>
      <c r="AC155" s="244" t="s">
        <v>449</v>
      </c>
      <c r="AD155" s="244"/>
      <c r="AE155" s="270">
        <v>75</v>
      </c>
      <c r="AF155" s="252" t="s">
        <v>434</v>
      </c>
      <c r="AG155" s="247"/>
      <c r="AH155" s="248" t="s">
        <v>435</v>
      </c>
      <c r="AI155" s="271"/>
      <c r="AJ155" s="249"/>
      <c r="AK155" s="252" t="s">
        <v>786</v>
      </c>
      <c r="AL155" s="232" t="s">
        <v>787</v>
      </c>
      <c r="AM155" s="232" t="s">
        <v>788</v>
      </c>
      <c r="AN155" s="233" t="s">
        <v>789</v>
      </c>
      <c r="AO155" s="232" t="s">
        <v>411</v>
      </c>
      <c r="AP155" s="272" t="s">
        <v>827</v>
      </c>
      <c r="AQ155" s="232" t="str">
        <f t="shared" ref="AQ155:AQ162" si="37">CONCATENATE(AN155,AO155,AP155)</f>
        <v>104-60057A</v>
      </c>
      <c r="AR155" s="232" t="s">
        <v>828</v>
      </c>
      <c r="AX155" s="250"/>
      <c r="AY155" s="250"/>
      <c r="AZ155" s="232" t="str">
        <f>IF($AX155="Yes",'8. Option Codes Decrypted'!$C$15,"")</f>
        <v/>
      </c>
      <c r="BA155" s="232" t="str">
        <f>IF($AX155="Yes",'8. Option Codes Decrypted'!$C$16,"")</f>
        <v/>
      </c>
      <c r="BB155" s="232" t="str">
        <f>IF($AX155="Yes",'8. Option Codes Decrypted'!$C$17,"")</f>
        <v/>
      </c>
      <c r="BC155" s="232" t="str">
        <f>IF($AX155="Yes",'8. Option Codes Decrypted'!$C$18,"")</f>
        <v/>
      </c>
      <c r="BD155" s="232" t="str">
        <f>IF($AY155="Yes",'8. Option Codes Decrypted'!$C$20,"")</f>
        <v/>
      </c>
      <c r="BE155" s="232" t="str">
        <f>IF($AY155="Yes",'8. Option Codes Decrypted'!$C$21,"")</f>
        <v/>
      </c>
      <c r="BF155" s="232" t="str">
        <f>IF($AY155="Yes",'8. Option Codes Decrypted'!$C$22,"")</f>
        <v/>
      </c>
      <c r="BG155" s="232" t="str">
        <f>IF($AY155="Yes",'8. Option Codes Decrypted'!$C$23,"")</f>
        <v/>
      </c>
    </row>
    <row r="156" spans="1:59" s="232" customFormat="1" x14ac:dyDescent="0.25">
      <c r="A156" s="232" t="str">
        <f t="shared" si="34"/>
        <v/>
      </c>
      <c r="B156" s="358" t="str">
        <f t="shared" si="35"/>
        <v>104-60058B</v>
      </c>
      <c r="C156" s="358" t="s">
        <v>829</v>
      </c>
      <c r="D156" s="358"/>
      <c r="E156" s="358">
        <f t="shared" si="32"/>
        <v>2</v>
      </c>
      <c r="F156" s="232" t="s">
        <v>426</v>
      </c>
      <c r="G156" s="241">
        <v>45209</v>
      </c>
      <c r="H156" s="256"/>
      <c r="I156" s="269"/>
      <c r="J156" s="244" t="s">
        <v>427</v>
      </c>
      <c r="K156" s="244" t="s">
        <v>778</v>
      </c>
      <c r="L156" s="250" t="s">
        <v>783</v>
      </c>
      <c r="M156" s="235" t="s">
        <v>444</v>
      </c>
      <c r="N156" s="235"/>
      <c r="O156" s="284"/>
      <c r="P156" s="284"/>
      <c r="Q156" s="284"/>
      <c r="R156" s="286" t="str">
        <f t="shared" si="33"/>
        <v>. Grille, LOWER BUMPER - ENDS SET2</v>
      </c>
      <c r="S156" s="286"/>
      <c r="T156" s="235"/>
      <c r="U156" s="250"/>
      <c r="V156" s="235"/>
      <c r="W156" s="250"/>
      <c r="X156" s="250"/>
      <c r="Y156" s="250"/>
      <c r="Z156" s="244" t="s">
        <v>805</v>
      </c>
      <c r="AA156" s="244" t="s">
        <v>806</v>
      </c>
      <c r="AB156" s="244"/>
      <c r="AC156" s="244" t="s">
        <v>439</v>
      </c>
      <c r="AD156" s="244" t="s">
        <v>785</v>
      </c>
      <c r="AE156" s="270">
        <v>125</v>
      </c>
      <c r="AF156" s="252" t="s">
        <v>434</v>
      </c>
      <c r="AG156" s="247"/>
      <c r="AH156" s="248" t="s">
        <v>435</v>
      </c>
      <c r="AI156" s="271"/>
      <c r="AJ156" s="249"/>
      <c r="AK156" s="252" t="s">
        <v>786</v>
      </c>
      <c r="AL156" s="232" t="s">
        <v>787</v>
      </c>
      <c r="AM156" s="232" t="s">
        <v>788</v>
      </c>
      <c r="AN156" s="233" t="s">
        <v>789</v>
      </c>
      <c r="AO156" s="232" t="s">
        <v>411</v>
      </c>
      <c r="AP156" s="272" t="s">
        <v>830</v>
      </c>
      <c r="AQ156" s="232" t="str">
        <f t="shared" si="37"/>
        <v>104-60058B</v>
      </c>
      <c r="AR156" s="232" t="s">
        <v>831</v>
      </c>
      <c r="AX156" s="250"/>
      <c r="AY156" s="250"/>
      <c r="AZ156" s="232" t="str">
        <f>IF($AX156="Yes",'8. Option Codes Decrypted'!$C$15,"")</f>
        <v/>
      </c>
      <c r="BA156" s="232" t="str">
        <f>IF($AX156="Yes",'8. Option Codes Decrypted'!$C$16,"")</f>
        <v/>
      </c>
      <c r="BB156" s="232" t="str">
        <f>IF($AX156="Yes",'8. Option Codes Decrypted'!$C$17,"")</f>
        <v/>
      </c>
      <c r="BC156" s="232" t="str">
        <f>IF($AX156="Yes",'8. Option Codes Decrypted'!$C$18,"")</f>
        <v/>
      </c>
      <c r="BD156" s="232" t="str">
        <f>IF($AY156="Yes",'8. Option Codes Decrypted'!$C$20,"")</f>
        <v/>
      </c>
      <c r="BE156" s="232" t="str">
        <f>IF($AY156="Yes",'8. Option Codes Decrypted'!$C$21,"")</f>
        <v/>
      </c>
      <c r="BF156" s="232" t="str">
        <f>IF($AY156="Yes",'8. Option Codes Decrypted'!$C$22,"")</f>
        <v/>
      </c>
      <c r="BG156" s="232" t="str">
        <f>IF($AY156="Yes",'8. Option Codes Decrypted'!$C$23,"")</f>
        <v/>
      </c>
    </row>
    <row r="157" spans="1:59" s="232" customFormat="1" x14ac:dyDescent="0.25">
      <c r="A157" s="232" t="str">
        <f t="shared" si="34"/>
        <v/>
      </c>
      <c r="B157" s="358" t="str">
        <f t="shared" si="35"/>
        <v>104-60058B</v>
      </c>
      <c r="C157" s="358" t="s">
        <v>832</v>
      </c>
      <c r="D157" s="358"/>
      <c r="E157" s="358">
        <f t="shared" si="32"/>
        <v>2</v>
      </c>
      <c r="F157" s="232" t="s">
        <v>426</v>
      </c>
      <c r="G157" s="241">
        <v>45209</v>
      </c>
      <c r="H157" s="256"/>
      <c r="I157" s="269"/>
      <c r="J157" s="244" t="s">
        <v>427</v>
      </c>
      <c r="K157" s="244" t="s">
        <v>778</v>
      </c>
      <c r="L157" s="250" t="s">
        <v>783</v>
      </c>
      <c r="M157" s="235" t="s">
        <v>444</v>
      </c>
      <c r="N157" s="235"/>
      <c r="O157" s="284"/>
      <c r="P157" s="284"/>
      <c r="Q157" s="284"/>
      <c r="R157" s="286" t="str">
        <f t="shared" si="33"/>
        <v>. Grille, LOWER BUMPER - END - LEFT</v>
      </c>
      <c r="S157" s="286"/>
      <c r="T157" s="235"/>
      <c r="U157" s="250"/>
      <c r="V157" s="235"/>
      <c r="W157" s="250"/>
      <c r="X157" s="250"/>
      <c r="Y157" s="250"/>
      <c r="Z157" s="244" t="s">
        <v>810</v>
      </c>
      <c r="AA157" s="244"/>
      <c r="AB157" s="244"/>
      <c r="AC157" s="244" t="s">
        <v>449</v>
      </c>
      <c r="AD157" s="244"/>
      <c r="AE157" s="270">
        <v>75</v>
      </c>
      <c r="AF157" s="252" t="s">
        <v>434</v>
      </c>
      <c r="AG157" s="247"/>
      <c r="AH157" s="248" t="s">
        <v>435</v>
      </c>
      <c r="AI157" s="271"/>
      <c r="AJ157" s="249"/>
      <c r="AK157" s="252" t="s">
        <v>786</v>
      </c>
      <c r="AL157" s="232" t="s">
        <v>787</v>
      </c>
      <c r="AM157" s="232" t="s">
        <v>788</v>
      </c>
      <c r="AN157" s="233" t="s">
        <v>789</v>
      </c>
      <c r="AO157" s="232" t="s">
        <v>411</v>
      </c>
      <c r="AP157" s="272" t="s">
        <v>830</v>
      </c>
      <c r="AQ157" s="232" t="str">
        <f>CONCATENATE(AN157,AO157,AP157)</f>
        <v>104-60058B</v>
      </c>
      <c r="AR157" s="232" t="s">
        <v>833</v>
      </c>
      <c r="AX157" s="250"/>
      <c r="AY157" s="250"/>
      <c r="AZ157" s="232" t="str">
        <f>IF($AX157="Yes",'8. Option Codes Decrypted'!$C$15,"")</f>
        <v/>
      </c>
      <c r="BA157" s="232" t="str">
        <f>IF($AX157="Yes",'8. Option Codes Decrypted'!$C$16,"")</f>
        <v/>
      </c>
      <c r="BB157" s="232" t="str">
        <f>IF($AX157="Yes",'8. Option Codes Decrypted'!$C$17,"")</f>
        <v/>
      </c>
      <c r="BC157" s="232" t="str">
        <f>IF($AX157="Yes",'8. Option Codes Decrypted'!$C$18,"")</f>
        <v/>
      </c>
      <c r="BD157" s="232" t="str">
        <f>IF($AY157="Yes",'8. Option Codes Decrypted'!$C$20,"")</f>
        <v/>
      </c>
      <c r="BE157" s="232" t="str">
        <f>IF($AY157="Yes",'8. Option Codes Decrypted'!$C$21,"")</f>
        <v/>
      </c>
      <c r="BF157" s="232" t="str">
        <f>IF($AY157="Yes",'8. Option Codes Decrypted'!$C$22,"")</f>
        <v/>
      </c>
      <c r="BG157" s="232" t="str">
        <f>IF($AY157="Yes",'8. Option Codes Decrypted'!$C$23,"")</f>
        <v/>
      </c>
    </row>
    <row r="158" spans="1:59" s="232" customFormat="1" x14ac:dyDescent="0.25">
      <c r="A158" s="232" t="str">
        <f t="shared" si="34"/>
        <v/>
      </c>
      <c r="B158" s="358" t="str">
        <f t="shared" si="35"/>
        <v>104-60057B</v>
      </c>
      <c r="C158" s="358" t="str">
        <f>IF(AS158&lt;&gt;"",AS158,"")</f>
        <v/>
      </c>
      <c r="D158" s="358"/>
      <c r="E158" s="358">
        <f t="shared" si="32"/>
        <v>1</v>
      </c>
      <c r="F158" s="232" t="s">
        <v>426</v>
      </c>
      <c r="G158" s="241">
        <v>45209</v>
      </c>
      <c r="H158" s="256"/>
      <c r="I158" s="269"/>
      <c r="J158" s="244" t="s">
        <v>427</v>
      </c>
      <c r="K158" s="244" t="s">
        <v>778</v>
      </c>
      <c r="L158" s="250" t="s">
        <v>783</v>
      </c>
      <c r="M158" s="235" t="s">
        <v>444</v>
      </c>
      <c r="N158" s="235"/>
      <c r="O158" s="284"/>
      <c r="P158" s="284"/>
      <c r="Q158" s="284"/>
      <c r="R158" s="286" t="str">
        <f t="shared" si="33"/>
        <v>. Grille, LOWER BUMPER - END - RIGHT</v>
      </c>
      <c r="S158" s="286"/>
      <c r="T158" s="235"/>
      <c r="U158" s="250"/>
      <c r="V158" s="235"/>
      <c r="W158" s="250"/>
      <c r="X158" s="250"/>
      <c r="Y158" s="250"/>
      <c r="Z158" s="244" t="s">
        <v>812</v>
      </c>
      <c r="AA158" s="244"/>
      <c r="AB158" s="244"/>
      <c r="AC158" s="244" t="s">
        <v>449</v>
      </c>
      <c r="AD158" s="244"/>
      <c r="AE158" s="270">
        <v>75</v>
      </c>
      <c r="AF158" s="252" t="s">
        <v>434</v>
      </c>
      <c r="AG158" s="247"/>
      <c r="AH158" s="248" t="s">
        <v>435</v>
      </c>
      <c r="AI158" s="271"/>
      <c r="AJ158" s="249"/>
      <c r="AK158" s="252" t="s">
        <v>786</v>
      </c>
      <c r="AL158" s="232" t="s">
        <v>787</v>
      </c>
      <c r="AM158" s="232" t="s">
        <v>788</v>
      </c>
      <c r="AN158" s="233" t="s">
        <v>789</v>
      </c>
      <c r="AO158" s="232" t="s">
        <v>411</v>
      </c>
      <c r="AP158" s="272" t="s">
        <v>834</v>
      </c>
      <c r="AQ158" s="232" t="str">
        <f t="shared" si="37"/>
        <v>104-60057B</v>
      </c>
      <c r="AR158" s="232" t="s">
        <v>835</v>
      </c>
      <c r="AX158" s="250"/>
      <c r="AY158" s="250"/>
      <c r="AZ158" s="232" t="str">
        <f>IF($AX158="Yes",'8. Option Codes Decrypted'!$C$15,"")</f>
        <v/>
      </c>
      <c r="BA158" s="232" t="str">
        <f>IF($AX158="Yes",'8. Option Codes Decrypted'!$C$16,"")</f>
        <v/>
      </c>
      <c r="BB158" s="232" t="str">
        <f>IF($AX158="Yes",'8. Option Codes Decrypted'!$C$17,"")</f>
        <v/>
      </c>
      <c r="BC158" s="232" t="str">
        <f>IF($AX158="Yes",'8. Option Codes Decrypted'!$C$18,"")</f>
        <v/>
      </c>
      <c r="BD158" s="232" t="str">
        <f>IF($AY158="Yes",'8. Option Codes Decrypted'!$C$20,"")</f>
        <v/>
      </c>
      <c r="BE158" s="232" t="str">
        <f>IF($AY158="Yes",'8. Option Codes Decrypted'!$C$21,"")</f>
        <v/>
      </c>
      <c r="BF158" s="232" t="str">
        <f>IF($AY158="Yes",'8. Option Codes Decrypted'!$C$22,"")</f>
        <v/>
      </c>
      <c r="BG158" s="232" t="str">
        <f>IF($AY158="Yes",'8. Option Codes Decrypted'!$C$23,"")</f>
        <v/>
      </c>
    </row>
    <row r="159" spans="1:59" s="232" customFormat="1" x14ac:dyDescent="0.25">
      <c r="A159" s="232" t="str">
        <f t="shared" si="34"/>
        <v/>
      </c>
      <c r="B159" s="358" t="str">
        <f t="shared" si="35"/>
        <v>104-60058C</v>
      </c>
      <c r="C159" s="358" t="s">
        <v>836</v>
      </c>
      <c r="D159" s="358"/>
      <c r="E159" s="358">
        <f t="shared" si="32"/>
        <v>2</v>
      </c>
      <c r="F159" s="232" t="s">
        <v>426</v>
      </c>
      <c r="G159" s="241">
        <v>45209</v>
      </c>
      <c r="H159" s="256"/>
      <c r="I159" s="269"/>
      <c r="J159" s="244" t="s">
        <v>427</v>
      </c>
      <c r="K159" s="244" t="s">
        <v>778</v>
      </c>
      <c r="L159" s="250" t="s">
        <v>783</v>
      </c>
      <c r="M159" s="235" t="s">
        <v>444</v>
      </c>
      <c r="N159" s="235"/>
      <c r="O159" s="284"/>
      <c r="P159" s="284"/>
      <c r="Q159" s="284"/>
      <c r="R159" s="286" t="str">
        <f t="shared" si="33"/>
        <v>. Grille, LOWER BUMPER - ENDS SET2</v>
      </c>
      <c r="S159" s="286"/>
      <c r="T159" s="235"/>
      <c r="U159" s="250"/>
      <c r="V159" s="235"/>
      <c r="W159" s="250"/>
      <c r="X159" s="250"/>
      <c r="Y159" s="250"/>
      <c r="Z159" s="244" t="s">
        <v>805</v>
      </c>
      <c r="AA159" s="244" t="s">
        <v>806</v>
      </c>
      <c r="AB159" s="244"/>
      <c r="AC159" s="244" t="s">
        <v>439</v>
      </c>
      <c r="AD159" s="244" t="s">
        <v>785</v>
      </c>
      <c r="AE159" s="270">
        <v>125</v>
      </c>
      <c r="AF159" s="252" t="s">
        <v>434</v>
      </c>
      <c r="AG159" s="247"/>
      <c r="AH159" s="248" t="s">
        <v>435</v>
      </c>
      <c r="AI159" s="271"/>
      <c r="AJ159" s="249"/>
      <c r="AK159" s="252" t="s">
        <v>786</v>
      </c>
      <c r="AL159" s="232" t="s">
        <v>787</v>
      </c>
      <c r="AM159" s="232" t="s">
        <v>788</v>
      </c>
      <c r="AN159" s="233" t="s">
        <v>789</v>
      </c>
      <c r="AO159" s="232" t="s">
        <v>411</v>
      </c>
      <c r="AP159" s="272" t="s">
        <v>837</v>
      </c>
      <c r="AQ159" s="232" t="str">
        <f t="shared" si="37"/>
        <v>104-60058C</v>
      </c>
      <c r="AR159" s="232" t="s">
        <v>838</v>
      </c>
      <c r="AX159" s="250"/>
      <c r="AY159" s="250"/>
      <c r="AZ159" s="232" t="str">
        <f>IF($AX159="Yes",'8. Option Codes Decrypted'!$C$15,"")</f>
        <v/>
      </c>
      <c r="BA159" s="232" t="str">
        <f>IF($AX159="Yes",'8. Option Codes Decrypted'!$C$16,"")</f>
        <v/>
      </c>
      <c r="BB159" s="232" t="str">
        <f>IF($AX159="Yes",'8. Option Codes Decrypted'!$C$17,"")</f>
        <v/>
      </c>
      <c r="BC159" s="232" t="str">
        <f>IF($AX159="Yes",'8. Option Codes Decrypted'!$C$18,"")</f>
        <v/>
      </c>
      <c r="BD159" s="232" t="str">
        <f>IF($AY159="Yes",'8. Option Codes Decrypted'!$C$20,"")</f>
        <v/>
      </c>
      <c r="BE159" s="232" t="str">
        <f>IF($AY159="Yes",'8. Option Codes Decrypted'!$C$21,"")</f>
        <v/>
      </c>
      <c r="BF159" s="232" t="str">
        <f>IF($AY159="Yes",'8. Option Codes Decrypted'!$C$22,"")</f>
        <v/>
      </c>
      <c r="BG159" s="232" t="str">
        <f>IF($AY159="Yes",'8. Option Codes Decrypted'!$C$23,"")</f>
        <v/>
      </c>
    </row>
    <row r="160" spans="1:59" s="232" customFormat="1" x14ac:dyDescent="0.25">
      <c r="A160" s="232" t="str">
        <f t="shared" si="34"/>
        <v/>
      </c>
      <c r="B160" s="358" t="str">
        <f t="shared" si="35"/>
        <v>104-60058C</v>
      </c>
      <c r="C160" s="358" t="s">
        <v>839</v>
      </c>
      <c r="D160" s="358"/>
      <c r="E160" s="358">
        <f t="shared" si="32"/>
        <v>2</v>
      </c>
      <c r="F160" s="232" t="s">
        <v>426</v>
      </c>
      <c r="G160" s="241">
        <v>45209</v>
      </c>
      <c r="H160" s="256"/>
      <c r="I160" s="269"/>
      <c r="J160" s="244" t="s">
        <v>427</v>
      </c>
      <c r="K160" s="244" t="s">
        <v>778</v>
      </c>
      <c r="L160" s="250" t="s">
        <v>783</v>
      </c>
      <c r="M160" s="235" t="s">
        <v>444</v>
      </c>
      <c r="N160" s="235"/>
      <c r="O160" s="284"/>
      <c r="P160" s="284"/>
      <c r="Q160" s="284"/>
      <c r="R160" s="286" t="str">
        <f t="shared" si="33"/>
        <v>. Grille, LOWER BUMPER - END - LEFT</v>
      </c>
      <c r="S160" s="286"/>
      <c r="T160" s="235"/>
      <c r="U160" s="250"/>
      <c r="V160" s="235"/>
      <c r="W160" s="250"/>
      <c r="X160" s="250"/>
      <c r="Y160" s="250"/>
      <c r="Z160" s="244" t="s">
        <v>810</v>
      </c>
      <c r="AA160" s="244"/>
      <c r="AB160" s="244"/>
      <c r="AC160" s="244" t="s">
        <v>449</v>
      </c>
      <c r="AD160" s="244"/>
      <c r="AE160" s="270">
        <v>75</v>
      </c>
      <c r="AF160" s="252" t="s">
        <v>434</v>
      </c>
      <c r="AG160" s="247"/>
      <c r="AH160" s="248" t="s">
        <v>435</v>
      </c>
      <c r="AI160" s="271"/>
      <c r="AJ160" s="249"/>
      <c r="AK160" s="252" t="s">
        <v>786</v>
      </c>
      <c r="AL160" s="232" t="s">
        <v>787</v>
      </c>
      <c r="AM160" s="232" t="s">
        <v>788</v>
      </c>
      <c r="AN160" s="233" t="s">
        <v>789</v>
      </c>
      <c r="AO160" s="232" t="s">
        <v>411</v>
      </c>
      <c r="AP160" s="272" t="s">
        <v>837</v>
      </c>
      <c r="AQ160" s="232" t="str">
        <f>CONCATENATE(AN160,AO160,AP160)</f>
        <v>104-60058C</v>
      </c>
      <c r="AR160" s="232" t="s">
        <v>840</v>
      </c>
      <c r="AX160" s="250"/>
      <c r="AY160" s="250"/>
      <c r="AZ160" s="232" t="str">
        <f>IF($AX160="Yes",'8. Option Codes Decrypted'!$C$15,"")</f>
        <v/>
      </c>
      <c r="BA160" s="232" t="str">
        <f>IF($AX160="Yes",'8. Option Codes Decrypted'!$C$16,"")</f>
        <v/>
      </c>
      <c r="BB160" s="232" t="str">
        <f>IF($AX160="Yes",'8. Option Codes Decrypted'!$C$17,"")</f>
        <v/>
      </c>
      <c r="BC160" s="232" t="str">
        <f>IF($AX160="Yes",'8. Option Codes Decrypted'!$C$18,"")</f>
        <v/>
      </c>
      <c r="BD160" s="232" t="str">
        <f>IF($AY160="Yes",'8. Option Codes Decrypted'!$C$20,"")</f>
        <v/>
      </c>
      <c r="BE160" s="232" t="str">
        <f>IF($AY160="Yes",'8. Option Codes Decrypted'!$C$21,"")</f>
        <v/>
      </c>
      <c r="BF160" s="232" t="str">
        <f>IF($AY160="Yes",'8. Option Codes Decrypted'!$C$22,"")</f>
        <v/>
      </c>
      <c r="BG160" s="232" t="str">
        <f>IF($AY160="Yes",'8. Option Codes Decrypted'!$C$23,"")</f>
        <v/>
      </c>
    </row>
    <row r="161" spans="1:59" s="232" customFormat="1" x14ac:dyDescent="0.25">
      <c r="A161" s="232" t="str">
        <f t="shared" si="34"/>
        <v/>
      </c>
      <c r="B161" s="358" t="str">
        <f t="shared" si="35"/>
        <v>104-60057C</v>
      </c>
      <c r="C161" s="358" t="str">
        <f>IF(AS161&lt;&gt;"",AS161,"")</f>
        <v/>
      </c>
      <c r="D161" s="358"/>
      <c r="E161" s="358">
        <f t="shared" si="32"/>
        <v>1</v>
      </c>
      <c r="F161" s="232" t="s">
        <v>426</v>
      </c>
      <c r="G161" s="241">
        <v>45209</v>
      </c>
      <c r="H161" s="256"/>
      <c r="I161" s="269"/>
      <c r="J161" s="244" t="s">
        <v>427</v>
      </c>
      <c r="K161" s="244" t="s">
        <v>778</v>
      </c>
      <c r="L161" s="250" t="s">
        <v>783</v>
      </c>
      <c r="M161" s="235" t="s">
        <v>444</v>
      </c>
      <c r="N161" s="235"/>
      <c r="O161" s="284"/>
      <c r="P161" s="284"/>
      <c r="Q161" s="284"/>
      <c r="R161" s="286" t="str">
        <f t="shared" si="33"/>
        <v>. Grille, LOWER BUMPER - END - RIGHT</v>
      </c>
      <c r="S161" s="286"/>
      <c r="T161" s="235"/>
      <c r="U161" s="250"/>
      <c r="V161" s="235"/>
      <c r="W161" s="250"/>
      <c r="X161" s="250"/>
      <c r="Y161" s="250"/>
      <c r="Z161" s="244" t="s">
        <v>812</v>
      </c>
      <c r="AA161" s="244"/>
      <c r="AB161" s="244"/>
      <c r="AC161" s="244" t="s">
        <v>449</v>
      </c>
      <c r="AD161" s="244"/>
      <c r="AE161" s="270">
        <v>75</v>
      </c>
      <c r="AF161" s="252" t="s">
        <v>434</v>
      </c>
      <c r="AG161" s="247"/>
      <c r="AH161" s="248" t="s">
        <v>435</v>
      </c>
      <c r="AI161" s="271"/>
      <c r="AJ161" s="249"/>
      <c r="AK161" s="252" t="s">
        <v>786</v>
      </c>
      <c r="AL161" s="232" t="s">
        <v>787</v>
      </c>
      <c r="AM161" s="232" t="s">
        <v>788</v>
      </c>
      <c r="AN161" s="233" t="s">
        <v>789</v>
      </c>
      <c r="AO161" s="232" t="s">
        <v>411</v>
      </c>
      <c r="AP161" s="272" t="s">
        <v>841</v>
      </c>
      <c r="AQ161" s="232" t="str">
        <f t="shared" si="37"/>
        <v>104-60057C</v>
      </c>
      <c r="AR161" s="232" t="s">
        <v>842</v>
      </c>
      <c r="AX161" s="250"/>
      <c r="AY161" s="250"/>
      <c r="AZ161" s="232" t="str">
        <f>IF($AX161="Yes",'8. Option Codes Decrypted'!$C$15,"")</f>
        <v/>
      </c>
      <c r="BA161" s="232" t="str">
        <f>IF($AX161="Yes",'8. Option Codes Decrypted'!$C$16,"")</f>
        <v/>
      </c>
      <c r="BB161" s="232" t="str">
        <f>IF($AX161="Yes",'8. Option Codes Decrypted'!$C$17,"")</f>
        <v/>
      </c>
      <c r="BC161" s="232" t="str">
        <f>IF($AX161="Yes",'8. Option Codes Decrypted'!$C$18,"")</f>
        <v/>
      </c>
      <c r="BD161" s="232" t="str">
        <f>IF($AY161="Yes",'8. Option Codes Decrypted'!$C$20,"")</f>
        <v/>
      </c>
      <c r="BE161" s="232" t="str">
        <f>IF($AY161="Yes",'8. Option Codes Decrypted'!$C$21,"")</f>
        <v/>
      </c>
      <c r="BF161" s="232" t="str">
        <f>IF($AY161="Yes",'8. Option Codes Decrypted'!$C$22,"")</f>
        <v/>
      </c>
      <c r="BG161" s="232" t="str">
        <f>IF($AY161="Yes",'8. Option Codes Decrypted'!$C$23,"")</f>
        <v/>
      </c>
    </row>
    <row r="162" spans="1:59" s="232" customFormat="1" x14ac:dyDescent="0.25">
      <c r="A162" s="232" t="str">
        <f t="shared" si="34"/>
        <v/>
      </c>
      <c r="B162" s="358" t="str">
        <f t="shared" si="35"/>
        <v>104-60058D</v>
      </c>
      <c r="C162" s="358" t="s">
        <v>843</v>
      </c>
      <c r="D162" s="358"/>
      <c r="E162" s="358">
        <f t="shared" si="32"/>
        <v>2</v>
      </c>
      <c r="F162" s="232" t="s">
        <v>426</v>
      </c>
      <c r="G162" s="241">
        <v>45209</v>
      </c>
      <c r="H162" s="256"/>
      <c r="I162" s="269"/>
      <c r="J162" s="244" t="s">
        <v>427</v>
      </c>
      <c r="K162" s="244" t="s">
        <v>778</v>
      </c>
      <c r="L162" s="250" t="s">
        <v>783</v>
      </c>
      <c r="M162" s="235" t="s">
        <v>444</v>
      </c>
      <c r="N162" s="235"/>
      <c r="O162" s="284"/>
      <c r="P162" s="284"/>
      <c r="Q162" s="284"/>
      <c r="R162" s="286" t="str">
        <f t="shared" si="33"/>
        <v>. Grille, LOWER BUMPER - ENDS SET2</v>
      </c>
      <c r="S162" s="286"/>
      <c r="T162" s="235"/>
      <c r="U162" s="250"/>
      <c r="V162" s="235"/>
      <c r="W162" s="250"/>
      <c r="X162" s="250"/>
      <c r="Y162" s="250"/>
      <c r="Z162" s="244" t="s">
        <v>805</v>
      </c>
      <c r="AA162" s="244" t="s">
        <v>806</v>
      </c>
      <c r="AB162" s="244"/>
      <c r="AC162" s="244" t="s">
        <v>439</v>
      </c>
      <c r="AD162" s="244" t="s">
        <v>785</v>
      </c>
      <c r="AE162" s="270">
        <v>125</v>
      </c>
      <c r="AF162" s="252" t="s">
        <v>434</v>
      </c>
      <c r="AG162" s="247"/>
      <c r="AH162" s="248" t="s">
        <v>435</v>
      </c>
      <c r="AI162" s="271"/>
      <c r="AJ162" s="249"/>
      <c r="AK162" s="252" t="s">
        <v>786</v>
      </c>
      <c r="AL162" s="232" t="s">
        <v>787</v>
      </c>
      <c r="AM162" s="232" t="s">
        <v>788</v>
      </c>
      <c r="AN162" s="233" t="s">
        <v>789</v>
      </c>
      <c r="AO162" s="232" t="s">
        <v>411</v>
      </c>
      <c r="AP162" s="272" t="s">
        <v>844</v>
      </c>
      <c r="AQ162" s="232" t="str">
        <f t="shared" si="37"/>
        <v>104-60058D</v>
      </c>
      <c r="AR162" s="232" t="s">
        <v>845</v>
      </c>
      <c r="AX162" s="250"/>
      <c r="AY162" s="250"/>
      <c r="AZ162" s="232" t="str">
        <f>IF($AX162="Yes",'8. Option Codes Decrypted'!$C$15,"")</f>
        <v/>
      </c>
      <c r="BA162" s="232" t="str">
        <f>IF($AX162="Yes",'8. Option Codes Decrypted'!$C$16,"")</f>
        <v/>
      </c>
      <c r="BB162" s="232" t="str">
        <f>IF($AX162="Yes",'8. Option Codes Decrypted'!$C$17,"")</f>
        <v/>
      </c>
      <c r="BC162" s="232" t="str">
        <f>IF($AX162="Yes",'8. Option Codes Decrypted'!$C$18,"")</f>
        <v/>
      </c>
      <c r="BD162" s="232" t="str">
        <f>IF($AY162="Yes",'8. Option Codes Decrypted'!$C$20,"")</f>
        <v/>
      </c>
      <c r="BE162" s="232" t="str">
        <f>IF($AY162="Yes",'8. Option Codes Decrypted'!$C$21,"")</f>
        <v/>
      </c>
      <c r="BF162" s="232" t="str">
        <f>IF($AY162="Yes",'8. Option Codes Decrypted'!$C$22,"")</f>
        <v/>
      </c>
      <c r="BG162" s="232" t="str">
        <f>IF($AY162="Yes",'8. Option Codes Decrypted'!$C$23,"")</f>
        <v/>
      </c>
    </row>
    <row r="163" spans="1:59" s="232" customFormat="1" x14ac:dyDescent="0.25">
      <c r="A163" s="232" t="str">
        <f t="shared" si="34"/>
        <v/>
      </c>
      <c r="B163" s="358" t="str">
        <f t="shared" si="35"/>
        <v>104-60058D</v>
      </c>
      <c r="C163" s="358" t="s">
        <v>846</v>
      </c>
      <c r="D163" s="358"/>
      <c r="E163" s="358">
        <f t="shared" si="32"/>
        <v>2</v>
      </c>
      <c r="F163" s="232" t="s">
        <v>426</v>
      </c>
      <c r="G163" s="241">
        <v>45209</v>
      </c>
      <c r="H163" s="256"/>
      <c r="I163" s="269"/>
      <c r="J163" s="244" t="s">
        <v>427</v>
      </c>
      <c r="K163" s="244" t="s">
        <v>778</v>
      </c>
      <c r="L163" s="250" t="s">
        <v>783</v>
      </c>
      <c r="M163" s="235" t="s">
        <v>444</v>
      </c>
      <c r="N163" s="235"/>
      <c r="O163" s="284"/>
      <c r="P163" s="284"/>
      <c r="Q163" s="284"/>
      <c r="R163" s="286" t="str">
        <f t="shared" si="33"/>
        <v>. Grille, LOWER BUMPER - END - LEFT</v>
      </c>
      <c r="S163" s="286"/>
      <c r="T163" s="235"/>
      <c r="U163" s="250"/>
      <c r="V163" s="235"/>
      <c r="W163" s="250"/>
      <c r="X163" s="250"/>
      <c r="Y163" s="250"/>
      <c r="Z163" s="244" t="s">
        <v>810</v>
      </c>
      <c r="AA163" s="244"/>
      <c r="AB163" s="244"/>
      <c r="AC163" s="244" t="s">
        <v>449</v>
      </c>
      <c r="AD163" s="244"/>
      <c r="AE163" s="270">
        <v>75</v>
      </c>
      <c r="AF163" s="252" t="s">
        <v>434</v>
      </c>
      <c r="AG163" s="247"/>
      <c r="AH163" s="248" t="s">
        <v>435</v>
      </c>
      <c r="AI163" s="271"/>
      <c r="AJ163" s="249"/>
      <c r="AK163" s="252" t="s">
        <v>786</v>
      </c>
      <c r="AL163" s="232" t="s">
        <v>787</v>
      </c>
      <c r="AM163" s="232" t="s">
        <v>788</v>
      </c>
      <c r="AN163" s="233" t="s">
        <v>789</v>
      </c>
      <c r="AO163" s="232" t="s">
        <v>411</v>
      </c>
      <c r="AP163" s="272" t="s">
        <v>844</v>
      </c>
      <c r="AQ163" s="232" t="str">
        <f t="shared" ref="AQ163:AQ176" si="38">CONCATENATE(AN163,AO163,AP163)</f>
        <v>104-60058D</v>
      </c>
      <c r="AR163" s="232" t="s">
        <v>847</v>
      </c>
      <c r="AX163" s="250"/>
      <c r="AY163" s="250"/>
      <c r="AZ163" s="232" t="str">
        <f>IF($AX163="Yes",'8. Option Codes Decrypted'!$C$15,"")</f>
        <v/>
      </c>
      <c r="BA163" s="232" t="str">
        <f>IF($AX163="Yes",'8. Option Codes Decrypted'!$C$16,"")</f>
        <v/>
      </c>
      <c r="BB163" s="232" t="str">
        <f>IF($AX163="Yes",'8. Option Codes Decrypted'!$C$17,"")</f>
        <v/>
      </c>
      <c r="BC163" s="232" t="str">
        <f>IF($AX163="Yes",'8. Option Codes Decrypted'!$C$18,"")</f>
        <v/>
      </c>
      <c r="BD163" s="232" t="str">
        <f>IF($AY163="Yes",'8. Option Codes Decrypted'!$C$20,"")</f>
        <v/>
      </c>
      <c r="BE163" s="232" t="str">
        <f>IF($AY163="Yes",'8. Option Codes Decrypted'!$C$21,"")</f>
        <v/>
      </c>
      <c r="BF163" s="232" t="str">
        <f>IF($AY163="Yes",'8. Option Codes Decrypted'!$C$22,"")</f>
        <v/>
      </c>
      <c r="BG163" s="232" t="str">
        <f>IF($AY163="Yes",'8. Option Codes Decrypted'!$C$23,"")</f>
        <v/>
      </c>
    </row>
    <row r="164" spans="1:59" s="232" customFormat="1" x14ac:dyDescent="0.25">
      <c r="A164" s="232" t="str">
        <f t="shared" si="34"/>
        <v/>
      </c>
      <c r="B164" s="358" t="str">
        <f t="shared" si="35"/>
        <v>104-60057D</v>
      </c>
      <c r="C164" s="358" t="str">
        <f>IF(AS164&lt;&gt;"",AS164,"")</f>
        <v/>
      </c>
      <c r="D164" s="358"/>
      <c r="E164" s="358">
        <f t="shared" si="32"/>
        <v>1</v>
      </c>
      <c r="F164" s="232" t="s">
        <v>426</v>
      </c>
      <c r="G164" s="241">
        <v>45209</v>
      </c>
      <c r="H164" s="256"/>
      <c r="I164" s="269"/>
      <c r="J164" s="244" t="s">
        <v>427</v>
      </c>
      <c r="K164" s="244" t="s">
        <v>778</v>
      </c>
      <c r="L164" s="250" t="s">
        <v>783</v>
      </c>
      <c r="M164" s="235" t="s">
        <v>444</v>
      </c>
      <c r="N164" s="235"/>
      <c r="O164" s="284"/>
      <c r="P164" s="284"/>
      <c r="Q164" s="284"/>
      <c r="R164" s="286" t="str">
        <f t="shared" si="33"/>
        <v>. Grille, LOWER BUMPER - END - RIGHT</v>
      </c>
      <c r="S164" s="286"/>
      <c r="T164" s="235"/>
      <c r="U164" s="250"/>
      <c r="V164" s="235"/>
      <c r="W164" s="250"/>
      <c r="X164" s="250"/>
      <c r="Y164" s="250"/>
      <c r="Z164" s="244" t="s">
        <v>812</v>
      </c>
      <c r="AA164" s="244"/>
      <c r="AB164" s="244"/>
      <c r="AC164" s="244" t="s">
        <v>449</v>
      </c>
      <c r="AD164" s="244"/>
      <c r="AE164" s="270">
        <v>75</v>
      </c>
      <c r="AF164" s="252" t="s">
        <v>434</v>
      </c>
      <c r="AG164" s="247"/>
      <c r="AH164" s="248" t="s">
        <v>435</v>
      </c>
      <c r="AI164" s="271"/>
      <c r="AJ164" s="249"/>
      <c r="AK164" s="252" t="s">
        <v>786</v>
      </c>
      <c r="AL164" s="232" t="s">
        <v>787</v>
      </c>
      <c r="AM164" s="232" t="s">
        <v>788</v>
      </c>
      <c r="AN164" s="233" t="s">
        <v>789</v>
      </c>
      <c r="AO164" s="232" t="s">
        <v>411</v>
      </c>
      <c r="AP164" s="272" t="s">
        <v>848</v>
      </c>
      <c r="AQ164" s="232" t="str">
        <f t="shared" si="38"/>
        <v>104-60057D</v>
      </c>
      <c r="AR164" s="232" t="s">
        <v>849</v>
      </c>
      <c r="AX164" s="250"/>
      <c r="AY164" s="250"/>
      <c r="AZ164" s="232" t="str">
        <f>IF($AX164="Yes",'8. Option Codes Decrypted'!$C$15,"")</f>
        <v/>
      </c>
      <c r="BA164" s="232" t="str">
        <f>IF($AX164="Yes",'8. Option Codes Decrypted'!$C$16,"")</f>
        <v/>
      </c>
      <c r="BB164" s="232" t="str">
        <f>IF($AX164="Yes",'8. Option Codes Decrypted'!$C$17,"")</f>
        <v/>
      </c>
      <c r="BC164" s="232" t="str">
        <f>IF($AX164="Yes",'8. Option Codes Decrypted'!$C$18,"")</f>
        <v/>
      </c>
      <c r="BD164" s="232" t="str">
        <f>IF($AY164="Yes",'8. Option Codes Decrypted'!$C$20,"")</f>
        <v/>
      </c>
      <c r="BE164" s="232" t="str">
        <f>IF($AY164="Yes",'8. Option Codes Decrypted'!$C$21,"")</f>
        <v/>
      </c>
      <c r="BF164" s="232" t="str">
        <f>IF($AY164="Yes",'8. Option Codes Decrypted'!$C$22,"")</f>
        <v/>
      </c>
      <c r="BG164" s="232" t="str">
        <f>IF($AY164="Yes",'8. Option Codes Decrypted'!$C$23,"")</f>
        <v/>
      </c>
    </row>
    <row r="165" spans="1:59" s="232" customFormat="1" x14ac:dyDescent="0.25">
      <c r="A165" s="232" t="str">
        <f t="shared" si="34"/>
        <v/>
      </c>
      <c r="B165" s="358" t="str">
        <f t="shared" si="35"/>
        <v>104-60049</v>
      </c>
      <c r="C165" s="358" t="str">
        <f>IF(AS165&lt;&gt;"",AS165,"")</f>
        <v/>
      </c>
      <c r="D165" s="358"/>
      <c r="E165" s="358">
        <f t="shared" si="32"/>
        <v>1</v>
      </c>
      <c r="F165" s="232" t="s">
        <v>426</v>
      </c>
      <c r="G165" s="241">
        <v>45216</v>
      </c>
      <c r="H165" s="256"/>
      <c r="I165" s="269"/>
      <c r="J165" s="244" t="s">
        <v>427</v>
      </c>
      <c r="K165" s="244" t="s">
        <v>778</v>
      </c>
      <c r="L165" s="250" t="s">
        <v>783</v>
      </c>
      <c r="M165" s="235" t="s">
        <v>444</v>
      </c>
      <c r="N165" s="235"/>
      <c r="O165" s="284"/>
      <c r="P165" s="284"/>
      <c r="Q165" s="284"/>
      <c r="R165" s="286" t="str">
        <f t="shared" si="33"/>
        <v>. Grille, CENTER MIDDLE</v>
      </c>
      <c r="S165" s="286"/>
      <c r="T165" s="235"/>
      <c r="U165" s="250"/>
      <c r="V165" s="235"/>
      <c r="W165" s="250"/>
      <c r="X165" s="250"/>
      <c r="Y165" s="250"/>
      <c r="Z165" s="244" t="s">
        <v>850</v>
      </c>
      <c r="AA165" s="244"/>
      <c r="AB165" s="244"/>
      <c r="AC165" s="244" t="s">
        <v>449</v>
      </c>
      <c r="AD165" s="244"/>
      <c r="AE165" s="270">
        <v>125</v>
      </c>
      <c r="AF165" s="252" t="s">
        <v>434</v>
      </c>
      <c r="AG165" s="247"/>
      <c r="AH165" s="248" t="s">
        <v>435</v>
      </c>
      <c r="AI165" s="271"/>
      <c r="AJ165" s="249"/>
      <c r="AK165" s="252" t="s">
        <v>786</v>
      </c>
      <c r="AL165" s="232" t="s">
        <v>787</v>
      </c>
      <c r="AM165" s="232" t="s">
        <v>788</v>
      </c>
      <c r="AN165" s="233" t="s">
        <v>789</v>
      </c>
      <c r="AO165" s="232" t="s">
        <v>411</v>
      </c>
      <c r="AP165" s="232">
        <v>60049</v>
      </c>
      <c r="AQ165" s="232" t="str">
        <f t="shared" si="38"/>
        <v>104-60049</v>
      </c>
      <c r="AR165" s="232" t="s">
        <v>851</v>
      </c>
      <c r="AX165" s="250"/>
      <c r="AY165" s="250"/>
      <c r="AZ165" s="232" t="str">
        <f>IF($AX165="Yes",'8. Option Codes Decrypted'!$C$15,"")</f>
        <v/>
      </c>
      <c r="BA165" s="232" t="str">
        <f>IF($AX165="Yes",'8. Option Codes Decrypted'!$C$16,"")</f>
        <v/>
      </c>
      <c r="BB165" s="232" t="str">
        <f>IF($AX165="Yes",'8. Option Codes Decrypted'!$C$17,"")</f>
        <v/>
      </c>
      <c r="BC165" s="232" t="str">
        <f>IF($AX165="Yes",'8. Option Codes Decrypted'!$C$18,"")</f>
        <v/>
      </c>
      <c r="BD165" s="232" t="str">
        <f>IF($AY165="Yes",'8. Option Codes Decrypted'!$C$20,"")</f>
        <v/>
      </c>
      <c r="BE165" s="232" t="str">
        <f>IF($AY165="Yes",'8. Option Codes Decrypted'!$C$21,"")</f>
        <v/>
      </c>
      <c r="BF165" s="232" t="str">
        <f>IF($AY165="Yes",'8. Option Codes Decrypted'!$C$22,"")</f>
        <v/>
      </c>
      <c r="BG165" s="232" t="str">
        <f>IF($AY165="Yes",'8. Option Codes Decrypted'!$C$23,"")</f>
        <v/>
      </c>
    </row>
    <row r="166" spans="1:59" s="232" customFormat="1" x14ac:dyDescent="0.25">
      <c r="A166" s="232" t="str">
        <f t="shared" si="34"/>
        <v/>
      </c>
      <c r="B166" s="358" t="str">
        <f t="shared" si="35"/>
        <v>104-60050A</v>
      </c>
      <c r="C166" s="358" t="str">
        <f>IF(AS166&lt;&gt;"",AS166,"")</f>
        <v/>
      </c>
      <c r="D166" s="358"/>
      <c r="E166" s="358">
        <f t="shared" si="32"/>
        <v>1</v>
      </c>
      <c r="F166" s="232" t="s">
        <v>426</v>
      </c>
      <c r="G166" s="241">
        <v>45216</v>
      </c>
      <c r="H166" s="256"/>
      <c r="I166" s="269"/>
      <c r="J166" s="244" t="s">
        <v>427</v>
      </c>
      <c r="K166" s="244" t="s">
        <v>778</v>
      </c>
      <c r="L166" s="250" t="s">
        <v>783</v>
      </c>
      <c r="M166" s="235" t="s">
        <v>444</v>
      </c>
      <c r="N166" s="235"/>
      <c r="O166" s="284"/>
      <c r="P166" s="284"/>
      <c r="Q166" s="284"/>
      <c r="R166" s="286" t="str">
        <f t="shared" si="33"/>
        <v>. Grille, CENTER MIDDLE</v>
      </c>
      <c r="S166" s="286"/>
      <c r="T166" s="235"/>
      <c r="U166" s="250"/>
      <c r="V166" s="235"/>
      <c r="W166" s="250"/>
      <c r="X166" s="250"/>
      <c r="Y166" s="250"/>
      <c r="Z166" s="244" t="s">
        <v>850</v>
      </c>
      <c r="AA166" s="244"/>
      <c r="AB166" s="244"/>
      <c r="AC166" s="244" t="s">
        <v>449</v>
      </c>
      <c r="AD166" s="244"/>
      <c r="AE166" s="270">
        <v>125</v>
      </c>
      <c r="AF166" s="252" t="s">
        <v>434</v>
      </c>
      <c r="AG166" s="247"/>
      <c r="AH166" s="248" t="s">
        <v>435</v>
      </c>
      <c r="AI166" s="271"/>
      <c r="AJ166" s="249"/>
      <c r="AK166" s="252" t="s">
        <v>786</v>
      </c>
      <c r="AL166" s="232" t="s">
        <v>787</v>
      </c>
      <c r="AM166" s="232" t="s">
        <v>788</v>
      </c>
      <c r="AN166" s="233" t="s">
        <v>789</v>
      </c>
      <c r="AO166" s="232" t="s">
        <v>411</v>
      </c>
      <c r="AP166" s="232" t="s">
        <v>852</v>
      </c>
      <c r="AQ166" s="232" t="str">
        <f t="shared" si="38"/>
        <v>104-60050A</v>
      </c>
      <c r="AR166" s="232" t="s">
        <v>853</v>
      </c>
      <c r="AX166" s="250"/>
      <c r="AY166" s="250"/>
      <c r="AZ166" s="232" t="str">
        <f>IF($AX166="Yes",'8. Option Codes Decrypted'!$C$15,"")</f>
        <v/>
      </c>
      <c r="BA166" s="232" t="str">
        <f>IF($AX166="Yes",'8. Option Codes Decrypted'!$C$16,"")</f>
        <v/>
      </c>
      <c r="BB166" s="232" t="str">
        <f>IF($AX166="Yes",'8. Option Codes Decrypted'!$C$17,"")</f>
        <v/>
      </c>
      <c r="BC166" s="232" t="str">
        <f>IF($AX166="Yes",'8. Option Codes Decrypted'!$C$18,"")</f>
        <v/>
      </c>
      <c r="BD166" s="232" t="str">
        <f>IF($AY166="Yes",'8. Option Codes Decrypted'!$C$20,"")</f>
        <v/>
      </c>
      <c r="BE166" s="232" t="str">
        <f>IF($AY166="Yes",'8. Option Codes Decrypted'!$C$21,"")</f>
        <v/>
      </c>
      <c r="BF166" s="232" t="str">
        <f>IF($AY166="Yes",'8. Option Codes Decrypted'!$C$22,"")</f>
        <v/>
      </c>
      <c r="BG166" s="232" t="str">
        <f>IF($AY166="Yes",'8. Option Codes Decrypted'!$C$23,"")</f>
        <v/>
      </c>
    </row>
    <row r="167" spans="1:59" s="232" customFormat="1" x14ac:dyDescent="0.25">
      <c r="A167" s="232" t="str">
        <f t="shared" si="34"/>
        <v/>
      </c>
      <c r="B167" s="358" t="str">
        <f t="shared" si="35"/>
        <v>104-60050B</v>
      </c>
      <c r="C167" s="358" t="str">
        <f>IF(AS167&lt;&gt;"",AS167,"")</f>
        <v/>
      </c>
      <c r="D167" s="358"/>
      <c r="E167" s="358">
        <f t="shared" si="32"/>
        <v>1</v>
      </c>
      <c r="F167" s="232" t="s">
        <v>426</v>
      </c>
      <c r="G167" s="241">
        <v>45216</v>
      </c>
      <c r="H167" s="256"/>
      <c r="I167" s="269"/>
      <c r="J167" s="244" t="s">
        <v>427</v>
      </c>
      <c r="K167" s="244" t="s">
        <v>778</v>
      </c>
      <c r="L167" s="250" t="s">
        <v>783</v>
      </c>
      <c r="M167" s="235" t="s">
        <v>444</v>
      </c>
      <c r="N167" s="235"/>
      <c r="O167" s="284"/>
      <c r="P167" s="284"/>
      <c r="Q167" s="284"/>
      <c r="R167" s="286" t="str">
        <f t="shared" si="33"/>
        <v>. Grille, CENTER MIDDLE</v>
      </c>
      <c r="S167" s="286"/>
      <c r="T167" s="235"/>
      <c r="U167" s="250"/>
      <c r="V167" s="235"/>
      <c r="W167" s="250"/>
      <c r="X167" s="250"/>
      <c r="Y167" s="250"/>
      <c r="Z167" s="244" t="s">
        <v>850</v>
      </c>
      <c r="AA167" s="244"/>
      <c r="AB167" s="244"/>
      <c r="AC167" s="244" t="s">
        <v>449</v>
      </c>
      <c r="AD167" s="244"/>
      <c r="AE167" s="270">
        <v>125</v>
      </c>
      <c r="AF167" s="252" t="s">
        <v>434</v>
      </c>
      <c r="AG167" s="247"/>
      <c r="AH167" s="248" t="s">
        <v>435</v>
      </c>
      <c r="AI167" s="271"/>
      <c r="AJ167" s="249"/>
      <c r="AK167" s="252" t="s">
        <v>786</v>
      </c>
      <c r="AL167" s="232" t="s">
        <v>787</v>
      </c>
      <c r="AM167" s="232" t="s">
        <v>788</v>
      </c>
      <c r="AN167" s="233" t="s">
        <v>789</v>
      </c>
      <c r="AO167" s="232" t="s">
        <v>411</v>
      </c>
      <c r="AP167" s="232" t="s">
        <v>854</v>
      </c>
      <c r="AQ167" s="232" t="str">
        <f t="shared" si="38"/>
        <v>104-60050B</v>
      </c>
      <c r="AR167" s="232" t="s">
        <v>855</v>
      </c>
      <c r="AX167" s="250"/>
      <c r="AY167" s="250"/>
      <c r="AZ167" s="232" t="str">
        <f>IF($AX167="Yes",'8. Option Codes Decrypted'!$C$15,"")</f>
        <v/>
      </c>
      <c r="BA167" s="232" t="str">
        <f>IF($AX167="Yes",'8. Option Codes Decrypted'!$C$16,"")</f>
        <v/>
      </c>
      <c r="BB167" s="232" t="str">
        <f>IF($AX167="Yes",'8. Option Codes Decrypted'!$C$17,"")</f>
        <v/>
      </c>
      <c r="BC167" s="232" t="str">
        <f>IF($AX167="Yes",'8. Option Codes Decrypted'!$C$18,"")</f>
        <v/>
      </c>
      <c r="BD167" s="232" t="str">
        <f>IF($AY167="Yes",'8. Option Codes Decrypted'!$C$20,"")</f>
        <v/>
      </c>
      <c r="BE167" s="232" t="str">
        <f>IF($AY167="Yes",'8. Option Codes Decrypted'!$C$21,"")</f>
        <v/>
      </c>
      <c r="BF167" s="232" t="str">
        <f>IF($AY167="Yes",'8. Option Codes Decrypted'!$C$22,"")</f>
        <v/>
      </c>
      <c r="BG167" s="232" t="str">
        <f>IF($AY167="Yes",'8. Option Codes Decrypted'!$C$23,"")</f>
        <v/>
      </c>
    </row>
    <row r="168" spans="1:59" s="232" customFormat="1" x14ac:dyDescent="0.25">
      <c r="A168" s="232" t="str">
        <f t="shared" si="34"/>
        <v/>
      </c>
      <c r="B168" s="358" t="str">
        <f t="shared" si="35"/>
        <v>104-60041C</v>
      </c>
      <c r="C168" s="358" t="s">
        <v>856</v>
      </c>
      <c r="D168" s="358"/>
      <c r="E168" s="358">
        <f t="shared" si="32"/>
        <v>2</v>
      </c>
      <c r="F168" s="232" t="s">
        <v>426</v>
      </c>
      <c r="G168" s="241">
        <v>45216</v>
      </c>
      <c r="H168" s="256"/>
      <c r="I168" s="269"/>
      <c r="J168" s="244" t="s">
        <v>427</v>
      </c>
      <c r="K168" s="244" t="s">
        <v>778</v>
      </c>
      <c r="L168" s="250" t="s">
        <v>783</v>
      </c>
      <c r="M168" s="235" t="s">
        <v>444</v>
      </c>
      <c r="N168" s="235"/>
      <c r="O168" s="284"/>
      <c r="P168" s="284"/>
      <c r="Q168" s="284"/>
      <c r="R168" s="286" t="str">
        <f t="shared" si="33"/>
        <v>. Grille, UPPER KIDNEY GRILLE SET2</v>
      </c>
      <c r="S168" s="286"/>
      <c r="T168" s="235"/>
      <c r="U168" s="250"/>
      <c r="V168" s="235"/>
      <c r="W168" s="250"/>
      <c r="X168" s="250"/>
      <c r="Y168" s="250"/>
      <c r="Z168" s="244" t="s">
        <v>857</v>
      </c>
      <c r="AA168" s="244" t="s">
        <v>806</v>
      </c>
      <c r="AB168" s="244"/>
      <c r="AC168" s="244" t="s">
        <v>439</v>
      </c>
      <c r="AD168" s="244" t="s">
        <v>858</v>
      </c>
      <c r="AE168" s="270">
        <v>150</v>
      </c>
      <c r="AF168" s="252" t="s">
        <v>434</v>
      </c>
      <c r="AG168" s="247"/>
      <c r="AH168" s="248" t="s">
        <v>435</v>
      </c>
      <c r="AI168" s="271"/>
      <c r="AJ168" s="249"/>
      <c r="AK168" s="252" t="s">
        <v>786</v>
      </c>
      <c r="AN168" s="233" t="s">
        <v>789</v>
      </c>
      <c r="AO168" s="232" t="s">
        <v>411</v>
      </c>
      <c r="AP168" s="272" t="s">
        <v>859</v>
      </c>
      <c r="AQ168" s="232" t="str">
        <f t="shared" si="38"/>
        <v>104-60041C</v>
      </c>
      <c r="AR168" s="232" t="s">
        <v>860</v>
      </c>
      <c r="AX168" s="250"/>
      <c r="AY168" s="250"/>
      <c r="AZ168" s="232" t="str">
        <f>IF($AX168="Yes",'8. Option Codes Decrypted'!$C$15,"")</f>
        <v/>
      </c>
      <c r="BA168" s="232" t="str">
        <f>IF($AX168="Yes",'8. Option Codes Decrypted'!$C$16,"")</f>
        <v/>
      </c>
      <c r="BB168" s="232" t="str">
        <f>IF($AX168="Yes",'8. Option Codes Decrypted'!$C$17,"")</f>
        <v/>
      </c>
      <c r="BC168" s="232" t="str">
        <f>IF($AX168="Yes",'8. Option Codes Decrypted'!$C$18,"")</f>
        <v/>
      </c>
      <c r="BD168" s="232" t="str">
        <f>IF($AY168="Yes",'8. Option Codes Decrypted'!$C$20,"")</f>
        <v/>
      </c>
      <c r="BE168" s="232" t="str">
        <f>IF($AY168="Yes",'8. Option Codes Decrypted'!$C$21,"")</f>
        <v/>
      </c>
      <c r="BF168" s="232" t="str">
        <f>IF($AY168="Yes",'8. Option Codes Decrypted'!$C$22,"")</f>
        <v/>
      </c>
      <c r="BG168" s="232" t="str">
        <f>IF($AY168="Yes",'8. Option Codes Decrypted'!$C$23,"")</f>
        <v/>
      </c>
    </row>
    <row r="169" spans="1:59" s="232" customFormat="1" x14ac:dyDescent="0.25">
      <c r="A169" s="232" t="str">
        <f t="shared" si="34"/>
        <v/>
      </c>
      <c r="B169" s="358" t="str">
        <f t="shared" si="35"/>
        <v>104-60041C</v>
      </c>
      <c r="C169" s="358" t="s">
        <v>861</v>
      </c>
      <c r="D169" s="358"/>
      <c r="E169" s="358">
        <f t="shared" si="32"/>
        <v>2</v>
      </c>
      <c r="F169" s="232" t="s">
        <v>426</v>
      </c>
      <c r="G169" s="241">
        <v>45216</v>
      </c>
      <c r="H169" s="256"/>
      <c r="I169" s="269"/>
      <c r="J169" s="244" t="s">
        <v>427</v>
      </c>
      <c r="K169" s="244" t="s">
        <v>778</v>
      </c>
      <c r="L169" s="250" t="s">
        <v>783</v>
      </c>
      <c r="M169" s="235" t="s">
        <v>444</v>
      </c>
      <c r="N169" s="235"/>
      <c r="O169" s="284"/>
      <c r="P169" s="284"/>
      <c r="Q169" s="284"/>
      <c r="R169" s="286" t="str">
        <f t="shared" si="33"/>
        <v>. Grille, UPPER KIDNEY GRILLE, LEFT</v>
      </c>
      <c r="S169" s="286"/>
      <c r="T169" s="235"/>
      <c r="U169" s="250"/>
      <c r="V169" s="235"/>
      <c r="W169" s="250"/>
      <c r="X169" s="250"/>
      <c r="Y169" s="250"/>
      <c r="Z169" s="244" t="s">
        <v>862</v>
      </c>
      <c r="AA169" s="244"/>
      <c r="AB169" s="244"/>
      <c r="AC169" s="244" t="s">
        <v>449</v>
      </c>
      <c r="AD169" s="244"/>
      <c r="AE169" s="270">
        <v>75</v>
      </c>
      <c r="AF169" s="252" t="s">
        <v>434</v>
      </c>
      <c r="AG169" s="247"/>
      <c r="AH169" s="248" t="s">
        <v>435</v>
      </c>
      <c r="AI169" s="271"/>
      <c r="AJ169" s="249"/>
      <c r="AK169" s="252" t="s">
        <v>786</v>
      </c>
      <c r="AN169" s="233" t="s">
        <v>789</v>
      </c>
      <c r="AO169" s="232" t="s">
        <v>411</v>
      </c>
      <c r="AP169" s="272" t="s">
        <v>859</v>
      </c>
      <c r="AQ169" s="232" t="str">
        <f t="shared" si="38"/>
        <v>104-60041C</v>
      </c>
      <c r="AR169" s="232" t="s">
        <v>863</v>
      </c>
      <c r="AX169" s="250"/>
      <c r="AY169" s="250"/>
      <c r="AZ169" s="232" t="str">
        <f>IF($AX169="Yes",'8. Option Codes Decrypted'!$C$15,"")</f>
        <v/>
      </c>
      <c r="BA169" s="232" t="str">
        <f>IF($AX169="Yes",'8. Option Codes Decrypted'!$C$16,"")</f>
        <v/>
      </c>
      <c r="BB169" s="232" t="str">
        <f>IF($AX169="Yes",'8. Option Codes Decrypted'!$C$17,"")</f>
        <v/>
      </c>
      <c r="BC169" s="232" t="str">
        <f>IF($AX169="Yes",'8. Option Codes Decrypted'!$C$18,"")</f>
        <v/>
      </c>
      <c r="BD169" s="232" t="str">
        <f>IF($AY169="Yes",'8. Option Codes Decrypted'!$C$20,"")</f>
        <v/>
      </c>
      <c r="BE169" s="232" t="str">
        <f>IF($AY169="Yes",'8. Option Codes Decrypted'!$C$21,"")</f>
        <v/>
      </c>
      <c r="BF169" s="232" t="str">
        <f>IF($AY169="Yes",'8. Option Codes Decrypted'!$C$22,"")</f>
        <v/>
      </c>
      <c r="BG169" s="232" t="str">
        <f>IF($AY169="Yes",'8. Option Codes Decrypted'!$C$23,"")</f>
        <v/>
      </c>
    </row>
    <row r="170" spans="1:59" s="232" customFormat="1" x14ac:dyDescent="0.25">
      <c r="A170" s="232" t="str">
        <f t="shared" si="34"/>
        <v/>
      </c>
      <c r="B170" s="358" t="str">
        <f t="shared" ref="B170:B198" si="39">IF(AQ170&lt;&gt;"",AQ170,"")</f>
        <v>104-60040C</v>
      </c>
      <c r="C170" s="358" t="str">
        <f t="shared" ref="C170:C201" si="40">IF(AS170&lt;&gt;"",AS170,"")</f>
        <v/>
      </c>
      <c r="D170" s="358"/>
      <c r="E170" s="358">
        <f t="shared" si="32"/>
        <v>1</v>
      </c>
      <c r="F170" s="232" t="s">
        <v>426</v>
      </c>
      <c r="G170" s="241">
        <v>45216</v>
      </c>
      <c r="H170" s="256"/>
      <c r="I170" s="269"/>
      <c r="J170" s="244" t="s">
        <v>427</v>
      </c>
      <c r="K170" s="244" t="s">
        <v>778</v>
      </c>
      <c r="L170" s="250" t="s">
        <v>783</v>
      </c>
      <c r="M170" s="235" t="s">
        <v>444</v>
      </c>
      <c r="N170" s="235"/>
      <c r="O170" s="284"/>
      <c r="P170" s="284"/>
      <c r="Q170" s="284"/>
      <c r="R170" s="286" t="str">
        <f t="shared" si="33"/>
        <v>. Grille, UPPER KIDNEY GRILLE, RIGHT</v>
      </c>
      <c r="S170" s="286"/>
      <c r="T170" s="235"/>
      <c r="U170" s="250"/>
      <c r="V170" s="235"/>
      <c r="W170" s="250"/>
      <c r="X170" s="250"/>
      <c r="Y170" s="250"/>
      <c r="Z170" s="244" t="s">
        <v>864</v>
      </c>
      <c r="AA170" s="244"/>
      <c r="AB170" s="244"/>
      <c r="AC170" s="244" t="s">
        <v>449</v>
      </c>
      <c r="AD170" s="244"/>
      <c r="AE170" s="270">
        <v>75</v>
      </c>
      <c r="AF170" s="252" t="s">
        <v>434</v>
      </c>
      <c r="AG170" s="247"/>
      <c r="AH170" s="248" t="s">
        <v>435</v>
      </c>
      <c r="AI170" s="271"/>
      <c r="AJ170" s="249"/>
      <c r="AK170" s="252" t="s">
        <v>786</v>
      </c>
      <c r="AN170" s="233" t="s">
        <v>789</v>
      </c>
      <c r="AO170" s="232" t="s">
        <v>411</v>
      </c>
      <c r="AP170" s="272" t="s">
        <v>865</v>
      </c>
      <c r="AQ170" s="232" t="str">
        <f t="shared" si="38"/>
        <v>104-60040C</v>
      </c>
      <c r="AR170" s="232" t="s">
        <v>866</v>
      </c>
      <c r="AX170" s="250"/>
      <c r="AY170" s="250"/>
      <c r="AZ170" s="232" t="str">
        <f>IF($AX170="Yes",'8. Option Codes Decrypted'!$C$15,"")</f>
        <v/>
      </c>
      <c r="BA170" s="232" t="str">
        <f>IF($AX170="Yes",'8. Option Codes Decrypted'!$C$16,"")</f>
        <v/>
      </c>
      <c r="BB170" s="232" t="str">
        <f>IF($AX170="Yes",'8. Option Codes Decrypted'!$C$17,"")</f>
        <v/>
      </c>
      <c r="BC170" s="232" t="str">
        <f>IF($AX170="Yes",'8. Option Codes Decrypted'!$C$18,"")</f>
        <v/>
      </c>
      <c r="BD170" s="232" t="str">
        <f>IF($AY170="Yes",'8. Option Codes Decrypted'!$C$20,"")</f>
        <v/>
      </c>
      <c r="BE170" s="232" t="str">
        <f>IF($AY170="Yes",'8. Option Codes Decrypted'!$C$21,"")</f>
        <v/>
      </c>
      <c r="BF170" s="232" t="str">
        <f>IF($AY170="Yes",'8. Option Codes Decrypted'!$C$22,"")</f>
        <v/>
      </c>
      <c r="BG170" s="232" t="str">
        <f>IF($AY170="Yes",'8. Option Codes Decrypted'!$C$23,"")</f>
        <v/>
      </c>
    </row>
    <row r="171" spans="1:59" s="232" customFormat="1" x14ac:dyDescent="0.25">
      <c r="A171" s="232" t="str">
        <f t="shared" si="34"/>
        <v/>
      </c>
      <c r="B171" s="358" t="str">
        <f t="shared" si="39"/>
        <v>104-60041A</v>
      </c>
      <c r="C171" s="358" t="str">
        <f t="shared" si="40"/>
        <v/>
      </c>
      <c r="D171" s="358"/>
      <c r="E171" s="358">
        <f t="shared" si="32"/>
        <v>2</v>
      </c>
      <c r="F171" s="232" t="s">
        <v>426</v>
      </c>
      <c r="G171" s="241">
        <v>45216</v>
      </c>
      <c r="H171" s="256"/>
      <c r="I171" s="269"/>
      <c r="J171" s="244" t="s">
        <v>427</v>
      </c>
      <c r="K171" s="244" t="s">
        <v>778</v>
      </c>
      <c r="L171" s="250" t="s">
        <v>783</v>
      </c>
      <c r="M171" s="235" t="s">
        <v>444</v>
      </c>
      <c r="N171" s="235"/>
      <c r="O171" s="284"/>
      <c r="P171" s="284"/>
      <c r="Q171" s="284"/>
      <c r="R171" s="286" t="str">
        <f t="shared" si="33"/>
        <v>. Grille, UPPER KIDNEY GRILLE SET2</v>
      </c>
      <c r="S171" s="286"/>
      <c r="T171" s="235"/>
      <c r="U171" s="250"/>
      <c r="V171" s="235"/>
      <c r="W171" s="250"/>
      <c r="X171" s="250"/>
      <c r="Y171" s="250"/>
      <c r="Z171" s="244" t="s">
        <v>857</v>
      </c>
      <c r="AA171" s="244" t="s">
        <v>806</v>
      </c>
      <c r="AB171" s="244"/>
      <c r="AC171" s="244" t="s">
        <v>439</v>
      </c>
      <c r="AD171" s="244" t="s">
        <v>858</v>
      </c>
      <c r="AE171" s="270">
        <v>150</v>
      </c>
      <c r="AF171" s="252" t="s">
        <v>434</v>
      </c>
      <c r="AG171" s="247"/>
      <c r="AH171" s="248" t="s">
        <v>435</v>
      </c>
      <c r="AI171" s="271"/>
      <c r="AJ171" s="249"/>
      <c r="AK171" s="252" t="s">
        <v>786</v>
      </c>
      <c r="AN171" s="233" t="s">
        <v>789</v>
      </c>
      <c r="AO171" s="232" t="s">
        <v>411</v>
      </c>
      <c r="AP171" s="272" t="s">
        <v>867</v>
      </c>
      <c r="AQ171" s="232" t="str">
        <f t="shared" si="38"/>
        <v>104-60041A</v>
      </c>
      <c r="AR171" s="232" t="s">
        <v>868</v>
      </c>
      <c r="AX171" s="250"/>
      <c r="AY171" s="250"/>
      <c r="AZ171" s="232" t="str">
        <f>IF($AX171="Yes",'8. Option Codes Decrypted'!$C$15,"")</f>
        <v/>
      </c>
      <c r="BA171" s="232" t="str">
        <f>IF($AX171="Yes",'8. Option Codes Decrypted'!$C$16,"")</f>
        <v/>
      </c>
      <c r="BB171" s="232" t="str">
        <f>IF($AX171="Yes",'8. Option Codes Decrypted'!$C$17,"")</f>
        <v/>
      </c>
      <c r="BC171" s="232" t="str">
        <f>IF($AX171="Yes",'8. Option Codes Decrypted'!$C$18,"")</f>
        <v/>
      </c>
      <c r="BD171" s="232" t="str">
        <f>IF($AY171="Yes",'8. Option Codes Decrypted'!$C$20,"")</f>
        <v/>
      </c>
      <c r="BE171" s="232" t="str">
        <f>IF($AY171="Yes",'8. Option Codes Decrypted'!$C$21,"")</f>
        <v/>
      </c>
      <c r="BF171" s="232" t="str">
        <f>IF($AY171="Yes",'8. Option Codes Decrypted'!$C$22,"")</f>
        <v/>
      </c>
      <c r="BG171" s="232" t="str">
        <f>IF($AY171="Yes",'8. Option Codes Decrypted'!$C$23,"")</f>
        <v/>
      </c>
    </row>
    <row r="172" spans="1:59" s="232" customFormat="1" x14ac:dyDescent="0.25">
      <c r="A172" s="232" t="str">
        <f t="shared" si="34"/>
        <v/>
      </c>
      <c r="B172" s="358" t="str">
        <f t="shared" si="39"/>
        <v>104-60041A</v>
      </c>
      <c r="C172" s="358" t="str">
        <f t="shared" si="40"/>
        <v/>
      </c>
      <c r="D172" s="358"/>
      <c r="E172" s="358">
        <f t="shared" si="32"/>
        <v>2</v>
      </c>
      <c r="F172" s="232" t="s">
        <v>426</v>
      </c>
      <c r="G172" s="241">
        <v>45216</v>
      </c>
      <c r="H172" s="256"/>
      <c r="I172" s="269"/>
      <c r="J172" s="244" t="s">
        <v>427</v>
      </c>
      <c r="K172" s="244" t="s">
        <v>778</v>
      </c>
      <c r="L172" s="250" t="s">
        <v>783</v>
      </c>
      <c r="M172" s="235" t="s">
        <v>444</v>
      </c>
      <c r="N172" s="235"/>
      <c r="O172" s="284"/>
      <c r="P172" s="284"/>
      <c r="Q172" s="284"/>
      <c r="R172" s="286" t="str">
        <f t="shared" si="33"/>
        <v>. Grille, UPPER KIDNEY GRILLE, LEFT</v>
      </c>
      <c r="S172" s="286"/>
      <c r="T172" s="235"/>
      <c r="U172" s="250"/>
      <c r="V172" s="235"/>
      <c r="W172" s="250"/>
      <c r="X172" s="250"/>
      <c r="Y172" s="250"/>
      <c r="Z172" s="244" t="s">
        <v>862</v>
      </c>
      <c r="AA172" s="244"/>
      <c r="AB172" s="244"/>
      <c r="AC172" s="244" t="s">
        <v>449</v>
      </c>
      <c r="AD172" s="244"/>
      <c r="AE172" s="270">
        <v>75</v>
      </c>
      <c r="AF172" s="252" t="s">
        <v>434</v>
      </c>
      <c r="AG172" s="247"/>
      <c r="AH172" s="248" t="s">
        <v>435</v>
      </c>
      <c r="AI172" s="271"/>
      <c r="AJ172" s="249"/>
      <c r="AK172" s="252" t="s">
        <v>786</v>
      </c>
      <c r="AN172" s="233" t="s">
        <v>789</v>
      </c>
      <c r="AO172" s="232" t="s">
        <v>411</v>
      </c>
      <c r="AP172" s="272" t="s">
        <v>867</v>
      </c>
      <c r="AQ172" s="232" t="str">
        <f t="shared" si="38"/>
        <v>104-60041A</v>
      </c>
      <c r="AR172" s="232" t="s">
        <v>869</v>
      </c>
      <c r="AX172" s="250"/>
      <c r="AY172" s="250"/>
      <c r="AZ172" s="232" t="str">
        <f>IF($AX172="Yes",'8. Option Codes Decrypted'!$C$15,"")</f>
        <v/>
      </c>
      <c r="BA172" s="232" t="str">
        <f>IF($AX172="Yes",'8. Option Codes Decrypted'!$C$16,"")</f>
        <v/>
      </c>
      <c r="BB172" s="232" t="str">
        <f>IF($AX172="Yes",'8. Option Codes Decrypted'!$C$17,"")</f>
        <v/>
      </c>
      <c r="BC172" s="232" t="str">
        <f>IF($AX172="Yes",'8. Option Codes Decrypted'!$C$18,"")</f>
        <v/>
      </c>
      <c r="BD172" s="232" t="str">
        <f>IF($AY172="Yes",'8. Option Codes Decrypted'!$C$20,"")</f>
        <v/>
      </c>
      <c r="BE172" s="232" t="str">
        <f>IF($AY172="Yes",'8. Option Codes Decrypted'!$C$21,"")</f>
        <v/>
      </c>
      <c r="BF172" s="232" t="str">
        <f>IF($AY172="Yes",'8. Option Codes Decrypted'!$C$22,"")</f>
        <v/>
      </c>
      <c r="BG172" s="232" t="str">
        <f>IF($AY172="Yes",'8. Option Codes Decrypted'!$C$23,"")</f>
        <v/>
      </c>
    </row>
    <row r="173" spans="1:59" s="232" customFormat="1" x14ac:dyDescent="0.25">
      <c r="A173" s="232" t="str">
        <f t="shared" si="34"/>
        <v/>
      </c>
      <c r="B173" s="358" t="str">
        <f t="shared" si="39"/>
        <v>104-60040A</v>
      </c>
      <c r="C173" s="358" t="str">
        <f t="shared" si="40"/>
        <v/>
      </c>
      <c r="D173" s="358"/>
      <c r="E173" s="358">
        <f t="shared" si="32"/>
        <v>1</v>
      </c>
      <c r="F173" s="232" t="s">
        <v>426</v>
      </c>
      <c r="G173" s="241">
        <v>45216</v>
      </c>
      <c r="H173" s="256"/>
      <c r="I173" s="269"/>
      <c r="J173" s="244" t="s">
        <v>427</v>
      </c>
      <c r="K173" s="244" t="s">
        <v>778</v>
      </c>
      <c r="L173" s="250" t="s">
        <v>783</v>
      </c>
      <c r="M173" s="235" t="s">
        <v>444</v>
      </c>
      <c r="N173" s="235"/>
      <c r="O173" s="284"/>
      <c r="P173" s="284"/>
      <c r="Q173" s="284"/>
      <c r="R173" s="286" t="str">
        <f t="shared" si="33"/>
        <v>. Grille, UPPER KIDNEY GRILLE, RIGHT</v>
      </c>
      <c r="S173" s="286"/>
      <c r="T173" s="235"/>
      <c r="U173" s="250"/>
      <c r="V173" s="235"/>
      <c r="W173" s="250"/>
      <c r="X173" s="250"/>
      <c r="Y173" s="250"/>
      <c r="Z173" s="244" t="s">
        <v>864</v>
      </c>
      <c r="AA173" s="244"/>
      <c r="AB173" s="244"/>
      <c r="AC173" s="244" t="s">
        <v>449</v>
      </c>
      <c r="AD173" s="244"/>
      <c r="AE173" s="270">
        <v>75</v>
      </c>
      <c r="AF173" s="252" t="s">
        <v>434</v>
      </c>
      <c r="AG173" s="247"/>
      <c r="AH173" s="248" t="s">
        <v>435</v>
      </c>
      <c r="AI173" s="271"/>
      <c r="AJ173" s="249"/>
      <c r="AK173" s="252" t="s">
        <v>786</v>
      </c>
      <c r="AN173" s="233" t="s">
        <v>789</v>
      </c>
      <c r="AO173" s="232" t="s">
        <v>411</v>
      </c>
      <c r="AP173" s="272" t="s">
        <v>870</v>
      </c>
      <c r="AQ173" s="232" t="str">
        <f t="shared" si="38"/>
        <v>104-60040A</v>
      </c>
      <c r="AR173" s="232" t="s">
        <v>871</v>
      </c>
      <c r="AX173" s="250"/>
      <c r="AY173" s="250"/>
      <c r="AZ173" s="232" t="str">
        <f>IF($AX173="Yes",'8. Option Codes Decrypted'!$C$15,"")</f>
        <v/>
      </c>
      <c r="BA173" s="232" t="str">
        <f>IF($AX173="Yes",'8. Option Codes Decrypted'!$C$16,"")</f>
        <v/>
      </c>
      <c r="BB173" s="232" t="str">
        <f>IF($AX173="Yes",'8. Option Codes Decrypted'!$C$17,"")</f>
        <v/>
      </c>
      <c r="BC173" s="232" t="str">
        <f>IF($AX173="Yes",'8. Option Codes Decrypted'!$C$18,"")</f>
        <v/>
      </c>
      <c r="BD173" s="232" t="str">
        <f>IF($AY173="Yes",'8. Option Codes Decrypted'!$C$20,"")</f>
        <v/>
      </c>
      <c r="BE173" s="232" t="str">
        <f>IF($AY173="Yes",'8. Option Codes Decrypted'!$C$21,"")</f>
        <v/>
      </c>
      <c r="BF173" s="232" t="str">
        <f>IF($AY173="Yes",'8. Option Codes Decrypted'!$C$22,"")</f>
        <v/>
      </c>
      <c r="BG173" s="232" t="str">
        <f>IF($AY173="Yes",'8. Option Codes Decrypted'!$C$23,"")</f>
        <v/>
      </c>
    </row>
    <row r="174" spans="1:59" s="232" customFormat="1" x14ac:dyDescent="0.25">
      <c r="A174" s="232" t="str">
        <f t="shared" si="34"/>
        <v/>
      </c>
      <c r="B174" s="358" t="str">
        <f t="shared" si="39"/>
        <v>104-60041B</v>
      </c>
      <c r="C174" s="358" t="str">
        <f t="shared" si="40"/>
        <v/>
      </c>
      <c r="D174" s="358"/>
      <c r="E174" s="358">
        <f t="shared" si="32"/>
        <v>2</v>
      </c>
      <c r="F174" s="232" t="s">
        <v>426</v>
      </c>
      <c r="G174" s="241">
        <v>45216</v>
      </c>
      <c r="H174" s="256"/>
      <c r="I174" s="269"/>
      <c r="J174" s="244" t="s">
        <v>427</v>
      </c>
      <c r="K174" s="244" t="s">
        <v>778</v>
      </c>
      <c r="L174" s="250" t="s">
        <v>783</v>
      </c>
      <c r="M174" s="235" t="s">
        <v>444</v>
      </c>
      <c r="N174" s="235"/>
      <c r="O174" s="284"/>
      <c r="P174" s="284"/>
      <c r="Q174" s="284"/>
      <c r="R174" s="286" t="str">
        <f t="shared" si="33"/>
        <v>. Grille, UPPER KIDNEY GRILLE SET2</v>
      </c>
      <c r="S174" s="286"/>
      <c r="T174" s="235"/>
      <c r="U174" s="250"/>
      <c r="V174" s="235"/>
      <c r="W174" s="250"/>
      <c r="X174" s="250"/>
      <c r="Y174" s="250"/>
      <c r="Z174" s="244" t="s">
        <v>857</v>
      </c>
      <c r="AA174" s="244" t="s">
        <v>806</v>
      </c>
      <c r="AB174" s="244"/>
      <c r="AC174" s="244" t="s">
        <v>439</v>
      </c>
      <c r="AD174" s="244" t="s">
        <v>858</v>
      </c>
      <c r="AE174" s="270">
        <v>150</v>
      </c>
      <c r="AF174" s="252" t="s">
        <v>434</v>
      </c>
      <c r="AG174" s="247"/>
      <c r="AH174" s="248" t="s">
        <v>435</v>
      </c>
      <c r="AI174" s="271"/>
      <c r="AJ174" s="249"/>
      <c r="AK174" s="252" t="s">
        <v>786</v>
      </c>
      <c r="AN174" s="233" t="s">
        <v>789</v>
      </c>
      <c r="AO174" s="232" t="s">
        <v>411</v>
      </c>
      <c r="AP174" s="272" t="s">
        <v>872</v>
      </c>
      <c r="AQ174" s="232" t="str">
        <f t="shared" si="38"/>
        <v>104-60041B</v>
      </c>
      <c r="AR174" s="232" t="s">
        <v>873</v>
      </c>
      <c r="AX174" s="250"/>
      <c r="AY174" s="250"/>
      <c r="AZ174" s="232" t="str">
        <f>IF($AX174="Yes",'8. Option Codes Decrypted'!$C$15,"")</f>
        <v/>
      </c>
      <c r="BA174" s="232" t="str">
        <f>IF($AX174="Yes",'8. Option Codes Decrypted'!$C$16,"")</f>
        <v/>
      </c>
      <c r="BB174" s="232" t="str">
        <f>IF($AX174="Yes",'8. Option Codes Decrypted'!$C$17,"")</f>
        <v/>
      </c>
      <c r="BC174" s="232" t="str">
        <f>IF($AX174="Yes",'8. Option Codes Decrypted'!$C$18,"")</f>
        <v/>
      </c>
      <c r="BD174" s="232" t="str">
        <f>IF($AY174="Yes",'8. Option Codes Decrypted'!$C$20,"")</f>
        <v/>
      </c>
      <c r="BE174" s="232" t="str">
        <f>IF($AY174="Yes",'8. Option Codes Decrypted'!$C$21,"")</f>
        <v/>
      </c>
      <c r="BF174" s="232" t="str">
        <f>IF($AY174="Yes",'8. Option Codes Decrypted'!$C$22,"")</f>
        <v/>
      </c>
      <c r="BG174" s="232" t="str">
        <f>IF($AY174="Yes",'8. Option Codes Decrypted'!$C$23,"")</f>
        <v/>
      </c>
    </row>
    <row r="175" spans="1:59" s="232" customFormat="1" x14ac:dyDescent="0.25">
      <c r="A175" s="232" t="str">
        <f t="shared" si="34"/>
        <v/>
      </c>
      <c r="B175" s="358" t="str">
        <f t="shared" si="39"/>
        <v>104-60041B</v>
      </c>
      <c r="C175" s="358" t="str">
        <f t="shared" si="40"/>
        <v/>
      </c>
      <c r="D175" s="358"/>
      <c r="E175" s="358">
        <f t="shared" si="32"/>
        <v>2</v>
      </c>
      <c r="F175" s="232" t="s">
        <v>426</v>
      </c>
      <c r="G175" s="241">
        <v>45216</v>
      </c>
      <c r="H175" s="256"/>
      <c r="I175" s="269"/>
      <c r="J175" s="244" t="s">
        <v>427</v>
      </c>
      <c r="K175" s="244" t="s">
        <v>778</v>
      </c>
      <c r="L175" s="250" t="s">
        <v>783</v>
      </c>
      <c r="M175" s="235" t="s">
        <v>444</v>
      </c>
      <c r="N175" s="235"/>
      <c r="O175" s="284"/>
      <c r="P175" s="284"/>
      <c r="Q175" s="284"/>
      <c r="R175" s="286" t="str">
        <f t="shared" si="33"/>
        <v>. Grille, UPPER KIDNEY GRILLE, LEFT</v>
      </c>
      <c r="S175" s="286"/>
      <c r="T175" s="235"/>
      <c r="U175" s="250"/>
      <c r="V175" s="235"/>
      <c r="W175" s="250"/>
      <c r="X175" s="250"/>
      <c r="Y175" s="250"/>
      <c r="Z175" s="244" t="s">
        <v>862</v>
      </c>
      <c r="AA175" s="244"/>
      <c r="AB175" s="244"/>
      <c r="AC175" s="244" t="s">
        <v>449</v>
      </c>
      <c r="AD175" s="244"/>
      <c r="AE175" s="270">
        <v>75</v>
      </c>
      <c r="AF175" s="252" t="s">
        <v>434</v>
      </c>
      <c r="AG175" s="247"/>
      <c r="AH175" s="248" t="s">
        <v>435</v>
      </c>
      <c r="AI175" s="271"/>
      <c r="AJ175" s="249"/>
      <c r="AK175" s="252" t="s">
        <v>786</v>
      </c>
      <c r="AN175" s="233" t="s">
        <v>789</v>
      </c>
      <c r="AO175" s="232" t="s">
        <v>411</v>
      </c>
      <c r="AP175" s="272" t="s">
        <v>872</v>
      </c>
      <c r="AQ175" s="232" t="str">
        <f t="shared" si="38"/>
        <v>104-60041B</v>
      </c>
      <c r="AR175" s="232" t="s">
        <v>874</v>
      </c>
      <c r="AX175" s="250"/>
      <c r="AY175" s="250"/>
      <c r="AZ175" s="232" t="str">
        <f>IF($AX175="Yes",'8. Option Codes Decrypted'!$C$15,"")</f>
        <v/>
      </c>
      <c r="BA175" s="232" t="str">
        <f>IF($AX175="Yes",'8. Option Codes Decrypted'!$C$16,"")</f>
        <v/>
      </c>
      <c r="BB175" s="232" t="str">
        <f>IF($AX175="Yes",'8. Option Codes Decrypted'!$C$17,"")</f>
        <v/>
      </c>
      <c r="BC175" s="232" t="str">
        <f>IF($AX175="Yes",'8. Option Codes Decrypted'!$C$18,"")</f>
        <v/>
      </c>
      <c r="BD175" s="232" t="str">
        <f>IF($AY175="Yes",'8. Option Codes Decrypted'!$C$20,"")</f>
        <v/>
      </c>
      <c r="BE175" s="232" t="str">
        <f>IF($AY175="Yes",'8. Option Codes Decrypted'!$C$21,"")</f>
        <v/>
      </c>
      <c r="BF175" s="232" t="str">
        <f>IF($AY175="Yes",'8. Option Codes Decrypted'!$C$22,"")</f>
        <v/>
      </c>
      <c r="BG175" s="232" t="str">
        <f>IF($AY175="Yes",'8. Option Codes Decrypted'!$C$23,"")</f>
        <v/>
      </c>
    </row>
    <row r="176" spans="1:59" s="232" customFormat="1" x14ac:dyDescent="0.25">
      <c r="A176" s="232" t="str">
        <f t="shared" si="34"/>
        <v/>
      </c>
      <c r="B176" s="358" t="str">
        <f t="shared" si="39"/>
        <v>104-60040B</v>
      </c>
      <c r="C176" s="358" t="str">
        <f t="shared" si="40"/>
        <v/>
      </c>
      <c r="D176" s="358"/>
      <c r="E176" s="358">
        <f t="shared" si="32"/>
        <v>1</v>
      </c>
      <c r="F176" s="232" t="s">
        <v>426</v>
      </c>
      <c r="G176" s="241">
        <v>45216</v>
      </c>
      <c r="H176" s="256"/>
      <c r="I176" s="269"/>
      <c r="J176" s="244" t="s">
        <v>427</v>
      </c>
      <c r="K176" s="244" t="s">
        <v>778</v>
      </c>
      <c r="L176" s="250" t="s">
        <v>783</v>
      </c>
      <c r="M176" s="235" t="s">
        <v>444</v>
      </c>
      <c r="N176" s="235"/>
      <c r="O176" s="284"/>
      <c r="P176" s="284"/>
      <c r="Q176" s="284"/>
      <c r="R176" s="286" t="str">
        <f t="shared" si="33"/>
        <v>. Grille, UPPER KIDNEY GRILLE, RIGHT</v>
      </c>
      <c r="S176" s="286"/>
      <c r="T176" s="235"/>
      <c r="U176" s="250"/>
      <c r="V176" s="235"/>
      <c r="W176" s="250"/>
      <c r="X176" s="250"/>
      <c r="Y176" s="250"/>
      <c r="Z176" s="244" t="s">
        <v>864</v>
      </c>
      <c r="AA176" s="244"/>
      <c r="AB176" s="244"/>
      <c r="AC176" s="244" t="s">
        <v>449</v>
      </c>
      <c r="AD176" s="244"/>
      <c r="AE176" s="270">
        <v>75</v>
      </c>
      <c r="AF176" s="252" t="s">
        <v>434</v>
      </c>
      <c r="AG176" s="247"/>
      <c r="AH176" s="248" t="s">
        <v>435</v>
      </c>
      <c r="AI176" s="271"/>
      <c r="AJ176" s="249"/>
      <c r="AK176" s="252" t="s">
        <v>786</v>
      </c>
      <c r="AN176" s="233" t="s">
        <v>789</v>
      </c>
      <c r="AO176" s="232" t="s">
        <v>411</v>
      </c>
      <c r="AP176" s="272" t="s">
        <v>875</v>
      </c>
      <c r="AQ176" s="232" t="str">
        <f t="shared" si="38"/>
        <v>104-60040B</v>
      </c>
      <c r="AR176" s="232" t="s">
        <v>876</v>
      </c>
      <c r="AX176" s="250"/>
      <c r="AY176" s="250"/>
      <c r="AZ176" s="232" t="str">
        <f>IF($AX176="Yes",'8. Option Codes Decrypted'!$C$15,"")</f>
        <v/>
      </c>
      <c r="BA176" s="232" t="str">
        <f>IF($AX176="Yes",'8. Option Codes Decrypted'!$C$16,"")</f>
        <v/>
      </c>
      <c r="BB176" s="232" t="str">
        <f>IF($AX176="Yes",'8. Option Codes Decrypted'!$C$17,"")</f>
        <v/>
      </c>
      <c r="BC176" s="232" t="str">
        <f>IF($AX176="Yes",'8. Option Codes Decrypted'!$C$18,"")</f>
        <v/>
      </c>
      <c r="BD176" s="232" t="str">
        <f>IF($AY176="Yes",'8. Option Codes Decrypted'!$C$20,"")</f>
        <v/>
      </c>
      <c r="BE176" s="232" t="str">
        <f>IF($AY176="Yes",'8. Option Codes Decrypted'!$C$21,"")</f>
        <v/>
      </c>
      <c r="BF176" s="232" t="str">
        <f>IF($AY176="Yes",'8. Option Codes Decrypted'!$C$22,"")</f>
        <v/>
      </c>
      <c r="BG176" s="232" t="str">
        <f>IF($AY176="Yes",'8. Option Codes Decrypted'!$C$23,"")</f>
        <v/>
      </c>
    </row>
    <row r="177" spans="1:60" s="232" customFormat="1" x14ac:dyDescent="0.25">
      <c r="A177" s="232" t="str">
        <f t="shared" si="34"/>
        <v/>
      </c>
      <c r="B177" s="358" t="str">
        <f t="shared" si="39"/>
        <v>104-60045</v>
      </c>
      <c r="C177" s="358" t="str">
        <f t="shared" si="40"/>
        <v/>
      </c>
      <c r="D177" s="358"/>
      <c r="E177" s="358">
        <f t="shared" si="32"/>
        <v>2</v>
      </c>
      <c r="F177" s="232" t="s">
        <v>426</v>
      </c>
      <c r="G177" s="241">
        <v>45216</v>
      </c>
      <c r="H177" s="256"/>
      <c r="I177" s="269"/>
      <c r="J177" s="244" t="s">
        <v>427</v>
      </c>
      <c r="K177" s="244" t="s">
        <v>778</v>
      </c>
      <c r="L177" s="250" t="s">
        <v>783</v>
      </c>
      <c r="M177" s="235" t="s">
        <v>444</v>
      </c>
      <c r="N177" s="235"/>
      <c r="O177" s="284"/>
      <c r="P177" s="284"/>
      <c r="Q177" s="284"/>
      <c r="R177" s="286" t="str">
        <f t="shared" si="33"/>
        <v>. Grille, UPPER KIDNEY GRILLE SET2</v>
      </c>
      <c r="S177" s="286"/>
      <c r="T177" s="235"/>
      <c r="U177" s="250"/>
      <c r="V177" s="235"/>
      <c r="W177" s="250"/>
      <c r="X177" s="250"/>
      <c r="Y177" s="250"/>
      <c r="Z177" s="244" t="s">
        <v>857</v>
      </c>
      <c r="AA177" s="244" t="s">
        <v>806</v>
      </c>
      <c r="AB177" s="244"/>
      <c r="AC177" s="244" t="s">
        <v>439</v>
      </c>
      <c r="AD177" s="244" t="s">
        <v>858</v>
      </c>
      <c r="AE177" s="270">
        <v>125</v>
      </c>
      <c r="AF177" s="252" t="s">
        <v>434</v>
      </c>
      <c r="AG177" s="247"/>
      <c r="AH177" s="248" t="s">
        <v>435</v>
      </c>
      <c r="AI177" s="271"/>
      <c r="AJ177" s="249"/>
      <c r="AK177" s="252" t="s">
        <v>786</v>
      </c>
      <c r="AN177" s="233" t="s">
        <v>789</v>
      </c>
      <c r="AO177" s="232" t="s">
        <v>411</v>
      </c>
      <c r="AP177" s="272">
        <v>60045</v>
      </c>
      <c r="AQ177" s="232" t="str">
        <f t="shared" ref="AQ177:AQ184" si="41">CONCATENATE(AN177,AO177,AP177)</f>
        <v>104-60045</v>
      </c>
      <c r="AR177" s="232" t="s">
        <v>877</v>
      </c>
      <c r="AX177" s="250"/>
      <c r="AY177" s="250"/>
      <c r="AZ177" s="232" t="str">
        <f>IF($AX177="Yes",'8. Option Codes Decrypted'!$C$15,"")</f>
        <v/>
      </c>
      <c r="BA177" s="232" t="str">
        <f>IF($AX177="Yes",'8. Option Codes Decrypted'!$C$16,"")</f>
        <v/>
      </c>
      <c r="BB177" s="232" t="str">
        <f>IF($AX177="Yes",'8. Option Codes Decrypted'!$C$17,"")</f>
        <v/>
      </c>
      <c r="BC177" s="232" t="str">
        <f>IF($AX177="Yes",'8. Option Codes Decrypted'!$C$18,"")</f>
        <v/>
      </c>
      <c r="BD177" s="232" t="str">
        <f>IF($AY177="Yes",'8. Option Codes Decrypted'!$C$20,"")</f>
        <v/>
      </c>
      <c r="BE177" s="232" t="str">
        <f>IF($AY177="Yes",'8. Option Codes Decrypted'!$C$21,"")</f>
        <v/>
      </c>
      <c r="BF177" s="232" t="str">
        <f>IF($AY177="Yes",'8. Option Codes Decrypted'!$C$22,"")</f>
        <v/>
      </c>
      <c r="BG177" s="232" t="str">
        <f>IF($AY177="Yes",'8. Option Codes Decrypted'!$C$23,"")</f>
        <v/>
      </c>
    </row>
    <row r="178" spans="1:60" s="232" customFormat="1" x14ac:dyDescent="0.25">
      <c r="A178" s="232" t="str">
        <f t="shared" si="34"/>
        <v/>
      </c>
      <c r="B178" s="358" t="str">
        <f t="shared" si="39"/>
        <v>104-60045</v>
      </c>
      <c r="C178" s="358" t="str">
        <f t="shared" si="40"/>
        <v/>
      </c>
      <c r="D178" s="358"/>
      <c r="E178" s="358">
        <f t="shared" si="32"/>
        <v>2</v>
      </c>
      <c r="F178" s="232" t="s">
        <v>426</v>
      </c>
      <c r="G178" s="241">
        <v>45216</v>
      </c>
      <c r="H178" s="256"/>
      <c r="I178" s="269"/>
      <c r="J178" s="244" t="s">
        <v>427</v>
      </c>
      <c r="K178" s="244" t="s">
        <v>778</v>
      </c>
      <c r="L178" s="250" t="s">
        <v>783</v>
      </c>
      <c r="M178" s="235" t="s">
        <v>444</v>
      </c>
      <c r="N178" s="235"/>
      <c r="O178" s="284"/>
      <c r="P178" s="284"/>
      <c r="Q178" s="284"/>
      <c r="R178" s="286" t="str">
        <f t="shared" si="33"/>
        <v>. Grille, UPPER KIDNEY GRILLE, LEFT</v>
      </c>
      <c r="S178" s="286"/>
      <c r="T178" s="235"/>
      <c r="U178" s="250"/>
      <c r="V178" s="235"/>
      <c r="W178" s="250"/>
      <c r="X178" s="250"/>
      <c r="Y178" s="250"/>
      <c r="Z178" s="244" t="s">
        <v>862</v>
      </c>
      <c r="AA178" s="244"/>
      <c r="AB178" s="244"/>
      <c r="AC178" s="244" t="s">
        <v>449</v>
      </c>
      <c r="AD178" s="244"/>
      <c r="AE178" s="270">
        <v>75</v>
      </c>
      <c r="AF178" s="252" t="s">
        <v>434</v>
      </c>
      <c r="AG178" s="247"/>
      <c r="AH178" s="248" t="s">
        <v>435</v>
      </c>
      <c r="AI178" s="271"/>
      <c r="AJ178" s="249"/>
      <c r="AK178" s="252" t="s">
        <v>786</v>
      </c>
      <c r="AN178" s="233" t="s">
        <v>789</v>
      </c>
      <c r="AO178" s="232" t="s">
        <v>411</v>
      </c>
      <c r="AP178" s="272">
        <v>60045</v>
      </c>
      <c r="AQ178" s="232" t="str">
        <f>CONCATENATE(AN178,AO178,AP178)</f>
        <v>104-60045</v>
      </c>
      <c r="AR178" s="232" t="s">
        <v>878</v>
      </c>
      <c r="AX178" s="250"/>
      <c r="AY178" s="250"/>
      <c r="AZ178" s="232" t="str">
        <f>IF($AX178="Yes",'8. Option Codes Decrypted'!$C$15,"")</f>
        <v/>
      </c>
      <c r="BA178" s="232" t="str">
        <f>IF($AX178="Yes",'8. Option Codes Decrypted'!$C$16,"")</f>
        <v/>
      </c>
      <c r="BB178" s="232" t="str">
        <f>IF($AX178="Yes",'8. Option Codes Decrypted'!$C$17,"")</f>
        <v/>
      </c>
      <c r="BC178" s="232" t="str">
        <f>IF($AX178="Yes",'8. Option Codes Decrypted'!$C$18,"")</f>
        <v/>
      </c>
      <c r="BD178" s="232" t="str">
        <f>IF($AY178="Yes",'8. Option Codes Decrypted'!$C$20,"")</f>
        <v/>
      </c>
      <c r="BE178" s="232" t="str">
        <f>IF($AY178="Yes",'8. Option Codes Decrypted'!$C$21,"")</f>
        <v/>
      </c>
      <c r="BF178" s="232" t="str">
        <f>IF($AY178="Yes",'8. Option Codes Decrypted'!$C$22,"")</f>
        <v/>
      </c>
      <c r="BG178" s="232" t="str">
        <f>IF($AY178="Yes",'8. Option Codes Decrypted'!$C$23,"")</f>
        <v/>
      </c>
    </row>
    <row r="179" spans="1:60" s="232" customFormat="1" x14ac:dyDescent="0.25">
      <c r="A179" s="232" t="str">
        <f t="shared" si="34"/>
        <v/>
      </c>
      <c r="B179" s="358" t="str">
        <f t="shared" si="39"/>
        <v>104-60044</v>
      </c>
      <c r="C179" s="358" t="str">
        <f t="shared" si="40"/>
        <v/>
      </c>
      <c r="D179" s="358"/>
      <c r="E179" s="358">
        <f t="shared" si="32"/>
        <v>1</v>
      </c>
      <c r="F179" s="232" t="s">
        <v>426</v>
      </c>
      <c r="G179" s="241">
        <v>45216</v>
      </c>
      <c r="H179" s="256"/>
      <c r="I179" s="269"/>
      <c r="J179" s="244" t="s">
        <v>427</v>
      </c>
      <c r="K179" s="244" t="s">
        <v>778</v>
      </c>
      <c r="L179" s="250" t="s">
        <v>783</v>
      </c>
      <c r="M179" s="235" t="s">
        <v>444</v>
      </c>
      <c r="N179" s="235"/>
      <c r="O179" s="284"/>
      <c r="P179" s="284"/>
      <c r="Q179" s="284"/>
      <c r="R179" s="286" t="str">
        <f t="shared" si="33"/>
        <v>. Grille, UPPER KIDNEY GRILLE, RIGHT</v>
      </c>
      <c r="S179" s="286"/>
      <c r="T179" s="235"/>
      <c r="U179" s="250"/>
      <c r="V179" s="235"/>
      <c r="W179" s="250"/>
      <c r="X179" s="250"/>
      <c r="Y179" s="250"/>
      <c r="Z179" s="244" t="s">
        <v>864</v>
      </c>
      <c r="AA179" s="244"/>
      <c r="AB179" s="244"/>
      <c r="AC179" s="244" t="s">
        <v>449</v>
      </c>
      <c r="AD179" s="244"/>
      <c r="AE179" s="270">
        <v>75</v>
      </c>
      <c r="AF179" s="252" t="s">
        <v>434</v>
      </c>
      <c r="AG179" s="247"/>
      <c r="AH179" s="248" t="s">
        <v>435</v>
      </c>
      <c r="AI179" s="271"/>
      <c r="AJ179" s="249"/>
      <c r="AK179" s="252" t="s">
        <v>786</v>
      </c>
      <c r="AN179" s="233" t="s">
        <v>789</v>
      </c>
      <c r="AO179" s="232" t="s">
        <v>411</v>
      </c>
      <c r="AP179" s="272">
        <v>60044</v>
      </c>
      <c r="AQ179" s="232" t="str">
        <f t="shared" si="41"/>
        <v>104-60044</v>
      </c>
      <c r="AR179" s="232" t="s">
        <v>879</v>
      </c>
      <c r="AX179" s="250"/>
      <c r="AY179" s="250"/>
      <c r="AZ179" s="232" t="str">
        <f>IF($AX179="Yes",'8. Option Codes Decrypted'!$C$15,"")</f>
        <v/>
      </c>
      <c r="BA179" s="232" t="str">
        <f>IF($AX179="Yes",'8. Option Codes Decrypted'!$C$16,"")</f>
        <v/>
      </c>
      <c r="BB179" s="232" t="str">
        <f>IF($AX179="Yes",'8. Option Codes Decrypted'!$C$17,"")</f>
        <v/>
      </c>
      <c r="BC179" s="232" t="str">
        <f>IF($AX179="Yes",'8. Option Codes Decrypted'!$C$18,"")</f>
        <v/>
      </c>
      <c r="BD179" s="232" t="str">
        <f>IF($AY179="Yes",'8. Option Codes Decrypted'!$C$20,"")</f>
        <v/>
      </c>
      <c r="BE179" s="232" t="str">
        <f>IF($AY179="Yes",'8. Option Codes Decrypted'!$C$21,"")</f>
        <v/>
      </c>
      <c r="BF179" s="232" t="str">
        <f>IF($AY179="Yes",'8. Option Codes Decrypted'!$C$22,"")</f>
        <v/>
      </c>
      <c r="BG179" s="232" t="str">
        <f>IF($AY179="Yes",'8. Option Codes Decrypted'!$C$23,"")</f>
        <v/>
      </c>
    </row>
    <row r="180" spans="1:60" s="232" customFormat="1" x14ac:dyDescent="0.25">
      <c r="A180" s="232" t="str">
        <f t="shared" si="34"/>
        <v/>
      </c>
      <c r="B180" s="358" t="str">
        <f t="shared" si="39"/>
        <v>104-60046C</v>
      </c>
      <c r="C180" s="358" t="str">
        <f t="shared" si="40"/>
        <v/>
      </c>
      <c r="D180" s="358"/>
      <c r="E180" s="358">
        <f t="shared" si="32"/>
        <v>2</v>
      </c>
      <c r="F180" s="232" t="s">
        <v>426</v>
      </c>
      <c r="G180" s="241">
        <v>45216</v>
      </c>
      <c r="H180" s="256"/>
      <c r="I180" s="269"/>
      <c r="J180" s="244" t="s">
        <v>427</v>
      </c>
      <c r="K180" s="244" t="s">
        <v>778</v>
      </c>
      <c r="L180" s="250" t="s">
        <v>783</v>
      </c>
      <c r="M180" s="235" t="s">
        <v>444</v>
      </c>
      <c r="N180" s="235"/>
      <c r="O180" s="284"/>
      <c r="P180" s="284"/>
      <c r="Q180" s="284"/>
      <c r="R180" s="286" t="str">
        <f t="shared" si="33"/>
        <v>. Grille, UPPER KIDNEY GRILLE SET2</v>
      </c>
      <c r="S180" s="286"/>
      <c r="T180" s="235"/>
      <c r="U180" s="250"/>
      <c r="V180" s="235"/>
      <c r="W180" s="250"/>
      <c r="X180" s="250"/>
      <c r="Y180" s="250"/>
      <c r="Z180" s="244" t="s">
        <v>857</v>
      </c>
      <c r="AA180" s="244" t="s">
        <v>806</v>
      </c>
      <c r="AB180" s="244"/>
      <c r="AC180" s="244" t="s">
        <v>439</v>
      </c>
      <c r="AD180" s="244" t="s">
        <v>858</v>
      </c>
      <c r="AE180" s="270">
        <v>125</v>
      </c>
      <c r="AF180" s="252" t="s">
        <v>434</v>
      </c>
      <c r="AG180" s="247"/>
      <c r="AH180" s="248" t="s">
        <v>435</v>
      </c>
      <c r="AI180" s="271"/>
      <c r="AJ180" s="249"/>
      <c r="AK180" s="252" t="s">
        <v>786</v>
      </c>
      <c r="AN180" s="233" t="s">
        <v>789</v>
      </c>
      <c r="AO180" s="232" t="s">
        <v>411</v>
      </c>
      <c r="AP180" s="272" t="s">
        <v>880</v>
      </c>
      <c r="AQ180" s="232" t="str">
        <f t="shared" si="41"/>
        <v>104-60046C</v>
      </c>
      <c r="AR180" s="232" t="s">
        <v>881</v>
      </c>
      <c r="AX180" s="250"/>
      <c r="AY180" s="250"/>
      <c r="AZ180" s="232" t="str">
        <f>IF($AX180="Yes",'8. Option Codes Decrypted'!$C$15,"")</f>
        <v/>
      </c>
      <c r="BA180" s="232" t="str">
        <f>IF($AX180="Yes",'8. Option Codes Decrypted'!$C$16,"")</f>
        <v/>
      </c>
      <c r="BB180" s="232" t="str">
        <f>IF($AX180="Yes",'8. Option Codes Decrypted'!$C$17,"")</f>
        <v/>
      </c>
      <c r="BC180" s="232" t="str">
        <f>IF($AX180="Yes",'8. Option Codes Decrypted'!$C$18,"")</f>
        <v/>
      </c>
      <c r="BD180" s="232" t="str">
        <f>IF($AY180="Yes",'8. Option Codes Decrypted'!$C$20,"")</f>
        <v/>
      </c>
      <c r="BE180" s="232" t="str">
        <f>IF($AY180="Yes",'8. Option Codes Decrypted'!$C$21,"")</f>
        <v/>
      </c>
      <c r="BF180" s="232" t="str">
        <f>IF($AY180="Yes",'8. Option Codes Decrypted'!$C$22,"")</f>
        <v/>
      </c>
      <c r="BG180" s="232" t="str">
        <f>IF($AY180="Yes",'8. Option Codes Decrypted'!$C$23,"")</f>
        <v/>
      </c>
    </row>
    <row r="181" spans="1:60" s="232" customFormat="1" x14ac:dyDescent="0.25">
      <c r="A181" s="232" t="str">
        <f t="shared" si="34"/>
        <v/>
      </c>
      <c r="B181" s="358" t="str">
        <f t="shared" si="39"/>
        <v>104-60046C</v>
      </c>
      <c r="C181" s="358" t="str">
        <f t="shared" si="40"/>
        <v/>
      </c>
      <c r="D181" s="358"/>
      <c r="E181" s="358">
        <f t="shared" si="32"/>
        <v>2</v>
      </c>
      <c r="F181" s="232" t="s">
        <v>426</v>
      </c>
      <c r="G181" s="241">
        <v>45216</v>
      </c>
      <c r="H181" s="256"/>
      <c r="I181" s="269"/>
      <c r="J181" s="244" t="s">
        <v>427</v>
      </c>
      <c r="K181" s="244" t="s">
        <v>778</v>
      </c>
      <c r="L181" s="250" t="s">
        <v>783</v>
      </c>
      <c r="M181" s="235" t="s">
        <v>444</v>
      </c>
      <c r="N181" s="235"/>
      <c r="O181" s="284"/>
      <c r="P181" s="284"/>
      <c r="Q181" s="284"/>
      <c r="R181" s="286" t="str">
        <f t="shared" si="33"/>
        <v>. Grille, UPPER KIDNEY GRILLE, LEFT</v>
      </c>
      <c r="S181" s="286"/>
      <c r="T181" s="235"/>
      <c r="U181" s="250"/>
      <c r="V181" s="235"/>
      <c r="W181" s="250"/>
      <c r="X181" s="250"/>
      <c r="Y181" s="250"/>
      <c r="Z181" s="244" t="s">
        <v>862</v>
      </c>
      <c r="AA181" s="244"/>
      <c r="AB181" s="244"/>
      <c r="AC181" s="244" t="s">
        <v>449</v>
      </c>
      <c r="AD181" s="244"/>
      <c r="AE181" s="270">
        <v>75</v>
      </c>
      <c r="AF181" s="252" t="s">
        <v>434</v>
      </c>
      <c r="AG181" s="247"/>
      <c r="AH181" s="248" t="s">
        <v>435</v>
      </c>
      <c r="AI181" s="271"/>
      <c r="AJ181" s="249"/>
      <c r="AK181" s="252" t="s">
        <v>786</v>
      </c>
      <c r="AN181" s="233" t="s">
        <v>789</v>
      </c>
      <c r="AO181" s="232" t="s">
        <v>411</v>
      </c>
      <c r="AP181" s="272" t="s">
        <v>880</v>
      </c>
      <c r="AQ181" s="232" t="str">
        <f>CONCATENATE(AN181,AO181,AP181)</f>
        <v>104-60046C</v>
      </c>
      <c r="AR181" s="232" t="s">
        <v>882</v>
      </c>
      <c r="AX181" s="250"/>
      <c r="AY181" s="250"/>
      <c r="AZ181" s="232" t="str">
        <f>IF($AX181="Yes",'8. Option Codes Decrypted'!$C$15,"")</f>
        <v/>
      </c>
      <c r="BA181" s="232" t="str">
        <f>IF($AX181="Yes",'8. Option Codes Decrypted'!$C$16,"")</f>
        <v/>
      </c>
      <c r="BB181" s="232" t="str">
        <f>IF($AX181="Yes",'8. Option Codes Decrypted'!$C$17,"")</f>
        <v/>
      </c>
      <c r="BC181" s="232" t="str">
        <f>IF($AX181="Yes",'8. Option Codes Decrypted'!$C$18,"")</f>
        <v/>
      </c>
      <c r="BD181" s="232" t="str">
        <f>IF($AY181="Yes",'8. Option Codes Decrypted'!$C$20,"")</f>
        <v/>
      </c>
      <c r="BE181" s="232" t="str">
        <f>IF($AY181="Yes",'8. Option Codes Decrypted'!$C$21,"")</f>
        <v/>
      </c>
      <c r="BF181" s="232" t="str">
        <f>IF($AY181="Yes",'8. Option Codes Decrypted'!$C$22,"")</f>
        <v/>
      </c>
      <c r="BG181" s="232" t="str">
        <f>IF($AY181="Yes",'8. Option Codes Decrypted'!$C$23,"")</f>
        <v/>
      </c>
    </row>
    <row r="182" spans="1:60" s="232" customFormat="1" x14ac:dyDescent="0.25">
      <c r="A182" s="232" t="str">
        <f t="shared" si="34"/>
        <v/>
      </c>
      <c r="B182" s="358" t="str">
        <f t="shared" si="39"/>
        <v>104-60046A</v>
      </c>
      <c r="C182" s="358" t="str">
        <f t="shared" si="40"/>
        <v/>
      </c>
      <c r="D182" s="358"/>
      <c r="E182" s="358">
        <f t="shared" si="32"/>
        <v>2</v>
      </c>
      <c r="F182" s="232" t="s">
        <v>426</v>
      </c>
      <c r="G182" s="241">
        <v>45216</v>
      </c>
      <c r="H182" s="256"/>
      <c r="I182" s="269"/>
      <c r="J182" s="244" t="s">
        <v>427</v>
      </c>
      <c r="K182" s="244" t="s">
        <v>778</v>
      </c>
      <c r="L182" s="250" t="s">
        <v>783</v>
      </c>
      <c r="M182" s="235" t="s">
        <v>444</v>
      </c>
      <c r="N182" s="235"/>
      <c r="O182" s="284"/>
      <c r="P182" s="284"/>
      <c r="Q182" s="284"/>
      <c r="R182" s="286" t="str">
        <f t="shared" si="33"/>
        <v>. Grille, UPPER KIDNEY GRILLE SET2</v>
      </c>
      <c r="S182" s="286"/>
      <c r="T182" s="235"/>
      <c r="U182" s="250"/>
      <c r="V182" s="235"/>
      <c r="W182" s="250"/>
      <c r="X182" s="250"/>
      <c r="Y182" s="250"/>
      <c r="Z182" s="244" t="s">
        <v>857</v>
      </c>
      <c r="AA182" s="244" t="s">
        <v>806</v>
      </c>
      <c r="AB182" s="244"/>
      <c r="AC182" s="244" t="s">
        <v>439</v>
      </c>
      <c r="AD182" s="244" t="s">
        <v>858</v>
      </c>
      <c r="AE182" s="270">
        <v>125</v>
      </c>
      <c r="AF182" s="252" t="s">
        <v>434</v>
      </c>
      <c r="AG182" s="247"/>
      <c r="AH182" s="248" t="s">
        <v>435</v>
      </c>
      <c r="AI182" s="271"/>
      <c r="AJ182" s="249"/>
      <c r="AK182" s="252" t="s">
        <v>786</v>
      </c>
      <c r="AN182" s="233" t="s">
        <v>789</v>
      </c>
      <c r="AO182" s="232" t="s">
        <v>411</v>
      </c>
      <c r="AP182" s="272" t="s">
        <v>883</v>
      </c>
      <c r="AQ182" s="232" t="str">
        <f t="shared" si="41"/>
        <v>104-60046A</v>
      </c>
      <c r="AR182" s="232" t="s">
        <v>884</v>
      </c>
      <c r="AX182" s="250"/>
      <c r="AY182" s="250"/>
      <c r="AZ182" s="232" t="str">
        <f>IF($AX182="Yes",'8. Option Codes Decrypted'!$C$15,"")</f>
        <v/>
      </c>
      <c r="BA182" s="232" t="str">
        <f>IF($AX182="Yes",'8. Option Codes Decrypted'!$C$16,"")</f>
        <v/>
      </c>
      <c r="BB182" s="232" t="str">
        <f>IF($AX182="Yes",'8. Option Codes Decrypted'!$C$17,"")</f>
        <v/>
      </c>
      <c r="BC182" s="232" t="str">
        <f>IF($AX182="Yes",'8. Option Codes Decrypted'!$C$18,"")</f>
        <v/>
      </c>
      <c r="BD182" s="232" t="str">
        <f>IF($AY182="Yes",'8. Option Codes Decrypted'!$C$20,"")</f>
        <v/>
      </c>
      <c r="BE182" s="232" t="str">
        <f>IF($AY182="Yes",'8. Option Codes Decrypted'!$C$21,"")</f>
        <v/>
      </c>
      <c r="BF182" s="232" t="str">
        <f>IF($AY182="Yes",'8. Option Codes Decrypted'!$C$22,"")</f>
        <v/>
      </c>
      <c r="BG182" s="232" t="str">
        <f>IF($AY182="Yes",'8. Option Codes Decrypted'!$C$23,"")</f>
        <v/>
      </c>
    </row>
    <row r="183" spans="1:60" s="232" customFormat="1" x14ac:dyDescent="0.25">
      <c r="A183" s="232" t="str">
        <f t="shared" si="34"/>
        <v/>
      </c>
      <c r="B183" s="358" t="str">
        <f t="shared" si="39"/>
        <v>104-60046A</v>
      </c>
      <c r="C183" s="358" t="str">
        <f t="shared" si="40"/>
        <v/>
      </c>
      <c r="D183" s="358"/>
      <c r="E183" s="358">
        <f t="shared" si="32"/>
        <v>2</v>
      </c>
      <c r="F183" s="232" t="s">
        <v>426</v>
      </c>
      <c r="G183" s="241">
        <v>45216</v>
      </c>
      <c r="H183" s="256"/>
      <c r="I183" s="269"/>
      <c r="J183" s="244" t="s">
        <v>427</v>
      </c>
      <c r="K183" s="244" t="s">
        <v>778</v>
      </c>
      <c r="L183" s="250" t="s">
        <v>783</v>
      </c>
      <c r="M183" s="235" t="s">
        <v>444</v>
      </c>
      <c r="N183" s="235"/>
      <c r="O183" s="284"/>
      <c r="P183" s="284"/>
      <c r="Q183" s="284"/>
      <c r="R183" s="286" t="str">
        <f t="shared" si="33"/>
        <v>. Grille, UPPER KIDNEY GRILLE, LEFT</v>
      </c>
      <c r="S183" s="286"/>
      <c r="T183" s="235"/>
      <c r="U183" s="250"/>
      <c r="V183" s="235"/>
      <c r="W183" s="250"/>
      <c r="X183" s="250"/>
      <c r="Y183" s="250"/>
      <c r="Z183" s="244" t="s">
        <v>862</v>
      </c>
      <c r="AA183" s="244"/>
      <c r="AB183" s="244"/>
      <c r="AC183" s="244" t="s">
        <v>449</v>
      </c>
      <c r="AD183" s="244"/>
      <c r="AE183" s="270">
        <v>75</v>
      </c>
      <c r="AF183" s="252" t="s">
        <v>434</v>
      </c>
      <c r="AG183" s="247"/>
      <c r="AH183" s="248" t="s">
        <v>435</v>
      </c>
      <c r="AI183" s="271"/>
      <c r="AJ183" s="249"/>
      <c r="AK183" s="252" t="s">
        <v>786</v>
      </c>
      <c r="AN183" s="233" t="s">
        <v>789</v>
      </c>
      <c r="AO183" s="232" t="s">
        <v>411</v>
      </c>
      <c r="AP183" s="272" t="s">
        <v>883</v>
      </c>
      <c r="AQ183" s="232" t="str">
        <f>CONCATENATE(AN183,AO183,AP183)</f>
        <v>104-60046A</v>
      </c>
      <c r="AR183" s="232" t="s">
        <v>885</v>
      </c>
      <c r="AX183" s="250"/>
      <c r="AY183" s="250"/>
      <c r="AZ183" s="232" t="str">
        <f>IF($AX183="Yes",'8. Option Codes Decrypted'!$C$15,"")</f>
        <v/>
      </c>
      <c r="BA183" s="232" t="str">
        <f>IF($AX183="Yes",'8. Option Codes Decrypted'!$C$16,"")</f>
        <v/>
      </c>
      <c r="BB183" s="232" t="str">
        <f>IF($AX183="Yes",'8. Option Codes Decrypted'!$C$17,"")</f>
        <v/>
      </c>
      <c r="BC183" s="232" t="str">
        <f>IF($AX183="Yes",'8. Option Codes Decrypted'!$C$18,"")</f>
        <v/>
      </c>
      <c r="BD183" s="232" t="str">
        <f>IF($AY183="Yes",'8. Option Codes Decrypted'!$C$20,"")</f>
        <v/>
      </c>
      <c r="BE183" s="232" t="str">
        <f>IF($AY183="Yes",'8. Option Codes Decrypted'!$C$21,"")</f>
        <v/>
      </c>
      <c r="BF183" s="232" t="str">
        <f>IF($AY183="Yes",'8. Option Codes Decrypted'!$C$22,"")</f>
        <v/>
      </c>
      <c r="BG183" s="232" t="str">
        <f>IF($AY183="Yes",'8. Option Codes Decrypted'!$C$23,"")</f>
        <v/>
      </c>
    </row>
    <row r="184" spans="1:60" s="232" customFormat="1" x14ac:dyDescent="0.25">
      <c r="A184" s="232" t="str">
        <f t="shared" si="34"/>
        <v/>
      </c>
      <c r="B184" s="358" t="str">
        <f t="shared" si="39"/>
        <v>104-60046B</v>
      </c>
      <c r="C184" s="358" t="str">
        <f t="shared" si="40"/>
        <v/>
      </c>
      <c r="D184" s="358"/>
      <c r="E184" s="358">
        <f t="shared" si="32"/>
        <v>2</v>
      </c>
      <c r="F184" s="232" t="s">
        <v>426</v>
      </c>
      <c r="G184" s="241">
        <v>45216</v>
      </c>
      <c r="H184" s="256"/>
      <c r="I184" s="269"/>
      <c r="J184" s="244" t="s">
        <v>427</v>
      </c>
      <c r="K184" s="244" t="s">
        <v>778</v>
      </c>
      <c r="L184" s="250" t="s">
        <v>783</v>
      </c>
      <c r="M184" s="235" t="s">
        <v>444</v>
      </c>
      <c r="N184" s="235"/>
      <c r="O184" s="284"/>
      <c r="P184" s="284"/>
      <c r="Q184" s="284"/>
      <c r="R184" s="286" t="str">
        <f t="shared" si="33"/>
        <v>. Grille, UPPER KIDNEY GRILLE SET2</v>
      </c>
      <c r="S184" s="286"/>
      <c r="T184" s="235"/>
      <c r="U184" s="250"/>
      <c r="V184" s="235"/>
      <c r="W184" s="250"/>
      <c r="X184" s="250"/>
      <c r="Y184" s="250"/>
      <c r="Z184" s="244" t="s">
        <v>857</v>
      </c>
      <c r="AA184" s="244" t="s">
        <v>806</v>
      </c>
      <c r="AB184" s="244"/>
      <c r="AC184" s="244" t="s">
        <v>439</v>
      </c>
      <c r="AD184" s="244" t="s">
        <v>858</v>
      </c>
      <c r="AE184" s="270">
        <v>125</v>
      </c>
      <c r="AF184" s="252" t="s">
        <v>434</v>
      </c>
      <c r="AG184" s="247"/>
      <c r="AH184" s="248" t="s">
        <v>435</v>
      </c>
      <c r="AI184" s="271"/>
      <c r="AJ184" s="249"/>
      <c r="AK184" s="252" t="s">
        <v>786</v>
      </c>
      <c r="AN184" s="233" t="s">
        <v>789</v>
      </c>
      <c r="AO184" s="232" t="s">
        <v>411</v>
      </c>
      <c r="AP184" s="272" t="s">
        <v>886</v>
      </c>
      <c r="AQ184" s="232" t="str">
        <f t="shared" si="41"/>
        <v>104-60046B</v>
      </c>
      <c r="AR184" s="232" t="s">
        <v>887</v>
      </c>
      <c r="AX184" s="250"/>
      <c r="AY184" s="250"/>
      <c r="AZ184" s="232" t="str">
        <f>IF($AX184="Yes",'8. Option Codes Decrypted'!$C$15,"")</f>
        <v/>
      </c>
      <c r="BA184" s="232" t="str">
        <f>IF($AX184="Yes",'8. Option Codes Decrypted'!$C$16,"")</f>
        <v/>
      </c>
      <c r="BB184" s="232" t="str">
        <f>IF($AX184="Yes",'8. Option Codes Decrypted'!$C$17,"")</f>
        <v/>
      </c>
      <c r="BC184" s="232" t="str">
        <f>IF($AX184="Yes",'8. Option Codes Decrypted'!$C$18,"")</f>
        <v/>
      </c>
      <c r="BD184" s="232" t="str">
        <f>IF($AY184="Yes",'8. Option Codes Decrypted'!$C$20,"")</f>
        <v/>
      </c>
      <c r="BE184" s="232" t="str">
        <f>IF($AY184="Yes",'8. Option Codes Decrypted'!$C$21,"")</f>
        <v/>
      </c>
      <c r="BF184" s="232" t="str">
        <f>IF($AY184="Yes",'8. Option Codes Decrypted'!$C$22,"")</f>
        <v/>
      </c>
      <c r="BG184" s="232" t="str">
        <f>IF($AY184="Yes",'8. Option Codes Decrypted'!$C$23,"")</f>
        <v/>
      </c>
    </row>
    <row r="185" spans="1:60" s="232" customFormat="1" ht="15.75" thickBot="1" x14ac:dyDescent="0.3">
      <c r="A185" s="232" t="str">
        <f t="shared" si="34"/>
        <v/>
      </c>
      <c r="B185" s="358" t="str">
        <f t="shared" si="39"/>
        <v>104-60046B</v>
      </c>
      <c r="C185" s="358" t="str">
        <f t="shared" si="40"/>
        <v/>
      </c>
      <c r="D185" s="358"/>
      <c r="E185" s="358">
        <f t="shared" si="32"/>
        <v>2</v>
      </c>
      <c r="F185" s="232" t="s">
        <v>426</v>
      </c>
      <c r="G185" s="241">
        <v>45216</v>
      </c>
      <c r="H185" s="256"/>
      <c r="I185" s="269"/>
      <c r="J185" s="244" t="s">
        <v>427</v>
      </c>
      <c r="K185" s="244" t="s">
        <v>778</v>
      </c>
      <c r="L185" s="250" t="s">
        <v>783</v>
      </c>
      <c r="M185" s="235" t="s">
        <v>444</v>
      </c>
      <c r="N185" s="235"/>
      <c r="O185" s="284"/>
      <c r="P185" s="284"/>
      <c r="Q185" s="284"/>
      <c r="R185" s="286" t="str">
        <f t="shared" si="33"/>
        <v>. Grille, UPPER KIDNEY GRILLE, LEFT</v>
      </c>
      <c r="S185" s="286"/>
      <c r="T185" s="235"/>
      <c r="U185" s="250"/>
      <c r="V185" s="235"/>
      <c r="W185" s="250"/>
      <c r="X185" s="250"/>
      <c r="Y185" s="250"/>
      <c r="Z185" s="244" t="s">
        <v>862</v>
      </c>
      <c r="AA185" s="244"/>
      <c r="AB185" s="244"/>
      <c r="AC185" s="244" t="s">
        <v>449</v>
      </c>
      <c r="AD185" s="244"/>
      <c r="AE185" s="270">
        <v>75</v>
      </c>
      <c r="AF185" s="252" t="s">
        <v>434</v>
      </c>
      <c r="AG185" s="247"/>
      <c r="AH185" s="248" t="s">
        <v>435</v>
      </c>
      <c r="AI185" s="271"/>
      <c r="AJ185" s="249"/>
      <c r="AK185" s="252" t="s">
        <v>786</v>
      </c>
      <c r="AN185" s="233" t="s">
        <v>789</v>
      </c>
      <c r="AO185" s="232" t="s">
        <v>411</v>
      </c>
      <c r="AP185" s="272" t="s">
        <v>886</v>
      </c>
      <c r="AQ185" s="232" t="str">
        <f>CONCATENATE(AN185,AO185,AP185)</f>
        <v>104-60046B</v>
      </c>
      <c r="AR185" s="232" t="s">
        <v>888</v>
      </c>
      <c r="AX185" s="250"/>
      <c r="AY185" s="250"/>
      <c r="AZ185" s="232" t="str">
        <f>IF($AX185="Yes",'8. Option Codes Decrypted'!$C$15,"")</f>
        <v/>
      </c>
      <c r="BA185" s="232" t="str">
        <f>IF($AX185="Yes",'8. Option Codes Decrypted'!$C$16,"")</f>
        <v/>
      </c>
      <c r="BB185" s="232" t="str">
        <f>IF($AX185="Yes",'8. Option Codes Decrypted'!$C$17,"")</f>
        <v/>
      </c>
      <c r="BC185" s="232" t="str">
        <f>IF($AX185="Yes",'8. Option Codes Decrypted'!$C$18,"")</f>
        <v/>
      </c>
      <c r="BD185" s="232" t="str">
        <f>IF($AY185="Yes",'8. Option Codes Decrypted'!$C$20,"")</f>
        <v/>
      </c>
      <c r="BE185" s="232" t="str">
        <f>IF($AY185="Yes",'8. Option Codes Decrypted'!$C$21,"")</f>
        <v/>
      </c>
      <c r="BF185" s="232" t="str">
        <f>IF($AY185="Yes",'8. Option Codes Decrypted'!$C$22,"")</f>
        <v/>
      </c>
      <c r="BG185" s="232" t="str">
        <f>IF($AY185="Yes",'8. Option Codes Decrypted'!$C$23,"")</f>
        <v/>
      </c>
    </row>
    <row r="186" spans="1:60" s="232" customFormat="1" ht="15.75" thickBot="1" x14ac:dyDescent="0.3">
      <c r="A186" s="232" t="str">
        <f t="shared" si="34"/>
        <v>A119</v>
      </c>
      <c r="B186" s="358" t="str">
        <f>IF(AQ186&lt;&gt;"",AQ186,"")</f>
        <v>177-999001</v>
      </c>
      <c r="C186" s="358" t="str">
        <f t="shared" si="40"/>
        <v/>
      </c>
      <c r="D186" s="358"/>
      <c r="E186" s="358">
        <f t="shared" si="32"/>
        <v>1</v>
      </c>
      <c r="F186" s="232" t="s">
        <v>426</v>
      </c>
      <c r="G186" s="241">
        <v>44670</v>
      </c>
      <c r="H186" s="242"/>
      <c r="I186" s="243" t="s">
        <v>441</v>
      </c>
      <c r="J186" s="244" t="s">
        <v>427</v>
      </c>
      <c r="K186" s="244" t="s">
        <v>778</v>
      </c>
      <c r="L186" s="244" t="s">
        <v>889</v>
      </c>
      <c r="M186" s="259" t="s">
        <v>458</v>
      </c>
      <c r="N186" s="259">
        <v>109</v>
      </c>
      <c r="O186" s="291" t="s">
        <v>363</v>
      </c>
      <c r="P186" s="291" t="s">
        <v>397</v>
      </c>
      <c r="Q186" s="291">
        <v>1</v>
      </c>
      <c r="R186" s="286" t="str">
        <f t="shared" si="33"/>
        <v>A119. Fuel Tank Door</v>
      </c>
      <c r="S186" s="365" t="str">
        <f>HYPERLINK(VLOOKUP(O186,'3D. Pictures'!$B$3:$E$500,4,FALSE),"PIC")</f>
        <v>PIC</v>
      </c>
      <c r="T186" s="259">
        <v>4</v>
      </c>
      <c r="U186" s="250" t="s">
        <v>890</v>
      </c>
      <c r="V186" s="259" t="s">
        <v>80</v>
      </c>
      <c r="W186" s="250" t="s">
        <v>2984</v>
      </c>
      <c r="X186" s="250"/>
      <c r="Y186" s="250"/>
      <c r="Z186" s="244" t="s">
        <v>889</v>
      </c>
      <c r="AA186" s="244" t="s">
        <v>891</v>
      </c>
      <c r="AB186" s="244"/>
      <c r="AC186" s="244" t="s">
        <v>449</v>
      </c>
      <c r="AD186" s="244"/>
      <c r="AE186" s="244">
        <v>65</v>
      </c>
      <c r="AF186" s="252" t="s">
        <v>434</v>
      </c>
      <c r="AG186" s="247"/>
      <c r="AH186" s="248" t="s">
        <v>435</v>
      </c>
      <c r="AJ186" s="249"/>
      <c r="AK186" s="232" t="s">
        <v>892</v>
      </c>
      <c r="AL186" s="232" t="s">
        <v>893</v>
      </c>
      <c r="AN186" s="233" t="s">
        <v>894</v>
      </c>
      <c r="AO186" s="232" t="s">
        <v>411</v>
      </c>
      <c r="AP186" s="232">
        <v>999001</v>
      </c>
      <c r="AQ186" s="232" t="str">
        <f>CONCATENATE(AN186,AO186,AP186)</f>
        <v>177-999001</v>
      </c>
      <c r="AX186" s="250" t="s">
        <v>80</v>
      </c>
      <c r="AY186" s="250"/>
      <c r="AZ186" s="232" t="str">
        <f>IF($AX186="Yes",'8. Option Codes Decrypted'!$C$15,"")</f>
        <v>Painted</v>
      </c>
      <c r="BA186" s="232" t="str">
        <f>IF($AX186="Yes",'8. Option Codes Decrypted'!$C$16,"")</f>
        <v>Brown</v>
      </c>
      <c r="BB186" s="232" t="str">
        <f>IF($AX186="Yes",'8. Option Codes Decrypted'!$C$17,"")</f>
        <v>Sparkling Brown Metallic</v>
      </c>
      <c r="BC186" s="232" t="str">
        <f>IF($AX186="Yes",'8. Option Codes Decrypted'!$C$18,"")</f>
        <v>B53</v>
      </c>
      <c r="BD186" s="232" t="str">
        <f>IF($AY186="Yes",'8. Option Codes Decrypted'!$C$20,"")</f>
        <v/>
      </c>
      <c r="BE186" s="232" t="str">
        <f>IF($AY186="Yes",'8. Option Codes Decrypted'!$C$21,"")</f>
        <v/>
      </c>
      <c r="BF186" s="232" t="str">
        <f>IF($AY186="Yes",'8. Option Codes Decrypted'!$C$22,"")</f>
        <v/>
      </c>
      <c r="BG186" s="232" t="str">
        <f>IF($AY186="Yes",'8. Option Codes Decrypted'!$C$23,"")</f>
        <v/>
      </c>
      <c r="BH186" s="232" t="str">
        <f>B186</f>
        <v>177-999001</v>
      </c>
    </row>
    <row r="187" spans="1:60" x14ac:dyDescent="0.25">
      <c r="A187" s="232" t="str">
        <f t="shared" si="34"/>
        <v/>
      </c>
      <c r="B187" s="358" t="str">
        <f t="shared" si="39"/>
        <v/>
      </c>
      <c r="C187" s="358" t="str">
        <f t="shared" si="40"/>
        <v/>
      </c>
      <c r="D187" s="358"/>
      <c r="E187" s="358" t="str">
        <f t="shared" si="32"/>
        <v/>
      </c>
      <c r="F187" t="s">
        <v>508</v>
      </c>
      <c r="G187" s="230">
        <v>44811</v>
      </c>
      <c r="H187" s="177"/>
      <c r="I187" s="188"/>
      <c r="J187" s="16" t="s">
        <v>427</v>
      </c>
      <c r="K187" s="16" t="s">
        <v>778</v>
      </c>
      <c r="L187" s="16" t="s">
        <v>895</v>
      </c>
      <c r="M187" s="16" t="s">
        <v>430</v>
      </c>
      <c r="N187" s="16"/>
      <c r="O187" s="191"/>
      <c r="P187" s="191"/>
      <c r="Q187" s="191"/>
      <c r="R187" s="286" t="str">
        <f t="shared" si="33"/>
        <v>. Headlight Washer Squirters &amp; Cover Caps SET2 (If  1 bad toss all)</v>
      </c>
      <c r="S187" s="286"/>
      <c r="T187" s="16"/>
      <c r="U187" s="16"/>
      <c r="V187" s="16"/>
      <c r="W187" s="16"/>
      <c r="X187" s="16"/>
      <c r="Y187" s="16"/>
      <c r="Z187" s="16" t="s">
        <v>895</v>
      </c>
      <c r="AA187" s="16" t="s">
        <v>895</v>
      </c>
      <c r="AB187" s="16" t="s">
        <v>896</v>
      </c>
      <c r="AC187" s="193" t="s">
        <v>439</v>
      </c>
      <c r="AD187" s="16"/>
      <c r="AE187" s="16">
        <v>75</v>
      </c>
      <c r="AF187" s="99" t="s">
        <v>434</v>
      </c>
      <c r="AH187" s="3" t="s">
        <v>435</v>
      </c>
      <c r="AJ187" s="69"/>
      <c r="AK187" t="s">
        <v>897</v>
      </c>
      <c r="AN187"/>
      <c r="AX187" s="16"/>
      <c r="AY187" s="16"/>
      <c r="AZ187" s="232" t="str">
        <f>IF($AX187="Yes",'8. Option Codes Decrypted'!$C$15,"")</f>
        <v/>
      </c>
      <c r="BA187" s="232" t="str">
        <f>IF($AX187="Yes",'8. Option Codes Decrypted'!$C$16,"")</f>
        <v/>
      </c>
      <c r="BB187" s="232" t="str">
        <f>IF($AX187="Yes",'8. Option Codes Decrypted'!$C$17,"")</f>
        <v/>
      </c>
      <c r="BC187" s="232" t="str">
        <f>IF($AX187="Yes",'8. Option Codes Decrypted'!$C$18,"")</f>
        <v/>
      </c>
      <c r="BD187" s="232" t="str">
        <f>IF($AY187="Yes",'8. Option Codes Decrypted'!$C$20,"")</f>
        <v/>
      </c>
      <c r="BE187" s="232" t="str">
        <f>IF($AY187="Yes",'8. Option Codes Decrypted'!$C$21,"")</f>
        <v/>
      </c>
      <c r="BF187" s="232" t="str">
        <f>IF($AY187="Yes",'8. Option Codes Decrypted'!$C$22,"")</f>
        <v/>
      </c>
      <c r="BG187" s="232" t="str">
        <f>IF($AY187="Yes",'8. Option Codes Decrypted'!$C$23,"")</f>
        <v/>
      </c>
    </row>
    <row r="188" spans="1:60" s="296" customFormat="1" x14ac:dyDescent="0.25">
      <c r="A188" s="232" t="str">
        <f t="shared" si="34"/>
        <v/>
      </c>
      <c r="B188" s="358" t="str">
        <f t="shared" si="39"/>
        <v/>
      </c>
      <c r="C188" s="358" t="str">
        <f t="shared" si="40"/>
        <v>F15-PDC SET4 With Harness, FRONT-14-18-ALL</v>
      </c>
      <c r="D188" s="358"/>
      <c r="E188" s="358" t="str">
        <f t="shared" si="32"/>
        <v/>
      </c>
      <c r="F188" s="296" t="s">
        <v>426</v>
      </c>
      <c r="G188" s="297">
        <v>44680</v>
      </c>
      <c r="H188" s="298"/>
      <c r="I188" s="239"/>
      <c r="J188" s="298" t="s">
        <v>427</v>
      </c>
      <c r="K188" s="298" t="s">
        <v>778</v>
      </c>
      <c r="L188" s="298" t="s">
        <v>898</v>
      </c>
      <c r="M188" s="298" t="s">
        <v>430</v>
      </c>
      <c r="N188" s="298"/>
      <c r="O188" s="299"/>
      <c r="P188" s="299"/>
      <c r="Q188" s="299"/>
      <c r="R188" s="299" t="str">
        <f t="shared" si="33"/>
        <v>. PDC SET4 With Harness, FRONT</v>
      </c>
      <c r="S188" s="299"/>
      <c r="T188" s="298"/>
      <c r="U188" s="298"/>
      <c r="V188" s="298"/>
      <c r="W188" s="298"/>
      <c r="X188" s="298"/>
      <c r="Y188" s="239"/>
      <c r="Z188" s="298" t="s">
        <v>899</v>
      </c>
      <c r="AA188" s="298" t="s">
        <v>900</v>
      </c>
      <c r="AB188" s="298"/>
      <c r="AC188" s="213" t="s">
        <v>901</v>
      </c>
      <c r="AD188" s="298"/>
      <c r="AE188" s="319">
        <v>300</v>
      </c>
      <c r="AF188" s="300" t="s">
        <v>434</v>
      </c>
      <c r="AG188" s="301"/>
      <c r="AH188" s="302" t="s">
        <v>435</v>
      </c>
      <c r="AJ188" s="303"/>
      <c r="AK188" s="296" t="s">
        <v>902</v>
      </c>
      <c r="AS188" s="296" t="str">
        <f t="shared" ref="AS188:AS193" si="42">CONCATENATE(AT188,"-",AU188,"-",AV188,"-",AW188)</f>
        <v>F15-PDC SET4 With Harness, FRONT-14-18-ALL</v>
      </c>
      <c r="AT188" s="296" t="s">
        <v>661</v>
      </c>
      <c r="AU188" s="296" t="str">
        <f t="shared" ref="AU188:AU193" si="43">Z188</f>
        <v>PDC SET4 With Harness, FRONT</v>
      </c>
      <c r="AV188" s="296" t="s">
        <v>757</v>
      </c>
      <c r="AW188" s="296" t="s">
        <v>662</v>
      </c>
      <c r="AX188" s="298" t="s">
        <v>80</v>
      </c>
      <c r="AY188" s="298"/>
      <c r="AZ188" s="232" t="str">
        <f>IF($AX188="Yes",'8. Option Codes Decrypted'!$C$15,"")</f>
        <v>Painted</v>
      </c>
      <c r="BA188" s="232" t="str">
        <f>IF($AX188="Yes",'8. Option Codes Decrypted'!$C$16,"")</f>
        <v>Brown</v>
      </c>
      <c r="BB188" s="232" t="str">
        <f>IF($AX188="Yes",'8. Option Codes Decrypted'!$C$17,"")</f>
        <v>Sparkling Brown Metallic</v>
      </c>
      <c r="BC188" s="232" t="str">
        <f>IF($AX188="Yes",'8. Option Codes Decrypted'!$C$18,"")</f>
        <v>B53</v>
      </c>
      <c r="BD188" s="232" t="str">
        <f>IF($AY188="Yes",'8. Option Codes Decrypted'!$C$20,"")</f>
        <v/>
      </c>
      <c r="BE188" s="232" t="str">
        <f>IF($AY188="Yes",'8. Option Codes Decrypted'!$C$21,"")</f>
        <v/>
      </c>
      <c r="BF188" s="232" t="str">
        <f>IF($AY188="Yes",'8. Option Codes Decrypted'!$C$22,"")</f>
        <v/>
      </c>
      <c r="BG188" s="232" t="str">
        <f>IF($AY188="Yes",'8. Option Codes Decrypted'!$C$23,"")</f>
        <v/>
      </c>
      <c r="BH188" s="232" t="str">
        <f t="shared" ref="BH188:BH193" si="44">C188</f>
        <v>F15-PDC SET4 With Harness, FRONT-14-18-ALL</v>
      </c>
    </row>
    <row r="189" spans="1:60" s="296" customFormat="1" x14ac:dyDescent="0.25">
      <c r="A189" s="232" t="str">
        <f t="shared" si="34"/>
        <v/>
      </c>
      <c r="B189" s="358" t="str">
        <f t="shared" si="39"/>
        <v/>
      </c>
      <c r="C189" s="358" t="str">
        <f t="shared" si="40"/>
        <v>F15-PDC Sensor SET4, FRONT-14-18-ALL</v>
      </c>
      <c r="D189" s="358"/>
      <c r="E189" s="358" t="str">
        <f t="shared" si="32"/>
        <v/>
      </c>
      <c r="F189" s="296" t="s">
        <v>426</v>
      </c>
      <c r="G189" s="297">
        <v>44680</v>
      </c>
      <c r="H189" s="298"/>
      <c r="I189" s="239"/>
      <c r="J189" s="298" t="s">
        <v>427</v>
      </c>
      <c r="K189" s="298" t="s">
        <v>778</v>
      </c>
      <c r="L189" s="298" t="s">
        <v>898</v>
      </c>
      <c r="M189" s="298" t="s">
        <v>430</v>
      </c>
      <c r="N189" s="298"/>
      <c r="O189" s="299"/>
      <c r="P189" s="299"/>
      <c r="Q189" s="299"/>
      <c r="R189" s="299" t="str">
        <f t="shared" si="33"/>
        <v>. PDC Sensor SET4, FRONT</v>
      </c>
      <c r="S189" s="299"/>
      <c r="T189" s="298"/>
      <c r="U189" s="298"/>
      <c r="V189" s="298"/>
      <c r="W189" s="298"/>
      <c r="X189" s="298"/>
      <c r="Y189" s="298"/>
      <c r="Z189" s="298" t="s">
        <v>903</v>
      </c>
      <c r="AA189" s="298"/>
      <c r="AB189" s="298"/>
      <c r="AC189" s="213" t="s">
        <v>433</v>
      </c>
      <c r="AD189" s="298"/>
      <c r="AE189" s="319">
        <v>160</v>
      </c>
      <c r="AF189" s="300" t="s">
        <v>434</v>
      </c>
      <c r="AG189" s="301"/>
      <c r="AH189" s="302" t="s">
        <v>435</v>
      </c>
      <c r="AJ189" s="303"/>
      <c r="AK189" s="296" t="s">
        <v>902</v>
      </c>
      <c r="AS189" s="296" t="str">
        <f t="shared" si="42"/>
        <v>F15-PDC Sensor SET4, FRONT-14-18-ALL</v>
      </c>
      <c r="AT189" s="296" t="s">
        <v>661</v>
      </c>
      <c r="AU189" s="296" t="str">
        <f t="shared" si="43"/>
        <v>PDC Sensor SET4, FRONT</v>
      </c>
      <c r="AV189" s="296" t="s">
        <v>757</v>
      </c>
      <c r="AW189" s="296" t="s">
        <v>662</v>
      </c>
      <c r="AX189" s="298" t="s">
        <v>80</v>
      </c>
      <c r="AY189" s="298"/>
      <c r="AZ189" s="232" t="str">
        <f>IF($AX189="Yes",'8. Option Codes Decrypted'!$C$15,"")</f>
        <v>Painted</v>
      </c>
      <c r="BA189" s="232" t="str">
        <f>IF($AX189="Yes",'8. Option Codes Decrypted'!$C$16,"")</f>
        <v>Brown</v>
      </c>
      <c r="BB189" s="232" t="str">
        <f>IF($AX189="Yes",'8. Option Codes Decrypted'!$C$17,"")</f>
        <v>Sparkling Brown Metallic</v>
      </c>
      <c r="BC189" s="232" t="str">
        <f>IF($AX189="Yes",'8. Option Codes Decrypted'!$C$18,"")</f>
        <v>B53</v>
      </c>
      <c r="BD189" s="232" t="str">
        <f>IF($AY189="Yes",'8. Option Codes Decrypted'!$C$20,"")</f>
        <v/>
      </c>
      <c r="BE189" s="232" t="str">
        <f>IF($AY189="Yes",'8. Option Codes Decrypted'!$C$21,"")</f>
        <v/>
      </c>
      <c r="BF189" s="232" t="str">
        <f>IF($AY189="Yes",'8. Option Codes Decrypted'!$C$22,"")</f>
        <v/>
      </c>
      <c r="BG189" s="232" t="str">
        <f>IF($AY189="Yes",'8. Option Codes Decrypted'!$C$23,"")</f>
        <v/>
      </c>
      <c r="BH189" s="232" t="str">
        <f t="shared" si="44"/>
        <v>F15-PDC Sensor SET4, FRONT-14-18-ALL</v>
      </c>
    </row>
    <row r="190" spans="1:60" s="296" customFormat="1" ht="15.75" thickBot="1" x14ac:dyDescent="0.3">
      <c r="A190" s="232" t="str">
        <f t="shared" si="34"/>
        <v/>
      </c>
      <c r="B190" s="358" t="str">
        <f t="shared" si="39"/>
        <v/>
      </c>
      <c r="C190" s="358" t="str">
        <f t="shared" si="40"/>
        <v>F15-PDC Sensor SET2, FRONT-14-18-ALL</v>
      </c>
      <c r="D190" s="358"/>
      <c r="E190" s="358" t="str">
        <f t="shared" si="32"/>
        <v/>
      </c>
      <c r="F190" s="296" t="s">
        <v>426</v>
      </c>
      <c r="G190" s="297">
        <v>44680</v>
      </c>
      <c r="H190" s="298"/>
      <c r="I190" s="239"/>
      <c r="J190" s="298" t="s">
        <v>427</v>
      </c>
      <c r="K190" s="298" t="s">
        <v>778</v>
      </c>
      <c r="L190" s="298" t="s">
        <v>898</v>
      </c>
      <c r="M190" s="298" t="s">
        <v>430</v>
      </c>
      <c r="N190" s="298"/>
      <c r="O190" s="299"/>
      <c r="P190" s="299"/>
      <c r="Q190" s="299"/>
      <c r="R190" s="299" t="str">
        <f t="shared" si="33"/>
        <v>. PDC Sensor SET2, FRONT</v>
      </c>
      <c r="S190" s="299"/>
      <c r="T190" s="298"/>
      <c r="U190" s="298"/>
      <c r="V190" s="298"/>
      <c r="W190" s="298"/>
      <c r="X190" s="298"/>
      <c r="Y190" s="298"/>
      <c r="Z190" s="298" t="s">
        <v>904</v>
      </c>
      <c r="AA190" s="298"/>
      <c r="AB190" s="298"/>
      <c r="AC190" s="213" t="s">
        <v>439</v>
      </c>
      <c r="AD190" s="298"/>
      <c r="AE190" s="319">
        <v>80</v>
      </c>
      <c r="AF190" s="300" t="s">
        <v>434</v>
      </c>
      <c r="AG190" s="301"/>
      <c r="AH190" s="302" t="s">
        <v>435</v>
      </c>
      <c r="AJ190" s="303"/>
      <c r="AK190" s="296" t="s">
        <v>902</v>
      </c>
      <c r="AS190" s="296" t="str">
        <f t="shared" si="42"/>
        <v>F15-PDC Sensor SET2, FRONT-14-18-ALL</v>
      </c>
      <c r="AT190" s="296" t="s">
        <v>661</v>
      </c>
      <c r="AU190" s="296" t="str">
        <f t="shared" si="43"/>
        <v>PDC Sensor SET2, FRONT</v>
      </c>
      <c r="AV190" s="296" t="s">
        <v>757</v>
      </c>
      <c r="AW190" s="296" t="s">
        <v>662</v>
      </c>
      <c r="AX190" s="298" t="s">
        <v>80</v>
      </c>
      <c r="AY190" s="298"/>
      <c r="AZ190" s="232" t="str">
        <f>IF($AX190="Yes",'8. Option Codes Decrypted'!$C$15,"")</f>
        <v>Painted</v>
      </c>
      <c r="BA190" s="232" t="str">
        <f>IF($AX190="Yes",'8. Option Codes Decrypted'!$C$16,"")</f>
        <v>Brown</v>
      </c>
      <c r="BB190" s="232" t="str">
        <f>IF($AX190="Yes",'8. Option Codes Decrypted'!$C$17,"")</f>
        <v>Sparkling Brown Metallic</v>
      </c>
      <c r="BC190" s="232" t="str">
        <f>IF($AX190="Yes",'8. Option Codes Decrypted'!$C$18,"")</f>
        <v>B53</v>
      </c>
      <c r="BD190" s="232" t="str">
        <f>IF($AY190="Yes",'8. Option Codes Decrypted'!$C$20,"")</f>
        <v/>
      </c>
      <c r="BE190" s="232" t="str">
        <f>IF($AY190="Yes",'8. Option Codes Decrypted'!$C$21,"")</f>
        <v/>
      </c>
      <c r="BF190" s="232" t="str">
        <f>IF($AY190="Yes",'8. Option Codes Decrypted'!$C$22,"")</f>
        <v/>
      </c>
      <c r="BG190" s="232" t="str">
        <f>IF($AY190="Yes",'8. Option Codes Decrypted'!$C$23,"")</f>
        <v/>
      </c>
      <c r="BH190" s="232" t="str">
        <f t="shared" si="44"/>
        <v>F15-PDC Sensor SET2, FRONT-14-18-ALL</v>
      </c>
    </row>
    <row r="191" spans="1:60" s="296" customFormat="1" ht="15.75" thickBot="1" x14ac:dyDescent="0.3">
      <c r="A191" s="232" t="str">
        <f t="shared" si="34"/>
        <v>A23</v>
      </c>
      <c r="B191" s="358" t="str">
        <f t="shared" si="39"/>
        <v/>
      </c>
      <c r="C191" s="358" t="str">
        <f t="shared" si="40"/>
        <v>F15-PDC SET4 With Harness, REAR-14-18-ALL</v>
      </c>
      <c r="D191" s="358"/>
      <c r="E191" s="358" t="str">
        <f t="shared" si="32"/>
        <v/>
      </c>
      <c r="F191" s="296" t="s">
        <v>426</v>
      </c>
      <c r="G191" s="297">
        <v>44680</v>
      </c>
      <c r="H191" s="298"/>
      <c r="I191" s="239"/>
      <c r="J191" s="298" t="s">
        <v>427</v>
      </c>
      <c r="K191" s="298" t="s">
        <v>778</v>
      </c>
      <c r="L191" s="298" t="s">
        <v>898</v>
      </c>
      <c r="M191" s="298" t="s">
        <v>430</v>
      </c>
      <c r="N191" s="298">
        <v>13</v>
      </c>
      <c r="O191" s="299" t="s">
        <v>267</v>
      </c>
      <c r="P191" s="299" t="s">
        <v>716</v>
      </c>
      <c r="Q191" s="299">
        <v>1</v>
      </c>
      <c r="R191" s="299" t="str">
        <f t="shared" si="33"/>
        <v>A23. PDC SET4 With Harness, REAR</v>
      </c>
      <c r="S191" s="365" t="str">
        <f>HYPERLINK(VLOOKUP(O191,'3D. Pictures'!$B$3:$E$500,4,FALSE),"PIC")</f>
        <v>PIC</v>
      </c>
      <c r="T191" s="298">
        <v>5</v>
      </c>
      <c r="U191" s="298">
        <v>9306090</v>
      </c>
      <c r="V191" s="298" t="s">
        <v>81</v>
      </c>
      <c r="W191" s="298"/>
      <c r="X191" s="298"/>
      <c r="Y191" s="298"/>
      <c r="Z191" s="298" t="s">
        <v>905</v>
      </c>
      <c r="AA191" s="298" t="s">
        <v>900</v>
      </c>
      <c r="AB191" s="298"/>
      <c r="AC191" s="213" t="s">
        <v>901</v>
      </c>
      <c r="AD191" s="298"/>
      <c r="AE191" s="319">
        <v>250</v>
      </c>
      <c r="AF191" s="300" t="s">
        <v>434</v>
      </c>
      <c r="AG191" s="301"/>
      <c r="AH191" s="302" t="s">
        <v>435</v>
      </c>
      <c r="AJ191" s="303"/>
      <c r="AK191" s="296" t="s">
        <v>906</v>
      </c>
      <c r="AS191" s="296" t="str">
        <f t="shared" si="42"/>
        <v>F15-PDC SET4 With Harness, REAR-14-18-ALL</v>
      </c>
      <c r="AT191" s="296" t="s">
        <v>661</v>
      </c>
      <c r="AU191" s="296" t="str">
        <f t="shared" si="43"/>
        <v>PDC SET4 With Harness, REAR</v>
      </c>
      <c r="AV191" s="296" t="s">
        <v>757</v>
      </c>
      <c r="AW191" s="296" t="s">
        <v>662</v>
      </c>
      <c r="AX191" s="298" t="s">
        <v>80</v>
      </c>
      <c r="AY191" s="298"/>
      <c r="AZ191" s="232" t="str">
        <f>IF($AX191="Yes",'8. Option Codes Decrypted'!$C$15,"")</f>
        <v>Painted</v>
      </c>
      <c r="BA191" s="232" t="str">
        <f>IF($AX191="Yes",'8. Option Codes Decrypted'!$C$16,"")</f>
        <v>Brown</v>
      </c>
      <c r="BB191" s="232" t="str">
        <f>IF($AX191="Yes",'8. Option Codes Decrypted'!$C$17,"")</f>
        <v>Sparkling Brown Metallic</v>
      </c>
      <c r="BC191" s="232" t="str">
        <f>IF($AX191="Yes",'8. Option Codes Decrypted'!$C$18,"")</f>
        <v>B53</v>
      </c>
      <c r="BD191" s="232" t="str">
        <f>IF($AY191="Yes",'8. Option Codes Decrypted'!$C$20,"")</f>
        <v/>
      </c>
      <c r="BE191" s="232" t="str">
        <f>IF($AY191="Yes",'8. Option Codes Decrypted'!$C$21,"")</f>
        <v/>
      </c>
      <c r="BF191" s="232" t="str">
        <f>IF($AY191="Yes",'8. Option Codes Decrypted'!$C$22,"")</f>
        <v/>
      </c>
      <c r="BG191" s="232" t="str">
        <f>IF($AY191="Yes",'8. Option Codes Decrypted'!$C$23,"")</f>
        <v/>
      </c>
      <c r="BH191" s="232" t="str">
        <f t="shared" si="44"/>
        <v>F15-PDC SET4 With Harness, REAR-14-18-ALL</v>
      </c>
    </row>
    <row r="192" spans="1:60" s="296" customFormat="1" x14ac:dyDescent="0.25">
      <c r="A192" s="232" t="str">
        <f t="shared" si="34"/>
        <v/>
      </c>
      <c r="B192" s="358" t="str">
        <f t="shared" si="39"/>
        <v/>
      </c>
      <c r="C192" s="358" t="str">
        <f t="shared" si="40"/>
        <v>F15-PDC Sensor SET4, REAR-14-18-ALL</v>
      </c>
      <c r="D192" s="358"/>
      <c r="E192" s="358" t="str">
        <f t="shared" si="32"/>
        <v/>
      </c>
      <c r="F192" s="296" t="s">
        <v>426</v>
      </c>
      <c r="G192" s="297">
        <v>44680</v>
      </c>
      <c r="H192" s="298"/>
      <c r="I192" s="239"/>
      <c r="J192" s="298" t="s">
        <v>427</v>
      </c>
      <c r="K192" s="298" t="s">
        <v>778</v>
      </c>
      <c r="L192" s="298" t="s">
        <v>898</v>
      </c>
      <c r="M192" s="298" t="s">
        <v>430</v>
      </c>
      <c r="N192" s="298"/>
      <c r="O192" s="299"/>
      <c r="P192" s="299"/>
      <c r="Q192" s="299"/>
      <c r="R192" s="299" t="str">
        <f t="shared" si="33"/>
        <v>. PDC Sensor SET4, REAR</v>
      </c>
      <c r="S192" s="299"/>
      <c r="T192" s="298"/>
      <c r="U192" s="298"/>
      <c r="V192" s="298"/>
      <c r="W192" s="298"/>
      <c r="X192" s="298"/>
      <c r="Y192" s="298"/>
      <c r="Z192" s="298" t="s">
        <v>907</v>
      </c>
      <c r="AA192" s="298"/>
      <c r="AB192" s="298"/>
      <c r="AC192" s="213" t="s">
        <v>433</v>
      </c>
      <c r="AD192" s="298"/>
      <c r="AE192" s="319">
        <v>150</v>
      </c>
      <c r="AF192" s="300" t="s">
        <v>434</v>
      </c>
      <c r="AG192" s="301"/>
      <c r="AH192" s="302" t="s">
        <v>435</v>
      </c>
      <c r="AJ192" s="303"/>
      <c r="AK192" s="296" t="s">
        <v>906</v>
      </c>
      <c r="AS192" s="296" t="str">
        <f t="shared" si="42"/>
        <v>F15-PDC Sensor SET4, REAR-14-18-ALL</v>
      </c>
      <c r="AT192" s="296" t="s">
        <v>661</v>
      </c>
      <c r="AU192" s="296" t="str">
        <f t="shared" si="43"/>
        <v>PDC Sensor SET4, REAR</v>
      </c>
      <c r="AV192" s="296" t="s">
        <v>757</v>
      </c>
      <c r="AW192" s="296" t="s">
        <v>662</v>
      </c>
      <c r="AX192" s="298" t="s">
        <v>80</v>
      </c>
      <c r="AY192" s="298"/>
      <c r="AZ192" s="232" t="str">
        <f>IF($AX192="Yes",'8. Option Codes Decrypted'!$C$15,"")</f>
        <v>Painted</v>
      </c>
      <c r="BA192" s="232" t="str">
        <f>IF($AX192="Yes",'8. Option Codes Decrypted'!$C$16,"")</f>
        <v>Brown</v>
      </c>
      <c r="BB192" s="232" t="str">
        <f>IF($AX192="Yes",'8. Option Codes Decrypted'!$C$17,"")</f>
        <v>Sparkling Brown Metallic</v>
      </c>
      <c r="BC192" s="232" t="str">
        <f>IF($AX192="Yes",'8. Option Codes Decrypted'!$C$18,"")</f>
        <v>B53</v>
      </c>
      <c r="BD192" s="232" t="str">
        <f>IF($AY192="Yes",'8. Option Codes Decrypted'!$C$20,"")</f>
        <v/>
      </c>
      <c r="BE192" s="232" t="str">
        <f>IF($AY192="Yes",'8. Option Codes Decrypted'!$C$21,"")</f>
        <v/>
      </c>
      <c r="BF192" s="232" t="str">
        <f>IF($AY192="Yes",'8. Option Codes Decrypted'!$C$22,"")</f>
        <v/>
      </c>
      <c r="BG192" s="232" t="str">
        <f>IF($AY192="Yes",'8. Option Codes Decrypted'!$C$23,"")</f>
        <v/>
      </c>
      <c r="BH192" s="232" t="str">
        <f t="shared" si="44"/>
        <v>F15-PDC Sensor SET4, REAR-14-18-ALL</v>
      </c>
    </row>
    <row r="193" spans="1:60" s="296" customFormat="1" x14ac:dyDescent="0.25">
      <c r="A193" s="232" t="str">
        <f t="shared" si="34"/>
        <v/>
      </c>
      <c r="B193" s="358" t="str">
        <f t="shared" si="39"/>
        <v/>
      </c>
      <c r="C193" s="358" t="str">
        <f t="shared" si="40"/>
        <v>F15-PDC Sensor SET2, REAR-14-18-ALL</v>
      </c>
      <c r="D193" s="358"/>
      <c r="E193" s="358" t="str">
        <f t="shared" si="32"/>
        <v/>
      </c>
      <c r="F193" s="296" t="s">
        <v>426</v>
      </c>
      <c r="G193" s="297">
        <v>44680</v>
      </c>
      <c r="H193" s="298"/>
      <c r="I193" s="239"/>
      <c r="J193" s="298" t="s">
        <v>427</v>
      </c>
      <c r="K193" s="298" t="s">
        <v>778</v>
      </c>
      <c r="L193" s="298" t="s">
        <v>898</v>
      </c>
      <c r="M193" s="298" t="s">
        <v>430</v>
      </c>
      <c r="N193" s="298"/>
      <c r="O193" s="299"/>
      <c r="P193" s="299"/>
      <c r="Q193" s="299"/>
      <c r="R193" s="299" t="str">
        <f t="shared" si="33"/>
        <v>. PDC Sensor SET2, REAR</v>
      </c>
      <c r="S193" s="299"/>
      <c r="T193" s="298"/>
      <c r="U193" s="298"/>
      <c r="V193" s="298"/>
      <c r="W193" s="298"/>
      <c r="X193" s="298"/>
      <c r="Y193" s="298"/>
      <c r="Z193" s="298" t="s">
        <v>908</v>
      </c>
      <c r="AA193" s="298"/>
      <c r="AB193" s="298"/>
      <c r="AC193" s="213" t="s">
        <v>439</v>
      </c>
      <c r="AD193" s="298"/>
      <c r="AE193" s="319">
        <v>75</v>
      </c>
      <c r="AF193" s="300" t="s">
        <v>434</v>
      </c>
      <c r="AG193" s="301"/>
      <c r="AH193" s="302" t="s">
        <v>435</v>
      </c>
      <c r="AJ193" s="303"/>
      <c r="AK193" s="296" t="s">
        <v>906</v>
      </c>
      <c r="AS193" s="296" t="str">
        <f t="shared" si="42"/>
        <v>F15-PDC Sensor SET2, REAR-14-18-ALL</v>
      </c>
      <c r="AT193" s="296" t="s">
        <v>661</v>
      </c>
      <c r="AU193" s="296" t="str">
        <f t="shared" si="43"/>
        <v>PDC Sensor SET2, REAR</v>
      </c>
      <c r="AV193" s="296" t="s">
        <v>757</v>
      </c>
      <c r="AW193" s="296" t="s">
        <v>662</v>
      </c>
      <c r="AX193" s="298" t="s">
        <v>80</v>
      </c>
      <c r="AY193" s="298"/>
      <c r="AZ193" s="232" t="str">
        <f>IF($AX193="Yes",'8. Option Codes Decrypted'!$C$15,"")</f>
        <v>Painted</v>
      </c>
      <c r="BA193" s="232" t="str">
        <f>IF($AX193="Yes",'8. Option Codes Decrypted'!$C$16,"")</f>
        <v>Brown</v>
      </c>
      <c r="BB193" s="232" t="str">
        <f>IF($AX193="Yes",'8. Option Codes Decrypted'!$C$17,"")</f>
        <v>Sparkling Brown Metallic</v>
      </c>
      <c r="BC193" s="232" t="str">
        <f>IF($AX193="Yes",'8. Option Codes Decrypted'!$C$18,"")</f>
        <v>B53</v>
      </c>
      <c r="BD193" s="232" t="str">
        <f>IF($AY193="Yes",'8. Option Codes Decrypted'!$C$20,"")</f>
        <v/>
      </c>
      <c r="BE193" s="232" t="str">
        <f>IF($AY193="Yes",'8. Option Codes Decrypted'!$C$21,"")</f>
        <v/>
      </c>
      <c r="BF193" s="232" t="str">
        <f>IF($AY193="Yes",'8. Option Codes Decrypted'!$C$22,"")</f>
        <v/>
      </c>
      <c r="BG193" s="232" t="str">
        <f>IF($AY193="Yes",'8. Option Codes Decrypted'!$C$23,"")</f>
        <v/>
      </c>
      <c r="BH193" s="232" t="str">
        <f t="shared" si="44"/>
        <v>F15-PDC Sensor SET2, REAR-14-18-ALL</v>
      </c>
    </row>
    <row r="194" spans="1:60" x14ac:dyDescent="0.25">
      <c r="A194" s="232" t="str">
        <f t="shared" si="34"/>
        <v/>
      </c>
      <c r="B194" s="358" t="str">
        <f t="shared" si="39"/>
        <v/>
      </c>
      <c r="C194" s="358" t="str">
        <f t="shared" si="40"/>
        <v/>
      </c>
      <c r="D194" s="358"/>
      <c r="E194" s="358" t="str">
        <f t="shared" si="32"/>
        <v/>
      </c>
      <c r="F194" t="s">
        <v>426</v>
      </c>
      <c r="G194" s="230">
        <v>44680</v>
      </c>
      <c r="H194" s="16"/>
      <c r="I194" s="188"/>
      <c r="J194" s="16" t="s">
        <v>427</v>
      </c>
      <c r="K194" s="16" t="s">
        <v>778</v>
      </c>
      <c r="L194" s="16" t="s">
        <v>909</v>
      </c>
      <c r="M194" s="16" t="s">
        <v>430</v>
      </c>
      <c r="N194" s="16"/>
      <c r="O194" s="191"/>
      <c r="P194" s="191"/>
      <c r="Q194" s="191"/>
      <c r="R194" s="286" t="str">
        <f t="shared" si="33"/>
        <v>. Roof Rails, SIDE-TO-SIDE as SET2 (the shorter ones)</v>
      </c>
      <c r="S194" s="286"/>
      <c r="T194" s="16"/>
      <c r="U194" s="16"/>
      <c r="V194" s="16"/>
      <c r="W194" s="16"/>
      <c r="X194" s="16"/>
      <c r="Y194" s="16"/>
      <c r="Z194" s="16" t="s">
        <v>909</v>
      </c>
      <c r="AA194" s="16" t="s">
        <v>909</v>
      </c>
      <c r="AB194" s="16" t="s">
        <v>910</v>
      </c>
      <c r="AC194" s="193" t="s">
        <v>439</v>
      </c>
      <c r="AD194" s="16"/>
      <c r="AE194" s="18">
        <v>350</v>
      </c>
      <c r="AF194" s="99" t="s">
        <v>434</v>
      </c>
      <c r="AH194" s="3" t="s">
        <v>435</v>
      </c>
      <c r="AJ194" s="69"/>
      <c r="AK194" t="s">
        <v>911</v>
      </c>
      <c r="AN194"/>
      <c r="AX194" s="16"/>
      <c r="AY194" s="16"/>
      <c r="AZ194" s="232" t="str">
        <f>IF($AX194="Yes",'8. Option Codes Decrypted'!$C$15,"")</f>
        <v/>
      </c>
      <c r="BA194" s="232" t="str">
        <f>IF($AX194="Yes",'8. Option Codes Decrypted'!$C$16,"")</f>
        <v/>
      </c>
      <c r="BB194" s="232" t="str">
        <f>IF($AX194="Yes",'8. Option Codes Decrypted'!$C$17,"")</f>
        <v/>
      </c>
      <c r="BC194" s="232" t="str">
        <f>IF($AX194="Yes",'8. Option Codes Decrypted'!$C$18,"")</f>
        <v/>
      </c>
      <c r="BD194" s="232" t="str">
        <f>IF($AY194="Yes",'8. Option Codes Decrypted'!$C$20,"")</f>
        <v/>
      </c>
      <c r="BE194" s="232" t="str">
        <f>IF($AY194="Yes",'8. Option Codes Decrypted'!$C$21,"")</f>
        <v/>
      </c>
      <c r="BF194" s="232" t="str">
        <f>IF($AY194="Yes",'8. Option Codes Decrypted'!$C$22,"")</f>
        <v/>
      </c>
      <c r="BG194" s="232" t="str">
        <f>IF($AY194="Yes",'8. Option Codes Decrypted'!$C$23,"")</f>
        <v/>
      </c>
    </row>
    <row r="195" spans="1:60" x14ac:dyDescent="0.25">
      <c r="A195" s="232" t="str">
        <f t="shared" si="34"/>
        <v/>
      </c>
      <c r="B195" s="358" t="str">
        <f t="shared" si="39"/>
        <v/>
      </c>
      <c r="C195" s="358" t="str">
        <f t="shared" si="40"/>
        <v/>
      </c>
      <c r="D195" s="358"/>
      <c r="E195" s="358" t="str">
        <f t="shared" si="32"/>
        <v/>
      </c>
      <c r="F195" t="s">
        <v>508</v>
      </c>
      <c r="G195" s="230">
        <v>44916</v>
      </c>
      <c r="H195" s="177"/>
      <c r="I195" s="188"/>
      <c r="J195" s="16" t="s">
        <v>427</v>
      </c>
      <c r="K195" s="16" t="s">
        <v>778</v>
      </c>
      <c r="L195" s="16" t="s">
        <v>912</v>
      </c>
      <c r="M195" s="18" t="s">
        <v>458</v>
      </c>
      <c r="N195" s="18"/>
      <c r="O195" s="290"/>
      <c r="P195" s="290"/>
      <c r="Q195" s="290"/>
      <c r="R195" s="286" t="str">
        <f t="shared" si="33"/>
        <v>. Running Board, Left</v>
      </c>
      <c r="S195" s="286"/>
      <c r="T195" s="18"/>
      <c r="U195" s="16"/>
      <c r="V195" s="18"/>
      <c r="W195" s="16"/>
      <c r="X195" s="16"/>
      <c r="Y195" s="16"/>
      <c r="Z195" s="16" t="s">
        <v>912</v>
      </c>
      <c r="AA195" s="16" t="s">
        <v>912</v>
      </c>
      <c r="AB195" s="16" t="s">
        <v>912</v>
      </c>
      <c r="AC195" s="193" t="s">
        <v>449</v>
      </c>
      <c r="AD195" s="16"/>
      <c r="AE195" s="16">
        <v>410</v>
      </c>
      <c r="AF195" s="99" t="s">
        <v>434</v>
      </c>
      <c r="AH195" s="3" t="s">
        <v>435</v>
      </c>
      <c r="AJ195" s="69"/>
      <c r="AK195" t="s">
        <v>913</v>
      </c>
      <c r="AO195" t="s">
        <v>411</v>
      </c>
      <c r="AX195" s="16"/>
      <c r="AY195" s="16"/>
      <c r="AZ195" s="232" t="str">
        <f>IF($AX195="Yes",'8. Option Codes Decrypted'!$C$15,"")</f>
        <v/>
      </c>
      <c r="BA195" s="232" t="str">
        <f>IF($AX195="Yes",'8. Option Codes Decrypted'!$C$16,"")</f>
        <v/>
      </c>
      <c r="BB195" s="232" t="str">
        <f>IF($AX195="Yes",'8. Option Codes Decrypted'!$C$17,"")</f>
        <v/>
      </c>
      <c r="BC195" s="232" t="str">
        <f>IF($AX195="Yes",'8. Option Codes Decrypted'!$C$18,"")</f>
        <v/>
      </c>
      <c r="BD195" s="232" t="str">
        <f>IF($AY195="Yes",'8. Option Codes Decrypted'!$C$20,"")</f>
        <v/>
      </c>
      <c r="BE195" s="232" t="str">
        <f>IF($AY195="Yes",'8. Option Codes Decrypted'!$C$21,"")</f>
        <v/>
      </c>
      <c r="BF195" s="232" t="str">
        <f>IF($AY195="Yes",'8. Option Codes Decrypted'!$C$22,"")</f>
        <v/>
      </c>
      <c r="BG195" s="232" t="str">
        <f>IF($AY195="Yes",'8. Option Codes Decrypted'!$C$23,"")</f>
        <v/>
      </c>
    </row>
    <row r="196" spans="1:60" ht="15.75" thickBot="1" x14ac:dyDescent="0.3">
      <c r="A196" s="232" t="str">
        <f t="shared" si="34"/>
        <v/>
      </c>
      <c r="B196" s="358" t="str">
        <f t="shared" si="39"/>
        <v/>
      </c>
      <c r="C196" s="358" t="str">
        <f t="shared" si="40"/>
        <v/>
      </c>
      <c r="D196" s="358"/>
      <c r="E196" s="358" t="str">
        <f t="shared" si="32"/>
        <v/>
      </c>
      <c r="F196" t="s">
        <v>508</v>
      </c>
      <c r="G196" s="230">
        <v>44916</v>
      </c>
      <c r="H196" s="177"/>
      <c r="I196" s="188"/>
      <c r="J196" s="16" t="s">
        <v>427</v>
      </c>
      <c r="K196" s="16" t="s">
        <v>778</v>
      </c>
      <c r="L196" s="16" t="s">
        <v>914</v>
      </c>
      <c r="M196" s="18" t="s">
        <v>458</v>
      </c>
      <c r="N196" s="18"/>
      <c r="O196" s="290"/>
      <c r="P196" s="290"/>
      <c r="Q196" s="290"/>
      <c r="R196" s="286" t="str">
        <f t="shared" si="33"/>
        <v>. Running Board, Right</v>
      </c>
      <c r="S196" s="286"/>
      <c r="T196" s="18"/>
      <c r="U196" s="16"/>
      <c r="V196" s="18"/>
      <c r="W196" s="16"/>
      <c r="X196" s="16"/>
      <c r="Y196" s="16"/>
      <c r="Z196" s="16" t="s">
        <v>914</v>
      </c>
      <c r="AA196" s="16" t="s">
        <v>914</v>
      </c>
      <c r="AB196" s="16" t="s">
        <v>914</v>
      </c>
      <c r="AC196" s="193" t="s">
        <v>449</v>
      </c>
      <c r="AD196" s="16"/>
      <c r="AE196" s="16">
        <v>410</v>
      </c>
      <c r="AF196" s="99" t="s">
        <v>434</v>
      </c>
      <c r="AH196" s="3" t="s">
        <v>435</v>
      </c>
      <c r="AJ196" s="69"/>
      <c r="AK196" t="s">
        <v>913</v>
      </c>
      <c r="AO196" t="s">
        <v>411</v>
      </c>
      <c r="AX196" s="16"/>
      <c r="AY196" s="16"/>
      <c r="AZ196" s="232" t="str">
        <f>IF($AX196="Yes",'8. Option Codes Decrypted'!$C$15,"")</f>
        <v/>
      </c>
      <c r="BA196" s="232" t="str">
        <f>IF($AX196="Yes",'8. Option Codes Decrypted'!$C$16,"")</f>
        <v/>
      </c>
      <c r="BB196" s="232" t="str">
        <f>IF($AX196="Yes",'8. Option Codes Decrypted'!$C$17,"")</f>
        <v/>
      </c>
      <c r="BC196" s="232" t="str">
        <f>IF($AX196="Yes",'8. Option Codes Decrypted'!$C$18,"")</f>
        <v/>
      </c>
      <c r="BD196" s="232" t="str">
        <f>IF($AY196="Yes",'8. Option Codes Decrypted'!$C$20,"")</f>
        <v/>
      </c>
      <c r="BE196" s="232" t="str">
        <f>IF($AY196="Yes",'8. Option Codes Decrypted'!$C$21,"")</f>
        <v/>
      </c>
      <c r="BF196" s="232" t="str">
        <f>IF($AY196="Yes",'8. Option Codes Decrypted'!$C$22,"")</f>
        <v/>
      </c>
      <c r="BG196" s="232" t="str">
        <f>IF($AY196="Yes",'8. Option Codes Decrypted'!$C$23,"")</f>
        <v/>
      </c>
    </row>
    <row r="197" spans="1:60" s="232" customFormat="1" ht="15.75" thickBot="1" x14ac:dyDescent="0.3">
      <c r="A197" s="232" t="str">
        <f t="shared" si="34"/>
        <v>A91</v>
      </c>
      <c r="B197" s="358" t="str">
        <f>IF(AQ197&lt;&gt;"",AQ197,"")</f>
        <v>169-53399</v>
      </c>
      <c r="C197" s="358" t="str">
        <f t="shared" si="40"/>
        <v/>
      </c>
      <c r="D197" s="358"/>
      <c r="E197" s="358">
        <f t="shared" si="32"/>
        <v>1</v>
      </c>
      <c r="F197" s="232" t="s">
        <v>426</v>
      </c>
      <c r="G197" s="241">
        <v>44680</v>
      </c>
      <c r="H197" s="250"/>
      <c r="I197" s="235"/>
      <c r="J197" s="250" t="s">
        <v>427</v>
      </c>
      <c r="K197" s="250" t="s">
        <v>778</v>
      </c>
      <c r="L197" s="250" t="s">
        <v>915</v>
      </c>
      <c r="M197" s="235" t="s">
        <v>444</v>
      </c>
      <c r="N197" s="235">
        <v>81</v>
      </c>
      <c r="O197" s="284" t="s">
        <v>335</v>
      </c>
      <c r="P197" s="284" t="s">
        <v>724</v>
      </c>
      <c r="Q197" s="284">
        <v>1</v>
      </c>
      <c r="R197" s="286" t="str">
        <f t="shared" si="33"/>
        <v>A91. Spoiler with 3rd Brake Light IN</v>
      </c>
      <c r="S197" s="365" t="str">
        <f>HYPERLINK(VLOOKUP(O197,'3D. Pictures'!$B$3:$E$500,4,FALSE),"PIC")</f>
        <v>PIC</v>
      </c>
      <c r="T197" s="235">
        <v>7</v>
      </c>
      <c r="U197" s="250" t="s">
        <v>916</v>
      </c>
      <c r="V197" s="235" t="s">
        <v>80</v>
      </c>
      <c r="W197" s="250" t="s">
        <v>2986</v>
      </c>
      <c r="X197" s="250"/>
      <c r="Y197" s="250"/>
      <c r="Z197" s="250" t="s">
        <v>917</v>
      </c>
      <c r="AA197" s="250" t="s">
        <v>918</v>
      </c>
      <c r="AB197" s="250" t="s">
        <v>919</v>
      </c>
      <c r="AC197" s="244" t="s">
        <v>449</v>
      </c>
      <c r="AD197" s="250"/>
      <c r="AE197" s="259">
        <v>595</v>
      </c>
      <c r="AF197" s="262" t="s">
        <v>920</v>
      </c>
      <c r="AG197" s="247"/>
      <c r="AH197" s="248" t="s">
        <v>435</v>
      </c>
      <c r="AJ197" s="249"/>
      <c r="AK197" s="232" t="s">
        <v>921</v>
      </c>
      <c r="AL197" s="232" t="s">
        <v>922</v>
      </c>
      <c r="AM197" s="232" t="s">
        <v>923</v>
      </c>
      <c r="AN197" s="233" t="s">
        <v>924</v>
      </c>
      <c r="AO197" s="232" t="s">
        <v>411</v>
      </c>
      <c r="AP197" s="232">
        <v>53399</v>
      </c>
      <c r="AQ197" s="232" t="str">
        <f>CONCATENATE(AN197,AO197,AP197)</f>
        <v>169-53399</v>
      </c>
      <c r="AX197" s="250" t="s">
        <v>80</v>
      </c>
      <c r="AY197" s="250"/>
      <c r="AZ197" s="232" t="str">
        <f>IF($AX197="Yes",'8. Option Codes Decrypted'!$C$15,"")</f>
        <v>Painted</v>
      </c>
      <c r="BA197" s="232" t="str">
        <f>IF($AX197="Yes",'8. Option Codes Decrypted'!$C$16,"")</f>
        <v>Brown</v>
      </c>
      <c r="BB197" s="232" t="str">
        <f>IF($AX197="Yes",'8. Option Codes Decrypted'!$C$17,"")</f>
        <v>Sparkling Brown Metallic</v>
      </c>
      <c r="BC197" s="232" t="str">
        <f>IF($AX197="Yes",'8. Option Codes Decrypted'!$C$18,"")</f>
        <v>B53</v>
      </c>
      <c r="BD197" s="232" t="str">
        <f>IF($AY197="Yes",'8. Option Codes Decrypted'!$C$20,"")</f>
        <v/>
      </c>
      <c r="BE197" s="232" t="str">
        <f>IF($AY197="Yes",'8. Option Codes Decrypted'!$C$21,"")</f>
        <v/>
      </c>
      <c r="BF197" s="232" t="str">
        <f>IF($AY197="Yes",'8. Option Codes Decrypted'!$C$22,"")</f>
        <v/>
      </c>
      <c r="BG197" s="232" t="str">
        <f>IF($AY197="Yes",'8. Option Codes Decrypted'!$C$23,"")</f>
        <v/>
      </c>
      <c r="BH197" s="232" t="str">
        <f>B197</f>
        <v>169-53399</v>
      </c>
    </row>
    <row r="198" spans="1:60" x14ac:dyDescent="0.25">
      <c r="A198" s="232" t="str">
        <f t="shared" si="34"/>
        <v/>
      </c>
      <c r="B198" s="358" t="str">
        <f t="shared" si="39"/>
        <v/>
      </c>
      <c r="C198" s="358" t="str">
        <f t="shared" si="40"/>
        <v/>
      </c>
      <c r="D198" s="358"/>
      <c r="E198" s="358" t="str">
        <f t="shared" si="32"/>
        <v/>
      </c>
      <c r="F198" t="s">
        <v>426</v>
      </c>
      <c r="G198" s="230">
        <v>44680</v>
      </c>
      <c r="H198" s="16"/>
      <c r="I198" s="188"/>
      <c r="J198" s="16" t="s">
        <v>427</v>
      </c>
      <c r="K198" s="16" t="s">
        <v>778</v>
      </c>
      <c r="L198" s="16" t="s">
        <v>915</v>
      </c>
      <c r="M198" s="188" t="s">
        <v>444</v>
      </c>
      <c r="N198" s="188"/>
      <c r="O198" s="289"/>
      <c r="P198" s="289"/>
      <c r="Q198" s="289"/>
      <c r="R198" s="286" t="str">
        <f t="shared" si="33"/>
        <v>. Spoiler 3rd Brake Light</v>
      </c>
      <c r="S198" s="286"/>
      <c r="T198" s="188"/>
      <c r="U198" s="16"/>
      <c r="V198" s="188"/>
      <c r="W198" s="16"/>
      <c r="X198" s="16"/>
      <c r="Y198" s="16"/>
      <c r="Z198" s="16" t="s">
        <v>925</v>
      </c>
      <c r="AA198" s="16"/>
      <c r="AB198" s="16"/>
      <c r="AC198" s="193" t="s">
        <v>449</v>
      </c>
      <c r="AD198" s="16"/>
      <c r="AE198" s="18">
        <v>125</v>
      </c>
      <c r="AF198" s="11" t="s">
        <v>920</v>
      </c>
      <c r="AH198" s="3" t="s">
        <v>435</v>
      </c>
      <c r="AJ198" s="69"/>
      <c r="AK198" t="s">
        <v>921</v>
      </c>
      <c r="AL198" t="s">
        <v>922</v>
      </c>
      <c r="AM198" t="s">
        <v>923</v>
      </c>
      <c r="AX198" s="16"/>
      <c r="AY198" s="16"/>
      <c r="AZ198" s="232" t="str">
        <f>IF($AX198="Yes",'8. Option Codes Decrypted'!$C$15,"")</f>
        <v/>
      </c>
      <c r="BA198" s="232" t="str">
        <f>IF($AX198="Yes",'8. Option Codes Decrypted'!$C$16,"")</f>
        <v/>
      </c>
      <c r="BB198" s="232" t="str">
        <f>IF($AX198="Yes",'8. Option Codes Decrypted'!$C$17,"")</f>
        <v/>
      </c>
      <c r="BC198" s="232" t="str">
        <f>IF($AX198="Yes",'8. Option Codes Decrypted'!$C$18,"")</f>
        <v/>
      </c>
      <c r="BD198" s="232" t="str">
        <f>IF($AY198="Yes",'8. Option Codes Decrypted'!$C$20,"")</f>
        <v/>
      </c>
      <c r="BE198" s="232" t="str">
        <f>IF($AY198="Yes",'8. Option Codes Decrypted'!$C$21,"")</f>
        <v/>
      </c>
      <c r="BF198" s="232" t="str">
        <f>IF($AY198="Yes",'8. Option Codes Decrypted'!$C$22,"")</f>
        <v/>
      </c>
      <c r="BG198" s="232" t="str">
        <f>IF($AY198="Yes",'8. Option Codes Decrypted'!$C$23,"")</f>
        <v/>
      </c>
    </row>
    <row r="199" spans="1:60" x14ac:dyDescent="0.25">
      <c r="A199" s="232" t="str">
        <f t="shared" si="34"/>
        <v/>
      </c>
      <c r="B199" s="358" t="str">
        <f t="shared" ref="B199:B262" si="45">IF(AQ199&lt;&gt;"",AQ199,"")</f>
        <v/>
      </c>
      <c r="C199" s="358" t="str">
        <f t="shared" si="40"/>
        <v/>
      </c>
      <c r="D199" s="358"/>
      <c r="E199" s="358" t="str">
        <f t="shared" si="32"/>
        <v/>
      </c>
      <c r="F199" t="s">
        <v>426</v>
      </c>
      <c r="G199" s="230">
        <v>44670</v>
      </c>
      <c r="H199" s="10"/>
      <c r="I199" s="203"/>
      <c r="J199" s="10" t="s">
        <v>504</v>
      </c>
      <c r="K199" s="10" t="s">
        <v>778</v>
      </c>
      <c r="L199" s="10" t="s">
        <v>926</v>
      </c>
      <c r="M199" s="188" t="s">
        <v>444</v>
      </c>
      <c r="N199" s="188"/>
      <c r="O199" s="289"/>
      <c r="P199" s="289"/>
      <c r="Q199" s="289"/>
      <c r="R199" s="286" t="str">
        <f t="shared" si="33"/>
        <v>. Fender, FRONT - LEFT</v>
      </c>
      <c r="S199" s="286"/>
      <c r="T199" s="188"/>
      <c r="U199" s="16"/>
      <c r="V199" s="188"/>
      <c r="W199" s="16"/>
      <c r="X199" s="16"/>
      <c r="Y199" s="16"/>
      <c r="Z199" s="10" t="s">
        <v>926</v>
      </c>
      <c r="AA199" s="10" t="s">
        <v>926</v>
      </c>
      <c r="AB199" s="10" t="s">
        <v>926</v>
      </c>
      <c r="AC199" s="193" t="s">
        <v>449</v>
      </c>
      <c r="AD199" s="10"/>
      <c r="AE199" s="98"/>
      <c r="AF199" s="11" t="s">
        <v>927</v>
      </c>
      <c r="AH199" s="3" t="s">
        <v>435</v>
      </c>
      <c r="AJ199" s="69"/>
      <c r="AK199" t="s">
        <v>928</v>
      </c>
      <c r="AN199"/>
      <c r="AO199" t="s">
        <v>411</v>
      </c>
      <c r="AX199" s="16"/>
      <c r="AY199" s="16"/>
      <c r="AZ199" s="232" t="str">
        <f>IF($AX199="Yes",'8. Option Codes Decrypted'!$C$15,"")</f>
        <v/>
      </c>
      <c r="BA199" s="232" t="str">
        <f>IF($AX199="Yes",'8. Option Codes Decrypted'!$C$16,"")</f>
        <v/>
      </c>
      <c r="BB199" s="232" t="str">
        <f>IF($AX199="Yes",'8. Option Codes Decrypted'!$C$17,"")</f>
        <v/>
      </c>
      <c r="BC199" s="232" t="str">
        <f>IF($AX199="Yes",'8. Option Codes Decrypted'!$C$18,"")</f>
        <v/>
      </c>
      <c r="BD199" s="232" t="str">
        <f>IF($AY199="Yes",'8. Option Codes Decrypted'!$C$20,"")</f>
        <v/>
      </c>
      <c r="BE199" s="232" t="str">
        <f>IF($AY199="Yes",'8. Option Codes Decrypted'!$C$21,"")</f>
        <v/>
      </c>
      <c r="BF199" s="232" t="str">
        <f>IF($AY199="Yes",'8. Option Codes Decrypted'!$C$22,"")</f>
        <v/>
      </c>
      <c r="BG199" s="232" t="str">
        <f>IF($AY199="Yes",'8. Option Codes Decrypted'!$C$23,"")</f>
        <v/>
      </c>
    </row>
    <row r="200" spans="1:60" x14ac:dyDescent="0.25">
      <c r="A200" s="232" t="str">
        <f t="shared" si="34"/>
        <v/>
      </c>
      <c r="B200" s="358" t="str">
        <f t="shared" si="45"/>
        <v/>
      </c>
      <c r="C200" s="358" t="str">
        <f t="shared" si="40"/>
        <v/>
      </c>
      <c r="D200" s="358"/>
      <c r="E200" s="358" t="str">
        <f t="shared" si="32"/>
        <v/>
      </c>
      <c r="F200" t="s">
        <v>426</v>
      </c>
      <c r="G200" s="230">
        <v>44670</v>
      </c>
      <c r="H200" s="10"/>
      <c r="I200" s="203"/>
      <c r="J200" s="10" t="s">
        <v>504</v>
      </c>
      <c r="K200" s="10" t="s">
        <v>778</v>
      </c>
      <c r="L200" s="10" t="s">
        <v>929</v>
      </c>
      <c r="M200" s="188" t="s">
        <v>444</v>
      </c>
      <c r="N200" s="188"/>
      <c r="O200" s="289"/>
      <c r="P200" s="289"/>
      <c r="Q200" s="289"/>
      <c r="R200" s="286" t="str">
        <f t="shared" si="33"/>
        <v>. Fender, FRONT - RIGHT</v>
      </c>
      <c r="S200" s="286"/>
      <c r="T200" s="188"/>
      <c r="U200" s="16"/>
      <c r="V200" s="188"/>
      <c r="W200" s="16"/>
      <c r="X200" s="16"/>
      <c r="Y200" s="16"/>
      <c r="Z200" s="10" t="s">
        <v>929</v>
      </c>
      <c r="AA200" s="10" t="s">
        <v>929</v>
      </c>
      <c r="AB200" s="10" t="s">
        <v>929</v>
      </c>
      <c r="AC200" s="193" t="s">
        <v>449</v>
      </c>
      <c r="AD200" s="10"/>
      <c r="AE200" s="10"/>
      <c r="AF200" s="11" t="s">
        <v>927</v>
      </c>
      <c r="AH200" s="3" t="s">
        <v>435</v>
      </c>
      <c r="AJ200" s="69"/>
      <c r="AK200" t="s">
        <v>928</v>
      </c>
      <c r="AN200"/>
      <c r="AO200" t="s">
        <v>411</v>
      </c>
      <c r="AX200" s="16"/>
      <c r="AY200" s="16"/>
      <c r="AZ200" s="232" t="str">
        <f>IF($AX200="Yes",'8. Option Codes Decrypted'!$C$15,"")</f>
        <v/>
      </c>
      <c r="BA200" s="232" t="str">
        <f>IF($AX200="Yes",'8. Option Codes Decrypted'!$C$16,"")</f>
        <v/>
      </c>
      <c r="BB200" s="232" t="str">
        <f>IF($AX200="Yes",'8. Option Codes Decrypted'!$C$17,"")</f>
        <v/>
      </c>
      <c r="BC200" s="232" t="str">
        <f>IF($AX200="Yes",'8. Option Codes Decrypted'!$C$18,"")</f>
        <v/>
      </c>
      <c r="BD200" s="232" t="str">
        <f>IF($AY200="Yes",'8. Option Codes Decrypted'!$C$20,"")</f>
        <v/>
      </c>
      <c r="BE200" s="232" t="str">
        <f>IF($AY200="Yes",'8. Option Codes Decrypted'!$C$21,"")</f>
        <v/>
      </c>
      <c r="BF200" s="232" t="str">
        <f>IF($AY200="Yes",'8. Option Codes Decrypted'!$C$22,"")</f>
        <v/>
      </c>
      <c r="BG200" s="232" t="str">
        <f>IF($AY200="Yes",'8. Option Codes Decrypted'!$C$23,"")</f>
        <v/>
      </c>
    </row>
    <row r="201" spans="1:60" x14ac:dyDescent="0.25">
      <c r="A201" s="232" t="str">
        <f t="shared" si="34"/>
        <v/>
      </c>
      <c r="B201" s="358" t="str">
        <f t="shared" si="45"/>
        <v/>
      </c>
      <c r="C201" s="358" t="str">
        <f t="shared" si="40"/>
        <v/>
      </c>
      <c r="D201" s="358"/>
      <c r="E201" s="358" t="str">
        <f t="shared" ref="E201:E264" si="46">IF(B201&lt;&gt;"",COUNTIF($B$9:$B$2175,B201),"")</f>
        <v/>
      </c>
      <c r="F201" t="s">
        <v>426</v>
      </c>
      <c r="G201" s="230">
        <v>44683</v>
      </c>
      <c r="H201" s="10"/>
      <c r="I201" s="203"/>
      <c r="J201" s="10" t="s">
        <v>504</v>
      </c>
      <c r="K201" s="10" t="s">
        <v>778</v>
      </c>
      <c r="L201" s="10" t="s">
        <v>930</v>
      </c>
      <c r="M201" s="16" t="s">
        <v>430</v>
      </c>
      <c r="N201" s="16"/>
      <c r="O201" s="191"/>
      <c r="P201" s="191"/>
      <c r="Q201" s="191"/>
      <c r="R201" s="286" t="str">
        <f t="shared" ref="R201:R264" si="47">CONCATENATE(O201,". ",Z201)</f>
        <v>. Gas Cap</v>
      </c>
      <c r="S201" s="286"/>
      <c r="T201" s="16"/>
      <c r="U201" s="16"/>
      <c r="V201" s="16"/>
      <c r="W201" s="16"/>
      <c r="X201" s="16"/>
      <c r="Y201" s="16"/>
      <c r="Z201" s="10" t="s">
        <v>930</v>
      </c>
      <c r="AA201" s="10" t="s">
        <v>930</v>
      </c>
      <c r="AB201" s="10" t="s">
        <v>930</v>
      </c>
      <c r="AC201" s="193" t="s">
        <v>449</v>
      </c>
      <c r="AD201" s="10"/>
      <c r="AE201" s="10"/>
      <c r="AF201" s="200" t="s">
        <v>434</v>
      </c>
      <c r="AH201" s="3" t="s">
        <v>435</v>
      </c>
      <c r="AJ201" s="69"/>
      <c r="AK201" t="s">
        <v>931</v>
      </c>
      <c r="AN201"/>
      <c r="AX201" s="16"/>
      <c r="AY201" s="16"/>
      <c r="AZ201" s="232" t="str">
        <f>IF($AX201="Yes",'8. Option Codes Decrypted'!$C$15,"")</f>
        <v/>
      </c>
      <c r="BA201" s="232" t="str">
        <f>IF($AX201="Yes",'8. Option Codes Decrypted'!$C$16,"")</f>
        <v/>
      </c>
      <c r="BB201" s="232" t="str">
        <f>IF($AX201="Yes",'8. Option Codes Decrypted'!$C$17,"")</f>
        <v/>
      </c>
      <c r="BC201" s="232" t="str">
        <f>IF($AX201="Yes",'8. Option Codes Decrypted'!$C$18,"")</f>
        <v/>
      </c>
      <c r="BD201" s="232" t="str">
        <f>IF($AY201="Yes",'8. Option Codes Decrypted'!$C$20,"")</f>
        <v/>
      </c>
      <c r="BE201" s="232" t="str">
        <f>IF($AY201="Yes",'8. Option Codes Decrypted'!$C$21,"")</f>
        <v/>
      </c>
      <c r="BF201" s="232" t="str">
        <f>IF($AY201="Yes",'8. Option Codes Decrypted'!$C$22,"")</f>
        <v/>
      </c>
      <c r="BG201" s="232" t="str">
        <f>IF($AY201="Yes",'8. Option Codes Decrypted'!$C$23,"")</f>
        <v/>
      </c>
    </row>
    <row r="202" spans="1:60" x14ac:dyDescent="0.25">
      <c r="A202" s="232" t="str">
        <f t="shared" ref="A202:A265" si="48">IF(O202&lt;&gt;"",O202,"")</f>
        <v/>
      </c>
      <c r="B202" s="358" t="str">
        <f t="shared" si="45"/>
        <v/>
      </c>
      <c r="C202" s="358" t="str">
        <f t="shared" ref="C202:C233" si="49">IF(AS202&lt;&gt;"",AS202,"")</f>
        <v/>
      </c>
      <c r="D202" s="358"/>
      <c r="E202" s="358" t="str">
        <f t="shared" si="46"/>
        <v/>
      </c>
      <c r="F202" t="s">
        <v>426</v>
      </c>
      <c r="G202" s="230">
        <v>44684</v>
      </c>
      <c r="H202" s="10"/>
      <c r="I202" s="203"/>
      <c r="J202" s="10" t="s">
        <v>504</v>
      </c>
      <c r="K202" s="10" t="s">
        <v>778</v>
      </c>
      <c r="L202" s="10" t="s">
        <v>932</v>
      </c>
      <c r="M202" s="16" t="s">
        <v>430</v>
      </c>
      <c r="N202" s="16"/>
      <c r="O202" s="191"/>
      <c r="P202" s="191"/>
      <c r="Q202" s="191"/>
      <c r="R202" s="286" t="str">
        <f t="shared" si="47"/>
        <v>. License Plate Mounts (TOSS BOTH - front &amp; rear)</v>
      </c>
      <c r="S202" s="286"/>
      <c r="T202" s="16"/>
      <c r="U202" s="16"/>
      <c r="V202" s="16"/>
      <c r="W202" s="16"/>
      <c r="X202" s="16"/>
      <c r="Y202" s="16"/>
      <c r="Z202" s="10" t="s">
        <v>932</v>
      </c>
      <c r="AA202" s="10" t="s">
        <v>932</v>
      </c>
      <c r="AB202" s="10" t="s">
        <v>932</v>
      </c>
      <c r="AC202" s="193" t="s">
        <v>449</v>
      </c>
      <c r="AD202" s="10"/>
      <c r="AE202" s="10"/>
      <c r="AF202" s="200" t="s">
        <v>434</v>
      </c>
      <c r="AH202" s="3" t="s">
        <v>435</v>
      </c>
      <c r="AJ202" s="69"/>
      <c r="AK202" t="s">
        <v>933</v>
      </c>
      <c r="AN202"/>
      <c r="AX202" s="16"/>
      <c r="AY202" s="16"/>
      <c r="AZ202" s="232" t="str">
        <f>IF($AX202="Yes",'8. Option Codes Decrypted'!$C$15,"")</f>
        <v/>
      </c>
      <c r="BA202" s="232" t="str">
        <f>IF($AX202="Yes",'8. Option Codes Decrypted'!$C$16,"")</f>
        <v/>
      </c>
      <c r="BB202" s="232" t="str">
        <f>IF($AX202="Yes",'8. Option Codes Decrypted'!$C$17,"")</f>
        <v/>
      </c>
      <c r="BC202" s="232" t="str">
        <f>IF($AX202="Yes",'8. Option Codes Decrypted'!$C$18,"")</f>
        <v/>
      </c>
      <c r="BD202" s="232" t="str">
        <f>IF($AY202="Yes",'8. Option Codes Decrypted'!$C$20,"")</f>
        <v/>
      </c>
      <c r="BE202" s="232" t="str">
        <f>IF($AY202="Yes",'8. Option Codes Decrypted'!$C$21,"")</f>
        <v/>
      </c>
      <c r="BF202" s="232" t="str">
        <f>IF($AY202="Yes",'8. Option Codes Decrypted'!$C$22,"")</f>
        <v/>
      </c>
      <c r="BG202" s="232" t="str">
        <f>IF($AY202="Yes",'8. Option Codes Decrypted'!$C$23,"")</f>
        <v/>
      </c>
    </row>
    <row r="203" spans="1:60" x14ac:dyDescent="0.25">
      <c r="A203" s="232" t="str">
        <f t="shared" si="48"/>
        <v/>
      </c>
      <c r="B203" s="358" t="str">
        <f t="shared" si="45"/>
        <v/>
      </c>
      <c r="C203" s="358" t="str">
        <f t="shared" si="49"/>
        <v/>
      </c>
      <c r="D203" s="358"/>
      <c r="E203" s="358" t="str">
        <f t="shared" si="46"/>
        <v/>
      </c>
      <c r="F203" t="s">
        <v>426</v>
      </c>
      <c r="G203" s="230">
        <v>44683</v>
      </c>
      <c r="H203" s="10"/>
      <c r="I203" s="203"/>
      <c r="J203" s="10" t="s">
        <v>504</v>
      </c>
      <c r="K203" s="10" t="s">
        <v>778</v>
      </c>
      <c r="L203" s="10" t="s">
        <v>934</v>
      </c>
      <c r="M203" s="16" t="s">
        <v>430</v>
      </c>
      <c r="N203" s="16"/>
      <c r="O203" s="191"/>
      <c r="P203" s="191"/>
      <c r="Q203" s="191"/>
      <c r="R203" s="286" t="str">
        <f t="shared" si="47"/>
        <v>. Reflectors, FENDER (TOSS BOTH)</v>
      </c>
      <c r="S203" s="286"/>
      <c r="T203" s="16"/>
      <c r="U203" s="16"/>
      <c r="V203" s="16"/>
      <c r="W203" s="16"/>
      <c r="X203" s="16"/>
      <c r="Y203" s="16"/>
      <c r="Z203" s="10" t="s">
        <v>934</v>
      </c>
      <c r="AA203" s="10" t="s">
        <v>934</v>
      </c>
      <c r="AB203" s="10" t="s">
        <v>934</v>
      </c>
      <c r="AC203" s="193" t="s">
        <v>449</v>
      </c>
      <c r="AD203" s="10"/>
      <c r="AE203" s="10"/>
      <c r="AF203" s="200" t="s">
        <v>434</v>
      </c>
      <c r="AH203" s="3" t="s">
        <v>435</v>
      </c>
      <c r="AJ203" s="69"/>
      <c r="AK203" t="s">
        <v>935</v>
      </c>
      <c r="AL203" t="s">
        <v>936</v>
      </c>
      <c r="AN203"/>
      <c r="AX203" s="16"/>
      <c r="AY203" s="16"/>
      <c r="AZ203" s="232" t="str">
        <f>IF($AX203="Yes",'8. Option Codes Decrypted'!$C$15,"")</f>
        <v/>
      </c>
      <c r="BA203" s="232" t="str">
        <f>IF($AX203="Yes",'8. Option Codes Decrypted'!$C$16,"")</f>
        <v/>
      </c>
      <c r="BB203" s="232" t="str">
        <f>IF($AX203="Yes",'8. Option Codes Decrypted'!$C$17,"")</f>
        <v/>
      </c>
      <c r="BC203" s="232" t="str">
        <f>IF($AX203="Yes",'8. Option Codes Decrypted'!$C$18,"")</f>
        <v/>
      </c>
      <c r="BD203" s="232" t="str">
        <f>IF($AY203="Yes",'8. Option Codes Decrypted'!$C$20,"")</f>
        <v/>
      </c>
      <c r="BE203" s="232" t="str">
        <f>IF($AY203="Yes",'8. Option Codes Decrypted'!$C$21,"")</f>
        <v/>
      </c>
      <c r="BF203" s="232" t="str">
        <f>IF($AY203="Yes",'8. Option Codes Decrypted'!$C$22,"")</f>
        <v/>
      </c>
      <c r="BG203" s="232" t="str">
        <f>IF($AY203="Yes",'8. Option Codes Decrypted'!$C$23,"")</f>
        <v/>
      </c>
    </row>
    <row r="204" spans="1:60" x14ac:dyDescent="0.25">
      <c r="A204" s="232" t="str">
        <f t="shared" si="48"/>
        <v/>
      </c>
      <c r="B204" s="358" t="str">
        <f t="shared" si="45"/>
        <v/>
      </c>
      <c r="C204" s="358" t="str">
        <f t="shared" si="49"/>
        <v/>
      </c>
      <c r="D204" s="358"/>
      <c r="E204" s="358" t="str">
        <f t="shared" si="46"/>
        <v/>
      </c>
      <c r="F204" t="s">
        <v>426</v>
      </c>
      <c r="G204" s="230">
        <v>44680</v>
      </c>
      <c r="H204" s="10"/>
      <c r="I204" s="203"/>
      <c r="J204" s="10" t="s">
        <v>504</v>
      </c>
      <c r="K204" s="10" t="s">
        <v>778</v>
      </c>
      <c r="L204" s="10" t="s">
        <v>937</v>
      </c>
      <c r="M204" s="16" t="s">
        <v>430</v>
      </c>
      <c r="N204" s="16"/>
      <c r="O204" s="191"/>
      <c r="P204" s="191"/>
      <c r="Q204" s="191"/>
      <c r="R204" s="286" t="str">
        <f t="shared" si="47"/>
        <v>. Roof Rails, FRONT-TO-BACK (the big long ones black in color - CHECK BOX any other style)</v>
      </c>
      <c r="S204" s="286"/>
      <c r="T204" s="16"/>
      <c r="U204" s="16"/>
      <c r="V204" s="16"/>
      <c r="W204" s="16"/>
      <c r="X204" s="16"/>
      <c r="Y204" s="16"/>
      <c r="Z204" s="10" t="s">
        <v>937</v>
      </c>
      <c r="AA204" s="10" t="s">
        <v>937</v>
      </c>
      <c r="AB204" s="10" t="s">
        <v>937</v>
      </c>
      <c r="AC204" s="193" t="s">
        <v>449</v>
      </c>
      <c r="AD204" s="10"/>
      <c r="AE204" s="98"/>
      <c r="AF204" s="200" t="s">
        <v>434</v>
      </c>
      <c r="AH204" s="3" t="s">
        <v>435</v>
      </c>
      <c r="AJ204" s="69"/>
      <c r="AK204" t="s">
        <v>911</v>
      </c>
      <c r="AN204"/>
      <c r="AX204" s="16"/>
      <c r="AY204" s="16"/>
      <c r="AZ204" s="232" t="str">
        <f>IF($AX204="Yes",'8. Option Codes Decrypted'!$C$15,"")</f>
        <v/>
      </c>
      <c r="BA204" s="232" t="str">
        <f>IF($AX204="Yes",'8. Option Codes Decrypted'!$C$16,"")</f>
        <v/>
      </c>
      <c r="BB204" s="232" t="str">
        <f>IF($AX204="Yes",'8. Option Codes Decrypted'!$C$17,"")</f>
        <v/>
      </c>
      <c r="BC204" s="232" t="str">
        <f>IF($AX204="Yes",'8. Option Codes Decrypted'!$C$18,"")</f>
        <v/>
      </c>
      <c r="BD204" s="232" t="str">
        <f>IF($AY204="Yes",'8. Option Codes Decrypted'!$C$20,"")</f>
        <v/>
      </c>
      <c r="BE204" s="232" t="str">
        <f>IF($AY204="Yes",'8. Option Codes Decrypted'!$C$21,"")</f>
        <v/>
      </c>
      <c r="BF204" s="232" t="str">
        <f>IF($AY204="Yes",'8. Option Codes Decrypted'!$C$22,"")</f>
        <v/>
      </c>
      <c r="BG204" s="232" t="str">
        <f>IF($AY204="Yes",'8. Option Codes Decrypted'!$C$23,"")</f>
        <v/>
      </c>
    </row>
    <row r="205" spans="1:60" x14ac:dyDescent="0.25">
      <c r="A205" s="232" t="str">
        <f t="shared" si="48"/>
        <v/>
      </c>
      <c r="B205" s="358" t="str">
        <f t="shared" si="45"/>
        <v/>
      </c>
      <c r="C205" s="358" t="str">
        <f t="shared" si="49"/>
        <v/>
      </c>
      <c r="D205" s="358"/>
      <c r="E205" s="358" t="str">
        <f t="shared" si="46"/>
        <v/>
      </c>
      <c r="F205" t="s">
        <v>426</v>
      </c>
      <c r="G205" s="230">
        <v>44680</v>
      </c>
      <c r="H205" s="10"/>
      <c r="I205" s="203"/>
      <c r="J205" s="10" t="s">
        <v>504</v>
      </c>
      <c r="K205" s="10" t="s">
        <v>778</v>
      </c>
      <c r="L205" s="10" t="s">
        <v>938</v>
      </c>
      <c r="M205" s="18" t="s">
        <v>510</v>
      </c>
      <c r="N205" s="18"/>
      <c r="O205" s="290"/>
      <c r="P205" s="290"/>
      <c r="Q205" s="290"/>
      <c r="R205" s="286" t="str">
        <f t="shared" si="47"/>
        <v>. Shark Fin Cover &amp; Roof Antenna Module (TOSS BOTH)</v>
      </c>
      <c r="S205" s="286"/>
      <c r="T205" s="18"/>
      <c r="U205" s="16"/>
      <c r="V205" s="18"/>
      <c r="W205" s="16"/>
      <c r="X205" s="16"/>
      <c r="Y205" s="16"/>
      <c r="Z205" s="10" t="s">
        <v>938</v>
      </c>
      <c r="AA205" s="10" t="s">
        <v>938</v>
      </c>
      <c r="AB205" s="10" t="s">
        <v>938</v>
      </c>
      <c r="AC205" s="193" t="s">
        <v>449</v>
      </c>
      <c r="AD205" s="10"/>
      <c r="AE205" s="98"/>
      <c r="AF205" s="200" t="s">
        <v>434</v>
      </c>
      <c r="AH205" s="3" t="s">
        <v>435</v>
      </c>
      <c r="AJ205" s="69"/>
      <c r="AK205" t="s">
        <v>939</v>
      </c>
      <c r="AN205"/>
      <c r="AX205" s="16"/>
      <c r="AY205" s="16"/>
      <c r="AZ205" s="232" t="str">
        <f>IF($AX205="Yes",'8. Option Codes Decrypted'!$C$15,"")</f>
        <v/>
      </c>
      <c r="BA205" s="232" t="str">
        <f>IF($AX205="Yes",'8. Option Codes Decrypted'!$C$16,"")</f>
        <v/>
      </c>
      <c r="BB205" s="232" t="str">
        <f>IF($AX205="Yes",'8. Option Codes Decrypted'!$C$17,"")</f>
        <v/>
      </c>
      <c r="BC205" s="232" t="str">
        <f>IF($AX205="Yes",'8. Option Codes Decrypted'!$C$18,"")</f>
        <v/>
      </c>
      <c r="BD205" s="232" t="str">
        <f>IF($AY205="Yes",'8. Option Codes Decrypted'!$C$20,"")</f>
        <v/>
      </c>
      <c r="BE205" s="232" t="str">
        <f>IF($AY205="Yes",'8. Option Codes Decrypted'!$C$21,"")</f>
        <v/>
      </c>
      <c r="BF205" s="232" t="str">
        <f>IF($AY205="Yes",'8. Option Codes Decrypted'!$C$22,"")</f>
        <v/>
      </c>
      <c r="BG205" s="232" t="str">
        <f>IF($AY205="Yes",'8. Option Codes Decrypted'!$C$23,"")</f>
        <v/>
      </c>
    </row>
    <row r="206" spans="1:60" x14ac:dyDescent="0.25">
      <c r="A206" s="232" t="str">
        <f t="shared" si="48"/>
        <v/>
      </c>
      <c r="B206" s="358" t="str">
        <f t="shared" si="45"/>
        <v/>
      </c>
      <c r="C206" s="358" t="str">
        <f t="shared" si="49"/>
        <v/>
      </c>
      <c r="D206" s="358"/>
      <c r="E206" s="358" t="str">
        <f t="shared" si="46"/>
        <v/>
      </c>
      <c r="F206" t="s">
        <v>508</v>
      </c>
      <c r="G206" s="230">
        <v>44993</v>
      </c>
      <c r="H206" s="10"/>
      <c r="I206" s="203"/>
      <c r="J206" s="10" t="s">
        <v>504</v>
      </c>
      <c r="K206" s="10" t="s">
        <v>778</v>
      </c>
      <c r="L206" s="10" t="s">
        <v>940</v>
      </c>
      <c r="M206" s="188" t="s">
        <v>444</v>
      </c>
      <c r="N206" s="188"/>
      <c r="O206" s="289"/>
      <c r="P206" s="289"/>
      <c r="Q206" s="289"/>
      <c r="R206" s="286" t="str">
        <f t="shared" si="47"/>
        <v>. Spoiler Winglet Molding (Toss Both)</v>
      </c>
      <c r="S206" s="286"/>
      <c r="T206" s="188"/>
      <c r="U206" s="16"/>
      <c r="V206" s="188"/>
      <c r="W206" s="16"/>
      <c r="X206" s="16"/>
      <c r="Y206" s="16"/>
      <c r="Z206" s="10" t="s">
        <v>940</v>
      </c>
      <c r="AA206" s="10" t="s">
        <v>940</v>
      </c>
      <c r="AB206" s="10" t="s">
        <v>940</v>
      </c>
      <c r="AC206" s="193" t="s">
        <v>449</v>
      </c>
      <c r="AD206" s="10">
        <v>51627304605</v>
      </c>
      <c r="AE206" s="10"/>
      <c r="AF206" s="200" t="s">
        <v>434</v>
      </c>
      <c r="AH206" s="3" t="s">
        <v>435</v>
      </c>
      <c r="AJ206" s="69"/>
      <c r="AK206" t="s">
        <v>941</v>
      </c>
      <c r="AN206"/>
      <c r="AX206" s="16"/>
      <c r="AY206" s="16"/>
      <c r="AZ206" s="232" t="str">
        <f>IF($AX206="Yes",'8. Option Codes Decrypted'!$C$15,"")</f>
        <v/>
      </c>
      <c r="BA206" s="232" t="str">
        <f>IF($AX206="Yes",'8. Option Codes Decrypted'!$C$16,"")</f>
        <v/>
      </c>
      <c r="BB206" s="232" t="str">
        <f>IF($AX206="Yes",'8. Option Codes Decrypted'!$C$17,"")</f>
        <v/>
      </c>
      <c r="BC206" s="232" t="str">
        <f>IF($AX206="Yes",'8. Option Codes Decrypted'!$C$18,"")</f>
        <v/>
      </c>
      <c r="BD206" s="232" t="str">
        <f>IF($AY206="Yes",'8. Option Codes Decrypted'!$C$20,"")</f>
        <v/>
      </c>
      <c r="BE206" s="232" t="str">
        <f>IF($AY206="Yes",'8. Option Codes Decrypted'!$C$21,"")</f>
        <v/>
      </c>
      <c r="BF206" s="232" t="str">
        <f>IF($AY206="Yes",'8. Option Codes Decrypted'!$C$22,"")</f>
        <v/>
      </c>
      <c r="BG206" s="232" t="str">
        <f>IF($AY206="Yes",'8. Option Codes Decrypted'!$C$23,"")</f>
        <v/>
      </c>
    </row>
    <row r="207" spans="1:60" x14ac:dyDescent="0.25">
      <c r="A207" s="232" t="str">
        <f t="shared" si="48"/>
        <v/>
      </c>
      <c r="B207" s="358" t="str">
        <f t="shared" si="45"/>
        <v/>
      </c>
      <c r="C207" s="358" t="str">
        <f t="shared" si="49"/>
        <v/>
      </c>
      <c r="D207" s="358"/>
      <c r="E207" s="358" t="str">
        <f t="shared" si="46"/>
        <v/>
      </c>
      <c r="F207" t="s">
        <v>508</v>
      </c>
      <c r="G207" s="230">
        <v>44998</v>
      </c>
      <c r="H207" s="10"/>
      <c r="I207" s="203"/>
      <c r="J207" s="10" t="s">
        <v>504</v>
      </c>
      <c r="K207" s="10" t="s">
        <v>778</v>
      </c>
      <c r="L207" s="10" t="s">
        <v>942</v>
      </c>
      <c r="M207" s="16" t="s">
        <v>430</v>
      </c>
      <c r="N207" s="16"/>
      <c r="O207" s="191"/>
      <c r="P207" s="191"/>
      <c r="Q207" s="191"/>
      <c r="R207" s="286" t="str">
        <f t="shared" si="47"/>
        <v>. Tow Hook</v>
      </c>
      <c r="S207" s="286"/>
      <c r="T207" s="16"/>
      <c r="U207" s="16"/>
      <c r="V207" s="16"/>
      <c r="W207" s="16"/>
      <c r="X207" s="16"/>
      <c r="Y207" s="16"/>
      <c r="Z207" s="10" t="s">
        <v>942</v>
      </c>
      <c r="AA207" s="10" t="s">
        <v>942</v>
      </c>
      <c r="AB207" s="10" t="s">
        <v>942</v>
      </c>
      <c r="AC207" s="193" t="s">
        <v>449</v>
      </c>
      <c r="AD207" s="10"/>
      <c r="AE207" s="98"/>
      <c r="AF207" s="200" t="s">
        <v>434</v>
      </c>
      <c r="AH207" s="3" t="s">
        <v>435</v>
      </c>
      <c r="AJ207" s="69"/>
      <c r="AK207" t="s">
        <v>943</v>
      </c>
      <c r="AN207"/>
      <c r="AX207" s="16"/>
      <c r="AY207" s="16"/>
      <c r="AZ207" s="232" t="str">
        <f>IF($AX207="Yes",'8. Option Codes Decrypted'!$C$15,"")</f>
        <v/>
      </c>
      <c r="BA207" s="232" t="str">
        <f>IF($AX207="Yes",'8. Option Codes Decrypted'!$C$16,"")</f>
        <v/>
      </c>
      <c r="BB207" s="232" t="str">
        <f>IF($AX207="Yes",'8. Option Codes Decrypted'!$C$17,"")</f>
        <v/>
      </c>
      <c r="BC207" s="232" t="str">
        <f>IF($AX207="Yes",'8. Option Codes Decrypted'!$C$18,"")</f>
        <v/>
      </c>
      <c r="BD207" s="232" t="str">
        <f>IF($AY207="Yes",'8. Option Codes Decrypted'!$C$20,"")</f>
        <v/>
      </c>
      <c r="BE207" s="232" t="str">
        <f>IF($AY207="Yes",'8. Option Codes Decrypted'!$C$21,"")</f>
        <v/>
      </c>
      <c r="BF207" s="232" t="str">
        <f>IF($AY207="Yes",'8. Option Codes Decrypted'!$C$22,"")</f>
        <v/>
      </c>
      <c r="BG207" s="232" t="str">
        <f>IF($AY207="Yes",'8. Option Codes Decrypted'!$C$23,"")</f>
        <v/>
      </c>
    </row>
    <row r="208" spans="1:60" x14ac:dyDescent="0.25">
      <c r="A208" s="232" t="str">
        <f t="shared" si="48"/>
        <v/>
      </c>
      <c r="B208" s="358" t="str">
        <f t="shared" si="45"/>
        <v/>
      </c>
      <c r="C208" s="358" t="str">
        <f t="shared" si="49"/>
        <v/>
      </c>
      <c r="D208" s="358"/>
      <c r="E208" s="358" t="str">
        <f t="shared" si="46"/>
        <v/>
      </c>
      <c r="F208" t="s">
        <v>508</v>
      </c>
      <c r="G208" s="230">
        <v>44811</v>
      </c>
      <c r="H208" s="175"/>
      <c r="I208" s="175"/>
      <c r="J208" s="199" t="s">
        <v>504</v>
      </c>
      <c r="K208" s="199" t="s">
        <v>778</v>
      </c>
      <c r="L208" s="10" t="s">
        <v>944</v>
      </c>
      <c r="M208" s="16" t="s">
        <v>430</v>
      </c>
      <c r="N208" s="16"/>
      <c r="O208" s="191"/>
      <c r="P208" s="191"/>
      <c r="Q208" s="191"/>
      <c r="R208" s="286" t="str">
        <f t="shared" si="47"/>
        <v>. Tow Hook Cover, Rear &amp; Front (TOSS Both)</v>
      </c>
      <c r="S208" s="286"/>
      <c r="T208" s="16"/>
      <c r="U208" s="16"/>
      <c r="V208" s="16"/>
      <c r="W208" s="16"/>
      <c r="X208" s="16"/>
      <c r="Y208" s="16"/>
      <c r="Z208" s="10" t="s">
        <v>944</v>
      </c>
      <c r="AA208" s="10" t="s">
        <v>944</v>
      </c>
      <c r="AB208" s="10" t="s">
        <v>944</v>
      </c>
      <c r="AC208" s="193" t="s">
        <v>449</v>
      </c>
      <c r="AD208" s="199"/>
      <c r="AE208" s="199"/>
      <c r="AF208" s="200" t="s">
        <v>434</v>
      </c>
      <c r="AH208" s="3" t="s">
        <v>945</v>
      </c>
      <c r="AJ208" s="69"/>
      <c r="AK208">
        <v>7294398</v>
      </c>
      <c r="AN208"/>
      <c r="AX208" s="16"/>
      <c r="AY208" s="16"/>
      <c r="AZ208" s="232" t="str">
        <f>IF($AX208="Yes",'8. Option Codes Decrypted'!$C$15,"")</f>
        <v/>
      </c>
      <c r="BA208" s="232" t="str">
        <f>IF($AX208="Yes",'8. Option Codes Decrypted'!$C$16,"")</f>
        <v/>
      </c>
      <c r="BB208" s="232" t="str">
        <f>IF($AX208="Yes",'8. Option Codes Decrypted'!$C$17,"")</f>
        <v/>
      </c>
      <c r="BC208" s="232" t="str">
        <f>IF($AX208="Yes",'8. Option Codes Decrypted'!$C$18,"")</f>
        <v/>
      </c>
      <c r="BD208" s="232" t="str">
        <f>IF($AY208="Yes",'8. Option Codes Decrypted'!$C$20,"")</f>
        <v/>
      </c>
      <c r="BE208" s="232" t="str">
        <f>IF($AY208="Yes",'8. Option Codes Decrypted'!$C$21,"")</f>
        <v/>
      </c>
      <c r="BF208" s="232" t="str">
        <f>IF($AY208="Yes",'8. Option Codes Decrypted'!$C$22,"")</f>
        <v/>
      </c>
      <c r="BG208" s="232" t="str">
        <f>IF($AY208="Yes",'8. Option Codes Decrypted'!$C$23,"")</f>
        <v/>
      </c>
    </row>
    <row r="209" spans="1:60" x14ac:dyDescent="0.25">
      <c r="A209" s="232" t="str">
        <f t="shared" si="48"/>
        <v/>
      </c>
      <c r="B209" s="358" t="str">
        <f t="shared" si="45"/>
        <v/>
      </c>
      <c r="C209" s="358" t="str">
        <f t="shared" si="49"/>
        <v/>
      </c>
      <c r="D209" s="358"/>
      <c r="E209" s="358" t="str">
        <f t="shared" si="46"/>
        <v/>
      </c>
      <c r="F209" t="s">
        <v>508</v>
      </c>
      <c r="G209" s="230">
        <v>44993</v>
      </c>
      <c r="H209" s="10"/>
      <c r="I209" s="203"/>
      <c r="J209" s="199" t="s">
        <v>504</v>
      </c>
      <c r="K209" s="10" t="s">
        <v>778</v>
      </c>
      <c r="L209" s="10" t="s">
        <v>946</v>
      </c>
      <c r="M209" s="16" t="s">
        <v>430</v>
      </c>
      <c r="N209" s="16"/>
      <c r="O209" s="191"/>
      <c r="P209" s="191"/>
      <c r="Q209" s="191"/>
      <c r="R209" s="286" t="str">
        <f t="shared" si="47"/>
        <v>. Towing Hook Eye</v>
      </c>
      <c r="S209" s="286"/>
      <c r="T209" s="16"/>
      <c r="U209" s="16"/>
      <c r="V209" s="16"/>
      <c r="W209" s="16"/>
      <c r="X209" s="16"/>
      <c r="Y209" s="16"/>
      <c r="Z209" s="10" t="s">
        <v>946</v>
      </c>
      <c r="AA209" s="10" t="s">
        <v>946</v>
      </c>
      <c r="AB209" s="10" t="s">
        <v>946</v>
      </c>
      <c r="AC209" s="193" t="s">
        <v>449</v>
      </c>
      <c r="AD209" s="10"/>
      <c r="AE209" s="10"/>
      <c r="AF209" s="200" t="s">
        <v>434</v>
      </c>
      <c r="AH209" s="3" t="s">
        <v>435</v>
      </c>
      <c r="AJ209" s="69"/>
      <c r="AK209" t="s">
        <v>947</v>
      </c>
      <c r="AN209"/>
      <c r="AX209" s="16"/>
      <c r="AY209" s="16"/>
      <c r="AZ209" s="232" t="str">
        <f>IF($AX209="Yes",'8. Option Codes Decrypted'!$C$15,"")</f>
        <v/>
      </c>
      <c r="BA209" s="232" t="str">
        <f>IF($AX209="Yes",'8. Option Codes Decrypted'!$C$16,"")</f>
        <v/>
      </c>
      <c r="BB209" s="232" t="str">
        <f>IF($AX209="Yes",'8. Option Codes Decrypted'!$C$17,"")</f>
        <v/>
      </c>
      <c r="BC209" s="232" t="str">
        <f>IF($AX209="Yes",'8. Option Codes Decrypted'!$C$18,"")</f>
        <v/>
      </c>
      <c r="BD209" s="232" t="str">
        <f>IF($AY209="Yes",'8. Option Codes Decrypted'!$C$20,"")</f>
        <v/>
      </c>
      <c r="BE209" s="232" t="str">
        <f>IF($AY209="Yes",'8. Option Codes Decrypted'!$C$21,"")</f>
        <v/>
      </c>
      <c r="BF209" s="232" t="str">
        <f>IF($AY209="Yes",'8. Option Codes Decrypted'!$C$22,"")</f>
        <v/>
      </c>
      <c r="BG209" s="232" t="str">
        <f>IF($AY209="Yes",'8. Option Codes Decrypted'!$C$23,"")</f>
        <v/>
      </c>
    </row>
    <row r="210" spans="1:60" x14ac:dyDescent="0.25">
      <c r="A210" s="232" t="str">
        <f t="shared" si="48"/>
        <v/>
      </c>
      <c r="B210" s="358" t="str">
        <f t="shared" si="45"/>
        <v/>
      </c>
      <c r="C210" s="358" t="str">
        <f t="shared" si="49"/>
        <v/>
      </c>
      <c r="D210" s="358"/>
      <c r="E210" s="358" t="str">
        <f t="shared" si="46"/>
        <v/>
      </c>
      <c r="F210" t="s">
        <v>563</v>
      </c>
      <c r="G210" s="204"/>
      <c r="H210" s="185"/>
      <c r="I210" s="184"/>
      <c r="J210" s="100" t="s">
        <v>564</v>
      </c>
      <c r="K210" s="100" t="s">
        <v>161</v>
      </c>
      <c r="L210" s="100" t="s">
        <v>948</v>
      </c>
      <c r="M210" s="16" t="s">
        <v>430</v>
      </c>
      <c r="N210" s="16"/>
      <c r="O210" s="191"/>
      <c r="P210" s="191"/>
      <c r="Q210" s="191"/>
      <c r="R210" s="286" t="str">
        <f t="shared" si="47"/>
        <v>. Wiper Squirter Nozzles SET2 WITH Hose (ENF 4/19 - we should check this…several actives up past $100 so may sell)</v>
      </c>
      <c r="S210" s="286"/>
      <c r="T210" s="16"/>
      <c r="U210" s="16"/>
      <c r="V210" s="16"/>
      <c r="W210" s="16"/>
      <c r="X210" s="16"/>
      <c r="Y210" s="16"/>
      <c r="Z210" s="100" t="s">
        <v>948</v>
      </c>
      <c r="AA210" s="100" t="s">
        <v>948</v>
      </c>
      <c r="AB210" s="100" t="s">
        <v>949</v>
      </c>
      <c r="AC210" s="198"/>
      <c r="AD210" s="100"/>
      <c r="AE210" s="100"/>
      <c r="AF210" s="154"/>
      <c r="AG210" s="151"/>
      <c r="AH210" s="206"/>
      <c r="AI210" s="204"/>
      <c r="AJ210" s="152"/>
      <c r="AK210" s="204"/>
      <c r="AL210" s="204"/>
      <c r="AM210" s="204"/>
      <c r="AN210"/>
      <c r="AX210" s="16"/>
      <c r="AY210" s="16"/>
      <c r="AZ210" s="232" t="str">
        <f>IF($AX210="Yes",'8. Option Codes Decrypted'!$C$15,"")</f>
        <v/>
      </c>
      <c r="BA210" s="232" t="str">
        <f>IF($AX210="Yes",'8. Option Codes Decrypted'!$C$16,"")</f>
        <v/>
      </c>
      <c r="BB210" s="232" t="str">
        <f>IF($AX210="Yes",'8. Option Codes Decrypted'!$C$17,"")</f>
        <v/>
      </c>
      <c r="BC210" s="232" t="str">
        <f>IF($AX210="Yes",'8. Option Codes Decrypted'!$C$18,"")</f>
        <v/>
      </c>
      <c r="BD210" s="232" t="str">
        <f>IF($AY210="Yes",'8. Option Codes Decrypted'!$C$20,"")</f>
        <v/>
      </c>
      <c r="BE210" s="232" t="str">
        <f>IF($AY210="Yes",'8. Option Codes Decrypted'!$C$21,"")</f>
        <v/>
      </c>
      <c r="BF210" s="232" t="str">
        <f>IF($AY210="Yes",'8. Option Codes Decrypted'!$C$22,"")</f>
        <v/>
      </c>
      <c r="BG210" s="232" t="str">
        <f>IF($AY210="Yes",'8. Option Codes Decrypted'!$C$23,"")</f>
        <v/>
      </c>
    </row>
    <row r="211" spans="1:60" s="232" customFormat="1" x14ac:dyDescent="0.25">
      <c r="A211" s="232" t="str">
        <f t="shared" si="48"/>
        <v/>
      </c>
      <c r="B211" s="358" t="str">
        <f t="shared" si="45"/>
        <v>118-999779</v>
      </c>
      <c r="C211" s="358" t="str">
        <f t="shared" si="49"/>
        <v/>
      </c>
      <c r="D211" s="358"/>
      <c r="E211" s="358">
        <f t="shared" si="46"/>
        <v>2</v>
      </c>
      <c r="F211" s="232" t="s">
        <v>426</v>
      </c>
      <c r="G211" s="241">
        <v>44683</v>
      </c>
      <c r="H211" s="256"/>
      <c r="I211" s="235"/>
      <c r="J211" s="250" t="s">
        <v>427</v>
      </c>
      <c r="K211" s="250" t="s">
        <v>161</v>
      </c>
      <c r="L211" s="250" t="s">
        <v>950</v>
      </c>
      <c r="M211" s="259" t="s">
        <v>458</v>
      </c>
      <c r="N211" s="259"/>
      <c r="O211" s="291"/>
      <c r="P211" s="291"/>
      <c r="Q211" s="291"/>
      <c r="R211" s="286" t="str">
        <f t="shared" si="47"/>
        <v>. Hood Hinge SET2</v>
      </c>
      <c r="S211" s="286"/>
      <c r="T211" s="259"/>
      <c r="U211" s="250"/>
      <c r="V211" s="259"/>
      <c r="W211" s="250"/>
      <c r="X211" s="250"/>
      <c r="Y211" s="250"/>
      <c r="Z211" s="250" t="s">
        <v>951</v>
      </c>
      <c r="AA211" s="250" t="s">
        <v>806</v>
      </c>
      <c r="AB211" s="250"/>
      <c r="AC211" s="244" t="s">
        <v>439</v>
      </c>
      <c r="AD211" s="250" t="s">
        <v>952</v>
      </c>
      <c r="AE211" s="250">
        <v>160</v>
      </c>
      <c r="AF211" s="252" t="s">
        <v>434</v>
      </c>
      <c r="AG211" s="247"/>
      <c r="AH211" s="248" t="s">
        <v>435</v>
      </c>
      <c r="AJ211" s="249"/>
      <c r="AK211" s="232" t="s">
        <v>953</v>
      </c>
      <c r="AN211" s="233">
        <v>118</v>
      </c>
      <c r="AO211" s="232" t="s">
        <v>411</v>
      </c>
      <c r="AP211" s="232">
        <v>999779</v>
      </c>
      <c r="AQ211" s="232" t="str">
        <f>CONCATENATE(AN211,AO211,AP211)</f>
        <v>118-999779</v>
      </c>
      <c r="AR211" s="232" t="s">
        <v>439</v>
      </c>
      <c r="AX211" s="250" t="s">
        <v>80</v>
      </c>
      <c r="AY211" s="250"/>
      <c r="AZ211" s="232" t="str">
        <f>IF($AX211="Yes",'8. Option Codes Decrypted'!$C$15,"")</f>
        <v>Painted</v>
      </c>
      <c r="BA211" s="232" t="str">
        <f>IF($AX211="Yes",'8. Option Codes Decrypted'!$C$16,"")</f>
        <v>Brown</v>
      </c>
      <c r="BB211" s="232" t="str">
        <f>IF($AX211="Yes",'8. Option Codes Decrypted'!$C$17,"")</f>
        <v>Sparkling Brown Metallic</v>
      </c>
      <c r="BC211" s="232" t="str">
        <f>IF($AX211="Yes",'8. Option Codes Decrypted'!$C$18,"")</f>
        <v>B53</v>
      </c>
      <c r="BD211" s="232" t="str">
        <f>IF($AY211="Yes",'8. Option Codes Decrypted'!$C$20,"")</f>
        <v/>
      </c>
      <c r="BE211" s="232" t="str">
        <f>IF($AY211="Yes",'8. Option Codes Decrypted'!$C$21,"")</f>
        <v/>
      </c>
      <c r="BF211" s="232" t="str">
        <f>IF($AY211="Yes",'8. Option Codes Decrypted'!$C$22,"")</f>
        <v/>
      </c>
      <c r="BG211" s="232" t="str">
        <f>IF($AY211="Yes",'8. Option Codes Decrypted'!$C$23,"")</f>
        <v/>
      </c>
      <c r="BH211" s="232" t="str">
        <f t="shared" ref="BH211:BH213" si="50">B211</f>
        <v>118-999779</v>
      </c>
    </row>
    <row r="212" spans="1:60" s="232" customFormat="1" x14ac:dyDescent="0.25">
      <c r="A212" s="232" t="str">
        <f t="shared" si="48"/>
        <v/>
      </c>
      <c r="B212" s="358" t="str">
        <f t="shared" si="45"/>
        <v>118-999779</v>
      </c>
      <c r="C212" s="358" t="str">
        <f t="shared" si="49"/>
        <v/>
      </c>
      <c r="D212" s="358"/>
      <c r="E212" s="358">
        <f t="shared" si="46"/>
        <v>2</v>
      </c>
      <c r="F212" s="232" t="s">
        <v>426</v>
      </c>
      <c r="G212" s="241">
        <v>44683</v>
      </c>
      <c r="H212" s="256"/>
      <c r="I212" s="235"/>
      <c r="J212" s="250" t="s">
        <v>427</v>
      </c>
      <c r="K212" s="250" t="s">
        <v>161</v>
      </c>
      <c r="L212" s="250" t="s">
        <v>950</v>
      </c>
      <c r="M212" s="259" t="s">
        <v>458</v>
      </c>
      <c r="N212" s="259"/>
      <c r="O212" s="291"/>
      <c r="P212" s="291"/>
      <c r="Q212" s="291"/>
      <c r="R212" s="286" t="str">
        <f t="shared" si="47"/>
        <v>. Hood Hinge, LEFT</v>
      </c>
      <c r="S212" s="286"/>
      <c r="T212" s="259"/>
      <c r="U212" s="250"/>
      <c r="V212" s="259"/>
      <c r="W212" s="250"/>
      <c r="X212" s="250"/>
      <c r="Y212" s="250"/>
      <c r="Z212" s="250" t="s">
        <v>954</v>
      </c>
      <c r="AA212" s="250"/>
      <c r="AB212" s="250"/>
      <c r="AC212" s="244" t="s">
        <v>449</v>
      </c>
      <c r="AD212" s="250"/>
      <c r="AE212" s="250">
        <v>85</v>
      </c>
      <c r="AF212" s="252" t="s">
        <v>434</v>
      </c>
      <c r="AG212" s="247"/>
      <c r="AH212" s="248" t="s">
        <v>435</v>
      </c>
      <c r="AJ212" s="249"/>
      <c r="AK212" s="232" t="s">
        <v>953</v>
      </c>
      <c r="AN212" s="233">
        <v>118</v>
      </c>
      <c r="AO212" s="232" t="s">
        <v>411</v>
      </c>
      <c r="AP212" s="232">
        <v>999779</v>
      </c>
      <c r="AQ212" s="232" t="str">
        <f>CONCATENATE(AN212,AO212,AP212)</f>
        <v>118-999779</v>
      </c>
      <c r="AR212" s="232" t="s">
        <v>955</v>
      </c>
      <c r="AX212" s="250" t="s">
        <v>80</v>
      </c>
      <c r="AY212" s="250"/>
      <c r="AZ212" s="232" t="str">
        <f>IF($AX212="Yes",'8. Option Codes Decrypted'!$C$15,"")</f>
        <v>Painted</v>
      </c>
      <c r="BA212" s="232" t="str">
        <f>IF($AX212="Yes",'8. Option Codes Decrypted'!$C$16,"")</f>
        <v>Brown</v>
      </c>
      <c r="BB212" s="232" t="str">
        <f>IF($AX212="Yes",'8. Option Codes Decrypted'!$C$17,"")</f>
        <v>Sparkling Brown Metallic</v>
      </c>
      <c r="BC212" s="232" t="str">
        <f>IF($AX212="Yes",'8. Option Codes Decrypted'!$C$18,"")</f>
        <v>B53</v>
      </c>
      <c r="BD212" s="232" t="str">
        <f>IF($AY212="Yes",'8. Option Codes Decrypted'!$C$20,"")</f>
        <v/>
      </c>
      <c r="BE212" s="232" t="str">
        <f>IF($AY212="Yes",'8. Option Codes Decrypted'!$C$21,"")</f>
        <v/>
      </c>
      <c r="BF212" s="232" t="str">
        <f>IF($AY212="Yes",'8. Option Codes Decrypted'!$C$22,"")</f>
        <v/>
      </c>
      <c r="BG212" s="232" t="str">
        <f>IF($AY212="Yes",'8. Option Codes Decrypted'!$C$23,"")</f>
        <v/>
      </c>
      <c r="BH212" s="232" t="str">
        <f t="shared" si="50"/>
        <v>118-999779</v>
      </c>
    </row>
    <row r="213" spans="1:60" s="232" customFormat="1" ht="15.75" thickBot="1" x14ac:dyDescent="0.3">
      <c r="A213" s="232" t="str">
        <f t="shared" si="48"/>
        <v/>
      </c>
      <c r="B213" s="358" t="str">
        <f t="shared" si="45"/>
        <v>118-999778</v>
      </c>
      <c r="C213" s="358" t="str">
        <f t="shared" si="49"/>
        <v/>
      </c>
      <c r="D213" s="358"/>
      <c r="E213" s="358">
        <f t="shared" si="46"/>
        <v>1</v>
      </c>
      <c r="F213" s="232" t="s">
        <v>426</v>
      </c>
      <c r="G213" s="241">
        <v>44683</v>
      </c>
      <c r="H213" s="256"/>
      <c r="I213" s="235"/>
      <c r="J213" s="250" t="s">
        <v>427</v>
      </c>
      <c r="K213" s="250" t="s">
        <v>161</v>
      </c>
      <c r="L213" s="250" t="s">
        <v>950</v>
      </c>
      <c r="M213" s="259" t="s">
        <v>458</v>
      </c>
      <c r="N213" s="259"/>
      <c r="O213" s="291"/>
      <c r="P213" s="291"/>
      <c r="Q213" s="291"/>
      <c r="R213" s="286" t="str">
        <f t="shared" si="47"/>
        <v>. Hood Hinge, RIGHT</v>
      </c>
      <c r="S213" s="286"/>
      <c r="T213" s="259"/>
      <c r="U213" s="250"/>
      <c r="V213" s="259"/>
      <c r="W213" s="250"/>
      <c r="X213" s="250"/>
      <c r="Y213" s="250"/>
      <c r="Z213" s="250" t="s">
        <v>956</v>
      </c>
      <c r="AA213" s="250"/>
      <c r="AB213" s="250"/>
      <c r="AC213" s="244" t="s">
        <v>449</v>
      </c>
      <c r="AD213" s="250"/>
      <c r="AE213" s="250">
        <v>85</v>
      </c>
      <c r="AF213" s="252" t="s">
        <v>434</v>
      </c>
      <c r="AG213" s="247"/>
      <c r="AH213" s="248" t="s">
        <v>435</v>
      </c>
      <c r="AJ213" s="249"/>
      <c r="AK213" s="232" t="s">
        <v>953</v>
      </c>
      <c r="AN213" s="233">
        <v>118</v>
      </c>
      <c r="AO213" s="232" t="s">
        <v>411</v>
      </c>
      <c r="AP213" s="232">
        <v>999778</v>
      </c>
      <c r="AQ213" s="232" t="str">
        <f>CONCATENATE(AN213,AO213,AP213)</f>
        <v>118-999778</v>
      </c>
      <c r="AR213" s="232" t="s">
        <v>957</v>
      </c>
      <c r="AX213" s="250" t="s">
        <v>80</v>
      </c>
      <c r="AY213" s="250"/>
      <c r="AZ213" s="232" t="str">
        <f>IF($AX213="Yes",'8. Option Codes Decrypted'!$C$15,"")</f>
        <v>Painted</v>
      </c>
      <c r="BA213" s="232" t="str">
        <f>IF($AX213="Yes",'8. Option Codes Decrypted'!$C$16,"")</f>
        <v>Brown</v>
      </c>
      <c r="BB213" s="232" t="str">
        <f>IF($AX213="Yes",'8. Option Codes Decrypted'!$C$17,"")</f>
        <v>Sparkling Brown Metallic</v>
      </c>
      <c r="BC213" s="232" t="str">
        <f>IF($AX213="Yes",'8. Option Codes Decrypted'!$C$18,"")</f>
        <v>B53</v>
      </c>
      <c r="BD213" s="232" t="str">
        <f>IF($AY213="Yes",'8. Option Codes Decrypted'!$C$20,"")</f>
        <v/>
      </c>
      <c r="BE213" s="232" t="str">
        <f>IF($AY213="Yes",'8. Option Codes Decrypted'!$C$21,"")</f>
        <v/>
      </c>
      <c r="BF213" s="232" t="str">
        <f>IF($AY213="Yes",'8. Option Codes Decrypted'!$C$22,"")</f>
        <v/>
      </c>
      <c r="BG213" s="232" t="str">
        <f>IF($AY213="Yes",'8. Option Codes Decrypted'!$C$23,"")</f>
        <v/>
      </c>
      <c r="BH213" s="232" t="str">
        <f t="shared" si="50"/>
        <v>118-999778</v>
      </c>
    </row>
    <row r="214" spans="1:60" s="296" customFormat="1" ht="15.75" thickBot="1" x14ac:dyDescent="0.3">
      <c r="A214" s="232" t="str">
        <f t="shared" si="48"/>
        <v>A35</v>
      </c>
      <c r="B214" s="358" t="str">
        <f t="shared" si="45"/>
        <v/>
      </c>
      <c r="C214" s="358" t="str">
        <f t="shared" si="49"/>
        <v>F15-Hood Latches SET 2 WITH Cables-14-18-ALL</v>
      </c>
      <c r="D214" s="358"/>
      <c r="E214" s="358" t="str">
        <f t="shared" si="46"/>
        <v/>
      </c>
      <c r="F214" s="296" t="s">
        <v>426</v>
      </c>
      <c r="G214" s="297">
        <v>44683</v>
      </c>
      <c r="H214" s="321"/>
      <c r="I214" s="239"/>
      <c r="J214" s="298" t="s">
        <v>427</v>
      </c>
      <c r="K214" s="298" t="s">
        <v>161</v>
      </c>
      <c r="L214" s="298" t="s">
        <v>958</v>
      </c>
      <c r="M214" s="298" t="s">
        <v>430</v>
      </c>
      <c r="N214" s="298">
        <v>25</v>
      </c>
      <c r="O214" s="299" t="s">
        <v>279</v>
      </c>
      <c r="P214" s="299" t="s">
        <v>459</v>
      </c>
      <c r="Q214" s="299">
        <v>1</v>
      </c>
      <c r="R214" s="299" t="str">
        <f t="shared" si="47"/>
        <v>A35. Hood Latches SET 2 WITH Cables</v>
      </c>
      <c r="S214" s="365" t="str">
        <f>HYPERLINK(VLOOKUP(O214,'3D. Pictures'!$B$3:$E$500,4,FALSE),"PIC")</f>
        <v>PIC</v>
      </c>
      <c r="T214" s="298">
        <v>5</v>
      </c>
      <c r="U214" s="298">
        <v>7367535</v>
      </c>
      <c r="V214" s="298" t="s">
        <v>81</v>
      </c>
      <c r="W214" s="298"/>
      <c r="X214" s="298"/>
      <c r="Y214" s="298"/>
      <c r="Z214" s="298" t="s">
        <v>959</v>
      </c>
      <c r="AA214" s="298" t="s">
        <v>960</v>
      </c>
      <c r="AB214" s="298"/>
      <c r="AC214" s="213" t="s">
        <v>961</v>
      </c>
      <c r="AD214" s="298"/>
      <c r="AE214" s="298">
        <v>74</v>
      </c>
      <c r="AF214" s="99" t="s">
        <v>434</v>
      </c>
      <c r="AG214" s="56"/>
      <c r="AH214" s="302" t="s">
        <v>435</v>
      </c>
      <c r="AI214"/>
      <c r="AJ214" s="69"/>
      <c r="AK214" s="296" t="s">
        <v>962</v>
      </c>
      <c r="AL214"/>
      <c r="AM214"/>
      <c r="AS214" s="296" t="str">
        <f>CONCATENATE(AT214,"-",AU214,"-",AV214,"-",AW214)</f>
        <v>F15-Hood Latches SET 2 WITH Cables-14-18-ALL</v>
      </c>
      <c r="AT214" s="296" t="s">
        <v>661</v>
      </c>
      <c r="AU214" s="296" t="str">
        <f>Z214</f>
        <v>Hood Latches SET 2 WITH Cables</v>
      </c>
      <c r="AV214" s="296" t="s">
        <v>757</v>
      </c>
      <c r="AW214" s="296" t="s">
        <v>662</v>
      </c>
      <c r="AX214" s="298"/>
      <c r="AY214" s="298"/>
      <c r="AZ214" s="232" t="str">
        <f>IF($AX214="Yes",'8. Option Codes Decrypted'!$C$15,"")</f>
        <v/>
      </c>
      <c r="BA214" s="232" t="str">
        <f>IF($AX214="Yes",'8. Option Codes Decrypted'!$C$16,"")</f>
        <v/>
      </c>
      <c r="BB214" s="232" t="str">
        <f>IF($AX214="Yes",'8. Option Codes Decrypted'!$C$17,"")</f>
        <v/>
      </c>
      <c r="BC214" s="232" t="str">
        <f>IF($AX214="Yes",'8. Option Codes Decrypted'!$C$18,"")</f>
        <v/>
      </c>
      <c r="BD214" s="232" t="str">
        <f>IF($AY214="Yes",'8. Option Codes Decrypted'!$C$20,"")</f>
        <v/>
      </c>
      <c r="BE214" s="232" t="str">
        <f>IF($AY214="Yes",'8. Option Codes Decrypted'!$C$21,"")</f>
        <v/>
      </c>
      <c r="BF214" s="232" t="str">
        <f>IF($AY214="Yes",'8. Option Codes Decrypted'!$C$22,"")</f>
        <v/>
      </c>
      <c r="BG214" s="232" t="str">
        <f>IF($AY214="Yes",'8. Option Codes Decrypted'!$C$23,"")</f>
        <v/>
      </c>
    </row>
    <row r="215" spans="1:60" ht="15.75" thickBot="1" x14ac:dyDescent="0.3">
      <c r="A215" s="232" t="str">
        <f t="shared" si="48"/>
        <v/>
      </c>
      <c r="B215" s="358" t="str">
        <f t="shared" si="45"/>
        <v/>
      </c>
      <c r="C215" s="358" t="str">
        <f t="shared" si="49"/>
        <v>F15-Hood Latches SET2 WITHOUT Cables-14-18-ALL</v>
      </c>
      <c r="D215" s="358"/>
      <c r="E215" s="358" t="str">
        <f t="shared" si="46"/>
        <v/>
      </c>
      <c r="F215" t="s">
        <v>426</v>
      </c>
      <c r="G215" s="230">
        <v>44683</v>
      </c>
      <c r="H215" s="177"/>
      <c r="I215" s="188"/>
      <c r="J215" s="16" t="s">
        <v>427</v>
      </c>
      <c r="K215" s="16" t="s">
        <v>161</v>
      </c>
      <c r="L215" s="16" t="s">
        <v>958</v>
      </c>
      <c r="M215" s="16" t="s">
        <v>430</v>
      </c>
      <c r="N215" s="16"/>
      <c r="O215" s="191"/>
      <c r="P215" s="191"/>
      <c r="Q215" s="191"/>
      <c r="R215" s="286" t="str">
        <f t="shared" si="47"/>
        <v>. Hood Latches SET2 WITHOUT Cables</v>
      </c>
      <c r="S215" s="286"/>
      <c r="T215" s="16"/>
      <c r="U215" s="16"/>
      <c r="V215" s="16"/>
      <c r="W215" s="16"/>
      <c r="X215" s="16"/>
      <c r="Y215" s="16"/>
      <c r="Z215" s="16" t="s">
        <v>963</v>
      </c>
      <c r="AA215" s="16"/>
      <c r="AB215" s="16"/>
      <c r="AC215" s="193" t="s">
        <v>439</v>
      </c>
      <c r="AD215" s="16"/>
      <c r="AE215" s="16">
        <v>60</v>
      </c>
      <c r="AF215" s="99" t="s">
        <v>434</v>
      </c>
      <c r="AH215" s="3" t="s">
        <v>435</v>
      </c>
      <c r="AJ215" s="69"/>
      <c r="AK215" t="s">
        <v>962</v>
      </c>
      <c r="AN215"/>
      <c r="AS215" s="296" t="str">
        <f>CONCATENATE(AT215,"-",AU215,"-",AV215,"-",AW215)</f>
        <v>F15-Hood Latches SET2 WITHOUT Cables-14-18-ALL</v>
      </c>
      <c r="AT215" s="296" t="s">
        <v>661</v>
      </c>
      <c r="AU215" s="296" t="str">
        <f>Z215</f>
        <v>Hood Latches SET2 WITHOUT Cables</v>
      </c>
      <c r="AV215" s="296" t="s">
        <v>757</v>
      </c>
      <c r="AW215" s="296" t="s">
        <v>662</v>
      </c>
      <c r="AX215" s="16"/>
      <c r="AY215" s="16"/>
      <c r="AZ215" s="232" t="str">
        <f>IF($AX215="Yes",'8. Option Codes Decrypted'!$C$15,"")</f>
        <v/>
      </c>
      <c r="BA215" s="232" t="str">
        <f>IF($AX215="Yes",'8. Option Codes Decrypted'!$C$16,"")</f>
        <v/>
      </c>
      <c r="BB215" s="232" t="str">
        <f>IF($AX215="Yes",'8. Option Codes Decrypted'!$C$17,"")</f>
        <v/>
      </c>
      <c r="BC215" s="232" t="str">
        <f>IF($AX215="Yes",'8. Option Codes Decrypted'!$C$18,"")</f>
        <v/>
      </c>
      <c r="BD215" s="232" t="str">
        <f>IF($AY215="Yes",'8. Option Codes Decrypted'!$C$20,"")</f>
        <v/>
      </c>
      <c r="BE215" s="232" t="str">
        <f>IF($AY215="Yes",'8. Option Codes Decrypted'!$C$21,"")</f>
        <v/>
      </c>
      <c r="BF215" s="232" t="str">
        <f>IF($AY215="Yes",'8. Option Codes Decrypted'!$C$22,"")</f>
        <v/>
      </c>
      <c r="BG215" s="232" t="str">
        <f>IF($AY215="Yes",'8. Option Codes Decrypted'!$C$23,"")</f>
        <v/>
      </c>
    </row>
    <row r="216" spans="1:60" s="296" customFormat="1" ht="15.75" thickBot="1" x14ac:dyDescent="0.3">
      <c r="A216" s="232" t="str">
        <f t="shared" si="48"/>
        <v>A33</v>
      </c>
      <c r="B216" s="358" t="str">
        <f t="shared" si="45"/>
        <v/>
      </c>
      <c r="C216" s="358" t="str">
        <f t="shared" si="49"/>
        <v>F15-Hood Upper Release Lever &amp; Cable &amp; Strikers as SET-14-18-ALL</v>
      </c>
      <c r="D216" s="358"/>
      <c r="E216" s="358" t="str">
        <f t="shared" si="46"/>
        <v/>
      </c>
      <c r="F216" s="296" t="s">
        <v>508</v>
      </c>
      <c r="G216" s="297">
        <v>44811</v>
      </c>
      <c r="H216" s="321"/>
      <c r="I216" s="239"/>
      <c r="J216" s="298" t="s">
        <v>427</v>
      </c>
      <c r="K216" s="298" t="s">
        <v>161</v>
      </c>
      <c r="L216" s="298" t="s">
        <v>964</v>
      </c>
      <c r="M216" s="298" t="s">
        <v>430</v>
      </c>
      <c r="N216" s="298">
        <v>23</v>
      </c>
      <c r="O216" s="299" t="s">
        <v>277</v>
      </c>
      <c r="P216" s="299" t="s">
        <v>459</v>
      </c>
      <c r="Q216" s="299">
        <v>1</v>
      </c>
      <c r="R216" s="299" t="str">
        <f t="shared" si="47"/>
        <v>A33. Hood Upper Release Lever &amp; Cable &amp; Strikers as SET</v>
      </c>
      <c r="S216" s="365" t="str">
        <f>HYPERLINK(VLOOKUP(O216,'3D. Pictures'!$B$3:$E$500,4,FALSE),"PIC")</f>
        <v>PIC</v>
      </c>
      <c r="T216" s="298">
        <v>9</v>
      </c>
      <c r="U216" s="298" t="s">
        <v>965</v>
      </c>
      <c r="V216" s="298" t="s">
        <v>81</v>
      </c>
      <c r="W216" s="298"/>
      <c r="X216" s="298"/>
      <c r="Y216" s="298"/>
      <c r="Z216" s="298" t="s">
        <v>966</v>
      </c>
      <c r="AA216" s="298" t="s">
        <v>967</v>
      </c>
      <c r="AB216" s="298"/>
      <c r="AC216" s="213" t="s">
        <v>968</v>
      </c>
      <c r="AD216" s="298"/>
      <c r="AE216" s="298">
        <v>94</v>
      </c>
      <c r="AF216" s="300" t="s">
        <v>434</v>
      </c>
      <c r="AG216" s="301"/>
      <c r="AH216" s="302" t="s">
        <v>435</v>
      </c>
      <c r="AJ216" s="303"/>
      <c r="AK216" s="296">
        <v>51237325992</v>
      </c>
      <c r="AS216" s="296" t="str">
        <f>CONCATENATE(AT216,"-",AU216,"-",AV216,"-",AW216)</f>
        <v>F15-Hood Upper Release Lever &amp; Cable &amp; Strikers as SET-14-18-ALL</v>
      </c>
      <c r="AT216" s="296" t="s">
        <v>661</v>
      </c>
      <c r="AU216" s="296" t="str">
        <f>Z216</f>
        <v>Hood Upper Release Lever &amp; Cable &amp; Strikers as SET</v>
      </c>
      <c r="AV216" s="296" t="s">
        <v>757</v>
      </c>
      <c r="AW216" s="296" t="s">
        <v>662</v>
      </c>
      <c r="AX216" s="298"/>
      <c r="AY216" s="298"/>
      <c r="AZ216" s="232" t="str">
        <f>IF($AX216="Yes",'8. Option Codes Decrypted'!$C$15,"")</f>
        <v/>
      </c>
      <c r="BA216" s="232" t="str">
        <f>IF($AX216="Yes",'8. Option Codes Decrypted'!$C$16,"")</f>
        <v/>
      </c>
      <c r="BB216" s="232" t="str">
        <f>IF($AX216="Yes",'8. Option Codes Decrypted'!$C$17,"")</f>
        <v/>
      </c>
      <c r="BC216" s="232" t="str">
        <f>IF($AX216="Yes",'8. Option Codes Decrypted'!$C$18,"")</f>
        <v/>
      </c>
      <c r="BD216" s="232" t="str">
        <f>IF($AY216="Yes",'8. Option Codes Decrypted'!$C$20,"")</f>
        <v/>
      </c>
      <c r="BE216" s="232" t="str">
        <f>IF($AY216="Yes",'8. Option Codes Decrypted'!$C$21,"")</f>
        <v/>
      </c>
      <c r="BF216" s="232" t="str">
        <f>IF($AY216="Yes",'8. Option Codes Decrypted'!$C$22,"")</f>
        <v/>
      </c>
      <c r="BG216" s="232" t="str">
        <f>IF($AY216="Yes",'8. Option Codes Decrypted'!$C$23,"")</f>
        <v/>
      </c>
    </row>
    <row r="217" spans="1:60" x14ac:dyDescent="0.25">
      <c r="A217" s="232" t="str">
        <f t="shared" si="48"/>
        <v/>
      </c>
      <c r="B217" s="358" t="str">
        <f t="shared" si="45"/>
        <v/>
      </c>
      <c r="C217" s="358" t="str">
        <f t="shared" si="49"/>
        <v/>
      </c>
      <c r="D217" s="358"/>
      <c r="E217" s="358" t="str">
        <f t="shared" si="46"/>
        <v/>
      </c>
      <c r="F217" t="s">
        <v>426</v>
      </c>
      <c r="G217" s="230">
        <v>44684</v>
      </c>
      <c r="H217" s="10"/>
      <c r="I217" s="203"/>
      <c r="J217" s="10" t="s">
        <v>504</v>
      </c>
      <c r="K217" s="10" t="s">
        <v>161</v>
      </c>
      <c r="L217" s="10" t="s">
        <v>969</v>
      </c>
      <c r="M217" s="16" t="s">
        <v>430</v>
      </c>
      <c r="N217" s="16"/>
      <c r="O217" s="191"/>
      <c r="P217" s="191"/>
      <c r="Q217" s="191"/>
      <c r="R217" s="286" t="str">
        <f t="shared" si="47"/>
        <v>. Hood Emblem</v>
      </c>
      <c r="S217" s="286"/>
      <c r="T217" s="16"/>
      <c r="U217" s="16"/>
      <c r="V217" s="16"/>
      <c r="W217" s="16"/>
      <c r="X217" s="16"/>
      <c r="Y217" s="16"/>
      <c r="Z217" s="10" t="s">
        <v>969</v>
      </c>
      <c r="AA217" s="10" t="s">
        <v>969</v>
      </c>
      <c r="AB217" s="10" t="s">
        <v>969</v>
      </c>
      <c r="AC217" s="193" t="s">
        <v>449</v>
      </c>
      <c r="AD217" s="10"/>
      <c r="AE217" s="10"/>
      <c r="AF217" s="200" t="s">
        <v>434</v>
      </c>
      <c r="AH217" s="3" t="s">
        <v>435</v>
      </c>
      <c r="AJ217" s="69"/>
      <c r="AK217" t="s">
        <v>970</v>
      </c>
      <c r="AL217" t="s">
        <v>971</v>
      </c>
      <c r="AN217"/>
      <c r="AX217" s="16"/>
      <c r="AY217" s="16"/>
      <c r="AZ217" s="232" t="str">
        <f>IF($AX217="Yes",'8. Option Codes Decrypted'!$C$15,"")</f>
        <v/>
      </c>
      <c r="BA217" s="232" t="str">
        <f>IF($AX217="Yes",'8. Option Codes Decrypted'!$C$16,"")</f>
        <v/>
      </c>
      <c r="BB217" s="232" t="str">
        <f>IF($AX217="Yes",'8. Option Codes Decrypted'!$C$17,"")</f>
        <v/>
      </c>
      <c r="BC217" s="232" t="str">
        <f>IF($AX217="Yes",'8. Option Codes Decrypted'!$C$18,"")</f>
        <v/>
      </c>
      <c r="BD217" s="232" t="str">
        <f>IF($AY217="Yes",'8. Option Codes Decrypted'!$C$20,"")</f>
        <v/>
      </c>
      <c r="BE217" s="232" t="str">
        <f>IF($AY217="Yes",'8. Option Codes Decrypted'!$C$21,"")</f>
        <v/>
      </c>
      <c r="BF217" s="232" t="str">
        <f>IF($AY217="Yes",'8. Option Codes Decrypted'!$C$22,"")</f>
        <v/>
      </c>
      <c r="BG217" s="232" t="str">
        <f>IF($AY217="Yes",'8. Option Codes Decrypted'!$C$23,"")</f>
        <v/>
      </c>
    </row>
    <row r="218" spans="1:60" x14ac:dyDescent="0.25">
      <c r="A218" s="232" t="str">
        <f t="shared" si="48"/>
        <v/>
      </c>
      <c r="B218" s="358" t="str">
        <f t="shared" si="45"/>
        <v/>
      </c>
      <c r="C218" s="358" t="str">
        <f t="shared" si="49"/>
        <v/>
      </c>
      <c r="D218" s="358"/>
      <c r="E218" s="358" t="str">
        <f t="shared" si="46"/>
        <v/>
      </c>
      <c r="F218" t="s">
        <v>426</v>
      </c>
      <c r="G218" s="230">
        <v>44683</v>
      </c>
      <c r="H218" s="178"/>
      <c r="I218" s="203"/>
      <c r="J218" s="10" t="s">
        <v>504</v>
      </c>
      <c r="K218" s="10" t="s">
        <v>161</v>
      </c>
      <c r="L218" s="10" t="s">
        <v>972</v>
      </c>
      <c r="M218" s="16" t="s">
        <v>430</v>
      </c>
      <c r="N218" s="16"/>
      <c r="O218" s="191"/>
      <c r="P218" s="191"/>
      <c r="Q218" s="191"/>
      <c r="R218" s="286" t="str">
        <f t="shared" si="47"/>
        <v>. Hood Shocks (TOSS ALL)</v>
      </c>
      <c r="S218" s="286"/>
      <c r="T218" s="16"/>
      <c r="U218" s="16"/>
      <c r="V218" s="16"/>
      <c r="W218" s="16"/>
      <c r="X218" s="16"/>
      <c r="Y218" s="16"/>
      <c r="Z218" s="10" t="s">
        <v>972</v>
      </c>
      <c r="AA218" s="10" t="s">
        <v>972</v>
      </c>
      <c r="AB218" s="10" t="s">
        <v>972</v>
      </c>
      <c r="AC218" s="193" t="s">
        <v>449</v>
      </c>
      <c r="AD218" s="10"/>
      <c r="AE218" s="10"/>
      <c r="AF218" s="200" t="s">
        <v>434</v>
      </c>
      <c r="AH218" s="3" t="s">
        <v>435</v>
      </c>
      <c r="AJ218" s="69"/>
      <c r="AK218" t="s">
        <v>973</v>
      </c>
      <c r="AN218"/>
      <c r="AX218" s="16"/>
      <c r="AY218" s="16"/>
      <c r="AZ218" s="232" t="str">
        <f>IF($AX218="Yes",'8. Option Codes Decrypted'!$C$15,"")</f>
        <v/>
      </c>
      <c r="BA218" s="232" t="str">
        <f>IF($AX218="Yes",'8. Option Codes Decrypted'!$C$16,"")</f>
        <v/>
      </c>
      <c r="BB218" s="232" t="str">
        <f>IF($AX218="Yes",'8. Option Codes Decrypted'!$C$17,"")</f>
        <v/>
      </c>
      <c r="BC218" s="232" t="str">
        <f>IF($AX218="Yes",'8. Option Codes Decrypted'!$C$18,"")</f>
        <v/>
      </c>
      <c r="BD218" s="232" t="str">
        <f>IF($AY218="Yes",'8. Option Codes Decrypted'!$C$20,"")</f>
        <v/>
      </c>
      <c r="BE218" s="232" t="str">
        <f>IF($AY218="Yes",'8. Option Codes Decrypted'!$C$21,"")</f>
        <v/>
      </c>
      <c r="BF218" s="232" t="str">
        <f>IF($AY218="Yes",'8. Option Codes Decrypted'!$C$22,"")</f>
        <v/>
      </c>
      <c r="BG218" s="232" t="str">
        <f>IF($AY218="Yes",'8. Option Codes Decrypted'!$C$23,"")</f>
        <v/>
      </c>
    </row>
    <row r="219" spans="1:60" x14ac:dyDescent="0.25">
      <c r="A219" s="232" t="str">
        <f t="shared" si="48"/>
        <v/>
      </c>
      <c r="B219" s="358" t="str">
        <f t="shared" si="45"/>
        <v/>
      </c>
      <c r="C219" s="358" t="str">
        <f t="shared" si="49"/>
        <v/>
      </c>
      <c r="D219" s="358"/>
      <c r="E219" s="358" t="str">
        <f t="shared" si="46"/>
        <v/>
      </c>
      <c r="F219" t="s">
        <v>426</v>
      </c>
      <c r="G219" s="230">
        <v>44670</v>
      </c>
      <c r="H219" s="178"/>
      <c r="I219" s="203"/>
      <c r="J219" s="10" t="s">
        <v>504</v>
      </c>
      <c r="K219" s="10" t="s">
        <v>161</v>
      </c>
      <c r="L219" s="10" t="s">
        <v>974</v>
      </c>
      <c r="M219" s="188" t="s">
        <v>444</v>
      </c>
      <c r="N219" s="188"/>
      <c r="O219" s="289"/>
      <c r="P219" s="289"/>
      <c r="Q219" s="289"/>
      <c r="R219" s="286" t="str">
        <f t="shared" si="47"/>
        <v>. Hood, Assembly (part out, then toss)</v>
      </c>
      <c r="S219" s="286"/>
      <c r="T219" s="188"/>
      <c r="U219" s="16"/>
      <c r="V219" s="188"/>
      <c r="W219" s="16"/>
      <c r="X219" s="16"/>
      <c r="Y219" s="16"/>
      <c r="Z219" s="10" t="s">
        <v>974</v>
      </c>
      <c r="AA219" s="10" t="s">
        <v>974</v>
      </c>
      <c r="AB219" s="10" t="s">
        <v>974</v>
      </c>
      <c r="AC219" s="193" t="s">
        <v>449</v>
      </c>
      <c r="AD219" s="10"/>
      <c r="AE219" s="10"/>
      <c r="AF219" s="200" t="s">
        <v>434</v>
      </c>
      <c r="AH219" s="3" t="s">
        <v>435</v>
      </c>
      <c r="AJ219" s="69"/>
      <c r="AK219" t="s">
        <v>975</v>
      </c>
      <c r="AN219"/>
      <c r="AX219" s="16"/>
      <c r="AY219" s="16"/>
      <c r="AZ219" s="232" t="str">
        <f>IF($AX219="Yes",'8. Option Codes Decrypted'!$C$15,"")</f>
        <v/>
      </c>
      <c r="BA219" s="232" t="str">
        <f>IF($AX219="Yes",'8. Option Codes Decrypted'!$C$16,"")</f>
        <v/>
      </c>
      <c r="BB219" s="232" t="str">
        <f>IF($AX219="Yes",'8. Option Codes Decrypted'!$C$17,"")</f>
        <v/>
      </c>
      <c r="BC219" s="232" t="str">
        <f>IF($AX219="Yes",'8. Option Codes Decrypted'!$C$18,"")</f>
        <v/>
      </c>
      <c r="BD219" s="232" t="str">
        <f>IF($AY219="Yes",'8. Option Codes Decrypted'!$C$20,"")</f>
        <v/>
      </c>
      <c r="BE219" s="232" t="str">
        <f>IF($AY219="Yes",'8. Option Codes Decrypted'!$C$21,"")</f>
        <v/>
      </c>
      <c r="BF219" s="232" t="str">
        <f>IF($AY219="Yes",'8. Option Codes Decrypted'!$C$22,"")</f>
        <v/>
      </c>
      <c r="BG219" s="232" t="str">
        <f>IF($AY219="Yes",'8. Option Codes Decrypted'!$C$23,"")</f>
        <v/>
      </c>
    </row>
    <row r="220" spans="1:60" x14ac:dyDescent="0.25">
      <c r="A220" s="232" t="str">
        <f t="shared" si="48"/>
        <v/>
      </c>
      <c r="B220" s="358" t="str">
        <f t="shared" si="45"/>
        <v/>
      </c>
      <c r="C220" s="358" t="str">
        <f t="shared" si="49"/>
        <v/>
      </c>
      <c r="D220" s="358"/>
      <c r="E220" s="358" t="str">
        <f t="shared" si="46"/>
        <v/>
      </c>
      <c r="F220" t="s">
        <v>563</v>
      </c>
      <c r="G220" s="204"/>
      <c r="H220" s="186"/>
      <c r="I220" s="197" t="s">
        <v>441</v>
      </c>
      <c r="J220" s="198" t="s">
        <v>564</v>
      </c>
      <c r="K220" s="198" t="s">
        <v>200</v>
      </c>
      <c r="L220" s="198" t="s">
        <v>976</v>
      </c>
      <c r="M220" s="193" t="s">
        <v>430</v>
      </c>
      <c r="N220" s="193"/>
      <c r="O220" s="196"/>
      <c r="P220" s="196"/>
      <c r="Q220" s="196"/>
      <c r="R220" s="286" t="str">
        <f t="shared" si="47"/>
        <v>. Dash Cup Holder (remove from &amp; toss mount bracket)</v>
      </c>
      <c r="S220" s="286"/>
      <c r="T220" s="193"/>
      <c r="U220" s="193"/>
      <c r="V220" s="193"/>
      <c r="W220" s="193"/>
      <c r="X220" s="193"/>
      <c r="Y220" s="193"/>
      <c r="Z220" s="198" t="s">
        <v>976</v>
      </c>
      <c r="AA220" s="198" t="s">
        <v>976</v>
      </c>
      <c r="AB220" s="198" t="s">
        <v>976</v>
      </c>
      <c r="AC220" s="193" t="s">
        <v>449</v>
      </c>
      <c r="AD220" s="198"/>
      <c r="AE220" s="198"/>
      <c r="AF220" s="204"/>
      <c r="AG220" s="151"/>
      <c r="AH220" s="206"/>
      <c r="AI220" s="204"/>
      <c r="AJ220" s="152"/>
      <c r="AK220" s="204"/>
      <c r="AL220" s="204"/>
      <c r="AM220" s="204"/>
      <c r="AN220"/>
      <c r="AX220" s="193"/>
      <c r="AY220" s="193"/>
      <c r="AZ220" s="232" t="str">
        <f>IF($AX220="Yes",'8. Option Codes Decrypted'!$C$15,"")</f>
        <v/>
      </c>
      <c r="BA220" s="232" t="str">
        <f>IF($AX220="Yes",'8. Option Codes Decrypted'!$C$16,"")</f>
        <v/>
      </c>
      <c r="BB220" s="232" t="str">
        <f>IF($AX220="Yes",'8. Option Codes Decrypted'!$C$17,"")</f>
        <v/>
      </c>
      <c r="BC220" s="232" t="str">
        <f>IF($AX220="Yes",'8. Option Codes Decrypted'!$C$18,"")</f>
        <v/>
      </c>
      <c r="BD220" s="232" t="str">
        <f>IF($AY220="Yes",'8. Option Codes Decrypted'!$C$20,"")</f>
        <v/>
      </c>
      <c r="BE220" s="232" t="str">
        <f>IF($AY220="Yes",'8. Option Codes Decrypted'!$C$21,"")</f>
        <v/>
      </c>
      <c r="BF220" s="232" t="str">
        <f>IF($AY220="Yes",'8. Option Codes Decrypted'!$C$22,"")</f>
        <v/>
      </c>
      <c r="BG220" s="232" t="str">
        <f>IF($AY220="Yes",'8. Option Codes Decrypted'!$C$23,"")</f>
        <v/>
      </c>
    </row>
    <row r="221" spans="1:60" s="232" customFormat="1" ht="15.75" thickBot="1" x14ac:dyDescent="0.3">
      <c r="A221" s="232" t="str">
        <f t="shared" si="48"/>
        <v/>
      </c>
      <c r="B221" s="358" t="str">
        <f t="shared" si="45"/>
        <v>655-72539</v>
      </c>
      <c r="C221" s="358" t="str">
        <f t="shared" si="49"/>
        <v/>
      </c>
      <c r="D221" s="358"/>
      <c r="E221" s="358">
        <f t="shared" si="46"/>
        <v>1</v>
      </c>
      <c r="F221" s="232" t="s">
        <v>426</v>
      </c>
      <c r="G221" s="241">
        <v>44684</v>
      </c>
      <c r="H221" s="250"/>
      <c r="I221" s="250"/>
      <c r="J221" s="250" t="s">
        <v>427</v>
      </c>
      <c r="K221" s="250" t="s">
        <v>200</v>
      </c>
      <c r="L221" s="250" t="s">
        <v>977</v>
      </c>
      <c r="M221" s="235" t="s">
        <v>444</v>
      </c>
      <c r="N221" s="235"/>
      <c r="O221" s="284"/>
      <c r="P221" s="284"/>
      <c r="Q221" s="284"/>
      <c r="R221" s="286" t="str">
        <f t="shared" si="47"/>
        <v>. Climate Control Panel, Radio Control Panel, and Trim, FRONT</v>
      </c>
      <c r="S221" s="286"/>
      <c r="T221" s="235"/>
      <c r="U221" s="250"/>
      <c r="V221" s="235"/>
      <c r="W221" s="250"/>
      <c r="X221" s="250"/>
      <c r="Y221" s="250"/>
      <c r="Z221" s="250" t="s">
        <v>978</v>
      </c>
      <c r="AA221" s="250" t="s">
        <v>979</v>
      </c>
      <c r="AB221" s="250"/>
      <c r="AC221" s="244" t="s">
        <v>449</v>
      </c>
      <c r="AD221" s="250"/>
      <c r="AE221" s="250">
        <v>295</v>
      </c>
      <c r="AF221" s="252" t="s">
        <v>434</v>
      </c>
      <c r="AG221" s="247"/>
      <c r="AH221" s="248" t="s">
        <v>435</v>
      </c>
      <c r="AJ221" s="249"/>
      <c r="AK221" s="232" t="s">
        <v>980</v>
      </c>
      <c r="AN221" s="233" t="s">
        <v>981</v>
      </c>
      <c r="AO221" s="232" t="s">
        <v>411</v>
      </c>
      <c r="AP221" s="232">
        <v>72539</v>
      </c>
      <c r="AQ221" s="232" t="str">
        <f t="shared" ref="AQ221:AQ232" si="51">CONCATENATE(AN221,AO221,AP221)</f>
        <v>655-72539</v>
      </c>
      <c r="AR221" s="232" t="s">
        <v>982</v>
      </c>
      <c r="AX221" s="250"/>
      <c r="AY221" s="250"/>
      <c r="AZ221" s="232" t="str">
        <f>IF($AX221="Yes",'8. Option Codes Decrypted'!$C$15,"")</f>
        <v/>
      </c>
      <c r="BA221" s="232" t="str">
        <f>IF($AX221="Yes",'8. Option Codes Decrypted'!$C$16,"")</f>
        <v/>
      </c>
      <c r="BB221" s="232" t="str">
        <f>IF($AX221="Yes",'8. Option Codes Decrypted'!$C$17,"")</f>
        <v/>
      </c>
      <c r="BC221" s="232" t="str">
        <f>IF($AX221="Yes",'8. Option Codes Decrypted'!$C$18,"")</f>
        <v/>
      </c>
      <c r="BD221" s="232" t="str">
        <f>IF($AY221="Yes",'8. Option Codes Decrypted'!$C$20,"")</f>
        <v/>
      </c>
      <c r="BE221" s="232" t="str">
        <f>IF($AY221="Yes",'8. Option Codes Decrypted'!$C$21,"")</f>
        <v/>
      </c>
      <c r="BF221" s="232" t="str">
        <f>IF($AY221="Yes",'8. Option Codes Decrypted'!$C$22,"")</f>
        <v/>
      </c>
      <c r="BG221" s="232" t="str">
        <f>IF($AY221="Yes",'8. Option Codes Decrypted'!$C$23,"")</f>
        <v/>
      </c>
    </row>
    <row r="222" spans="1:60" s="232" customFormat="1" ht="15.75" thickBot="1" x14ac:dyDescent="0.3">
      <c r="A222" s="232" t="str">
        <f t="shared" si="48"/>
        <v>A121</v>
      </c>
      <c r="B222" s="358" t="str">
        <f t="shared" si="45"/>
        <v>655-72540</v>
      </c>
      <c r="C222" s="358" t="str">
        <f t="shared" si="49"/>
        <v/>
      </c>
      <c r="D222" s="358"/>
      <c r="E222" s="358">
        <f t="shared" si="46"/>
        <v>1</v>
      </c>
      <c r="F222" s="232" t="s">
        <v>426</v>
      </c>
      <c r="G222" s="241">
        <v>44684</v>
      </c>
      <c r="H222" s="250"/>
      <c r="I222" s="250"/>
      <c r="J222" s="250" t="s">
        <v>427</v>
      </c>
      <c r="K222" s="250" t="s">
        <v>200</v>
      </c>
      <c r="L222" s="250" t="s">
        <v>983</v>
      </c>
      <c r="M222" s="235" t="s">
        <v>444</v>
      </c>
      <c r="N222" s="235">
        <v>111</v>
      </c>
      <c r="O222" s="284" t="s">
        <v>365</v>
      </c>
      <c r="P222" s="284" t="s">
        <v>397</v>
      </c>
      <c r="Q222" s="284">
        <v>1</v>
      </c>
      <c r="R222" s="286" t="str">
        <f t="shared" si="47"/>
        <v>A121. Climate Control Panel, Radio Control Panel, and Trim, FRONT</v>
      </c>
      <c r="S222" s="365" t="str">
        <f>HYPERLINK(VLOOKUP(O222,'3D. Pictures'!$B$3:$E$500,4,FALSE),"PIC")</f>
        <v>PIC</v>
      </c>
      <c r="T222" s="235">
        <v>8</v>
      </c>
      <c r="U222" s="250" t="s">
        <v>984</v>
      </c>
      <c r="V222" s="235" t="s">
        <v>81</v>
      </c>
      <c r="W222" s="250" t="s">
        <v>2987</v>
      </c>
      <c r="X222" s="250"/>
      <c r="Y222" s="250"/>
      <c r="Z222" s="250" t="s">
        <v>978</v>
      </c>
      <c r="AA222" s="250" t="s">
        <v>979</v>
      </c>
      <c r="AB222" s="250"/>
      <c r="AC222" s="244" t="s">
        <v>449</v>
      </c>
      <c r="AD222" s="250"/>
      <c r="AE222" s="250">
        <v>295</v>
      </c>
      <c r="AF222" s="252" t="s">
        <v>434</v>
      </c>
      <c r="AG222" s="247"/>
      <c r="AH222" s="248" t="s">
        <v>435</v>
      </c>
      <c r="AJ222" s="249"/>
      <c r="AK222" s="232" t="s">
        <v>980</v>
      </c>
      <c r="AN222" s="233" t="s">
        <v>981</v>
      </c>
      <c r="AO222" s="232" t="s">
        <v>411</v>
      </c>
      <c r="AP222" s="232">
        <v>72540</v>
      </c>
      <c r="AQ222" s="232" t="str">
        <f>CONCATENATE(AN222,AO222,AP222)</f>
        <v>655-72540</v>
      </c>
      <c r="AR222" s="232" t="s">
        <v>985</v>
      </c>
      <c r="AX222" s="250"/>
      <c r="AY222" s="250"/>
      <c r="AZ222" s="232" t="str">
        <f>IF($AX222="Yes",'8. Option Codes Decrypted'!$C$15,"")</f>
        <v/>
      </c>
      <c r="BA222" s="232" t="str">
        <f>IF($AX222="Yes",'8. Option Codes Decrypted'!$C$16,"")</f>
        <v/>
      </c>
      <c r="BB222" s="232" t="str">
        <f>IF($AX222="Yes",'8. Option Codes Decrypted'!$C$17,"")</f>
        <v/>
      </c>
      <c r="BC222" s="232" t="str">
        <f>IF($AX222="Yes",'8. Option Codes Decrypted'!$C$18,"")</f>
        <v/>
      </c>
      <c r="BD222" s="232" t="str">
        <f>IF($AY222="Yes",'8. Option Codes Decrypted'!$C$20,"")</f>
        <v/>
      </c>
      <c r="BE222" s="232" t="str">
        <f>IF($AY222="Yes",'8. Option Codes Decrypted'!$C$21,"")</f>
        <v/>
      </c>
      <c r="BF222" s="232" t="str">
        <f>IF($AY222="Yes",'8. Option Codes Decrypted'!$C$22,"")</f>
        <v/>
      </c>
      <c r="BG222" s="232" t="str">
        <f>IF($AY222="Yes",'8. Option Codes Decrypted'!$C$23,"")</f>
        <v/>
      </c>
    </row>
    <row r="223" spans="1:60" s="232" customFormat="1" x14ac:dyDescent="0.25">
      <c r="A223" s="232" t="str">
        <f t="shared" si="48"/>
        <v/>
      </c>
      <c r="B223" s="358" t="str">
        <f t="shared" si="45"/>
        <v>655-72541</v>
      </c>
      <c r="C223" s="358" t="str">
        <f t="shared" si="49"/>
        <v/>
      </c>
      <c r="D223" s="358"/>
      <c r="E223" s="358">
        <f t="shared" si="46"/>
        <v>1</v>
      </c>
      <c r="F223" s="232" t="s">
        <v>426</v>
      </c>
      <c r="G223" s="241">
        <v>44684</v>
      </c>
      <c r="H223" s="250"/>
      <c r="I223" s="250"/>
      <c r="J223" s="250" t="s">
        <v>427</v>
      </c>
      <c r="K223" s="250" t="s">
        <v>200</v>
      </c>
      <c r="L223" s="250" t="s">
        <v>977</v>
      </c>
      <c r="M223" s="235" t="s">
        <v>444</v>
      </c>
      <c r="N223" s="235"/>
      <c r="O223" s="284"/>
      <c r="P223" s="284"/>
      <c r="Q223" s="284"/>
      <c r="R223" s="286" t="str">
        <f t="shared" si="47"/>
        <v>. Climate Control Panel, Radio Control Panel, and Trim, FRONT</v>
      </c>
      <c r="S223" s="286"/>
      <c r="T223" s="235"/>
      <c r="U223" s="250"/>
      <c r="V223" s="235"/>
      <c r="W223" s="250"/>
      <c r="X223" s="250"/>
      <c r="Y223" s="250"/>
      <c r="Z223" s="250" t="s">
        <v>978</v>
      </c>
      <c r="AA223" s="250" t="s">
        <v>979</v>
      </c>
      <c r="AB223" s="250"/>
      <c r="AC223" s="244" t="s">
        <v>449</v>
      </c>
      <c r="AD223" s="250"/>
      <c r="AE223" s="250">
        <v>295</v>
      </c>
      <c r="AF223" s="252" t="s">
        <v>434</v>
      </c>
      <c r="AG223" s="247"/>
      <c r="AH223" s="248" t="s">
        <v>435</v>
      </c>
      <c r="AJ223" s="249"/>
      <c r="AK223" s="232" t="s">
        <v>980</v>
      </c>
      <c r="AN223" s="233" t="s">
        <v>981</v>
      </c>
      <c r="AO223" s="232" t="s">
        <v>411</v>
      </c>
      <c r="AP223" s="232">
        <v>72541</v>
      </c>
      <c r="AQ223" s="232" t="str">
        <f>CONCATENATE(AN223,AO223,AP223)</f>
        <v>655-72541</v>
      </c>
      <c r="AR223" s="232" t="s">
        <v>986</v>
      </c>
      <c r="AX223" s="250"/>
      <c r="AY223" s="250"/>
      <c r="AZ223" s="232" t="str">
        <f>IF($AX223="Yes",'8. Option Codes Decrypted'!$C$15,"")</f>
        <v/>
      </c>
      <c r="BA223" s="232" t="str">
        <f>IF($AX223="Yes",'8. Option Codes Decrypted'!$C$16,"")</f>
        <v/>
      </c>
      <c r="BB223" s="232" t="str">
        <f>IF($AX223="Yes",'8. Option Codes Decrypted'!$C$17,"")</f>
        <v/>
      </c>
      <c r="BC223" s="232" t="str">
        <f>IF($AX223="Yes",'8. Option Codes Decrypted'!$C$18,"")</f>
        <v/>
      </c>
      <c r="BD223" s="232" t="str">
        <f>IF($AY223="Yes",'8. Option Codes Decrypted'!$C$20,"")</f>
        <v/>
      </c>
      <c r="BE223" s="232" t="str">
        <f>IF($AY223="Yes",'8. Option Codes Decrypted'!$C$21,"")</f>
        <v/>
      </c>
      <c r="BF223" s="232" t="str">
        <f>IF($AY223="Yes",'8. Option Codes Decrypted'!$C$22,"")</f>
        <v/>
      </c>
      <c r="BG223" s="232" t="str">
        <f>IF($AY223="Yes",'8. Option Codes Decrypted'!$C$23,"")</f>
        <v/>
      </c>
    </row>
    <row r="224" spans="1:60" s="232" customFormat="1" x14ac:dyDescent="0.25">
      <c r="A224" s="232" t="str">
        <f t="shared" si="48"/>
        <v/>
      </c>
      <c r="B224" s="358" t="str">
        <f t="shared" si="45"/>
        <v>655-72546</v>
      </c>
      <c r="C224" s="358" t="str">
        <f t="shared" si="49"/>
        <v/>
      </c>
      <c r="D224" s="358"/>
      <c r="E224" s="358">
        <f t="shared" si="46"/>
        <v>1</v>
      </c>
      <c r="F224" s="232" t="s">
        <v>426</v>
      </c>
      <c r="G224" s="241">
        <v>44684</v>
      </c>
      <c r="H224" s="250"/>
      <c r="I224" s="250"/>
      <c r="J224" s="250" t="s">
        <v>427</v>
      </c>
      <c r="K224" s="250" t="s">
        <v>200</v>
      </c>
      <c r="L224" s="250" t="s">
        <v>977</v>
      </c>
      <c r="M224" s="235" t="s">
        <v>444</v>
      </c>
      <c r="N224" s="235"/>
      <c r="O224" s="284"/>
      <c r="P224" s="284"/>
      <c r="Q224" s="284"/>
      <c r="R224" s="286" t="str">
        <f t="shared" si="47"/>
        <v>. Climate Control Panel, Radio Control Panel, and Trim, FRONT</v>
      </c>
      <c r="S224" s="286"/>
      <c r="T224" s="235"/>
      <c r="U224" s="250"/>
      <c r="V224" s="235"/>
      <c r="W224" s="250"/>
      <c r="X224" s="250"/>
      <c r="Y224" s="250"/>
      <c r="Z224" s="250" t="s">
        <v>978</v>
      </c>
      <c r="AA224" s="250" t="s">
        <v>979</v>
      </c>
      <c r="AB224" s="250"/>
      <c r="AC224" s="244" t="s">
        <v>449</v>
      </c>
      <c r="AD224" s="250"/>
      <c r="AE224" s="250">
        <v>295</v>
      </c>
      <c r="AF224" s="252" t="s">
        <v>434</v>
      </c>
      <c r="AG224" s="247"/>
      <c r="AH224" s="248" t="s">
        <v>435</v>
      </c>
      <c r="AJ224" s="249"/>
      <c r="AK224" s="232" t="s">
        <v>980</v>
      </c>
      <c r="AN224" s="233" t="s">
        <v>981</v>
      </c>
      <c r="AO224" s="232" t="s">
        <v>411</v>
      </c>
      <c r="AP224" s="232">
        <v>72546</v>
      </c>
      <c r="AQ224" s="232" t="str">
        <f>CONCATENATE(AN224,AO224,AP224)</f>
        <v>655-72546</v>
      </c>
      <c r="AR224" s="232" t="s">
        <v>987</v>
      </c>
      <c r="AX224" s="250"/>
      <c r="AY224" s="250"/>
      <c r="AZ224" s="232" t="str">
        <f>IF($AX224="Yes",'8. Option Codes Decrypted'!$C$15,"")</f>
        <v/>
      </c>
      <c r="BA224" s="232" t="str">
        <f>IF($AX224="Yes",'8. Option Codes Decrypted'!$C$16,"")</f>
        <v/>
      </c>
      <c r="BB224" s="232" t="str">
        <f>IF($AX224="Yes",'8. Option Codes Decrypted'!$C$17,"")</f>
        <v/>
      </c>
      <c r="BC224" s="232" t="str">
        <f>IF($AX224="Yes",'8. Option Codes Decrypted'!$C$18,"")</f>
        <v/>
      </c>
      <c r="BD224" s="232" t="str">
        <f>IF($AY224="Yes",'8. Option Codes Decrypted'!$C$20,"")</f>
        <v/>
      </c>
      <c r="BE224" s="232" t="str">
        <f>IF($AY224="Yes",'8. Option Codes Decrypted'!$C$21,"")</f>
        <v/>
      </c>
      <c r="BF224" s="232" t="str">
        <f>IF($AY224="Yes",'8. Option Codes Decrypted'!$C$22,"")</f>
        <v/>
      </c>
      <c r="BG224" s="232" t="str">
        <f>IF($AY224="Yes",'8. Option Codes Decrypted'!$C$23,"")</f>
        <v/>
      </c>
    </row>
    <row r="225" spans="1:59" s="232" customFormat="1" x14ac:dyDescent="0.25">
      <c r="A225" s="232" t="str">
        <f t="shared" si="48"/>
        <v/>
      </c>
      <c r="B225" s="358" t="str">
        <f t="shared" si="45"/>
        <v>655-72542</v>
      </c>
      <c r="C225" s="358" t="str">
        <f t="shared" si="49"/>
        <v/>
      </c>
      <c r="D225" s="358"/>
      <c r="E225" s="358">
        <f t="shared" si="46"/>
        <v>1</v>
      </c>
      <c r="F225" s="232" t="s">
        <v>426</v>
      </c>
      <c r="G225" s="241">
        <v>44684</v>
      </c>
      <c r="H225" s="250"/>
      <c r="I225" s="250"/>
      <c r="J225" s="250" t="s">
        <v>427</v>
      </c>
      <c r="K225" s="250" t="s">
        <v>200</v>
      </c>
      <c r="L225" s="250" t="s">
        <v>977</v>
      </c>
      <c r="M225" s="235" t="s">
        <v>444</v>
      </c>
      <c r="N225" s="235"/>
      <c r="O225" s="284"/>
      <c r="P225" s="284"/>
      <c r="Q225" s="284"/>
      <c r="R225" s="286" t="str">
        <f t="shared" si="47"/>
        <v>. Climate Control Panel, REAR</v>
      </c>
      <c r="S225" s="286"/>
      <c r="T225" s="235"/>
      <c r="U225" s="250"/>
      <c r="V225" s="235"/>
      <c r="W225" s="250"/>
      <c r="X225" s="250"/>
      <c r="Y225" s="250"/>
      <c r="Z225" s="250" t="s">
        <v>988</v>
      </c>
      <c r="AA225" s="250"/>
      <c r="AB225" s="250"/>
      <c r="AC225" s="244" t="s">
        <v>449</v>
      </c>
      <c r="AD225" s="250"/>
      <c r="AE225" s="250">
        <v>198</v>
      </c>
      <c r="AF225" s="252" t="s">
        <v>434</v>
      </c>
      <c r="AG225" s="247"/>
      <c r="AH225" s="248" t="s">
        <v>435</v>
      </c>
      <c r="AJ225" s="249"/>
      <c r="AK225" s="232" t="s">
        <v>989</v>
      </c>
      <c r="AN225" s="233" t="s">
        <v>981</v>
      </c>
      <c r="AO225" s="232" t="s">
        <v>411</v>
      </c>
      <c r="AP225" s="232">
        <v>72542</v>
      </c>
      <c r="AQ225" s="232" t="str">
        <f t="shared" si="51"/>
        <v>655-72542</v>
      </c>
      <c r="AR225" s="232" t="s">
        <v>990</v>
      </c>
      <c r="AX225" s="250"/>
      <c r="AY225" s="250"/>
      <c r="AZ225" s="232" t="str">
        <f>IF($AX225="Yes",'8. Option Codes Decrypted'!$C$15,"")</f>
        <v/>
      </c>
      <c r="BA225" s="232" t="str">
        <f>IF($AX225="Yes",'8. Option Codes Decrypted'!$C$16,"")</f>
        <v/>
      </c>
      <c r="BB225" s="232" t="str">
        <f>IF($AX225="Yes",'8. Option Codes Decrypted'!$C$17,"")</f>
        <v/>
      </c>
      <c r="BC225" s="232" t="str">
        <f>IF($AX225="Yes",'8. Option Codes Decrypted'!$C$18,"")</f>
        <v/>
      </c>
      <c r="BD225" s="232" t="str">
        <f>IF($AY225="Yes",'8. Option Codes Decrypted'!$C$20,"")</f>
        <v/>
      </c>
      <c r="BE225" s="232" t="str">
        <f>IF($AY225="Yes",'8. Option Codes Decrypted'!$C$21,"")</f>
        <v/>
      </c>
      <c r="BF225" s="232" t="str">
        <f>IF($AY225="Yes",'8. Option Codes Decrypted'!$C$22,"")</f>
        <v/>
      </c>
      <c r="BG225" s="232" t="str">
        <f>IF($AY225="Yes",'8. Option Codes Decrypted'!$C$23,"")</f>
        <v/>
      </c>
    </row>
    <row r="226" spans="1:59" s="232" customFormat="1" ht="15.75" thickBot="1" x14ac:dyDescent="0.3">
      <c r="A226" s="232" t="str">
        <f t="shared" si="48"/>
        <v/>
      </c>
      <c r="B226" s="358" t="str">
        <f t="shared" si="45"/>
        <v>655-72543</v>
      </c>
      <c r="C226" s="358" t="str">
        <f t="shared" si="49"/>
        <v/>
      </c>
      <c r="D226" s="358"/>
      <c r="E226" s="358">
        <f t="shared" si="46"/>
        <v>1</v>
      </c>
      <c r="F226" s="232" t="s">
        <v>426</v>
      </c>
      <c r="G226" s="241">
        <v>44684</v>
      </c>
      <c r="H226" s="250"/>
      <c r="I226" s="250"/>
      <c r="J226" s="250" t="s">
        <v>427</v>
      </c>
      <c r="K226" s="250" t="s">
        <v>200</v>
      </c>
      <c r="L226" s="250" t="s">
        <v>977</v>
      </c>
      <c r="M226" s="235" t="s">
        <v>444</v>
      </c>
      <c r="N226" s="235"/>
      <c r="O226" s="284"/>
      <c r="P226" s="284"/>
      <c r="Q226" s="284"/>
      <c r="R226" s="286" t="str">
        <f t="shared" si="47"/>
        <v>. Climate Control Panel, REAR</v>
      </c>
      <c r="S226" s="286"/>
      <c r="T226" s="235"/>
      <c r="U226" s="250"/>
      <c r="V226" s="235"/>
      <c r="W226" s="250"/>
      <c r="X226" s="250"/>
      <c r="Y226" s="250"/>
      <c r="Z226" s="250" t="s">
        <v>988</v>
      </c>
      <c r="AA226" s="250"/>
      <c r="AB226" s="250"/>
      <c r="AC226" s="244" t="s">
        <v>449</v>
      </c>
      <c r="AD226" s="250"/>
      <c r="AE226" s="250">
        <v>198</v>
      </c>
      <c r="AF226" s="252" t="s">
        <v>434</v>
      </c>
      <c r="AG226" s="247"/>
      <c r="AH226" s="248" t="s">
        <v>435</v>
      </c>
      <c r="AJ226" s="249"/>
      <c r="AK226" s="232" t="s">
        <v>989</v>
      </c>
      <c r="AN226" s="233" t="s">
        <v>981</v>
      </c>
      <c r="AO226" s="232" t="s">
        <v>411</v>
      </c>
      <c r="AP226" s="232">
        <v>72543</v>
      </c>
      <c r="AQ226" s="232" t="str">
        <f>CONCATENATE(AN226,AO226,AP226)</f>
        <v>655-72543</v>
      </c>
      <c r="AR226" s="232" t="s">
        <v>991</v>
      </c>
      <c r="AX226" s="250"/>
      <c r="AY226" s="250"/>
      <c r="AZ226" s="232" t="str">
        <f>IF($AX226="Yes",'8. Option Codes Decrypted'!$C$15,"")</f>
        <v/>
      </c>
      <c r="BA226" s="232" t="str">
        <f>IF($AX226="Yes",'8. Option Codes Decrypted'!$C$16,"")</f>
        <v/>
      </c>
      <c r="BB226" s="232" t="str">
        <f>IF($AX226="Yes",'8. Option Codes Decrypted'!$C$17,"")</f>
        <v/>
      </c>
      <c r="BC226" s="232" t="str">
        <f>IF($AX226="Yes",'8. Option Codes Decrypted'!$C$18,"")</f>
        <v/>
      </c>
      <c r="BD226" s="232" t="str">
        <f>IF($AY226="Yes",'8. Option Codes Decrypted'!$C$20,"")</f>
        <v/>
      </c>
      <c r="BE226" s="232" t="str">
        <f>IF($AY226="Yes",'8. Option Codes Decrypted'!$C$21,"")</f>
        <v/>
      </c>
      <c r="BF226" s="232" t="str">
        <f>IF($AY226="Yes",'8. Option Codes Decrypted'!$C$22,"")</f>
        <v/>
      </c>
      <c r="BG226" s="232" t="str">
        <f>IF($AY226="Yes",'8. Option Codes Decrypted'!$C$23,"")</f>
        <v/>
      </c>
    </row>
    <row r="227" spans="1:59" s="232" customFormat="1" ht="15.75" thickBot="1" x14ac:dyDescent="0.3">
      <c r="A227" s="232" t="str">
        <f t="shared" si="48"/>
        <v>A18</v>
      </c>
      <c r="B227" s="358" t="str">
        <f t="shared" si="45"/>
        <v>253-67828</v>
      </c>
      <c r="C227" s="358" t="str">
        <f t="shared" si="49"/>
        <v/>
      </c>
      <c r="D227" s="358"/>
      <c r="E227" s="358">
        <f t="shared" si="46"/>
        <v>1</v>
      </c>
      <c r="F227" s="232" t="s">
        <v>426</v>
      </c>
      <c r="G227" s="241">
        <v>44671</v>
      </c>
      <c r="H227" s="268"/>
      <c r="I227" s="235"/>
      <c r="J227" s="250" t="s">
        <v>427</v>
      </c>
      <c r="K227" s="250" t="s">
        <v>200</v>
      </c>
      <c r="L227" s="250" t="s">
        <v>992</v>
      </c>
      <c r="M227" s="235" t="s">
        <v>444</v>
      </c>
      <c r="N227" s="235">
        <v>8</v>
      </c>
      <c r="O227" s="284" t="s">
        <v>262</v>
      </c>
      <c r="P227" s="284" t="s">
        <v>716</v>
      </c>
      <c r="Q227" s="284">
        <v>1</v>
      </c>
      <c r="R227" s="286" t="str">
        <f t="shared" si="47"/>
        <v>A18. Airbag, DASH - RIGHT (PASSENGER)</v>
      </c>
      <c r="S227" s="365" t="str">
        <f>HYPERLINK(VLOOKUP(O227,'3D. Pictures'!$B$3:$E$500,4,FALSE),"PIC")</f>
        <v>PIC</v>
      </c>
      <c r="T227" s="235">
        <v>5</v>
      </c>
      <c r="U227" s="250" t="s">
        <v>993</v>
      </c>
      <c r="V227" s="235" t="s">
        <v>80</v>
      </c>
      <c r="W227" s="250"/>
      <c r="X227" s="250"/>
      <c r="Y227" s="250"/>
      <c r="Z227" s="250" t="s">
        <v>994</v>
      </c>
      <c r="AA227" s="250"/>
      <c r="AB227" s="250"/>
      <c r="AC227" s="244" t="s">
        <v>449</v>
      </c>
      <c r="AD227" s="250"/>
      <c r="AE227" s="250">
        <v>195</v>
      </c>
      <c r="AF227" s="252" t="s">
        <v>434</v>
      </c>
      <c r="AG227" s="247"/>
      <c r="AH227" s="248" t="s">
        <v>435</v>
      </c>
      <c r="AJ227" s="249"/>
      <c r="AK227" s="232" t="s">
        <v>995</v>
      </c>
      <c r="AN227" s="233" t="s">
        <v>996</v>
      </c>
      <c r="AO227" s="232" t="s">
        <v>411</v>
      </c>
      <c r="AP227" s="232">
        <v>67828</v>
      </c>
      <c r="AQ227" s="232" t="str">
        <f t="shared" si="51"/>
        <v>253-67828</v>
      </c>
      <c r="AX227" s="250"/>
      <c r="AY227" s="250"/>
      <c r="AZ227" s="232" t="str">
        <f>IF($AX227="Yes",'8. Option Codes Decrypted'!$C$15,"")</f>
        <v/>
      </c>
      <c r="BA227" s="232" t="str">
        <f>IF($AX227="Yes",'8. Option Codes Decrypted'!$C$16,"")</f>
        <v/>
      </c>
      <c r="BB227" s="232" t="str">
        <f>IF($AX227="Yes",'8. Option Codes Decrypted'!$C$17,"")</f>
        <v/>
      </c>
      <c r="BC227" s="232" t="str">
        <f>IF($AX227="Yes",'8. Option Codes Decrypted'!$C$18,"")</f>
        <v/>
      </c>
      <c r="BD227" s="232" t="str">
        <f>IF($AY227="Yes",'8. Option Codes Decrypted'!$C$20,"")</f>
        <v/>
      </c>
      <c r="BE227" s="232" t="str">
        <f>IF($AY227="Yes",'8. Option Codes Decrypted'!$C$21,"")</f>
        <v/>
      </c>
      <c r="BF227" s="232" t="str">
        <f>IF($AY227="Yes",'8. Option Codes Decrypted'!$C$22,"")</f>
        <v/>
      </c>
      <c r="BG227" s="232" t="str">
        <f>IF($AY227="Yes",'8. Option Codes Decrypted'!$C$23,"")</f>
        <v/>
      </c>
    </row>
    <row r="228" spans="1:59" s="232" customFormat="1" ht="15.75" thickBot="1" x14ac:dyDescent="0.3">
      <c r="A228" s="232" t="str">
        <f t="shared" si="48"/>
        <v>A12</v>
      </c>
      <c r="B228" s="358" t="str">
        <f t="shared" si="45"/>
        <v>253-67827</v>
      </c>
      <c r="C228" s="358" t="str">
        <f t="shared" si="49"/>
        <v/>
      </c>
      <c r="D228" s="358"/>
      <c r="E228" s="358">
        <f t="shared" si="46"/>
        <v>1</v>
      </c>
      <c r="F228" s="232" t="s">
        <v>426</v>
      </c>
      <c r="G228" s="241">
        <v>44671</v>
      </c>
      <c r="H228" s="268"/>
      <c r="I228" s="235"/>
      <c r="J228" s="250" t="s">
        <v>427</v>
      </c>
      <c r="K228" s="250" t="s">
        <v>200</v>
      </c>
      <c r="L228" s="250" t="s">
        <v>992</v>
      </c>
      <c r="M228" s="235" t="s">
        <v>444</v>
      </c>
      <c r="N228" s="235">
        <v>2</v>
      </c>
      <c r="O228" s="284" t="s">
        <v>256</v>
      </c>
      <c r="P228" s="284" t="s">
        <v>716</v>
      </c>
      <c r="Q228" s="284">
        <v>1</v>
      </c>
      <c r="R228" s="286" t="str">
        <f t="shared" si="47"/>
        <v>A12. Airbag, KNEE - FRONT LEFT (DRIVER)</v>
      </c>
      <c r="S228" s="365" t="str">
        <f>HYPERLINK(VLOOKUP(O228,'3D. Pictures'!$B$3:$E$500,4,FALSE),"PIC")</f>
        <v>PIC</v>
      </c>
      <c r="T228" s="235">
        <v>6</v>
      </c>
      <c r="U228" s="250" t="s">
        <v>997</v>
      </c>
      <c r="V228" s="235" t="s">
        <v>80</v>
      </c>
      <c r="W228" s="250"/>
      <c r="X228" s="250"/>
      <c r="Y228" s="250"/>
      <c r="Z228" s="250" t="s">
        <v>998</v>
      </c>
      <c r="AA228" s="250"/>
      <c r="AB228" s="250"/>
      <c r="AC228" s="244" t="s">
        <v>449</v>
      </c>
      <c r="AD228" s="250"/>
      <c r="AE228" s="250">
        <v>275</v>
      </c>
      <c r="AF228" s="252" t="s">
        <v>434</v>
      </c>
      <c r="AG228" s="247"/>
      <c r="AH228" s="248" t="s">
        <v>435</v>
      </c>
      <c r="AJ228" s="249"/>
      <c r="AK228" s="232" t="s">
        <v>999</v>
      </c>
      <c r="AL228" s="232" t="s">
        <v>1000</v>
      </c>
      <c r="AN228" s="233" t="s">
        <v>996</v>
      </c>
      <c r="AO228" s="232" t="s">
        <v>411</v>
      </c>
      <c r="AP228" s="232">
        <v>67827</v>
      </c>
      <c r="AQ228" s="232" t="str">
        <f t="shared" si="51"/>
        <v>253-67827</v>
      </c>
      <c r="AX228" s="250"/>
      <c r="AY228" s="250"/>
      <c r="AZ228" s="232" t="str">
        <f>IF($AX228="Yes",'8. Option Codes Decrypted'!$C$15,"")</f>
        <v/>
      </c>
      <c r="BA228" s="232" t="str">
        <f>IF($AX228="Yes",'8. Option Codes Decrypted'!$C$16,"")</f>
        <v/>
      </c>
      <c r="BB228" s="232" t="str">
        <f>IF($AX228="Yes",'8. Option Codes Decrypted'!$C$17,"")</f>
        <v/>
      </c>
      <c r="BC228" s="232" t="str">
        <f>IF($AX228="Yes",'8. Option Codes Decrypted'!$C$18,"")</f>
        <v/>
      </c>
      <c r="BD228" s="232" t="str">
        <f>IF($AY228="Yes",'8. Option Codes Decrypted'!$C$20,"")</f>
        <v/>
      </c>
      <c r="BE228" s="232" t="str">
        <f>IF($AY228="Yes",'8. Option Codes Decrypted'!$C$21,"")</f>
        <v/>
      </c>
      <c r="BF228" s="232" t="str">
        <f>IF($AY228="Yes",'8. Option Codes Decrypted'!$C$22,"")</f>
        <v/>
      </c>
      <c r="BG228" s="232" t="str">
        <f>IF($AY228="Yes",'8. Option Codes Decrypted'!$C$23,"")</f>
        <v/>
      </c>
    </row>
    <row r="229" spans="1:59" s="232" customFormat="1" ht="15.75" thickBot="1" x14ac:dyDescent="0.3">
      <c r="A229" s="232" t="str">
        <f t="shared" si="48"/>
        <v>A14</v>
      </c>
      <c r="B229" s="358" t="str">
        <f t="shared" si="45"/>
        <v>253-67831</v>
      </c>
      <c r="C229" s="358" t="str">
        <f t="shared" si="49"/>
        <v/>
      </c>
      <c r="D229" s="358"/>
      <c r="E229" s="358">
        <f t="shared" si="46"/>
        <v>1</v>
      </c>
      <c r="F229" s="232" t="s">
        <v>426</v>
      </c>
      <c r="G229" s="241">
        <v>44671</v>
      </c>
      <c r="H229" s="268"/>
      <c r="I229" s="235"/>
      <c r="J229" s="250" t="s">
        <v>427</v>
      </c>
      <c r="K229" s="250" t="s">
        <v>200</v>
      </c>
      <c r="L229" s="250" t="s">
        <v>992</v>
      </c>
      <c r="M229" s="235" t="s">
        <v>444</v>
      </c>
      <c r="N229" s="235">
        <v>4</v>
      </c>
      <c r="O229" s="284" t="s">
        <v>258</v>
      </c>
      <c r="P229" s="284" t="s">
        <v>716</v>
      </c>
      <c r="Q229" s="284">
        <v>1</v>
      </c>
      <c r="R229" s="286" t="str">
        <f t="shared" si="47"/>
        <v>A14. Airbag, KNEE - FRONT RIGHT (PASSENGER)</v>
      </c>
      <c r="S229" s="365" t="str">
        <f>HYPERLINK(VLOOKUP(O229,'3D. Pictures'!$B$3:$E$500,4,FALSE),"PIC")</f>
        <v>PIC</v>
      </c>
      <c r="T229" s="235">
        <v>5</v>
      </c>
      <c r="U229" s="250" t="s">
        <v>1001</v>
      </c>
      <c r="V229" s="235" t="s">
        <v>80</v>
      </c>
      <c r="W229" s="250"/>
      <c r="X229" s="250"/>
      <c r="Y229" s="250"/>
      <c r="Z229" s="250" t="s">
        <v>1002</v>
      </c>
      <c r="AA229" s="250"/>
      <c r="AB229" s="250"/>
      <c r="AC229" s="244" t="s">
        <v>449</v>
      </c>
      <c r="AD229" s="250"/>
      <c r="AE229" s="250">
        <v>175</v>
      </c>
      <c r="AF229" s="252" t="s">
        <v>434</v>
      </c>
      <c r="AG229" s="247"/>
      <c r="AH229" s="248" t="s">
        <v>435</v>
      </c>
      <c r="AJ229" s="249"/>
      <c r="AK229" s="232" t="s">
        <v>1003</v>
      </c>
      <c r="AL229" s="232" t="s">
        <v>1004</v>
      </c>
      <c r="AN229" s="233" t="s">
        <v>996</v>
      </c>
      <c r="AO229" s="232" t="s">
        <v>411</v>
      </c>
      <c r="AP229" s="232">
        <v>67831</v>
      </c>
      <c r="AQ229" s="232" t="str">
        <f t="shared" si="51"/>
        <v>253-67831</v>
      </c>
      <c r="AX229" s="250"/>
      <c r="AY229" s="250"/>
      <c r="AZ229" s="232" t="str">
        <f>IF($AX229="Yes",'8. Option Codes Decrypted'!$C$15,"")</f>
        <v/>
      </c>
      <c r="BA229" s="232" t="str">
        <f>IF($AX229="Yes",'8. Option Codes Decrypted'!$C$16,"")</f>
        <v/>
      </c>
      <c r="BB229" s="232" t="str">
        <f>IF($AX229="Yes",'8. Option Codes Decrypted'!$C$17,"")</f>
        <v/>
      </c>
      <c r="BC229" s="232" t="str">
        <f>IF($AX229="Yes",'8. Option Codes Decrypted'!$C$18,"")</f>
        <v/>
      </c>
      <c r="BD229" s="232" t="str">
        <f>IF($AY229="Yes",'8. Option Codes Decrypted'!$C$20,"")</f>
        <v/>
      </c>
      <c r="BE229" s="232" t="str">
        <f>IF($AY229="Yes",'8. Option Codes Decrypted'!$C$21,"")</f>
        <v/>
      </c>
      <c r="BF229" s="232" t="str">
        <f>IF($AY229="Yes",'8. Option Codes Decrypted'!$C$22,"")</f>
        <v/>
      </c>
      <c r="BG229" s="232" t="str">
        <f>IF($AY229="Yes",'8. Option Codes Decrypted'!$C$23,"")</f>
        <v/>
      </c>
    </row>
    <row r="230" spans="1:59" s="232" customFormat="1" ht="15.75" thickBot="1" x14ac:dyDescent="0.3">
      <c r="A230" s="232" t="str">
        <f t="shared" si="48"/>
        <v>A22</v>
      </c>
      <c r="B230" s="358" t="str">
        <f t="shared" si="45"/>
        <v>253-67825</v>
      </c>
      <c r="C230" s="358" t="str">
        <f t="shared" si="49"/>
        <v/>
      </c>
      <c r="D230" s="358"/>
      <c r="E230" s="358">
        <f t="shared" si="46"/>
        <v>1</v>
      </c>
      <c r="F230" s="232" t="s">
        <v>426</v>
      </c>
      <c r="G230" s="241">
        <v>44671</v>
      </c>
      <c r="H230" s="268"/>
      <c r="I230" s="235"/>
      <c r="J230" s="250" t="s">
        <v>427</v>
      </c>
      <c r="K230" s="250" t="s">
        <v>200</v>
      </c>
      <c r="L230" s="250" t="s">
        <v>992</v>
      </c>
      <c r="M230" s="235" t="s">
        <v>444</v>
      </c>
      <c r="N230" s="235">
        <v>12</v>
      </c>
      <c r="O230" s="284" t="s">
        <v>266</v>
      </c>
      <c r="P230" s="284" t="s">
        <v>716</v>
      </c>
      <c r="Q230" s="284">
        <v>1</v>
      </c>
      <c r="R230" s="286" t="str">
        <f t="shared" si="47"/>
        <v>A22. Airbag, ROOF - LEFT (DRIVER)</v>
      </c>
      <c r="S230" s="365" t="str">
        <f>HYPERLINK(VLOOKUP(O230,'3D. Pictures'!$B$3:$E$500,4,FALSE),"PIC")</f>
        <v>PIC</v>
      </c>
      <c r="T230" s="235">
        <v>5</v>
      </c>
      <c r="U230" s="250" t="s">
        <v>1005</v>
      </c>
      <c r="V230" s="235" t="s">
        <v>80</v>
      </c>
      <c r="W230" s="250"/>
      <c r="X230" s="250"/>
      <c r="Y230" s="250"/>
      <c r="Z230" s="250" t="s">
        <v>1006</v>
      </c>
      <c r="AA230" s="250"/>
      <c r="AB230" s="250"/>
      <c r="AC230" s="244" t="s">
        <v>449</v>
      </c>
      <c r="AD230" s="250"/>
      <c r="AE230" s="250">
        <v>345</v>
      </c>
      <c r="AF230" s="252" t="s">
        <v>434</v>
      </c>
      <c r="AG230" s="247"/>
      <c r="AH230" s="248" t="s">
        <v>435</v>
      </c>
      <c r="AJ230" s="249"/>
      <c r="AK230" s="232" t="s">
        <v>1007</v>
      </c>
      <c r="AN230" s="233" t="s">
        <v>996</v>
      </c>
      <c r="AO230" s="232" t="s">
        <v>411</v>
      </c>
      <c r="AP230" s="232">
        <v>67825</v>
      </c>
      <c r="AQ230" s="232" t="str">
        <f t="shared" si="51"/>
        <v>253-67825</v>
      </c>
      <c r="AX230" s="250"/>
      <c r="AY230" s="250"/>
      <c r="AZ230" s="232" t="str">
        <f>IF($AX230="Yes",'8. Option Codes Decrypted'!$C$15,"")</f>
        <v/>
      </c>
      <c r="BA230" s="232" t="str">
        <f>IF($AX230="Yes",'8. Option Codes Decrypted'!$C$16,"")</f>
        <v/>
      </c>
      <c r="BB230" s="232" t="str">
        <f>IF($AX230="Yes",'8. Option Codes Decrypted'!$C$17,"")</f>
        <v/>
      </c>
      <c r="BC230" s="232" t="str">
        <f>IF($AX230="Yes",'8. Option Codes Decrypted'!$C$18,"")</f>
        <v/>
      </c>
      <c r="BD230" s="232" t="str">
        <f>IF($AY230="Yes",'8. Option Codes Decrypted'!$C$20,"")</f>
        <v/>
      </c>
      <c r="BE230" s="232" t="str">
        <f>IF($AY230="Yes",'8. Option Codes Decrypted'!$C$21,"")</f>
        <v/>
      </c>
      <c r="BF230" s="232" t="str">
        <f>IF($AY230="Yes",'8. Option Codes Decrypted'!$C$22,"")</f>
        <v/>
      </c>
      <c r="BG230" s="232" t="str">
        <f>IF($AY230="Yes",'8. Option Codes Decrypted'!$C$23,"")</f>
        <v/>
      </c>
    </row>
    <row r="231" spans="1:59" s="232" customFormat="1" ht="15.75" thickBot="1" x14ac:dyDescent="0.3">
      <c r="A231" s="232" t="str">
        <f t="shared" si="48"/>
        <v>A20</v>
      </c>
      <c r="B231" s="358" t="str">
        <f t="shared" si="45"/>
        <v>253-67829</v>
      </c>
      <c r="C231" s="358" t="str">
        <f t="shared" si="49"/>
        <v/>
      </c>
      <c r="D231" s="358"/>
      <c r="E231" s="358">
        <f t="shared" si="46"/>
        <v>1</v>
      </c>
      <c r="F231" s="232" t="s">
        <v>426</v>
      </c>
      <c r="G231" s="241">
        <v>44671</v>
      </c>
      <c r="H231" s="268"/>
      <c r="I231" s="235"/>
      <c r="J231" s="250" t="s">
        <v>427</v>
      </c>
      <c r="K231" s="250" t="s">
        <v>200</v>
      </c>
      <c r="L231" s="250" t="s">
        <v>992</v>
      </c>
      <c r="M231" s="235" t="s">
        <v>444</v>
      </c>
      <c r="N231" s="235">
        <v>10</v>
      </c>
      <c r="O231" s="284" t="s">
        <v>264</v>
      </c>
      <c r="P231" s="284" t="s">
        <v>716</v>
      </c>
      <c r="Q231" s="284">
        <v>1</v>
      </c>
      <c r="R231" s="286" t="str">
        <f t="shared" si="47"/>
        <v>A20. Airbag, ROOF - RIGHT (PASSENGER)</v>
      </c>
      <c r="S231" s="365" t="str">
        <f>HYPERLINK(VLOOKUP(O231,'3D. Pictures'!$B$3:$E$500,4,FALSE),"PIC")</f>
        <v>PIC</v>
      </c>
      <c r="T231" s="235">
        <v>5</v>
      </c>
      <c r="U231" s="250" t="s">
        <v>1008</v>
      </c>
      <c r="V231" s="235" t="s">
        <v>80</v>
      </c>
      <c r="W231" s="250"/>
      <c r="X231" s="250"/>
      <c r="Y231" s="250"/>
      <c r="Z231" s="250" t="s">
        <v>1009</v>
      </c>
      <c r="AA231" s="250"/>
      <c r="AB231" s="250"/>
      <c r="AC231" s="244" t="s">
        <v>449</v>
      </c>
      <c r="AD231" s="250"/>
      <c r="AE231" s="250">
        <v>345</v>
      </c>
      <c r="AF231" s="252" t="s">
        <v>434</v>
      </c>
      <c r="AG231" s="247"/>
      <c r="AH231" s="248" t="s">
        <v>435</v>
      </c>
      <c r="AJ231" s="249"/>
      <c r="AK231" s="232" t="s">
        <v>1007</v>
      </c>
      <c r="AN231" s="233" t="s">
        <v>996</v>
      </c>
      <c r="AO231" s="232" t="s">
        <v>411</v>
      </c>
      <c r="AP231" s="232">
        <v>67829</v>
      </c>
      <c r="AQ231" s="232" t="str">
        <f t="shared" si="51"/>
        <v>253-67829</v>
      </c>
      <c r="AX231" s="250"/>
      <c r="AY231" s="250"/>
      <c r="AZ231" s="232" t="str">
        <f>IF($AX231="Yes",'8. Option Codes Decrypted'!$C$15,"")</f>
        <v/>
      </c>
      <c r="BA231" s="232" t="str">
        <f>IF($AX231="Yes",'8. Option Codes Decrypted'!$C$16,"")</f>
        <v/>
      </c>
      <c r="BB231" s="232" t="str">
        <f>IF($AX231="Yes",'8. Option Codes Decrypted'!$C$17,"")</f>
        <v/>
      </c>
      <c r="BC231" s="232" t="str">
        <f>IF($AX231="Yes",'8. Option Codes Decrypted'!$C$18,"")</f>
        <v/>
      </c>
      <c r="BD231" s="232" t="str">
        <f>IF($AY231="Yes",'8. Option Codes Decrypted'!$C$20,"")</f>
        <v/>
      </c>
      <c r="BE231" s="232" t="str">
        <f>IF($AY231="Yes",'8. Option Codes Decrypted'!$C$21,"")</f>
        <v/>
      </c>
      <c r="BF231" s="232" t="str">
        <f>IF($AY231="Yes",'8. Option Codes Decrypted'!$C$22,"")</f>
        <v/>
      </c>
      <c r="BG231" s="232" t="str">
        <f>IF($AY231="Yes",'8. Option Codes Decrypted'!$C$23,"")</f>
        <v/>
      </c>
    </row>
    <row r="232" spans="1:59" s="232" customFormat="1" x14ac:dyDescent="0.25">
      <c r="A232" s="232" t="str">
        <f t="shared" si="48"/>
        <v/>
      </c>
      <c r="B232" s="358" t="str">
        <f t="shared" si="45"/>
        <v>253-67822</v>
      </c>
      <c r="C232" s="358" t="str">
        <f t="shared" si="49"/>
        <v/>
      </c>
      <c r="D232" s="358"/>
      <c r="E232" s="358">
        <f t="shared" si="46"/>
        <v>1</v>
      </c>
      <c r="F232" s="232" t="s">
        <v>426</v>
      </c>
      <c r="G232" s="241">
        <v>44671</v>
      </c>
      <c r="H232" s="268"/>
      <c r="I232" s="235"/>
      <c r="J232" s="250" t="s">
        <v>427</v>
      </c>
      <c r="K232" s="250" t="s">
        <v>200</v>
      </c>
      <c r="L232" s="250" t="s">
        <v>992</v>
      </c>
      <c r="M232" s="235" t="s">
        <v>444</v>
      </c>
      <c r="N232" s="235"/>
      <c r="O232" s="284"/>
      <c r="P232" s="284"/>
      <c r="Q232" s="284"/>
      <c r="R232" s="286" t="str">
        <f t="shared" si="47"/>
        <v>. Airbag, STEERING WHEEL</v>
      </c>
      <c r="S232" s="286"/>
      <c r="T232" s="235"/>
      <c r="U232" s="250"/>
      <c r="V232" s="235"/>
      <c r="W232" s="250"/>
      <c r="X232" s="250"/>
      <c r="Y232" s="250"/>
      <c r="Z232" s="250" t="s">
        <v>1010</v>
      </c>
      <c r="AA232" s="250"/>
      <c r="AB232" s="250"/>
      <c r="AC232" s="244" t="s">
        <v>449</v>
      </c>
      <c r="AD232" s="250"/>
      <c r="AE232" s="255">
        <v>450</v>
      </c>
      <c r="AF232" s="252" t="s">
        <v>434</v>
      </c>
      <c r="AG232" s="247"/>
      <c r="AH232" s="248" t="s">
        <v>435</v>
      </c>
      <c r="AJ232" s="249"/>
      <c r="AK232" s="232" t="s">
        <v>1011</v>
      </c>
      <c r="AN232" s="233" t="s">
        <v>996</v>
      </c>
      <c r="AO232" s="232" t="s">
        <v>411</v>
      </c>
      <c r="AP232" s="232">
        <v>67822</v>
      </c>
      <c r="AQ232" s="232" t="str">
        <f t="shared" si="51"/>
        <v>253-67822</v>
      </c>
      <c r="AR232" s="232" t="s">
        <v>851</v>
      </c>
      <c r="AX232" s="250"/>
      <c r="AY232" s="250"/>
      <c r="AZ232" s="232" t="str">
        <f>IF($AX232="Yes",'8. Option Codes Decrypted'!$C$15,"")</f>
        <v/>
      </c>
      <c r="BA232" s="232" t="str">
        <f>IF($AX232="Yes",'8. Option Codes Decrypted'!$C$16,"")</f>
        <v/>
      </c>
      <c r="BB232" s="232" t="str">
        <f>IF($AX232="Yes",'8. Option Codes Decrypted'!$C$17,"")</f>
        <v/>
      </c>
      <c r="BC232" s="232" t="str">
        <f>IF($AX232="Yes",'8. Option Codes Decrypted'!$C$18,"")</f>
        <v/>
      </c>
      <c r="BD232" s="232" t="str">
        <f>IF($AY232="Yes",'8. Option Codes Decrypted'!$C$20,"")</f>
        <v/>
      </c>
      <c r="BE232" s="232" t="str">
        <f>IF($AY232="Yes",'8. Option Codes Decrypted'!$C$21,"")</f>
        <v/>
      </c>
      <c r="BF232" s="232" t="str">
        <f>IF($AY232="Yes",'8. Option Codes Decrypted'!$C$22,"")</f>
        <v/>
      </c>
      <c r="BG232" s="232" t="str">
        <f>IF($AY232="Yes",'8. Option Codes Decrypted'!$C$23,"")</f>
        <v/>
      </c>
    </row>
    <row r="233" spans="1:59" s="232" customFormat="1" x14ac:dyDescent="0.25">
      <c r="A233" s="232" t="str">
        <f t="shared" si="48"/>
        <v/>
      </c>
      <c r="B233" s="358" t="str">
        <f t="shared" si="45"/>
        <v>253-53466</v>
      </c>
      <c r="C233" s="358" t="str">
        <f t="shared" si="49"/>
        <v/>
      </c>
      <c r="D233" s="358"/>
      <c r="E233" s="358">
        <f t="shared" si="46"/>
        <v>1</v>
      </c>
      <c r="F233" s="232" t="s">
        <v>426</v>
      </c>
      <c r="G233" s="241">
        <v>44671</v>
      </c>
      <c r="H233" s="268"/>
      <c r="I233" s="235"/>
      <c r="J233" s="250" t="s">
        <v>427</v>
      </c>
      <c r="K233" s="250" t="s">
        <v>200</v>
      </c>
      <c r="L233" s="250" t="s">
        <v>992</v>
      </c>
      <c r="M233" s="235" t="s">
        <v>444</v>
      </c>
      <c r="N233" s="235"/>
      <c r="O233" s="284"/>
      <c r="P233" s="284"/>
      <c r="Q233" s="284"/>
      <c r="R233" s="286" t="str">
        <f t="shared" si="47"/>
        <v>. Airbag, STEERING WHEEL</v>
      </c>
      <c r="S233" s="286"/>
      <c r="T233" s="235"/>
      <c r="U233" s="250"/>
      <c r="V233" s="235"/>
      <c r="W233" s="250"/>
      <c r="X233" s="250"/>
      <c r="Y233" s="250"/>
      <c r="Z233" s="250" t="s">
        <v>1010</v>
      </c>
      <c r="AA233" s="250"/>
      <c r="AB233" s="250"/>
      <c r="AC233" s="244" t="s">
        <v>449</v>
      </c>
      <c r="AD233" s="250"/>
      <c r="AE233" s="255">
        <v>375</v>
      </c>
      <c r="AF233" s="252" t="s">
        <v>434</v>
      </c>
      <c r="AG233" s="247"/>
      <c r="AH233" s="248" t="s">
        <v>435</v>
      </c>
      <c r="AJ233" s="249"/>
      <c r="AK233" s="232" t="s">
        <v>1011</v>
      </c>
      <c r="AN233" s="233" t="s">
        <v>996</v>
      </c>
      <c r="AO233" s="232" t="s">
        <v>411</v>
      </c>
      <c r="AP233" s="232">
        <v>53466</v>
      </c>
      <c r="AQ233" s="232" t="str">
        <f>CONCATENATE(AN233,AO233,AP233)</f>
        <v>253-53466</v>
      </c>
      <c r="AR233" s="232" t="s">
        <v>1012</v>
      </c>
      <c r="AX233" s="250"/>
      <c r="AY233" s="250"/>
      <c r="AZ233" s="232" t="str">
        <f>IF($AX233="Yes",'8. Option Codes Decrypted'!$C$15,"")</f>
        <v/>
      </c>
      <c r="BA233" s="232" t="str">
        <f>IF($AX233="Yes",'8. Option Codes Decrypted'!$C$16,"")</f>
        <v/>
      </c>
      <c r="BB233" s="232" t="str">
        <f>IF($AX233="Yes",'8. Option Codes Decrypted'!$C$17,"")</f>
        <v/>
      </c>
      <c r="BC233" s="232" t="str">
        <f>IF($AX233="Yes",'8. Option Codes Decrypted'!$C$18,"")</f>
        <v/>
      </c>
      <c r="BD233" s="232" t="str">
        <f>IF($AY233="Yes",'8. Option Codes Decrypted'!$C$20,"")</f>
        <v/>
      </c>
      <c r="BE233" s="232" t="str">
        <f>IF($AY233="Yes",'8. Option Codes Decrypted'!$C$21,"")</f>
        <v/>
      </c>
      <c r="BF233" s="232" t="str">
        <f>IF($AY233="Yes",'8. Option Codes Decrypted'!$C$22,"")</f>
        <v/>
      </c>
      <c r="BG233" s="232" t="str">
        <f>IF($AY233="Yes",'8. Option Codes Decrypted'!$C$23,"")</f>
        <v/>
      </c>
    </row>
    <row r="234" spans="1:59" s="232" customFormat="1" x14ac:dyDescent="0.25">
      <c r="A234" s="232" t="str">
        <f t="shared" si="48"/>
        <v/>
      </c>
      <c r="B234" s="358" t="str">
        <f t="shared" si="45"/>
        <v>253-67823</v>
      </c>
      <c r="C234" s="358" t="str">
        <f t="shared" ref="C234:C265" si="52">IF(AS234&lt;&gt;"",AS234,"")</f>
        <v/>
      </c>
      <c r="D234" s="358"/>
      <c r="E234" s="358">
        <f t="shared" si="46"/>
        <v>1</v>
      </c>
      <c r="F234" s="232" t="s">
        <v>426</v>
      </c>
      <c r="G234" s="241">
        <v>44671</v>
      </c>
      <c r="H234" s="268"/>
      <c r="I234" s="235"/>
      <c r="J234" s="250" t="s">
        <v>427</v>
      </c>
      <c r="K234" s="250" t="s">
        <v>200</v>
      </c>
      <c r="L234" s="250" t="s">
        <v>992</v>
      </c>
      <c r="M234" s="235" t="s">
        <v>444</v>
      </c>
      <c r="N234" s="235"/>
      <c r="O234" s="284"/>
      <c r="P234" s="284"/>
      <c r="Q234" s="284"/>
      <c r="R234" s="286" t="str">
        <f t="shared" si="47"/>
        <v>. Airbag, STEERING WHEEL</v>
      </c>
      <c r="S234" s="286"/>
      <c r="T234" s="235"/>
      <c r="U234" s="250"/>
      <c r="V234" s="235"/>
      <c r="W234" s="250"/>
      <c r="X234" s="250"/>
      <c r="Y234" s="250"/>
      <c r="Z234" s="250" t="s">
        <v>1010</v>
      </c>
      <c r="AA234" s="250"/>
      <c r="AB234" s="250"/>
      <c r="AC234" s="244" t="s">
        <v>449</v>
      </c>
      <c r="AD234" s="250"/>
      <c r="AE234" s="255">
        <v>375</v>
      </c>
      <c r="AF234" s="252" t="s">
        <v>434</v>
      </c>
      <c r="AG234" s="247"/>
      <c r="AH234" s="248" t="s">
        <v>435</v>
      </c>
      <c r="AJ234" s="249"/>
      <c r="AK234" s="232" t="s">
        <v>1011</v>
      </c>
      <c r="AN234" s="233" t="s">
        <v>996</v>
      </c>
      <c r="AO234" s="232" t="s">
        <v>411</v>
      </c>
      <c r="AP234" s="232">
        <v>67823</v>
      </c>
      <c r="AQ234" s="232" t="str">
        <f>CONCATENATE(AN234,AO234,AP234)</f>
        <v>253-67823</v>
      </c>
      <c r="AR234" s="232" t="s">
        <v>1013</v>
      </c>
      <c r="AX234" s="250"/>
      <c r="AY234" s="250"/>
      <c r="AZ234" s="232" t="str">
        <f>IF($AX234="Yes",'8. Option Codes Decrypted'!$C$15,"")</f>
        <v/>
      </c>
      <c r="BA234" s="232" t="str">
        <f>IF($AX234="Yes",'8. Option Codes Decrypted'!$C$16,"")</f>
        <v/>
      </c>
      <c r="BB234" s="232" t="str">
        <f>IF($AX234="Yes",'8. Option Codes Decrypted'!$C$17,"")</f>
        <v/>
      </c>
      <c r="BC234" s="232" t="str">
        <f>IF($AX234="Yes",'8. Option Codes Decrypted'!$C$18,"")</f>
        <v/>
      </c>
      <c r="BD234" s="232" t="str">
        <f>IF($AY234="Yes",'8. Option Codes Decrypted'!$C$20,"")</f>
        <v/>
      </c>
      <c r="BE234" s="232" t="str">
        <f>IF($AY234="Yes",'8. Option Codes Decrypted'!$C$21,"")</f>
        <v/>
      </c>
      <c r="BF234" s="232" t="str">
        <f>IF($AY234="Yes",'8. Option Codes Decrypted'!$C$22,"")</f>
        <v/>
      </c>
      <c r="BG234" s="232" t="str">
        <f>IF($AY234="Yes",'8. Option Codes Decrypted'!$C$23,"")</f>
        <v/>
      </c>
    </row>
    <row r="235" spans="1:59" s="232" customFormat="1" ht="15.75" thickBot="1" x14ac:dyDescent="0.3">
      <c r="A235" s="232" t="str">
        <f t="shared" si="48"/>
        <v/>
      </c>
      <c r="B235" s="358" t="str">
        <f t="shared" si="45"/>
        <v>253-67824</v>
      </c>
      <c r="C235" s="358" t="str">
        <f t="shared" si="52"/>
        <v/>
      </c>
      <c r="D235" s="358"/>
      <c r="E235" s="358">
        <f t="shared" si="46"/>
        <v>1</v>
      </c>
      <c r="F235" s="232" t="s">
        <v>426</v>
      </c>
      <c r="G235" s="241">
        <v>44671</v>
      </c>
      <c r="H235" s="268"/>
      <c r="I235" s="235"/>
      <c r="J235" s="250" t="s">
        <v>427</v>
      </c>
      <c r="K235" s="250" t="s">
        <v>200</v>
      </c>
      <c r="L235" s="250" t="s">
        <v>992</v>
      </c>
      <c r="M235" s="235" t="s">
        <v>444</v>
      </c>
      <c r="N235" s="235"/>
      <c r="O235" s="284"/>
      <c r="P235" s="284"/>
      <c r="Q235" s="284"/>
      <c r="R235" s="286" t="str">
        <f t="shared" si="47"/>
        <v>. Airbag, STEERING WHEEL</v>
      </c>
      <c r="S235" s="286"/>
      <c r="T235" s="235"/>
      <c r="U235" s="250"/>
      <c r="V235" s="235"/>
      <c r="W235" s="250"/>
      <c r="X235" s="250"/>
      <c r="Y235" s="250"/>
      <c r="Z235" s="250" t="s">
        <v>1010</v>
      </c>
      <c r="AA235" s="250"/>
      <c r="AB235" s="250"/>
      <c r="AC235" s="244" t="s">
        <v>449</v>
      </c>
      <c r="AD235" s="250"/>
      <c r="AE235" s="255">
        <v>375</v>
      </c>
      <c r="AF235" s="252" t="s">
        <v>434</v>
      </c>
      <c r="AG235" s="247"/>
      <c r="AH235" s="248" t="s">
        <v>435</v>
      </c>
      <c r="AJ235" s="249"/>
      <c r="AK235" s="232" t="s">
        <v>1011</v>
      </c>
      <c r="AN235" s="233" t="s">
        <v>996</v>
      </c>
      <c r="AO235" s="232" t="s">
        <v>411</v>
      </c>
      <c r="AP235" s="232">
        <v>67824</v>
      </c>
      <c r="AQ235" s="232" t="str">
        <f>CONCATENATE(AN235,AO235,AP235)</f>
        <v>253-67824</v>
      </c>
      <c r="AR235" s="232" t="s">
        <v>1014</v>
      </c>
      <c r="AX235" s="250"/>
      <c r="AY235" s="250"/>
      <c r="AZ235" s="232" t="str">
        <f>IF($AX235="Yes",'8. Option Codes Decrypted'!$C$15,"")</f>
        <v/>
      </c>
      <c r="BA235" s="232" t="str">
        <f>IF($AX235="Yes",'8. Option Codes Decrypted'!$C$16,"")</f>
        <v/>
      </c>
      <c r="BB235" s="232" t="str">
        <f>IF($AX235="Yes",'8. Option Codes Decrypted'!$C$17,"")</f>
        <v/>
      </c>
      <c r="BC235" s="232" t="str">
        <f>IF($AX235="Yes",'8. Option Codes Decrypted'!$C$18,"")</f>
        <v/>
      </c>
      <c r="BD235" s="232" t="str">
        <f>IF($AY235="Yes",'8. Option Codes Decrypted'!$C$20,"")</f>
        <v/>
      </c>
      <c r="BE235" s="232" t="str">
        <f>IF($AY235="Yes",'8. Option Codes Decrypted'!$C$21,"")</f>
        <v/>
      </c>
      <c r="BF235" s="232" t="str">
        <f>IF($AY235="Yes",'8. Option Codes Decrypted'!$C$22,"")</f>
        <v/>
      </c>
      <c r="BG235" s="232" t="str">
        <f>IF($AY235="Yes",'8. Option Codes Decrypted'!$C$23,"")</f>
        <v/>
      </c>
    </row>
    <row r="236" spans="1:59" s="232" customFormat="1" ht="15.75" thickBot="1" x14ac:dyDescent="0.3">
      <c r="A236" s="232" t="str">
        <f t="shared" si="48"/>
        <v>A62</v>
      </c>
      <c r="B236" s="358" t="str">
        <f t="shared" si="45"/>
        <v>253-67961</v>
      </c>
      <c r="C236" s="358" t="str">
        <f t="shared" si="52"/>
        <v/>
      </c>
      <c r="D236" s="358"/>
      <c r="E236" s="358">
        <f t="shared" si="46"/>
        <v>1</v>
      </c>
      <c r="F236" s="232" t="s">
        <v>426</v>
      </c>
      <c r="G236" s="241">
        <v>44671</v>
      </c>
      <c r="H236" s="268"/>
      <c r="I236" s="235"/>
      <c r="J236" s="250" t="s">
        <v>427</v>
      </c>
      <c r="K236" s="250" t="s">
        <v>200</v>
      </c>
      <c r="L236" s="250" t="s">
        <v>992</v>
      </c>
      <c r="M236" s="235" t="s">
        <v>444</v>
      </c>
      <c r="N236" s="235">
        <v>52</v>
      </c>
      <c r="O236" s="284" t="s">
        <v>306</v>
      </c>
      <c r="P236" s="284" t="s">
        <v>445</v>
      </c>
      <c r="Q236" s="284">
        <v>1</v>
      </c>
      <c r="R236" s="286" t="str">
        <f t="shared" si="47"/>
        <v>A62. Airbag, STEERING WHEEL</v>
      </c>
      <c r="S236" s="365" t="str">
        <f>HYPERLINK(VLOOKUP(O236,'3D. Pictures'!$B$3:$E$500,4,FALSE),"PIC")</f>
        <v>PIC</v>
      </c>
      <c r="T236" s="235">
        <v>4</v>
      </c>
      <c r="U236" s="250" t="s">
        <v>1015</v>
      </c>
      <c r="V236" s="235" t="s">
        <v>80</v>
      </c>
      <c r="W236" s="250"/>
      <c r="X236" s="250"/>
      <c r="Y236" s="250"/>
      <c r="Z236" s="250" t="s">
        <v>1010</v>
      </c>
      <c r="AA236" s="250"/>
      <c r="AB236" s="250"/>
      <c r="AC236" s="244" t="s">
        <v>449</v>
      </c>
      <c r="AD236" s="250"/>
      <c r="AE236" s="255">
        <v>375</v>
      </c>
      <c r="AF236" s="252" t="s">
        <v>434</v>
      </c>
      <c r="AG236" s="247"/>
      <c r="AH236" s="248" t="s">
        <v>435</v>
      </c>
      <c r="AJ236" s="249"/>
      <c r="AK236" s="232" t="s">
        <v>1011</v>
      </c>
      <c r="AN236" s="233" t="s">
        <v>996</v>
      </c>
      <c r="AO236" s="232" t="s">
        <v>411</v>
      </c>
      <c r="AP236" s="232">
        <v>67961</v>
      </c>
      <c r="AQ236" s="232" t="str">
        <f>CONCATENATE(AN236,AO236,AP236)</f>
        <v>253-67961</v>
      </c>
      <c r="AR236" s="232" t="s">
        <v>1016</v>
      </c>
      <c r="AX236" s="250"/>
      <c r="AY236" s="250"/>
      <c r="AZ236" s="232" t="str">
        <f>IF($AX236="Yes",'8. Option Codes Decrypted'!$C$15,"")</f>
        <v/>
      </c>
      <c r="BA236" s="232" t="str">
        <f>IF($AX236="Yes",'8. Option Codes Decrypted'!$C$16,"")</f>
        <v/>
      </c>
      <c r="BB236" s="232" t="str">
        <f>IF($AX236="Yes",'8. Option Codes Decrypted'!$C$17,"")</f>
        <v/>
      </c>
      <c r="BC236" s="232" t="str">
        <f>IF($AX236="Yes",'8. Option Codes Decrypted'!$C$18,"")</f>
        <v/>
      </c>
      <c r="BD236" s="232" t="str">
        <f>IF($AY236="Yes",'8. Option Codes Decrypted'!$C$20,"")</f>
        <v/>
      </c>
      <c r="BE236" s="232" t="str">
        <f>IF($AY236="Yes",'8. Option Codes Decrypted'!$C$21,"")</f>
        <v/>
      </c>
      <c r="BF236" s="232" t="str">
        <f>IF($AY236="Yes",'8. Option Codes Decrypted'!$C$22,"")</f>
        <v/>
      </c>
      <c r="BG236" s="232" t="str">
        <f>IF($AY236="Yes",'8. Option Codes Decrypted'!$C$23,"")</f>
        <v/>
      </c>
    </row>
    <row r="237" spans="1:59" ht="15.75" thickBot="1" x14ac:dyDescent="0.3">
      <c r="A237" s="232" t="str">
        <f t="shared" si="48"/>
        <v/>
      </c>
      <c r="B237" s="358" t="str">
        <f t="shared" si="45"/>
        <v/>
      </c>
      <c r="C237" s="358" t="str">
        <f t="shared" si="52"/>
        <v/>
      </c>
      <c r="D237" s="358"/>
      <c r="E237" s="358" t="str">
        <f t="shared" si="46"/>
        <v/>
      </c>
      <c r="F237" t="s">
        <v>426</v>
      </c>
      <c r="G237" s="230">
        <v>44683</v>
      </c>
      <c r="H237" s="16"/>
      <c r="I237" s="16"/>
      <c r="J237" s="16" t="s">
        <v>427</v>
      </c>
      <c r="K237" s="16" t="s">
        <v>200</v>
      </c>
      <c r="L237" s="16" t="s">
        <v>1017</v>
      </c>
      <c r="M237" s="16" t="s">
        <v>430</v>
      </c>
      <c r="N237" s="16"/>
      <c r="O237" s="191"/>
      <c r="P237" s="191"/>
      <c r="Q237" s="191"/>
      <c r="R237" s="286" t="str">
        <f t="shared" si="47"/>
        <v>. Ambient Air Temperature Sensor (small black w/ a purple front)</v>
      </c>
      <c r="S237" s="286"/>
      <c r="T237" s="16"/>
      <c r="U237" s="16"/>
      <c r="V237" s="16"/>
      <c r="W237" s="16"/>
      <c r="X237" s="16"/>
      <c r="Y237" s="16"/>
      <c r="Z237" s="16" t="s">
        <v>1017</v>
      </c>
      <c r="AA237" s="16" t="s">
        <v>1017</v>
      </c>
      <c r="AB237" s="16" t="s">
        <v>1017</v>
      </c>
      <c r="AC237" s="193" t="s">
        <v>449</v>
      </c>
      <c r="AD237" s="16"/>
      <c r="AE237" s="16">
        <v>48</v>
      </c>
      <c r="AF237" s="99" t="s">
        <v>434</v>
      </c>
      <c r="AH237" s="3" t="s">
        <v>435</v>
      </c>
      <c r="AJ237" s="69"/>
      <c r="AK237" t="s">
        <v>1018</v>
      </c>
      <c r="AN237"/>
      <c r="AX237" s="16"/>
      <c r="AY237" s="16"/>
      <c r="AZ237" s="232" t="str">
        <f>IF($AX237="Yes",'8. Option Codes Decrypted'!$C$15,"")</f>
        <v/>
      </c>
      <c r="BA237" s="232" t="str">
        <f>IF($AX237="Yes",'8. Option Codes Decrypted'!$C$16,"")</f>
        <v/>
      </c>
      <c r="BB237" s="232" t="str">
        <f>IF($AX237="Yes",'8. Option Codes Decrypted'!$C$17,"")</f>
        <v/>
      </c>
      <c r="BC237" s="232" t="str">
        <f>IF($AX237="Yes",'8. Option Codes Decrypted'!$C$18,"")</f>
        <v/>
      </c>
      <c r="BD237" s="232" t="str">
        <f>IF($AY237="Yes",'8. Option Codes Decrypted'!$C$20,"")</f>
        <v/>
      </c>
      <c r="BE237" s="232" t="str">
        <f>IF($AY237="Yes",'8. Option Codes Decrypted'!$C$21,"")</f>
        <v/>
      </c>
      <c r="BF237" s="232" t="str">
        <f>IF($AY237="Yes",'8. Option Codes Decrypted'!$C$22,"")</f>
        <v/>
      </c>
      <c r="BG237" s="232" t="str">
        <f>IF($AY237="Yes",'8. Option Codes Decrypted'!$C$23,"")</f>
        <v/>
      </c>
    </row>
    <row r="238" spans="1:59" s="232" customFormat="1" ht="15.75" thickBot="1" x14ac:dyDescent="0.3">
      <c r="A238" s="232" t="str">
        <f t="shared" si="48"/>
        <v>A19</v>
      </c>
      <c r="B238" s="358" t="str">
        <f t="shared" si="45"/>
        <v>615-58781</v>
      </c>
      <c r="C238" s="358" t="str">
        <f t="shared" si="52"/>
        <v/>
      </c>
      <c r="D238" s="358"/>
      <c r="E238" s="358">
        <f t="shared" si="46"/>
        <v>1</v>
      </c>
      <c r="F238" s="232" t="s">
        <v>426</v>
      </c>
      <c r="G238" s="241">
        <v>44683</v>
      </c>
      <c r="H238" s="250"/>
      <c r="I238" s="250"/>
      <c r="J238" s="250" t="s">
        <v>427</v>
      </c>
      <c r="K238" s="250" t="s">
        <v>200</v>
      </c>
      <c r="L238" s="250" t="s">
        <v>1019</v>
      </c>
      <c r="M238" s="235" t="s">
        <v>444</v>
      </c>
      <c r="N238" s="235">
        <v>9</v>
      </c>
      <c r="O238" s="284" t="s">
        <v>263</v>
      </c>
      <c r="P238" s="284" t="s">
        <v>716</v>
      </c>
      <c r="Q238" s="284">
        <v>1</v>
      </c>
      <c r="R238" s="286" t="str">
        <f t="shared" si="47"/>
        <v>A19. Blower Motor, FRONT FOOTWELL</v>
      </c>
      <c r="S238" s="365" t="str">
        <f>HYPERLINK(VLOOKUP(O238,'3D. Pictures'!$B$3:$E$500,4,FALSE),"PIC")</f>
        <v>PIC</v>
      </c>
      <c r="T238" s="235">
        <v>4</v>
      </c>
      <c r="U238" s="250" t="s">
        <v>1020</v>
      </c>
      <c r="V238" s="235" t="s">
        <v>80</v>
      </c>
      <c r="W238" s="250"/>
      <c r="X238" s="250"/>
      <c r="Y238" s="250"/>
      <c r="Z238" s="250" t="s">
        <v>1021</v>
      </c>
      <c r="AA238" s="250" t="s">
        <v>1022</v>
      </c>
      <c r="AB238" s="250"/>
      <c r="AC238" s="244" t="s">
        <v>449</v>
      </c>
      <c r="AD238" s="250"/>
      <c r="AE238" s="250">
        <v>95</v>
      </c>
      <c r="AF238" s="252" t="s">
        <v>434</v>
      </c>
      <c r="AG238" s="247"/>
      <c r="AH238" s="248" t="s">
        <v>435</v>
      </c>
      <c r="AJ238" s="249"/>
      <c r="AK238" s="232" t="s">
        <v>1023</v>
      </c>
      <c r="AL238" s="232" t="s">
        <v>1024</v>
      </c>
      <c r="AN238" s="233" t="s">
        <v>1025</v>
      </c>
      <c r="AO238" s="232" t="s">
        <v>411</v>
      </c>
      <c r="AP238" s="232">
        <v>58781</v>
      </c>
      <c r="AQ238" s="232" t="str">
        <f>CONCATENATE(AN238,AO238,AP238)</f>
        <v>615-58781</v>
      </c>
      <c r="AX238" s="250"/>
      <c r="AY238" s="250"/>
      <c r="AZ238" s="232" t="str">
        <f>IF($AX238="Yes",'8. Option Codes Decrypted'!$C$15,"")</f>
        <v/>
      </c>
      <c r="BA238" s="232" t="str">
        <f>IF($AX238="Yes",'8. Option Codes Decrypted'!$C$16,"")</f>
        <v/>
      </c>
      <c r="BB238" s="232" t="str">
        <f>IF($AX238="Yes",'8. Option Codes Decrypted'!$C$17,"")</f>
        <v/>
      </c>
      <c r="BC238" s="232" t="str">
        <f>IF($AX238="Yes",'8. Option Codes Decrypted'!$C$18,"")</f>
        <v/>
      </c>
      <c r="BD238" s="232" t="str">
        <f>IF($AY238="Yes",'8. Option Codes Decrypted'!$C$20,"")</f>
        <v/>
      </c>
      <c r="BE238" s="232" t="str">
        <f>IF($AY238="Yes",'8. Option Codes Decrypted'!$C$21,"")</f>
        <v/>
      </c>
      <c r="BF238" s="232" t="str">
        <f>IF($AY238="Yes",'8. Option Codes Decrypted'!$C$22,"")</f>
        <v/>
      </c>
      <c r="BG238" s="232" t="str">
        <f>IF($AY238="Yes",'8. Option Codes Decrypted'!$C$23,"")</f>
        <v/>
      </c>
    </row>
    <row r="239" spans="1:59" ht="15.75" thickBot="1" x14ac:dyDescent="0.3">
      <c r="A239" s="232" t="str">
        <f t="shared" si="48"/>
        <v/>
      </c>
      <c r="B239" s="358" t="str">
        <f t="shared" si="45"/>
        <v/>
      </c>
      <c r="C239" s="358" t="str">
        <f t="shared" si="52"/>
        <v/>
      </c>
      <c r="D239" s="358"/>
      <c r="E239" s="358" t="str">
        <f t="shared" si="46"/>
        <v/>
      </c>
      <c r="F239" t="s">
        <v>426</v>
      </c>
      <c r="G239" s="230">
        <v>44684</v>
      </c>
      <c r="H239" s="175"/>
      <c r="I239" s="195" t="s">
        <v>441</v>
      </c>
      <c r="J239" s="193" t="s">
        <v>427</v>
      </c>
      <c r="K239" s="193" t="s">
        <v>200</v>
      </c>
      <c r="L239" s="193" t="s">
        <v>1026</v>
      </c>
      <c r="M239" s="16" t="s">
        <v>430</v>
      </c>
      <c r="N239" s="16"/>
      <c r="O239" s="191"/>
      <c r="P239" s="191"/>
      <c r="Q239" s="191"/>
      <c r="R239" s="286" t="str">
        <f t="shared" si="47"/>
        <v>. Center Console Storage Compartment &amp; Lid (keep in switches / mats IN)</v>
      </c>
      <c r="S239" s="286"/>
      <c r="T239" s="16"/>
      <c r="U239" s="16"/>
      <c r="V239" s="16"/>
      <c r="W239" s="16"/>
      <c r="X239" s="16"/>
      <c r="Y239" s="16"/>
      <c r="Z239" s="193" t="s">
        <v>1026</v>
      </c>
      <c r="AA239" s="193" t="s">
        <v>1026</v>
      </c>
      <c r="AB239" s="193" t="s">
        <v>1026</v>
      </c>
      <c r="AC239" s="193" t="s">
        <v>449</v>
      </c>
      <c r="AD239" s="193"/>
      <c r="AE239" s="193">
        <v>200</v>
      </c>
      <c r="AF239" s="99" t="s">
        <v>434</v>
      </c>
      <c r="AH239" s="3" t="s">
        <v>435</v>
      </c>
      <c r="AJ239" s="69"/>
      <c r="AK239" t="s">
        <v>1027</v>
      </c>
      <c r="AN239"/>
      <c r="AX239" s="16"/>
      <c r="AY239" s="16"/>
      <c r="AZ239" s="232" t="str">
        <f>IF($AX239="Yes",'8. Option Codes Decrypted'!$C$15,"")</f>
        <v/>
      </c>
      <c r="BA239" s="232" t="str">
        <f>IF($AX239="Yes",'8. Option Codes Decrypted'!$C$16,"")</f>
        <v/>
      </c>
      <c r="BB239" s="232" t="str">
        <f>IF($AX239="Yes",'8. Option Codes Decrypted'!$C$17,"")</f>
        <v/>
      </c>
      <c r="BC239" s="232" t="str">
        <f>IF($AX239="Yes",'8. Option Codes Decrypted'!$C$18,"")</f>
        <v/>
      </c>
      <c r="BD239" s="232" t="str">
        <f>IF($AY239="Yes",'8. Option Codes Decrypted'!$C$20,"")</f>
        <v/>
      </c>
      <c r="BE239" s="232" t="str">
        <f>IF($AY239="Yes",'8. Option Codes Decrypted'!$C$21,"")</f>
        <v/>
      </c>
      <c r="BF239" s="232" t="str">
        <f>IF($AY239="Yes",'8. Option Codes Decrypted'!$C$22,"")</f>
        <v/>
      </c>
      <c r="BG239" s="232" t="str">
        <f>IF($AY239="Yes",'8. Option Codes Decrypted'!$C$23,"")</f>
        <v/>
      </c>
    </row>
    <row r="240" spans="1:59" s="296" customFormat="1" ht="15.75" thickBot="1" x14ac:dyDescent="0.3">
      <c r="A240" s="232" t="str">
        <f t="shared" si="48"/>
        <v>A36</v>
      </c>
      <c r="B240" s="358" t="str">
        <f t="shared" si="45"/>
        <v/>
      </c>
      <c r="C240" s="358" t="str">
        <f t="shared" si="52"/>
        <v>F15-Center Console Cell Phone Cradle-14-18-ALL</v>
      </c>
      <c r="D240" s="358"/>
      <c r="E240" s="358" t="str">
        <f t="shared" si="46"/>
        <v/>
      </c>
      <c r="F240" s="296" t="s">
        <v>426</v>
      </c>
      <c r="G240" s="297">
        <v>45248</v>
      </c>
      <c r="H240" s="322"/>
      <c r="I240" s="306"/>
      <c r="J240" s="213" t="s">
        <v>427</v>
      </c>
      <c r="K240" s="213" t="s">
        <v>200</v>
      </c>
      <c r="L240" s="213" t="s">
        <v>1028</v>
      </c>
      <c r="M240" s="298" t="s">
        <v>430</v>
      </c>
      <c r="N240" s="298">
        <v>26</v>
      </c>
      <c r="O240" s="299" t="s">
        <v>280</v>
      </c>
      <c r="P240" s="299" t="s">
        <v>459</v>
      </c>
      <c r="Q240" s="299">
        <v>1</v>
      </c>
      <c r="R240" s="299" t="str">
        <f t="shared" si="47"/>
        <v>A36. Center Console Cell Phone Cradle</v>
      </c>
      <c r="S240" s="365" t="str">
        <f>HYPERLINK(VLOOKUP(O240,'3D. Pictures'!$B$3:$E$500,4,FALSE),"PIC")</f>
        <v>PIC</v>
      </c>
      <c r="T240" s="298">
        <v>4</v>
      </c>
      <c r="U240" s="298" t="s">
        <v>1029</v>
      </c>
      <c r="V240" s="298" t="s">
        <v>80</v>
      </c>
      <c r="W240" s="298"/>
      <c r="X240" s="298"/>
      <c r="Y240" s="298"/>
      <c r="Z240" s="213" t="s">
        <v>1030</v>
      </c>
      <c r="AA240" s="213"/>
      <c r="AB240" s="213"/>
      <c r="AC240" s="213" t="s">
        <v>449</v>
      </c>
      <c r="AD240" s="213"/>
      <c r="AE240" s="213">
        <v>75</v>
      </c>
      <c r="AF240" s="300" t="s">
        <v>434</v>
      </c>
      <c r="AG240" s="301"/>
      <c r="AH240" s="302" t="s">
        <v>435</v>
      </c>
      <c r="AJ240" s="303"/>
      <c r="AK240" s="296" t="s">
        <v>1031</v>
      </c>
      <c r="AS240" s="296" t="str">
        <f>CONCATENATE(AT240,"-",AU240,"-",AV240,"-",AW240)</f>
        <v>F15-Center Console Cell Phone Cradle-14-18-ALL</v>
      </c>
      <c r="AT240" s="296" t="s">
        <v>661</v>
      </c>
      <c r="AU240" s="296" t="str">
        <f>Z240</f>
        <v>Center Console Cell Phone Cradle</v>
      </c>
      <c r="AV240" s="296" t="s">
        <v>757</v>
      </c>
      <c r="AW240" s="296" t="s">
        <v>662</v>
      </c>
      <c r="AX240" s="298"/>
      <c r="AY240" s="298"/>
      <c r="AZ240" s="232" t="str">
        <f>IF($AX240="Yes",'8. Option Codes Decrypted'!$C$15,"")</f>
        <v/>
      </c>
      <c r="BA240" s="232" t="str">
        <f>IF($AX240="Yes",'8. Option Codes Decrypted'!$C$16,"")</f>
        <v/>
      </c>
      <c r="BB240" s="232" t="str">
        <f>IF($AX240="Yes",'8. Option Codes Decrypted'!$C$17,"")</f>
        <v/>
      </c>
      <c r="BC240" s="232" t="str">
        <f>IF($AX240="Yes",'8. Option Codes Decrypted'!$C$18,"")</f>
        <v/>
      </c>
      <c r="BD240" s="232" t="str">
        <f>IF($AY240="Yes",'8. Option Codes Decrypted'!$C$20,"")</f>
        <v/>
      </c>
      <c r="BE240" s="232" t="str">
        <f>IF($AY240="Yes",'8. Option Codes Decrypted'!$C$21,"")</f>
        <v/>
      </c>
      <c r="BF240" s="232" t="str">
        <f>IF($AY240="Yes",'8. Option Codes Decrypted'!$C$22,"")</f>
        <v/>
      </c>
      <c r="BG240" s="232" t="str">
        <f>IF($AY240="Yes",'8. Option Codes Decrypted'!$C$23,"")</f>
        <v/>
      </c>
    </row>
    <row r="241" spans="1:59" s="232" customFormat="1" ht="15.75" thickBot="1" x14ac:dyDescent="0.3">
      <c r="A241" s="232" t="str">
        <f t="shared" si="48"/>
        <v/>
      </c>
      <c r="B241" s="358" t="str">
        <f t="shared" si="45"/>
        <v>629-61109</v>
      </c>
      <c r="C241" s="358" t="str">
        <f t="shared" si="52"/>
        <v/>
      </c>
      <c r="D241" s="358"/>
      <c r="E241" s="358">
        <f t="shared" si="46"/>
        <v>1</v>
      </c>
      <c r="F241" s="232" t="s">
        <v>426</v>
      </c>
      <c r="G241" s="241">
        <v>44684</v>
      </c>
      <c r="H241" s="250"/>
      <c r="I241" s="250"/>
      <c r="J241" s="250" t="s">
        <v>427</v>
      </c>
      <c r="K241" s="250" t="s">
        <v>200</v>
      </c>
      <c r="L241" s="250" t="s">
        <v>1032</v>
      </c>
      <c r="M241" s="235" t="s">
        <v>444</v>
      </c>
      <c r="N241" s="235"/>
      <c r="O241" s="284"/>
      <c r="P241" s="284"/>
      <c r="Q241" s="284"/>
      <c r="R241" s="286" t="str">
        <f t="shared" si="47"/>
        <v>. Combination Switch Assembly</v>
      </c>
      <c r="S241" s="286"/>
      <c r="T241" s="235"/>
      <c r="U241" s="250"/>
      <c r="V241" s="235"/>
      <c r="W241" s="250"/>
      <c r="X241" s="250"/>
      <c r="Y241" s="250"/>
      <c r="Z241" s="250" t="s">
        <v>1033</v>
      </c>
      <c r="AA241" s="250" t="s">
        <v>1034</v>
      </c>
      <c r="AB241" s="250"/>
      <c r="AC241" s="244" t="s">
        <v>449</v>
      </c>
      <c r="AD241" s="250"/>
      <c r="AE241" s="265">
        <v>148</v>
      </c>
      <c r="AF241" s="252" t="s">
        <v>434</v>
      </c>
      <c r="AG241" s="247"/>
      <c r="AH241" s="248" t="s">
        <v>435</v>
      </c>
      <c r="AJ241" s="249"/>
      <c r="AK241" s="232" t="s">
        <v>1035</v>
      </c>
      <c r="AL241" s="232" t="s">
        <v>1036</v>
      </c>
      <c r="AM241" s="232" t="s">
        <v>1037</v>
      </c>
      <c r="AN241" s="233" t="s">
        <v>1038</v>
      </c>
      <c r="AO241" s="232" t="s">
        <v>411</v>
      </c>
      <c r="AP241" s="232">
        <v>61109</v>
      </c>
      <c r="AQ241" s="232" t="str">
        <f>CONCATENATE(AN241,AO241,AP241)</f>
        <v>629-61109</v>
      </c>
      <c r="AR241" s="232" t="s">
        <v>1039</v>
      </c>
      <c r="AX241" s="250"/>
      <c r="AY241" s="250"/>
      <c r="AZ241" s="232" t="str">
        <f>IF($AX241="Yes",'8. Option Codes Decrypted'!$C$15,"")</f>
        <v/>
      </c>
      <c r="BA241" s="232" t="str">
        <f>IF($AX241="Yes",'8. Option Codes Decrypted'!$C$16,"")</f>
        <v/>
      </c>
      <c r="BB241" s="232" t="str">
        <f>IF($AX241="Yes",'8. Option Codes Decrypted'!$C$17,"")</f>
        <v/>
      </c>
      <c r="BC241" s="232" t="str">
        <f>IF($AX241="Yes",'8. Option Codes Decrypted'!$C$18,"")</f>
        <v/>
      </c>
      <c r="BD241" s="232" t="str">
        <f>IF($AY241="Yes",'8. Option Codes Decrypted'!$C$20,"")</f>
        <v/>
      </c>
      <c r="BE241" s="232" t="str">
        <f>IF($AY241="Yes",'8. Option Codes Decrypted'!$C$21,"")</f>
        <v/>
      </c>
      <c r="BF241" s="232" t="str">
        <f>IF($AY241="Yes",'8. Option Codes Decrypted'!$C$22,"")</f>
        <v/>
      </c>
      <c r="BG241" s="232" t="str">
        <f>IF($AY241="Yes",'8. Option Codes Decrypted'!$C$23,"")</f>
        <v/>
      </c>
    </row>
    <row r="242" spans="1:59" s="232" customFormat="1" ht="15.75" thickBot="1" x14ac:dyDescent="0.3">
      <c r="A242" s="232" t="str">
        <f t="shared" si="48"/>
        <v>A51</v>
      </c>
      <c r="B242" s="358" t="str">
        <f t="shared" si="45"/>
        <v>629-61110</v>
      </c>
      <c r="C242" s="358" t="str">
        <f t="shared" si="52"/>
        <v/>
      </c>
      <c r="D242" s="358"/>
      <c r="E242" s="358">
        <f t="shared" si="46"/>
        <v>1</v>
      </c>
      <c r="F242" s="232" t="s">
        <v>426</v>
      </c>
      <c r="G242" s="241">
        <v>44684</v>
      </c>
      <c r="H242" s="250"/>
      <c r="I242" s="250"/>
      <c r="J242" s="250" t="s">
        <v>427</v>
      </c>
      <c r="K242" s="250" t="s">
        <v>200</v>
      </c>
      <c r="L242" s="250" t="s">
        <v>1032</v>
      </c>
      <c r="M242" s="235" t="s">
        <v>444</v>
      </c>
      <c r="N242" s="235">
        <v>41</v>
      </c>
      <c r="O242" s="284" t="s">
        <v>295</v>
      </c>
      <c r="P242" s="284" t="s">
        <v>445</v>
      </c>
      <c r="Q242" s="284">
        <v>1</v>
      </c>
      <c r="R242" s="286" t="str">
        <f t="shared" si="47"/>
        <v>A51. Combination Switch Assembly</v>
      </c>
      <c r="S242" s="365" t="str">
        <f>HYPERLINK(VLOOKUP(O242,'3D. Pictures'!$B$3:$E$500,4,FALSE),"PIC")</f>
        <v>PIC</v>
      </c>
      <c r="T242" s="235">
        <v>6</v>
      </c>
      <c r="U242" s="250" t="s">
        <v>1040</v>
      </c>
      <c r="V242" s="235" t="s">
        <v>81</v>
      </c>
      <c r="W242" s="250"/>
      <c r="X242" s="250"/>
      <c r="Y242" s="250"/>
      <c r="Z242" s="250" t="s">
        <v>1033</v>
      </c>
      <c r="AA242" s="250" t="s">
        <v>1034</v>
      </c>
      <c r="AB242" s="250"/>
      <c r="AC242" s="244" t="s">
        <v>449</v>
      </c>
      <c r="AD242" s="250"/>
      <c r="AE242" s="265">
        <v>148</v>
      </c>
      <c r="AF242" s="252" t="s">
        <v>434</v>
      </c>
      <c r="AG242" s="247"/>
      <c r="AH242" s="248" t="s">
        <v>435</v>
      </c>
      <c r="AJ242" s="249"/>
      <c r="AK242" s="232" t="s">
        <v>1035</v>
      </c>
      <c r="AL242" s="232" t="s">
        <v>1036</v>
      </c>
      <c r="AM242" s="232" t="s">
        <v>1037</v>
      </c>
      <c r="AN242" s="233" t="s">
        <v>1038</v>
      </c>
      <c r="AO242" s="232" t="s">
        <v>411</v>
      </c>
      <c r="AP242" s="232">
        <v>61110</v>
      </c>
      <c r="AQ242" s="232" t="str">
        <f>CONCATENATE(AN242,AO242,AP242)</f>
        <v>629-61110</v>
      </c>
      <c r="AR242" s="232" t="s">
        <v>1041</v>
      </c>
      <c r="AX242" s="250"/>
      <c r="AY242" s="250"/>
      <c r="AZ242" s="232" t="str">
        <f>IF($AX242="Yes",'8. Option Codes Decrypted'!$C$15,"")</f>
        <v/>
      </c>
      <c r="BA242" s="232" t="str">
        <f>IF($AX242="Yes",'8. Option Codes Decrypted'!$C$16,"")</f>
        <v/>
      </c>
      <c r="BB242" s="232" t="str">
        <f>IF($AX242="Yes",'8. Option Codes Decrypted'!$C$17,"")</f>
        <v/>
      </c>
      <c r="BC242" s="232" t="str">
        <f>IF($AX242="Yes",'8. Option Codes Decrypted'!$C$18,"")</f>
        <v/>
      </c>
      <c r="BD242" s="232" t="str">
        <f>IF($AY242="Yes",'8. Option Codes Decrypted'!$C$20,"")</f>
        <v/>
      </c>
      <c r="BE242" s="232" t="str">
        <f>IF($AY242="Yes",'8. Option Codes Decrypted'!$C$21,"")</f>
        <v/>
      </c>
      <c r="BF242" s="232" t="str">
        <f>IF($AY242="Yes",'8. Option Codes Decrypted'!$C$22,"")</f>
        <v/>
      </c>
      <c r="BG242" s="232" t="str">
        <f>IF($AY242="Yes",'8. Option Codes Decrypted'!$C$23,"")</f>
        <v/>
      </c>
    </row>
    <row r="243" spans="1:59" s="232" customFormat="1" x14ac:dyDescent="0.25">
      <c r="A243" s="232" t="str">
        <f t="shared" si="48"/>
        <v/>
      </c>
      <c r="B243" s="358" t="str">
        <f t="shared" si="45"/>
        <v>629-61111</v>
      </c>
      <c r="C243" s="358" t="str">
        <f t="shared" si="52"/>
        <v/>
      </c>
      <c r="D243" s="358"/>
      <c r="E243" s="358">
        <f t="shared" si="46"/>
        <v>1</v>
      </c>
      <c r="F243" s="232" t="s">
        <v>426</v>
      </c>
      <c r="G243" s="241">
        <v>44684</v>
      </c>
      <c r="H243" s="250"/>
      <c r="I243" s="250"/>
      <c r="J243" s="250" t="s">
        <v>427</v>
      </c>
      <c r="K243" s="250" t="s">
        <v>200</v>
      </c>
      <c r="L243" s="250" t="s">
        <v>1032</v>
      </c>
      <c r="M243" s="235" t="s">
        <v>444</v>
      </c>
      <c r="N243" s="235"/>
      <c r="O243" s="284"/>
      <c r="P243" s="284"/>
      <c r="Q243" s="284"/>
      <c r="R243" s="286" t="str">
        <f t="shared" si="47"/>
        <v>. Combination Switch Assembly</v>
      </c>
      <c r="S243" s="286"/>
      <c r="T243" s="235"/>
      <c r="U243" s="250"/>
      <c r="V243" s="235"/>
      <c r="W243" s="250"/>
      <c r="X243" s="250"/>
      <c r="Y243" s="250"/>
      <c r="Z243" s="250" t="s">
        <v>1033</v>
      </c>
      <c r="AA243" s="250" t="s">
        <v>1034</v>
      </c>
      <c r="AB243" s="250"/>
      <c r="AC243" s="244" t="s">
        <v>449</v>
      </c>
      <c r="AD243" s="250"/>
      <c r="AE243" s="265">
        <v>148</v>
      </c>
      <c r="AF243" s="252" t="s">
        <v>434</v>
      </c>
      <c r="AG243" s="247"/>
      <c r="AH243" s="248" t="s">
        <v>435</v>
      </c>
      <c r="AJ243" s="249"/>
      <c r="AK243" s="232" t="s">
        <v>1035</v>
      </c>
      <c r="AL243" s="232" t="s">
        <v>1036</v>
      </c>
      <c r="AM243" s="232" t="s">
        <v>1037</v>
      </c>
      <c r="AN243" s="233" t="s">
        <v>1038</v>
      </c>
      <c r="AO243" s="232" t="s">
        <v>411</v>
      </c>
      <c r="AP243" s="232">
        <v>61111</v>
      </c>
      <c r="AQ243" s="232" t="str">
        <f>CONCATENATE(AN243,AO243,AP243)</f>
        <v>629-61111</v>
      </c>
      <c r="AR243" s="232" t="s">
        <v>1042</v>
      </c>
      <c r="AX243" s="250"/>
      <c r="AY243" s="250"/>
      <c r="AZ243" s="232" t="str">
        <f>IF($AX243="Yes",'8. Option Codes Decrypted'!$C$15,"")</f>
        <v/>
      </c>
      <c r="BA243" s="232" t="str">
        <f>IF($AX243="Yes",'8. Option Codes Decrypted'!$C$16,"")</f>
        <v/>
      </c>
      <c r="BB243" s="232" t="str">
        <f>IF($AX243="Yes",'8. Option Codes Decrypted'!$C$17,"")</f>
        <v/>
      </c>
      <c r="BC243" s="232" t="str">
        <f>IF($AX243="Yes",'8. Option Codes Decrypted'!$C$18,"")</f>
        <v/>
      </c>
      <c r="BD243" s="232" t="str">
        <f>IF($AY243="Yes",'8. Option Codes Decrypted'!$C$20,"")</f>
        <v/>
      </c>
      <c r="BE243" s="232" t="str">
        <f>IF($AY243="Yes",'8. Option Codes Decrypted'!$C$21,"")</f>
        <v/>
      </c>
      <c r="BF243" s="232" t="str">
        <f>IF($AY243="Yes",'8. Option Codes Decrypted'!$C$22,"")</f>
        <v/>
      </c>
      <c r="BG243" s="232" t="str">
        <f>IF($AY243="Yes",'8. Option Codes Decrypted'!$C$23,"")</f>
        <v/>
      </c>
    </row>
    <row r="244" spans="1:59" s="232" customFormat="1" x14ac:dyDescent="0.25">
      <c r="A244" s="232" t="str">
        <f t="shared" si="48"/>
        <v/>
      </c>
      <c r="B244" s="358" t="str">
        <f t="shared" si="45"/>
        <v>629-61112</v>
      </c>
      <c r="C244" s="358" t="str">
        <f t="shared" si="52"/>
        <v/>
      </c>
      <c r="D244" s="358"/>
      <c r="E244" s="358">
        <f t="shared" si="46"/>
        <v>1</v>
      </c>
      <c r="F244" s="232" t="s">
        <v>426</v>
      </c>
      <c r="G244" s="241">
        <v>44684</v>
      </c>
      <c r="H244" s="250"/>
      <c r="I244" s="250"/>
      <c r="J244" s="250" t="s">
        <v>427</v>
      </c>
      <c r="K244" s="250" t="s">
        <v>200</v>
      </c>
      <c r="L244" s="250" t="s">
        <v>1032</v>
      </c>
      <c r="M244" s="235" t="s">
        <v>444</v>
      </c>
      <c r="N244" s="235"/>
      <c r="O244" s="284"/>
      <c r="P244" s="284"/>
      <c r="Q244" s="284"/>
      <c r="R244" s="286" t="str">
        <f t="shared" si="47"/>
        <v>. Combination Switch Assembly</v>
      </c>
      <c r="S244" s="286"/>
      <c r="T244" s="235"/>
      <c r="U244" s="250"/>
      <c r="V244" s="235"/>
      <c r="W244" s="250"/>
      <c r="X244" s="250"/>
      <c r="Y244" s="250"/>
      <c r="Z244" s="250" t="s">
        <v>1033</v>
      </c>
      <c r="AA244" s="250" t="s">
        <v>1034</v>
      </c>
      <c r="AB244" s="250"/>
      <c r="AC244" s="244" t="s">
        <v>449</v>
      </c>
      <c r="AD244" s="250"/>
      <c r="AE244" s="265">
        <v>148</v>
      </c>
      <c r="AF244" s="252" t="s">
        <v>434</v>
      </c>
      <c r="AG244" s="247"/>
      <c r="AH244" s="248" t="s">
        <v>435</v>
      </c>
      <c r="AJ244" s="249"/>
      <c r="AK244" s="232" t="s">
        <v>1035</v>
      </c>
      <c r="AL244" s="232" t="s">
        <v>1036</v>
      </c>
      <c r="AM244" s="232" t="s">
        <v>1037</v>
      </c>
      <c r="AN244" s="233" t="s">
        <v>1038</v>
      </c>
      <c r="AO244" s="232" t="s">
        <v>411</v>
      </c>
      <c r="AP244" s="232">
        <v>61112</v>
      </c>
      <c r="AQ244" s="232" t="str">
        <f>CONCATENATE(AN244,AO244,AP244)</f>
        <v>629-61112</v>
      </c>
      <c r="AR244" s="232" t="s">
        <v>1043</v>
      </c>
      <c r="AX244" s="250"/>
      <c r="AY244" s="250"/>
      <c r="AZ244" s="232" t="str">
        <f>IF($AX244="Yes",'8. Option Codes Decrypted'!$C$15,"")</f>
        <v/>
      </c>
      <c r="BA244" s="232" t="str">
        <f>IF($AX244="Yes",'8. Option Codes Decrypted'!$C$16,"")</f>
        <v/>
      </c>
      <c r="BB244" s="232" t="str">
        <f>IF($AX244="Yes",'8. Option Codes Decrypted'!$C$17,"")</f>
        <v/>
      </c>
      <c r="BC244" s="232" t="str">
        <f>IF($AX244="Yes",'8. Option Codes Decrypted'!$C$18,"")</f>
        <v/>
      </c>
      <c r="BD244" s="232" t="str">
        <f>IF($AY244="Yes",'8. Option Codes Decrypted'!$C$20,"")</f>
        <v/>
      </c>
      <c r="BE244" s="232" t="str">
        <f>IF($AY244="Yes",'8. Option Codes Decrypted'!$C$21,"")</f>
        <v/>
      </c>
      <c r="BF244" s="232" t="str">
        <f>IF($AY244="Yes",'8. Option Codes Decrypted'!$C$22,"")</f>
        <v/>
      </c>
      <c r="BG244" s="232" t="str">
        <f>IF($AY244="Yes",'8. Option Codes Decrypted'!$C$23,"")</f>
        <v/>
      </c>
    </row>
    <row r="245" spans="1:59" ht="15.75" thickBot="1" x14ac:dyDescent="0.3">
      <c r="A245" s="232" t="str">
        <f t="shared" si="48"/>
        <v/>
      </c>
      <c r="B245" s="358" t="str">
        <f t="shared" si="45"/>
        <v/>
      </c>
      <c r="C245" s="358" t="str">
        <f t="shared" si="52"/>
        <v/>
      </c>
      <c r="D245" s="358"/>
      <c r="E245" s="358" t="str">
        <f t="shared" si="46"/>
        <v/>
      </c>
      <c r="F245" t="s">
        <v>426</v>
      </c>
      <c r="G245" s="230">
        <v>44684</v>
      </c>
      <c r="H245" s="175"/>
      <c r="I245" s="195" t="s">
        <v>441</v>
      </c>
      <c r="J245" s="193" t="s">
        <v>427</v>
      </c>
      <c r="K245" s="193" t="s">
        <v>200</v>
      </c>
      <c r="L245" s="193" t="s">
        <v>1044</v>
      </c>
      <c r="M245" s="16" t="s">
        <v>430</v>
      </c>
      <c r="N245" s="16"/>
      <c r="O245" s="191"/>
      <c r="P245" s="191"/>
      <c r="Q245" s="191"/>
      <c r="R245" s="286" t="str">
        <f t="shared" si="47"/>
        <v>. Cup Holder, FRONT CENTER CONSOLE (the one w/ roll up door - leave all components IN)</v>
      </c>
      <c r="S245" s="286"/>
      <c r="T245" s="16"/>
      <c r="U245" s="16"/>
      <c r="V245" s="16"/>
      <c r="W245" s="16"/>
      <c r="X245" s="16"/>
      <c r="Y245" s="16"/>
      <c r="Z245" s="193" t="s">
        <v>1044</v>
      </c>
      <c r="AA245" s="193" t="s">
        <v>1044</v>
      </c>
      <c r="AB245" s="193" t="s">
        <v>1044</v>
      </c>
      <c r="AC245" s="193" t="s">
        <v>449</v>
      </c>
      <c r="AD245" s="193"/>
      <c r="AE245" s="193">
        <v>128</v>
      </c>
      <c r="AF245" s="99" t="s">
        <v>434</v>
      </c>
      <c r="AH245" s="3" t="s">
        <v>435</v>
      </c>
      <c r="AJ245" s="69"/>
      <c r="AK245" t="s">
        <v>1045</v>
      </c>
      <c r="AL245" t="s">
        <v>1046</v>
      </c>
      <c r="AN245"/>
      <c r="AX245" s="16"/>
      <c r="AY245" s="16"/>
      <c r="AZ245" s="232" t="str">
        <f>IF($AX245="Yes",'8. Option Codes Decrypted'!$C$15,"")</f>
        <v/>
      </c>
      <c r="BA245" s="232" t="str">
        <f>IF($AX245="Yes",'8. Option Codes Decrypted'!$C$16,"")</f>
        <v/>
      </c>
      <c r="BB245" s="232" t="str">
        <f>IF($AX245="Yes",'8. Option Codes Decrypted'!$C$17,"")</f>
        <v/>
      </c>
      <c r="BC245" s="232" t="str">
        <f>IF($AX245="Yes",'8. Option Codes Decrypted'!$C$18,"")</f>
        <v/>
      </c>
      <c r="BD245" s="232" t="str">
        <f>IF($AY245="Yes",'8. Option Codes Decrypted'!$C$20,"")</f>
        <v/>
      </c>
      <c r="BE245" s="232" t="str">
        <f>IF($AY245="Yes",'8. Option Codes Decrypted'!$C$21,"")</f>
        <v/>
      </c>
      <c r="BF245" s="232" t="str">
        <f>IF($AY245="Yes",'8. Option Codes Decrypted'!$C$22,"")</f>
        <v/>
      </c>
      <c r="BG245" s="232" t="str">
        <f>IF($AY245="Yes",'8. Option Codes Decrypted'!$C$23,"")</f>
        <v/>
      </c>
    </row>
    <row r="246" spans="1:59" s="296" customFormat="1" ht="15.75" thickBot="1" x14ac:dyDescent="0.3">
      <c r="A246" s="232" t="str">
        <f t="shared" si="48"/>
        <v>A61</v>
      </c>
      <c r="B246" s="358" t="str">
        <f t="shared" si="45"/>
        <v/>
      </c>
      <c r="C246" s="358" t="str">
        <f t="shared" si="52"/>
        <v>F15-Dome Light, FRONT PRIMARY ONE-14-18-ALL</v>
      </c>
      <c r="D246" s="358"/>
      <c r="E246" s="358" t="str">
        <f t="shared" si="46"/>
        <v/>
      </c>
      <c r="F246" s="296" t="s">
        <v>426</v>
      </c>
      <c r="G246" s="297">
        <v>44683</v>
      </c>
      <c r="H246" s="298"/>
      <c r="I246" s="298"/>
      <c r="J246" s="298" t="s">
        <v>427</v>
      </c>
      <c r="K246" s="298" t="s">
        <v>200</v>
      </c>
      <c r="L246" s="298" t="s">
        <v>1047</v>
      </c>
      <c r="M246" s="298" t="s">
        <v>430</v>
      </c>
      <c r="N246" s="298">
        <v>51</v>
      </c>
      <c r="O246" s="299" t="s">
        <v>305</v>
      </c>
      <c r="P246" s="299" t="s">
        <v>445</v>
      </c>
      <c r="Q246" s="299">
        <v>1</v>
      </c>
      <c r="R246" s="299" t="str">
        <f t="shared" si="47"/>
        <v>A61. Dome Light, FRONT PRIMARY ONE</v>
      </c>
      <c r="S246" s="365" t="str">
        <f>HYPERLINK(VLOOKUP(O246,'3D. Pictures'!$B$3:$E$500,4,FALSE),"PIC")</f>
        <v>PIC</v>
      </c>
      <c r="T246" s="298">
        <v>5</v>
      </c>
      <c r="U246" s="298">
        <v>9319967</v>
      </c>
      <c r="V246" s="298" t="s">
        <v>80</v>
      </c>
      <c r="W246" s="298"/>
      <c r="X246" s="298"/>
      <c r="Y246" s="298"/>
      <c r="Z246" s="298" t="s">
        <v>1048</v>
      </c>
      <c r="AA246" s="298"/>
      <c r="AB246" s="298"/>
      <c r="AC246" s="213" t="s">
        <v>449</v>
      </c>
      <c r="AD246" s="298"/>
      <c r="AE246" s="298">
        <v>150</v>
      </c>
      <c r="AF246" s="300" t="s">
        <v>434</v>
      </c>
      <c r="AG246" s="301"/>
      <c r="AH246" s="302" t="s">
        <v>435</v>
      </c>
      <c r="AJ246" s="303"/>
      <c r="AK246" s="296" t="s">
        <v>1049</v>
      </c>
      <c r="AS246" s="296" t="str">
        <f>CONCATENATE(AT246,"-",AU246,"-",AV246,"-",AW246)</f>
        <v>F15-Dome Light, FRONT PRIMARY ONE-14-18-ALL</v>
      </c>
      <c r="AT246" s="296" t="s">
        <v>661</v>
      </c>
      <c r="AU246" s="296" t="str">
        <f>Z246</f>
        <v>Dome Light, FRONT PRIMARY ONE</v>
      </c>
      <c r="AV246" s="296" t="s">
        <v>757</v>
      </c>
      <c r="AW246" s="296" t="s">
        <v>662</v>
      </c>
      <c r="AX246" s="298"/>
      <c r="AY246" s="298"/>
      <c r="AZ246" s="232" t="str">
        <f>IF($AX246="Yes",'8. Option Codes Decrypted'!$C$15,"")</f>
        <v/>
      </c>
      <c r="BA246" s="232" t="str">
        <f>IF($AX246="Yes",'8. Option Codes Decrypted'!$C$16,"")</f>
        <v/>
      </c>
      <c r="BB246" s="232" t="str">
        <f>IF($AX246="Yes",'8. Option Codes Decrypted'!$C$17,"")</f>
        <v/>
      </c>
      <c r="BC246" s="232" t="str">
        <f>IF($AX246="Yes",'8. Option Codes Decrypted'!$C$18,"")</f>
        <v/>
      </c>
      <c r="BD246" s="232" t="str">
        <f>IF($AY246="Yes",'8. Option Codes Decrypted'!$C$20,"")</f>
        <v/>
      </c>
      <c r="BE246" s="232" t="str">
        <f>IF($AY246="Yes",'8. Option Codes Decrypted'!$C$21,"")</f>
        <v/>
      </c>
      <c r="BF246" s="232" t="str">
        <f>IF($AY246="Yes",'8. Option Codes Decrypted'!$C$22,"")</f>
        <v/>
      </c>
      <c r="BG246" s="232" t="str">
        <f>IF($AY246="Yes",'8. Option Codes Decrypted'!$C$23,"")</f>
        <v/>
      </c>
    </row>
    <row r="247" spans="1:59" s="232" customFormat="1" ht="15.75" thickBot="1" x14ac:dyDescent="0.3">
      <c r="A247" s="232" t="str">
        <f t="shared" si="48"/>
        <v/>
      </c>
      <c r="B247" s="358" t="str">
        <f t="shared" si="45"/>
        <v>242-999155</v>
      </c>
      <c r="C247" s="358" t="str">
        <f t="shared" si="52"/>
        <v/>
      </c>
      <c r="D247" s="358"/>
      <c r="E247" s="358">
        <f t="shared" si="46"/>
        <v>1</v>
      </c>
      <c r="F247" s="232" t="s">
        <v>426</v>
      </c>
      <c r="G247" s="241">
        <v>44684</v>
      </c>
      <c r="H247" s="250"/>
      <c r="I247" s="250" t="s">
        <v>441</v>
      </c>
      <c r="J247" s="250" t="s">
        <v>427</v>
      </c>
      <c r="K247" s="250" t="s">
        <v>200</v>
      </c>
      <c r="L247" s="250" t="s">
        <v>1050</v>
      </c>
      <c r="M247" s="259" t="s">
        <v>458</v>
      </c>
      <c r="N247" s="259"/>
      <c r="O247" s="291"/>
      <c r="P247" s="291"/>
      <c r="Q247" s="291"/>
      <c r="R247" s="251" t="str">
        <f t="shared" si="47"/>
        <v>. Shifter</v>
      </c>
      <c r="S247" s="251"/>
      <c r="T247" s="259"/>
      <c r="U247" s="250"/>
      <c r="V247" s="259"/>
      <c r="W247" s="250"/>
      <c r="X247" s="250"/>
      <c r="Y247" s="250"/>
      <c r="Z247" s="250" t="s">
        <v>1050</v>
      </c>
      <c r="AA247" s="250" t="s">
        <v>1051</v>
      </c>
      <c r="AB247" s="250"/>
      <c r="AC247" s="244" t="s">
        <v>449</v>
      </c>
      <c r="AD247" s="250"/>
      <c r="AE247" s="265">
        <v>275</v>
      </c>
      <c r="AF247" s="252" t="s">
        <v>434</v>
      </c>
      <c r="AG247" s="247"/>
      <c r="AH247" s="248" t="s">
        <v>435</v>
      </c>
      <c r="AJ247" s="249"/>
      <c r="AK247" s="232" t="s">
        <v>1052</v>
      </c>
      <c r="AN247" s="233">
        <v>242</v>
      </c>
      <c r="AO247" s="232" t="s">
        <v>411</v>
      </c>
      <c r="AP247" s="232">
        <v>999155</v>
      </c>
      <c r="AQ247" s="232" t="str">
        <f>CONCATENATE(AN247,AO247,AP247)</f>
        <v>242-999155</v>
      </c>
      <c r="AR247" s="232" t="s">
        <v>1053</v>
      </c>
      <c r="AX247" s="250"/>
      <c r="AY247" s="250"/>
      <c r="AZ247" s="232" t="str">
        <f>IF($AX247="Yes",'8. Option Codes Decrypted'!$C$15,"")</f>
        <v/>
      </c>
      <c r="BA247" s="232" t="str">
        <f>IF($AX247="Yes",'8. Option Codes Decrypted'!$C$16,"")</f>
        <v/>
      </c>
      <c r="BB247" s="232" t="str">
        <f>IF($AX247="Yes",'8. Option Codes Decrypted'!$C$17,"")</f>
        <v/>
      </c>
      <c r="BC247" s="232" t="str">
        <f>IF($AX247="Yes",'8. Option Codes Decrypted'!$C$18,"")</f>
        <v/>
      </c>
      <c r="BD247" s="232" t="str">
        <f>IF($AY247="Yes",'8. Option Codes Decrypted'!$C$20,"")</f>
        <v/>
      </c>
      <c r="BE247" s="232" t="str">
        <f>IF($AY247="Yes",'8. Option Codes Decrypted'!$C$21,"")</f>
        <v/>
      </c>
      <c r="BF247" s="232" t="str">
        <f>IF($AY247="Yes",'8. Option Codes Decrypted'!$C$22,"")</f>
        <v/>
      </c>
      <c r="BG247" s="232" t="str">
        <f>IF($AY247="Yes",'8. Option Codes Decrypted'!$C$23,"")</f>
        <v/>
      </c>
    </row>
    <row r="248" spans="1:59" s="337" customFormat="1" ht="15.75" thickBot="1" x14ac:dyDescent="0.3">
      <c r="A248" s="232" t="str">
        <f t="shared" si="48"/>
        <v>A120</v>
      </c>
      <c r="B248" s="358" t="str">
        <f>IF(AQ248&lt;&gt;"",AQ248,"")</f>
        <v>242-999156</v>
      </c>
      <c r="C248" s="358" t="str">
        <f t="shared" si="52"/>
        <v/>
      </c>
      <c r="D248" s="358"/>
      <c r="E248" s="358">
        <f t="shared" si="46"/>
        <v>2</v>
      </c>
      <c r="F248" s="337" t="s">
        <v>426</v>
      </c>
      <c r="G248" s="338">
        <v>44684</v>
      </c>
      <c r="H248" s="341"/>
      <c r="I248" s="341" t="s">
        <v>441</v>
      </c>
      <c r="J248" s="341" t="s">
        <v>427</v>
      </c>
      <c r="K248" s="341" t="s">
        <v>200</v>
      </c>
      <c r="L248" s="341" t="s">
        <v>1050</v>
      </c>
      <c r="M248" s="351" t="s">
        <v>458</v>
      </c>
      <c r="N248" s="351">
        <v>110</v>
      </c>
      <c r="O248" s="352" t="s">
        <v>364</v>
      </c>
      <c r="P248" s="352" t="s">
        <v>397</v>
      </c>
      <c r="Q248" s="352">
        <v>1</v>
      </c>
      <c r="R248" s="344" t="str">
        <f t="shared" si="47"/>
        <v>A120. Shifter (FLAW)</v>
      </c>
      <c r="S248" s="365" t="str">
        <f>HYPERLINK(VLOOKUP(O248,'3D. Pictures'!$B$3:$E$500,4,FALSE),"PIC")</f>
        <v>PIC</v>
      </c>
      <c r="T248" s="351">
        <v>7</v>
      </c>
      <c r="U248" s="341" t="s">
        <v>1054</v>
      </c>
      <c r="V248" s="351" t="s">
        <v>81</v>
      </c>
      <c r="W248" s="341" t="s">
        <v>2988</v>
      </c>
      <c r="X248" s="341"/>
      <c r="Y248" s="341"/>
      <c r="Z248" s="341" t="s">
        <v>1055</v>
      </c>
      <c r="AA248" s="341" t="s">
        <v>1051</v>
      </c>
      <c r="AB248" s="341"/>
      <c r="AC248" s="345" t="s">
        <v>449</v>
      </c>
      <c r="AD248" s="341"/>
      <c r="AE248" s="353">
        <v>125</v>
      </c>
      <c r="AF248" s="346" t="s">
        <v>434</v>
      </c>
      <c r="AG248" s="347"/>
      <c r="AH248" s="348" t="s">
        <v>435</v>
      </c>
      <c r="AJ248" s="349"/>
      <c r="AK248" s="337" t="s">
        <v>1052</v>
      </c>
      <c r="AN248" s="350">
        <v>242</v>
      </c>
      <c r="AO248" s="337" t="s">
        <v>411</v>
      </c>
      <c r="AP248" s="337">
        <v>999156</v>
      </c>
      <c r="AQ248" s="337" t="str">
        <f>CONCATENATE(AN248,AO248,AP248)</f>
        <v>242-999156</v>
      </c>
      <c r="AR248" s="337" t="s">
        <v>1056</v>
      </c>
      <c r="AX248" s="341"/>
      <c r="AY248" s="341"/>
      <c r="AZ248" s="232" t="str">
        <f>IF($AX248="Yes",'8. Option Codes Decrypted'!$C$15,"")</f>
        <v/>
      </c>
      <c r="BA248" s="232" t="str">
        <f>IF($AX248="Yes",'8. Option Codes Decrypted'!$C$16,"")</f>
        <v/>
      </c>
      <c r="BB248" s="232" t="str">
        <f>IF($AX248="Yes",'8. Option Codes Decrypted'!$C$17,"")</f>
        <v/>
      </c>
      <c r="BC248" s="232" t="str">
        <f>IF($AX248="Yes",'8. Option Codes Decrypted'!$C$18,"")</f>
        <v/>
      </c>
      <c r="BD248" s="232" t="str">
        <f>IF($AY248="Yes",'8. Option Codes Decrypted'!$C$20,"")</f>
        <v/>
      </c>
      <c r="BE248" s="232" t="str">
        <f>IF($AY248="Yes",'8. Option Codes Decrypted'!$C$21,"")</f>
        <v/>
      </c>
      <c r="BF248" s="232" t="str">
        <f>IF($AY248="Yes",'8. Option Codes Decrypted'!$C$22,"")</f>
        <v/>
      </c>
      <c r="BG248" s="232" t="str">
        <f>IF($AY248="Yes",'8. Option Codes Decrypted'!$C$23,"")</f>
        <v/>
      </c>
    </row>
    <row r="249" spans="1:59" s="232" customFormat="1" x14ac:dyDescent="0.25">
      <c r="A249" s="232" t="str">
        <f t="shared" si="48"/>
        <v/>
      </c>
      <c r="B249" s="358" t="str">
        <f t="shared" si="45"/>
        <v>242-999156</v>
      </c>
      <c r="C249" s="358" t="str">
        <f t="shared" si="52"/>
        <v/>
      </c>
      <c r="D249" s="358"/>
      <c r="E249" s="358">
        <f t="shared" si="46"/>
        <v>2</v>
      </c>
      <c r="F249" s="232" t="s">
        <v>426</v>
      </c>
      <c r="G249" s="241">
        <v>44684</v>
      </c>
      <c r="H249" s="250"/>
      <c r="I249" s="250" t="s">
        <v>441</v>
      </c>
      <c r="J249" s="250" t="s">
        <v>427</v>
      </c>
      <c r="K249" s="250" t="s">
        <v>200</v>
      </c>
      <c r="L249" s="250" t="s">
        <v>1050</v>
      </c>
      <c r="M249" s="259" t="s">
        <v>458</v>
      </c>
      <c r="N249" s="259"/>
      <c r="O249" s="291"/>
      <c r="P249" s="291"/>
      <c r="Q249" s="291"/>
      <c r="R249" s="251" t="str">
        <f t="shared" si="47"/>
        <v>. Shifter</v>
      </c>
      <c r="S249" s="251"/>
      <c r="T249" s="259"/>
      <c r="U249" s="250"/>
      <c r="V249" s="259"/>
      <c r="W249" s="250"/>
      <c r="X249" s="250"/>
      <c r="Y249" s="250"/>
      <c r="Z249" s="250" t="s">
        <v>1050</v>
      </c>
      <c r="AA249" s="250" t="s">
        <v>1051</v>
      </c>
      <c r="AB249" s="250"/>
      <c r="AC249" s="244" t="s">
        <v>449</v>
      </c>
      <c r="AD249" s="250"/>
      <c r="AE249" s="265">
        <v>175</v>
      </c>
      <c r="AF249" s="252" t="s">
        <v>434</v>
      </c>
      <c r="AG249" s="247"/>
      <c r="AH249" s="248" t="s">
        <v>435</v>
      </c>
      <c r="AJ249" s="249"/>
      <c r="AK249" s="232" t="s">
        <v>1052</v>
      </c>
      <c r="AN249" s="233">
        <v>242</v>
      </c>
      <c r="AO249" s="232" t="s">
        <v>411</v>
      </c>
      <c r="AP249" s="232">
        <v>999156</v>
      </c>
      <c r="AQ249" s="232" t="str">
        <f>CONCATENATE(AN249,AO249,AP249)</f>
        <v>242-999156</v>
      </c>
      <c r="AR249" s="232" t="s">
        <v>1056</v>
      </c>
      <c r="AX249" s="250"/>
      <c r="AY249" s="250"/>
      <c r="AZ249" s="232" t="str">
        <f>IF($AX249="Yes",'8. Option Codes Decrypted'!$C$15,"")</f>
        <v/>
      </c>
      <c r="BA249" s="232" t="str">
        <f>IF($AX249="Yes",'8. Option Codes Decrypted'!$C$16,"")</f>
        <v/>
      </c>
      <c r="BB249" s="232" t="str">
        <f>IF($AX249="Yes",'8. Option Codes Decrypted'!$C$17,"")</f>
        <v/>
      </c>
      <c r="BC249" s="232" t="str">
        <f>IF($AX249="Yes",'8. Option Codes Decrypted'!$C$18,"")</f>
        <v/>
      </c>
      <c r="BD249" s="232" t="str">
        <f>IF($AY249="Yes",'8. Option Codes Decrypted'!$C$20,"")</f>
        <v/>
      </c>
      <c r="BE249" s="232" t="str">
        <f>IF($AY249="Yes",'8. Option Codes Decrypted'!$C$21,"")</f>
        <v/>
      </c>
      <c r="BF249" s="232" t="str">
        <f>IF($AY249="Yes",'8. Option Codes Decrypted'!$C$22,"")</f>
        <v/>
      </c>
      <c r="BG249" s="232" t="str">
        <f>IF($AY249="Yes",'8. Option Codes Decrypted'!$C$23,"")</f>
        <v/>
      </c>
    </row>
    <row r="250" spans="1:59" s="232" customFormat="1" x14ac:dyDescent="0.25">
      <c r="A250" s="232" t="str">
        <f t="shared" si="48"/>
        <v/>
      </c>
      <c r="B250" s="358" t="str">
        <f t="shared" si="45"/>
        <v>242-999154</v>
      </c>
      <c r="C250" s="358" t="str">
        <f t="shared" si="52"/>
        <v/>
      </c>
      <c r="D250" s="358"/>
      <c r="E250" s="358">
        <f t="shared" si="46"/>
        <v>1</v>
      </c>
      <c r="F250" s="232" t="s">
        <v>426</v>
      </c>
      <c r="G250" s="241">
        <v>44684</v>
      </c>
      <c r="H250" s="250"/>
      <c r="I250" s="250" t="s">
        <v>441</v>
      </c>
      <c r="J250" s="250" t="s">
        <v>427</v>
      </c>
      <c r="K250" s="250" t="s">
        <v>200</v>
      </c>
      <c r="L250" s="250" t="s">
        <v>1050</v>
      </c>
      <c r="M250" s="259" t="s">
        <v>458</v>
      </c>
      <c r="N250" s="259"/>
      <c r="O250" s="291"/>
      <c r="P250" s="291"/>
      <c r="Q250" s="291"/>
      <c r="R250" s="251" t="str">
        <f t="shared" si="47"/>
        <v>. Shifter</v>
      </c>
      <c r="S250" s="251"/>
      <c r="T250" s="259"/>
      <c r="U250" s="250"/>
      <c r="V250" s="259"/>
      <c r="W250" s="250"/>
      <c r="X250" s="250"/>
      <c r="Y250" s="250"/>
      <c r="Z250" s="250" t="s">
        <v>1050</v>
      </c>
      <c r="AA250" s="250" t="s">
        <v>1051</v>
      </c>
      <c r="AB250" s="250"/>
      <c r="AC250" s="244" t="s">
        <v>449</v>
      </c>
      <c r="AD250" s="250"/>
      <c r="AE250" s="265">
        <v>275</v>
      </c>
      <c r="AF250" s="252" t="s">
        <v>434</v>
      </c>
      <c r="AG250" s="247"/>
      <c r="AH250" s="248" t="s">
        <v>435</v>
      </c>
      <c r="AJ250" s="249"/>
      <c r="AK250" s="232" t="s">
        <v>1052</v>
      </c>
      <c r="AN250" s="233">
        <v>242</v>
      </c>
      <c r="AO250" s="232" t="s">
        <v>411</v>
      </c>
      <c r="AP250" s="232">
        <v>999154</v>
      </c>
      <c r="AQ250" s="232" t="str">
        <f>CONCATENATE(AN250,AO250,AP250)</f>
        <v>242-999154</v>
      </c>
      <c r="AR250" s="232" t="s">
        <v>1057</v>
      </c>
      <c r="AX250" s="250"/>
      <c r="AY250" s="250"/>
      <c r="AZ250" s="232" t="str">
        <f>IF($AX250="Yes",'8. Option Codes Decrypted'!$C$15,"")</f>
        <v/>
      </c>
      <c r="BA250" s="232" t="str">
        <f>IF($AX250="Yes",'8. Option Codes Decrypted'!$C$16,"")</f>
        <v/>
      </c>
      <c r="BB250" s="232" t="str">
        <f>IF($AX250="Yes",'8. Option Codes Decrypted'!$C$17,"")</f>
        <v/>
      </c>
      <c r="BC250" s="232" t="str">
        <f>IF($AX250="Yes",'8. Option Codes Decrypted'!$C$18,"")</f>
        <v/>
      </c>
      <c r="BD250" s="232" t="str">
        <f>IF($AY250="Yes",'8. Option Codes Decrypted'!$C$20,"")</f>
        <v/>
      </c>
      <c r="BE250" s="232" t="str">
        <f>IF($AY250="Yes",'8. Option Codes Decrypted'!$C$21,"")</f>
        <v/>
      </c>
      <c r="BF250" s="232" t="str">
        <f>IF($AY250="Yes",'8. Option Codes Decrypted'!$C$22,"")</f>
        <v/>
      </c>
      <c r="BG250" s="232" t="str">
        <f>IF($AY250="Yes",'8. Option Codes Decrypted'!$C$23,"")</f>
        <v/>
      </c>
    </row>
    <row r="251" spans="1:59" s="232" customFormat="1" ht="15.75" thickBot="1" x14ac:dyDescent="0.3">
      <c r="A251" s="232" t="str">
        <f t="shared" si="48"/>
        <v/>
      </c>
      <c r="B251" s="358" t="str">
        <f t="shared" si="45"/>
        <v>242-999153</v>
      </c>
      <c r="C251" s="358" t="str">
        <f t="shared" si="52"/>
        <v/>
      </c>
      <c r="D251" s="358"/>
      <c r="E251" s="358">
        <f t="shared" si="46"/>
        <v>1</v>
      </c>
      <c r="F251" s="232" t="s">
        <v>426</v>
      </c>
      <c r="G251" s="241">
        <v>44684</v>
      </c>
      <c r="H251" s="250"/>
      <c r="I251" s="250" t="s">
        <v>441</v>
      </c>
      <c r="J251" s="250" t="s">
        <v>427</v>
      </c>
      <c r="K251" s="250" t="s">
        <v>200</v>
      </c>
      <c r="L251" s="250" t="s">
        <v>1050</v>
      </c>
      <c r="M251" s="259" t="s">
        <v>458</v>
      </c>
      <c r="N251" s="259"/>
      <c r="O251" s="291"/>
      <c r="P251" s="291"/>
      <c r="Q251" s="291"/>
      <c r="R251" s="251" t="str">
        <f t="shared" si="47"/>
        <v>. Shifter</v>
      </c>
      <c r="S251" s="251"/>
      <c r="T251" s="259"/>
      <c r="U251" s="250"/>
      <c r="V251" s="259"/>
      <c r="W251" s="250"/>
      <c r="X251" s="250"/>
      <c r="Y251" s="250"/>
      <c r="Z251" s="250" t="s">
        <v>1050</v>
      </c>
      <c r="AA251" s="250" t="s">
        <v>1051</v>
      </c>
      <c r="AB251" s="250"/>
      <c r="AC251" s="244" t="s">
        <v>449</v>
      </c>
      <c r="AD251" s="250"/>
      <c r="AE251" s="265">
        <v>175</v>
      </c>
      <c r="AF251" s="252" t="s">
        <v>434</v>
      </c>
      <c r="AG251" s="247"/>
      <c r="AH251" s="248" t="s">
        <v>435</v>
      </c>
      <c r="AJ251" s="249"/>
      <c r="AK251" s="232" t="s">
        <v>1052</v>
      </c>
      <c r="AN251" s="233">
        <v>242</v>
      </c>
      <c r="AO251" s="232" t="s">
        <v>411</v>
      </c>
      <c r="AP251" s="232">
        <v>999153</v>
      </c>
      <c r="AQ251" s="232" t="str">
        <f>CONCATENATE(AN251,AO251,AP251)</f>
        <v>242-999153</v>
      </c>
      <c r="AR251" s="232" t="s">
        <v>1058</v>
      </c>
      <c r="AX251" s="250"/>
      <c r="AY251" s="250"/>
      <c r="AZ251" s="232" t="str">
        <f>IF($AX251="Yes",'8. Option Codes Decrypted'!$C$15,"")</f>
        <v/>
      </c>
      <c r="BA251" s="232" t="str">
        <f>IF($AX251="Yes",'8. Option Codes Decrypted'!$C$16,"")</f>
        <v/>
      </c>
      <c r="BB251" s="232" t="str">
        <f>IF($AX251="Yes",'8. Option Codes Decrypted'!$C$17,"")</f>
        <v/>
      </c>
      <c r="BC251" s="232" t="str">
        <f>IF($AX251="Yes",'8. Option Codes Decrypted'!$C$18,"")</f>
        <v/>
      </c>
      <c r="BD251" s="232" t="str">
        <f>IF($AY251="Yes",'8. Option Codes Decrypted'!$C$20,"")</f>
        <v/>
      </c>
      <c r="BE251" s="232" t="str">
        <f>IF($AY251="Yes",'8. Option Codes Decrypted'!$C$21,"")</f>
        <v/>
      </c>
      <c r="BF251" s="232" t="str">
        <f>IF($AY251="Yes",'8. Option Codes Decrypted'!$C$22,"")</f>
        <v/>
      </c>
      <c r="BG251" s="232" t="str">
        <f>IF($AY251="Yes",'8. Option Codes Decrypted'!$C$23,"")</f>
        <v/>
      </c>
    </row>
    <row r="252" spans="1:59" s="296" customFormat="1" ht="15.75" thickBot="1" x14ac:dyDescent="0.3">
      <c r="A252" s="232" t="str">
        <f t="shared" si="48"/>
        <v>A85</v>
      </c>
      <c r="B252" s="358" t="str">
        <f t="shared" si="45"/>
        <v/>
      </c>
      <c r="C252" s="358" t="str">
        <f t="shared" si="52"/>
        <v>F15-Glove Box Assembly WITH Handle, FRONT RIGHT PRIMARY-14-18-ALL</v>
      </c>
      <c r="D252" s="358"/>
      <c r="E252" s="358" t="str">
        <f t="shared" si="46"/>
        <v/>
      </c>
      <c r="F252" s="296" t="s">
        <v>426</v>
      </c>
      <c r="G252" s="297">
        <v>44684</v>
      </c>
      <c r="H252" s="298"/>
      <c r="I252" s="298"/>
      <c r="J252" s="298" t="s">
        <v>427</v>
      </c>
      <c r="K252" s="298" t="s">
        <v>200</v>
      </c>
      <c r="L252" s="298" t="s">
        <v>1059</v>
      </c>
      <c r="M252" s="319" t="s">
        <v>458</v>
      </c>
      <c r="N252" s="319">
        <v>75</v>
      </c>
      <c r="O252" s="327" t="s">
        <v>329</v>
      </c>
      <c r="P252" s="327" t="s">
        <v>1060</v>
      </c>
      <c r="Q252" s="327">
        <v>1</v>
      </c>
      <c r="R252" s="299" t="str">
        <f t="shared" si="47"/>
        <v>A85. Glove Box Assembly WITH Handle, FRONT RIGHT PRIMARY</v>
      </c>
      <c r="S252" s="365" t="str">
        <f>HYPERLINK(VLOOKUP(O252,'3D. Pictures'!$B$3:$E$500,4,FALSE),"PIC")</f>
        <v>PIC</v>
      </c>
      <c r="T252" s="319">
        <v>5</v>
      </c>
      <c r="U252" s="298" t="s">
        <v>1061</v>
      </c>
      <c r="V252" s="319" t="s">
        <v>80</v>
      </c>
      <c r="W252" s="298"/>
      <c r="X252" s="298"/>
      <c r="Y252" s="235" t="s">
        <v>1062</v>
      </c>
      <c r="Z252" s="298" t="s">
        <v>1063</v>
      </c>
      <c r="AA252" s="298" t="s">
        <v>1064</v>
      </c>
      <c r="AB252" s="298"/>
      <c r="AC252" s="213" t="s">
        <v>449</v>
      </c>
      <c r="AD252" s="298"/>
      <c r="AE252" s="298">
        <v>195</v>
      </c>
      <c r="AF252" s="300" t="s">
        <v>434</v>
      </c>
      <c r="AG252" s="301"/>
      <c r="AH252" s="302" t="s">
        <v>435</v>
      </c>
      <c r="AJ252" s="303"/>
      <c r="AK252" s="296" t="s">
        <v>1065</v>
      </c>
      <c r="AN252" s="308"/>
      <c r="AO252" s="296" t="s">
        <v>411</v>
      </c>
      <c r="AS252" s="296" t="str">
        <f>CONCATENATE(AT252,"-",AU252,"-",AV252,"-",AW252)</f>
        <v>F15-Glove Box Assembly WITH Handle, FRONT RIGHT PRIMARY-14-18-ALL</v>
      </c>
      <c r="AT252" s="296" t="s">
        <v>661</v>
      </c>
      <c r="AU252" s="296" t="str">
        <f>Z252</f>
        <v>Glove Box Assembly WITH Handle, FRONT RIGHT PRIMARY</v>
      </c>
      <c r="AV252" s="296" t="s">
        <v>757</v>
      </c>
      <c r="AW252" s="296" t="s">
        <v>662</v>
      </c>
      <c r="AX252" s="298"/>
      <c r="AY252" s="298"/>
      <c r="AZ252" s="232" t="str">
        <f>IF($AX252="Yes",'8. Option Codes Decrypted'!$C$15,"")</f>
        <v/>
      </c>
      <c r="BA252" s="232" t="str">
        <f>IF($AX252="Yes",'8. Option Codes Decrypted'!$C$16,"")</f>
        <v/>
      </c>
      <c r="BB252" s="232" t="str">
        <f>IF($AX252="Yes",'8. Option Codes Decrypted'!$C$17,"")</f>
        <v/>
      </c>
      <c r="BC252" s="232" t="str">
        <f>IF($AX252="Yes",'8. Option Codes Decrypted'!$C$18,"")</f>
        <v/>
      </c>
      <c r="BD252" s="232" t="str">
        <f>IF($AY252="Yes",'8. Option Codes Decrypted'!$C$20,"")</f>
        <v/>
      </c>
      <c r="BE252" s="232" t="str">
        <f>IF($AY252="Yes",'8. Option Codes Decrypted'!$C$21,"")</f>
        <v/>
      </c>
      <c r="BF252" s="232" t="str">
        <f>IF($AY252="Yes",'8. Option Codes Decrypted'!$C$22,"")</f>
        <v/>
      </c>
      <c r="BG252" s="232" t="str">
        <f>IF($AY252="Yes",'8. Option Codes Decrypted'!$C$23,"")</f>
        <v/>
      </c>
    </row>
    <row r="253" spans="1:59" s="232" customFormat="1" x14ac:dyDescent="0.25">
      <c r="A253" s="232" t="str">
        <f t="shared" si="48"/>
        <v/>
      </c>
      <c r="B253" s="358" t="str">
        <f t="shared" si="45"/>
        <v>596-892</v>
      </c>
      <c r="C253" s="358" t="str">
        <f t="shared" si="52"/>
        <v/>
      </c>
      <c r="D253" s="358"/>
      <c r="E253" s="358">
        <f t="shared" si="46"/>
        <v>1</v>
      </c>
      <c r="F253" s="232" t="s">
        <v>508</v>
      </c>
      <c r="G253" s="241">
        <v>44811</v>
      </c>
      <c r="H253" s="250"/>
      <c r="I253" s="250"/>
      <c r="J253" s="250" t="s">
        <v>427</v>
      </c>
      <c r="K253" s="250" t="s">
        <v>200</v>
      </c>
      <c r="L253" s="250" t="s">
        <v>1066</v>
      </c>
      <c r="M253" s="235" t="s">
        <v>444</v>
      </c>
      <c r="N253" s="235"/>
      <c r="O253" s="284"/>
      <c r="P253" s="284"/>
      <c r="Q253" s="284"/>
      <c r="R253" s="286" t="str">
        <f t="shared" si="47"/>
        <v>. Head Up Display Projector (Remove Trim Sell Separate)</v>
      </c>
      <c r="S253" s="286"/>
      <c r="T253" s="235"/>
      <c r="U253" s="250"/>
      <c r="V253" s="235"/>
      <c r="W253" s="250"/>
      <c r="X253" s="250"/>
      <c r="Y253" s="250"/>
      <c r="Z253" s="250" t="s">
        <v>1066</v>
      </c>
      <c r="AA253" s="250" t="s">
        <v>1066</v>
      </c>
      <c r="AB253" s="250" t="s">
        <v>1066</v>
      </c>
      <c r="AC253" s="244" t="s">
        <v>449</v>
      </c>
      <c r="AD253" s="266"/>
      <c r="AE253" s="265">
        <v>195</v>
      </c>
      <c r="AF253" s="252" t="s">
        <v>434</v>
      </c>
      <c r="AG253" s="247"/>
      <c r="AH253" s="248" t="s">
        <v>435</v>
      </c>
      <c r="AJ253" s="249"/>
      <c r="AK253" s="232" t="s">
        <v>1067</v>
      </c>
      <c r="AN253" s="233" t="s">
        <v>1068</v>
      </c>
      <c r="AO253" s="232" t="s">
        <v>411</v>
      </c>
      <c r="AP253" s="232">
        <v>892</v>
      </c>
      <c r="AQ253" s="232" t="str">
        <f>CONCATENATE(AN253,AO253,AP253)</f>
        <v>596-892</v>
      </c>
      <c r="AX253" s="250"/>
      <c r="AY253" s="250"/>
      <c r="AZ253" s="232" t="str">
        <f>IF($AX253="Yes",'8. Option Codes Decrypted'!$C$15,"")</f>
        <v/>
      </c>
      <c r="BA253" s="232" t="str">
        <f>IF($AX253="Yes",'8. Option Codes Decrypted'!$C$16,"")</f>
        <v/>
      </c>
      <c r="BB253" s="232" t="str">
        <f>IF($AX253="Yes",'8. Option Codes Decrypted'!$C$17,"")</f>
        <v/>
      </c>
      <c r="BC253" s="232" t="str">
        <f>IF($AX253="Yes",'8. Option Codes Decrypted'!$C$18,"")</f>
        <v/>
      </c>
      <c r="BD253" s="232" t="str">
        <f>IF($AY253="Yes",'8. Option Codes Decrypted'!$C$20,"")</f>
        <v/>
      </c>
      <c r="BE253" s="232" t="str">
        <f>IF($AY253="Yes",'8. Option Codes Decrypted'!$C$21,"")</f>
        <v/>
      </c>
      <c r="BF253" s="232" t="str">
        <f>IF($AY253="Yes",'8. Option Codes Decrypted'!$C$22,"")</f>
        <v/>
      </c>
      <c r="BG253" s="232" t="str">
        <f>IF($AY253="Yes",'8. Option Codes Decrypted'!$C$23,"")</f>
        <v/>
      </c>
    </row>
    <row r="254" spans="1:59" ht="15.75" thickBot="1" x14ac:dyDescent="0.3">
      <c r="A254" s="232" t="str">
        <f t="shared" si="48"/>
        <v/>
      </c>
      <c r="B254" s="358" t="str">
        <f t="shared" si="45"/>
        <v/>
      </c>
      <c r="C254" s="358" t="str">
        <f t="shared" si="52"/>
        <v/>
      </c>
      <c r="D254" s="358"/>
      <c r="E254" s="358" t="str">
        <f t="shared" si="46"/>
        <v/>
      </c>
      <c r="F254" t="s">
        <v>508</v>
      </c>
      <c r="G254" s="230">
        <v>44811</v>
      </c>
      <c r="H254" s="16"/>
      <c r="I254" s="16"/>
      <c r="J254" s="16" t="s">
        <v>427</v>
      </c>
      <c r="K254" s="16" t="s">
        <v>200</v>
      </c>
      <c r="L254" s="16" t="s">
        <v>1069</v>
      </c>
      <c r="M254" s="16" t="s">
        <v>430</v>
      </c>
      <c r="N254" s="16"/>
      <c r="O254" s="191"/>
      <c r="P254" s="191"/>
      <c r="Q254" s="191"/>
      <c r="R254" s="286" t="str">
        <f t="shared" si="47"/>
        <v>. Head Up Display Screen Projector Trim</v>
      </c>
      <c r="S254" s="286"/>
      <c r="T254" s="16"/>
      <c r="U254" s="16"/>
      <c r="V254" s="16"/>
      <c r="W254" s="16"/>
      <c r="X254" s="16"/>
      <c r="Y254" s="16"/>
      <c r="Z254" s="16" t="s">
        <v>1069</v>
      </c>
      <c r="AA254" s="16" t="s">
        <v>1069</v>
      </c>
      <c r="AB254" s="16" t="s">
        <v>1069</v>
      </c>
      <c r="AC254" s="193" t="s">
        <v>449</v>
      </c>
      <c r="AD254" s="183"/>
      <c r="AE254" s="20">
        <v>50</v>
      </c>
      <c r="AF254" s="99" t="s">
        <v>434</v>
      </c>
      <c r="AH254" s="3" t="s">
        <v>435</v>
      </c>
      <c r="AJ254" s="69"/>
      <c r="AK254" t="s">
        <v>1070</v>
      </c>
      <c r="AN254"/>
      <c r="AX254" s="16"/>
      <c r="AY254" s="16"/>
      <c r="AZ254" s="232" t="str">
        <f>IF($AX254="Yes",'8. Option Codes Decrypted'!$C$15,"")</f>
        <v/>
      </c>
      <c r="BA254" s="232" t="str">
        <f>IF($AX254="Yes",'8. Option Codes Decrypted'!$C$16,"")</f>
        <v/>
      </c>
      <c r="BB254" s="232" t="str">
        <f>IF($AX254="Yes",'8. Option Codes Decrypted'!$C$17,"")</f>
        <v/>
      </c>
      <c r="BC254" s="232" t="str">
        <f>IF($AX254="Yes",'8. Option Codes Decrypted'!$C$18,"")</f>
        <v/>
      </c>
      <c r="BD254" s="232" t="str">
        <f>IF($AY254="Yes",'8. Option Codes Decrypted'!$C$20,"")</f>
        <v/>
      </c>
      <c r="BE254" s="232" t="str">
        <f>IF($AY254="Yes",'8. Option Codes Decrypted'!$C$21,"")</f>
        <v/>
      </c>
      <c r="BF254" s="232" t="str">
        <f>IF($AY254="Yes",'8. Option Codes Decrypted'!$C$22,"")</f>
        <v/>
      </c>
      <c r="BG254" s="232" t="str">
        <f>IF($AY254="Yes",'8. Option Codes Decrypted'!$C$23,"")</f>
        <v/>
      </c>
    </row>
    <row r="255" spans="1:59" s="296" customFormat="1" ht="15.75" thickBot="1" x14ac:dyDescent="0.3">
      <c r="A255" s="232" t="str">
        <f t="shared" si="48"/>
        <v>A67</v>
      </c>
      <c r="B255" s="358" t="str">
        <f t="shared" si="45"/>
        <v/>
      </c>
      <c r="C255" s="358" t="str">
        <f t="shared" si="52"/>
        <v>F15-Headlight Switch-14-18-ALL</v>
      </c>
      <c r="D255" s="358"/>
      <c r="E255" s="358" t="str">
        <f t="shared" si="46"/>
        <v/>
      </c>
      <c r="F255" s="296" t="s">
        <v>426</v>
      </c>
      <c r="G255" s="297">
        <v>44684</v>
      </c>
      <c r="H255" s="298"/>
      <c r="I255" s="298"/>
      <c r="J255" s="298" t="s">
        <v>427</v>
      </c>
      <c r="K255" s="298" t="s">
        <v>200</v>
      </c>
      <c r="L255" s="298" t="s">
        <v>490</v>
      </c>
      <c r="M255" s="319" t="s">
        <v>1071</v>
      </c>
      <c r="N255" s="319">
        <v>57</v>
      </c>
      <c r="O255" s="327" t="s">
        <v>311</v>
      </c>
      <c r="P255" s="328" t="s">
        <v>445</v>
      </c>
      <c r="Q255" s="328">
        <v>1</v>
      </c>
      <c r="R255" s="299" t="str">
        <f t="shared" si="47"/>
        <v>A67. Headlight Switch</v>
      </c>
      <c r="S255" s="365" t="str">
        <f>HYPERLINK(VLOOKUP(O255,'3D. Pictures'!$B$3:$E$500,4,FALSE),"PIC")</f>
        <v>PIC</v>
      </c>
      <c r="T255" s="319">
        <v>4</v>
      </c>
      <c r="U255" s="298">
        <v>9311721</v>
      </c>
      <c r="V255" s="319" t="s">
        <v>81</v>
      </c>
      <c r="W255" s="298"/>
      <c r="X255" s="298"/>
      <c r="Y255" s="298"/>
      <c r="Z255" s="298" t="s">
        <v>1072</v>
      </c>
      <c r="AA255" s="298"/>
      <c r="AB255" s="298"/>
      <c r="AC255" s="213" t="s">
        <v>449</v>
      </c>
      <c r="AD255" s="298"/>
      <c r="AE255" s="298">
        <v>48</v>
      </c>
      <c r="AF255" s="300" t="s">
        <v>434</v>
      </c>
      <c r="AG255" s="301"/>
      <c r="AH255" s="302" t="s">
        <v>435</v>
      </c>
      <c r="AJ255" s="303"/>
      <c r="AK255" s="296" t="s">
        <v>1073</v>
      </c>
      <c r="AN255" s="308"/>
      <c r="AO255" s="296" t="s">
        <v>411</v>
      </c>
      <c r="AS255" s="296" t="str">
        <f>CONCATENATE(AT255,"-",AU255,"-",AV255,"-",AW255)</f>
        <v>F15-Headlight Switch-14-18-ALL</v>
      </c>
      <c r="AT255" s="296" t="s">
        <v>661</v>
      </c>
      <c r="AU255" s="296" t="str">
        <f>Z255</f>
        <v>Headlight Switch</v>
      </c>
      <c r="AV255" s="296" t="s">
        <v>757</v>
      </c>
      <c r="AW255" s="296" t="s">
        <v>662</v>
      </c>
      <c r="AX255" s="298"/>
      <c r="AY255" s="298"/>
      <c r="AZ255" s="232" t="str">
        <f>IF($AX255="Yes",'8. Option Codes Decrypted'!$C$15,"")</f>
        <v/>
      </c>
      <c r="BA255" s="232" t="str">
        <f>IF($AX255="Yes",'8. Option Codes Decrypted'!$C$16,"")</f>
        <v/>
      </c>
      <c r="BB255" s="232" t="str">
        <f>IF($AX255="Yes",'8. Option Codes Decrypted'!$C$17,"")</f>
        <v/>
      </c>
      <c r="BC255" s="232" t="str">
        <f>IF($AX255="Yes",'8. Option Codes Decrypted'!$C$18,"")</f>
        <v/>
      </c>
      <c r="BD255" s="232" t="str">
        <f>IF($AY255="Yes",'8. Option Codes Decrypted'!$C$20,"")</f>
        <v/>
      </c>
      <c r="BE255" s="232" t="str">
        <f>IF($AY255="Yes",'8. Option Codes Decrypted'!$C$21,"")</f>
        <v/>
      </c>
      <c r="BF255" s="232" t="str">
        <f>IF($AY255="Yes",'8. Option Codes Decrypted'!$C$22,"")</f>
        <v/>
      </c>
      <c r="BG255" s="232" t="str">
        <f>IF($AY255="Yes",'8. Option Codes Decrypted'!$C$23,"")</f>
        <v/>
      </c>
    </row>
    <row r="256" spans="1:59" s="296" customFormat="1" ht="15.75" thickBot="1" x14ac:dyDescent="0.3">
      <c r="A256" s="232" t="str">
        <f t="shared" si="48"/>
        <v/>
      </c>
      <c r="B256" s="358" t="str">
        <f t="shared" si="45"/>
        <v/>
      </c>
      <c r="C256" s="358" t="str">
        <f t="shared" si="52"/>
        <v>F15-I-Drive Navigation Radio Control Knob-14-18-ALL</v>
      </c>
      <c r="D256" s="358"/>
      <c r="E256" s="358" t="str">
        <f t="shared" si="46"/>
        <v/>
      </c>
      <c r="F256" s="296" t="s">
        <v>426</v>
      </c>
      <c r="G256" s="297">
        <v>44684</v>
      </c>
      <c r="H256" s="298"/>
      <c r="I256" s="298"/>
      <c r="J256" s="298" t="s">
        <v>427</v>
      </c>
      <c r="K256" s="298" t="s">
        <v>200</v>
      </c>
      <c r="L256" s="298" t="s">
        <v>490</v>
      </c>
      <c r="M256" s="319" t="s">
        <v>510</v>
      </c>
      <c r="N256" s="319"/>
      <c r="O256" s="327"/>
      <c r="P256" s="327"/>
      <c r="Q256" s="327"/>
      <c r="R256" s="299" t="str">
        <f t="shared" si="47"/>
        <v>. I-Drive Navigation Radio Control Knob</v>
      </c>
      <c r="S256" s="299"/>
      <c r="T256" s="319"/>
      <c r="U256" s="298"/>
      <c r="V256" s="319"/>
      <c r="W256" s="298"/>
      <c r="X256" s="298"/>
      <c r="Y256" s="298"/>
      <c r="Z256" s="298" t="s">
        <v>1074</v>
      </c>
      <c r="AA256" s="298" t="s">
        <v>1075</v>
      </c>
      <c r="AB256" s="298"/>
      <c r="AC256" s="213" t="s">
        <v>449</v>
      </c>
      <c r="AD256" s="298"/>
      <c r="AE256" s="181">
        <v>300</v>
      </c>
      <c r="AF256" s="300" t="s">
        <v>434</v>
      </c>
      <c r="AG256" s="301"/>
      <c r="AH256" s="302" t="s">
        <v>435</v>
      </c>
      <c r="AJ256" s="303"/>
      <c r="AK256" s="296" t="s">
        <v>1076</v>
      </c>
      <c r="AL256" s="296" t="s">
        <v>1077</v>
      </c>
      <c r="AN256" s="308"/>
      <c r="AO256" s="296" t="s">
        <v>411</v>
      </c>
      <c r="AR256" s="296" t="s">
        <v>1078</v>
      </c>
      <c r="AS256" s="296" t="str">
        <f>CONCATENATE(AT256,"-",AU256,"-",AV256,"-",AW256)</f>
        <v>F15-I-Drive Navigation Radio Control Knob-14-18-ALL</v>
      </c>
      <c r="AT256" s="296" t="s">
        <v>661</v>
      </c>
      <c r="AU256" s="296" t="str">
        <f>Z256</f>
        <v>I-Drive Navigation Radio Control Knob</v>
      </c>
      <c r="AV256" s="296" t="s">
        <v>757</v>
      </c>
      <c r="AW256" s="296" t="s">
        <v>662</v>
      </c>
      <c r="AX256" s="298"/>
      <c r="AY256" s="298"/>
      <c r="AZ256" s="232" t="str">
        <f>IF($AX256="Yes",'8. Option Codes Decrypted'!$C$15,"")</f>
        <v/>
      </c>
      <c r="BA256" s="232" t="str">
        <f>IF($AX256="Yes",'8. Option Codes Decrypted'!$C$16,"")</f>
        <v/>
      </c>
      <c r="BB256" s="232" t="str">
        <f>IF($AX256="Yes",'8. Option Codes Decrypted'!$C$17,"")</f>
        <v/>
      </c>
      <c r="BC256" s="232" t="str">
        <f>IF($AX256="Yes",'8. Option Codes Decrypted'!$C$18,"")</f>
        <v/>
      </c>
      <c r="BD256" s="232" t="str">
        <f>IF($AY256="Yes",'8. Option Codes Decrypted'!$C$20,"")</f>
        <v/>
      </c>
      <c r="BE256" s="232" t="str">
        <f>IF($AY256="Yes",'8. Option Codes Decrypted'!$C$21,"")</f>
        <v/>
      </c>
      <c r="BF256" s="232" t="str">
        <f>IF($AY256="Yes",'8. Option Codes Decrypted'!$C$22,"")</f>
        <v/>
      </c>
      <c r="BG256" s="232" t="str">
        <f>IF($AY256="Yes",'8. Option Codes Decrypted'!$C$23,"")</f>
        <v/>
      </c>
    </row>
    <row r="257" spans="1:59" s="296" customFormat="1" ht="15.75" thickBot="1" x14ac:dyDescent="0.3">
      <c r="A257" s="232" t="str">
        <f t="shared" si="48"/>
        <v>A69</v>
      </c>
      <c r="B257" s="358" t="str">
        <f t="shared" si="45"/>
        <v/>
      </c>
      <c r="C257" s="358" t="str">
        <f t="shared" si="52"/>
        <v>F15-I-Drive Navigation Radio Control Knob-14-18-ALL</v>
      </c>
      <c r="D257" s="358"/>
      <c r="E257" s="358" t="str">
        <f t="shared" si="46"/>
        <v/>
      </c>
      <c r="F257" s="296" t="s">
        <v>426</v>
      </c>
      <c r="G257" s="297">
        <v>44684</v>
      </c>
      <c r="H257" s="298"/>
      <c r="I257" s="298"/>
      <c r="J257" s="298" t="s">
        <v>427</v>
      </c>
      <c r="K257" s="298" t="s">
        <v>200</v>
      </c>
      <c r="L257" s="298" t="s">
        <v>490</v>
      </c>
      <c r="M257" s="319" t="s">
        <v>510</v>
      </c>
      <c r="N257" s="319">
        <v>59</v>
      </c>
      <c r="O257" s="327" t="s">
        <v>313</v>
      </c>
      <c r="P257" s="328" t="s">
        <v>445</v>
      </c>
      <c r="Q257" s="328">
        <v>1</v>
      </c>
      <c r="R257" s="299" t="str">
        <f t="shared" si="47"/>
        <v>A69. I-Drive Navigation Radio Control Knob</v>
      </c>
      <c r="S257" s="365" t="str">
        <f>HYPERLINK(VLOOKUP(O257,'3D. Pictures'!$B$3:$E$500,4,FALSE),"PIC")</f>
        <v>PIC</v>
      </c>
      <c r="T257" s="319">
        <v>4</v>
      </c>
      <c r="U257" s="298"/>
      <c r="V257" s="319"/>
      <c r="W257" s="298"/>
      <c r="X257" s="298"/>
      <c r="Y257" s="298"/>
      <c r="Z257" s="298" t="s">
        <v>1074</v>
      </c>
      <c r="AA257" s="298" t="s">
        <v>1075</v>
      </c>
      <c r="AB257" s="298"/>
      <c r="AC257" s="213" t="s">
        <v>449</v>
      </c>
      <c r="AD257" s="298"/>
      <c r="AE257" s="181">
        <v>175</v>
      </c>
      <c r="AF257" s="300" t="s">
        <v>434</v>
      </c>
      <c r="AG257" s="301"/>
      <c r="AH257" s="302" t="s">
        <v>435</v>
      </c>
      <c r="AJ257" s="303"/>
      <c r="AK257" s="296" t="s">
        <v>1076</v>
      </c>
      <c r="AL257" s="296" t="s">
        <v>1077</v>
      </c>
      <c r="AN257" s="308"/>
      <c r="AO257" s="296" t="s">
        <v>411</v>
      </c>
      <c r="AR257" s="296" t="s">
        <v>1079</v>
      </c>
      <c r="AS257" s="296" t="str">
        <f>CONCATENATE(AT257,"-",AU257,"-",AV257,"-",AW257)</f>
        <v>F15-I-Drive Navigation Radio Control Knob-14-18-ALL</v>
      </c>
      <c r="AT257" s="296" t="s">
        <v>661</v>
      </c>
      <c r="AU257" s="296" t="str">
        <f>Z257</f>
        <v>I-Drive Navigation Radio Control Knob</v>
      </c>
      <c r="AV257" s="296" t="s">
        <v>757</v>
      </c>
      <c r="AW257" s="296" t="s">
        <v>662</v>
      </c>
      <c r="AX257" s="298"/>
      <c r="AY257" s="298"/>
      <c r="AZ257" s="232" t="str">
        <f>IF($AX257="Yes",'8. Option Codes Decrypted'!$C$15,"")</f>
        <v/>
      </c>
      <c r="BA257" s="232" t="str">
        <f>IF($AX257="Yes",'8. Option Codes Decrypted'!$C$16,"")</f>
        <v/>
      </c>
      <c r="BB257" s="232" t="str">
        <f>IF($AX257="Yes",'8. Option Codes Decrypted'!$C$17,"")</f>
        <v/>
      </c>
      <c r="BC257" s="232" t="str">
        <f>IF($AX257="Yes",'8. Option Codes Decrypted'!$C$18,"")</f>
        <v/>
      </c>
      <c r="BD257" s="232" t="str">
        <f>IF($AY257="Yes",'8. Option Codes Decrypted'!$C$20,"")</f>
        <v/>
      </c>
      <c r="BE257" s="232" t="str">
        <f>IF($AY257="Yes",'8. Option Codes Decrypted'!$C$21,"")</f>
        <v/>
      </c>
      <c r="BF257" s="232" t="str">
        <f>IF($AY257="Yes",'8. Option Codes Decrypted'!$C$22,"")</f>
        <v/>
      </c>
      <c r="BG257" s="232" t="str">
        <f>IF($AY257="Yes",'8. Option Codes Decrypted'!$C$23,"")</f>
        <v/>
      </c>
    </row>
    <row r="258" spans="1:59" x14ac:dyDescent="0.25">
      <c r="A258" s="232" t="str">
        <f t="shared" si="48"/>
        <v/>
      </c>
      <c r="B258" s="358" t="str">
        <f t="shared" si="45"/>
        <v/>
      </c>
      <c r="C258" s="358" t="str">
        <f t="shared" si="52"/>
        <v/>
      </c>
      <c r="D258" s="358"/>
      <c r="E258" s="358" t="str">
        <f t="shared" si="46"/>
        <v/>
      </c>
      <c r="F258" t="s">
        <v>426</v>
      </c>
      <c r="G258" s="230">
        <v>44684</v>
      </c>
      <c r="H258" s="16"/>
      <c r="I258" s="16"/>
      <c r="J258" s="16" t="s">
        <v>427</v>
      </c>
      <c r="K258" s="16" t="s">
        <v>200</v>
      </c>
      <c r="L258" s="16" t="s">
        <v>1080</v>
      </c>
      <c r="M258" s="16" t="s">
        <v>430</v>
      </c>
      <c r="N258" s="16"/>
      <c r="O258" s="191"/>
      <c r="P258" s="191"/>
      <c r="Q258" s="191"/>
      <c r="R258" s="286" t="str">
        <f t="shared" si="47"/>
        <v>. I-Drive Navigation / Radio Control Knob &amp; Switch Panel TRIM (remove &amp; sell knob &amp; traction control switch panel each solo)</v>
      </c>
      <c r="S258" s="286"/>
      <c r="T258" s="16"/>
      <c r="U258" s="16"/>
      <c r="V258" s="16"/>
      <c r="W258" s="16"/>
      <c r="X258" s="16"/>
      <c r="Y258" s="16"/>
      <c r="Z258" s="16" t="s">
        <v>1080</v>
      </c>
      <c r="AA258" s="16" t="s">
        <v>1080</v>
      </c>
      <c r="AB258" s="16" t="s">
        <v>1080</v>
      </c>
      <c r="AC258" s="193" t="s">
        <v>449</v>
      </c>
      <c r="AD258" s="16"/>
      <c r="AE258" s="20">
        <v>80</v>
      </c>
      <c r="AF258" s="201" t="s">
        <v>434</v>
      </c>
      <c r="AH258" s="3" t="s">
        <v>435</v>
      </c>
      <c r="AJ258" s="69"/>
      <c r="AK258" t="s">
        <v>1081</v>
      </c>
      <c r="AN258"/>
      <c r="AX258" s="16"/>
      <c r="AY258" s="16"/>
      <c r="AZ258" s="232" t="str">
        <f>IF($AX258="Yes",'8. Option Codes Decrypted'!$C$15,"")</f>
        <v/>
      </c>
      <c r="BA258" s="232" t="str">
        <f>IF($AX258="Yes",'8. Option Codes Decrypted'!$C$16,"")</f>
        <v/>
      </c>
      <c r="BB258" s="232" t="str">
        <f>IF($AX258="Yes",'8. Option Codes Decrypted'!$C$17,"")</f>
        <v/>
      </c>
      <c r="BC258" s="232" t="str">
        <f>IF($AX258="Yes",'8. Option Codes Decrypted'!$C$18,"")</f>
        <v/>
      </c>
      <c r="BD258" s="232" t="str">
        <f>IF($AY258="Yes",'8. Option Codes Decrypted'!$C$20,"")</f>
        <v/>
      </c>
      <c r="BE258" s="232" t="str">
        <f>IF($AY258="Yes",'8. Option Codes Decrypted'!$C$21,"")</f>
        <v/>
      </c>
      <c r="BF258" s="232" t="str">
        <f>IF($AY258="Yes",'8. Option Codes Decrypted'!$C$22,"")</f>
        <v/>
      </c>
      <c r="BG258" s="232" t="str">
        <f>IF($AY258="Yes",'8. Option Codes Decrypted'!$C$23,"")</f>
        <v/>
      </c>
    </row>
    <row r="259" spans="1:59" s="232" customFormat="1" ht="15.75" thickBot="1" x14ac:dyDescent="0.3">
      <c r="A259" s="232" t="str">
        <f t="shared" si="48"/>
        <v/>
      </c>
      <c r="B259" s="358" t="str">
        <f t="shared" si="45"/>
        <v>267-51530</v>
      </c>
      <c r="C259" s="358" t="str">
        <f t="shared" si="52"/>
        <v/>
      </c>
      <c r="D259" s="358"/>
      <c r="E259" s="358">
        <f t="shared" si="46"/>
        <v>1</v>
      </c>
      <c r="F259" s="232" t="s">
        <v>426</v>
      </c>
      <c r="G259" s="241">
        <v>44684</v>
      </c>
      <c r="H259" s="250"/>
      <c r="I259" s="250"/>
      <c r="J259" s="250" t="s">
        <v>427</v>
      </c>
      <c r="K259" s="250" t="s">
        <v>200</v>
      </c>
      <c r="L259" s="250" t="s">
        <v>1082</v>
      </c>
      <c r="M259" s="235" t="s">
        <v>444</v>
      </c>
      <c r="N259" s="235"/>
      <c r="O259" s="284"/>
      <c r="P259" s="284"/>
      <c r="Q259" s="284"/>
      <c r="R259" s="286" t="str">
        <f t="shared" si="47"/>
        <v>. Mirror, REARVIEW</v>
      </c>
      <c r="S259" s="286"/>
      <c r="T259" s="235"/>
      <c r="U259" s="250"/>
      <c r="V259" s="235"/>
      <c r="W259" s="250"/>
      <c r="X259" s="250"/>
      <c r="Y259" s="235" t="s">
        <v>1083</v>
      </c>
      <c r="Z259" s="250" t="s">
        <v>1082</v>
      </c>
      <c r="AA259" s="250"/>
      <c r="AB259" s="250"/>
      <c r="AC259" s="244" t="s">
        <v>449</v>
      </c>
      <c r="AD259" s="250"/>
      <c r="AE259" s="250">
        <v>68</v>
      </c>
      <c r="AF259" s="252" t="s">
        <v>434</v>
      </c>
      <c r="AG259" s="247"/>
      <c r="AH259" s="248" t="s">
        <v>435</v>
      </c>
      <c r="AJ259" s="249"/>
      <c r="AK259" s="232" t="s">
        <v>1084</v>
      </c>
      <c r="AL259" s="232" t="s">
        <v>1085</v>
      </c>
      <c r="AN259" s="233" t="s">
        <v>1086</v>
      </c>
      <c r="AO259" s="232" t="s">
        <v>411</v>
      </c>
      <c r="AP259" s="232">
        <v>51530</v>
      </c>
      <c r="AQ259" s="232" t="str">
        <f t="shared" ref="AQ259:AQ265" si="53">CONCATENATE(AN259,AO259,AP259)</f>
        <v>267-51530</v>
      </c>
      <c r="AR259" s="232" t="s">
        <v>1087</v>
      </c>
      <c r="AX259" s="250"/>
      <c r="AY259" s="250"/>
      <c r="AZ259" s="232" t="str">
        <f>IF($AX259="Yes",'8. Option Codes Decrypted'!$C$15,"")</f>
        <v/>
      </c>
      <c r="BA259" s="232" t="str">
        <f>IF($AX259="Yes",'8. Option Codes Decrypted'!$C$16,"")</f>
        <v/>
      </c>
      <c r="BB259" s="232" t="str">
        <f>IF($AX259="Yes",'8. Option Codes Decrypted'!$C$17,"")</f>
        <v/>
      </c>
      <c r="BC259" s="232" t="str">
        <f>IF($AX259="Yes",'8. Option Codes Decrypted'!$C$18,"")</f>
        <v/>
      </c>
      <c r="BD259" s="232" t="str">
        <f>IF($AY259="Yes",'8. Option Codes Decrypted'!$C$20,"")</f>
        <v/>
      </c>
      <c r="BE259" s="232" t="str">
        <f>IF($AY259="Yes",'8. Option Codes Decrypted'!$C$21,"")</f>
        <v/>
      </c>
      <c r="BF259" s="232" t="str">
        <f>IF($AY259="Yes",'8. Option Codes Decrypted'!$C$22,"")</f>
        <v/>
      </c>
      <c r="BG259" s="232" t="str">
        <f>IF($AY259="Yes",'8. Option Codes Decrypted'!$C$23,"")</f>
        <v/>
      </c>
    </row>
    <row r="260" spans="1:59" s="232" customFormat="1" ht="15.75" thickBot="1" x14ac:dyDescent="0.3">
      <c r="A260" s="232" t="str">
        <f t="shared" si="48"/>
        <v>A64</v>
      </c>
      <c r="B260" s="358" t="str">
        <f t="shared" si="45"/>
        <v>267-51293</v>
      </c>
      <c r="C260" s="358" t="str">
        <f t="shared" si="52"/>
        <v/>
      </c>
      <c r="D260" s="358"/>
      <c r="E260" s="358">
        <f t="shared" si="46"/>
        <v>1</v>
      </c>
      <c r="F260" s="232" t="s">
        <v>426</v>
      </c>
      <c r="G260" s="241">
        <v>44684</v>
      </c>
      <c r="H260" s="250"/>
      <c r="I260" s="250"/>
      <c r="J260" s="250" t="s">
        <v>427</v>
      </c>
      <c r="K260" s="250" t="s">
        <v>200</v>
      </c>
      <c r="L260" s="250" t="s">
        <v>1082</v>
      </c>
      <c r="M260" s="235" t="s">
        <v>444</v>
      </c>
      <c r="N260" s="235">
        <v>54</v>
      </c>
      <c r="O260" s="284" t="s">
        <v>308</v>
      </c>
      <c r="P260" s="284" t="s">
        <v>445</v>
      </c>
      <c r="Q260" s="284">
        <v>1</v>
      </c>
      <c r="R260" s="286" t="str">
        <f t="shared" si="47"/>
        <v>A64. Mirror, REARVIEW</v>
      </c>
      <c r="S260" s="365" t="str">
        <f>HYPERLINK(VLOOKUP(O260,'3D. Pictures'!$B$3:$E$500,4,FALSE),"PIC")</f>
        <v>PIC</v>
      </c>
      <c r="T260" s="235">
        <v>6</v>
      </c>
      <c r="U260" s="250" t="s">
        <v>1088</v>
      </c>
      <c r="V260" s="235" t="s">
        <v>80</v>
      </c>
      <c r="W260" s="250"/>
      <c r="X260" s="250"/>
      <c r="Y260" s="235" t="s">
        <v>1062</v>
      </c>
      <c r="Z260" s="250" t="s">
        <v>1082</v>
      </c>
      <c r="AA260" s="250"/>
      <c r="AB260" s="250"/>
      <c r="AC260" s="244" t="s">
        <v>449</v>
      </c>
      <c r="AD260" s="250"/>
      <c r="AE260" s="250">
        <v>68</v>
      </c>
      <c r="AF260" s="252" t="s">
        <v>434</v>
      </c>
      <c r="AG260" s="247"/>
      <c r="AH260" s="248" t="s">
        <v>435</v>
      </c>
      <c r="AJ260" s="249"/>
      <c r="AK260" s="232" t="s">
        <v>1084</v>
      </c>
      <c r="AL260" s="232" t="s">
        <v>1085</v>
      </c>
      <c r="AN260" s="233" t="s">
        <v>1086</v>
      </c>
      <c r="AO260" s="232" t="s">
        <v>411</v>
      </c>
      <c r="AP260" s="232">
        <v>51293</v>
      </c>
      <c r="AQ260" s="232" t="str">
        <f t="shared" si="53"/>
        <v>267-51293</v>
      </c>
      <c r="AR260" s="232" t="s">
        <v>1089</v>
      </c>
      <c r="AX260" s="250"/>
      <c r="AY260" s="250"/>
      <c r="AZ260" s="232" t="str">
        <f>IF($AX260="Yes",'8. Option Codes Decrypted'!$C$15,"")</f>
        <v/>
      </c>
      <c r="BA260" s="232" t="str">
        <f>IF($AX260="Yes",'8. Option Codes Decrypted'!$C$16,"")</f>
        <v/>
      </c>
      <c r="BB260" s="232" t="str">
        <f>IF($AX260="Yes",'8. Option Codes Decrypted'!$C$17,"")</f>
        <v/>
      </c>
      <c r="BC260" s="232" t="str">
        <f>IF($AX260="Yes",'8. Option Codes Decrypted'!$C$18,"")</f>
        <v/>
      </c>
      <c r="BD260" s="232" t="str">
        <f>IF($AY260="Yes",'8. Option Codes Decrypted'!$C$20,"")</f>
        <v/>
      </c>
      <c r="BE260" s="232" t="str">
        <f>IF($AY260="Yes",'8. Option Codes Decrypted'!$C$21,"")</f>
        <v/>
      </c>
      <c r="BF260" s="232" t="str">
        <f>IF($AY260="Yes",'8. Option Codes Decrypted'!$C$22,"")</f>
        <v/>
      </c>
      <c r="BG260" s="232" t="str">
        <f>IF($AY260="Yes",'8. Option Codes Decrypted'!$C$23,"")</f>
        <v/>
      </c>
    </row>
    <row r="261" spans="1:59" s="232" customFormat="1" x14ac:dyDescent="0.25">
      <c r="A261" s="232" t="str">
        <f t="shared" si="48"/>
        <v/>
      </c>
      <c r="B261" s="358" t="str">
        <f t="shared" si="45"/>
        <v>267-51531</v>
      </c>
      <c r="C261" s="358" t="str">
        <f t="shared" si="52"/>
        <v/>
      </c>
      <c r="D261" s="358"/>
      <c r="E261" s="358">
        <f t="shared" si="46"/>
        <v>1</v>
      </c>
      <c r="F261" s="232" t="s">
        <v>426</v>
      </c>
      <c r="G261" s="241">
        <v>44684</v>
      </c>
      <c r="H261" s="250"/>
      <c r="I261" s="250"/>
      <c r="J261" s="250" t="s">
        <v>427</v>
      </c>
      <c r="K261" s="250" t="s">
        <v>200</v>
      </c>
      <c r="L261" s="250" t="s">
        <v>1082</v>
      </c>
      <c r="M261" s="235" t="s">
        <v>444</v>
      </c>
      <c r="N261" s="235"/>
      <c r="O261" s="284"/>
      <c r="P261" s="284"/>
      <c r="Q261" s="284"/>
      <c r="R261" s="286" t="str">
        <f t="shared" si="47"/>
        <v>. Mirror, REARVIEW</v>
      </c>
      <c r="S261" s="286"/>
      <c r="T261" s="235"/>
      <c r="U261" s="250"/>
      <c r="V261" s="235"/>
      <c r="W261" s="250"/>
      <c r="X261" s="250"/>
      <c r="Y261" s="235" t="s">
        <v>1083</v>
      </c>
      <c r="Z261" s="250" t="s">
        <v>1082</v>
      </c>
      <c r="AA261" s="250"/>
      <c r="AB261" s="250"/>
      <c r="AC261" s="244" t="s">
        <v>449</v>
      </c>
      <c r="AD261" s="250"/>
      <c r="AE261" s="250">
        <v>68</v>
      </c>
      <c r="AF261" s="252" t="s">
        <v>434</v>
      </c>
      <c r="AG261" s="247"/>
      <c r="AH261" s="248" t="s">
        <v>435</v>
      </c>
      <c r="AJ261" s="249"/>
      <c r="AK261" s="232" t="s">
        <v>1084</v>
      </c>
      <c r="AL261" s="232" t="s">
        <v>1085</v>
      </c>
      <c r="AN261" s="233" t="s">
        <v>1086</v>
      </c>
      <c r="AO261" s="232" t="s">
        <v>411</v>
      </c>
      <c r="AP261" s="232">
        <v>51531</v>
      </c>
      <c r="AQ261" s="232" t="str">
        <f t="shared" si="53"/>
        <v>267-51531</v>
      </c>
      <c r="AR261" s="232" t="s">
        <v>1090</v>
      </c>
      <c r="AX261" s="250"/>
      <c r="AY261" s="250"/>
      <c r="AZ261" s="232" t="str">
        <f>IF($AX261="Yes",'8. Option Codes Decrypted'!$C$15,"")</f>
        <v/>
      </c>
      <c r="BA261" s="232" t="str">
        <f>IF($AX261="Yes",'8. Option Codes Decrypted'!$C$16,"")</f>
        <v/>
      </c>
      <c r="BB261" s="232" t="str">
        <f>IF($AX261="Yes",'8. Option Codes Decrypted'!$C$17,"")</f>
        <v/>
      </c>
      <c r="BC261" s="232" t="str">
        <f>IF($AX261="Yes",'8. Option Codes Decrypted'!$C$18,"")</f>
        <v/>
      </c>
      <c r="BD261" s="232" t="str">
        <f>IF($AY261="Yes",'8. Option Codes Decrypted'!$C$20,"")</f>
        <v/>
      </c>
      <c r="BE261" s="232" t="str">
        <f>IF($AY261="Yes",'8. Option Codes Decrypted'!$C$21,"")</f>
        <v/>
      </c>
      <c r="BF261" s="232" t="str">
        <f>IF($AY261="Yes",'8. Option Codes Decrypted'!$C$22,"")</f>
        <v/>
      </c>
      <c r="BG261" s="232" t="str">
        <f>IF($AY261="Yes",'8. Option Codes Decrypted'!$C$23,"")</f>
        <v/>
      </c>
    </row>
    <row r="262" spans="1:59" s="232" customFormat="1" ht="15.75" thickBot="1" x14ac:dyDescent="0.3">
      <c r="A262" s="232" t="str">
        <f t="shared" si="48"/>
        <v/>
      </c>
      <c r="B262" s="358" t="str">
        <f t="shared" si="45"/>
        <v>267-51243</v>
      </c>
      <c r="C262" s="358" t="str">
        <f t="shared" si="52"/>
        <v/>
      </c>
      <c r="D262" s="358"/>
      <c r="E262" s="358">
        <f t="shared" si="46"/>
        <v>1</v>
      </c>
      <c r="F262" s="232" t="s">
        <v>426</v>
      </c>
      <c r="G262" s="241">
        <v>44684</v>
      </c>
      <c r="H262" s="250"/>
      <c r="I262" s="250"/>
      <c r="J262" s="250" t="s">
        <v>427</v>
      </c>
      <c r="K262" s="250" t="s">
        <v>200</v>
      </c>
      <c r="L262" s="250" t="s">
        <v>1082</v>
      </c>
      <c r="M262" s="235" t="s">
        <v>444</v>
      </c>
      <c r="N262" s="235"/>
      <c r="O262" s="284"/>
      <c r="P262" s="284"/>
      <c r="Q262" s="284"/>
      <c r="R262" s="286" t="str">
        <f t="shared" si="47"/>
        <v>. Mirror, REARVIEW</v>
      </c>
      <c r="S262" s="286"/>
      <c r="T262" s="235"/>
      <c r="U262" s="250"/>
      <c r="V262" s="235"/>
      <c r="W262" s="250"/>
      <c r="X262" s="250"/>
      <c r="Y262" s="235" t="s">
        <v>1083</v>
      </c>
      <c r="Z262" s="250" t="s">
        <v>1082</v>
      </c>
      <c r="AA262" s="250"/>
      <c r="AB262" s="250"/>
      <c r="AC262" s="244" t="s">
        <v>449</v>
      </c>
      <c r="AD262" s="250"/>
      <c r="AE262" s="250">
        <v>68</v>
      </c>
      <c r="AF262" s="252" t="s">
        <v>434</v>
      </c>
      <c r="AG262" s="247"/>
      <c r="AH262" s="248" t="s">
        <v>435</v>
      </c>
      <c r="AJ262" s="249"/>
      <c r="AK262" s="232" t="s">
        <v>1084</v>
      </c>
      <c r="AL262" s="232" t="s">
        <v>1085</v>
      </c>
      <c r="AN262" s="233" t="s">
        <v>1086</v>
      </c>
      <c r="AO262" s="232" t="s">
        <v>411</v>
      </c>
      <c r="AP262" s="232">
        <v>51243</v>
      </c>
      <c r="AQ262" s="232" t="str">
        <f t="shared" si="53"/>
        <v>267-51243</v>
      </c>
      <c r="AR262" s="232" t="s">
        <v>1091</v>
      </c>
      <c r="AX262" s="250"/>
      <c r="AY262" s="250"/>
      <c r="AZ262" s="232" t="str">
        <f>IF($AX262="Yes",'8. Option Codes Decrypted'!$C$15,"")</f>
        <v/>
      </c>
      <c r="BA262" s="232" t="str">
        <f>IF($AX262="Yes",'8. Option Codes Decrypted'!$C$16,"")</f>
        <v/>
      </c>
      <c r="BB262" s="232" t="str">
        <f>IF($AX262="Yes",'8. Option Codes Decrypted'!$C$17,"")</f>
        <v/>
      </c>
      <c r="BC262" s="232" t="str">
        <f>IF($AX262="Yes",'8. Option Codes Decrypted'!$C$18,"")</f>
        <v/>
      </c>
      <c r="BD262" s="232" t="str">
        <f>IF($AY262="Yes",'8. Option Codes Decrypted'!$C$20,"")</f>
        <v/>
      </c>
      <c r="BE262" s="232" t="str">
        <f>IF($AY262="Yes",'8. Option Codes Decrypted'!$C$21,"")</f>
        <v/>
      </c>
      <c r="BF262" s="232" t="str">
        <f>IF($AY262="Yes",'8. Option Codes Decrypted'!$C$22,"")</f>
        <v/>
      </c>
      <c r="BG262" s="232" t="str">
        <f>IF($AY262="Yes",'8. Option Codes Decrypted'!$C$23,"")</f>
        <v/>
      </c>
    </row>
    <row r="263" spans="1:59" s="232" customFormat="1" ht="15.75" customHeight="1" thickBot="1" x14ac:dyDescent="0.3">
      <c r="A263" s="232" t="str">
        <f t="shared" si="48"/>
        <v>A48</v>
      </c>
      <c r="B263" s="358" t="str">
        <f t="shared" ref="B263:B326" si="54">IF(AQ263&lt;&gt;"",AQ263,"")</f>
        <v>594-1775</v>
      </c>
      <c r="C263" s="358" t="str">
        <f t="shared" si="52"/>
        <v/>
      </c>
      <c r="D263" s="358"/>
      <c r="E263" s="358">
        <f t="shared" si="46"/>
        <v>1</v>
      </c>
      <c r="F263" s="232" t="s">
        <v>426</v>
      </c>
      <c r="G263" s="241">
        <v>44684</v>
      </c>
      <c r="H263" s="250"/>
      <c r="I263" s="250"/>
      <c r="J263" s="250" t="s">
        <v>427</v>
      </c>
      <c r="K263" s="250" t="s">
        <v>200</v>
      </c>
      <c r="L263" s="250" t="s">
        <v>1092</v>
      </c>
      <c r="M263" s="235" t="s">
        <v>444</v>
      </c>
      <c r="N263" s="235">
        <v>38</v>
      </c>
      <c r="O263" s="284" t="s">
        <v>292</v>
      </c>
      <c r="P263" s="284" t="s">
        <v>445</v>
      </c>
      <c r="Q263" s="284">
        <v>1</v>
      </c>
      <c r="R263" s="286" t="str">
        <f t="shared" si="47"/>
        <v>A48. Navigation Display Screen</v>
      </c>
      <c r="S263" s="365" t="str">
        <f>HYPERLINK(VLOOKUP(O263,'3D. Pictures'!$B$3:$E$500,4,FALSE),"PIC")</f>
        <v>PIC</v>
      </c>
      <c r="T263" s="235">
        <v>5</v>
      </c>
      <c r="U263" s="250" t="s">
        <v>1093</v>
      </c>
      <c r="V263" s="235" t="s">
        <v>81</v>
      </c>
      <c r="W263" s="250"/>
      <c r="X263" s="250"/>
      <c r="Y263" s="250"/>
      <c r="Z263" s="250" t="s">
        <v>1092</v>
      </c>
      <c r="AA263" s="250"/>
      <c r="AB263" s="250"/>
      <c r="AC263" s="244" t="s">
        <v>449</v>
      </c>
      <c r="AD263" s="250"/>
      <c r="AE263" s="265">
        <v>495</v>
      </c>
      <c r="AF263" s="252" t="s">
        <v>434</v>
      </c>
      <c r="AG263" s="247"/>
      <c r="AH263" s="248" t="s">
        <v>435</v>
      </c>
      <c r="AJ263" s="249"/>
      <c r="AK263" s="232" t="s">
        <v>1094</v>
      </c>
      <c r="AN263" s="233" t="s">
        <v>1095</v>
      </c>
      <c r="AO263" s="232" t="s">
        <v>411</v>
      </c>
      <c r="AP263" s="232">
        <v>1775</v>
      </c>
      <c r="AQ263" s="232" t="str">
        <f t="shared" si="53"/>
        <v>594-1775</v>
      </c>
      <c r="AR263" s="232" t="s">
        <v>1096</v>
      </c>
      <c r="AX263" s="250"/>
      <c r="AY263" s="250"/>
      <c r="AZ263" s="232" t="str">
        <f>IF($AX263="Yes",'8. Option Codes Decrypted'!$C$15,"")</f>
        <v/>
      </c>
      <c r="BA263" s="232" t="str">
        <f>IF($AX263="Yes",'8. Option Codes Decrypted'!$C$16,"")</f>
        <v/>
      </c>
      <c r="BB263" s="232" t="str">
        <f>IF($AX263="Yes",'8. Option Codes Decrypted'!$C$17,"")</f>
        <v/>
      </c>
      <c r="BC263" s="232" t="str">
        <f>IF($AX263="Yes",'8. Option Codes Decrypted'!$C$18,"")</f>
        <v/>
      </c>
      <c r="BD263" s="232" t="str">
        <f>IF($AY263="Yes",'8. Option Codes Decrypted'!$C$20,"")</f>
        <v/>
      </c>
      <c r="BE263" s="232" t="str">
        <f>IF($AY263="Yes",'8. Option Codes Decrypted'!$C$21,"")</f>
        <v/>
      </c>
      <c r="BF263" s="232" t="str">
        <f>IF($AY263="Yes",'8. Option Codes Decrypted'!$C$22,"")</f>
        <v/>
      </c>
      <c r="BG263" s="232" t="str">
        <f>IF($AY263="Yes",'8. Option Codes Decrypted'!$C$23,"")</f>
        <v/>
      </c>
    </row>
    <row r="264" spans="1:59" s="232" customFormat="1" ht="15.75" customHeight="1" x14ac:dyDescent="0.25">
      <c r="A264" s="232" t="str">
        <f t="shared" si="48"/>
        <v/>
      </c>
      <c r="B264" s="358" t="str">
        <f t="shared" si="54"/>
        <v>594-10061</v>
      </c>
      <c r="C264" s="358" t="str">
        <f t="shared" si="52"/>
        <v/>
      </c>
      <c r="D264" s="358"/>
      <c r="E264" s="358">
        <f t="shared" si="46"/>
        <v>1</v>
      </c>
      <c r="F264" s="232" t="s">
        <v>426</v>
      </c>
      <c r="G264" s="241">
        <v>44684</v>
      </c>
      <c r="H264" s="250"/>
      <c r="I264" s="250"/>
      <c r="J264" s="250" t="s">
        <v>427</v>
      </c>
      <c r="K264" s="250" t="s">
        <v>200</v>
      </c>
      <c r="L264" s="250" t="s">
        <v>1092</v>
      </c>
      <c r="M264" s="235" t="s">
        <v>444</v>
      </c>
      <c r="N264" s="235"/>
      <c r="O264" s="284"/>
      <c r="P264" s="284"/>
      <c r="Q264" s="284"/>
      <c r="R264" s="286" t="str">
        <f t="shared" si="47"/>
        <v>. Navigation Display Screen</v>
      </c>
      <c r="S264" s="286"/>
      <c r="T264" s="235"/>
      <c r="U264" s="250"/>
      <c r="V264" s="235"/>
      <c r="W264" s="250"/>
      <c r="X264" s="250"/>
      <c r="Y264" s="250"/>
      <c r="Z264" s="250" t="s">
        <v>1092</v>
      </c>
      <c r="AA264" s="250"/>
      <c r="AB264" s="250"/>
      <c r="AC264" s="244" t="s">
        <v>449</v>
      </c>
      <c r="AD264" s="250"/>
      <c r="AE264" s="265">
        <v>750</v>
      </c>
      <c r="AF264" s="252" t="s">
        <v>434</v>
      </c>
      <c r="AG264" s="247"/>
      <c r="AH264" s="248" t="s">
        <v>435</v>
      </c>
      <c r="AJ264" s="249"/>
      <c r="AK264" s="232" t="s">
        <v>1094</v>
      </c>
      <c r="AN264" s="233" t="s">
        <v>1095</v>
      </c>
      <c r="AO264" s="232" t="s">
        <v>411</v>
      </c>
      <c r="AP264" s="232">
        <v>10061</v>
      </c>
      <c r="AQ264" s="232" t="str">
        <f t="shared" si="53"/>
        <v>594-10061</v>
      </c>
      <c r="AR264" s="232" t="s">
        <v>1097</v>
      </c>
      <c r="AX264" s="250"/>
      <c r="AY264" s="250"/>
      <c r="AZ264" s="232" t="str">
        <f>IF($AX264="Yes",'8. Option Codes Decrypted'!$C$15,"")</f>
        <v/>
      </c>
      <c r="BA264" s="232" t="str">
        <f>IF($AX264="Yes",'8. Option Codes Decrypted'!$C$16,"")</f>
        <v/>
      </c>
      <c r="BB264" s="232" t="str">
        <f>IF($AX264="Yes",'8. Option Codes Decrypted'!$C$17,"")</f>
        <v/>
      </c>
      <c r="BC264" s="232" t="str">
        <f>IF($AX264="Yes",'8. Option Codes Decrypted'!$C$18,"")</f>
        <v/>
      </c>
      <c r="BD264" s="232" t="str">
        <f>IF($AY264="Yes",'8. Option Codes Decrypted'!$C$20,"")</f>
        <v/>
      </c>
      <c r="BE264" s="232" t="str">
        <f>IF($AY264="Yes",'8. Option Codes Decrypted'!$C$21,"")</f>
        <v/>
      </c>
      <c r="BF264" s="232" t="str">
        <f>IF($AY264="Yes",'8. Option Codes Decrypted'!$C$22,"")</f>
        <v/>
      </c>
      <c r="BG264" s="232" t="str">
        <f>IF($AY264="Yes",'8. Option Codes Decrypted'!$C$23,"")</f>
        <v/>
      </c>
    </row>
    <row r="265" spans="1:59" s="232" customFormat="1" ht="15.75" customHeight="1" x14ac:dyDescent="0.25">
      <c r="A265" s="232" t="str">
        <f t="shared" si="48"/>
        <v/>
      </c>
      <c r="B265" s="358" t="str">
        <f t="shared" si="54"/>
        <v>594-1774</v>
      </c>
      <c r="C265" s="358" t="str">
        <f t="shared" si="52"/>
        <v/>
      </c>
      <c r="D265" s="358"/>
      <c r="E265" s="358">
        <f t="shared" ref="E265:E328" si="55">IF(B265&lt;&gt;"",COUNTIF($B$9:$B$2175,B265),"")</f>
        <v>1</v>
      </c>
      <c r="F265" s="232" t="s">
        <v>426</v>
      </c>
      <c r="G265" s="241">
        <v>44684</v>
      </c>
      <c r="H265" s="250"/>
      <c r="I265" s="250"/>
      <c r="J265" s="250" t="s">
        <v>427</v>
      </c>
      <c r="K265" s="250" t="s">
        <v>200</v>
      </c>
      <c r="L265" s="250" t="s">
        <v>1092</v>
      </c>
      <c r="M265" s="235" t="s">
        <v>444</v>
      </c>
      <c r="N265" s="235"/>
      <c r="O265" s="284"/>
      <c r="P265" s="284"/>
      <c r="Q265" s="284"/>
      <c r="R265" s="286" t="str">
        <f t="shared" ref="R265:R328" si="56">CONCATENATE(O265,". ",Z265)</f>
        <v>. Navigation Display Screen</v>
      </c>
      <c r="S265" s="286"/>
      <c r="T265" s="235"/>
      <c r="U265" s="250"/>
      <c r="V265" s="235"/>
      <c r="W265" s="250"/>
      <c r="X265" s="250"/>
      <c r="Y265" s="250"/>
      <c r="Z265" s="250" t="s">
        <v>1092</v>
      </c>
      <c r="AA265" s="250"/>
      <c r="AB265" s="250"/>
      <c r="AC265" s="244" t="s">
        <v>449</v>
      </c>
      <c r="AD265" s="250"/>
      <c r="AE265" s="265">
        <v>495</v>
      </c>
      <c r="AF265" s="252" t="s">
        <v>434</v>
      </c>
      <c r="AG265" s="247"/>
      <c r="AH265" s="248" t="s">
        <v>435</v>
      </c>
      <c r="AJ265" s="249"/>
      <c r="AK265" s="232" t="s">
        <v>1094</v>
      </c>
      <c r="AN265" s="233" t="s">
        <v>1095</v>
      </c>
      <c r="AO265" s="232" t="s">
        <v>411</v>
      </c>
      <c r="AP265" s="232">
        <v>1774</v>
      </c>
      <c r="AQ265" s="232" t="str">
        <f t="shared" si="53"/>
        <v>594-1774</v>
      </c>
      <c r="AR265" s="232" t="s">
        <v>1098</v>
      </c>
      <c r="AX265" s="250"/>
      <c r="AY265" s="250"/>
      <c r="AZ265" s="232" t="str">
        <f>IF($AX265="Yes",'8. Option Codes Decrypted'!$C$15,"")</f>
        <v/>
      </c>
      <c r="BA265" s="232" t="str">
        <f>IF($AX265="Yes",'8. Option Codes Decrypted'!$C$16,"")</f>
        <v/>
      </c>
      <c r="BB265" s="232" t="str">
        <f>IF($AX265="Yes",'8. Option Codes Decrypted'!$C$17,"")</f>
        <v/>
      </c>
      <c r="BC265" s="232" t="str">
        <f>IF($AX265="Yes",'8. Option Codes Decrypted'!$C$18,"")</f>
        <v/>
      </c>
      <c r="BD265" s="232" t="str">
        <f>IF($AY265="Yes",'8. Option Codes Decrypted'!$C$20,"")</f>
        <v/>
      </c>
      <c r="BE265" s="232" t="str">
        <f>IF($AY265="Yes",'8. Option Codes Decrypted'!$C$21,"")</f>
        <v/>
      </c>
      <c r="BF265" s="232" t="str">
        <f>IF($AY265="Yes",'8. Option Codes Decrypted'!$C$22,"")</f>
        <v/>
      </c>
      <c r="BG265" s="232" t="str">
        <f>IF($AY265="Yes",'8. Option Codes Decrypted'!$C$23,"")</f>
        <v/>
      </c>
    </row>
    <row r="266" spans="1:59" x14ac:dyDescent="0.25">
      <c r="A266" s="232" t="str">
        <f t="shared" ref="A266:A329" si="57">IF(O266&lt;&gt;"",O266,"")</f>
        <v/>
      </c>
      <c r="B266" s="358" t="str">
        <f t="shared" si="54"/>
        <v/>
      </c>
      <c r="C266" s="358" t="str">
        <f t="shared" ref="C266:C297" si="58">IF(AS266&lt;&gt;"",AS266,"")</f>
        <v/>
      </c>
      <c r="D266" s="358"/>
      <c r="E266" s="358" t="str">
        <f t="shared" si="55"/>
        <v/>
      </c>
      <c r="F266" t="s">
        <v>426</v>
      </c>
      <c r="G266" s="230">
        <v>44684</v>
      </c>
      <c r="H266" s="16"/>
      <c r="I266" s="16"/>
      <c r="J266" s="16" t="s">
        <v>427</v>
      </c>
      <c r="K266" s="16" t="s">
        <v>200</v>
      </c>
      <c r="L266" s="16" t="s">
        <v>1099</v>
      </c>
      <c r="M266" s="16" t="s">
        <v>430</v>
      </c>
      <c r="N266" s="16"/>
      <c r="O266" s="191"/>
      <c r="P266" s="191"/>
      <c r="Q266" s="191"/>
      <c r="R266" s="286" t="str">
        <f t="shared" si="56"/>
        <v>. Owners Manual + Case (toss both if 1 bad or even if there's any flaws…barely worth selling)</v>
      </c>
      <c r="S266" s="286"/>
      <c r="T266" s="16"/>
      <c r="U266" s="16"/>
      <c r="V266" s="16"/>
      <c r="W266" s="16"/>
      <c r="X266" s="16"/>
      <c r="Y266" s="16"/>
      <c r="Z266" s="16" t="s">
        <v>1099</v>
      </c>
      <c r="AA266" s="16" t="s">
        <v>1099</v>
      </c>
      <c r="AB266" s="16" t="s">
        <v>1099</v>
      </c>
      <c r="AC266" s="193" t="s">
        <v>449</v>
      </c>
      <c r="AD266" s="16"/>
      <c r="AE266" s="20">
        <v>60</v>
      </c>
      <c r="AF266" s="99" t="s">
        <v>434</v>
      </c>
      <c r="AH266" s="3" t="s">
        <v>435</v>
      </c>
      <c r="AJ266" s="69"/>
      <c r="AK266" t="s">
        <v>1100</v>
      </c>
      <c r="AN266"/>
      <c r="AX266" s="16"/>
      <c r="AY266" s="16"/>
      <c r="AZ266" s="232" t="str">
        <f>IF($AX266="Yes",'8. Option Codes Decrypted'!$C$15,"")</f>
        <v/>
      </c>
      <c r="BA266" s="232" t="str">
        <f>IF($AX266="Yes",'8. Option Codes Decrypted'!$C$16,"")</f>
        <v/>
      </c>
      <c r="BB266" s="232" t="str">
        <f>IF($AX266="Yes",'8. Option Codes Decrypted'!$C$17,"")</f>
        <v/>
      </c>
      <c r="BC266" s="232" t="str">
        <f>IF($AX266="Yes",'8. Option Codes Decrypted'!$C$18,"")</f>
        <v/>
      </c>
      <c r="BD266" s="232" t="str">
        <f>IF($AY266="Yes",'8. Option Codes Decrypted'!$C$20,"")</f>
        <v/>
      </c>
      <c r="BE266" s="232" t="str">
        <f>IF($AY266="Yes",'8. Option Codes Decrypted'!$C$21,"")</f>
        <v/>
      </c>
      <c r="BF266" s="232" t="str">
        <f>IF($AY266="Yes",'8. Option Codes Decrypted'!$C$22,"")</f>
        <v/>
      </c>
      <c r="BG266" s="232" t="str">
        <f>IF($AY266="Yes",'8. Option Codes Decrypted'!$C$23,"")</f>
        <v/>
      </c>
    </row>
    <row r="267" spans="1:59" s="232" customFormat="1" ht="15.75" thickBot="1" x14ac:dyDescent="0.3">
      <c r="A267" s="232" t="str">
        <f t="shared" si="57"/>
        <v/>
      </c>
      <c r="B267" s="358" t="str">
        <f t="shared" si="54"/>
        <v>638-72259</v>
      </c>
      <c r="C267" s="358" t="str">
        <f t="shared" si="58"/>
        <v/>
      </c>
      <c r="D267" s="358"/>
      <c r="E267" s="358">
        <f t="shared" si="55"/>
        <v>1</v>
      </c>
      <c r="F267" s="232" t="s">
        <v>426</v>
      </c>
      <c r="G267" s="241">
        <v>44684</v>
      </c>
      <c r="H267" s="250"/>
      <c r="I267" s="250"/>
      <c r="J267" s="250" t="s">
        <v>427</v>
      </c>
      <c r="K267" s="250" t="s">
        <v>200</v>
      </c>
      <c r="L267" s="250" t="s">
        <v>1101</v>
      </c>
      <c r="M267" s="235" t="s">
        <v>444</v>
      </c>
      <c r="N267" s="235"/>
      <c r="O267" s="284"/>
      <c r="P267" s="284"/>
      <c r="Q267" s="284"/>
      <c r="R267" s="286" t="str">
        <f t="shared" si="56"/>
        <v>. Radio / Stereo Receiver Unit</v>
      </c>
      <c r="S267" s="286"/>
      <c r="T267" s="235"/>
      <c r="U267" s="250"/>
      <c r="V267" s="235"/>
      <c r="W267" s="250"/>
      <c r="X267" s="250"/>
      <c r="Y267" s="250"/>
      <c r="Z267" s="250" t="s">
        <v>1102</v>
      </c>
      <c r="AA267" s="250"/>
      <c r="AB267" s="250"/>
      <c r="AC267" s="244" t="s">
        <v>449</v>
      </c>
      <c r="AD267" s="250"/>
      <c r="AE267" s="265">
        <v>175</v>
      </c>
      <c r="AF267" s="252" t="s">
        <v>434</v>
      </c>
      <c r="AG267" s="247"/>
      <c r="AH267" s="248" t="s">
        <v>435</v>
      </c>
      <c r="AJ267" s="249"/>
      <c r="AK267" s="232" t="s">
        <v>1103</v>
      </c>
      <c r="AL267" s="232" t="s">
        <v>1104</v>
      </c>
      <c r="AN267" s="233" t="s">
        <v>1105</v>
      </c>
      <c r="AO267" s="232" t="s">
        <v>411</v>
      </c>
      <c r="AP267" s="232">
        <v>72259</v>
      </c>
      <c r="AQ267" s="232" t="str">
        <f t="shared" ref="AQ267:AQ272" si="59">CONCATENATE(AN267,AO267,AP267)</f>
        <v>638-72259</v>
      </c>
      <c r="AR267" s="232" t="s">
        <v>1106</v>
      </c>
      <c r="AX267" s="250"/>
      <c r="AY267" s="250"/>
      <c r="AZ267" s="232" t="str">
        <f>IF($AX267="Yes",'8. Option Codes Decrypted'!$C$15,"")</f>
        <v/>
      </c>
      <c r="BA267" s="232" t="str">
        <f>IF($AX267="Yes",'8. Option Codes Decrypted'!$C$16,"")</f>
        <v/>
      </c>
      <c r="BB267" s="232" t="str">
        <f>IF($AX267="Yes",'8. Option Codes Decrypted'!$C$17,"")</f>
        <v/>
      </c>
      <c r="BC267" s="232" t="str">
        <f>IF($AX267="Yes",'8. Option Codes Decrypted'!$C$18,"")</f>
        <v/>
      </c>
      <c r="BD267" s="232" t="str">
        <f>IF($AY267="Yes",'8. Option Codes Decrypted'!$C$20,"")</f>
        <v/>
      </c>
      <c r="BE267" s="232" t="str">
        <f>IF($AY267="Yes",'8. Option Codes Decrypted'!$C$21,"")</f>
        <v/>
      </c>
      <c r="BF267" s="232" t="str">
        <f>IF($AY267="Yes",'8. Option Codes Decrypted'!$C$22,"")</f>
        <v/>
      </c>
      <c r="BG267" s="232" t="str">
        <f>IF($AY267="Yes",'8. Option Codes Decrypted'!$C$23,"")</f>
        <v/>
      </c>
    </row>
    <row r="268" spans="1:59" s="232" customFormat="1" ht="15.75" thickBot="1" x14ac:dyDescent="0.3">
      <c r="A268" s="232" t="str">
        <f t="shared" si="57"/>
        <v>A72</v>
      </c>
      <c r="B268" s="358" t="str">
        <f t="shared" si="54"/>
        <v>638-72260</v>
      </c>
      <c r="C268" s="358" t="str">
        <f t="shared" si="58"/>
        <v/>
      </c>
      <c r="D268" s="358"/>
      <c r="E268" s="358">
        <f t="shared" si="55"/>
        <v>1</v>
      </c>
      <c r="F268" s="232" t="s">
        <v>426</v>
      </c>
      <c r="G268" s="241">
        <v>44684</v>
      </c>
      <c r="H268" s="250"/>
      <c r="I268" s="250"/>
      <c r="J268" s="250" t="s">
        <v>427</v>
      </c>
      <c r="K268" s="250" t="s">
        <v>200</v>
      </c>
      <c r="L268" s="250" t="s">
        <v>1101</v>
      </c>
      <c r="M268" s="235" t="s">
        <v>444</v>
      </c>
      <c r="N268" s="235">
        <v>62</v>
      </c>
      <c r="O268" s="284" t="s">
        <v>316</v>
      </c>
      <c r="P268" s="284" t="s">
        <v>1107</v>
      </c>
      <c r="Q268" s="284">
        <v>1</v>
      </c>
      <c r="R268" s="286" t="str">
        <f t="shared" si="56"/>
        <v>A72. Radio Receiver Unit</v>
      </c>
      <c r="S268" s="365" t="str">
        <f>HYPERLINK(VLOOKUP(O268,'3D. Pictures'!$B$3:$E$500,4,FALSE),"PIC")</f>
        <v>PIC</v>
      </c>
      <c r="T268" s="235">
        <v>5</v>
      </c>
      <c r="U268" s="250" t="s">
        <v>1108</v>
      </c>
      <c r="V268" s="235" t="s">
        <v>81</v>
      </c>
      <c r="W268" s="250"/>
      <c r="X268" s="250"/>
      <c r="Y268" s="250"/>
      <c r="Z268" s="250" t="s">
        <v>1109</v>
      </c>
      <c r="AA268" s="250"/>
      <c r="AB268" s="250"/>
      <c r="AC268" s="244" t="s">
        <v>449</v>
      </c>
      <c r="AD268" s="250"/>
      <c r="AE268" s="265">
        <v>175</v>
      </c>
      <c r="AF268" s="252" t="s">
        <v>434</v>
      </c>
      <c r="AG268" s="247"/>
      <c r="AH268" s="248" t="s">
        <v>435</v>
      </c>
      <c r="AJ268" s="249"/>
      <c r="AK268" s="232" t="s">
        <v>1103</v>
      </c>
      <c r="AL268" s="232" t="s">
        <v>1104</v>
      </c>
      <c r="AN268" s="233" t="s">
        <v>1105</v>
      </c>
      <c r="AO268" s="232" t="s">
        <v>411</v>
      </c>
      <c r="AP268" s="232">
        <v>72260</v>
      </c>
      <c r="AQ268" s="232" t="str">
        <f t="shared" si="59"/>
        <v>638-72260</v>
      </c>
      <c r="AR268" s="232" t="s">
        <v>1110</v>
      </c>
      <c r="AX268" s="250"/>
      <c r="AY268" s="250"/>
      <c r="AZ268" s="232" t="str">
        <f>IF($AX268="Yes",'8. Option Codes Decrypted'!$C$15,"")</f>
        <v/>
      </c>
      <c r="BA268" s="232" t="str">
        <f>IF($AX268="Yes",'8. Option Codes Decrypted'!$C$16,"")</f>
        <v/>
      </c>
      <c r="BB268" s="232" t="str">
        <f>IF($AX268="Yes",'8. Option Codes Decrypted'!$C$17,"")</f>
        <v/>
      </c>
      <c r="BC268" s="232" t="str">
        <f>IF($AX268="Yes",'8. Option Codes Decrypted'!$C$18,"")</f>
        <v/>
      </c>
      <c r="BD268" s="232" t="str">
        <f>IF($AY268="Yes",'8. Option Codes Decrypted'!$C$20,"")</f>
        <v/>
      </c>
      <c r="BE268" s="232" t="str">
        <f>IF($AY268="Yes",'8. Option Codes Decrypted'!$C$21,"")</f>
        <v/>
      </c>
      <c r="BF268" s="232" t="str">
        <f>IF($AY268="Yes",'8. Option Codes Decrypted'!$C$22,"")</f>
        <v/>
      </c>
      <c r="BG268" s="232" t="str">
        <f>IF($AY268="Yes",'8. Option Codes Decrypted'!$C$23,"")</f>
        <v/>
      </c>
    </row>
    <row r="269" spans="1:59" s="232" customFormat="1" x14ac:dyDescent="0.25">
      <c r="A269" s="232" t="str">
        <f t="shared" si="57"/>
        <v/>
      </c>
      <c r="B269" s="358" t="str">
        <f t="shared" si="54"/>
        <v>638-73944</v>
      </c>
      <c r="C269" s="358" t="str">
        <f t="shared" si="58"/>
        <v/>
      </c>
      <c r="D269" s="358"/>
      <c r="E269" s="358">
        <f t="shared" si="55"/>
        <v>1</v>
      </c>
      <c r="F269" s="232" t="s">
        <v>426</v>
      </c>
      <c r="G269" s="241">
        <v>44684</v>
      </c>
      <c r="H269" s="250"/>
      <c r="I269" s="250"/>
      <c r="J269" s="250" t="s">
        <v>427</v>
      </c>
      <c r="K269" s="250" t="s">
        <v>200</v>
      </c>
      <c r="L269" s="250" t="s">
        <v>1101</v>
      </c>
      <c r="M269" s="235" t="s">
        <v>444</v>
      </c>
      <c r="N269" s="235"/>
      <c r="O269" s="284"/>
      <c r="P269" s="284"/>
      <c r="Q269" s="284"/>
      <c r="R269" s="286" t="str">
        <f t="shared" si="56"/>
        <v>. Radio / Stereo Receiver Unit</v>
      </c>
      <c r="S269" s="286"/>
      <c r="T269" s="235"/>
      <c r="U269" s="250"/>
      <c r="V269" s="235"/>
      <c r="W269" s="250"/>
      <c r="X269" s="250"/>
      <c r="Y269" s="250"/>
      <c r="Z269" s="250" t="s">
        <v>1102</v>
      </c>
      <c r="AA269" s="250"/>
      <c r="AB269" s="250"/>
      <c r="AC269" s="244" t="s">
        <v>449</v>
      </c>
      <c r="AD269" s="250"/>
      <c r="AE269" s="265">
        <v>800</v>
      </c>
      <c r="AF269" s="252" t="s">
        <v>434</v>
      </c>
      <c r="AG269" s="247"/>
      <c r="AH269" s="248" t="s">
        <v>435</v>
      </c>
      <c r="AJ269" s="249"/>
      <c r="AK269" s="232" t="s">
        <v>1103</v>
      </c>
      <c r="AL269" s="232" t="s">
        <v>1104</v>
      </c>
      <c r="AN269" s="233" t="s">
        <v>1105</v>
      </c>
      <c r="AO269" s="232" t="s">
        <v>411</v>
      </c>
      <c r="AP269" s="232">
        <v>73944</v>
      </c>
      <c r="AQ269" s="232" t="str">
        <f t="shared" si="59"/>
        <v>638-73944</v>
      </c>
      <c r="AR269" s="232" t="s">
        <v>1111</v>
      </c>
      <c r="AX269" s="250"/>
      <c r="AY269" s="250"/>
      <c r="AZ269" s="232" t="str">
        <f>IF($AX269="Yes",'8. Option Codes Decrypted'!$C$15,"")</f>
        <v/>
      </c>
      <c r="BA269" s="232" t="str">
        <f>IF($AX269="Yes",'8. Option Codes Decrypted'!$C$16,"")</f>
        <v/>
      </c>
      <c r="BB269" s="232" t="str">
        <f>IF($AX269="Yes",'8. Option Codes Decrypted'!$C$17,"")</f>
        <v/>
      </c>
      <c r="BC269" s="232" t="str">
        <f>IF($AX269="Yes",'8. Option Codes Decrypted'!$C$18,"")</f>
        <v/>
      </c>
      <c r="BD269" s="232" t="str">
        <f>IF($AY269="Yes",'8. Option Codes Decrypted'!$C$20,"")</f>
        <v/>
      </c>
      <c r="BE269" s="232" t="str">
        <f>IF($AY269="Yes",'8. Option Codes Decrypted'!$C$21,"")</f>
        <v/>
      </c>
      <c r="BF269" s="232" t="str">
        <f>IF($AY269="Yes",'8. Option Codes Decrypted'!$C$22,"")</f>
        <v/>
      </c>
      <c r="BG269" s="232" t="str">
        <f>IF($AY269="Yes",'8. Option Codes Decrypted'!$C$23,"")</f>
        <v/>
      </c>
    </row>
    <row r="270" spans="1:59" s="232" customFormat="1" ht="15.75" thickBot="1" x14ac:dyDescent="0.3">
      <c r="A270" s="232" t="str">
        <f t="shared" si="57"/>
        <v/>
      </c>
      <c r="B270" s="358" t="str">
        <f t="shared" si="54"/>
        <v>257-66543</v>
      </c>
      <c r="C270" s="358" t="str">
        <f t="shared" si="58"/>
        <v/>
      </c>
      <c r="D270" s="358"/>
      <c r="E270" s="358">
        <f t="shared" si="55"/>
        <v>1</v>
      </c>
      <c r="F270" s="232" t="s">
        <v>426</v>
      </c>
      <c r="G270" s="241">
        <v>44684</v>
      </c>
      <c r="H270" s="250"/>
      <c r="I270" s="250"/>
      <c r="J270" s="250" t="s">
        <v>427</v>
      </c>
      <c r="K270" s="250" t="s">
        <v>200</v>
      </c>
      <c r="L270" s="250" t="s">
        <v>1112</v>
      </c>
      <c r="M270" s="235" t="s">
        <v>444</v>
      </c>
      <c r="N270" s="235"/>
      <c r="O270" s="284"/>
      <c r="P270" s="284"/>
      <c r="Q270" s="284"/>
      <c r="R270" s="286" t="str">
        <f t="shared" si="56"/>
        <v>. Speedometer</v>
      </c>
      <c r="S270" s="286"/>
      <c r="T270" s="235"/>
      <c r="U270" s="250"/>
      <c r="V270" s="235"/>
      <c r="W270" s="250"/>
      <c r="X270" s="250"/>
      <c r="Y270" s="250"/>
      <c r="Z270" s="250" t="s">
        <v>1112</v>
      </c>
      <c r="AA270" s="250"/>
      <c r="AB270" s="250"/>
      <c r="AC270" s="244" t="s">
        <v>449</v>
      </c>
      <c r="AD270" s="250"/>
      <c r="AE270" s="250">
        <v>325</v>
      </c>
      <c r="AF270" s="252" t="s">
        <v>434</v>
      </c>
      <c r="AG270" s="247"/>
      <c r="AH270" s="248" t="s">
        <v>1113</v>
      </c>
      <c r="AJ270" s="249"/>
      <c r="AK270" s="232" t="s">
        <v>1114</v>
      </c>
      <c r="AN270" s="233" t="s">
        <v>1115</v>
      </c>
      <c r="AO270" s="232" t="s">
        <v>411</v>
      </c>
      <c r="AP270" s="232">
        <v>66543</v>
      </c>
      <c r="AQ270" s="232" t="str">
        <f t="shared" si="59"/>
        <v>257-66543</v>
      </c>
      <c r="AR270" s="232" t="s">
        <v>1116</v>
      </c>
      <c r="AX270" s="250"/>
      <c r="AY270" s="250"/>
      <c r="AZ270" s="232" t="str">
        <f>IF($AX270="Yes",'8. Option Codes Decrypted'!$C$15,"")</f>
        <v/>
      </c>
      <c r="BA270" s="232" t="str">
        <f>IF($AX270="Yes",'8. Option Codes Decrypted'!$C$16,"")</f>
        <v/>
      </c>
      <c r="BB270" s="232" t="str">
        <f>IF($AX270="Yes",'8. Option Codes Decrypted'!$C$17,"")</f>
        <v/>
      </c>
      <c r="BC270" s="232" t="str">
        <f>IF($AX270="Yes",'8. Option Codes Decrypted'!$C$18,"")</f>
        <v/>
      </c>
      <c r="BD270" s="232" t="str">
        <f>IF($AY270="Yes",'8. Option Codes Decrypted'!$C$20,"")</f>
        <v/>
      </c>
      <c r="BE270" s="232" t="str">
        <f>IF($AY270="Yes",'8. Option Codes Decrypted'!$C$21,"")</f>
        <v/>
      </c>
      <c r="BF270" s="232" t="str">
        <f>IF($AY270="Yes",'8. Option Codes Decrypted'!$C$22,"")</f>
        <v/>
      </c>
      <c r="BG270" s="232" t="str">
        <f>IF($AY270="Yes",'8. Option Codes Decrypted'!$C$23,"")</f>
        <v/>
      </c>
    </row>
    <row r="271" spans="1:59" s="232" customFormat="1" ht="15.75" thickBot="1" x14ac:dyDescent="0.3">
      <c r="A271" s="232" t="str">
        <f t="shared" si="57"/>
        <v>A79</v>
      </c>
      <c r="B271" s="358" t="str">
        <f t="shared" si="54"/>
        <v>257-66546</v>
      </c>
      <c r="C271" s="358" t="str">
        <f t="shared" si="58"/>
        <v/>
      </c>
      <c r="D271" s="358"/>
      <c r="E271" s="358">
        <f t="shared" si="55"/>
        <v>1</v>
      </c>
      <c r="F271" s="232" t="s">
        <v>426</v>
      </c>
      <c r="G271" s="241">
        <v>44684</v>
      </c>
      <c r="H271" s="250"/>
      <c r="I271" s="250"/>
      <c r="J271" s="250" t="s">
        <v>427</v>
      </c>
      <c r="K271" s="250" t="s">
        <v>200</v>
      </c>
      <c r="L271" s="250" t="s">
        <v>1112</v>
      </c>
      <c r="M271" s="235" t="s">
        <v>444</v>
      </c>
      <c r="N271" s="235">
        <v>69</v>
      </c>
      <c r="O271" s="284" t="s">
        <v>323</v>
      </c>
      <c r="P271" s="284" t="s">
        <v>1107</v>
      </c>
      <c r="Q271" s="284">
        <v>1</v>
      </c>
      <c r="R271" s="286" t="str">
        <f t="shared" si="56"/>
        <v>A79. Speedometer</v>
      </c>
      <c r="S271" s="365" t="str">
        <f>HYPERLINK(VLOOKUP(O271,'3D. Pictures'!$B$3:$E$500,4,FALSE),"PIC")</f>
        <v>PIC</v>
      </c>
      <c r="T271" s="235">
        <v>6</v>
      </c>
      <c r="U271" s="250" t="s">
        <v>1117</v>
      </c>
      <c r="V271" s="235" t="s">
        <v>81</v>
      </c>
      <c r="W271" s="250"/>
      <c r="X271" s="250"/>
      <c r="Y271" s="250"/>
      <c r="Z271" s="250" t="s">
        <v>1112</v>
      </c>
      <c r="AA271" s="250"/>
      <c r="AB271" s="250"/>
      <c r="AC271" s="244" t="s">
        <v>449</v>
      </c>
      <c r="AD271" s="250"/>
      <c r="AE271" s="250">
        <v>120</v>
      </c>
      <c r="AF271" s="252" t="s">
        <v>434</v>
      </c>
      <c r="AG271" s="247"/>
      <c r="AH271" s="248" t="s">
        <v>1113</v>
      </c>
      <c r="AJ271" s="249"/>
      <c r="AK271" s="232" t="s">
        <v>1114</v>
      </c>
      <c r="AN271" s="233" t="s">
        <v>1115</v>
      </c>
      <c r="AO271" s="232" t="s">
        <v>411</v>
      </c>
      <c r="AP271" s="232">
        <v>66546</v>
      </c>
      <c r="AQ271" s="232" t="str">
        <f t="shared" si="59"/>
        <v>257-66546</v>
      </c>
      <c r="AR271" s="232" t="s">
        <v>1118</v>
      </c>
      <c r="AX271" s="250"/>
      <c r="AY271" s="250"/>
      <c r="AZ271" s="232" t="str">
        <f>IF($AX271="Yes",'8. Option Codes Decrypted'!$C$15,"")</f>
        <v/>
      </c>
      <c r="BA271" s="232" t="str">
        <f>IF($AX271="Yes",'8. Option Codes Decrypted'!$C$16,"")</f>
        <v/>
      </c>
      <c r="BB271" s="232" t="str">
        <f>IF($AX271="Yes",'8. Option Codes Decrypted'!$C$17,"")</f>
        <v/>
      </c>
      <c r="BC271" s="232" t="str">
        <f>IF($AX271="Yes",'8. Option Codes Decrypted'!$C$18,"")</f>
        <v/>
      </c>
      <c r="BD271" s="232" t="str">
        <f>IF($AY271="Yes",'8. Option Codes Decrypted'!$C$20,"")</f>
        <v/>
      </c>
      <c r="BE271" s="232" t="str">
        <f>IF($AY271="Yes",'8. Option Codes Decrypted'!$C$21,"")</f>
        <v/>
      </c>
      <c r="BF271" s="232" t="str">
        <f>IF($AY271="Yes",'8. Option Codes Decrypted'!$C$22,"")</f>
        <v/>
      </c>
      <c r="BG271" s="232" t="str">
        <f>IF($AY271="Yes",'8. Option Codes Decrypted'!$C$23,"")</f>
        <v/>
      </c>
    </row>
    <row r="272" spans="1:59" s="232" customFormat="1" x14ac:dyDescent="0.25">
      <c r="A272" s="232" t="str">
        <f t="shared" si="57"/>
        <v/>
      </c>
      <c r="B272" s="358" t="str">
        <f t="shared" si="54"/>
        <v>257-66429</v>
      </c>
      <c r="C272" s="358" t="str">
        <f t="shared" si="58"/>
        <v/>
      </c>
      <c r="D272" s="358"/>
      <c r="E272" s="358">
        <f t="shared" si="55"/>
        <v>1</v>
      </c>
      <c r="F272" s="232" t="s">
        <v>426</v>
      </c>
      <c r="G272" s="241">
        <v>44684</v>
      </c>
      <c r="H272" s="250"/>
      <c r="I272" s="250"/>
      <c r="J272" s="250" t="s">
        <v>427</v>
      </c>
      <c r="K272" s="250" t="s">
        <v>200</v>
      </c>
      <c r="L272" s="250" t="s">
        <v>1112</v>
      </c>
      <c r="M272" s="235" t="s">
        <v>444</v>
      </c>
      <c r="N272" s="235"/>
      <c r="O272" s="284"/>
      <c r="P272" s="284"/>
      <c r="Q272" s="284"/>
      <c r="R272" s="286" t="str">
        <f t="shared" si="56"/>
        <v>. Speedometer</v>
      </c>
      <c r="S272" s="286"/>
      <c r="T272" s="235"/>
      <c r="U272" s="250"/>
      <c r="V272" s="235"/>
      <c r="W272" s="250"/>
      <c r="X272" s="250"/>
      <c r="Y272" s="250"/>
      <c r="Z272" s="250" t="s">
        <v>1112</v>
      </c>
      <c r="AA272" s="250"/>
      <c r="AB272" s="250"/>
      <c r="AC272" s="244" t="s">
        <v>449</v>
      </c>
      <c r="AD272" s="250"/>
      <c r="AE272" s="250">
        <v>250</v>
      </c>
      <c r="AF272" s="252" t="s">
        <v>434</v>
      </c>
      <c r="AG272" s="247"/>
      <c r="AH272" s="248" t="s">
        <v>1113</v>
      </c>
      <c r="AJ272" s="249"/>
      <c r="AK272" s="232" t="s">
        <v>1114</v>
      </c>
      <c r="AN272" s="233" t="s">
        <v>1115</v>
      </c>
      <c r="AO272" s="232" t="s">
        <v>411</v>
      </c>
      <c r="AP272" s="232">
        <v>66429</v>
      </c>
      <c r="AQ272" s="232" t="str">
        <f t="shared" si="59"/>
        <v>257-66429</v>
      </c>
      <c r="AR272" s="232" t="s">
        <v>1119</v>
      </c>
      <c r="AX272" s="250"/>
      <c r="AY272" s="250"/>
      <c r="AZ272" s="232" t="str">
        <f>IF($AX272="Yes",'8. Option Codes Decrypted'!$C$15,"")</f>
        <v/>
      </c>
      <c r="BA272" s="232" t="str">
        <f>IF($AX272="Yes",'8. Option Codes Decrypted'!$C$16,"")</f>
        <v/>
      </c>
      <c r="BB272" s="232" t="str">
        <f>IF($AX272="Yes",'8. Option Codes Decrypted'!$C$17,"")</f>
        <v/>
      </c>
      <c r="BC272" s="232" t="str">
        <f>IF($AX272="Yes",'8. Option Codes Decrypted'!$C$18,"")</f>
        <v/>
      </c>
      <c r="BD272" s="232" t="str">
        <f>IF($AY272="Yes",'8. Option Codes Decrypted'!$C$20,"")</f>
        <v/>
      </c>
      <c r="BE272" s="232" t="str">
        <f>IF($AY272="Yes",'8. Option Codes Decrypted'!$C$21,"")</f>
        <v/>
      </c>
      <c r="BF272" s="232" t="str">
        <f>IF($AY272="Yes",'8. Option Codes Decrypted'!$C$22,"")</f>
        <v/>
      </c>
      <c r="BG272" s="232" t="str">
        <f>IF($AY272="Yes",'8. Option Codes Decrypted'!$C$23,"")</f>
        <v/>
      </c>
    </row>
    <row r="273" spans="1:59" s="232" customFormat="1" x14ac:dyDescent="0.25">
      <c r="A273" s="232" t="str">
        <f t="shared" si="57"/>
        <v/>
      </c>
      <c r="B273" s="358" t="str">
        <f t="shared" si="54"/>
        <v>257-66413</v>
      </c>
      <c r="C273" s="358" t="str">
        <f t="shared" si="58"/>
        <v/>
      </c>
      <c r="D273" s="358"/>
      <c r="E273" s="358">
        <f t="shared" si="55"/>
        <v>1</v>
      </c>
      <c r="F273" s="232" t="s">
        <v>426</v>
      </c>
      <c r="G273" s="241">
        <v>44684</v>
      </c>
      <c r="H273" s="250"/>
      <c r="I273" s="250"/>
      <c r="J273" s="250" t="s">
        <v>427</v>
      </c>
      <c r="K273" s="250" t="s">
        <v>200</v>
      </c>
      <c r="L273" s="250" t="s">
        <v>1112</v>
      </c>
      <c r="M273" s="235" t="s">
        <v>444</v>
      </c>
      <c r="N273" s="235"/>
      <c r="O273" s="284"/>
      <c r="P273" s="284"/>
      <c r="Q273" s="284"/>
      <c r="R273" s="286" t="str">
        <f t="shared" si="56"/>
        <v>. Speedometer</v>
      </c>
      <c r="S273" s="286"/>
      <c r="T273" s="235"/>
      <c r="U273" s="250"/>
      <c r="V273" s="235"/>
      <c r="W273" s="250"/>
      <c r="X273" s="250"/>
      <c r="Y273" s="250"/>
      <c r="Z273" s="250" t="s">
        <v>1112</v>
      </c>
      <c r="AA273" s="250"/>
      <c r="AB273" s="250"/>
      <c r="AC273" s="244" t="s">
        <v>449</v>
      </c>
      <c r="AD273" s="250"/>
      <c r="AE273" s="250">
        <v>100</v>
      </c>
      <c r="AF273" s="252" t="s">
        <v>434</v>
      </c>
      <c r="AG273" s="247"/>
      <c r="AH273" s="248" t="s">
        <v>1113</v>
      </c>
      <c r="AJ273" s="249"/>
      <c r="AK273" s="232" t="s">
        <v>1114</v>
      </c>
      <c r="AN273" s="233" t="s">
        <v>1115</v>
      </c>
      <c r="AO273" s="232" t="s">
        <v>411</v>
      </c>
      <c r="AP273" s="232">
        <v>66413</v>
      </c>
      <c r="AQ273" s="232" t="str">
        <f t="shared" ref="AQ273:AQ278" si="60">CONCATENATE(AN273,AO273,AP273)</f>
        <v>257-66413</v>
      </c>
      <c r="AR273" s="232" t="s">
        <v>1120</v>
      </c>
      <c r="AX273" s="250"/>
      <c r="AY273" s="250"/>
      <c r="AZ273" s="232" t="str">
        <f>IF($AX273="Yes",'8. Option Codes Decrypted'!$C$15,"")</f>
        <v/>
      </c>
      <c r="BA273" s="232" t="str">
        <f>IF($AX273="Yes",'8. Option Codes Decrypted'!$C$16,"")</f>
        <v/>
      </c>
      <c r="BB273" s="232" t="str">
        <f>IF($AX273="Yes",'8. Option Codes Decrypted'!$C$17,"")</f>
        <v/>
      </c>
      <c r="BC273" s="232" t="str">
        <f>IF($AX273="Yes",'8. Option Codes Decrypted'!$C$18,"")</f>
        <v/>
      </c>
      <c r="BD273" s="232" t="str">
        <f>IF($AY273="Yes",'8. Option Codes Decrypted'!$C$20,"")</f>
        <v/>
      </c>
      <c r="BE273" s="232" t="str">
        <f>IF($AY273="Yes",'8. Option Codes Decrypted'!$C$21,"")</f>
        <v/>
      </c>
      <c r="BF273" s="232" t="str">
        <f>IF($AY273="Yes",'8. Option Codes Decrypted'!$C$22,"")</f>
        <v/>
      </c>
      <c r="BG273" s="232" t="str">
        <f>IF($AY273="Yes",'8. Option Codes Decrypted'!$C$23,"")</f>
        <v/>
      </c>
    </row>
    <row r="274" spans="1:59" s="232" customFormat="1" x14ac:dyDescent="0.25">
      <c r="A274" s="232" t="str">
        <f t="shared" si="57"/>
        <v/>
      </c>
      <c r="B274" s="358" t="str">
        <f t="shared" si="54"/>
        <v>257-68008</v>
      </c>
      <c r="C274" s="358" t="str">
        <f t="shared" si="58"/>
        <v/>
      </c>
      <c r="D274" s="358"/>
      <c r="E274" s="358">
        <f t="shared" si="55"/>
        <v>1</v>
      </c>
      <c r="F274" s="232" t="s">
        <v>426</v>
      </c>
      <c r="G274" s="241">
        <v>44684</v>
      </c>
      <c r="H274" s="250"/>
      <c r="I274" s="250"/>
      <c r="J274" s="250" t="s">
        <v>427</v>
      </c>
      <c r="K274" s="250" t="s">
        <v>200</v>
      </c>
      <c r="L274" s="250" t="s">
        <v>1112</v>
      </c>
      <c r="M274" s="235" t="s">
        <v>444</v>
      </c>
      <c r="N274" s="235"/>
      <c r="O274" s="284"/>
      <c r="P274" s="284"/>
      <c r="Q274" s="284"/>
      <c r="R274" s="286" t="str">
        <f t="shared" si="56"/>
        <v>. Speedometer</v>
      </c>
      <c r="S274" s="286"/>
      <c r="T274" s="235"/>
      <c r="U274" s="250"/>
      <c r="V274" s="235"/>
      <c r="W274" s="250"/>
      <c r="X274" s="250"/>
      <c r="Y274" s="250"/>
      <c r="Z274" s="250" t="s">
        <v>1112</v>
      </c>
      <c r="AA274" s="250"/>
      <c r="AB274" s="250"/>
      <c r="AC274" s="244" t="s">
        <v>449</v>
      </c>
      <c r="AD274" s="250"/>
      <c r="AE274" s="250">
        <v>125</v>
      </c>
      <c r="AF274" s="252" t="s">
        <v>434</v>
      </c>
      <c r="AG274" s="247"/>
      <c r="AH274" s="248" t="s">
        <v>1113</v>
      </c>
      <c r="AJ274" s="249"/>
      <c r="AK274" s="232" t="s">
        <v>1114</v>
      </c>
      <c r="AN274" s="233" t="s">
        <v>1115</v>
      </c>
      <c r="AO274" s="232" t="s">
        <v>411</v>
      </c>
      <c r="AP274" s="232">
        <v>68008</v>
      </c>
      <c r="AQ274" s="232" t="str">
        <f>CONCATENATE(AN274,AO274,AP274)</f>
        <v>257-68008</v>
      </c>
      <c r="AR274" s="232" t="s">
        <v>1121</v>
      </c>
      <c r="AX274" s="250"/>
      <c r="AY274" s="250"/>
      <c r="AZ274" s="232" t="str">
        <f>IF($AX274="Yes",'8. Option Codes Decrypted'!$C$15,"")</f>
        <v/>
      </c>
      <c r="BA274" s="232" t="str">
        <f>IF($AX274="Yes",'8. Option Codes Decrypted'!$C$16,"")</f>
        <v/>
      </c>
      <c r="BB274" s="232" t="str">
        <f>IF($AX274="Yes",'8. Option Codes Decrypted'!$C$17,"")</f>
        <v/>
      </c>
      <c r="BC274" s="232" t="str">
        <f>IF($AX274="Yes",'8. Option Codes Decrypted'!$C$18,"")</f>
        <v/>
      </c>
      <c r="BD274" s="232" t="str">
        <f>IF($AY274="Yes",'8. Option Codes Decrypted'!$C$20,"")</f>
        <v/>
      </c>
      <c r="BE274" s="232" t="str">
        <f>IF($AY274="Yes",'8. Option Codes Decrypted'!$C$21,"")</f>
        <v/>
      </c>
      <c r="BF274" s="232" t="str">
        <f>IF($AY274="Yes",'8. Option Codes Decrypted'!$C$22,"")</f>
        <v/>
      </c>
      <c r="BG274" s="232" t="str">
        <f>IF($AY274="Yes",'8. Option Codes Decrypted'!$C$23,"")</f>
        <v/>
      </c>
    </row>
    <row r="275" spans="1:59" s="232" customFormat="1" x14ac:dyDescent="0.25">
      <c r="A275" s="232" t="str">
        <f t="shared" si="57"/>
        <v/>
      </c>
      <c r="B275" s="358" t="str">
        <f t="shared" si="54"/>
        <v>257-66549</v>
      </c>
      <c r="C275" s="358" t="str">
        <f t="shared" si="58"/>
        <v/>
      </c>
      <c r="D275" s="358"/>
      <c r="E275" s="358">
        <f t="shared" si="55"/>
        <v>1</v>
      </c>
      <c r="F275" s="232" t="s">
        <v>426</v>
      </c>
      <c r="G275" s="241">
        <v>44684</v>
      </c>
      <c r="H275" s="250"/>
      <c r="I275" s="250"/>
      <c r="J275" s="250" t="s">
        <v>427</v>
      </c>
      <c r="K275" s="250" t="s">
        <v>200</v>
      </c>
      <c r="L275" s="250" t="s">
        <v>1112</v>
      </c>
      <c r="M275" s="235" t="s">
        <v>444</v>
      </c>
      <c r="N275" s="235"/>
      <c r="O275" s="284"/>
      <c r="P275" s="284"/>
      <c r="Q275" s="284"/>
      <c r="R275" s="286" t="str">
        <f t="shared" si="56"/>
        <v>. Speedometer</v>
      </c>
      <c r="S275" s="286"/>
      <c r="T275" s="235"/>
      <c r="U275" s="250"/>
      <c r="V275" s="235"/>
      <c r="W275" s="250"/>
      <c r="X275" s="250"/>
      <c r="Y275" s="250"/>
      <c r="Z275" s="250" t="s">
        <v>1112</v>
      </c>
      <c r="AA275" s="250"/>
      <c r="AB275" s="250"/>
      <c r="AC275" s="244" t="s">
        <v>449</v>
      </c>
      <c r="AD275" s="250"/>
      <c r="AE275" s="250">
        <v>245</v>
      </c>
      <c r="AF275" s="252" t="s">
        <v>434</v>
      </c>
      <c r="AG275" s="247"/>
      <c r="AH275" s="248" t="s">
        <v>1113</v>
      </c>
      <c r="AJ275" s="249"/>
      <c r="AK275" s="232" t="s">
        <v>1114</v>
      </c>
      <c r="AN275" s="233" t="s">
        <v>1115</v>
      </c>
      <c r="AO275" s="232" t="s">
        <v>411</v>
      </c>
      <c r="AP275" s="232">
        <v>66549</v>
      </c>
      <c r="AQ275" s="232" t="str">
        <f t="shared" si="60"/>
        <v>257-66549</v>
      </c>
      <c r="AR275" s="232" t="s">
        <v>1122</v>
      </c>
      <c r="AX275" s="250"/>
      <c r="AY275" s="250"/>
      <c r="AZ275" s="232" t="str">
        <f>IF($AX275="Yes",'8. Option Codes Decrypted'!$C$15,"")</f>
        <v/>
      </c>
      <c r="BA275" s="232" t="str">
        <f>IF($AX275="Yes",'8. Option Codes Decrypted'!$C$16,"")</f>
        <v/>
      </c>
      <c r="BB275" s="232" t="str">
        <f>IF($AX275="Yes",'8. Option Codes Decrypted'!$C$17,"")</f>
        <v/>
      </c>
      <c r="BC275" s="232" t="str">
        <f>IF($AX275="Yes",'8. Option Codes Decrypted'!$C$18,"")</f>
        <v/>
      </c>
      <c r="BD275" s="232" t="str">
        <f>IF($AY275="Yes",'8. Option Codes Decrypted'!$C$20,"")</f>
        <v/>
      </c>
      <c r="BE275" s="232" t="str">
        <f>IF($AY275="Yes",'8. Option Codes Decrypted'!$C$21,"")</f>
        <v/>
      </c>
      <c r="BF275" s="232" t="str">
        <f>IF($AY275="Yes",'8. Option Codes Decrypted'!$C$22,"")</f>
        <v/>
      </c>
      <c r="BG275" s="232" t="str">
        <f>IF($AY275="Yes",'8. Option Codes Decrypted'!$C$23,"")</f>
        <v/>
      </c>
    </row>
    <row r="276" spans="1:59" s="232" customFormat="1" x14ac:dyDescent="0.25">
      <c r="A276" s="232" t="str">
        <f t="shared" si="57"/>
        <v/>
      </c>
      <c r="B276" s="358" t="str">
        <f t="shared" si="54"/>
        <v>257-66551</v>
      </c>
      <c r="C276" s="358" t="str">
        <f t="shared" si="58"/>
        <v/>
      </c>
      <c r="D276" s="358"/>
      <c r="E276" s="358">
        <f t="shared" si="55"/>
        <v>1</v>
      </c>
      <c r="F276" s="232" t="s">
        <v>426</v>
      </c>
      <c r="G276" s="241">
        <v>44684</v>
      </c>
      <c r="H276" s="250"/>
      <c r="I276" s="250"/>
      <c r="J276" s="250" t="s">
        <v>427</v>
      </c>
      <c r="K276" s="250" t="s">
        <v>200</v>
      </c>
      <c r="L276" s="250" t="s">
        <v>1112</v>
      </c>
      <c r="M276" s="235" t="s">
        <v>444</v>
      </c>
      <c r="N276" s="235"/>
      <c r="O276" s="284"/>
      <c r="P276" s="284"/>
      <c r="Q276" s="284"/>
      <c r="R276" s="286" t="str">
        <f t="shared" si="56"/>
        <v>. Speedometer</v>
      </c>
      <c r="S276" s="286"/>
      <c r="T276" s="235"/>
      <c r="U276" s="250"/>
      <c r="V276" s="235"/>
      <c r="W276" s="250"/>
      <c r="X276" s="250"/>
      <c r="Y276" s="250"/>
      <c r="Z276" s="250" t="s">
        <v>1112</v>
      </c>
      <c r="AA276" s="250"/>
      <c r="AB276" s="250"/>
      <c r="AC276" s="244" t="s">
        <v>449</v>
      </c>
      <c r="AD276" s="250"/>
      <c r="AE276" s="250">
        <v>125</v>
      </c>
      <c r="AF276" s="252" t="s">
        <v>434</v>
      </c>
      <c r="AG276" s="247"/>
      <c r="AH276" s="248" t="s">
        <v>1113</v>
      </c>
      <c r="AJ276" s="249"/>
      <c r="AK276" s="232" t="s">
        <v>1114</v>
      </c>
      <c r="AN276" s="233" t="s">
        <v>1115</v>
      </c>
      <c r="AO276" s="232" t="s">
        <v>411</v>
      </c>
      <c r="AP276" s="232">
        <v>66551</v>
      </c>
      <c r="AQ276" s="232" t="str">
        <f>CONCATENATE(AN276,AO276,AP276)</f>
        <v>257-66551</v>
      </c>
      <c r="AR276" s="232" t="s">
        <v>1123</v>
      </c>
      <c r="AX276" s="250"/>
      <c r="AY276" s="250"/>
      <c r="AZ276" s="232" t="str">
        <f>IF($AX276="Yes",'8. Option Codes Decrypted'!$C$15,"")</f>
        <v/>
      </c>
      <c r="BA276" s="232" t="str">
        <f>IF($AX276="Yes",'8. Option Codes Decrypted'!$C$16,"")</f>
        <v/>
      </c>
      <c r="BB276" s="232" t="str">
        <f>IF($AX276="Yes",'8. Option Codes Decrypted'!$C$17,"")</f>
        <v/>
      </c>
      <c r="BC276" s="232" t="str">
        <f>IF($AX276="Yes",'8. Option Codes Decrypted'!$C$18,"")</f>
        <v/>
      </c>
      <c r="BD276" s="232" t="str">
        <f>IF($AY276="Yes",'8. Option Codes Decrypted'!$C$20,"")</f>
        <v/>
      </c>
      <c r="BE276" s="232" t="str">
        <f>IF($AY276="Yes",'8. Option Codes Decrypted'!$C$21,"")</f>
        <v/>
      </c>
      <c r="BF276" s="232" t="str">
        <f>IF($AY276="Yes",'8. Option Codes Decrypted'!$C$22,"")</f>
        <v/>
      </c>
      <c r="BG276" s="232" t="str">
        <f>IF($AY276="Yes",'8. Option Codes Decrypted'!$C$23,"")</f>
        <v/>
      </c>
    </row>
    <row r="277" spans="1:59" s="232" customFormat="1" x14ac:dyDescent="0.25">
      <c r="A277" s="232" t="str">
        <f t="shared" si="57"/>
        <v/>
      </c>
      <c r="B277" s="358" t="str">
        <f t="shared" si="54"/>
        <v>257-66562</v>
      </c>
      <c r="C277" s="358" t="str">
        <f t="shared" si="58"/>
        <v/>
      </c>
      <c r="D277" s="358"/>
      <c r="E277" s="358">
        <f t="shared" si="55"/>
        <v>1</v>
      </c>
      <c r="F277" s="232" t="s">
        <v>426</v>
      </c>
      <c r="G277" s="241">
        <v>44684</v>
      </c>
      <c r="H277" s="250"/>
      <c r="I277" s="250"/>
      <c r="J277" s="250" t="s">
        <v>427</v>
      </c>
      <c r="K277" s="250" t="s">
        <v>200</v>
      </c>
      <c r="L277" s="250" t="s">
        <v>1112</v>
      </c>
      <c r="M277" s="235" t="s">
        <v>444</v>
      </c>
      <c r="N277" s="235"/>
      <c r="O277" s="284"/>
      <c r="P277" s="284"/>
      <c r="Q277" s="284"/>
      <c r="R277" s="286" t="str">
        <f t="shared" si="56"/>
        <v>. Speedometer</v>
      </c>
      <c r="S277" s="286"/>
      <c r="T277" s="235"/>
      <c r="U277" s="250"/>
      <c r="V277" s="235"/>
      <c r="W277" s="250"/>
      <c r="X277" s="250"/>
      <c r="Y277" s="250"/>
      <c r="Z277" s="250" t="s">
        <v>1112</v>
      </c>
      <c r="AA277" s="250"/>
      <c r="AB277" s="250"/>
      <c r="AC277" s="244" t="s">
        <v>449</v>
      </c>
      <c r="AD277" s="250"/>
      <c r="AE277" s="250">
        <v>115</v>
      </c>
      <c r="AF277" s="252" t="s">
        <v>434</v>
      </c>
      <c r="AG277" s="247"/>
      <c r="AH277" s="248" t="s">
        <v>1113</v>
      </c>
      <c r="AJ277" s="249"/>
      <c r="AK277" s="232" t="s">
        <v>1114</v>
      </c>
      <c r="AN277" s="233" t="s">
        <v>1115</v>
      </c>
      <c r="AO277" s="232" t="s">
        <v>411</v>
      </c>
      <c r="AP277" s="232">
        <v>66562</v>
      </c>
      <c r="AQ277" s="232" t="str">
        <f>CONCATENATE(AN277,AO277,AP277)</f>
        <v>257-66562</v>
      </c>
      <c r="AR277" s="232" t="s">
        <v>1124</v>
      </c>
      <c r="AX277" s="250"/>
      <c r="AY277" s="250"/>
      <c r="AZ277" s="232" t="str">
        <f>IF($AX277="Yes",'8. Option Codes Decrypted'!$C$15,"")</f>
        <v/>
      </c>
      <c r="BA277" s="232" t="str">
        <f>IF($AX277="Yes",'8. Option Codes Decrypted'!$C$16,"")</f>
        <v/>
      </c>
      <c r="BB277" s="232" t="str">
        <f>IF($AX277="Yes",'8. Option Codes Decrypted'!$C$17,"")</f>
        <v/>
      </c>
      <c r="BC277" s="232" t="str">
        <f>IF($AX277="Yes",'8. Option Codes Decrypted'!$C$18,"")</f>
        <v/>
      </c>
      <c r="BD277" s="232" t="str">
        <f>IF($AY277="Yes",'8. Option Codes Decrypted'!$C$20,"")</f>
        <v/>
      </c>
      <c r="BE277" s="232" t="str">
        <f>IF($AY277="Yes",'8. Option Codes Decrypted'!$C$21,"")</f>
        <v/>
      </c>
      <c r="BF277" s="232" t="str">
        <f>IF($AY277="Yes",'8. Option Codes Decrypted'!$C$22,"")</f>
        <v/>
      </c>
      <c r="BG277" s="232" t="str">
        <f>IF($AY277="Yes",'8. Option Codes Decrypted'!$C$23,"")</f>
        <v/>
      </c>
    </row>
    <row r="278" spans="1:59" s="232" customFormat="1" x14ac:dyDescent="0.25">
      <c r="A278" s="232" t="str">
        <f t="shared" si="57"/>
        <v/>
      </c>
      <c r="B278" s="358" t="str">
        <f t="shared" si="54"/>
        <v>257-66552</v>
      </c>
      <c r="C278" s="358" t="str">
        <f t="shared" si="58"/>
        <v/>
      </c>
      <c r="D278" s="358"/>
      <c r="E278" s="358">
        <f t="shared" si="55"/>
        <v>1</v>
      </c>
      <c r="F278" s="232" t="s">
        <v>426</v>
      </c>
      <c r="G278" s="241">
        <v>44684</v>
      </c>
      <c r="H278" s="250"/>
      <c r="I278" s="250"/>
      <c r="J278" s="250" t="s">
        <v>427</v>
      </c>
      <c r="K278" s="250" t="s">
        <v>200</v>
      </c>
      <c r="L278" s="250" t="s">
        <v>1112</v>
      </c>
      <c r="M278" s="235" t="s">
        <v>444</v>
      </c>
      <c r="N278" s="235"/>
      <c r="O278" s="284"/>
      <c r="P278" s="284"/>
      <c r="Q278" s="284"/>
      <c r="R278" s="286" t="str">
        <f t="shared" si="56"/>
        <v>. Speedometer</v>
      </c>
      <c r="S278" s="286"/>
      <c r="T278" s="235"/>
      <c r="U278" s="250"/>
      <c r="V278" s="235"/>
      <c r="W278" s="250"/>
      <c r="X278" s="250"/>
      <c r="Y278" s="250"/>
      <c r="Z278" s="250" t="s">
        <v>1112</v>
      </c>
      <c r="AA278" s="250"/>
      <c r="AB278" s="250"/>
      <c r="AC278" s="244" t="s">
        <v>449</v>
      </c>
      <c r="AD278" s="250"/>
      <c r="AE278" s="250">
        <v>750</v>
      </c>
      <c r="AF278" s="252" t="s">
        <v>434</v>
      </c>
      <c r="AG278" s="247"/>
      <c r="AH278" s="248" t="s">
        <v>1113</v>
      </c>
      <c r="AJ278" s="249"/>
      <c r="AK278" s="232" t="s">
        <v>1114</v>
      </c>
      <c r="AN278" s="233" t="s">
        <v>1115</v>
      </c>
      <c r="AO278" s="232" t="s">
        <v>411</v>
      </c>
      <c r="AP278" s="232">
        <v>66552</v>
      </c>
      <c r="AQ278" s="232" t="str">
        <f t="shared" si="60"/>
        <v>257-66552</v>
      </c>
      <c r="AR278" s="232" t="s">
        <v>1125</v>
      </c>
      <c r="AX278" s="250"/>
      <c r="AY278" s="250"/>
      <c r="AZ278" s="232" t="str">
        <f>IF($AX278="Yes",'8. Option Codes Decrypted'!$C$15,"")</f>
        <v/>
      </c>
      <c r="BA278" s="232" t="str">
        <f>IF($AX278="Yes",'8. Option Codes Decrypted'!$C$16,"")</f>
        <v/>
      </c>
      <c r="BB278" s="232" t="str">
        <f>IF($AX278="Yes",'8. Option Codes Decrypted'!$C$17,"")</f>
        <v/>
      </c>
      <c r="BC278" s="232" t="str">
        <f>IF($AX278="Yes",'8. Option Codes Decrypted'!$C$18,"")</f>
        <v/>
      </c>
      <c r="BD278" s="232" t="str">
        <f>IF($AY278="Yes",'8. Option Codes Decrypted'!$C$20,"")</f>
        <v/>
      </c>
      <c r="BE278" s="232" t="str">
        <f>IF($AY278="Yes",'8. Option Codes Decrypted'!$C$21,"")</f>
        <v/>
      </c>
      <c r="BF278" s="232" t="str">
        <f>IF($AY278="Yes",'8. Option Codes Decrypted'!$C$22,"")</f>
        <v/>
      </c>
      <c r="BG278" s="232" t="str">
        <f>IF($AY278="Yes",'8. Option Codes Decrypted'!$C$23,"")</f>
        <v/>
      </c>
    </row>
    <row r="279" spans="1:59" s="232" customFormat="1" x14ac:dyDescent="0.25">
      <c r="A279" s="232" t="str">
        <f t="shared" si="57"/>
        <v/>
      </c>
      <c r="B279" s="358" t="str">
        <f t="shared" si="54"/>
        <v>257-68030</v>
      </c>
      <c r="C279" s="358" t="str">
        <f t="shared" si="58"/>
        <v/>
      </c>
      <c r="D279" s="358"/>
      <c r="E279" s="358">
        <f t="shared" si="55"/>
        <v>1</v>
      </c>
      <c r="F279" s="232" t="s">
        <v>426</v>
      </c>
      <c r="G279" s="241">
        <v>44684</v>
      </c>
      <c r="H279" s="250"/>
      <c r="I279" s="250"/>
      <c r="J279" s="250" t="s">
        <v>427</v>
      </c>
      <c r="K279" s="250" t="s">
        <v>200</v>
      </c>
      <c r="L279" s="250" t="s">
        <v>1112</v>
      </c>
      <c r="M279" s="235" t="s">
        <v>444</v>
      </c>
      <c r="N279" s="235"/>
      <c r="O279" s="284"/>
      <c r="P279" s="284"/>
      <c r="Q279" s="284"/>
      <c r="R279" s="286" t="str">
        <f t="shared" si="56"/>
        <v>. Speedometer</v>
      </c>
      <c r="S279" s="286"/>
      <c r="T279" s="235"/>
      <c r="U279" s="250"/>
      <c r="V279" s="235"/>
      <c r="W279" s="250"/>
      <c r="X279" s="250"/>
      <c r="Y279" s="250"/>
      <c r="Z279" s="250" t="s">
        <v>1112</v>
      </c>
      <c r="AA279" s="250"/>
      <c r="AB279" s="250"/>
      <c r="AC279" s="244" t="s">
        <v>449</v>
      </c>
      <c r="AD279" s="250"/>
      <c r="AE279" s="250">
        <v>1000</v>
      </c>
      <c r="AF279" s="252" t="s">
        <v>434</v>
      </c>
      <c r="AG279" s="247"/>
      <c r="AH279" s="248" t="s">
        <v>1113</v>
      </c>
      <c r="AJ279" s="249"/>
      <c r="AK279" s="232" t="s">
        <v>1114</v>
      </c>
      <c r="AN279" s="233" t="s">
        <v>1115</v>
      </c>
      <c r="AO279" s="232" t="s">
        <v>411</v>
      </c>
      <c r="AP279" s="232">
        <v>68030</v>
      </c>
      <c r="AQ279" s="232" t="str">
        <f>CONCATENATE(AN279,AO279,AP279)</f>
        <v>257-68030</v>
      </c>
      <c r="AR279" s="232" t="s">
        <v>1126</v>
      </c>
      <c r="AX279" s="250"/>
      <c r="AY279" s="250"/>
      <c r="AZ279" s="232" t="str">
        <f>IF($AX279="Yes",'8. Option Codes Decrypted'!$C$15,"")</f>
        <v/>
      </c>
      <c r="BA279" s="232" t="str">
        <f>IF($AX279="Yes",'8. Option Codes Decrypted'!$C$16,"")</f>
        <v/>
      </c>
      <c r="BB279" s="232" t="str">
        <f>IF($AX279="Yes",'8. Option Codes Decrypted'!$C$17,"")</f>
        <v/>
      </c>
      <c r="BC279" s="232" t="str">
        <f>IF($AX279="Yes",'8. Option Codes Decrypted'!$C$18,"")</f>
        <v/>
      </c>
      <c r="BD279" s="232" t="str">
        <f>IF($AY279="Yes",'8. Option Codes Decrypted'!$C$20,"")</f>
        <v/>
      </c>
      <c r="BE279" s="232" t="str">
        <f>IF($AY279="Yes",'8. Option Codes Decrypted'!$C$21,"")</f>
        <v/>
      </c>
      <c r="BF279" s="232" t="str">
        <f>IF($AY279="Yes",'8. Option Codes Decrypted'!$C$22,"")</f>
        <v/>
      </c>
      <c r="BG279" s="232" t="str">
        <f>IF($AY279="Yes",'8. Option Codes Decrypted'!$C$23,"")</f>
        <v/>
      </c>
    </row>
    <row r="280" spans="1:59" s="296" customFormat="1" x14ac:dyDescent="0.25">
      <c r="A280" s="232" t="str">
        <f t="shared" si="57"/>
        <v/>
      </c>
      <c r="B280" s="358" t="str">
        <f t="shared" si="54"/>
        <v/>
      </c>
      <c r="C280" s="358" t="str">
        <f t="shared" si="58"/>
        <v>F15-Steering Column Center Rod &amp; Lower U-Joint Shaft SET2-14-18-ALL</v>
      </c>
      <c r="D280" s="358"/>
      <c r="E280" s="358" t="str">
        <f t="shared" si="55"/>
        <v/>
      </c>
      <c r="F280" s="296" t="s">
        <v>426</v>
      </c>
      <c r="G280" s="297">
        <v>44683</v>
      </c>
      <c r="H280" s="298"/>
      <c r="I280" s="298"/>
      <c r="J280" s="298" t="s">
        <v>427</v>
      </c>
      <c r="K280" s="298" t="s">
        <v>200</v>
      </c>
      <c r="L280" s="298" t="s">
        <v>1127</v>
      </c>
      <c r="M280" s="298" t="s">
        <v>430</v>
      </c>
      <c r="N280" s="298"/>
      <c r="O280" s="299"/>
      <c r="P280" s="299"/>
      <c r="Q280" s="299"/>
      <c r="R280" s="299" t="str">
        <f t="shared" si="56"/>
        <v>. Steering Column Center Rod &amp; Lower U-Joint Shaft SET2</v>
      </c>
      <c r="S280" s="299"/>
      <c r="T280" s="298"/>
      <c r="U280" s="298"/>
      <c r="V280" s="298"/>
      <c r="W280" s="298"/>
      <c r="X280" s="298"/>
      <c r="Y280" s="298"/>
      <c r="Z280" s="298" t="s">
        <v>1128</v>
      </c>
      <c r="AA280" s="298" t="s">
        <v>1129</v>
      </c>
      <c r="AB280" s="298"/>
      <c r="AC280" s="213" t="s">
        <v>439</v>
      </c>
      <c r="AD280" s="298"/>
      <c r="AE280" s="298">
        <v>100</v>
      </c>
      <c r="AF280" s="300" t="s">
        <v>434</v>
      </c>
      <c r="AG280" s="301"/>
      <c r="AH280" s="302" t="s">
        <v>435</v>
      </c>
      <c r="AJ280" s="303"/>
      <c r="AK280" s="296" t="s">
        <v>1130</v>
      </c>
      <c r="AL280" s="296" t="s">
        <v>1131</v>
      </c>
      <c r="AS280" s="296" t="str">
        <f>CONCATENATE(AT280,"-",AU280,"-",AV280,"-",AW280)</f>
        <v>F15-Steering Column Center Rod &amp; Lower U-Joint Shaft SET2-14-18-ALL</v>
      </c>
      <c r="AT280" s="296" t="s">
        <v>661</v>
      </c>
      <c r="AU280" s="296" t="str">
        <f>Z280</f>
        <v>Steering Column Center Rod &amp; Lower U-Joint Shaft SET2</v>
      </c>
      <c r="AV280" s="296" t="s">
        <v>757</v>
      </c>
      <c r="AW280" s="296" t="s">
        <v>662</v>
      </c>
      <c r="AX280" s="298"/>
      <c r="AY280" s="298"/>
      <c r="AZ280" s="232" t="str">
        <f>IF($AX280="Yes",'8. Option Codes Decrypted'!$C$15,"")</f>
        <v/>
      </c>
      <c r="BA280" s="232" t="str">
        <f>IF($AX280="Yes",'8. Option Codes Decrypted'!$C$16,"")</f>
        <v/>
      </c>
      <c r="BB280" s="232" t="str">
        <f>IF($AX280="Yes",'8. Option Codes Decrypted'!$C$17,"")</f>
        <v/>
      </c>
      <c r="BC280" s="232" t="str">
        <f>IF($AX280="Yes",'8. Option Codes Decrypted'!$C$18,"")</f>
        <v/>
      </c>
      <c r="BD280" s="232" t="str">
        <f>IF($AY280="Yes",'8. Option Codes Decrypted'!$C$20,"")</f>
        <v/>
      </c>
      <c r="BE280" s="232" t="str">
        <f>IF($AY280="Yes",'8. Option Codes Decrypted'!$C$21,"")</f>
        <v/>
      </c>
      <c r="BF280" s="232" t="str">
        <f>IF($AY280="Yes",'8. Option Codes Decrypted'!$C$22,"")</f>
        <v/>
      </c>
      <c r="BG280" s="232" t="str">
        <f>IF($AY280="Yes",'8. Option Codes Decrypted'!$C$23,"")</f>
        <v/>
      </c>
    </row>
    <row r="281" spans="1:59" s="296" customFormat="1" ht="15.75" thickBot="1" x14ac:dyDescent="0.3">
      <c r="A281" s="232" t="str">
        <f t="shared" si="57"/>
        <v/>
      </c>
      <c r="B281" s="358" t="str">
        <f t="shared" si="54"/>
        <v/>
      </c>
      <c r="C281" s="358" t="str">
        <f t="shared" si="58"/>
        <v>F15-Steering Column Center Rod Shaft-14-18-ALL</v>
      </c>
      <c r="D281" s="358"/>
      <c r="E281" s="358" t="str">
        <f t="shared" si="55"/>
        <v/>
      </c>
      <c r="F281" s="296" t="s">
        <v>426</v>
      </c>
      <c r="G281" s="297">
        <v>44683</v>
      </c>
      <c r="H281" s="298"/>
      <c r="I281" s="298"/>
      <c r="J281" s="298" t="s">
        <v>427</v>
      </c>
      <c r="K281" s="298" t="s">
        <v>200</v>
      </c>
      <c r="L281" s="298" t="s">
        <v>1127</v>
      </c>
      <c r="M281" s="298" t="s">
        <v>430</v>
      </c>
      <c r="N281" s="298"/>
      <c r="O281" s="299"/>
      <c r="P281" s="299"/>
      <c r="Q281" s="299"/>
      <c r="R281" s="299" t="str">
        <f t="shared" si="56"/>
        <v>. Steering Column Center Rod Shaft</v>
      </c>
      <c r="S281" s="299"/>
      <c r="T281" s="298"/>
      <c r="U281" s="298"/>
      <c r="V281" s="298"/>
      <c r="W281" s="298"/>
      <c r="X281" s="298"/>
      <c r="Y281" s="298"/>
      <c r="Z281" s="298" t="s">
        <v>1132</v>
      </c>
      <c r="AA281" s="298"/>
      <c r="AB281" s="298"/>
      <c r="AC281" s="213" t="s">
        <v>449</v>
      </c>
      <c r="AD281" s="298"/>
      <c r="AE281" s="298">
        <v>58</v>
      </c>
      <c r="AF281" s="300" t="s">
        <v>434</v>
      </c>
      <c r="AG281" s="301"/>
      <c r="AH281" s="302" t="s">
        <v>435</v>
      </c>
      <c r="AJ281" s="303"/>
      <c r="AK281" s="296" t="s">
        <v>1130</v>
      </c>
      <c r="AL281" s="296" t="s">
        <v>1131</v>
      </c>
      <c r="AS281" s="296" t="str">
        <f>CONCATENATE(AT281,"-",AU281,"-",AV281,"-",AW281)</f>
        <v>F15-Steering Column Center Rod Shaft-14-18-ALL</v>
      </c>
      <c r="AT281" s="296" t="s">
        <v>661</v>
      </c>
      <c r="AU281" s="296" t="str">
        <f>Z281</f>
        <v>Steering Column Center Rod Shaft</v>
      </c>
      <c r="AV281" s="296" t="s">
        <v>757</v>
      </c>
      <c r="AW281" s="296" t="s">
        <v>662</v>
      </c>
      <c r="AX281" s="298"/>
      <c r="AY281" s="298"/>
      <c r="AZ281" s="232" t="str">
        <f>IF($AX281="Yes",'8. Option Codes Decrypted'!$C$15,"")</f>
        <v/>
      </c>
      <c r="BA281" s="232" t="str">
        <f>IF($AX281="Yes",'8. Option Codes Decrypted'!$C$16,"")</f>
        <v/>
      </c>
      <c r="BB281" s="232" t="str">
        <f>IF($AX281="Yes",'8. Option Codes Decrypted'!$C$17,"")</f>
        <v/>
      </c>
      <c r="BC281" s="232" t="str">
        <f>IF($AX281="Yes",'8. Option Codes Decrypted'!$C$18,"")</f>
        <v/>
      </c>
      <c r="BD281" s="232" t="str">
        <f>IF($AY281="Yes",'8. Option Codes Decrypted'!$C$20,"")</f>
        <v/>
      </c>
      <c r="BE281" s="232" t="str">
        <f>IF($AY281="Yes",'8. Option Codes Decrypted'!$C$21,"")</f>
        <v/>
      </c>
      <c r="BF281" s="232" t="str">
        <f>IF($AY281="Yes",'8. Option Codes Decrypted'!$C$22,"")</f>
        <v/>
      </c>
      <c r="BG281" s="232" t="str">
        <f>IF($AY281="Yes",'8. Option Codes Decrypted'!$C$23,"")</f>
        <v/>
      </c>
    </row>
    <row r="282" spans="1:59" s="296" customFormat="1" ht="15.75" thickBot="1" x14ac:dyDescent="0.3">
      <c r="A282" s="232" t="str">
        <f t="shared" si="57"/>
        <v>A25</v>
      </c>
      <c r="B282" s="358" t="str">
        <f t="shared" si="54"/>
        <v/>
      </c>
      <c r="C282" s="358" t="str">
        <f t="shared" si="58"/>
        <v>F15-Steering Column Lower U-Joint Shaft-14-18-ALL</v>
      </c>
      <c r="D282" s="358"/>
      <c r="E282" s="358" t="str">
        <f t="shared" si="55"/>
        <v/>
      </c>
      <c r="F282" s="296" t="s">
        <v>426</v>
      </c>
      <c r="G282" s="297">
        <v>44683</v>
      </c>
      <c r="H282" s="298"/>
      <c r="I282" s="298"/>
      <c r="J282" s="298" t="s">
        <v>427</v>
      </c>
      <c r="K282" s="298" t="s">
        <v>200</v>
      </c>
      <c r="L282" s="298" t="s">
        <v>1127</v>
      </c>
      <c r="M282" s="298" t="s">
        <v>430</v>
      </c>
      <c r="N282" s="298">
        <v>15</v>
      </c>
      <c r="O282" s="299" t="s">
        <v>269</v>
      </c>
      <c r="P282" s="299" t="s">
        <v>716</v>
      </c>
      <c r="Q282" s="299">
        <v>1</v>
      </c>
      <c r="R282" s="299" t="str">
        <f t="shared" si="56"/>
        <v>A25. Steering Column Lower U-Joint Shaft</v>
      </c>
      <c r="S282" s="365" t="str">
        <f>HYPERLINK(VLOOKUP(O282,'3D. Pictures'!$B$3:$E$500,4,FALSE),"PIC")</f>
        <v>PIC</v>
      </c>
      <c r="T282" s="298">
        <v>4</v>
      </c>
      <c r="U282" s="298">
        <v>6774110</v>
      </c>
      <c r="V282" s="298" t="s">
        <v>80</v>
      </c>
      <c r="W282" s="298"/>
      <c r="X282" s="298"/>
      <c r="Y282" s="298"/>
      <c r="Z282" s="298" t="s">
        <v>1133</v>
      </c>
      <c r="AA282" s="298"/>
      <c r="AB282" s="298"/>
      <c r="AC282" s="213" t="s">
        <v>449</v>
      </c>
      <c r="AD282" s="298"/>
      <c r="AE282" s="298">
        <v>75</v>
      </c>
      <c r="AF282" s="300" t="s">
        <v>434</v>
      </c>
      <c r="AG282" s="301"/>
      <c r="AH282" s="302" t="s">
        <v>435</v>
      </c>
      <c r="AJ282" s="303"/>
      <c r="AK282" s="296" t="s">
        <v>1130</v>
      </c>
      <c r="AL282" s="296" t="s">
        <v>1131</v>
      </c>
      <c r="AS282" s="296" t="str">
        <f>CONCATENATE(AT282,"-",AU282,"-",AV282,"-",AW282)</f>
        <v>F15-Steering Column Lower U-Joint Shaft-14-18-ALL</v>
      </c>
      <c r="AT282" s="296" t="s">
        <v>661</v>
      </c>
      <c r="AU282" s="296" t="str">
        <f>Z282</f>
        <v>Steering Column Lower U-Joint Shaft</v>
      </c>
      <c r="AV282" s="296" t="s">
        <v>757</v>
      </c>
      <c r="AW282" s="296" t="s">
        <v>662</v>
      </c>
      <c r="AX282" s="298"/>
      <c r="AY282" s="298"/>
      <c r="AZ282" s="232" t="str">
        <f>IF($AX282="Yes",'8. Option Codes Decrypted'!$C$15,"")</f>
        <v/>
      </c>
      <c r="BA282" s="232" t="str">
        <f>IF($AX282="Yes",'8. Option Codes Decrypted'!$C$16,"")</f>
        <v/>
      </c>
      <c r="BB282" s="232" t="str">
        <f>IF($AX282="Yes",'8. Option Codes Decrypted'!$C$17,"")</f>
        <v/>
      </c>
      <c r="BC282" s="232" t="str">
        <f>IF($AX282="Yes",'8. Option Codes Decrypted'!$C$18,"")</f>
        <v/>
      </c>
      <c r="BD282" s="232" t="str">
        <f>IF($AY282="Yes",'8. Option Codes Decrypted'!$C$20,"")</f>
        <v/>
      </c>
      <c r="BE282" s="232" t="str">
        <f>IF($AY282="Yes",'8. Option Codes Decrypted'!$C$21,"")</f>
        <v/>
      </c>
      <c r="BF282" s="232" t="str">
        <f>IF($AY282="Yes",'8. Option Codes Decrypted'!$C$22,"")</f>
        <v/>
      </c>
      <c r="BG282" s="232" t="str">
        <f>IF($AY282="Yes",'8. Option Codes Decrypted'!$C$23,"")</f>
        <v/>
      </c>
    </row>
    <row r="283" spans="1:59" x14ac:dyDescent="0.25">
      <c r="A283" s="232" t="str">
        <f t="shared" si="57"/>
        <v/>
      </c>
      <c r="B283" s="358" t="str">
        <f t="shared" si="54"/>
        <v/>
      </c>
      <c r="C283" s="358" t="str">
        <f t="shared" si="58"/>
        <v/>
      </c>
      <c r="D283" s="358"/>
      <c r="E283" s="358" t="str">
        <f t="shared" si="55"/>
        <v/>
      </c>
      <c r="F283" t="s">
        <v>508</v>
      </c>
      <c r="G283" s="230">
        <v>44994</v>
      </c>
      <c r="H283" s="10"/>
      <c r="I283" s="10"/>
      <c r="J283" s="16" t="s">
        <v>427</v>
      </c>
      <c r="K283" s="16" t="s">
        <v>200</v>
      </c>
      <c r="L283" s="16" t="s">
        <v>1134</v>
      </c>
      <c r="M283" s="16" t="s">
        <v>430</v>
      </c>
      <c r="N283" s="16"/>
      <c r="O283" s="191"/>
      <c r="P283" s="191"/>
      <c r="Q283" s="191"/>
      <c r="R283" s="286" t="str">
        <f t="shared" si="56"/>
        <v xml:space="preserve">. Steering Wheel Vibration Control Module </v>
      </c>
      <c r="S283" s="286"/>
      <c r="T283" s="16"/>
      <c r="U283" s="16"/>
      <c r="V283" s="16"/>
      <c r="W283" s="16"/>
      <c r="X283" s="16"/>
      <c r="Y283" s="16"/>
      <c r="Z283" s="16" t="s">
        <v>1134</v>
      </c>
      <c r="AA283" s="16" t="s">
        <v>1134</v>
      </c>
      <c r="AB283" s="16" t="s">
        <v>1134</v>
      </c>
      <c r="AC283" s="193" t="s">
        <v>449</v>
      </c>
      <c r="AD283" s="16"/>
      <c r="AE283" s="16">
        <v>180</v>
      </c>
      <c r="AF283" s="99" t="s">
        <v>434</v>
      </c>
      <c r="AH283" s="3" t="s">
        <v>435</v>
      </c>
      <c r="AJ283" s="69"/>
      <c r="AK283" t="s">
        <v>1135</v>
      </c>
      <c r="AN283"/>
      <c r="AX283" s="16"/>
      <c r="AY283" s="16"/>
      <c r="AZ283" s="232" t="str">
        <f>IF($AX283="Yes",'8. Option Codes Decrypted'!$C$15,"")</f>
        <v/>
      </c>
      <c r="BA283" s="232" t="str">
        <f>IF($AX283="Yes",'8. Option Codes Decrypted'!$C$16,"")</f>
        <v/>
      </c>
      <c r="BB283" s="232" t="str">
        <f>IF($AX283="Yes",'8. Option Codes Decrypted'!$C$17,"")</f>
        <v/>
      </c>
      <c r="BC283" s="232" t="str">
        <f>IF($AX283="Yes",'8. Option Codes Decrypted'!$C$18,"")</f>
        <v/>
      </c>
      <c r="BD283" s="232" t="str">
        <f>IF($AY283="Yes",'8. Option Codes Decrypted'!$C$20,"")</f>
        <v/>
      </c>
      <c r="BE283" s="232" t="str">
        <f>IF($AY283="Yes",'8. Option Codes Decrypted'!$C$21,"")</f>
        <v/>
      </c>
      <c r="BF283" s="232" t="str">
        <f>IF($AY283="Yes",'8. Option Codes Decrypted'!$C$22,"")</f>
        <v/>
      </c>
      <c r="BG283" s="232" t="str">
        <f>IF($AY283="Yes",'8. Option Codes Decrypted'!$C$23,"")</f>
        <v/>
      </c>
    </row>
    <row r="284" spans="1:59" s="232" customFormat="1" x14ac:dyDescent="0.25">
      <c r="A284" s="232" t="str">
        <f t="shared" si="57"/>
        <v/>
      </c>
      <c r="B284" s="358" t="str">
        <f t="shared" si="54"/>
        <v>235-992176</v>
      </c>
      <c r="C284" s="358" t="str">
        <f t="shared" si="58"/>
        <v/>
      </c>
      <c r="D284" s="358"/>
      <c r="E284" s="358">
        <f t="shared" si="55"/>
        <v>1</v>
      </c>
      <c r="F284" s="232" t="s">
        <v>426</v>
      </c>
      <c r="G284" s="241">
        <v>44684</v>
      </c>
      <c r="H284" s="250"/>
      <c r="I284" s="250"/>
      <c r="J284" s="250" t="s">
        <v>427</v>
      </c>
      <c r="K284" s="250" t="s">
        <v>200</v>
      </c>
      <c r="L284" s="250" t="s">
        <v>1136</v>
      </c>
      <c r="M284" s="259" t="s">
        <v>458</v>
      </c>
      <c r="N284" s="259"/>
      <c r="O284" s="291"/>
      <c r="P284" s="291"/>
      <c r="Q284" s="291"/>
      <c r="R284" s="286" t="str">
        <f t="shared" si="56"/>
        <v>. Steering Wheel</v>
      </c>
      <c r="S284" s="286"/>
      <c r="T284" s="259"/>
      <c r="U284" s="250"/>
      <c r="V284" s="259"/>
      <c r="W284" s="250"/>
      <c r="X284" s="250"/>
      <c r="Y284" s="235" t="s">
        <v>1083</v>
      </c>
      <c r="Z284" s="250" t="s">
        <v>1136</v>
      </c>
      <c r="AA284" s="250" t="s">
        <v>1137</v>
      </c>
      <c r="AB284" s="250" t="s">
        <v>1138</v>
      </c>
      <c r="AC284" s="244" t="s">
        <v>449</v>
      </c>
      <c r="AD284" s="250"/>
      <c r="AE284" s="265">
        <v>695</v>
      </c>
      <c r="AF284" s="252" t="s">
        <v>434</v>
      </c>
      <c r="AG284" s="247"/>
      <c r="AH284" s="248" t="s">
        <v>435</v>
      </c>
      <c r="AJ284" s="249"/>
      <c r="AK284" s="232" t="s">
        <v>1139</v>
      </c>
      <c r="AL284" s="232" t="s">
        <v>1140</v>
      </c>
      <c r="AN284" s="233">
        <v>235</v>
      </c>
      <c r="AO284" s="232" t="s">
        <v>411</v>
      </c>
      <c r="AP284" s="232">
        <v>992176</v>
      </c>
      <c r="AQ284" s="232" t="str">
        <f t="shared" ref="AQ284:AQ295" si="61">CONCATENATE(AN284,AO284,AP284)</f>
        <v>235-992176</v>
      </c>
      <c r="AR284" s="232" t="s">
        <v>1141</v>
      </c>
      <c r="AX284" s="250"/>
      <c r="AY284" s="250"/>
      <c r="AZ284" s="232" t="str">
        <f>IF($AX284="Yes",'8. Option Codes Decrypted'!$C$15,"")</f>
        <v/>
      </c>
      <c r="BA284" s="232" t="str">
        <f>IF($AX284="Yes",'8. Option Codes Decrypted'!$C$16,"")</f>
        <v/>
      </c>
      <c r="BB284" s="232" t="str">
        <f>IF($AX284="Yes",'8. Option Codes Decrypted'!$C$17,"")</f>
        <v/>
      </c>
      <c r="BC284" s="232" t="str">
        <f>IF($AX284="Yes",'8. Option Codes Decrypted'!$C$18,"")</f>
        <v/>
      </c>
      <c r="BD284" s="232" t="str">
        <f>IF($AY284="Yes",'8. Option Codes Decrypted'!$C$20,"")</f>
        <v/>
      </c>
      <c r="BE284" s="232" t="str">
        <f>IF($AY284="Yes",'8. Option Codes Decrypted'!$C$21,"")</f>
        <v/>
      </c>
      <c r="BF284" s="232" t="str">
        <f>IF($AY284="Yes",'8. Option Codes Decrypted'!$C$22,"")</f>
        <v/>
      </c>
      <c r="BG284" s="232" t="str">
        <f>IF($AY284="Yes",'8. Option Codes Decrypted'!$C$23,"")</f>
        <v/>
      </c>
    </row>
    <row r="285" spans="1:59" s="232" customFormat="1" x14ac:dyDescent="0.25">
      <c r="A285" s="232" t="str">
        <f t="shared" si="57"/>
        <v/>
      </c>
      <c r="B285" s="358" t="str">
        <f t="shared" si="54"/>
        <v>235-992177</v>
      </c>
      <c r="C285" s="358" t="str">
        <f t="shared" si="58"/>
        <v/>
      </c>
      <c r="D285" s="358"/>
      <c r="E285" s="358">
        <f t="shared" si="55"/>
        <v>1</v>
      </c>
      <c r="F285" s="232" t="s">
        <v>426</v>
      </c>
      <c r="G285" s="241">
        <v>44684</v>
      </c>
      <c r="H285" s="250"/>
      <c r="I285" s="250"/>
      <c r="J285" s="250" t="s">
        <v>427</v>
      </c>
      <c r="K285" s="250" t="s">
        <v>200</v>
      </c>
      <c r="L285" s="250" t="s">
        <v>1136</v>
      </c>
      <c r="M285" s="259" t="s">
        <v>458</v>
      </c>
      <c r="N285" s="259"/>
      <c r="O285" s="291"/>
      <c r="P285" s="291"/>
      <c r="Q285" s="291"/>
      <c r="R285" s="286" t="str">
        <f t="shared" si="56"/>
        <v>. Steering Wheel</v>
      </c>
      <c r="S285" s="286"/>
      <c r="T285" s="259"/>
      <c r="U285" s="250"/>
      <c r="V285" s="259"/>
      <c r="W285" s="250"/>
      <c r="X285" s="250"/>
      <c r="Y285" s="235" t="s">
        <v>1083</v>
      </c>
      <c r="Z285" s="250" t="s">
        <v>1136</v>
      </c>
      <c r="AA285" s="250" t="s">
        <v>1137</v>
      </c>
      <c r="AB285" s="250" t="s">
        <v>1138</v>
      </c>
      <c r="AC285" s="244" t="s">
        <v>449</v>
      </c>
      <c r="AD285" s="250"/>
      <c r="AE285" s="265">
        <v>695</v>
      </c>
      <c r="AF285" s="252" t="s">
        <v>434</v>
      </c>
      <c r="AG285" s="247"/>
      <c r="AH285" s="248" t="s">
        <v>435</v>
      </c>
      <c r="AJ285" s="249"/>
      <c r="AK285" s="232" t="s">
        <v>1139</v>
      </c>
      <c r="AL285" s="232" t="s">
        <v>1140</v>
      </c>
      <c r="AN285" s="233">
        <v>235</v>
      </c>
      <c r="AO285" s="232" t="s">
        <v>411</v>
      </c>
      <c r="AP285" s="232">
        <v>992177</v>
      </c>
      <c r="AQ285" s="232" t="str">
        <f t="shared" si="61"/>
        <v>235-992177</v>
      </c>
      <c r="AR285" s="232" t="s">
        <v>1142</v>
      </c>
      <c r="AX285" s="250"/>
      <c r="AY285" s="250"/>
      <c r="AZ285" s="232" t="str">
        <f>IF($AX285="Yes",'8. Option Codes Decrypted'!$C$15,"")</f>
        <v/>
      </c>
      <c r="BA285" s="232" t="str">
        <f>IF($AX285="Yes",'8. Option Codes Decrypted'!$C$16,"")</f>
        <v/>
      </c>
      <c r="BB285" s="232" t="str">
        <f>IF($AX285="Yes",'8. Option Codes Decrypted'!$C$17,"")</f>
        <v/>
      </c>
      <c r="BC285" s="232" t="str">
        <f>IF($AX285="Yes",'8. Option Codes Decrypted'!$C$18,"")</f>
        <v/>
      </c>
      <c r="BD285" s="232" t="str">
        <f>IF($AY285="Yes",'8. Option Codes Decrypted'!$C$20,"")</f>
        <v/>
      </c>
      <c r="BE285" s="232" t="str">
        <f>IF($AY285="Yes",'8. Option Codes Decrypted'!$C$21,"")</f>
        <v/>
      </c>
      <c r="BF285" s="232" t="str">
        <f>IF($AY285="Yes",'8. Option Codes Decrypted'!$C$22,"")</f>
        <v/>
      </c>
      <c r="BG285" s="232" t="str">
        <f>IF($AY285="Yes",'8. Option Codes Decrypted'!$C$23,"")</f>
        <v/>
      </c>
    </row>
    <row r="286" spans="1:59" s="232" customFormat="1" ht="15.75" thickBot="1" x14ac:dyDescent="0.3">
      <c r="A286" s="232" t="str">
        <f t="shared" si="57"/>
        <v/>
      </c>
      <c r="B286" s="358" t="str">
        <f t="shared" si="54"/>
        <v>235-992178</v>
      </c>
      <c r="C286" s="358" t="str">
        <f t="shared" si="58"/>
        <v/>
      </c>
      <c r="D286" s="358"/>
      <c r="E286" s="358">
        <f t="shared" si="55"/>
        <v>1</v>
      </c>
      <c r="F286" s="232" t="s">
        <v>426</v>
      </c>
      <c r="G286" s="241">
        <v>44684</v>
      </c>
      <c r="H286" s="250"/>
      <c r="I286" s="250"/>
      <c r="J286" s="250" t="s">
        <v>427</v>
      </c>
      <c r="K286" s="250" t="s">
        <v>200</v>
      </c>
      <c r="L286" s="250" t="s">
        <v>1136</v>
      </c>
      <c r="M286" s="259" t="s">
        <v>458</v>
      </c>
      <c r="N286" s="259"/>
      <c r="O286" s="291"/>
      <c r="P286" s="291"/>
      <c r="Q286" s="291"/>
      <c r="R286" s="286" t="str">
        <f t="shared" si="56"/>
        <v>. Steering Wheel</v>
      </c>
      <c r="S286" s="286"/>
      <c r="T286" s="259"/>
      <c r="U286" s="250"/>
      <c r="V286" s="259"/>
      <c r="W286" s="250"/>
      <c r="X286" s="250"/>
      <c r="Y286" s="235" t="s">
        <v>1083</v>
      </c>
      <c r="Z286" s="250" t="s">
        <v>1136</v>
      </c>
      <c r="AA286" s="250" t="s">
        <v>1137</v>
      </c>
      <c r="AB286" s="250" t="s">
        <v>1138</v>
      </c>
      <c r="AC286" s="244" t="s">
        <v>449</v>
      </c>
      <c r="AD286" s="250"/>
      <c r="AE286" s="265">
        <v>175</v>
      </c>
      <c r="AF286" s="252" t="s">
        <v>434</v>
      </c>
      <c r="AG286" s="247"/>
      <c r="AH286" s="248" t="s">
        <v>435</v>
      </c>
      <c r="AJ286" s="249"/>
      <c r="AK286" s="232" t="s">
        <v>1139</v>
      </c>
      <c r="AL286" s="232" t="s">
        <v>1140</v>
      </c>
      <c r="AN286" s="233">
        <v>235</v>
      </c>
      <c r="AO286" s="232" t="s">
        <v>411</v>
      </c>
      <c r="AP286" s="232">
        <v>992178</v>
      </c>
      <c r="AQ286" s="232" t="str">
        <f t="shared" si="61"/>
        <v>235-992178</v>
      </c>
      <c r="AR286" s="232" t="s">
        <v>1143</v>
      </c>
      <c r="AX286" s="250"/>
      <c r="AY286" s="250"/>
      <c r="AZ286" s="232" t="str">
        <f>IF($AX286="Yes",'8. Option Codes Decrypted'!$C$15,"")</f>
        <v/>
      </c>
      <c r="BA286" s="232" t="str">
        <f>IF($AX286="Yes",'8. Option Codes Decrypted'!$C$16,"")</f>
        <v/>
      </c>
      <c r="BB286" s="232" t="str">
        <f>IF($AX286="Yes",'8. Option Codes Decrypted'!$C$17,"")</f>
        <v/>
      </c>
      <c r="BC286" s="232" t="str">
        <f>IF($AX286="Yes",'8. Option Codes Decrypted'!$C$18,"")</f>
        <v/>
      </c>
      <c r="BD286" s="232" t="str">
        <f>IF($AY286="Yes",'8. Option Codes Decrypted'!$C$20,"")</f>
        <v/>
      </c>
      <c r="BE286" s="232" t="str">
        <f>IF($AY286="Yes",'8. Option Codes Decrypted'!$C$21,"")</f>
        <v/>
      </c>
      <c r="BF286" s="232" t="str">
        <f>IF($AY286="Yes",'8. Option Codes Decrypted'!$C$22,"")</f>
        <v/>
      </c>
      <c r="BG286" s="232" t="str">
        <f>IF($AY286="Yes",'8. Option Codes Decrypted'!$C$23,"")</f>
        <v/>
      </c>
    </row>
    <row r="287" spans="1:59" s="232" customFormat="1" ht="15.75" thickBot="1" x14ac:dyDescent="0.3">
      <c r="A287" s="232" t="str">
        <f t="shared" si="57"/>
        <v>A117</v>
      </c>
      <c r="B287" s="358" t="str">
        <f t="shared" si="54"/>
        <v>235-992180</v>
      </c>
      <c r="C287" s="358" t="str">
        <f t="shared" si="58"/>
        <v/>
      </c>
      <c r="D287" s="358"/>
      <c r="E287" s="358">
        <f t="shared" si="55"/>
        <v>1</v>
      </c>
      <c r="F287" s="232" t="s">
        <v>426</v>
      </c>
      <c r="G287" s="241">
        <v>44684</v>
      </c>
      <c r="H287" s="250"/>
      <c r="I287" s="250"/>
      <c r="J287" s="250" t="s">
        <v>427</v>
      </c>
      <c r="K287" s="250" t="s">
        <v>200</v>
      </c>
      <c r="L287" s="250" t="s">
        <v>1136</v>
      </c>
      <c r="M287" s="259" t="s">
        <v>458</v>
      </c>
      <c r="N287" s="259">
        <v>107</v>
      </c>
      <c r="O287" s="291" t="s">
        <v>361</v>
      </c>
      <c r="P287" s="291" t="s">
        <v>397</v>
      </c>
      <c r="Q287" s="291">
        <v>1</v>
      </c>
      <c r="R287" s="286" t="str">
        <f t="shared" si="56"/>
        <v>A117. Steering Wheel</v>
      </c>
      <c r="S287" s="365" t="str">
        <f>HYPERLINK(VLOOKUP(O287,'3D. Pictures'!$B$3:$E$500,4,FALSE),"PIC")</f>
        <v>PIC</v>
      </c>
      <c r="T287" s="259">
        <v>6</v>
      </c>
      <c r="U287" s="250" t="s">
        <v>1144</v>
      </c>
      <c r="V287" s="259" t="s">
        <v>80</v>
      </c>
      <c r="W287" s="250" t="s">
        <v>2989</v>
      </c>
      <c r="X287" s="250"/>
      <c r="Y287" s="235" t="s">
        <v>1062</v>
      </c>
      <c r="Z287" s="250" t="s">
        <v>1136</v>
      </c>
      <c r="AA287" s="250" t="s">
        <v>1137</v>
      </c>
      <c r="AB287" s="250" t="s">
        <v>1138</v>
      </c>
      <c r="AC287" s="244" t="s">
        <v>449</v>
      </c>
      <c r="AD287" s="250"/>
      <c r="AE287" s="265">
        <v>175</v>
      </c>
      <c r="AF287" s="252" t="s">
        <v>434</v>
      </c>
      <c r="AG287" s="247"/>
      <c r="AH287" s="248" t="s">
        <v>435</v>
      </c>
      <c r="AJ287" s="249"/>
      <c r="AK287" s="232" t="s">
        <v>1139</v>
      </c>
      <c r="AL287" s="232" t="s">
        <v>1140</v>
      </c>
      <c r="AN287" s="233">
        <v>235</v>
      </c>
      <c r="AO287" s="232" t="s">
        <v>411</v>
      </c>
      <c r="AP287" s="232">
        <v>992180</v>
      </c>
      <c r="AQ287" s="232" t="str">
        <f t="shared" si="61"/>
        <v>235-992180</v>
      </c>
      <c r="AR287" s="232" t="s">
        <v>1145</v>
      </c>
      <c r="AX287" s="250"/>
      <c r="AY287" s="250"/>
      <c r="AZ287" s="232" t="str">
        <f>IF($AX287="Yes",'8. Option Codes Decrypted'!$C$15,"")</f>
        <v/>
      </c>
      <c r="BA287" s="232" t="str">
        <f>IF($AX287="Yes",'8. Option Codes Decrypted'!$C$16,"")</f>
        <v/>
      </c>
      <c r="BB287" s="232" t="str">
        <f>IF($AX287="Yes",'8. Option Codes Decrypted'!$C$17,"")</f>
        <v/>
      </c>
      <c r="BC287" s="232" t="str">
        <f>IF($AX287="Yes",'8. Option Codes Decrypted'!$C$18,"")</f>
        <v/>
      </c>
      <c r="BD287" s="232" t="str">
        <f>IF($AY287="Yes",'8. Option Codes Decrypted'!$C$20,"")</f>
        <v/>
      </c>
      <c r="BE287" s="232" t="str">
        <f>IF($AY287="Yes",'8. Option Codes Decrypted'!$C$21,"")</f>
        <v/>
      </c>
      <c r="BF287" s="232" t="str">
        <f>IF($AY287="Yes",'8. Option Codes Decrypted'!$C$22,"")</f>
        <v/>
      </c>
      <c r="BG287" s="232" t="str">
        <f>IF($AY287="Yes",'8. Option Codes Decrypted'!$C$23,"")</f>
        <v/>
      </c>
    </row>
    <row r="288" spans="1:59" s="232" customFormat="1" x14ac:dyDescent="0.25">
      <c r="A288" s="232" t="str">
        <f t="shared" si="57"/>
        <v/>
      </c>
      <c r="B288" s="358" t="str">
        <f t="shared" si="54"/>
        <v>235-992179</v>
      </c>
      <c r="C288" s="358" t="str">
        <f t="shared" si="58"/>
        <v/>
      </c>
      <c r="D288" s="358"/>
      <c r="E288" s="358">
        <f t="shared" si="55"/>
        <v>1</v>
      </c>
      <c r="F288" s="232" t="s">
        <v>426</v>
      </c>
      <c r="G288" s="241">
        <v>44684</v>
      </c>
      <c r="H288" s="250"/>
      <c r="I288" s="250"/>
      <c r="J288" s="250" t="s">
        <v>427</v>
      </c>
      <c r="K288" s="250" t="s">
        <v>200</v>
      </c>
      <c r="L288" s="250" t="s">
        <v>1136</v>
      </c>
      <c r="M288" s="259" t="s">
        <v>458</v>
      </c>
      <c r="N288" s="259"/>
      <c r="O288" s="291"/>
      <c r="P288" s="291"/>
      <c r="Q288" s="291"/>
      <c r="R288" s="286" t="str">
        <f t="shared" si="56"/>
        <v>. Steering Wheel</v>
      </c>
      <c r="S288" s="286"/>
      <c r="T288" s="259"/>
      <c r="U288" s="250"/>
      <c r="V288" s="259"/>
      <c r="W288" s="250"/>
      <c r="X288" s="250"/>
      <c r="Y288" s="235" t="s">
        <v>1083</v>
      </c>
      <c r="Z288" s="250" t="s">
        <v>1136</v>
      </c>
      <c r="AA288" s="250" t="s">
        <v>1137</v>
      </c>
      <c r="AB288" s="250" t="s">
        <v>1138</v>
      </c>
      <c r="AC288" s="244" t="s">
        <v>449</v>
      </c>
      <c r="AD288" s="250"/>
      <c r="AE288" s="265">
        <v>175</v>
      </c>
      <c r="AF288" s="252" t="s">
        <v>434</v>
      </c>
      <c r="AG288" s="247"/>
      <c r="AH288" s="248" t="s">
        <v>435</v>
      </c>
      <c r="AJ288" s="249"/>
      <c r="AK288" s="232" t="s">
        <v>1139</v>
      </c>
      <c r="AL288" s="232" t="s">
        <v>1140</v>
      </c>
      <c r="AN288" s="233">
        <v>235</v>
      </c>
      <c r="AO288" s="232" t="s">
        <v>411</v>
      </c>
      <c r="AP288" s="232">
        <v>992179</v>
      </c>
      <c r="AQ288" s="232" t="str">
        <f t="shared" si="61"/>
        <v>235-992179</v>
      </c>
      <c r="AR288" s="232" t="s">
        <v>1146</v>
      </c>
      <c r="AX288" s="250"/>
      <c r="AY288" s="250"/>
      <c r="AZ288" s="232" t="str">
        <f>IF($AX288="Yes",'8. Option Codes Decrypted'!$C$15,"")</f>
        <v/>
      </c>
      <c r="BA288" s="232" t="str">
        <f>IF($AX288="Yes",'8. Option Codes Decrypted'!$C$16,"")</f>
        <v/>
      </c>
      <c r="BB288" s="232" t="str">
        <f>IF($AX288="Yes",'8. Option Codes Decrypted'!$C$17,"")</f>
        <v/>
      </c>
      <c r="BC288" s="232" t="str">
        <f>IF($AX288="Yes",'8. Option Codes Decrypted'!$C$18,"")</f>
        <v/>
      </c>
      <c r="BD288" s="232" t="str">
        <f>IF($AY288="Yes",'8. Option Codes Decrypted'!$C$20,"")</f>
        <v/>
      </c>
      <c r="BE288" s="232" t="str">
        <f>IF($AY288="Yes",'8. Option Codes Decrypted'!$C$21,"")</f>
        <v/>
      </c>
      <c r="BF288" s="232" t="str">
        <f>IF($AY288="Yes",'8. Option Codes Decrypted'!$C$22,"")</f>
        <v/>
      </c>
      <c r="BG288" s="232" t="str">
        <f>IF($AY288="Yes",'8. Option Codes Decrypted'!$C$23,"")</f>
        <v/>
      </c>
    </row>
    <row r="289" spans="1:59" s="232" customFormat="1" x14ac:dyDescent="0.25">
      <c r="A289" s="232" t="str">
        <f t="shared" si="57"/>
        <v/>
      </c>
      <c r="B289" s="358" t="str">
        <f t="shared" si="54"/>
        <v>235-992181</v>
      </c>
      <c r="C289" s="358" t="str">
        <f t="shared" si="58"/>
        <v/>
      </c>
      <c r="D289" s="358"/>
      <c r="E289" s="358">
        <f t="shared" si="55"/>
        <v>1</v>
      </c>
      <c r="F289" s="232" t="s">
        <v>426</v>
      </c>
      <c r="G289" s="241">
        <v>44684</v>
      </c>
      <c r="H289" s="250"/>
      <c r="I289" s="250"/>
      <c r="J289" s="250" t="s">
        <v>427</v>
      </c>
      <c r="K289" s="250" t="s">
        <v>200</v>
      </c>
      <c r="L289" s="250" t="s">
        <v>1136</v>
      </c>
      <c r="M289" s="259" t="s">
        <v>458</v>
      </c>
      <c r="N289" s="259"/>
      <c r="O289" s="291"/>
      <c r="P289" s="291"/>
      <c r="Q289" s="291"/>
      <c r="R289" s="286" t="str">
        <f t="shared" si="56"/>
        <v>. Steering Wheel</v>
      </c>
      <c r="S289" s="286"/>
      <c r="T289" s="259"/>
      <c r="U289" s="250"/>
      <c r="V289" s="259"/>
      <c r="W289" s="250"/>
      <c r="X289" s="250"/>
      <c r="Y289" s="235" t="s">
        <v>1083</v>
      </c>
      <c r="Z289" s="250" t="s">
        <v>1136</v>
      </c>
      <c r="AA289" s="250" t="s">
        <v>1137</v>
      </c>
      <c r="AB289" s="250" t="s">
        <v>1138</v>
      </c>
      <c r="AC289" s="244" t="s">
        <v>449</v>
      </c>
      <c r="AD289" s="250"/>
      <c r="AE289" s="265">
        <v>175</v>
      </c>
      <c r="AF289" s="252" t="s">
        <v>434</v>
      </c>
      <c r="AG289" s="247"/>
      <c r="AH289" s="248" t="s">
        <v>435</v>
      </c>
      <c r="AJ289" s="249"/>
      <c r="AK289" s="232" t="s">
        <v>1139</v>
      </c>
      <c r="AL289" s="232" t="s">
        <v>1140</v>
      </c>
      <c r="AN289" s="233">
        <v>235</v>
      </c>
      <c r="AO289" s="232" t="s">
        <v>411</v>
      </c>
      <c r="AP289" s="232">
        <v>992181</v>
      </c>
      <c r="AQ289" s="232" t="str">
        <f t="shared" si="61"/>
        <v>235-992181</v>
      </c>
      <c r="AR289" s="232" t="s">
        <v>1147</v>
      </c>
      <c r="AX289" s="250"/>
      <c r="AY289" s="250"/>
      <c r="AZ289" s="232" t="str">
        <f>IF($AX289="Yes",'8. Option Codes Decrypted'!$C$15,"")</f>
        <v/>
      </c>
      <c r="BA289" s="232" t="str">
        <f>IF($AX289="Yes",'8. Option Codes Decrypted'!$C$16,"")</f>
        <v/>
      </c>
      <c r="BB289" s="232" t="str">
        <f>IF($AX289="Yes",'8. Option Codes Decrypted'!$C$17,"")</f>
        <v/>
      </c>
      <c r="BC289" s="232" t="str">
        <f>IF($AX289="Yes",'8. Option Codes Decrypted'!$C$18,"")</f>
        <v/>
      </c>
      <c r="BD289" s="232" t="str">
        <f>IF($AY289="Yes",'8. Option Codes Decrypted'!$C$20,"")</f>
        <v/>
      </c>
      <c r="BE289" s="232" t="str">
        <f>IF($AY289="Yes",'8. Option Codes Decrypted'!$C$21,"")</f>
        <v/>
      </c>
      <c r="BF289" s="232" t="str">
        <f>IF($AY289="Yes",'8. Option Codes Decrypted'!$C$22,"")</f>
        <v/>
      </c>
      <c r="BG289" s="232" t="str">
        <f>IF($AY289="Yes",'8. Option Codes Decrypted'!$C$23,"")</f>
        <v/>
      </c>
    </row>
    <row r="290" spans="1:59" s="232" customFormat="1" x14ac:dyDescent="0.25">
      <c r="A290" s="232" t="str">
        <f t="shared" si="57"/>
        <v/>
      </c>
      <c r="B290" s="358" t="str">
        <f t="shared" si="54"/>
        <v>235-992182</v>
      </c>
      <c r="C290" s="358" t="str">
        <f t="shared" si="58"/>
        <v/>
      </c>
      <c r="D290" s="358"/>
      <c r="E290" s="358">
        <f t="shared" si="55"/>
        <v>1</v>
      </c>
      <c r="F290" s="232" t="s">
        <v>426</v>
      </c>
      <c r="G290" s="241">
        <v>44684</v>
      </c>
      <c r="H290" s="250"/>
      <c r="I290" s="250"/>
      <c r="J290" s="250" t="s">
        <v>427</v>
      </c>
      <c r="K290" s="250" t="s">
        <v>200</v>
      </c>
      <c r="L290" s="250" t="s">
        <v>1136</v>
      </c>
      <c r="M290" s="259" t="s">
        <v>458</v>
      </c>
      <c r="N290" s="259"/>
      <c r="O290" s="291"/>
      <c r="P290" s="291"/>
      <c r="Q290" s="291"/>
      <c r="R290" s="286" t="str">
        <f t="shared" si="56"/>
        <v>. Steering Wheel</v>
      </c>
      <c r="S290" s="286"/>
      <c r="T290" s="259"/>
      <c r="U290" s="250"/>
      <c r="V290" s="259"/>
      <c r="W290" s="250"/>
      <c r="X290" s="250"/>
      <c r="Y290" s="235" t="s">
        <v>1083</v>
      </c>
      <c r="Z290" s="250" t="s">
        <v>1136</v>
      </c>
      <c r="AA290" s="250" t="s">
        <v>1137</v>
      </c>
      <c r="AB290" s="250" t="s">
        <v>1138</v>
      </c>
      <c r="AC290" s="244" t="s">
        <v>449</v>
      </c>
      <c r="AD290" s="250"/>
      <c r="AE290" s="265">
        <v>175</v>
      </c>
      <c r="AF290" s="252" t="s">
        <v>434</v>
      </c>
      <c r="AG290" s="247"/>
      <c r="AH290" s="248" t="s">
        <v>435</v>
      </c>
      <c r="AJ290" s="249"/>
      <c r="AK290" s="232" t="s">
        <v>1139</v>
      </c>
      <c r="AL290" s="232" t="s">
        <v>1140</v>
      </c>
      <c r="AN290" s="233">
        <v>235</v>
      </c>
      <c r="AO290" s="232" t="s">
        <v>411</v>
      </c>
      <c r="AP290" s="232">
        <v>992182</v>
      </c>
      <c r="AQ290" s="232" t="str">
        <f t="shared" si="61"/>
        <v>235-992182</v>
      </c>
      <c r="AR290" s="232" t="s">
        <v>1148</v>
      </c>
      <c r="AX290" s="250"/>
      <c r="AY290" s="250"/>
      <c r="AZ290" s="232" t="str">
        <f>IF($AX290="Yes",'8. Option Codes Decrypted'!$C$15,"")</f>
        <v/>
      </c>
      <c r="BA290" s="232" t="str">
        <f>IF($AX290="Yes",'8. Option Codes Decrypted'!$C$16,"")</f>
        <v/>
      </c>
      <c r="BB290" s="232" t="str">
        <f>IF($AX290="Yes",'8. Option Codes Decrypted'!$C$17,"")</f>
        <v/>
      </c>
      <c r="BC290" s="232" t="str">
        <f>IF($AX290="Yes",'8. Option Codes Decrypted'!$C$18,"")</f>
        <v/>
      </c>
      <c r="BD290" s="232" t="str">
        <f>IF($AY290="Yes",'8. Option Codes Decrypted'!$C$20,"")</f>
        <v/>
      </c>
      <c r="BE290" s="232" t="str">
        <f>IF($AY290="Yes",'8. Option Codes Decrypted'!$C$21,"")</f>
        <v/>
      </c>
      <c r="BF290" s="232" t="str">
        <f>IF($AY290="Yes",'8. Option Codes Decrypted'!$C$22,"")</f>
        <v/>
      </c>
      <c r="BG290" s="232" t="str">
        <f>IF($AY290="Yes",'8. Option Codes Decrypted'!$C$23,"")</f>
        <v/>
      </c>
    </row>
    <row r="291" spans="1:59" s="232" customFormat="1" x14ac:dyDescent="0.25">
      <c r="A291" s="232" t="str">
        <f t="shared" si="57"/>
        <v/>
      </c>
      <c r="B291" s="358" t="str">
        <f t="shared" si="54"/>
        <v>235-992185</v>
      </c>
      <c r="C291" s="358" t="str">
        <f t="shared" si="58"/>
        <v/>
      </c>
      <c r="D291" s="358"/>
      <c r="E291" s="358">
        <f t="shared" si="55"/>
        <v>1</v>
      </c>
      <c r="F291" s="232" t="s">
        <v>426</v>
      </c>
      <c r="G291" s="241">
        <v>44684</v>
      </c>
      <c r="H291" s="250"/>
      <c r="I291" s="250"/>
      <c r="J291" s="250" t="s">
        <v>427</v>
      </c>
      <c r="K291" s="250" t="s">
        <v>200</v>
      </c>
      <c r="L291" s="250" t="s">
        <v>1136</v>
      </c>
      <c r="M291" s="259" t="s">
        <v>458</v>
      </c>
      <c r="N291" s="259"/>
      <c r="O291" s="291"/>
      <c r="P291" s="291"/>
      <c r="Q291" s="291"/>
      <c r="R291" s="286" t="str">
        <f t="shared" si="56"/>
        <v>. Steering Wheel</v>
      </c>
      <c r="S291" s="286"/>
      <c r="T291" s="259"/>
      <c r="U291" s="250"/>
      <c r="V291" s="259"/>
      <c r="W291" s="250"/>
      <c r="X291" s="250"/>
      <c r="Y291" s="235" t="s">
        <v>1083</v>
      </c>
      <c r="Z291" s="250" t="s">
        <v>1136</v>
      </c>
      <c r="AA291" s="250" t="s">
        <v>1137</v>
      </c>
      <c r="AB291" s="250" t="s">
        <v>1138</v>
      </c>
      <c r="AC291" s="244" t="s">
        <v>449</v>
      </c>
      <c r="AD291" s="250"/>
      <c r="AE291" s="265">
        <v>175</v>
      </c>
      <c r="AF291" s="252" t="s">
        <v>434</v>
      </c>
      <c r="AG291" s="247"/>
      <c r="AH291" s="248" t="s">
        <v>435</v>
      </c>
      <c r="AJ291" s="249"/>
      <c r="AK291" s="232" t="s">
        <v>1139</v>
      </c>
      <c r="AL291" s="232" t="s">
        <v>1140</v>
      </c>
      <c r="AN291" s="233">
        <v>235</v>
      </c>
      <c r="AO291" s="232" t="s">
        <v>411</v>
      </c>
      <c r="AP291" s="232">
        <v>992185</v>
      </c>
      <c r="AQ291" s="232" t="str">
        <f t="shared" si="61"/>
        <v>235-992185</v>
      </c>
      <c r="AR291" s="232" t="s">
        <v>1149</v>
      </c>
      <c r="AX291" s="250"/>
      <c r="AY291" s="250"/>
      <c r="AZ291" s="232" t="str">
        <f>IF($AX291="Yes",'8. Option Codes Decrypted'!$C$15,"")</f>
        <v/>
      </c>
      <c r="BA291" s="232" t="str">
        <f>IF($AX291="Yes",'8. Option Codes Decrypted'!$C$16,"")</f>
        <v/>
      </c>
      <c r="BB291" s="232" t="str">
        <f>IF($AX291="Yes",'8. Option Codes Decrypted'!$C$17,"")</f>
        <v/>
      </c>
      <c r="BC291" s="232" t="str">
        <f>IF($AX291="Yes",'8. Option Codes Decrypted'!$C$18,"")</f>
        <v/>
      </c>
      <c r="BD291" s="232" t="str">
        <f>IF($AY291="Yes",'8. Option Codes Decrypted'!$C$20,"")</f>
        <v/>
      </c>
      <c r="BE291" s="232" t="str">
        <f>IF($AY291="Yes",'8. Option Codes Decrypted'!$C$21,"")</f>
        <v/>
      </c>
      <c r="BF291" s="232" t="str">
        <f>IF($AY291="Yes",'8. Option Codes Decrypted'!$C$22,"")</f>
        <v/>
      </c>
      <c r="BG291" s="232" t="str">
        <f>IF($AY291="Yes",'8. Option Codes Decrypted'!$C$23,"")</f>
        <v/>
      </c>
    </row>
    <row r="292" spans="1:59" s="232" customFormat="1" x14ac:dyDescent="0.25">
      <c r="A292" s="232" t="str">
        <f t="shared" si="57"/>
        <v/>
      </c>
      <c r="B292" s="358" t="str">
        <f t="shared" si="54"/>
        <v>235-992183</v>
      </c>
      <c r="C292" s="358" t="str">
        <f t="shared" si="58"/>
        <v/>
      </c>
      <c r="D292" s="358"/>
      <c r="E292" s="358">
        <f t="shared" si="55"/>
        <v>1</v>
      </c>
      <c r="F292" s="232" t="s">
        <v>426</v>
      </c>
      <c r="G292" s="241">
        <v>44684</v>
      </c>
      <c r="H292" s="250"/>
      <c r="I292" s="250"/>
      <c r="J292" s="250" t="s">
        <v>427</v>
      </c>
      <c r="K292" s="250" t="s">
        <v>200</v>
      </c>
      <c r="L292" s="250" t="s">
        <v>1136</v>
      </c>
      <c r="M292" s="259" t="s">
        <v>458</v>
      </c>
      <c r="N292" s="259"/>
      <c r="O292" s="291"/>
      <c r="P292" s="291"/>
      <c r="Q292" s="291"/>
      <c r="R292" s="286" t="str">
        <f t="shared" si="56"/>
        <v>. Steering Wheel</v>
      </c>
      <c r="S292" s="286"/>
      <c r="T292" s="259"/>
      <c r="U292" s="250"/>
      <c r="V292" s="259"/>
      <c r="W292" s="250"/>
      <c r="X292" s="250"/>
      <c r="Y292" s="235" t="s">
        <v>1083</v>
      </c>
      <c r="Z292" s="250" t="s">
        <v>1136</v>
      </c>
      <c r="AA292" s="250" t="s">
        <v>1137</v>
      </c>
      <c r="AB292" s="250" t="s">
        <v>1138</v>
      </c>
      <c r="AC292" s="244" t="s">
        <v>449</v>
      </c>
      <c r="AD292" s="250"/>
      <c r="AE292" s="265">
        <v>175</v>
      </c>
      <c r="AF292" s="252" t="s">
        <v>434</v>
      </c>
      <c r="AG292" s="247"/>
      <c r="AH292" s="248" t="s">
        <v>435</v>
      </c>
      <c r="AJ292" s="249"/>
      <c r="AK292" s="232" t="s">
        <v>1139</v>
      </c>
      <c r="AL292" s="232" t="s">
        <v>1140</v>
      </c>
      <c r="AN292" s="233">
        <v>235</v>
      </c>
      <c r="AO292" s="232" t="s">
        <v>411</v>
      </c>
      <c r="AP292" s="232">
        <v>992183</v>
      </c>
      <c r="AQ292" s="232" t="str">
        <f t="shared" si="61"/>
        <v>235-992183</v>
      </c>
      <c r="AR292" s="232" t="s">
        <v>1150</v>
      </c>
      <c r="AX292" s="250"/>
      <c r="AY292" s="250"/>
      <c r="AZ292" s="232" t="str">
        <f>IF($AX292="Yes",'8. Option Codes Decrypted'!$C$15,"")</f>
        <v/>
      </c>
      <c r="BA292" s="232" t="str">
        <f>IF($AX292="Yes",'8. Option Codes Decrypted'!$C$16,"")</f>
        <v/>
      </c>
      <c r="BB292" s="232" t="str">
        <f>IF($AX292="Yes",'8. Option Codes Decrypted'!$C$17,"")</f>
        <v/>
      </c>
      <c r="BC292" s="232" t="str">
        <f>IF($AX292="Yes",'8. Option Codes Decrypted'!$C$18,"")</f>
        <v/>
      </c>
      <c r="BD292" s="232" t="str">
        <f>IF($AY292="Yes",'8. Option Codes Decrypted'!$C$20,"")</f>
        <v/>
      </c>
      <c r="BE292" s="232" t="str">
        <f>IF($AY292="Yes",'8. Option Codes Decrypted'!$C$21,"")</f>
        <v/>
      </c>
      <c r="BF292" s="232" t="str">
        <f>IF($AY292="Yes",'8. Option Codes Decrypted'!$C$22,"")</f>
        <v/>
      </c>
      <c r="BG292" s="232" t="str">
        <f>IF($AY292="Yes",'8. Option Codes Decrypted'!$C$23,"")</f>
        <v/>
      </c>
    </row>
    <row r="293" spans="1:59" s="232" customFormat="1" x14ac:dyDescent="0.25">
      <c r="A293" s="232" t="str">
        <f t="shared" si="57"/>
        <v/>
      </c>
      <c r="B293" s="358" t="str">
        <f t="shared" si="54"/>
        <v>235-992184</v>
      </c>
      <c r="C293" s="358" t="str">
        <f t="shared" si="58"/>
        <v/>
      </c>
      <c r="D293" s="358"/>
      <c r="E293" s="358">
        <f t="shared" si="55"/>
        <v>1</v>
      </c>
      <c r="F293" s="232" t="s">
        <v>426</v>
      </c>
      <c r="G293" s="241">
        <v>44684</v>
      </c>
      <c r="H293" s="250"/>
      <c r="I293" s="250"/>
      <c r="J293" s="250" t="s">
        <v>427</v>
      </c>
      <c r="K293" s="250" t="s">
        <v>200</v>
      </c>
      <c r="L293" s="250" t="s">
        <v>1136</v>
      </c>
      <c r="M293" s="259" t="s">
        <v>458</v>
      </c>
      <c r="N293" s="259"/>
      <c r="O293" s="291"/>
      <c r="P293" s="291"/>
      <c r="Q293" s="291"/>
      <c r="R293" s="286" t="str">
        <f t="shared" si="56"/>
        <v>. Steering Wheel</v>
      </c>
      <c r="S293" s="286"/>
      <c r="T293" s="259"/>
      <c r="U293" s="250"/>
      <c r="V293" s="259"/>
      <c r="W293" s="250"/>
      <c r="X293" s="250"/>
      <c r="Y293" s="235" t="s">
        <v>1083</v>
      </c>
      <c r="Z293" s="250" t="s">
        <v>1136</v>
      </c>
      <c r="AA293" s="250" t="s">
        <v>1137</v>
      </c>
      <c r="AB293" s="250" t="s">
        <v>1138</v>
      </c>
      <c r="AC293" s="244" t="s">
        <v>449</v>
      </c>
      <c r="AD293" s="250"/>
      <c r="AE293" s="265">
        <v>175</v>
      </c>
      <c r="AF293" s="252" t="s">
        <v>434</v>
      </c>
      <c r="AG293" s="247"/>
      <c r="AH293" s="248" t="s">
        <v>435</v>
      </c>
      <c r="AJ293" s="249"/>
      <c r="AK293" s="232" t="s">
        <v>1139</v>
      </c>
      <c r="AL293" s="232" t="s">
        <v>1140</v>
      </c>
      <c r="AN293" s="233">
        <v>235</v>
      </c>
      <c r="AO293" s="232" t="s">
        <v>411</v>
      </c>
      <c r="AP293" s="232">
        <v>992184</v>
      </c>
      <c r="AQ293" s="232" t="str">
        <f t="shared" si="61"/>
        <v>235-992184</v>
      </c>
      <c r="AR293" s="232" t="s">
        <v>1151</v>
      </c>
      <c r="AX293" s="250"/>
      <c r="AY293" s="250"/>
      <c r="AZ293" s="232" t="str">
        <f>IF($AX293="Yes",'8. Option Codes Decrypted'!$C$15,"")</f>
        <v/>
      </c>
      <c r="BA293" s="232" t="str">
        <f>IF($AX293="Yes",'8. Option Codes Decrypted'!$C$16,"")</f>
        <v/>
      </c>
      <c r="BB293" s="232" t="str">
        <f>IF($AX293="Yes",'8. Option Codes Decrypted'!$C$17,"")</f>
        <v/>
      </c>
      <c r="BC293" s="232" t="str">
        <f>IF($AX293="Yes",'8. Option Codes Decrypted'!$C$18,"")</f>
        <v/>
      </c>
      <c r="BD293" s="232" t="str">
        <f>IF($AY293="Yes",'8. Option Codes Decrypted'!$C$20,"")</f>
        <v/>
      </c>
      <c r="BE293" s="232" t="str">
        <f>IF($AY293="Yes",'8. Option Codes Decrypted'!$C$21,"")</f>
        <v/>
      </c>
      <c r="BF293" s="232" t="str">
        <f>IF($AY293="Yes",'8. Option Codes Decrypted'!$C$22,"")</f>
        <v/>
      </c>
      <c r="BG293" s="232" t="str">
        <f>IF($AY293="Yes",'8. Option Codes Decrypted'!$C$23,"")</f>
        <v/>
      </c>
    </row>
    <row r="294" spans="1:59" s="232" customFormat="1" x14ac:dyDescent="0.25">
      <c r="A294" s="232" t="str">
        <f t="shared" si="57"/>
        <v/>
      </c>
      <c r="B294" s="358" t="str">
        <f t="shared" si="54"/>
        <v>235-992187</v>
      </c>
      <c r="C294" s="358" t="str">
        <f t="shared" si="58"/>
        <v/>
      </c>
      <c r="D294" s="358"/>
      <c r="E294" s="358">
        <f t="shared" si="55"/>
        <v>1</v>
      </c>
      <c r="F294" s="232" t="s">
        <v>426</v>
      </c>
      <c r="G294" s="241">
        <v>44684</v>
      </c>
      <c r="H294" s="250"/>
      <c r="I294" s="250"/>
      <c r="J294" s="250" t="s">
        <v>427</v>
      </c>
      <c r="K294" s="250" t="s">
        <v>200</v>
      </c>
      <c r="L294" s="250" t="s">
        <v>1136</v>
      </c>
      <c r="M294" s="259" t="s">
        <v>458</v>
      </c>
      <c r="N294" s="259"/>
      <c r="O294" s="291"/>
      <c r="P294" s="291"/>
      <c r="Q294" s="291"/>
      <c r="R294" s="286" t="str">
        <f t="shared" si="56"/>
        <v>. Steering Wheel</v>
      </c>
      <c r="S294" s="286"/>
      <c r="T294" s="259"/>
      <c r="U294" s="250"/>
      <c r="V294" s="259"/>
      <c r="W294" s="250"/>
      <c r="X294" s="250"/>
      <c r="Y294" s="235" t="s">
        <v>1083</v>
      </c>
      <c r="Z294" s="250" t="s">
        <v>1136</v>
      </c>
      <c r="AA294" s="250" t="s">
        <v>1137</v>
      </c>
      <c r="AB294" s="250" t="s">
        <v>1138</v>
      </c>
      <c r="AC294" s="244" t="s">
        <v>449</v>
      </c>
      <c r="AD294" s="250"/>
      <c r="AE294" s="265">
        <v>695</v>
      </c>
      <c r="AF294" s="252" t="s">
        <v>434</v>
      </c>
      <c r="AG294" s="247"/>
      <c r="AH294" s="248" t="s">
        <v>435</v>
      </c>
      <c r="AJ294" s="249"/>
      <c r="AK294" s="232" t="s">
        <v>1139</v>
      </c>
      <c r="AL294" s="232" t="s">
        <v>1140</v>
      </c>
      <c r="AN294" s="233">
        <v>235</v>
      </c>
      <c r="AO294" s="232" t="s">
        <v>411</v>
      </c>
      <c r="AP294" s="232">
        <v>992187</v>
      </c>
      <c r="AQ294" s="232" t="str">
        <f t="shared" si="61"/>
        <v>235-992187</v>
      </c>
      <c r="AR294" s="232" t="s">
        <v>1152</v>
      </c>
      <c r="AX294" s="250"/>
      <c r="AY294" s="250"/>
      <c r="AZ294" s="232" t="str">
        <f>IF($AX294="Yes",'8. Option Codes Decrypted'!$C$15,"")</f>
        <v/>
      </c>
      <c r="BA294" s="232" t="str">
        <f>IF($AX294="Yes",'8. Option Codes Decrypted'!$C$16,"")</f>
        <v/>
      </c>
      <c r="BB294" s="232" t="str">
        <f>IF($AX294="Yes",'8. Option Codes Decrypted'!$C$17,"")</f>
        <v/>
      </c>
      <c r="BC294" s="232" t="str">
        <f>IF($AX294="Yes",'8. Option Codes Decrypted'!$C$18,"")</f>
        <v/>
      </c>
      <c r="BD294" s="232" t="str">
        <f>IF($AY294="Yes",'8. Option Codes Decrypted'!$C$20,"")</f>
        <v/>
      </c>
      <c r="BE294" s="232" t="str">
        <f>IF($AY294="Yes",'8. Option Codes Decrypted'!$C$21,"")</f>
        <v/>
      </c>
      <c r="BF294" s="232" t="str">
        <f>IF($AY294="Yes",'8. Option Codes Decrypted'!$C$22,"")</f>
        <v/>
      </c>
      <c r="BG294" s="232" t="str">
        <f>IF($AY294="Yes",'8. Option Codes Decrypted'!$C$23,"")</f>
        <v/>
      </c>
    </row>
    <row r="295" spans="1:59" s="232" customFormat="1" x14ac:dyDescent="0.25">
      <c r="A295" s="232" t="str">
        <f t="shared" si="57"/>
        <v/>
      </c>
      <c r="B295" s="358" t="str">
        <f t="shared" si="54"/>
        <v>235-992188</v>
      </c>
      <c r="C295" s="358" t="str">
        <f t="shared" si="58"/>
        <v/>
      </c>
      <c r="D295" s="358"/>
      <c r="E295" s="358">
        <f t="shared" si="55"/>
        <v>1</v>
      </c>
      <c r="F295" s="232" t="s">
        <v>426</v>
      </c>
      <c r="G295" s="241">
        <v>44684</v>
      </c>
      <c r="H295" s="250"/>
      <c r="I295" s="250"/>
      <c r="J295" s="250" t="s">
        <v>427</v>
      </c>
      <c r="K295" s="250" t="s">
        <v>200</v>
      </c>
      <c r="L295" s="250" t="s">
        <v>1136</v>
      </c>
      <c r="M295" s="259" t="s">
        <v>458</v>
      </c>
      <c r="N295" s="259"/>
      <c r="O295" s="291"/>
      <c r="P295" s="291"/>
      <c r="Q295" s="291"/>
      <c r="R295" s="286" t="str">
        <f t="shared" si="56"/>
        <v>. Steering Wheel</v>
      </c>
      <c r="S295" s="286"/>
      <c r="T295" s="259"/>
      <c r="U295" s="250"/>
      <c r="V295" s="259"/>
      <c r="W295" s="250"/>
      <c r="X295" s="250"/>
      <c r="Y295" s="235" t="s">
        <v>1083</v>
      </c>
      <c r="Z295" s="250" t="s">
        <v>1136</v>
      </c>
      <c r="AA295" s="250" t="s">
        <v>1137</v>
      </c>
      <c r="AB295" s="250" t="s">
        <v>1138</v>
      </c>
      <c r="AC295" s="244" t="s">
        <v>449</v>
      </c>
      <c r="AD295" s="250"/>
      <c r="AE295" s="265">
        <v>695</v>
      </c>
      <c r="AF295" s="252" t="s">
        <v>434</v>
      </c>
      <c r="AG295" s="247"/>
      <c r="AH295" s="248" t="s">
        <v>435</v>
      </c>
      <c r="AJ295" s="249"/>
      <c r="AK295" s="232" t="s">
        <v>1139</v>
      </c>
      <c r="AL295" s="232" t="s">
        <v>1140</v>
      </c>
      <c r="AN295" s="233">
        <v>235</v>
      </c>
      <c r="AO295" s="232" t="s">
        <v>411</v>
      </c>
      <c r="AP295" s="232">
        <v>992188</v>
      </c>
      <c r="AQ295" s="232" t="str">
        <f t="shared" si="61"/>
        <v>235-992188</v>
      </c>
      <c r="AR295" s="232" t="s">
        <v>1153</v>
      </c>
      <c r="AX295" s="250"/>
      <c r="AY295" s="250"/>
      <c r="AZ295" s="232" t="str">
        <f>IF($AX295="Yes",'8. Option Codes Decrypted'!$C$15,"")</f>
        <v/>
      </c>
      <c r="BA295" s="232" t="str">
        <f>IF($AX295="Yes",'8. Option Codes Decrypted'!$C$16,"")</f>
        <v/>
      </c>
      <c r="BB295" s="232" t="str">
        <f>IF($AX295="Yes",'8. Option Codes Decrypted'!$C$17,"")</f>
        <v/>
      </c>
      <c r="BC295" s="232" t="str">
        <f>IF($AX295="Yes",'8. Option Codes Decrypted'!$C$18,"")</f>
        <v/>
      </c>
      <c r="BD295" s="232" t="str">
        <f>IF($AY295="Yes",'8. Option Codes Decrypted'!$C$20,"")</f>
        <v/>
      </c>
      <c r="BE295" s="232" t="str">
        <f>IF($AY295="Yes",'8. Option Codes Decrypted'!$C$21,"")</f>
        <v/>
      </c>
      <c r="BF295" s="232" t="str">
        <f>IF($AY295="Yes",'8. Option Codes Decrypted'!$C$22,"")</f>
        <v/>
      </c>
      <c r="BG295" s="232" t="str">
        <f>IF($AY295="Yes",'8. Option Codes Decrypted'!$C$23,"")</f>
        <v/>
      </c>
    </row>
    <row r="296" spans="1:59" s="232" customFormat="1" x14ac:dyDescent="0.25">
      <c r="A296" s="232" t="str">
        <f t="shared" si="57"/>
        <v/>
      </c>
      <c r="B296" s="358" t="str">
        <f t="shared" si="54"/>
        <v/>
      </c>
      <c r="C296" s="358" t="str">
        <f t="shared" si="58"/>
        <v/>
      </c>
      <c r="D296" s="358"/>
      <c r="E296" s="358" t="str">
        <f t="shared" si="55"/>
        <v/>
      </c>
      <c r="F296" s="232" t="s">
        <v>426</v>
      </c>
      <c r="G296" s="241">
        <v>44684</v>
      </c>
      <c r="H296" s="250"/>
      <c r="I296" s="250"/>
      <c r="J296" s="250" t="s">
        <v>427</v>
      </c>
      <c r="K296" s="250" t="s">
        <v>200</v>
      </c>
      <c r="L296" s="250" t="s">
        <v>1154</v>
      </c>
      <c r="M296" s="259" t="s">
        <v>458</v>
      </c>
      <c r="N296" s="259"/>
      <c r="O296" s="291"/>
      <c r="P296" s="291"/>
      <c r="Q296" s="291"/>
      <c r="R296" s="286" t="str">
        <f t="shared" si="56"/>
        <v>. Steering Wheel Switches SET2 WITH Trim</v>
      </c>
      <c r="S296" s="286"/>
      <c r="T296" s="259"/>
      <c r="U296" s="250"/>
      <c r="V296" s="259"/>
      <c r="W296" s="250"/>
      <c r="X296" s="250"/>
      <c r="Y296" s="250"/>
      <c r="Z296" s="250" t="s">
        <v>1155</v>
      </c>
      <c r="AA296" s="250" t="s">
        <v>1156</v>
      </c>
      <c r="AB296" s="250"/>
      <c r="AC296" s="244" t="s">
        <v>449</v>
      </c>
      <c r="AD296" s="250"/>
      <c r="AE296" s="265">
        <v>140</v>
      </c>
      <c r="AF296" s="252" t="s">
        <v>434</v>
      </c>
      <c r="AG296" s="247"/>
      <c r="AH296" s="248" t="s">
        <v>435</v>
      </c>
      <c r="AJ296" s="249"/>
      <c r="AK296" s="232" t="s">
        <v>1139</v>
      </c>
      <c r="AL296" s="232" t="s">
        <v>1140</v>
      </c>
      <c r="AN296" s="233"/>
      <c r="AX296" s="250"/>
      <c r="AY296" s="250"/>
      <c r="AZ296" s="232" t="str">
        <f>IF($AX296="Yes",'8. Option Codes Decrypted'!$C$15,"")</f>
        <v/>
      </c>
      <c r="BA296" s="232" t="str">
        <f>IF($AX296="Yes",'8. Option Codes Decrypted'!$C$16,"")</f>
        <v/>
      </c>
      <c r="BB296" s="232" t="str">
        <f>IF($AX296="Yes",'8. Option Codes Decrypted'!$C$17,"")</f>
        <v/>
      </c>
      <c r="BC296" s="232" t="str">
        <f>IF($AX296="Yes",'8. Option Codes Decrypted'!$C$18,"")</f>
        <v/>
      </c>
      <c r="BD296" s="232" t="str">
        <f>IF($AY296="Yes",'8. Option Codes Decrypted'!$C$20,"")</f>
        <v/>
      </c>
      <c r="BE296" s="232" t="str">
        <f>IF($AY296="Yes",'8. Option Codes Decrypted'!$C$21,"")</f>
        <v/>
      </c>
      <c r="BF296" s="232" t="str">
        <f>IF($AY296="Yes",'8. Option Codes Decrypted'!$C$22,"")</f>
        <v/>
      </c>
      <c r="BG296" s="232" t="str">
        <f>IF($AY296="Yes",'8. Option Codes Decrypted'!$C$23,"")</f>
        <v/>
      </c>
    </row>
    <row r="297" spans="1:59" s="232" customFormat="1" x14ac:dyDescent="0.25">
      <c r="A297" s="232" t="str">
        <f t="shared" si="57"/>
        <v/>
      </c>
      <c r="B297" s="358" t="str">
        <f t="shared" si="54"/>
        <v/>
      </c>
      <c r="C297" s="358" t="str">
        <f t="shared" si="58"/>
        <v/>
      </c>
      <c r="D297" s="358"/>
      <c r="E297" s="358" t="str">
        <f t="shared" si="55"/>
        <v/>
      </c>
      <c r="F297" s="232" t="s">
        <v>426</v>
      </c>
      <c r="G297" s="241">
        <v>44684</v>
      </c>
      <c r="H297" s="250"/>
      <c r="I297" s="250"/>
      <c r="J297" s="250" t="s">
        <v>427</v>
      </c>
      <c r="K297" s="250" t="s">
        <v>200</v>
      </c>
      <c r="L297" s="250" t="s">
        <v>1154</v>
      </c>
      <c r="M297" s="259" t="s">
        <v>458</v>
      </c>
      <c r="N297" s="259"/>
      <c r="O297" s="291"/>
      <c r="P297" s="291"/>
      <c r="Q297" s="291"/>
      <c r="R297" s="286" t="str">
        <f t="shared" si="56"/>
        <v>. Steering Wheel Switches SET2 WITHOUT Trim</v>
      </c>
      <c r="S297" s="286"/>
      <c r="T297" s="259"/>
      <c r="U297" s="250"/>
      <c r="V297" s="259"/>
      <c r="W297" s="250"/>
      <c r="X297" s="250"/>
      <c r="Y297" s="250"/>
      <c r="Z297" s="250" t="s">
        <v>1157</v>
      </c>
      <c r="AA297" s="250" t="s">
        <v>1156</v>
      </c>
      <c r="AB297" s="250"/>
      <c r="AC297" s="244" t="s">
        <v>449</v>
      </c>
      <c r="AD297" s="250"/>
      <c r="AE297" s="265">
        <v>100</v>
      </c>
      <c r="AF297" s="252" t="s">
        <v>434</v>
      </c>
      <c r="AG297" s="247"/>
      <c r="AH297" s="248" t="s">
        <v>435</v>
      </c>
      <c r="AJ297" s="249"/>
      <c r="AK297" s="232" t="s">
        <v>1139</v>
      </c>
      <c r="AL297" s="232" t="s">
        <v>1140</v>
      </c>
      <c r="AN297" s="233"/>
      <c r="AX297" s="250"/>
      <c r="AY297" s="250"/>
      <c r="AZ297" s="232" t="str">
        <f>IF($AX297="Yes",'8. Option Codes Decrypted'!$C$15,"")</f>
        <v/>
      </c>
      <c r="BA297" s="232" t="str">
        <f>IF($AX297="Yes",'8. Option Codes Decrypted'!$C$16,"")</f>
        <v/>
      </c>
      <c r="BB297" s="232" t="str">
        <f>IF($AX297="Yes",'8. Option Codes Decrypted'!$C$17,"")</f>
        <v/>
      </c>
      <c r="BC297" s="232" t="str">
        <f>IF($AX297="Yes",'8. Option Codes Decrypted'!$C$18,"")</f>
        <v/>
      </c>
      <c r="BD297" s="232" t="str">
        <f>IF($AY297="Yes",'8. Option Codes Decrypted'!$C$20,"")</f>
        <v/>
      </c>
      <c r="BE297" s="232" t="str">
        <f>IF($AY297="Yes",'8. Option Codes Decrypted'!$C$21,"")</f>
        <v/>
      </c>
      <c r="BF297" s="232" t="str">
        <f>IF($AY297="Yes",'8. Option Codes Decrypted'!$C$22,"")</f>
        <v/>
      </c>
      <c r="BG297" s="232" t="str">
        <f>IF($AY297="Yes",'8. Option Codes Decrypted'!$C$23,"")</f>
        <v/>
      </c>
    </row>
    <row r="298" spans="1:59" s="232" customFormat="1" x14ac:dyDescent="0.25">
      <c r="A298" s="232" t="str">
        <f t="shared" si="57"/>
        <v/>
      </c>
      <c r="B298" s="358" t="str">
        <f t="shared" si="54"/>
        <v/>
      </c>
      <c r="C298" s="358" t="str">
        <f t="shared" ref="C298:C323" si="62">IF(AS298&lt;&gt;"",AS298,"")</f>
        <v/>
      </c>
      <c r="D298" s="358"/>
      <c r="E298" s="358" t="str">
        <f t="shared" si="55"/>
        <v/>
      </c>
      <c r="F298" s="232" t="s">
        <v>426</v>
      </c>
      <c r="G298" s="241">
        <v>44684</v>
      </c>
      <c r="H298" s="250"/>
      <c r="I298" s="250"/>
      <c r="J298" s="250" t="s">
        <v>427</v>
      </c>
      <c r="K298" s="250" t="s">
        <v>200</v>
      </c>
      <c r="L298" s="250" t="s">
        <v>1158</v>
      </c>
      <c r="M298" s="259" t="s">
        <v>458</v>
      </c>
      <c r="N298" s="259"/>
      <c r="O298" s="291"/>
      <c r="P298" s="291"/>
      <c r="Q298" s="291"/>
      <c r="R298" s="286" t="str">
        <f t="shared" si="56"/>
        <v>. Steering Wheel Trim</v>
      </c>
      <c r="S298" s="286"/>
      <c r="T298" s="259"/>
      <c r="U298" s="250"/>
      <c r="V298" s="259"/>
      <c r="W298" s="250"/>
      <c r="X298" s="250"/>
      <c r="Y298" s="250"/>
      <c r="Z298" s="250" t="s">
        <v>1158</v>
      </c>
      <c r="AA298" s="250" t="s">
        <v>1156</v>
      </c>
      <c r="AB298" s="250"/>
      <c r="AC298" s="244" t="s">
        <v>449</v>
      </c>
      <c r="AD298" s="250"/>
      <c r="AE298" s="265">
        <v>90</v>
      </c>
      <c r="AF298" s="252" t="s">
        <v>434</v>
      </c>
      <c r="AG298" s="247"/>
      <c r="AH298" s="248" t="s">
        <v>435</v>
      </c>
      <c r="AJ298" s="249"/>
      <c r="AK298" s="232" t="s">
        <v>1139</v>
      </c>
      <c r="AL298" s="232" t="s">
        <v>1140</v>
      </c>
      <c r="AN298" s="233"/>
      <c r="AX298" s="250"/>
      <c r="AY298" s="250"/>
      <c r="AZ298" s="232" t="str">
        <f>IF($AX298="Yes",'8. Option Codes Decrypted'!$C$15,"")</f>
        <v/>
      </c>
      <c r="BA298" s="232" t="str">
        <f>IF($AX298="Yes",'8. Option Codes Decrypted'!$C$16,"")</f>
        <v/>
      </c>
      <c r="BB298" s="232" t="str">
        <f>IF($AX298="Yes",'8. Option Codes Decrypted'!$C$17,"")</f>
        <v/>
      </c>
      <c r="BC298" s="232" t="str">
        <f>IF($AX298="Yes",'8. Option Codes Decrypted'!$C$18,"")</f>
        <v/>
      </c>
      <c r="BD298" s="232" t="str">
        <f>IF($AY298="Yes",'8. Option Codes Decrypted'!$C$20,"")</f>
        <v/>
      </c>
      <c r="BE298" s="232" t="str">
        <f>IF($AY298="Yes",'8. Option Codes Decrypted'!$C$21,"")</f>
        <v/>
      </c>
      <c r="BF298" s="232" t="str">
        <f>IF($AY298="Yes",'8. Option Codes Decrypted'!$C$22,"")</f>
        <v/>
      </c>
      <c r="BG298" s="232" t="str">
        <f>IF($AY298="Yes",'8. Option Codes Decrypted'!$C$23,"")</f>
        <v/>
      </c>
    </row>
    <row r="299" spans="1:59" ht="15.75" thickBot="1" x14ac:dyDescent="0.3">
      <c r="A299" s="232" t="str">
        <f t="shared" si="57"/>
        <v/>
      </c>
      <c r="B299" s="358" t="str">
        <f t="shared" si="54"/>
        <v/>
      </c>
      <c r="C299" s="358" t="str">
        <f t="shared" si="62"/>
        <v/>
      </c>
      <c r="D299" s="358"/>
      <c r="E299" s="358" t="str">
        <f t="shared" si="55"/>
        <v/>
      </c>
      <c r="F299" t="s">
        <v>426</v>
      </c>
      <c r="G299" s="230">
        <v>44684</v>
      </c>
      <c r="H299" s="16"/>
      <c r="I299" s="16"/>
      <c r="J299" s="16" t="s">
        <v>427</v>
      </c>
      <c r="K299" s="16" t="s">
        <v>200</v>
      </c>
      <c r="L299" s="16" t="s">
        <v>490</v>
      </c>
      <c r="M299" s="16" t="s">
        <v>430</v>
      </c>
      <c r="N299" s="16"/>
      <c r="O299" s="191"/>
      <c r="P299" s="191"/>
      <c r="Q299" s="191"/>
      <c r="R299" s="286" t="str">
        <f t="shared" si="56"/>
        <v>. Switch/Button, Engine Ignition Start/Stop Push Button</v>
      </c>
      <c r="S299" s="286"/>
      <c r="T299" s="16"/>
      <c r="U299" s="16"/>
      <c r="V299" s="16"/>
      <c r="W299" s="16"/>
      <c r="X299" s="16"/>
      <c r="Y299" s="16"/>
      <c r="Z299" s="16" t="s">
        <v>1159</v>
      </c>
      <c r="AA299" s="16" t="s">
        <v>1159</v>
      </c>
      <c r="AB299" s="16" t="s">
        <v>1159</v>
      </c>
      <c r="AC299" s="193" t="s">
        <v>449</v>
      </c>
      <c r="AD299" s="16" t="s">
        <v>1160</v>
      </c>
      <c r="AE299" s="20">
        <v>39</v>
      </c>
      <c r="AF299" s="99" t="s">
        <v>434</v>
      </c>
      <c r="AH299" s="3" t="s">
        <v>435</v>
      </c>
      <c r="AJ299" s="69"/>
      <c r="AK299" t="s">
        <v>1161</v>
      </c>
      <c r="AN299"/>
      <c r="AX299" s="16"/>
      <c r="AY299" s="16"/>
      <c r="AZ299" s="232" t="str">
        <f>IF($AX299="Yes",'8. Option Codes Decrypted'!$C$15,"")</f>
        <v/>
      </c>
      <c r="BA299" s="232" t="str">
        <f>IF($AX299="Yes",'8. Option Codes Decrypted'!$C$16,"")</f>
        <v/>
      </c>
      <c r="BB299" s="232" t="str">
        <f>IF($AX299="Yes",'8. Option Codes Decrypted'!$C$17,"")</f>
        <v/>
      </c>
      <c r="BC299" s="232" t="str">
        <f>IF($AX299="Yes",'8. Option Codes Decrypted'!$C$18,"")</f>
        <v/>
      </c>
      <c r="BD299" s="232" t="str">
        <f>IF($AY299="Yes",'8. Option Codes Decrypted'!$C$20,"")</f>
        <v/>
      </c>
      <c r="BE299" s="232" t="str">
        <f>IF($AY299="Yes",'8. Option Codes Decrypted'!$C$21,"")</f>
        <v/>
      </c>
      <c r="BF299" s="232" t="str">
        <f>IF($AY299="Yes",'8. Option Codes Decrypted'!$C$22,"")</f>
        <v/>
      </c>
      <c r="BG299" s="232" t="str">
        <f>IF($AY299="Yes",'8. Option Codes Decrypted'!$C$23,"")</f>
        <v/>
      </c>
    </row>
    <row r="300" spans="1:59" s="296" customFormat="1" ht="15.75" thickBot="1" x14ac:dyDescent="0.3">
      <c r="A300" s="232" t="str">
        <f t="shared" si="57"/>
        <v>A55</v>
      </c>
      <c r="B300" s="358" t="str">
        <f t="shared" si="54"/>
        <v/>
      </c>
      <c r="C300" s="358" t="str">
        <f t="shared" si="62"/>
        <v>F15-Traction Control Switch Panel-14-18-ALL</v>
      </c>
      <c r="D300" s="358"/>
      <c r="E300" s="358" t="str">
        <f t="shared" si="55"/>
        <v/>
      </c>
      <c r="F300" s="296" t="s">
        <v>426</v>
      </c>
      <c r="G300" s="297">
        <v>44684</v>
      </c>
      <c r="H300" s="298"/>
      <c r="I300" s="298"/>
      <c r="J300" s="298" t="s">
        <v>427</v>
      </c>
      <c r="K300" s="298" t="s">
        <v>200</v>
      </c>
      <c r="L300" s="298" t="s">
        <v>490</v>
      </c>
      <c r="M300" s="298" t="s">
        <v>430</v>
      </c>
      <c r="N300" s="298">
        <v>45</v>
      </c>
      <c r="O300" s="299" t="s">
        <v>299</v>
      </c>
      <c r="P300" s="299" t="s">
        <v>445</v>
      </c>
      <c r="Q300" s="299">
        <v>1</v>
      </c>
      <c r="R300" s="299" t="str">
        <f t="shared" si="56"/>
        <v>A55. Traction Control Switch Panel</v>
      </c>
      <c r="S300" s="365" t="str">
        <f>HYPERLINK(VLOOKUP(O300,'3D. Pictures'!$B$3:$E$500,4,FALSE),"PIC")</f>
        <v>PIC</v>
      </c>
      <c r="T300" s="298">
        <v>5</v>
      </c>
      <c r="U300" s="298">
        <v>9262718</v>
      </c>
      <c r="V300" s="298" t="s">
        <v>80</v>
      </c>
      <c r="W300" s="298"/>
      <c r="X300" s="298"/>
      <c r="Y300" s="298"/>
      <c r="Z300" s="298" t="s">
        <v>1162</v>
      </c>
      <c r="AA300" s="298" t="s">
        <v>1163</v>
      </c>
      <c r="AB300" s="298"/>
      <c r="AC300" s="213" t="s">
        <v>449</v>
      </c>
      <c r="AD300" s="298"/>
      <c r="AE300" s="181">
        <v>95</v>
      </c>
      <c r="AF300" s="300" t="s">
        <v>434</v>
      </c>
      <c r="AG300" s="301"/>
      <c r="AH300" s="302" t="s">
        <v>435</v>
      </c>
      <c r="AJ300" s="303"/>
      <c r="AK300" s="296" t="s">
        <v>1164</v>
      </c>
      <c r="AS300" s="296" t="str">
        <f>CONCATENATE(AT300,"-",AU300,"-",AV300,"-",AW300)</f>
        <v>F15-Traction Control Switch Panel-14-18-ALL</v>
      </c>
      <c r="AT300" s="296" t="s">
        <v>661</v>
      </c>
      <c r="AU300" s="296" t="str">
        <f>Z300</f>
        <v>Traction Control Switch Panel</v>
      </c>
      <c r="AV300" s="296" t="s">
        <v>757</v>
      </c>
      <c r="AW300" s="296" t="s">
        <v>662</v>
      </c>
      <c r="AX300" s="298"/>
      <c r="AY300" s="298"/>
      <c r="AZ300" s="232" t="str">
        <f>IF($AX300="Yes",'8. Option Codes Decrypted'!$C$15,"")</f>
        <v/>
      </c>
      <c r="BA300" s="232" t="str">
        <f>IF($AX300="Yes",'8. Option Codes Decrypted'!$C$16,"")</f>
        <v/>
      </c>
      <c r="BB300" s="232" t="str">
        <f>IF($AX300="Yes",'8. Option Codes Decrypted'!$C$17,"")</f>
        <v/>
      </c>
      <c r="BC300" s="232" t="str">
        <f>IF($AX300="Yes",'8. Option Codes Decrypted'!$C$18,"")</f>
        <v/>
      </c>
      <c r="BD300" s="232" t="str">
        <f>IF($AY300="Yes",'8. Option Codes Decrypted'!$C$20,"")</f>
        <v/>
      </c>
      <c r="BE300" s="232" t="str">
        <f>IF($AY300="Yes",'8. Option Codes Decrypted'!$C$21,"")</f>
        <v/>
      </c>
      <c r="BF300" s="232" t="str">
        <f>IF($AY300="Yes",'8. Option Codes Decrypted'!$C$22,"")</f>
        <v/>
      </c>
      <c r="BG300" s="232" t="str">
        <f>IF($AY300="Yes",'8. Option Codes Decrypted'!$C$23,"")</f>
        <v/>
      </c>
    </row>
    <row r="301" spans="1:59" ht="15.75" thickBot="1" x14ac:dyDescent="0.3">
      <c r="A301" s="232" t="str">
        <f t="shared" si="57"/>
        <v/>
      </c>
      <c r="B301" s="358" t="str">
        <f t="shared" si="54"/>
        <v/>
      </c>
      <c r="C301" s="358" t="str">
        <f t="shared" si="62"/>
        <v/>
      </c>
      <c r="D301" s="358"/>
      <c r="E301" s="358" t="str">
        <f t="shared" si="55"/>
        <v/>
      </c>
      <c r="F301" t="s">
        <v>508</v>
      </c>
      <c r="G301" s="230">
        <v>44811</v>
      </c>
      <c r="H301" s="177"/>
      <c r="I301" s="188"/>
      <c r="J301" s="16" t="s">
        <v>427</v>
      </c>
      <c r="K301" s="16" t="s">
        <v>200</v>
      </c>
      <c r="L301" s="16" t="s">
        <v>1165</v>
      </c>
      <c r="M301" s="16" t="s">
        <v>430</v>
      </c>
      <c r="N301" s="16"/>
      <c r="O301" s="191"/>
      <c r="P301" s="191"/>
      <c r="Q301" s="191"/>
      <c r="R301" s="286" t="str">
        <f t="shared" si="56"/>
        <v>. USB Aux Socket Port</v>
      </c>
      <c r="S301" s="286"/>
      <c r="T301" s="16"/>
      <c r="U301" s="16"/>
      <c r="V301" s="16"/>
      <c r="W301" s="16"/>
      <c r="X301" s="16"/>
      <c r="Y301" s="16"/>
      <c r="Z301" s="16" t="s">
        <v>1165</v>
      </c>
      <c r="AA301" s="16" t="s">
        <v>1165</v>
      </c>
      <c r="AB301" s="16" t="s">
        <v>1165</v>
      </c>
      <c r="AC301" s="193" t="s">
        <v>449</v>
      </c>
      <c r="AD301" s="16"/>
      <c r="AE301" s="16">
        <v>45</v>
      </c>
      <c r="AF301" s="99" t="s">
        <v>434</v>
      </c>
      <c r="AH301" s="3" t="s">
        <v>435</v>
      </c>
      <c r="AJ301" s="69"/>
      <c r="AK301">
        <v>84109266607</v>
      </c>
      <c r="AN301"/>
      <c r="AX301" s="16"/>
      <c r="AY301" s="16"/>
      <c r="AZ301" s="232" t="str">
        <f>IF($AX301="Yes",'8. Option Codes Decrypted'!$C$15,"")</f>
        <v/>
      </c>
      <c r="BA301" s="232" t="str">
        <f>IF($AX301="Yes",'8. Option Codes Decrypted'!$C$16,"")</f>
        <v/>
      </c>
      <c r="BB301" s="232" t="str">
        <f>IF($AX301="Yes",'8. Option Codes Decrypted'!$C$17,"")</f>
        <v/>
      </c>
      <c r="BC301" s="232" t="str">
        <f>IF($AX301="Yes",'8. Option Codes Decrypted'!$C$18,"")</f>
        <v/>
      </c>
      <c r="BD301" s="232" t="str">
        <f>IF($AY301="Yes",'8. Option Codes Decrypted'!$C$20,"")</f>
        <v/>
      </c>
      <c r="BE301" s="232" t="str">
        <f>IF($AY301="Yes",'8. Option Codes Decrypted'!$C$21,"")</f>
        <v/>
      </c>
      <c r="BF301" s="232" t="str">
        <f>IF($AY301="Yes",'8. Option Codes Decrypted'!$C$22,"")</f>
        <v/>
      </c>
      <c r="BG301" s="232" t="str">
        <f>IF($AY301="Yes",'8. Option Codes Decrypted'!$C$23,"")</f>
        <v/>
      </c>
    </row>
    <row r="302" spans="1:59" s="296" customFormat="1" ht="15.75" thickBot="1" x14ac:dyDescent="0.3">
      <c r="A302" s="232" t="str">
        <f t="shared" si="57"/>
        <v>A46</v>
      </c>
      <c r="B302" s="358" t="str">
        <f t="shared" si="54"/>
        <v/>
      </c>
      <c r="C302" s="358" t="str">
        <f t="shared" si="62"/>
        <v>F15-Vent, DASH - FRONT CENTER with Hazard Button-14-18-ALL</v>
      </c>
      <c r="D302" s="358"/>
      <c r="E302" s="358" t="str">
        <f t="shared" si="55"/>
        <v/>
      </c>
      <c r="F302" s="296" t="s">
        <v>426</v>
      </c>
      <c r="G302" s="297">
        <v>44684</v>
      </c>
      <c r="H302" s="298"/>
      <c r="I302" s="298"/>
      <c r="J302" s="298" t="s">
        <v>427</v>
      </c>
      <c r="K302" s="298" t="s">
        <v>200</v>
      </c>
      <c r="L302" s="298" t="s">
        <v>1166</v>
      </c>
      <c r="M302" s="298" t="s">
        <v>430</v>
      </c>
      <c r="N302" s="298">
        <v>36</v>
      </c>
      <c r="O302" s="299" t="s">
        <v>290</v>
      </c>
      <c r="P302" s="299" t="s">
        <v>445</v>
      </c>
      <c r="Q302" s="299">
        <v>1</v>
      </c>
      <c r="R302" s="299" t="str">
        <f t="shared" si="56"/>
        <v>A46. Vent, DASH - FRONT CENTER with Hazard Button</v>
      </c>
      <c r="S302" s="365" t="str">
        <f>HYPERLINK(VLOOKUP(O302,'3D. Pictures'!$B$3:$E$500,4,FALSE),"PIC")</f>
        <v>PIC</v>
      </c>
      <c r="T302" s="298">
        <v>5</v>
      </c>
      <c r="U302" s="298">
        <v>9252648</v>
      </c>
      <c r="V302" s="298" t="s">
        <v>80</v>
      </c>
      <c r="W302" s="298"/>
      <c r="X302" s="298"/>
      <c r="Y302" s="298"/>
      <c r="Z302" s="298" t="s">
        <v>1167</v>
      </c>
      <c r="AA302" s="298" t="s">
        <v>1168</v>
      </c>
      <c r="AB302" s="298" t="s">
        <v>1169</v>
      </c>
      <c r="AC302" s="213" t="s">
        <v>449</v>
      </c>
      <c r="AD302" s="298"/>
      <c r="AE302" s="298">
        <v>125</v>
      </c>
      <c r="AF302" s="300" t="s">
        <v>434</v>
      </c>
      <c r="AG302" s="301"/>
      <c r="AH302" s="302" t="s">
        <v>435</v>
      </c>
      <c r="AJ302" s="303"/>
      <c r="AK302" s="296" t="s">
        <v>1170</v>
      </c>
      <c r="AS302" s="296" t="str">
        <f>CONCATENATE(AT302,"-",AU302,"-",AV302,"-",AW302)</f>
        <v>F15-Vent, DASH - FRONT CENTER with Hazard Button-14-18-ALL</v>
      </c>
      <c r="AT302" s="296" t="s">
        <v>661</v>
      </c>
      <c r="AU302" s="296" t="str">
        <f>Z302</f>
        <v>Vent, DASH - FRONT CENTER with Hazard Button</v>
      </c>
      <c r="AV302" s="296" t="s">
        <v>757</v>
      </c>
      <c r="AW302" s="296" t="s">
        <v>662</v>
      </c>
      <c r="AX302" s="298"/>
      <c r="AY302" s="298"/>
      <c r="AZ302" s="232" t="str">
        <f>IF($AX302="Yes",'8. Option Codes Decrypted'!$C$15,"")</f>
        <v/>
      </c>
      <c r="BA302" s="232" t="str">
        <f>IF($AX302="Yes",'8. Option Codes Decrypted'!$C$16,"")</f>
        <v/>
      </c>
      <c r="BB302" s="232" t="str">
        <f>IF($AX302="Yes",'8. Option Codes Decrypted'!$C$17,"")</f>
        <v/>
      </c>
      <c r="BC302" s="232" t="str">
        <f>IF($AX302="Yes",'8. Option Codes Decrypted'!$C$18,"")</f>
        <v/>
      </c>
      <c r="BD302" s="232" t="str">
        <f>IF($AY302="Yes",'8. Option Codes Decrypted'!$C$20,"")</f>
        <v/>
      </c>
      <c r="BE302" s="232" t="str">
        <f>IF($AY302="Yes",'8. Option Codes Decrypted'!$C$21,"")</f>
        <v/>
      </c>
      <c r="BF302" s="232" t="str">
        <f>IF($AY302="Yes",'8. Option Codes Decrypted'!$C$22,"")</f>
        <v/>
      </c>
      <c r="BG302" s="232" t="str">
        <f>IF($AY302="Yes",'8. Option Codes Decrypted'!$C$23,"")</f>
        <v/>
      </c>
    </row>
    <row r="303" spans="1:59" s="296" customFormat="1" ht="15.75" thickBot="1" x14ac:dyDescent="0.3">
      <c r="A303" s="232" t="str">
        <f t="shared" si="57"/>
        <v/>
      </c>
      <c r="B303" s="358" t="str">
        <f t="shared" si="54"/>
        <v/>
      </c>
      <c r="C303" s="358" t="str">
        <f t="shared" si="62"/>
        <v>F15-Switch, Hazard Button-14-18-ALL</v>
      </c>
      <c r="D303" s="358"/>
      <c r="E303" s="358" t="str">
        <f t="shared" si="55"/>
        <v/>
      </c>
      <c r="F303" s="296" t="s">
        <v>426</v>
      </c>
      <c r="G303" s="297">
        <v>44684</v>
      </c>
      <c r="H303" s="298"/>
      <c r="I303" s="298"/>
      <c r="J303" s="298" t="s">
        <v>427</v>
      </c>
      <c r="K303" s="298" t="s">
        <v>200</v>
      </c>
      <c r="L303" s="298" t="s">
        <v>490</v>
      </c>
      <c r="M303" s="298" t="s">
        <v>430</v>
      </c>
      <c r="N303" s="298"/>
      <c r="O303" s="299"/>
      <c r="P303" s="299"/>
      <c r="Q303" s="299"/>
      <c r="R303" s="299" t="str">
        <f t="shared" si="56"/>
        <v>. Switch, Hazard Button</v>
      </c>
      <c r="S303" s="299"/>
      <c r="T303" s="298"/>
      <c r="U303" s="298">
        <v>61319389075</v>
      </c>
      <c r="V303" s="298" t="s">
        <v>80</v>
      </c>
      <c r="W303" s="298"/>
      <c r="X303" s="298"/>
      <c r="Y303" s="298"/>
      <c r="Z303" s="298" t="s">
        <v>1171</v>
      </c>
      <c r="AA303" s="298" t="s">
        <v>1172</v>
      </c>
      <c r="AB303" s="298"/>
      <c r="AC303" s="213" t="s">
        <v>449</v>
      </c>
      <c r="AD303" s="298"/>
      <c r="AE303" s="298">
        <v>125</v>
      </c>
      <c r="AF303" s="300" t="s">
        <v>434</v>
      </c>
      <c r="AG303" s="301"/>
      <c r="AH303" s="302" t="s">
        <v>435</v>
      </c>
      <c r="AJ303" s="303"/>
      <c r="AK303" s="296" t="s">
        <v>1170</v>
      </c>
      <c r="AS303" s="296" t="str">
        <f>CONCATENATE(AT303,"-",AU303,"-",AV303,"-",AW303)</f>
        <v>F15-Switch, Hazard Button-14-18-ALL</v>
      </c>
      <c r="AT303" s="296" t="s">
        <v>661</v>
      </c>
      <c r="AU303" s="296" t="str">
        <f>Z303</f>
        <v>Switch, Hazard Button</v>
      </c>
      <c r="AV303" s="296" t="s">
        <v>757</v>
      </c>
      <c r="AW303" s="296" t="s">
        <v>662</v>
      </c>
      <c r="AX303" s="298"/>
      <c r="AY303" s="298"/>
      <c r="AZ303" s="232" t="str">
        <f>IF($AX303="Yes",'8. Option Codes Decrypted'!$C$15,"")</f>
        <v/>
      </c>
      <c r="BA303" s="232" t="str">
        <f>IF($AX303="Yes",'8. Option Codes Decrypted'!$C$16,"")</f>
        <v/>
      </c>
      <c r="BB303" s="232" t="str">
        <f>IF($AX303="Yes",'8. Option Codes Decrypted'!$C$17,"")</f>
        <v/>
      </c>
      <c r="BC303" s="232" t="str">
        <f>IF($AX303="Yes",'8. Option Codes Decrypted'!$C$18,"")</f>
        <v/>
      </c>
      <c r="BD303" s="232" t="str">
        <f>IF($AY303="Yes",'8. Option Codes Decrypted'!$C$20,"")</f>
        <v/>
      </c>
      <c r="BE303" s="232" t="str">
        <f>IF($AY303="Yes",'8. Option Codes Decrypted'!$C$21,"")</f>
        <v/>
      </c>
      <c r="BF303" s="232" t="str">
        <f>IF($AY303="Yes",'8. Option Codes Decrypted'!$C$22,"")</f>
        <v/>
      </c>
      <c r="BG303" s="232" t="str">
        <f>IF($AY303="Yes",'8. Option Codes Decrypted'!$C$23,"")</f>
        <v/>
      </c>
    </row>
    <row r="304" spans="1:59" s="296" customFormat="1" ht="15.75" thickBot="1" x14ac:dyDescent="0.3">
      <c r="A304" s="232" t="str">
        <f t="shared" si="57"/>
        <v>A59</v>
      </c>
      <c r="B304" s="358" t="str">
        <f t="shared" si="54"/>
        <v/>
      </c>
      <c r="C304" s="358" t="str">
        <f t="shared" si="62"/>
        <v>F15-Vent, DASH - FRONT LEFT-14-18-ALL</v>
      </c>
      <c r="D304" s="358"/>
      <c r="E304" s="358" t="str">
        <f t="shared" si="55"/>
        <v/>
      </c>
      <c r="F304" s="296" t="s">
        <v>426</v>
      </c>
      <c r="G304" s="297">
        <v>44684</v>
      </c>
      <c r="H304" s="298"/>
      <c r="I304" s="298"/>
      <c r="J304" s="298" t="s">
        <v>427</v>
      </c>
      <c r="K304" s="298" t="s">
        <v>200</v>
      </c>
      <c r="L304" s="298" t="s">
        <v>1166</v>
      </c>
      <c r="M304" s="298" t="s">
        <v>430</v>
      </c>
      <c r="N304" s="298">
        <v>49</v>
      </c>
      <c r="O304" s="299" t="s">
        <v>303</v>
      </c>
      <c r="P304" s="299" t="s">
        <v>445</v>
      </c>
      <c r="Q304" s="299">
        <v>1</v>
      </c>
      <c r="R304" s="299" t="str">
        <f t="shared" si="56"/>
        <v>A59. Vent, DASH - FRONT LEFT</v>
      </c>
      <c r="S304" s="365" t="str">
        <f>HYPERLINK(VLOOKUP(O304,'3D. Pictures'!$B$3:$E$500,4,FALSE),"PIC")</f>
        <v>PIC</v>
      </c>
      <c r="T304" s="298">
        <v>4</v>
      </c>
      <c r="U304" s="298">
        <v>9252649</v>
      </c>
      <c r="V304" s="298" t="s">
        <v>80</v>
      </c>
      <c r="W304" s="298"/>
      <c r="X304" s="298"/>
      <c r="Y304" s="298"/>
      <c r="Z304" s="298" t="s">
        <v>1173</v>
      </c>
      <c r="AA304" s="298"/>
      <c r="AB304" s="298"/>
      <c r="AC304" s="213" t="s">
        <v>449</v>
      </c>
      <c r="AD304" s="298"/>
      <c r="AE304" s="298">
        <v>100</v>
      </c>
      <c r="AF304" s="300" t="s">
        <v>434</v>
      </c>
      <c r="AG304" s="301"/>
      <c r="AH304" s="302" t="s">
        <v>435</v>
      </c>
      <c r="AJ304" s="303"/>
      <c r="AK304" s="296" t="s">
        <v>1170</v>
      </c>
      <c r="AS304" s="296" t="str">
        <f>CONCATENATE(AT304,"-",AU304,"-",AV304,"-",AW304)</f>
        <v>F15-Vent, DASH - FRONT LEFT-14-18-ALL</v>
      </c>
      <c r="AT304" s="296" t="s">
        <v>661</v>
      </c>
      <c r="AU304" s="296" t="str">
        <f>Z304</f>
        <v>Vent, DASH - FRONT LEFT</v>
      </c>
      <c r="AV304" s="296" t="s">
        <v>757</v>
      </c>
      <c r="AW304" s="296" t="s">
        <v>662</v>
      </c>
      <c r="AX304" s="298"/>
      <c r="AY304" s="298"/>
      <c r="AZ304" s="232" t="str">
        <f>IF($AX304="Yes",'8. Option Codes Decrypted'!$C$15,"")</f>
        <v/>
      </c>
      <c r="BA304" s="232" t="str">
        <f>IF($AX304="Yes",'8. Option Codes Decrypted'!$C$16,"")</f>
        <v/>
      </c>
      <c r="BB304" s="232" t="str">
        <f>IF($AX304="Yes",'8. Option Codes Decrypted'!$C$17,"")</f>
        <v/>
      </c>
      <c r="BC304" s="232" t="str">
        <f>IF($AX304="Yes",'8. Option Codes Decrypted'!$C$18,"")</f>
        <v/>
      </c>
      <c r="BD304" s="232" t="str">
        <f>IF($AY304="Yes",'8. Option Codes Decrypted'!$C$20,"")</f>
        <v/>
      </c>
      <c r="BE304" s="232" t="str">
        <f>IF($AY304="Yes",'8. Option Codes Decrypted'!$C$21,"")</f>
        <v/>
      </c>
      <c r="BF304" s="232" t="str">
        <f>IF($AY304="Yes",'8. Option Codes Decrypted'!$C$22,"")</f>
        <v/>
      </c>
      <c r="BG304" s="232" t="str">
        <f>IF($AY304="Yes",'8. Option Codes Decrypted'!$C$23,"")</f>
        <v/>
      </c>
    </row>
    <row r="305" spans="1:59" s="296" customFormat="1" ht="15.75" thickBot="1" x14ac:dyDescent="0.3">
      <c r="A305" s="232" t="str">
        <f t="shared" si="57"/>
        <v>A65</v>
      </c>
      <c r="B305" s="358" t="str">
        <f t="shared" si="54"/>
        <v/>
      </c>
      <c r="C305" s="358" t="str">
        <f t="shared" si="62"/>
        <v>F15-Vent, DASH - FRONT RIGHT-14-18-ALL</v>
      </c>
      <c r="D305" s="358"/>
      <c r="E305" s="358" t="str">
        <f t="shared" si="55"/>
        <v/>
      </c>
      <c r="F305" s="296" t="s">
        <v>426</v>
      </c>
      <c r="G305" s="297">
        <v>44684</v>
      </c>
      <c r="H305" s="298"/>
      <c r="I305" s="298"/>
      <c r="J305" s="298" t="s">
        <v>427</v>
      </c>
      <c r="K305" s="298" t="s">
        <v>200</v>
      </c>
      <c r="L305" s="298" t="s">
        <v>1166</v>
      </c>
      <c r="M305" s="298" t="s">
        <v>430</v>
      </c>
      <c r="N305" s="298">
        <v>55</v>
      </c>
      <c r="O305" s="299" t="s">
        <v>309</v>
      </c>
      <c r="P305" s="299" t="s">
        <v>445</v>
      </c>
      <c r="Q305" s="299">
        <v>1</v>
      </c>
      <c r="R305" s="299" t="str">
        <f t="shared" si="56"/>
        <v>A65. Vent, DASH - FRONT RIGHT</v>
      </c>
      <c r="S305" s="365" t="str">
        <f>HYPERLINK(VLOOKUP(O305,'3D. Pictures'!$B$3:$E$500,4,FALSE),"PIC")</f>
        <v>PIC</v>
      </c>
      <c r="T305" s="298">
        <v>4</v>
      </c>
      <c r="U305" s="298">
        <v>9252650</v>
      </c>
      <c r="V305" s="298" t="s">
        <v>80</v>
      </c>
      <c r="W305" s="298"/>
      <c r="X305" s="298"/>
      <c r="Y305" s="298"/>
      <c r="Z305" s="298" t="s">
        <v>1174</v>
      </c>
      <c r="AA305" s="298"/>
      <c r="AB305" s="298"/>
      <c r="AC305" s="213" t="s">
        <v>449</v>
      </c>
      <c r="AD305" s="298"/>
      <c r="AE305" s="298">
        <v>90</v>
      </c>
      <c r="AF305" s="300" t="s">
        <v>434</v>
      </c>
      <c r="AG305" s="301"/>
      <c r="AH305" s="302" t="s">
        <v>435</v>
      </c>
      <c r="AJ305" s="303"/>
      <c r="AK305" s="296" t="s">
        <v>1170</v>
      </c>
      <c r="AS305" s="296" t="str">
        <f>CONCATENATE(AT305,"-",AU305,"-",AV305,"-",AW305)</f>
        <v>F15-Vent, DASH - FRONT RIGHT-14-18-ALL</v>
      </c>
      <c r="AT305" s="296" t="s">
        <v>661</v>
      </c>
      <c r="AU305" s="296" t="str">
        <f>Z305</f>
        <v>Vent, DASH - FRONT RIGHT</v>
      </c>
      <c r="AV305" s="296" t="s">
        <v>757</v>
      </c>
      <c r="AW305" s="296" t="s">
        <v>662</v>
      </c>
      <c r="AX305" s="298"/>
      <c r="AY305" s="298"/>
      <c r="AZ305" s="232" t="str">
        <f>IF($AX305="Yes",'8. Option Codes Decrypted'!$C$15,"")</f>
        <v/>
      </c>
      <c r="BA305" s="232" t="str">
        <f>IF($AX305="Yes",'8. Option Codes Decrypted'!$C$16,"")</f>
        <v/>
      </c>
      <c r="BB305" s="232" t="str">
        <f>IF($AX305="Yes",'8. Option Codes Decrypted'!$C$17,"")</f>
        <v/>
      </c>
      <c r="BC305" s="232" t="str">
        <f>IF($AX305="Yes",'8. Option Codes Decrypted'!$C$18,"")</f>
        <v/>
      </c>
      <c r="BD305" s="232" t="str">
        <f>IF($AY305="Yes",'8. Option Codes Decrypted'!$C$20,"")</f>
        <v/>
      </c>
      <c r="BE305" s="232" t="str">
        <f>IF($AY305="Yes",'8. Option Codes Decrypted'!$C$21,"")</f>
        <v/>
      </c>
      <c r="BF305" s="232" t="str">
        <f>IF($AY305="Yes",'8. Option Codes Decrypted'!$C$22,"")</f>
        <v/>
      </c>
      <c r="BG305" s="232" t="str">
        <f>IF($AY305="Yes",'8. Option Codes Decrypted'!$C$23,"")</f>
        <v/>
      </c>
    </row>
    <row r="306" spans="1:59" x14ac:dyDescent="0.25">
      <c r="A306" s="232" t="str">
        <f t="shared" si="57"/>
        <v/>
      </c>
      <c r="B306" s="358" t="str">
        <f t="shared" si="54"/>
        <v/>
      </c>
      <c r="C306" s="358" t="str">
        <f t="shared" si="62"/>
        <v/>
      </c>
      <c r="D306" s="358"/>
      <c r="E306" s="358" t="str">
        <f t="shared" si="55"/>
        <v/>
      </c>
      <c r="F306" t="s">
        <v>426</v>
      </c>
      <c r="G306" s="230">
        <v>44684</v>
      </c>
      <c r="H306" s="16"/>
      <c r="I306" s="16"/>
      <c r="J306" s="16" t="s">
        <v>427</v>
      </c>
      <c r="K306" s="16" t="s">
        <v>200</v>
      </c>
      <c r="L306" s="16" t="s">
        <v>1175</v>
      </c>
      <c r="M306" s="16" t="s">
        <v>430</v>
      </c>
      <c r="N306" s="16"/>
      <c r="O306" s="191"/>
      <c r="P306" s="191"/>
      <c r="Q306" s="191"/>
      <c r="R306" s="286" t="str">
        <f t="shared" si="56"/>
        <v>. Vent, DASH - REAR CENTER CONSOLE</v>
      </c>
      <c r="S306" s="286"/>
      <c r="T306" s="16"/>
      <c r="U306" s="16"/>
      <c r="V306" s="16"/>
      <c r="W306" s="16"/>
      <c r="X306" s="16"/>
      <c r="Y306" s="16"/>
      <c r="Z306" s="16" t="s">
        <v>1175</v>
      </c>
      <c r="AA306" s="16" t="s">
        <v>1175</v>
      </c>
      <c r="AB306" s="16" t="s">
        <v>1175</v>
      </c>
      <c r="AC306" s="193" t="s">
        <v>449</v>
      </c>
      <c r="AD306" s="16"/>
      <c r="AE306" s="16">
        <v>80</v>
      </c>
      <c r="AF306" s="99" t="s">
        <v>434</v>
      </c>
      <c r="AH306" s="3" t="s">
        <v>435</v>
      </c>
      <c r="AJ306" s="69"/>
      <c r="AK306" t="s">
        <v>1176</v>
      </c>
      <c r="AL306" t="s">
        <v>1177</v>
      </c>
      <c r="AN306"/>
      <c r="AX306" s="16"/>
      <c r="AY306" s="16"/>
      <c r="AZ306" s="232" t="str">
        <f>IF($AX306="Yes",'8. Option Codes Decrypted'!$C$15,"")</f>
        <v/>
      </c>
      <c r="BA306" s="232" t="str">
        <f>IF($AX306="Yes",'8. Option Codes Decrypted'!$C$16,"")</f>
        <v/>
      </c>
      <c r="BB306" s="232" t="str">
        <f>IF($AX306="Yes",'8. Option Codes Decrypted'!$C$17,"")</f>
        <v/>
      </c>
      <c r="BC306" s="232" t="str">
        <f>IF($AX306="Yes",'8. Option Codes Decrypted'!$C$18,"")</f>
        <v/>
      </c>
      <c r="BD306" s="232" t="str">
        <f>IF($AY306="Yes",'8. Option Codes Decrypted'!$C$20,"")</f>
        <v/>
      </c>
      <c r="BE306" s="232" t="str">
        <f>IF($AY306="Yes",'8. Option Codes Decrypted'!$C$21,"")</f>
        <v/>
      </c>
      <c r="BF306" s="232" t="str">
        <f>IF($AY306="Yes",'8. Option Codes Decrypted'!$C$22,"")</f>
        <v/>
      </c>
      <c r="BG306" s="232" t="str">
        <f>IF($AY306="Yes",'8. Option Codes Decrypted'!$C$23,"")</f>
        <v/>
      </c>
    </row>
    <row r="307" spans="1:59" s="232" customFormat="1" x14ac:dyDescent="0.25">
      <c r="A307" s="232" t="str">
        <f t="shared" si="57"/>
        <v/>
      </c>
      <c r="B307" s="358" t="str">
        <f t="shared" si="54"/>
        <v>268-11967</v>
      </c>
      <c r="C307" s="358" t="str">
        <f t="shared" si="62"/>
        <v/>
      </c>
      <c r="D307" s="358"/>
      <c r="E307" s="358">
        <f t="shared" si="55"/>
        <v>1</v>
      </c>
      <c r="F307" s="232" t="s">
        <v>426</v>
      </c>
      <c r="G307" s="241">
        <v>44670</v>
      </c>
      <c r="H307" s="242"/>
      <c r="I307" s="243" t="s">
        <v>441</v>
      </c>
      <c r="J307" s="244" t="s">
        <v>427</v>
      </c>
      <c r="K307" s="244" t="s">
        <v>200</v>
      </c>
      <c r="L307" s="244" t="s">
        <v>1178</v>
      </c>
      <c r="M307" s="243" t="s">
        <v>444</v>
      </c>
      <c r="N307" s="243"/>
      <c r="O307" s="285"/>
      <c r="P307" s="285"/>
      <c r="Q307" s="285"/>
      <c r="R307" s="286" t="str">
        <f t="shared" si="56"/>
        <v>. Visors SET2 WITH Visor Clips if Good (toss all if 1 visor bad)</v>
      </c>
      <c r="S307" s="286"/>
      <c r="T307" s="243"/>
      <c r="U307" s="244"/>
      <c r="V307" s="243"/>
      <c r="W307" s="244"/>
      <c r="X307" s="244"/>
      <c r="Y307" s="235" t="s">
        <v>1083</v>
      </c>
      <c r="Z307" s="244" t="s">
        <v>1179</v>
      </c>
      <c r="AA307" s="244" t="s">
        <v>1180</v>
      </c>
      <c r="AB307" s="244"/>
      <c r="AC307" s="244" t="s">
        <v>439</v>
      </c>
      <c r="AD307" s="244" t="s">
        <v>1181</v>
      </c>
      <c r="AE307" s="244">
        <v>115</v>
      </c>
      <c r="AF307" s="252" t="s">
        <v>434</v>
      </c>
      <c r="AG307" s="247"/>
      <c r="AH307" s="248" t="s">
        <v>435</v>
      </c>
      <c r="AJ307" s="249"/>
      <c r="AK307" s="232" t="s">
        <v>1182</v>
      </c>
      <c r="AN307" s="233" t="s">
        <v>1183</v>
      </c>
      <c r="AO307" s="232" t="s">
        <v>411</v>
      </c>
      <c r="AP307" s="232">
        <v>11967</v>
      </c>
      <c r="AQ307" s="232" t="str">
        <f>CONCATENATE(AN307,AO307,AP307)</f>
        <v>268-11967</v>
      </c>
      <c r="AX307" s="244"/>
      <c r="AY307" s="244"/>
      <c r="AZ307" s="232" t="str">
        <f>IF($AX307="Yes",'8. Option Codes Decrypted'!$C$15,"")</f>
        <v/>
      </c>
      <c r="BA307" s="232" t="str">
        <f>IF($AX307="Yes",'8. Option Codes Decrypted'!$C$16,"")</f>
        <v/>
      </c>
      <c r="BB307" s="232" t="str">
        <f>IF($AX307="Yes",'8. Option Codes Decrypted'!$C$17,"")</f>
        <v/>
      </c>
      <c r="BC307" s="232" t="str">
        <f>IF($AX307="Yes",'8. Option Codes Decrypted'!$C$18,"")</f>
        <v/>
      </c>
      <c r="BD307" s="232" t="str">
        <f>IF($AY307="Yes",'8. Option Codes Decrypted'!$C$20,"")</f>
        <v/>
      </c>
      <c r="BE307" s="232" t="str">
        <f>IF($AY307="Yes",'8. Option Codes Decrypted'!$C$21,"")</f>
        <v/>
      </c>
      <c r="BF307" s="232" t="str">
        <f>IF($AY307="Yes",'8. Option Codes Decrypted'!$C$22,"")</f>
        <v/>
      </c>
      <c r="BG307" s="232" t="str">
        <f>IF($AY307="Yes",'8. Option Codes Decrypted'!$C$23,"")</f>
        <v/>
      </c>
    </row>
    <row r="308" spans="1:59" x14ac:dyDescent="0.25">
      <c r="A308" s="232" t="str">
        <f t="shared" si="57"/>
        <v/>
      </c>
      <c r="B308" s="358" t="str">
        <f t="shared" si="54"/>
        <v/>
      </c>
      <c r="C308" s="358" t="str">
        <f t="shared" si="62"/>
        <v/>
      </c>
      <c r="D308" s="358"/>
      <c r="E308" s="358" t="str">
        <f t="shared" si="55"/>
        <v/>
      </c>
      <c r="F308" t="s">
        <v>426</v>
      </c>
      <c r="G308" s="230">
        <v>44683</v>
      </c>
      <c r="H308" s="10"/>
      <c r="I308" s="10"/>
      <c r="J308" s="10" t="s">
        <v>504</v>
      </c>
      <c r="K308" s="10" t="s">
        <v>200</v>
      </c>
      <c r="L308" s="10" t="s">
        <v>1184</v>
      </c>
      <c r="M308" s="16" t="s">
        <v>430</v>
      </c>
      <c r="N308" s="16"/>
      <c r="O308" s="191"/>
      <c r="P308" s="191"/>
      <c r="Q308" s="191"/>
      <c r="R308" s="286" t="str">
        <f t="shared" si="56"/>
        <v>. A/C HVAC Blend Door Flap Motors &amp; Harness (TOSS ALL)</v>
      </c>
      <c r="S308" s="286"/>
      <c r="T308" s="16"/>
      <c r="U308" s="16"/>
      <c r="V308" s="16"/>
      <c r="W308" s="16"/>
      <c r="X308" s="16"/>
      <c r="Y308" s="16"/>
      <c r="Z308" s="10" t="s">
        <v>1184</v>
      </c>
      <c r="AA308" s="10" t="s">
        <v>1184</v>
      </c>
      <c r="AB308" s="10" t="s">
        <v>1184</v>
      </c>
      <c r="AC308" s="193" t="s">
        <v>449</v>
      </c>
      <c r="AD308" s="10"/>
      <c r="AE308" s="10"/>
      <c r="AF308" s="200" t="s">
        <v>434</v>
      </c>
      <c r="AH308" s="3" t="s">
        <v>435</v>
      </c>
      <c r="AJ308" s="69"/>
      <c r="AK308" t="s">
        <v>1185</v>
      </c>
      <c r="AN308"/>
      <c r="AX308" s="16"/>
      <c r="AY308" s="16"/>
      <c r="AZ308" s="232" t="str">
        <f>IF($AX308="Yes",'8. Option Codes Decrypted'!$C$15,"")</f>
        <v/>
      </c>
      <c r="BA308" s="232" t="str">
        <f>IF($AX308="Yes",'8. Option Codes Decrypted'!$C$16,"")</f>
        <v/>
      </c>
      <c r="BB308" s="232" t="str">
        <f>IF($AX308="Yes",'8. Option Codes Decrypted'!$C$17,"")</f>
        <v/>
      </c>
      <c r="BC308" s="232" t="str">
        <f>IF($AX308="Yes",'8. Option Codes Decrypted'!$C$18,"")</f>
        <v/>
      </c>
      <c r="BD308" s="232" t="str">
        <f>IF($AY308="Yes",'8. Option Codes Decrypted'!$C$20,"")</f>
        <v/>
      </c>
      <c r="BE308" s="232" t="str">
        <f>IF($AY308="Yes",'8. Option Codes Decrypted'!$C$21,"")</f>
        <v/>
      </c>
      <c r="BF308" s="232" t="str">
        <f>IF($AY308="Yes",'8. Option Codes Decrypted'!$C$22,"")</f>
        <v/>
      </c>
      <c r="BG308" s="232" t="str">
        <f>IF($AY308="Yes",'8. Option Codes Decrypted'!$C$23,"")</f>
        <v/>
      </c>
    </row>
    <row r="309" spans="1:59" x14ac:dyDescent="0.25">
      <c r="A309" s="232" t="str">
        <f t="shared" si="57"/>
        <v/>
      </c>
      <c r="B309" s="358" t="str">
        <f t="shared" si="54"/>
        <v/>
      </c>
      <c r="C309" s="358" t="str">
        <f t="shared" si="62"/>
        <v/>
      </c>
      <c r="D309" s="358"/>
      <c r="E309" s="358" t="str">
        <f t="shared" si="55"/>
        <v/>
      </c>
      <c r="F309" t="s">
        <v>426</v>
      </c>
      <c r="G309" s="230">
        <v>44684</v>
      </c>
      <c r="H309" s="10"/>
      <c r="I309" s="10"/>
      <c r="J309" s="10" t="s">
        <v>504</v>
      </c>
      <c r="K309" s="10" t="s">
        <v>200</v>
      </c>
      <c r="L309" s="10" t="s">
        <v>1186</v>
      </c>
      <c r="M309" s="18" t="s">
        <v>510</v>
      </c>
      <c r="N309" s="18"/>
      <c r="O309" s="290"/>
      <c r="P309" s="290"/>
      <c r="Q309" s="290"/>
      <c r="R309" s="286" t="str">
        <f t="shared" si="56"/>
        <v>. Blower Motor Assemblies &amp; Resistors, REAR &amp; CENTER CONSOLE (TOSS BOTH - but DO KEEP the front blower motor)</v>
      </c>
      <c r="S309" s="286"/>
      <c r="T309" s="18"/>
      <c r="U309" s="16"/>
      <c r="V309" s="18"/>
      <c r="W309" s="16"/>
      <c r="X309" s="16"/>
      <c r="Y309" s="16"/>
      <c r="Z309" s="10" t="s">
        <v>1186</v>
      </c>
      <c r="AA309" s="10" t="s">
        <v>1186</v>
      </c>
      <c r="AB309" s="10" t="s">
        <v>1186</v>
      </c>
      <c r="AC309" s="193" t="s">
        <v>449</v>
      </c>
      <c r="AD309" s="16"/>
      <c r="AE309" s="10"/>
      <c r="AF309" s="200" t="s">
        <v>434</v>
      </c>
      <c r="AH309" s="3" t="s">
        <v>435</v>
      </c>
      <c r="AJ309" s="69"/>
      <c r="AK309" t="s">
        <v>1023</v>
      </c>
      <c r="AL309" t="s">
        <v>1024</v>
      </c>
      <c r="AN309"/>
      <c r="AO309" t="s">
        <v>411</v>
      </c>
      <c r="AX309" s="16"/>
      <c r="AY309" s="16"/>
      <c r="AZ309" s="232" t="str">
        <f>IF($AX309="Yes",'8. Option Codes Decrypted'!$C$15,"")</f>
        <v/>
      </c>
      <c r="BA309" s="232" t="str">
        <f>IF($AX309="Yes",'8. Option Codes Decrypted'!$C$16,"")</f>
        <v/>
      </c>
      <c r="BB309" s="232" t="str">
        <f>IF($AX309="Yes",'8. Option Codes Decrypted'!$C$17,"")</f>
        <v/>
      </c>
      <c r="BC309" s="232" t="str">
        <f>IF($AX309="Yes",'8. Option Codes Decrypted'!$C$18,"")</f>
        <v/>
      </c>
      <c r="BD309" s="232" t="str">
        <f>IF($AY309="Yes",'8. Option Codes Decrypted'!$C$20,"")</f>
        <v/>
      </c>
      <c r="BE309" s="232" t="str">
        <f>IF($AY309="Yes",'8. Option Codes Decrypted'!$C$21,"")</f>
        <v/>
      </c>
      <c r="BF309" s="232" t="str">
        <f>IF($AY309="Yes",'8. Option Codes Decrypted'!$C$22,"")</f>
        <v/>
      </c>
      <c r="BG309" s="232" t="str">
        <f>IF($AY309="Yes",'8. Option Codes Decrypted'!$C$23,"")</f>
        <v/>
      </c>
    </row>
    <row r="310" spans="1:59" x14ac:dyDescent="0.25">
      <c r="A310" s="232" t="str">
        <f t="shared" si="57"/>
        <v/>
      </c>
      <c r="B310" s="358" t="str">
        <f t="shared" si="54"/>
        <v/>
      </c>
      <c r="C310" s="358" t="str">
        <f t="shared" si="62"/>
        <v/>
      </c>
      <c r="D310" s="358"/>
      <c r="E310" s="358" t="str">
        <f t="shared" si="55"/>
        <v/>
      </c>
      <c r="F310" t="s">
        <v>426</v>
      </c>
      <c r="G310" s="230">
        <v>44683</v>
      </c>
      <c r="H310" s="10"/>
      <c r="I310" s="10"/>
      <c r="J310" s="10" t="s">
        <v>504</v>
      </c>
      <c r="K310" s="10" t="s">
        <v>200</v>
      </c>
      <c r="L310" s="10" t="s">
        <v>1187</v>
      </c>
      <c r="M310" s="16" t="s">
        <v>430</v>
      </c>
      <c r="N310" s="16"/>
      <c r="O310" s="191"/>
      <c r="P310" s="191"/>
      <c r="Q310" s="191"/>
      <c r="R310" s="286" t="str">
        <f t="shared" si="56"/>
        <v>. Dome Lights, ALL EXCEPT front primary one (do keep that one - rest are TOSS)</v>
      </c>
      <c r="S310" s="286"/>
      <c r="T310" s="16"/>
      <c r="U310" s="16"/>
      <c r="V310" s="16"/>
      <c r="W310" s="16"/>
      <c r="X310" s="16"/>
      <c r="Y310" s="16"/>
      <c r="Z310" s="10" t="s">
        <v>1187</v>
      </c>
      <c r="AA310" s="10" t="s">
        <v>1187</v>
      </c>
      <c r="AB310" s="10" t="s">
        <v>1187</v>
      </c>
      <c r="AC310" s="193" t="s">
        <v>449</v>
      </c>
      <c r="AD310" s="10"/>
      <c r="AE310" s="10"/>
      <c r="AF310" s="200" t="s">
        <v>434</v>
      </c>
      <c r="AH310" s="3" t="s">
        <v>435</v>
      </c>
      <c r="AJ310" s="69"/>
      <c r="AK310" t="s">
        <v>1049</v>
      </c>
      <c r="AN310"/>
      <c r="AX310" s="16"/>
      <c r="AY310" s="16"/>
      <c r="AZ310" s="232" t="str">
        <f>IF($AX310="Yes",'8. Option Codes Decrypted'!$C$15,"")</f>
        <v/>
      </c>
      <c r="BA310" s="232" t="str">
        <f>IF($AX310="Yes",'8. Option Codes Decrypted'!$C$16,"")</f>
        <v/>
      </c>
      <c r="BB310" s="232" t="str">
        <f>IF($AX310="Yes",'8. Option Codes Decrypted'!$C$17,"")</f>
        <v/>
      </c>
      <c r="BC310" s="232" t="str">
        <f>IF($AX310="Yes",'8. Option Codes Decrypted'!$C$18,"")</f>
        <v/>
      </c>
      <c r="BD310" s="232" t="str">
        <f>IF($AY310="Yes",'8. Option Codes Decrypted'!$C$20,"")</f>
        <v/>
      </c>
      <c r="BE310" s="232" t="str">
        <f>IF($AY310="Yes",'8. Option Codes Decrypted'!$C$21,"")</f>
        <v/>
      </c>
      <c r="BF310" s="232" t="str">
        <f>IF($AY310="Yes",'8. Option Codes Decrypted'!$C$22,"")</f>
        <v/>
      </c>
      <c r="BG310" s="232" t="str">
        <f>IF($AY310="Yes",'8. Option Codes Decrypted'!$C$23,"")</f>
        <v/>
      </c>
    </row>
    <row r="311" spans="1:59" x14ac:dyDescent="0.25">
      <c r="A311" s="232" t="str">
        <f t="shared" si="57"/>
        <v/>
      </c>
      <c r="B311" s="358" t="str">
        <f t="shared" si="54"/>
        <v/>
      </c>
      <c r="C311" s="358" t="str">
        <f t="shared" si="62"/>
        <v/>
      </c>
      <c r="D311" s="358"/>
      <c r="E311" s="358" t="str">
        <f t="shared" si="55"/>
        <v/>
      </c>
      <c r="F311" t="s">
        <v>426</v>
      </c>
      <c r="G311" s="230">
        <v>44684</v>
      </c>
      <c r="H311" s="10"/>
      <c r="I311" s="10"/>
      <c r="J311" s="10" t="s">
        <v>504</v>
      </c>
      <c r="K311" s="15" t="s">
        <v>200</v>
      </c>
      <c r="L311" s="10" t="s">
        <v>1188</v>
      </c>
      <c r="M311" s="16" t="s">
        <v>430</v>
      </c>
      <c r="N311" s="16"/>
      <c r="O311" s="191"/>
      <c r="P311" s="191"/>
      <c r="Q311" s="191"/>
      <c r="R311" s="286" t="str">
        <f t="shared" si="56"/>
        <v>. Glove Box, LEFT FRONT DASH smaller one (DO KEEP the primary RF dash one)</v>
      </c>
      <c r="S311" s="286"/>
      <c r="T311" s="16"/>
      <c r="U311" s="16"/>
      <c r="V311" s="16"/>
      <c r="W311" s="16"/>
      <c r="X311" s="16"/>
      <c r="Y311" s="16"/>
      <c r="Z311" s="10" t="s">
        <v>1188</v>
      </c>
      <c r="AA311" s="10" t="s">
        <v>1188</v>
      </c>
      <c r="AB311" s="10" t="s">
        <v>1188</v>
      </c>
      <c r="AC311" s="193" t="s">
        <v>449</v>
      </c>
      <c r="AD311" s="10"/>
      <c r="AE311" s="10"/>
      <c r="AF311" s="200" t="s">
        <v>434</v>
      </c>
      <c r="AH311" s="3" t="s">
        <v>435</v>
      </c>
      <c r="AJ311" s="69"/>
      <c r="AK311" t="s">
        <v>1189</v>
      </c>
      <c r="AN311"/>
      <c r="AX311" s="16"/>
      <c r="AY311" s="16"/>
      <c r="AZ311" s="232" t="str">
        <f>IF($AX311="Yes",'8. Option Codes Decrypted'!$C$15,"")</f>
        <v/>
      </c>
      <c r="BA311" s="232" t="str">
        <f>IF($AX311="Yes",'8. Option Codes Decrypted'!$C$16,"")</f>
        <v/>
      </c>
      <c r="BB311" s="232" t="str">
        <f>IF($AX311="Yes",'8. Option Codes Decrypted'!$C$17,"")</f>
        <v/>
      </c>
      <c r="BC311" s="232" t="str">
        <f>IF($AX311="Yes",'8. Option Codes Decrypted'!$C$18,"")</f>
        <v/>
      </c>
      <c r="BD311" s="232" t="str">
        <f>IF($AY311="Yes",'8. Option Codes Decrypted'!$C$20,"")</f>
        <v/>
      </c>
      <c r="BE311" s="232" t="str">
        <f>IF($AY311="Yes",'8. Option Codes Decrypted'!$C$21,"")</f>
        <v/>
      </c>
      <c r="BF311" s="232" t="str">
        <f>IF($AY311="Yes",'8. Option Codes Decrypted'!$C$22,"")</f>
        <v/>
      </c>
      <c r="BG311" s="232" t="str">
        <f>IF($AY311="Yes",'8. Option Codes Decrypted'!$C$23,"")</f>
        <v/>
      </c>
    </row>
    <row r="312" spans="1:59" s="208" customFormat="1" x14ac:dyDescent="0.25">
      <c r="A312" s="232" t="str">
        <f t="shared" si="57"/>
        <v/>
      </c>
      <c r="B312" s="358" t="str">
        <f t="shared" si="54"/>
        <v/>
      </c>
      <c r="C312" s="358" t="str">
        <f t="shared" si="62"/>
        <v/>
      </c>
      <c r="D312" s="358"/>
      <c r="E312" s="358" t="str">
        <f t="shared" si="55"/>
        <v/>
      </c>
      <c r="F312" t="s">
        <v>426</v>
      </c>
      <c r="G312" s="230">
        <v>44683</v>
      </c>
      <c r="H312" s="10"/>
      <c r="I312" s="10"/>
      <c r="J312" s="10" t="s">
        <v>504</v>
      </c>
      <c r="K312" s="10" t="s">
        <v>200</v>
      </c>
      <c r="L312" s="10" t="s">
        <v>1190</v>
      </c>
      <c r="M312" s="16" t="s">
        <v>430</v>
      </c>
      <c r="N312" s="16"/>
      <c r="O312" s="191"/>
      <c r="P312" s="191"/>
      <c r="Q312" s="191"/>
      <c r="R312" s="286" t="str">
        <f t="shared" si="56"/>
        <v>. Grab Handles / Oh Shit Bars (TOSS ALL)</v>
      </c>
      <c r="S312" s="286"/>
      <c r="T312" s="16"/>
      <c r="U312" s="16"/>
      <c r="V312" s="16"/>
      <c r="W312" s="16"/>
      <c r="X312" s="16"/>
      <c r="Y312" s="16"/>
      <c r="Z312" s="10" t="s">
        <v>1190</v>
      </c>
      <c r="AA312" s="10" t="s">
        <v>1190</v>
      </c>
      <c r="AB312" s="10" t="s">
        <v>1190</v>
      </c>
      <c r="AC312" s="193" t="s">
        <v>449</v>
      </c>
      <c r="AD312" s="10"/>
      <c r="AE312" s="10"/>
      <c r="AF312" s="200" t="s">
        <v>434</v>
      </c>
      <c r="AG312" s="56"/>
      <c r="AH312" s="3" t="s">
        <v>435</v>
      </c>
      <c r="AI312"/>
      <c r="AJ312" s="69"/>
      <c r="AK312" t="s">
        <v>1191</v>
      </c>
      <c r="AL312"/>
      <c r="AM312"/>
      <c r="AX312" s="16"/>
      <c r="AY312" s="16"/>
      <c r="AZ312" s="232" t="str">
        <f>IF($AX312="Yes",'8. Option Codes Decrypted'!$C$15,"")</f>
        <v/>
      </c>
      <c r="BA312" s="232" t="str">
        <f>IF($AX312="Yes",'8. Option Codes Decrypted'!$C$16,"")</f>
        <v/>
      </c>
      <c r="BB312" s="232" t="str">
        <f>IF($AX312="Yes",'8. Option Codes Decrypted'!$C$17,"")</f>
        <v/>
      </c>
      <c r="BC312" s="232" t="str">
        <f>IF($AX312="Yes",'8. Option Codes Decrypted'!$C$18,"")</f>
        <v/>
      </c>
      <c r="BD312" s="232" t="str">
        <f>IF($AY312="Yes",'8. Option Codes Decrypted'!$C$20,"")</f>
        <v/>
      </c>
      <c r="BE312" s="232" t="str">
        <f>IF($AY312="Yes",'8. Option Codes Decrypted'!$C$21,"")</f>
        <v/>
      </c>
      <c r="BF312" s="232" t="str">
        <f>IF($AY312="Yes",'8. Option Codes Decrypted'!$C$22,"")</f>
        <v/>
      </c>
      <c r="BG312" s="232" t="str">
        <f>IF($AY312="Yes",'8. Option Codes Decrypted'!$C$23,"")</f>
        <v/>
      </c>
    </row>
    <row r="313" spans="1:59" x14ac:dyDescent="0.25">
      <c r="A313" s="232" t="str">
        <f t="shared" si="57"/>
        <v/>
      </c>
      <c r="B313" s="358" t="str">
        <f t="shared" si="54"/>
        <v/>
      </c>
      <c r="C313" s="358" t="str">
        <f t="shared" si="62"/>
        <v/>
      </c>
      <c r="D313" s="358"/>
      <c r="E313" s="358" t="str">
        <f t="shared" si="55"/>
        <v/>
      </c>
      <c r="F313" t="s">
        <v>426</v>
      </c>
      <c r="G313" s="230">
        <v>44683</v>
      </c>
      <c r="H313" s="10"/>
      <c r="I313" s="10"/>
      <c r="J313" s="10" t="s">
        <v>504</v>
      </c>
      <c r="K313" s="10" t="s">
        <v>200</v>
      </c>
      <c r="L313" s="10" t="s">
        <v>1192</v>
      </c>
      <c r="M313" s="16" t="s">
        <v>430</v>
      </c>
      <c r="N313" s="16"/>
      <c r="O313" s="191"/>
      <c r="P313" s="191"/>
      <c r="Q313" s="191"/>
      <c r="R313" s="286" t="str">
        <f t="shared" si="56"/>
        <v>. Microphone, Hands Free Roof Mounted Mics (TOSS ALL)</v>
      </c>
      <c r="S313" s="286"/>
      <c r="T313" s="16"/>
      <c r="U313" s="16"/>
      <c r="V313" s="16"/>
      <c r="W313" s="16"/>
      <c r="X313" s="16"/>
      <c r="Y313" s="16"/>
      <c r="Z313" s="10" t="s">
        <v>1192</v>
      </c>
      <c r="AA313" s="10" t="s">
        <v>1192</v>
      </c>
      <c r="AB313" s="10" t="s">
        <v>1192</v>
      </c>
      <c r="AC313" s="193" t="s">
        <v>449</v>
      </c>
      <c r="AD313" s="10"/>
      <c r="AE313" s="10"/>
      <c r="AF313" s="200" t="s">
        <v>434</v>
      </c>
      <c r="AH313" s="3" t="s">
        <v>435</v>
      </c>
      <c r="AJ313" s="69"/>
      <c r="AK313" t="s">
        <v>1193</v>
      </c>
      <c r="AN313"/>
      <c r="AX313" s="16"/>
      <c r="AY313" s="16"/>
      <c r="AZ313" s="232" t="str">
        <f>IF($AX313="Yes",'8. Option Codes Decrypted'!$C$15,"")</f>
        <v/>
      </c>
      <c r="BA313" s="232" t="str">
        <f>IF($AX313="Yes",'8. Option Codes Decrypted'!$C$16,"")</f>
        <v/>
      </c>
      <c r="BB313" s="232" t="str">
        <f>IF($AX313="Yes",'8. Option Codes Decrypted'!$C$17,"")</f>
        <v/>
      </c>
      <c r="BC313" s="232" t="str">
        <f>IF($AX313="Yes",'8. Option Codes Decrypted'!$C$18,"")</f>
        <v/>
      </c>
      <c r="BD313" s="232" t="str">
        <f>IF($AY313="Yes",'8. Option Codes Decrypted'!$C$20,"")</f>
        <v/>
      </c>
      <c r="BE313" s="232" t="str">
        <f>IF($AY313="Yes",'8. Option Codes Decrypted'!$C$21,"")</f>
        <v/>
      </c>
      <c r="BF313" s="232" t="str">
        <f>IF($AY313="Yes",'8. Option Codes Decrypted'!$C$22,"")</f>
        <v/>
      </c>
      <c r="BG313" s="232" t="str">
        <f>IF($AY313="Yes",'8. Option Codes Decrypted'!$C$23,"")</f>
        <v/>
      </c>
    </row>
    <row r="314" spans="1:59" x14ac:dyDescent="0.25">
      <c r="A314" s="232" t="str">
        <f t="shared" si="57"/>
        <v/>
      </c>
      <c r="B314" s="358" t="str">
        <f t="shared" si="54"/>
        <v/>
      </c>
      <c r="C314" s="358" t="str">
        <f t="shared" si="62"/>
        <v/>
      </c>
      <c r="D314" s="358"/>
      <c r="E314" s="358" t="str">
        <f t="shared" si="55"/>
        <v/>
      </c>
      <c r="F314" t="s">
        <v>426</v>
      </c>
      <c r="G314" s="230">
        <v>44683</v>
      </c>
      <c r="H314" s="10"/>
      <c r="I314" s="10"/>
      <c r="J314" s="10" t="s">
        <v>504</v>
      </c>
      <c r="K314" s="10" t="s">
        <v>200</v>
      </c>
      <c r="L314" s="10" t="s">
        <v>1194</v>
      </c>
      <c r="M314" s="16" t="s">
        <v>430</v>
      </c>
      <c r="N314" s="16"/>
      <c r="O314" s="191"/>
      <c r="P314" s="191"/>
      <c r="Q314" s="191"/>
      <c r="R314" s="286" t="str">
        <f t="shared" si="56"/>
        <v>. Pedal, Gas Pedal</v>
      </c>
      <c r="S314" s="286"/>
      <c r="T314" s="16"/>
      <c r="U314" s="16"/>
      <c r="V314" s="16"/>
      <c r="W314" s="16"/>
      <c r="X314" s="16"/>
      <c r="Y314" s="16"/>
      <c r="Z314" s="10" t="s">
        <v>1194</v>
      </c>
      <c r="AA314" s="10" t="s">
        <v>1194</v>
      </c>
      <c r="AB314" s="10" t="s">
        <v>1194</v>
      </c>
      <c r="AC314" s="193" t="s">
        <v>449</v>
      </c>
      <c r="AD314" s="10"/>
      <c r="AE314" s="10"/>
      <c r="AF314" s="200" t="s">
        <v>434</v>
      </c>
      <c r="AH314" s="3" t="s">
        <v>435</v>
      </c>
      <c r="AJ314" s="69"/>
      <c r="AK314" t="s">
        <v>1195</v>
      </c>
      <c r="AN314"/>
      <c r="AX314" s="16"/>
      <c r="AY314" s="16"/>
      <c r="AZ314" s="232" t="str">
        <f>IF($AX314="Yes",'8. Option Codes Decrypted'!$C$15,"")</f>
        <v/>
      </c>
      <c r="BA314" s="232" t="str">
        <f>IF($AX314="Yes",'8. Option Codes Decrypted'!$C$16,"")</f>
        <v/>
      </c>
      <c r="BB314" s="232" t="str">
        <f>IF($AX314="Yes",'8. Option Codes Decrypted'!$C$17,"")</f>
        <v/>
      </c>
      <c r="BC314" s="232" t="str">
        <f>IF($AX314="Yes",'8. Option Codes Decrypted'!$C$18,"")</f>
        <v/>
      </c>
      <c r="BD314" s="232" t="str">
        <f>IF($AY314="Yes",'8. Option Codes Decrypted'!$C$20,"")</f>
        <v/>
      </c>
      <c r="BE314" s="232" t="str">
        <f>IF($AY314="Yes",'8. Option Codes Decrypted'!$C$21,"")</f>
        <v/>
      </c>
      <c r="BF314" s="232" t="str">
        <f>IF($AY314="Yes",'8. Option Codes Decrypted'!$C$22,"")</f>
        <v/>
      </c>
      <c r="BG314" s="232" t="str">
        <f>IF($AY314="Yes",'8. Option Codes Decrypted'!$C$23,"")</f>
        <v/>
      </c>
    </row>
    <row r="315" spans="1:59" x14ac:dyDescent="0.25">
      <c r="A315" s="232" t="str">
        <f t="shared" si="57"/>
        <v/>
      </c>
      <c r="B315" s="358" t="str">
        <f t="shared" si="54"/>
        <v/>
      </c>
      <c r="C315" s="358" t="str">
        <f t="shared" si="62"/>
        <v/>
      </c>
      <c r="D315" s="358"/>
      <c r="E315" s="358" t="str">
        <f t="shared" si="55"/>
        <v/>
      </c>
      <c r="F315" t="s">
        <v>426</v>
      </c>
      <c r="G315" s="230">
        <v>44684</v>
      </c>
      <c r="H315" s="10"/>
      <c r="I315" s="10"/>
      <c r="J315" s="10" t="s">
        <v>504</v>
      </c>
      <c r="K315" s="15" t="s">
        <v>200</v>
      </c>
      <c r="L315" s="10" t="s">
        <v>1196</v>
      </c>
      <c r="M315" s="16" t="s">
        <v>430</v>
      </c>
      <c r="N315" s="16"/>
      <c r="O315" s="191"/>
      <c r="P315" s="191"/>
      <c r="Q315" s="191"/>
      <c r="R315" s="286" t="str">
        <f t="shared" si="56"/>
        <v>. REAR CENTER CONSOLE Storage Tray, Trim Panel &amp; 12v Sockets (TOSS, but DO KEEP vent &amp; climate control)</v>
      </c>
      <c r="S315" s="286"/>
      <c r="T315" s="16"/>
      <c r="U315" s="16"/>
      <c r="V315" s="16"/>
      <c r="W315" s="16"/>
      <c r="X315" s="16"/>
      <c r="Y315" s="16"/>
      <c r="Z315" s="10" t="s">
        <v>1196</v>
      </c>
      <c r="AA315" s="10" t="s">
        <v>1196</v>
      </c>
      <c r="AB315" s="10" t="s">
        <v>1196</v>
      </c>
      <c r="AC315" s="193" t="s">
        <v>449</v>
      </c>
      <c r="AD315" s="10"/>
      <c r="AE315" s="10"/>
      <c r="AF315" s="200" t="s">
        <v>434</v>
      </c>
      <c r="AH315" s="3" t="s">
        <v>435</v>
      </c>
      <c r="AJ315" s="69"/>
      <c r="AK315" t="s">
        <v>1197</v>
      </c>
      <c r="AN315"/>
      <c r="AX315" s="16"/>
      <c r="AY315" s="16"/>
      <c r="AZ315" s="232" t="str">
        <f>IF($AX315="Yes",'8. Option Codes Decrypted'!$C$15,"")</f>
        <v/>
      </c>
      <c r="BA315" s="232" t="str">
        <f>IF($AX315="Yes",'8. Option Codes Decrypted'!$C$16,"")</f>
        <v/>
      </c>
      <c r="BB315" s="232" t="str">
        <f>IF($AX315="Yes",'8. Option Codes Decrypted'!$C$17,"")</f>
        <v/>
      </c>
      <c r="BC315" s="232" t="str">
        <f>IF($AX315="Yes",'8. Option Codes Decrypted'!$C$18,"")</f>
        <v/>
      </c>
      <c r="BD315" s="232" t="str">
        <f>IF($AY315="Yes",'8. Option Codes Decrypted'!$C$20,"")</f>
        <v/>
      </c>
      <c r="BE315" s="232" t="str">
        <f>IF($AY315="Yes",'8. Option Codes Decrypted'!$C$21,"")</f>
        <v/>
      </c>
      <c r="BF315" s="232" t="str">
        <f>IF($AY315="Yes",'8. Option Codes Decrypted'!$C$22,"")</f>
        <v/>
      </c>
      <c r="BG315" s="232" t="str">
        <f>IF($AY315="Yes",'8. Option Codes Decrypted'!$C$23,"")</f>
        <v/>
      </c>
    </row>
    <row r="316" spans="1:59" x14ac:dyDescent="0.25">
      <c r="A316" s="232" t="str">
        <f t="shared" si="57"/>
        <v/>
      </c>
      <c r="B316" s="358" t="str">
        <f t="shared" si="54"/>
        <v/>
      </c>
      <c r="C316" s="358" t="str">
        <f t="shared" si="62"/>
        <v/>
      </c>
      <c r="D316" s="358"/>
      <c r="E316" s="358" t="str">
        <f t="shared" si="55"/>
        <v/>
      </c>
      <c r="F316" t="s">
        <v>426</v>
      </c>
      <c r="G316" s="230">
        <v>44684</v>
      </c>
      <c r="H316" s="10"/>
      <c r="I316" s="10"/>
      <c r="J316" s="10" t="s">
        <v>504</v>
      </c>
      <c r="K316" s="15" t="s">
        <v>200</v>
      </c>
      <c r="L316" s="10" t="s">
        <v>1198</v>
      </c>
      <c r="M316" s="16" t="s">
        <v>430</v>
      </c>
      <c r="N316" s="16"/>
      <c r="O316" s="191"/>
      <c r="P316" s="191"/>
      <c r="Q316" s="191"/>
      <c r="R316" s="286" t="str">
        <f t="shared" si="56"/>
        <v>. Speaker Grilles (TOSS ALL)</v>
      </c>
      <c r="S316" s="286"/>
      <c r="T316" s="16"/>
      <c r="U316" s="16"/>
      <c r="V316" s="16"/>
      <c r="W316" s="16"/>
      <c r="X316" s="16"/>
      <c r="Y316" s="16"/>
      <c r="Z316" s="10" t="s">
        <v>1198</v>
      </c>
      <c r="AA316" s="10" t="s">
        <v>1198</v>
      </c>
      <c r="AB316" s="10" t="s">
        <v>1198</v>
      </c>
      <c r="AC316" s="193" t="s">
        <v>449</v>
      </c>
      <c r="AD316" s="10"/>
      <c r="AE316" s="10"/>
      <c r="AF316" s="200" t="s">
        <v>434</v>
      </c>
      <c r="AH316" s="3" t="s">
        <v>435</v>
      </c>
      <c r="AJ316" s="69"/>
      <c r="AK316" t="s">
        <v>1199</v>
      </c>
      <c r="AN316"/>
      <c r="AX316" s="16"/>
      <c r="AY316" s="16"/>
      <c r="AZ316" s="232" t="str">
        <f>IF($AX316="Yes",'8. Option Codes Decrypted'!$C$15,"")</f>
        <v/>
      </c>
      <c r="BA316" s="232" t="str">
        <f>IF($AX316="Yes",'8. Option Codes Decrypted'!$C$16,"")</f>
        <v/>
      </c>
      <c r="BB316" s="232" t="str">
        <f>IF($AX316="Yes",'8. Option Codes Decrypted'!$C$17,"")</f>
        <v/>
      </c>
      <c r="BC316" s="232" t="str">
        <f>IF($AX316="Yes",'8. Option Codes Decrypted'!$C$18,"")</f>
        <v/>
      </c>
      <c r="BD316" s="232" t="str">
        <f>IF($AY316="Yes",'8. Option Codes Decrypted'!$C$20,"")</f>
        <v/>
      </c>
      <c r="BE316" s="232" t="str">
        <f>IF($AY316="Yes",'8. Option Codes Decrypted'!$C$21,"")</f>
        <v/>
      </c>
      <c r="BF316" s="232" t="str">
        <f>IF($AY316="Yes",'8. Option Codes Decrypted'!$C$22,"")</f>
        <v/>
      </c>
      <c r="BG316" s="232" t="str">
        <f>IF($AY316="Yes",'8. Option Codes Decrypted'!$C$23,"")</f>
        <v/>
      </c>
    </row>
    <row r="317" spans="1:59" x14ac:dyDescent="0.25">
      <c r="A317" s="232" t="str">
        <f t="shared" si="57"/>
        <v/>
      </c>
      <c r="B317" s="358" t="str">
        <f t="shared" si="54"/>
        <v/>
      </c>
      <c r="C317" s="358" t="str">
        <f t="shared" si="62"/>
        <v/>
      </c>
      <c r="D317" s="358"/>
      <c r="E317" s="358" t="str">
        <f t="shared" si="55"/>
        <v/>
      </c>
      <c r="F317" t="s">
        <v>426</v>
      </c>
      <c r="G317" s="230">
        <v>44684</v>
      </c>
      <c r="H317" s="10"/>
      <c r="I317" s="10"/>
      <c r="J317" s="10" t="s">
        <v>504</v>
      </c>
      <c r="K317" s="15" t="s">
        <v>200</v>
      </c>
      <c r="L317" s="10" t="s">
        <v>1200</v>
      </c>
      <c r="M317" s="16" t="s">
        <v>430</v>
      </c>
      <c r="N317" s="16"/>
      <c r="O317" s="191"/>
      <c r="P317" s="191"/>
      <c r="Q317" s="191"/>
      <c r="R317" s="286" t="str">
        <f t="shared" si="56"/>
        <v>. Speedometer Instrument Gauge Cluster Trim (big plastic piece)</v>
      </c>
      <c r="S317" s="286"/>
      <c r="T317" s="16"/>
      <c r="U317" s="16"/>
      <c r="V317" s="16"/>
      <c r="W317" s="16"/>
      <c r="X317" s="16"/>
      <c r="Y317" s="16"/>
      <c r="Z317" s="10" t="s">
        <v>1200</v>
      </c>
      <c r="AA317" s="10" t="s">
        <v>1200</v>
      </c>
      <c r="AB317" s="10" t="s">
        <v>1200</v>
      </c>
      <c r="AC317" s="193" t="s">
        <v>449</v>
      </c>
      <c r="AD317" s="10"/>
      <c r="AE317" s="10"/>
      <c r="AF317" s="200" t="s">
        <v>434</v>
      </c>
      <c r="AH317" s="3" t="s">
        <v>435</v>
      </c>
      <c r="AJ317" s="69"/>
      <c r="AK317" t="s">
        <v>1201</v>
      </c>
      <c r="AN317"/>
      <c r="AX317" s="16"/>
      <c r="AY317" s="16"/>
      <c r="AZ317" s="232" t="str">
        <f>IF($AX317="Yes",'8. Option Codes Decrypted'!$C$15,"")</f>
        <v/>
      </c>
      <c r="BA317" s="232" t="str">
        <f>IF($AX317="Yes",'8. Option Codes Decrypted'!$C$16,"")</f>
        <v/>
      </c>
      <c r="BB317" s="232" t="str">
        <f>IF($AX317="Yes",'8. Option Codes Decrypted'!$C$17,"")</f>
        <v/>
      </c>
      <c r="BC317" s="232" t="str">
        <f>IF($AX317="Yes",'8. Option Codes Decrypted'!$C$18,"")</f>
        <v/>
      </c>
      <c r="BD317" s="232" t="str">
        <f>IF($AY317="Yes",'8. Option Codes Decrypted'!$C$20,"")</f>
        <v/>
      </c>
      <c r="BE317" s="232" t="str">
        <f>IF($AY317="Yes",'8. Option Codes Decrypted'!$C$21,"")</f>
        <v/>
      </c>
      <c r="BF317" s="232" t="str">
        <f>IF($AY317="Yes",'8. Option Codes Decrypted'!$C$22,"")</f>
        <v/>
      </c>
      <c r="BG317" s="232" t="str">
        <f>IF($AY317="Yes",'8. Option Codes Decrypted'!$C$23,"")</f>
        <v/>
      </c>
    </row>
    <row r="318" spans="1:59" ht="15.75" thickBot="1" x14ac:dyDescent="0.3">
      <c r="A318" s="232" t="str">
        <f t="shared" si="57"/>
        <v/>
      </c>
      <c r="B318" s="358" t="str">
        <f t="shared" si="54"/>
        <v/>
      </c>
      <c r="C318" s="358" t="str">
        <f t="shared" si="62"/>
        <v/>
      </c>
      <c r="D318" s="358"/>
      <c r="E318" s="358" t="str">
        <f t="shared" si="55"/>
        <v/>
      </c>
      <c r="F318" t="s">
        <v>426</v>
      </c>
      <c r="G318" s="230">
        <v>44683</v>
      </c>
      <c r="H318" s="10"/>
      <c r="I318" s="10"/>
      <c r="J318" s="10" t="s">
        <v>504</v>
      </c>
      <c r="K318" s="15" t="s">
        <v>200</v>
      </c>
      <c r="L318" s="10" t="s">
        <v>1202</v>
      </c>
      <c r="M318" s="16" t="s">
        <v>430</v>
      </c>
      <c r="N318" s="16"/>
      <c r="O318" s="191"/>
      <c r="P318" s="191"/>
      <c r="Q318" s="191"/>
      <c r="R318" s="286" t="str">
        <f t="shared" si="56"/>
        <v>. Steering Column Assembly &amp; Adjust Motors (the big primary one - TOSS ALL)</v>
      </c>
      <c r="S318" s="286"/>
      <c r="T318" s="16"/>
      <c r="U318" s="16"/>
      <c r="V318" s="16"/>
      <c r="W318" s="16"/>
      <c r="X318" s="16"/>
      <c r="Y318" s="16"/>
      <c r="Z318" s="10" t="s">
        <v>1202</v>
      </c>
      <c r="AA318" s="10" t="s">
        <v>1202</v>
      </c>
      <c r="AB318" s="10" t="s">
        <v>1202</v>
      </c>
      <c r="AC318" s="193" t="s">
        <v>449</v>
      </c>
      <c r="AD318" s="10"/>
      <c r="AE318" s="10"/>
      <c r="AF318" s="200" t="s">
        <v>434</v>
      </c>
      <c r="AH318" s="3" t="s">
        <v>435</v>
      </c>
      <c r="AJ318" s="69"/>
      <c r="AK318" t="s">
        <v>1203</v>
      </c>
      <c r="AN318"/>
      <c r="AX318" s="16"/>
      <c r="AY318" s="16"/>
      <c r="AZ318" s="232" t="str">
        <f>IF($AX318="Yes",'8. Option Codes Decrypted'!$C$15,"")</f>
        <v/>
      </c>
      <c r="BA318" s="232" t="str">
        <f>IF($AX318="Yes",'8. Option Codes Decrypted'!$C$16,"")</f>
        <v/>
      </c>
      <c r="BB318" s="232" t="str">
        <f>IF($AX318="Yes",'8. Option Codes Decrypted'!$C$17,"")</f>
        <v/>
      </c>
      <c r="BC318" s="232" t="str">
        <f>IF($AX318="Yes",'8. Option Codes Decrypted'!$C$18,"")</f>
        <v/>
      </c>
      <c r="BD318" s="232" t="str">
        <f>IF($AY318="Yes",'8. Option Codes Decrypted'!$C$20,"")</f>
        <v/>
      </c>
      <c r="BE318" s="232" t="str">
        <f>IF($AY318="Yes",'8. Option Codes Decrypted'!$C$21,"")</f>
        <v/>
      </c>
      <c r="BF318" s="232" t="str">
        <f>IF($AY318="Yes",'8. Option Codes Decrypted'!$C$22,"")</f>
        <v/>
      </c>
      <c r="BG318" s="232" t="str">
        <f>IF($AY318="Yes",'8. Option Codes Decrypted'!$C$23,"")</f>
        <v/>
      </c>
    </row>
    <row r="319" spans="1:59" s="296" customFormat="1" ht="15.75" thickBot="1" x14ac:dyDescent="0.3">
      <c r="A319" s="232" t="str">
        <f t="shared" si="57"/>
        <v>A56</v>
      </c>
      <c r="B319" s="358" t="str">
        <f t="shared" si="54"/>
        <v/>
      </c>
      <c r="C319" s="358" t="str">
        <f t="shared" si="62"/>
        <v>F15-Steering Wheel Adjust Switch With Steering Wheel Heater-14-18-ALL</v>
      </c>
      <c r="D319" s="358"/>
      <c r="E319" s="358" t="str">
        <f t="shared" si="55"/>
        <v/>
      </c>
      <c r="F319" s="296" t="s">
        <v>426</v>
      </c>
      <c r="G319" s="297">
        <v>45218</v>
      </c>
      <c r="H319" s="298"/>
      <c r="I319" s="298"/>
      <c r="J319" s="298" t="s">
        <v>427</v>
      </c>
      <c r="K319" s="299" t="s">
        <v>200</v>
      </c>
      <c r="L319" s="298" t="s">
        <v>490</v>
      </c>
      <c r="M319" s="298" t="s">
        <v>430</v>
      </c>
      <c r="N319" s="298">
        <v>46</v>
      </c>
      <c r="O319" s="299" t="s">
        <v>300</v>
      </c>
      <c r="P319" s="299" t="s">
        <v>445</v>
      </c>
      <c r="Q319" s="299">
        <v>1</v>
      </c>
      <c r="R319" s="299" t="str">
        <f t="shared" si="56"/>
        <v>A56. Steering Wheel Adjust Switch With Steering Wheel Heater</v>
      </c>
      <c r="S319" s="365" t="str">
        <f>HYPERLINK(VLOOKUP(O319,'3D. Pictures'!$B$3:$E$500,4,FALSE),"PIC")</f>
        <v>PIC</v>
      </c>
      <c r="T319" s="298">
        <v>5</v>
      </c>
      <c r="U319" s="298">
        <v>9267367</v>
      </c>
      <c r="V319" s="298" t="s">
        <v>80</v>
      </c>
      <c r="W319" s="298"/>
      <c r="X319" s="298"/>
      <c r="Y319" s="298"/>
      <c r="Z319" s="298" t="s">
        <v>1204</v>
      </c>
      <c r="AA319" s="298"/>
      <c r="AB319" s="298"/>
      <c r="AC319" s="213" t="s">
        <v>449</v>
      </c>
      <c r="AD319" s="298"/>
      <c r="AE319" s="298">
        <v>80</v>
      </c>
      <c r="AF319" s="326" t="s">
        <v>434</v>
      </c>
      <c r="AG319" s="301"/>
      <c r="AH319" s="302" t="s">
        <v>435</v>
      </c>
      <c r="AJ319" s="303"/>
      <c r="AK319" s="296" t="s">
        <v>1035</v>
      </c>
      <c r="AL319" s="296" t="s">
        <v>1036</v>
      </c>
      <c r="AM319" s="296" t="s">
        <v>1037</v>
      </c>
      <c r="AR319" s="296" t="s">
        <v>1205</v>
      </c>
      <c r="AS319" s="296" t="str">
        <f>CONCATENATE(AT319,"-",AU319,"-",AV319,"-",AW319)</f>
        <v>F15-Steering Wheel Adjust Switch With Steering Wheel Heater-14-18-ALL</v>
      </c>
      <c r="AT319" s="296" t="s">
        <v>661</v>
      </c>
      <c r="AU319" s="296" t="str">
        <f>Z319</f>
        <v>Steering Wheel Adjust Switch With Steering Wheel Heater</v>
      </c>
      <c r="AV319" s="296" t="s">
        <v>757</v>
      </c>
      <c r="AW319" s="296" t="s">
        <v>662</v>
      </c>
      <c r="AX319" s="298"/>
      <c r="AY319" s="298"/>
      <c r="AZ319" s="232" t="str">
        <f>IF($AX319="Yes",'8. Option Codes Decrypted'!$C$15,"")</f>
        <v/>
      </c>
      <c r="BA319" s="232" t="str">
        <f>IF($AX319="Yes",'8. Option Codes Decrypted'!$C$16,"")</f>
        <v/>
      </c>
      <c r="BB319" s="232" t="str">
        <f>IF($AX319="Yes",'8. Option Codes Decrypted'!$C$17,"")</f>
        <v/>
      </c>
      <c r="BC319" s="232" t="str">
        <f>IF($AX319="Yes",'8. Option Codes Decrypted'!$C$18,"")</f>
        <v/>
      </c>
      <c r="BD319" s="232" t="str">
        <f>IF($AY319="Yes",'8. Option Codes Decrypted'!$C$20,"")</f>
        <v/>
      </c>
      <c r="BE319" s="232" t="str">
        <f>IF($AY319="Yes",'8. Option Codes Decrypted'!$C$21,"")</f>
        <v/>
      </c>
      <c r="BF319" s="232" t="str">
        <f>IF($AY319="Yes",'8. Option Codes Decrypted'!$C$22,"")</f>
        <v/>
      </c>
      <c r="BG319" s="232" t="str">
        <f>IF($AY319="Yes",'8. Option Codes Decrypted'!$C$23,"")</f>
        <v/>
      </c>
    </row>
    <row r="320" spans="1:59" s="296" customFormat="1" x14ac:dyDescent="0.25">
      <c r="A320" s="232" t="str">
        <f t="shared" si="57"/>
        <v/>
      </c>
      <c r="B320" s="358" t="str">
        <f t="shared" si="54"/>
        <v/>
      </c>
      <c r="C320" s="358" t="str">
        <f t="shared" si="62"/>
        <v>F15-Steering Wheel Adjust Switch Without Steering Wheel Heater-14-18-ALL</v>
      </c>
      <c r="D320" s="358"/>
      <c r="E320" s="358" t="str">
        <f t="shared" si="55"/>
        <v/>
      </c>
      <c r="F320" s="296" t="s">
        <v>426</v>
      </c>
      <c r="G320" s="297">
        <v>45218</v>
      </c>
      <c r="H320" s="298"/>
      <c r="I320" s="298"/>
      <c r="J320" s="298" t="s">
        <v>427</v>
      </c>
      <c r="K320" s="299" t="s">
        <v>200</v>
      </c>
      <c r="L320" s="298" t="s">
        <v>490</v>
      </c>
      <c r="M320" s="298" t="s">
        <v>430</v>
      </c>
      <c r="N320" s="298"/>
      <c r="O320" s="299"/>
      <c r="P320" s="299"/>
      <c r="Q320" s="299"/>
      <c r="R320" s="299" t="str">
        <f t="shared" si="56"/>
        <v>. Steering Wheel Adjust Switch Without Steering Wheel Heater</v>
      </c>
      <c r="S320" s="299"/>
      <c r="T320" s="298"/>
      <c r="U320" s="298"/>
      <c r="V320" s="298"/>
      <c r="W320" s="298"/>
      <c r="X320" s="298"/>
      <c r="Y320" s="298"/>
      <c r="Z320" s="298" t="s">
        <v>1206</v>
      </c>
      <c r="AA320" s="298"/>
      <c r="AB320" s="298"/>
      <c r="AC320" s="213" t="s">
        <v>449</v>
      </c>
      <c r="AD320" s="298"/>
      <c r="AE320" s="298">
        <v>45</v>
      </c>
      <c r="AF320" s="326" t="s">
        <v>434</v>
      </c>
      <c r="AG320" s="301"/>
      <c r="AH320" s="302" t="s">
        <v>435</v>
      </c>
      <c r="AJ320" s="303"/>
      <c r="AK320" s="296" t="s">
        <v>1035</v>
      </c>
      <c r="AL320" s="296" t="s">
        <v>1036</v>
      </c>
      <c r="AM320" s="296" t="s">
        <v>1037</v>
      </c>
      <c r="AR320" s="296" t="s">
        <v>1207</v>
      </c>
      <c r="AS320" s="296" t="str">
        <f>CONCATENATE(AT320,"-",AU320,"-",AV320,"-",AW320)</f>
        <v>F15-Steering Wheel Adjust Switch Without Steering Wheel Heater-14-18-ALL</v>
      </c>
      <c r="AT320" s="296" t="s">
        <v>661</v>
      </c>
      <c r="AU320" s="296" t="str">
        <f>Z320</f>
        <v>Steering Wheel Adjust Switch Without Steering Wheel Heater</v>
      </c>
      <c r="AV320" s="296" t="s">
        <v>757</v>
      </c>
      <c r="AW320" s="296" t="s">
        <v>662</v>
      </c>
      <c r="AX320" s="298"/>
      <c r="AY320" s="298"/>
      <c r="AZ320" s="232" t="str">
        <f>IF($AX320="Yes",'8. Option Codes Decrypted'!$C$15,"")</f>
        <v/>
      </c>
      <c r="BA320" s="232" t="str">
        <f>IF($AX320="Yes",'8. Option Codes Decrypted'!$C$16,"")</f>
        <v/>
      </c>
      <c r="BB320" s="232" t="str">
        <f>IF($AX320="Yes",'8. Option Codes Decrypted'!$C$17,"")</f>
        <v/>
      </c>
      <c r="BC320" s="232" t="str">
        <f>IF($AX320="Yes",'8. Option Codes Decrypted'!$C$18,"")</f>
        <v/>
      </c>
      <c r="BD320" s="232" t="str">
        <f>IF($AY320="Yes",'8. Option Codes Decrypted'!$C$20,"")</f>
        <v/>
      </c>
      <c r="BE320" s="232" t="str">
        <f>IF($AY320="Yes",'8. Option Codes Decrypted'!$C$21,"")</f>
        <v/>
      </c>
      <c r="BF320" s="232" t="str">
        <f>IF($AY320="Yes",'8. Option Codes Decrypted'!$C$22,"")</f>
        <v/>
      </c>
      <c r="BG320" s="232" t="str">
        <f>IF($AY320="Yes",'8. Option Codes Decrypted'!$C$23,"")</f>
        <v/>
      </c>
    </row>
    <row r="321" spans="1:59" ht="15.75" thickBot="1" x14ac:dyDescent="0.3">
      <c r="A321" s="232" t="str">
        <f t="shared" si="57"/>
        <v/>
      </c>
      <c r="B321" s="358" t="str">
        <f t="shared" si="54"/>
        <v/>
      </c>
      <c r="C321" s="358" t="str">
        <f t="shared" si="62"/>
        <v/>
      </c>
      <c r="D321" s="358"/>
      <c r="E321" s="358" t="str">
        <f t="shared" si="55"/>
        <v/>
      </c>
      <c r="F321" t="s">
        <v>426</v>
      </c>
      <c r="G321" s="230">
        <v>44683</v>
      </c>
      <c r="H321" s="10"/>
      <c r="I321" s="10"/>
      <c r="J321" s="10" t="s">
        <v>504</v>
      </c>
      <c r="K321" s="15" t="s">
        <v>200</v>
      </c>
      <c r="L321" s="10" t="s">
        <v>1208</v>
      </c>
      <c r="M321" s="16" t="s">
        <v>430</v>
      </c>
      <c r="N321" s="16"/>
      <c r="O321" s="191"/>
      <c r="P321" s="191"/>
      <c r="Q321" s="191"/>
      <c r="R321" s="286" t="str">
        <f t="shared" si="56"/>
        <v>. Vent, Pillar</v>
      </c>
      <c r="S321" s="286"/>
      <c r="T321" s="16"/>
      <c r="U321" s="16"/>
      <c r="V321" s="16"/>
      <c r="W321" s="16"/>
      <c r="X321" s="16"/>
      <c r="Y321" s="16"/>
      <c r="Z321" s="10" t="s">
        <v>1208</v>
      </c>
      <c r="AA321" s="10" t="s">
        <v>1208</v>
      </c>
      <c r="AB321" s="10" t="s">
        <v>1208</v>
      </c>
      <c r="AC321" s="193" t="s">
        <v>449</v>
      </c>
      <c r="AD321" s="10"/>
      <c r="AE321" s="10"/>
      <c r="AF321" s="200" t="s">
        <v>434</v>
      </c>
      <c r="AH321" s="3" t="s">
        <v>435</v>
      </c>
      <c r="AJ321" s="69"/>
      <c r="AK321" t="s">
        <v>1209</v>
      </c>
      <c r="AN321"/>
      <c r="AX321" s="16"/>
      <c r="AY321" s="16"/>
      <c r="AZ321" s="232" t="str">
        <f>IF($AX321="Yes",'8. Option Codes Decrypted'!$C$15,"")</f>
        <v/>
      </c>
      <c r="BA321" s="232" t="str">
        <f>IF($AX321="Yes",'8. Option Codes Decrypted'!$C$16,"")</f>
        <v/>
      </c>
      <c r="BB321" s="232" t="str">
        <f>IF($AX321="Yes",'8. Option Codes Decrypted'!$C$17,"")</f>
        <v/>
      </c>
      <c r="BC321" s="232" t="str">
        <f>IF($AX321="Yes",'8. Option Codes Decrypted'!$C$18,"")</f>
        <v/>
      </c>
      <c r="BD321" s="232" t="str">
        <f>IF($AY321="Yes",'8. Option Codes Decrypted'!$C$20,"")</f>
        <v/>
      </c>
      <c r="BE321" s="232" t="str">
        <f>IF($AY321="Yes",'8. Option Codes Decrypted'!$C$21,"")</f>
        <v/>
      </c>
      <c r="BF321" s="232" t="str">
        <f>IF($AY321="Yes",'8. Option Codes Decrypted'!$C$22,"")</f>
        <v/>
      </c>
      <c r="BG321" s="232" t="str">
        <f>IF($AY321="Yes",'8. Option Codes Decrypted'!$C$23,"")</f>
        <v/>
      </c>
    </row>
    <row r="322" spans="1:59" s="232" customFormat="1" ht="15.75" thickBot="1" x14ac:dyDescent="0.3">
      <c r="A322" s="232" t="str">
        <f t="shared" si="57"/>
        <v>A97</v>
      </c>
      <c r="B322" s="358" t="str">
        <f t="shared" si="54"/>
        <v>288-50844</v>
      </c>
      <c r="C322" s="358" t="str">
        <f t="shared" si="62"/>
        <v/>
      </c>
      <c r="D322" s="358"/>
      <c r="E322" s="358">
        <f t="shared" si="55"/>
        <v>1</v>
      </c>
      <c r="F322" s="232" t="s">
        <v>426</v>
      </c>
      <c r="G322" s="241">
        <v>44670</v>
      </c>
      <c r="H322" s="250"/>
      <c r="I322" s="250"/>
      <c r="J322" s="250" t="s">
        <v>427</v>
      </c>
      <c r="K322" s="251" t="s">
        <v>1210</v>
      </c>
      <c r="L322" s="250" t="s">
        <v>1211</v>
      </c>
      <c r="M322" s="243" t="s">
        <v>444</v>
      </c>
      <c r="N322" s="243">
        <v>87</v>
      </c>
      <c r="O322" s="285" t="s">
        <v>341</v>
      </c>
      <c r="P322" s="285" t="s">
        <v>724</v>
      </c>
      <c r="Q322" s="285">
        <v>1</v>
      </c>
      <c r="R322" s="286" t="str">
        <f t="shared" si="56"/>
        <v>A97. Sunroof, Glass - PANORAMIC, FRONT</v>
      </c>
      <c r="S322" s="365" t="str">
        <f>HYPERLINK(VLOOKUP(O322,'3D. Pictures'!$B$3:$E$500,4,FALSE),"PIC")</f>
        <v>PIC</v>
      </c>
      <c r="T322" s="243">
        <v>6</v>
      </c>
      <c r="U322" s="244" t="s">
        <v>1212</v>
      </c>
      <c r="V322" s="243" t="s">
        <v>80</v>
      </c>
      <c r="W322" s="244"/>
      <c r="X322" s="244"/>
      <c r="Y322" s="244"/>
      <c r="Z322" s="250" t="s">
        <v>1213</v>
      </c>
      <c r="AA322" s="250"/>
      <c r="AB322" s="250"/>
      <c r="AC322" s="244" t="s">
        <v>449</v>
      </c>
      <c r="AD322" s="250"/>
      <c r="AE322" s="250">
        <v>550</v>
      </c>
      <c r="AF322" s="232" t="s">
        <v>1214</v>
      </c>
      <c r="AG322" s="247"/>
      <c r="AH322" s="248" t="s">
        <v>435</v>
      </c>
      <c r="AJ322" s="249"/>
      <c r="AK322" s="232" t="s">
        <v>1215</v>
      </c>
      <c r="AL322" s="232" t="s">
        <v>1216</v>
      </c>
      <c r="AN322" s="233" t="s">
        <v>1217</v>
      </c>
      <c r="AO322" s="232" t="s">
        <v>411</v>
      </c>
      <c r="AP322" s="232">
        <v>50844</v>
      </c>
      <c r="AQ322" s="232" t="str">
        <f>CONCATENATE(AN322,AO322,AP322)</f>
        <v>288-50844</v>
      </c>
      <c r="AX322" s="244"/>
      <c r="AY322" s="244"/>
      <c r="AZ322" s="232" t="str">
        <f>IF($AX322="Yes",'8. Option Codes Decrypted'!$C$15,"")</f>
        <v/>
      </c>
      <c r="BA322" s="232" t="str">
        <f>IF($AX322="Yes",'8. Option Codes Decrypted'!$C$16,"")</f>
        <v/>
      </c>
      <c r="BB322" s="232" t="str">
        <f>IF($AX322="Yes",'8. Option Codes Decrypted'!$C$17,"")</f>
        <v/>
      </c>
      <c r="BC322" s="232" t="str">
        <f>IF($AX322="Yes",'8. Option Codes Decrypted'!$C$18,"")</f>
        <v/>
      </c>
      <c r="BD322" s="232" t="str">
        <f>IF($AY322="Yes",'8. Option Codes Decrypted'!$C$20,"")</f>
        <v/>
      </c>
      <c r="BE322" s="232" t="str">
        <f>IF($AY322="Yes",'8. Option Codes Decrypted'!$C$21,"")</f>
        <v/>
      </c>
      <c r="BF322" s="232" t="str">
        <f>IF($AY322="Yes",'8. Option Codes Decrypted'!$C$22,"")</f>
        <v/>
      </c>
      <c r="BG322" s="232" t="str">
        <f>IF($AY322="Yes",'8. Option Codes Decrypted'!$C$23,"")</f>
        <v/>
      </c>
    </row>
    <row r="323" spans="1:59" s="232" customFormat="1" ht="15.75" thickBot="1" x14ac:dyDescent="0.3">
      <c r="A323" s="232" t="str">
        <f t="shared" si="57"/>
        <v>A98</v>
      </c>
      <c r="B323" s="358" t="str">
        <f t="shared" si="54"/>
        <v>288-50845</v>
      </c>
      <c r="C323" s="358" t="str">
        <f t="shared" si="62"/>
        <v/>
      </c>
      <c r="D323" s="358"/>
      <c r="E323" s="358">
        <f t="shared" si="55"/>
        <v>1</v>
      </c>
      <c r="F323" s="232" t="s">
        <v>426</v>
      </c>
      <c r="G323" s="241">
        <v>44670</v>
      </c>
      <c r="H323" s="250"/>
      <c r="I323" s="250"/>
      <c r="J323" s="250" t="s">
        <v>427</v>
      </c>
      <c r="K323" s="251" t="s">
        <v>1210</v>
      </c>
      <c r="L323" s="250" t="s">
        <v>1211</v>
      </c>
      <c r="M323" s="243" t="s">
        <v>444</v>
      </c>
      <c r="N323" s="243">
        <v>88</v>
      </c>
      <c r="O323" s="285" t="s">
        <v>342</v>
      </c>
      <c r="P323" s="285" t="s">
        <v>724</v>
      </c>
      <c r="Q323" s="285">
        <v>1</v>
      </c>
      <c r="R323" s="286" t="str">
        <f t="shared" si="56"/>
        <v>A98. Sunroof, Glass - PANORAMIC, REAR</v>
      </c>
      <c r="S323" s="365" t="str">
        <f>HYPERLINK(VLOOKUP(O323,'3D. Pictures'!$B$3:$E$500,4,FALSE),"PIC")</f>
        <v>PIC</v>
      </c>
      <c r="T323" s="243">
        <v>6</v>
      </c>
      <c r="U323" s="244" t="s">
        <v>1218</v>
      </c>
      <c r="V323" s="243" t="s">
        <v>80</v>
      </c>
      <c r="W323" s="244"/>
      <c r="X323" s="244"/>
      <c r="Y323" s="244"/>
      <c r="Z323" s="250" t="s">
        <v>1219</v>
      </c>
      <c r="AA323" s="250"/>
      <c r="AB323" s="250"/>
      <c r="AC323" s="244" t="s">
        <v>449</v>
      </c>
      <c r="AD323" s="250"/>
      <c r="AE323" s="250">
        <v>295</v>
      </c>
      <c r="AF323" s="232" t="s">
        <v>1220</v>
      </c>
      <c r="AG323" s="247"/>
      <c r="AH323" s="248" t="s">
        <v>435</v>
      </c>
      <c r="AJ323" s="249"/>
      <c r="AK323" s="232" t="s">
        <v>1215</v>
      </c>
      <c r="AL323" s="232" t="s">
        <v>1216</v>
      </c>
      <c r="AN323" s="233" t="s">
        <v>1217</v>
      </c>
      <c r="AO323" s="232" t="s">
        <v>411</v>
      </c>
      <c r="AP323" s="232">
        <v>50845</v>
      </c>
      <c r="AQ323" s="232" t="str">
        <f>CONCATENATE(AN323,AO323,AP323)</f>
        <v>288-50845</v>
      </c>
      <c r="AX323" s="244"/>
      <c r="AY323" s="244"/>
      <c r="AZ323" s="232" t="str">
        <f>IF($AX323="Yes",'8. Option Codes Decrypted'!$C$15,"")</f>
        <v/>
      </c>
      <c r="BA323" s="232" t="str">
        <f>IF($AX323="Yes",'8. Option Codes Decrypted'!$C$16,"")</f>
        <v/>
      </c>
      <c r="BB323" s="232" t="str">
        <f>IF($AX323="Yes",'8. Option Codes Decrypted'!$C$17,"")</f>
        <v/>
      </c>
      <c r="BC323" s="232" t="str">
        <f>IF($AX323="Yes",'8. Option Codes Decrypted'!$C$18,"")</f>
        <v/>
      </c>
      <c r="BD323" s="232" t="str">
        <f>IF($AY323="Yes",'8. Option Codes Decrypted'!$C$20,"")</f>
        <v/>
      </c>
      <c r="BE323" s="232" t="str">
        <f>IF($AY323="Yes",'8. Option Codes Decrypted'!$C$21,"")</f>
        <v/>
      </c>
      <c r="BF323" s="232" t="str">
        <f>IF($AY323="Yes",'8. Option Codes Decrypted'!$C$22,"")</f>
        <v/>
      </c>
      <c r="BG323" s="232" t="str">
        <f>IF($AY323="Yes",'8. Option Codes Decrypted'!$C$23,"")</f>
        <v/>
      </c>
    </row>
    <row r="324" spans="1:59" s="232" customFormat="1" ht="15.75" thickBot="1" x14ac:dyDescent="0.3">
      <c r="A324" s="232" t="str">
        <f t="shared" si="57"/>
        <v>A37</v>
      </c>
      <c r="B324" s="358" t="str">
        <f t="shared" si="54"/>
        <v>628-999907</v>
      </c>
      <c r="C324" s="358" t="s">
        <v>1221</v>
      </c>
      <c r="D324" s="358" t="s">
        <v>281</v>
      </c>
      <c r="E324" s="358">
        <f t="shared" si="55"/>
        <v>2</v>
      </c>
      <c r="F324" s="232" t="s">
        <v>426</v>
      </c>
      <c r="G324" s="241">
        <v>44670</v>
      </c>
      <c r="H324" s="250"/>
      <c r="I324" s="250"/>
      <c r="J324" s="250" t="s">
        <v>427</v>
      </c>
      <c r="K324" s="251" t="s">
        <v>1210</v>
      </c>
      <c r="L324" s="250" t="s">
        <v>1222</v>
      </c>
      <c r="M324" s="243" t="s">
        <v>444</v>
      </c>
      <c r="N324" s="243">
        <v>27</v>
      </c>
      <c r="O324" s="285" t="s">
        <v>281</v>
      </c>
      <c r="P324" s="285" t="s">
        <v>459</v>
      </c>
      <c r="Q324" s="285">
        <v>1</v>
      </c>
      <c r="R324" s="286" t="str">
        <f t="shared" si="56"/>
        <v>A37. Sunroof, Motor</v>
      </c>
      <c r="S324" s="365" t="str">
        <f>HYPERLINK(VLOOKUP(O324,'3D. Pictures'!$B$3:$E$500,4,FALSE),"PIC")</f>
        <v>PIC</v>
      </c>
      <c r="T324" s="243">
        <v>4</v>
      </c>
      <c r="U324" s="244" t="s">
        <v>1223</v>
      </c>
      <c r="V324" s="243" t="s">
        <v>81</v>
      </c>
      <c r="W324" s="244"/>
      <c r="X324" s="244"/>
      <c r="Y324" s="244"/>
      <c r="Z324" s="250" t="s">
        <v>1222</v>
      </c>
      <c r="AA324" s="250"/>
      <c r="AB324" s="250" t="s">
        <v>1224</v>
      </c>
      <c r="AC324" s="244" t="s">
        <v>449</v>
      </c>
      <c r="AD324" s="250"/>
      <c r="AE324" s="250">
        <v>45</v>
      </c>
      <c r="AF324" s="232" t="s">
        <v>434</v>
      </c>
      <c r="AG324" s="247"/>
      <c r="AH324" s="248" t="s">
        <v>435</v>
      </c>
      <c r="AJ324" s="249"/>
      <c r="AK324" s="232" t="s">
        <v>1225</v>
      </c>
      <c r="AL324" s="232" t="s">
        <v>1226</v>
      </c>
      <c r="AN324" s="233" t="s">
        <v>1227</v>
      </c>
      <c r="AO324" s="232" t="s">
        <v>411</v>
      </c>
      <c r="AP324" s="232">
        <v>999907</v>
      </c>
      <c r="AQ324" s="232" t="str">
        <f>CONCATENATE(AN324,AO324,AP324)</f>
        <v>628-999907</v>
      </c>
      <c r="AX324" s="244"/>
      <c r="AY324" s="244"/>
      <c r="AZ324" s="232" t="str">
        <f>IF($AX324="Yes",'8. Option Codes Decrypted'!$C$15,"")</f>
        <v/>
      </c>
      <c r="BA324" s="232" t="str">
        <f>IF($AX324="Yes",'8. Option Codes Decrypted'!$C$16,"")</f>
        <v/>
      </c>
      <c r="BB324" s="232" t="str">
        <f>IF($AX324="Yes",'8. Option Codes Decrypted'!$C$17,"")</f>
        <v/>
      </c>
      <c r="BC324" s="232" t="str">
        <f>IF($AX324="Yes",'8. Option Codes Decrypted'!$C$18,"")</f>
        <v/>
      </c>
      <c r="BD324" s="232" t="str">
        <f>IF($AY324="Yes",'8. Option Codes Decrypted'!$C$20,"")</f>
        <v/>
      </c>
      <c r="BE324" s="232" t="str">
        <f>IF($AY324="Yes",'8. Option Codes Decrypted'!$C$21,"")</f>
        <v/>
      </c>
      <c r="BF324" s="232" t="str">
        <f>IF($AY324="Yes",'8. Option Codes Decrypted'!$C$22,"")</f>
        <v/>
      </c>
      <c r="BG324" s="232" t="str">
        <f>IF($AY324="Yes",'8. Option Codes Decrypted'!$C$23,"")</f>
        <v/>
      </c>
    </row>
    <row r="325" spans="1:59" s="232" customFormat="1" ht="15.75" thickBot="1" x14ac:dyDescent="0.3">
      <c r="A325" s="232" t="str">
        <f t="shared" si="57"/>
        <v>A38</v>
      </c>
      <c r="B325" s="358" t="str">
        <f t="shared" si="54"/>
        <v>628-999907</v>
      </c>
      <c r="C325" s="358" t="s">
        <v>1221</v>
      </c>
      <c r="D325" s="358" t="s">
        <v>282</v>
      </c>
      <c r="E325" s="358">
        <f t="shared" si="55"/>
        <v>2</v>
      </c>
      <c r="F325" s="232" t="s">
        <v>426</v>
      </c>
      <c r="G325" s="241">
        <v>44670</v>
      </c>
      <c r="H325" s="250"/>
      <c r="I325" s="250"/>
      <c r="J325" s="250" t="s">
        <v>427</v>
      </c>
      <c r="K325" s="251" t="s">
        <v>1210</v>
      </c>
      <c r="L325" s="250" t="s">
        <v>1222</v>
      </c>
      <c r="M325" s="243" t="s">
        <v>444</v>
      </c>
      <c r="N325" s="243">
        <v>28</v>
      </c>
      <c r="O325" s="285" t="s">
        <v>282</v>
      </c>
      <c r="P325" s="285" t="s">
        <v>459</v>
      </c>
      <c r="Q325" s="285">
        <v>1</v>
      </c>
      <c r="R325" s="286" t="str">
        <f t="shared" si="56"/>
        <v>A38. Sunroof, Motor</v>
      </c>
      <c r="S325" s="365" t="str">
        <f>HYPERLINK(VLOOKUP(O325,'3D. Pictures'!$B$3:$E$500,4,FALSE),"PIC")</f>
        <v>PIC</v>
      </c>
      <c r="T325" s="243">
        <v>4</v>
      </c>
      <c r="U325" s="244" t="s">
        <v>1223</v>
      </c>
      <c r="V325" s="243" t="s">
        <v>81</v>
      </c>
      <c r="W325" s="244"/>
      <c r="X325" s="244"/>
      <c r="Y325" s="244"/>
      <c r="Z325" s="250" t="s">
        <v>1222</v>
      </c>
      <c r="AA325" s="250"/>
      <c r="AB325" s="250" t="s">
        <v>1224</v>
      </c>
      <c r="AC325" s="244" t="s">
        <v>449</v>
      </c>
      <c r="AD325" s="250"/>
      <c r="AE325" s="250">
        <v>45</v>
      </c>
      <c r="AF325" s="232" t="s">
        <v>434</v>
      </c>
      <c r="AG325" s="247"/>
      <c r="AH325" s="248" t="s">
        <v>435</v>
      </c>
      <c r="AJ325" s="249"/>
      <c r="AK325" s="232" t="s">
        <v>1225</v>
      </c>
      <c r="AL325" s="232" t="s">
        <v>1226</v>
      </c>
      <c r="AN325" s="233" t="s">
        <v>1227</v>
      </c>
      <c r="AO325" s="232" t="s">
        <v>411</v>
      </c>
      <c r="AP325" s="232">
        <v>999907</v>
      </c>
      <c r="AQ325" s="232" t="str">
        <f>CONCATENATE(AN325,AO325,AP325)</f>
        <v>628-999907</v>
      </c>
      <c r="AX325" s="244"/>
      <c r="AY325" s="244"/>
      <c r="AZ325" s="232" t="str">
        <f>IF($AX325="Yes",'8. Option Codes Decrypted'!$C$15,"")</f>
        <v/>
      </c>
      <c r="BA325" s="232" t="str">
        <f>IF($AX325="Yes",'8. Option Codes Decrypted'!$C$16,"")</f>
        <v/>
      </c>
      <c r="BB325" s="232" t="str">
        <f>IF($AX325="Yes",'8. Option Codes Decrypted'!$C$17,"")</f>
        <v/>
      </c>
      <c r="BC325" s="232" t="str">
        <f>IF($AX325="Yes",'8. Option Codes Decrypted'!$C$18,"")</f>
        <v/>
      </c>
      <c r="BD325" s="232" t="str">
        <f>IF($AY325="Yes",'8. Option Codes Decrypted'!$C$20,"")</f>
        <v/>
      </c>
      <c r="BE325" s="232" t="str">
        <f>IF($AY325="Yes",'8. Option Codes Decrypted'!$C$21,"")</f>
        <v/>
      </c>
      <c r="BF325" s="232" t="str">
        <f>IF($AY325="Yes",'8. Option Codes Decrypted'!$C$22,"")</f>
        <v/>
      </c>
      <c r="BG325" s="232" t="str">
        <f>IF($AY325="Yes",'8. Option Codes Decrypted'!$C$23,"")</f>
        <v/>
      </c>
    </row>
    <row r="326" spans="1:59" x14ac:dyDescent="0.25">
      <c r="A326" s="232" t="str">
        <f t="shared" si="57"/>
        <v/>
      </c>
      <c r="B326" s="358" t="str">
        <f t="shared" si="54"/>
        <v/>
      </c>
      <c r="C326" s="358" t="str">
        <f t="shared" ref="C326:C361" si="63">IF(AS326&lt;&gt;"",AS326,"")</f>
        <v/>
      </c>
      <c r="D326" s="358"/>
      <c r="E326" s="358" t="str">
        <f t="shared" si="55"/>
        <v/>
      </c>
      <c r="F326" t="s">
        <v>426</v>
      </c>
      <c r="G326" s="230">
        <v>44670</v>
      </c>
      <c r="H326" s="10"/>
      <c r="I326" s="203"/>
      <c r="J326" s="10" t="s">
        <v>1228</v>
      </c>
      <c r="K326" s="15" t="s">
        <v>1210</v>
      </c>
      <c r="L326" s="10" t="s">
        <v>1229</v>
      </c>
      <c r="M326" s="195" t="s">
        <v>444</v>
      </c>
      <c r="N326" s="195"/>
      <c r="O326" s="292"/>
      <c r="P326" s="292"/>
      <c r="Q326" s="292"/>
      <c r="R326" s="286" t="str">
        <f t="shared" si="56"/>
        <v>. Sunroof, Assembly</v>
      </c>
      <c r="S326" s="286"/>
      <c r="T326" s="195"/>
      <c r="U326" s="193"/>
      <c r="V326" s="195"/>
      <c r="W326" s="193"/>
      <c r="X326" s="193"/>
      <c r="Y326" s="193"/>
      <c r="Z326" s="10" t="s">
        <v>1229</v>
      </c>
      <c r="AA326" s="10" t="s">
        <v>1229</v>
      </c>
      <c r="AB326" s="10" t="s">
        <v>1229</v>
      </c>
      <c r="AC326" s="193" t="s">
        <v>449</v>
      </c>
      <c r="AD326" s="10"/>
      <c r="AE326" s="10"/>
      <c r="AF326" t="s">
        <v>1230</v>
      </c>
      <c r="AH326" s="3" t="s">
        <v>435</v>
      </c>
      <c r="AJ326" s="69"/>
      <c r="AK326" t="s">
        <v>1231</v>
      </c>
      <c r="AL326" t="s">
        <v>1232</v>
      </c>
      <c r="AN326"/>
      <c r="AO326" t="s">
        <v>411</v>
      </c>
      <c r="AX326" s="193"/>
      <c r="AY326" s="193"/>
      <c r="AZ326" s="232" t="str">
        <f>IF($AX326="Yes",'8. Option Codes Decrypted'!$C$15,"")</f>
        <v/>
      </c>
      <c r="BA326" s="232" t="str">
        <f>IF($AX326="Yes",'8. Option Codes Decrypted'!$C$16,"")</f>
        <v/>
      </c>
      <c r="BB326" s="232" t="str">
        <f>IF($AX326="Yes",'8. Option Codes Decrypted'!$C$17,"")</f>
        <v/>
      </c>
      <c r="BC326" s="232" t="str">
        <f>IF($AX326="Yes",'8. Option Codes Decrypted'!$C$18,"")</f>
        <v/>
      </c>
      <c r="BD326" s="232" t="str">
        <f>IF($AY326="Yes",'8. Option Codes Decrypted'!$C$20,"")</f>
        <v/>
      </c>
      <c r="BE326" s="232" t="str">
        <f>IF($AY326="Yes",'8. Option Codes Decrypted'!$C$21,"")</f>
        <v/>
      </c>
      <c r="BF326" s="232" t="str">
        <f>IF($AY326="Yes",'8. Option Codes Decrypted'!$C$22,"")</f>
        <v/>
      </c>
      <c r="BG326" s="232" t="str">
        <f>IF($AY326="Yes",'8. Option Codes Decrypted'!$C$23,"")</f>
        <v/>
      </c>
    </row>
    <row r="327" spans="1:59" x14ac:dyDescent="0.25">
      <c r="A327" s="232" t="str">
        <f t="shared" si="57"/>
        <v/>
      </c>
      <c r="B327" s="358" t="str">
        <f t="shared" ref="B327:B390" si="64">IF(AQ327&lt;&gt;"",AQ327,"")</f>
        <v/>
      </c>
      <c r="C327" s="358" t="str">
        <f t="shared" si="63"/>
        <v/>
      </c>
      <c r="D327" s="358"/>
      <c r="E327" s="358" t="str">
        <f t="shared" si="55"/>
        <v/>
      </c>
      <c r="F327" t="s">
        <v>426</v>
      </c>
      <c r="G327" s="230">
        <v>44680</v>
      </c>
      <c r="H327" s="16"/>
      <c r="I327" s="188"/>
      <c r="J327" s="16" t="s">
        <v>427</v>
      </c>
      <c r="K327" s="191" t="s">
        <v>84</v>
      </c>
      <c r="L327" s="16" t="s">
        <v>1233</v>
      </c>
      <c r="M327" s="16" t="s">
        <v>430</v>
      </c>
      <c r="N327" s="16"/>
      <c r="O327" s="191"/>
      <c r="P327" s="191"/>
      <c r="Q327" s="191"/>
      <c r="R327" s="286" t="str">
        <f t="shared" si="56"/>
        <v>. 3rd Brake Light (keep IN spoiler if selling that - if not can sell solo)</v>
      </c>
      <c r="S327" s="286"/>
      <c r="T327" s="16"/>
      <c r="U327" s="16"/>
      <c r="V327" s="16"/>
      <c r="W327" s="16"/>
      <c r="X327" s="16"/>
      <c r="Y327" s="16"/>
      <c r="Z327" s="16" t="s">
        <v>1233</v>
      </c>
      <c r="AA327" s="16" t="s">
        <v>1233</v>
      </c>
      <c r="AB327" s="16" t="s">
        <v>1233</v>
      </c>
      <c r="AC327" s="193" t="s">
        <v>449</v>
      </c>
      <c r="AD327" s="16" t="s">
        <v>1234</v>
      </c>
      <c r="AE327" s="18" t="s">
        <v>1235</v>
      </c>
      <c r="AF327" s="11" t="s">
        <v>920</v>
      </c>
      <c r="AH327" s="3" t="s">
        <v>435</v>
      </c>
      <c r="AJ327" s="69"/>
      <c r="AK327" t="s">
        <v>921</v>
      </c>
      <c r="AL327" t="s">
        <v>1236</v>
      </c>
      <c r="AM327" t="s">
        <v>923</v>
      </c>
      <c r="AN327"/>
      <c r="AX327" s="16"/>
      <c r="AY327" s="16"/>
      <c r="AZ327" s="232" t="str">
        <f>IF($AX327="Yes",'8. Option Codes Decrypted'!$C$15,"")</f>
        <v/>
      </c>
      <c r="BA327" s="232" t="str">
        <f>IF($AX327="Yes",'8. Option Codes Decrypted'!$C$16,"")</f>
        <v/>
      </c>
      <c r="BB327" s="232" t="str">
        <f>IF($AX327="Yes",'8. Option Codes Decrypted'!$C$17,"")</f>
        <v/>
      </c>
      <c r="BC327" s="232" t="str">
        <f>IF($AX327="Yes",'8. Option Codes Decrypted'!$C$18,"")</f>
        <v/>
      </c>
      <c r="BD327" s="232" t="str">
        <f>IF($AY327="Yes",'8. Option Codes Decrypted'!$C$20,"")</f>
        <v/>
      </c>
      <c r="BE327" s="232" t="str">
        <f>IF($AY327="Yes",'8. Option Codes Decrypted'!$C$21,"")</f>
        <v/>
      </c>
      <c r="BF327" s="232" t="str">
        <f>IF($AY327="Yes",'8. Option Codes Decrypted'!$C$22,"")</f>
        <v/>
      </c>
      <c r="BG327" s="232" t="str">
        <f>IF($AY327="Yes",'8. Option Codes Decrypted'!$C$23,"")</f>
        <v/>
      </c>
    </row>
    <row r="328" spans="1:59" s="232" customFormat="1" x14ac:dyDescent="0.25">
      <c r="A328" s="232" t="str">
        <f t="shared" si="57"/>
        <v/>
      </c>
      <c r="B328" s="358" t="str">
        <f t="shared" si="64"/>
        <v>116-60560</v>
      </c>
      <c r="C328" s="358" t="str">
        <f t="shared" si="63"/>
        <v/>
      </c>
      <c r="D328" s="358"/>
      <c r="E328" s="358">
        <f t="shared" si="55"/>
        <v>1</v>
      </c>
      <c r="F328" s="232" t="s">
        <v>426</v>
      </c>
      <c r="G328" s="241">
        <v>44671</v>
      </c>
      <c r="H328" s="250"/>
      <c r="I328" s="250"/>
      <c r="J328" s="250" t="s">
        <v>427</v>
      </c>
      <c r="K328" s="251" t="s">
        <v>84</v>
      </c>
      <c r="L328" s="250" t="s">
        <v>1237</v>
      </c>
      <c r="M328" s="243" t="s">
        <v>444</v>
      </c>
      <c r="N328" s="243"/>
      <c r="O328" s="285"/>
      <c r="P328" s="285"/>
      <c r="Q328" s="285"/>
      <c r="R328" s="286" t="str">
        <f t="shared" si="56"/>
        <v>. Fog Light, FRONT - LEFT</v>
      </c>
      <c r="S328" s="286"/>
      <c r="T328" s="243"/>
      <c r="U328" s="244"/>
      <c r="V328" s="243"/>
      <c r="W328" s="244"/>
      <c r="X328" s="244"/>
      <c r="Y328" s="244"/>
      <c r="Z328" s="250" t="s">
        <v>1238</v>
      </c>
      <c r="AA328" s="250"/>
      <c r="AB328" s="250"/>
      <c r="AC328" s="244" t="s">
        <v>449</v>
      </c>
      <c r="AD328" s="250"/>
      <c r="AE328" s="255">
        <v>85</v>
      </c>
      <c r="AF328" s="252" t="s">
        <v>434</v>
      </c>
      <c r="AG328" s="247"/>
      <c r="AH328" s="248" t="s">
        <v>435</v>
      </c>
      <c r="AJ328" s="249"/>
      <c r="AK328" s="232" t="s">
        <v>1239</v>
      </c>
      <c r="AN328" s="233" t="s">
        <v>1240</v>
      </c>
      <c r="AO328" s="232" t="s">
        <v>411</v>
      </c>
      <c r="AP328" s="232">
        <v>60560</v>
      </c>
      <c r="AQ328" s="232" t="str">
        <f>CONCATENATE(AN328,AO328,AP328)</f>
        <v>116-60560</v>
      </c>
      <c r="AR328" s="232" t="s">
        <v>1241</v>
      </c>
      <c r="AX328" s="244"/>
      <c r="AY328" s="244"/>
      <c r="AZ328" s="232" t="str">
        <f>IF($AX328="Yes",'8. Option Codes Decrypted'!$C$15,"")</f>
        <v/>
      </c>
      <c r="BA328" s="232" t="str">
        <f>IF($AX328="Yes",'8. Option Codes Decrypted'!$C$16,"")</f>
        <v/>
      </c>
      <c r="BB328" s="232" t="str">
        <f>IF($AX328="Yes",'8. Option Codes Decrypted'!$C$17,"")</f>
        <v/>
      </c>
      <c r="BC328" s="232" t="str">
        <f>IF($AX328="Yes",'8. Option Codes Decrypted'!$C$18,"")</f>
        <v/>
      </c>
      <c r="BD328" s="232" t="str">
        <f>IF($AY328="Yes",'8. Option Codes Decrypted'!$C$20,"")</f>
        <v/>
      </c>
      <c r="BE328" s="232" t="str">
        <f>IF($AY328="Yes",'8. Option Codes Decrypted'!$C$21,"")</f>
        <v/>
      </c>
      <c r="BF328" s="232" t="str">
        <f>IF($AY328="Yes",'8. Option Codes Decrypted'!$C$22,"")</f>
        <v/>
      </c>
      <c r="BG328" s="232" t="str">
        <f>IF($AY328="Yes",'8. Option Codes Decrypted'!$C$23,"")</f>
        <v/>
      </c>
    </row>
    <row r="329" spans="1:59" s="232" customFormat="1" x14ac:dyDescent="0.25">
      <c r="A329" s="232" t="str">
        <f t="shared" si="57"/>
        <v/>
      </c>
      <c r="B329" s="358" t="str">
        <f t="shared" si="64"/>
        <v>116-60559</v>
      </c>
      <c r="C329" s="358" t="str">
        <f t="shared" si="63"/>
        <v/>
      </c>
      <c r="D329" s="358"/>
      <c r="E329" s="358">
        <f t="shared" ref="E329:E392" si="65">IF(B329&lt;&gt;"",COUNTIF($B$9:$B$2175,B329),"")</f>
        <v>1</v>
      </c>
      <c r="F329" s="232" t="s">
        <v>426</v>
      </c>
      <c r="G329" s="241">
        <v>44671</v>
      </c>
      <c r="H329" s="250"/>
      <c r="I329" s="250"/>
      <c r="J329" s="250" t="s">
        <v>427</v>
      </c>
      <c r="K329" s="251" t="s">
        <v>84</v>
      </c>
      <c r="L329" s="250" t="s">
        <v>1237</v>
      </c>
      <c r="M329" s="243" t="s">
        <v>444</v>
      </c>
      <c r="N329" s="243"/>
      <c r="O329" s="285"/>
      <c r="P329" s="285"/>
      <c r="Q329" s="285"/>
      <c r="R329" s="286" t="str">
        <f t="shared" ref="R329:R392" si="66">CONCATENATE(O329,". ",Z329)</f>
        <v>. Fog Light, FRONT - RIGHT</v>
      </c>
      <c r="S329" s="286"/>
      <c r="T329" s="243"/>
      <c r="U329" s="244"/>
      <c r="V329" s="243"/>
      <c r="W329" s="244"/>
      <c r="X329" s="244"/>
      <c r="Y329" s="244"/>
      <c r="Z329" s="250" t="s">
        <v>1242</v>
      </c>
      <c r="AA329" s="250"/>
      <c r="AB329" s="250"/>
      <c r="AC329" s="244" t="s">
        <v>449</v>
      </c>
      <c r="AD329" s="250"/>
      <c r="AE329" s="255">
        <v>85</v>
      </c>
      <c r="AF329" s="252" t="s">
        <v>434</v>
      </c>
      <c r="AG329" s="247"/>
      <c r="AH329" s="248" t="s">
        <v>435</v>
      </c>
      <c r="AJ329" s="249"/>
      <c r="AK329" s="232" t="s">
        <v>1239</v>
      </c>
      <c r="AN329" s="233" t="s">
        <v>1240</v>
      </c>
      <c r="AO329" s="232" t="s">
        <v>411</v>
      </c>
      <c r="AP329" s="232">
        <v>60559</v>
      </c>
      <c r="AQ329" s="232" t="str">
        <f>CONCATENATE(AN329,AO329,AP329)</f>
        <v>116-60559</v>
      </c>
      <c r="AR329" s="232" t="s">
        <v>1243</v>
      </c>
      <c r="AX329" s="244"/>
      <c r="AY329" s="244"/>
      <c r="AZ329" s="232" t="str">
        <f>IF($AX329="Yes",'8. Option Codes Decrypted'!$C$15,"")</f>
        <v/>
      </c>
      <c r="BA329" s="232" t="str">
        <f>IF($AX329="Yes",'8. Option Codes Decrypted'!$C$16,"")</f>
        <v/>
      </c>
      <c r="BB329" s="232" t="str">
        <f>IF($AX329="Yes",'8. Option Codes Decrypted'!$C$17,"")</f>
        <v/>
      </c>
      <c r="BC329" s="232" t="str">
        <f>IF($AX329="Yes",'8. Option Codes Decrypted'!$C$18,"")</f>
        <v/>
      </c>
      <c r="BD329" s="232" t="str">
        <f>IF($AY329="Yes",'8. Option Codes Decrypted'!$C$20,"")</f>
        <v/>
      </c>
      <c r="BE329" s="232" t="str">
        <f>IF($AY329="Yes",'8. Option Codes Decrypted'!$C$21,"")</f>
        <v/>
      </c>
      <c r="BF329" s="232" t="str">
        <f>IF($AY329="Yes",'8. Option Codes Decrypted'!$C$22,"")</f>
        <v/>
      </c>
      <c r="BG329" s="232" t="str">
        <f>IF($AY329="Yes",'8. Option Codes Decrypted'!$C$23,"")</f>
        <v/>
      </c>
    </row>
    <row r="330" spans="1:59" s="232" customFormat="1" x14ac:dyDescent="0.25">
      <c r="A330" s="232" t="str">
        <f t="shared" ref="A330:A393" si="67">IF(O330&lt;&gt;"",O330,"")</f>
        <v/>
      </c>
      <c r="B330" s="358" t="str">
        <f t="shared" si="64"/>
        <v>116-60562</v>
      </c>
      <c r="C330" s="358" t="str">
        <f t="shared" si="63"/>
        <v/>
      </c>
      <c r="D330" s="358"/>
      <c r="E330" s="358">
        <f t="shared" si="65"/>
        <v>1</v>
      </c>
      <c r="F330" s="232" t="s">
        <v>426</v>
      </c>
      <c r="G330" s="241">
        <v>44671</v>
      </c>
      <c r="H330" s="250"/>
      <c r="I330" s="250"/>
      <c r="J330" s="250" t="s">
        <v>427</v>
      </c>
      <c r="K330" s="251" t="s">
        <v>84</v>
      </c>
      <c r="L330" s="250" t="s">
        <v>1237</v>
      </c>
      <c r="M330" s="243" t="s">
        <v>444</v>
      </c>
      <c r="N330" s="243"/>
      <c r="O330" s="285"/>
      <c r="P330" s="285"/>
      <c r="Q330" s="285"/>
      <c r="R330" s="286" t="str">
        <f t="shared" si="66"/>
        <v>. Fog Light, FRONT - LEFT</v>
      </c>
      <c r="S330" s="286"/>
      <c r="T330" s="243"/>
      <c r="U330" s="244"/>
      <c r="V330" s="243"/>
      <c r="W330" s="244"/>
      <c r="X330" s="244"/>
      <c r="Y330" s="244"/>
      <c r="Z330" s="250" t="s">
        <v>1238</v>
      </c>
      <c r="AA330" s="250"/>
      <c r="AB330" s="250"/>
      <c r="AC330" s="244" t="s">
        <v>449</v>
      </c>
      <c r="AD330" s="250"/>
      <c r="AE330" s="255">
        <v>200</v>
      </c>
      <c r="AF330" s="252" t="s">
        <v>434</v>
      </c>
      <c r="AG330" s="247"/>
      <c r="AH330" s="248" t="s">
        <v>435</v>
      </c>
      <c r="AJ330" s="249"/>
      <c r="AK330" s="232" t="s">
        <v>1239</v>
      </c>
      <c r="AN330" s="233" t="s">
        <v>1240</v>
      </c>
      <c r="AO330" s="232" t="s">
        <v>411</v>
      </c>
      <c r="AP330" s="232">
        <v>60562</v>
      </c>
      <c r="AQ330" s="232" t="str">
        <f>CONCATENATE(AN330,AO330,AP330)</f>
        <v>116-60562</v>
      </c>
      <c r="AR330" s="232" t="s">
        <v>1244</v>
      </c>
      <c r="AX330" s="244"/>
      <c r="AY330" s="244"/>
      <c r="AZ330" s="232" t="str">
        <f>IF($AX330="Yes",'8. Option Codes Decrypted'!$C$15,"")</f>
        <v/>
      </c>
      <c r="BA330" s="232" t="str">
        <f>IF($AX330="Yes",'8. Option Codes Decrypted'!$C$16,"")</f>
        <v/>
      </c>
      <c r="BB330" s="232" t="str">
        <f>IF($AX330="Yes",'8. Option Codes Decrypted'!$C$17,"")</f>
        <v/>
      </c>
      <c r="BC330" s="232" t="str">
        <f>IF($AX330="Yes",'8. Option Codes Decrypted'!$C$18,"")</f>
        <v/>
      </c>
      <c r="BD330" s="232" t="str">
        <f>IF($AY330="Yes",'8. Option Codes Decrypted'!$C$20,"")</f>
        <v/>
      </c>
      <c r="BE330" s="232" t="str">
        <f>IF($AY330="Yes",'8. Option Codes Decrypted'!$C$21,"")</f>
        <v/>
      </c>
      <c r="BF330" s="232" t="str">
        <f>IF($AY330="Yes",'8. Option Codes Decrypted'!$C$22,"")</f>
        <v/>
      </c>
      <c r="BG330" s="232" t="str">
        <f>IF($AY330="Yes",'8. Option Codes Decrypted'!$C$23,"")</f>
        <v/>
      </c>
    </row>
    <row r="331" spans="1:59" s="232" customFormat="1" x14ac:dyDescent="0.25">
      <c r="A331" s="232" t="str">
        <f t="shared" si="67"/>
        <v/>
      </c>
      <c r="B331" s="358" t="str">
        <f t="shared" si="64"/>
        <v>116-60561</v>
      </c>
      <c r="C331" s="358" t="str">
        <f t="shared" si="63"/>
        <v/>
      </c>
      <c r="D331" s="358"/>
      <c r="E331" s="358">
        <f t="shared" si="65"/>
        <v>1</v>
      </c>
      <c r="F331" s="232" t="s">
        <v>426</v>
      </c>
      <c r="G331" s="241">
        <v>44671</v>
      </c>
      <c r="H331" s="250"/>
      <c r="I331" s="250"/>
      <c r="J331" s="250" t="s">
        <v>427</v>
      </c>
      <c r="K331" s="251" t="s">
        <v>84</v>
      </c>
      <c r="L331" s="250" t="s">
        <v>1237</v>
      </c>
      <c r="M331" s="243" t="s">
        <v>444</v>
      </c>
      <c r="N331" s="243"/>
      <c r="O331" s="285"/>
      <c r="P331" s="285"/>
      <c r="Q331" s="285"/>
      <c r="R331" s="286" t="str">
        <f t="shared" si="66"/>
        <v>. Fog Light, FRONT - RIGHT</v>
      </c>
      <c r="S331" s="286"/>
      <c r="T331" s="243"/>
      <c r="U331" s="244"/>
      <c r="V331" s="243"/>
      <c r="W331" s="244"/>
      <c r="X331" s="244"/>
      <c r="Y331" s="244"/>
      <c r="Z331" s="250" t="s">
        <v>1242</v>
      </c>
      <c r="AA331" s="250"/>
      <c r="AB331" s="250"/>
      <c r="AC331" s="244" t="s">
        <v>449</v>
      </c>
      <c r="AD331" s="250"/>
      <c r="AE331" s="255">
        <v>200</v>
      </c>
      <c r="AF331" s="252" t="s">
        <v>434</v>
      </c>
      <c r="AG331" s="247"/>
      <c r="AH331" s="248" t="s">
        <v>435</v>
      </c>
      <c r="AJ331" s="249"/>
      <c r="AK331" s="232" t="s">
        <v>1239</v>
      </c>
      <c r="AN331" s="233" t="s">
        <v>1240</v>
      </c>
      <c r="AO331" s="232" t="s">
        <v>411</v>
      </c>
      <c r="AP331" s="232">
        <v>60561</v>
      </c>
      <c r="AQ331" s="232" t="str">
        <f>CONCATENATE(AN331,AO331,AP331)</f>
        <v>116-60561</v>
      </c>
      <c r="AR331" s="232" t="s">
        <v>1245</v>
      </c>
      <c r="AX331" s="244"/>
      <c r="AY331" s="244"/>
      <c r="AZ331" s="232" t="str">
        <f>IF($AX331="Yes",'8. Option Codes Decrypted'!$C$15,"")</f>
        <v/>
      </c>
      <c r="BA331" s="232" t="str">
        <f>IF($AX331="Yes",'8. Option Codes Decrypted'!$C$16,"")</f>
        <v/>
      </c>
      <c r="BB331" s="232" t="str">
        <f>IF($AX331="Yes",'8. Option Codes Decrypted'!$C$17,"")</f>
        <v/>
      </c>
      <c r="BC331" s="232" t="str">
        <f>IF($AX331="Yes",'8. Option Codes Decrypted'!$C$18,"")</f>
        <v/>
      </c>
      <c r="BD331" s="232" t="str">
        <f>IF($AY331="Yes",'8. Option Codes Decrypted'!$C$20,"")</f>
        <v/>
      </c>
      <c r="BE331" s="232" t="str">
        <f>IF($AY331="Yes",'8. Option Codes Decrypted'!$C$21,"")</f>
        <v/>
      </c>
      <c r="BF331" s="232" t="str">
        <f>IF($AY331="Yes",'8. Option Codes Decrypted'!$C$22,"")</f>
        <v/>
      </c>
      <c r="BG331" s="232" t="str">
        <f>IF($AY331="Yes",'8. Option Codes Decrypted'!$C$23,"")</f>
        <v/>
      </c>
    </row>
    <row r="332" spans="1:59" x14ac:dyDescent="0.25">
      <c r="A332" s="232" t="str">
        <f t="shared" si="67"/>
        <v/>
      </c>
      <c r="B332" s="358" t="str">
        <f t="shared" si="64"/>
        <v/>
      </c>
      <c r="C332" s="358" t="str">
        <f t="shared" si="63"/>
        <v/>
      </c>
      <c r="D332" s="358"/>
      <c r="E332" s="358" t="str">
        <f t="shared" si="65"/>
        <v/>
      </c>
      <c r="F332" t="s">
        <v>508</v>
      </c>
      <c r="G332" s="230">
        <v>44691</v>
      </c>
      <c r="H332" s="19"/>
      <c r="I332" s="19"/>
      <c r="J332" s="193" t="s">
        <v>427</v>
      </c>
      <c r="K332" s="193" t="s">
        <v>84</v>
      </c>
      <c r="L332" s="193" t="s">
        <v>1246</v>
      </c>
      <c r="M332" s="195" t="s">
        <v>444</v>
      </c>
      <c r="N332" s="195"/>
      <c r="O332" s="292"/>
      <c r="P332" s="292"/>
      <c r="Q332" s="292"/>
      <c r="R332" s="286" t="str">
        <f t="shared" si="66"/>
        <v>. Headlight TMS Control Module (Has visible circuit board)</v>
      </c>
      <c r="S332" s="286"/>
      <c r="T332" s="195"/>
      <c r="U332" s="193"/>
      <c r="V332" s="195"/>
      <c r="W332" s="193"/>
      <c r="X332" s="193"/>
      <c r="Y332" s="193"/>
      <c r="Z332" s="193" t="s">
        <v>1246</v>
      </c>
      <c r="AA332" s="193" t="s">
        <v>1246</v>
      </c>
      <c r="AB332" s="193" t="s">
        <v>1246</v>
      </c>
      <c r="AC332" s="193" t="s">
        <v>449</v>
      </c>
      <c r="AD332" s="193"/>
      <c r="AE332" s="194">
        <v>160</v>
      </c>
      <c r="AF332" s="99" t="s">
        <v>434</v>
      </c>
      <c r="AH332" s="3" t="s">
        <v>435</v>
      </c>
      <c r="AI332" s="156"/>
      <c r="AJ332" s="69"/>
      <c r="AK332">
        <v>7427612</v>
      </c>
      <c r="AO332" t="s">
        <v>411</v>
      </c>
      <c r="AX332" s="193"/>
      <c r="AY332" s="193"/>
      <c r="AZ332" s="232" t="str">
        <f>IF($AX332="Yes",'8. Option Codes Decrypted'!$C$15,"")</f>
        <v/>
      </c>
      <c r="BA332" s="232" t="str">
        <f>IF($AX332="Yes",'8. Option Codes Decrypted'!$C$16,"")</f>
        <v/>
      </c>
      <c r="BB332" s="232" t="str">
        <f>IF($AX332="Yes",'8. Option Codes Decrypted'!$C$17,"")</f>
        <v/>
      </c>
      <c r="BC332" s="232" t="str">
        <f>IF($AX332="Yes",'8. Option Codes Decrypted'!$C$18,"")</f>
        <v/>
      </c>
      <c r="BD332" s="232" t="str">
        <f>IF($AY332="Yes",'8. Option Codes Decrypted'!$C$20,"")</f>
        <v/>
      </c>
      <c r="BE332" s="232" t="str">
        <f>IF($AY332="Yes",'8. Option Codes Decrypted'!$C$21,"")</f>
        <v/>
      </c>
      <c r="BF332" s="232" t="str">
        <f>IF($AY332="Yes",'8. Option Codes Decrypted'!$C$22,"")</f>
        <v/>
      </c>
      <c r="BG332" s="232" t="str">
        <f>IF($AY332="Yes",'8. Option Codes Decrypted'!$C$23,"")</f>
        <v/>
      </c>
    </row>
    <row r="333" spans="1:59" x14ac:dyDescent="0.25">
      <c r="A333" s="232" t="str">
        <f t="shared" si="67"/>
        <v/>
      </c>
      <c r="B333" s="358" t="str">
        <f t="shared" si="64"/>
        <v/>
      </c>
      <c r="C333" s="358" t="str">
        <f t="shared" si="63"/>
        <v/>
      </c>
      <c r="D333" s="358"/>
      <c r="E333" s="358" t="str">
        <f t="shared" si="65"/>
        <v/>
      </c>
      <c r="F333" t="s">
        <v>508</v>
      </c>
      <c r="G333" s="230">
        <v>44922</v>
      </c>
      <c r="H333" s="19"/>
      <c r="I333" s="19"/>
      <c r="J333" s="193" t="s">
        <v>427</v>
      </c>
      <c r="K333" s="193" t="s">
        <v>84</v>
      </c>
      <c r="L333" s="193" t="s">
        <v>1247</v>
      </c>
      <c r="M333" s="195" t="s">
        <v>444</v>
      </c>
      <c r="N333" s="195"/>
      <c r="O333" s="292"/>
      <c r="P333" s="292"/>
      <c r="Q333" s="292"/>
      <c r="R333" s="286" t="str">
        <f t="shared" si="66"/>
        <v>. Headlight, Access Cover (Keep on Light unless bad, 2 per light sell as singles)</v>
      </c>
      <c r="S333" s="286"/>
      <c r="T333" s="195"/>
      <c r="U333" s="193"/>
      <c r="V333" s="195"/>
      <c r="W333" s="193"/>
      <c r="X333" s="193"/>
      <c r="Y333" s="193"/>
      <c r="Z333" s="193" t="s">
        <v>1247</v>
      </c>
      <c r="AA333" s="193" t="s">
        <v>1247</v>
      </c>
      <c r="AB333" s="193" t="s">
        <v>1247</v>
      </c>
      <c r="AC333" s="193" t="s">
        <v>449</v>
      </c>
      <c r="AD333" s="193"/>
      <c r="AE333" s="194">
        <v>50</v>
      </c>
      <c r="AF333" s="99" t="s">
        <v>434</v>
      </c>
      <c r="AH333" s="3" t="s">
        <v>435</v>
      </c>
      <c r="AI333" s="156"/>
      <c r="AJ333" s="69"/>
      <c r="AK333" t="s">
        <v>1248</v>
      </c>
      <c r="AO333" t="s">
        <v>411</v>
      </c>
      <c r="AX333" s="193"/>
      <c r="AY333" s="193"/>
      <c r="AZ333" s="232" t="str">
        <f>IF($AX333="Yes",'8. Option Codes Decrypted'!$C$15,"")</f>
        <v/>
      </c>
      <c r="BA333" s="232" t="str">
        <f>IF($AX333="Yes",'8. Option Codes Decrypted'!$C$16,"")</f>
        <v/>
      </c>
      <c r="BB333" s="232" t="str">
        <f>IF($AX333="Yes",'8. Option Codes Decrypted'!$C$17,"")</f>
        <v/>
      </c>
      <c r="BC333" s="232" t="str">
        <f>IF($AX333="Yes",'8. Option Codes Decrypted'!$C$18,"")</f>
        <v/>
      </c>
      <c r="BD333" s="232" t="str">
        <f>IF($AY333="Yes",'8. Option Codes Decrypted'!$C$20,"")</f>
        <v/>
      </c>
      <c r="BE333" s="232" t="str">
        <f>IF($AY333="Yes",'8. Option Codes Decrypted'!$C$21,"")</f>
        <v/>
      </c>
      <c r="BF333" s="232" t="str">
        <f>IF($AY333="Yes",'8. Option Codes Decrypted'!$C$22,"")</f>
        <v/>
      </c>
      <c r="BG333" s="232" t="str">
        <f>IF($AY333="Yes",'8. Option Codes Decrypted'!$C$23,"")</f>
        <v/>
      </c>
    </row>
    <row r="334" spans="1:59" x14ac:dyDescent="0.25">
      <c r="A334" s="232" t="str">
        <f t="shared" si="67"/>
        <v/>
      </c>
      <c r="B334" s="358" t="str">
        <f t="shared" si="64"/>
        <v/>
      </c>
      <c r="C334" s="358" t="str">
        <f t="shared" si="63"/>
        <v/>
      </c>
      <c r="D334" s="358"/>
      <c r="E334" s="358" t="str">
        <f t="shared" si="65"/>
        <v/>
      </c>
      <c r="F334" t="s">
        <v>508</v>
      </c>
      <c r="G334" s="230">
        <v>44922</v>
      </c>
      <c r="H334" s="16"/>
      <c r="I334" s="16"/>
      <c r="J334" s="16" t="s">
        <v>427</v>
      </c>
      <c r="K334" s="16" t="s">
        <v>84</v>
      </c>
      <c r="L334" s="16" t="s">
        <v>1249</v>
      </c>
      <c r="M334" s="195" t="s">
        <v>444</v>
      </c>
      <c r="N334" s="195"/>
      <c r="O334" s="292"/>
      <c r="P334" s="292"/>
      <c r="Q334" s="292"/>
      <c r="R334" s="286" t="str">
        <f t="shared" si="66"/>
        <v>. Headlight, Daytime Running Light DRL Angel Eye Module (2 per car bag as singles)</v>
      </c>
      <c r="S334" s="286"/>
      <c r="T334" s="195"/>
      <c r="U334" s="193"/>
      <c r="V334" s="195"/>
      <c r="W334" s="193"/>
      <c r="X334" s="193"/>
      <c r="Y334" s="193"/>
      <c r="Z334" s="16" t="s">
        <v>1249</v>
      </c>
      <c r="AA334" s="16" t="s">
        <v>1249</v>
      </c>
      <c r="AB334" s="16" t="s">
        <v>1249</v>
      </c>
      <c r="AC334" s="193" t="s">
        <v>449</v>
      </c>
      <c r="AD334" s="16"/>
      <c r="AE334" s="16">
        <v>40</v>
      </c>
      <c r="AF334" s="99" t="s">
        <v>434</v>
      </c>
      <c r="AH334" s="3" t="s">
        <v>435</v>
      </c>
      <c r="AJ334" s="69"/>
      <c r="AK334" t="s">
        <v>1250</v>
      </c>
      <c r="AO334" t="s">
        <v>411</v>
      </c>
      <c r="AX334" s="193"/>
      <c r="AY334" s="193"/>
      <c r="AZ334" s="232" t="str">
        <f>IF($AX334="Yes",'8. Option Codes Decrypted'!$C$15,"")</f>
        <v/>
      </c>
      <c r="BA334" s="232" t="str">
        <f>IF($AX334="Yes",'8. Option Codes Decrypted'!$C$16,"")</f>
        <v/>
      </c>
      <c r="BB334" s="232" t="str">
        <f>IF($AX334="Yes",'8. Option Codes Decrypted'!$C$17,"")</f>
        <v/>
      </c>
      <c r="BC334" s="232" t="str">
        <f>IF($AX334="Yes",'8. Option Codes Decrypted'!$C$18,"")</f>
        <v/>
      </c>
      <c r="BD334" s="232" t="str">
        <f>IF($AY334="Yes",'8. Option Codes Decrypted'!$C$20,"")</f>
        <v/>
      </c>
      <c r="BE334" s="232" t="str">
        <f>IF($AY334="Yes",'8. Option Codes Decrypted'!$C$21,"")</f>
        <v/>
      </c>
      <c r="BF334" s="232" t="str">
        <f>IF($AY334="Yes",'8. Option Codes Decrypted'!$C$22,"")</f>
        <v/>
      </c>
      <c r="BG334" s="232" t="str">
        <f>IF($AY334="Yes",'8. Option Codes Decrypted'!$C$23,"")</f>
        <v/>
      </c>
    </row>
    <row r="335" spans="1:59" s="232" customFormat="1" x14ac:dyDescent="0.25">
      <c r="A335" s="232" t="str">
        <f t="shared" si="67"/>
        <v/>
      </c>
      <c r="B335" s="358" t="str">
        <f t="shared" si="64"/>
        <v>114-60265</v>
      </c>
      <c r="C335" s="358" t="str">
        <f t="shared" si="63"/>
        <v/>
      </c>
      <c r="D335" s="358"/>
      <c r="E335" s="358">
        <f t="shared" si="65"/>
        <v>1</v>
      </c>
      <c r="F335" s="232" t="s">
        <v>426</v>
      </c>
      <c r="G335" s="241">
        <v>45219</v>
      </c>
      <c r="H335" s="253"/>
      <c r="I335" s="243" t="s">
        <v>441</v>
      </c>
      <c r="J335" s="244" t="s">
        <v>427</v>
      </c>
      <c r="K335" s="244" t="s">
        <v>84</v>
      </c>
      <c r="L335" s="244" t="s">
        <v>1251</v>
      </c>
      <c r="M335" s="243" t="s">
        <v>444</v>
      </c>
      <c r="N335" s="243"/>
      <c r="O335" s="285"/>
      <c r="P335" s="285"/>
      <c r="Q335" s="285"/>
      <c r="R335" s="286" t="str">
        <f t="shared" si="66"/>
        <v>. Headlight, FRONT - LEFT</v>
      </c>
      <c r="S335" s="286"/>
      <c r="T335" s="243"/>
      <c r="U335" s="244" t="s">
        <v>1252</v>
      </c>
      <c r="V335" s="243" t="s">
        <v>80</v>
      </c>
      <c r="W335" s="244"/>
      <c r="X335" s="244"/>
      <c r="Y335" s="244"/>
      <c r="Z335" s="244" t="s">
        <v>1253</v>
      </c>
      <c r="AA335" s="244" t="s">
        <v>1254</v>
      </c>
      <c r="AB335" s="244" t="s">
        <v>1255</v>
      </c>
      <c r="AC335" s="244" t="s">
        <v>449</v>
      </c>
      <c r="AD335" s="244"/>
      <c r="AE335" s="246">
        <v>1500</v>
      </c>
      <c r="AF335" s="252" t="s">
        <v>434</v>
      </c>
      <c r="AG335" s="247"/>
      <c r="AH335" s="248" t="s">
        <v>435</v>
      </c>
      <c r="AI335" s="247"/>
      <c r="AJ335" s="249"/>
      <c r="AK335" s="232" t="s">
        <v>1256</v>
      </c>
      <c r="AL335" s="232" t="s">
        <v>1257</v>
      </c>
      <c r="AN335" s="233" t="s">
        <v>1258</v>
      </c>
      <c r="AO335" s="232" t="s">
        <v>411</v>
      </c>
      <c r="AP335" s="232">
        <v>60265</v>
      </c>
      <c r="AQ335" s="232" t="str">
        <f t="shared" ref="AQ335:AQ348" si="68">CONCATENATE(AN335,AO335,AP335)</f>
        <v>114-60265</v>
      </c>
      <c r="AR335" s="232" t="s">
        <v>1259</v>
      </c>
      <c r="AX335" s="244"/>
      <c r="AY335" s="244"/>
      <c r="AZ335" s="232" t="str">
        <f>IF($AX335="Yes",'8. Option Codes Decrypted'!$C$15,"")</f>
        <v/>
      </c>
      <c r="BA335" s="232" t="str">
        <f>IF($AX335="Yes",'8. Option Codes Decrypted'!$C$16,"")</f>
        <v/>
      </c>
      <c r="BB335" s="232" t="str">
        <f>IF($AX335="Yes",'8. Option Codes Decrypted'!$C$17,"")</f>
        <v/>
      </c>
      <c r="BC335" s="232" t="str">
        <f>IF($AX335="Yes",'8. Option Codes Decrypted'!$C$18,"")</f>
        <v/>
      </c>
      <c r="BD335" s="232" t="str">
        <f>IF($AY335="Yes",'8. Option Codes Decrypted'!$C$20,"")</f>
        <v/>
      </c>
      <c r="BE335" s="232" t="str">
        <f>IF($AY335="Yes",'8. Option Codes Decrypted'!$C$21,"")</f>
        <v/>
      </c>
      <c r="BF335" s="232" t="str">
        <f>IF($AY335="Yes",'8. Option Codes Decrypted'!$C$22,"")</f>
        <v/>
      </c>
      <c r="BG335" s="232" t="str">
        <f>IF($AY335="Yes",'8. Option Codes Decrypted'!$C$23,"")</f>
        <v/>
      </c>
    </row>
    <row r="336" spans="1:59" s="232" customFormat="1" x14ac:dyDescent="0.25">
      <c r="A336" s="232" t="str">
        <f t="shared" si="67"/>
        <v/>
      </c>
      <c r="B336" s="358" t="str">
        <f t="shared" si="64"/>
        <v>114-60264</v>
      </c>
      <c r="C336" s="358" t="str">
        <f t="shared" si="63"/>
        <v/>
      </c>
      <c r="D336" s="358"/>
      <c r="E336" s="358">
        <f t="shared" si="65"/>
        <v>1</v>
      </c>
      <c r="F336" s="232" t="s">
        <v>426</v>
      </c>
      <c r="G336" s="241">
        <v>45219</v>
      </c>
      <c r="H336" s="257"/>
      <c r="I336" s="243" t="s">
        <v>441</v>
      </c>
      <c r="J336" s="244" t="s">
        <v>427</v>
      </c>
      <c r="K336" s="244" t="s">
        <v>84</v>
      </c>
      <c r="L336" s="244" t="s">
        <v>1251</v>
      </c>
      <c r="M336" s="243" t="s">
        <v>444</v>
      </c>
      <c r="N336" s="243"/>
      <c r="O336" s="285"/>
      <c r="P336" s="285"/>
      <c r="Q336" s="285"/>
      <c r="R336" s="286" t="str">
        <f t="shared" si="66"/>
        <v>. Headlight, FRONT - RIGHT</v>
      </c>
      <c r="S336" s="286"/>
      <c r="T336" s="243"/>
      <c r="U336" s="244" t="s">
        <v>1260</v>
      </c>
      <c r="V336" s="243" t="s">
        <v>80</v>
      </c>
      <c r="W336" s="244"/>
      <c r="X336" s="244"/>
      <c r="Y336" s="244"/>
      <c r="Z336" s="244" t="s">
        <v>1261</v>
      </c>
      <c r="AA336" s="244" t="s">
        <v>1254</v>
      </c>
      <c r="AB336" s="244" t="s">
        <v>1255</v>
      </c>
      <c r="AC336" s="244" t="s">
        <v>449</v>
      </c>
      <c r="AD336" s="244"/>
      <c r="AE336" s="246">
        <v>1500</v>
      </c>
      <c r="AF336" s="252" t="s">
        <v>434</v>
      </c>
      <c r="AG336" s="247"/>
      <c r="AH336" s="248" t="s">
        <v>435</v>
      </c>
      <c r="AI336" s="258"/>
      <c r="AJ336" s="249"/>
      <c r="AK336" s="232" t="s">
        <v>1256</v>
      </c>
      <c r="AL336" s="232" t="s">
        <v>1257</v>
      </c>
      <c r="AN336" s="233" t="s">
        <v>1258</v>
      </c>
      <c r="AO336" s="232" t="s">
        <v>411</v>
      </c>
      <c r="AP336" s="232">
        <v>60264</v>
      </c>
      <c r="AQ336" s="232" t="str">
        <f t="shared" si="68"/>
        <v>114-60264</v>
      </c>
      <c r="AR336" s="232" t="s">
        <v>1262</v>
      </c>
      <c r="AX336" s="244"/>
      <c r="AY336" s="244"/>
      <c r="AZ336" s="232" t="str">
        <f>IF($AX336="Yes",'8. Option Codes Decrypted'!$C$15,"")</f>
        <v/>
      </c>
      <c r="BA336" s="232" t="str">
        <f>IF($AX336="Yes",'8. Option Codes Decrypted'!$C$16,"")</f>
        <v/>
      </c>
      <c r="BB336" s="232" t="str">
        <f>IF($AX336="Yes",'8. Option Codes Decrypted'!$C$17,"")</f>
        <v/>
      </c>
      <c r="BC336" s="232" t="str">
        <f>IF($AX336="Yes",'8. Option Codes Decrypted'!$C$18,"")</f>
        <v/>
      </c>
      <c r="BD336" s="232" t="str">
        <f>IF($AY336="Yes",'8. Option Codes Decrypted'!$C$20,"")</f>
        <v/>
      </c>
      <c r="BE336" s="232" t="str">
        <f>IF($AY336="Yes",'8. Option Codes Decrypted'!$C$21,"")</f>
        <v/>
      </c>
      <c r="BF336" s="232" t="str">
        <f>IF($AY336="Yes",'8. Option Codes Decrypted'!$C$22,"")</f>
        <v/>
      </c>
      <c r="BG336" s="232" t="str">
        <f>IF($AY336="Yes",'8. Option Codes Decrypted'!$C$23,"")</f>
        <v/>
      </c>
    </row>
    <row r="337" spans="1:59" s="232" customFormat="1" x14ac:dyDescent="0.25">
      <c r="A337" s="232" t="str">
        <f t="shared" si="67"/>
        <v/>
      </c>
      <c r="B337" s="358" t="str">
        <f t="shared" si="64"/>
        <v>114-60686</v>
      </c>
      <c r="C337" s="358" t="str">
        <f t="shared" si="63"/>
        <v/>
      </c>
      <c r="D337" s="358"/>
      <c r="E337" s="358">
        <f t="shared" si="65"/>
        <v>1</v>
      </c>
      <c r="F337" s="232" t="s">
        <v>426</v>
      </c>
      <c r="G337" s="241">
        <v>45219</v>
      </c>
      <c r="H337" s="253"/>
      <c r="I337" s="243" t="s">
        <v>441</v>
      </c>
      <c r="J337" s="244" t="s">
        <v>427</v>
      </c>
      <c r="K337" s="244" t="s">
        <v>84</v>
      </c>
      <c r="L337" s="244" t="s">
        <v>1251</v>
      </c>
      <c r="M337" s="243" t="s">
        <v>444</v>
      </c>
      <c r="N337" s="243"/>
      <c r="O337" s="285"/>
      <c r="P337" s="285"/>
      <c r="Q337" s="285"/>
      <c r="R337" s="286" t="str">
        <f t="shared" si="66"/>
        <v>. Headlight, FRONT - LEFT</v>
      </c>
      <c r="S337" s="286"/>
      <c r="T337" s="243"/>
      <c r="U337" s="244" t="s">
        <v>1263</v>
      </c>
      <c r="V337" s="243" t="s">
        <v>80</v>
      </c>
      <c r="W337" s="244"/>
      <c r="X337" s="244"/>
      <c r="Y337" s="244"/>
      <c r="Z337" s="244" t="s">
        <v>1253</v>
      </c>
      <c r="AA337" s="244" t="s">
        <v>1254</v>
      </c>
      <c r="AB337" s="244" t="s">
        <v>1255</v>
      </c>
      <c r="AC337" s="244" t="s">
        <v>449</v>
      </c>
      <c r="AD337" s="244"/>
      <c r="AE337" s="246">
        <v>1500</v>
      </c>
      <c r="AF337" s="252" t="s">
        <v>434</v>
      </c>
      <c r="AG337" s="247"/>
      <c r="AH337" s="248" t="s">
        <v>435</v>
      </c>
      <c r="AI337" s="247"/>
      <c r="AJ337" s="249"/>
      <c r="AK337" s="232" t="s">
        <v>1256</v>
      </c>
      <c r="AL337" s="232" t="s">
        <v>1257</v>
      </c>
      <c r="AN337" s="233" t="s">
        <v>1258</v>
      </c>
      <c r="AO337" s="232" t="s">
        <v>411</v>
      </c>
      <c r="AP337" s="232">
        <v>60686</v>
      </c>
      <c r="AQ337" s="232" t="str">
        <f t="shared" si="68"/>
        <v>114-60686</v>
      </c>
      <c r="AR337" s="232" t="s">
        <v>1264</v>
      </c>
      <c r="AX337" s="244"/>
      <c r="AY337" s="244"/>
      <c r="AZ337" s="232" t="str">
        <f>IF($AX337="Yes",'8. Option Codes Decrypted'!$C$15,"")</f>
        <v/>
      </c>
      <c r="BA337" s="232" t="str">
        <f>IF($AX337="Yes",'8. Option Codes Decrypted'!$C$16,"")</f>
        <v/>
      </c>
      <c r="BB337" s="232" t="str">
        <f>IF($AX337="Yes",'8. Option Codes Decrypted'!$C$17,"")</f>
        <v/>
      </c>
      <c r="BC337" s="232" t="str">
        <f>IF($AX337="Yes",'8. Option Codes Decrypted'!$C$18,"")</f>
        <v/>
      </c>
      <c r="BD337" s="232" t="str">
        <f>IF($AY337="Yes",'8. Option Codes Decrypted'!$C$20,"")</f>
        <v/>
      </c>
      <c r="BE337" s="232" t="str">
        <f>IF($AY337="Yes",'8. Option Codes Decrypted'!$C$21,"")</f>
        <v/>
      </c>
      <c r="BF337" s="232" t="str">
        <f>IF($AY337="Yes",'8. Option Codes Decrypted'!$C$22,"")</f>
        <v/>
      </c>
      <c r="BG337" s="232" t="str">
        <f>IF($AY337="Yes",'8. Option Codes Decrypted'!$C$23,"")</f>
        <v/>
      </c>
    </row>
    <row r="338" spans="1:59" s="232" customFormat="1" ht="15.75" thickBot="1" x14ac:dyDescent="0.3">
      <c r="A338" s="232" t="str">
        <f t="shared" si="67"/>
        <v/>
      </c>
      <c r="B338" s="358" t="str">
        <f t="shared" si="64"/>
        <v>114-60685</v>
      </c>
      <c r="C338" s="358" t="str">
        <f t="shared" si="63"/>
        <v/>
      </c>
      <c r="D338" s="358"/>
      <c r="E338" s="358">
        <f t="shared" si="65"/>
        <v>1</v>
      </c>
      <c r="F338" s="232" t="s">
        <v>426</v>
      </c>
      <c r="G338" s="241">
        <v>45219</v>
      </c>
      <c r="H338" s="257"/>
      <c r="I338" s="243" t="s">
        <v>441</v>
      </c>
      <c r="J338" s="244" t="s">
        <v>427</v>
      </c>
      <c r="K338" s="244" t="s">
        <v>84</v>
      </c>
      <c r="L338" s="244" t="s">
        <v>1251</v>
      </c>
      <c r="M338" s="243" t="s">
        <v>444</v>
      </c>
      <c r="N338" s="243"/>
      <c r="O338" s="285"/>
      <c r="P338" s="285"/>
      <c r="Q338" s="285"/>
      <c r="R338" s="286" t="str">
        <f t="shared" si="66"/>
        <v>. Headlight, FRONT - RIGHT</v>
      </c>
      <c r="S338" s="286"/>
      <c r="T338" s="243"/>
      <c r="U338" s="244" t="s">
        <v>1265</v>
      </c>
      <c r="V338" s="243" t="s">
        <v>80</v>
      </c>
      <c r="W338" s="244"/>
      <c r="X338" s="244"/>
      <c r="Y338" s="244"/>
      <c r="Z338" s="244" t="s">
        <v>1261</v>
      </c>
      <c r="AA338" s="244" t="s">
        <v>1254</v>
      </c>
      <c r="AB338" s="244" t="s">
        <v>1255</v>
      </c>
      <c r="AC338" s="244" t="s">
        <v>449</v>
      </c>
      <c r="AD338" s="244"/>
      <c r="AE338" s="246">
        <v>1500</v>
      </c>
      <c r="AF338" s="252" t="s">
        <v>434</v>
      </c>
      <c r="AG338" s="247"/>
      <c r="AH338" s="248" t="s">
        <v>435</v>
      </c>
      <c r="AI338" s="258"/>
      <c r="AJ338" s="249"/>
      <c r="AK338" s="232" t="s">
        <v>1256</v>
      </c>
      <c r="AL338" s="232" t="s">
        <v>1257</v>
      </c>
      <c r="AN338" s="233" t="s">
        <v>1258</v>
      </c>
      <c r="AO338" s="232" t="s">
        <v>411</v>
      </c>
      <c r="AP338" s="232">
        <v>60685</v>
      </c>
      <c r="AQ338" s="232" t="str">
        <f t="shared" si="68"/>
        <v>114-60685</v>
      </c>
      <c r="AR338" s="232" t="s">
        <v>1266</v>
      </c>
      <c r="AX338" s="244"/>
      <c r="AY338" s="244"/>
      <c r="AZ338" s="232" t="str">
        <f>IF($AX338="Yes",'8. Option Codes Decrypted'!$C$15,"")</f>
        <v/>
      </c>
      <c r="BA338" s="232" t="str">
        <f>IF($AX338="Yes",'8. Option Codes Decrypted'!$C$16,"")</f>
        <v/>
      </c>
      <c r="BB338" s="232" t="str">
        <f>IF($AX338="Yes",'8. Option Codes Decrypted'!$C$17,"")</f>
        <v/>
      </c>
      <c r="BC338" s="232" t="str">
        <f>IF($AX338="Yes",'8. Option Codes Decrypted'!$C$18,"")</f>
        <v/>
      </c>
      <c r="BD338" s="232" t="str">
        <f>IF($AY338="Yes",'8. Option Codes Decrypted'!$C$20,"")</f>
        <v/>
      </c>
      <c r="BE338" s="232" t="str">
        <f>IF($AY338="Yes",'8. Option Codes Decrypted'!$C$21,"")</f>
        <v/>
      </c>
      <c r="BF338" s="232" t="str">
        <f>IF($AY338="Yes",'8. Option Codes Decrypted'!$C$22,"")</f>
        <v/>
      </c>
      <c r="BG338" s="232" t="str">
        <f>IF($AY338="Yes",'8. Option Codes Decrypted'!$C$23,"")</f>
        <v/>
      </c>
    </row>
    <row r="339" spans="1:59" s="232" customFormat="1" ht="15.75" thickBot="1" x14ac:dyDescent="0.3">
      <c r="A339" s="232" t="str">
        <f t="shared" si="67"/>
        <v>A83</v>
      </c>
      <c r="B339" s="358" t="str">
        <f t="shared" si="64"/>
        <v>114-60267</v>
      </c>
      <c r="C339" s="358" t="str">
        <f t="shared" si="63"/>
        <v/>
      </c>
      <c r="D339" s="358"/>
      <c r="E339" s="358">
        <f t="shared" si="65"/>
        <v>1</v>
      </c>
      <c r="F339" s="232" t="s">
        <v>426</v>
      </c>
      <c r="G339" s="241">
        <v>44671</v>
      </c>
      <c r="H339" s="253"/>
      <c r="I339" s="243" t="s">
        <v>441</v>
      </c>
      <c r="J339" s="244" t="s">
        <v>427</v>
      </c>
      <c r="K339" s="244" t="s">
        <v>84</v>
      </c>
      <c r="L339" s="244" t="s">
        <v>1251</v>
      </c>
      <c r="M339" s="243" t="s">
        <v>444</v>
      </c>
      <c r="N339" s="243">
        <v>73</v>
      </c>
      <c r="O339" s="285" t="s">
        <v>327</v>
      </c>
      <c r="P339" s="285" t="s">
        <v>1060</v>
      </c>
      <c r="Q339" s="285">
        <v>1</v>
      </c>
      <c r="R339" s="286" t="str">
        <f t="shared" si="66"/>
        <v>A83. Headlight, FRONT - LEFT</v>
      </c>
      <c r="S339" s="365" t="str">
        <f>HYPERLINK(VLOOKUP(O339,'3D. Pictures'!$B$3:$E$500,4,FALSE),"PIC")</f>
        <v>PIC</v>
      </c>
      <c r="T339" s="243">
        <v>5</v>
      </c>
      <c r="U339" s="244" t="s">
        <v>1267</v>
      </c>
      <c r="V339" s="243" t="s">
        <v>80</v>
      </c>
      <c r="W339" s="244"/>
      <c r="X339" s="244"/>
      <c r="Y339" s="244"/>
      <c r="Z339" s="244" t="s">
        <v>1253</v>
      </c>
      <c r="AA339" s="244" t="s">
        <v>1254</v>
      </c>
      <c r="AB339" s="244" t="s">
        <v>1255</v>
      </c>
      <c r="AC339" s="244" t="s">
        <v>449</v>
      </c>
      <c r="AD339" s="244"/>
      <c r="AE339" s="246">
        <v>1295</v>
      </c>
      <c r="AF339" s="252" t="s">
        <v>434</v>
      </c>
      <c r="AG339" s="247"/>
      <c r="AH339" s="248" t="s">
        <v>435</v>
      </c>
      <c r="AI339" s="247"/>
      <c r="AJ339" s="249"/>
      <c r="AK339" s="232" t="s">
        <v>1256</v>
      </c>
      <c r="AL339" s="232" t="s">
        <v>1257</v>
      </c>
      <c r="AN339" s="233" t="s">
        <v>1258</v>
      </c>
      <c r="AO339" s="232" t="s">
        <v>411</v>
      </c>
      <c r="AP339" s="232">
        <v>60267</v>
      </c>
      <c r="AQ339" s="232" t="str">
        <f t="shared" si="68"/>
        <v>114-60267</v>
      </c>
      <c r="AR339" s="232" t="s">
        <v>1268</v>
      </c>
      <c r="AX339" s="244"/>
      <c r="AY339" s="244"/>
      <c r="AZ339" s="232" t="str">
        <f>IF($AX339="Yes",'8. Option Codes Decrypted'!$C$15,"")</f>
        <v/>
      </c>
      <c r="BA339" s="232" t="str">
        <f>IF($AX339="Yes",'8. Option Codes Decrypted'!$C$16,"")</f>
        <v/>
      </c>
      <c r="BB339" s="232" t="str">
        <f>IF($AX339="Yes",'8. Option Codes Decrypted'!$C$17,"")</f>
        <v/>
      </c>
      <c r="BC339" s="232" t="str">
        <f>IF($AX339="Yes",'8. Option Codes Decrypted'!$C$18,"")</f>
        <v/>
      </c>
      <c r="BD339" s="232" t="str">
        <f>IF($AY339="Yes",'8. Option Codes Decrypted'!$C$20,"")</f>
        <v/>
      </c>
      <c r="BE339" s="232" t="str">
        <f>IF($AY339="Yes",'8. Option Codes Decrypted'!$C$21,"")</f>
        <v/>
      </c>
      <c r="BF339" s="232" t="str">
        <f>IF($AY339="Yes",'8. Option Codes Decrypted'!$C$22,"")</f>
        <v/>
      </c>
      <c r="BG339" s="232" t="str">
        <f>IF($AY339="Yes",'8. Option Codes Decrypted'!$C$23,"")</f>
        <v/>
      </c>
    </row>
    <row r="340" spans="1:59" s="337" customFormat="1" ht="15.75" thickBot="1" x14ac:dyDescent="0.3">
      <c r="A340" s="232" t="str">
        <f t="shared" si="67"/>
        <v>A84</v>
      </c>
      <c r="B340" s="358" t="str">
        <f>IF(AQ340&lt;&gt;"",AQ340,"")</f>
        <v>114-60266</v>
      </c>
      <c r="C340" s="358" t="str">
        <f t="shared" si="63"/>
        <v/>
      </c>
      <c r="D340" s="358"/>
      <c r="E340" s="358">
        <f t="shared" si="65"/>
        <v>2</v>
      </c>
      <c r="F340" s="337" t="s">
        <v>426</v>
      </c>
      <c r="G340" s="338">
        <v>44671</v>
      </c>
      <c r="H340" s="354"/>
      <c r="I340" s="342" t="s">
        <v>441</v>
      </c>
      <c r="J340" s="345" t="s">
        <v>427</v>
      </c>
      <c r="K340" s="345" t="s">
        <v>84</v>
      </c>
      <c r="L340" s="345" t="s">
        <v>1251</v>
      </c>
      <c r="M340" s="342" t="s">
        <v>444</v>
      </c>
      <c r="N340" s="342">
        <v>74</v>
      </c>
      <c r="O340" s="343" t="s">
        <v>328</v>
      </c>
      <c r="P340" s="343" t="s">
        <v>397</v>
      </c>
      <c r="Q340" s="343">
        <v>1</v>
      </c>
      <c r="R340" s="344" t="str">
        <f t="shared" si="66"/>
        <v>A84. Headlight, FRONT - RIGHT (FLAW)</v>
      </c>
      <c r="S340" s="365" t="str">
        <f>HYPERLINK(VLOOKUP(O340,'3D. Pictures'!$B$3:$E$500,4,FALSE),"PIC")</f>
        <v>PIC</v>
      </c>
      <c r="T340" s="342">
        <v>6</v>
      </c>
      <c r="U340" s="345" t="s">
        <v>1269</v>
      </c>
      <c r="V340" s="342" t="s">
        <v>80</v>
      </c>
      <c r="W340" s="345" t="s">
        <v>1270</v>
      </c>
      <c r="X340" s="345"/>
      <c r="Y340" s="345"/>
      <c r="Z340" s="345" t="s">
        <v>1271</v>
      </c>
      <c r="AA340" s="345" t="s">
        <v>1254</v>
      </c>
      <c r="AB340" s="345" t="s">
        <v>1255</v>
      </c>
      <c r="AC340" s="345" t="s">
        <v>449</v>
      </c>
      <c r="AD340" s="345"/>
      <c r="AE340" s="355">
        <v>1195</v>
      </c>
      <c r="AF340" s="346" t="s">
        <v>434</v>
      </c>
      <c r="AG340" s="347"/>
      <c r="AH340" s="348" t="s">
        <v>435</v>
      </c>
      <c r="AI340" s="356"/>
      <c r="AJ340" s="349"/>
      <c r="AK340" s="337" t="s">
        <v>1256</v>
      </c>
      <c r="AL340" s="337" t="s">
        <v>1257</v>
      </c>
      <c r="AN340" s="350" t="s">
        <v>1258</v>
      </c>
      <c r="AO340" s="337" t="s">
        <v>411</v>
      </c>
      <c r="AP340" s="337">
        <v>60266</v>
      </c>
      <c r="AQ340" s="337" t="str">
        <f>CONCATENATE(AN340,AO340,AP340)</f>
        <v>114-60266</v>
      </c>
      <c r="AR340" s="337" t="s">
        <v>1272</v>
      </c>
      <c r="AX340" s="345"/>
      <c r="AY340" s="345"/>
      <c r="AZ340" s="232" t="str">
        <f>IF($AX340="Yes",'8. Option Codes Decrypted'!$C$15,"")</f>
        <v/>
      </c>
      <c r="BA340" s="232" t="str">
        <f>IF($AX340="Yes",'8. Option Codes Decrypted'!$C$16,"")</f>
        <v/>
      </c>
      <c r="BB340" s="232" t="str">
        <f>IF($AX340="Yes",'8. Option Codes Decrypted'!$C$17,"")</f>
        <v/>
      </c>
      <c r="BC340" s="232" t="str">
        <f>IF($AX340="Yes",'8. Option Codes Decrypted'!$C$18,"")</f>
        <v/>
      </c>
      <c r="BD340" s="232" t="str">
        <f>IF($AY340="Yes",'8. Option Codes Decrypted'!$C$20,"")</f>
        <v/>
      </c>
      <c r="BE340" s="232" t="str">
        <f>IF($AY340="Yes",'8. Option Codes Decrypted'!$C$21,"")</f>
        <v/>
      </c>
      <c r="BF340" s="232" t="str">
        <f>IF($AY340="Yes",'8. Option Codes Decrypted'!$C$22,"")</f>
        <v/>
      </c>
      <c r="BG340" s="232" t="str">
        <f>IF($AY340="Yes",'8. Option Codes Decrypted'!$C$23,"")</f>
        <v/>
      </c>
    </row>
    <row r="341" spans="1:59" s="232" customFormat="1" x14ac:dyDescent="0.25">
      <c r="A341" s="232" t="str">
        <f t="shared" si="67"/>
        <v/>
      </c>
      <c r="B341" s="358" t="str">
        <f t="shared" si="64"/>
        <v>114-60266</v>
      </c>
      <c r="C341" s="358" t="str">
        <f t="shared" si="63"/>
        <v/>
      </c>
      <c r="D341" s="358"/>
      <c r="E341" s="358">
        <f t="shared" si="65"/>
        <v>2</v>
      </c>
      <c r="F341" s="232" t="s">
        <v>426</v>
      </c>
      <c r="G341" s="241">
        <v>44671</v>
      </c>
      <c r="H341" s="257"/>
      <c r="I341" s="243" t="s">
        <v>441</v>
      </c>
      <c r="J341" s="244" t="s">
        <v>427</v>
      </c>
      <c r="K341" s="244" t="s">
        <v>84</v>
      </c>
      <c r="L341" s="244" t="s">
        <v>1251</v>
      </c>
      <c r="M341" s="243" t="s">
        <v>444</v>
      </c>
      <c r="N341" s="243"/>
      <c r="O341" s="285"/>
      <c r="P341" s="285"/>
      <c r="Q341" s="285"/>
      <c r="R341" s="286" t="str">
        <f t="shared" si="66"/>
        <v>. Headlight, FRONT - RIGHT</v>
      </c>
      <c r="S341" s="286"/>
      <c r="T341" s="243"/>
      <c r="U341" s="244"/>
      <c r="V341" s="243"/>
      <c r="W341" s="244"/>
      <c r="X341" s="244"/>
      <c r="Y341" s="244"/>
      <c r="Z341" s="244" t="s">
        <v>1261</v>
      </c>
      <c r="AA341" s="244" t="s">
        <v>1254</v>
      </c>
      <c r="AB341" s="244" t="s">
        <v>1255</v>
      </c>
      <c r="AC341" s="244" t="s">
        <v>449</v>
      </c>
      <c r="AD341" s="244"/>
      <c r="AE341" s="246">
        <v>1295</v>
      </c>
      <c r="AF341" s="252" t="s">
        <v>434</v>
      </c>
      <c r="AG341" s="247"/>
      <c r="AH341" s="248" t="s">
        <v>435</v>
      </c>
      <c r="AI341" s="258"/>
      <c r="AJ341" s="249"/>
      <c r="AK341" s="232" t="s">
        <v>1256</v>
      </c>
      <c r="AL341" s="232" t="s">
        <v>1257</v>
      </c>
      <c r="AN341" s="233" t="s">
        <v>1258</v>
      </c>
      <c r="AO341" s="232" t="s">
        <v>411</v>
      </c>
      <c r="AP341" s="232">
        <v>60266</v>
      </c>
      <c r="AQ341" s="232" t="str">
        <f t="shared" si="68"/>
        <v>114-60266</v>
      </c>
      <c r="AR341" s="232" t="s">
        <v>1272</v>
      </c>
      <c r="AX341" s="244"/>
      <c r="AY341" s="244"/>
      <c r="AZ341" s="232" t="str">
        <f>IF($AX341="Yes",'8. Option Codes Decrypted'!$C$15,"")</f>
        <v/>
      </c>
      <c r="BA341" s="232" t="str">
        <f>IF($AX341="Yes",'8. Option Codes Decrypted'!$C$16,"")</f>
        <v/>
      </c>
      <c r="BB341" s="232" t="str">
        <f>IF($AX341="Yes",'8. Option Codes Decrypted'!$C$17,"")</f>
        <v/>
      </c>
      <c r="BC341" s="232" t="str">
        <f>IF($AX341="Yes",'8. Option Codes Decrypted'!$C$18,"")</f>
        <v/>
      </c>
      <c r="BD341" s="232" t="str">
        <f>IF($AY341="Yes",'8. Option Codes Decrypted'!$C$20,"")</f>
        <v/>
      </c>
      <c r="BE341" s="232" t="str">
        <f>IF($AY341="Yes",'8. Option Codes Decrypted'!$C$21,"")</f>
        <v/>
      </c>
      <c r="BF341" s="232" t="str">
        <f>IF($AY341="Yes",'8. Option Codes Decrypted'!$C$22,"")</f>
        <v/>
      </c>
      <c r="BG341" s="232" t="str">
        <f>IF($AY341="Yes",'8. Option Codes Decrypted'!$C$23,"")</f>
        <v/>
      </c>
    </row>
    <row r="342" spans="1:59" s="232" customFormat="1" x14ac:dyDescent="0.25">
      <c r="A342" s="232" t="str">
        <f t="shared" si="67"/>
        <v/>
      </c>
      <c r="B342" s="358" t="str">
        <f t="shared" si="64"/>
        <v>591-74049</v>
      </c>
      <c r="C342" s="358" t="str">
        <f t="shared" si="63"/>
        <v/>
      </c>
      <c r="D342" s="358"/>
      <c r="E342" s="358">
        <f t="shared" si="65"/>
        <v>1</v>
      </c>
      <c r="F342" s="232" t="s">
        <v>508</v>
      </c>
      <c r="G342" s="241">
        <v>44922</v>
      </c>
      <c r="H342" s="268"/>
      <c r="I342" s="235"/>
      <c r="J342" s="250" t="s">
        <v>427</v>
      </c>
      <c r="K342" s="250" t="s">
        <v>84</v>
      </c>
      <c r="L342" s="250" t="s">
        <v>1273</v>
      </c>
      <c r="M342" s="243" t="s">
        <v>444</v>
      </c>
      <c r="N342" s="243"/>
      <c r="O342" s="285"/>
      <c r="P342" s="285"/>
      <c r="Q342" s="285"/>
      <c r="R342" s="286" t="str">
        <f t="shared" si="66"/>
        <v>. Headlight Adaptive Control Module</v>
      </c>
      <c r="S342" s="286"/>
      <c r="T342" s="243"/>
      <c r="U342" s="244"/>
      <c r="V342" s="243"/>
      <c r="W342" s="244"/>
      <c r="X342" s="244"/>
      <c r="Y342" s="244"/>
      <c r="Z342" s="250" t="s">
        <v>1274</v>
      </c>
      <c r="AA342" s="250"/>
      <c r="AB342" s="250" t="s">
        <v>1275</v>
      </c>
      <c r="AC342" s="244" t="s">
        <v>449</v>
      </c>
      <c r="AD342" s="250"/>
      <c r="AE342" s="250">
        <v>200</v>
      </c>
      <c r="AF342" s="252" t="s">
        <v>434</v>
      </c>
      <c r="AG342" s="247"/>
      <c r="AH342" s="248" t="s">
        <v>435</v>
      </c>
      <c r="AJ342" s="249"/>
      <c r="AK342" s="232" t="s">
        <v>1276</v>
      </c>
      <c r="AN342" s="233" t="s">
        <v>1277</v>
      </c>
      <c r="AO342" s="232" t="s">
        <v>411</v>
      </c>
      <c r="AP342" s="232">
        <v>74049</v>
      </c>
      <c r="AQ342" s="232" t="str">
        <f t="shared" si="68"/>
        <v>591-74049</v>
      </c>
      <c r="AX342" s="244"/>
      <c r="AY342" s="244"/>
      <c r="AZ342" s="232" t="str">
        <f>IF($AX342="Yes",'8. Option Codes Decrypted'!$C$15,"")</f>
        <v/>
      </c>
      <c r="BA342" s="232" t="str">
        <f>IF($AX342="Yes",'8. Option Codes Decrypted'!$C$16,"")</f>
        <v/>
      </c>
      <c r="BB342" s="232" t="str">
        <f>IF($AX342="Yes",'8. Option Codes Decrypted'!$C$17,"")</f>
        <v/>
      </c>
      <c r="BC342" s="232" t="str">
        <f>IF($AX342="Yes",'8. Option Codes Decrypted'!$C$18,"")</f>
        <v/>
      </c>
      <c r="BD342" s="232" t="str">
        <f>IF($AY342="Yes",'8. Option Codes Decrypted'!$C$20,"")</f>
        <v/>
      </c>
      <c r="BE342" s="232" t="str">
        <f>IF($AY342="Yes",'8. Option Codes Decrypted'!$C$21,"")</f>
        <v/>
      </c>
      <c r="BF342" s="232" t="str">
        <f>IF($AY342="Yes",'8. Option Codes Decrypted'!$C$22,"")</f>
        <v/>
      </c>
      <c r="BG342" s="232" t="str">
        <f>IF($AY342="Yes",'8. Option Codes Decrypted'!$C$23,"")</f>
        <v/>
      </c>
    </row>
    <row r="343" spans="1:59" s="232" customFormat="1" ht="15.75" thickBot="1" x14ac:dyDescent="0.3">
      <c r="A343" s="232" t="str">
        <f t="shared" si="67"/>
        <v/>
      </c>
      <c r="B343" s="358" t="str">
        <f t="shared" si="64"/>
        <v>591-71543</v>
      </c>
      <c r="C343" s="358" t="str">
        <f t="shared" si="63"/>
        <v/>
      </c>
      <c r="D343" s="358"/>
      <c r="E343" s="358">
        <f t="shared" si="65"/>
        <v>1</v>
      </c>
      <c r="F343" s="232" t="s">
        <v>508</v>
      </c>
      <c r="G343" s="241">
        <v>44922</v>
      </c>
      <c r="H343" s="268"/>
      <c r="I343" s="235"/>
      <c r="J343" s="250" t="s">
        <v>427</v>
      </c>
      <c r="K343" s="250" t="s">
        <v>84</v>
      </c>
      <c r="L343" s="250" t="s">
        <v>1273</v>
      </c>
      <c r="M343" s="243" t="s">
        <v>444</v>
      </c>
      <c r="N343" s="243"/>
      <c r="O343" s="285"/>
      <c r="P343" s="285"/>
      <c r="Q343" s="285"/>
      <c r="R343" s="286" t="str">
        <f t="shared" si="66"/>
        <v>. Headlight Ballast Control Module</v>
      </c>
      <c r="S343" s="286"/>
      <c r="T343" s="243"/>
      <c r="U343" s="244"/>
      <c r="V343" s="243"/>
      <c r="W343" s="244"/>
      <c r="X343" s="244"/>
      <c r="Y343" s="244"/>
      <c r="Z343" s="250" t="s">
        <v>1278</v>
      </c>
      <c r="AA343" s="250"/>
      <c r="AB343" s="250" t="s">
        <v>1279</v>
      </c>
      <c r="AC343" s="244" t="s">
        <v>449</v>
      </c>
      <c r="AD343" s="250"/>
      <c r="AE343" s="250">
        <v>50</v>
      </c>
      <c r="AF343" s="252" t="s">
        <v>434</v>
      </c>
      <c r="AG343" s="247"/>
      <c r="AH343" s="248" t="s">
        <v>435</v>
      </c>
      <c r="AJ343" s="249"/>
      <c r="AK343" s="232" t="s">
        <v>1276</v>
      </c>
      <c r="AN343" s="233" t="s">
        <v>1277</v>
      </c>
      <c r="AO343" s="232" t="s">
        <v>411</v>
      </c>
      <c r="AP343" s="232">
        <v>71543</v>
      </c>
      <c r="AQ343" s="232" t="str">
        <f t="shared" si="68"/>
        <v>591-71543</v>
      </c>
      <c r="AX343" s="244"/>
      <c r="AY343" s="244"/>
      <c r="AZ343" s="232" t="str">
        <f>IF($AX343="Yes",'8. Option Codes Decrypted'!$C$15,"")</f>
        <v/>
      </c>
      <c r="BA343" s="232" t="str">
        <f>IF($AX343="Yes",'8. Option Codes Decrypted'!$C$16,"")</f>
        <v/>
      </c>
      <c r="BB343" s="232" t="str">
        <f>IF($AX343="Yes",'8. Option Codes Decrypted'!$C$17,"")</f>
        <v/>
      </c>
      <c r="BC343" s="232" t="str">
        <f>IF($AX343="Yes",'8. Option Codes Decrypted'!$C$18,"")</f>
        <v/>
      </c>
      <c r="BD343" s="232" t="str">
        <f>IF($AY343="Yes",'8. Option Codes Decrypted'!$C$20,"")</f>
        <v/>
      </c>
      <c r="BE343" s="232" t="str">
        <f>IF($AY343="Yes",'8. Option Codes Decrypted'!$C$21,"")</f>
        <v/>
      </c>
      <c r="BF343" s="232" t="str">
        <f>IF($AY343="Yes",'8. Option Codes Decrypted'!$C$22,"")</f>
        <v/>
      </c>
      <c r="BG343" s="232" t="str">
        <f>IF($AY343="Yes",'8. Option Codes Decrypted'!$C$23,"")</f>
        <v/>
      </c>
    </row>
    <row r="344" spans="1:59" s="232" customFormat="1" ht="15.75" thickBot="1" x14ac:dyDescent="0.3">
      <c r="A344" s="232" t="str">
        <f t="shared" si="67"/>
        <v>A112</v>
      </c>
      <c r="B344" s="358" t="str">
        <f t="shared" si="64"/>
        <v>166-60725</v>
      </c>
      <c r="C344" s="358" t="str">
        <f t="shared" si="63"/>
        <v/>
      </c>
      <c r="D344" s="358"/>
      <c r="E344" s="358">
        <f t="shared" si="65"/>
        <v>1</v>
      </c>
      <c r="F344" s="232" t="s">
        <v>426</v>
      </c>
      <c r="G344" s="241">
        <v>44671</v>
      </c>
      <c r="H344" s="268"/>
      <c r="I344" s="235" t="s">
        <v>441</v>
      </c>
      <c r="J344" s="250" t="s">
        <v>427</v>
      </c>
      <c r="K344" s="250" t="s">
        <v>84</v>
      </c>
      <c r="L344" s="250" t="s">
        <v>1280</v>
      </c>
      <c r="M344" s="243" t="s">
        <v>444</v>
      </c>
      <c r="N344" s="243">
        <v>102</v>
      </c>
      <c r="O344" s="285" t="s">
        <v>356</v>
      </c>
      <c r="P344" s="285" t="s">
        <v>397</v>
      </c>
      <c r="Q344" s="285">
        <v>1</v>
      </c>
      <c r="R344" s="286" t="str">
        <f t="shared" si="66"/>
        <v>A112. Taillight, QUARTER PANEL MOUNTED - LEFT</v>
      </c>
      <c r="S344" s="365" t="str">
        <f>HYPERLINK(VLOOKUP(O344,'3D. Pictures'!$B$3:$E$500,4,FALSE),"PIC")</f>
        <v>PIC</v>
      </c>
      <c r="T344" s="243">
        <v>7</v>
      </c>
      <c r="U344" s="244" t="s">
        <v>1281</v>
      </c>
      <c r="V344" s="243" t="s">
        <v>81</v>
      </c>
      <c r="W344" s="244" t="s">
        <v>2990</v>
      </c>
      <c r="X344" s="244"/>
      <c r="Y344" s="244"/>
      <c r="Z344" s="250" t="s">
        <v>1282</v>
      </c>
      <c r="AA344" s="250" t="s">
        <v>1282</v>
      </c>
      <c r="AB344" s="250" t="s">
        <v>1282</v>
      </c>
      <c r="AC344" s="244" t="s">
        <v>449</v>
      </c>
      <c r="AD344" s="250"/>
      <c r="AE344" s="250">
        <v>235</v>
      </c>
      <c r="AF344" s="252" t="s">
        <v>434</v>
      </c>
      <c r="AG344" s="247"/>
      <c r="AH344" s="248" t="s">
        <v>435</v>
      </c>
      <c r="AJ344" s="249"/>
      <c r="AK344" s="232" t="s">
        <v>1283</v>
      </c>
      <c r="AN344" s="233" t="s">
        <v>1284</v>
      </c>
      <c r="AO344" s="232" t="s">
        <v>411</v>
      </c>
      <c r="AP344" s="232">
        <v>60725</v>
      </c>
      <c r="AQ344" s="232" t="str">
        <f t="shared" si="68"/>
        <v>166-60725</v>
      </c>
      <c r="AX344" s="244"/>
      <c r="AY344" s="244"/>
      <c r="AZ344" s="232" t="str">
        <f>IF($AX344="Yes",'8. Option Codes Decrypted'!$C$15,"")</f>
        <v/>
      </c>
      <c r="BA344" s="232" t="str">
        <f>IF($AX344="Yes",'8. Option Codes Decrypted'!$C$16,"")</f>
        <v/>
      </c>
      <c r="BB344" s="232" t="str">
        <f>IF($AX344="Yes",'8. Option Codes Decrypted'!$C$17,"")</f>
        <v/>
      </c>
      <c r="BC344" s="232" t="str">
        <f>IF($AX344="Yes",'8. Option Codes Decrypted'!$C$18,"")</f>
        <v/>
      </c>
      <c r="BD344" s="232" t="str">
        <f>IF($AY344="Yes",'8. Option Codes Decrypted'!$C$20,"")</f>
        <v/>
      </c>
      <c r="BE344" s="232" t="str">
        <f>IF($AY344="Yes",'8. Option Codes Decrypted'!$C$21,"")</f>
        <v/>
      </c>
      <c r="BF344" s="232" t="str">
        <f>IF($AY344="Yes",'8. Option Codes Decrypted'!$C$22,"")</f>
        <v/>
      </c>
      <c r="BG344" s="232" t="str">
        <f>IF($AY344="Yes",'8. Option Codes Decrypted'!$C$23,"")</f>
        <v/>
      </c>
    </row>
    <row r="345" spans="1:59" s="337" customFormat="1" ht="15.75" thickBot="1" x14ac:dyDescent="0.3">
      <c r="A345" s="232" t="str">
        <f t="shared" si="67"/>
        <v>A114</v>
      </c>
      <c r="B345" s="358" t="str">
        <f>IF(AQ345&lt;&gt;"",AQ345,"")</f>
        <v>166-60724</v>
      </c>
      <c r="C345" s="358" t="str">
        <f t="shared" si="63"/>
        <v/>
      </c>
      <c r="D345" s="358"/>
      <c r="E345" s="358">
        <f t="shared" si="65"/>
        <v>2</v>
      </c>
      <c r="F345" s="337" t="s">
        <v>426</v>
      </c>
      <c r="G345" s="338">
        <v>44671</v>
      </c>
      <c r="H345" s="339"/>
      <c r="I345" s="340" t="s">
        <v>441</v>
      </c>
      <c r="J345" s="341" t="s">
        <v>427</v>
      </c>
      <c r="K345" s="341" t="s">
        <v>84</v>
      </c>
      <c r="L345" s="341" t="s">
        <v>1280</v>
      </c>
      <c r="M345" s="342" t="s">
        <v>444</v>
      </c>
      <c r="N345" s="342">
        <v>104</v>
      </c>
      <c r="O345" s="343" t="s">
        <v>358</v>
      </c>
      <c r="P345" s="343" t="s">
        <v>397</v>
      </c>
      <c r="Q345" s="343">
        <v>1</v>
      </c>
      <c r="R345" s="344" t="str">
        <f t="shared" si="66"/>
        <v>A114. Taillight, QUARTER PANEL MOUNTED - RIGHT (FLAWED)</v>
      </c>
      <c r="S345" s="365" t="str">
        <f>HYPERLINK(VLOOKUP(O345,'3D. Pictures'!$B$3:$E$500,4,FALSE),"PIC")</f>
        <v>PIC</v>
      </c>
      <c r="T345" s="342">
        <v>6</v>
      </c>
      <c r="U345" s="345" t="s">
        <v>1285</v>
      </c>
      <c r="V345" s="342" t="s">
        <v>81</v>
      </c>
      <c r="W345" s="345" t="s">
        <v>2991</v>
      </c>
      <c r="X345" s="345"/>
      <c r="Y345" s="345"/>
      <c r="Z345" s="341" t="s">
        <v>1286</v>
      </c>
      <c r="AA345" s="341" t="s">
        <v>1287</v>
      </c>
      <c r="AB345" s="341" t="s">
        <v>1287</v>
      </c>
      <c r="AC345" s="345" t="s">
        <v>449</v>
      </c>
      <c r="AD345" s="341"/>
      <c r="AE345" s="341">
        <v>125</v>
      </c>
      <c r="AF345" s="346" t="s">
        <v>434</v>
      </c>
      <c r="AG345" s="347"/>
      <c r="AH345" s="348" t="s">
        <v>435</v>
      </c>
      <c r="AJ345" s="349"/>
      <c r="AK345" s="337" t="s">
        <v>1283</v>
      </c>
      <c r="AN345" s="350" t="s">
        <v>1284</v>
      </c>
      <c r="AO345" s="337" t="s">
        <v>411</v>
      </c>
      <c r="AP345" s="337">
        <v>60724</v>
      </c>
      <c r="AQ345" s="337" t="str">
        <f>CONCATENATE(AN345,AO345,AP345)</f>
        <v>166-60724</v>
      </c>
      <c r="AX345" s="345"/>
      <c r="AY345" s="345"/>
      <c r="AZ345" s="232" t="str">
        <f>IF($AX345="Yes",'8. Option Codes Decrypted'!$C$15,"")</f>
        <v/>
      </c>
      <c r="BA345" s="232" t="str">
        <f>IF($AX345="Yes",'8. Option Codes Decrypted'!$C$16,"")</f>
        <v/>
      </c>
      <c r="BB345" s="232" t="str">
        <f>IF($AX345="Yes",'8. Option Codes Decrypted'!$C$17,"")</f>
        <v/>
      </c>
      <c r="BC345" s="232" t="str">
        <f>IF($AX345="Yes",'8. Option Codes Decrypted'!$C$18,"")</f>
        <v/>
      </c>
      <c r="BD345" s="232" t="str">
        <f>IF($AY345="Yes",'8. Option Codes Decrypted'!$C$20,"")</f>
        <v/>
      </c>
      <c r="BE345" s="232" t="str">
        <f>IF($AY345="Yes",'8. Option Codes Decrypted'!$C$21,"")</f>
        <v/>
      </c>
      <c r="BF345" s="232" t="str">
        <f>IF($AY345="Yes",'8. Option Codes Decrypted'!$C$22,"")</f>
        <v/>
      </c>
      <c r="BG345" s="232" t="str">
        <f>IF($AY345="Yes",'8. Option Codes Decrypted'!$C$23,"")</f>
        <v/>
      </c>
    </row>
    <row r="346" spans="1:59" s="232" customFormat="1" ht="15.75" thickBot="1" x14ac:dyDescent="0.3">
      <c r="A346" s="232" t="str">
        <f t="shared" si="67"/>
        <v/>
      </c>
      <c r="B346" s="358" t="str">
        <f t="shared" si="64"/>
        <v>166-60724</v>
      </c>
      <c r="C346" s="358" t="str">
        <f t="shared" si="63"/>
        <v/>
      </c>
      <c r="D346" s="358"/>
      <c r="E346" s="358">
        <f t="shared" si="65"/>
        <v>2</v>
      </c>
      <c r="F346" s="232" t="s">
        <v>426</v>
      </c>
      <c r="G346" s="241">
        <v>44671</v>
      </c>
      <c r="H346" s="268"/>
      <c r="I346" s="235" t="s">
        <v>441</v>
      </c>
      <c r="J346" s="250" t="s">
        <v>427</v>
      </c>
      <c r="K346" s="250" t="s">
        <v>84</v>
      </c>
      <c r="L346" s="250" t="s">
        <v>1287</v>
      </c>
      <c r="M346" s="243" t="s">
        <v>444</v>
      </c>
      <c r="N346" s="243"/>
      <c r="O346" s="285"/>
      <c r="P346" s="285"/>
      <c r="Q346" s="285"/>
      <c r="R346" s="286" t="str">
        <f t="shared" si="66"/>
        <v>. Taillight, QUARTER PANEL MOUNTED - RIGHT</v>
      </c>
      <c r="S346" s="286"/>
      <c r="T346" s="243"/>
      <c r="U346" s="244"/>
      <c r="V346" s="243"/>
      <c r="W346" s="244"/>
      <c r="X346" s="244"/>
      <c r="Y346" s="244"/>
      <c r="Z346" s="250" t="s">
        <v>1287</v>
      </c>
      <c r="AA346" s="250" t="s">
        <v>1287</v>
      </c>
      <c r="AB346" s="250" t="s">
        <v>1287</v>
      </c>
      <c r="AC346" s="244" t="s">
        <v>449</v>
      </c>
      <c r="AD346" s="250"/>
      <c r="AE346" s="250">
        <v>235</v>
      </c>
      <c r="AF346" s="252" t="s">
        <v>434</v>
      </c>
      <c r="AG346" s="247"/>
      <c r="AH346" s="248" t="s">
        <v>435</v>
      </c>
      <c r="AJ346" s="249"/>
      <c r="AK346" s="232" t="s">
        <v>1283</v>
      </c>
      <c r="AN346" s="233" t="s">
        <v>1284</v>
      </c>
      <c r="AO346" s="232" t="s">
        <v>411</v>
      </c>
      <c r="AP346" s="232">
        <v>60724</v>
      </c>
      <c r="AQ346" s="232" t="str">
        <f t="shared" si="68"/>
        <v>166-60724</v>
      </c>
      <c r="AX346" s="244"/>
      <c r="AY346" s="244"/>
      <c r="AZ346" s="232" t="str">
        <f>IF($AX346="Yes",'8. Option Codes Decrypted'!$C$15,"")</f>
        <v/>
      </c>
      <c r="BA346" s="232" t="str">
        <f>IF($AX346="Yes",'8. Option Codes Decrypted'!$C$16,"")</f>
        <v/>
      </c>
      <c r="BB346" s="232" t="str">
        <f>IF($AX346="Yes",'8. Option Codes Decrypted'!$C$17,"")</f>
        <v/>
      </c>
      <c r="BC346" s="232" t="str">
        <f>IF($AX346="Yes",'8. Option Codes Decrypted'!$C$18,"")</f>
        <v/>
      </c>
      <c r="BD346" s="232" t="str">
        <f>IF($AY346="Yes",'8. Option Codes Decrypted'!$C$20,"")</f>
        <v/>
      </c>
      <c r="BE346" s="232" t="str">
        <f>IF($AY346="Yes",'8. Option Codes Decrypted'!$C$21,"")</f>
        <v/>
      </c>
      <c r="BF346" s="232" t="str">
        <f>IF($AY346="Yes",'8. Option Codes Decrypted'!$C$22,"")</f>
        <v/>
      </c>
      <c r="BG346" s="232" t="str">
        <f>IF($AY346="Yes",'8. Option Codes Decrypted'!$C$23,"")</f>
        <v/>
      </c>
    </row>
    <row r="347" spans="1:59" s="232" customFormat="1" ht="15.75" thickBot="1" x14ac:dyDescent="0.3">
      <c r="A347" s="232" t="str">
        <f t="shared" si="67"/>
        <v>A113</v>
      </c>
      <c r="B347" s="358" t="str">
        <f t="shared" si="64"/>
        <v>166-60727</v>
      </c>
      <c r="C347" s="358" t="str">
        <f t="shared" si="63"/>
        <v/>
      </c>
      <c r="D347" s="358"/>
      <c r="E347" s="358">
        <f t="shared" si="65"/>
        <v>1</v>
      </c>
      <c r="F347" s="232" t="s">
        <v>426</v>
      </c>
      <c r="G347" s="241">
        <v>44671</v>
      </c>
      <c r="H347" s="268"/>
      <c r="I347" s="235" t="s">
        <v>441</v>
      </c>
      <c r="J347" s="250" t="s">
        <v>427</v>
      </c>
      <c r="K347" s="250" t="s">
        <v>84</v>
      </c>
      <c r="L347" s="250" t="s">
        <v>1280</v>
      </c>
      <c r="M347" s="243" t="s">
        <v>444</v>
      </c>
      <c r="N347" s="243">
        <v>103</v>
      </c>
      <c r="O347" s="285" t="s">
        <v>357</v>
      </c>
      <c r="P347" s="285" t="s">
        <v>397</v>
      </c>
      <c r="Q347" s="285">
        <v>1</v>
      </c>
      <c r="R347" s="286" t="str">
        <f t="shared" si="66"/>
        <v>A113. Taillight, TRUNK MOUNTED - LEFT</v>
      </c>
      <c r="S347" s="365" t="str">
        <f>HYPERLINK(VLOOKUP(O347,'3D. Pictures'!$B$3:$E$500,4,FALSE),"PIC")</f>
        <v>PIC</v>
      </c>
      <c r="T347" s="243">
        <v>6</v>
      </c>
      <c r="U347" s="244" t="s">
        <v>1288</v>
      </c>
      <c r="V347" s="243" t="s">
        <v>81</v>
      </c>
      <c r="W347" s="244" t="s">
        <v>2990</v>
      </c>
      <c r="X347" s="244"/>
      <c r="Y347" s="244"/>
      <c r="Z347" s="250" t="s">
        <v>1289</v>
      </c>
      <c r="AA347" s="250" t="s">
        <v>1289</v>
      </c>
      <c r="AB347" s="250" t="s">
        <v>1289</v>
      </c>
      <c r="AC347" s="244" t="s">
        <v>449</v>
      </c>
      <c r="AD347" s="250"/>
      <c r="AE347" s="250">
        <v>250</v>
      </c>
      <c r="AF347" s="252" t="s">
        <v>434</v>
      </c>
      <c r="AG347" s="247"/>
      <c r="AH347" s="248" t="s">
        <v>435</v>
      </c>
      <c r="AJ347" s="249"/>
      <c r="AK347" s="232" t="s">
        <v>1290</v>
      </c>
      <c r="AN347" s="233" t="s">
        <v>1284</v>
      </c>
      <c r="AO347" s="232" t="s">
        <v>411</v>
      </c>
      <c r="AP347" s="232">
        <v>60727</v>
      </c>
      <c r="AQ347" s="232" t="str">
        <f t="shared" si="68"/>
        <v>166-60727</v>
      </c>
      <c r="AX347" s="244"/>
      <c r="AY347" s="244"/>
      <c r="AZ347" s="232" t="str">
        <f>IF($AX347="Yes",'8. Option Codes Decrypted'!$C$15,"")</f>
        <v/>
      </c>
      <c r="BA347" s="232" t="str">
        <f>IF($AX347="Yes",'8. Option Codes Decrypted'!$C$16,"")</f>
        <v/>
      </c>
      <c r="BB347" s="232" t="str">
        <f>IF($AX347="Yes",'8. Option Codes Decrypted'!$C$17,"")</f>
        <v/>
      </c>
      <c r="BC347" s="232" t="str">
        <f>IF($AX347="Yes",'8. Option Codes Decrypted'!$C$18,"")</f>
        <v/>
      </c>
      <c r="BD347" s="232" t="str">
        <f>IF($AY347="Yes",'8. Option Codes Decrypted'!$C$20,"")</f>
        <v/>
      </c>
      <c r="BE347" s="232" t="str">
        <f>IF($AY347="Yes",'8. Option Codes Decrypted'!$C$21,"")</f>
        <v/>
      </c>
      <c r="BF347" s="232" t="str">
        <f>IF($AY347="Yes",'8. Option Codes Decrypted'!$C$22,"")</f>
        <v/>
      </c>
      <c r="BG347" s="232" t="str">
        <f>IF($AY347="Yes",'8. Option Codes Decrypted'!$C$23,"")</f>
        <v/>
      </c>
    </row>
    <row r="348" spans="1:59" s="232" customFormat="1" ht="15.75" thickBot="1" x14ac:dyDescent="0.3">
      <c r="A348" s="232" t="str">
        <f t="shared" si="67"/>
        <v>A115</v>
      </c>
      <c r="B348" s="358" t="str">
        <f t="shared" si="64"/>
        <v>166-60726</v>
      </c>
      <c r="C348" s="358" t="str">
        <f t="shared" si="63"/>
        <v/>
      </c>
      <c r="D348" s="358"/>
      <c r="E348" s="358">
        <f t="shared" si="65"/>
        <v>1</v>
      </c>
      <c r="F348" s="232" t="s">
        <v>426</v>
      </c>
      <c r="G348" s="241">
        <v>44671</v>
      </c>
      <c r="H348" s="268"/>
      <c r="I348" s="235" t="s">
        <v>441</v>
      </c>
      <c r="J348" s="250" t="s">
        <v>427</v>
      </c>
      <c r="K348" s="250" t="s">
        <v>84</v>
      </c>
      <c r="L348" s="250" t="s">
        <v>1280</v>
      </c>
      <c r="M348" s="243" t="s">
        <v>444</v>
      </c>
      <c r="N348" s="243">
        <v>105</v>
      </c>
      <c r="O348" s="285" t="s">
        <v>359</v>
      </c>
      <c r="P348" s="285" t="s">
        <v>397</v>
      </c>
      <c r="Q348" s="285">
        <v>1</v>
      </c>
      <c r="R348" s="286" t="str">
        <f t="shared" si="66"/>
        <v>A115. Taillight, TRUNK MOUNTED - RIGHT</v>
      </c>
      <c r="S348" s="365" t="str">
        <f>HYPERLINK(VLOOKUP(O348,'3D. Pictures'!$B$3:$E$500,4,FALSE),"PIC")</f>
        <v>PIC</v>
      </c>
      <c r="T348" s="243">
        <v>5</v>
      </c>
      <c r="U348" s="244" t="s">
        <v>1291</v>
      </c>
      <c r="V348" s="243" t="s">
        <v>81</v>
      </c>
      <c r="W348" s="244" t="s">
        <v>2990</v>
      </c>
      <c r="X348" s="244"/>
      <c r="Y348" s="244"/>
      <c r="Z348" s="250" t="s">
        <v>1292</v>
      </c>
      <c r="AA348" s="250" t="s">
        <v>1292</v>
      </c>
      <c r="AB348" s="250" t="s">
        <v>1292</v>
      </c>
      <c r="AC348" s="244" t="s">
        <v>449</v>
      </c>
      <c r="AD348" s="250"/>
      <c r="AE348" s="250">
        <v>250</v>
      </c>
      <c r="AF348" s="252" t="s">
        <v>434</v>
      </c>
      <c r="AG348" s="247"/>
      <c r="AH348" s="248" t="s">
        <v>435</v>
      </c>
      <c r="AJ348" s="249"/>
      <c r="AK348" s="232" t="s">
        <v>1290</v>
      </c>
      <c r="AN348" s="233" t="s">
        <v>1284</v>
      </c>
      <c r="AO348" s="232" t="s">
        <v>411</v>
      </c>
      <c r="AP348" s="232">
        <v>60726</v>
      </c>
      <c r="AQ348" s="232" t="str">
        <f t="shared" si="68"/>
        <v>166-60726</v>
      </c>
      <c r="AX348" s="244"/>
      <c r="AY348" s="244"/>
      <c r="AZ348" s="232" t="str">
        <f>IF($AX348="Yes",'8. Option Codes Decrypted'!$C$15,"")</f>
        <v/>
      </c>
      <c r="BA348" s="232" t="str">
        <f>IF($AX348="Yes",'8. Option Codes Decrypted'!$C$16,"")</f>
        <v/>
      </c>
      <c r="BB348" s="232" t="str">
        <f>IF($AX348="Yes",'8. Option Codes Decrypted'!$C$17,"")</f>
        <v/>
      </c>
      <c r="BC348" s="232" t="str">
        <f>IF($AX348="Yes",'8. Option Codes Decrypted'!$C$18,"")</f>
        <v/>
      </c>
      <c r="BD348" s="232" t="str">
        <f>IF($AY348="Yes",'8. Option Codes Decrypted'!$C$20,"")</f>
        <v/>
      </c>
      <c r="BE348" s="232" t="str">
        <f>IF($AY348="Yes",'8. Option Codes Decrypted'!$C$21,"")</f>
        <v/>
      </c>
      <c r="BF348" s="232" t="str">
        <f>IF($AY348="Yes",'8. Option Codes Decrypted'!$C$22,"")</f>
        <v/>
      </c>
      <c r="BG348" s="232" t="str">
        <f>IF($AY348="Yes",'8. Option Codes Decrypted'!$C$23,"")</f>
        <v/>
      </c>
    </row>
    <row r="349" spans="1:59" x14ac:dyDescent="0.25">
      <c r="A349" s="232" t="str">
        <f t="shared" si="67"/>
        <v/>
      </c>
      <c r="B349" s="358" t="str">
        <f t="shared" si="64"/>
        <v/>
      </c>
      <c r="C349" s="358" t="str">
        <f t="shared" si="63"/>
        <v/>
      </c>
      <c r="D349" s="358"/>
      <c r="E349" s="358" t="str">
        <f t="shared" si="65"/>
        <v/>
      </c>
      <c r="F349" t="s">
        <v>426</v>
      </c>
      <c r="G349" s="230">
        <v>44671</v>
      </c>
      <c r="H349" s="10"/>
      <c r="I349" s="10"/>
      <c r="J349" s="10" t="s">
        <v>504</v>
      </c>
      <c r="K349" s="10" t="s">
        <v>84</v>
      </c>
      <c r="L349" s="10" t="s">
        <v>1293</v>
      </c>
      <c r="M349" s="16" t="s">
        <v>430</v>
      </c>
      <c r="N349" s="16"/>
      <c r="O349" s="191"/>
      <c r="P349" s="191"/>
      <c r="Q349" s="191"/>
      <c r="R349" s="286" t="str">
        <f t="shared" si="66"/>
        <v>. License Plate Lights (TOSS BOTH)</v>
      </c>
      <c r="S349" s="286"/>
      <c r="T349" s="16"/>
      <c r="U349" s="16"/>
      <c r="V349" s="16"/>
      <c r="W349" s="16"/>
      <c r="X349" s="16"/>
      <c r="Y349" s="16"/>
      <c r="Z349" s="10" t="s">
        <v>1293</v>
      </c>
      <c r="AA349" s="10" t="s">
        <v>1293</v>
      </c>
      <c r="AB349" s="10" t="s">
        <v>1293</v>
      </c>
      <c r="AC349" s="193" t="s">
        <v>449</v>
      </c>
      <c r="AD349" s="10"/>
      <c r="AE349" s="10"/>
      <c r="AF349" s="200" t="s">
        <v>434</v>
      </c>
      <c r="AH349" s="3" t="s">
        <v>435</v>
      </c>
      <c r="AJ349" s="69"/>
      <c r="AK349" t="s">
        <v>1294</v>
      </c>
      <c r="AN349"/>
      <c r="AX349" s="16"/>
      <c r="AY349" s="16"/>
      <c r="AZ349" s="232" t="str">
        <f>IF($AX349="Yes",'8. Option Codes Decrypted'!$C$15,"")</f>
        <v/>
      </c>
      <c r="BA349" s="232" t="str">
        <f>IF($AX349="Yes",'8. Option Codes Decrypted'!$C$16,"")</f>
        <v/>
      </c>
      <c r="BB349" s="232" t="str">
        <f>IF($AX349="Yes",'8. Option Codes Decrypted'!$C$17,"")</f>
        <v/>
      </c>
      <c r="BC349" s="232" t="str">
        <f>IF($AX349="Yes",'8. Option Codes Decrypted'!$C$18,"")</f>
        <v/>
      </c>
      <c r="BD349" s="232" t="str">
        <f>IF($AY349="Yes",'8. Option Codes Decrypted'!$C$20,"")</f>
        <v/>
      </c>
      <c r="BE349" s="232" t="str">
        <f>IF($AY349="Yes",'8. Option Codes Decrypted'!$C$21,"")</f>
        <v/>
      </c>
      <c r="BF349" s="232" t="str">
        <f>IF($AY349="Yes",'8. Option Codes Decrypted'!$C$22,"")</f>
        <v/>
      </c>
      <c r="BG349" s="232" t="str">
        <f>IF($AY349="Yes",'8. Option Codes Decrypted'!$C$23,"")</f>
        <v/>
      </c>
    </row>
    <row r="350" spans="1:59" s="232" customFormat="1" x14ac:dyDescent="0.25">
      <c r="A350" s="232" t="str">
        <f t="shared" si="67"/>
        <v/>
      </c>
      <c r="B350" s="358" t="str">
        <f t="shared" si="64"/>
        <v>591-74060</v>
      </c>
      <c r="C350" s="358" t="str">
        <f t="shared" si="63"/>
        <v/>
      </c>
      <c r="D350" s="358"/>
      <c r="E350" s="358">
        <f t="shared" si="65"/>
        <v>1</v>
      </c>
      <c r="F350" s="232" t="s">
        <v>426</v>
      </c>
      <c r="G350" s="241">
        <v>45247</v>
      </c>
      <c r="H350" s="268"/>
      <c r="I350" s="235"/>
      <c r="J350" s="250" t="s">
        <v>427</v>
      </c>
      <c r="K350" s="250" t="s">
        <v>1295</v>
      </c>
      <c r="L350" s="250" t="s">
        <v>1296</v>
      </c>
      <c r="M350" s="254" t="s">
        <v>510</v>
      </c>
      <c r="N350" s="254"/>
      <c r="O350" s="287"/>
      <c r="P350" s="287"/>
      <c r="Q350" s="287"/>
      <c r="R350" s="286" t="str">
        <f t="shared" si="66"/>
        <v>. ABS ICM Integrated Chassis Management SRS Control Module</v>
      </c>
      <c r="S350" s="286"/>
      <c r="T350" s="254"/>
      <c r="U350" s="244"/>
      <c r="V350" s="254"/>
      <c r="W350" s="244"/>
      <c r="X350" s="244"/>
      <c r="Y350" s="244"/>
      <c r="Z350" s="250" t="s">
        <v>1297</v>
      </c>
      <c r="AA350" s="250"/>
      <c r="AB350" s="250" t="s">
        <v>1298</v>
      </c>
      <c r="AC350" s="244" t="s">
        <v>449</v>
      </c>
      <c r="AD350" s="250"/>
      <c r="AE350" s="265">
        <v>350</v>
      </c>
      <c r="AF350" s="252" t="s">
        <v>434</v>
      </c>
      <c r="AG350" s="247"/>
      <c r="AH350" s="248" t="s">
        <v>435</v>
      </c>
      <c r="AJ350" s="249"/>
      <c r="AK350" s="232" t="s">
        <v>1299</v>
      </c>
      <c r="AN350" s="233" t="s">
        <v>1277</v>
      </c>
      <c r="AO350" s="232" t="s">
        <v>411</v>
      </c>
      <c r="AP350" s="232">
        <v>74060</v>
      </c>
      <c r="AQ350" s="232" t="str">
        <f t="shared" ref="AQ350:AQ359" si="69">CONCATENATE(AN350,AO350,AP350)</f>
        <v>591-74060</v>
      </c>
      <c r="AR350" s="232" t="s">
        <v>1300</v>
      </c>
      <c r="AX350" s="244"/>
      <c r="AY350" s="244"/>
      <c r="AZ350" s="232" t="str">
        <f>IF($AX350="Yes",'8. Option Codes Decrypted'!$C$15,"")</f>
        <v/>
      </c>
      <c r="BA350" s="232" t="str">
        <f>IF($AX350="Yes",'8. Option Codes Decrypted'!$C$16,"")</f>
        <v/>
      </c>
      <c r="BB350" s="232" t="str">
        <f>IF($AX350="Yes",'8. Option Codes Decrypted'!$C$17,"")</f>
        <v/>
      </c>
      <c r="BC350" s="232" t="str">
        <f>IF($AX350="Yes",'8. Option Codes Decrypted'!$C$18,"")</f>
        <v/>
      </c>
      <c r="BD350" s="232" t="str">
        <f>IF($AY350="Yes",'8. Option Codes Decrypted'!$C$20,"")</f>
        <v/>
      </c>
      <c r="BE350" s="232" t="str">
        <f>IF($AY350="Yes",'8. Option Codes Decrypted'!$C$21,"")</f>
        <v/>
      </c>
      <c r="BF350" s="232" t="str">
        <f>IF($AY350="Yes",'8. Option Codes Decrypted'!$C$22,"")</f>
        <v/>
      </c>
      <c r="BG350" s="232" t="str">
        <f>IF($AY350="Yes",'8. Option Codes Decrypted'!$C$23,"")</f>
        <v/>
      </c>
    </row>
    <row r="351" spans="1:59" s="232" customFormat="1" ht="15.75" thickBot="1" x14ac:dyDescent="0.3">
      <c r="A351" s="232" t="str">
        <f t="shared" si="67"/>
        <v/>
      </c>
      <c r="B351" s="358" t="str">
        <f t="shared" si="64"/>
        <v>591-74064</v>
      </c>
      <c r="C351" s="358" t="str">
        <f t="shared" si="63"/>
        <v/>
      </c>
      <c r="D351" s="358"/>
      <c r="E351" s="358">
        <f t="shared" si="65"/>
        <v>1</v>
      </c>
      <c r="F351" s="232" t="s">
        <v>426</v>
      </c>
      <c r="G351" s="241">
        <v>45247</v>
      </c>
      <c r="H351" s="268"/>
      <c r="I351" s="235"/>
      <c r="J351" s="250" t="s">
        <v>427</v>
      </c>
      <c r="K351" s="250" t="s">
        <v>1295</v>
      </c>
      <c r="L351" s="250" t="s">
        <v>1296</v>
      </c>
      <c r="M351" s="254" t="s">
        <v>510</v>
      </c>
      <c r="N351" s="254"/>
      <c r="O351" s="287"/>
      <c r="P351" s="287"/>
      <c r="Q351" s="287"/>
      <c r="R351" s="286" t="str">
        <f t="shared" si="66"/>
        <v>. ABS ICM Integrated Chassis Management SRS Control Module</v>
      </c>
      <c r="S351" s="286"/>
      <c r="T351" s="254"/>
      <c r="U351" s="244"/>
      <c r="V351" s="254"/>
      <c r="W351" s="244"/>
      <c r="X351" s="244"/>
      <c r="Y351" s="244"/>
      <c r="Z351" s="250" t="s">
        <v>1297</v>
      </c>
      <c r="AA351" s="250"/>
      <c r="AB351" s="250" t="s">
        <v>1298</v>
      </c>
      <c r="AC351" s="244" t="s">
        <v>449</v>
      </c>
      <c r="AD351" s="250"/>
      <c r="AE351" s="265">
        <v>250</v>
      </c>
      <c r="AF351" s="252" t="s">
        <v>434</v>
      </c>
      <c r="AG351" s="247"/>
      <c r="AH351" s="248" t="s">
        <v>435</v>
      </c>
      <c r="AJ351" s="249"/>
      <c r="AK351" s="232" t="s">
        <v>1299</v>
      </c>
      <c r="AN351" s="233" t="s">
        <v>1277</v>
      </c>
      <c r="AO351" s="232" t="s">
        <v>411</v>
      </c>
      <c r="AP351" s="232">
        <v>74064</v>
      </c>
      <c r="AQ351" s="232" t="str">
        <f>CONCATENATE(AN351,AO351,AP351)</f>
        <v>591-74064</v>
      </c>
      <c r="AR351" s="232" t="s">
        <v>1301</v>
      </c>
      <c r="AX351" s="244"/>
      <c r="AY351" s="244"/>
      <c r="AZ351" s="232" t="str">
        <f>IF($AX351="Yes",'8. Option Codes Decrypted'!$C$15,"")</f>
        <v/>
      </c>
      <c r="BA351" s="232" t="str">
        <f>IF($AX351="Yes",'8. Option Codes Decrypted'!$C$16,"")</f>
        <v/>
      </c>
      <c r="BB351" s="232" t="str">
        <f>IF($AX351="Yes",'8. Option Codes Decrypted'!$C$17,"")</f>
        <v/>
      </c>
      <c r="BC351" s="232" t="str">
        <f>IF($AX351="Yes",'8. Option Codes Decrypted'!$C$18,"")</f>
        <v/>
      </c>
      <c r="BD351" s="232" t="str">
        <f>IF($AY351="Yes",'8. Option Codes Decrypted'!$C$20,"")</f>
        <v/>
      </c>
      <c r="BE351" s="232" t="str">
        <f>IF($AY351="Yes",'8. Option Codes Decrypted'!$C$21,"")</f>
        <v/>
      </c>
      <c r="BF351" s="232" t="str">
        <f>IF($AY351="Yes",'8. Option Codes Decrypted'!$C$22,"")</f>
        <v/>
      </c>
      <c r="BG351" s="232" t="str">
        <f>IF($AY351="Yes",'8. Option Codes Decrypted'!$C$23,"")</f>
        <v/>
      </c>
    </row>
    <row r="352" spans="1:59" s="232" customFormat="1" ht="15.75" thickBot="1" x14ac:dyDescent="0.3">
      <c r="A352" s="232" t="str">
        <f t="shared" si="67"/>
        <v>A74</v>
      </c>
      <c r="B352" s="358" t="str">
        <f t="shared" si="64"/>
        <v>591-74062</v>
      </c>
      <c r="C352" s="358" t="str">
        <f t="shared" si="63"/>
        <v/>
      </c>
      <c r="D352" s="358"/>
      <c r="E352" s="358">
        <f t="shared" si="65"/>
        <v>1</v>
      </c>
      <c r="F352" s="232" t="s">
        <v>426</v>
      </c>
      <c r="G352" s="241">
        <v>45247</v>
      </c>
      <c r="H352" s="268"/>
      <c r="I352" s="235"/>
      <c r="J352" s="250" t="s">
        <v>427</v>
      </c>
      <c r="K352" s="250" t="s">
        <v>1295</v>
      </c>
      <c r="L352" s="250" t="s">
        <v>1295</v>
      </c>
      <c r="M352" s="254" t="s">
        <v>510</v>
      </c>
      <c r="N352" s="254">
        <v>64</v>
      </c>
      <c r="O352" s="287" t="s">
        <v>318</v>
      </c>
      <c r="P352" s="285" t="s">
        <v>1107</v>
      </c>
      <c r="Q352" s="285">
        <v>1</v>
      </c>
      <c r="R352" s="286" t="str">
        <f t="shared" si="66"/>
        <v>A74. ABS ICM Integrated Chassis Management SRS Control Module</v>
      </c>
      <c r="S352" s="365" t="str">
        <f>HYPERLINK(VLOOKUP(O352,'3D. Pictures'!$B$3:$E$500,4,FALSE),"PIC")</f>
        <v>PIC</v>
      </c>
      <c r="T352" s="254">
        <v>4</v>
      </c>
      <c r="U352" s="244" t="s">
        <v>1302</v>
      </c>
      <c r="V352" s="254" t="s">
        <v>81</v>
      </c>
      <c r="W352" s="244"/>
      <c r="X352" s="244"/>
      <c r="Y352" s="244"/>
      <c r="Z352" s="250" t="s">
        <v>1297</v>
      </c>
      <c r="AA352" s="250"/>
      <c r="AB352" s="250" t="s">
        <v>1298</v>
      </c>
      <c r="AC352" s="244" t="s">
        <v>449</v>
      </c>
      <c r="AD352" s="250"/>
      <c r="AE352" s="265">
        <v>125</v>
      </c>
      <c r="AF352" s="252" t="s">
        <v>434</v>
      </c>
      <c r="AG352" s="247"/>
      <c r="AH352" s="248" t="s">
        <v>435</v>
      </c>
      <c r="AJ352" s="249"/>
      <c r="AK352" s="232" t="s">
        <v>1299</v>
      </c>
      <c r="AN352" s="233" t="s">
        <v>1277</v>
      </c>
      <c r="AO352" s="232" t="s">
        <v>411</v>
      </c>
      <c r="AP352" s="232">
        <v>74062</v>
      </c>
      <c r="AQ352" s="232" t="str">
        <f>CONCATENATE(AN352,AO352,AP352)</f>
        <v>591-74062</v>
      </c>
      <c r="AR352" s="232" t="s">
        <v>1303</v>
      </c>
      <c r="AX352" s="244"/>
      <c r="AY352" s="244"/>
      <c r="AZ352" s="232" t="str">
        <f>IF($AX352="Yes",'8. Option Codes Decrypted'!$C$15,"")</f>
        <v/>
      </c>
      <c r="BA352" s="232" t="str">
        <f>IF($AX352="Yes",'8. Option Codes Decrypted'!$C$16,"")</f>
        <v/>
      </c>
      <c r="BB352" s="232" t="str">
        <f>IF($AX352="Yes",'8. Option Codes Decrypted'!$C$17,"")</f>
        <v/>
      </c>
      <c r="BC352" s="232" t="str">
        <f>IF($AX352="Yes",'8. Option Codes Decrypted'!$C$18,"")</f>
        <v/>
      </c>
      <c r="BD352" s="232" t="str">
        <f>IF($AY352="Yes",'8. Option Codes Decrypted'!$C$20,"")</f>
        <v/>
      </c>
      <c r="BE352" s="232" t="str">
        <f>IF($AY352="Yes",'8. Option Codes Decrypted'!$C$21,"")</f>
        <v/>
      </c>
      <c r="BF352" s="232" t="str">
        <f>IF($AY352="Yes",'8. Option Codes Decrypted'!$C$22,"")</f>
        <v/>
      </c>
      <c r="BG352" s="232" t="str">
        <f>IF($AY352="Yes",'8. Option Codes Decrypted'!$C$23,"")</f>
        <v/>
      </c>
    </row>
    <row r="353" spans="1:59" s="232" customFormat="1" x14ac:dyDescent="0.25">
      <c r="A353" s="232" t="str">
        <f t="shared" si="67"/>
        <v/>
      </c>
      <c r="B353" s="358" t="str">
        <f t="shared" si="64"/>
        <v>638-72906</v>
      </c>
      <c r="C353" s="358" t="str">
        <f t="shared" si="63"/>
        <v/>
      </c>
      <c r="D353" s="358"/>
      <c r="E353" s="358">
        <f t="shared" si="65"/>
        <v>1</v>
      </c>
      <c r="F353" s="232" t="s">
        <v>426</v>
      </c>
      <c r="G353" s="241">
        <v>45247</v>
      </c>
      <c r="H353" s="268"/>
      <c r="I353" s="235"/>
      <c r="J353" s="250" t="s">
        <v>427</v>
      </c>
      <c r="K353" s="250" t="s">
        <v>1295</v>
      </c>
      <c r="L353" s="250" t="s">
        <v>1304</v>
      </c>
      <c r="M353" s="243" t="s">
        <v>444</v>
      </c>
      <c r="N353" s="243"/>
      <c r="O353" s="285"/>
      <c r="P353" s="285"/>
      <c r="Q353" s="285"/>
      <c r="R353" s="286" t="str">
        <f t="shared" si="66"/>
        <v>. Amplifier, Bang &amp; Olufsen</v>
      </c>
      <c r="S353" s="286"/>
      <c r="T353" s="243"/>
      <c r="U353" s="244"/>
      <c r="V353" s="243"/>
      <c r="W353" s="244"/>
      <c r="X353" s="244"/>
      <c r="Y353" s="244"/>
      <c r="Z353" s="250" t="s">
        <v>1305</v>
      </c>
      <c r="AA353" s="250"/>
      <c r="AB353" s="250"/>
      <c r="AC353" s="244" t="s">
        <v>449</v>
      </c>
      <c r="AD353" s="250"/>
      <c r="AE353" s="265">
        <v>975</v>
      </c>
      <c r="AF353" s="252" t="s">
        <v>434</v>
      </c>
      <c r="AG353" s="247"/>
      <c r="AH353" s="248" t="s">
        <v>435</v>
      </c>
      <c r="AJ353" s="249"/>
      <c r="AK353" s="232" t="s">
        <v>1306</v>
      </c>
      <c r="AL353" s="232" t="s">
        <v>1307</v>
      </c>
      <c r="AN353" s="233" t="s">
        <v>1105</v>
      </c>
      <c r="AO353" s="232" t="s">
        <v>411</v>
      </c>
      <c r="AP353" s="232">
        <v>72906</v>
      </c>
      <c r="AQ353" s="232" t="str">
        <f t="shared" si="69"/>
        <v>638-72906</v>
      </c>
      <c r="AR353" s="232" t="s">
        <v>1308</v>
      </c>
      <c r="AX353" s="244"/>
      <c r="AY353" s="244"/>
      <c r="AZ353" s="232" t="str">
        <f>IF($AX353="Yes",'8. Option Codes Decrypted'!$C$15,"")</f>
        <v/>
      </c>
      <c r="BA353" s="232" t="str">
        <f>IF($AX353="Yes",'8. Option Codes Decrypted'!$C$16,"")</f>
        <v/>
      </c>
      <c r="BB353" s="232" t="str">
        <f>IF($AX353="Yes",'8. Option Codes Decrypted'!$C$17,"")</f>
        <v/>
      </c>
      <c r="BC353" s="232" t="str">
        <f>IF($AX353="Yes",'8. Option Codes Decrypted'!$C$18,"")</f>
        <v/>
      </c>
      <c r="BD353" s="232" t="str">
        <f>IF($AY353="Yes",'8. Option Codes Decrypted'!$C$20,"")</f>
        <v/>
      </c>
      <c r="BE353" s="232" t="str">
        <f>IF($AY353="Yes",'8. Option Codes Decrypted'!$C$21,"")</f>
        <v/>
      </c>
      <c r="BF353" s="232" t="str">
        <f>IF($AY353="Yes",'8. Option Codes Decrypted'!$C$22,"")</f>
        <v/>
      </c>
      <c r="BG353" s="232" t="str">
        <f>IF($AY353="Yes",'8. Option Codes Decrypted'!$C$23,"")</f>
        <v/>
      </c>
    </row>
    <row r="354" spans="1:59" s="232" customFormat="1" x14ac:dyDescent="0.25">
      <c r="A354" s="232" t="str">
        <f t="shared" si="67"/>
        <v/>
      </c>
      <c r="B354" s="358" t="str">
        <f t="shared" si="64"/>
        <v>638-59327</v>
      </c>
      <c r="C354" s="358" t="str">
        <f t="shared" si="63"/>
        <v/>
      </c>
      <c r="D354" s="358"/>
      <c r="E354" s="358">
        <f t="shared" si="65"/>
        <v>1</v>
      </c>
      <c r="F354" s="232" t="s">
        <v>426</v>
      </c>
      <c r="G354" s="241">
        <v>45247</v>
      </c>
      <c r="H354" s="268"/>
      <c r="I354" s="235"/>
      <c r="J354" s="250" t="s">
        <v>427</v>
      </c>
      <c r="K354" s="250" t="s">
        <v>1295</v>
      </c>
      <c r="L354" s="250" t="s">
        <v>1304</v>
      </c>
      <c r="M354" s="243" t="s">
        <v>444</v>
      </c>
      <c r="N354" s="243"/>
      <c r="O354" s="285"/>
      <c r="P354" s="285"/>
      <c r="Q354" s="285"/>
      <c r="R354" s="286" t="str">
        <f t="shared" si="66"/>
        <v>. Amplifier, Harman Kardon</v>
      </c>
      <c r="S354" s="286"/>
      <c r="T354" s="243"/>
      <c r="U354" s="244"/>
      <c r="V354" s="243"/>
      <c r="W354" s="244"/>
      <c r="X354" s="244"/>
      <c r="Y354" s="244"/>
      <c r="Z354" s="250" t="s">
        <v>1309</v>
      </c>
      <c r="AA354" s="250"/>
      <c r="AB354" s="250"/>
      <c r="AC354" s="244" t="s">
        <v>449</v>
      </c>
      <c r="AD354" s="250"/>
      <c r="AE354" s="265">
        <v>695</v>
      </c>
      <c r="AF354" s="252" t="s">
        <v>434</v>
      </c>
      <c r="AG354" s="247"/>
      <c r="AH354" s="248" t="s">
        <v>435</v>
      </c>
      <c r="AJ354" s="249"/>
      <c r="AK354" s="232" t="s">
        <v>1306</v>
      </c>
      <c r="AL354" s="232" t="s">
        <v>1307</v>
      </c>
      <c r="AN354" s="233" t="s">
        <v>1105</v>
      </c>
      <c r="AO354" s="232" t="s">
        <v>411</v>
      </c>
      <c r="AP354" s="232">
        <v>59327</v>
      </c>
      <c r="AQ354" s="232" t="str">
        <f>CONCATENATE(AN354,AO354,AP354)</f>
        <v>638-59327</v>
      </c>
      <c r="AR354" s="232" t="s">
        <v>1310</v>
      </c>
      <c r="AX354" s="244"/>
      <c r="AY354" s="244"/>
      <c r="AZ354" s="232" t="str">
        <f>IF($AX354="Yes",'8. Option Codes Decrypted'!$C$15,"")</f>
        <v/>
      </c>
      <c r="BA354" s="232" t="str">
        <f>IF($AX354="Yes",'8. Option Codes Decrypted'!$C$16,"")</f>
        <v/>
      </c>
      <c r="BB354" s="232" t="str">
        <f>IF($AX354="Yes",'8. Option Codes Decrypted'!$C$17,"")</f>
        <v/>
      </c>
      <c r="BC354" s="232" t="str">
        <f>IF($AX354="Yes",'8. Option Codes Decrypted'!$C$18,"")</f>
        <v/>
      </c>
      <c r="BD354" s="232" t="str">
        <f>IF($AY354="Yes",'8. Option Codes Decrypted'!$C$20,"")</f>
        <v/>
      </c>
      <c r="BE354" s="232" t="str">
        <f>IF($AY354="Yes",'8. Option Codes Decrypted'!$C$21,"")</f>
        <v/>
      </c>
      <c r="BF354" s="232" t="str">
        <f>IF($AY354="Yes",'8. Option Codes Decrypted'!$C$22,"")</f>
        <v/>
      </c>
      <c r="BG354" s="232" t="str">
        <f>IF($AY354="Yes",'8. Option Codes Decrypted'!$C$23,"")</f>
        <v/>
      </c>
    </row>
    <row r="355" spans="1:59" s="232" customFormat="1" ht="15.75" thickBot="1" x14ac:dyDescent="0.3">
      <c r="A355" s="232" t="str">
        <f t="shared" si="67"/>
        <v/>
      </c>
      <c r="B355" s="358" t="str">
        <f t="shared" si="64"/>
        <v>638-74034</v>
      </c>
      <c r="C355" s="358" t="str">
        <f t="shared" si="63"/>
        <v/>
      </c>
      <c r="D355" s="358"/>
      <c r="E355" s="358">
        <f t="shared" si="65"/>
        <v>1</v>
      </c>
      <c r="F355" s="232" t="s">
        <v>426</v>
      </c>
      <c r="G355" s="241">
        <v>45247</v>
      </c>
      <c r="H355" s="268"/>
      <c r="I355" s="235"/>
      <c r="J355" s="250" t="s">
        <v>427</v>
      </c>
      <c r="K355" s="250" t="s">
        <v>1295</v>
      </c>
      <c r="L355" s="250" t="s">
        <v>1304</v>
      </c>
      <c r="M355" s="243" t="s">
        <v>444</v>
      </c>
      <c r="N355" s="243"/>
      <c r="O355" s="285"/>
      <c r="P355" s="285"/>
      <c r="Q355" s="285"/>
      <c r="R355" s="286" t="str">
        <f t="shared" si="66"/>
        <v>. Amplifier, Harman Kardon</v>
      </c>
      <c r="S355" s="286"/>
      <c r="T355" s="243"/>
      <c r="U355" s="244"/>
      <c r="V355" s="243"/>
      <c r="W355" s="244"/>
      <c r="X355" s="244"/>
      <c r="Y355" s="244"/>
      <c r="Z355" s="250" t="s">
        <v>1309</v>
      </c>
      <c r="AA355" s="250"/>
      <c r="AB355" s="250"/>
      <c r="AC355" s="244" t="s">
        <v>449</v>
      </c>
      <c r="AD355" s="250"/>
      <c r="AE355" s="265">
        <v>750</v>
      </c>
      <c r="AF355" s="252" t="s">
        <v>434</v>
      </c>
      <c r="AG355" s="247"/>
      <c r="AH355" s="248" t="s">
        <v>435</v>
      </c>
      <c r="AJ355" s="249"/>
      <c r="AK355" s="232" t="s">
        <v>1306</v>
      </c>
      <c r="AL355" s="232" t="s">
        <v>1307</v>
      </c>
      <c r="AN355" s="233" t="s">
        <v>1105</v>
      </c>
      <c r="AO355" s="232" t="s">
        <v>411</v>
      </c>
      <c r="AP355" s="232">
        <v>74034</v>
      </c>
      <c r="AQ355" s="232" t="str">
        <f>CONCATENATE(AN355,AO355,AP355)</f>
        <v>638-74034</v>
      </c>
      <c r="AR355" s="232" t="s">
        <v>1311</v>
      </c>
      <c r="AX355" s="244"/>
      <c r="AY355" s="244"/>
      <c r="AZ355" s="232" t="str">
        <f>IF($AX355="Yes",'8. Option Codes Decrypted'!$C$15,"")</f>
        <v/>
      </c>
      <c r="BA355" s="232" t="str">
        <f>IF($AX355="Yes",'8. Option Codes Decrypted'!$C$16,"")</f>
        <v/>
      </c>
      <c r="BB355" s="232" t="str">
        <f>IF($AX355="Yes",'8. Option Codes Decrypted'!$C$17,"")</f>
        <v/>
      </c>
      <c r="BC355" s="232" t="str">
        <f>IF($AX355="Yes",'8. Option Codes Decrypted'!$C$18,"")</f>
        <v/>
      </c>
      <c r="BD355" s="232" t="str">
        <f>IF($AY355="Yes",'8. Option Codes Decrypted'!$C$20,"")</f>
        <v/>
      </c>
      <c r="BE355" s="232" t="str">
        <f>IF($AY355="Yes",'8. Option Codes Decrypted'!$C$21,"")</f>
        <v/>
      </c>
      <c r="BF355" s="232" t="str">
        <f>IF($AY355="Yes",'8. Option Codes Decrypted'!$C$22,"")</f>
        <v/>
      </c>
      <c r="BG355" s="232" t="str">
        <f>IF($AY355="Yes",'8. Option Codes Decrypted'!$C$23,"")</f>
        <v/>
      </c>
    </row>
    <row r="356" spans="1:59" s="232" customFormat="1" ht="15.75" thickBot="1" x14ac:dyDescent="0.3">
      <c r="A356" s="232" t="str">
        <f t="shared" si="67"/>
        <v>A73</v>
      </c>
      <c r="B356" s="358" t="str">
        <f t="shared" si="64"/>
        <v>638-72908</v>
      </c>
      <c r="C356" s="358" t="str">
        <f t="shared" si="63"/>
        <v/>
      </c>
      <c r="D356" s="358"/>
      <c r="E356" s="358">
        <f t="shared" si="65"/>
        <v>1</v>
      </c>
      <c r="F356" s="232" t="s">
        <v>426</v>
      </c>
      <c r="G356" s="241">
        <v>45247</v>
      </c>
      <c r="H356" s="268"/>
      <c r="I356" s="235"/>
      <c r="J356" s="250" t="s">
        <v>427</v>
      </c>
      <c r="K356" s="250" t="s">
        <v>1295</v>
      </c>
      <c r="L356" s="250" t="s">
        <v>1304</v>
      </c>
      <c r="M356" s="243" t="s">
        <v>444</v>
      </c>
      <c r="N356" s="243">
        <v>63</v>
      </c>
      <c r="O356" s="285" t="s">
        <v>317</v>
      </c>
      <c r="P356" s="285" t="s">
        <v>1107</v>
      </c>
      <c r="Q356" s="285">
        <v>1</v>
      </c>
      <c r="R356" s="286" t="str">
        <f t="shared" si="66"/>
        <v>A73. Amplifier, HiFi</v>
      </c>
      <c r="S356" s="365" t="str">
        <f>HYPERLINK(VLOOKUP(O356,'3D. Pictures'!$B$3:$E$500,4,FALSE),"PIC")</f>
        <v>PIC</v>
      </c>
      <c r="T356" s="243">
        <v>4</v>
      </c>
      <c r="U356" s="244" t="s">
        <v>1312</v>
      </c>
      <c r="V356" s="243" t="s">
        <v>80</v>
      </c>
      <c r="W356" s="244"/>
      <c r="X356" s="244"/>
      <c r="Y356" s="244"/>
      <c r="Z356" s="250" t="s">
        <v>1313</v>
      </c>
      <c r="AA356" s="250"/>
      <c r="AB356" s="250"/>
      <c r="AC356" s="244" t="s">
        <v>449</v>
      </c>
      <c r="AD356" s="250"/>
      <c r="AE356" s="265">
        <v>95</v>
      </c>
      <c r="AF356" s="252" t="s">
        <v>434</v>
      </c>
      <c r="AG356" s="247"/>
      <c r="AH356" s="248" t="s">
        <v>435</v>
      </c>
      <c r="AJ356" s="249"/>
      <c r="AK356" s="232" t="s">
        <v>1306</v>
      </c>
      <c r="AL356" s="232" t="s">
        <v>1307</v>
      </c>
      <c r="AN356" s="233" t="s">
        <v>1105</v>
      </c>
      <c r="AO356" s="232" t="s">
        <v>411</v>
      </c>
      <c r="AP356" s="232">
        <v>72908</v>
      </c>
      <c r="AQ356" s="232" t="str">
        <f>CONCATENATE(AN356,AO356,AP356)</f>
        <v>638-72908</v>
      </c>
      <c r="AR356" s="232" t="s">
        <v>1314</v>
      </c>
      <c r="AX356" s="244"/>
      <c r="AY356" s="244"/>
      <c r="AZ356" s="232" t="str">
        <f>IF($AX356="Yes",'8. Option Codes Decrypted'!$C$15,"")</f>
        <v/>
      </c>
      <c r="BA356" s="232" t="str">
        <f>IF($AX356="Yes",'8. Option Codes Decrypted'!$C$16,"")</f>
        <v/>
      </c>
      <c r="BB356" s="232" t="str">
        <f>IF($AX356="Yes",'8. Option Codes Decrypted'!$C$17,"")</f>
        <v/>
      </c>
      <c r="BC356" s="232" t="str">
        <f>IF($AX356="Yes",'8. Option Codes Decrypted'!$C$18,"")</f>
        <v/>
      </c>
      <c r="BD356" s="232" t="str">
        <f>IF($AY356="Yes",'8. Option Codes Decrypted'!$C$20,"")</f>
        <v/>
      </c>
      <c r="BE356" s="232" t="str">
        <f>IF($AY356="Yes",'8. Option Codes Decrypted'!$C$21,"")</f>
        <v/>
      </c>
      <c r="BF356" s="232" t="str">
        <f>IF($AY356="Yes",'8. Option Codes Decrypted'!$C$22,"")</f>
        <v/>
      </c>
      <c r="BG356" s="232" t="str">
        <f>IF($AY356="Yes",'8. Option Codes Decrypted'!$C$23,"")</f>
        <v/>
      </c>
    </row>
    <row r="357" spans="1:59" s="232" customFormat="1" x14ac:dyDescent="0.25">
      <c r="A357" s="232" t="str">
        <f t="shared" si="67"/>
        <v/>
      </c>
      <c r="B357" s="358" t="str">
        <f t="shared" si="64"/>
        <v>596-10444</v>
      </c>
      <c r="C357" s="358" t="str">
        <f t="shared" si="63"/>
        <v/>
      </c>
      <c r="D357" s="358"/>
      <c r="E357" s="358">
        <f t="shared" si="65"/>
        <v>1</v>
      </c>
      <c r="F357" s="232" t="s">
        <v>426</v>
      </c>
      <c r="G357" s="241">
        <v>45247</v>
      </c>
      <c r="H357" s="268"/>
      <c r="I357" s="235"/>
      <c r="J357" s="250" t="s">
        <v>427</v>
      </c>
      <c r="K357" s="250" t="s">
        <v>1295</v>
      </c>
      <c r="L357" s="250" t="s">
        <v>1315</v>
      </c>
      <c r="M357" s="254" t="s">
        <v>510</v>
      </c>
      <c r="N357" s="254"/>
      <c r="O357" s="287"/>
      <c r="P357" s="287"/>
      <c r="Q357" s="287"/>
      <c r="R357" s="286" t="str">
        <f t="shared" si="66"/>
        <v>. Blind Spot Alert Sensor Module, Master</v>
      </c>
      <c r="S357" s="286"/>
      <c r="T357" s="254"/>
      <c r="U357" s="244"/>
      <c r="V357" s="254"/>
      <c r="W357" s="244"/>
      <c r="X357" s="244"/>
      <c r="Y357" s="244"/>
      <c r="Z357" s="250" t="s">
        <v>1316</v>
      </c>
      <c r="AA357" s="250"/>
      <c r="AB357" s="250"/>
      <c r="AC357" s="244" t="s">
        <v>449</v>
      </c>
      <c r="AD357" s="250" t="s">
        <v>1317</v>
      </c>
      <c r="AE357" s="250">
        <v>150</v>
      </c>
      <c r="AF357" s="252" t="s">
        <v>434</v>
      </c>
      <c r="AG357" s="247"/>
      <c r="AH357" s="248" t="s">
        <v>435</v>
      </c>
      <c r="AJ357" s="249"/>
      <c r="AK357" s="232" t="s">
        <v>1318</v>
      </c>
      <c r="AN357" s="233" t="s">
        <v>1068</v>
      </c>
      <c r="AO357" s="232" t="s">
        <v>411</v>
      </c>
      <c r="AP357" s="232">
        <v>10444</v>
      </c>
      <c r="AQ357" s="232" t="str">
        <f t="shared" si="69"/>
        <v>596-10444</v>
      </c>
      <c r="AX357" s="244"/>
      <c r="AY357" s="244"/>
      <c r="AZ357" s="232" t="str">
        <f>IF($AX357="Yes",'8. Option Codes Decrypted'!$C$15,"")</f>
        <v/>
      </c>
      <c r="BA357" s="232" t="str">
        <f>IF($AX357="Yes",'8. Option Codes Decrypted'!$C$16,"")</f>
        <v/>
      </c>
      <c r="BB357" s="232" t="str">
        <f>IF($AX357="Yes",'8. Option Codes Decrypted'!$C$17,"")</f>
        <v/>
      </c>
      <c r="BC357" s="232" t="str">
        <f>IF($AX357="Yes",'8. Option Codes Decrypted'!$C$18,"")</f>
        <v/>
      </c>
      <c r="BD357" s="232" t="str">
        <f>IF($AY357="Yes",'8. Option Codes Decrypted'!$C$20,"")</f>
        <v/>
      </c>
      <c r="BE357" s="232" t="str">
        <f>IF($AY357="Yes",'8. Option Codes Decrypted'!$C$21,"")</f>
        <v/>
      </c>
      <c r="BF357" s="232" t="str">
        <f>IF($AY357="Yes",'8. Option Codes Decrypted'!$C$22,"")</f>
        <v/>
      </c>
      <c r="BG357" s="232" t="str">
        <f>IF($AY357="Yes",'8. Option Codes Decrypted'!$C$23,"")</f>
        <v/>
      </c>
    </row>
    <row r="358" spans="1:59" s="232" customFormat="1" x14ac:dyDescent="0.25">
      <c r="A358" s="232" t="str">
        <f t="shared" si="67"/>
        <v/>
      </c>
      <c r="B358" s="358" t="str">
        <f t="shared" si="64"/>
        <v>596-10443</v>
      </c>
      <c r="C358" s="358" t="str">
        <f t="shared" si="63"/>
        <v/>
      </c>
      <c r="D358" s="358"/>
      <c r="E358" s="358">
        <f t="shared" si="65"/>
        <v>1</v>
      </c>
      <c r="F358" s="232" t="s">
        <v>426</v>
      </c>
      <c r="G358" s="241">
        <v>45247</v>
      </c>
      <c r="H358" s="268"/>
      <c r="I358" s="235"/>
      <c r="J358" s="250" t="s">
        <v>427</v>
      </c>
      <c r="K358" s="250" t="s">
        <v>1295</v>
      </c>
      <c r="L358" s="250" t="s">
        <v>1315</v>
      </c>
      <c r="M358" s="254" t="s">
        <v>510</v>
      </c>
      <c r="N358" s="254"/>
      <c r="O358" s="287"/>
      <c r="P358" s="287"/>
      <c r="Q358" s="287"/>
      <c r="R358" s="286" t="str">
        <f t="shared" si="66"/>
        <v>. Blind Spot Alert Sensor Module, Slave</v>
      </c>
      <c r="S358" s="286"/>
      <c r="T358" s="254"/>
      <c r="U358" s="244"/>
      <c r="V358" s="254"/>
      <c r="W358" s="244"/>
      <c r="X358" s="244"/>
      <c r="Y358" s="244"/>
      <c r="Z358" s="250" t="s">
        <v>1319</v>
      </c>
      <c r="AA358" s="250"/>
      <c r="AB358" s="250"/>
      <c r="AC358" s="244" t="s">
        <v>449</v>
      </c>
      <c r="AD358" s="250" t="s">
        <v>1317</v>
      </c>
      <c r="AE358" s="250">
        <v>150</v>
      </c>
      <c r="AF358" s="252" t="s">
        <v>434</v>
      </c>
      <c r="AG358" s="247"/>
      <c r="AH358" s="248" t="s">
        <v>435</v>
      </c>
      <c r="AJ358" s="249"/>
      <c r="AK358" s="232" t="s">
        <v>1320</v>
      </c>
      <c r="AN358" s="233" t="s">
        <v>1068</v>
      </c>
      <c r="AO358" s="232" t="s">
        <v>411</v>
      </c>
      <c r="AP358" s="232">
        <v>10443</v>
      </c>
      <c r="AQ358" s="232" t="str">
        <f t="shared" si="69"/>
        <v>596-10443</v>
      </c>
      <c r="AX358" s="244"/>
      <c r="AY358" s="244"/>
      <c r="AZ358" s="232" t="str">
        <f>IF($AX358="Yes",'8. Option Codes Decrypted'!$C$15,"")</f>
        <v/>
      </c>
      <c r="BA358" s="232" t="str">
        <f>IF($AX358="Yes",'8. Option Codes Decrypted'!$C$16,"")</f>
        <v/>
      </c>
      <c r="BB358" s="232" t="str">
        <f>IF($AX358="Yes",'8. Option Codes Decrypted'!$C$17,"")</f>
        <v/>
      </c>
      <c r="BC358" s="232" t="str">
        <f>IF($AX358="Yes",'8. Option Codes Decrypted'!$C$18,"")</f>
        <v/>
      </c>
      <c r="BD358" s="232" t="str">
        <f>IF($AY358="Yes",'8. Option Codes Decrypted'!$C$20,"")</f>
        <v/>
      </c>
      <c r="BE358" s="232" t="str">
        <f>IF($AY358="Yes",'8. Option Codes Decrypted'!$C$21,"")</f>
        <v/>
      </c>
      <c r="BF358" s="232" t="str">
        <f>IF($AY358="Yes",'8. Option Codes Decrypted'!$C$22,"")</f>
        <v/>
      </c>
      <c r="BG358" s="232" t="str">
        <f>IF($AY358="Yes",'8. Option Codes Decrypted'!$C$23,"")</f>
        <v/>
      </c>
    </row>
    <row r="359" spans="1:59" s="232" customFormat="1" x14ac:dyDescent="0.25">
      <c r="A359" s="232" t="str">
        <f t="shared" si="67"/>
        <v/>
      </c>
      <c r="B359" s="358" t="str">
        <f t="shared" si="64"/>
        <v>591-74037</v>
      </c>
      <c r="C359" s="358" t="str">
        <f t="shared" si="63"/>
        <v/>
      </c>
      <c r="D359" s="358"/>
      <c r="E359" s="358">
        <f t="shared" si="65"/>
        <v>1</v>
      </c>
      <c r="F359" s="232" t="s">
        <v>426</v>
      </c>
      <c r="G359" s="241">
        <v>44684</v>
      </c>
      <c r="H359" s="268"/>
      <c r="I359" s="235"/>
      <c r="J359" s="250" t="s">
        <v>427</v>
      </c>
      <c r="K359" s="250" t="s">
        <v>1295</v>
      </c>
      <c r="L359" s="250" t="s">
        <v>1321</v>
      </c>
      <c r="M359" s="254" t="s">
        <v>510</v>
      </c>
      <c r="N359" s="254"/>
      <c r="O359" s="287"/>
      <c r="P359" s="287"/>
      <c r="Q359" s="287"/>
      <c r="R359" s="286" t="str">
        <f t="shared" si="66"/>
        <v>. Body Power Control Module</v>
      </c>
      <c r="S359" s="286"/>
      <c r="T359" s="254"/>
      <c r="U359" s="244"/>
      <c r="V359" s="254"/>
      <c r="W359" s="244"/>
      <c r="X359" s="244"/>
      <c r="Y359" s="244"/>
      <c r="Z359" s="250" t="s">
        <v>1322</v>
      </c>
      <c r="AA359" s="250" t="s">
        <v>1323</v>
      </c>
      <c r="AB359" s="250"/>
      <c r="AC359" s="244" t="s">
        <v>449</v>
      </c>
      <c r="AD359" s="250" t="s">
        <v>1324</v>
      </c>
      <c r="AE359" s="250">
        <v>300</v>
      </c>
      <c r="AF359" s="252" t="s">
        <v>434</v>
      </c>
      <c r="AG359" s="247"/>
      <c r="AH359" s="248" t="s">
        <v>435</v>
      </c>
      <c r="AJ359" s="249"/>
      <c r="AK359" s="232" t="s">
        <v>1325</v>
      </c>
      <c r="AN359" s="233" t="s">
        <v>1277</v>
      </c>
      <c r="AO359" s="232" t="s">
        <v>411</v>
      </c>
      <c r="AP359" s="232">
        <v>74037</v>
      </c>
      <c r="AQ359" s="232" t="str">
        <f t="shared" si="69"/>
        <v>591-74037</v>
      </c>
      <c r="AX359" s="244"/>
      <c r="AY359" s="244"/>
      <c r="AZ359" s="232" t="str">
        <f>IF($AX359="Yes",'8. Option Codes Decrypted'!$C$15,"")</f>
        <v/>
      </c>
      <c r="BA359" s="232" t="str">
        <f>IF($AX359="Yes",'8. Option Codes Decrypted'!$C$16,"")</f>
        <v/>
      </c>
      <c r="BB359" s="232" t="str">
        <f>IF($AX359="Yes",'8. Option Codes Decrypted'!$C$17,"")</f>
        <v/>
      </c>
      <c r="BC359" s="232" t="str">
        <f>IF($AX359="Yes",'8. Option Codes Decrypted'!$C$18,"")</f>
        <v/>
      </c>
      <c r="BD359" s="232" t="str">
        <f>IF($AY359="Yes",'8. Option Codes Decrypted'!$C$20,"")</f>
        <v/>
      </c>
      <c r="BE359" s="232" t="str">
        <f>IF($AY359="Yes",'8. Option Codes Decrypted'!$C$21,"")</f>
        <v/>
      </c>
      <c r="BF359" s="232" t="str">
        <f>IF($AY359="Yes",'8. Option Codes Decrypted'!$C$22,"")</f>
        <v/>
      </c>
      <c r="BG359" s="232" t="str">
        <f>IF($AY359="Yes",'8. Option Codes Decrypted'!$C$23,"")</f>
        <v/>
      </c>
    </row>
    <row r="360" spans="1:59" x14ac:dyDescent="0.25">
      <c r="A360" s="232" t="str">
        <f t="shared" si="67"/>
        <v/>
      </c>
      <c r="B360" s="358" t="str">
        <f t="shared" si="64"/>
        <v/>
      </c>
      <c r="C360" s="358" t="str">
        <f t="shared" si="63"/>
        <v/>
      </c>
      <c r="D360" s="358"/>
      <c r="E360" s="358" t="str">
        <f t="shared" si="65"/>
        <v/>
      </c>
      <c r="F360" t="s">
        <v>426</v>
      </c>
      <c r="G360" s="230">
        <v>44684</v>
      </c>
      <c r="H360" s="16"/>
      <c r="I360" s="16"/>
      <c r="J360" s="16" t="s">
        <v>427</v>
      </c>
      <c r="K360" s="16" t="s">
        <v>1295</v>
      </c>
      <c r="L360" s="250" t="s">
        <v>1326</v>
      </c>
      <c r="M360" s="195" t="s">
        <v>444</v>
      </c>
      <c r="N360" s="195"/>
      <c r="O360" s="292"/>
      <c r="P360" s="292"/>
      <c r="Q360" s="292"/>
      <c r="R360" s="286" t="str">
        <f t="shared" si="66"/>
        <v>. Camera, FRONT Bumper</v>
      </c>
      <c r="S360" s="286"/>
      <c r="T360" s="195"/>
      <c r="U360" s="193"/>
      <c r="V360" s="195"/>
      <c r="W360" s="193"/>
      <c r="X360" s="193"/>
      <c r="Y360" s="193"/>
      <c r="Z360" s="16" t="s">
        <v>1327</v>
      </c>
      <c r="AA360" s="16"/>
      <c r="AB360" s="16"/>
      <c r="AC360" s="193" t="s">
        <v>449</v>
      </c>
      <c r="AD360" s="16" t="s">
        <v>1328</v>
      </c>
      <c r="AE360" s="16">
        <v>225</v>
      </c>
      <c r="AF360" s="99" t="s">
        <v>434</v>
      </c>
      <c r="AH360" s="3" t="s">
        <v>435</v>
      </c>
      <c r="AJ360" s="69"/>
      <c r="AK360" t="s">
        <v>1329</v>
      </c>
      <c r="AO360" t="s">
        <v>411</v>
      </c>
      <c r="AX360" s="193"/>
      <c r="AY360" s="193"/>
      <c r="AZ360" s="232" t="str">
        <f>IF($AX360="Yes",'8. Option Codes Decrypted'!$C$15,"")</f>
        <v/>
      </c>
      <c r="BA360" s="232" t="str">
        <f>IF($AX360="Yes",'8. Option Codes Decrypted'!$C$16,"")</f>
        <v/>
      </c>
      <c r="BB360" s="232" t="str">
        <f>IF($AX360="Yes",'8. Option Codes Decrypted'!$C$17,"")</f>
        <v/>
      </c>
      <c r="BC360" s="232" t="str">
        <f>IF($AX360="Yes",'8. Option Codes Decrypted'!$C$18,"")</f>
        <v/>
      </c>
      <c r="BD360" s="232" t="str">
        <f>IF($AY360="Yes",'8. Option Codes Decrypted'!$C$20,"")</f>
        <v/>
      </c>
      <c r="BE360" s="232" t="str">
        <f>IF($AY360="Yes",'8. Option Codes Decrypted'!$C$21,"")</f>
        <v/>
      </c>
      <c r="BF360" s="232" t="str">
        <f>IF($AY360="Yes",'8. Option Codes Decrypted'!$C$22,"")</f>
        <v/>
      </c>
      <c r="BG360" s="232" t="str">
        <f>IF($AY360="Yes",'8. Option Codes Decrypted'!$C$23,"")</f>
        <v/>
      </c>
    </row>
    <row r="361" spans="1:59" x14ac:dyDescent="0.25">
      <c r="A361" s="232" t="str">
        <f t="shared" si="67"/>
        <v/>
      </c>
      <c r="B361" s="358" t="str">
        <f t="shared" si="64"/>
        <v/>
      </c>
      <c r="C361" s="358" t="str">
        <f t="shared" si="63"/>
        <v/>
      </c>
      <c r="D361" s="358"/>
      <c r="E361" s="358" t="str">
        <f t="shared" si="65"/>
        <v/>
      </c>
      <c r="F361" t="s">
        <v>426</v>
      </c>
      <c r="G361" s="230">
        <v>44684</v>
      </c>
      <c r="H361" s="101"/>
      <c r="I361" s="101"/>
      <c r="J361" s="193" t="s">
        <v>427</v>
      </c>
      <c r="K361" s="193" t="s">
        <v>1295</v>
      </c>
      <c r="L361" s="250" t="s">
        <v>1326</v>
      </c>
      <c r="M361" s="195" t="s">
        <v>444</v>
      </c>
      <c r="N361" s="195"/>
      <c r="O361" s="292"/>
      <c r="P361" s="292"/>
      <c r="Q361" s="292"/>
      <c r="R361" s="286" t="str">
        <f t="shared" si="66"/>
        <v>. Camera, Side (Mark Location)</v>
      </c>
      <c r="S361" s="286"/>
      <c r="T361" s="195"/>
      <c r="U361" s="193"/>
      <c r="V361" s="195"/>
      <c r="W361" s="193"/>
      <c r="X361" s="193"/>
      <c r="Y361" s="193"/>
      <c r="Z361" s="193" t="s">
        <v>1330</v>
      </c>
      <c r="AA361" s="193"/>
      <c r="AB361" s="193"/>
      <c r="AC361" s="193" t="s">
        <v>449</v>
      </c>
      <c r="AD361" s="193" t="s">
        <v>1328</v>
      </c>
      <c r="AE361" s="193">
        <v>225</v>
      </c>
      <c r="AF361" s="99" t="s">
        <v>434</v>
      </c>
      <c r="AH361" s="3" t="s">
        <v>435</v>
      </c>
      <c r="AI361" s="156"/>
      <c r="AJ361" s="69"/>
      <c r="AK361" t="s">
        <v>1329</v>
      </c>
      <c r="AO361" t="s">
        <v>411</v>
      </c>
      <c r="AX361" s="193"/>
      <c r="AY361" s="193"/>
      <c r="AZ361" s="232" t="str">
        <f>IF($AX361="Yes",'8. Option Codes Decrypted'!$C$15,"")</f>
        <v/>
      </c>
      <c r="BA361" s="232" t="str">
        <f>IF($AX361="Yes",'8. Option Codes Decrypted'!$C$16,"")</f>
        <v/>
      </c>
      <c r="BB361" s="232" t="str">
        <f>IF($AX361="Yes",'8. Option Codes Decrypted'!$C$17,"")</f>
        <v/>
      </c>
      <c r="BC361" s="232" t="str">
        <f>IF($AX361="Yes",'8. Option Codes Decrypted'!$C$18,"")</f>
        <v/>
      </c>
      <c r="BD361" s="232" t="str">
        <f>IF($AY361="Yes",'8. Option Codes Decrypted'!$C$20,"")</f>
        <v/>
      </c>
      <c r="BE361" s="232" t="str">
        <f>IF($AY361="Yes",'8. Option Codes Decrypted'!$C$21,"")</f>
        <v/>
      </c>
      <c r="BF361" s="232" t="str">
        <f>IF($AY361="Yes",'8. Option Codes Decrypted'!$C$22,"")</f>
        <v/>
      </c>
      <c r="BG361" s="232" t="str">
        <f>IF($AY361="Yes",'8. Option Codes Decrypted'!$C$23,"")</f>
        <v/>
      </c>
    </row>
    <row r="362" spans="1:59" s="232" customFormat="1" x14ac:dyDescent="0.25">
      <c r="A362" s="232" t="str">
        <f t="shared" si="67"/>
        <v/>
      </c>
      <c r="B362" s="358" t="str">
        <f t="shared" si="64"/>
        <v>590-62356</v>
      </c>
      <c r="C362" s="358" t="s">
        <v>1331</v>
      </c>
      <c r="D362" s="358"/>
      <c r="E362" s="358">
        <f t="shared" si="65"/>
        <v>2</v>
      </c>
      <c r="F362" s="232" t="s">
        <v>426</v>
      </c>
      <c r="G362" s="241">
        <v>44684</v>
      </c>
      <c r="H362" s="268"/>
      <c r="I362" s="235"/>
      <c r="J362" s="250" t="s">
        <v>427</v>
      </c>
      <c r="K362" s="250" t="s">
        <v>1295</v>
      </c>
      <c r="L362" s="250" t="s">
        <v>1332</v>
      </c>
      <c r="M362" s="243" t="s">
        <v>444</v>
      </c>
      <c r="N362" s="243"/>
      <c r="O362" s="285"/>
      <c r="P362" s="285"/>
      <c r="Q362" s="285"/>
      <c r="R362" s="286" t="str">
        <f t="shared" si="66"/>
        <v>. Engine Control Module</v>
      </c>
      <c r="S362" s="286"/>
      <c r="T362" s="243"/>
      <c r="U362" s="244"/>
      <c r="V362" s="243"/>
      <c r="W362" s="244"/>
      <c r="X362" s="244"/>
      <c r="Y362" s="244"/>
      <c r="Z362" s="250" t="s">
        <v>1332</v>
      </c>
      <c r="AA362" s="250" t="s">
        <v>1323</v>
      </c>
      <c r="AB362" s="250"/>
      <c r="AC362" s="244" t="s">
        <v>449</v>
      </c>
      <c r="AD362" s="250" t="s">
        <v>1324</v>
      </c>
      <c r="AE362" s="250">
        <v>325</v>
      </c>
      <c r="AF362" s="252" t="s">
        <v>434</v>
      </c>
      <c r="AG362" s="247"/>
      <c r="AH362" s="248" t="s">
        <v>1333</v>
      </c>
      <c r="AJ362" s="249"/>
      <c r="AK362" s="232" t="s">
        <v>1334</v>
      </c>
      <c r="AN362" s="233" t="s">
        <v>1335</v>
      </c>
      <c r="AO362" s="232" t="s">
        <v>411</v>
      </c>
      <c r="AP362" s="232">
        <v>62356</v>
      </c>
      <c r="AQ362" s="232" t="str">
        <f>CONCATENATE(AN362,AO362,AP362)</f>
        <v>590-62356</v>
      </c>
      <c r="AX362" s="244"/>
      <c r="AY362" s="244"/>
      <c r="AZ362" s="232" t="str">
        <f>IF($AX362="Yes",'8. Option Codes Decrypted'!$C$15,"")</f>
        <v/>
      </c>
      <c r="BA362" s="232" t="str">
        <f>IF($AX362="Yes",'8. Option Codes Decrypted'!$C$16,"")</f>
        <v/>
      </c>
      <c r="BB362" s="232" t="str">
        <f>IF($AX362="Yes",'8. Option Codes Decrypted'!$C$17,"")</f>
        <v/>
      </c>
      <c r="BC362" s="232" t="str">
        <f>IF($AX362="Yes",'8. Option Codes Decrypted'!$C$18,"")</f>
        <v/>
      </c>
      <c r="BD362" s="232" t="str">
        <f>IF($AY362="Yes",'8. Option Codes Decrypted'!$C$20,"")</f>
        <v/>
      </c>
      <c r="BE362" s="232" t="str">
        <f>IF($AY362="Yes",'8. Option Codes Decrypted'!$C$21,"")</f>
        <v/>
      </c>
      <c r="BF362" s="232" t="str">
        <f>IF($AY362="Yes",'8. Option Codes Decrypted'!$C$22,"")</f>
        <v/>
      </c>
      <c r="BG362" s="232" t="str">
        <f>IF($AY362="Yes",'8. Option Codes Decrypted'!$C$23,"")</f>
        <v/>
      </c>
    </row>
    <row r="363" spans="1:59" x14ac:dyDescent="0.25">
      <c r="A363" s="232" t="str">
        <f t="shared" si="67"/>
        <v/>
      </c>
      <c r="B363" s="358" t="str">
        <f t="shared" si="64"/>
        <v/>
      </c>
      <c r="C363" s="358" t="str">
        <f t="shared" ref="C363:C372" si="70">IF(AS363&lt;&gt;"",AS363,"")</f>
        <v/>
      </c>
      <c r="D363" s="358"/>
      <c r="E363" s="358" t="str">
        <f t="shared" si="65"/>
        <v/>
      </c>
      <c r="F363" t="s">
        <v>426</v>
      </c>
      <c r="G363" s="230">
        <v>44684</v>
      </c>
      <c r="H363" s="187"/>
      <c r="I363" s="188"/>
      <c r="J363" s="16" t="s">
        <v>427</v>
      </c>
      <c r="K363" s="16" t="s">
        <v>1295</v>
      </c>
      <c r="L363" s="16" t="s">
        <v>1336</v>
      </c>
      <c r="M363" s="16" t="s">
        <v>430</v>
      </c>
      <c r="N363" s="16"/>
      <c r="O363" s="191"/>
      <c r="P363" s="191"/>
      <c r="Q363" s="191"/>
      <c r="R363" s="286" t="str">
        <f t="shared" si="66"/>
        <v>. Exhaust Flap Servo Actuator Motor</v>
      </c>
      <c r="S363" s="286"/>
      <c r="T363" s="16"/>
      <c r="U363" s="16"/>
      <c r="V363" s="16"/>
      <c r="W363" s="16"/>
      <c r="X363" s="16"/>
      <c r="Y363" s="16"/>
      <c r="Z363" s="16" t="s">
        <v>1336</v>
      </c>
      <c r="AA363" s="16" t="s">
        <v>1336</v>
      </c>
      <c r="AB363" s="16" t="s">
        <v>1336</v>
      </c>
      <c r="AC363" s="193" t="s">
        <v>449</v>
      </c>
      <c r="AD363" s="16"/>
      <c r="AE363" s="16">
        <v>48</v>
      </c>
      <c r="AF363" s="99" t="s">
        <v>434</v>
      </c>
      <c r="AH363" s="3" t="s">
        <v>435</v>
      </c>
      <c r="AJ363" s="69"/>
      <c r="AK363" t="s">
        <v>1337</v>
      </c>
      <c r="AN363"/>
      <c r="AX363" s="16"/>
      <c r="AY363" s="16"/>
      <c r="AZ363" s="232" t="str">
        <f>IF($AX363="Yes",'8. Option Codes Decrypted'!$C$15,"")</f>
        <v/>
      </c>
      <c r="BA363" s="232" t="str">
        <f>IF($AX363="Yes",'8. Option Codes Decrypted'!$C$16,"")</f>
        <v/>
      </c>
      <c r="BB363" s="232" t="str">
        <f>IF($AX363="Yes",'8. Option Codes Decrypted'!$C$17,"")</f>
        <v/>
      </c>
      <c r="BC363" s="232" t="str">
        <f>IF($AX363="Yes",'8. Option Codes Decrypted'!$C$18,"")</f>
        <v/>
      </c>
      <c r="BD363" s="232" t="str">
        <f>IF($AY363="Yes",'8. Option Codes Decrypted'!$C$20,"")</f>
        <v/>
      </c>
      <c r="BE363" s="232" t="str">
        <f>IF($AY363="Yes",'8. Option Codes Decrypted'!$C$21,"")</f>
        <v/>
      </c>
      <c r="BF363" s="232" t="str">
        <f>IF($AY363="Yes",'8. Option Codes Decrypted'!$C$22,"")</f>
        <v/>
      </c>
      <c r="BG363" s="232" t="str">
        <f>IF($AY363="Yes",'8. Option Codes Decrypted'!$C$23,"")</f>
        <v/>
      </c>
    </row>
    <row r="364" spans="1:59" x14ac:dyDescent="0.25">
      <c r="A364" s="232" t="str">
        <f t="shared" si="67"/>
        <v/>
      </c>
      <c r="B364" s="358" t="str">
        <f t="shared" si="64"/>
        <v/>
      </c>
      <c r="C364" s="358" t="str">
        <f t="shared" si="70"/>
        <v/>
      </c>
      <c r="D364" s="358"/>
      <c r="E364" s="358" t="str">
        <f t="shared" si="65"/>
        <v/>
      </c>
      <c r="F364" t="s">
        <v>426</v>
      </c>
      <c r="G364" s="230">
        <v>44684</v>
      </c>
      <c r="H364" s="187"/>
      <c r="I364" s="188"/>
      <c r="J364" s="16" t="s">
        <v>427</v>
      </c>
      <c r="K364" s="16" t="s">
        <v>1295</v>
      </c>
      <c r="L364" s="16" t="s">
        <v>1338</v>
      </c>
      <c r="M364" s="231" t="s">
        <v>510</v>
      </c>
      <c r="N364" s="231"/>
      <c r="O364" s="288"/>
      <c r="P364" s="288"/>
      <c r="Q364" s="288"/>
      <c r="R364" s="286" t="str">
        <f t="shared" si="66"/>
        <v>. Fuse Box, FRONT (it's about 10x6 inches flat black plastic located in FRONT)</v>
      </c>
      <c r="S364" s="286"/>
      <c r="T364" s="231"/>
      <c r="U364" s="193"/>
      <c r="V364" s="231"/>
      <c r="W364" s="193"/>
      <c r="X364" s="193"/>
      <c r="Y364" s="193"/>
      <c r="Z364" s="16" t="s">
        <v>1339</v>
      </c>
      <c r="AA364" s="16" t="s">
        <v>1339</v>
      </c>
      <c r="AB364" s="16" t="s">
        <v>1339</v>
      </c>
      <c r="AC364" s="193" t="s">
        <v>449</v>
      </c>
      <c r="AD364" s="16"/>
      <c r="AE364" s="16">
        <v>50</v>
      </c>
      <c r="AF364" s="99" t="s">
        <v>434</v>
      </c>
      <c r="AH364" s="3" t="s">
        <v>435</v>
      </c>
      <c r="AJ364" s="69"/>
      <c r="AK364" t="s">
        <v>1340</v>
      </c>
      <c r="AL364" t="s">
        <v>1341</v>
      </c>
      <c r="AO364" t="s">
        <v>411</v>
      </c>
      <c r="AX364" s="193"/>
      <c r="AY364" s="193"/>
      <c r="AZ364" s="232" t="str">
        <f>IF($AX364="Yes",'8. Option Codes Decrypted'!$C$15,"")</f>
        <v/>
      </c>
      <c r="BA364" s="232" t="str">
        <f>IF($AX364="Yes",'8. Option Codes Decrypted'!$C$16,"")</f>
        <v/>
      </c>
      <c r="BB364" s="232" t="str">
        <f>IF($AX364="Yes",'8. Option Codes Decrypted'!$C$17,"")</f>
        <v/>
      </c>
      <c r="BC364" s="232" t="str">
        <f>IF($AX364="Yes",'8. Option Codes Decrypted'!$C$18,"")</f>
        <v/>
      </c>
      <c r="BD364" s="232" t="str">
        <f>IF($AY364="Yes",'8. Option Codes Decrypted'!$C$20,"")</f>
        <v/>
      </c>
      <c r="BE364" s="232" t="str">
        <f>IF($AY364="Yes",'8. Option Codes Decrypted'!$C$21,"")</f>
        <v/>
      </c>
      <c r="BF364" s="232" t="str">
        <f>IF($AY364="Yes",'8. Option Codes Decrypted'!$C$22,"")</f>
        <v/>
      </c>
      <c r="BG364" s="232" t="str">
        <f>IF($AY364="Yes",'8. Option Codes Decrypted'!$C$23,"")</f>
        <v/>
      </c>
    </row>
    <row r="365" spans="1:59" s="232" customFormat="1" x14ac:dyDescent="0.25">
      <c r="A365" s="232" t="str">
        <f t="shared" si="67"/>
        <v/>
      </c>
      <c r="B365" s="358" t="str">
        <f t="shared" si="64"/>
        <v>646-10185</v>
      </c>
      <c r="C365" s="358" t="str">
        <f t="shared" si="70"/>
        <v/>
      </c>
      <c r="D365" s="358"/>
      <c r="E365" s="358">
        <f t="shared" si="65"/>
        <v>1</v>
      </c>
      <c r="F365" s="232" t="s">
        <v>426</v>
      </c>
      <c r="G365" s="241">
        <v>44684</v>
      </c>
      <c r="H365" s="268"/>
      <c r="I365" s="235"/>
      <c r="J365" s="250" t="s">
        <v>427</v>
      </c>
      <c r="K365" s="250" t="s">
        <v>1295</v>
      </c>
      <c r="L365" s="250" t="s">
        <v>1338</v>
      </c>
      <c r="M365" s="254" t="s">
        <v>510</v>
      </c>
      <c r="N365" s="254"/>
      <c r="O365" s="287"/>
      <c r="P365" s="287"/>
      <c r="Q365" s="287"/>
      <c r="R365" s="286" t="str">
        <f t="shared" si="66"/>
        <v>. Fuse Box, REAR ENGINE fuse box (it's about 10x6 inches flat black plastic located in REAR but it's for engine)</v>
      </c>
      <c r="S365" s="286"/>
      <c r="T365" s="254"/>
      <c r="U365" s="244"/>
      <c r="V365" s="254"/>
      <c r="W365" s="244"/>
      <c r="X365" s="244"/>
      <c r="Y365" s="244"/>
      <c r="Z365" s="250" t="s">
        <v>1342</v>
      </c>
      <c r="AA365" s="250"/>
      <c r="AB365" s="250" t="s">
        <v>1343</v>
      </c>
      <c r="AC365" s="244" t="s">
        <v>449</v>
      </c>
      <c r="AD365" s="250"/>
      <c r="AE365" s="250">
        <v>75</v>
      </c>
      <c r="AF365" s="252" t="s">
        <v>434</v>
      </c>
      <c r="AG365" s="247"/>
      <c r="AH365" s="248" t="s">
        <v>435</v>
      </c>
      <c r="AJ365" s="249"/>
      <c r="AK365" s="232" t="s">
        <v>1344</v>
      </c>
      <c r="AN365" s="233" t="s">
        <v>1345</v>
      </c>
      <c r="AO365" s="232" t="s">
        <v>411</v>
      </c>
      <c r="AP365" s="232">
        <v>10185</v>
      </c>
      <c r="AQ365" s="232" t="str">
        <f>CONCATENATE(AN365,AO365,AP365)</f>
        <v>646-10185</v>
      </c>
      <c r="AX365" s="244"/>
      <c r="AY365" s="244"/>
      <c r="AZ365" s="232" t="str">
        <f>IF($AX365="Yes",'8. Option Codes Decrypted'!$C$15,"")</f>
        <v/>
      </c>
      <c r="BA365" s="232" t="str">
        <f>IF($AX365="Yes",'8. Option Codes Decrypted'!$C$16,"")</f>
        <v/>
      </c>
      <c r="BB365" s="232" t="str">
        <f>IF($AX365="Yes",'8. Option Codes Decrypted'!$C$17,"")</f>
        <v/>
      </c>
      <c r="BC365" s="232" t="str">
        <f>IF($AX365="Yes",'8. Option Codes Decrypted'!$C$18,"")</f>
        <v/>
      </c>
      <c r="BD365" s="232" t="str">
        <f>IF($AY365="Yes",'8. Option Codes Decrypted'!$C$20,"")</f>
        <v/>
      </c>
      <c r="BE365" s="232" t="str">
        <f>IF($AY365="Yes",'8. Option Codes Decrypted'!$C$21,"")</f>
        <v/>
      </c>
      <c r="BF365" s="232" t="str">
        <f>IF($AY365="Yes",'8. Option Codes Decrypted'!$C$22,"")</f>
        <v/>
      </c>
      <c r="BG365" s="232" t="str">
        <f>IF($AY365="Yes",'8. Option Codes Decrypted'!$C$23,"")</f>
        <v/>
      </c>
    </row>
    <row r="366" spans="1:59" s="232" customFormat="1" ht="15.75" thickBot="1" x14ac:dyDescent="0.3">
      <c r="A366" s="232" t="str">
        <f t="shared" si="67"/>
        <v/>
      </c>
      <c r="B366" s="358" t="str">
        <f t="shared" si="64"/>
        <v/>
      </c>
      <c r="C366" s="358" t="str">
        <f t="shared" si="70"/>
        <v/>
      </c>
      <c r="D366" s="358"/>
      <c r="E366" s="358" t="str">
        <f t="shared" si="65"/>
        <v/>
      </c>
      <c r="F366" s="232" t="s">
        <v>426</v>
      </c>
      <c r="G366" s="241">
        <v>44684</v>
      </c>
      <c r="H366" s="268"/>
      <c r="I366" s="235"/>
      <c r="J366" s="250" t="s">
        <v>427</v>
      </c>
      <c r="K366" s="250" t="s">
        <v>1295</v>
      </c>
      <c r="L366" s="250" t="s">
        <v>1346</v>
      </c>
      <c r="M366" s="273" t="s">
        <v>430</v>
      </c>
      <c r="N366" s="273"/>
      <c r="O366" s="293"/>
      <c r="P366" s="293"/>
      <c r="Q366" s="293"/>
      <c r="R366" s="286" t="str">
        <f t="shared" si="66"/>
        <v>. Ignition Anti-Theft Key Detection Immobilizer Ring</v>
      </c>
      <c r="S366" s="286"/>
      <c r="T366" s="273"/>
      <c r="U366" s="244"/>
      <c r="V366" s="273"/>
      <c r="W366" s="244"/>
      <c r="X366" s="244"/>
      <c r="Y366" s="244"/>
      <c r="Z366" s="250" t="s">
        <v>1347</v>
      </c>
      <c r="AA366" s="250" t="s">
        <v>1348</v>
      </c>
      <c r="AB366" s="250"/>
      <c r="AC366" s="244" t="s">
        <v>449</v>
      </c>
      <c r="AD366" s="250" t="s">
        <v>1349</v>
      </c>
      <c r="AE366" s="250" t="s">
        <v>1350</v>
      </c>
      <c r="AF366" s="252" t="s">
        <v>434</v>
      </c>
      <c r="AG366" s="247"/>
      <c r="AH366" s="248" t="s">
        <v>435</v>
      </c>
      <c r="AJ366" s="249"/>
      <c r="AK366" s="232" t="s">
        <v>1351</v>
      </c>
      <c r="AX366" s="244"/>
      <c r="AY366" s="244"/>
      <c r="AZ366" s="232" t="str">
        <f>IF($AX366="Yes",'8. Option Codes Decrypted'!$C$15,"")</f>
        <v/>
      </c>
      <c r="BA366" s="232" t="str">
        <f>IF($AX366="Yes",'8. Option Codes Decrypted'!$C$16,"")</f>
        <v/>
      </c>
      <c r="BB366" s="232" t="str">
        <f>IF($AX366="Yes",'8. Option Codes Decrypted'!$C$17,"")</f>
        <v/>
      </c>
      <c r="BC366" s="232" t="str">
        <f>IF($AX366="Yes",'8. Option Codes Decrypted'!$C$18,"")</f>
        <v/>
      </c>
      <c r="BD366" s="232" t="str">
        <f>IF($AY366="Yes",'8. Option Codes Decrypted'!$C$20,"")</f>
        <v/>
      </c>
      <c r="BE366" s="232" t="str">
        <f>IF($AY366="Yes",'8. Option Codes Decrypted'!$C$21,"")</f>
        <v/>
      </c>
      <c r="BF366" s="232" t="str">
        <f>IF($AY366="Yes",'8. Option Codes Decrypted'!$C$22,"")</f>
        <v/>
      </c>
      <c r="BG366" s="232" t="str">
        <f>IF($AY366="Yes",'8. Option Codes Decrypted'!$C$23,"")</f>
        <v/>
      </c>
    </row>
    <row r="367" spans="1:59" s="296" customFormat="1" ht="15.75" thickBot="1" x14ac:dyDescent="0.3">
      <c r="A367" s="232" t="str">
        <f t="shared" si="67"/>
        <v>A123</v>
      </c>
      <c r="B367" s="358" t="str">
        <f t="shared" si="64"/>
        <v/>
      </c>
      <c r="C367" s="358" t="str">
        <f t="shared" si="70"/>
        <v>F15-Integrated Power Module-14-18-ALL</v>
      </c>
      <c r="D367" s="358"/>
      <c r="E367" s="358" t="str">
        <f t="shared" si="65"/>
        <v/>
      </c>
      <c r="F367" s="296" t="s">
        <v>426</v>
      </c>
      <c r="G367" s="297">
        <v>44684</v>
      </c>
      <c r="H367" s="298"/>
      <c r="I367" s="298"/>
      <c r="J367" s="298" t="s">
        <v>427</v>
      </c>
      <c r="K367" s="299" t="s">
        <v>1295</v>
      </c>
      <c r="L367" s="298" t="s">
        <v>1352</v>
      </c>
      <c r="M367" s="298" t="s">
        <v>510</v>
      </c>
      <c r="N367" s="298">
        <v>113</v>
      </c>
      <c r="O367" s="299" t="s">
        <v>367</v>
      </c>
      <c r="P367" s="299" t="s">
        <v>1107</v>
      </c>
      <c r="Q367" s="299">
        <v>1</v>
      </c>
      <c r="R367" s="299" t="str">
        <f t="shared" si="66"/>
        <v>A123. Integrated Power Module</v>
      </c>
      <c r="S367" s="365" t="str">
        <f>HYPERLINK(VLOOKUP(O367,'3D. Pictures'!$B$3:$E$500,4,FALSE),"PIC")</f>
        <v>PIC</v>
      </c>
      <c r="T367" s="298">
        <v>3</v>
      </c>
      <c r="U367" s="298" t="s">
        <v>1353</v>
      </c>
      <c r="V367" s="298" t="s">
        <v>80</v>
      </c>
      <c r="W367" s="298"/>
      <c r="X367" s="298"/>
      <c r="Y367" s="298"/>
      <c r="Z367" s="298" t="s">
        <v>1352</v>
      </c>
      <c r="AA367" s="298"/>
      <c r="AB367" s="298"/>
      <c r="AC367" s="213" t="s">
        <v>449</v>
      </c>
      <c r="AD367" s="298"/>
      <c r="AE367" s="298">
        <v>69</v>
      </c>
      <c r="AF367" s="326" t="s">
        <v>434</v>
      </c>
      <c r="AG367" s="301"/>
      <c r="AH367" s="302" t="s">
        <v>435</v>
      </c>
      <c r="AJ367" s="303"/>
      <c r="AK367" s="296" t="s">
        <v>1354</v>
      </c>
      <c r="AO367" s="296" t="s">
        <v>411</v>
      </c>
      <c r="AS367" s="296" t="str">
        <f>CONCATENATE(AT367,"-",AU367,"-",AV367,"-",AW367)</f>
        <v>F15-Integrated Power Module-14-18-ALL</v>
      </c>
      <c r="AT367" s="296" t="s">
        <v>661</v>
      </c>
      <c r="AU367" s="296" t="str">
        <f>Z367</f>
        <v>Integrated Power Module</v>
      </c>
      <c r="AV367" s="296" t="s">
        <v>757</v>
      </c>
      <c r="AW367" s="296" t="s">
        <v>662</v>
      </c>
      <c r="AX367" s="298"/>
      <c r="AY367" s="298"/>
      <c r="AZ367" s="232" t="str">
        <f>IF($AX367="Yes",'8. Option Codes Decrypted'!$C$15,"")</f>
        <v/>
      </c>
      <c r="BA367" s="232" t="str">
        <f>IF($AX367="Yes",'8. Option Codes Decrypted'!$C$16,"")</f>
        <v/>
      </c>
      <c r="BB367" s="232" t="str">
        <f>IF($AX367="Yes",'8. Option Codes Decrypted'!$C$17,"")</f>
        <v/>
      </c>
      <c r="BC367" s="232" t="str">
        <f>IF($AX367="Yes",'8. Option Codes Decrypted'!$C$18,"")</f>
        <v/>
      </c>
      <c r="BD367" s="232" t="str">
        <f>IF($AY367="Yes",'8. Option Codes Decrypted'!$C$20,"")</f>
        <v/>
      </c>
      <c r="BE367" s="232" t="str">
        <f>IF($AY367="Yes",'8. Option Codes Decrypted'!$C$21,"")</f>
        <v/>
      </c>
      <c r="BF367" s="232" t="str">
        <f>IF($AY367="Yes",'8. Option Codes Decrypted'!$C$22,"")</f>
        <v/>
      </c>
      <c r="BG367" s="232" t="str">
        <f>IF($AY367="Yes",'8. Option Codes Decrypted'!$C$23,"")</f>
        <v/>
      </c>
    </row>
    <row r="368" spans="1:59" s="232" customFormat="1" x14ac:dyDescent="0.25">
      <c r="A368" s="232" t="str">
        <f t="shared" si="67"/>
        <v/>
      </c>
      <c r="B368" s="358" t="str">
        <f t="shared" si="64"/>
        <v/>
      </c>
      <c r="C368" s="358" t="str">
        <f t="shared" si="70"/>
        <v/>
      </c>
      <c r="D368" s="358"/>
      <c r="E368" s="358" t="str">
        <f t="shared" si="65"/>
        <v/>
      </c>
      <c r="F368" s="232" t="s">
        <v>426</v>
      </c>
      <c r="G368" s="241">
        <v>44684</v>
      </c>
      <c r="H368" s="268"/>
      <c r="I368" s="235"/>
      <c r="J368" s="250" t="s">
        <v>427</v>
      </c>
      <c r="K368" s="250" t="s">
        <v>1295</v>
      </c>
      <c r="L368" s="250" t="s">
        <v>1355</v>
      </c>
      <c r="M368" s="250" t="s">
        <v>430</v>
      </c>
      <c r="N368" s="250"/>
      <c r="O368" s="251"/>
      <c r="P368" s="251"/>
      <c r="Q368" s="251"/>
      <c r="R368" s="286" t="str">
        <f t="shared" si="66"/>
        <v>. Key FOB + Skeleton Key</v>
      </c>
      <c r="S368" s="286"/>
      <c r="T368" s="250"/>
      <c r="U368" s="250"/>
      <c r="V368" s="250"/>
      <c r="W368" s="250"/>
      <c r="X368" s="250"/>
      <c r="Y368" s="250"/>
      <c r="Z368" s="250" t="s">
        <v>1356</v>
      </c>
      <c r="AA368" s="250" t="s">
        <v>1323</v>
      </c>
      <c r="AB368" s="250"/>
      <c r="AC368" s="244" t="s">
        <v>449</v>
      </c>
      <c r="AD368" s="250" t="s">
        <v>1324</v>
      </c>
      <c r="AE368" s="250">
        <v>75</v>
      </c>
      <c r="AF368" s="252" t="s">
        <v>434</v>
      </c>
      <c r="AG368" s="247"/>
      <c r="AH368" s="248" t="s">
        <v>435</v>
      </c>
      <c r="AJ368" s="249"/>
      <c r="AK368" s="232" t="s">
        <v>1351</v>
      </c>
      <c r="AX368" s="250"/>
      <c r="AY368" s="250"/>
      <c r="AZ368" s="232" t="str">
        <f>IF($AX368="Yes",'8. Option Codes Decrypted'!$C$15,"")</f>
        <v/>
      </c>
      <c r="BA368" s="232" t="str">
        <f>IF($AX368="Yes",'8. Option Codes Decrypted'!$C$16,"")</f>
        <v/>
      </c>
      <c r="BB368" s="232" t="str">
        <f>IF($AX368="Yes",'8. Option Codes Decrypted'!$C$17,"")</f>
        <v/>
      </c>
      <c r="BC368" s="232" t="str">
        <f>IF($AX368="Yes",'8. Option Codes Decrypted'!$C$18,"")</f>
        <v/>
      </c>
      <c r="BD368" s="232" t="str">
        <f>IF($AY368="Yes",'8. Option Codes Decrypted'!$C$20,"")</f>
        <v/>
      </c>
      <c r="BE368" s="232" t="str">
        <f>IF($AY368="Yes",'8. Option Codes Decrypted'!$C$21,"")</f>
        <v/>
      </c>
      <c r="BF368" s="232" t="str">
        <f>IF($AY368="Yes",'8. Option Codes Decrypted'!$C$22,"")</f>
        <v/>
      </c>
      <c r="BG368" s="232" t="str">
        <f>IF($AY368="Yes",'8. Option Codes Decrypted'!$C$23,"")</f>
        <v/>
      </c>
    </row>
    <row r="369" spans="1:59" x14ac:dyDescent="0.25">
      <c r="A369" s="232" t="str">
        <f t="shared" si="67"/>
        <v/>
      </c>
      <c r="B369" s="358" t="str">
        <f t="shared" si="64"/>
        <v/>
      </c>
      <c r="C369" s="358" t="str">
        <f t="shared" si="70"/>
        <v/>
      </c>
      <c r="D369" s="358"/>
      <c r="E369" s="358" t="str">
        <f t="shared" si="65"/>
        <v/>
      </c>
      <c r="F369" t="s">
        <v>426</v>
      </c>
      <c r="G369" s="230">
        <v>44684</v>
      </c>
      <c r="H369" s="16"/>
      <c r="I369" s="16"/>
      <c r="J369" s="16" t="s">
        <v>427</v>
      </c>
      <c r="K369" s="16" t="s">
        <v>1295</v>
      </c>
      <c r="L369" s="16" t="s">
        <v>1357</v>
      </c>
      <c r="M369" s="16" t="s">
        <v>430</v>
      </c>
      <c r="N369" s="16"/>
      <c r="O369" s="191"/>
      <c r="P369" s="191"/>
      <c r="Q369" s="191"/>
      <c r="R369" s="286" t="str">
        <f t="shared" si="66"/>
        <v>. Keyless Entry Antenna SET6 (this may be SET7, but I only got 6…let me know on next one - ENF 5/3/22) (TOSS ALL if less than 6)</v>
      </c>
      <c r="S369" s="286"/>
      <c r="T369" s="16"/>
      <c r="U369" s="16"/>
      <c r="V369" s="16"/>
      <c r="W369" s="16"/>
      <c r="X369" s="16"/>
      <c r="Y369" s="16"/>
      <c r="Z369" s="16" t="s">
        <v>1358</v>
      </c>
      <c r="AA369" s="16"/>
      <c r="AB369" s="16"/>
      <c r="AC369" s="193" t="s">
        <v>618</v>
      </c>
      <c r="AD369" s="16"/>
      <c r="AE369" s="16">
        <v>58</v>
      </c>
      <c r="AF369" s="99" t="s">
        <v>434</v>
      </c>
      <c r="AH369" s="3" t="s">
        <v>435</v>
      </c>
      <c r="AJ369" s="69"/>
      <c r="AK369" t="s">
        <v>1359</v>
      </c>
      <c r="AN369"/>
      <c r="AX369" s="16"/>
      <c r="AY369" s="16"/>
      <c r="AZ369" s="232" t="str">
        <f>IF($AX369="Yes",'8. Option Codes Decrypted'!$C$15,"")</f>
        <v/>
      </c>
      <c r="BA369" s="232" t="str">
        <f>IF($AX369="Yes",'8. Option Codes Decrypted'!$C$16,"")</f>
        <v/>
      </c>
      <c r="BB369" s="232" t="str">
        <f>IF($AX369="Yes",'8. Option Codes Decrypted'!$C$17,"")</f>
        <v/>
      </c>
      <c r="BC369" s="232" t="str">
        <f>IF($AX369="Yes",'8. Option Codes Decrypted'!$C$18,"")</f>
        <v/>
      </c>
      <c r="BD369" s="232" t="str">
        <f>IF($AY369="Yes",'8. Option Codes Decrypted'!$C$20,"")</f>
        <v/>
      </c>
      <c r="BE369" s="232" t="str">
        <f>IF($AY369="Yes",'8. Option Codes Decrypted'!$C$21,"")</f>
        <v/>
      </c>
      <c r="BF369" s="232" t="str">
        <f>IF($AY369="Yes",'8. Option Codes Decrypted'!$C$22,"")</f>
        <v/>
      </c>
      <c r="BG369" s="232" t="str">
        <f>IF($AY369="Yes",'8. Option Codes Decrypted'!$C$23,"")</f>
        <v/>
      </c>
    </row>
    <row r="370" spans="1:59" s="232" customFormat="1" x14ac:dyDescent="0.25">
      <c r="A370" s="232" t="str">
        <f t="shared" si="67"/>
        <v/>
      </c>
      <c r="B370" s="358" t="str">
        <f t="shared" si="64"/>
        <v/>
      </c>
      <c r="C370" s="358" t="str">
        <f t="shared" si="70"/>
        <v/>
      </c>
      <c r="D370" s="358"/>
      <c r="E370" s="358" t="str">
        <f t="shared" si="65"/>
        <v/>
      </c>
      <c r="F370" s="232" t="s">
        <v>426</v>
      </c>
      <c r="G370" s="241">
        <v>44684</v>
      </c>
      <c r="H370" s="268"/>
      <c r="I370" s="235"/>
      <c r="J370" s="250" t="s">
        <v>427</v>
      </c>
      <c r="K370" s="250" t="s">
        <v>1295</v>
      </c>
      <c r="L370" s="250" t="s">
        <v>1360</v>
      </c>
      <c r="M370" s="254" t="s">
        <v>510</v>
      </c>
      <c r="N370" s="254"/>
      <c r="O370" s="287"/>
      <c r="P370" s="287"/>
      <c r="Q370" s="287"/>
      <c r="R370" s="286" t="str">
        <f t="shared" si="66"/>
        <v>. Keyless Entry Control Module (worthless solo)</v>
      </c>
      <c r="S370" s="286"/>
      <c r="T370" s="254"/>
      <c r="U370" s="244"/>
      <c r="V370" s="254"/>
      <c r="W370" s="244"/>
      <c r="X370" s="244"/>
      <c r="Y370" s="244"/>
      <c r="Z370" s="250" t="s">
        <v>1360</v>
      </c>
      <c r="AA370" s="250" t="s">
        <v>1348</v>
      </c>
      <c r="AB370" s="250"/>
      <c r="AC370" s="244" t="s">
        <v>449</v>
      </c>
      <c r="AD370" s="250" t="s">
        <v>1361</v>
      </c>
      <c r="AE370" s="250" t="s">
        <v>1350</v>
      </c>
      <c r="AF370" s="252" t="s">
        <v>434</v>
      </c>
      <c r="AG370" s="247"/>
      <c r="AH370" s="248" t="s">
        <v>435</v>
      </c>
      <c r="AJ370" s="249"/>
      <c r="AK370" s="232" t="s">
        <v>1362</v>
      </c>
      <c r="AN370" s="233"/>
      <c r="AO370" s="232" t="s">
        <v>411</v>
      </c>
      <c r="AX370" s="244"/>
      <c r="AY370" s="244"/>
      <c r="AZ370" s="232" t="str">
        <f>IF($AX370="Yes",'8. Option Codes Decrypted'!$C$15,"")</f>
        <v/>
      </c>
      <c r="BA370" s="232" t="str">
        <f>IF($AX370="Yes",'8. Option Codes Decrypted'!$C$16,"")</f>
        <v/>
      </c>
      <c r="BB370" s="232" t="str">
        <f>IF($AX370="Yes",'8. Option Codes Decrypted'!$C$17,"")</f>
        <v/>
      </c>
      <c r="BC370" s="232" t="str">
        <f>IF($AX370="Yes",'8. Option Codes Decrypted'!$C$18,"")</f>
        <v/>
      </c>
      <c r="BD370" s="232" t="str">
        <f>IF($AY370="Yes",'8. Option Codes Decrypted'!$C$20,"")</f>
        <v/>
      </c>
      <c r="BE370" s="232" t="str">
        <f>IF($AY370="Yes",'8. Option Codes Decrypted'!$C$21,"")</f>
        <v/>
      </c>
      <c r="BF370" s="232" t="str">
        <f>IF($AY370="Yes",'8. Option Codes Decrypted'!$C$22,"")</f>
        <v/>
      </c>
      <c r="BG370" s="232" t="str">
        <f>IF($AY370="Yes",'8. Option Codes Decrypted'!$C$23,"")</f>
        <v/>
      </c>
    </row>
    <row r="371" spans="1:59" s="232" customFormat="1" x14ac:dyDescent="0.25">
      <c r="A371" s="232" t="str">
        <f t="shared" si="67"/>
        <v/>
      </c>
      <c r="B371" s="358" t="str">
        <f t="shared" si="64"/>
        <v>596-893</v>
      </c>
      <c r="C371" s="358" t="str">
        <f t="shared" si="70"/>
        <v/>
      </c>
      <c r="D371" s="358"/>
      <c r="E371" s="358">
        <f t="shared" si="65"/>
        <v>1</v>
      </c>
      <c r="F371" s="232" t="s">
        <v>508</v>
      </c>
      <c r="G371" s="241">
        <v>44993</v>
      </c>
      <c r="H371" s="274"/>
      <c r="I371" s="275"/>
      <c r="J371" s="250" t="s">
        <v>427</v>
      </c>
      <c r="K371" s="250" t="s">
        <v>1295</v>
      </c>
      <c r="L371" s="250" t="s">
        <v>1326</v>
      </c>
      <c r="M371" s="254" t="s">
        <v>510</v>
      </c>
      <c r="N371" s="254"/>
      <c r="O371" s="287"/>
      <c r="P371" s="287"/>
      <c r="Q371" s="287"/>
      <c r="R371" s="286" t="str">
        <f t="shared" si="66"/>
        <v>. Lane Departure Warning Camera</v>
      </c>
      <c r="S371" s="286"/>
      <c r="T371" s="254"/>
      <c r="U371" s="244"/>
      <c r="V371" s="254"/>
      <c r="W371" s="244"/>
      <c r="X371" s="244"/>
      <c r="Y371" s="244"/>
      <c r="Z371" s="250" t="s">
        <v>1363</v>
      </c>
      <c r="AA371" s="250"/>
      <c r="AB371" s="250"/>
      <c r="AC371" s="244" t="s">
        <v>449</v>
      </c>
      <c r="AD371" s="250"/>
      <c r="AE371" s="250">
        <v>150</v>
      </c>
      <c r="AF371" s="252" t="s">
        <v>434</v>
      </c>
      <c r="AG371" s="247"/>
      <c r="AH371" s="248" t="s">
        <v>435</v>
      </c>
      <c r="AJ371" s="249"/>
      <c r="AK371" s="232" t="s">
        <v>1364</v>
      </c>
      <c r="AN371" s="233" t="s">
        <v>1068</v>
      </c>
      <c r="AO371" s="232" t="s">
        <v>411</v>
      </c>
      <c r="AP371" s="232">
        <v>893</v>
      </c>
      <c r="AQ371" s="232" t="str">
        <f>CONCATENATE(AN371,AO371,AP371)</f>
        <v>596-893</v>
      </c>
      <c r="AX371" s="244"/>
      <c r="AY371" s="244"/>
      <c r="AZ371" s="232" t="str">
        <f>IF($AX371="Yes",'8. Option Codes Decrypted'!$C$15,"")</f>
        <v/>
      </c>
      <c r="BA371" s="232" t="str">
        <f>IF($AX371="Yes",'8. Option Codes Decrypted'!$C$16,"")</f>
        <v/>
      </c>
      <c r="BB371" s="232" t="str">
        <f>IF($AX371="Yes",'8. Option Codes Decrypted'!$C$17,"")</f>
        <v/>
      </c>
      <c r="BC371" s="232" t="str">
        <f>IF($AX371="Yes",'8. Option Codes Decrypted'!$C$18,"")</f>
        <v/>
      </c>
      <c r="BD371" s="232" t="str">
        <f>IF($AY371="Yes",'8. Option Codes Decrypted'!$C$20,"")</f>
        <v/>
      </c>
      <c r="BE371" s="232" t="str">
        <f>IF($AY371="Yes",'8. Option Codes Decrypted'!$C$21,"")</f>
        <v/>
      </c>
      <c r="BF371" s="232" t="str">
        <f>IF($AY371="Yes",'8. Option Codes Decrypted'!$C$22,"")</f>
        <v/>
      </c>
      <c r="BG371" s="232" t="str">
        <f>IF($AY371="Yes",'8. Option Codes Decrypted'!$C$23,"")</f>
        <v/>
      </c>
    </row>
    <row r="372" spans="1:59" s="232" customFormat="1" ht="15.75" thickBot="1" x14ac:dyDescent="0.3">
      <c r="A372" s="232" t="str">
        <f t="shared" si="67"/>
        <v/>
      </c>
      <c r="B372" s="358" t="str">
        <f t="shared" si="64"/>
        <v>591-72653</v>
      </c>
      <c r="C372" s="358" t="str">
        <f t="shared" si="70"/>
        <v/>
      </c>
      <c r="D372" s="358"/>
      <c r="E372" s="358">
        <f t="shared" si="65"/>
        <v>1</v>
      </c>
      <c r="F372" s="232" t="s">
        <v>508</v>
      </c>
      <c r="G372" s="241">
        <v>44994</v>
      </c>
      <c r="H372" s="276"/>
      <c r="I372" s="250"/>
      <c r="J372" s="250" t="s">
        <v>427</v>
      </c>
      <c r="K372" s="251" t="s">
        <v>1295</v>
      </c>
      <c r="L372" s="250" t="s">
        <v>1365</v>
      </c>
      <c r="M372" s="254" t="s">
        <v>510</v>
      </c>
      <c r="N372" s="254"/>
      <c r="O372" s="287"/>
      <c r="P372" s="287"/>
      <c r="Q372" s="287"/>
      <c r="R372" s="286" t="str">
        <f t="shared" si="66"/>
        <v>. Lane Departure Warning Camera Control Module (Not The Camera)</v>
      </c>
      <c r="S372" s="286"/>
      <c r="T372" s="254"/>
      <c r="U372" s="244"/>
      <c r="V372" s="254"/>
      <c r="W372" s="244"/>
      <c r="X372" s="244"/>
      <c r="Y372" s="244"/>
      <c r="Z372" s="250" t="s">
        <v>1366</v>
      </c>
      <c r="AA372" s="250"/>
      <c r="AB372" s="250"/>
      <c r="AC372" s="244" t="s">
        <v>449</v>
      </c>
      <c r="AD372" s="250"/>
      <c r="AE372" s="250">
        <v>45</v>
      </c>
      <c r="AF372" s="252" t="s">
        <v>434</v>
      </c>
      <c r="AG372" s="247"/>
      <c r="AH372" s="248" t="s">
        <v>435</v>
      </c>
      <c r="AJ372" s="249"/>
      <c r="AK372" s="232" t="s">
        <v>1367</v>
      </c>
      <c r="AN372" s="233" t="s">
        <v>1277</v>
      </c>
      <c r="AO372" s="232" t="s">
        <v>411</v>
      </c>
      <c r="AP372" s="232">
        <v>72653</v>
      </c>
      <c r="AQ372" s="232" t="str">
        <f>CONCATENATE(AN372,AO372,AP372)</f>
        <v>591-72653</v>
      </c>
      <c r="AX372" s="244"/>
      <c r="AY372" s="244"/>
      <c r="AZ372" s="232" t="str">
        <f>IF($AX372="Yes",'8. Option Codes Decrypted'!$C$15,"")</f>
        <v/>
      </c>
      <c r="BA372" s="232" t="str">
        <f>IF($AX372="Yes",'8. Option Codes Decrypted'!$C$16,"")</f>
        <v/>
      </c>
      <c r="BB372" s="232" t="str">
        <f>IF($AX372="Yes",'8. Option Codes Decrypted'!$C$17,"")</f>
        <v/>
      </c>
      <c r="BC372" s="232" t="str">
        <f>IF($AX372="Yes",'8. Option Codes Decrypted'!$C$18,"")</f>
        <v/>
      </c>
      <c r="BD372" s="232" t="str">
        <f>IF($AY372="Yes",'8. Option Codes Decrypted'!$C$20,"")</f>
        <v/>
      </c>
      <c r="BE372" s="232" t="str">
        <f>IF($AY372="Yes",'8. Option Codes Decrypted'!$C$21,"")</f>
        <v/>
      </c>
      <c r="BF372" s="232" t="str">
        <f>IF($AY372="Yes",'8. Option Codes Decrypted'!$C$22,"")</f>
        <v/>
      </c>
      <c r="BG372" s="232" t="str">
        <f>IF($AY372="Yes",'8. Option Codes Decrypted'!$C$23,"")</f>
        <v/>
      </c>
    </row>
    <row r="373" spans="1:59" s="232" customFormat="1" ht="15.75" thickBot="1" x14ac:dyDescent="0.3">
      <c r="A373" s="232" t="str">
        <f t="shared" si="67"/>
        <v>A71</v>
      </c>
      <c r="B373" s="358" t="str">
        <f t="shared" si="64"/>
        <v>590-62356</v>
      </c>
      <c r="C373" s="358" t="s">
        <v>1368</v>
      </c>
      <c r="D373" s="358"/>
      <c r="E373" s="358">
        <f t="shared" si="65"/>
        <v>2</v>
      </c>
      <c r="F373" s="232" t="s">
        <v>426</v>
      </c>
      <c r="G373" s="241">
        <v>44684</v>
      </c>
      <c r="H373" s="268"/>
      <c r="I373" s="235"/>
      <c r="J373" s="250" t="s">
        <v>427</v>
      </c>
      <c r="K373" s="250" t="s">
        <v>1295</v>
      </c>
      <c r="L373" s="250" t="s">
        <v>1369</v>
      </c>
      <c r="M373" s="254" t="s">
        <v>510</v>
      </c>
      <c r="N373" s="254">
        <v>61</v>
      </c>
      <c r="O373" s="287" t="s">
        <v>315</v>
      </c>
      <c r="P373" s="287" t="s">
        <v>1107</v>
      </c>
      <c r="Q373" s="287">
        <v>1</v>
      </c>
      <c r="R373" s="286" t="str">
        <f t="shared" si="66"/>
        <v>A71. Module &amp; Key SET A (ECM + BCM + Keyless Mod + FOB + LF Lock Cyl + Immobilizer Ring)</v>
      </c>
      <c r="S373" s="365" t="str">
        <f>HYPERLINK(VLOOKUP(O373,'3D. Pictures'!$B$3:$E$500,4,FALSE),"PIC")</f>
        <v>PIC</v>
      </c>
      <c r="T373" s="254">
        <v>9</v>
      </c>
      <c r="U373" s="244" t="s">
        <v>1370</v>
      </c>
      <c r="V373" s="254" t="s">
        <v>81</v>
      </c>
      <c r="W373" s="244"/>
      <c r="X373" s="244"/>
      <c r="Y373" s="244"/>
      <c r="Z373" s="250" t="s">
        <v>1371</v>
      </c>
      <c r="AA373" s="250" t="s">
        <v>1372</v>
      </c>
      <c r="AB373" s="250"/>
      <c r="AC373" s="244" t="s">
        <v>968</v>
      </c>
      <c r="AD373" s="250" t="s">
        <v>1373</v>
      </c>
      <c r="AE373" s="250">
        <v>995</v>
      </c>
      <c r="AF373" s="252" t="s">
        <v>434</v>
      </c>
      <c r="AG373" s="247"/>
      <c r="AH373" s="248" t="s">
        <v>1333</v>
      </c>
      <c r="AJ373" s="249"/>
      <c r="AK373" s="232" t="s">
        <v>1374</v>
      </c>
      <c r="AL373" s="232" t="s">
        <v>1375</v>
      </c>
      <c r="AN373" s="233" t="s">
        <v>1335</v>
      </c>
      <c r="AO373" s="232" t="s">
        <v>411</v>
      </c>
      <c r="AP373" s="232">
        <v>62356</v>
      </c>
      <c r="AQ373" s="232" t="str">
        <f>CONCATENATE(AN373,AO373,AP373)</f>
        <v>590-62356</v>
      </c>
      <c r="AX373" s="244"/>
      <c r="AY373" s="244"/>
      <c r="AZ373" s="232" t="str">
        <f>IF($AX373="Yes",'8. Option Codes Decrypted'!$C$15,"")</f>
        <v/>
      </c>
      <c r="BA373" s="232" t="str">
        <f>IF($AX373="Yes",'8. Option Codes Decrypted'!$C$16,"")</f>
        <v/>
      </c>
      <c r="BB373" s="232" t="str">
        <f>IF($AX373="Yes",'8. Option Codes Decrypted'!$C$17,"")</f>
        <v/>
      </c>
      <c r="BC373" s="232" t="str">
        <f>IF($AX373="Yes",'8. Option Codes Decrypted'!$C$18,"")</f>
        <v/>
      </c>
      <c r="BD373" s="232" t="str">
        <f>IF($AY373="Yes",'8. Option Codes Decrypted'!$C$20,"")</f>
        <v/>
      </c>
      <c r="BE373" s="232" t="str">
        <f>IF($AY373="Yes",'8. Option Codes Decrypted'!$C$21,"")</f>
        <v/>
      </c>
      <c r="BF373" s="232" t="str">
        <f>IF($AY373="Yes",'8. Option Codes Decrypted'!$C$22,"")</f>
        <v/>
      </c>
      <c r="BG373" s="232" t="str">
        <f>IF($AY373="Yes",'8. Option Codes Decrypted'!$C$23,"")</f>
        <v/>
      </c>
    </row>
    <row r="374" spans="1:59" s="232" customFormat="1" ht="15.75" thickBot="1" x14ac:dyDescent="0.3">
      <c r="A374" s="232" t="str">
        <f t="shared" si="67"/>
        <v>A78</v>
      </c>
      <c r="B374" s="358" t="str">
        <f t="shared" si="64"/>
        <v>591-74039</v>
      </c>
      <c r="C374" s="358" t="str">
        <f>IF(AS374&lt;&gt;"",AS374,"")</f>
        <v/>
      </c>
      <c r="D374" s="358"/>
      <c r="E374" s="358">
        <f t="shared" si="65"/>
        <v>1</v>
      </c>
      <c r="F374" s="232" t="s">
        <v>426</v>
      </c>
      <c r="G374" s="241">
        <v>44684</v>
      </c>
      <c r="H374" s="268"/>
      <c r="I374" s="235"/>
      <c r="J374" s="250" t="s">
        <v>427</v>
      </c>
      <c r="K374" s="250" t="s">
        <v>1295</v>
      </c>
      <c r="L374" s="250" t="s">
        <v>1295</v>
      </c>
      <c r="M374" s="254" t="s">
        <v>510</v>
      </c>
      <c r="N374" s="254">
        <v>68</v>
      </c>
      <c r="O374" s="287" t="s">
        <v>322</v>
      </c>
      <c r="P374" s="287" t="s">
        <v>1107</v>
      </c>
      <c r="Q374" s="287">
        <v>1</v>
      </c>
      <c r="R374" s="286" t="str">
        <f t="shared" si="66"/>
        <v>A78. Park Assist Control Module PDC</v>
      </c>
      <c r="S374" s="365" t="str">
        <f>HYPERLINK(VLOOKUP(O374,'3D. Pictures'!$B$3:$E$500,4,FALSE),"PIC")</f>
        <v>PIC</v>
      </c>
      <c r="T374" s="254">
        <v>3</v>
      </c>
      <c r="U374" s="244" t="s">
        <v>1376</v>
      </c>
      <c r="V374" s="254" t="s">
        <v>81</v>
      </c>
      <c r="W374" s="244"/>
      <c r="X374" s="244"/>
      <c r="Y374" s="244"/>
      <c r="Z374" s="250" t="s">
        <v>1377</v>
      </c>
      <c r="AA374" s="250"/>
      <c r="AB374" s="250"/>
      <c r="AC374" s="244" t="s">
        <v>449</v>
      </c>
      <c r="AD374" s="250"/>
      <c r="AE374" s="250">
        <v>60</v>
      </c>
      <c r="AF374" s="252" t="s">
        <v>434</v>
      </c>
      <c r="AG374" s="247"/>
      <c r="AH374" s="248" t="s">
        <v>435</v>
      </c>
      <c r="AJ374" s="249"/>
      <c r="AK374" s="232" t="s">
        <v>1378</v>
      </c>
      <c r="AN374" s="233" t="s">
        <v>1277</v>
      </c>
      <c r="AO374" s="232" t="s">
        <v>411</v>
      </c>
      <c r="AP374" s="232">
        <v>74039</v>
      </c>
      <c r="AQ374" s="232" t="str">
        <f>CONCATENATE(AN374,AO374,AP374)</f>
        <v>591-74039</v>
      </c>
      <c r="AX374" s="244"/>
      <c r="AY374" s="244"/>
      <c r="AZ374" s="232" t="str">
        <f>IF($AX374="Yes",'8. Option Codes Decrypted'!$C$15,"")</f>
        <v/>
      </c>
      <c r="BA374" s="232" t="str">
        <f>IF($AX374="Yes",'8. Option Codes Decrypted'!$C$16,"")</f>
        <v/>
      </c>
      <c r="BB374" s="232" t="str">
        <f>IF($AX374="Yes",'8. Option Codes Decrypted'!$C$17,"")</f>
        <v/>
      </c>
      <c r="BC374" s="232" t="str">
        <f>IF($AX374="Yes",'8. Option Codes Decrypted'!$C$18,"")</f>
        <v/>
      </c>
      <c r="BD374" s="232" t="str">
        <f>IF($AY374="Yes",'8. Option Codes Decrypted'!$C$20,"")</f>
        <v/>
      </c>
      <c r="BE374" s="232" t="str">
        <f>IF($AY374="Yes",'8. Option Codes Decrypted'!$C$21,"")</f>
        <v/>
      </c>
      <c r="BF374" s="232" t="str">
        <f>IF($AY374="Yes",'8. Option Codes Decrypted'!$C$22,"")</f>
        <v/>
      </c>
      <c r="BG374" s="232" t="str">
        <f>IF($AY374="Yes",'8. Option Codes Decrypted'!$C$23,"")</f>
        <v/>
      </c>
    </row>
    <row r="375" spans="1:59" x14ac:dyDescent="0.25">
      <c r="A375" s="232" t="str">
        <f t="shared" si="67"/>
        <v/>
      </c>
      <c r="B375" s="358" t="str">
        <f t="shared" si="64"/>
        <v/>
      </c>
      <c r="C375" s="358" t="str">
        <f>IF(AS375&lt;&gt;"",AS375,"")</f>
        <v/>
      </c>
      <c r="D375" s="358"/>
      <c r="E375" s="358" t="str">
        <f t="shared" si="65"/>
        <v/>
      </c>
      <c r="F375" t="s">
        <v>508</v>
      </c>
      <c r="G375" s="230">
        <v>44812</v>
      </c>
      <c r="H375" s="16"/>
      <c r="I375" s="16"/>
      <c r="J375" s="16" t="s">
        <v>427</v>
      </c>
      <c r="K375" s="16" t="s">
        <v>1295</v>
      </c>
      <c r="L375" s="16" t="s">
        <v>1379</v>
      </c>
      <c r="M375" s="231" t="s">
        <v>510</v>
      </c>
      <c r="N375" s="231"/>
      <c r="O375" s="288"/>
      <c r="P375" s="288"/>
      <c r="Q375" s="288"/>
      <c r="R375" s="286" t="str">
        <f t="shared" si="66"/>
        <v>. Radio Remote Receiver Control Module</v>
      </c>
      <c r="S375" s="286"/>
      <c r="T375" s="231"/>
      <c r="U375" s="193"/>
      <c r="V375" s="231"/>
      <c r="W375" s="193"/>
      <c r="X375" s="193"/>
      <c r="Y375" s="193"/>
      <c r="Z375" s="16" t="s">
        <v>1379</v>
      </c>
      <c r="AA375" s="16" t="s">
        <v>1379</v>
      </c>
      <c r="AB375" s="16" t="s">
        <v>1379</v>
      </c>
      <c r="AC375" s="193" t="s">
        <v>449</v>
      </c>
      <c r="AD375" s="16"/>
      <c r="AE375" s="16">
        <v>45</v>
      </c>
      <c r="AF375" s="99" t="s">
        <v>434</v>
      </c>
      <c r="AH375" s="3" t="s">
        <v>435</v>
      </c>
      <c r="AJ375" s="69"/>
      <c r="AK375">
        <v>9374504</v>
      </c>
      <c r="AO375" t="s">
        <v>411</v>
      </c>
      <c r="AX375" s="193"/>
      <c r="AY375" s="193"/>
      <c r="AZ375" s="232" t="str">
        <f>IF($AX375="Yes",'8. Option Codes Decrypted'!$C$15,"")</f>
        <v/>
      </c>
      <c r="BA375" s="232" t="str">
        <f>IF($AX375="Yes",'8. Option Codes Decrypted'!$C$16,"")</f>
        <v/>
      </c>
      <c r="BB375" s="232" t="str">
        <f>IF($AX375="Yes",'8. Option Codes Decrypted'!$C$17,"")</f>
        <v/>
      </c>
      <c r="BC375" s="232" t="str">
        <f>IF($AX375="Yes",'8. Option Codes Decrypted'!$C$18,"")</f>
        <v/>
      </c>
      <c r="BD375" s="232" t="str">
        <f>IF($AY375="Yes",'8. Option Codes Decrypted'!$C$20,"")</f>
        <v/>
      </c>
      <c r="BE375" s="232" t="str">
        <f>IF($AY375="Yes",'8. Option Codes Decrypted'!$C$21,"")</f>
        <v/>
      </c>
      <c r="BF375" s="232" t="str">
        <f>IF($AY375="Yes",'8. Option Codes Decrypted'!$C$22,"")</f>
        <v/>
      </c>
      <c r="BG375" s="232" t="str">
        <f>IF($AY375="Yes",'8. Option Codes Decrypted'!$C$23,"")</f>
        <v/>
      </c>
    </row>
    <row r="376" spans="1:59" x14ac:dyDescent="0.25">
      <c r="A376" s="232" t="str">
        <f t="shared" si="67"/>
        <v/>
      </c>
      <c r="B376" s="358" t="str">
        <f t="shared" si="64"/>
        <v/>
      </c>
      <c r="C376" s="358" t="str">
        <f>IF(AS376&lt;&gt;"",AS376,"")</f>
        <v/>
      </c>
      <c r="D376" s="358"/>
      <c r="E376" s="358" t="str">
        <f t="shared" si="65"/>
        <v/>
      </c>
      <c r="F376" t="s">
        <v>426</v>
      </c>
      <c r="G376" s="230">
        <v>44684</v>
      </c>
      <c r="H376" s="16"/>
      <c r="I376" s="16"/>
      <c r="J376" s="16" t="s">
        <v>427</v>
      </c>
      <c r="K376" s="16" t="s">
        <v>1295</v>
      </c>
      <c r="L376" s="16" t="s">
        <v>1380</v>
      </c>
      <c r="M376" s="16" t="s">
        <v>430</v>
      </c>
      <c r="N376" s="16"/>
      <c r="O376" s="191"/>
      <c r="P376" s="191"/>
      <c r="Q376" s="191"/>
      <c r="R376" s="286" t="str">
        <f t="shared" si="66"/>
        <v>. Rain Solar Light Sensor (mounted on windshield)</v>
      </c>
      <c r="S376" s="286"/>
      <c r="T376" s="16"/>
      <c r="U376" s="16"/>
      <c r="V376" s="16"/>
      <c r="W376" s="16"/>
      <c r="X376" s="16"/>
      <c r="Y376" s="16"/>
      <c r="Z376" s="16" t="s">
        <v>1380</v>
      </c>
      <c r="AA376" s="16" t="s">
        <v>1380</v>
      </c>
      <c r="AB376" s="16" t="s">
        <v>1380</v>
      </c>
      <c r="AC376" s="193" t="s">
        <v>449</v>
      </c>
      <c r="AD376" s="16"/>
      <c r="AE376" s="16">
        <v>49</v>
      </c>
      <c r="AF376" s="99" t="s">
        <v>434</v>
      </c>
      <c r="AH376" s="3" t="s">
        <v>435</v>
      </c>
      <c r="AJ376" s="69"/>
      <c r="AK376" t="s">
        <v>1381</v>
      </c>
      <c r="AL376" t="s">
        <v>1382</v>
      </c>
      <c r="AN376"/>
      <c r="AX376" s="16"/>
      <c r="AY376" s="16"/>
      <c r="AZ376" s="232" t="str">
        <f>IF($AX376="Yes",'8. Option Codes Decrypted'!$C$15,"")</f>
        <v/>
      </c>
      <c r="BA376" s="232" t="str">
        <f>IF($AX376="Yes",'8. Option Codes Decrypted'!$C$16,"")</f>
        <v/>
      </c>
      <c r="BB376" s="232" t="str">
        <f>IF($AX376="Yes",'8. Option Codes Decrypted'!$C$17,"")</f>
        <v/>
      </c>
      <c r="BC376" s="232" t="str">
        <f>IF($AX376="Yes",'8. Option Codes Decrypted'!$C$18,"")</f>
        <v/>
      </c>
      <c r="BD376" s="232" t="str">
        <f>IF($AY376="Yes",'8. Option Codes Decrypted'!$C$20,"")</f>
        <v/>
      </c>
      <c r="BE376" s="232" t="str">
        <f>IF($AY376="Yes",'8. Option Codes Decrypted'!$C$21,"")</f>
        <v/>
      </c>
      <c r="BF376" s="232" t="str">
        <f>IF($AY376="Yes",'8. Option Codes Decrypted'!$C$22,"")</f>
        <v/>
      </c>
      <c r="BG376" s="232" t="str">
        <f>IF($AY376="Yes",'8. Option Codes Decrypted'!$C$23,"")</f>
        <v/>
      </c>
    </row>
    <row r="377" spans="1:59" s="232" customFormat="1" x14ac:dyDescent="0.25">
      <c r="A377" s="232" t="str">
        <f t="shared" si="67"/>
        <v/>
      </c>
      <c r="B377" s="358" t="str">
        <f t="shared" si="64"/>
        <v>591-74854</v>
      </c>
      <c r="C377" s="358" t="s">
        <v>1383</v>
      </c>
      <c r="D377" s="358"/>
      <c r="E377" s="358">
        <f t="shared" si="65"/>
        <v>2</v>
      </c>
      <c r="F377" s="232" t="s">
        <v>426</v>
      </c>
      <c r="G377" s="241">
        <v>45216</v>
      </c>
      <c r="H377" s="250"/>
      <c r="I377" s="250"/>
      <c r="J377" s="250" t="s">
        <v>427</v>
      </c>
      <c r="K377" s="250" t="s">
        <v>1295</v>
      </c>
      <c r="L377" s="250" t="s">
        <v>1384</v>
      </c>
      <c r="M377" s="254" t="s">
        <v>510</v>
      </c>
      <c r="N377" s="254"/>
      <c r="O377" s="287"/>
      <c r="P377" s="287"/>
      <c r="Q377" s="287"/>
      <c r="R377" s="286" t="str">
        <f t="shared" si="66"/>
        <v>. Seat Control &amp; Memory Module, Comfort Seat - FRONT LEFT</v>
      </c>
      <c r="S377" s="286"/>
      <c r="T377" s="254"/>
      <c r="U377" s="244"/>
      <c r="V377" s="254"/>
      <c r="W377" s="244"/>
      <c r="X377" s="244"/>
      <c r="Y377" s="244"/>
      <c r="Z377" s="250" t="s">
        <v>1385</v>
      </c>
      <c r="AA377" s="250" t="s">
        <v>1386</v>
      </c>
      <c r="AB377" s="250"/>
      <c r="AC377" s="244" t="s">
        <v>449</v>
      </c>
      <c r="AD377" s="250" t="s">
        <v>1387</v>
      </c>
      <c r="AE377" s="250">
        <v>150</v>
      </c>
      <c r="AF377" s="252" t="s">
        <v>434</v>
      </c>
      <c r="AG377" s="247"/>
      <c r="AH377" s="248" t="s">
        <v>435</v>
      </c>
      <c r="AJ377" s="249"/>
      <c r="AK377" s="232" t="s">
        <v>1388</v>
      </c>
      <c r="AN377" s="233" t="s">
        <v>1277</v>
      </c>
      <c r="AO377" s="232" t="s">
        <v>411</v>
      </c>
      <c r="AP377" s="232">
        <v>74854</v>
      </c>
      <c r="AQ377" s="232" t="str">
        <f t="shared" ref="AQ377:AQ383" si="71">CONCATENATE(AN377,AO377,AP377)</f>
        <v>591-74854</v>
      </c>
      <c r="AR377" s="232" t="s">
        <v>1389</v>
      </c>
      <c r="AX377" s="244"/>
      <c r="AY377" s="244"/>
      <c r="AZ377" s="232" t="str">
        <f>IF($AX377="Yes",'8. Option Codes Decrypted'!$C$15,"")</f>
        <v/>
      </c>
      <c r="BA377" s="232" t="str">
        <f>IF($AX377="Yes",'8. Option Codes Decrypted'!$C$16,"")</f>
        <v/>
      </c>
      <c r="BB377" s="232" t="str">
        <f>IF($AX377="Yes",'8. Option Codes Decrypted'!$C$17,"")</f>
        <v/>
      </c>
      <c r="BC377" s="232" t="str">
        <f>IF($AX377="Yes",'8. Option Codes Decrypted'!$C$18,"")</f>
        <v/>
      </c>
      <c r="BD377" s="232" t="str">
        <f>IF($AY377="Yes",'8. Option Codes Decrypted'!$C$20,"")</f>
        <v/>
      </c>
      <c r="BE377" s="232" t="str">
        <f>IF($AY377="Yes",'8. Option Codes Decrypted'!$C$21,"")</f>
        <v/>
      </c>
      <c r="BF377" s="232" t="str">
        <f>IF($AY377="Yes",'8. Option Codes Decrypted'!$C$22,"")</f>
        <v/>
      </c>
      <c r="BG377" s="232" t="str">
        <f>IF($AY377="Yes",'8. Option Codes Decrypted'!$C$23,"")</f>
        <v/>
      </c>
    </row>
    <row r="378" spans="1:59" s="232" customFormat="1" x14ac:dyDescent="0.25">
      <c r="A378" s="232" t="str">
        <f t="shared" si="67"/>
        <v/>
      </c>
      <c r="B378" s="358" t="str">
        <f t="shared" si="64"/>
        <v>591-74854</v>
      </c>
      <c r="C378" s="358" t="s">
        <v>1390</v>
      </c>
      <c r="D378" s="358"/>
      <c r="E378" s="358">
        <f t="shared" si="65"/>
        <v>2</v>
      </c>
      <c r="F378" s="232" t="s">
        <v>426</v>
      </c>
      <c r="G378" s="241">
        <v>45216</v>
      </c>
      <c r="H378" s="250"/>
      <c r="I378" s="250"/>
      <c r="J378" s="250" t="s">
        <v>427</v>
      </c>
      <c r="K378" s="250" t="s">
        <v>1295</v>
      </c>
      <c r="L378" s="250" t="s">
        <v>1384</v>
      </c>
      <c r="M378" s="254" t="s">
        <v>510</v>
      </c>
      <c r="N378" s="254"/>
      <c r="O378" s="287"/>
      <c r="P378" s="287"/>
      <c r="Q378" s="287"/>
      <c r="R378" s="286" t="str">
        <f t="shared" si="66"/>
        <v>. Seat Control &amp; Memory Module, Comfort Seat - FRONT RIGHT</v>
      </c>
      <c r="S378" s="286"/>
      <c r="T378" s="254"/>
      <c r="U378" s="244"/>
      <c r="V378" s="254"/>
      <c r="W378" s="244"/>
      <c r="X378" s="244"/>
      <c r="Y378" s="244"/>
      <c r="Z378" s="250" t="s">
        <v>1391</v>
      </c>
      <c r="AA378" s="250" t="s">
        <v>1386</v>
      </c>
      <c r="AB378" s="250"/>
      <c r="AC378" s="244" t="s">
        <v>449</v>
      </c>
      <c r="AD378" s="250" t="s">
        <v>1387</v>
      </c>
      <c r="AE378" s="250">
        <v>150</v>
      </c>
      <c r="AF378" s="252" t="s">
        <v>434</v>
      </c>
      <c r="AG378" s="247"/>
      <c r="AH378" s="248" t="s">
        <v>435</v>
      </c>
      <c r="AJ378" s="249"/>
      <c r="AK378" s="232" t="s">
        <v>1388</v>
      </c>
      <c r="AN378" s="233" t="s">
        <v>1277</v>
      </c>
      <c r="AO378" s="232" t="s">
        <v>411</v>
      </c>
      <c r="AP378" s="232">
        <v>74854</v>
      </c>
      <c r="AQ378" s="232" t="str">
        <f t="shared" si="71"/>
        <v>591-74854</v>
      </c>
      <c r="AR378" s="232" t="s">
        <v>1389</v>
      </c>
      <c r="AX378" s="244"/>
      <c r="AY378" s="244"/>
      <c r="AZ378" s="232" t="str">
        <f>IF($AX378="Yes",'8. Option Codes Decrypted'!$C$15,"")</f>
        <v/>
      </c>
      <c r="BA378" s="232" t="str">
        <f>IF($AX378="Yes",'8. Option Codes Decrypted'!$C$16,"")</f>
        <v/>
      </c>
      <c r="BB378" s="232" t="str">
        <f>IF($AX378="Yes",'8. Option Codes Decrypted'!$C$17,"")</f>
        <v/>
      </c>
      <c r="BC378" s="232" t="str">
        <f>IF($AX378="Yes",'8. Option Codes Decrypted'!$C$18,"")</f>
        <v/>
      </c>
      <c r="BD378" s="232" t="str">
        <f>IF($AY378="Yes",'8. Option Codes Decrypted'!$C$20,"")</f>
        <v/>
      </c>
      <c r="BE378" s="232" t="str">
        <f>IF($AY378="Yes",'8. Option Codes Decrypted'!$C$21,"")</f>
        <v/>
      </c>
      <c r="BF378" s="232" t="str">
        <f>IF($AY378="Yes",'8. Option Codes Decrypted'!$C$22,"")</f>
        <v/>
      </c>
      <c r="BG378" s="232" t="str">
        <f>IF($AY378="Yes",'8. Option Codes Decrypted'!$C$23,"")</f>
        <v/>
      </c>
    </row>
    <row r="379" spans="1:59" s="232" customFormat="1" x14ac:dyDescent="0.25">
      <c r="A379" s="232" t="str">
        <f t="shared" si="67"/>
        <v/>
      </c>
      <c r="B379" s="358" t="str">
        <f t="shared" si="64"/>
        <v>591-62201</v>
      </c>
      <c r="C379" s="358" t="str">
        <f t="shared" ref="C379:C402" si="72">IF(AS379&lt;&gt;"",AS379,"")</f>
        <v/>
      </c>
      <c r="D379" s="358"/>
      <c r="E379" s="358">
        <f t="shared" si="65"/>
        <v>2</v>
      </c>
      <c r="F379" s="232" t="s">
        <v>426</v>
      </c>
      <c r="G379" s="241">
        <v>45216</v>
      </c>
      <c r="H379" s="264"/>
      <c r="I379" s="264"/>
      <c r="J379" s="264" t="s">
        <v>504</v>
      </c>
      <c r="K379" s="264" t="s">
        <v>1295</v>
      </c>
      <c r="L379" s="264" t="s">
        <v>1384</v>
      </c>
      <c r="M379" s="277" t="s">
        <v>510</v>
      </c>
      <c r="N379" s="277"/>
      <c r="O379" s="294"/>
      <c r="P379" s="294"/>
      <c r="Q379" s="294"/>
      <c r="R379" s="329" t="str">
        <f t="shared" si="66"/>
        <v>. Seat Control &amp; Memory Module, w/o Comfort Seat - FRONT LEFT</v>
      </c>
      <c r="S379" s="329"/>
      <c r="T379" s="277"/>
      <c r="U379" s="278"/>
      <c r="V379" s="277"/>
      <c r="W379" s="278"/>
      <c r="X379" s="278"/>
      <c r="Y379" s="278"/>
      <c r="Z379" s="264" t="s">
        <v>1392</v>
      </c>
      <c r="AA379" s="264" t="s">
        <v>1393</v>
      </c>
      <c r="AB379" s="264"/>
      <c r="AC379" s="278" t="s">
        <v>449</v>
      </c>
      <c r="AD379" s="264" t="s">
        <v>1387</v>
      </c>
      <c r="AE379" s="264"/>
      <c r="AF379" s="252" t="s">
        <v>434</v>
      </c>
      <c r="AG379" s="247"/>
      <c r="AH379" s="248" t="s">
        <v>435</v>
      </c>
      <c r="AJ379" s="249"/>
      <c r="AK379" s="232" t="s">
        <v>1388</v>
      </c>
      <c r="AN379" s="233" t="s">
        <v>1277</v>
      </c>
      <c r="AO379" s="232" t="s">
        <v>411</v>
      </c>
      <c r="AP379" s="232">
        <v>62201</v>
      </c>
      <c r="AQ379" s="232" t="str">
        <f>CONCATENATE(AN379,AO379,AP379)</f>
        <v>591-62201</v>
      </c>
      <c r="AR379" s="232" t="s">
        <v>1394</v>
      </c>
      <c r="AX379" s="278"/>
      <c r="AY379" s="278"/>
      <c r="AZ379" s="232" t="str">
        <f>IF($AX379="Yes",'8. Option Codes Decrypted'!$C$15,"")</f>
        <v/>
      </c>
      <c r="BA379" s="232" t="str">
        <f>IF($AX379="Yes",'8. Option Codes Decrypted'!$C$16,"")</f>
        <v/>
      </c>
      <c r="BB379" s="232" t="str">
        <f>IF($AX379="Yes",'8. Option Codes Decrypted'!$C$17,"")</f>
        <v/>
      </c>
      <c r="BC379" s="232" t="str">
        <f>IF($AX379="Yes",'8. Option Codes Decrypted'!$C$18,"")</f>
        <v/>
      </c>
      <c r="BD379" s="232" t="str">
        <f>IF($AY379="Yes",'8. Option Codes Decrypted'!$C$20,"")</f>
        <v/>
      </c>
      <c r="BE379" s="232" t="str">
        <f>IF($AY379="Yes",'8. Option Codes Decrypted'!$C$21,"")</f>
        <v/>
      </c>
      <c r="BF379" s="232" t="str">
        <f>IF($AY379="Yes",'8. Option Codes Decrypted'!$C$22,"")</f>
        <v/>
      </c>
      <c r="BG379" s="232" t="str">
        <f>IF($AY379="Yes",'8. Option Codes Decrypted'!$C$23,"")</f>
        <v/>
      </c>
    </row>
    <row r="380" spans="1:59" s="232" customFormat="1" x14ac:dyDescent="0.25">
      <c r="A380" s="232" t="str">
        <f t="shared" si="67"/>
        <v/>
      </c>
      <c r="B380" s="358" t="str">
        <f t="shared" si="64"/>
        <v>591-62201</v>
      </c>
      <c r="C380" s="358" t="str">
        <f t="shared" si="72"/>
        <v/>
      </c>
      <c r="D380" s="358"/>
      <c r="E380" s="358">
        <f t="shared" si="65"/>
        <v>2</v>
      </c>
      <c r="F380" s="232" t="s">
        <v>426</v>
      </c>
      <c r="G380" s="241">
        <v>45216</v>
      </c>
      <c r="H380" s="264"/>
      <c r="I380" s="264"/>
      <c r="J380" s="264" t="s">
        <v>504</v>
      </c>
      <c r="K380" s="264" t="s">
        <v>1295</v>
      </c>
      <c r="L380" s="264" t="s">
        <v>1384</v>
      </c>
      <c r="M380" s="277" t="s">
        <v>510</v>
      </c>
      <c r="N380" s="277"/>
      <c r="O380" s="294"/>
      <c r="P380" s="294"/>
      <c r="Q380" s="294"/>
      <c r="R380" s="329" t="str">
        <f t="shared" si="66"/>
        <v>. Seat Control &amp; Memory Module, w/o Comfort Seat - FRONT RIGHT</v>
      </c>
      <c r="S380" s="329"/>
      <c r="T380" s="277"/>
      <c r="U380" s="278"/>
      <c r="V380" s="277"/>
      <c r="W380" s="278"/>
      <c r="X380" s="278"/>
      <c r="Y380" s="278"/>
      <c r="Z380" s="264" t="s">
        <v>1395</v>
      </c>
      <c r="AA380" s="264" t="s">
        <v>1393</v>
      </c>
      <c r="AB380" s="264"/>
      <c r="AC380" s="278" t="s">
        <v>449</v>
      </c>
      <c r="AD380" s="264" t="s">
        <v>1387</v>
      </c>
      <c r="AE380" s="264"/>
      <c r="AF380" s="252" t="s">
        <v>434</v>
      </c>
      <c r="AG380" s="247"/>
      <c r="AH380" s="248" t="s">
        <v>435</v>
      </c>
      <c r="AJ380" s="249"/>
      <c r="AK380" s="232" t="s">
        <v>1388</v>
      </c>
      <c r="AN380" s="233" t="s">
        <v>1277</v>
      </c>
      <c r="AO380" s="232" t="s">
        <v>411</v>
      </c>
      <c r="AP380" s="232">
        <v>62201</v>
      </c>
      <c r="AQ380" s="232" t="str">
        <f>CONCATENATE(AN380,AO380,AP380)</f>
        <v>591-62201</v>
      </c>
      <c r="AR380" s="232" t="s">
        <v>1394</v>
      </c>
      <c r="AX380" s="278"/>
      <c r="AY380" s="278"/>
      <c r="AZ380" s="232" t="str">
        <f>IF($AX380="Yes",'8. Option Codes Decrypted'!$C$15,"")</f>
        <v/>
      </c>
      <c r="BA380" s="232" t="str">
        <f>IF($AX380="Yes",'8. Option Codes Decrypted'!$C$16,"")</f>
        <v/>
      </c>
      <c r="BB380" s="232" t="str">
        <f>IF($AX380="Yes",'8. Option Codes Decrypted'!$C$17,"")</f>
        <v/>
      </c>
      <c r="BC380" s="232" t="str">
        <f>IF($AX380="Yes",'8. Option Codes Decrypted'!$C$18,"")</f>
        <v/>
      </c>
      <c r="BD380" s="232" t="str">
        <f>IF($AY380="Yes",'8. Option Codes Decrypted'!$C$20,"")</f>
        <v/>
      </c>
      <c r="BE380" s="232" t="str">
        <f>IF($AY380="Yes",'8. Option Codes Decrypted'!$C$21,"")</f>
        <v/>
      </c>
      <c r="BF380" s="232" t="str">
        <f>IF($AY380="Yes",'8. Option Codes Decrypted'!$C$22,"")</f>
        <v/>
      </c>
      <c r="BG380" s="232" t="str">
        <f>IF($AY380="Yes",'8. Option Codes Decrypted'!$C$23,"")</f>
        <v/>
      </c>
    </row>
    <row r="381" spans="1:59" s="232" customFormat="1" ht="15.75" thickBot="1" x14ac:dyDescent="0.3">
      <c r="A381" s="232" t="str">
        <f t="shared" si="67"/>
        <v/>
      </c>
      <c r="B381" s="358" t="str">
        <f t="shared" si="64"/>
        <v>591-74065</v>
      </c>
      <c r="C381" s="358" t="str">
        <f t="shared" si="72"/>
        <v/>
      </c>
      <c r="D381" s="358"/>
      <c r="E381" s="358">
        <f t="shared" si="65"/>
        <v>1</v>
      </c>
      <c r="F381" s="232" t="s">
        <v>426</v>
      </c>
      <c r="G381" s="241">
        <v>44684</v>
      </c>
      <c r="H381" s="268"/>
      <c r="I381" s="235"/>
      <c r="J381" s="250" t="s">
        <v>427</v>
      </c>
      <c r="K381" s="250" t="s">
        <v>1295</v>
      </c>
      <c r="L381" s="250" t="s">
        <v>1365</v>
      </c>
      <c r="M381" s="254" t="s">
        <v>510</v>
      </c>
      <c r="N381" s="254"/>
      <c r="O381" s="287"/>
      <c r="P381" s="287"/>
      <c r="Q381" s="287"/>
      <c r="R381" s="286" t="str">
        <f t="shared" si="66"/>
        <v>. Surround View Camera Control Module</v>
      </c>
      <c r="S381" s="286"/>
      <c r="T381" s="254"/>
      <c r="U381" s="244"/>
      <c r="V381" s="254"/>
      <c r="W381" s="244"/>
      <c r="X381" s="244"/>
      <c r="Y381" s="244"/>
      <c r="Z381" s="250" t="s">
        <v>1396</v>
      </c>
      <c r="AA381" s="250"/>
      <c r="AB381" s="250" t="s">
        <v>1397</v>
      </c>
      <c r="AC381" s="244" t="s">
        <v>449</v>
      </c>
      <c r="AD381" s="250"/>
      <c r="AE381" s="250">
        <v>115</v>
      </c>
      <c r="AF381" s="252" t="s">
        <v>434</v>
      </c>
      <c r="AG381" s="247"/>
      <c r="AH381" s="248" t="s">
        <v>435</v>
      </c>
      <c r="AJ381" s="249"/>
      <c r="AK381" s="232" t="s">
        <v>1398</v>
      </c>
      <c r="AL381" s="232" t="s">
        <v>1399</v>
      </c>
      <c r="AN381" s="233" t="s">
        <v>1277</v>
      </c>
      <c r="AO381" s="232" t="s">
        <v>411</v>
      </c>
      <c r="AP381" s="232">
        <v>74065</v>
      </c>
      <c r="AQ381" s="232" t="str">
        <f t="shared" si="71"/>
        <v>591-74065</v>
      </c>
      <c r="AX381" s="244"/>
      <c r="AY381" s="244"/>
      <c r="AZ381" s="232" t="str">
        <f>IF($AX381="Yes",'8. Option Codes Decrypted'!$C$15,"")</f>
        <v/>
      </c>
      <c r="BA381" s="232" t="str">
        <f>IF($AX381="Yes",'8. Option Codes Decrypted'!$C$16,"")</f>
        <v/>
      </c>
      <c r="BB381" s="232" t="str">
        <f>IF($AX381="Yes",'8. Option Codes Decrypted'!$C$17,"")</f>
        <v/>
      </c>
      <c r="BC381" s="232" t="str">
        <f>IF($AX381="Yes",'8. Option Codes Decrypted'!$C$18,"")</f>
        <v/>
      </c>
      <c r="BD381" s="232" t="str">
        <f>IF($AY381="Yes",'8. Option Codes Decrypted'!$C$20,"")</f>
        <v/>
      </c>
      <c r="BE381" s="232" t="str">
        <f>IF($AY381="Yes",'8. Option Codes Decrypted'!$C$21,"")</f>
        <v/>
      </c>
      <c r="BF381" s="232" t="str">
        <f>IF($AY381="Yes",'8. Option Codes Decrypted'!$C$22,"")</f>
        <v/>
      </c>
      <c r="BG381" s="232" t="str">
        <f>IF($AY381="Yes",'8. Option Codes Decrypted'!$C$23,"")</f>
        <v/>
      </c>
    </row>
    <row r="382" spans="1:59" s="232" customFormat="1" ht="15.75" thickBot="1" x14ac:dyDescent="0.3">
      <c r="A382" s="232" t="str">
        <f t="shared" si="67"/>
        <v>A77</v>
      </c>
      <c r="B382" s="358" t="str">
        <f t="shared" si="64"/>
        <v>591-74058</v>
      </c>
      <c r="C382" s="358" t="str">
        <f t="shared" si="72"/>
        <v/>
      </c>
      <c r="D382" s="358"/>
      <c r="E382" s="358">
        <f t="shared" si="65"/>
        <v>1</v>
      </c>
      <c r="F382" s="232" t="s">
        <v>426</v>
      </c>
      <c r="G382" s="241">
        <v>44684</v>
      </c>
      <c r="H382" s="250"/>
      <c r="I382" s="250"/>
      <c r="J382" s="250" t="s">
        <v>427</v>
      </c>
      <c r="K382" s="250" t="s">
        <v>1295</v>
      </c>
      <c r="L382" s="250" t="s">
        <v>1295</v>
      </c>
      <c r="M382" s="254" t="s">
        <v>510</v>
      </c>
      <c r="N382" s="254">
        <v>67</v>
      </c>
      <c r="O382" s="287" t="s">
        <v>321</v>
      </c>
      <c r="P382" s="287" t="s">
        <v>1107</v>
      </c>
      <c r="Q382" s="287">
        <v>1</v>
      </c>
      <c r="R382" s="286" t="str">
        <f t="shared" si="66"/>
        <v>A77. Tailgate Trunk Control Module</v>
      </c>
      <c r="S382" s="365" t="str">
        <f>HYPERLINK(VLOOKUP(O382,'3D. Pictures'!$B$3:$E$500,4,FALSE),"PIC")</f>
        <v>PIC</v>
      </c>
      <c r="T382" s="254">
        <v>3</v>
      </c>
      <c r="U382" s="244" t="s">
        <v>1400</v>
      </c>
      <c r="V382" s="254" t="s">
        <v>81</v>
      </c>
      <c r="W382" s="244"/>
      <c r="X382" s="244"/>
      <c r="Y382" s="244"/>
      <c r="Z382" s="250" t="s">
        <v>1401</v>
      </c>
      <c r="AA382" s="250"/>
      <c r="AB382" s="250"/>
      <c r="AC382" s="244" t="s">
        <v>449</v>
      </c>
      <c r="AD382" s="250"/>
      <c r="AE382" s="250">
        <v>135</v>
      </c>
      <c r="AF382" s="252" t="s">
        <v>434</v>
      </c>
      <c r="AG382" s="247"/>
      <c r="AH382" s="248" t="s">
        <v>435</v>
      </c>
      <c r="AJ382" s="249"/>
      <c r="AK382" s="232" t="s">
        <v>1402</v>
      </c>
      <c r="AN382" s="233" t="s">
        <v>1277</v>
      </c>
      <c r="AO382" s="232" t="s">
        <v>411</v>
      </c>
      <c r="AP382" s="232">
        <v>74058</v>
      </c>
      <c r="AQ382" s="232" t="str">
        <f t="shared" si="71"/>
        <v>591-74058</v>
      </c>
      <c r="AX382" s="244"/>
      <c r="AY382" s="244"/>
      <c r="AZ382" s="232" t="str">
        <f>IF($AX382="Yes",'8. Option Codes Decrypted'!$C$15,"")</f>
        <v/>
      </c>
      <c r="BA382" s="232" t="str">
        <f>IF($AX382="Yes",'8. Option Codes Decrypted'!$C$16,"")</f>
        <v/>
      </c>
      <c r="BB382" s="232" t="str">
        <f>IF($AX382="Yes",'8. Option Codes Decrypted'!$C$17,"")</f>
        <v/>
      </c>
      <c r="BC382" s="232" t="str">
        <f>IF($AX382="Yes",'8. Option Codes Decrypted'!$C$18,"")</f>
        <v/>
      </c>
      <c r="BD382" s="232" t="str">
        <f>IF($AY382="Yes",'8. Option Codes Decrypted'!$C$20,"")</f>
        <v/>
      </c>
      <c r="BE382" s="232" t="str">
        <f>IF($AY382="Yes",'8. Option Codes Decrypted'!$C$21,"")</f>
        <v/>
      </c>
      <c r="BF382" s="232" t="str">
        <f>IF($AY382="Yes",'8. Option Codes Decrypted'!$C$22,"")</f>
        <v/>
      </c>
      <c r="BG382" s="232" t="str">
        <f>IF($AY382="Yes",'8. Option Codes Decrypted'!$C$23,"")</f>
        <v/>
      </c>
    </row>
    <row r="383" spans="1:59" s="232" customFormat="1" x14ac:dyDescent="0.25">
      <c r="A383" s="232" t="str">
        <f t="shared" si="67"/>
        <v/>
      </c>
      <c r="B383" s="358" t="str">
        <f t="shared" si="64"/>
        <v>591-74038</v>
      </c>
      <c r="C383" s="358" t="str">
        <f t="shared" si="72"/>
        <v/>
      </c>
      <c r="D383" s="358"/>
      <c r="E383" s="358">
        <f t="shared" si="65"/>
        <v>1</v>
      </c>
      <c r="F383" s="232" t="s">
        <v>426</v>
      </c>
      <c r="G383" s="241">
        <v>45216</v>
      </c>
      <c r="H383" s="264"/>
      <c r="I383" s="264"/>
      <c r="J383" s="264" t="s">
        <v>504</v>
      </c>
      <c r="K383" s="264" t="s">
        <v>1295</v>
      </c>
      <c r="L383" s="264" t="s">
        <v>1403</v>
      </c>
      <c r="M383" s="277" t="s">
        <v>510</v>
      </c>
      <c r="N383" s="277"/>
      <c r="O383" s="294"/>
      <c r="P383" s="294"/>
      <c r="Q383" s="294"/>
      <c r="R383" s="286" t="str">
        <f t="shared" si="66"/>
        <v>. Telematics Communication Control Module</v>
      </c>
      <c r="S383" s="286"/>
      <c r="T383" s="277"/>
      <c r="U383" s="278"/>
      <c r="V383" s="277"/>
      <c r="W383" s="278"/>
      <c r="X383" s="278"/>
      <c r="Y383" s="278"/>
      <c r="Z383" s="264" t="s">
        <v>1404</v>
      </c>
      <c r="AA383" s="264"/>
      <c r="AB383" s="264"/>
      <c r="AC383" s="278" t="s">
        <v>449</v>
      </c>
      <c r="AD383" s="264"/>
      <c r="AE383" s="264"/>
      <c r="AF383" s="279" t="s">
        <v>434</v>
      </c>
      <c r="AG383" s="280"/>
      <c r="AH383" s="248" t="s">
        <v>435</v>
      </c>
      <c r="AJ383" s="281"/>
      <c r="AK383" s="232" t="s">
        <v>1405</v>
      </c>
      <c r="AN383" s="233" t="s">
        <v>1277</v>
      </c>
      <c r="AO383" s="232" t="s">
        <v>411</v>
      </c>
      <c r="AP383" s="232">
        <v>74038</v>
      </c>
      <c r="AQ383" s="232" t="str">
        <f t="shared" si="71"/>
        <v>591-74038</v>
      </c>
      <c r="AX383" s="278"/>
      <c r="AY383" s="278"/>
      <c r="AZ383" s="232" t="str">
        <f>IF($AX383="Yes",'8. Option Codes Decrypted'!$C$15,"")</f>
        <v/>
      </c>
      <c r="BA383" s="232" t="str">
        <f>IF($AX383="Yes",'8. Option Codes Decrypted'!$C$16,"")</f>
        <v/>
      </c>
      <c r="BB383" s="232" t="str">
        <f>IF($AX383="Yes",'8. Option Codes Decrypted'!$C$17,"")</f>
        <v/>
      </c>
      <c r="BC383" s="232" t="str">
        <f>IF($AX383="Yes",'8. Option Codes Decrypted'!$C$18,"")</f>
        <v/>
      </c>
      <c r="BD383" s="232" t="str">
        <f>IF($AY383="Yes",'8. Option Codes Decrypted'!$C$20,"")</f>
        <v/>
      </c>
      <c r="BE383" s="232" t="str">
        <f>IF($AY383="Yes",'8. Option Codes Decrypted'!$C$21,"")</f>
        <v/>
      </c>
      <c r="BF383" s="232" t="str">
        <f>IF($AY383="Yes",'8. Option Codes Decrypted'!$C$22,"")</f>
        <v/>
      </c>
      <c r="BG383" s="232" t="str">
        <f>IF($AY383="Yes",'8. Option Codes Decrypted'!$C$23,"")</f>
        <v/>
      </c>
    </row>
    <row r="384" spans="1:59" ht="15.75" thickBot="1" x14ac:dyDescent="0.3">
      <c r="A384" s="232" t="str">
        <f t="shared" si="67"/>
        <v/>
      </c>
      <c r="B384" s="358" t="str">
        <f t="shared" si="64"/>
        <v/>
      </c>
      <c r="C384" s="358" t="str">
        <f t="shared" si="72"/>
        <v/>
      </c>
      <c r="D384" s="358"/>
      <c r="E384" s="358" t="str">
        <f t="shared" si="65"/>
        <v/>
      </c>
      <c r="F384" t="s">
        <v>508</v>
      </c>
      <c r="G384" s="230">
        <v>44922</v>
      </c>
      <c r="H384" s="16"/>
      <c r="I384" s="16"/>
      <c r="J384" s="16" t="s">
        <v>427</v>
      </c>
      <c r="K384" s="16" t="s">
        <v>1295</v>
      </c>
      <c r="L384" s="16" t="s">
        <v>1406</v>
      </c>
      <c r="M384" s="231" t="s">
        <v>510</v>
      </c>
      <c r="N384" s="231"/>
      <c r="O384" s="288"/>
      <c r="P384" s="288"/>
      <c r="Q384" s="288"/>
      <c r="R384" s="286" t="str">
        <f t="shared" si="66"/>
        <v xml:space="preserve">. Towing Control Module </v>
      </c>
      <c r="S384" s="286"/>
      <c r="T384" s="231"/>
      <c r="U384" s="193"/>
      <c r="V384" s="231"/>
      <c r="W384" s="193"/>
      <c r="X384" s="193"/>
      <c r="Y384" s="193"/>
      <c r="Z384" s="16" t="s">
        <v>1406</v>
      </c>
      <c r="AA384" s="16" t="s">
        <v>1406</v>
      </c>
      <c r="AB384" s="16" t="s">
        <v>1406</v>
      </c>
      <c r="AC384" s="193" t="s">
        <v>449</v>
      </c>
      <c r="AD384" s="16"/>
      <c r="AE384" s="16">
        <v>150</v>
      </c>
      <c r="AF384" s="99" t="s">
        <v>434</v>
      </c>
      <c r="AH384" s="3" t="s">
        <v>435</v>
      </c>
      <c r="AJ384" s="69"/>
      <c r="AK384" t="s">
        <v>1407</v>
      </c>
      <c r="AO384" t="s">
        <v>411</v>
      </c>
      <c r="AX384" s="193"/>
      <c r="AY384" s="193"/>
      <c r="AZ384" s="232" t="str">
        <f>IF($AX384="Yes",'8. Option Codes Decrypted'!$C$15,"")</f>
        <v/>
      </c>
      <c r="BA384" s="232" t="str">
        <f>IF($AX384="Yes",'8. Option Codes Decrypted'!$C$16,"")</f>
        <v/>
      </c>
      <c r="BB384" s="232" t="str">
        <f>IF($AX384="Yes",'8. Option Codes Decrypted'!$C$17,"")</f>
        <v/>
      </c>
      <c r="BC384" s="232" t="str">
        <f>IF($AX384="Yes",'8. Option Codes Decrypted'!$C$18,"")</f>
        <v/>
      </c>
      <c r="BD384" s="232" t="str">
        <f>IF($AY384="Yes",'8. Option Codes Decrypted'!$C$20,"")</f>
        <v/>
      </c>
      <c r="BE384" s="232" t="str">
        <f>IF($AY384="Yes",'8. Option Codes Decrypted'!$C$21,"")</f>
        <v/>
      </c>
      <c r="BF384" s="232" t="str">
        <f>IF($AY384="Yes",'8. Option Codes Decrypted'!$C$22,"")</f>
        <v/>
      </c>
      <c r="BG384" s="232" t="str">
        <f>IF($AY384="Yes",'8. Option Codes Decrypted'!$C$23,"")</f>
        <v/>
      </c>
    </row>
    <row r="385" spans="1:59" s="232" customFormat="1" ht="15.75" thickBot="1" x14ac:dyDescent="0.3">
      <c r="A385" s="232" t="str">
        <f t="shared" si="67"/>
        <v>A75</v>
      </c>
      <c r="B385" s="358" t="str">
        <f t="shared" si="64"/>
        <v>660-50116</v>
      </c>
      <c r="C385" s="358" t="str">
        <f t="shared" si="72"/>
        <v/>
      </c>
      <c r="D385" s="358"/>
      <c r="E385" s="358">
        <f t="shared" si="65"/>
        <v>1</v>
      </c>
      <c r="F385" s="232" t="s">
        <v>426</v>
      </c>
      <c r="G385" s="241">
        <v>45216</v>
      </c>
      <c r="H385" s="250"/>
      <c r="I385" s="250"/>
      <c r="J385" s="250" t="s">
        <v>427</v>
      </c>
      <c r="K385" s="250" t="s">
        <v>1295</v>
      </c>
      <c r="L385" s="250" t="s">
        <v>1295</v>
      </c>
      <c r="M385" s="254" t="s">
        <v>510</v>
      </c>
      <c r="N385" s="254">
        <v>65</v>
      </c>
      <c r="O385" s="287" t="s">
        <v>319</v>
      </c>
      <c r="P385" s="287" t="s">
        <v>1107</v>
      </c>
      <c r="Q385" s="287">
        <v>1</v>
      </c>
      <c r="R385" s="286" t="str">
        <f t="shared" si="66"/>
        <v>A75. Voltage Converter Control Module</v>
      </c>
      <c r="S385" s="365" t="str">
        <f>HYPERLINK(VLOOKUP(O385,'3D. Pictures'!$B$3:$E$500,4,FALSE),"PIC")</f>
        <v>PIC</v>
      </c>
      <c r="T385" s="254">
        <v>4</v>
      </c>
      <c r="U385" s="244" t="s">
        <v>1408</v>
      </c>
      <c r="V385" s="254" t="s">
        <v>81</v>
      </c>
      <c r="W385" s="244"/>
      <c r="X385" s="244"/>
      <c r="Y385" s="244"/>
      <c r="Z385" s="250" t="s">
        <v>1409</v>
      </c>
      <c r="AA385" s="250"/>
      <c r="AB385" s="250"/>
      <c r="AC385" s="244" t="s">
        <v>449</v>
      </c>
      <c r="AD385" s="250"/>
      <c r="AE385" s="250">
        <v>85</v>
      </c>
      <c r="AF385" s="252" t="s">
        <v>434</v>
      </c>
      <c r="AG385" s="247"/>
      <c r="AH385" s="248" t="s">
        <v>435</v>
      </c>
      <c r="AJ385" s="249"/>
      <c r="AK385" s="232" t="s">
        <v>1410</v>
      </c>
      <c r="AL385" s="232">
        <v>61429329336</v>
      </c>
      <c r="AN385" s="233" t="s">
        <v>1411</v>
      </c>
      <c r="AO385" s="232" t="s">
        <v>411</v>
      </c>
      <c r="AP385" s="232">
        <v>50116</v>
      </c>
      <c r="AQ385" s="232" t="str">
        <f>CONCATENATE(AN385,AO385,AP385)</f>
        <v>660-50116</v>
      </c>
      <c r="AX385" s="244"/>
      <c r="AY385" s="244"/>
      <c r="AZ385" s="232" t="str">
        <f>IF($AX385="Yes",'8. Option Codes Decrypted'!$C$15,"")</f>
        <v/>
      </c>
      <c r="BA385" s="232" t="str">
        <f>IF($AX385="Yes",'8. Option Codes Decrypted'!$C$16,"")</f>
        <v/>
      </c>
      <c r="BB385" s="232" t="str">
        <f>IF($AX385="Yes",'8. Option Codes Decrypted'!$C$17,"")</f>
        <v/>
      </c>
      <c r="BC385" s="232" t="str">
        <f>IF($AX385="Yes",'8. Option Codes Decrypted'!$C$18,"")</f>
        <v/>
      </c>
      <c r="BD385" s="232" t="str">
        <f>IF($AY385="Yes",'8. Option Codes Decrypted'!$C$20,"")</f>
        <v/>
      </c>
      <c r="BE385" s="232" t="str">
        <f>IF($AY385="Yes",'8. Option Codes Decrypted'!$C$21,"")</f>
        <v/>
      </c>
      <c r="BF385" s="232" t="str">
        <f>IF($AY385="Yes",'8. Option Codes Decrypted'!$C$22,"")</f>
        <v/>
      </c>
      <c r="BG385" s="232" t="str">
        <f>IF($AY385="Yes",'8. Option Codes Decrypted'!$C$23,"")</f>
        <v/>
      </c>
    </row>
    <row r="386" spans="1:59" x14ac:dyDescent="0.25">
      <c r="A386" s="232" t="str">
        <f t="shared" si="67"/>
        <v/>
      </c>
      <c r="B386" s="358" t="str">
        <f t="shared" si="64"/>
        <v/>
      </c>
      <c r="C386" s="358" t="str">
        <f t="shared" si="72"/>
        <v/>
      </c>
      <c r="D386" s="358"/>
      <c r="E386" s="358" t="str">
        <f t="shared" si="65"/>
        <v/>
      </c>
      <c r="F386" t="s">
        <v>426</v>
      </c>
      <c r="G386" s="230">
        <v>44684</v>
      </c>
      <c r="H386" s="176"/>
      <c r="I386" s="203"/>
      <c r="J386" s="10" t="s">
        <v>504</v>
      </c>
      <c r="K386" s="10" t="s">
        <v>1295</v>
      </c>
      <c r="L386" s="10" t="s">
        <v>1412</v>
      </c>
      <c r="M386" s="231" t="s">
        <v>510</v>
      </c>
      <c r="N386" s="231"/>
      <c r="O386" s="288"/>
      <c r="P386" s="288"/>
      <c r="Q386" s="288"/>
      <c r="R386" s="286" t="str">
        <f t="shared" si="66"/>
        <v>. Airbag Control Module, PRIMARY (plastic module w/ white on top and rest is black) (DO KEEP THE ALUMINUM MODULE THAT SAYS "AIRBAG" - HIGH $$)</v>
      </c>
      <c r="S386" s="286"/>
      <c r="T386" s="231"/>
      <c r="U386" s="193"/>
      <c r="V386" s="231"/>
      <c r="W386" s="193"/>
      <c r="X386" s="193"/>
      <c r="Y386" s="193"/>
      <c r="Z386" s="10" t="s">
        <v>1413</v>
      </c>
      <c r="AA386" s="10"/>
      <c r="AB386" s="10"/>
      <c r="AC386" s="193" t="s">
        <v>449</v>
      </c>
      <c r="AD386" s="16"/>
      <c r="AE386" s="10"/>
      <c r="AF386" s="200" t="s">
        <v>434</v>
      </c>
      <c r="AH386" s="3" t="s">
        <v>435</v>
      </c>
      <c r="AJ386" s="69"/>
      <c r="AK386" t="s">
        <v>1299</v>
      </c>
      <c r="AN386"/>
      <c r="AX386" s="193"/>
      <c r="AY386" s="193"/>
      <c r="AZ386" s="232" t="str">
        <f>IF($AX386="Yes",'8. Option Codes Decrypted'!$C$15,"")</f>
        <v/>
      </c>
      <c r="BA386" s="232" t="str">
        <f>IF($AX386="Yes",'8. Option Codes Decrypted'!$C$16,"")</f>
        <v/>
      </c>
      <c r="BB386" s="232" t="str">
        <f>IF($AX386="Yes",'8. Option Codes Decrypted'!$C$17,"")</f>
        <v/>
      </c>
      <c r="BC386" s="232" t="str">
        <f>IF($AX386="Yes",'8. Option Codes Decrypted'!$C$18,"")</f>
        <v/>
      </c>
      <c r="BD386" s="232" t="str">
        <f>IF($AY386="Yes",'8. Option Codes Decrypted'!$C$20,"")</f>
        <v/>
      </c>
      <c r="BE386" s="232" t="str">
        <f>IF($AY386="Yes",'8. Option Codes Decrypted'!$C$21,"")</f>
        <v/>
      </c>
      <c r="BF386" s="232" t="str">
        <f>IF($AY386="Yes",'8. Option Codes Decrypted'!$C$22,"")</f>
        <v/>
      </c>
      <c r="BG386" s="232" t="str">
        <f>IF($AY386="Yes",'8. Option Codes Decrypted'!$C$23,"")</f>
        <v/>
      </c>
    </row>
    <row r="387" spans="1:59" s="232" customFormat="1" x14ac:dyDescent="0.25">
      <c r="A387" s="232" t="str">
        <f t="shared" si="67"/>
        <v/>
      </c>
      <c r="B387" s="358" t="str">
        <f t="shared" si="64"/>
        <v/>
      </c>
      <c r="C387" s="358" t="str">
        <f t="shared" si="72"/>
        <v/>
      </c>
      <c r="D387" s="358"/>
      <c r="E387" s="358" t="str">
        <f t="shared" si="65"/>
        <v/>
      </c>
      <c r="F387" s="232" t="s">
        <v>426</v>
      </c>
      <c r="G387" s="241">
        <v>44684</v>
      </c>
      <c r="H387" s="274"/>
      <c r="I387" s="275"/>
      <c r="J387" s="264" t="s">
        <v>504</v>
      </c>
      <c r="K387" s="264" t="s">
        <v>1295</v>
      </c>
      <c r="L387" s="264" t="s">
        <v>1414</v>
      </c>
      <c r="M387" s="277" t="s">
        <v>510</v>
      </c>
      <c r="N387" s="277"/>
      <c r="O387" s="294"/>
      <c r="P387" s="294"/>
      <c r="Q387" s="294"/>
      <c r="R387" s="282" t="str">
        <f t="shared" si="66"/>
        <v>. Fuel Pump Control Module</v>
      </c>
      <c r="S387" s="282"/>
      <c r="T387" s="277"/>
      <c r="U387" s="278"/>
      <c r="V387" s="277"/>
      <c r="W387" s="278"/>
      <c r="X387" s="278"/>
      <c r="Y387" s="278"/>
      <c r="Z387" s="264" t="s">
        <v>1415</v>
      </c>
      <c r="AA387" s="264"/>
      <c r="AB387" s="264"/>
      <c r="AC387" s="244" t="s">
        <v>449</v>
      </c>
      <c r="AD387" s="250"/>
      <c r="AE387" s="264"/>
      <c r="AF387" s="279" t="s">
        <v>434</v>
      </c>
      <c r="AG387" s="247"/>
      <c r="AH387" s="248" t="s">
        <v>435</v>
      </c>
      <c r="AJ387" s="249"/>
      <c r="AK387" s="232" t="s">
        <v>1416</v>
      </c>
      <c r="AX387" s="278"/>
      <c r="AY387" s="278"/>
      <c r="AZ387" s="232" t="str">
        <f>IF($AX387="Yes",'8. Option Codes Decrypted'!$C$15,"")</f>
        <v/>
      </c>
      <c r="BA387" s="232" t="str">
        <f>IF($AX387="Yes",'8. Option Codes Decrypted'!$C$16,"")</f>
        <v/>
      </c>
      <c r="BB387" s="232" t="str">
        <f>IF($AX387="Yes",'8. Option Codes Decrypted'!$C$17,"")</f>
        <v/>
      </c>
      <c r="BC387" s="232" t="str">
        <f>IF($AX387="Yes",'8. Option Codes Decrypted'!$C$18,"")</f>
        <v/>
      </c>
      <c r="BD387" s="232" t="str">
        <f>IF($AY387="Yes",'8. Option Codes Decrypted'!$C$20,"")</f>
        <v/>
      </c>
      <c r="BE387" s="232" t="str">
        <f>IF($AY387="Yes",'8. Option Codes Decrypted'!$C$21,"")</f>
        <v/>
      </c>
      <c r="BF387" s="232" t="str">
        <f>IF($AY387="Yes",'8. Option Codes Decrypted'!$C$22,"")</f>
        <v/>
      </c>
      <c r="BG387" s="232" t="str">
        <f>IF($AY387="Yes",'8. Option Codes Decrypted'!$C$23,"")</f>
        <v/>
      </c>
    </row>
    <row r="388" spans="1:59" x14ac:dyDescent="0.25">
      <c r="A388" s="232" t="str">
        <f t="shared" si="67"/>
        <v/>
      </c>
      <c r="B388" s="358" t="str">
        <f t="shared" si="64"/>
        <v/>
      </c>
      <c r="C388" s="358" t="str">
        <f t="shared" si="72"/>
        <v/>
      </c>
      <c r="D388" s="358"/>
      <c r="E388" s="358" t="str">
        <f t="shared" si="65"/>
        <v/>
      </c>
      <c r="F388" t="s">
        <v>426</v>
      </c>
      <c r="G388" s="230">
        <v>44684</v>
      </c>
      <c r="H388" s="176"/>
      <c r="I388" s="203"/>
      <c r="J388" s="10" t="s">
        <v>504</v>
      </c>
      <c r="K388" s="10" t="s">
        <v>1295</v>
      </c>
      <c r="L388" s="10" t="s">
        <v>1417</v>
      </c>
      <c r="M388" s="16" t="s">
        <v>430</v>
      </c>
      <c r="N388" s="16"/>
      <c r="O388" s="191"/>
      <c r="P388" s="191"/>
      <c r="Q388" s="191"/>
      <c r="R388" s="286" t="str">
        <f t="shared" si="66"/>
        <v>. Antenna Amplifier Control Module, BACKUP one (it's square black plastic)</v>
      </c>
      <c r="S388" s="286"/>
      <c r="T388" s="16"/>
      <c r="U388" s="16"/>
      <c r="V388" s="16"/>
      <c r="W388" s="16"/>
      <c r="X388" s="16"/>
      <c r="Y388" s="16"/>
      <c r="Z388" s="10" t="s">
        <v>1417</v>
      </c>
      <c r="AA388" s="10" t="s">
        <v>1417</v>
      </c>
      <c r="AB388" s="10" t="s">
        <v>1417</v>
      </c>
      <c r="AC388" s="193" t="s">
        <v>449</v>
      </c>
      <c r="AD388" s="16"/>
      <c r="AE388" s="10"/>
      <c r="AF388" s="200" t="s">
        <v>434</v>
      </c>
      <c r="AH388" s="3" t="s">
        <v>435</v>
      </c>
      <c r="AJ388" s="69"/>
      <c r="AK388" t="s">
        <v>1418</v>
      </c>
      <c r="AN388"/>
      <c r="AX388" s="16"/>
      <c r="AY388" s="16"/>
      <c r="AZ388" s="232" t="str">
        <f>IF($AX388="Yes",'8. Option Codes Decrypted'!$C$15,"")</f>
        <v/>
      </c>
      <c r="BA388" s="232" t="str">
        <f>IF($AX388="Yes",'8. Option Codes Decrypted'!$C$16,"")</f>
        <v/>
      </c>
      <c r="BB388" s="232" t="str">
        <f>IF($AX388="Yes",'8. Option Codes Decrypted'!$C$17,"")</f>
        <v/>
      </c>
      <c r="BC388" s="232" t="str">
        <f>IF($AX388="Yes",'8. Option Codes Decrypted'!$C$18,"")</f>
        <v/>
      </c>
      <c r="BD388" s="232" t="str">
        <f>IF($AY388="Yes",'8. Option Codes Decrypted'!$C$20,"")</f>
        <v/>
      </c>
      <c r="BE388" s="232" t="str">
        <f>IF($AY388="Yes",'8. Option Codes Decrypted'!$C$21,"")</f>
        <v/>
      </c>
      <c r="BF388" s="232" t="str">
        <f>IF($AY388="Yes",'8. Option Codes Decrypted'!$C$22,"")</f>
        <v/>
      </c>
      <c r="BG388" s="232" t="str">
        <f>IF($AY388="Yes",'8. Option Codes Decrypted'!$C$23,"")</f>
        <v/>
      </c>
    </row>
    <row r="389" spans="1:59" x14ac:dyDescent="0.25">
      <c r="A389" s="232" t="str">
        <f t="shared" si="67"/>
        <v/>
      </c>
      <c r="B389" s="358" t="str">
        <f t="shared" si="64"/>
        <v/>
      </c>
      <c r="C389" s="358" t="str">
        <f t="shared" si="72"/>
        <v/>
      </c>
      <c r="D389" s="358"/>
      <c r="E389" s="358" t="str">
        <f t="shared" si="65"/>
        <v/>
      </c>
      <c r="F389" t="s">
        <v>426</v>
      </c>
      <c r="G389" s="230">
        <v>44684</v>
      </c>
      <c r="H389" s="176"/>
      <c r="I389" s="203"/>
      <c r="J389" s="10" t="s">
        <v>504</v>
      </c>
      <c r="K389" s="10" t="s">
        <v>1295</v>
      </c>
      <c r="L389" s="10" t="s">
        <v>1419</v>
      </c>
      <c r="M389" s="16" t="s">
        <v>430</v>
      </c>
      <c r="N389" s="16"/>
      <c r="O389" s="191"/>
      <c r="P389" s="191"/>
      <c r="Q389" s="191"/>
      <c r="R389" s="286" t="str">
        <f t="shared" si="66"/>
        <v>. Antenna Amplifier Control Module, PRIMARY one (it's rectangular black plastic)</v>
      </c>
      <c r="S389" s="286"/>
      <c r="T389" s="16"/>
      <c r="U389" s="16"/>
      <c r="V389" s="16"/>
      <c r="W389" s="16"/>
      <c r="X389" s="16"/>
      <c r="Y389" s="16"/>
      <c r="Z389" s="10" t="s">
        <v>1419</v>
      </c>
      <c r="AA389" s="10" t="s">
        <v>1419</v>
      </c>
      <c r="AB389" s="10" t="s">
        <v>1419</v>
      </c>
      <c r="AC389" s="193" t="s">
        <v>449</v>
      </c>
      <c r="AD389" s="16"/>
      <c r="AE389" s="10"/>
      <c r="AF389" s="200" t="s">
        <v>434</v>
      </c>
      <c r="AH389" s="3" t="s">
        <v>435</v>
      </c>
      <c r="AJ389" s="69"/>
      <c r="AK389" t="s">
        <v>1420</v>
      </c>
      <c r="AN389"/>
      <c r="AX389" s="16"/>
      <c r="AY389" s="16"/>
      <c r="AZ389" s="232" t="str">
        <f>IF($AX389="Yes",'8. Option Codes Decrypted'!$C$15,"")</f>
        <v/>
      </c>
      <c r="BA389" s="232" t="str">
        <f>IF($AX389="Yes",'8. Option Codes Decrypted'!$C$16,"")</f>
        <v/>
      </c>
      <c r="BB389" s="232" t="str">
        <f>IF($AX389="Yes",'8. Option Codes Decrypted'!$C$17,"")</f>
        <v/>
      </c>
      <c r="BC389" s="232" t="str">
        <f>IF($AX389="Yes",'8. Option Codes Decrypted'!$C$18,"")</f>
        <v/>
      </c>
      <c r="BD389" s="232" t="str">
        <f>IF($AY389="Yes",'8. Option Codes Decrypted'!$C$20,"")</f>
        <v/>
      </c>
      <c r="BE389" s="232" t="str">
        <f>IF($AY389="Yes",'8. Option Codes Decrypted'!$C$21,"")</f>
        <v/>
      </c>
      <c r="BF389" s="232" t="str">
        <f>IF($AY389="Yes",'8. Option Codes Decrypted'!$C$22,"")</f>
        <v/>
      </c>
      <c r="BG389" s="232" t="str">
        <f>IF($AY389="Yes",'8. Option Codes Decrypted'!$C$23,"")</f>
        <v/>
      </c>
    </row>
    <row r="390" spans="1:59" x14ac:dyDescent="0.25">
      <c r="A390" s="232" t="str">
        <f t="shared" si="67"/>
        <v/>
      </c>
      <c r="B390" s="358" t="str">
        <f t="shared" si="64"/>
        <v/>
      </c>
      <c r="C390" s="358" t="str">
        <f t="shared" si="72"/>
        <v/>
      </c>
      <c r="D390" s="358"/>
      <c r="E390" s="358" t="str">
        <f t="shared" si="65"/>
        <v/>
      </c>
      <c r="F390" t="s">
        <v>426</v>
      </c>
      <c r="G390" s="230">
        <v>44680</v>
      </c>
      <c r="H390" s="176"/>
      <c r="I390" s="203"/>
      <c r="J390" s="10" t="s">
        <v>504</v>
      </c>
      <c r="K390" s="10" t="s">
        <v>1295</v>
      </c>
      <c r="L390" s="10" t="s">
        <v>1421</v>
      </c>
      <c r="M390" s="16" t="s">
        <v>430</v>
      </c>
      <c r="N390" s="16"/>
      <c r="O390" s="191"/>
      <c r="P390" s="191"/>
      <c r="Q390" s="191"/>
      <c r="R390" s="286" t="str">
        <f t="shared" si="66"/>
        <v>. Antenna Noise Filter Control Module (mounted left rear roof - TOSS)</v>
      </c>
      <c r="S390" s="286"/>
      <c r="T390" s="16"/>
      <c r="U390" s="16"/>
      <c r="V390" s="16"/>
      <c r="W390" s="16"/>
      <c r="X390" s="16"/>
      <c r="Y390" s="16"/>
      <c r="Z390" s="10" t="s">
        <v>1421</v>
      </c>
      <c r="AA390" s="10" t="s">
        <v>1421</v>
      </c>
      <c r="AB390" s="10" t="s">
        <v>1421</v>
      </c>
      <c r="AC390" s="193" t="s">
        <v>449</v>
      </c>
      <c r="AD390" s="10"/>
      <c r="AE390" s="10"/>
      <c r="AF390" s="200" t="s">
        <v>434</v>
      </c>
      <c r="AH390" s="3" t="s">
        <v>435</v>
      </c>
      <c r="AJ390" s="69"/>
      <c r="AK390" t="s">
        <v>1422</v>
      </c>
      <c r="AN390"/>
      <c r="AX390" s="16"/>
      <c r="AY390" s="16"/>
      <c r="AZ390" s="232" t="str">
        <f>IF($AX390="Yes",'8. Option Codes Decrypted'!$C$15,"")</f>
        <v/>
      </c>
      <c r="BA390" s="232" t="str">
        <f>IF($AX390="Yes",'8. Option Codes Decrypted'!$C$16,"")</f>
        <v/>
      </c>
      <c r="BB390" s="232" t="str">
        <f>IF($AX390="Yes",'8. Option Codes Decrypted'!$C$17,"")</f>
        <v/>
      </c>
      <c r="BC390" s="232" t="str">
        <f>IF($AX390="Yes",'8. Option Codes Decrypted'!$C$18,"")</f>
        <v/>
      </c>
      <c r="BD390" s="232" t="str">
        <f>IF($AY390="Yes",'8. Option Codes Decrypted'!$C$20,"")</f>
        <v/>
      </c>
      <c r="BE390" s="232" t="str">
        <f>IF($AY390="Yes",'8. Option Codes Decrypted'!$C$21,"")</f>
        <v/>
      </c>
      <c r="BF390" s="232" t="str">
        <f>IF($AY390="Yes",'8. Option Codes Decrypted'!$C$22,"")</f>
        <v/>
      </c>
      <c r="BG390" s="232" t="str">
        <f>IF($AY390="Yes",'8. Option Codes Decrypted'!$C$23,"")</f>
        <v/>
      </c>
    </row>
    <row r="391" spans="1:59" x14ac:dyDescent="0.25">
      <c r="A391" s="232" t="str">
        <f t="shared" si="67"/>
        <v/>
      </c>
      <c r="B391" s="358" t="str">
        <f t="shared" ref="B391:B456" si="73">IF(AQ391&lt;&gt;"",AQ391,"")</f>
        <v/>
      </c>
      <c r="C391" s="358" t="str">
        <f t="shared" si="72"/>
        <v/>
      </c>
      <c r="D391" s="358"/>
      <c r="E391" s="358" t="str">
        <f t="shared" si="65"/>
        <v/>
      </c>
      <c r="F391" t="s">
        <v>426</v>
      </c>
      <c r="G391" s="230">
        <v>44684</v>
      </c>
      <c r="H391" s="176"/>
      <c r="I391" s="203"/>
      <c r="J391" s="10" t="s">
        <v>504</v>
      </c>
      <c r="K391" s="10" t="s">
        <v>1295</v>
      </c>
      <c r="L391" s="10" t="s">
        <v>1423</v>
      </c>
      <c r="M391" s="16" t="s">
        <v>430</v>
      </c>
      <c r="N391" s="16"/>
      <c r="O391" s="191"/>
      <c r="P391" s="191"/>
      <c r="Q391" s="191"/>
      <c r="R391" s="286" t="str">
        <f t="shared" si="66"/>
        <v>. Bus Interface Control Module (TOSS BOTH - look like ribbed black Legos…about same size too)</v>
      </c>
      <c r="S391" s="286"/>
      <c r="T391" s="16"/>
      <c r="U391" s="16"/>
      <c r="V391" s="16"/>
      <c r="W391" s="16"/>
      <c r="X391" s="16"/>
      <c r="Y391" s="16"/>
      <c r="Z391" s="10" t="s">
        <v>1423</v>
      </c>
      <c r="AA391" s="10" t="s">
        <v>1423</v>
      </c>
      <c r="AB391" s="10" t="s">
        <v>1423</v>
      </c>
      <c r="AC391" s="193" t="s">
        <v>449</v>
      </c>
      <c r="AD391" s="16"/>
      <c r="AE391" s="10"/>
      <c r="AF391" s="200" t="s">
        <v>434</v>
      </c>
      <c r="AH391" s="3" t="s">
        <v>435</v>
      </c>
      <c r="AJ391" s="69"/>
      <c r="AK391" t="s">
        <v>1424</v>
      </c>
      <c r="AN391"/>
      <c r="AX391" s="16"/>
      <c r="AY391" s="16"/>
      <c r="AZ391" s="232" t="str">
        <f>IF($AX391="Yes",'8. Option Codes Decrypted'!$C$15,"")</f>
        <v/>
      </c>
      <c r="BA391" s="232" t="str">
        <f>IF($AX391="Yes",'8. Option Codes Decrypted'!$C$16,"")</f>
        <v/>
      </c>
      <c r="BB391" s="232" t="str">
        <f>IF($AX391="Yes",'8. Option Codes Decrypted'!$C$17,"")</f>
        <v/>
      </c>
      <c r="BC391" s="232" t="str">
        <f>IF($AX391="Yes",'8. Option Codes Decrypted'!$C$18,"")</f>
        <v/>
      </c>
      <c r="BD391" s="232" t="str">
        <f>IF($AY391="Yes",'8. Option Codes Decrypted'!$C$20,"")</f>
        <v/>
      </c>
      <c r="BE391" s="232" t="str">
        <f>IF($AY391="Yes",'8. Option Codes Decrypted'!$C$21,"")</f>
        <v/>
      </c>
      <c r="BF391" s="232" t="str">
        <f>IF($AY391="Yes",'8. Option Codes Decrypted'!$C$22,"")</f>
        <v/>
      </c>
      <c r="BG391" s="232" t="str">
        <f>IF($AY391="Yes",'8. Option Codes Decrypted'!$C$23,"")</f>
        <v/>
      </c>
    </row>
    <row r="392" spans="1:59" x14ac:dyDescent="0.25">
      <c r="A392" s="232" t="str">
        <f t="shared" si="67"/>
        <v/>
      </c>
      <c r="B392" s="358" t="str">
        <f t="shared" si="73"/>
        <v/>
      </c>
      <c r="C392" s="358" t="str">
        <f t="shared" si="72"/>
        <v/>
      </c>
      <c r="D392" s="358"/>
      <c r="E392" s="358" t="str">
        <f t="shared" si="65"/>
        <v/>
      </c>
      <c r="F392" t="s">
        <v>426</v>
      </c>
      <c r="G392" s="230">
        <v>44684</v>
      </c>
      <c r="H392" s="176"/>
      <c r="I392" s="203"/>
      <c r="J392" s="10" t="s">
        <v>504</v>
      </c>
      <c r="K392" s="10" t="s">
        <v>1295</v>
      </c>
      <c r="L392" s="10" t="s">
        <v>1425</v>
      </c>
      <c r="M392" s="16" t="s">
        <v>430</v>
      </c>
      <c r="N392" s="16"/>
      <c r="O392" s="191"/>
      <c r="P392" s="191"/>
      <c r="Q392" s="191"/>
      <c r="R392" s="286" t="str">
        <f t="shared" si="66"/>
        <v>. Cooling Fan Relay Module</v>
      </c>
      <c r="S392" s="286"/>
      <c r="T392" s="16"/>
      <c r="U392" s="16"/>
      <c r="V392" s="16"/>
      <c r="W392" s="16"/>
      <c r="X392" s="16"/>
      <c r="Y392" s="16"/>
      <c r="Z392" s="10" t="s">
        <v>1425</v>
      </c>
      <c r="AA392" s="10" t="s">
        <v>1425</v>
      </c>
      <c r="AB392" s="10" t="s">
        <v>1425</v>
      </c>
      <c r="AC392" s="193" t="s">
        <v>449</v>
      </c>
      <c r="AD392" s="16"/>
      <c r="AE392" s="10"/>
      <c r="AF392" s="200" t="s">
        <v>434</v>
      </c>
      <c r="AH392" s="3" t="s">
        <v>435</v>
      </c>
      <c r="AJ392" s="69"/>
      <c r="AK392" t="s">
        <v>1426</v>
      </c>
      <c r="AN392"/>
      <c r="AX392" s="16"/>
      <c r="AY392" s="16"/>
      <c r="AZ392" s="232" t="str">
        <f>IF($AX392="Yes",'8. Option Codes Decrypted'!$C$15,"")</f>
        <v/>
      </c>
      <c r="BA392" s="232" t="str">
        <f>IF($AX392="Yes",'8. Option Codes Decrypted'!$C$16,"")</f>
        <v/>
      </c>
      <c r="BB392" s="232" t="str">
        <f>IF($AX392="Yes",'8. Option Codes Decrypted'!$C$17,"")</f>
        <v/>
      </c>
      <c r="BC392" s="232" t="str">
        <f>IF($AX392="Yes",'8. Option Codes Decrypted'!$C$18,"")</f>
        <v/>
      </c>
      <c r="BD392" s="232" t="str">
        <f>IF($AY392="Yes",'8. Option Codes Decrypted'!$C$20,"")</f>
        <v/>
      </c>
      <c r="BE392" s="232" t="str">
        <f>IF($AY392="Yes",'8. Option Codes Decrypted'!$C$21,"")</f>
        <v/>
      </c>
      <c r="BF392" s="232" t="str">
        <f>IF($AY392="Yes",'8. Option Codes Decrypted'!$C$22,"")</f>
        <v/>
      </c>
      <c r="BG392" s="232" t="str">
        <f>IF($AY392="Yes",'8. Option Codes Decrypted'!$C$23,"")</f>
        <v/>
      </c>
    </row>
    <row r="393" spans="1:59" x14ac:dyDescent="0.25">
      <c r="A393" s="232" t="str">
        <f t="shared" si="67"/>
        <v/>
      </c>
      <c r="B393" s="358" t="str">
        <f t="shared" si="73"/>
        <v/>
      </c>
      <c r="C393" s="358" t="str">
        <f t="shared" si="72"/>
        <v/>
      </c>
      <c r="D393" s="358"/>
      <c r="E393" s="358" t="str">
        <f t="shared" ref="E393:E456" si="74">IF(B393&lt;&gt;"",COUNTIF($B$9:$B$2175,B393),"")</f>
        <v/>
      </c>
      <c r="F393" t="s">
        <v>426</v>
      </c>
      <c r="G393" s="230">
        <v>44684</v>
      </c>
      <c r="H393" s="176"/>
      <c r="I393" s="203"/>
      <c r="J393" s="10" t="s">
        <v>504</v>
      </c>
      <c r="K393" s="10" t="s">
        <v>1295</v>
      </c>
      <c r="L393" s="10" t="s">
        <v>1427</v>
      </c>
      <c r="M393" s="16" t="s">
        <v>430</v>
      </c>
      <c r="N393" s="16"/>
      <c r="O393" s="191"/>
      <c r="P393" s="191"/>
      <c r="Q393" s="191"/>
      <c r="R393" s="286" t="str">
        <f t="shared" ref="R393:R458" si="75">CONCATENATE(O393,". ",Z393)</f>
        <v>. Crash Sensors (TOSS ALL on vehicle)</v>
      </c>
      <c r="S393" s="286"/>
      <c r="T393" s="16"/>
      <c r="U393" s="16"/>
      <c r="V393" s="16"/>
      <c r="W393" s="16"/>
      <c r="X393" s="16"/>
      <c r="Y393" s="16"/>
      <c r="Z393" s="10" t="s">
        <v>1427</v>
      </c>
      <c r="AA393" s="10" t="s">
        <v>1427</v>
      </c>
      <c r="AB393" s="10" t="s">
        <v>1427</v>
      </c>
      <c r="AC393" s="193" t="s">
        <v>449</v>
      </c>
      <c r="AD393" s="16"/>
      <c r="AE393" s="10"/>
      <c r="AF393" s="200" t="s">
        <v>434</v>
      </c>
      <c r="AH393" s="3" t="s">
        <v>435</v>
      </c>
      <c r="AJ393" s="69"/>
      <c r="AK393" t="s">
        <v>1428</v>
      </c>
      <c r="AN393"/>
      <c r="AX393" s="16"/>
      <c r="AY393" s="16"/>
      <c r="AZ393" s="232" t="str">
        <f>IF($AX393="Yes",'8. Option Codes Decrypted'!$C$15,"")</f>
        <v/>
      </c>
      <c r="BA393" s="232" t="str">
        <f>IF($AX393="Yes",'8. Option Codes Decrypted'!$C$16,"")</f>
        <v/>
      </c>
      <c r="BB393" s="232" t="str">
        <f>IF($AX393="Yes",'8. Option Codes Decrypted'!$C$17,"")</f>
        <v/>
      </c>
      <c r="BC393" s="232" t="str">
        <f>IF($AX393="Yes",'8. Option Codes Decrypted'!$C$18,"")</f>
        <v/>
      </c>
      <c r="BD393" s="232" t="str">
        <f>IF($AY393="Yes",'8. Option Codes Decrypted'!$C$20,"")</f>
        <v/>
      </c>
      <c r="BE393" s="232" t="str">
        <f>IF($AY393="Yes",'8. Option Codes Decrypted'!$C$21,"")</f>
        <v/>
      </c>
      <c r="BF393" s="232" t="str">
        <f>IF($AY393="Yes",'8. Option Codes Decrypted'!$C$22,"")</f>
        <v/>
      </c>
      <c r="BG393" s="232" t="str">
        <f>IF($AY393="Yes",'8. Option Codes Decrypted'!$C$23,"")</f>
        <v/>
      </c>
    </row>
    <row r="394" spans="1:59" x14ac:dyDescent="0.25">
      <c r="A394" s="232" t="str">
        <f t="shared" ref="A394:A457" si="76">IF(O394&lt;&gt;"",O394,"")</f>
        <v/>
      </c>
      <c r="B394" s="358" t="str">
        <f t="shared" si="73"/>
        <v/>
      </c>
      <c r="C394" s="358" t="str">
        <f t="shared" si="72"/>
        <v/>
      </c>
      <c r="D394" s="358"/>
      <c r="E394" s="358" t="str">
        <f t="shared" si="74"/>
        <v/>
      </c>
      <c r="F394" t="s">
        <v>426</v>
      </c>
      <c r="G394" s="230">
        <v>44684</v>
      </c>
      <c r="H394" s="176"/>
      <c r="I394" s="203"/>
      <c r="J394" s="10" t="s">
        <v>504</v>
      </c>
      <c r="K394" s="10" t="s">
        <v>1295</v>
      </c>
      <c r="L394" s="10" t="s">
        <v>1429</v>
      </c>
      <c r="M394" s="16" t="s">
        <v>430</v>
      </c>
      <c r="N394" s="16"/>
      <c r="O394" s="191"/>
      <c r="P394" s="191"/>
      <c r="Q394" s="191"/>
      <c r="R394" s="286" t="str">
        <f t="shared" si="75"/>
        <v>. Front Power Distribution Terminal Module (flat black plastic module 4x3" &amp; has 3 red wires going to it)</v>
      </c>
      <c r="S394" s="286"/>
      <c r="T394" s="16"/>
      <c r="U394" s="16"/>
      <c r="V394" s="16"/>
      <c r="W394" s="16"/>
      <c r="X394" s="16"/>
      <c r="Y394" s="16"/>
      <c r="Z394" s="10" t="s">
        <v>1429</v>
      </c>
      <c r="AA394" s="10" t="s">
        <v>1429</v>
      </c>
      <c r="AB394" s="10" t="s">
        <v>1429</v>
      </c>
      <c r="AC394" s="193" t="s">
        <v>449</v>
      </c>
      <c r="AD394" s="16"/>
      <c r="AE394" s="10"/>
      <c r="AF394" s="200" t="s">
        <v>434</v>
      </c>
      <c r="AH394" s="3" t="s">
        <v>435</v>
      </c>
      <c r="AJ394" s="69"/>
      <c r="AK394" t="s">
        <v>1430</v>
      </c>
      <c r="AN394" s="211"/>
      <c r="AO394" s="211"/>
      <c r="AP394" s="211"/>
      <c r="AQ394" s="211"/>
      <c r="AR394" s="211"/>
      <c r="AS394" s="211"/>
      <c r="AT394" s="211"/>
      <c r="AU394" s="211"/>
      <c r="AV394" s="211"/>
      <c r="AW394" s="211"/>
      <c r="AX394" s="16"/>
      <c r="AY394" s="16"/>
      <c r="AZ394" s="232" t="str">
        <f>IF($AX394="Yes",'8. Option Codes Decrypted'!$C$15,"")</f>
        <v/>
      </c>
      <c r="BA394" s="232" t="str">
        <f>IF($AX394="Yes",'8. Option Codes Decrypted'!$C$16,"")</f>
        <v/>
      </c>
      <c r="BB394" s="232" t="str">
        <f>IF($AX394="Yes",'8. Option Codes Decrypted'!$C$17,"")</f>
        <v/>
      </c>
      <c r="BC394" s="232" t="str">
        <f>IF($AX394="Yes",'8. Option Codes Decrypted'!$C$18,"")</f>
        <v/>
      </c>
      <c r="BD394" s="232" t="str">
        <f>IF($AY394="Yes",'8. Option Codes Decrypted'!$C$20,"")</f>
        <v/>
      </c>
      <c r="BE394" s="232" t="str">
        <f>IF($AY394="Yes",'8. Option Codes Decrypted'!$C$21,"")</f>
        <v/>
      </c>
      <c r="BF394" s="232" t="str">
        <f>IF($AY394="Yes",'8. Option Codes Decrypted'!$C$22,"")</f>
        <v/>
      </c>
      <c r="BG394" s="232" t="str">
        <f>IF($AY394="Yes",'8. Option Codes Decrypted'!$C$23,"")</f>
        <v/>
      </c>
    </row>
    <row r="395" spans="1:59" x14ac:dyDescent="0.25">
      <c r="A395" s="232" t="str">
        <f t="shared" si="76"/>
        <v/>
      </c>
      <c r="B395" s="358" t="str">
        <f t="shared" si="73"/>
        <v/>
      </c>
      <c r="C395" s="358" t="str">
        <f t="shared" si="72"/>
        <v/>
      </c>
      <c r="D395" s="358"/>
      <c r="E395" s="358" t="str">
        <f t="shared" si="74"/>
        <v/>
      </c>
      <c r="F395" t="s">
        <v>426</v>
      </c>
      <c r="G395" s="230">
        <v>44684</v>
      </c>
      <c r="H395" s="176"/>
      <c r="I395" s="203"/>
      <c r="J395" s="10" t="s">
        <v>504</v>
      </c>
      <c r="K395" s="10" t="s">
        <v>1295</v>
      </c>
      <c r="L395" s="10" t="s">
        <v>1431</v>
      </c>
      <c r="M395" s="16" t="s">
        <v>430</v>
      </c>
      <c r="N395" s="16"/>
      <c r="O395" s="191"/>
      <c r="P395" s="191"/>
      <c r="Q395" s="191"/>
      <c r="R395" s="286" t="str">
        <f t="shared" si="75"/>
        <v>. i-Drive Navigation / Radio Knob Control Module</v>
      </c>
      <c r="S395" s="286"/>
      <c r="T395" s="16"/>
      <c r="U395" s="16"/>
      <c r="V395" s="16"/>
      <c r="W395" s="16"/>
      <c r="X395" s="16"/>
      <c r="Y395" s="16"/>
      <c r="Z395" s="10" t="s">
        <v>1431</v>
      </c>
      <c r="AA395" s="10" t="s">
        <v>1431</v>
      </c>
      <c r="AB395" s="10" t="s">
        <v>1431</v>
      </c>
      <c r="AC395" s="193" t="s">
        <v>449</v>
      </c>
      <c r="AD395" s="16"/>
      <c r="AE395" s="10"/>
      <c r="AF395" s="200" t="s">
        <v>434</v>
      </c>
      <c r="AH395" s="3" t="s">
        <v>435</v>
      </c>
      <c r="AJ395" s="69"/>
      <c r="AK395" t="s">
        <v>1432</v>
      </c>
      <c r="AN395"/>
      <c r="AX395" s="16"/>
      <c r="AY395" s="16"/>
      <c r="AZ395" s="232" t="str">
        <f>IF($AX395="Yes",'8. Option Codes Decrypted'!$C$15,"")</f>
        <v/>
      </c>
      <c r="BA395" s="232" t="str">
        <f>IF($AX395="Yes",'8. Option Codes Decrypted'!$C$16,"")</f>
        <v/>
      </c>
      <c r="BB395" s="232" t="str">
        <f>IF($AX395="Yes",'8. Option Codes Decrypted'!$C$17,"")</f>
        <v/>
      </c>
      <c r="BC395" s="232" t="str">
        <f>IF($AX395="Yes",'8. Option Codes Decrypted'!$C$18,"")</f>
        <v/>
      </c>
      <c r="BD395" s="232" t="str">
        <f>IF($AY395="Yes",'8. Option Codes Decrypted'!$C$20,"")</f>
        <v/>
      </c>
      <c r="BE395" s="232" t="str">
        <f>IF($AY395="Yes",'8. Option Codes Decrypted'!$C$21,"")</f>
        <v/>
      </c>
      <c r="BF395" s="232" t="str">
        <f>IF($AY395="Yes",'8. Option Codes Decrypted'!$C$22,"")</f>
        <v/>
      </c>
      <c r="BG395" s="232" t="str">
        <f>IF($AY395="Yes",'8. Option Codes Decrypted'!$C$23,"")</f>
        <v/>
      </c>
    </row>
    <row r="396" spans="1:59" x14ac:dyDescent="0.25">
      <c r="A396" s="232" t="str">
        <f t="shared" si="76"/>
        <v/>
      </c>
      <c r="B396" s="358" t="str">
        <f t="shared" si="73"/>
        <v/>
      </c>
      <c r="C396" s="358" t="str">
        <f t="shared" si="72"/>
        <v/>
      </c>
      <c r="D396" s="358"/>
      <c r="E396" s="358" t="str">
        <f t="shared" si="74"/>
        <v/>
      </c>
      <c r="F396" t="s">
        <v>426</v>
      </c>
      <c r="G396" s="230">
        <v>44680</v>
      </c>
      <c r="H396" s="176"/>
      <c r="I396" s="203"/>
      <c r="J396" s="10" t="s">
        <v>504</v>
      </c>
      <c r="K396" s="10" t="s">
        <v>1295</v>
      </c>
      <c r="L396" s="10" t="s">
        <v>1433</v>
      </c>
      <c r="M396" s="16" t="s">
        <v>430</v>
      </c>
      <c r="N396" s="16"/>
      <c r="O396" s="191"/>
      <c r="P396" s="191"/>
      <c r="Q396" s="191"/>
      <c r="R396" s="286" t="str">
        <f t="shared" si="75"/>
        <v>. Lojack Vehicle Recovery Transmitter Module &amp; Cable (TOSS BOTH) (mounted RR wheel well)</v>
      </c>
      <c r="S396" s="286"/>
      <c r="T396" s="16"/>
      <c r="U396" s="16"/>
      <c r="V396" s="16"/>
      <c r="W396" s="16"/>
      <c r="X396" s="16"/>
      <c r="Y396" s="16"/>
      <c r="Z396" s="10" t="s">
        <v>1433</v>
      </c>
      <c r="AA396" s="10" t="s">
        <v>1433</v>
      </c>
      <c r="AB396" s="10" t="s">
        <v>1433</v>
      </c>
      <c r="AC396" s="193" t="s">
        <v>449</v>
      </c>
      <c r="AD396" s="16"/>
      <c r="AE396" s="10"/>
      <c r="AF396" s="200" t="s">
        <v>434</v>
      </c>
      <c r="AH396" s="3" t="s">
        <v>435</v>
      </c>
      <c r="AJ396" s="69"/>
      <c r="AK396" t="s">
        <v>1434</v>
      </c>
      <c r="AN396"/>
      <c r="AX396" s="16"/>
      <c r="AY396" s="16"/>
      <c r="AZ396" s="232" t="str">
        <f>IF($AX396="Yes",'8. Option Codes Decrypted'!$C$15,"")</f>
        <v/>
      </c>
      <c r="BA396" s="232" t="str">
        <f>IF($AX396="Yes",'8. Option Codes Decrypted'!$C$16,"")</f>
        <v/>
      </c>
      <c r="BB396" s="232" t="str">
        <f>IF($AX396="Yes",'8. Option Codes Decrypted'!$C$17,"")</f>
        <v/>
      </c>
      <c r="BC396" s="232" t="str">
        <f>IF($AX396="Yes",'8. Option Codes Decrypted'!$C$18,"")</f>
        <v/>
      </c>
      <c r="BD396" s="232" t="str">
        <f>IF($AY396="Yes",'8. Option Codes Decrypted'!$C$20,"")</f>
        <v/>
      </c>
      <c r="BE396" s="232" t="str">
        <f>IF($AY396="Yes",'8. Option Codes Decrypted'!$C$21,"")</f>
        <v/>
      </c>
      <c r="BF396" s="232" t="str">
        <f>IF($AY396="Yes",'8. Option Codes Decrypted'!$C$22,"")</f>
        <v/>
      </c>
      <c r="BG396" s="232" t="str">
        <f>IF($AY396="Yes",'8. Option Codes Decrypted'!$C$23,"")</f>
        <v/>
      </c>
    </row>
    <row r="397" spans="1:59" x14ac:dyDescent="0.25">
      <c r="A397" s="232" t="str">
        <f t="shared" si="76"/>
        <v/>
      </c>
      <c r="B397" s="358" t="str">
        <f t="shared" si="73"/>
        <v/>
      </c>
      <c r="C397" s="358" t="str">
        <f t="shared" si="72"/>
        <v/>
      </c>
      <c r="D397" s="358"/>
      <c r="E397" s="358" t="str">
        <f t="shared" si="74"/>
        <v/>
      </c>
      <c r="F397" t="s">
        <v>426</v>
      </c>
      <c r="G397" s="230">
        <v>44684</v>
      </c>
      <c r="H397" s="176"/>
      <c r="I397" s="203"/>
      <c r="J397" s="10" t="s">
        <v>504</v>
      </c>
      <c r="K397" s="10" t="s">
        <v>1295</v>
      </c>
      <c r="L397" s="10" t="s">
        <v>1435</v>
      </c>
      <c r="M397" s="16" t="s">
        <v>430</v>
      </c>
      <c r="N397" s="16"/>
      <c r="O397" s="191"/>
      <c r="P397" s="191"/>
      <c r="Q397" s="191"/>
      <c r="R397" s="286" t="str">
        <f t="shared" si="75"/>
        <v>. Positive Battery Junction Box (many call it "small fuse box") (5x5 inch black plastic w/ a small red battery cable going to it)</v>
      </c>
      <c r="S397" s="286"/>
      <c r="T397" s="16"/>
      <c r="U397" s="16"/>
      <c r="V397" s="16"/>
      <c r="W397" s="16"/>
      <c r="X397" s="16"/>
      <c r="Y397" s="16"/>
      <c r="Z397" s="10" t="s">
        <v>1435</v>
      </c>
      <c r="AA397" s="10" t="s">
        <v>1435</v>
      </c>
      <c r="AB397" s="10" t="s">
        <v>1435</v>
      </c>
      <c r="AC397" s="193" t="s">
        <v>449</v>
      </c>
      <c r="AD397" s="16"/>
      <c r="AE397" s="10"/>
      <c r="AF397" s="200" t="s">
        <v>434</v>
      </c>
      <c r="AH397" s="3" t="s">
        <v>435</v>
      </c>
      <c r="AJ397" s="69"/>
      <c r="AK397" t="s">
        <v>1436</v>
      </c>
      <c r="AN397"/>
      <c r="AX397" s="16"/>
      <c r="AY397" s="16"/>
      <c r="AZ397" s="232" t="str">
        <f>IF($AX397="Yes",'8. Option Codes Decrypted'!$C$15,"")</f>
        <v/>
      </c>
      <c r="BA397" s="232" t="str">
        <f>IF($AX397="Yes",'8. Option Codes Decrypted'!$C$16,"")</f>
        <v/>
      </c>
      <c r="BB397" s="232" t="str">
        <f>IF($AX397="Yes",'8. Option Codes Decrypted'!$C$17,"")</f>
        <v/>
      </c>
      <c r="BC397" s="232" t="str">
        <f>IF($AX397="Yes",'8. Option Codes Decrypted'!$C$18,"")</f>
        <v/>
      </c>
      <c r="BD397" s="232" t="str">
        <f>IF($AY397="Yes",'8. Option Codes Decrypted'!$C$20,"")</f>
        <v/>
      </c>
      <c r="BE397" s="232" t="str">
        <f>IF($AY397="Yes",'8. Option Codes Decrypted'!$C$21,"")</f>
        <v/>
      </c>
      <c r="BF397" s="232" t="str">
        <f>IF($AY397="Yes",'8. Option Codes Decrypted'!$C$22,"")</f>
        <v/>
      </c>
      <c r="BG397" s="232" t="str">
        <f>IF($AY397="Yes",'8. Option Codes Decrypted'!$C$23,"")</f>
        <v/>
      </c>
    </row>
    <row r="398" spans="1:59" x14ac:dyDescent="0.25">
      <c r="A398" s="232" t="str">
        <f t="shared" si="76"/>
        <v/>
      </c>
      <c r="B398" s="358" t="str">
        <f t="shared" si="73"/>
        <v/>
      </c>
      <c r="C398" s="358" t="str">
        <f t="shared" si="72"/>
        <v/>
      </c>
      <c r="D398" s="358"/>
      <c r="E398" s="358" t="str">
        <f t="shared" si="74"/>
        <v/>
      </c>
      <c r="F398" t="s">
        <v>426</v>
      </c>
      <c r="G398" s="230">
        <v>44684</v>
      </c>
      <c r="H398" s="176"/>
      <c r="I398" s="203"/>
      <c r="J398" s="10" t="s">
        <v>504</v>
      </c>
      <c r="K398" s="10" t="s">
        <v>1295</v>
      </c>
      <c r="L398" s="10" t="s">
        <v>1437</v>
      </c>
      <c r="M398" s="231" t="s">
        <v>510</v>
      </c>
      <c r="N398" s="231"/>
      <c r="O398" s="288"/>
      <c r="P398" s="288"/>
      <c r="Q398" s="288"/>
      <c r="R398" s="286" t="str">
        <f t="shared" si="75"/>
        <v>. Seat Control Module - REAR</v>
      </c>
      <c r="S398" s="286"/>
      <c r="T398" s="231"/>
      <c r="U398" s="193"/>
      <c r="V398" s="231"/>
      <c r="W398" s="193"/>
      <c r="X398" s="193"/>
      <c r="Y398" s="193"/>
      <c r="Z398" s="10" t="s">
        <v>1437</v>
      </c>
      <c r="AA398" s="10" t="s">
        <v>1437</v>
      </c>
      <c r="AB398" s="10" t="s">
        <v>1437</v>
      </c>
      <c r="AC398" s="193" t="s">
        <v>449</v>
      </c>
      <c r="AD398" s="16"/>
      <c r="AE398" s="10"/>
      <c r="AF398" s="200" t="s">
        <v>434</v>
      </c>
      <c r="AH398" s="3" t="s">
        <v>435</v>
      </c>
      <c r="AJ398" s="69"/>
      <c r="AK398" t="s">
        <v>1438</v>
      </c>
      <c r="AN398"/>
      <c r="AO398" t="s">
        <v>411</v>
      </c>
      <c r="AX398" s="193"/>
      <c r="AY398" s="193"/>
      <c r="AZ398" s="232" t="str">
        <f>IF($AX398="Yes",'8. Option Codes Decrypted'!$C$15,"")</f>
        <v/>
      </c>
      <c r="BA398" s="232" t="str">
        <f>IF($AX398="Yes",'8. Option Codes Decrypted'!$C$16,"")</f>
        <v/>
      </c>
      <c r="BB398" s="232" t="str">
        <f>IF($AX398="Yes",'8. Option Codes Decrypted'!$C$17,"")</f>
        <v/>
      </c>
      <c r="BC398" s="232" t="str">
        <f>IF($AX398="Yes",'8. Option Codes Decrypted'!$C$18,"")</f>
        <v/>
      </c>
      <c r="BD398" s="232" t="str">
        <f>IF($AY398="Yes",'8. Option Codes Decrypted'!$C$20,"")</f>
        <v/>
      </c>
      <c r="BE398" s="232" t="str">
        <f>IF($AY398="Yes",'8. Option Codes Decrypted'!$C$21,"")</f>
        <v/>
      </c>
      <c r="BF398" s="232" t="str">
        <f>IF($AY398="Yes",'8. Option Codes Decrypted'!$C$22,"")</f>
        <v/>
      </c>
      <c r="BG398" s="232" t="str">
        <f>IF($AY398="Yes",'8. Option Codes Decrypted'!$C$23,"")</f>
        <v/>
      </c>
    </row>
    <row r="399" spans="1:59" x14ac:dyDescent="0.25">
      <c r="A399" s="232" t="str">
        <f t="shared" si="76"/>
        <v/>
      </c>
      <c r="B399" s="358" t="str">
        <f t="shared" si="73"/>
        <v/>
      </c>
      <c r="C399" s="358" t="str">
        <f t="shared" si="72"/>
        <v/>
      </c>
      <c r="D399" s="358"/>
      <c r="E399" s="358" t="str">
        <f t="shared" si="74"/>
        <v/>
      </c>
      <c r="F399" t="s">
        <v>426</v>
      </c>
      <c r="G399" s="230">
        <v>44684</v>
      </c>
      <c r="H399" s="176"/>
      <c r="I399" s="203"/>
      <c r="J399" s="10" t="s">
        <v>504</v>
      </c>
      <c r="K399" s="10" t="s">
        <v>1295</v>
      </c>
      <c r="L399" s="10" t="s">
        <v>1439</v>
      </c>
      <c r="M399" s="16" t="s">
        <v>430</v>
      </c>
      <c r="N399" s="16"/>
      <c r="O399" s="191"/>
      <c r="P399" s="191"/>
      <c r="Q399" s="191"/>
      <c r="R399" s="286" t="str">
        <f t="shared" si="75"/>
        <v>. Steering Column Control Module (including the black plastic sleeve it's in)</v>
      </c>
      <c r="S399" s="286"/>
      <c r="T399" s="16"/>
      <c r="U399" s="16"/>
      <c r="V399" s="16"/>
      <c r="W399" s="16"/>
      <c r="X399" s="16"/>
      <c r="Y399" s="16"/>
      <c r="Z399" s="10" t="s">
        <v>1439</v>
      </c>
      <c r="AA399" s="10" t="s">
        <v>1439</v>
      </c>
      <c r="AB399" s="10" t="s">
        <v>1439</v>
      </c>
      <c r="AC399" s="193" t="s">
        <v>449</v>
      </c>
      <c r="AD399" s="16"/>
      <c r="AE399" s="10"/>
      <c r="AF399" s="200" t="s">
        <v>434</v>
      </c>
      <c r="AH399" s="3" t="s">
        <v>435</v>
      </c>
      <c r="AJ399" s="69"/>
      <c r="AK399" t="s">
        <v>1440</v>
      </c>
      <c r="AN399"/>
      <c r="AX399" s="16"/>
      <c r="AY399" s="16"/>
      <c r="AZ399" s="232" t="str">
        <f>IF($AX399="Yes",'8. Option Codes Decrypted'!$C$15,"")</f>
        <v/>
      </c>
      <c r="BA399" s="232" t="str">
        <f>IF($AX399="Yes",'8. Option Codes Decrypted'!$C$16,"")</f>
        <v/>
      </c>
      <c r="BB399" s="232" t="str">
        <f>IF($AX399="Yes",'8. Option Codes Decrypted'!$C$17,"")</f>
        <v/>
      </c>
      <c r="BC399" s="232" t="str">
        <f>IF($AX399="Yes",'8. Option Codes Decrypted'!$C$18,"")</f>
        <v/>
      </c>
      <c r="BD399" s="232" t="str">
        <f>IF($AY399="Yes",'8. Option Codes Decrypted'!$C$20,"")</f>
        <v/>
      </c>
      <c r="BE399" s="232" t="str">
        <f>IF($AY399="Yes",'8. Option Codes Decrypted'!$C$21,"")</f>
        <v/>
      </c>
      <c r="BF399" s="232" t="str">
        <f>IF($AY399="Yes",'8. Option Codes Decrypted'!$C$22,"")</f>
        <v/>
      </c>
      <c r="BG399" s="232" t="str">
        <f>IF($AY399="Yes",'8. Option Codes Decrypted'!$C$23,"")</f>
        <v/>
      </c>
    </row>
    <row r="400" spans="1:59" ht="15.75" thickBot="1" x14ac:dyDescent="0.3">
      <c r="A400" s="232" t="str">
        <f t="shared" si="76"/>
        <v/>
      </c>
      <c r="B400" s="358" t="str">
        <f t="shared" si="73"/>
        <v/>
      </c>
      <c r="C400" s="358" t="str">
        <f t="shared" si="72"/>
        <v/>
      </c>
      <c r="D400" s="358"/>
      <c r="E400" s="358" t="str">
        <f t="shared" si="74"/>
        <v/>
      </c>
      <c r="F400" t="s">
        <v>508</v>
      </c>
      <c r="G400" s="230">
        <v>45013</v>
      </c>
      <c r="H400" s="19" t="s">
        <v>1441</v>
      </c>
      <c r="I400" s="182"/>
      <c r="J400" s="212" t="s">
        <v>1442</v>
      </c>
      <c r="K400" s="101" t="s">
        <v>1443</v>
      </c>
      <c r="L400" s="101" t="s">
        <v>1444</v>
      </c>
      <c r="M400" s="16" t="s">
        <v>430</v>
      </c>
      <c r="N400" s="16"/>
      <c r="O400" s="191"/>
      <c r="P400" s="191"/>
      <c r="Q400" s="191"/>
      <c r="R400" s="286" t="str">
        <f t="shared" si="75"/>
        <v>. Speakers - TOSS Standard BMW Branded Ones (KEEP Harman or Bang)</v>
      </c>
      <c r="S400" s="286"/>
      <c r="T400" s="16"/>
      <c r="U400" s="16"/>
      <c r="V400" s="16"/>
      <c r="W400" s="16"/>
      <c r="X400" s="16"/>
      <c r="Y400" s="16"/>
      <c r="Z400" s="101" t="s">
        <v>1444</v>
      </c>
      <c r="AA400" s="101" t="s">
        <v>1444</v>
      </c>
      <c r="AB400" s="101" t="s">
        <v>1444</v>
      </c>
      <c r="AC400" s="193" t="s">
        <v>449</v>
      </c>
      <c r="AD400" s="101" t="s">
        <v>1445</v>
      </c>
      <c r="AE400" s="102">
        <v>450</v>
      </c>
      <c r="AF400" s="200" t="s">
        <v>434</v>
      </c>
      <c r="AH400" s="3" t="s">
        <v>435</v>
      </c>
      <c r="AI400" s="156" t="s">
        <v>1441</v>
      </c>
      <c r="AJ400" s="69"/>
      <c r="AK400" t="s">
        <v>1446</v>
      </c>
      <c r="AL400" t="s">
        <v>1447</v>
      </c>
      <c r="AN400"/>
      <c r="AX400" s="16"/>
      <c r="AY400" s="16"/>
      <c r="AZ400" s="232" t="str">
        <f>IF($AX400="Yes",'8. Option Codes Decrypted'!$C$15,"")</f>
        <v/>
      </c>
      <c r="BA400" s="232" t="str">
        <f>IF($AX400="Yes",'8. Option Codes Decrypted'!$C$16,"")</f>
        <v/>
      </c>
      <c r="BB400" s="232" t="str">
        <f>IF($AX400="Yes",'8. Option Codes Decrypted'!$C$17,"")</f>
        <v/>
      </c>
      <c r="BC400" s="232" t="str">
        <f>IF($AX400="Yes",'8. Option Codes Decrypted'!$C$18,"")</f>
        <v/>
      </c>
      <c r="BD400" s="232" t="str">
        <f>IF($AY400="Yes",'8. Option Codes Decrypted'!$C$20,"")</f>
        <v/>
      </c>
      <c r="BE400" s="232" t="str">
        <f>IF($AY400="Yes",'8. Option Codes Decrypted'!$C$21,"")</f>
        <v/>
      </c>
      <c r="BF400" s="232" t="str">
        <f>IF($AY400="Yes",'8. Option Codes Decrypted'!$C$22,"")</f>
        <v/>
      </c>
      <c r="BG400" s="232" t="str">
        <f>IF($AY400="Yes",'8. Option Codes Decrypted'!$C$23,"")</f>
        <v/>
      </c>
    </row>
    <row r="401" spans="1:59" s="296" customFormat="1" ht="15.75" thickBot="1" x14ac:dyDescent="0.3">
      <c r="A401" s="232" t="str">
        <f t="shared" si="76"/>
        <v>A110</v>
      </c>
      <c r="B401" s="358" t="str">
        <f t="shared" si="73"/>
        <v/>
      </c>
      <c r="C401" s="358" t="str">
        <f t="shared" si="72"/>
        <v>F15-Trim Set, Entire Vehicle-14-18-ALL</v>
      </c>
      <c r="D401" s="358"/>
      <c r="E401" s="358" t="str">
        <f t="shared" si="74"/>
        <v/>
      </c>
      <c r="F401" s="296" t="s">
        <v>426</v>
      </c>
      <c r="G401" s="297">
        <v>44670</v>
      </c>
      <c r="H401" s="336"/>
      <c r="I401" s="306" t="s">
        <v>441</v>
      </c>
      <c r="J401" s="213" t="s">
        <v>427</v>
      </c>
      <c r="K401" s="213" t="s">
        <v>1443</v>
      </c>
      <c r="L401" s="213" t="s">
        <v>501</v>
      </c>
      <c r="M401" s="298" t="s">
        <v>430</v>
      </c>
      <c r="N401" s="298">
        <v>100</v>
      </c>
      <c r="O401" s="299" t="s">
        <v>354</v>
      </c>
      <c r="P401" s="299" t="s">
        <v>397</v>
      </c>
      <c r="Q401" s="299">
        <v>1</v>
      </c>
      <c r="R401" s="299" t="str">
        <f t="shared" si="75"/>
        <v>A110. Trim Set, Entire Vehicle</v>
      </c>
      <c r="S401" s="365" t="str">
        <f>HYPERLINK(VLOOKUP(O401,'3D. Pictures'!$B$3:$E$500,4,FALSE),"PIC")</f>
        <v>PIC</v>
      </c>
      <c r="T401" s="298">
        <v>20</v>
      </c>
      <c r="U401" s="298" t="s">
        <v>1448</v>
      </c>
      <c r="V401" s="298" t="s">
        <v>81</v>
      </c>
      <c r="W401" s="298" t="s">
        <v>2984</v>
      </c>
      <c r="X401" s="298"/>
      <c r="Y401" s="298"/>
      <c r="Z401" s="213" t="s">
        <v>502</v>
      </c>
      <c r="AA401" s="213"/>
      <c r="AB401" s="213"/>
      <c r="AC401" s="213" t="s">
        <v>968</v>
      </c>
      <c r="AD401" s="213"/>
      <c r="AE401" s="213">
        <v>495</v>
      </c>
      <c r="AF401" s="300" t="s">
        <v>434</v>
      </c>
      <c r="AG401" s="301"/>
      <c r="AH401" s="302" t="s">
        <v>435</v>
      </c>
      <c r="AI401" s="301"/>
      <c r="AJ401" s="303"/>
      <c r="AK401" s="296" t="s">
        <v>503</v>
      </c>
      <c r="AS401" s="296" t="str">
        <f>CONCATENATE(AT401,"-",AU401,"-",AV401,"-",AW401)</f>
        <v>F15-Trim Set, Entire Vehicle-14-18-ALL</v>
      </c>
      <c r="AT401" s="296" t="s">
        <v>661</v>
      </c>
      <c r="AU401" s="296" t="str">
        <f>Z401</f>
        <v>Trim Set, Entire Vehicle</v>
      </c>
      <c r="AV401" s="296" t="s">
        <v>757</v>
      </c>
      <c r="AW401" s="296" t="s">
        <v>662</v>
      </c>
      <c r="AX401" s="298"/>
      <c r="AY401" s="298"/>
      <c r="AZ401" s="232" t="str">
        <f>IF($AX401="Yes",'8. Option Codes Decrypted'!$C$15,"")</f>
        <v/>
      </c>
      <c r="BA401" s="232" t="str">
        <f>IF($AX401="Yes",'8. Option Codes Decrypted'!$C$16,"")</f>
        <v/>
      </c>
      <c r="BB401" s="232" t="str">
        <f>IF($AX401="Yes",'8. Option Codes Decrypted'!$C$17,"")</f>
        <v/>
      </c>
      <c r="BC401" s="232" t="str">
        <f>IF($AX401="Yes",'8. Option Codes Decrypted'!$C$18,"")</f>
        <v/>
      </c>
      <c r="BD401" s="232" t="str">
        <f>IF($AY401="Yes",'8. Option Codes Decrypted'!$C$20,"")</f>
        <v/>
      </c>
      <c r="BE401" s="232" t="str">
        <f>IF($AY401="Yes",'8. Option Codes Decrypted'!$C$21,"")</f>
        <v/>
      </c>
      <c r="BF401" s="232" t="str">
        <f>IF($AY401="Yes",'8. Option Codes Decrypted'!$C$22,"")</f>
        <v/>
      </c>
      <c r="BG401" s="232" t="str">
        <f>IF($AY401="Yes",'8. Option Codes Decrypted'!$C$23,"")</f>
        <v/>
      </c>
    </row>
    <row r="402" spans="1:59" ht="15.75" thickBot="1" x14ac:dyDescent="0.3">
      <c r="A402" s="232" t="str">
        <f t="shared" si="76"/>
        <v/>
      </c>
      <c r="B402" s="358" t="str">
        <f t="shared" si="73"/>
        <v/>
      </c>
      <c r="C402" s="358" t="str">
        <f t="shared" si="72"/>
        <v/>
      </c>
      <c r="D402" s="358"/>
      <c r="E402" s="358" t="str">
        <f t="shared" si="74"/>
        <v/>
      </c>
      <c r="F402" t="s">
        <v>426</v>
      </c>
      <c r="G402" s="230">
        <v>44671</v>
      </c>
      <c r="H402" s="176"/>
      <c r="I402" s="203"/>
      <c r="J402" s="10" t="s">
        <v>504</v>
      </c>
      <c r="K402" s="10" t="s">
        <v>1443</v>
      </c>
      <c r="L402" s="10" t="s">
        <v>1449</v>
      </c>
      <c r="M402" s="195" t="s">
        <v>444</v>
      </c>
      <c r="N402" s="195"/>
      <c r="O402" s="292"/>
      <c r="P402" s="292"/>
      <c r="Q402" s="292"/>
      <c r="R402" s="286" t="str">
        <f t="shared" si="75"/>
        <v>. Airbag, SEATS (TOSS BOTH, but keep in seat cushions if selling those)</v>
      </c>
      <c r="S402" s="286"/>
      <c r="T402" s="195"/>
      <c r="U402" s="193"/>
      <c r="V402" s="195"/>
      <c r="W402" s="193"/>
      <c r="X402" s="193"/>
      <c r="Y402" s="193"/>
      <c r="Z402" s="10" t="s">
        <v>1449</v>
      </c>
      <c r="AA402" s="10" t="s">
        <v>1449</v>
      </c>
      <c r="AB402" s="10" t="s">
        <v>1449</v>
      </c>
      <c r="AC402" s="193" t="s">
        <v>449</v>
      </c>
      <c r="AD402" s="10"/>
      <c r="AE402" s="10"/>
      <c r="AF402" s="200" t="s">
        <v>434</v>
      </c>
      <c r="AH402" s="3" t="s">
        <v>435</v>
      </c>
      <c r="AJ402" s="69"/>
      <c r="AK402" t="s">
        <v>1450</v>
      </c>
      <c r="AL402" t="s">
        <v>1451</v>
      </c>
      <c r="AN402"/>
      <c r="AO402" t="s">
        <v>411</v>
      </c>
      <c r="AX402" s="193"/>
      <c r="AY402" s="193"/>
      <c r="AZ402" s="232" t="str">
        <f>IF($AX402="Yes",'8. Option Codes Decrypted'!$C$15,"")</f>
        <v/>
      </c>
      <c r="BA402" s="232" t="str">
        <f>IF($AX402="Yes",'8. Option Codes Decrypted'!$C$16,"")</f>
        <v/>
      </c>
      <c r="BB402" s="232" t="str">
        <f>IF($AX402="Yes",'8. Option Codes Decrypted'!$C$17,"")</f>
        <v/>
      </c>
      <c r="BC402" s="232" t="str">
        <f>IF($AX402="Yes",'8. Option Codes Decrypted'!$C$18,"")</f>
        <v/>
      </c>
      <c r="BD402" s="232" t="str">
        <f>IF($AY402="Yes",'8. Option Codes Decrypted'!$C$20,"")</f>
        <v/>
      </c>
      <c r="BE402" s="232" t="str">
        <f>IF($AY402="Yes",'8. Option Codes Decrypted'!$C$21,"")</f>
        <v/>
      </c>
      <c r="BF402" s="232" t="str">
        <f>IF($AY402="Yes",'8. Option Codes Decrypted'!$C$22,"")</f>
        <v/>
      </c>
      <c r="BG402" s="232" t="str">
        <f>IF($AY402="Yes",'8. Option Codes Decrypted'!$C$23,"")</f>
        <v/>
      </c>
    </row>
    <row r="403" spans="1:59" s="232" customFormat="1" ht="15.75" thickBot="1" x14ac:dyDescent="0.3">
      <c r="A403" s="232" t="str">
        <f t="shared" si="76"/>
        <v>A66</v>
      </c>
      <c r="B403" s="358" t="str">
        <f t="shared" si="73"/>
        <v>210-53562</v>
      </c>
      <c r="C403" s="358" t="s">
        <v>1452</v>
      </c>
      <c r="D403" s="358"/>
      <c r="E403" s="358">
        <f t="shared" si="74"/>
        <v>2</v>
      </c>
      <c r="F403" s="232" t="s">
        <v>426</v>
      </c>
      <c r="G403" s="241">
        <v>44673</v>
      </c>
      <c r="H403" s="256"/>
      <c r="I403" s="250"/>
      <c r="J403" s="250" t="s">
        <v>427</v>
      </c>
      <c r="K403" s="250" t="s">
        <v>1453</v>
      </c>
      <c r="L403" s="250" t="s">
        <v>1454</v>
      </c>
      <c r="M403" s="243" t="s">
        <v>444</v>
      </c>
      <c r="N403" s="243">
        <v>56</v>
      </c>
      <c r="O403" s="285" t="s">
        <v>310</v>
      </c>
      <c r="P403" s="285" t="s">
        <v>445</v>
      </c>
      <c r="Q403" s="285">
        <v>1</v>
      </c>
      <c r="R403" s="286" t="str">
        <f t="shared" si="75"/>
        <v>A66. Seatbelt Buckle, FRONT - LEFT</v>
      </c>
      <c r="S403" s="365" t="str">
        <f>HYPERLINK(VLOOKUP(O403,'3D. Pictures'!$B$3:$E$500,4,FALSE),"PIC")</f>
        <v>PIC</v>
      </c>
      <c r="T403" s="243">
        <v>4</v>
      </c>
      <c r="U403" s="244" t="s">
        <v>1455</v>
      </c>
      <c r="V403" s="243" t="s">
        <v>80</v>
      </c>
      <c r="W403" s="244"/>
      <c r="X403" s="244"/>
      <c r="Y403" s="235"/>
      <c r="Z403" s="250" t="s">
        <v>1456</v>
      </c>
      <c r="AA403" s="250"/>
      <c r="AB403" s="250"/>
      <c r="AC403" s="244" t="s">
        <v>449</v>
      </c>
      <c r="AD403" s="250" t="s">
        <v>1457</v>
      </c>
      <c r="AE403" s="259">
        <v>80</v>
      </c>
      <c r="AF403" s="252" t="s">
        <v>434</v>
      </c>
      <c r="AG403" s="247"/>
      <c r="AH403" s="248" t="s">
        <v>435</v>
      </c>
      <c r="AJ403" s="249"/>
      <c r="AK403" s="232" t="s">
        <v>1458</v>
      </c>
      <c r="AL403" s="232" t="s">
        <v>1459</v>
      </c>
      <c r="AN403" s="233" t="s">
        <v>1460</v>
      </c>
      <c r="AO403" s="232" t="s">
        <v>411</v>
      </c>
      <c r="AP403" s="232">
        <v>53562</v>
      </c>
      <c r="AQ403" s="232" t="str">
        <f>CONCATENATE(AN403,AO403,AP403)</f>
        <v>210-53562</v>
      </c>
      <c r="AX403" s="244"/>
      <c r="AY403" s="244"/>
      <c r="AZ403" s="232" t="str">
        <f>IF($AX403="Yes",'8. Option Codes Decrypted'!$C$15,"")</f>
        <v/>
      </c>
      <c r="BA403" s="232" t="str">
        <f>IF($AX403="Yes",'8. Option Codes Decrypted'!$C$16,"")</f>
        <v/>
      </c>
      <c r="BB403" s="232" t="str">
        <f>IF($AX403="Yes",'8. Option Codes Decrypted'!$C$17,"")</f>
        <v/>
      </c>
      <c r="BC403" s="232" t="str">
        <f>IF($AX403="Yes",'8. Option Codes Decrypted'!$C$18,"")</f>
        <v/>
      </c>
      <c r="BD403" s="232" t="str">
        <f>IF($AY403="Yes",'8. Option Codes Decrypted'!$C$20,"")</f>
        <v/>
      </c>
      <c r="BE403" s="232" t="str">
        <f>IF($AY403="Yes",'8. Option Codes Decrypted'!$C$21,"")</f>
        <v/>
      </c>
      <c r="BF403" s="232" t="str">
        <f>IF($AY403="Yes",'8. Option Codes Decrypted'!$C$22,"")</f>
        <v/>
      </c>
      <c r="BG403" s="232" t="str">
        <f>IF($AY403="Yes",'8. Option Codes Decrypted'!$C$23,"")</f>
        <v/>
      </c>
    </row>
    <row r="404" spans="1:59" s="232" customFormat="1" ht="15.75" thickBot="1" x14ac:dyDescent="0.3">
      <c r="A404" s="232" t="str">
        <f t="shared" si="76"/>
        <v/>
      </c>
      <c r="B404" s="358" t="str">
        <f t="shared" si="73"/>
        <v>210-53851</v>
      </c>
      <c r="C404" s="358" t="str">
        <f>IF(AS404&lt;&gt;"",AS404,"")</f>
        <v/>
      </c>
      <c r="D404" s="358"/>
      <c r="E404" s="358">
        <f t="shared" si="74"/>
        <v>1</v>
      </c>
      <c r="F404" s="232" t="s">
        <v>426</v>
      </c>
      <c r="G404" s="241">
        <v>44673</v>
      </c>
      <c r="H404" s="256"/>
      <c r="I404" s="250"/>
      <c r="J404" s="250" t="s">
        <v>427</v>
      </c>
      <c r="K404" s="250" t="s">
        <v>1453</v>
      </c>
      <c r="L404" s="250" t="s">
        <v>1461</v>
      </c>
      <c r="M404" s="243" t="s">
        <v>444</v>
      </c>
      <c r="N404" s="243"/>
      <c r="O404" s="285"/>
      <c r="P404" s="285"/>
      <c r="Q404" s="285"/>
      <c r="R404" s="286" t="str">
        <f t="shared" si="75"/>
        <v>. Seatbelt Retractor, FRONT - LEFT</v>
      </c>
      <c r="S404" s="286"/>
      <c r="T404" s="243"/>
      <c r="U404" s="244"/>
      <c r="V404" s="243"/>
      <c r="W404" s="244"/>
      <c r="X404" s="244"/>
      <c r="Y404" s="235" t="s">
        <v>1083</v>
      </c>
      <c r="Z404" s="250" t="s">
        <v>1462</v>
      </c>
      <c r="AA404" s="250" t="s">
        <v>1463</v>
      </c>
      <c r="AB404" s="250"/>
      <c r="AC404" s="244" t="s">
        <v>449</v>
      </c>
      <c r="AD404" s="250"/>
      <c r="AE404" s="250">
        <v>250</v>
      </c>
      <c r="AF404" s="252" t="s">
        <v>434</v>
      </c>
      <c r="AG404" s="247"/>
      <c r="AH404" s="248" t="s">
        <v>435</v>
      </c>
      <c r="AJ404" s="249"/>
      <c r="AK404" s="232" t="s">
        <v>1464</v>
      </c>
      <c r="AL404" s="232" t="s">
        <v>1465</v>
      </c>
      <c r="AN404" s="233" t="s">
        <v>1460</v>
      </c>
      <c r="AO404" s="232" t="s">
        <v>411</v>
      </c>
      <c r="AP404" s="232">
        <v>53851</v>
      </c>
      <c r="AQ404" s="232" t="str">
        <f>CONCATENATE(AN404,AO404,AP404)</f>
        <v>210-53851</v>
      </c>
      <c r="AR404" s="232" t="s">
        <v>1466</v>
      </c>
      <c r="AX404" s="244"/>
      <c r="AY404" s="244"/>
      <c r="AZ404" s="232" t="str">
        <f>IF($AX404="Yes",'8. Option Codes Decrypted'!$C$15,"")</f>
        <v/>
      </c>
      <c r="BA404" s="232" t="str">
        <f>IF($AX404="Yes",'8. Option Codes Decrypted'!$C$16,"")</f>
        <v/>
      </c>
      <c r="BB404" s="232" t="str">
        <f>IF($AX404="Yes",'8. Option Codes Decrypted'!$C$17,"")</f>
        <v/>
      </c>
      <c r="BC404" s="232" t="str">
        <f>IF($AX404="Yes",'8. Option Codes Decrypted'!$C$18,"")</f>
        <v/>
      </c>
      <c r="BD404" s="232" t="str">
        <f>IF($AY404="Yes",'8. Option Codes Decrypted'!$C$20,"")</f>
        <v/>
      </c>
      <c r="BE404" s="232" t="str">
        <f>IF($AY404="Yes",'8. Option Codes Decrypted'!$C$21,"")</f>
        <v/>
      </c>
      <c r="BF404" s="232" t="str">
        <f>IF($AY404="Yes",'8. Option Codes Decrypted'!$C$22,"")</f>
        <v/>
      </c>
      <c r="BG404" s="232" t="str">
        <f>IF($AY404="Yes",'8. Option Codes Decrypted'!$C$23,"")</f>
        <v/>
      </c>
    </row>
    <row r="405" spans="1:59" s="232" customFormat="1" ht="15.75" thickBot="1" x14ac:dyDescent="0.3">
      <c r="A405" s="232" t="str">
        <f t="shared" si="76"/>
        <v>A50</v>
      </c>
      <c r="B405" s="358" t="str">
        <f t="shared" si="73"/>
        <v>210-53565</v>
      </c>
      <c r="C405" s="358" t="str">
        <f>IF(AS405&lt;&gt;"",AS405,"")</f>
        <v/>
      </c>
      <c r="D405" s="358"/>
      <c r="E405" s="358">
        <f t="shared" si="74"/>
        <v>1</v>
      </c>
      <c r="F405" s="232" t="s">
        <v>426</v>
      </c>
      <c r="G405" s="241">
        <v>44673</v>
      </c>
      <c r="H405" s="256"/>
      <c r="I405" s="250"/>
      <c r="J405" s="250" t="s">
        <v>427</v>
      </c>
      <c r="K405" s="250" t="s">
        <v>1453</v>
      </c>
      <c r="L405" s="250" t="s">
        <v>1461</v>
      </c>
      <c r="M405" s="243" t="s">
        <v>444</v>
      </c>
      <c r="N405" s="243">
        <v>40</v>
      </c>
      <c r="O405" s="285" t="s">
        <v>294</v>
      </c>
      <c r="P405" s="285" t="s">
        <v>445</v>
      </c>
      <c r="Q405" s="285">
        <v>1</v>
      </c>
      <c r="R405" s="286" t="str">
        <f t="shared" si="75"/>
        <v>A50. Seatbelt Retractor, FRONT - LEFT</v>
      </c>
      <c r="S405" s="365" t="str">
        <f>HYPERLINK(VLOOKUP(O405,'3D. Pictures'!$B$3:$E$500,4,FALSE),"PIC")</f>
        <v>PIC</v>
      </c>
      <c r="T405" s="243">
        <v>4</v>
      </c>
      <c r="U405" s="244" t="s">
        <v>1467</v>
      </c>
      <c r="V405" s="243" t="s">
        <v>80</v>
      </c>
      <c r="W405" s="244"/>
      <c r="X405" s="244"/>
      <c r="Y405" s="235" t="s">
        <v>1062</v>
      </c>
      <c r="Z405" s="250" t="s">
        <v>1462</v>
      </c>
      <c r="AA405" s="250" t="s">
        <v>1463</v>
      </c>
      <c r="AB405" s="250"/>
      <c r="AC405" s="244" t="s">
        <v>449</v>
      </c>
      <c r="AD405" s="250"/>
      <c r="AE405" s="250">
        <v>250</v>
      </c>
      <c r="AF405" s="252" t="s">
        <v>434</v>
      </c>
      <c r="AG405" s="247"/>
      <c r="AH405" s="248" t="s">
        <v>435</v>
      </c>
      <c r="AJ405" s="249"/>
      <c r="AK405" s="232" t="s">
        <v>1464</v>
      </c>
      <c r="AL405" s="232" t="s">
        <v>1465</v>
      </c>
      <c r="AN405" s="233" t="s">
        <v>1460</v>
      </c>
      <c r="AO405" s="232" t="s">
        <v>411</v>
      </c>
      <c r="AP405" s="232">
        <v>53565</v>
      </c>
      <c r="AQ405" s="232" t="str">
        <f>CONCATENATE(AN405,AO405,AP405)</f>
        <v>210-53565</v>
      </c>
      <c r="AR405" s="232" t="s">
        <v>1468</v>
      </c>
      <c r="AX405" s="244"/>
      <c r="AY405" s="244"/>
      <c r="AZ405" s="232" t="str">
        <f>IF($AX405="Yes",'8. Option Codes Decrypted'!$C$15,"")</f>
        <v/>
      </c>
      <c r="BA405" s="232" t="str">
        <f>IF($AX405="Yes",'8. Option Codes Decrypted'!$C$16,"")</f>
        <v/>
      </c>
      <c r="BB405" s="232" t="str">
        <f>IF($AX405="Yes",'8. Option Codes Decrypted'!$C$17,"")</f>
        <v/>
      </c>
      <c r="BC405" s="232" t="str">
        <f>IF($AX405="Yes",'8. Option Codes Decrypted'!$C$18,"")</f>
        <v/>
      </c>
      <c r="BD405" s="232" t="str">
        <f>IF($AY405="Yes",'8. Option Codes Decrypted'!$C$20,"")</f>
        <v/>
      </c>
      <c r="BE405" s="232" t="str">
        <f>IF($AY405="Yes",'8. Option Codes Decrypted'!$C$21,"")</f>
        <v/>
      </c>
      <c r="BF405" s="232" t="str">
        <f>IF($AY405="Yes",'8. Option Codes Decrypted'!$C$22,"")</f>
        <v/>
      </c>
      <c r="BG405" s="232" t="str">
        <f>IF($AY405="Yes",'8. Option Codes Decrypted'!$C$23,"")</f>
        <v/>
      </c>
    </row>
    <row r="406" spans="1:59" s="296" customFormat="1" ht="15.75" thickBot="1" x14ac:dyDescent="0.3">
      <c r="A406" s="232" t="str">
        <f t="shared" si="76"/>
        <v>A70</v>
      </c>
      <c r="B406" s="358" t="str">
        <f t="shared" si="73"/>
        <v/>
      </c>
      <c r="C406" s="358" t="str">
        <f>IF(AS406&lt;&gt;"",AS406,"")</f>
        <v>F15-Seatbelt, Buckles REAR 2ND ROW - SET 3-14-18-ALL</v>
      </c>
      <c r="D406" s="358"/>
      <c r="E406" s="358" t="str">
        <f t="shared" si="74"/>
        <v/>
      </c>
      <c r="F406" s="296" t="s">
        <v>426</v>
      </c>
      <c r="G406" s="297">
        <v>44673</v>
      </c>
      <c r="H406" s="321"/>
      <c r="I406" s="298"/>
      <c r="J406" s="298" t="s">
        <v>427</v>
      </c>
      <c r="K406" s="298" t="s">
        <v>1469</v>
      </c>
      <c r="L406" s="298" t="s">
        <v>1454</v>
      </c>
      <c r="M406" s="298" t="s">
        <v>430</v>
      </c>
      <c r="N406" s="298">
        <v>60</v>
      </c>
      <c r="O406" s="299" t="s">
        <v>314</v>
      </c>
      <c r="P406" s="299" t="s">
        <v>445</v>
      </c>
      <c r="Q406" s="299">
        <v>1</v>
      </c>
      <c r="R406" s="299" t="str">
        <f t="shared" si="75"/>
        <v>A70. Seatbelt, Buckles REAR 2ND ROW - SET 3</v>
      </c>
      <c r="S406" s="365" t="str">
        <f>HYPERLINK(VLOOKUP(O406,'3D. Pictures'!$B$3:$E$500,4,FALSE),"PIC")</f>
        <v>PIC</v>
      </c>
      <c r="T406" s="298">
        <v>3</v>
      </c>
      <c r="U406" s="298" t="s">
        <v>1470</v>
      </c>
      <c r="V406" s="298" t="s">
        <v>80</v>
      </c>
      <c r="W406" s="298"/>
      <c r="X406" s="298"/>
      <c r="Y406" s="298"/>
      <c r="Z406" s="298" t="s">
        <v>1471</v>
      </c>
      <c r="AA406" s="298"/>
      <c r="AB406" s="298"/>
      <c r="AC406" s="213" t="s">
        <v>1472</v>
      </c>
      <c r="AD406" s="298"/>
      <c r="AE406" s="298">
        <v>80</v>
      </c>
      <c r="AF406" s="300" t="s">
        <v>434</v>
      </c>
      <c r="AG406" s="301"/>
      <c r="AH406" s="302" t="s">
        <v>435</v>
      </c>
      <c r="AJ406" s="303"/>
      <c r="AK406" s="296" t="s">
        <v>1473</v>
      </c>
      <c r="AS406" s="296" t="str">
        <f>CONCATENATE(AT406,"-",AU406,"-",AV406,"-",AW406)</f>
        <v>F15-Seatbelt, Buckles REAR 2ND ROW - SET 3-14-18-ALL</v>
      </c>
      <c r="AT406" s="296" t="s">
        <v>661</v>
      </c>
      <c r="AU406" s="296" t="str">
        <f>Z406</f>
        <v>Seatbelt, Buckles REAR 2ND ROW - SET 3</v>
      </c>
      <c r="AV406" s="296" t="s">
        <v>757</v>
      </c>
      <c r="AW406" s="296" t="s">
        <v>662</v>
      </c>
      <c r="AX406" s="298"/>
      <c r="AY406" s="298"/>
      <c r="AZ406" s="232" t="str">
        <f>IF($AX406="Yes",'8. Option Codes Decrypted'!$C$15,"")</f>
        <v/>
      </c>
      <c r="BA406" s="232" t="str">
        <f>IF($AX406="Yes",'8. Option Codes Decrypted'!$C$16,"")</f>
        <v/>
      </c>
      <c r="BB406" s="232" t="str">
        <f>IF($AX406="Yes",'8. Option Codes Decrypted'!$C$17,"")</f>
        <v/>
      </c>
      <c r="BC406" s="232" t="str">
        <f>IF($AX406="Yes",'8. Option Codes Decrypted'!$C$18,"")</f>
        <v/>
      </c>
      <c r="BD406" s="232" t="str">
        <f>IF($AY406="Yes",'8. Option Codes Decrypted'!$C$20,"")</f>
        <v/>
      </c>
      <c r="BE406" s="232" t="str">
        <f>IF($AY406="Yes",'8. Option Codes Decrypted'!$C$21,"")</f>
        <v/>
      </c>
      <c r="BF406" s="232" t="str">
        <f>IF($AY406="Yes",'8. Option Codes Decrypted'!$C$22,"")</f>
        <v/>
      </c>
      <c r="BG406" s="232" t="str">
        <f>IF($AY406="Yes",'8. Option Codes Decrypted'!$C$23,"")</f>
        <v/>
      </c>
    </row>
    <row r="407" spans="1:59" s="296" customFormat="1" ht="15.75" thickBot="1" x14ac:dyDescent="0.3">
      <c r="A407" s="232" t="str">
        <f t="shared" si="76"/>
        <v>A68</v>
      </c>
      <c r="B407" s="358" t="str">
        <f t="shared" si="73"/>
        <v/>
      </c>
      <c r="C407" s="358" t="str">
        <f>IF(AS407&lt;&gt;"",AS407,"")</f>
        <v>F15-Seatbelt, Retractors REAR 2nd ROW - LEFT &amp; RIGHT SET2-14-18-ALL</v>
      </c>
      <c r="D407" s="358"/>
      <c r="E407" s="358" t="str">
        <f t="shared" si="74"/>
        <v/>
      </c>
      <c r="F407" s="296" t="s">
        <v>426</v>
      </c>
      <c r="G407" s="297">
        <v>44673</v>
      </c>
      <c r="H407" s="321"/>
      <c r="I407" s="298"/>
      <c r="J407" s="298" t="s">
        <v>427</v>
      </c>
      <c r="K407" s="298" t="s">
        <v>1469</v>
      </c>
      <c r="L407" s="298" t="s">
        <v>1461</v>
      </c>
      <c r="M407" s="298" t="s">
        <v>430</v>
      </c>
      <c r="N407" s="298">
        <v>58</v>
      </c>
      <c r="O407" s="299" t="s">
        <v>312</v>
      </c>
      <c r="P407" s="299" t="s">
        <v>445</v>
      </c>
      <c r="Q407" s="299">
        <v>1</v>
      </c>
      <c r="R407" s="299" t="str">
        <f t="shared" si="75"/>
        <v>A68. Seatbelt, Retractors REAR 2nd ROW - LEFT &amp; RIGHT SET2</v>
      </c>
      <c r="S407" s="365" t="str">
        <f>HYPERLINK(VLOOKUP(O407,'3D. Pictures'!$B$3:$E$500,4,FALSE),"PIC")</f>
        <v>PIC</v>
      </c>
      <c r="T407" s="298">
        <v>3</v>
      </c>
      <c r="U407" s="298" t="s">
        <v>1474</v>
      </c>
      <c r="V407" s="298" t="s">
        <v>80</v>
      </c>
      <c r="W407" s="298"/>
      <c r="X407" s="298"/>
      <c r="Y407" s="235" t="s">
        <v>1062</v>
      </c>
      <c r="Z407" s="298" t="s">
        <v>1475</v>
      </c>
      <c r="AA407" s="298" t="s">
        <v>1476</v>
      </c>
      <c r="AB407" s="298"/>
      <c r="AC407" s="213" t="s">
        <v>439</v>
      </c>
      <c r="AD407" s="298"/>
      <c r="AE407" s="298">
        <v>100</v>
      </c>
      <c r="AF407" s="300" t="s">
        <v>434</v>
      </c>
      <c r="AG407" s="301"/>
      <c r="AH407" s="302" t="s">
        <v>435</v>
      </c>
      <c r="AJ407" s="303"/>
      <c r="AK407" s="296" t="s">
        <v>1477</v>
      </c>
      <c r="AS407" s="296" t="str">
        <f>CONCATENATE(AT407,"-",AU407,"-",AV407,"-",AW407)</f>
        <v>F15-Seatbelt, Retractors REAR 2nd ROW - LEFT &amp; RIGHT SET2-14-18-ALL</v>
      </c>
      <c r="AT407" s="296" t="s">
        <v>661</v>
      </c>
      <c r="AU407" s="296" t="str">
        <f>Z407</f>
        <v>Seatbelt, Retractors REAR 2nd ROW - LEFT &amp; RIGHT SET2</v>
      </c>
      <c r="AV407" s="296" t="s">
        <v>757</v>
      </c>
      <c r="AW407" s="296" t="s">
        <v>662</v>
      </c>
      <c r="AX407" s="298"/>
      <c r="AY407" s="298"/>
      <c r="AZ407" s="232" t="str">
        <f>IF($AX407="Yes",'8. Option Codes Decrypted'!$C$15,"")</f>
        <v/>
      </c>
      <c r="BA407" s="232" t="str">
        <f>IF($AX407="Yes",'8. Option Codes Decrypted'!$C$16,"")</f>
        <v/>
      </c>
      <c r="BB407" s="232" t="str">
        <f>IF($AX407="Yes",'8. Option Codes Decrypted'!$C$17,"")</f>
        <v/>
      </c>
      <c r="BC407" s="232" t="str">
        <f>IF($AX407="Yes",'8. Option Codes Decrypted'!$C$18,"")</f>
        <v/>
      </c>
      <c r="BD407" s="232" t="str">
        <f>IF($AY407="Yes",'8. Option Codes Decrypted'!$C$20,"")</f>
        <v/>
      </c>
      <c r="BE407" s="232" t="str">
        <f>IF($AY407="Yes",'8. Option Codes Decrypted'!$C$21,"")</f>
        <v/>
      </c>
      <c r="BF407" s="232" t="str">
        <f>IF($AY407="Yes",'8. Option Codes Decrypted'!$C$22,"")</f>
        <v/>
      </c>
      <c r="BG407" s="232" t="str">
        <f>IF($AY407="Yes",'8. Option Codes Decrypted'!$C$23,"")</f>
        <v/>
      </c>
    </row>
    <row r="408" spans="1:59" s="232" customFormat="1" ht="15.75" thickBot="1" x14ac:dyDescent="0.3">
      <c r="A408" s="232" t="str">
        <f t="shared" si="76"/>
        <v>A60</v>
      </c>
      <c r="B408" s="358" t="str">
        <f t="shared" si="73"/>
        <v>210-53562</v>
      </c>
      <c r="C408" s="358" t="s">
        <v>1478</v>
      </c>
      <c r="D408" s="358"/>
      <c r="E408" s="358">
        <f t="shared" si="74"/>
        <v>2</v>
      </c>
      <c r="F408" s="232" t="s">
        <v>426</v>
      </c>
      <c r="G408" s="241">
        <v>44673</v>
      </c>
      <c r="H408" s="256"/>
      <c r="I408" s="250"/>
      <c r="J408" s="250" t="s">
        <v>427</v>
      </c>
      <c r="K408" s="250" t="s">
        <v>1479</v>
      </c>
      <c r="L408" s="250" t="s">
        <v>1454</v>
      </c>
      <c r="M408" s="243" t="s">
        <v>444</v>
      </c>
      <c r="N408" s="243">
        <v>50</v>
      </c>
      <c r="O408" s="285" t="s">
        <v>304</v>
      </c>
      <c r="P408" s="285" t="s">
        <v>445</v>
      </c>
      <c r="Q408" s="285">
        <v>1</v>
      </c>
      <c r="R408" s="286" t="str">
        <f t="shared" si="75"/>
        <v>A60. Seatbelt Buckle, FRONT - RIGHT</v>
      </c>
      <c r="S408" s="365" t="str">
        <f>HYPERLINK(VLOOKUP(O408,'3D. Pictures'!$B$3:$E$500,4,FALSE),"PIC")</f>
        <v>PIC</v>
      </c>
      <c r="T408" s="243">
        <v>4</v>
      </c>
      <c r="U408" s="244" t="s">
        <v>1455</v>
      </c>
      <c r="V408" s="243" t="s">
        <v>80</v>
      </c>
      <c r="W408" s="244"/>
      <c r="X408" s="244"/>
      <c r="Y408" s="244"/>
      <c r="Z408" s="250" t="s">
        <v>1480</v>
      </c>
      <c r="AA408" s="250"/>
      <c r="AB408" s="250"/>
      <c r="AC408" s="244" t="s">
        <v>449</v>
      </c>
      <c r="AD408" s="250" t="s">
        <v>1457</v>
      </c>
      <c r="AE408" s="259">
        <v>80</v>
      </c>
      <c r="AF408" s="252" t="s">
        <v>434</v>
      </c>
      <c r="AG408" s="247"/>
      <c r="AH408" s="248" t="s">
        <v>435</v>
      </c>
      <c r="AJ408" s="249"/>
      <c r="AK408" s="232" t="s">
        <v>1458</v>
      </c>
      <c r="AL408" s="232" t="s">
        <v>1459</v>
      </c>
      <c r="AN408" s="233" t="s">
        <v>1460</v>
      </c>
      <c r="AO408" s="232" t="s">
        <v>411</v>
      </c>
      <c r="AP408" s="232">
        <v>53562</v>
      </c>
      <c r="AQ408" s="232" t="str">
        <f>CONCATENATE(AN408,AO408,AP408)</f>
        <v>210-53562</v>
      </c>
      <c r="AX408" s="244"/>
      <c r="AY408" s="244"/>
      <c r="AZ408" s="232" t="str">
        <f>IF($AX408="Yes",'8. Option Codes Decrypted'!$C$15,"")</f>
        <v/>
      </c>
      <c r="BA408" s="232" t="str">
        <f>IF($AX408="Yes",'8. Option Codes Decrypted'!$C$16,"")</f>
        <v/>
      </c>
      <c r="BB408" s="232" t="str">
        <f>IF($AX408="Yes",'8. Option Codes Decrypted'!$C$17,"")</f>
        <v/>
      </c>
      <c r="BC408" s="232" t="str">
        <f>IF($AX408="Yes",'8. Option Codes Decrypted'!$C$18,"")</f>
        <v/>
      </c>
      <c r="BD408" s="232" t="str">
        <f>IF($AY408="Yes",'8. Option Codes Decrypted'!$C$20,"")</f>
        <v/>
      </c>
      <c r="BE408" s="232" t="str">
        <f>IF($AY408="Yes",'8. Option Codes Decrypted'!$C$21,"")</f>
        <v/>
      </c>
      <c r="BF408" s="232" t="str">
        <f>IF($AY408="Yes",'8. Option Codes Decrypted'!$C$22,"")</f>
        <v/>
      </c>
      <c r="BG408" s="232" t="str">
        <f>IF($AY408="Yes",'8. Option Codes Decrypted'!$C$23,"")</f>
        <v/>
      </c>
    </row>
    <row r="409" spans="1:59" s="232" customFormat="1" ht="15.75" thickBot="1" x14ac:dyDescent="0.3">
      <c r="A409" s="232" t="str">
        <f t="shared" si="76"/>
        <v/>
      </c>
      <c r="B409" s="358" t="str">
        <f t="shared" si="73"/>
        <v>210-53852</v>
      </c>
      <c r="C409" s="358" t="str">
        <f t="shared" ref="C409:C434" si="77">IF(AS409&lt;&gt;"",AS409,"")</f>
        <v/>
      </c>
      <c r="D409" s="358"/>
      <c r="E409" s="358">
        <f t="shared" si="74"/>
        <v>1</v>
      </c>
      <c r="F409" s="232" t="s">
        <v>426</v>
      </c>
      <c r="G409" s="241">
        <v>44673</v>
      </c>
      <c r="H409" s="256"/>
      <c r="I409" s="250"/>
      <c r="J409" s="250" t="s">
        <v>427</v>
      </c>
      <c r="K409" s="250" t="s">
        <v>1479</v>
      </c>
      <c r="L409" s="250" t="s">
        <v>1461</v>
      </c>
      <c r="M409" s="243" t="s">
        <v>444</v>
      </c>
      <c r="N409" s="243"/>
      <c r="O409" s="285"/>
      <c r="P409" s="285"/>
      <c r="Q409" s="285"/>
      <c r="R409" s="286" t="str">
        <f t="shared" si="75"/>
        <v>. Seatbelt Retractor, FRONT - RIGHT</v>
      </c>
      <c r="S409" s="286"/>
      <c r="T409" s="243"/>
      <c r="U409" s="244"/>
      <c r="V409" s="243"/>
      <c r="W409" s="244"/>
      <c r="X409" s="244"/>
      <c r="Y409" s="235" t="s">
        <v>1083</v>
      </c>
      <c r="Z409" s="250" t="s">
        <v>1481</v>
      </c>
      <c r="AA409" s="250" t="s">
        <v>1463</v>
      </c>
      <c r="AB409" s="250"/>
      <c r="AC409" s="244" t="s">
        <v>449</v>
      </c>
      <c r="AD409" s="250"/>
      <c r="AE409" s="250">
        <v>200</v>
      </c>
      <c r="AF409" s="252" t="s">
        <v>434</v>
      </c>
      <c r="AG409" s="247"/>
      <c r="AH409" s="248" t="s">
        <v>435</v>
      </c>
      <c r="AJ409" s="249"/>
      <c r="AK409" s="232" t="s">
        <v>1482</v>
      </c>
      <c r="AL409" s="232" t="s">
        <v>1483</v>
      </c>
      <c r="AN409" s="233" t="s">
        <v>1460</v>
      </c>
      <c r="AO409" s="232" t="s">
        <v>411</v>
      </c>
      <c r="AP409" s="232">
        <v>53852</v>
      </c>
      <c r="AQ409" s="232" t="str">
        <f>CONCATENATE(AN409,AO409,AP409)</f>
        <v>210-53852</v>
      </c>
      <c r="AR409" s="232" t="s">
        <v>1466</v>
      </c>
      <c r="AX409" s="244"/>
      <c r="AY409" s="244"/>
      <c r="AZ409" s="232" t="str">
        <f>IF($AX409="Yes",'8. Option Codes Decrypted'!$C$15,"")</f>
        <v/>
      </c>
      <c r="BA409" s="232" t="str">
        <f>IF($AX409="Yes",'8. Option Codes Decrypted'!$C$16,"")</f>
        <v/>
      </c>
      <c r="BB409" s="232" t="str">
        <f>IF($AX409="Yes",'8. Option Codes Decrypted'!$C$17,"")</f>
        <v/>
      </c>
      <c r="BC409" s="232" t="str">
        <f>IF($AX409="Yes",'8. Option Codes Decrypted'!$C$18,"")</f>
        <v/>
      </c>
      <c r="BD409" s="232" t="str">
        <f>IF($AY409="Yes",'8. Option Codes Decrypted'!$C$20,"")</f>
        <v/>
      </c>
      <c r="BE409" s="232" t="str">
        <f>IF($AY409="Yes",'8. Option Codes Decrypted'!$C$21,"")</f>
        <v/>
      </c>
      <c r="BF409" s="232" t="str">
        <f>IF($AY409="Yes",'8. Option Codes Decrypted'!$C$22,"")</f>
        <v/>
      </c>
      <c r="BG409" s="232" t="str">
        <f>IF($AY409="Yes",'8. Option Codes Decrypted'!$C$23,"")</f>
        <v/>
      </c>
    </row>
    <row r="410" spans="1:59" s="232" customFormat="1" ht="15.75" thickBot="1" x14ac:dyDescent="0.3">
      <c r="A410" s="232" t="str">
        <f t="shared" si="76"/>
        <v>A63</v>
      </c>
      <c r="B410" s="358" t="str">
        <f t="shared" si="73"/>
        <v>210-53566</v>
      </c>
      <c r="C410" s="358" t="str">
        <f t="shared" si="77"/>
        <v/>
      </c>
      <c r="D410" s="358"/>
      <c r="E410" s="358">
        <f t="shared" si="74"/>
        <v>1</v>
      </c>
      <c r="F410" s="232" t="s">
        <v>426</v>
      </c>
      <c r="G410" s="241">
        <v>44673</v>
      </c>
      <c r="H410" s="256"/>
      <c r="I410" s="250"/>
      <c r="J410" s="250" t="s">
        <v>427</v>
      </c>
      <c r="K410" s="250" t="s">
        <v>1479</v>
      </c>
      <c r="L410" s="250" t="s">
        <v>1461</v>
      </c>
      <c r="M410" s="243" t="s">
        <v>444</v>
      </c>
      <c r="N410" s="243">
        <v>53</v>
      </c>
      <c r="O410" s="285" t="s">
        <v>307</v>
      </c>
      <c r="P410" s="285" t="s">
        <v>445</v>
      </c>
      <c r="Q410" s="285">
        <v>1</v>
      </c>
      <c r="R410" s="286" t="str">
        <f t="shared" si="75"/>
        <v>A63. Seatbelt Retractor, FRONT - RIGHT</v>
      </c>
      <c r="S410" s="365" t="str">
        <f>HYPERLINK(VLOOKUP(O410,'3D. Pictures'!$B$3:$E$500,4,FALSE),"PIC")</f>
        <v>PIC</v>
      </c>
      <c r="T410" s="243">
        <v>4</v>
      </c>
      <c r="U410" s="244" t="s">
        <v>1484</v>
      </c>
      <c r="V410" s="243" t="s">
        <v>80</v>
      </c>
      <c r="W410" s="333"/>
      <c r="X410" s="333"/>
      <c r="Y410" s="235" t="s">
        <v>1062</v>
      </c>
      <c r="Z410" s="250" t="s">
        <v>1481</v>
      </c>
      <c r="AA410" s="250" t="s">
        <v>1463</v>
      </c>
      <c r="AB410" s="250"/>
      <c r="AC410" s="244" t="s">
        <v>449</v>
      </c>
      <c r="AD410" s="250"/>
      <c r="AE410" s="250">
        <v>200</v>
      </c>
      <c r="AF410" s="252" t="s">
        <v>434</v>
      </c>
      <c r="AG410" s="247"/>
      <c r="AH410" s="248" t="s">
        <v>435</v>
      </c>
      <c r="AJ410" s="249"/>
      <c r="AK410" s="232" t="s">
        <v>1482</v>
      </c>
      <c r="AL410" s="232" t="s">
        <v>1483</v>
      </c>
      <c r="AN410" s="233" t="s">
        <v>1460</v>
      </c>
      <c r="AO410" s="232" t="s">
        <v>411</v>
      </c>
      <c r="AP410" s="232">
        <v>53566</v>
      </c>
      <c r="AQ410" s="232" t="str">
        <f>CONCATENATE(AN410,AO410,AP410)</f>
        <v>210-53566</v>
      </c>
      <c r="AR410" s="232" t="s">
        <v>1468</v>
      </c>
      <c r="AX410" s="333"/>
      <c r="AY410" s="333"/>
      <c r="AZ410" s="232" t="str">
        <f>IF($AX410="Yes",'8. Option Codes Decrypted'!$C$15,"")</f>
        <v/>
      </c>
      <c r="BA410" s="232" t="str">
        <f>IF($AX410="Yes",'8. Option Codes Decrypted'!$C$16,"")</f>
        <v/>
      </c>
      <c r="BB410" s="232" t="str">
        <f>IF($AX410="Yes",'8. Option Codes Decrypted'!$C$17,"")</f>
        <v/>
      </c>
      <c r="BC410" s="232" t="str">
        <f>IF($AX410="Yes",'8. Option Codes Decrypted'!$C$18,"")</f>
        <v/>
      </c>
      <c r="BD410" s="232" t="str">
        <f>IF($AY410="Yes",'8. Option Codes Decrypted'!$C$20,"")</f>
        <v/>
      </c>
      <c r="BE410" s="232" t="str">
        <f>IF($AY410="Yes",'8. Option Codes Decrypted'!$C$21,"")</f>
        <v/>
      </c>
      <c r="BF410" s="232" t="str">
        <f>IF($AY410="Yes",'8. Option Codes Decrypted'!$C$22,"")</f>
        <v/>
      </c>
      <c r="BG410" s="232" t="str">
        <f>IF($AY410="Yes",'8. Option Codes Decrypted'!$C$23,"")</f>
        <v/>
      </c>
    </row>
    <row r="411" spans="1:59" s="296" customFormat="1" ht="15.75" thickBot="1" x14ac:dyDescent="0.3">
      <c r="A411" s="232" t="str">
        <f t="shared" si="76"/>
        <v>A82</v>
      </c>
      <c r="B411" s="358" t="str">
        <f t="shared" si="73"/>
        <v/>
      </c>
      <c r="C411" s="358" t="str">
        <f t="shared" si="77"/>
        <v>F15-Headrest, FRONT - LEFT (ACTIVE)-14-18-ALL</v>
      </c>
      <c r="D411" s="358"/>
      <c r="E411" s="358" t="str">
        <f t="shared" si="74"/>
        <v/>
      </c>
      <c r="F411" s="296" t="s">
        <v>426</v>
      </c>
      <c r="G411" s="297">
        <v>44673</v>
      </c>
      <c r="H411" s="322"/>
      <c r="I411" s="306" t="s">
        <v>441</v>
      </c>
      <c r="J411" s="213" t="s">
        <v>427</v>
      </c>
      <c r="K411" s="213" t="s">
        <v>1485</v>
      </c>
      <c r="L411" s="213" t="s">
        <v>1486</v>
      </c>
      <c r="M411" s="298" t="s">
        <v>430</v>
      </c>
      <c r="N411" s="298">
        <v>72</v>
      </c>
      <c r="O411" s="299" t="s">
        <v>326</v>
      </c>
      <c r="P411" s="299" t="s">
        <v>1060</v>
      </c>
      <c r="Q411" s="299">
        <v>1</v>
      </c>
      <c r="R411" s="299" t="str">
        <f t="shared" si="75"/>
        <v>A82. Headrest, FRONT - LEFT (ACTIVE)</v>
      </c>
      <c r="S411" s="365" t="str">
        <f>HYPERLINK(VLOOKUP(O411,'3D. Pictures'!$B$3:$E$500,4,FALSE),"PIC")</f>
        <v>PIC</v>
      </c>
      <c r="T411" s="298">
        <v>6</v>
      </c>
      <c r="U411" s="298" t="s">
        <v>1029</v>
      </c>
      <c r="V411" s="298" t="s">
        <v>80</v>
      </c>
      <c r="W411" s="298"/>
      <c r="X411" s="298"/>
      <c r="Y411" s="298"/>
      <c r="Z411" s="213" t="s">
        <v>1487</v>
      </c>
      <c r="AA411" s="213" t="s">
        <v>1488</v>
      </c>
      <c r="AB411" s="213"/>
      <c r="AC411" s="213" t="s">
        <v>449</v>
      </c>
      <c r="AD411" s="213"/>
      <c r="AE411" s="213">
        <v>175</v>
      </c>
      <c r="AF411" s="300" t="s">
        <v>434</v>
      </c>
      <c r="AG411" s="301"/>
      <c r="AH411" s="302" t="s">
        <v>435</v>
      </c>
      <c r="AJ411" s="303"/>
      <c r="AK411" s="296" t="s">
        <v>1489</v>
      </c>
      <c r="AS411" s="296" t="str">
        <f>CONCATENATE(AT411,"-",AU411,"-",AV411,"-",AW411)</f>
        <v>F15-Headrest, FRONT - LEFT (ACTIVE)-14-18-ALL</v>
      </c>
      <c r="AT411" s="296" t="s">
        <v>661</v>
      </c>
      <c r="AU411" s="296" t="str">
        <f>Z411</f>
        <v>Headrest, FRONT - LEFT (ACTIVE)</v>
      </c>
      <c r="AV411" s="296" t="s">
        <v>757</v>
      </c>
      <c r="AW411" s="296" t="s">
        <v>662</v>
      </c>
      <c r="AX411" s="298"/>
      <c r="AY411" s="298" t="s">
        <v>80</v>
      </c>
      <c r="AZ411" s="232" t="str">
        <f>IF($AX411="Yes",'8. Option Codes Decrypted'!$C$15,"")</f>
        <v/>
      </c>
      <c r="BA411" s="232" t="str">
        <f>IF($AX411="Yes",'8. Option Codes Decrypted'!$C$16,"")</f>
        <v/>
      </c>
      <c r="BB411" s="232" t="str">
        <f>IF($AX411="Yes",'8. Option Codes Decrypted'!$C$17,"")</f>
        <v/>
      </c>
      <c r="BC411" s="232" t="str">
        <f>IF($AX411="Yes",'8. Option Codes Decrypted'!$C$18,"")</f>
        <v/>
      </c>
      <c r="BD411" s="232" t="str">
        <f>IF($AY411="Yes",'8. Option Codes Decrypted'!$C$20,"")</f>
        <v>Leather</v>
      </c>
      <c r="BE411" s="232" t="str">
        <f>IF($AY411="Yes",'8. Option Codes Decrypted'!$C$21,"")</f>
        <v>Black</v>
      </c>
      <c r="BF411" s="232" t="str">
        <f>IF($AY411="Yes",'8. Option Codes Decrypted'!$C$22,"")</f>
        <v>Black Dakota Leather (LCSW)</v>
      </c>
      <c r="BG411" s="232" t="str">
        <f>IF($AY411="Yes",'8. Option Codes Decrypted'!$C$23,"")</f>
        <v>LCSW</v>
      </c>
    </row>
    <row r="412" spans="1:59" s="296" customFormat="1" ht="15.75" thickBot="1" x14ac:dyDescent="0.3">
      <c r="A412" s="232" t="str">
        <f t="shared" si="76"/>
        <v/>
      </c>
      <c r="B412" s="358" t="str">
        <f t="shared" ref="B412" si="78">IF(AQ412&lt;&gt;"",AQ412,"")</f>
        <v/>
      </c>
      <c r="C412" s="358" t="str">
        <f t="shared" ref="C412" si="79">IF(AS412&lt;&gt;"",AS412,"")</f>
        <v>F15-Headrest, FRONT - LEFT (STANDARD)-14-18-ALL</v>
      </c>
      <c r="D412" s="358"/>
      <c r="E412" s="358" t="str">
        <f t="shared" si="74"/>
        <v/>
      </c>
      <c r="F412" s="296" t="s">
        <v>426</v>
      </c>
      <c r="G412" s="297">
        <v>44673</v>
      </c>
      <c r="H412" s="322"/>
      <c r="I412" s="306" t="s">
        <v>441</v>
      </c>
      <c r="J412" s="213" t="s">
        <v>427</v>
      </c>
      <c r="K412" s="213" t="s">
        <v>1485</v>
      </c>
      <c r="L412" s="213" t="s">
        <v>1486</v>
      </c>
      <c r="M412" s="298" t="s">
        <v>430</v>
      </c>
      <c r="N412" s="298"/>
      <c r="O412" s="299"/>
      <c r="P412" s="299"/>
      <c r="Q412" s="299"/>
      <c r="R412" s="299"/>
      <c r="S412" s="299"/>
      <c r="T412" s="298"/>
      <c r="U412" s="298"/>
      <c r="V412" s="298"/>
      <c r="W412" s="298"/>
      <c r="X412" s="298"/>
      <c r="Y412" s="298"/>
      <c r="Z412" s="213" t="s">
        <v>1490</v>
      </c>
      <c r="AA412" s="213" t="s">
        <v>1488</v>
      </c>
      <c r="AB412" s="213"/>
      <c r="AC412" s="213" t="s">
        <v>449</v>
      </c>
      <c r="AD412" s="213"/>
      <c r="AE412" s="213">
        <v>135</v>
      </c>
      <c r="AF412" s="300" t="s">
        <v>434</v>
      </c>
      <c r="AG412" s="301"/>
      <c r="AH412" s="302" t="s">
        <v>435</v>
      </c>
      <c r="AJ412" s="303"/>
      <c r="AK412" s="296" t="s">
        <v>1489</v>
      </c>
      <c r="AS412" s="296" t="str">
        <f>CONCATENATE(AT412,"-",AU412,"-",AV412,"-",AW412)</f>
        <v>F15-Headrest, FRONT - LEFT (STANDARD)-14-18-ALL</v>
      </c>
      <c r="AT412" s="296" t="s">
        <v>661</v>
      </c>
      <c r="AU412" s="296" t="str">
        <f>Z412</f>
        <v>Headrest, FRONT - LEFT (STANDARD)</v>
      </c>
      <c r="AV412" s="296" t="s">
        <v>757</v>
      </c>
      <c r="AW412" s="296" t="s">
        <v>662</v>
      </c>
      <c r="AX412" s="298"/>
      <c r="AY412" s="298" t="s">
        <v>80</v>
      </c>
      <c r="AZ412" s="232" t="str">
        <f>IF($AX412="Yes",'8. Option Codes Decrypted'!$C$15,"")</f>
        <v/>
      </c>
      <c r="BA412" s="232" t="str">
        <f>IF($AX412="Yes",'8. Option Codes Decrypted'!$C$16,"")</f>
        <v/>
      </c>
      <c r="BB412" s="232" t="str">
        <f>IF($AX412="Yes",'8. Option Codes Decrypted'!$C$17,"")</f>
        <v/>
      </c>
      <c r="BC412" s="232" t="str">
        <f>IF($AX412="Yes",'8. Option Codes Decrypted'!$C$18,"")</f>
        <v/>
      </c>
      <c r="BD412" s="232" t="str">
        <f>IF($AY412="Yes",'8. Option Codes Decrypted'!$C$20,"")</f>
        <v>Leather</v>
      </c>
      <c r="BE412" s="232" t="str">
        <f>IF($AY412="Yes",'8. Option Codes Decrypted'!$C$21,"")</f>
        <v>Black</v>
      </c>
      <c r="BF412" s="232" t="str">
        <f>IF($AY412="Yes",'8. Option Codes Decrypted'!$C$22,"")</f>
        <v>Black Dakota Leather (LCSW)</v>
      </c>
      <c r="BG412" s="232" t="str">
        <f>IF($AY412="Yes",'8. Option Codes Decrypted'!$C$23,"")</f>
        <v>LCSW</v>
      </c>
    </row>
    <row r="413" spans="1:59" s="296" customFormat="1" ht="15.75" thickBot="1" x14ac:dyDescent="0.3">
      <c r="A413" s="232" t="str">
        <f t="shared" si="76"/>
        <v>A57</v>
      </c>
      <c r="B413" s="358" t="str">
        <f t="shared" si="73"/>
        <v/>
      </c>
      <c r="C413" s="358" t="str">
        <f t="shared" si="77"/>
        <v>F15-Seat Adjust Switch, FRONT - LEFT-14-18-ALL</v>
      </c>
      <c r="D413" s="358"/>
      <c r="E413" s="358" t="str">
        <f t="shared" si="74"/>
        <v/>
      </c>
      <c r="F413" s="296" t="s">
        <v>426</v>
      </c>
      <c r="G413" s="297">
        <v>44684</v>
      </c>
      <c r="H413" s="322"/>
      <c r="I413" s="306" t="s">
        <v>441</v>
      </c>
      <c r="J413" s="213" t="s">
        <v>427</v>
      </c>
      <c r="K413" s="213" t="s">
        <v>1485</v>
      </c>
      <c r="L413" s="213" t="s">
        <v>1491</v>
      </c>
      <c r="M413" s="298" t="s">
        <v>430</v>
      </c>
      <c r="N413" s="298">
        <v>47</v>
      </c>
      <c r="O413" s="299" t="s">
        <v>301</v>
      </c>
      <c r="P413" s="299" t="s">
        <v>445</v>
      </c>
      <c r="Q413" s="299">
        <v>1</v>
      </c>
      <c r="R413" s="299" t="str">
        <f t="shared" si="75"/>
        <v>A57. Seat Adjust Switch, FRONT - LEFT</v>
      </c>
      <c r="S413" s="365" t="str">
        <f>HYPERLINK(VLOOKUP(O413,'3D. Pictures'!$B$3:$E$500,4,FALSE),"PIC")</f>
        <v>PIC</v>
      </c>
      <c r="T413" s="298">
        <v>4</v>
      </c>
      <c r="U413" s="298">
        <v>9347403</v>
      </c>
      <c r="V413" s="298" t="s">
        <v>80</v>
      </c>
      <c r="W413" s="298"/>
      <c r="X413" s="298"/>
      <c r="Y413" s="235" t="s">
        <v>1062</v>
      </c>
      <c r="Z413" s="213" t="s">
        <v>1492</v>
      </c>
      <c r="AA413" s="213"/>
      <c r="AB413" s="213"/>
      <c r="AC413" s="213" t="s">
        <v>449</v>
      </c>
      <c r="AD413" s="213"/>
      <c r="AE413" s="213">
        <v>180</v>
      </c>
      <c r="AF413" s="300" t="s">
        <v>434</v>
      </c>
      <c r="AG413" s="301"/>
      <c r="AH413" s="302" t="s">
        <v>435</v>
      </c>
      <c r="AJ413" s="303"/>
      <c r="AK413" s="296" t="s">
        <v>1493</v>
      </c>
      <c r="AS413" s="296" t="str">
        <f>CONCATENATE(AT413,"-",AU413,"-",AV413,"-",AW413)</f>
        <v>F15-Seat Adjust Switch, FRONT - LEFT-14-18-ALL</v>
      </c>
      <c r="AT413" s="296" t="s">
        <v>661</v>
      </c>
      <c r="AU413" s="296" t="str">
        <f>Z413</f>
        <v>Seat Adjust Switch, FRONT - LEFT</v>
      </c>
      <c r="AV413" s="296" t="s">
        <v>757</v>
      </c>
      <c r="AW413" s="296" t="s">
        <v>662</v>
      </c>
      <c r="AX413" s="298"/>
      <c r="AY413" s="298"/>
      <c r="AZ413" s="232" t="str">
        <f>IF($AX413="Yes",'8. Option Codes Decrypted'!$C$15,"")</f>
        <v/>
      </c>
      <c r="BA413" s="232" t="str">
        <f>IF($AX413="Yes",'8. Option Codes Decrypted'!$C$16,"")</f>
        <v/>
      </c>
      <c r="BB413" s="232" t="str">
        <f>IF($AX413="Yes",'8. Option Codes Decrypted'!$C$17,"")</f>
        <v/>
      </c>
      <c r="BC413" s="232" t="str">
        <f>IF($AX413="Yes",'8. Option Codes Decrypted'!$C$18,"")</f>
        <v/>
      </c>
      <c r="BD413" s="232" t="str">
        <f>IF($AY413="Yes",'8. Option Codes Decrypted'!$C$20,"")</f>
        <v/>
      </c>
      <c r="BE413" s="232" t="str">
        <f>IF($AY413="Yes",'8. Option Codes Decrypted'!$C$21,"")</f>
        <v/>
      </c>
      <c r="BF413" s="232" t="str">
        <f>IF($AY413="Yes",'8. Option Codes Decrypted'!$C$22,"")</f>
        <v/>
      </c>
      <c r="BG413" s="232" t="str">
        <f>IF($AY413="Yes",'8. Option Codes Decrypted'!$C$23,"")</f>
        <v/>
      </c>
    </row>
    <row r="414" spans="1:59" s="296" customFormat="1" x14ac:dyDescent="0.25">
      <c r="A414" s="232" t="str">
        <f t="shared" si="76"/>
        <v/>
      </c>
      <c r="B414" s="358" t="str">
        <f t="shared" si="73"/>
        <v/>
      </c>
      <c r="C414" s="358" t="str">
        <f t="shared" si="77"/>
        <v>F15-Seat Cushions, FRONT LEFT - LOWER-14-18-ALL</v>
      </c>
      <c r="D414" s="358"/>
      <c r="E414" s="358" t="str">
        <f t="shared" si="74"/>
        <v/>
      </c>
      <c r="F414" s="296" t="s">
        <v>426</v>
      </c>
      <c r="G414" s="297">
        <v>44673</v>
      </c>
      <c r="H414" s="322"/>
      <c r="I414" s="306" t="s">
        <v>441</v>
      </c>
      <c r="J414" s="213" t="s">
        <v>427</v>
      </c>
      <c r="K414" s="325" t="s">
        <v>1485</v>
      </c>
      <c r="L414" s="213" t="s">
        <v>1494</v>
      </c>
      <c r="M414" s="298" t="s">
        <v>430</v>
      </c>
      <c r="N414" s="298"/>
      <c r="O414" s="299"/>
      <c r="P414" s="299"/>
      <c r="Q414" s="299"/>
      <c r="R414" s="299" t="str">
        <f t="shared" si="75"/>
        <v>. Seat Cushions, FRONT LEFT - LOWER</v>
      </c>
      <c r="S414" s="299"/>
      <c r="T414" s="298"/>
      <c r="U414" s="298"/>
      <c r="V414" s="298"/>
      <c r="W414" s="298"/>
      <c r="X414" s="298"/>
      <c r="Y414" s="298"/>
      <c r="Z414" s="213" t="s">
        <v>1495</v>
      </c>
      <c r="AA414" s="213"/>
      <c r="AB414" s="213"/>
      <c r="AC414" s="213" t="s">
        <v>449</v>
      </c>
      <c r="AD414" s="213"/>
      <c r="AE414" s="213">
        <v>250</v>
      </c>
      <c r="AF414" s="300" t="s">
        <v>434</v>
      </c>
      <c r="AG414" s="301"/>
      <c r="AH414" s="302" t="s">
        <v>435</v>
      </c>
      <c r="AJ414" s="303"/>
      <c r="AK414" s="296" t="s">
        <v>1496</v>
      </c>
      <c r="AS414" s="296" t="str">
        <f>CONCATENATE(AT414,"-",AU414,"-",AV414,"-",AW414)</f>
        <v>F15-Seat Cushions, FRONT LEFT - LOWER-14-18-ALL</v>
      </c>
      <c r="AT414" s="296" t="s">
        <v>661</v>
      </c>
      <c r="AU414" s="296" t="str">
        <f>Z414</f>
        <v>Seat Cushions, FRONT LEFT - LOWER</v>
      </c>
      <c r="AV414" s="296" t="s">
        <v>757</v>
      </c>
      <c r="AW414" s="296" t="s">
        <v>662</v>
      </c>
      <c r="AX414" s="298"/>
      <c r="AY414" s="298" t="s">
        <v>80</v>
      </c>
      <c r="AZ414" s="232" t="str">
        <f>IF($AX414="Yes",'8. Option Codes Decrypted'!$C$15,"")</f>
        <v/>
      </c>
      <c r="BA414" s="232" t="str">
        <f>IF($AX414="Yes",'8. Option Codes Decrypted'!$C$16,"")</f>
        <v/>
      </c>
      <c r="BB414" s="232" t="str">
        <f>IF($AX414="Yes",'8. Option Codes Decrypted'!$C$17,"")</f>
        <v/>
      </c>
      <c r="BC414" s="232" t="str">
        <f>IF($AX414="Yes",'8. Option Codes Decrypted'!$C$18,"")</f>
        <v/>
      </c>
      <c r="BD414" s="232" t="str">
        <f>IF($AY414="Yes",'8. Option Codes Decrypted'!$C$20,"")</f>
        <v>Leather</v>
      </c>
      <c r="BE414" s="232" t="str">
        <f>IF($AY414="Yes",'8. Option Codes Decrypted'!$C$21,"")</f>
        <v>Black</v>
      </c>
      <c r="BF414" s="232" t="str">
        <f>IF($AY414="Yes",'8. Option Codes Decrypted'!$C$22,"")</f>
        <v>Black Dakota Leather (LCSW)</v>
      </c>
      <c r="BG414" s="232" t="str">
        <f>IF($AY414="Yes",'8. Option Codes Decrypted'!$C$23,"")</f>
        <v>LCSW</v>
      </c>
    </row>
    <row r="415" spans="1:59" s="296" customFormat="1" ht="15.75" thickBot="1" x14ac:dyDescent="0.3">
      <c r="A415" s="232" t="str">
        <f t="shared" si="76"/>
        <v/>
      </c>
      <c r="B415" s="358" t="str">
        <f t="shared" si="73"/>
        <v/>
      </c>
      <c r="C415" s="358" t="str">
        <f t="shared" si="77"/>
        <v>F15-Seat Cushions, FRONT LEFT - UPPER-14-18-ALL</v>
      </c>
      <c r="D415" s="358"/>
      <c r="E415" s="358" t="str">
        <f t="shared" si="74"/>
        <v/>
      </c>
      <c r="F415" s="296" t="s">
        <v>426</v>
      </c>
      <c r="G415" s="297">
        <v>44673</v>
      </c>
      <c r="H415" s="322"/>
      <c r="I415" s="306" t="s">
        <v>441</v>
      </c>
      <c r="J415" s="213" t="s">
        <v>427</v>
      </c>
      <c r="K415" s="213" t="s">
        <v>1485</v>
      </c>
      <c r="L415" s="213" t="s">
        <v>1497</v>
      </c>
      <c r="M415" s="298" t="s">
        <v>430</v>
      </c>
      <c r="N415" s="298"/>
      <c r="O415" s="299"/>
      <c r="P415" s="299"/>
      <c r="Q415" s="299"/>
      <c r="R415" s="299" t="str">
        <f t="shared" si="75"/>
        <v>. Seat Cushions, FRONT LEFT - UPPER</v>
      </c>
      <c r="S415" s="299"/>
      <c r="T415" s="298"/>
      <c r="U415" s="298"/>
      <c r="V415" s="298"/>
      <c r="W415" s="298"/>
      <c r="X415" s="298"/>
      <c r="Y415" s="298"/>
      <c r="Z415" s="213" t="s">
        <v>1498</v>
      </c>
      <c r="AA415" s="213"/>
      <c r="AB415" s="213"/>
      <c r="AC415" s="213" t="s">
        <v>449</v>
      </c>
      <c r="AD415" s="213"/>
      <c r="AE415" s="213">
        <v>225</v>
      </c>
      <c r="AF415" s="300" t="s">
        <v>434</v>
      </c>
      <c r="AG415" s="301"/>
      <c r="AH415" s="302" t="s">
        <v>435</v>
      </c>
      <c r="AJ415" s="303"/>
      <c r="AK415" s="296" t="s">
        <v>1499</v>
      </c>
      <c r="AS415" s="296" t="str">
        <f>CONCATENATE(AT415,"-",AU415,"-",AV415,"-",AW415)</f>
        <v>F15-Seat Cushions, FRONT LEFT - UPPER-14-18-ALL</v>
      </c>
      <c r="AT415" s="296" t="s">
        <v>661</v>
      </c>
      <c r="AU415" s="296" t="str">
        <f>Z415</f>
        <v>Seat Cushions, FRONT LEFT - UPPER</v>
      </c>
      <c r="AV415" s="296" t="s">
        <v>757</v>
      </c>
      <c r="AW415" s="296" t="s">
        <v>662</v>
      </c>
      <c r="AX415" s="298"/>
      <c r="AY415" s="298" t="s">
        <v>80</v>
      </c>
      <c r="AZ415" s="232" t="str">
        <f>IF($AX415="Yes",'8. Option Codes Decrypted'!$C$15,"")</f>
        <v/>
      </c>
      <c r="BA415" s="232" t="str">
        <f>IF($AX415="Yes",'8. Option Codes Decrypted'!$C$16,"")</f>
        <v/>
      </c>
      <c r="BB415" s="232" t="str">
        <f>IF($AX415="Yes",'8. Option Codes Decrypted'!$C$17,"")</f>
        <v/>
      </c>
      <c r="BC415" s="232" t="str">
        <f>IF($AX415="Yes",'8. Option Codes Decrypted'!$C$18,"")</f>
        <v/>
      </c>
      <c r="BD415" s="232" t="str">
        <f>IF($AY415="Yes",'8. Option Codes Decrypted'!$C$20,"")</f>
        <v>Leather</v>
      </c>
      <c r="BE415" s="232" t="str">
        <f>IF($AY415="Yes",'8. Option Codes Decrypted'!$C$21,"")</f>
        <v>Black</v>
      </c>
      <c r="BF415" s="232" t="str">
        <f>IF($AY415="Yes",'8. Option Codes Decrypted'!$C$22,"")</f>
        <v>Black Dakota Leather (LCSW)</v>
      </c>
      <c r="BG415" s="232" t="str">
        <f>IF($AY415="Yes",'8. Option Codes Decrypted'!$C$23,"")</f>
        <v>LCSW</v>
      </c>
    </row>
    <row r="416" spans="1:59" s="296" customFormat="1" ht="15.75" thickBot="1" x14ac:dyDescent="0.3">
      <c r="A416" s="232" t="str">
        <f t="shared" si="76"/>
        <v>A106</v>
      </c>
      <c r="B416" s="358" t="str">
        <f t="shared" si="73"/>
        <v/>
      </c>
      <c r="C416" s="358" t="str">
        <f t="shared" si="77"/>
        <v>F15-Seat Track WITH Motors, FRONT LEFT-14-18-ALL</v>
      </c>
      <c r="D416" s="358"/>
      <c r="E416" s="358" t="str">
        <f t="shared" si="74"/>
        <v/>
      </c>
      <c r="F416" s="296" t="s">
        <v>426</v>
      </c>
      <c r="G416" s="297">
        <v>44673</v>
      </c>
      <c r="H416" s="298"/>
      <c r="I416" s="298"/>
      <c r="J416" s="298" t="s">
        <v>427</v>
      </c>
      <c r="K416" s="299" t="s">
        <v>1485</v>
      </c>
      <c r="L416" s="298" t="s">
        <v>1500</v>
      </c>
      <c r="M416" s="306" t="s">
        <v>444</v>
      </c>
      <c r="N416" s="306">
        <v>96</v>
      </c>
      <c r="O416" s="310" t="s">
        <v>350</v>
      </c>
      <c r="P416" s="310" t="s">
        <v>724</v>
      </c>
      <c r="Q416" s="310">
        <v>1</v>
      </c>
      <c r="R416" s="299" t="str">
        <f t="shared" si="75"/>
        <v>A106. Seat Track WITH Motors, FRONT LEFT</v>
      </c>
      <c r="S416" s="365" t="str">
        <f>HYPERLINK(VLOOKUP(O416,'3D. Pictures'!$B$3:$E$500,4,FALSE),"PIC")</f>
        <v>PIC</v>
      </c>
      <c r="T416" s="306">
        <v>9</v>
      </c>
      <c r="U416" s="213" t="s">
        <v>1501</v>
      </c>
      <c r="V416" s="306" t="s">
        <v>81</v>
      </c>
      <c r="W416" s="213"/>
      <c r="X416" s="213"/>
      <c r="Y416" s="213"/>
      <c r="Z416" s="298" t="s">
        <v>1502</v>
      </c>
      <c r="AA416" s="298" t="s">
        <v>1503</v>
      </c>
      <c r="AB416" s="298"/>
      <c r="AC416" s="213" t="s">
        <v>449</v>
      </c>
      <c r="AD416" s="320"/>
      <c r="AE416" s="298">
        <v>325</v>
      </c>
      <c r="AF416" s="99" t="s">
        <v>434</v>
      </c>
      <c r="AG416" s="56"/>
      <c r="AH416" s="302" t="s">
        <v>435</v>
      </c>
      <c r="AI416"/>
      <c r="AJ416" s="69"/>
      <c r="AK416" s="296" t="s">
        <v>1504</v>
      </c>
      <c r="AL416"/>
      <c r="AM416"/>
      <c r="AN416" s="308"/>
      <c r="AO416" s="296" t="s">
        <v>411</v>
      </c>
      <c r="AS416" s="296" t="str">
        <f t="shared" ref="AS416:AS421" si="80">CONCATENATE(AT416,"-",AU416,"-",AV416,"-",AW416)</f>
        <v>F15-Seat Track WITH Motors, FRONT LEFT-14-18-ALL</v>
      </c>
      <c r="AT416" s="296" t="s">
        <v>661</v>
      </c>
      <c r="AU416" s="296" t="str">
        <f t="shared" ref="AU416:AU421" si="81">Z416</f>
        <v>Seat Track WITH Motors, FRONT LEFT</v>
      </c>
      <c r="AV416" s="296" t="s">
        <v>757</v>
      </c>
      <c r="AW416" s="296" t="s">
        <v>662</v>
      </c>
      <c r="AX416" s="213"/>
      <c r="AY416" s="213"/>
      <c r="AZ416" s="232" t="str">
        <f>IF($AX416="Yes",'8. Option Codes Decrypted'!$C$15,"")</f>
        <v/>
      </c>
      <c r="BA416" s="232" t="str">
        <f>IF($AX416="Yes",'8. Option Codes Decrypted'!$C$16,"")</f>
        <v/>
      </c>
      <c r="BB416" s="232" t="str">
        <f>IF($AX416="Yes",'8. Option Codes Decrypted'!$C$17,"")</f>
        <v/>
      </c>
      <c r="BC416" s="232" t="str">
        <f>IF($AX416="Yes",'8. Option Codes Decrypted'!$C$18,"")</f>
        <v/>
      </c>
      <c r="BD416" s="232" t="str">
        <f>IF($AY416="Yes",'8. Option Codes Decrypted'!$C$20,"")</f>
        <v/>
      </c>
      <c r="BE416" s="232" t="str">
        <f>IF($AY416="Yes",'8. Option Codes Decrypted'!$C$21,"")</f>
        <v/>
      </c>
      <c r="BF416" s="232" t="str">
        <f>IF($AY416="Yes",'8. Option Codes Decrypted'!$C$22,"")</f>
        <v/>
      </c>
      <c r="BG416" s="232" t="str">
        <f>IF($AY416="Yes",'8. Option Codes Decrypted'!$C$23,"")</f>
        <v/>
      </c>
    </row>
    <row r="417" spans="1:59" s="296" customFormat="1" ht="15.75" thickBot="1" x14ac:dyDescent="0.3">
      <c r="A417" s="232" t="str">
        <f t="shared" si="76"/>
        <v>A81</v>
      </c>
      <c r="B417" s="358" t="str">
        <f t="shared" si="73"/>
        <v/>
      </c>
      <c r="C417" s="358" t="str">
        <f t="shared" si="77"/>
        <v>F15-Headrests, REAR 2nd ROW SET 3-14-18-ALL</v>
      </c>
      <c r="D417" s="358"/>
      <c r="E417" s="358" t="str">
        <f t="shared" si="74"/>
        <v/>
      </c>
      <c r="F417" s="296" t="s">
        <v>508</v>
      </c>
      <c r="G417" s="297">
        <v>44811</v>
      </c>
      <c r="H417" s="322"/>
      <c r="I417" s="306" t="s">
        <v>441</v>
      </c>
      <c r="J417" s="213" t="s">
        <v>427</v>
      </c>
      <c r="K417" s="325" t="s">
        <v>1505</v>
      </c>
      <c r="L417" s="213" t="s">
        <v>1486</v>
      </c>
      <c r="M417" s="298" t="s">
        <v>430</v>
      </c>
      <c r="N417" s="298">
        <v>71</v>
      </c>
      <c r="O417" s="299" t="s">
        <v>325</v>
      </c>
      <c r="P417" s="299" t="s">
        <v>1060</v>
      </c>
      <c r="Q417" s="299">
        <v>1</v>
      </c>
      <c r="R417" s="299" t="str">
        <f t="shared" si="75"/>
        <v>A81. Headrests, REAR 2nd ROW SET 3</v>
      </c>
      <c r="S417" s="365" t="str">
        <f>HYPERLINK(VLOOKUP(O417,'3D. Pictures'!$B$3:$E$500,4,FALSE),"PIC")</f>
        <v>PIC</v>
      </c>
      <c r="T417" s="298">
        <v>5</v>
      </c>
      <c r="U417" s="298" t="s">
        <v>1029</v>
      </c>
      <c r="V417" s="298" t="s">
        <v>80</v>
      </c>
      <c r="W417" s="298"/>
      <c r="X417" s="298"/>
      <c r="Y417" s="298"/>
      <c r="Z417" s="213" t="s">
        <v>1506</v>
      </c>
      <c r="AA417" s="213" t="s">
        <v>1507</v>
      </c>
      <c r="AB417" s="213"/>
      <c r="AC417" s="213" t="s">
        <v>1472</v>
      </c>
      <c r="AD417" s="213"/>
      <c r="AE417" s="213">
        <v>300</v>
      </c>
      <c r="AF417" s="300" t="s">
        <v>434</v>
      </c>
      <c r="AG417" s="301"/>
      <c r="AH417" s="302" t="s">
        <v>435</v>
      </c>
      <c r="AJ417" s="303"/>
      <c r="AK417" s="296" t="s">
        <v>1508</v>
      </c>
      <c r="AS417" s="296" t="str">
        <f t="shared" si="80"/>
        <v>F15-Headrests, REAR 2nd ROW SET 3-14-18-ALL</v>
      </c>
      <c r="AT417" s="296" t="s">
        <v>661</v>
      </c>
      <c r="AU417" s="296" t="str">
        <f t="shared" si="81"/>
        <v>Headrests, REAR 2nd ROW SET 3</v>
      </c>
      <c r="AV417" s="296" t="s">
        <v>757</v>
      </c>
      <c r="AW417" s="296" t="s">
        <v>662</v>
      </c>
      <c r="AX417" s="298"/>
      <c r="AY417" s="298" t="s">
        <v>80</v>
      </c>
      <c r="AZ417" s="232" t="str">
        <f>IF($AX417="Yes",'8. Option Codes Decrypted'!$C$15,"")</f>
        <v/>
      </c>
      <c r="BA417" s="232" t="str">
        <f>IF($AX417="Yes",'8. Option Codes Decrypted'!$C$16,"")</f>
        <v/>
      </c>
      <c r="BB417" s="232" t="str">
        <f>IF($AX417="Yes",'8. Option Codes Decrypted'!$C$17,"")</f>
        <v/>
      </c>
      <c r="BC417" s="232" t="str">
        <f>IF($AX417="Yes",'8. Option Codes Decrypted'!$C$18,"")</f>
        <v/>
      </c>
      <c r="BD417" s="232" t="str">
        <f>IF($AY417="Yes",'8. Option Codes Decrypted'!$C$20,"")</f>
        <v>Leather</v>
      </c>
      <c r="BE417" s="232" t="str">
        <f>IF($AY417="Yes",'8. Option Codes Decrypted'!$C$21,"")</f>
        <v>Black</v>
      </c>
      <c r="BF417" s="232" t="str">
        <f>IF($AY417="Yes",'8. Option Codes Decrypted'!$C$22,"")</f>
        <v>Black Dakota Leather (LCSW)</v>
      </c>
      <c r="BG417" s="232" t="str">
        <f>IF($AY417="Yes",'8. Option Codes Decrypted'!$C$23,"")</f>
        <v>LCSW</v>
      </c>
    </row>
    <row r="418" spans="1:59" s="296" customFormat="1" x14ac:dyDescent="0.25">
      <c r="A418" s="232" t="str">
        <f t="shared" si="76"/>
        <v/>
      </c>
      <c r="B418" s="358" t="str">
        <f t="shared" si="73"/>
        <v/>
      </c>
      <c r="C418" s="358" t="str">
        <f t="shared" si="77"/>
        <v>F15-Headrests, REAR 2nd ROW - LEFT-14-18-ALL</v>
      </c>
      <c r="D418" s="358"/>
      <c r="E418" s="358" t="str">
        <f t="shared" si="74"/>
        <v/>
      </c>
      <c r="F418" s="296" t="s">
        <v>508</v>
      </c>
      <c r="G418" s="297">
        <v>44811</v>
      </c>
      <c r="H418" s="322"/>
      <c r="I418" s="306" t="s">
        <v>441</v>
      </c>
      <c r="J418" s="213" t="s">
        <v>427</v>
      </c>
      <c r="K418" s="325" t="s">
        <v>1505</v>
      </c>
      <c r="L418" s="213" t="s">
        <v>1486</v>
      </c>
      <c r="M418" s="298" t="s">
        <v>430</v>
      </c>
      <c r="N418" s="298"/>
      <c r="O418" s="299"/>
      <c r="P418" s="299"/>
      <c r="Q418" s="299"/>
      <c r="R418" s="299" t="str">
        <f t="shared" si="75"/>
        <v>. Headrests, REAR 2nd ROW - LEFT</v>
      </c>
      <c r="S418" s="299"/>
      <c r="T418" s="298"/>
      <c r="U418" s="298"/>
      <c r="V418" s="298"/>
      <c r="W418" s="298"/>
      <c r="X418" s="298"/>
      <c r="Y418" s="298"/>
      <c r="Z418" s="213" t="s">
        <v>1509</v>
      </c>
      <c r="AA418" s="213" t="s">
        <v>1510</v>
      </c>
      <c r="AB418" s="213"/>
      <c r="AC418" s="213" t="s">
        <v>1472</v>
      </c>
      <c r="AD418" s="213"/>
      <c r="AE418" s="213">
        <v>125</v>
      </c>
      <c r="AF418" s="300" t="s">
        <v>434</v>
      </c>
      <c r="AG418" s="301"/>
      <c r="AH418" s="302" t="s">
        <v>435</v>
      </c>
      <c r="AJ418" s="303"/>
      <c r="AK418" s="296" t="s">
        <v>1508</v>
      </c>
      <c r="AS418" s="296" t="str">
        <f t="shared" si="80"/>
        <v>F15-Headrests, REAR 2nd ROW - LEFT-14-18-ALL</v>
      </c>
      <c r="AT418" s="296" t="s">
        <v>661</v>
      </c>
      <c r="AU418" s="296" t="str">
        <f t="shared" si="81"/>
        <v>Headrests, REAR 2nd ROW - LEFT</v>
      </c>
      <c r="AV418" s="296" t="s">
        <v>757</v>
      </c>
      <c r="AW418" s="296" t="s">
        <v>662</v>
      </c>
      <c r="AX418" s="298"/>
      <c r="AY418" s="298" t="s">
        <v>80</v>
      </c>
      <c r="AZ418" s="232" t="str">
        <f>IF($AX418="Yes",'8. Option Codes Decrypted'!$C$15,"")</f>
        <v/>
      </c>
      <c r="BA418" s="232" t="str">
        <f>IF($AX418="Yes",'8. Option Codes Decrypted'!$C$16,"")</f>
        <v/>
      </c>
      <c r="BB418" s="232" t="str">
        <f>IF($AX418="Yes",'8. Option Codes Decrypted'!$C$17,"")</f>
        <v/>
      </c>
      <c r="BC418" s="232" t="str">
        <f>IF($AX418="Yes",'8. Option Codes Decrypted'!$C$18,"")</f>
        <v/>
      </c>
      <c r="BD418" s="232" t="str">
        <f>IF($AY418="Yes",'8. Option Codes Decrypted'!$C$20,"")</f>
        <v>Leather</v>
      </c>
      <c r="BE418" s="232" t="str">
        <f>IF($AY418="Yes",'8. Option Codes Decrypted'!$C$21,"")</f>
        <v>Black</v>
      </c>
      <c r="BF418" s="232" t="str">
        <f>IF($AY418="Yes",'8. Option Codes Decrypted'!$C$22,"")</f>
        <v>Black Dakota Leather (LCSW)</v>
      </c>
      <c r="BG418" s="232" t="str">
        <f>IF($AY418="Yes",'8. Option Codes Decrypted'!$C$23,"")</f>
        <v>LCSW</v>
      </c>
    </row>
    <row r="419" spans="1:59" s="296" customFormat="1" x14ac:dyDescent="0.25">
      <c r="A419" s="232" t="str">
        <f t="shared" si="76"/>
        <v/>
      </c>
      <c r="B419" s="358" t="str">
        <f t="shared" si="73"/>
        <v/>
      </c>
      <c r="C419" s="358" t="str">
        <f t="shared" si="77"/>
        <v>F15-Headrests, REAR 2nd ROW - RIGHT-14-18-ALL</v>
      </c>
      <c r="D419" s="358"/>
      <c r="E419" s="358" t="str">
        <f t="shared" si="74"/>
        <v/>
      </c>
      <c r="F419" s="296" t="s">
        <v>508</v>
      </c>
      <c r="G419" s="297">
        <v>44811</v>
      </c>
      <c r="H419" s="322"/>
      <c r="I419" s="306" t="s">
        <v>441</v>
      </c>
      <c r="J419" s="213" t="s">
        <v>427</v>
      </c>
      <c r="K419" s="325" t="s">
        <v>1505</v>
      </c>
      <c r="L419" s="213" t="s">
        <v>1486</v>
      </c>
      <c r="M419" s="298" t="s">
        <v>430</v>
      </c>
      <c r="N419" s="298"/>
      <c r="O419" s="299"/>
      <c r="P419" s="299"/>
      <c r="Q419" s="299"/>
      <c r="R419" s="299" t="str">
        <f t="shared" si="75"/>
        <v>. Headrests, REAR 2nd ROW - RIGHT</v>
      </c>
      <c r="S419" s="299"/>
      <c r="T419" s="298"/>
      <c r="U419" s="298"/>
      <c r="V419" s="298"/>
      <c r="W419" s="298"/>
      <c r="X419" s="298"/>
      <c r="Y419" s="298"/>
      <c r="Z419" s="213" t="s">
        <v>1511</v>
      </c>
      <c r="AA419" s="213" t="s">
        <v>1510</v>
      </c>
      <c r="AB419" s="213"/>
      <c r="AC419" s="213" t="s">
        <v>1472</v>
      </c>
      <c r="AD419" s="213"/>
      <c r="AE419" s="213">
        <v>125</v>
      </c>
      <c r="AF419" s="300" t="s">
        <v>434</v>
      </c>
      <c r="AG419" s="301"/>
      <c r="AH419" s="302" t="s">
        <v>435</v>
      </c>
      <c r="AJ419" s="303"/>
      <c r="AK419" s="296" t="s">
        <v>1508</v>
      </c>
      <c r="AS419" s="296" t="str">
        <f t="shared" si="80"/>
        <v>F15-Headrests, REAR 2nd ROW - RIGHT-14-18-ALL</v>
      </c>
      <c r="AT419" s="296" t="s">
        <v>661</v>
      </c>
      <c r="AU419" s="296" t="str">
        <f t="shared" si="81"/>
        <v>Headrests, REAR 2nd ROW - RIGHT</v>
      </c>
      <c r="AV419" s="296" t="s">
        <v>757</v>
      </c>
      <c r="AW419" s="296" t="s">
        <v>662</v>
      </c>
      <c r="AX419" s="298"/>
      <c r="AY419" s="298" t="s">
        <v>80</v>
      </c>
      <c r="AZ419" s="232" t="str">
        <f>IF($AX419="Yes",'8. Option Codes Decrypted'!$C$15,"")</f>
        <v/>
      </c>
      <c r="BA419" s="232" t="str">
        <f>IF($AX419="Yes",'8. Option Codes Decrypted'!$C$16,"")</f>
        <v/>
      </c>
      <c r="BB419" s="232" t="str">
        <f>IF($AX419="Yes",'8. Option Codes Decrypted'!$C$17,"")</f>
        <v/>
      </c>
      <c r="BC419" s="232" t="str">
        <f>IF($AX419="Yes",'8. Option Codes Decrypted'!$C$18,"")</f>
        <v/>
      </c>
      <c r="BD419" s="232" t="str">
        <f>IF($AY419="Yes",'8. Option Codes Decrypted'!$C$20,"")</f>
        <v>Leather</v>
      </c>
      <c r="BE419" s="232" t="str">
        <f>IF($AY419="Yes",'8. Option Codes Decrypted'!$C$21,"")</f>
        <v>Black</v>
      </c>
      <c r="BF419" s="232" t="str">
        <f>IF($AY419="Yes",'8. Option Codes Decrypted'!$C$22,"")</f>
        <v>Black Dakota Leather (LCSW)</v>
      </c>
      <c r="BG419" s="232" t="str">
        <f>IF($AY419="Yes",'8. Option Codes Decrypted'!$C$23,"")</f>
        <v>LCSW</v>
      </c>
    </row>
    <row r="420" spans="1:59" s="296" customFormat="1" ht="15.75" thickBot="1" x14ac:dyDescent="0.3">
      <c r="A420" s="232" t="str">
        <f t="shared" si="76"/>
        <v/>
      </c>
      <c r="B420" s="358" t="str">
        <f t="shared" si="73"/>
        <v/>
      </c>
      <c r="C420" s="358" t="str">
        <f t="shared" si="77"/>
        <v>F15-Headrests, REAR 2nd ROW - CENTER-14-18-ALL</v>
      </c>
      <c r="D420" s="358"/>
      <c r="E420" s="358" t="str">
        <f t="shared" si="74"/>
        <v/>
      </c>
      <c r="F420" s="296" t="s">
        <v>508</v>
      </c>
      <c r="G420" s="297">
        <v>44811</v>
      </c>
      <c r="H420" s="322"/>
      <c r="I420" s="306" t="s">
        <v>441</v>
      </c>
      <c r="J420" s="213" t="s">
        <v>427</v>
      </c>
      <c r="K420" s="325" t="s">
        <v>1505</v>
      </c>
      <c r="L420" s="213" t="s">
        <v>1486</v>
      </c>
      <c r="M420" s="298" t="s">
        <v>430</v>
      </c>
      <c r="N420" s="298"/>
      <c r="O420" s="299"/>
      <c r="P420" s="299"/>
      <c r="Q420" s="299"/>
      <c r="R420" s="299" t="str">
        <f t="shared" si="75"/>
        <v>. Headrests, REAR 2nd ROW - CENTER</v>
      </c>
      <c r="S420" s="299"/>
      <c r="T420" s="298"/>
      <c r="U420" s="298"/>
      <c r="V420" s="298"/>
      <c r="W420" s="298"/>
      <c r="X420" s="298"/>
      <c r="Y420" s="298"/>
      <c r="Z420" s="213" t="s">
        <v>1512</v>
      </c>
      <c r="AA420" s="213" t="s">
        <v>1510</v>
      </c>
      <c r="AB420" s="213"/>
      <c r="AC420" s="213" t="s">
        <v>1472</v>
      </c>
      <c r="AD420" s="213"/>
      <c r="AE420" s="213">
        <v>175</v>
      </c>
      <c r="AF420" s="300" t="s">
        <v>434</v>
      </c>
      <c r="AG420" s="301"/>
      <c r="AH420" s="302" t="s">
        <v>435</v>
      </c>
      <c r="AJ420" s="303"/>
      <c r="AK420" s="296" t="s">
        <v>1508</v>
      </c>
      <c r="AS420" s="296" t="str">
        <f t="shared" si="80"/>
        <v>F15-Headrests, REAR 2nd ROW - CENTER-14-18-ALL</v>
      </c>
      <c r="AT420" s="296" t="s">
        <v>661</v>
      </c>
      <c r="AU420" s="296" t="str">
        <f t="shared" si="81"/>
        <v>Headrests, REAR 2nd ROW - CENTER</v>
      </c>
      <c r="AV420" s="296" t="s">
        <v>757</v>
      </c>
      <c r="AW420" s="296" t="s">
        <v>662</v>
      </c>
      <c r="AX420" s="298"/>
      <c r="AY420" s="298" t="s">
        <v>80</v>
      </c>
      <c r="AZ420" s="232" t="str">
        <f>IF($AX420="Yes",'8. Option Codes Decrypted'!$C$15,"")</f>
        <v/>
      </c>
      <c r="BA420" s="232" t="str">
        <f>IF($AX420="Yes",'8. Option Codes Decrypted'!$C$16,"")</f>
        <v/>
      </c>
      <c r="BB420" s="232" t="str">
        <f>IF($AX420="Yes",'8. Option Codes Decrypted'!$C$17,"")</f>
        <v/>
      </c>
      <c r="BC420" s="232" t="str">
        <f>IF($AX420="Yes",'8. Option Codes Decrypted'!$C$18,"")</f>
        <v/>
      </c>
      <c r="BD420" s="232" t="str">
        <f>IF($AY420="Yes",'8. Option Codes Decrypted'!$C$20,"")</f>
        <v>Leather</v>
      </c>
      <c r="BE420" s="232" t="str">
        <f>IF($AY420="Yes",'8. Option Codes Decrypted'!$C$21,"")</f>
        <v>Black</v>
      </c>
      <c r="BF420" s="232" t="str">
        <f>IF($AY420="Yes",'8. Option Codes Decrypted'!$C$22,"")</f>
        <v>Black Dakota Leather (LCSW)</v>
      </c>
      <c r="BG420" s="232" t="str">
        <f>IF($AY420="Yes",'8. Option Codes Decrypted'!$C$23,"")</f>
        <v>LCSW</v>
      </c>
    </row>
    <row r="421" spans="1:59" s="296" customFormat="1" ht="15.75" thickBot="1" x14ac:dyDescent="0.3">
      <c r="A421" s="232" t="str">
        <f t="shared" si="76"/>
        <v>A45</v>
      </c>
      <c r="B421" s="358" t="str">
        <f t="shared" si="73"/>
        <v/>
      </c>
      <c r="C421" s="358" t="str">
        <f t="shared" si="77"/>
        <v>F15-Rear Arm Rest &amp; Cup Holder-14-18-ALL</v>
      </c>
      <c r="D421" s="358"/>
      <c r="E421" s="358" t="str">
        <f t="shared" si="74"/>
        <v/>
      </c>
      <c r="F421" s="296" t="s">
        <v>426</v>
      </c>
      <c r="G421" s="297">
        <v>44680</v>
      </c>
      <c r="H421" s="298"/>
      <c r="I421" s="298"/>
      <c r="J421" s="298" t="s">
        <v>427</v>
      </c>
      <c r="K421" s="299" t="s">
        <v>1505</v>
      </c>
      <c r="L421" s="298" t="s">
        <v>1513</v>
      </c>
      <c r="M421" s="298" t="s">
        <v>430</v>
      </c>
      <c r="N421" s="298">
        <v>35</v>
      </c>
      <c r="O421" s="299" t="s">
        <v>289</v>
      </c>
      <c r="P421" s="299" t="s">
        <v>445</v>
      </c>
      <c r="Q421" s="299">
        <v>1</v>
      </c>
      <c r="R421" s="299" t="str">
        <f t="shared" si="75"/>
        <v>A45. Rear Arm Rest &amp; Cup Holder</v>
      </c>
      <c r="S421" s="365" t="str">
        <f>HYPERLINK(VLOOKUP(O421,'3D. Pictures'!$B$3:$E$500,4,FALSE),"PIC")</f>
        <v>PIC</v>
      </c>
      <c r="T421" s="298">
        <v>5</v>
      </c>
      <c r="U421" s="298" t="s">
        <v>1029</v>
      </c>
      <c r="V421" s="298" t="s">
        <v>80</v>
      </c>
      <c r="W421" s="298"/>
      <c r="X421" s="298"/>
      <c r="Y421" s="298"/>
      <c r="Z421" s="298" t="s">
        <v>1514</v>
      </c>
      <c r="AA421" s="298"/>
      <c r="AB421" s="298"/>
      <c r="AC421" s="213" t="s">
        <v>449</v>
      </c>
      <c r="AD421" s="298"/>
      <c r="AE421" s="298">
        <v>175</v>
      </c>
      <c r="AF421" s="300" t="s">
        <v>434</v>
      </c>
      <c r="AG421" s="301"/>
      <c r="AH421" s="302" t="s">
        <v>435</v>
      </c>
      <c r="AJ421" s="303"/>
      <c r="AK421" s="296" t="s">
        <v>1515</v>
      </c>
      <c r="AS421" s="296" t="str">
        <f t="shared" si="80"/>
        <v>F15-Rear Arm Rest &amp; Cup Holder-14-18-ALL</v>
      </c>
      <c r="AT421" s="296" t="s">
        <v>661</v>
      </c>
      <c r="AU421" s="296" t="str">
        <f t="shared" si="81"/>
        <v>Rear Arm Rest &amp; Cup Holder</v>
      </c>
      <c r="AV421" s="296" t="s">
        <v>757</v>
      </c>
      <c r="AW421" s="296" t="s">
        <v>662</v>
      </c>
      <c r="AX421" s="298"/>
      <c r="AY421" s="298" t="s">
        <v>80</v>
      </c>
      <c r="AZ421" s="232" t="str">
        <f>IF($AX421="Yes",'8. Option Codes Decrypted'!$C$15,"")</f>
        <v/>
      </c>
      <c r="BA421" s="232" t="str">
        <f>IF($AX421="Yes",'8. Option Codes Decrypted'!$C$16,"")</f>
        <v/>
      </c>
      <c r="BB421" s="232" t="str">
        <f>IF($AX421="Yes",'8. Option Codes Decrypted'!$C$17,"")</f>
        <v/>
      </c>
      <c r="BC421" s="232" t="str">
        <f>IF($AX421="Yes",'8. Option Codes Decrypted'!$C$18,"")</f>
        <v/>
      </c>
      <c r="BD421" s="232" t="str">
        <f>IF($AY421="Yes",'8. Option Codes Decrypted'!$C$20,"")</f>
        <v>Leather</v>
      </c>
      <c r="BE421" s="232" t="str">
        <f>IF($AY421="Yes",'8. Option Codes Decrypted'!$C$21,"")</f>
        <v>Black</v>
      </c>
      <c r="BF421" s="232" t="str">
        <f>IF($AY421="Yes",'8. Option Codes Decrypted'!$C$22,"")</f>
        <v>Black Dakota Leather (LCSW)</v>
      </c>
      <c r="BG421" s="232" t="str">
        <f>IF($AY421="Yes",'8. Option Codes Decrypted'!$C$23,"")</f>
        <v>LCSW</v>
      </c>
    </row>
    <row r="422" spans="1:59" ht="15.75" thickBot="1" x14ac:dyDescent="0.3">
      <c r="A422" s="232" t="str">
        <f t="shared" si="76"/>
        <v/>
      </c>
      <c r="B422" s="358" t="str">
        <f t="shared" si="73"/>
        <v/>
      </c>
      <c r="C422" s="358" t="str">
        <f t="shared" si="77"/>
        <v/>
      </c>
      <c r="D422" s="358"/>
      <c r="E422" s="358" t="str">
        <f t="shared" si="74"/>
        <v/>
      </c>
      <c r="F422" t="s">
        <v>426</v>
      </c>
      <c r="G422" s="230">
        <v>44673</v>
      </c>
      <c r="H422" s="10"/>
      <c r="I422" s="10"/>
      <c r="J422" s="10" t="s">
        <v>504</v>
      </c>
      <c r="K422" s="10" t="s">
        <v>1505</v>
      </c>
      <c r="L422" s="10" t="s">
        <v>1516</v>
      </c>
      <c r="M422" s="16" t="s">
        <v>430</v>
      </c>
      <c r="N422" s="16"/>
      <c r="O422" s="191"/>
      <c r="P422" s="191"/>
      <c r="Q422" s="191"/>
      <c r="R422" s="286" t="str">
        <f t="shared" si="75"/>
        <v>. Seat Cushions, ALL Rear (including side bolster cushions, but do keep rear arm rest/cup holder)</v>
      </c>
      <c r="S422" s="286"/>
      <c r="T422" s="16"/>
      <c r="U422" s="16"/>
      <c r="V422" s="16"/>
      <c r="W422" s="16"/>
      <c r="X422" s="16"/>
      <c r="Y422" s="16"/>
      <c r="Z422" s="10" t="s">
        <v>1516</v>
      </c>
      <c r="AA422" s="10" t="s">
        <v>1516</v>
      </c>
      <c r="AB422" s="10" t="s">
        <v>1516</v>
      </c>
      <c r="AC422" s="193" t="s">
        <v>449</v>
      </c>
      <c r="AD422" s="10"/>
      <c r="AE422" s="10"/>
      <c r="AF422" s="200" t="s">
        <v>434</v>
      </c>
      <c r="AH422" s="3" t="s">
        <v>435</v>
      </c>
      <c r="AJ422" s="69"/>
      <c r="AK422" t="s">
        <v>1517</v>
      </c>
      <c r="AL422" t="s">
        <v>1518</v>
      </c>
      <c r="AN422"/>
      <c r="AX422" s="16"/>
      <c r="AY422" s="16"/>
      <c r="AZ422" s="232" t="str">
        <f>IF($AX422="Yes",'8. Option Codes Decrypted'!$C$15,"")</f>
        <v/>
      </c>
      <c r="BA422" s="232" t="str">
        <f>IF($AX422="Yes",'8. Option Codes Decrypted'!$C$16,"")</f>
        <v/>
      </c>
      <c r="BB422" s="232" t="str">
        <f>IF($AX422="Yes",'8. Option Codes Decrypted'!$C$17,"")</f>
        <v/>
      </c>
      <c r="BC422" s="232" t="str">
        <f>IF($AX422="Yes",'8. Option Codes Decrypted'!$C$18,"")</f>
        <v/>
      </c>
      <c r="BD422" s="232" t="str">
        <f>IF($AY422="Yes",'8. Option Codes Decrypted'!$C$20,"")</f>
        <v/>
      </c>
      <c r="BE422" s="232" t="str">
        <f>IF($AY422="Yes",'8. Option Codes Decrypted'!$C$21,"")</f>
        <v/>
      </c>
      <c r="BF422" s="232" t="str">
        <f>IF($AY422="Yes",'8. Option Codes Decrypted'!$C$22,"")</f>
        <v/>
      </c>
      <c r="BG422" s="232" t="str">
        <f>IF($AY422="Yes",'8. Option Codes Decrypted'!$C$23,"")</f>
        <v/>
      </c>
    </row>
    <row r="423" spans="1:59" s="296" customFormat="1" ht="15.75" thickBot="1" x14ac:dyDescent="0.3">
      <c r="A423" s="232" t="str">
        <f t="shared" si="76"/>
        <v>A80</v>
      </c>
      <c r="B423" s="358" t="str">
        <f t="shared" si="73"/>
        <v/>
      </c>
      <c r="C423" s="358" t="str">
        <f t="shared" si="77"/>
        <v>F15-Headrest, FRONT - RIGHT (ACTIVE)-14-18-ALL</v>
      </c>
      <c r="D423" s="358"/>
      <c r="E423" s="358" t="str">
        <f t="shared" si="74"/>
        <v/>
      </c>
      <c r="F423" s="296" t="s">
        <v>426</v>
      </c>
      <c r="G423" s="297">
        <v>44673</v>
      </c>
      <c r="H423" s="322"/>
      <c r="I423" s="306" t="s">
        <v>441</v>
      </c>
      <c r="J423" s="213" t="s">
        <v>427</v>
      </c>
      <c r="K423" s="213" t="s">
        <v>1519</v>
      </c>
      <c r="L423" s="213" t="s">
        <v>1486</v>
      </c>
      <c r="M423" s="298" t="s">
        <v>430</v>
      </c>
      <c r="N423" s="298">
        <v>70</v>
      </c>
      <c r="O423" s="299" t="s">
        <v>324</v>
      </c>
      <c r="P423" s="299" t="s">
        <v>1060</v>
      </c>
      <c r="Q423" s="299">
        <v>1</v>
      </c>
      <c r="R423" s="299" t="str">
        <f t="shared" si="75"/>
        <v>A80. Headrest, FRONT - RIGHT (ACTIVE)</v>
      </c>
      <c r="S423" s="365" t="str">
        <f>HYPERLINK(VLOOKUP(O423,'3D. Pictures'!$B$3:$E$500,4,FALSE),"PIC")</f>
        <v>PIC</v>
      </c>
      <c r="T423" s="298">
        <v>6</v>
      </c>
      <c r="U423" s="298" t="s">
        <v>1029</v>
      </c>
      <c r="V423" s="298" t="s">
        <v>80</v>
      </c>
      <c r="W423" s="298"/>
      <c r="X423" s="298"/>
      <c r="Y423" s="298"/>
      <c r="Z423" s="213" t="s">
        <v>1520</v>
      </c>
      <c r="AA423" s="213" t="s">
        <v>1488</v>
      </c>
      <c r="AB423" s="213"/>
      <c r="AC423" s="213" t="s">
        <v>449</v>
      </c>
      <c r="AD423" s="213"/>
      <c r="AE423" s="213">
        <v>165</v>
      </c>
      <c r="AF423" s="300" t="s">
        <v>434</v>
      </c>
      <c r="AG423" s="301"/>
      <c r="AH423" s="302" t="s">
        <v>435</v>
      </c>
      <c r="AJ423" s="303"/>
      <c r="AK423" s="296" t="s">
        <v>1489</v>
      </c>
      <c r="AS423" s="296" t="str">
        <f t="shared" ref="AS423:AS428" si="82">CONCATENATE(AT423,"-",AU423,"-",AV423,"-",AW423)</f>
        <v>F15-Headrest, FRONT - RIGHT (ACTIVE)-14-18-ALL</v>
      </c>
      <c r="AT423" s="296" t="s">
        <v>661</v>
      </c>
      <c r="AU423" s="296" t="str">
        <f t="shared" ref="AU423:AU428" si="83">Z423</f>
        <v>Headrest, FRONT - RIGHT (ACTIVE)</v>
      </c>
      <c r="AV423" s="296" t="s">
        <v>757</v>
      </c>
      <c r="AW423" s="296" t="s">
        <v>662</v>
      </c>
      <c r="AX423" s="298"/>
      <c r="AY423" s="298" t="s">
        <v>80</v>
      </c>
      <c r="AZ423" s="232" t="str">
        <f>IF($AX423="Yes",'8. Option Codes Decrypted'!$C$15,"")</f>
        <v/>
      </c>
      <c r="BA423" s="232" t="str">
        <f>IF($AX423="Yes",'8. Option Codes Decrypted'!$C$16,"")</f>
        <v/>
      </c>
      <c r="BB423" s="232" t="str">
        <f>IF($AX423="Yes",'8. Option Codes Decrypted'!$C$17,"")</f>
        <v/>
      </c>
      <c r="BC423" s="232" t="str">
        <f>IF($AX423="Yes",'8. Option Codes Decrypted'!$C$18,"")</f>
        <v/>
      </c>
      <c r="BD423" s="232" t="str">
        <f>IF($AY423="Yes",'8. Option Codes Decrypted'!$C$20,"")</f>
        <v>Leather</v>
      </c>
      <c r="BE423" s="232" t="str">
        <f>IF($AY423="Yes",'8. Option Codes Decrypted'!$C$21,"")</f>
        <v>Black</v>
      </c>
      <c r="BF423" s="232" t="str">
        <f>IF($AY423="Yes",'8. Option Codes Decrypted'!$C$22,"")</f>
        <v>Black Dakota Leather (LCSW)</v>
      </c>
      <c r="BG423" s="232" t="str">
        <f>IF($AY423="Yes",'8. Option Codes Decrypted'!$C$23,"")</f>
        <v>LCSW</v>
      </c>
    </row>
    <row r="424" spans="1:59" s="296" customFormat="1" ht="15.75" thickBot="1" x14ac:dyDescent="0.3">
      <c r="A424" s="232" t="str">
        <f t="shared" si="76"/>
        <v/>
      </c>
      <c r="B424" s="358" t="str">
        <f t="shared" si="73"/>
        <v/>
      </c>
      <c r="C424" s="358" t="str">
        <f t="shared" si="77"/>
        <v>F15-Headrest, FRONT - RIGHT (STANDARD)-14-18-ALL</v>
      </c>
      <c r="D424" s="358"/>
      <c r="E424" s="358" t="str">
        <f t="shared" si="74"/>
        <v/>
      </c>
      <c r="F424" s="296" t="s">
        <v>426</v>
      </c>
      <c r="G424" s="297">
        <v>44673</v>
      </c>
      <c r="H424" s="322"/>
      <c r="I424" s="306" t="s">
        <v>441</v>
      </c>
      <c r="J424" s="213" t="s">
        <v>427</v>
      </c>
      <c r="K424" s="213" t="s">
        <v>1485</v>
      </c>
      <c r="L424" s="213" t="s">
        <v>1486</v>
      </c>
      <c r="M424" s="298" t="s">
        <v>430</v>
      </c>
      <c r="N424" s="298"/>
      <c r="O424" s="299"/>
      <c r="P424" s="299"/>
      <c r="Q424" s="299"/>
      <c r="R424" s="299"/>
      <c r="S424" s="299"/>
      <c r="T424" s="298"/>
      <c r="U424" s="298"/>
      <c r="V424" s="298"/>
      <c r="W424" s="298"/>
      <c r="X424" s="298"/>
      <c r="Y424" s="298"/>
      <c r="Z424" s="213" t="s">
        <v>1521</v>
      </c>
      <c r="AA424" s="213" t="s">
        <v>1488</v>
      </c>
      <c r="AB424" s="213"/>
      <c r="AC424" s="213" t="s">
        <v>449</v>
      </c>
      <c r="AD424" s="213"/>
      <c r="AE424" s="213">
        <v>125</v>
      </c>
      <c r="AF424" s="300" t="s">
        <v>434</v>
      </c>
      <c r="AG424" s="301"/>
      <c r="AH424" s="302" t="s">
        <v>435</v>
      </c>
      <c r="AJ424" s="303"/>
      <c r="AK424" s="296" t="s">
        <v>1489</v>
      </c>
      <c r="AS424" s="296" t="str">
        <f t="shared" si="82"/>
        <v>F15-Headrest, FRONT - RIGHT (STANDARD)-14-18-ALL</v>
      </c>
      <c r="AT424" s="296" t="s">
        <v>661</v>
      </c>
      <c r="AU424" s="296" t="str">
        <f t="shared" si="83"/>
        <v>Headrest, FRONT - RIGHT (STANDARD)</v>
      </c>
      <c r="AV424" s="296" t="s">
        <v>757</v>
      </c>
      <c r="AW424" s="296" t="s">
        <v>662</v>
      </c>
      <c r="AX424" s="298"/>
      <c r="AY424" s="298" t="s">
        <v>80</v>
      </c>
      <c r="AZ424" s="232" t="str">
        <f>IF($AX424="Yes",'8. Option Codes Decrypted'!$C$15,"")</f>
        <v/>
      </c>
      <c r="BA424" s="232" t="str">
        <f>IF($AX424="Yes",'8. Option Codes Decrypted'!$C$16,"")</f>
        <v/>
      </c>
      <c r="BB424" s="232" t="str">
        <f>IF($AX424="Yes",'8. Option Codes Decrypted'!$C$17,"")</f>
        <v/>
      </c>
      <c r="BC424" s="232" t="str">
        <f>IF($AX424="Yes",'8. Option Codes Decrypted'!$C$18,"")</f>
        <v/>
      </c>
      <c r="BD424" s="232" t="str">
        <f>IF($AY424="Yes",'8. Option Codes Decrypted'!$C$20,"")</f>
        <v>Leather</v>
      </c>
      <c r="BE424" s="232" t="str">
        <f>IF($AY424="Yes",'8. Option Codes Decrypted'!$C$21,"")</f>
        <v>Black</v>
      </c>
      <c r="BF424" s="232" t="str">
        <f>IF($AY424="Yes",'8. Option Codes Decrypted'!$C$22,"")</f>
        <v>Black Dakota Leather (LCSW)</v>
      </c>
      <c r="BG424" s="232" t="str">
        <f>IF($AY424="Yes",'8. Option Codes Decrypted'!$C$23,"")</f>
        <v>LCSW</v>
      </c>
    </row>
    <row r="425" spans="1:59" s="296" customFormat="1" ht="15.75" thickBot="1" x14ac:dyDescent="0.3">
      <c r="A425" s="232" t="str">
        <f t="shared" si="76"/>
        <v>A54</v>
      </c>
      <c r="B425" s="358" t="str">
        <f t="shared" si="73"/>
        <v/>
      </c>
      <c r="C425" s="358" t="str">
        <f t="shared" si="77"/>
        <v>F15-Seat Adjust Switch, FRONT - RIGHT-14-18-ALL</v>
      </c>
      <c r="D425" s="358"/>
      <c r="E425" s="358" t="str">
        <f t="shared" si="74"/>
        <v/>
      </c>
      <c r="F425" s="296" t="s">
        <v>426</v>
      </c>
      <c r="G425" s="297">
        <v>44684</v>
      </c>
      <c r="H425" s="322"/>
      <c r="I425" s="306" t="s">
        <v>441</v>
      </c>
      <c r="J425" s="213" t="s">
        <v>427</v>
      </c>
      <c r="K425" s="325" t="s">
        <v>1519</v>
      </c>
      <c r="L425" s="213" t="s">
        <v>1491</v>
      </c>
      <c r="M425" s="298" t="s">
        <v>430</v>
      </c>
      <c r="N425" s="298">
        <v>44</v>
      </c>
      <c r="O425" s="299" t="s">
        <v>298</v>
      </c>
      <c r="P425" s="299" t="s">
        <v>445</v>
      </c>
      <c r="Q425" s="299">
        <v>1</v>
      </c>
      <c r="R425" s="299" t="str">
        <f t="shared" si="75"/>
        <v>A54. Seat Adjust Switch, FRONT - RIGHT</v>
      </c>
      <c r="S425" s="365" t="str">
        <f>HYPERLINK(VLOOKUP(O425,'3D. Pictures'!$B$3:$E$500,4,FALSE),"PIC")</f>
        <v>PIC</v>
      </c>
      <c r="T425" s="298">
        <v>4</v>
      </c>
      <c r="U425" s="298">
        <v>9276464</v>
      </c>
      <c r="V425" s="298" t="s">
        <v>80</v>
      </c>
      <c r="W425" s="298"/>
      <c r="X425" s="298"/>
      <c r="Y425" s="235" t="s">
        <v>1062</v>
      </c>
      <c r="Z425" s="213" t="s">
        <v>1522</v>
      </c>
      <c r="AA425" s="213"/>
      <c r="AB425" s="213"/>
      <c r="AC425" s="213" t="s">
        <v>449</v>
      </c>
      <c r="AD425" s="213"/>
      <c r="AE425" s="213">
        <v>125</v>
      </c>
      <c r="AF425" s="300" t="s">
        <v>434</v>
      </c>
      <c r="AG425" s="301"/>
      <c r="AH425" s="302" t="s">
        <v>435</v>
      </c>
      <c r="AJ425" s="303"/>
      <c r="AK425" s="296" t="s">
        <v>1493</v>
      </c>
      <c r="AS425" s="296" t="str">
        <f t="shared" si="82"/>
        <v>F15-Seat Adjust Switch, FRONT - RIGHT-14-18-ALL</v>
      </c>
      <c r="AT425" s="296" t="s">
        <v>661</v>
      </c>
      <c r="AU425" s="296" t="str">
        <f t="shared" si="83"/>
        <v>Seat Adjust Switch, FRONT - RIGHT</v>
      </c>
      <c r="AV425" s="296" t="s">
        <v>757</v>
      </c>
      <c r="AW425" s="296" t="s">
        <v>662</v>
      </c>
      <c r="AX425" s="298"/>
      <c r="AY425" s="298"/>
      <c r="AZ425" s="232" t="str">
        <f>IF($AX425="Yes",'8. Option Codes Decrypted'!$C$15,"")</f>
        <v/>
      </c>
      <c r="BA425" s="232" t="str">
        <f>IF($AX425="Yes",'8. Option Codes Decrypted'!$C$16,"")</f>
        <v/>
      </c>
      <c r="BB425" s="232" t="str">
        <f>IF($AX425="Yes",'8. Option Codes Decrypted'!$C$17,"")</f>
        <v/>
      </c>
      <c r="BC425" s="232" t="str">
        <f>IF($AX425="Yes",'8. Option Codes Decrypted'!$C$18,"")</f>
        <v/>
      </c>
      <c r="BD425" s="232" t="str">
        <f>IF($AY425="Yes",'8. Option Codes Decrypted'!$C$20,"")</f>
        <v/>
      </c>
      <c r="BE425" s="232" t="str">
        <f>IF($AY425="Yes",'8. Option Codes Decrypted'!$C$21,"")</f>
        <v/>
      </c>
      <c r="BF425" s="232" t="str">
        <f>IF($AY425="Yes",'8. Option Codes Decrypted'!$C$22,"")</f>
        <v/>
      </c>
      <c r="BG425" s="232" t="str">
        <f>IF($AY425="Yes",'8. Option Codes Decrypted'!$C$23,"")</f>
        <v/>
      </c>
    </row>
    <row r="426" spans="1:59" s="296" customFormat="1" ht="15.75" thickBot="1" x14ac:dyDescent="0.3">
      <c r="A426" s="232" t="str">
        <f t="shared" si="76"/>
        <v/>
      </c>
      <c r="B426" s="358" t="str">
        <f t="shared" si="73"/>
        <v/>
      </c>
      <c r="C426" s="358" t="str">
        <f t="shared" si="77"/>
        <v>F15-Seat Cushions, FRONT RIGHT - LOWER-14-18-ALL</v>
      </c>
      <c r="D426" s="358"/>
      <c r="E426" s="358" t="str">
        <f t="shared" si="74"/>
        <v/>
      </c>
      <c r="F426" s="296" t="s">
        <v>426</v>
      </c>
      <c r="G426" s="297">
        <v>44673</v>
      </c>
      <c r="H426" s="322"/>
      <c r="I426" s="306" t="s">
        <v>441</v>
      </c>
      <c r="J426" s="213" t="s">
        <v>427</v>
      </c>
      <c r="K426" s="325" t="s">
        <v>1519</v>
      </c>
      <c r="L426" s="213" t="s">
        <v>1494</v>
      </c>
      <c r="M426" s="298" t="s">
        <v>430</v>
      </c>
      <c r="N426" s="298"/>
      <c r="O426" s="299"/>
      <c r="P426" s="299"/>
      <c r="Q426" s="299"/>
      <c r="R426" s="299" t="str">
        <f t="shared" si="75"/>
        <v>. Seat Cushions, FRONT RIGHT - LOWER</v>
      </c>
      <c r="S426" s="299"/>
      <c r="T426" s="298"/>
      <c r="U426" s="298"/>
      <c r="V426" s="298"/>
      <c r="W426" s="298"/>
      <c r="X426" s="298"/>
      <c r="Y426" s="298"/>
      <c r="Z426" s="213" t="s">
        <v>1523</v>
      </c>
      <c r="AA426" s="213"/>
      <c r="AB426" s="213"/>
      <c r="AC426" s="213" t="s">
        <v>449</v>
      </c>
      <c r="AD426" s="213"/>
      <c r="AE426" s="213">
        <v>175</v>
      </c>
      <c r="AF426" s="300" t="s">
        <v>434</v>
      </c>
      <c r="AG426" s="301"/>
      <c r="AH426" s="302" t="s">
        <v>435</v>
      </c>
      <c r="AJ426" s="303"/>
      <c r="AK426" s="296" t="s">
        <v>1524</v>
      </c>
      <c r="AS426" s="296" t="str">
        <f t="shared" si="82"/>
        <v>F15-Seat Cushions, FRONT RIGHT - LOWER-14-18-ALL</v>
      </c>
      <c r="AT426" s="296" t="s">
        <v>661</v>
      </c>
      <c r="AU426" s="296" t="str">
        <f t="shared" si="83"/>
        <v>Seat Cushions, FRONT RIGHT - LOWER</v>
      </c>
      <c r="AV426" s="296" t="s">
        <v>757</v>
      </c>
      <c r="AW426" s="296" t="s">
        <v>662</v>
      </c>
      <c r="AX426" s="298"/>
      <c r="AY426" s="298" t="s">
        <v>80</v>
      </c>
      <c r="AZ426" s="232" t="str">
        <f>IF($AX426="Yes",'8. Option Codes Decrypted'!$C$15,"")</f>
        <v/>
      </c>
      <c r="BA426" s="232" t="str">
        <f>IF($AX426="Yes",'8. Option Codes Decrypted'!$C$16,"")</f>
        <v/>
      </c>
      <c r="BB426" s="232" t="str">
        <f>IF($AX426="Yes",'8. Option Codes Decrypted'!$C$17,"")</f>
        <v/>
      </c>
      <c r="BC426" s="232" t="str">
        <f>IF($AX426="Yes",'8. Option Codes Decrypted'!$C$18,"")</f>
        <v/>
      </c>
      <c r="BD426" s="232" t="str">
        <f>IF($AY426="Yes",'8. Option Codes Decrypted'!$C$20,"")</f>
        <v>Leather</v>
      </c>
      <c r="BE426" s="232" t="str">
        <f>IF($AY426="Yes",'8. Option Codes Decrypted'!$C$21,"")</f>
        <v>Black</v>
      </c>
      <c r="BF426" s="232" t="str">
        <f>IF($AY426="Yes",'8. Option Codes Decrypted'!$C$22,"")</f>
        <v>Black Dakota Leather (LCSW)</v>
      </c>
      <c r="BG426" s="232" t="str">
        <f>IF($AY426="Yes",'8. Option Codes Decrypted'!$C$23,"")</f>
        <v>LCSW</v>
      </c>
    </row>
    <row r="427" spans="1:59" s="296" customFormat="1" ht="15.75" thickBot="1" x14ac:dyDescent="0.3">
      <c r="A427" s="232" t="str">
        <f t="shared" si="76"/>
        <v>A86</v>
      </c>
      <c r="B427" s="358" t="str">
        <f t="shared" si="73"/>
        <v/>
      </c>
      <c r="C427" s="358" t="str">
        <f t="shared" si="77"/>
        <v>F15-Seat Cushions, FRONT RIGHT - UPPER-14-18-ALL</v>
      </c>
      <c r="D427" s="358"/>
      <c r="E427" s="358" t="str">
        <f t="shared" si="74"/>
        <v/>
      </c>
      <c r="F427" s="296" t="s">
        <v>426</v>
      </c>
      <c r="G427" s="297">
        <v>44673</v>
      </c>
      <c r="H427" s="322"/>
      <c r="I427" s="306" t="s">
        <v>441</v>
      </c>
      <c r="J427" s="213" t="s">
        <v>427</v>
      </c>
      <c r="K427" s="213" t="s">
        <v>1519</v>
      </c>
      <c r="L427" s="213" t="s">
        <v>1497</v>
      </c>
      <c r="M427" s="298" t="s">
        <v>430</v>
      </c>
      <c r="N427" s="298">
        <v>76</v>
      </c>
      <c r="O427" s="299" t="s">
        <v>330</v>
      </c>
      <c r="P427" s="299" t="s">
        <v>1060</v>
      </c>
      <c r="Q427" s="299">
        <v>1</v>
      </c>
      <c r="R427" s="299" t="str">
        <f t="shared" si="75"/>
        <v>A86. Seat Cushions, FRONT RIGHT - UPPER</v>
      </c>
      <c r="S427" s="365" t="str">
        <f>HYPERLINK(VLOOKUP(O427,'3D. Pictures'!$B$3:$E$500,4,FALSE),"PIC")</f>
        <v>PIC</v>
      </c>
      <c r="T427" s="298">
        <v>6</v>
      </c>
      <c r="U427" s="298" t="s">
        <v>1029</v>
      </c>
      <c r="V427" s="298" t="s">
        <v>80</v>
      </c>
      <c r="W427" s="298"/>
      <c r="X427" s="298"/>
      <c r="Y427" s="298"/>
      <c r="Z427" s="213" t="s">
        <v>1525</v>
      </c>
      <c r="AA427" s="213"/>
      <c r="AB427" s="213"/>
      <c r="AC427" s="213" t="s">
        <v>449</v>
      </c>
      <c r="AD427" s="213"/>
      <c r="AE427" s="213">
        <v>175</v>
      </c>
      <c r="AF427" s="300" t="s">
        <v>434</v>
      </c>
      <c r="AG427" s="301"/>
      <c r="AH427" s="302" t="s">
        <v>435</v>
      </c>
      <c r="AJ427" s="303"/>
      <c r="AK427" s="296" t="s">
        <v>1526</v>
      </c>
      <c r="AS427" s="296" t="str">
        <f t="shared" si="82"/>
        <v>F15-Seat Cushions, FRONT RIGHT - UPPER-14-18-ALL</v>
      </c>
      <c r="AT427" s="296" t="s">
        <v>661</v>
      </c>
      <c r="AU427" s="296" t="str">
        <f t="shared" si="83"/>
        <v>Seat Cushions, FRONT RIGHT - UPPER</v>
      </c>
      <c r="AV427" s="296" t="s">
        <v>757</v>
      </c>
      <c r="AW427" s="296" t="s">
        <v>662</v>
      </c>
      <c r="AX427" s="298"/>
      <c r="AY427" s="298" t="s">
        <v>80</v>
      </c>
      <c r="AZ427" s="232" t="str">
        <f>IF($AX427="Yes",'8. Option Codes Decrypted'!$C$15,"")</f>
        <v/>
      </c>
      <c r="BA427" s="232" t="str">
        <f>IF($AX427="Yes",'8. Option Codes Decrypted'!$C$16,"")</f>
        <v/>
      </c>
      <c r="BB427" s="232" t="str">
        <f>IF($AX427="Yes",'8. Option Codes Decrypted'!$C$17,"")</f>
        <v/>
      </c>
      <c r="BC427" s="232" t="str">
        <f>IF($AX427="Yes",'8. Option Codes Decrypted'!$C$18,"")</f>
        <v/>
      </c>
      <c r="BD427" s="232" t="str">
        <f>IF($AY427="Yes",'8. Option Codes Decrypted'!$C$20,"")</f>
        <v>Leather</v>
      </c>
      <c r="BE427" s="232" t="str">
        <f>IF($AY427="Yes",'8. Option Codes Decrypted'!$C$21,"")</f>
        <v>Black</v>
      </c>
      <c r="BF427" s="232" t="str">
        <f>IF($AY427="Yes",'8. Option Codes Decrypted'!$C$22,"")</f>
        <v>Black Dakota Leather (LCSW)</v>
      </c>
      <c r="BG427" s="232" t="str">
        <f>IF($AY427="Yes",'8. Option Codes Decrypted'!$C$23,"")</f>
        <v>LCSW</v>
      </c>
    </row>
    <row r="428" spans="1:59" s="296" customFormat="1" ht="15.75" thickBot="1" x14ac:dyDescent="0.3">
      <c r="A428" s="232" t="str">
        <f t="shared" si="76"/>
        <v>A105</v>
      </c>
      <c r="B428" s="358" t="str">
        <f t="shared" si="73"/>
        <v/>
      </c>
      <c r="C428" s="358" t="str">
        <f t="shared" si="77"/>
        <v>F15-Seat Track WITH Motors, FRONT RIGHT-14-18-ALL</v>
      </c>
      <c r="D428" s="358"/>
      <c r="E428" s="358" t="str">
        <f t="shared" si="74"/>
        <v/>
      </c>
      <c r="F428" s="296" t="s">
        <v>426</v>
      </c>
      <c r="G428" s="297">
        <v>44673</v>
      </c>
      <c r="H428" s="298"/>
      <c r="I428" s="298"/>
      <c r="J428" s="299" t="s">
        <v>427</v>
      </c>
      <c r="K428" s="298" t="s">
        <v>1519</v>
      </c>
      <c r="L428" s="298" t="s">
        <v>1500</v>
      </c>
      <c r="M428" s="306" t="s">
        <v>444</v>
      </c>
      <c r="N428" s="306">
        <v>95</v>
      </c>
      <c r="O428" s="310" t="s">
        <v>349</v>
      </c>
      <c r="P428" s="310" t="s">
        <v>724</v>
      </c>
      <c r="Q428" s="310">
        <v>1</v>
      </c>
      <c r="R428" s="299" t="str">
        <f t="shared" si="75"/>
        <v>A105. Seat Track WITH Motors, FRONT RIGHT</v>
      </c>
      <c r="S428" s="365" t="str">
        <f>HYPERLINK(VLOOKUP(O428,'3D. Pictures'!$B$3:$E$500,4,FALSE),"PIC")</f>
        <v>PIC</v>
      </c>
      <c r="T428" s="306">
        <v>8</v>
      </c>
      <c r="U428" s="213" t="s">
        <v>1527</v>
      </c>
      <c r="V428" s="306" t="s">
        <v>81</v>
      </c>
      <c r="W428" s="213"/>
      <c r="X428" s="213"/>
      <c r="Y428" s="213"/>
      <c r="Z428" s="298" t="s">
        <v>1528</v>
      </c>
      <c r="AA428" s="298" t="s">
        <v>1503</v>
      </c>
      <c r="AB428" s="298"/>
      <c r="AC428" s="213" t="s">
        <v>449</v>
      </c>
      <c r="AD428" s="320"/>
      <c r="AE428" s="298">
        <v>230</v>
      </c>
      <c r="AF428" s="300" t="s">
        <v>434</v>
      </c>
      <c r="AG428" s="301"/>
      <c r="AH428" s="302" t="s">
        <v>435</v>
      </c>
      <c r="AJ428" s="303"/>
      <c r="AK428" s="296" t="s">
        <v>1504</v>
      </c>
      <c r="AN428" s="308"/>
      <c r="AO428" s="296" t="s">
        <v>411</v>
      </c>
      <c r="AS428" s="296" t="str">
        <f t="shared" si="82"/>
        <v>F15-Seat Track WITH Motors, FRONT RIGHT-14-18-ALL</v>
      </c>
      <c r="AT428" s="296" t="s">
        <v>661</v>
      </c>
      <c r="AU428" s="296" t="str">
        <f t="shared" si="83"/>
        <v>Seat Track WITH Motors, FRONT RIGHT</v>
      </c>
      <c r="AV428" s="296" t="s">
        <v>757</v>
      </c>
      <c r="AW428" s="296" t="s">
        <v>662</v>
      </c>
      <c r="AX428" s="213"/>
      <c r="AY428" s="213"/>
      <c r="AZ428" s="232" t="str">
        <f>IF($AX428="Yes",'8. Option Codes Decrypted'!$C$15,"")</f>
        <v/>
      </c>
      <c r="BA428" s="232" t="str">
        <f>IF($AX428="Yes",'8. Option Codes Decrypted'!$C$16,"")</f>
        <v/>
      </c>
      <c r="BB428" s="232" t="str">
        <f>IF($AX428="Yes",'8. Option Codes Decrypted'!$C$17,"")</f>
        <v/>
      </c>
      <c r="BC428" s="232" t="str">
        <f>IF($AX428="Yes",'8. Option Codes Decrypted'!$C$18,"")</f>
        <v/>
      </c>
      <c r="BD428" s="232" t="str">
        <f>IF($AY428="Yes",'8. Option Codes Decrypted'!$C$20,"")</f>
        <v/>
      </c>
      <c r="BE428" s="232" t="str">
        <f>IF($AY428="Yes",'8. Option Codes Decrypted'!$C$21,"")</f>
        <v/>
      </c>
      <c r="BF428" s="232" t="str">
        <f>IF($AY428="Yes",'8. Option Codes Decrypted'!$C$22,"")</f>
        <v/>
      </c>
      <c r="BG428" s="232" t="str">
        <f>IF($AY428="Yes",'8. Option Codes Decrypted'!$C$23,"")</f>
        <v/>
      </c>
    </row>
    <row r="429" spans="1:59" s="232" customFormat="1" ht="15.75" thickBot="1" x14ac:dyDescent="0.3">
      <c r="A429" s="232" t="str">
        <f t="shared" si="76"/>
        <v>A94</v>
      </c>
      <c r="B429" s="358" t="str">
        <f t="shared" si="73"/>
        <v>431-59702</v>
      </c>
      <c r="C429" s="358" t="str">
        <f t="shared" si="77"/>
        <v/>
      </c>
      <c r="D429" s="358"/>
      <c r="E429" s="358">
        <f t="shared" si="74"/>
        <v>1</v>
      </c>
      <c r="F429" s="232" t="s">
        <v>426</v>
      </c>
      <c r="G429" s="241">
        <v>44674</v>
      </c>
      <c r="H429" s="257" t="s">
        <v>580</v>
      </c>
      <c r="I429" s="260" t="s">
        <v>1529</v>
      </c>
      <c r="J429" s="260" t="s">
        <v>427</v>
      </c>
      <c r="K429" s="260" t="s">
        <v>17</v>
      </c>
      <c r="L429" s="260" t="s">
        <v>1530</v>
      </c>
      <c r="M429" s="243" t="s">
        <v>444</v>
      </c>
      <c r="N429" s="243">
        <v>84</v>
      </c>
      <c r="O429" s="285" t="s">
        <v>338</v>
      </c>
      <c r="P429" s="285" t="s">
        <v>724</v>
      </c>
      <c r="Q429" s="285">
        <v>1</v>
      </c>
      <c r="R429" s="251" t="str">
        <f t="shared" si="75"/>
        <v>A94. Driveshaft, REAR, RWD</v>
      </c>
      <c r="S429" s="365" t="str">
        <f>HYPERLINK(VLOOKUP(O429,'3D. Pictures'!$B$3:$E$500,4,FALSE),"PIC")</f>
        <v>PIC</v>
      </c>
      <c r="T429" s="243">
        <v>5</v>
      </c>
      <c r="U429" s="244" t="s">
        <v>1531</v>
      </c>
      <c r="V429" s="243" t="s">
        <v>81</v>
      </c>
      <c r="W429" s="244"/>
      <c r="X429" s="244"/>
      <c r="Y429" s="244"/>
      <c r="Z429" s="260" t="s">
        <v>1532</v>
      </c>
      <c r="AA429" s="260" t="s">
        <v>1533</v>
      </c>
      <c r="AB429" s="260"/>
      <c r="AC429" s="244" t="s">
        <v>449</v>
      </c>
      <c r="AD429" s="260"/>
      <c r="AE429" s="330">
        <v>250</v>
      </c>
      <c r="AF429" s="252" t="s">
        <v>434</v>
      </c>
      <c r="AG429" s="247"/>
      <c r="AH429" s="248" t="s">
        <v>1534</v>
      </c>
      <c r="AJ429" s="249"/>
      <c r="AK429" s="232" t="s">
        <v>1535</v>
      </c>
      <c r="AL429" s="232" t="s">
        <v>1536</v>
      </c>
      <c r="AN429" s="233">
        <v>431</v>
      </c>
      <c r="AO429" s="232" t="s">
        <v>411</v>
      </c>
      <c r="AP429" s="232">
        <v>59702</v>
      </c>
      <c r="AQ429" s="232" t="str">
        <f>CONCATENATE(AN429,AO429,AP429)</f>
        <v>431-59702</v>
      </c>
      <c r="AX429" s="244"/>
      <c r="AY429" s="244"/>
      <c r="AZ429" s="232" t="str">
        <f>IF($AX429="Yes",'8. Option Codes Decrypted'!$C$15,"")</f>
        <v/>
      </c>
      <c r="BA429" s="232" t="str">
        <f>IF($AX429="Yes",'8. Option Codes Decrypted'!$C$16,"")</f>
        <v/>
      </c>
      <c r="BB429" s="232" t="str">
        <f>IF($AX429="Yes",'8. Option Codes Decrypted'!$C$17,"")</f>
        <v/>
      </c>
      <c r="BC429" s="232" t="str">
        <f>IF($AX429="Yes",'8. Option Codes Decrypted'!$C$18,"")</f>
        <v/>
      </c>
      <c r="BD429" s="232" t="str">
        <f>IF($AY429="Yes",'8. Option Codes Decrypted'!$C$20,"")</f>
        <v/>
      </c>
      <c r="BE429" s="232" t="str">
        <f>IF($AY429="Yes",'8. Option Codes Decrypted'!$C$21,"")</f>
        <v/>
      </c>
      <c r="BF429" s="232" t="str">
        <f>IF($AY429="Yes",'8. Option Codes Decrypted'!$C$22,"")</f>
        <v/>
      </c>
      <c r="BG429" s="232" t="str">
        <f>IF($AY429="Yes",'8. Option Codes Decrypted'!$C$23,"")</f>
        <v/>
      </c>
    </row>
    <row r="430" spans="1:59" s="232" customFormat="1" x14ac:dyDescent="0.25">
      <c r="A430" s="232" t="str">
        <f t="shared" si="76"/>
        <v/>
      </c>
      <c r="B430" s="358" t="str">
        <f t="shared" si="73"/>
        <v>431-59823</v>
      </c>
      <c r="C430" s="358" t="str">
        <f t="shared" si="77"/>
        <v/>
      </c>
      <c r="D430" s="358"/>
      <c r="E430" s="358">
        <f t="shared" si="74"/>
        <v>1</v>
      </c>
      <c r="F430" s="232" t="s">
        <v>426</v>
      </c>
      <c r="G430" s="241">
        <v>44674</v>
      </c>
      <c r="H430" s="257" t="s">
        <v>580</v>
      </c>
      <c r="I430" s="260" t="s">
        <v>1529</v>
      </c>
      <c r="J430" s="260" t="s">
        <v>427</v>
      </c>
      <c r="K430" s="260" t="s">
        <v>17</v>
      </c>
      <c r="L430" s="260" t="s">
        <v>1537</v>
      </c>
      <c r="M430" s="243" t="s">
        <v>444</v>
      </c>
      <c r="N430" s="243"/>
      <c r="O430" s="285"/>
      <c r="P430" s="285"/>
      <c r="Q430" s="285"/>
      <c r="R430" s="251" t="str">
        <f t="shared" si="75"/>
        <v>. Driveshaft, REAR (KEEP AWD if part# 7636785)</v>
      </c>
      <c r="S430" s="251"/>
      <c r="T430" s="243"/>
      <c r="U430" s="244"/>
      <c r="V430" s="243"/>
      <c r="W430" s="244"/>
      <c r="X430" s="244"/>
      <c r="Y430" s="244"/>
      <c r="Z430" s="260" t="s">
        <v>1538</v>
      </c>
      <c r="AA430" s="260" t="s">
        <v>1539</v>
      </c>
      <c r="AB430" s="260"/>
      <c r="AC430" s="244" t="s">
        <v>449</v>
      </c>
      <c r="AD430" s="260"/>
      <c r="AE430" s="330">
        <v>450</v>
      </c>
      <c r="AF430" s="252" t="s">
        <v>434</v>
      </c>
      <c r="AG430" s="247"/>
      <c r="AH430" s="248" t="s">
        <v>1534</v>
      </c>
      <c r="AJ430" s="249"/>
      <c r="AK430" s="232" t="s">
        <v>1535</v>
      </c>
      <c r="AL430" s="232" t="s">
        <v>1536</v>
      </c>
      <c r="AN430" s="233">
        <v>431</v>
      </c>
      <c r="AO430" s="232" t="s">
        <v>411</v>
      </c>
      <c r="AP430" s="232">
        <v>59823</v>
      </c>
      <c r="AQ430" s="232" t="str">
        <f>CONCATENATE(AN430,AO430,AP430)</f>
        <v>431-59823</v>
      </c>
      <c r="AX430" s="244"/>
      <c r="AY430" s="244"/>
      <c r="AZ430" s="232" t="str">
        <f>IF($AX430="Yes",'8. Option Codes Decrypted'!$C$15,"")</f>
        <v/>
      </c>
      <c r="BA430" s="232" t="str">
        <f>IF($AX430="Yes",'8. Option Codes Decrypted'!$C$16,"")</f>
        <v/>
      </c>
      <c r="BB430" s="232" t="str">
        <f>IF($AX430="Yes",'8. Option Codes Decrypted'!$C$17,"")</f>
        <v/>
      </c>
      <c r="BC430" s="232" t="str">
        <f>IF($AX430="Yes",'8. Option Codes Decrypted'!$C$18,"")</f>
        <v/>
      </c>
      <c r="BD430" s="232" t="str">
        <f>IF($AY430="Yes",'8. Option Codes Decrypted'!$C$20,"")</f>
        <v/>
      </c>
      <c r="BE430" s="232" t="str">
        <f>IF($AY430="Yes",'8. Option Codes Decrypted'!$C$21,"")</f>
        <v/>
      </c>
      <c r="BF430" s="232" t="str">
        <f>IF($AY430="Yes",'8. Option Codes Decrypted'!$C$22,"")</f>
        <v/>
      </c>
      <c r="BG430" s="232" t="str">
        <f>IF($AY430="Yes",'8. Option Codes Decrypted'!$C$23,"")</f>
        <v/>
      </c>
    </row>
    <row r="431" spans="1:59" s="232" customFormat="1" x14ac:dyDescent="0.25">
      <c r="A431" s="232" t="str">
        <f t="shared" si="76"/>
        <v/>
      </c>
      <c r="B431" s="358" t="str">
        <f t="shared" si="73"/>
        <v/>
      </c>
      <c r="C431" s="358" t="str">
        <f t="shared" si="77"/>
        <v/>
      </c>
      <c r="D431" s="358"/>
      <c r="E431" s="358" t="str">
        <f t="shared" si="74"/>
        <v/>
      </c>
      <c r="F431" s="232" t="s">
        <v>426</v>
      </c>
      <c r="G431" s="241">
        <v>44674</v>
      </c>
      <c r="H431" s="283"/>
      <c r="I431" s="278" t="s">
        <v>1529</v>
      </c>
      <c r="J431" s="278" t="s">
        <v>504</v>
      </c>
      <c r="K431" s="278" t="s">
        <v>17</v>
      </c>
      <c r="L431" s="278" t="s">
        <v>1537</v>
      </c>
      <c r="M431" s="283" t="s">
        <v>444</v>
      </c>
      <c r="N431" s="283"/>
      <c r="O431" s="295"/>
      <c r="P431" s="295"/>
      <c r="Q431" s="295"/>
      <c r="R431" s="331" t="str">
        <f t="shared" si="75"/>
        <v>. Driveshaft, REAR (TOSS 14-15 ALL AWD &amp; 16-18 AWD if part #s 7589129, 7589128)</v>
      </c>
      <c r="S431" s="331"/>
      <c r="T431" s="283"/>
      <c r="U431" s="278"/>
      <c r="V431" s="283"/>
      <c r="W431" s="278"/>
      <c r="X431" s="278"/>
      <c r="Y431" s="278"/>
      <c r="Z431" s="278" t="s">
        <v>1540</v>
      </c>
      <c r="AA431" s="278" t="s">
        <v>1541</v>
      </c>
      <c r="AB431" s="278"/>
      <c r="AC431" s="278" t="s">
        <v>449</v>
      </c>
      <c r="AD431" s="278"/>
      <c r="AE431" s="332"/>
      <c r="AF431" s="252" t="s">
        <v>434</v>
      </c>
      <c r="AG431" s="247"/>
      <c r="AH431" s="248" t="s">
        <v>1534</v>
      </c>
      <c r="AJ431" s="249"/>
      <c r="AK431" s="232" t="s">
        <v>1535</v>
      </c>
      <c r="AL431" s="232" t="s">
        <v>1536</v>
      </c>
      <c r="AN431" s="233"/>
      <c r="AX431" s="278"/>
      <c r="AY431" s="278"/>
      <c r="AZ431" s="232" t="str">
        <f>IF($AX431="Yes",'8. Option Codes Decrypted'!$C$15,"")</f>
        <v/>
      </c>
      <c r="BA431" s="232" t="str">
        <f>IF($AX431="Yes",'8. Option Codes Decrypted'!$C$16,"")</f>
        <v/>
      </c>
      <c r="BB431" s="232" t="str">
        <f>IF($AX431="Yes",'8. Option Codes Decrypted'!$C$17,"")</f>
        <v/>
      </c>
      <c r="BC431" s="232" t="str">
        <f>IF($AX431="Yes",'8. Option Codes Decrypted'!$C$18,"")</f>
        <v/>
      </c>
      <c r="BD431" s="232" t="str">
        <f>IF($AY431="Yes",'8. Option Codes Decrypted'!$C$20,"")</f>
        <v/>
      </c>
      <c r="BE431" s="232" t="str">
        <f>IF($AY431="Yes",'8. Option Codes Decrypted'!$C$21,"")</f>
        <v/>
      </c>
      <c r="BF431" s="232" t="str">
        <f>IF($AY431="Yes",'8. Option Codes Decrypted'!$C$22,"")</f>
        <v/>
      </c>
      <c r="BG431" s="232" t="str">
        <f>IF($AY431="Yes",'8. Option Codes Decrypted'!$C$23,"")</f>
        <v/>
      </c>
    </row>
    <row r="432" spans="1:59" x14ac:dyDescent="0.25">
      <c r="A432" s="232" t="str">
        <f t="shared" si="76"/>
        <v/>
      </c>
      <c r="B432" s="358" t="str">
        <f t="shared" si="73"/>
        <v/>
      </c>
      <c r="C432" s="358" t="str">
        <f t="shared" si="77"/>
        <v/>
      </c>
      <c r="D432" s="358"/>
      <c r="E432" s="358" t="str">
        <f t="shared" si="74"/>
        <v/>
      </c>
      <c r="F432" t="s">
        <v>426</v>
      </c>
      <c r="G432" s="230">
        <v>44680</v>
      </c>
      <c r="H432" s="16"/>
      <c r="I432" s="16" t="s">
        <v>1529</v>
      </c>
      <c r="J432" s="189" t="s">
        <v>1542</v>
      </c>
      <c r="K432" s="191" t="s">
        <v>17</v>
      </c>
      <c r="L432" s="16" t="s">
        <v>1543</v>
      </c>
      <c r="M432" s="195" t="s">
        <v>444</v>
      </c>
      <c r="N432" s="195"/>
      <c r="O432" s="292"/>
      <c r="P432" s="292"/>
      <c r="Q432" s="292"/>
      <c r="R432" s="286" t="str">
        <f t="shared" si="75"/>
        <v>. Sway Bar / Stabilizer Bar, FRONT (KEEP Dynamic Drive, TOSS ALL OTHERS)</v>
      </c>
      <c r="S432" s="286"/>
      <c r="T432" s="195"/>
      <c r="U432" s="193"/>
      <c r="V432" s="195"/>
      <c r="W432" s="193"/>
      <c r="X432" s="193"/>
      <c r="Y432" s="193"/>
      <c r="Z432" s="16" t="s">
        <v>1543</v>
      </c>
      <c r="AA432" s="16" t="s">
        <v>1543</v>
      </c>
      <c r="AB432" s="16" t="s">
        <v>1543</v>
      </c>
      <c r="AC432" s="193" t="s">
        <v>449</v>
      </c>
      <c r="AD432" s="16" t="s">
        <v>1544</v>
      </c>
      <c r="AE432" s="155">
        <v>320</v>
      </c>
      <c r="AF432" s="99" t="s">
        <v>434</v>
      </c>
      <c r="AH432" s="3" t="s">
        <v>435</v>
      </c>
      <c r="AJ432" s="69"/>
      <c r="AK432" t="s">
        <v>1545</v>
      </c>
      <c r="AN432"/>
      <c r="AO432" t="s">
        <v>411</v>
      </c>
      <c r="AX432" s="193"/>
      <c r="AY432" s="193"/>
      <c r="AZ432" s="232" t="str">
        <f>IF($AX432="Yes",'8. Option Codes Decrypted'!$C$15,"")</f>
        <v/>
      </c>
      <c r="BA432" s="232" t="str">
        <f>IF($AX432="Yes",'8. Option Codes Decrypted'!$C$16,"")</f>
        <v/>
      </c>
      <c r="BB432" s="232" t="str">
        <f>IF($AX432="Yes",'8. Option Codes Decrypted'!$C$17,"")</f>
        <v/>
      </c>
      <c r="BC432" s="232" t="str">
        <f>IF($AX432="Yes",'8. Option Codes Decrypted'!$C$18,"")</f>
        <v/>
      </c>
      <c r="BD432" s="232" t="str">
        <f>IF($AY432="Yes",'8. Option Codes Decrypted'!$C$20,"")</f>
        <v/>
      </c>
      <c r="BE432" s="232" t="str">
        <f>IF($AY432="Yes",'8. Option Codes Decrypted'!$C$21,"")</f>
        <v/>
      </c>
      <c r="BF432" s="232" t="str">
        <f>IF($AY432="Yes",'8. Option Codes Decrypted'!$C$22,"")</f>
        <v/>
      </c>
      <c r="BG432" s="232" t="str">
        <f>IF($AY432="Yes",'8. Option Codes Decrypted'!$C$23,"")</f>
        <v/>
      </c>
    </row>
    <row r="433" spans="1:59" s="232" customFormat="1" x14ac:dyDescent="0.25">
      <c r="A433" s="232" t="str">
        <f t="shared" si="76"/>
        <v/>
      </c>
      <c r="B433" s="358" t="str">
        <f t="shared" si="73"/>
        <v>447-62278</v>
      </c>
      <c r="C433" s="358" t="str">
        <f t="shared" si="77"/>
        <v/>
      </c>
      <c r="D433" s="358"/>
      <c r="E433" s="358">
        <f t="shared" si="74"/>
        <v>1</v>
      </c>
      <c r="F433" s="232" t="s">
        <v>426</v>
      </c>
      <c r="G433" s="241">
        <v>44673</v>
      </c>
      <c r="H433" s="250"/>
      <c r="I433" s="250"/>
      <c r="J433" s="250" t="s">
        <v>427</v>
      </c>
      <c r="K433" s="250" t="s">
        <v>17</v>
      </c>
      <c r="L433" s="250" t="s">
        <v>1546</v>
      </c>
      <c r="M433" s="243" t="s">
        <v>444</v>
      </c>
      <c r="N433" s="243"/>
      <c r="O433" s="285"/>
      <c r="P433" s="285"/>
      <c r="Q433" s="285"/>
      <c r="R433" s="286" t="str">
        <f t="shared" si="75"/>
        <v>. Axle Shafts, FRONT - LEFT</v>
      </c>
      <c r="S433" s="286"/>
      <c r="T433" s="243"/>
      <c r="U433" s="244"/>
      <c r="V433" s="243"/>
      <c r="W433" s="244"/>
      <c r="X433" s="244"/>
      <c r="Y433" s="244"/>
      <c r="Z433" s="250" t="s">
        <v>1547</v>
      </c>
      <c r="AA433" s="250"/>
      <c r="AB433" s="250"/>
      <c r="AC433" s="244" t="s">
        <v>449</v>
      </c>
      <c r="AD433" s="250"/>
      <c r="AE433" s="250">
        <v>400</v>
      </c>
      <c r="AF433" s="252" t="s">
        <v>434</v>
      </c>
      <c r="AG433" s="247"/>
      <c r="AH433" s="248" t="s">
        <v>749</v>
      </c>
      <c r="AJ433" s="249"/>
      <c r="AK433" s="232" t="s">
        <v>1548</v>
      </c>
      <c r="AL433" s="232" t="s">
        <v>1549</v>
      </c>
      <c r="AN433" s="233" t="s">
        <v>1550</v>
      </c>
      <c r="AO433" s="232" t="s">
        <v>411</v>
      </c>
      <c r="AP433" s="232">
        <v>62278</v>
      </c>
      <c r="AQ433" s="232" t="str">
        <f t="shared" ref="AQ433:AQ454" si="84">CONCATENATE(AN433,AO433,AP433)</f>
        <v>447-62278</v>
      </c>
      <c r="AX433" s="244"/>
      <c r="AY433" s="244"/>
      <c r="AZ433" s="232" t="str">
        <f>IF($AX433="Yes",'8. Option Codes Decrypted'!$C$15,"")</f>
        <v/>
      </c>
      <c r="BA433" s="232" t="str">
        <f>IF($AX433="Yes",'8. Option Codes Decrypted'!$C$16,"")</f>
        <v/>
      </c>
      <c r="BB433" s="232" t="str">
        <f>IF($AX433="Yes",'8. Option Codes Decrypted'!$C$17,"")</f>
        <v/>
      </c>
      <c r="BC433" s="232" t="str">
        <f>IF($AX433="Yes",'8. Option Codes Decrypted'!$C$18,"")</f>
        <v/>
      </c>
      <c r="BD433" s="232" t="str">
        <f>IF($AY433="Yes",'8. Option Codes Decrypted'!$C$20,"")</f>
        <v/>
      </c>
      <c r="BE433" s="232" t="str">
        <f>IF($AY433="Yes",'8. Option Codes Decrypted'!$C$21,"")</f>
        <v/>
      </c>
      <c r="BF433" s="232" t="str">
        <f>IF($AY433="Yes",'8. Option Codes Decrypted'!$C$22,"")</f>
        <v/>
      </c>
      <c r="BG433" s="232" t="str">
        <f>IF($AY433="Yes",'8. Option Codes Decrypted'!$C$23,"")</f>
        <v/>
      </c>
    </row>
    <row r="434" spans="1:59" s="232" customFormat="1" x14ac:dyDescent="0.25">
      <c r="A434" s="232" t="str">
        <f t="shared" si="76"/>
        <v/>
      </c>
      <c r="B434" s="358" t="str">
        <f t="shared" si="73"/>
        <v>447-62277</v>
      </c>
      <c r="C434" s="358" t="str">
        <f t="shared" si="77"/>
        <v/>
      </c>
      <c r="D434" s="358"/>
      <c r="E434" s="358">
        <f t="shared" si="74"/>
        <v>1</v>
      </c>
      <c r="F434" s="232" t="s">
        <v>426</v>
      </c>
      <c r="G434" s="241">
        <v>44673</v>
      </c>
      <c r="H434" s="250"/>
      <c r="I434" s="250"/>
      <c r="J434" s="250" t="s">
        <v>427</v>
      </c>
      <c r="K434" s="250" t="s">
        <v>17</v>
      </c>
      <c r="L434" s="250" t="s">
        <v>1546</v>
      </c>
      <c r="M434" s="243" t="s">
        <v>444</v>
      </c>
      <c r="N434" s="243"/>
      <c r="O434" s="285"/>
      <c r="P434" s="285"/>
      <c r="Q434" s="285"/>
      <c r="R434" s="286" t="str">
        <f t="shared" si="75"/>
        <v>. Axle Shafts, FRONT - RIGHT</v>
      </c>
      <c r="S434" s="286"/>
      <c r="T434" s="243"/>
      <c r="U434" s="244"/>
      <c r="V434" s="243"/>
      <c r="W434" s="244"/>
      <c r="X434" s="244"/>
      <c r="Y434" s="244"/>
      <c r="Z434" s="250" t="s">
        <v>1551</v>
      </c>
      <c r="AA434" s="250"/>
      <c r="AB434" s="250"/>
      <c r="AC434" s="244" t="s">
        <v>449</v>
      </c>
      <c r="AD434" s="250"/>
      <c r="AE434" s="250">
        <v>350</v>
      </c>
      <c r="AF434" s="252" t="s">
        <v>434</v>
      </c>
      <c r="AG434" s="247"/>
      <c r="AH434" s="248" t="s">
        <v>749</v>
      </c>
      <c r="AJ434" s="249"/>
      <c r="AK434" s="232" t="s">
        <v>1548</v>
      </c>
      <c r="AL434" s="232" t="s">
        <v>1549</v>
      </c>
      <c r="AN434" s="233" t="s">
        <v>1550</v>
      </c>
      <c r="AO434" s="232" t="s">
        <v>411</v>
      </c>
      <c r="AP434" s="232">
        <v>62277</v>
      </c>
      <c r="AQ434" s="232" t="str">
        <f t="shared" si="84"/>
        <v>447-62277</v>
      </c>
      <c r="AX434" s="244"/>
      <c r="AY434" s="244"/>
      <c r="AZ434" s="232" t="str">
        <f>IF($AX434="Yes",'8. Option Codes Decrypted'!$C$15,"")</f>
        <v/>
      </c>
      <c r="BA434" s="232" t="str">
        <f>IF($AX434="Yes",'8. Option Codes Decrypted'!$C$16,"")</f>
        <v/>
      </c>
      <c r="BB434" s="232" t="str">
        <f>IF($AX434="Yes",'8. Option Codes Decrypted'!$C$17,"")</f>
        <v/>
      </c>
      <c r="BC434" s="232" t="str">
        <f>IF($AX434="Yes",'8. Option Codes Decrypted'!$C$18,"")</f>
        <v/>
      </c>
      <c r="BD434" s="232" t="str">
        <f>IF($AY434="Yes",'8. Option Codes Decrypted'!$C$20,"")</f>
        <v/>
      </c>
      <c r="BE434" s="232" t="str">
        <f>IF($AY434="Yes",'8. Option Codes Decrypted'!$C$21,"")</f>
        <v/>
      </c>
      <c r="BF434" s="232" t="str">
        <f>IF($AY434="Yes",'8. Option Codes Decrypted'!$C$22,"")</f>
        <v/>
      </c>
      <c r="BG434" s="232" t="str">
        <f>IF($AY434="Yes",'8. Option Codes Decrypted'!$C$23,"")</f>
        <v/>
      </c>
    </row>
    <row r="435" spans="1:59" s="232" customFormat="1" x14ac:dyDescent="0.25">
      <c r="A435" s="232" t="str">
        <f t="shared" si="76"/>
        <v/>
      </c>
      <c r="B435" s="358" t="str">
        <f t="shared" si="73"/>
        <v>512-59488</v>
      </c>
      <c r="C435" s="358" t="s">
        <v>1552</v>
      </c>
      <c r="D435" s="358"/>
      <c r="E435" s="358">
        <f t="shared" si="74"/>
        <v>2</v>
      </c>
      <c r="F435" s="232" t="s">
        <v>426</v>
      </c>
      <c r="G435" s="241">
        <v>44683</v>
      </c>
      <c r="H435" s="250"/>
      <c r="I435" s="250"/>
      <c r="J435" s="250" t="s">
        <v>427</v>
      </c>
      <c r="K435" s="250" t="s">
        <v>17</v>
      </c>
      <c r="L435" s="250" t="s">
        <v>1553</v>
      </c>
      <c r="M435" s="243" t="s">
        <v>444</v>
      </c>
      <c r="N435" s="243"/>
      <c r="O435" s="285"/>
      <c r="P435" s="285"/>
      <c r="Q435" s="285"/>
      <c r="R435" s="286" t="str">
        <f t="shared" si="75"/>
        <v>. Control Arms, FRONT - LOWER LEFT FORWARD + REARWARD SET2</v>
      </c>
      <c r="S435" s="286"/>
      <c r="T435" s="243"/>
      <c r="U435" s="244"/>
      <c r="V435" s="243"/>
      <c r="W435" s="244"/>
      <c r="X435" s="244"/>
      <c r="Y435" s="244"/>
      <c r="Z435" s="250" t="s">
        <v>1554</v>
      </c>
      <c r="AA435" s="250" t="s">
        <v>1555</v>
      </c>
      <c r="AB435" s="250"/>
      <c r="AC435" s="244" t="s">
        <v>439</v>
      </c>
      <c r="AD435" s="250" t="s">
        <v>1556</v>
      </c>
      <c r="AE435" s="250">
        <v>180</v>
      </c>
      <c r="AF435" s="252" t="s">
        <v>434</v>
      </c>
      <c r="AG435" s="247"/>
      <c r="AH435" s="248" t="s">
        <v>435</v>
      </c>
      <c r="AJ435" s="249"/>
      <c r="AK435" s="232" t="s">
        <v>1557</v>
      </c>
      <c r="AL435" s="232" t="s">
        <v>1558</v>
      </c>
      <c r="AN435" s="233" t="s">
        <v>1559</v>
      </c>
      <c r="AO435" s="232" t="s">
        <v>411</v>
      </c>
      <c r="AP435" s="232">
        <v>59488</v>
      </c>
      <c r="AQ435" s="232" t="str">
        <f t="shared" si="84"/>
        <v>512-59488</v>
      </c>
      <c r="AR435" s="232" t="s">
        <v>1560</v>
      </c>
      <c r="AX435" s="244"/>
      <c r="AY435" s="244"/>
      <c r="AZ435" s="232" t="str">
        <f>IF($AX435="Yes",'8. Option Codes Decrypted'!$C$15,"")</f>
        <v/>
      </c>
      <c r="BA435" s="232" t="str">
        <f>IF($AX435="Yes",'8. Option Codes Decrypted'!$C$16,"")</f>
        <v/>
      </c>
      <c r="BB435" s="232" t="str">
        <f>IF($AX435="Yes",'8. Option Codes Decrypted'!$C$17,"")</f>
        <v/>
      </c>
      <c r="BC435" s="232" t="str">
        <f>IF($AX435="Yes",'8. Option Codes Decrypted'!$C$18,"")</f>
        <v/>
      </c>
      <c r="BD435" s="232" t="str">
        <f>IF($AY435="Yes",'8. Option Codes Decrypted'!$C$20,"")</f>
        <v/>
      </c>
      <c r="BE435" s="232" t="str">
        <f>IF($AY435="Yes",'8. Option Codes Decrypted'!$C$21,"")</f>
        <v/>
      </c>
      <c r="BF435" s="232" t="str">
        <f>IF($AY435="Yes",'8. Option Codes Decrypted'!$C$22,"")</f>
        <v/>
      </c>
      <c r="BG435" s="232" t="str">
        <f>IF($AY435="Yes",'8. Option Codes Decrypted'!$C$23,"")</f>
        <v/>
      </c>
    </row>
    <row r="436" spans="1:59" s="232" customFormat="1" x14ac:dyDescent="0.25">
      <c r="A436" s="232" t="str">
        <f t="shared" si="76"/>
        <v/>
      </c>
      <c r="B436" s="358" t="str">
        <f t="shared" si="73"/>
        <v>512-59488</v>
      </c>
      <c r="C436" s="358" t="s">
        <v>1561</v>
      </c>
      <c r="D436" s="358"/>
      <c r="E436" s="358">
        <f t="shared" si="74"/>
        <v>2</v>
      </c>
      <c r="F436" s="232" t="s">
        <v>426</v>
      </c>
      <c r="G436" s="241">
        <v>44683</v>
      </c>
      <c r="H436" s="250"/>
      <c r="I436" s="250"/>
      <c r="J436" s="250" t="s">
        <v>427</v>
      </c>
      <c r="K436" s="250" t="s">
        <v>17</v>
      </c>
      <c r="L436" s="250" t="s">
        <v>1553</v>
      </c>
      <c r="M436" s="243" t="s">
        <v>444</v>
      </c>
      <c r="N436" s="243"/>
      <c r="O436" s="285"/>
      <c r="P436" s="285"/>
      <c r="Q436" s="285"/>
      <c r="R436" s="286" t="str">
        <f t="shared" si="75"/>
        <v>. Control Arms, FRONT - LOWER LEFT, FORWARD</v>
      </c>
      <c r="S436" s="286"/>
      <c r="T436" s="243"/>
      <c r="U436" s="244"/>
      <c r="V436" s="243"/>
      <c r="W436" s="244"/>
      <c r="X436" s="244"/>
      <c r="Y436" s="244"/>
      <c r="Z436" s="250" t="s">
        <v>1562</v>
      </c>
      <c r="AA436" s="250"/>
      <c r="AB436" s="250"/>
      <c r="AC436" s="244" t="s">
        <v>449</v>
      </c>
      <c r="AD436" s="250"/>
      <c r="AE436" s="250">
        <v>110</v>
      </c>
      <c r="AF436" s="252" t="s">
        <v>434</v>
      </c>
      <c r="AG436" s="247"/>
      <c r="AH436" s="248" t="s">
        <v>435</v>
      </c>
      <c r="AJ436" s="249"/>
      <c r="AK436" s="232" t="s">
        <v>1557</v>
      </c>
      <c r="AL436" s="232" t="s">
        <v>1558</v>
      </c>
      <c r="AN436" s="233" t="s">
        <v>1559</v>
      </c>
      <c r="AO436" s="232" t="s">
        <v>411</v>
      </c>
      <c r="AP436" s="232">
        <v>59488</v>
      </c>
      <c r="AQ436" s="232" t="str">
        <f t="shared" si="84"/>
        <v>512-59488</v>
      </c>
      <c r="AR436" s="232" t="s">
        <v>1560</v>
      </c>
      <c r="AX436" s="244"/>
      <c r="AY436" s="244"/>
      <c r="AZ436" s="232" t="str">
        <f>IF($AX436="Yes",'8. Option Codes Decrypted'!$C$15,"")</f>
        <v/>
      </c>
      <c r="BA436" s="232" t="str">
        <f>IF($AX436="Yes",'8. Option Codes Decrypted'!$C$16,"")</f>
        <v/>
      </c>
      <c r="BB436" s="232" t="str">
        <f>IF($AX436="Yes",'8. Option Codes Decrypted'!$C$17,"")</f>
        <v/>
      </c>
      <c r="BC436" s="232" t="str">
        <f>IF($AX436="Yes",'8. Option Codes Decrypted'!$C$18,"")</f>
        <v/>
      </c>
      <c r="BD436" s="232" t="str">
        <f>IF($AY436="Yes",'8. Option Codes Decrypted'!$C$20,"")</f>
        <v/>
      </c>
      <c r="BE436" s="232" t="str">
        <f>IF($AY436="Yes",'8. Option Codes Decrypted'!$C$21,"")</f>
        <v/>
      </c>
      <c r="BF436" s="232" t="str">
        <f>IF($AY436="Yes",'8. Option Codes Decrypted'!$C$22,"")</f>
        <v/>
      </c>
      <c r="BG436" s="232" t="str">
        <f>IF($AY436="Yes",'8. Option Codes Decrypted'!$C$23,"")</f>
        <v/>
      </c>
    </row>
    <row r="437" spans="1:59" s="232" customFormat="1" x14ac:dyDescent="0.25">
      <c r="A437" s="232" t="str">
        <f t="shared" si="76"/>
        <v/>
      </c>
      <c r="B437" s="358" t="str">
        <f t="shared" si="73"/>
        <v>512-59490</v>
      </c>
      <c r="C437" s="358" t="str">
        <f>IF(AS437&lt;&gt;"",AS437,"")</f>
        <v/>
      </c>
      <c r="D437" s="358"/>
      <c r="E437" s="358">
        <f t="shared" si="74"/>
        <v>1</v>
      </c>
      <c r="F437" s="232" t="s">
        <v>426</v>
      </c>
      <c r="G437" s="241">
        <v>44683</v>
      </c>
      <c r="H437" s="250"/>
      <c r="I437" s="250"/>
      <c r="J437" s="250" t="s">
        <v>427</v>
      </c>
      <c r="K437" s="250" t="s">
        <v>17</v>
      </c>
      <c r="L437" s="250" t="s">
        <v>1553</v>
      </c>
      <c r="M437" s="243" t="s">
        <v>444</v>
      </c>
      <c r="N437" s="243"/>
      <c r="O437" s="285"/>
      <c r="P437" s="285"/>
      <c r="Q437" s="285"/>
      <c r="R437" s="286" t="str">
        <f t="shared" si="75"/>
        <v>. Control Arms, FRONT - LOWER LEFT, FORWARD</v>
      </c>
      <c r="S437" s="286"/>
      <c r="T437" s="243"/>
      <c r="U437" s="244"/>
      <c r="V437" s="243"/>
      <c r="W437" s="244"/>
      <c r="X437" s="244"/>
      <c r="Y437" s="244"/>
      <c r="Z437" s="250" t="s">
        <v>1562</v>
      </c>
      <c r="AA437" s="250"/>
      <c r="AB437" s="250"/>
      <c r="AC437" s="244" t="s">
        <v>449</v>
      </c>
      <c r="AD437" s="250"/>
      <c r="AE437" s="250">
        <v>110</v>
      </c>
      <c r="AF437" s="252" t="s">
        <v>434</v>
      </c>
      <c r="AG437" s="247"/>
      <c r="AH437" s="248" t="s">
        <v>435</v>
      </c>
      <c r="AJ437" s="249"/>
      <c r="AK437" s="232" t="s">
        <v>1557</v>
      </c>
      <c r="AL437" s="232" t="s">
        <v>1558</v>
      </c>
      <c r="AN437" s="233" t="s">
        <v>1559</v>
      </c>
      <c r="AO437" s="232" t="s">
        <v>411</v>
      </c>
      <c r="AP437" s="232">
        <v>59490</v>
      </c>
      <c r="AQ437" s="232" t="str">
        <f t="shared" si="84"/>
        <v>512-59490</v>
      </c>
      <c r="AR437" s="232" t="s">
        <v>1563</v>
      </c>
      <c r="AX437" s="244"/>
      <c r="AY437" s="244"/>
      <c r="AZ437" s="232" t="str">
        <f>IF($AX437="Yes",'8. Option Codes Decrypted'!$C$15,"")</f>
        <v/>
      </c>
      <c r="BA437" s="232" t="str">
        <f>IF($AX437="Yes",'8. Option Codes Decrypted'!$C$16,"")</f>
        <v/>
      </c>
      <c r="BB437" s="232" t="str">
        <f>IF($AX437="Yes",'8. Option Codes Decrypted'!$C$17,"")</f>
        <v/>
      </c>
      <c r="BC437" s="232" t="str">
        <f>IF($AX437="Yes",'8. Option Codes Decrypted'!$C$18,"")</f>
        <v/>
      </c>
      <c r="BD437" s="232" t="str">
        <f>IF($AY437="Yes",'8. Option Codes Decrypted'!$C$20,"")</f>
        <v/>
      </c>
      <c r="BE437" s="232" t="str">
        <f>IF($AY437="Yes",'8. Option Codes Decrypted'!$C$21,"")</f>
        <v/>
      </c>
      <c r="BF437" s="232" t="str">
        <f>IF($AY437="Yes",'8. Option Codes Decrypted'!$C$22,"")</f>
        <v/>
      </c>
      <c r="BG437" s="232" t="str">
        <f>IF($AY437="Yes",'8. Option Codes Decrypted'!$C$23,"")</f>
        <v/>
      </c>
    </row>
    <row r="438" spans="1:59" s="232" customFormat="1" x14ac:dyDescent="0.25">
      <c r="A438" s="232" t="str">
        <f t="shared" si="76"/>
        <v/>
      </c>
      <c r="B438" s="358" t="str">
        <f t="shared" si="73"/>
        <v>512-59492</v>
      </c>
      <c r="C438" s="358" t="str">
        <f>IF(AS438&lt;&gt;"",AS438,"")</f>
        <v/>
      </c>
      <c r="D438" s="358"/>
      <c r="E438" s="358">
        <f t="shared" si="74"/>
        <v>1</v>
      </c>
      <c r="F438" s="232" t="s">
        <v>426</v>
      </c>
      <c r="G438" s="241">
        <v>44683</v>
      </c>
      <c r="H438" s="250"/>
      <c r="I438" s="250"/>
      <c r="J438" s="250" t="s">
        <v>427</v>
      </c>
      <c r="K438" s="250" t="s">
        <v>17</v>
      </c>
      <c r="L438" s="250" t="s">
        <v>1553</v>
      </c>
      <c r="M438" s="243" t="s">
        <v>444</v>
      </c>
      <c r="N438" s="243"/>
      <c r="O438" s="285"/>
      <c r="P438" s="285"/>
      <c r="Q438" s="285"/>
      <c r="R438" s="286" t="str">
        <f t="shared" si="75"/>
        <v>. Control Arms, FRONT - LOWER LEFT, REARWARD</v>
      </c>
      <c r="S438" s="286"/>
      <c r="T438" s="243"/>
      <c r="U438" s="244"/>
      <c r="V438" s="243"/>
      <c r="W438" s="244"/>
      <c r="X438" s="244"/>
      <c r="Y438" s="244"/>
      <c r="Z438" s="250" t="s">
        <v>1564</v>
      </c>
      <c r="AA438" s="250"/>
      <c r="AB438" s="250"/>
      <c r="AC438" s="244" t="s">
        <v>449</v>
      </c>
      <c r="AD438" s="250"/>
      <c r="AE438" s="250">
        <v>110</v>
      </c>
      <c r="AF438" s="252" t="s">
        <v>434</v>
      </c>
      <c r="AG438" s="247"/>
      <c r="AH438" s="248" t="s">
        <v>435</v>
      </c>
      <c r="AJ438" s="249"/>
      <c r="AK438" s="232" t="s">
        <v>1557</v>
      </c>
      <c r="AL438" s="232" t="s">
        <v>1558</v>
      </c>
      <c r="AN438" s="233" t="s">
        <v>1559</v>
      </c>
      <c r="AO438" s="232" t="s">
        <v>411</v>
      </c>
      <c r="AP438" s="232">
        <v>59492</v>
      </c>
      <c r="AQ438" s="232" t="str">
        <f t="shared" si="84"/>
        <v>512-59492</v>
      </c>
      <c r="AX438" s="244"/>
      <c r="AY438" s="244"/>
      <c r="AZ438" s="232" t="str">
        <f>IF($AX438="Yes",'8. Option Codes Decrypted'!$C$15,"")</f>
        <v/>
      </c>
      <c r="BA438" s="232" t="str">
        <f>IF($AX438="Yes",'8. Option Codes Decrypted'!$C$16,"")</f>
        <v/>
      </c>
      <c r="BB438" s="232" t="str">
        <f>IF($AX438="Yes",'8. Option Codes Decrypted'!$C$17,"")</f>
        <v/>
      </c>
      <c r="BC438" s="232" t="str">
        <f>IF($AX438="Yes",'8. Option Codes Decrypted'!$C$18,"")</f>
        <v/>
      </c>
      <c r="BD438" s="232" t="str">
        <f>IF($AY438="Yes",'8. Option Codes Decrypted'!$C$20,"")</f>
        <v/>
      </c>
      <c r="BE438" s="232" t="str">
        <f>IF($AY438="Yes",'8. Option Codes Decrypted'!$C$21,"")</f>
        <v/>
      </c>
      <c r="BF438" s="232" t="str">
        <f>IF($AY438="Yes",'8. Option Codes Decrypted'!$C$22,"")</f>
        <v/>
      </c>
      <c r="BG438" s="232" t="str">
        <f>IF($AY438="Yes",'8. Option Codes Decrypted'!$C$23,"")</f>
        <v/>
      </c>
    </row>
    <row r="439" spans="1:59" s="232" customFormat="1" x14ac:dyDescent="0.25">
      <c r="A439" s="232" t="str">
        <f t="shared" si="76"/>
        <v/>
      </c>
      <c r="B439" s="358" t="str">
        <f t="shared" si="73"/>
        <v>512-59487</v>
      </c>
      <c r="C439" s="358" t="s">
        <v>1565</v>
      </c>
      <c r="D439" s="358"/>
      <c r="E439" s="358">
        <f t="shared" si="74"/>
        <v>2</v>
      </c>
      <c r="F439" s="232" t="s">
        <v>426</v>
      </c>
      <c r="G439" s="241">
        <v>44683</v>
      </c>
      <c r="H439" s="250"/>
      <c r="I439" s="250"/>
      <c r="J439" s="250" t="s">
        <v>427</v>
      </c>
      <c r="K439" s="250" t="s">
        <v>17</v>
      </c>
      <c r="L439" s="250" t="s">
        <v>1553</v>
      </c>
      <c r="M439" s="243" t="s">
        <v>444</v>
      </c>
      <c r="N439" s="243"/>
      <c r="O439" s="285"/>
      <c r="P439" s="285"/>
      <c r="Q439" s="285"/>
      <c r="R439" s="286" t="str">
        <f t="shared" si="75"/>
        <v>. Control Arms, FRONT - LOWER RIGHT FORWARD + REARWARD SET2</v>
      </c>
      <c r="S439" s="286"/>
      <c r="T439" s="243"/>
      <c r="U439" s="244"/>
      <c r="V439" s="243"/>
      <c r="W439" s="244"/>
      <c r="X439" s="244"/>
      <c r="Y439" s="244"/>
      <c r="Z439" s="250" t="s">
        <v>1566</v>
      </c>
      <c r="AA439" s="250" t="s">
        <v>1555</v>
      </c>
      <c r="AB439" s="250"/>
      <c r="AC439" s="244" t="s">
        <v>439</v>
      </c>
      <c r="AD439" s="250" t="s">
        <v>1556</v>
      </c>
      <c r="AE439" s="250">
        <v>180</v>
      </c>
      <c r="AF439" s="252" t="s">
        <v>434</v>
      </c>
      <c r="AG439" s="247"/>
      <c r="AH439" s="248" t="s">
        <v>435</v>
      </c>
      <c r="AJ439" s="249"/>
      <c r="AK439" s="232" t="s">
        <v>1557</v>
      </c>
      <c r="AL439" s="232" t="s">
        <v>1558</v>
      </c>
      <c r="AN439" s="233" t="s">
        <v>1559</v>
      </c>
      <c r="AO439" s="232" t="s">
        <v>411</v>
      </c>
      <c r="AP439" s="232">
        <v>59487</v>
      </c>
      <c r="AQ439" s="232" t="str">
        <f t="shared" si="84"/>
        <v>512-59487</v>
      </c>
      <c r="AR439" s="232" t="s">
        <v>1560</v>
      </c>
      <c r="AX439" s="244"/>
      <c r="AY439" s="244"/>
      <c r="AZ439" s="232" t="str">
        <f>IF($AX439="Yes",'8. Option Codes Decrypted'!$C$15,"")</f>
        <v/>
      </c>
      <c r="BA439" s="232" t="str">
        <f>IF($AX439="Yes",'8. Option Codes Decrypted'!$C$16,"")</f>
        <v/>
      </c>
      <c r="BB439" s="232" t="str">
        <f>IF($AX439="Yes",'8. Option Codes Decrypted'!$C$17,"")</f>
        <v/>
      </c>
      <c r="BC439" s="232" t="str">
        <f>IF($AX439="Yes",'8. Option Codes Decrypted'!$C$18,"")</f>
        <v/>
      </c>
      <c r="BD439" s="232" t="str">
        <f>IF($AY439="Yes",'8. Option Codes Decrypted'!$C$20,"")</f>
        <v/>
      </c>
      <c r="BE439" s="232" t="str">
        <f>IF($AY439="Yes",'8. Option Codes Decrypted'!$C$21,"")</f>
        <v/>
      </c>
      <c r="BF439" s="232" t="str">
        <f>IF($AY439="Yes",'8. Option Codes Decrypted'!$C$22,"")</f>
        <v/>
      </c>
      <c r="BG439" s="232" t="str">
        <f>IF($AY439="Yes",'8. Option Codes Decrypted'!$C$23,"")</f>
        <v/>
      </c>
    </row>
    <row r="440" spans="1:59" s="232" customFormat="1" x14ac:dyDescent="0.25">
      <c r="A440" s="232" t="str">
        <f t="shared" si="76"/>
        <v/>
      </c>
      <c r="B440" s="358" t="str">
        <f t="shared" si="73"/>
        <v>512-59487</v>
      </c>
      <c r="C440" s="358" t="s">
        <v>1567</v>
      </c>
      <c r="D440" s="358"/>
      <c r="E440" s="358">
        <f t="shared" si="74"/>
        <v>2</v>
      </c>
      <c r="F440" s="232" t="s">
        <v>426</v>
      </c>
      <c r="G440" s="241">
        <v>44683</v>
      </c>
      <c r="H440" s="250"/>
      <c r="I440" s="250"/>
      <c r="J440" s="250" t="s">
        <v>427</v>
      </c>
      <c r="K440" s="250" t="s">
        <v>17</v>
      </c>
      <c r="L440" s="250" t="s">
        <v>1553</v>
      </c>
      <c r="M440" s="243" t="s">
        <v>444</v>
      </c>
      <c r="N440" s="243"/>
      <c r="O440" s="285"/>
      <c r="P440" s="285"/>
      <c r="Q440" s="285"/>
      <c r="R440" s="286" t="str">
        <f t="shared" si="75"/>
        <v>. Control Arms, FRONT - LOWER RIGHT, FORWARD</v>
      </c>
      <c r="S440" s="286"/>
      <c r="T440" s="243"/>
      <c r="U440" s="244"/>
      <c r="V440" s="243"/>
      <c r="W440" s="244"/>
      <c r="X440" s="244"/>
      <c r="Y440" s="244"/>
      <c r="Z440" s="250" t="s">
        <v>1568</v>
      </c>
      <c r="AA440" s="250"/>
      <c r="AB440" s="250"/>
      <c r="AC440" s="244" t="s">
        <v>449</v>
      </c>
      <c r="AD440" s="250"/>
      <c r="AE440" s="250">
        <v>110</v>
      </c>
      <c r="AF440" s="252" t="s">
        <v>434</v>
      </c>
      <c r="AG440" s="247"/>
      <c r="AH440" s="248" t="s">
        <v>435</v>
      </c>
      <c r="AJ440" s="249"/>
      <c r="AK440" s="232" t="s">
        <v>1557</v>
      </c>
      <c r="AL440" s="232" t="s">
        <v>1558</v>
      </c>
      <c r="AN440" s="233" t="s">
        <v>1559</v>
      </c>
      <c r="AO440" s="232" t="s">
        <v>411</v>
      </c>
      <c r="AP440" s="232">
        <v>59487</v>
      </c>
      <c r="AQ440" s="232" t="str">
        <f t="shared" si="84"/>
        <v>512-59487</v>
      </c>
      <c r="AR440" s="232" t="s">
        <v>1560</v>
      </c>
      <c r="AX440" s="244"/>
      <c r="AY440" s="244"/>
      <c r="AZ440" s="232" t="str">
        <f>IF($AX440="Yes",'8. Option Codes Decrypted'!$C$15,"")</f>
        <v/>
      </c>
      <c r="BA440" s="232" t="str">
        <f>IF($AX440="Yes",'8. Option Codes Decrypted'!$C$16,"")</f>
        <v/>
      </c>
      <c r="BB440" s="232" t="str">
        <f>IF($AX440="Yes",'8. Option Codes Decrypted'!$C$17,"")</f>
        <v/>
      </c>
      <c r="BC440" s="232" t="str">
        <f>IF($AX440="Yes",'8. Option Codes Decrypted'!$C$18,"")</f>
        <v/>
      </c>
      <c r="BD440" s="232" t="str">
        <f>IF($AY440="Yes",'8. Option Codes Decrypted'!$C$20,"")</f>
        <v/>
      </c>
      <c r="BE440" s="232" t="str">
        <f>IF($AY440="Yes",'8. Option Codes Decrypted'!$C$21,"")</f>
        <v/>
      </c>
      <c r="BF440" s="232" t="str">
        <f>IF($AY440="Yes",'8. Option Codes Decrypted'!$C$22,"")</f>
        <v/>
      </c>
      <c r="BG440" s="232" t="str">
        <f>IF($AY440="Yes",'8. Option Codes Decrypted'!$C$23,"")</f>
        <v/>
      </c>
    </row>
    <row r="441" spans="1:59" s="232" customFormat="1" x14ac:dyDescent="0.25">
      <c r="A441" s="232" t="str">
        <f t="shared" si="76"/>
        <v/>
      </c>
      <c r="B441" s="358" t="str">
        <f t="shared" si="73"/>
        <v>512-59489</v>
      </c>
      <c r="C441" s="358" t="str">
        <f t="shared" ref="C441:C460" si="85">IF(AS441&lt;&gt;"",AS441,"")</f>
        <v/>
      </c>
      <c r="D441" s="358"/>
      <c r="E441" s="358">
        <f t="shared" si="74"/>
        <v>1</v>
      </c>
      <c r="F441" s="232" t="s">
        <v>426</v>
      </c>
      <c r="G441" s="241">
        <v>44683</v>
      </c>
      <c r="H441" s="250"/>
      <c r="I441" s="250"/>
      <c r="J441" s="250" t="s">
        <v>427</v>
      </c>
      <c r="K441" s="250" t="s">
        <v>17</v>
      </c>
      <c r="L441" s="250" t="s">
        <v>1553</v>
      </c>
      <c r="M441" s="243" t="s">
        <v>444</v>
      </c>
      <c r="N441" s="243"/>
      <c r="O441" s="285"/>
      <c r="P441" s="285"/>
      <c r="Q441" s="285"/>
      <c r="R441" s="286" t="str">
        <f t="shared" si="75"/>
        <v>. Control Arms, FRONT - LOWER RIGHT, FORWARD</v>
      </c>
      <c r="S441" s="286"/>
      <c r="T441" s="243"/>
      <c r="U441" s="244"/>
      <c r="V441" s="243"/>
      <c r="W441" s="244"/>
      <c r="X441" s="244"/>
      <c r="Y441" s="244"/>
      <c r="Z441" s="250" t="s">
        <v>1568</v>
      </c>
      <c r="AA441" s="250"/>
      <c r="AB441" s="250"/>
      <c r="AC441" s="244" t="s">
        <v>449</v>
      </c>
      <c r="AD441" s="250"/>
      <c r="AE441" s="250">
        <v>110</v>
      </c>
      <c r="AF441" s="252" t="s">
        <v>434</v>
      </c>
      <c r="AG441" s="247"/>
      <c r="AH441" s="248" t="s">
        <v>435</v>
      </c>
      <c r="AJ441" s="249"/>
      <c r="AK441" s="232" t="s">
        <v>1557</v>
      </c>
      <c r="AL441" s="232" t="s">
        <v>1558</v>
      </c>
      <c r="AN441" s="233" t="s">
        <v>1559</v>
      </c>
      <c r="AO441" s="232" t="s">
        <v>411</v>
      </c>
      <c r="AP441" s="232">
        <v>59489</v>
      </c>
      <c r="AQ441" s="232" t="str">
        <f t="shared" si="84"/>
        <v>512-59489</v>
      </c>
      <c r="AR441" s="232" t="s">
        <v>1563</v>
      </c>
      <c r="AX441" s="244"/>
      <c r="AY441" s="244"/>
      <c r="AZ441" s="232" t="str">
        <f>IF($AX441="Yes",'8. Option Codes Decrypted'!$C$15,"")</f>
        <v/>
      </c>
      <c r="BA441" s="232" t="str">
        <f>IF($AX441="Yes",'8. Option Codes Decrypted'!$C$16,"")</f>
        <v/>
      </c>
      <c r="BB441" s="232" t="str">
        <f>IF($AX441="Yes",'8. Option Codes Decrypted'!$C$17,"")</f>
        <v/>
      </c>
      <c r="BC441" s="232" t="str">
        <f>IF($AX441="Yes",'8. Option Codes Decrypted'!$C$18,"")</f>
        <v/>
      </c>
      <c r="BD441" s="232" t="str">
        <f>IF($AY441="Yes",'8. Option Codes Decrypted'!$C$20,"")</f>
        <v/>
      </c>
      <c r="BE441" s="232" t="str">
        <f>IF($AY441="Yes",'8. Option Codes Decrypted'!$C$21,"")</f>
        <v/>
      </c>
      <c r="BF441" s="232" t="str">
        <f>IF($AY441="Yes",'8. Option Codes Decrypted'!$C$22,"")</f>
        <v/>
      </c>
      <c r="BG441" s="232" t="str">
        <f>IF($AY441="Yes",'8. Option Codes Decrypted'!$C$23,"")</f>
        <v/>
      </c>
    </row>
    <row r="442" spans="1:59" s="232" customFormat="1" x14ac:dyDescent="0.25">
      <c r="A442" s="232" t="str">
        <f t="shared" si="76"/>
        <v/>
      </c>
      <c r="B442" s="358" t="str">
        <f t="shared" si="73"/>
        <v>512-59491</v>
      </c>
      <c r="C442" s="358" t="str">
        <f t="shared" si="85"/>
        <v/>
      </c>
      <c r="D442" s="358"/>
      <c r="E442" s="358">
        <f t="shared" si="74"/>
        <v>1</v>
      </c>
      <c r="F442" s="232" t="s">
        <v>426</v>
      </c>
      <c r="G442" s="241">
        <v>44683</v>
      </c>
      <c r="H442" s="250"/>
      <c r="I442" s="250"/>
      <c r="J442" s="250" t="s">
        <v>427</v>
      </c>
      <c r="K442" s="250" t="s">
        <v>17</v>
      </c>
      <c r="L442" s="250" t="s">
        <v>1553</v>
      </c>
      <c r="M442" s="243" t="s">
        <v>444</v>
      </c>
      <c r="N442" s="243"/>
      <c r="O442" s="285"/>
      <c r="P442" s="285"/>
      <c r="Q442" s="285"/>
      <c r="R442" s="286" t="str">
        <f t="shared" si="75"/>
        <v>. Control Arms, FRONT - LOWER RIGHT, REARWARD</v>
      </c>
      <c r="S442" s="286"/>
      <c r="T442" s="243"/>
      <c r="U442" s="244"/>
      <c r="V442" s="243"/>
      <c r="W442" s="244"/>
      <c r="X442" s="244"/>
      <c r="Y442" s="244"/>
      <c r="Z442" s="250" t="s">
        <v>1569</v>
      </c>
      <c r="AA442" s="250"/>
      <c r="AB442" s="250"/>
      <c r="AC442" s="244" t="s">
        <v>449</v>
      </c>
      <c r="AD442" s="250"/>
      <c r="AE442" s="250">
        <v>110</v>
      </c>
      <c r="AF442" s="252" t="s">
        <v>434</v>
      </c>
      <c r="AG442" s="247"/>
      <c r="AH442" s="248" t="s">
        <v>435</v>
      </c>
      <c r="AJ442" s="249"/>
      <c r="AK442" s="232" t="s">
        <v>1557</v>
      </c>
      <c r="AL442" s="232" t="s">
        <v>1558</v>
      </c>
      <c r="AN442" s="233" t="s">
        <v>1559</v>
      </c>
      <c r="AO442" s="232" t="s">
        <v>411</v>
      </c>
      <c r="AP442" s="232">
        <v>59491</v>
      </c>
      <c r="AQ442" s="232" t="str">
        <f t="shared" si="84"/>
        <v>512-59491</v>
      </c>
      <c r="AX442" s="244"/>
      <c r="AY442" s="244"/>
      <c r="AZ442" s="232" t="str">
        <f>IF($AX442="Yes",'8. Option Codes Decrypted'!$C$15,"")</f>
        <v/>
      </c>
      <c r="BA442" s="232" t="str">
        <f>IF($AX442="Yes",'8. Option Codes Decrypted'!$C$16,"")</f>
        <v/>
      </c>
      <c r="BB442" s="232" t="str">
        <f>IF($AX442="Yes",'8. Option Codes Decrypted'!$C$17,"")</f>
        <v/>
      </c>
      <c r="BC442" s="232" t="str">
        <f>IF($AX442="Yes",'8. Option Codes Decrypted'!$C$18,"")</f>
        <v/>
      </c>
      <c r="BD442" s="232" t="str">
        <f>IF($AY442="Yes",'8. Option Codes Decrypted'!$C$20,"")</f>
        <v/>
      </c>
      <c r="BE442" s="232" t="str">
        <f>IF($AY442="Yes",'8. Option Codes Decrypted'!$C$21,"")</f>
        <v/>
      </c>
      <c r="BF442" s="232" t="str">
        <f>IF($AY442="Yes",'8. Option Codes Decrypted'!$C$22,"")</f>
        <v/>
      </c>
      <c r="BG442" s="232" t="str">
        <f>IF($AY442="Yes",'8. Option Codes Decrypted'!$C$23,"")</f>
        <v/>
      </c>
    </row>
    <row r="443" spans="1:59" s="232" customFormat="1" ht="15.75" thickBot="1" x14ac:dyDescent="0.3">
      <c r="A443" s="232" t="str">
        <f t="shared" si="76"/>
        <v/>
      </c>
      <c r="B443" s="358" t="str">
        <f t="shared" si="73"/>
        <v>511-50148</v>
      </c>
      <c r="C443" s="358" t="s">
        <v>1570</v>
      </c>
      <c r="D443" s="358"/>
      <c r="E443" s="358">
        <f t="shared" si="74"/>
        <v>2</v>
      </c>
      <c r="F443" s="232" t="s">
        <v>426</v>
      </c>
      <c r="G443" s="241">
        <v>44683</v>
      </c>
      <c r="H443" s="250"/>
      <c r="I443" s="250"/>
      <c r="J443" s="250" t="s">
        <v>427</v>
      </c>
      <c r="K443" s="250" t="s">
        <v>17</v>
      </c>
      <c r="L443" s="250" t="s">
        <v>1553</v>
      </c>
      <c r="M443" s="243" t="s">
        <v>444</v>
      </c>
      <c r="N443" s="243"/>
      <c r="O443" s="285"/>
      <c r="P443" s="285"/>
      <c r="Q443" s="285"/>
      <c r="R443" s="286" t="str">
        <f t="shared" si="75"/>
        <v>. Control Arms, FRONT - UPPER "U" WISHBONE ONES as SET2</v>
      </c>
      <c r="S443" s="286"/>
      <c r="T443" s="243"/>
      <c r="U443" s="244"/>
      <c r="V443" s="243"/>
      <c r="W443" s="244"/>
      <c r="X443" s="244"/>
      <c r="Y443" s="244"/>
      <c r="Z443" s="250" t="s">
        <v>1571</v>
      </c>
      <c r="AA443" s="250" t="s">
        <v>1129</v>
      </c>
      <c r="AB443" s="250"/>
      <c r="AC443" s="244" t="s">
        <v>439</v>
      </c>
      <c r="AD443" s="250"/>
      <c r="AE443" s="250">
        <v>80</v>
      </c>
      <c r="AF443" s="252" t="s">
        <v>434</v>
      </c>
      <c r="AG443" s="247"/>
      <c r="AH443" s="248" t="s">
        <v>435</v>
      </c>
      <c r="AJ443" s="249"/>
      <c r="AK443" s="232" t="s">
        <v>1557</v>
      </c>
      <c r="AL443" s="232" t="s">
        <v>1558</v>
      </c>
      <c r="AN443" s="233">
        <v>511</v>
      </c>
      <c r="AO443" s="232" t="s">
        <v>411</v>
      </c>
      <c r="AP443" s="232">
        <v>50148</v>
      </c>
      <c r="AQ443" s="232" t="str">
        <f t="shared" si="84"/>
        <v>511-50148</v>
      </c>
      <c r="AX443" s="244"/>
      <c r="AY443" s="244"/>
      <c r="AZ443" s="232" t="str">
        <f>IF($AX443="Yes",'8. Option Codes Decrypted'!$C$15,"")</f>
        <v/>
      </c>
      <c r="BA443" s="232" t="str">
        <f>IF($AX443="Yes",'8. Option Codes Decrypted'!$C$16,"")</f>
        <v/>
      </c>
      <c r="BB443" s="232" t="str">
        <f>IF($AX443="Yes",'8. Option Codes Decrypted'!$C$17,"")</f>
        <v/>
      </c>
      <c r="BC443" s="232" t="str">
        <f>IF($AX443="Yes",'8. Option Codes Decrypted'!$C$18,"")</f>
        <v/>
      </c>
      <c r="BD443" s="232" t="str">
        <f>IF($AY443="Yes",'8. Option Codes Decrypted'!$C$20,"")</f>
        <v/>
      </c>
      <c r="BE443" s="232" t="str">
        <f>IF($AY443="Yes",'8. Option Codes Decrypted'!$C$21,"")</f>
        <v/>
      </c>
      <c r="BF443" s="232" t="str">
        <f>IF($AY443="Yes",'8. Option Codes Decrypted'!$C$22,"")</f>
        <v/>
      </c>
      <c r="BG443" s="232" t="str">
        <f>IF($AY443="Yes",'8. Option Codes Decrypted'!$C$23,"")</f>
        <v/>
      </c>
    </row>
    <row r="444" spans="1:59" s="232" customFormat="1" ht="15.75" thickBot="1" x14ac:dyDescent="0.3">
      <c r="A444" s="232" t="str">
        <f t="shared" si="76"/>
        <v>A13</v>
      </c>
      <c r="B444" s="358" t="str">
        <f t="shared" si="73"/>
        <v>511-50148</v>
      </c>
      <c r="C444" s="358" t="s">
        <v>1572</v>
      </c>
      <c r="D444" s="358"/>
      <c r="E444" s="358">
        <f t="shared" si="74"/>
        <v>2</v>
      </c>
      <c r="F444" s="232" t="s">
        <v>426</v>
      </c>
      <c r="G444" s="241">
        <v>44683</v>
      </c>
      <c r="H444" s="250"/>
      <c r="I444" s="250"/>
      <c r="J444" s="250" t="s">
        <v>427</v>
      </c>
      <c r="K444" s="250" t="s">
        <v>17</v>
      </c>
      <c r="L444" s="250" t="s">
        <v>1553</v>
      </c>
      <c r="M444" s="243" t="s">
        <v>444</v>
      </c>
      <c r="N444" s="243">
        <v>3</v>
      </c>
      <c r="O444" s="285" t="s">
        <v>257</v>
      </c>
      <c r="P444" s="285" t="s">
        <v>716</v>
      </c>
      <c r="Q444" s="285">
        <v>1</v>
      </c>
      <c r="R444" s="286" t="str">
        <f t="shared" si="75"/>
        <v>A13. Control Arms, FRONT - UPPER "U" WISHBONE, LEFT</v>
      </c>
      <c r="S444" s="365" t="str">
        <f>HYPERLINK(VLOOKUP(O444,'3D. Pictures'!$B$3:$E$500,4,FALSE),"PIC")</f>
        <v>PIC</v>
      </c>
      <c r="T444" s="243">
        <v>5</v>
      </c>
      <c r="U444" s="304" t="s">
        <v>1573</v>
      </c>
      <c r="V444" s="243" t="s">
        <v>80</v>
      </c>
      <c r="W444" s="244"/>
      <c r="X444" s="244"/>
      <c r="Y444" s="244"/>
      <c r="Z444" s="250" t="s">
        <v>1574</v>
      </c>
      <c r="AA444" s="250"/>
      <c r="AB444" s="250"/>
      <c r="AC444" s="244" t="s">
        <v>449</v>
      </c>
      <c r="AD444" s="250"/>
      <c r="AE444" s="250">
        <v>48</v>
      </c>
      <c r="AF444" s="252" t="s">
        <v>434</v>
      </c>
      <c r="AG444" s="247"/>
      <c r="AH444" s="248" t="s">
        <v>435</v>
      </c>
      <c r="AJ444" s="249"/>
      <c r="AK444" s="232" t="s">
        <v>1557</v>
      </c>
      <c r="AL444" s="232" t="s">
        <v>1558</v>
      </c>
      <c r="AN444" s="233">
        <v>511</v>
      </c>
      <c r="AO444" s="232" t="s">
        <v>411</v>
      </c>
      <c r="AP444" s="232">
        <v>50148</v>
      </c>
      <c r="AQ444" s="232" t="str">
        <f t="shared" si="84"/>
        <v>511-50148</v>
      </c>
      <c r="AX444" s="244"/>
      <c r="AY444" s="244"/>
      <c r="AZ444" s="232" t="str">
        <f>IF($AX444="Yes",'8. Option Codes Decrypted'!$C$15,"")</f>
        <v/>
      </c>
      <c r="BA444" s="232" t="str">
        <f>IF($AX444="Yes",'8. Option Codes Decrypted'!$C$16,"")</f>
        <v/>
      </c>
      <c r="BB444" s="232" t="str">
        <f>IF($AX444="Yes",'8. Option Codes Decrypted'!$C$17,"")</f>
        <v/>
      </c>
      <c r="BC444" s="232" t="str">
        <f>IF($AX444="Yes",'8. Option Codes Decrypted'!$C$18,"")</f>
        <v/>
      </c>
      <c r="BD444" s="232" t="str">
        <f>IF($AY444="Yes",'8. Option Codes Decrypted'!$C$20,"")</f>
        <v/>
      </c>
      <c r="BE444" s="232" t="str">
        <f>IF($AY444="Yes",'8. Option Codes Decrypted'!$C$21,"")</f>
        <v/>
      </c>
      <c r="BF444" s="232" t="str">
        <f>IF($AY444="Yes",'8. Option Codes Decrypted'!$C$22,"")</f>
        <v/>
      </c>
      <c r="BG444" s="232" t="str">
        <f>IF($AY444="Yes",'8. Option Codes Decrypted'!$C$23,"")</f>
        <v/>
      </c>
    </row>
    <row r="445" spans="1:59" s="232" customFormat="1" ht="15.75" thickBot="1" x14ac:dyDescent="0.3">
      <c r="A445" s="232" t="str">
        <f t="shared" si="76"/>
        <v>A21</v>
      </c>
      <c r="B445" s="358" t="str">
        <f t="shared" si="73"/>
        <v>511-50147</v>
      </c>
      <c r="C445" s="358" t="str">
        <f t="shared" si="85"/>
        <v/>
      </c>
      <c r="D445" s="358"/>
      <c r="E445" s="358">
        <f t="shared" si="74"/>
        <v>1</v>
      </c>
      <c r="F445" s="232" t="s">
        <v>426</v>
      </c>
      <c r="G445" s="241">
        <v>44683</v>
      </c>
      <c r="H445" s="250"/>
      <c r="I445" s="250"/>
      <c r="J445" s="250" t="s">
        <v>427</v>
      </c>
      <c r="K445" s="250" t="s">
        <v>17</v>
      </c>
      <c r="L445" s="250" t="s">
        <v>1553</v>
      </c>
      <c r="M445" s="243" t="s">
        <v>444</v>
      </c>
      <c r="N445" s="243">
        <v>11</v>
      </c>
      <c r="O445" s="285" t="s">
        <v>265</v>
      </c>
      <c r="P445" s="285" t="s">
        <v>716</v>
      </c>
      <c r="Q445" s="285">
        <v>1</v>
      </c>
      <c r="R445" s="286" t="str">
        <f t="shared" si="75"/>
        <v>A21. Control Arms, FRONT - UPPER "U" WISHBONE, RIGHT</v>
      </c>
      <c r="S445" s="365" t="str">
        <f>HYPERLINK(VLOOKUP(O445,'3D. Pictures'!$B$3:$E$500,4,FALSE),"PIC")</f>
        <v>PIC</v>
      </c>
      <c r="T445" s="243">
        <v>5</v>
      </c>
      <c r="U445" s="304" t="s">
        <v>1575</v>
      </c>
      <c r="V445" s="243" t="s">
        <v>80</v>
      </c>
      <c r="W445" s="244"/>
      <c r="X445" s="244"/>
      <c r="Y445" s="244"/>
      <c r="Z445" s="250" t="s">
        <v>1576</v>
      </c>
      <c r="AA445" s="250"/>
      <c r="AB445" s="250"/>
      <c r="AC445" s="244" t="s">
        <v>449</v>
      </c>
      <c r="AD445" s="250"/>
      <c r="AE445" s="250">
        <v>48</v>
      </c>
      <c r="AF445" s="252" t="s">
        <v>434</v>
      </c>
      <c r="AG445" s="247"/>
      <c r="AH445" s="248" t="s">
        <v>435</v>
      </c>
      <c r="AJ445" s="249"/>
      <c r="AK445" s="232" t="s">
        <v>1557</v>
      </c>
      <c r="AL445" s="232" t="s">
        <v>1558</v>
      </c>
      <c r="AN445" s="233">
        <v>511</v>
      </c>
      <c r="AO445" s="232" t="s">
        <v>411</v>
      </c>
      <c r="AP445" s="232">
        <v>50147</v>
      </c>
      <c r="AQ445" s="232" t="str">
        <f t="shared" si="84"/>
        <v>511-50147</v>
      </c>
      <c r="AX445" s="244"/>
      <c r="AY445" s="244"/>
      <c r="AZ445" s="232" t="str">
        <f>IF($AX445="Yes",'8. Option Codes Decrypted'!$C$15,"")</f>
        <v/>
      </c>
      <c r="BA445" s="232" t="str">
        <f>IF($AX445="Yes",'8. Option Codes Decrypted'!$C$16,"")</f>
        <v/>
      </c>
      <c r="BB445" s="232" t="str">
        <f>IF($AX445="Yes",'8. Option Codes Decrypted'!$C$17,"")</f>
        <v/>
      </c>
      <c r="BC445" s="232" t="str">
        <f>IF($AX445="Yes",'8. Option Codes Decrypted'!$C$18,"")</f>
        <v/>
      </c>
      <c r="BD445" s="232" t="str">
        <f>IF($AY445="Yes",'8. Option Codes Decrypted'!$C$20,"")</f>
        <v/>
      </c>
      <c r="BE445" s="232" t="str">
        <f>IF($AY445="Yes",'8. Option Codes Decrypted'!$C$21,"")</f>
        <v/>
      </c>
      <c r="BF445" s="232" t="str">
        <f>IF($AY445="Yes",'8. Option Codes Decrypted'!$C$22,"")</f>
        <v/>
      </c>
      <c r="BG445" s="232" t="str">
        <f>IF($AY445="Yes",'8. Option Codes Decrypted'!$C$23,"")</f>
        <v/>
      </c>
    </row>
    <row r="446" spans="1:59" s="232" customFormat="1" ht="15.75" thickBot="1" x14ac:dyDescent="0.3">
      <c r="A446" s="232" t="str">
        <f t="shared" si="76"/>
        <v/>
      </c>
      <c r="B446" s="358" t="str">
        <f t="shared" si="73"/>
        <v>513-50296</v>
      </c>
      <c r="C446" s="358" t="s">
        <v>1577</v>
      </c>
      <c r="D446" s="358"/>
      <c r="E446" s="358">
        <f t="shared" si="74"/>
        <v>2</v>
      </c>
      <c r="F446" s="232" t="s">
        <v>426</v>
      </c>
      <c r="G446" s="241">
        <v>44683</v>
      </c>
      <c r="H446" s="250"/>
      <c r="I446" s="250"/>
      <c r="J446" s="250" t="s">
        <v>427</v>
      </c>
      <c r="K446" s="250" t="s">
        <v>17</v>
      </c>
      <c r="L446" s="250" t="s">
        <v>1553</v>
      </c>
      <c r="M446" s="243" t="s">
        <v>444</v>
      </c>
      <c r="N446" s="243"/>
      <c r="O446" s="285"/>
      <c r="P446" s="285"/>
      <c r="Q446" s="285"/>
      <c r="R446" s="286" t="str">
        <f t="shared" si="75"/>
        <v>. Control Arms, REAR - LEFT SET3</v>
      </c>
      <c r="S446" s="286"/>
      <c r="T446" s="243"/>
      <c r="U446" s="244"/>
      <c r="V446" s="243"/>
      <c r="W446" s="244"/>
      <c r="X446" s="244"/>
      <c r="Y446" s="244"/>
      <c r="Z446" s="250" t="s">
        <v>1578</v>
      </c>
      <c r="AA446" s="250" t="s">
        <v>1579</v>
      </c>
      <c r="AB446" s="250"/>
      <c r="AC446" s="244" t="s">
        <v>1472</v>
      </c>
      <c r="AD446" s="250" t="s">
        <v>1580</v>
      </c>
      <c r="AE446" s="250">
        <v>150</v>
      </c>
      <c r="AF446" s="252" t="s">
        <v>434</v>
      </c>
      <c r="AG446" s="247"/>
      <c r="AH446" s="248" t="s">
        <v>435</v>
      </c>
      <c r="AJ446" s="249"/>
      <c r="AK446" s="232" t="s">
        <v>1581</v>
      </c>
      <c r="AN446" s="233">
        <v>513</v>
      </c>
      <c r="AO446" s="232" t="s">
        <v>411</v>
      </c>
      <c r="AP446" s="232">
        <v>50296</v>
      </c>
      <c r="AQ446" s="232" t="str">
        <f t="shared" si="84"/>
        <v>513-50296</v>
      </c>
      <c r="AX446" s="244"/>
      <c r="AY446" s="244"/>
      <c r="AZ446" s="232" t="str">
        <f>IF($AX446="Yes",'8. Option Codes Decrypted'!$C$15,"")</f>
        <v/>
      </c>
      <c r="BA446" s="232" t="str">
        <f>IF($AX446="Yes",'8. Option Codes Decrypted'!$C$16,"")</f>
        <v/>
      </c>
      <c r="BB446" s="232" t="str">
        <f>IF($AX446="Yes",'8. Option Codes Decrypted'!$C$17,"")</f>
        <v/>
      </c>
      <c r="BC446" s="232" t="str">
        <f>IF($AX446="Yes",'8. Option Codes Decrypted'!$C$18,"")</f>
        <v/>
      </c>
      <c r="BD446" s="232" t="str">
        <f>IF($AY446="Yes",'8. Option Codes Decrypted'!$C$20,"")</f>
        <v/>
      </c>
      <c r="BE446" s="232" t="str">
        <f>IF($AY446="Yes",'8. Option Codes Decrypted'!$C$21,"")</f>
        <v/>
      </c>
      <c r="BF446" s="232" t="str">
        <f>IF($AY446="Yes",'8. Option Codes Decrypted'!$C$22,"")</f>
        <v/>
      </c>
      <c r="BG446" s="232" t="str">
        <f>IF($AY446="Yes",'8. Option Codes Decrypted'!$C$23,"")</f>
        <v/>
      </c>
    </row>
    <row r="447" spans="1:59" s="232" customFormat="1" ht="15.75" thickBot="1" x14ac:dyDescent="0.3">
      <c r="A447" s="232" t="str">
        <f t="shared" si="76"/>
        <v>A99</v>
      </c>
      <c r="B447" s="358" t="str">
        <f t="shared" si="73"/>
        <v>513-50296</v>
      </c>
      <c r="C447" s="358" t="s">
        <v>1582</v>
      </c>
      <c r="D447" s="358"/>
      <c r="E447" s="358">
        <f t="shared" si="74"/>
        <v>2</v>
      </c>
      <c r="F447" s="232" t="s">
        <v>426</v>
      </c>
      <c r="G447" s="241">
        <v>44683</v>
      </c>
      <c r="H447" s="250"/>
      <c r="I447" s="250"/>
      <c r="J447" s="250" t="s">
        <v>427</v>
      </c>
      <c r="K447" s="250" t="s">
        <v>17</v>
      </c>
      <c r="L447" s="250" t="s">
        <v>1553</v>
      </c>
      <c r="M447" s="243" t="s">
        <v>444</v>
      </c>
      <c r="N447" s="243">
        <v>89</v>
      </c>
      <c r="O447" s="285" t="s">
        <v>343</v>
      </c>
      <c r="P447" s="285" t="s">
        <v>724</v>
      </c>
      <c r="Q447" s="285">
        <v>1</v>
      </c>
      <c r="R447" s="286" t="str">
        <f t="shared" si="75"/>
        <v>A99. Control Arms, REAR - LEFT Large Control Arm</v>
      </c>
      <c r="S447" s="365" t="str">
        <f>HYPERLINK(VLOOKUP(O447,'3D. Pictures'!$B$3:$E$500,4,FALSE),"PIC")</f>
        <v>PIC</v>
      </c>
      <c r="T447" s="243">
        <v>5</v>
      </c>
      <c r="U447" s="244" t="s">
        <v>1583</v>
      </c>
      <c r="V447" s="243" t="s">
        <v>81</v>
      </c>
      <c r="W447" s="244"/>
      <c r="X447" s="244"/>
      <c r="Y447" s="244"/>
      <c r="Z447" s="250" t="s">
        <v>1584</v>
      </c>
      <c r="AA447" s="250"/>
      <c r="AB447" s="250"/>
      <c r="AC447" s="244" t="s">
        <v>449</v>
      </c>
      <c r="AD447" s="250" t="s">
        <v>1580</v>
      </c>
      <c r="AE447" s="250">
        <v>100</v>
      </c>
      <c r="AF447" s="252" t="s">
        <v>434</v>
      </c>
      <c r="AG447" s="247"/>
      <c r="AH447" s="248" t="s">
        <v>435</v>
      </c>
      <c r="AJ447" s="249"/>
      <c r="AK447" s="232" t="s">
        <v>1581</v>
      </c>
      <c r="AN447" s="233">
        <v>513</v>
      </c>
      <c r="AO447" s="232" t="s">
        <v>411</v>
      </c>
      <c r="AP447" s="232">
        <v>50296</v>
      </c>
      <c r="AQ447" s="232" t="str">
        <f t="shared" si="84"/>
        <v>513-50296</v>
      </c>
      <c r="AX447" s="244"/>
      <c r="AY447" s="244"/>
      <c r="AZ447" s="232" t="str">
        <f>IF($AX447="Yes",'8. Option Codes Decrypted'!$C$15,"")</f>
        <v/>
      </c>
      <c r="BA447" s="232" t="str">
        <f>IF($AX447="Yes",'8. Option Codes Decrypted'!$C$16,"")</f>
        <v/>
      </c>
      <c r="BB447" s="232" t="str">
        <f>IF($AX447="Yes",'8. Option Codes Decrypted'!$C$17,"")</f>
        <v/>
      </c>
      <c r="BC447" s="232" t="str">
        <f>IF($AX447="Yes",'8. Option Codes Decrypted'!$C$18,"")</f>
        <v/>
      </c>
      <c r="BD447" s="232" t="str">
        <f>IF($AY447="Yes",'8. Option Codes Decrypted'!$C$20,"")</f>
        <v/>
      </c>
      <c r="BE447" s="232" t="str">
        <f>IF($AY447="Yes",'8. Option Codes Decrypted'!$C$21,"")</f>
        <v/>
      </c>
      <c r="BF447" s="232" t="str">
        <f>IF($AY447="Yes",'8. Option Codes Decrypted'!$C$22,"")</f>
        <v/>
      </c>
      <c r="BG447" s="232" t="str">
        <f>IF($AY447="Yes",'8. Option Codes Decrypted'!$C$23,"")</f>
        <v/>
      </c>
    </row>
    <row r="448" spans="1:59" s="232" customFormat="1" ht="15.75" thickBot="1" x14ac:dyDescent="0.3">
      <c r="A448" s="232" t="str">
        <f t="shared" si="76"/>
        <v/>
      </c>
      <c r="B448" s="358" t="str">
        <f t="shared" si="73"/>
        <v>513-50295</v>
      </c>
      <c r="C448" s="358" t="s">
        <v>1585</v>
      </c>
      <c r="D448" s="358"/>
      <c r="E448" s="358">
        <f t="shared" si="74"/>
        <v>2</v>
      </c>
      <c r="F448" s="232" t="s">
        <v>426</v>
      </c>
      <c r="G448" s="241">
        <v>44683</v>
      </c>
      <c r="H448" s="250"/>
      <c r="I448" s="250"/>
      <c r="J448" s="250" t="s">
        <v>427</v>
      </c>
      <c r="K448" s="250" t="s">
        <v>17</v>
      </c>
      <c r="L448" s="250" t="s">
        <v>1553</v>
      </c>
      <c r="M448" s="243" t="s">
        <v>444</v>
      </c>
      <c r="N448" s="243"/>
      <c r="O448" s="285"/>
      <c r="P448" s="285"/>
      <c r="Q448" s="285"/>
      <c r="R448" s="286" t="str">
        <f t="shared" si="75"/>
        <v>. Control Arms, REAR - RIGHT SET3</v>
      </c>
      <c r="S448" s="286"/>
      <c r="T448" s="243"/>
      <c r="U448" s="244"/>
      <c r="V448" s="243"/>
      <c r="W448" s="244"/>
      <c r="X448" s="244"/>
      <c r="Y448" s="244"/>
      <c r="Z448" s="250" t="s">
        <v>1586</v>
      </c>
      <c r="AA448" s="250" t="s">
        <v>1579</v>
      </c>
      <c r="AB448" s="250"/>
      <c r="AC448" s="244" t="s">
        <v>1472</v>
      </c>
      <c r="AD448" s="250" t="s">
        <v>1580</v>
      </c>
      <c r="AE448" s="250">
        <v>150</v>
      </c>
      <c r="AF448" s="252" t="s">
        <v>434</v>
      </c>
      <c r="AG448" s="247"/>
      <c r="AH448" s="248" t="s">
        <v>435</v>
      </c>
      <c r="AJ448" s="249"/>
      <c r="AK448" s="232" t="s">
        <v>1581</v>
      </c>
      <c r="AN448" s="233">
        <v>513</v>
      </c>
      <c r="AO448" s="232" t="s">
        <v>411</v>
      </c>
      <c r="AP448" s="232">
        <v>50295</v>
      </c>
      <c r="AQ448" s="232" t="str">
        <f t="shared" si="84"/>
        <v>513-50295</v>
      </c>
      <c r="AX448" s="244"/>
      <c r="AY448" s="244"/>
      <c r="AZ448" s="232" t="str">
        <f>IF($AX448="Yes",'8. Option Codes Decrypted'!$C$15,"")</f>
        <v/>
      </c>
      <c r="BA448" s="232" t="str">
        <f>IF($AX448="Yes",'8. Option Codes Decrypted'!$C$16,"")</f>
        <v/>
      </c>
      <c r="BB448" s="232" t="str">
        <f>IF($AX448="Yes",'8. Option Codes Decrypted'!$C$17,"")</f>
        <v/>
      </c>
      <c r="BC448" s="232" t="str">
        <f>IF($AX448="Yes",'8. Option Codes Decrypted'!$C$18,"")</f>
        <v/>
      </c>
      <c r="BD448" s="232" t="str">
        <f>IF($AY448="Yes",'8. Option Codes Decrypted'!$C$20,"")</f>
        <v/>
      </c>
      <c r="BE448" s="232" t="str">
        <f>IF($AY448="Yes",'8. Option Codes Decrypted'!$C$21,"")</f>
        <v/>
      </c>
      <c r="BF448" s="232" t="str">
        <f>IF($AY448="Yes",'8. Option Codes Decrypted'!$C$22,"")</f>
        <v/>
      </c>
      <c r="BG448" s="232" t="str">
        <f>IF($AY448="Yes",'8. Option Codes Decrypted'!$C$23,"")</f>
        <v/>
      </c>
    </row>
    <row r="449" spans="1:59" s="232" customFormat="1" ht="15.75" thickBot="1" x14ac:dyDescent="0.3">
      <c r="A449" s="232" t="str">
        <f t="shared" si="76"/>
        <v>A100</v>
      </c>
      <c r="B449" s="358" t="str">
        <f t="shared" si="73"/>
        <v>513-50295</v>
      </c>
      <c r="C449" s="358" t="s">
        <v>1587</v>
      </c>
      <c r="D449" s="358"/>
      <c r="E449" s="358">
        <f t="shared" si="74"/>
        <v>2</v>
      </c>
      <c r="F449" s="232" t="s">
        <v>426</v>
      </c>
      <c r="G449" s="241">
        <v>44683</v>
      </c>
      <c r="H449" s="250"/>
      <c r="I449" s="250"/>
      <c r="J449" s="250" t="s">
        <v>427</v>
      </c>
      <c r="K449" s="250" t="s">
        <v>17</v>
      </c>
      <c r="L449" s="250" t="s">
        <v>1553</v>
      </c>
      <c r="M449" s="243" t="s">
        <v>444</v>
      </c>
      <c r="N449" s="243">
        <v>90</v>
      </c>
      <c r="O449" s="285" t="s">
        <v>344</v>
      </c>
      <c r="P449" s="285" t="s">
        <v>724</v>
      </c>
      <c r="Q449" s="285">
        <v>1</v>
      </c>
      <c r="R449" s="286" t="str">
        <f t="shared" si="75"/>
        <v>A100. Control Arms, REAR - RIGHT Large Control Arm</v>
      </c>
      <c r="S449" s="365" t="str">
        <f>HYPERLINK(VLOOKUP(O449,'3D. Pictures'!$B$3:$E$500,4,FALSE),"PIC")</f>
        <v>PIC</v>
      </c>
      <c r="T449" s="243">
        <v>5</v>
      </c>
      <c r="U449" s="244" t="s">
        <v>1588</v>
      </c>
      <c r="V449" s="243" t="s">
        <v>81</v>
      </c>
      <c r="W449" s="244"/>
      <c r="X449" s="244"/>
      <c r="Y449" s="244"/>
      <c r="Z449" s="250" t="s">
        <v>1589</v>
      </c>
      <c r="AA449" s="250"/>
      <c r="AB449" s="250"/>
      <c r="AC449" s="244" t="s">
        <v>449</v>
      </c>
      <c r="AD449" s="250" t="s">
        <v>1580</v>
      </c>
      <c r="AE449" s="250">
        <v>100</v>
      </c>
      <c r="AF449" s="252" t="s">
        <v>434</v>
      </c>
      <c r="AG449" s="247"/>
      <c r="AH449" s="248" t="s">
        <v>435</v>
      </c>
      <c r="AJ449" s="249"/>
      <c r="AK449" s="232" t="s">
        <v>1581</v>
      </c>
      <c r="AN449" s="233">
        <v>513</v>
      </c>
      <c r="AO449" s="232" t="s">
        <v>411</v>
      </c>
      <c r="AP449" s="232">
        <v>50295</v>
      </c>
      <c r="AQ449" s="232" t="str">
        <f t="shared" si="84"/>
        <v>513-50295</v>
      </c>
      <c r="AX449" s="244"/>
      <c r="AY449" s="244"/>
      <c r="AZ449" s="232" t="str">
        <f>IF($AX449="Yes",'8. Option Codes Decrypted'!$C$15,"")</f>
        <v/>
      </c>
      <c r="BA449" s="232" t="str">
        <f>IF($AX449="Yes",'8. Option Codes Decrypted'!$C$16,"")</f>
        <v/>
      </c>
      <c r="BB449" s="232" t="str">
        <f>IF($AX449="Yes",'8. Option Codes Decrypted'!$C$17,"")</f>
        <v/>
      </c>
      <c r="BC449" s="232" t="str">
        <f>IF($AX449="Yes",'8. Option Codes Decrypted'!$C$18,"")</f>
        <v/>
      </c>
      <c r="BD449" s="232" t="str">
        <f>IF($AY449="Yes",'8. Option Codes Decrypted'!$C$20,"")</f>
        <v/>
      </c>
      <c r="BE449" s="232" t="str">
        <f>IF($AY449="Yes",'8. Option Codes Decrypted'!$C$21,"")</f>
        <v/>
      </c>
      <c r="BF449" s="232" t="str">
        <f>IF($AY449="Yes",'8. Option Codes Decrypted'!$C$22,"")</f>
        <v/>
      </c>
      <c r="BG449" s="232" t="str">
        <f>IF($AY449="Yes",'8. Option Codes Decrypted'!$C$23,"")</f>
        <v/>
      </c>
    </row>
    <row r="450" spans="1:59" s="232" customFormat="1" x14ac:dyDescent="0.25">
      <c r="A450" s="232" t="str">
        <f t="shared" si="76"/>
        <v/>
      </c>
      <c r="B450" s="358" t="str">
        <f t="shared" si="73"/>
        <v>440-59360</v>
      </c>
      <c r="C450" s="358" t="str">
        <f t="shared" si="85"/>
        <v/>
      </c>
      <c r="D450" s="358"/>
      <c r="E450" s="358">
        <f t="shared" si="74"/>
        <v>1</v>
      </c>
      <c r="F450" s="232" t="s">
        <v>426</v>
      </c>
      <c r="G450" s="241">
        <v>44674</v>
      </c>
      <c r="H450" s="250"/>
      <c r="I450" s="250"/>
      <c r="J450" s="250" t="s">
        <v>427</v>
      </c>
      <c r="K450" s="250" t="s">
        <v>17</v>
      </c>
      <c r="L450" s="250" t="s">
        <v>1590</v>
      </c>
      <c r="M450" s="243" t="s">
        <v>444</v>
      </c>
      <c r="N450" s="243"/>
      <c r="O450" s="285"/>
      <c r="P450" s="285"/>
      <c r="Q450" s="285"/>
      <c r="R450" s="286" t="str">
        <f t="shared" si="75"/>
        <v>. Differential, FRONT</v>
      </c>
      <c r="S450" s="286"/>
      <c r="T450" s="243"/>
      <c r="U450" s="244"/>
      <c r="V450" s="243"/>
      <c r="W450" s="244"/>
      <c r="X450" s="244"/>
      <c r="Y450" s="244"/>
      <c r="Z450" s="250" t="s">
        <v>1590</v>
      </c>
      <c r="AA450" s="250" t="s">
        <v>1590</v>
      </c>
      <c r="AB450" s="250" t="s">
        <v>1590</v>
      </c>
      <c r="AC450" s="244" t="s">
        <v>449</v>
      </c>
      <c r="AD450" s="250"/>
      <c r="AE450" s="250">
        <v>245</v>
      </c>
      <c r="AF450" s="252" t="s">
        <v>434</v>
      </c>
      <c r="AG450" s="247"/>
      <c r="AH450" s="248" t="s">
        <v>740</v>
      </c>
      <c r="AJ450" s="249"/>
      <c r="AK450" s="232" t="s">
        <v>1591</v>
      </c>
      <c r="AN450" s="233" t="s">
        <v>1592</v>
      </c>
      <c r="AO450" s="232" t="s">
        <v>411</v>
      </c>
      <c r="AP450" s="232">
        <v>59360</v>
      </c>
      <c r="AQ450" s="232" t="str">
        <f t="shared" si="84"/>
        <v>440-59360</v>
      </c>
      <c r="AX450" s="244"/>
      <c r="AY450" s="244"/>
      <c r="AZ450" s="232" t="str">
        <f>IF($AX450="Yes",'8. Option Codes Decrypted'!$C$15,"")</f>
        <v/>
      </c>
      <c r="BA450" s="232" t="str">
        <f>IF($AX450="Yes",'8. Option Codes Decrypted'!$C$16,"")</f>
        <v/>
      </c>
      <c r="BB450" s="232" t="str">
        <f>IF($AX450="Yes",'8. Option Codes Decrypted'!$C$17,"")</f>
        <v/>
      </c>
      <c r="BC450" s="232" t="str">
        <f>IF($AX450="Yes",'8. Option Codes Decrypted'!$C$18,"")</f>
        <v/>
      </c>
      <c r="BD450" s="232" t="str">
        <f>IF($AY450="Yes",'8. Option Codes Decrypted'!$C$20,"")</f>
        <v/>
      </c>
      <c r="BE450" s="232" t="str">
        <f>IF($AY450="Yes",'8. Option Codes Decrypted'!$C$21,"")</f>
        <v/>
      </c>
      <c r="BF450" s="232" t="str">
        <f>IF($AY450="Yes",'8. Option Codes Decrypted'!$C$22,"")</f>
        <v/>
      </c>
      <c r="BG450" s="232" t="str">
        <f>IF($AY450="Yes",'8. Option Codes Decrypted'!$C$23,"")</f>
        <v/>
      </c>
    </row>
    <row r="451" spans="1:59" s="232" customFormat="1" x14ac:dyDescent="0.25">
      <c r="A451" s="232" t="str">
        <f t="shared" si="76"/>
        <v/>
      </c>
      <c r="B451" s="358" t="str">
        <f t="shared" si="73"/>
        <v>440-50572</v>
      </c>
      <c r="C451" s="358" t="str">
        <f t="shared" si="85"/>
        <v/>
      </c>
      <c r="D451" s="358"/>
      <c r="E451" s="358">
        <f t="shared" si="74"/>
        <v>1</v>
      </c>
      <c r="F451" s="232" t="s">
        <v>426</v>
      </c>
      <c r="G451" s="241">
        <v>44674</v>
      </c>
      <c r="H451" s="250"/>
      <c r="I451" s="250"/>
      <c r="J451" s="250" t="s">
        <v>427</v>
      </c>
      <c r="K451" s="250" t="s">
        <v>17</v>
      </c>
      <c r="L451" s="250" t="s">
        <v>1593</v>
      </c>
      <c r="M451" s="243" t="s">
        <v>444</v>
      </c>
      <c r="N451" s="243"/>
      <c r="O451" s="285"/>
      <c r="P451" s="285"/>
      <c r="Q451" s="285"/>
      <c r="R451" s="286" t="str">
        <f t="shared" si="75"/>
        <v>. Differential, REAR</v>
      </c>
      <c r="S451" s="286"/>
      <c r="T451" s="243"/>
      <c r="U451" s="244"/>
      <c r="V451" s="243"/>
      <c r="W451" s="244"/>
      <c r="X451" s="244"/>
      <c r="Y451" s="244"/>
      <c r="Z451" s="250" t="s">
        <v>1593</v>
      </c>
      <c r="AA451" s="250"/>
      <c r="AB451" s="250"/>
      <c r="AC451" s="244" t="s">
        <v>449</v>
      </c>
      <c r="AD451" s="250"/>
      <c r="AE451" s="255">
        <v>900</v>
      </c>
      <c r="AF451" s="252" t="s">
        <v>434</v>
      </c>
      <c r="AG451" s="247"/>
      <c r="AH451" s="248" t="s">
        <v>740</v>
      </c>
      <c r="AJ451" s="249"/>
      <c r="AK451" s="232" t="s">
        <v>1594</v>
      </c>
      <c r="AL451" s="232" t="s">
        <v>1595</v>
      </c>
      <c r="AM451" s="232" t="s">
        <v>1596</v>
      </c>
      <c r="AN451" s="233" t="s">
        <v>1592</v>
      </c>
      <c r="AO451" s="232" t="s">
        <v>411</v>
      </c>
      <c r="AP451" s="232">
        <v>50572</v>
      </c>
      <c r="AQ451" s="232" t="str">
        <f t="shared" si="84"/>
        <v>440-50572</v>
      </c>
      <c r="AR451" s="232" t="s">
        <v>1597</v>
      </c>
      <c r="AX451" s="244"/>
      <c r="AY451" s="244"/>
      <c r="AZ451" s="232" t="str">
        <f>IF($AX451="Yes",'8. Option Codes Decrypted'!$C$15,"")</f>
        <v/>
      </c>
      <c r="BA451" s="232" t="str">
        <f>IF($AX451="Yes",'8. Option Codes Decrypted'!$C$16,"")</f>
        <v/>
      </c>
      <c r="BB451" s="232" t="str">
        <f>IF($AX451="Yes",'8. Option Codes Decrypted'!$C$17,"")</f>
        <v/>
      </c>
      <c r="BC451" s="232" t="str">
        <f>IF($AX451="Yes",'8. Option Codes Decrypted'!$C$18,"")</f>
        <v/>
      </c>
      <c r="BD451" s="232" t="str">
        <f>IF($AY451="Yes",'8. Option Codes Decrypted'!$C$20,"")</f>
        <v/>
      </c>
      <c r="BE451" s="232" t="str">
        <f>IF($AY451="Yes",'8. Option Codes Decrypted'!$C$21,"")</f>
        <v/>
      </c>
      <c r="BF451" s="232" t="str">
        <f>IF($AY451="Yes",'8. Option Codes Decrypted'!$C$22,"")</f>
        <v/>
      </c>
      <c r="BG451" s="232" t="str">
        <f>IF($AY451="Yes",'8. Option Codes Decrypted'!$C$23,"")</f>
        <v/>
      </c>
    </row>
    <row r="452" spans="1:59" s="232" customFormat="1" ht="15.75" thickBot="1" x14ac:dyDescent="0.3">
      <c r="A452" s="232" t="str">
        <f t="shared" si="76"/>
        <v/>
      </c>
      <c r="B452" s="358" t="str">
        <f t="shared" si="73"/>
        <v>440-59426</v>
      </c>
      <c r="C452" s="358" t="str">
        <f t="shared" si="85"/>
        <v/>
      </c>
      <c r="D452" s="358"/>
      <c r="E452" s="358">
        <f t="shared" si="74"/>
        <v>1</v>
      </c>
      <c r="F452" s="232" t="s">
        <v>426</v>
      </c>
      <c r="G452" s="241">
        <v>44674</v>
      </c>
      <c r="H452" s="250"/>
      <c r="I452" s="250"/>
      <c r="J452" s="250" t="s">
        <v>427</v>
      </c>
      <c r="K452" s="250" t="s">
        <v>17</v>
      </c>
      <c r="L452" s="250" t="s">
        <v>1593</v>
      </c>
      <c r="M452" s="243" t="s">
        <v>444</v>
      </c>
      <c r="N452" s="243"/>
      <c r="O452" s="285"/>
      <c r="P452" s="285"/>
      <c r="Q452" s="285"/>
      <c r="R452" s="286" t="str">
        <f t="shared" si="75"/>
        <v>. Differential, REAR</v>
      </c>
      <c r="S452" s="286"/>
      <c r="T452" s="243"/>
      <c r="U452" s="244"/>
      <c r="V452" s="243"/>
      <c r="W452" s="244"/>
      <c r="X452" s="244"/>
      <c r="Y452" s="244"/>
      <c r="Z452" s="250" t="s">
        <v>1593</v>
      </c>
      <c r="AA452" s="250"/>
      <c r="AB452" s="250"/>
      <c r="AC452" s="244" t="s">
        <v>449</v>
      </c>
      <c r="AD452" s="250"/>
      <c r="AE452" s="255">
        <v>750</v>
      </c>
      <c r="AF452" s="252" t="s">
        <v>434</v>
      </c>
      <c r="AG452" s="247"/>
      <c r="AH452" s="248" t="s">
        <v>740</v>
      </c>
      <c r="AJ452" s="249"/>
      <c r="AK452" s="232" t="s">
        <v>1594</v>
      </c>
      <c r="AL452" s="232" t="s">
        <v>1595</v>
      </c>
      <c r="AM452" s="232" t="s">
        <v>1596</v>
      </c>
      <c r="AN452" s="233" t="s">
        <v>1592</v>
      </c>
      <c r="AO452" s="232" t="s">
        <v>411</v>
      </c>
      <c r="AP452" s="232">
        <v>59426</v>
      </c>
      <c r="AQ452" s="232" t="str">
        <f t="shared" si="84"/>
        <v>440-59426</v>
      </c>
      <c r="AR452" s="232" t="s">
        <v>1598</v>
      </c>
      <c r="AX452" s="244"/>
      <c r="AY452" s="244"/>
      <c r="AZ452" s="232" t="str">
        <f>IF($AX452="Yes",'8. Option Codes Decrypted'!$C$15,"")</f>
        <v/>
      </c>
      <c r="BA452" s="232" t="str">
        <f>IF($AX452="Yes",'8. Option Codes Decrypted'!$C$16,"")</f>
        <v/>
      </c>
      <c r="BB452" s="232" t="str">
        <f>IF($AX452="Yes",'8. Option Codes Decrypted'!$C$17,"")</f>
        <v/>
      </c>
      <c r="BC452" s="232" t="str">
        <f>IF($AX452="Yes",'8. Option Codes Decrypted'!$C$18,"")</f>
        <v/>
      </c>
      <c r="BD452" s="232" t="str">
        <f>IF($AY452="Yes",'8. Option Codes Decrypted'!$C$20,"")</f>
        <v/>
      </c>
      <c r="BE452" s="232" t="str">
        <f>IF($AY452="Yes",'8. Option Codes Decrypted'!$C$21,"")</f>
        <v/>
      </c>
      <c r="BF452" s="232" t="str">
        <f>IF($AY452="Yes",'8. Option Codes Decrypted'!$C$22,"")</f>
        <v/>
      </c>
      <c r="BG452" s="232" t="str">
        <f>IF($AY452="Yes",'8. Option Codes Decrypted'!$C$23,"")</f>
        <v/>
      </c>
    </row>
    <row r="453" spans="1:59" s="232" customFormat="1" ht="15.75" thickBot="1" x14ac:dyDescent="0.3">
      <c r="A453" s="232" t="str">
        <f t="shared" si="76"/>
        <v>A108</v>
      </c>
      <c r="B453" s="358" t="str">
        <f t="shared" si="73"/>
        <v>440-59427</v>
      </c>
      <c r="C453" s="358" t="str">
        <f t="shared" si="85"/>
        <v/>
      </c>
      <c r="D453" s="358"/>
      <c r="E453" s="358">
        <f t="shared" si="74"/>
        <v>1</v>
      </c>
      <c r="F453" s="232" t="s">
        <v>426</v>
      </c>
      <c r="G453" s="241">
        <v>44674</v>
      </c>
      <c r="H453" s="250"/>
      <c r="I453" s="250"/>
      <c r="J453" s="250" t="s">
        <v>427</v>
      </c>
      <c r="K453" s="250" t="s">
        <v>17</v>
      </c>
      <c r="L453" s="250" t="s">
        <v>1593</v>
      </c>
      <c r="M453" s="243" t="s">
        <v>444</v>
      </c>
      <c r="N453" s="243">
        <v>98</v>
      </c>
      <c r="O453" s="285" t="s">
        <v>352</v>
      </c>
      <c r="P453" s="285" t="s">
        <v>231</v>
      </c>
      <c r="Q453" s="285">
        <v>1</v>
      </c>
      <c r="R453" s="286" t="str">
        <f t="shared" si="75"/>
        <v>A108. Differential, REAR</v>
      </c>
      <c r="S453" s="365" t="str">
        <f>HYPERLINK(VLOOKUP(O453,'3D. Pictures'!$B$3:$E$500,4,FALSE),"PIC")</f>
        <v>PIC</v>
      </c>
      <c r="T453" s="243">
        <v>6</v>
      </c>
      <c r="U453" s="244" t="s">
        <v>1599</v>
      </c>
      <c r="V453" s="243" t="s">
        <v>81</v>
      </c>
      <c r="W453" s="244"/>
      <c r="X453" s="244"/>
      <c r="Y453" s="244"/>
      <c r="Z453" s="250" t="s">
        <v>1593</v>
      </c>
      <c r="AA453" s="250"/>
      <c r="AB453" s="250"/>
      <c r="AC453" s="244" t="s">
        <v>449</v>
      </c>
      <c r="AD453" s="250"/>
      <c r="AE453" s="255">
        <v>500</v>
      </c>
      <c r="AF453" s="252" t="s">
        <v>434</v>
      </c>
      <c r="AG453" s="247"/>
      <c r="AH453" s="248" t="s">
        <v>740</v>
      </c>
      <c r="AJ453" s="249"/>
      <c r="AK453" s="232" t="s">
        <v>1594</v>
      </c>
      <c r="AL453" s="232" t="s">
        <v>1595</v>
      </c>
      <c r="AM453" s="232" t="s">
        <v>1596</v>
      </c>
      <c r="AN453" s="233" t="s">
        <v>1592</v>
      </c>
      <c r="AO453" s="232" t="s">
        <v>411</v>
      </c>
      <c r="AP453" s="232">
        <v>59427</v>
      </c>
      <c r="AQ453" s="232" t="str">
        <f t="shared" si="84"/>
        <v>440-59427</v>
      </c>
      <c r="AR453" s="232" t="s">
        <v>1600</v>
      </c>
      <c r="AX453" s="244"/>
      <c r="AY453" s="244"/>
      <c r="AZ453" s="232" t="str">
        <f>IF($AX453="Yes",'8. Option Codes Decrypted'!$C$15,"")</f>
        <v/>
      </c>
      <c r="BA453" s="232" t="str">
        <f>IF($AX453="Yes",'8. Option Codes Decrypted'!$C$16,"")</f>
        <v/>
      </c>
      <c r="BB453" s="232" t="str">
        <f>IF($AX453="Yes",'8. Option Codes Decrypted'!$C$17,"")</f>
        <v/>
      </c>
      <c r="BC453" s="232" t="str">
        <f>IF($AX453="Yes",'8. Option Codes Decrypted'!$C$18,"")</f>
        <v/>
      </c>
      <c r="BD453" s="232" t="str">
        <f>IF($AY453="Yes",'8. Option Codes Decrypted'!$C$20,"")</f>
        <v/>
      </c>
      <c r="BE453" s="232" t="str">
        <f>IF($AY453="Yes",'8. Option Codes Decrypted'!$C$21,"")</f>
        <v/>
      </c>
      <c r="BF453" s="232" t="str">
        <f>IF($AY453="Yes",'8. Option Codes Decrypted'!$C$22,"")</f>
        <v/>
      </c>
      <c r="BG453" s="232" t="str">
        <f>IF($AY453="Yes",'8. Option Codes Decrypted'!$C$23,"")</f>
        <v/>
      </c>
    </row>
    <row r="454" spans="1:59" s="232" customFormat="1" ht="15.75" thickBot="1" x14ac:dyDescent="0.3">
      <c r="A454" s="232" t="str">
        <f t="shared" si="76"/>
        <v/>
      </c>
      <c r="B454" s="358" t="str">
        <f t="shared" si="73"/>
        <v>430-50149</v>
      </c>
      <c r="C454" s="358" t="str">
        <f t="shared" si="85"/>
        <v/>
      </c>
      <c r="D454" s="358"/>
      <c r="E454" s="358">
        <f t="shared" si="74"/>
        <v>1</v>
      </c>
      <c r="F454" s="232" t="s">
        <v>426</v>
      </c>
      <c r="G454" s="241">
        <v>45247</v>
      </c>
      <c r="H454" s="250"/>
      <c r="I454" s="250"/>
      <c r="J454" s="251" t="s">
        <v>427</v>
      </c>
      <c r="K454" s="251" t="s">
        <v>17</v>
      </c>
      <c r="L454" s="251" t="s">
        <v>1601</v>
      </c>
      <c r="M454" s="243" t="s">
        <v>444</v>
      </c>
      <c r="N454" s="243"/>
      <c r="O454" s="285"/>
      <c r="P454" s="285"/>
      <c r="Q454" s="285"/>
      <c r="R454" s="286" t="str">
        <f t="shared" si="75"/>
        <v>. Driveshaft, FRONT</v>
      </c>
      <c r="S454" s="286"/>
      <c r="T454" s="285"/>
      <c r="U454" s="245"/>
      <c r="V454" s="285"/>
      <c r="W454" s="245"/>
      <c r="X454" s="245"/>
      <c r="Y454" s="245"/>
      <c r="Z454" s="251" t="s">
        <v>1601</v>
      </c>
      <c r="AA454" s="251"/>
      <c r="AB454" s="251"/>
      <c r="AC454" s="244" t="s">
        <v>449</v>
      </c>
      <c r="AD454" s="264"/>
      <c r="AE454" s="250">
        <v>100</v>
      </c>
      <c r="AF454" s="252" t="s">
        <v>434</v>
      </c>
      <c r="AG454" s="247"/>
      <c r="AH454" s="248" t="s">
        <v>1602</v>
      </c>
      <c r="AJ454" s="249"/>
      <c r="AK454" s="232" t="s">
        <v>1603</v>
      </c>
      <c r="AN454" s="233" t="s">
        <v>1604</v>
      </c>
      <c r="AO454" s="232" t="s">
        <v>411</v>
      </c>
      <c r="AP454" s="232">
        <v>50149</v>
      </c>
      <c r="AQ454" s="232" t="str">
        <f t="shared" si="84"/>
        <v>430-50149</v>
      </c>
      <c r="AX454" s="245"/>
      <c r="AY454" s="245"/>
      <c r="AZ454" s="232" t="str">
        <f>IF($AX454="Yes",'8. Option Codes Decrypted'!$C$15,"")</f>
        <v/>
      </c>
      <c r="BA454" s="232" t="str">
        <f>IF($AX454="Yes",'8. Option Codes Decrypted'!$C$16,"")</f>
        <v/>
      </c>
      <c r="BB454" s="232" t="str">
        <f>IF($AX454="Yes",'8. Option Codes Decrypted'!$C$17,"")</f>
        <v/>
      </c>
      <c r="BC454" s="232" t="str">
        <f>IF($AX454="Yes",'8. Option Codes Decrypted'!$C$18,"")</f>
        <v/>
      </c>
      <c r="BD454" s="232" t="str">
        <f>IF($AY454="Yes",'8. Option Codes Decrypted'!$C$20,"")</f>
        <v/>
      </c>
      <c r="BE454" s="232" t="str">
        <f>IF($AY454="Yes",'8. Option Codes Decrypted'!$C$21,"")</f>
        <v/>
      </c>
      <c r="BF454" s="232" t="str">
        <f>IF($AY454="Yes",'8. Option Codes Decrypted'!$C$22,"")</f>
        <v/>
      </c>
      <c r="BG454" s="232" t="str">
        <f>IF($AY454="Yes",'8. Option Codes Decrypted'!$C$23,"")</f>
        <v/>
      </c>
    </row>
    <row r="455" spans="1:59" s="296" customFormat="1" ht="15.75" thickBot="1" x14ac:dyDescent="0.3">
      <c r="A455" s="232" t="str">
        <f t="shared" si="76"/>
        <v>A102</v>
      </c>
      <c r="B455" s="358" t="str">
        <f t="shared" si="73"/>
        <v/>
      </c>
      <c r="C455" s="358" t="str">
        <f t="shared" si="85"/>
        <v>F15-Emergency Parking Brake Actuator-14-18-ALL</v>
      </c>
      <c r="D455" s="358"/>
      <c r="E455" s="358" t="str">
        <f t="shared" si="74"/>
        <v/>
      </c>
      <c r="F455" s="296" t="s">
        <v>426</v>
      </c>
      <c r="G455" s="297">
        <v>44683</v>
      </c>
      <c r="H455" s="298"/>
      <c r="I455" s="298"/>
      <c r="J455" s="299" t="s">
        <v>427</v>
      </c>
      <c r="K455" s="298" t="s">
        <v>17</v>
      </c>
      <c r="L455" s="298" t="s">
        <v>1605</v>
      </c>
      <c r="M455" s="298" t="s">
        <v>430</v>
      </c>
      <c r="N455" s="296">
        <v>92</v>
      </c>
      <c r="O455" s="296" t="s">
        <v>346</v>
      </c>
      <c r="P455" s="299" t="s">
        <v>724</v>
      </c>
      <c r="Q455" s="299">
        <v>1</v>
      </c>
      <c r="R455" s="299" t="str">
        <f t="shared" si="75"/>
        <v>A102. Emergency Parking Brake Actuator</v>
      </c>
      <c r="S455" s="365" t="str">
        <f>HYPERLINK(VLOOKUP(O455,'3D. Pictures'!$B$3:$E$500,4,FALSE),"PIC")</f>
        <v>PIC</v>
      </c>
      <c r="T455" s="298">
        <v>5</v>
      </c>
      <c r="U455" s="298" t="s">
        <v>1606</v>
      </c>
      <c r="V455" s="298" t="s">
        <v>80</v>
      </c>
      <c r="W455" s="298"/>
      <c r="X455" s="298"/>
      <c r="Y455" s="298"/>
      <c r="Z455" s="298" t="s">
        <v>1607</v>
      </c>
      <c r="AA455" s="298" t="s">
        <v>1608</v>
      </c>
      <c r="AB455" s="298"/>
      <c r="AC455" s="213" t="s">
        <v>449</v>
      </c>
      <c r="AD455" s="298"/>
      <c r="AE455" s="298">
        <v>350</v>
      </c>
      <c r="AF455" s="300" t="s">
        <v>434</v>
      </c>
      <c r="AG455" s="301"/>
      <c r="AH455" s="302" t="s">
        <v>435</v>
      </c>
      <c r="AJ455" s="303"/>
      <c r="AK455" s="296" t="s">
        <v>1609</v>
      </c>
      <c r="AL455" s="296" t="s">
        <v>1610</v>
      </c>
      <c r="AS455" s="296" t="str">
        <f t="shared" ref="AS455:AS460" si="86">CONCATENATE(AT455,"-",AU455,"-",AV455,"-",AW455)</f>
        <v>F15-Emergency Parking Brake Actuator-14-18-ALL</v>
      </c>
      <c r="AT455" s="296" t="s">
        <v>661</v>
      </c>
      <c r="AU455" s="296" t="str">
        <f t="shared" ref="AU455:AU460" si="87">Z455</f>
        <v>Emergency Parking Brake Actuator</v>
      </c>
      <c r="AV455" s="296" t="s">
        <v>757</v>
      </c>
      <c r="AW455" s="296" t="s">
        <v>662</v>
      </c>
      <c r="AX455" s="298"/>
      <c r="AY455" s="298"/>
      <c r="AZ455" s="232" t="str">
        <f>IF($AX455="Yes",'8. Option Codes Decrypted'!$C$15,"")</f>
        <v/>
      </c>
      <c r="BA455" s="232" t="str">
        <f>IF($AX455="Yes",'8. Option Codes Decrypted'!$C$16,"")</f>
        <v/>
      </c>
      <c r="BB455" s="232" t="str">
        <f>IF($AX455="Yes",'8. Option Codes Decrypted'!$C$17,"")</f>
        <v/>
      </c>
      <c r="BC455" s="232" t="str">
        <f>IF($AX455="Yes",'8. Option Codes Decrypted'!$C$18,"")</f>
        <v/>
      </c>
      <c r="BD455" s="232" t="str">
        <f>IF($AY455="Yes",'8. Option Codes Decrypted'!$C$20,"")</f>
        <v/>
      </c>
      <c r="BE455" s="232" t="str">
        <f>IF($AY455="Yes",'8. Option Codes Decrypted'!$C$21,"")</f>
        <v/>
      </c>
      <c r="BF455" s="232" t="str">
        <f>IF($AY455="Yes",'8. Option Codes Decrypted'!$C$22,"")</f>
        <v/>
      </c>
      <c r="BG455" s="232" t="str">
        <f>IF($AY455="Yes",'8. Option Codes Decrypted'!$C$23,"")</f>
        <v/>
      </c>
    </row>
    <row r="456" spans="1:59" s="296" customFormat="1" ht="15.75" thickBot="1" x14ac:dyDescent="0.3">
      <c r="A456" s="232" t="str">
        <f t="shared" si="76"/>
        <v>A40</v>
      </c>
      <c r="B456" s="358" t="str">
        <f t="shared" si="73"/>
        <v/>
      </c>
      <c r="C456" s="358" t="str">
        <f t="shared" si="85"/>
        <v>F15-Height Level Sensors, FRONT - LEFT-14-18-ALL</v>
      </c>
      <c r="D456" s="358"/>
      <c r="E456" s="358" t="str">
        <f t="shared" si="74"/>
        <v/>
      </c>
      <c r="F456" s="296" t="s">
        <v>426</v>
      </c>
      <c r="G456" s="297">
        <v>44683</v>
      </c>
      <c r="H456" s="298"/>
      <c r="I456" s="298"/>
      <c r="J456" s="298" t="s">
        <v>427</v>
      </c>
      <c r="K456" s="298" t="s">
        <v>17</v>
      </c>
      <c r="L456" s="298" t="s">
        <v>1611</v>
      </c>
      <c r="M456" s="298" t="s">
        <v>430</v>
      </c>
      <c r="N456" s="298">
        <v>30</v>
      </c>
      <c r="O456" s="299" t="s">
        <v>284</v>
      </c>
      <c r="P456" s="299" t="s">
        <v>459</v>
      </c>
      <c r="Q456" s="299">
        <v>1</v>
      </c>
      <c r="R456" s="299" t="str">
        <f t="shared" si="75"/>
        <v>A40. Height Level Sensors, FRONT - LEFT</v>
      </c>
      <c r="S456" s="365" t="str">
        <f>HYPERLINK(VLOOKUP(O456,'3D. Pictures'!$B$3:$E$500,4,FALSE),"PIC")</f>
        <v>PIC</v>
      </c>
      <c r="T456" s="298">
        <v>3</v>
      </c>
      <c r="U456" s="298" t="s">
        <v>1612</v>
      </c>
      <c r="V456" s="298" t="s">
        <v>81</v>
      </c>
      <c r="W456" s="298"/>
      <c r="X456" s="298"/>
      <c r="Y456" s="298"/>
      <c r="Z456" s="298" t="s">
        <v>1613</v>
      </c>
      <c r="AA456" s="298" t="s">
        <v>1614</v>
      </c>
      <c r="AB456" s="298"/>
      <c r="AC456" s="213" t="s">
        <v>449</v>
      </c>
      <c r="AD456" s="298"/>
      <c r="AE456" s="298">
        <v>75</v>
      </c>
      <c r="AF456" s="300" t="s">
        <v>434</v>
      </c>
      <c r="AG456" s="301"/>
      <c r="AH456" s="302" t="s">
        <v>435</v>
      </c>
      <c r="AJ456" s="303"/>
      <c r="AK456" s="296" t="s">
        <v>1615</v>
      </c>
      <c r="AL456" s="296" t="s">
        <v>1616</v>
      </c>
      <c r="AS456" s="296" t="str">
        <f t="shared" si="86"/>
        <v>F15-Height Level Sensors, FRONT - LEFT-14-18-ALL</v>
      </c>
      <c r="AT456" s="296" t="s">
        <v>661</v>
      </c>
      <c r="AU456" s="296" t="str">
        <f t="shared" si="87"/>
        <v>Height Level Sensors, FRONT - LEFT</v>
      </c>
      <c r="AV456" s="296" t="s">
        <v>757</v>
      </c>
      <c r="AW456" s="296" t="s">
        <v>662</v>
      </c>
      <c r="AX456" s="298"/>
      <c r="AY456" s="298"/>
      <c r="AZ456" s="232" t="str">
        <f>IF($AX456="Yes",'8. Option Codes Decrypted'!$C$15,"")</f>
        <v/>
      </c>
      <c r="BA456" s="232" t="str">
        <f>IF($AX456="Yes",'8. Option Codes Decrypted'!$C$16,"")</f>
        <v/>
      </c>
      <c r="BB456" s="232" t="str">
        <f>IF($AX456="Yes",'8. Option Codes Decrypted'!$C$17,"")</f>
        <v/>
      </c>
      <c r="BC456" s="232" t="str">
        <f>IF($AX456="Yes",'8. Option Codes Decrypted'!$C$18,"")</f>
        <v/>
      </c>
      <c r="BD456" s="232" t="str">
        <f>IF($AY456="Yes",'8. Option Codes Decrypted'!$C$20,"")</f>
        <v/>
      </c>
      <c r="BE456" s="232" t="str">
        <f>IF($AY456="Yes",'8. Option Codes Decrypted'!$C$21,"")</f>
        <v/>
      </c>
      <c r="BF456" s="232" t="str">
        <f>IF($AY456="Yes",'8. Option Codes Decrypted'!$C$22,"")</f>
        <v/>
      </c>
      <c r="BG456" s="232" t="str">
        <f>IF($AY456="Yes",'8. Option Codes Decrypted'!$C$23,"")</f>
        <v/>
      </c>
    </row>
    <row r="457" spans="1:59" s="296" customFormat="1" ht="15.75" thickBot="1" x14ac:dyDescent="0.3">
      <c r="A457" s="232" t="str">
        <f t="shared" si="76"/>
        <v/>
      </c>
      <c r="B457" s="358" t="str">
        <f t="shared" ref="B457:B520" si="88">IF(AQ457&lt;&gt;"",AQ457,"")</f>
        <v/>
      </c>
      <c r="C457" s="358" t="str">
        <f t="shared" si="85"/>
        <v>F15-Height Level Sensors, FRONT - RIGHT-14-18-ALL</v>
      </c>
      <c r="D457" s="358"/>
      <c r="E457" s="358" t="str">
        <f t="shared" ref="E457:E520" si="89">IF(B457&lt;&gt;"",COUNTIF($B$9:$B$2175,B457),"")</f>
        <v/>
      </c>
      <c r="F457" s="296" t="s">
        <v>426</v>
      </c>
      <c r="G457" s="297">
        <v>44683</v>
      </c>
      <c r="H457" s="298"/>
      <c r="I457" s="298"/>
      <c r="J457" s="298" t="s">
        <v>427</v>
      </c>
      <c r="K457" s="298" t="s">
        <v>17</v>
      </c>
      <c r="L457" s="298" t="s">
        <v>1611</v>
      </c>
      <c r="M457" s="298" t="s">
        <v>430</v>
      </c>
      <c r="N457" s="298"/>
      <c r="O457" s="299"/>
      <c r="P457" s="299"/>
      <c r="Q457" s="299"/>
      <c r="R457" s="299" t="str">
        <f t="shared" si="75"/>
        <v>. Height Level Sensors, FRONT - RIGHT</v>
      </c>
      <c r="S457" s="299"/>
      <c r="T457" s="298"/>
      <c r="U457" s="298" t="s">
        <v>1617</v>
      </c>
      <c r="V457" s="298" t="s">
        <v>81</v>
      </c>
      <c r="W457" s="298"/>
      <c r="X457" s="298"/>
      <c r="Y457" s="298"/>
      <c r="Z457" s="298" t="s">
        <v>1618</v>
      </c>
      <c r="AA457" s="298" t="s">
        <v>1614</v>
      </c>
      <c r="AB457" s="298"/>
      <c r="AC457" s="213" t="s">
        <v>449</v>
      </c>
      <c r="AD457" s="298"/>
      <c r="AE457" s="298">
        <v>75</v>
      </c>
      <c r="AF457" s="300" t="s">
        <v>434</v>
      </c>
      <c r="AG457" s="301"/>
      <c r="AH457" s="302" t="s">
        <v>435</v>
      </c>
      <c r="AJ457" s="303"/>
      <c r="AK457" s="296" t="s">
        <v>1615</v>
      </c>
      <c r="AL457" s="296" t="s">
        <v>1616</v>
      </c>
      <c r="AS457" s="296" t="str">
        <f t="shared" si="86"/>
        <v>F15-Height Level Sensors, FRONT - RIGHT-14-18-ALL</v>
      </c>
      <c r="AT457" s="296" t="s">
        <v>661</v>
      </c>
      <c r="AU457" s="296" t="str">
        <f t="shared" si="87"/>
        <v>Height Level Sensors, FRONT - RIGHT</v>
      </c>
      <c r="AV457" s="296" t="s">
        <v>757</v>
      </c>
      <c r="AW457" s="296" t="s">
        <v>662</v>
      </c>
      <c r="AX457" s="298"/>
      <c r="AY457" s="298"/>
      <c r="AZ457" s="232" t="str">
        <f>IF($AX457="Yes",'8. Option Codes Decrypted'!$C$15,"")</f>
        <v/>
      </c>
      <c r="BA457" s="232" t="str">
        <f>IF($AX457="Yes",'8. Option Codes Decrypted'!$C$16,"")</f>
        <v/>
      </c>
      <c r="BB457" s="232" t="str">
        <f>IF($AX457="Yes",'8. Option Codes Decrypted'!$C$17,"")</f>
        <v/>
      </c>
      <c r="BC457" s="232" t="str">
        <f>IF($AX457="Yes",'8. Option Codes Decrypted'!$C$18,"")</f>
        <v/>
      </c>
      <c r="BD457" s="232" t="str">
        <f>IF($AY457="Yes",'8. Option Codes Decrypted'!$C$20,"")</f>
        <v/>
      </c>
      <c r="BE457" s="232" t="str">
        <f>IF($AY457="Yes",'8. Option Codes Decrypted'!$C$21,"")</f>
        <v/>
      </c>
      <c r="BF457" s="232" t="str">
        <f>IF($AY457="Yes",'8. Option Codes Decrypted'!$C$22,"")</f>
        <v/>
      </c>
      <c r="BG457" s="232" t="str">
        <f>IF($AY457="Yes",'8. Option Codes Decrypted'!$C$23,"")</f>
        <v/>
      </c>
    </row>
    <row r="458" spans="1:59" s="296" customFormat="1" ht="15.75" thickBot="1" x14ac:dyDescent="0.3">
      <c r="A458" s="232" t="str">
        <f t="shared" ref="A458:A521" si="90">IF(O458&lt;&gt;"",O458,"")</f>
        <v>A41</v>
      </c>
      <c r="B458" s="358" t="str">
        <f t="shared" si="88"/>
        <v/>
      </c>
      <c r="C458" s="358" t="str">
        <f t="shared" si="85"/>
        <v>F15-Height Level Sensors, REAR - LEFT-14-18-ALL</v>
      </c>
      <c r="D458" s="358"/>
      <c r="E458" s="358" t="str">
        <f t="shared" si="89"/>
        <v/>
      </c>
      <c r="F458" s="296" t="s">
        <v>426</v>
      </c>
      <c r="G458" s="297">
        <v>44683</v>
      </c>
      <c r="H458" s="298"/>
      <c r="I458" s="298"/>
      <c r="J458" s="298" t="s">
        <v>427</v>
      </c>
      <c r="K458" s="298" t="s">
        <v>17</v>
      </c>
      <c r="L458" s="298" t="s">
        <v>1611</v>
      </c>
      <c r="M458" s="298" t="s">
        <v>430</v>
      </c>
      <c r="N458" s="298">
        <v>31</v>
      </c>
      <c r="O458" s="299" t="s">
        <v>285</v>
      </c>
      <c r="P458" s="299" t="s">
        <v>459</v>
      </c>
      <c r="Q458" s="299">
        <v>1</v>
      </c>
      <c r="R458" s="299" t="str">
        <f t="shared" si="75"/>
        <v>A41. Height Level Sensors, REAR - LEFT</v>
      </c>
      <c r="S458" s="365" t="str">
        <f>HYPERLINK(VLOOKUP(O458,'3D. Pictures'!$B$3:$E$500,4,FALSE),"PIC")</f>
        <v>PIC</v>
      </c>
      <c r="T458" s="298">
        <v>4</v>
      </c>
      <c r="U458" s="298" t="s">
        <v>1619</v>
      </c>
      <c r="V458" s="298" t="s">
        <v>81</v>
      </c>
      <c r="W458" s="298"/>
      <c r="X458" s="298"/>
      <c r="Y458" s="298"/>
      <c r="Z458" s="298" t="s">
        <v>1620</v>
      </c>
      <c r="AA458" s="298" t="s">
        <v>1614</v>
      </c>
      <c r="AB458" s="298"/>
      <c r="AC458" s="213" t="s">
        <v>449</v>
      </c>
      <c r="AD458" s="298"/>
      <c r="AE458" s="298">
        <v>75</v>
      </c>
      <c r="AF458" s="300" t="s">
        <v>434</v>
      </c>
      <c r="AG458" s="301"/>
      <c r="AH458" s="302" t="s">
        <v>435</v>
      </c>
      <c r="AJ458" s="303"/>
      <c r="AK458" s="296" t="s">
        <v>1615</v>
      </c>
      <c r="AL458" s="296" t="s">
        <v>1616</v>
      </c>
      <c r="AS458" s="296" t="str">
        <f t="shared" si="86"/>
        <v>F15-Height Level Sensors, REAR - LEFT-14-18-ALL</v>
      </c>
      <c r="AT458" s="296" t="s">
        <v>661</v>
      </c>
      <c r="AU458" s="296" t="str">
        <f t="shared" si="87"/>
        <v>Height Level Sensors, REAR - LEFT</v>
      </c>
      <c r="AV458" s="296" t="s">
        <v>757</v>
      </c>
      <c r="AW458" s="296" t="s">
        <v>662</v>
      </c>
      <c r="AX458" s="298"/>
      <c r="AY458" s="298"/>
      <c r="AZ458" s="232" t="str">
        <f>IF($AX458="Yes",'8. Option Codes Decrypted'!$C$15,"")</f>
        <v/>
      </c>
      <c r="BA458" s="232" t="str">
        <f>IF($AX458="Yes",'8. Option Codes Decrypted'!$C$16,"")</f>
        <v/>
      </c>
      <c r="BB458" s="232" t="str">
        <f>IF($AX458="Yes",'8. Option Codes Decrypted'!$C$17,"")</f>
        <v/>
      </c>
      <c r="BC458" s="232" t="str">
        <f>IF($AX458="Yes",'8. Option Codes Decrypted'!$C$18,"")</f>
        <v/>
      </c>
      <c r="BD458" s="232" t="str">
        <f>IF($AY458="Yes",'8. Option Codes Decrypted'!$C$20,"")</f>
        <v/>
      </c>
      <c r="BE458" s="232" t="str">
        <f>IF($AY458="Yes",'8. Option Codes Decrypted'!$C$21,"")</f>
        <v/>
      </c>
      <c r="BF458" s="232" t="str">
        <f>IF($AY458="Yes",'8. Option Codes Decrypted'!$C$22,"")</f>
        <v/>
      </c>
      <c r="BG458" s="232" t="str">
        <f>IF($AY458="Yes",'8. Option Codes Decrypted'!$C$23,"")</f>
        <v/>
      </c>
    </row>
    <row r="459" spans="1:59" s="296" customFormat="1" ht="15.75" thickBot="1" x14ac:dyDescent="0.3">
      <c r="A459" s="232" t="str">
        <f t="shared" si="90"/>
        <v/>
      </c>
      <c r="B459" s="358" t="str">
        <f t="shared" si="88"/>
        <v/>
      </c>
      <c r="C459" s="358" t="str">
        <f t="shared" si="85"/>
        <v>F15-Height Level Sensors, REAR - RIGHT-14-18-ALL</v>
      </c>
      <c r="D459" s="358"/>
      <c r="E459" s="358" t="str">
        <f t="shared" si="89"/>
        <v/>
      </c>
      <c r="F459" s="296" t="s">
        <v>426</v>
      </c>
      <c r="G459" s="297">
        <v>44683</v>
      </c>
      <c r="H459" s="298"/>
      <c r="I459" s="298"/>
      <c r="J459" s="298" t="s">
        <v>427</v>
      </c>
      <c r="K459" s="298" t="s">
        <v>17</v>
      </c>
      <c r="L459" s="298" t="s">
        <v>1611</v>
      </c>
      <c r="M459" s="298" t="s">
        <v>430</v>
      </c>
      <c r="N459" s="298"/>
      <c r="O459" s="299"/>
      <c r="P459" s="299"/>
      <c r="Q459" s="299"/>
      <c r="R459" s="299" t="str">
        <f t="shared" ref="R459:R522" si="91">CONCATENATE(O459,". ",Z459)</f>
        <v>. Height Level Sensors, REAR - RIGHT</v>
      </c>
      <c r="S459" s="299"/>
      <c r="T459" s="298"/>
      <c r="U459" s="298" t="s">
        <v>1617</v>
      </c>
      <c r="V459" s="298" t="s">
        <v>81</v>
      </c>
      <c r="W459" s="298"/>
      <c r="X459" s="298"/>
      <c r="Y459" s="298"/>
      <c r="Z459" s="298" t="s">
        <v>1621</v>
      </c>
      <c r="AA459" s="298" t="s">
        <v>1614</v>
      </c>
      <c r="AB459" s="298"/>
      <c r="AC459" s="213" t="s">
        <v>449</v>
      </c>
      <c r="AD459" s="298"/>
      <c r="AE459" s="298">
        <v>75</v>
      </c>
      <c r="AF459" s="300" t="s">
        <v>434</v>
      </c>
      <c r="AG459" s="301"/>
      <c r="AH459" s="302" t="s">
        <v>435</v>
      </c>
      <c r="AJ459" s="303"/>
      <c r="AK459" s="296" t="s">
        <v>1615</v>
      </c>
      <c r="AL459" s="296" t="s">
        <v>1616</v>
      </c>
      <c r="AS459" s="296" t="str">
        <f t="shared" si="86"/>
        <v>F15-Height Level Sensors, REAR - RIGHT-14-18-ALL</v>
      </c>
      <c r="AT459" s="296" t="s">
        <v>661</v>
      </c>
      <c r="AU459" s="296" t="str">
        <f t="shared" si="87"/>
        <v>Height Level Sensors, REAR - RIGHT</v>
      </c>
      <c r="AV459" s="296" t="s">
        <v>757</v>
      </c>
      <c r="AW459" s="296" t="s">
        <v>662</v>
      </c>
      <c r="AX459" s="298"/>
      <c r="AY459" s="298"/>
      <c r="AZ459" s="232" t="str">
        <f>IF($AX459="Yes",'8. Option Codes Decrypted'!$C$15,"")</f>
        <v/>
      </c>
      <c r="BA459" s="232" t="str">
        <f>IF($AX459="Yes",'8. Option Codes Decrypted'!$C$16,"")</f>
        <v/>
      </c>
      <c r="BB459" s="232" t="str">
        <f>IF($AX459="Yes",'8. Option Codes Decrypted'!$C$17,"")</f>
        <v/>
      </c>
      <c r="BC459" s="232" t="str">
        <f>IF($AX459="Yes",'8. Option Codes Decrypted'!$C$18,"")</f>
        <v/>
      </c>
      <c r="BD459" s="232" t="str">
        <f>IF($AY459="Yes",'8. Option Codes Decrypted'!$C$20,"")</f>
        <v/>
      </c>
      <c r="BE459" s="232" t="str">
        <f>IF($AY459="Yes",'8. Option Codes Decrypted'!$C$21,"")</f>
        <v/>
      </c>
      <c r="BF459" s="232" t="str">
        <f>IF($AY459="Yes",'8. Option Codes Decrypted'!$C$22,"")</f>
        <v/>
      </c>
      <c r="BG459" s="232" t="str">
        <f>IF($AY459="Yes",'8. Option Codes Decrypted'!$C$23,"")</f>
        <v/>
      </c>
    </row>
    <row r="460" spans="1:59" s="296" customFormat="1" ht="15.75" thickBot="1" x14ac:dyDescent="0.3">
      <c r="A460" s="232" t="str">
        <f t="shared" si="90"/>
        <v>A17</v>
      </c>
      <c r="B460" s="358" t="str">
        <f t="shared" si="88"/>
        <v/>
      </c>
      <c r="C460" s="358" t="str">
        <f t="shared" si="85"/>
        <v>F15-Muffler Tips SET2-14-18-3.0T N55</v>
      </c>
      <c r="D460" s="358"/>
      <c r="E460" s="358" t="str">
        <f t="shared" si="89"/>
        <v/>
      </c>
      <c r="F460" s="296" t="s">
        <v>426</v>
      </c>
      <c r="G460" s="297">
        <v>44683</v>
      </c>
      <c r="H460" s="298"/>
      <c r="I460" s="298"/>
      <c r="J460" s="298" t="s">
        <v>427</v>
      </c>
      <c r="K460" s="299" t="s">
        <v>17</v>
      </c>
      <c r="L460" s="298" t="s">
        <v>1622</v>
      </c>
      <c r="M460" s="298" t="s">
        <v>430</v>
      </c>
      <c r="N460" s="298">
        <v>7</v>
      </c>
      <c r="O460" s="299" t="s">
        <v>261</v>
      </c>
      <c r="P460" s="299" t="s">
        <v>716</v>
      </c>
      <c r="Q460" s="299">
        <v>1</v>
      </c>
      <c r="R460" s="299" t="str">
        <f t="shared" si="91"/>
        <v>A17. Muffler Tips SET2</v>
      </c>
      <c r="S460" s="365" t="str">
        <f>HYPERLINK(VLOOKUP(O460,'3D. Pictures'!$B$3:$E$500,4,FALSE),"PIC")</f>
        <v>PIC</v>
      </c>
      <c r="T460" s="298">
        <v>4</v>
      </c>
      <c r="U460" s="298">
        <v>7633311</v>
      </c>
      <c r="V460" s="298" t="s">
        <v>80</v>
      </c>
      <c r="W460" s="298"/>
      <c r="X460" s="298"/>
      <c r="Y460" s="298"/>
      <c r="Z460" s="298" t="s">
        <v>1623</v>
      </c>
      <c r="AA460" s="298" t="s">
        <v>463</v>
      </c>
      <c r="AB460" s="298"/>
      <c r="AC460" s="213" t="s">
        <v>439</v>
      </c>
      <c r="AD460" s="298"/>
      <c r="AE460" s="298">
        <v>98</v>
      </c>
      <c r="AF460" s="300" t="s">
        <v>434</v>
      </c>
      <c r="AG460" s="301"/>
      <c r="AH460" s="302" t="s">
        <v>435</v>
      </c>
      <c r="AJ460" s="303"/>
      <c r="AK460" s="296" t="s">
        <v>1624</v>
      </c>
      <c r="AS460" s="296" t="str">
        <f t="shared" si="86"/>
        <v>F15-Muffler Tips SET2-14-18-3.0T N55</v>
      </c>
      <c r="AT460" s="296" t="s">
        <v>661</v>
      </c>
      <c r="AU460" s="296" t="str">
        <f t="shared" si="87"/>
        <v>Muffler Tips SET2</v>
      </c>
      <c r="AV460" s="296" t="s">
        <v>757</v>
      </c>
      <c r="AW460" s="296" t="s">
        <v>1625</v>
      </c>
      <c r="AX460" s="298"/>
      <c r="AY460" s="298"/>
      <c r="AZ460" s="232" t="str">
        <f>IF($AX460="Yes",'8. Option Codes Decrypted'!$C$15,"")</f>
        <v/>
      </c>
      <c r="BA460" s="232" t="str">
        <f>IF($AX460="Yes",'8. Option Codes Decrypted'!$C$16,"")</f>
        <v/>
      </c>
      <c r="BB460" s="232" t="str">
        <f>IF($AX460="Yes",'8. Option Codes Decrypted'!$C$17,"")</f>
        <v/>
      </c>
      <c r="BC460" s="232" t="str">
        <f>IF($AX460="Yes",'8. Option Codes Decrypted'!$C$18,"")</f>
        <v/>
      </c>
      <c r="BD460" s="232" t="str">
        <f>IF($AY460="Yes",'8. Option Codes Decrypted'!$C$20,"")</f>
        <v/>
      </c>
      <c r="BE460" s="232" t="str">
        <f>IF($AY460="Yes",'8. Option Codes Decrypted'!$C$21,"")</f>
        <v/>
      </c>
      <c r="BF460" s="232" t="str">
        <f>IF($AY460="Yes",'8. Option Codes Decrypted'!$C$22,"")</f>
        <v/>
      </c>
      <c r="BG460" s="232" t="str">
        <f>IF($AY460="Yes",'8. Option Codes Decrypted'!$C$23,"")</f>
        <v/>
      </c>
    </row>
    <row r="461" spans="1:59" s="232" customFormat="1" x14ac:dyDescent="0.25">
      <c r="A461" s="232" t="str">
        <f t="shared" si="90"/>
        <v/>
      </c>
      <c r="B461" s="358" t="str">
        <f t="shared" si="88"/>
        <v>527-61348</v>
      </c>
      <c r="C461" s="358" t="s">
        <v>1626</v>
      </c>
      <c r="D461" s="358"/>
      <c r="E461" s="358">
        <f t="shared" si="89"/>
        <v>2</v>
      </c>
      <c r="F461" s="232" t="s">
        <v>426</v>
      </c>
      <c r="G461" s="241">
        <v>45247</v>
      </c>
      <c r="H461" s="250"/>
      <c r="I461" s="250"/>
      <c r="J461" s="250" t="s">
        <v>427</v>
      </c>
      <c r="K461" s="251" t="s">
        <v>17</v>
      </c>
      <c r="L461" s="250" t="s">
        <v>1627</v>
      </c>
      <c r="M461" s="243" t="s">
        <v>444</v>
      </c>
      <c r="N461" s="243"/>
      <c r="O461" s="285"/>
      <c r="P461" s="285"/>
      <c r="Q461" s="285"/>
      <c r="R461" s="286" t="str">
        <f t="shared" si="91"/>
        <v>. Shock Struts, FRONT SET2</v>
      </c>
      <c r="S461" s="286"/>
      <c r="T461" s="243"/>
      <c r="U461" s="244"/>
      <c r="V461" s="243"/>
      <c r="W461" s="244"/>
      <c r="X461" s="244"/>
      <c r="Y461" s="244"/>
      <c r="Z461" s="250" t="s">
        <v>1628</v>
      </c>
      <c r="AA461" s="250" t="s">
        <v>1129</v>
      </c>
      <c r="AB461" s="250"/>
      <c r="AC461" s="244" t="s">
        <v>439</v>
      </c>
      <c r="AD461" s="250"/>
      <c r="AE461" s="250">
        <v>800</v>
      </c>
      <c r="AF461" s="252" t="s">
        <v>434</v>
      </c>
      <c r="AG461" s="247"/>
      <c r="AH461" s="248" t="s">
        <v>1629</v>
      </c>
      <c r="AJ461" s="249"/>
      <c r="AK461" s="252" t="s">
        <v>786</v>
      </c>
      <c r="AL461" s="232" t="s">
        <v>1630</v>
      </c>
      <c r="AN461" s="233" t="s">
        <v>1631</v>
      </c>
      <c r="AO461" s="232" t="s">
        <v>411</v>
      </c>
      <c r="AP461" s="232">
        <v>61348</v>
      </c>
      <c r="AQ461" s="232" t="str">
        <f t="shared" ref="AQ461:AQ472" si="92">CONCATENATE(AN461,AO461,AP461)</f>
        <v>527-61348</v>
      </c>
      <c r="AR461" s="232" t="s">
        <v>1632</v>
      </c>
      <c r="AX461" s="244"/>
      <c r="AY461" s="244"/>
      <c r="AZ461" s="232" t="str">
        <f>IF($AX461="Yes",'8. Option Codes Decrypted'!$C$15,"")</f>
        <v/>
      </c>
      <c r="BA461" s="232" t="str">
        <f>IF($AX461="Yes",'8. Option Codes Decrypted'!$C$16,"")</f>
        <v/>
      </c>
      <c r="BB461" s="232" t="str">
        <f>IF($AX461="Yes",'8. Option Codes Decrypted'!$C$17,"")</f>
        <v/>
      </c>
      <c r="BC461" s="232" t="str">
        <f>IF($AX461="Yes",'8. Option Codes Decrypted'!$C$18,"")</f>
        <v/>
      </c>
      <c r="BD461" s="232" t="str">
        <f>IF($AY461="Yes",'8. Option Codes Decrypted'!$C$20,"")</f>
        <v/>
      </c>
      <c r="BE461" s="232" t="str">
        <f>IF($AY461="Yes",'8. Option Codes Decrypted'!$C$21,"")</f>
        <v/>
      </c>
      <c r="BF461" s="232" t="str">
        <f>IF($AY461="Yes",'8. Option Codes Decrypted'!$C$22,"")</f>
        <v/>
      </c>
      <c r="BG461" s="232" t="str">
        <f>IF($AY461="Yes",'8. Option Codes Decrypted'!$C$23,"")</f>
        <v/>
      </c>
    </row>
    <row r="462" spans="1:59" s="232" customFormat="1" x14ac:dyDescent="0.25">
      <c r="A462" s="232" t="str">
        <f t="shared" si="90"/>
        <v/>
      </c>
      <c r="B462" s="358" t="str">
        <f t="shared" si="88"/>
        <v>527-61348</v>
      </c>
      <c r="C462" s="358" t="s">
        <v>1633</v>
      </c>
      <c r="D462" s="358"/>
      <c r="E462" s="358">
        <f t="shared" si="89"/>
        <v>2</v>
      </c>
      <c r="F462" s="232" t="s">
        <v>426</v>
      </c>
      <c r="G462" s="241">
        <v>45247</v>
      </c>
      <c r="H462" s="250"/>
      <c r="I462" s="250"/>
      <c r="J462" s="250" t="s">
        <v>427</v>
      </c>
      <c r="K462" s="251" t="s">
        <v>17</v>
      </c>
      <c r="L462" s="250" t="s">
        <v>1627</v>
      </c>
      <c r="M462" s="243" t="s">
        <v>444</v>
      </c>
      <c r="N462" s="243"/>
      <c r="O462" s="285"/>
      <c r="P462" s="285"/>
      <c r="Q462" s="285"/>
      <c r="R462" s="286" t="str">
        <f t="shared" si="91"/>
        <v>. Shock Struts, FRONT - LEFT</v>
      </c>
      <c r="S462" s="286"/>
      <c r="T462" s="243"/>
      <c r="U462" s="244"/>
      <c r="V462" s="243"/>
      <c r="W462" s="244"/>
      <c r="X462" s="244"/>
      <c r="Y462" s="244"/>
      <c r="Z462" s="250" t="s">
        <v>1634</v>
      </c>
      <c r="AA462" s="250"/>
      <c r="AB462" s="250"/>
      <c r="AC462" s="244" t="s">
        <v>449</v>
      </c>
      <c r="AD462" s="250"/>
      <c r="AE462" s="250">
        <v>450</v>
      </c>
      <c r="AF462" s="252" t="s">
        <v>434</v>
      </c>
      <c r="AG462" s="247"/>
      <c r="AH462" s="248" t="s">
        <v>1629</v>
      </c>
      <c r="AJ462" s="249"/>
      <c r="AK462" s="252" t="s">
        <v>786</v>
      </c>
      <c r="AL462" s="232" t="s">
        <v>1630</v>
      </c>
      <c r="AN462" s="233" t="s">
        <v>1631</v>
      </c>
      <c r="AO462" s="232" t="s">
        <v>411</v>
      </c>
      <c r="AP462" s="232">
        <v>61348</v>
      </c>
      <c r="AQ462" s="232" t="str">
        <f t="shared" si="92"/>
        <v>527-61348</v>
      </c>
      <c r="AR462" s="232" t="s">
        <v>1635</v>
      </c>
      <c r="AX462" s="244"/>
      <c r="AY462" s="244"/>
      <c r="AZ462" s="232" t="str">
        <f>IF($AX462="Yes",'8. Option Codes Decrypted'!$C$15,"")</f>
        <v/>
      </c>
      <c r="BA462" s="232" t="str">
        <f>IF($AX462="Yes",'8. Option Codes Decrypted'!$C$16,"")</f>
        <v/>
      </c>
      <c r="BB462" s="232" t="str">
        <f>IF($AX462="Yes",'8. Option Codes Decrypted'!$C$17,"")</f>
        <v/>
      </c>
      <c r="BC462" s="232" t="str">
        <f>IF($AX462="Yes",'8. Option Codes Decrypted'!$C$18,"")</f>
        <v/>
      </c>
      <c r="BD462" s="232" t="str">
        <f>IF($AY462="Yes",'8. Option Codes Decrypted'!$C$20,"")</f>
        <v/>
      </c>
      <c r="BE462" s="232" t="str">
        <f>IF($AY462="Yes",'8. Option Codes Decrypted'!$C$21,"")</f>
        <v/>
      </c>
      <c r="BF462" s="232" t="str">
        <f>IF($AY462="Yes",'8. Option Codes Decrypted'!$C$22,"")</f>
        <v/>
      </c>
      <c r="BG462" s="232" t="str">
        <f>IF($AY462="Yes",'8. Option Codes Decrypted'!$C$23,"")</f>
        <v/>
      </c>
    </row>
    <row r="463" spans="1:59" s="232" customFormat="1" x14ac:dyDescent="0.25">
      <c r="A463" s="232" t="str">
        <f t="shared" si="90"/>
        <v/>
      </c>
      <c r="B463" s="358" t="str">
        <f t="shared" si="88"/>
        <v>527-61347</v>
      </c>
      <c r="C463" s="358" t="str">
        <f>IF(AS463&lt;&gt;"",AS463,"")</f>
        <v/>
      </c>
      <c r="D463" s="358"/>
      <c r="E463" s="358">
        <f t="shared" si="89"/>
        <v>1</v>
      </c>
      <c r="F463" s="232" t="s">
        <v>426</v>
      </c>
      <c r="G463" s="241">
        <v>45247</v>
      </c>
      <c r="H463" s="250"/>
      <c r="I463" s="250"/>
      <c r="J463" s="250" t="s">
        <v>427</v>
      </c>
      <c r="K463" s="251" t="s">
        <v>17</v>
      </c>
      <c r="L463" s="250" t="s">
        <v>1627</v>
      </c>
      <c r="M463" s="243" t="s">
        <v>444</v>
      </c>
      <c r="N463" s="243"/>
      <c r="O463" s="285"/>
      <c r="P463" s="285"/>
      <c r="Q463" s="285"/>
      <c r="R463" s="286" t="str">
        <f t="shared" si="91"/>
        <v>. Shock Struts, FRONT - RIGHT</v>
      </c>
      <c r="S463" s="286"/>
      <c r="T463" s="243"/>
      <c r="U463" s="244"/>
      <c r="V463" s="243"/>
      <c r="W463" s="244"/>
      <c r="X463" s="244"/>
      <c r="Y463" s="244"/>
      <c r="Z463" s="250" t="s">
        <v>1636</v>
      </c>
      <c r="AA463" s="250"/>
      <c r="AB463" s="250"/>
      <c r="AC463" s="244" t="s">
        <v>449</v>
      </c>
      <c r="AD463" s="250"/>
      <c r="AE463" s="250">
        <v>450</v>
      </c>
      <c r="AF463" s="252" t="s">
        <v>434</v>
      </c>
      <c r="AG463" s="247"/>
      <c r="AH463" s="248" t="s">
        <v>1629</v>
      </c>
      <c r="AJ463" s="249"/>
      <c r="AK463" s="252" t="s">
        <v>786</v>
      </c>
      <c r="AL463" s="232" t="s">
        <v>1630</v>
      </c>
      <c r="AN463" s="233" t="s">
        <v>1631</v>
      </c>
      <c r="AO463" s="232" t="s">
        <v>411</v>
      </c>
      <c r="AP463" s="232">
        <v>61347</v>
      </c>
      <c r="AQ463" s="232" t="str">
        <f t="shared" si="92"/>
        <v>527-61347</v>
      </c>
      <c r="AR463" s="232" t="s">
        <v>1637</v>
      </c>
      <c r="AX463" s="244"/>
      <c r="AY463" s="244"/>
      <c r="AZ463" s="232" t="str">
        <f>IF($AX463="Yes",'8. Option Codes Decrypted'!$C$15,"")</f>
        <v/>
      </c>
      <c r="BA463" s="232" t="str">
        <f>IF($AX463="Yes",'8. Option Codes Decrypted'!$C$16,"")</f>
        <v/>
      </c>
      <c r="BB463" s="232" t="str">
        <f>IF($AX463="Yes",'8. Option Codes Decrypted'!$C$17,"")</f>
        <v/>
      </c>
      <c r="BC463" s="232" t="str">
        <f>IF($AX463="Yes",'8. Option Codes Decrypted'!$C$18,"")</f>
        <v/>
      </c>
      <c r="BD463" s="232" t="str">
        <f>IF($AY463="Yes",'8. Option Codes Decrypted'!$C$20,"")</f>
        <v/>
      </c>
      <c r="BE463" s="232" t="str">
        <f>IF($AY463="Yes",'8. Option Codes Decrypted'!$C$21,"")</f>
        <v/>
      </c>
      <c r="BF463" s="232" t="str">
        <f>IF($AY463="Yes",'8. Option Codes Decrypted'!$C$22,"")</f>
        <v/>
      </c>
      <c r="BG463" s="232" t="str">
        <f>IF($AY463="Yes",'8. Option Codes Decrypted'!$C$23,"")</f>
        <v/>
      </c>
    </row>
    <row r="464" spans="1:59" s="232" customFormat="1" x14ac:dyDescent="0.25">
      <c r="A464" s="232" t="str">
        <f t="shared" si="90"/>
        <v/>
      </c>
      <c r="B464" s="358" t="str">
        <f t="shared" si="88"/>
        <v>527-61352</v>
      </c>
      <c r="C464" s="358" t="s">
        <v>1638</v>
      </c>
      <c r="D464" s="358"/>
      <c r="E464" s="358">
        <f t="shared" si="89"/>
        <v>2</v>
      </c>
      <c r="F464" s="232" t="s">
        <v>426</v>
      </c>
      <c r="G464" s="241">
        <v>45247</v>
      </c>
      <c r="H464" s="250"/>
      <c r="I464" s="250"/>
      <c r="J464" s="250" t="s">
        <v>427</v>
      </c>
      <c r="K464" s="251" t="s">
        <v>17</v>
      </c>
      <c r="L464" s="250" t="s">
        <v>1627</v>
      </c>
      <c r="M464" s="243" t="s">
        <v>444</v>
      </c>
      <c r="N464" s="243"/>
      <c r="O464" s="285"/>
      <c r="P464" s="285"/>
      <c r="Q464" s="285"/>
      <c r="R464" s="286" t="str">
        <f t="shared" si="91"/>
        <v>. Shock Struts, FRONT SET2</v>
      </c>
      <c r="S464" s="286"/>
      <c r="T464" s="243"/>
      <c r="U464" s="244"/>
      <c r="V464" s="243"/>
      <c r="W464" s="244"/>
      <c r="X464" s="244"/>
      <c r="Y464" s="244"/>
      <c r="Z464" s="250" t="s">
        <v>1628</v>
      </c>
      <c r="AA464" s="250" t="s">
        <v>1129</v>
      </c>
      <c r="AB464" s="250"/>
      <c r="AC464" s="244" t="s">
        <v>439</v>
      </c>
      <c r="AD464" s="250"/>
      <c r="AE464" s="250">
        <v>750</v>
      </c>
      <c r="AF464" s="252" t="s">
        <v>434</v>
      </c>
      <c r="AG464" s="247"/>
      <c r="AH464" s="248" t="s">
        <v>1629</v>
      </c>
      <c r="AJ464" s="249"/>
      <c r="AK464" s="252" t="s">
        <v>786</v>
      </c>
      <c r="AL464" s="232" t="s">
        <v>1630</v>
      </c>
      <c r="AN464" s="233" t="s">
        <v>1631</v>
      </c>
      <c r="AO464" s="232" t="s">
        <v>411</v>
      </c>
      <c r="AP464" s="232">
        <v>61352</v>
      </c>
      <c r="AQ464" s="232" t="str">
        <f t="shared" si="92"/>
        <v>527-61352</v>
      </c>
      <c r="AR464" s="232" t="s">
        <v>1639</v>
      </c>
      <c r="AX464" s="244"/>
      <c r="AY464" s="244"/>
      <c r="AZ464" s="232" t="str">
        <f>IF($AX464="Yes",'8. Option Codes Decrypted'!$C$15,"")</f>
        <v/>
      </c>
      <c r="BA464" s="232" t="str">
        <f>IF($AX464="Yes",'8. Option Codes Decrypted'!$C$16,"")</f>
        <v/>
      </c>
      <c r="BB464" s="232" t="str">
        <f>IF($AX464="Yes",'8. Option Codes Decrypted'!$C$17,"")</f>
        <v/>
      </c>
      <c r="BC464" s="232" t="str">
        <f>IF($AX464="Yes",'8. Option Codes Decrypted'!$C$18,"")</f>
        <v/>
      </c>
      <c r="BD464" s="232" t="str">
        <f>IF($AY464="Yes",'8. Option Codes Decrypted'!$C$20,"")</f>
        <v/>
      </c>
      <c r="BE464" s="232" t="str">
        <f>IF($AY464="Yes",'8. Option Codes Decrypted'!$C$21,"")</f>
        <v/>
      </c>
      <c r="BF464" s="232" t="str">
        <f>IF($AY464="Yes",'8. Option Codes Decrypted'!$C$22,"")</f>
        <v/>
      </c>
      <c r="BG464" s="232" t="str">
        <f>IF($AY464="Yes",'8. Option Codes Decrypted'!$C$23,"")</f>
        <v/>
      </c>
    </row>
    <row r="465" spans="1:59" s="232" customFormat="1" x14ac:dyDescent="0.25">
      <c r="A465" s="232" t="str">
        <f t="shared" si="90"/>
        <v/>
      </c>
      <c r="B465" s="358" t="str">
        <f t="shared" si="88"/>
        <v>527-61352</v>
      </c>
      <c r="C465" s="358" t="s">
        <v>1640</v>
      </c>
      <c r="D465" s="358"/>
      <c r="E465" s="358">
        <f t="shared" si="89"/>
        <v>2</v>
      </c>
      <c r="F465" s="232" t="s">
        <v>426</v>
      </c>
      <c r="G465" s="241">
        <v>45247</v>
      </c>
      <c r="H465" s="250"/>
      <c r="I465" s="250"/>
      <c r="J465" s="250" t="s">
        <v>427</v>
      </c>
      <c r="K465" s="251" t="s">
        <v>17</v>
      </c>
      <c r="L465" s="250" t="s">
        <v>1627</v>
      </c>
      <c r="M465" s="243" t="s">
        <v>444</v>
      </c>
      <c r="N465" s="243"/>
      <c r="O465" s="285"/>
      <c r="P465" s="285"/>
      <c r="Q465" s="285"/>
      <c r="R465" s="286" t="str">
        <f t="shared" si="91"/>
        <v>. Shock Struts, FRONT - LEFT</v>
      </c>
      <c r="S465" s="286"/>
      <c r="T465" s="243"/>
      <c r="U465" s="244"/>
      <c r="V465" s="243"/>
      <c r="W465" s="244"/>
      <c r="X465" s="244"/>
      <c r="Y465" s="244"/>
      <c r="Z465" s="250" t="s">
        <v>1634</v>
      </c>
      <c r="AA465" s="250"/>
      <c r="AB465" s="250"/>
      <c r="AC465" s="244" t="s">
        <v>449</v>
      </c>
      <c r="AD465" s="250"/>
      <c r="AE465" s="250">
        <v>400</v>
      </c>
      <c r="AF465" s="252" t="s">
        <v>434</v>
      </c>
      <c r="AG465" s="247"/>
      <c r="AH465" s="248" t="s">
        <v>1629</v>
      </c>
      <c r="AJ465" s="249"/>
      <c r="AK465" s="252" t="s">
        <v>786</v>
      </c>
      <c r="AL465" s="232" t="s">
        <v>1630</v>
      </c>
      <c r="AN465" s="233" t="s">
        <v>1631</v>
      </c>
      <c r="AO465" s="232" t="s">
        <v>411</v>
      </c>
      <c r="AP465" s="232">
        <v>61352</v>
      </c>
      <c r="AQ465" s="232" t="str">
        <f t="shared" si="92"/>
        <v>527-61352</v>
      </c>
      <c r="AR465" s="232" t="s">
        <v>1641</v>
      </c>
      <c r="AX465" s="244"/>
      <c r="AY465" s="244"/>
      <c r="AZ465" s="232" t="str">
        <f>IF($AX465="Yes",'8. Option Codes Decrypted'!$C$15,"")</f>
        <v/>
      </c>
      <c r="BA465" s="232" t="str">
        <f>IF($AX465="Yes",'8. Option Codes Decrypted'!$C$16,"")</f>
        <v/>
      </c>
      <c r="BB465" s="232" t="str">
        <f>IF($AX465="Yes",'8. Option Codes Decrypted'!$C$17,"")</f>
        <v/>
      </c>
      <c r="BC465" s="232" t="str">
        <f>IF($AX465="Yes",'8. Option Codes Decrypted'!$C$18,"")</f>
        <v/>
      </c>
      <c r="BD465" s="232" t="str">
        <f>IF($AY465="Yes",'8. Option Codes Decrypted'!$C$20,"")</f>
        <v/>
      </c>
      <c r="BE465" s="232" t="str">
        <f>IF($AY465="Yes",'8. Option Codes Decrypted'!$C$21,"")</f>
        <v/>
      </c>
      <c r="BF465" s="232" t="str">
        <f>IF($AY465="Yes",'8. Option Codes Decrypted'!$C$22,"")</f>
        <v/>
      </c>
      <c r="BG465" s="232" t="str">
        <f>IF($AY465="Yes",'8. Option Codes Decrypted'!$C$23,"")</f>
        <v/>
      </c>
    </row>
    <row r="466" spans="1:59" s="232" customFormat="1" x14ac:dyDescent="0.25">
      <c r="A466" s="232" t="str">
        <f t="shared" si="90"/>
        <v/>
      </c>
      <c r="B466" s="358" t="str">
        <f t="shared" si="88"/>
        <v>527-61351</v>
      </c>
      <c r="C466" s="358" t="str">
        <f>IF(AS466&lt;&gt;"",AS466,"")</f>
        <v/>
      </c>
      <c r="D466" s="358"/>
      <c r="E466" s="358">
        <f t="shared" si="89"/>
        <v>1</v>
      </c>
      <c r="F466" s="232" t="s">
        <v>426</v>
      </c>
      <c r="G466" s="241">
        <v>45247</v>
      </c>
      <c r="H466" s="250"/>
      <c r="I466" s="250"/>
      <c r="J466" s="250" t="s">
        <v>427</v>
      </c>
      <c r="K466" s="251" t="s">
        <v>17</v>
      </c>
      <c r="L466" s="250" t="s">
        <v>1627</v>
      </c>
      <c r="M466" s="243" t="s">
        <v>444</v>
      </c>
      <c r="N466" s="243"/>
      <c r="O466" s="285"/>
      <c r="P466" s="285"/>
      <c r="Q466" s="285"/>
      <c r="R466" s="286" t="str">
        <f t="shared" si="91"/>
        <v>. Shock Struts, FRONT - RIGHT</v>
      </c>
      <c r="S466" s="286"/>
      <c r="T466" s="243"/>
      <c r="U466" s="244"/>
      <c r="V466" s="243"/>
      <c r="W466" s="244"/>
      <c r="X466" s="244"/>
      <c r="Y466" s="244"/>
      <c r="Z466" s="250" t="s">
        <v>1636</v>
      </c>
      <c r="AA466" s="250"/>
      <c r="AB466" s="250"/>
      <c r="AC466" s="244" t="s">
        <v>449</v>
      </c>
      <c r="AD466" s="250"/>
      <c r="AE466" s="250">
        <v>400</v>
      </c>
      <c r="AF466" s="252" t="s">
        <v>434</v>
      </c>
      <c r="AG466" s="247"/>
      <c r="AH466" s="248" t="s">
        <v>1629</v>
      </c>
      <c r="AJ466" s="249"/>
      <c r="AK466" s="252" t="s">
        <v>786</v>
      </c>
      <c r="AL466" s="232" t="s">
        <v>1630</v>
      </c>
      <c r="AN466" s="233" t="s">
        <v>1631</v>
      </c>
      <c r="AO466" s="232" t="s">
        <v>411</v>
      </c>
      <c r="AP466" s="232">
        <v>61351</v>
      </c>
      <c r="AQ466" s="232" t="str">
        <f t="shared" si="92"/>
        <v>527-61351</v>
      </c>
      <c r="AR466" s="232" t="s">
        <v>1642</v>
      </c>
      <c r="AX466" s="244"/>
      <c r="AY466" s="244"/>
      <c r="AZ466" s="232" t="str">
        <f>IF($AX466="Yes",'8. Option Codes Decrypted'!$C$15,"")</f>
        <v/>
      </c>
      <c r="BA466" s="232" t="str">
        <f>IF($AX466="Yes",'8. Option Codes Decrypted'!$C$16,"")</f>
        <v/>
      </c>
      <c r="BB466" s="232" t="str">
        <f>IF($AX466="Yes",'8. Option Codes Decrypted'!$C$17,"")</f>
        <v/>
      </c>
      <c r="BC466" s="232" t="str">
        <f>IF($AX466="Yes",'8. Option Codes Decrypted'!$C$18,"")</f>
        <v/>
      </c>
      <c r="BD466" s="232" t="str">
        <f>IF($AY466="Yes",'8. Option Codes Decrypted'!$C$20,"")</f>
        <v/>
      </c>
      <c r="BE466" s="232" t="str">
        <f>IF($AY466="Yes",'8. Option Codes Decrypted'!$C$21,"")</f>
        <v/>
      </c>
      <c r="BF466" s="232" t="str">
        <f>IF($AY466="Yes",'8. Option Codes Decrypted'!$C$22,"")</f>
        <v/>
      </c>
      <c r="BG466" s="232" t="str">
        <f>IF($AY466="Yes",'8. Option Codes Decrypted'!$C$23,"")</f>
        <v/>
      </c>
    </row>
    <row r="467" spans="1:59" s="232" customFormat="1" x14ac:dyDescent="0.25">
      <c r="A467" s="232" t="str">
        <f t="shared" si="90"/>
        <v/>
      </c>
      <c r="B467" s="358" t="str">
        <f t="shared" si="88"/>
        <v>527-61354</v>
      </c>
      <c r="C467" s="358" t="s">
        <v>1643</v>
      </c>
      <c r="D467" s="358"/>
      <c r="E467" s="358">
        <f t="shared" si="89"/>
        <v>2</v>
      </c>
      <c r="F467" s="232" t="s">
        <v>426</v>
      </c>
      <c r="G467" s="241">
        <v>44674</v>
      </c>
      <c r="H467" s="250"/>
      <c r="I467" s="250"/>
      <c r="J467" s="250" t="s">
        <v>427</v>
      </c>
      <c r="K467" s="251" t="s">
        <v>17</v>
      </c>
      <c r="L467" s="250" t="s">
        <v>1627</v>
      </c>
      <c r="M467" s="243" t="s">
        <v>444</v>
      </c>
      <c r="N467" s="243"/>
      <c r="O467" s="285"/>
      <c r="P467" s="285"/>
      <c r="Q467" s="285"/>
      <c r="R467" s="286" t="str">
        <f t="shared" si="91"/>
        <v>. Shock Struts, FRONT SET2</v>
      </c>
      <c r="S467" s="286"/>
      <c r="T467" s="243"/>
      <c r="U467" s="244"/>
      <c r="V467" s="243"/>
      <c r="W467" s="244"/>
      <c r="X467" s="244"/>
      <c r="Y467" s="244"/>
      <c r="Z467" s="250" t="s">
        <v>1628</v>
      </c>
      <c r="AA467" s="250" t="s">
        <v>1129</v>
      </c>
      <c r="AB467" s="250"/>
      <c r="AC467" s="244" t="s">
        <v>439</v>
      </c>
      <c r="AD467" s="250"/>
      <c r="AE467" s="250">
        <v>575</v>
      </c>
      <c r="AF467" s="252" t="s">
        <v>434</v>
      </c>
      <c r="AG467" s="247"/>
      <c r="AH467" s="248" t="s">
        <v>1629</v>
      </c>
      <c r="AJ467" s="249"/>
      <c r="AK467" s="232" t="s">
        <v>1644</v>
      </c>
      <c r="AL467" s="232" t="s">
        <v>1630</v>
      </c>
      <c r="AN467" s="233" t="s">
        <v>1631</v>
      </c>
      <c r="AO467" s="232" t="s">
        <v>411</v>
      </c>
      <c r="AP467" s="232">
        <v>61354</v>
      </c>
      <c r="AQ467" s="232" t="str">
        <f t="shared" si="92"/>
        <v>527-61354</v>
      </c>
      <c r="AR467" s="232" t="s">
        <v>1645</v>
      </c>
      <c r="AX467" s="244"/>
      <c r="AY467" s="244"/>
      <c r="AZ467" s="232" t="str">
        <f>IF($AX467="Yes",'8. Option Codes Decrypted'!$C$15,"")</f>
        <v/>
      </c>
      <c r="BA467" s="232" t="str">
        <f>IF($AX467="Yes",'8. Option Codes Decrypted'!$C$16,"")</f>
        <v/>
      </c>
      <c r="BB467" s="232" t="str">
        <f>IF($AX467="Yes",'8. Option Codes Decrypted'!$C$17,"")</f>
        <v/>
      </c>
      <c r="BC467" s="232" t="str">
        <f>IF($AX467="Yes",'8. Option Codes Decrypted'!$C$18,"")</f>
        <v/>
      </c>
      <c r="BD467" s="232" t="str">
        <f>IF($AY467="Yes",'8. Option Codes Decrypted'!$C$20,"")</f>
        <v/>
      </c>
      <c r="BE467" s="232" t="str">
        <f>IF($AY467="Yes",'8. Option Codes Decrypted'!$C$21,"")</f>
        <v/>
      </c>
      <c r="BF467" s="232" t="str">
        <f>IF($AY467="Yes",'8. Option Codes Decrypted'!$C$22,"")</f>
        <v/>
      </c>
      <c r="BG467" s="232" t="str">
        <f>IF($AY467="Yes",'8. Option Codes Decrypted'!$C$23,"")</f>
        <v/>
      </c>
    </row>
    <row r="468" spans="1:59" s="232" customFormat="1" x14ac:dyDescent="0.25">
      <c r="A468" s="232" t="str">
        <f t="shared" si="90"/>
        <v/>
      </c>
      <c r="B468" s="358" t="str">
        <f t="shared" si="88"/>
        <v>527-61354</v>
      </c>
      <c r="C468" s="358" t="s">
        <v>1646</v>
      </c>
      <c r="D468" s="358"/>
      <c r="E468" s="358">
        <f t="shared" si="89"/>
        <v>2</v>
      </c>
      <c r="F468" s="232" t="s">
        <v>426</v>
      </c>
      <c r="G468" s="241">
        <v>44674</v>
      </c>
      <c r="H468" s="250"/>
      <c r="I468" s="250"/>
      <c r="J468" s="250" t="s">
        <v>427</v>
      </c>
      <c r="K468" s="251" t="s">
        <v>17</v>
      </c>
      <c r="L468" s="250" t="s">
        <v>1627</v>
      </c>
      <c r="M468" s="243" t="s">
        <v>444</v>
      </c>
      <c r="N468" s="243"/>
      <c r="O468" s="285"/>
      <c r="P468" s="285"/>
      <c r="Q468" s="285"/>
      <c r="R468" s="286" t="str">
        <f t="shared" si="91"/>
        <v>. Shock Struts, FRONT - LEFT</v>
      </c>
      <c r="S468" s="286"/>
      <c r="T468" s="243"/>
      <c r="U468" s="244"/>
      <c r="V468" s="243"/>
      <c r="W468" s="244"/>
      <c r="X468" s="244"/>
      <c r="Y468" s="244"/>
      <c r="Z468" s="250" t="s">
        <v>1634</v>
      </c>
      <c r="AA468" s="250"/>
      <c r="AB468" s="250"/>
      <c r="AC468" s="244" t="s">
        <v>449</v>
      </c>
      <c r="AD468" s="250"/>
      <c r="AE468" s="250">
        <v>295</v>
      </c>
      <c r="AF468" s="252" t="s">
        <v>434</v>
      </c>
      <c r="AG468" s="247"/>
      <c r="AH468" s="248" t="s">
        <v>1629</v>
      </c>
      <c r="AJ468" s="249"/>
      <c r="AK468" s="232" t="s">
        <v>1644</v>
      </c>
      <c r="AL468" s="232" t="s">
        <v>1630</v>
      </c>
      <c r="AN468" s="233" t="s">
        <v>1631</v>
      </c>
      <c r="AO468" s="232" t="s">
        <v>411</v>
      </c>
      <c r="AP468" s="232">
        <v>61354</v>
      </c>
      <c r="AQ468" s="232" t="str">
        <f t="shared" si="92"/>
        <v>527-61354</v>
      </c>
      <c r="AR468" s="232" t="s">
        <v>1647</v>
      </c>
      <c r="AX468" s="244"/>
      <c r="AY468" s="244"/>
      <c r="AZ468" s="232" t="str">
        <f>IF($AX468="Yes",'8. Option Codes Decrypted'!$C$15,"")</f>
        <v/>
      </c>
      <c r="BA468" s="232" t="str">
        <f>IF($AX468="Yes",'8. Option Codes Decrypted'!$C$16,"")</f>
        <v/>
      </c>
      <c r="BB468" s="232" t="str">
        <f>IF($AX468="Yes",'8. Option Codes Decrypted'!$C$17,"")</f>
        <v/>
      </c>
      <c r="BC468" s="232" t="str">
        <f>IF($AX468="Yes",'8. Option Codes Decrypted'!$C$18,"")</f>
        <v/>
      </c>
      <c r="BD468" s="232" t="str">
        <f>IF($AY468="Yes",'8. Option Codes Decrypted'!$C$20,"")</f>
        <v/>
      </c>
      <c r="BE468" s="232" t="str">
        <f>IF($AY468="Yes",'8. Option Codes Decrypted'!$C$21,"")</f>
        <v/>
      </c>
      <c r="BF468" s="232" t="str">
        <f>IF($AY468="Yes",'8. Option Codes Decrypted'!$C$22,"")</f>
        <v/>
      </c>
      <c r="BG468" s="232" t="str">
        <f>IF($AY468="Yes",'8. Option Codes Decrypted'!$C$23,"")</f>
        <v/>
      </c>
    </row>
    <row r="469" spans="1:59" s="232" customFormat="1" x14ac:dyDescent="0.25">
      <c r="A469" s="232" t="str">
        <f t="shared" si="90"/>
        <v/>
      </c>
      <c r="B469" s="358" t="str">
        <f t="shared" si="88"/>
        <v>527-61353</v>
      </c>
      <c r="C469" s="358" t="str">
        <f>IF(AS469&lt;&gt;"",AS469,"")</f>
        <v/>
      </c>
      <c r="D469" s="358"/>
      <c r="E469" s="358">
        <f t="shared" si="89"/>
        <v>1</v>
      </c>
      <c r="F469" s="232" t="s">
        <v>426</v>
      </c>
      <c r="G469" s="241">
        <v>44674</v>
      </c>
      <c r="H469" s="250"/>
      <c r="I469" s="250"/>
      <c r="J469" s="250" t="s">
        <v>427</v>
      </c>
      <c r="K469" s="251" t="s">
        <v>17</v>
      </c>
      <c r="L469" s="250" t="s">
        <v>1627</v>
      </c>
      <c r="M469" s="243" t="s">
        <v>444</v>
      </c>
      <c r="N469" s="243"/>
      <c r="O469" s="285"/>
      <c r="P469" s="285"/>
      <c r="Q469" s="285"/>
      <c r="R469" s="286" t="str">
        <f t="shared" si="91"/>
        <v>. Shock Struts, FRONT - RIGHT</v>
      </c>
      <c r="S469" s="286"/>
      <c r="T469" s="243"/>
      <c r="U469" s="244"/>
      <c r="V469" s="243"/>
      <c r="W469" s="244"/>
      <c r="X469" s="244"/>
      <c r="Y469" s="244"/>
      <c r="Z469" s="250" t="s">
        <v>1636</v>
      </c>
      <c r="AA469" s="250"/>
      <c r="AB469" s="250"/>
      <c r="AC469" s="244" t="s">
        <v>449</v>
      </c>
      <c r="AD469" s="250"/>
      <c r="AE469" s="250">
        <v>295</v>
      </c>
      <c r="AF469" s="252" t="s">
        <v>434</v>
      </c>
      <c r="AG469" s="247"/>
      <c r="AH469" s="248" t="s">
        <v>1629</v>
      </c>
      <c r="AJ469" s="249"/>
      <c r="AK469" s="232" t="s">
        <v>1644</v>
      </c>
      <c r="AL469" s="232" t="s">
        <v>1630</v>
      </c>
      <c r="AN469" s="233" t="s">
        <v>1631</v>
      </c>
      <c r="AO469" s="232" t="s">
        <v>411</v>
      </c>
      <c r="AP469" s="232">
        <v>61353</v>
      </c>
      <c r="AQ469" s="232" t="str">
        <f t="shared" si="92"/>
        <v>527-61353</v>
      </c>
      <c r="AR469" s="232" t="s">
        <v>1648</v>
      </c>
      <c r="AX469" s="244"/>
      <c r="AY469" s="244"/>
      <c r="AZ469" s="232" t="str">
        <f>IF($AX469="Yes",'8. Option Codes Decrypted'!$C$15,"")</f>
        <v/>
      </c>
      <c r="BA469" s="232" t="str">
        <f>IF($AX469="Yes",'8. Option Codes Decrypted'!$C$16,"")</f>
        <v/>
      </c>
      <c r="BB469" s="232" t="str">
        <f>IF($AX469="Yes",'8. Option Codes Decrypted'!$C$17,"")</f>
        <v/>
      </c>
      <c r="BC469" s="232" t="str">
        <f>IF($AX469="Yes",'8. Option Codes Decrypted'!$C$18,"")</f>
        <v/>
      </c>
      <c r="BD469" s="232" t="str">
        <f>IF($AY469="Yes",'8. Option Codes Decrypted'!$C$20,"")</f>
        <v/>
      </c>
      <c r="BE469" s="232" t="str">
        <f>IF($AY469="Yes",'8. Option Codes Decrypted'!$C$21,"")</f>
        <v/>
      </c>
      <c r="BF469" s="232" t="str">
        <f>IF($AY469="Yes",'8. Option Codes Decrypted'!$C$22,"")</f>
        <v/>
      </c>
      <c r="BG469" s="232" t="str">
        <f>IF($AY469="Yes",'8. Option Codes Decrypted'!$C$23,"")</f>
        <v/>
      </c>
    </row>
    <row r="470" spans="1:59" s="232" customFormat="1" x14ac:dyDescent="0.25">
      <c r="A470" s="232" t="str">
        <f t="shared" si="90"/>
        <v/>
      </c>
      <c r="B470" s="358" t="str">
        <f t="shared" si="88"/>
        <v>527-61356</v>
      </c>
      <c r="C470" s="358" t="s">
        <v>1649</v>
      </c>
      <c r="D470" s="358"/>
      <c r="E470" s="358">
        <f t="shared" si="89"/>
        <v>2</v>
      </c>
      <c r="F470" s="232" t="s">
        <v>426</v>
      </c>
      <c r="G470" s="241">
        <v>45247</v>
      </c>
      <c r="H470" s="250"/>
      <c r="I470" s="250"/>
      <c r="J470" s="250" t="s">
        <v>427</v>
      </c>
      <c r="K470" s="251" t="s">
        <v>17</v>
      </c>
      <c r="L470" s="250" t="s">
        <v>1627</v>
      </c>
      <c r="M470" s="243" t="s">
        <v>444</v>
      </c>
      <c r="N470" s="243"/>
      <c r="O470" s="285"/>
      <c r="P470" s="285"/>
      <c r="Q470" s="285"/>
      <c r="R470" s="286" t="str">
        <f t="shared" si="91"/>
        <v>. Shock Struts, FRONT SET2</v>
      </c>
      <c r="S470" s="286"/>
      <c r="T470" s="243"/>
      <c r="U470" s="244"/>
      <c r="V470" s="243"/>
      <c r="W470" s="244"/>
      <c r="X470" s="244"/>
      <c r="Y470" s="244"/>
      <c r="Z470" s="250" t="s">
        <v>1628</v>
      </c>
      <c r="AA470" s="250" t="s">
        <v>1129</v>
      </c>
      <c r="AB470" s="250"/>
      <c r="AC470" s="244" t="s">
        <v>439</v>
      </c>
      <c r="AD470" s="250"/>
      <c r="AE470" s="250">
        <v>575</v>
      </c>
      <c r="AF470" s="252" t="s">
        <v>434</v>
      </c>
      <c r="AG470" s="247"/>
      <c r="AH470" s="248" t="s">
        <v>1629</v>
      </c>
      <c r="AJ470" s="249"/>
      <c r="AK470" s="232" t="s">
        <v>1644</v>
      </c>
      <c r="AL470" s="232" t="s">
        <v>1630</v>
      </c>
      <c r="AN470" s="233" t="s">
        <v>1631</v>
      </c>
      <c r="AO470" s="232" t="s">
        <v>411</v>
      </c>
      <c r="AP470" s="232">
        <v>61356</v>
      </c>
      <c r="AQ470" s="232" t="str">
        <f t="shared" si="92"/>
        <v>527-61356</v>
      </c>
      <c r="AR470" s="232" t="s">
        <v>1650</v>
      </c>
      <c r="AX470" s="244"/>
      <c r="AY470" s="244"/>
      <c r="AZ470" s="232" t="str">
        <f>IF($AX470="Yes",'8. Option Codes Decrypted'!$C$15,"")</f>
        <v/>
      </c>
      <c r="BA470" s="232" t="str">
        <f>IF($AX470="Yes",'8. Option Codes Decrypted'!$C$16,"")</f>
        <v/>
      </c>
      <c r="BB470" s="232" t="str">
        <f>IF($AX470="Yes",'8. Option Codes Decrypted'!$C$17,"")</f>
        <v/>
      </c>
      <c r="BC470" s="232" t="str">
        <f>IF($AX470="Yes",'8. Option Codes Decrypted'!$C$18,"")</f>
        <v/>
      </c>
      <c r="BD470" s="232" t="str">
        <f>IF($AY470="Yes",'8. Option Codes Decrypted'!$C$20,"")</f>
        <v/>
      </c>
      <c r="BE470" s="232" t="str">
        <f>IF($AY470="Yes",'8. Option Codes Decrypted'!$C$21,"")</f>
        <v/>
      </c>
      <c r="BF470" s="232" t="str">
        <f>IF($AY470="Yes",'8. Option Codes Decrypted'!$C$22,"")</f>
        <v/>
      </c>
      <c r="BG470" s="232" t="str">
        <f>IF($AY470="Yes",'8. Option Codes Decrypted'!$C$23,"")</f>
        <v/>
      </c>
    </row>
    <row r="471" spans="1:59" s="232" customFormat="1" x14ac:dyDescent="0.25">
      <c r="A471" s="232" t="str">
        <f t="shared" si="90"/>
        <v/>
      </c>
      <c r="B471" s="358" t="str">
        <f t="shared" si="88"/>
        <v>527-61356</v>
      </c>
      <c r="C471" s="358" t="s">
        <v>1651</v>
      </c>
      <c r="D471" s="358"/>
      <c r="E471" s="358">
        <f t="shared" si="89"/>
        <v>2</v>
      </c>
      <c r="F471" s="232" t="s">
        <v>426</v>
      </c>
      <c r="G471" s="241">
        <v>45247</v>
      </c>
      <c r="H471" s="250"/>
      <c r="I471" s="250"/>
      <c r="J471" s="250" t="s">
        <v>427</v>
      </c>
      <c r="K471" s="251" t="s">
        <v>17</v>
      </c>
      <c r="L471" s="250" t="s">
        <v>1627</v>
      </c>
      <c r="M471" s="243" t="s">
        <v>444</v>
      </c>
      <c r="N471" s="243"/>
      <c r="O471" s="285"/>
      <c r="P471" s="285"/>
      <c r="Q471" s="285"/>
      <c r="R471" s="286" t="str">
        <f t="shared" si="91"/>
        <v>. Shock Struts, FRONT - LEFT</v>
      </c>
      <c r="S471" s="286"/>
      <c r="T471" s="243"/>
      <c r="U471" s="244"/>
      <c r="V471" s="243"/>
      <c r="W471" s="244"/>
      <c r="X471" s="244"/>
      <c r="Y471" s="244"/>
      <c r="Z471" s="250" t="s">
        <v>1634</v>
      </c>
      <c r="AA471" s="250"/>
      <c r="AB471" s="250"/>
      <c r="AC471" s="244" t="s">
        <v>449</v>
      </c>
      <c r="AD471" s="250"/>
      <c r="AE471" s="250">
        <v>295</v>
      </c>
      <c r="AF471" s="252" t="s">
        <v>434</v>
      </c>
      <c r="AG471" s="247"/>
      <c r="AH471" s="248" t="s">
        <v>1629</v>
      </c>
      <c r="AJ471" s="249"/>
      <c r="AK471" s="232" t="s">
        <v>1644</v>
      </c>
      <c r="AL471" s="232" t="s">
        <v>1630</v>
      </c>
      <c r="AN471" s="233" t="s">
        <v>1631</v>
      </c>
      <c r="AO471" s="232" t="s">
        <v>411</v>
      </c>
      <c r="AP471" s="232">
        <v>61356</v>
      </c>
      <c r="AQ471" s="232" t="str">
        <f t="shared" si="92"/>
        <v>527-61356</v>
      </c>
      <c r="AR471" s="232" t="s">
        <v>1652</v>
      </c>
      <c r="AX471" s="244"/>
      <c r="AY471" s="244"/>
      <c r="AZ471" s="232" t="str">
        <f>IF($AX471="Yes",'8. Option Codes Decrypted'!$C$15,"")</f>
        <v/>
      </c>
      <c r="BA471" s="232" t="str">
        <f>IF($AX471="Yes",'8. Option Codes Decrypted'!$C$16,"")</f>
        <v/>
      </c>
      <c r="BB471" s="232" t="str">
        <f>IF($AX471="Yes",'8. Option Codes Decrypted'!$C$17,"")</f>
        <v/>
      </c>
      <c r="BC471" s="232" t="str">
        <f>IF($AX471="Yes",'8. Option Codes Decrypted'!$C$18,"")</f>
        <v/>
      </c>
      <c r="BD471" s="232" t="str">
        <f>IF($AY471="Yes",'8. Option Codes Decrypted'!$C$20,"")</f>
        <v/>
      </c>
      <c r="BE471" s="232" t="str">
        <f>IF($AY471="Yes",'8. Option Codes Decrypted'!$C$21,"")</f>
        <v/>
      </c>
      <c r="BF471" s="232" t="str">
        <f>IF($AY471="Yes",'8. Option Codes Decrypted'!$C$22,"")</f>
        <v/>
      </c>
      <c r="BG471" s="232" t="str">
        <f>IF($AY471="Yes",'8. Option Codes Decrypted'!$C$23,"")</f>
        <v/>
      </c>
    </row>
    <row r="472" spans="1:59" s="232" customFormat="1" x14ac:dyDescent="0.25">
      <c r="A472" s="232" t="str">
        <f t="shared" si="90"/>
        <v/>
      </c>
      <c r="B472" s="358" t="str">
        <f t="shared" si="88"/>
        <v>527-61355</v>
      </c>
      <c r="C472" s="358" t="str">
        <f t="shared" ref="C472:C503" si="93">IF(AS472&lt;&gt;"",AS472,"")</f>
        <v/>
      </c>
      <c r="D472" s="358"/>
      <c r="E472" s="358">
        <f t="shared" si="89"/>
        <v>1</v>
      </c>
      <c r="F472" s="232" t="s">
        <v>426</v>
      </c>
      <c r="G472" s="241">
        <v>45247</v>
      </c>
      <c r="H472" s="250"/>
      <c r="I472" s="250"/>
      <c r="J472" s="250" t="s">
        <v>427</v>
      </c>
      <c r="K472" s="251" t="s">
        <v>17</v>
      </c>
      <c r="L472" s="250" t="s">
        <v>1627</v>
      </c>
      <c r="M472" s="243" t="s">
        <v>444</v>
      </c>
      <c r="N472" s="243"/>
      <c r="O472" s="285"/>
      <c r="P472" s="285"/>
      <c r="Q472" s="285"/>
      <c r="R472" s="286" t="str">
        <f t="shared" si="91"/>
        <v>. Shock Struts, FRONT - RIGHT</v>
      </c>
      <c r="S472" s="286"/>
      <c r="T472" s="243"/>
      <c r="U472" s="244"/>
      <c r="V472" s="243"/>
      <c r="W472" s="244"/>
      <c r="X472" s="244"/>
      <c r="Y472" s="244"/>
      <c r="Z472" s="250" t="s">
        <v>1636</v>
      </c>
      <c r="AA472" s="250"/>
      <c r="AB472" s="250"/>
      <c r="AC472" s="244" t="s">
        <v>449</v>
      </c>
      <c r="AD472" s="250"/>
      <c r="AE472" s="250">
        <v>295</v>
      </c>
      <c r="AF472" s="252" t="s">
        <v>434</v>
      </c>
      <c r="AG472" s="247"/>
      <c r="AH472" s="248" t="s">
        <v>1629</v>
      </c>
      <c r="AJ472" s="249"/>
      <c r="AK472" s="232" t="s">
        <v>1644</v>
      </c>
      <c r="AL472" s="232" t="s">
        <v>1630</v>
      </c>
      <c r="AN472" s="233" t="s">
        <v>1631</v>
      </c>
      <c r="AO472" s="232" t="s">
        <v>411</v>
      </c>
      <c r="AP472" s="232">
        <v>61355</v>
      </c>
      <c r="AQ472" s="232" t="str">
        <f t="shared" si="92"/>
        <v>527-61355</v>
      </c>
      <c r="AR472" s="232" t="s">
        <v>1653</v>
      </c>
      <c r="AX472" s="244"/>
      <c r="AY472" s="244"/>
      <c r="AZ472" s="232" t="str">
        <f>IF($AX472="Yes",'8. Option Codes Decrypted'!$C$15,"")</f>
        <v/>
      </c>
      <c r="BA472" s="232" t="str">
        <f>IF($AX472="Yes",'8. Option Codes Decrypted'!$C$16,"")</f>
        <v/>
      </c>
      <c r="BB472" s="232" t="str">
        <f>IF($AX472="Yes",'8. Option Codes Decrypted'!$C$17,"")</f>
        <v/>
      </c>
      <c r="BC472" s="232" t="str">
        <f>IF($AX472="Yes",'8. Option Codes Decrypted'!$C$18,"")</f>
        <v/>
      </c>
      <c r="BD472" s="232" t="str">
        <f>IF($AY472="Yes",'8. Option Codes Decrypted'!$C$20,"")</f>
        <v/>
      </c>
      <c r="BE472" s="232" t="str">
        <f>IF($AY472="Yes",'8. Option Codes Decrypted'!$C$21,"")</f>
        <v/>
      </c>
      <c r="BF472" s="232" t="str">
        <f>IF($AY472="Yes",'8. Option Codes Decrypted'!$C$22,"")</f>
        <v/>
      </c>
      <c r="BG472" s="232" t="str">
        <f>IF($AY472="Yes",'8. Option Codes Decrypted'!$C$23,"")</f>
        <v/>
      </c>
    </row>
    <row r="473" spans="1:59" ht="15.75" thickBot="1" x14ac:dyDescent="0.3">
      <c r="A473" s="232" t="str">
        <f t="shared" si="90"/>
        <v/>
      </c>
      <c r="B473" s="358" t="str">
        <f t="shared" si="88"/>
        <v/>
      </c>
      <c r="C473" s="358" t="str">
        <f t="shared" si="93"/>
        <v/>
      </c>
      <c r="D473" s="358"/>
      <c r="E473" s="358" t="str">
        <f t="shared" si="89"/>
        <v/>
      </c>
      <c r="F473" t="s">
        <v>426</v>
      </c>
      <c r="G473" s="230">
        <v>44674</v>
      </c>
      <c r="H473" s="16"/>
      <c r="I473" s="16"/>
      <c r="J473" s="16" t="s">
        <v>427</v>
      </c>
      <c r="K473" s="191" t="s">
        <v>17</v>
      </c>
      <c r="L473" s="16" t="s">
        <v>1654</v>
      </c>
      <c r="M473" s="231" t="s">
        <v>510</v>
      </c>
      <c r="N473" s="231"/>
      <c r="O473" s="288"/>
      <c r="P473" s="288"/>
      <c r="Q473" s="288"/>
      <c r="R473" s="286" t="str">
        <f t="shared" si="91"/>
        <v>. Shock Struts, REAR (w/o adaptive = SET2, toss singles) (w/ adaptive = SINGLES)</v>
      </c>
      <c r="S473" s="286"/>
      <c r="T473" s="231"/>
      <c r="U473" s="193"/>
      <c r="V473" s="231"/>
      <c r="W473" s="193"/>
      <c r="X473" s="193"/>
      <c r="Y473" s="193"/>
      <c r="Z473" s="16" t="s">
        <v>1655</v>
      </c>
      <c r="AA473" s="16" t="s">
        <v>1655</v>
      </c>
      <c r="AB473" s="16" t="s">
        <v>1656</v>
      </c>
      <c r="AC473" s="193" t="s">
        <v>439</v>
      </c>
      <c r="AD473" s="16" t="s">
        <v>1657</v>
      </c>
      <c r="AE473" s="155">
        <f>160*50%+350*2*50%</f>
        <v>430</v>
      </c>
      <c r="AF473" s="99" t="s">
        <v>434</v>
      </c>
      <c r="AH473" s="3" t="s">
        <v>435</v>
      </c>
      <c r="AJ473" s="69"/>
      <c r="AK473" t="s">
        <v>1658</v>
      </c>
      <c r="AX473" s="193"/>
      <c r="AY473" s="193"/>
      <c r="AZ473" s="232" t="str">
        <f>IF($AX473="Yes",'8. Option Codes Decrypted'!$C$15,"")</f>
        <v/>
      </c>
      <c r="BA473" s="232" t="str">
        <f>IF($AX473="Yes",'8. Option Codes Decrypted'!$C$16,"")</f>
        <v/>
      </c>
      <c r="BB473" s="232" t="str">
        <f>IF($AX473="Yes",'8. Option Codes Decrypted'!$C$17,"")</f>
        <v/>
      </c>
      <c r="BC473" s="232" t="str">
        <f>IF($AX473="Yes",'8. Option Codes Decrypted'!$C$18,"")</f>
        <v/>
      </c>
      <c r="BD473" s="232" t="str">
        <f>IF($AY473="Yes",'8. Option Codes Decrypted'!$C$20,"")</f>
        <v/>
      </c>
      <c r="BE473" s="232" t="str">
        <f>IF($AY473="Yes",'8. Option Codes Decrypted'!$C$21,"")</f>
        <v/>
      </c>
      <c r="BF473" s="232" t="str">
        <f>IF($AY473="Yes",'8. Option Codes Decrypted'!$C$22,"")</f>
        <v/>
      </c>
      <c r="BG473" s="232" t="str">
        <f>IF($AY473="Yes",'8. Option Codes Decrypted'!$C$23,"")</f>
        <v/>
      </c>
    </row>
    <row r="474" spans="1:59" s="296" customFormat="1" ht="15.75" thickBot="1" x14ac:dyDescent="0.3">
      <c r="A474" s="232" t="str">
        <f t="shared" si="90"/>
        <v>A101</v>
      </c>
      <c r="B474" s="358" t="str">
        <f t="shared" si="88"/>
        <v/>
      </c>
      <c r="C474" s="358" t="str">
        <f t="shared" si="93"/>
        <v>F15-Springs, REAR Shock Springs as SET2 WITH Gromets-14-18-ALL</v>
      </c>
      <c r="D474" s="358"/>
      <c r="E474" s="358" t="str">
        <f t="shared" si="89"/>
        <v/>
      </c>
      <c r="F474" s="296" t="s">
        <v>426</v>
      </c>
      <c r="G474" s="297">
        <v>44683</v>
      </c>
      <c r="H474" s="298"/>
      <c r="I474" s="298"/>
      <c r="J474" s="299" t="s">
        <v>427</v>
      </c>
      <c r="K474" s="298" t="s">
        <v>17</v>
      </c>
      <c r="L474" s="298" t="s">
        <v>1659</v>
      </c>
      <c r="M474" s="298" t="s">
        <v>430</v>
      </c>
      <c r="N474" s="298">
        <v>91</v>
      </c>
      <c r="O474" s="299" t="s">
        <v>345</v>
      </c>
      <c r="P474" s="299" t="s">
        <v>724</v>
      </c>
      <c r="Q474" s="299">
        <v>1</v>
      </c>
      <c r="R474" s="299" t="str">
        <f t="shared" si="91"/>
        <v>A101. Springs, REAR Shock Springs as SET2 WITH Gromets</v>
      </c>
      <c r="S474" s="365" t="str">
        <f>HYPERLINK(VLOOKUP(O474,'3D. Pictures'!$B$3:$E$500,4,FALSE),"PIC")</f>
        <v>PIC</v>
      </c>
      <c r="T474" s="298">
        <v>5</v>
      </c>
      <c r="U474" s="298" t="s">
        <v>1029</v>
      </c>
      <c r="V474" s="298" t="s">
        <v>80</v>
      </c>
      <c r="W474" s="298"/>
      <c r="X474" s="298"/>
      <c r="Y474" s="298"/>
      <c r="Z474" s="298" t="s">
        <v>1660</v>
      </c>
      <c r="AA474" s="298" t="s">
        <v>1661</v>
      </c>
      <c r="AB474" s="298"/>
      <c r="AC474" s="213" t="s">
        <v>439</v>
      </c>
      <c r="AD474" s="298"/>
      <c r="AE474" s="298">
        <v>200</v>
      </c>
      <c r="AF474" s="300" t="s">
        <v>434</v>
      </c>
      <c r="AG474" s="301"/>
      <c r="AH474" s="302" t="s">
        <v>435</v>
      </c>
      <c r="AJ474" s="303"/>
      <c r="AK474" s="296" t="s">
        <v>1662</v>
      </c>
      <c r="AS474" s="296" t="str">
        <f>CONCATENATE(AT474,"-",AU474,"-",AV474,"-",AW474)</f>
        <v>F15-Springs, REAR Shock Springs as SET2 WITH Gromets-14-18-ALL</v>
      </c>
      <c r="AT474" s="296" t="s">
        <v>661</v>
      </c>
      <c r="AU474" s="296" t="str">
        <f>Z474</f>
        <v>Springs, REAR Shock Springs as SET2 WITH Gromets</v>
      </c>
      <c r="AV474" s="296" t="s">
        <v>757</v>
      </c>
      <c r="AW474" s="296" t="s">
        <v>662</v>
      </c>
      <c r="AX474" s="298"/>
      <c r="AY474" s="298"/>
      <c r="AZ474" s="232" t="str">
        <f>IF($AX474="Yes",'8. Option Codes Decrypted'!$C$15,"")</f>
        <v/>
      </c>
      <c r="BA474" s="232" t="str">
        <f>IF($AX474="Yes",'8. Option Codes Decrypted'!$C$16,"")</f>
        <v/>
      </c>
      <c r="BB474" s="232" t="str">
        <f>IF($AX474="Yes",'8. Option Codes Decrypted'!$C$17,"")</f>
        <v/>
      </c>
      <c r="BC474" s="232" t="str">
        <f>IF($AX474="Yes",'8. Option Codes Decrypted'!$C$18,"")</f>
        <v/>
      </c>
      <c r="BD474" s="232" t="str">
        <f>IF($AY474="Yes",'8. Option Codes Decrypted'!$C$20,"")</f>
        <v/>
      </c>
      <c r="BE474" s="232" t="str">
        <f>IF($AY474="Yes",'8. Option Codes Decrypted'!$C$21,"")</f>
        <v/>
      </c>
      <c r="BF474" s="232" t="str">
        <f>IF($AY474="Yes",'8. Option Codes Decrypted'!$C$22,"")</f>
        <v/>
      </c>
      <c r="BG474" s="232" t="str">
        <f>IF($AY474="Yes",'8. Option Codes Decrypted'!$C$23,"")</f>
        <v/>
      </c>
    </row>
    <row r="475" spans="1:59" s="296" customFormat="1" x14ac:dyDescent="0.25">
      <c r="A475" s="232" t="str">
        <f t="shared" si="90"/>
        <v/>
      </c>
      <c r="B475" s="358" t="str">
        <f t="shared" si="88"/>
        <v/>
      </c>
      <c r="C475" s="358" t="str">
        <f t="shared" si="93"/>
        <v>F15-Springs, REAR - LEFT-14-18-ALL</v>
      </c>
      <c r="D475" s="358"/>
      <c r="E475" s="358" t="str">
        <f t="shared" si="89"/>
        <v/>
      </c>
      <c r="F475" s="296" t="s">
        <v>426</v>
      </c>
      <c r="G475" s="297">
        <v>44683</v>
      </c>
      <c r="H475" s="298"/>
      <c r="I475" s="298"/>
      <c r="J475" s="299" t="s">
        <v>427</v>
      </c>
      <c r="K475" s="298" t="s">
        <v>17</v>
      </c>
      <c r="L475" s="298" t="s">
        <v>1659</v>
      </c>
      <c r="M475" s="298" t="s">
        <v>430</v>
      </c>
      <c r="N475" s="298"/>
      <c r="O475" s="299"/>
      <c r="P475" s="299"/>
      <c r="Q475" s="299"/>
      <c r="R475" s="299" t="str">
        <f t="shared" si="91"/>
        <v>. Springs, REAR - LEFT</v>
      </c>
      <c r="S475" s="299"/>
      <c r="T475" s="298"/>
      <c r="U475" s="298"/>
      <c r="V475" s="298"/>
      <c r="W475" s="298"/>
      <c r="X475" s="298"/>
      <c r="Y475" s="298"/>
      <c r="Z475" s="298" t="s">
        <v>1663</v>
      </c>
      <c r="AA475" s="298"/>
      <c r="AB475" s="298"/>
      <c r="AC475" s="213" t="s">
        <v>449</v>
      </c>
      <c r="AD475" s="298"/>
      <c r="AE475" s="298">
        <v>80</v>
      </c>
      <c r="AF475" s="300" t="s">
        <v>434</v>
      </c>
      <c r="AG475" s="301"/>
      <c r="AH475" s="302" t="s">
        <v>435</v>
      </c>
      <c r="AJ475" s="303"/>
      <c r="AK475" s="296" t="s">
        <v>1662</v>
      </c>
      <c r="AS475" s="296" t="str">
        <f>CONCATENATE(AT475,"-",AU475,"-",AV475,"-",AW475)</f>
        <v>F15-Springs, REAR - LEFT-14-18-ALL</v>
      </c>
      <c r="AT475" s="296" t="s">
        <v>661</v>
      </c>
      <c r="AU475" s="296" t="str">
        <f>Z475</f>
        <v>Springs, REAR - LEFT</v>
      </c>
      <c r="AV475" s="296" t="s">
        <v>757</v>
      </c>
      <c r="AW475" s="296" t="s">
        <v>662</v>
      </c>
      <c r="AX475" s="298"/>
      <c r="AY475" s="298"/>
      <c r="AZ475" s="232" t="str">
        <f>IF($AX475="Yes",'8. Option Codes Decrypted'!$C$15,"")</f>
        <v/>
      </c>
      <c r="BA475" s="232" t="str">
        <f>IF($AX475="Yes",'8. Option Codes Decrypted'!$C$16,"")</f>
        <v/>
      </c>
      <c r="BB475" s="232" t="str">
        <f>IF($AX475="Yes",'8. Option Codes Decrypted'!$C$17,"")</f>
        <v/>
      </c>
      <c r="BC475" s="232" t="str">
        <f>IF($AX475="Yes",'8. Option Codes Decrypted'!$C$18,"")</f>
        <v/>
      </c>
      <c r="BD475" s="232" t="str">
        <f>IF($AY475="Yes",'8. Option Codes Decrypted'!$C$20,"")</f>
        <v/>
      </c>
      <c r="BE475" s="232" t="str">
        <f>IF($AY475="Yes",'8. Option Codes Decrypted'!$C$21,"")</f>
        <v/>
      </c>
      <c r="BF475" s="232" t="str">
        <f>IF($AY475="Yes",'8. Option Codes Decrypted'!$C$22,"")</f>
        <v/>
      </c>
      <c r="BG475" s="232" t="str">
        <f>IF($AY475="Yes",'8. Option Codes Decrypted'!$C$23,"")</f>
        <v/>
      </c>
    </row>
    <row r="476" spans="1:59" s="296" customFormat="1" x14ac:dyDescent="0.25">
      <c r="A476" s="232" t="str">
        <f t="shared" si="90"/>
        <v/>
      </c>
      <c r="B476" s="358" t="str">
        <f t="shared" si="88"/>
        <v/>
      </c>
      <c r="C476" s="358" t="str">
        <f t="shared" si="93"/>
        <v>F15-Springs, REAR - RIGHT-14-18-ALL</v>
      </c>
      <c r="D476" s="358"/>
      <c r="E476" s="358" t="str">
        <f t="shared" si="89"/>
        <v/>
      </c>
      <c r="F476" s="296" t="s">
        <v>426</v>
      </c>
      <c r="G476" s="297">
        <v>44683</v>
      </c>
      <c r="H476" s="298"/>
      <c r="I476" s="298"/>
      <c r="J476" s="299" t="s">
        <v>427</v>
      </c>
      <c r="K476" s="298" t="s">
        <v>17</v>
      </c>
      <c r="L476" s="298" t="s">
        <v>1659</v>
      </c>
      <c r="M476" s="298" t="s">
        <v>430</v>
      </c>
      <c r="N476" s="298"/>
      <c r="O476" s="299"/>
      <c r="P476" s="299"/>
      <c r="Q476" s="299"/>
      <c r="R476" s="299" t="str">
        <f t="shared" si="91"/>
        <v>. Springs, REAR - RIGHT</v>
      </c>
      <c r="S476" s="299"/>
      <c r="T476" s="298"/>
      <c r="U476" s="298"/>
      <c r="V476" s="298"/>
      <c r="W476" s="298"/>
      <c r="X476" s="298"/>
      <c r="Y476" s="298"/>
      <c r="Z476" s="298" t="s">
        <v>1664</v>
      </c>
      <c r="AA476" s="298"/>
      <c r="AB476" s="298"/>
      <c r="AC476" s="213" t="s">
        <v>449</v>
      </c>
      <c r="AD476" s="298"/>
      <c r="AE476" s="298">
        <v>80</v>
      </c>
      <c r="AF476" s="300" t="s">
        <v>434</v>
      </c>
      <c r="AG476" s="301"/>
      <c r="AH476" s="302" t="s">
        <v>435</v>
      </c>
      <c r="AJ476" s="303"/>
      <c r="AK476" s="296" t="s">
        <v>1662</v>
      </c>
      <c r="AS476" s="296" t="str">
        <f>CONCATENATE(AT476,"-",AU476,"-",AV476,"-",AW476)</f>
        <v>F15-Springs, REAR - RIGHT-14-18-ALL</v>
      </c>
      <c r="AT476" s="296" t="s">
        <v>661</v>
      </c>
      <c r="AU476" s="296" t="str">
        <f>Z476</f>
        <v>Springs, REAR - RIGHT</v>
      </c>
      <c r="AV476" s="296" t="s">
        <v>757</v>
      </c>
      <c r="AW476" s="296" t="s">
        <v>662</v>
      </c>
      <c r="AX476" s="298"/>
      <c r="AY476" s="298"/>
      <c r="AZ476" s="232" t="str">
        <f>IF($AX476="Yes",'8. Option Codes Decrypted'!$C$15,"")</f>
        <v/>
      </c>
      <c r="BA476" s="232" t="str">
        <f>IF($AX476="Yes",'8. Option Codes Decrypted'!$C$16,"")</f>
        <v/>
      </c>
      <c r="BB476" s="232" t="str">
        <f>IF($AX476="Yes",'8. Option Codes Decrypted'!$C$17,"")</f>
        <v/>
      </c>
      <c r="BC476" s="232" t="str">
        <f>IF($AX476="Yes",'8. Option Codes Decrypted'!$C$18,"")</f>
        <v/>
      </c>
      <c r="BD476" s="232" t="str">
        <f>IF($AY476="Yes",'8. Option Codes Decrypted'!$C$20,"")</f>
        <v/>
      </c>
      <c r="BE476" s="232" t="str">
        <f>IF($AY476="Yes",'8. Option Codes Decrypted'!$C$21,"")</f>
        <v/>
      </c>
      <c r="BF476" s="232" t="str">
        <f>IF($AY476="Yes",'8. Option Codes Decrypted'!$C$22,"")</f>
        <v/>
      </c>
      <c r="BG476" s="232" t="str">
        <f>IF($AY476="Yes",'8. Option Codes Decrypted'!$C$23,"")</f>
        <v/>
      </c>
    </row>
    <row r="477" spans="1:59" s="232" customFormat="1" x14ac:dyDescent="0.25">
      <c r="A477" s="232" t="str">
        <f t="shared" si="90"/>
        <v/>
      </c>
      <c r="B477" s="358" t="str">
        <f t="shared" si="88"/>
        <v>551-60087</v>
      </c>
      <c r="C477" s="358" t="str">
        <f t="shared" si="93"/>
        <v/>
      </c>
      <c r="D477" s="358"/>
      <c r="E477" s="358">
        <f t="shared" si="89"/>
        <v>1</v>
      </c>
      <c r="F477" s="232" t="s">
        <v>426</v>
      </c>
      <c r="G477" s="241">
        <v>44674</v>
      </c>
      <c r="H477" s="250"/>
      <c r="I477" s="250"/>
      <c r="J477" s="250" t="s">
        <v>427</v>
      </c>
      <c r="K477" s="250" t="s">
        <v>17</v>
      </c>
      <c r="L477" s="250" t="s">
        <v>1665</v>
      </c>
      <c r="M477" s="243" t="s">
        <v>444</v>
      </c>
      <c r="N477" s="243"/>
      <c r="O477" s="285"/>
      <c r="P477" s="285"/>
      <c r="Q477" s="285"/>
      <c r="R477" s="286" t="str">
        <f t="shared" si="91"/>
        <v>. Steering Gear Rack &amp; Pinion</v>
      </c>
      <c r="S477" s="286"/>
      <c r="T477" s="243"/>
      <c r="U477" s="244"/>
      <c r="V477" s="243"/>
      <c r="W477" s="244"/>
      <c r="X477" s="244"/>
      <c r="Y477" s="244"/>
      <c r="Z477" s="250" t="s">
        <v>1665</v>
      </c>
      <c r="AA477" s="250"/>
      <c r="AB477" s="250"/>
      <c r="AC477" s="244" t="s">
        <v>449</v>
      </c>
      <c r="AD477" s="250"/>
      <c r="AE477" s="255">
        <v>1500</v>
      </c>
      <c r="AF477" s="252" t="s">
        <v>434</v>
      </c>
      <c r="AG477" s="247"/>
      <c r="AH477" s="248" t="s">
        <v>435</v>
      </c>
      <c r="AJ477" s="249"/>
      <c r="AK477" s="232" t="s">
        <v>1666</v>
      </c>
      <c r="AL477" s="232" t="s">
        <v>1667</v>
      </c>
      <c r="AN477" s="233" t="s">
        <v>1668</v>
      </c>
      <c r="AO477" s="232" t="s">
        <v>411</v>
      </c>
      <c r="AP477" s="232">
        <v>60087</v>
      </c>
      <c r="AQ477" s="232" t="str">
        <f>CONCATENATE(AN477,AO477,AP477)</f>
        <v>551-60087</v>
      </c>
      <c r="AR477" s="232" t="s">
        <v>1669</v>
      </c>
      <c r="AX477" s="244"/>
      <c r="AY477" s="244"/>
      <c r="AZ477" s="232" t="str">
        <f>IF($AX477="Yes",'8. Option Codes Decrypted'!$C$15,"")</f>
        <v/>
      </c>
      <c r="BA477" s="232" t="str">
        <f>IF($AX477="Yes",'8. Option Codes Decrypted'!$C$16,"")</f>
        <v/>
      </c>
      <c r="BB477" s="232" t="str">
        <f>IF($AX477="Yes",'8. Option Codes Decrypted'!$C$17,"")</f>
        <v/>
      </c>
      <c r="BC477" s="232" t="str">
        <f>IF($AX477="Yes",'8. Option Codes Decrypted'!$C$18,"")</f>
        <v/>
      </c>
      <c r="BD477" s="232" t="str">
        <f>IF($AY477="Yes",'8. Option Codes Decrypted'!$C$20,"")</f>
        <v/>
      </c>
      <c r="BE477" s="232" t="str">
        <f>IF($AY477="Yes",'8. Option Codes Decrypted'!$C$21,"")</f>
        <v/>
      </c>
      <c r="BF477" s="232" t="str">
        <f>IF($AY477="Yes",'8. Option Codes Decrypted'!$C$22,"")</f>
        <v/>
      </c>
      <c r="BG477" s="232" t="str">
        <f>IF($AY477="Yes",'8. Option Codes Decrypted'!$C$23,"")</f>
        <v/>
      </c>
    </row>
    <row r="478" spans="1:59" s="232" customFormat="1" ht="15.75" thickBot="1" x14ac:dyDescent="0.3">
      <c r="A478" s="232" t="str">
        <f t="shared" si="90"/>
        <v/>
      </c>
      <c r="B478" s="358" t="str">
        <f t="shared" si="88"/>
        <v>551-60088</v>
      </c>
      <c r="C478" s="358" t="str">
        <f t="shared" si="93"/>
        <v/>
      </c>
      <c r="D478" s="358"/>
      <c r="E478" s="358">
        <f t="shared" si="89"/>
        <v>1</v>
      </c>
      <c r="F478" s="232" t="s">
        <v>426</v>
      </c>
      <c r="G478" s="241">
        <v>44674</v>
      </c>
      <c r="H478" s="250"/>
      <c r="I478" s="250"/>
      <c r="J478" s="250" t="s">
        <v>427</v>
      </c>
      <c r="K478" s="250" t="s">
        <v>17</v>
      </c>
      <c r="L478" s="250" t="s">
        <v>1665</v>
      </c>
      <c r="M478" s="243" t="s">
        <v>444</v>
      </c>
      <c r="N478" s="243"/>
      <c r="O478" s="285"/>
      <c r="P478" s="285"/>
      <c r="Q478" s="285"/>
      <c r="R478" s="286" t="str">
        <f t="shared" si="91"/>
        <v>. Steering Gear Rack &amp; Pinion</v>
      </c>
      <c r="S478" s="286"/>
      <c r="T478" s="243"/>
      <c r="U478" s="244"/>
      <c r="V478" s="243"/>
      <c r="W478" s="244"/>
      <c r="X478" s="244"/>
      <c r="Y478" s="244"/>
      <c r="Z478" s="250" t="s">
        <v>1665</v>
      </c>
      <c r="AA478" s="250"/>
      <c r="AB478" s="250"/>
      <c r="AC478" s="244" t="s">
        <v>449</v>
      </c>
      <c r="AD478" s="250"/>
      <c r="AE478" s="255">
        <v>1500</v>
      </c>
      <c r="AF478" s="252" t="s">
        <v>434</v>
      </c>
      <c r="AG478" s="247"/>
      <c r="AH478" s="248" t="s">
        <v>435</v>
      </c>
      <c r="AJ478" s="249"/>
      <c r="AK478" s="232" t="s">
        <v>1666</v>
      </c>
      <c r="AL478" s="232" t="s">
        <v>1667</v>
      </c>
      <c r="AN478" s="233" t="s">
        <v>1668</v>
      </c>
      <c r="AO478" s="232" t="s">
        <v>411</v>
      </c>
      <c r="AP478" s="232">
        <v>60088</v>
      </c>
      <c r="AQ478" s="232" t="str">
        <f>CONCATENATE(AN478,AO478,AP478)</f>
        <v>551-60088</v>
      </c>
      <c r="AR478" s="232" t="s">
        <v>1670</v>
      </c>
      <c r="AX478" s="244"/>
      <c r="AY478" s="244"/>
      <c r="AZ478" s="232" t="str">
        <f>IF($AX478="Yes",'8. Option Codes Decrypted'!$C$15,"")</f>
        <v/>
      </c>
      <c r="BA478" s="232" t="str">
        <f>IF($AX478="Yes",'8. Option Codes Decrypted'!$C$16,"")</f>
        <v/>
      </c>
      <c r="BB478" s="232" t="str">
        <f>IF($AX478="Yes",'8. Option Codes Decrypted'!$C$17,"")</f>
        <v/>
      </c>
      <c r="BC478" s="232" t="str">
        <f>IF($AX478="Yes",'8. Option Codes Decrypted'!$C$18,"")</f>
        <v/>
      </c>
      <c r="BD478" s="232" t="str">
        <f>IF($AY478="Yes",'8. Option Codes Decrypted'!$C$20,"")</f>
        <v/>
      </c>
      <c r="BE478" s="232" t="str">
        <f>IF($AY478="Yes",'8. Option Codes Decrypted'!$C$21,"")</f>
        <v/>
      </c>
      <c r="BF478" s="232" t="str">
        <f>IF($AY478="Yes",'8. Option Codes Decrypted'!$C$22,"")</f>
        <v/>
      </c>
      <c r="BG478" s="232" t="str">
        <f>IF($AY478="Yes",'8. Option Codes Decrypted'!$C$23,"")</f>
        <v/>
      </c>
    </row>
    <row r="479" spans="1:59" s="232" customFormat="1" ht="15.75" thickBot="1" x14ac:dyDescent="0.3">
      <c r="A479" s="232" t="str">
        <f t="shared" si="90"/>
        <v>A93</v>
      </c>
      <c r="B479" s="358" t="str">
        <f t="shared" si="88"/>
        <v>551-60089</v>
      </c>
      <c r="C479" s="358" t="str">
        <f t="shared" si="93"/>
        <v/>
      </c>
      <c r="D479" s="358"/>
      <c r="E479" s="358">
        <f t="shared" si="89"/>
        <v>1</v>
      </c>
      <c r="F479" s="232" t="s">
        <v>426</v>
      </c>
      <c r="G479" s="241">
        <v>44674</v>
      </c>
      <c r="H479" s="250"/>
      <c r="I479" s="250"/>
      <c r="J479" s="250" t="s">
        <v>427</v>
      </c>
      <c r="K479" s="250" t="s">
        <v>17</v>
      </c>
      <c r="L479" s="250" t="s">
        <v>1671</v>
      </c>
      <c r="M479" s="243" t="s">
        <v>444</v>
      </c>
      <c r="N479" s="243">
        <v>83</v>
      </c>
      <c r="O479" s="285" t="s">
        <v>337</v>
      </c>
      <c r="P479" s="285" t="s">
        <v>724</v>
      </c>
      <c r="Q479" s="285">
        <v>1</v>
      </c>
      <c r="R479" s="286" t="str">
        <f t="shared" si="91"/>
        <v>A93. Steering Gear Rack &amp; Pinion</v>
      </c>
      <c r="S479" s="365" t="str">
        <f>HYPERLINK(VLOOKUP(O479,'3D. Pictures'!$B$3:$E$500,4,FALSE),"PIC")</f>
        <v>PIC</v>
      </c>
      <c r="T479" s="243">
        <v>7</v>
      </c>
      <c r="U479" s="244" t="s">
        <v>1672</v>
      </c>
      <c r="V479" s="243" t="s">
        <v>81</v>
      </c>
      <c r="W479" s="244"/>
      <c r="X479" s="244"/>
      <c r="Y479" s="244"/>
      <c r="Z479" s="250" t="s">
        <v>1665</v>
      </c>
      <c r="AA479" s="250"/>
      <c r="AB479" s="250"/>
      <c r="AC479" s="244" t="s">
        <v>449</v>
      </c>
      <c r="AD479" s="250"/>
      <c r="AE479" s="255">
        <v>790</v>
      </c>
      <c r="AF479" s="252" t="s">
        <v>434</v>
      </c>
      <c r="AG479" s="247"/>
      <c r="AH479" s="248" t="s">
        <v>435</v>
      </c>
      <c r="AJ479" s="249"/>
      <c r="AK479" s="232" t="s">
        <v>1666</v>
      </c>
      <c r="AL479" s="232" t="s">
        <v>1667</v>
      </c>
      <c r="AN479" s="233" t="s">
        <v>1668</v>
      </c>
      <c r="AO479" s="232" t="s">
        <v>411</v>
      </c>
      <c r="AP479" s="232">
        <v>60089</v>
      </c>
      <c r="AQ479" s="232" t="str">
        <f>CONCATENATE(AN479,AO479,AP479)</f>
        <v>551-60089</v>
      </c>
      <c r="AR479" s="232" t="s">
        <v>1673</v>
      </c>
      <c r="AX479" s="244"/>
      <c r="AY479" s="244"/>
      <c r="AZ479" s="232" t="str">
        <f>IF($AX479="Yes",'8. Option Codes Decrypted'!$C$15,"")</f>
        <v/>
      </c>
      <c r="BA479" s="232" t="str">
        <f>IF($AX479="Yes",'8. Option Codes Decrypted'!$C$16,"")</f>
        <v/>
      </c>
      <c r="BB479" s="232" t="str">
        <f>IF($AX479="Yes",'8. Option Codes Decrypted'!$C$17,"")</f>
        <v/>
      </c>
      <c r="BC479" s="232" t="str">
        <f>IF($AX479="Yes",'8. Option Codes Decrypted'!$C$18,"")</f>
        <v/>
      </c>
      <c r="BD479" s="232" t="str">
        <f>IF($AY479="Yes",'8. Option Codes Decrypted'!$C$20,"")</f>
        <v/>
      </c>
      <c r="BE479" s="232" t="str">
        <f>IF($AY479="Yes",'8. Option Codes Decrypted'!$C$21,"")</f>
        <v/>
      </c>
      <c r="BF479" s="232" t="str">
        <f>IF($AY479="Yes",'8. Option Codes Decrypted'!$C$22,"")</f>
        <v/>
      </c>
      <c r="BG479" s="232" t="str">
        <f>IF($AY479="Yes",'8. Option Codes Decrypted'!$C$23,"")</f>
        <v/>
      </c>
    </row>
    <row r="480" spans="1:59" x14ac:dyDescent="0.25">
      <c r="A480" s="232" t="str">
        <f t="shared" si="90"/>
        <v/>
      </c>
      <c r="B480" s="358" t="str">
        <f t="shared" si="88"/>
        <v/>
      </c>
      <c r="C480" s="358" t="str">
        <f t="shared" si="93"/>
        <v/>
      </c>
      <c r="D480" s="358"/>
      <c r="E480" s="358" t="str">
        <f t="shared" si="89"/>
        <v/>
      </c>
      <c r="F480" t="s">
        <v>426</v>
      </c>
      <c r="G480" s="230">
        <v>44673</v>
      </c>
      <c r="H480" s="10"/>
      <c r="I480" s="10"/>
      <c r="J480" s="15" t="s">
        <v>504</v>
      </c>
      <c r="K480" s="10" t="s">
        <v>17</v>
      </c>
      <c r="L480" s="10" t="s">
        <v>1674</v>
      </c>
      <c r="M480" s="195" t="s">
        <v>444</v>
      </c>
      <c r="N480" s="195"/>
      <c r="O480" s="292"/>
      <c r="P480" s="292"/>
      <c r="Q480" s="292"/>
      <c r="R480" s="286" t="str">
        <f t="shared" si="91"/>
        <v>. Axle Shafts, REAR - TOSS ALL</v>
      </c>
      <c r="S480" s="286"/>
      <c r="T480" s="195"/>
      <c r="U480" s="193"/>
      <c r="V480" s="195"/>
      <c r="W480" s="193"/>
      <c r="X480" s="193"/>
      <c r="Y480" s="193"/>
      <c r="Z480" s="10" t="s">
        <v>1674</v>
      </c>
      <c r="AA480" s="10" t="s">
        <v>1674</v>
      </c>
      <c r="AB480" s="10" t="s">
        <v>1674</v>
      </c>
      <c r="AC480" s="193" t="s">
        <v>449</v>
      </c>
      <c r="AD480" s="10"/>
      <c r="AE480" s="10"/>
      <c r="AF480" s="200" t="s">
        <v>434</v>
      </c>
      <c r="AH480" s="3" t="s">
        <v>435</v>
      </c>
      <c r="AJ480" s="69"/>
      <c r="AK480" t="s">
        <v>1675</v>
      </c>
      <c r="AL480" t="s">
        <v>1676</v>
      </c>
      <c r="AN480"/>
      <c r="AO480" t="s">
        <v>411</v>
      </c>
      <c r="AX480" s="193"/>
      <c r="AY480" s="193"/>
      <c r="AZ480" s="232" t="str">
        <f>IF($AX480="Yes",'8. Option Codes Decrypted'!$C$15,"")</f>
        <v/>
      </c>
      <c r="BA480" s="232" t="str">
        <f>IF($AX480="Yes",'8. Option Codes Decrypted'!$C$16,"")</f>
        <v/>
      </c>
      <c r="BB480" s="232" t="str">
        <f>IF($AX480="Yes",'8. Option Codes Decrypted'!$C$17,"")</f>
        <v/>
      </c>
      <c r="BC480" s="232" t="str">
        <f>IF($AX480="Yes",'8. Option Codes Decrypted'!$C$18,"")</f>
        <v/>
      </c>
      <c r="BD480" s="232" t="str">
        <f>IF($AY480="Yes",'8. Option Codes Decrypted'!$C$20,"")</f>
        <v/>
      </c>
      <c r="BE480" s="232" t="str">
        <f>IF($AY480="Yes",'8. Option Codes Decrypted'!$C$21,"")</f>
        <v/>
      </c>
      <c r="BF480" s="232" t="str">
        <f>IF($AY480="Yes",'8. Option Codes Decrypted'!$C$22,"")</f>
        <v/>
      </c>
      <c r="BG480" s="232" t="str">
        <f>IF($AY480="Yes",'8. Option Codes Decrypted'!$C$23,"")</f>
        <v/>
      </c>
    </row>
    <row r="481" spans="1:59" x14ac:dyDescent="0.25">
      <c r="A481" s="232" t="str">
        <f t="shared" si="90"/>
        <v/>
      </c>
      <c r="B481" s="358" t="str">
        <f t="shared" si="88"/>
        <v/>
      </c>
      <c r="C481" s="358" t="str">
        <f t="shared" si="93"/>
        <v/>
      </c>
      <c r="D481" s="358"/>
      <c r="E481" s="358" t="str">
        <f t="shared" si="89"/>
        <v/>
      </c>
      <c r="F481" t="s">
        <v>426</v>
      </c>
      <c r="G481" s="230">
        <v>44673</v>
      </c>
      <c r="H481" s="10"/>
      <c r="I481" s="10"/>
      <c r="J481" s="10" t="s">
        <v>504</v>
      </c>
      <c r="K481" s="10" t="s">
        <v>17</v>
      </c>
      <c r="L481" s="10" t="s">
        <v>1677</v>
      </c>
      <c r="M481" s="195" t="s">
        <v>444</v>
      </c>
      <c r="N481" s="195"/>
      <c r="O481" s="292"/>
      <c r="P481" s="292"/>
      <c r="Q481" s="292"/>
      <c r="R481" s="286" t="str">
        <f t="shared" si="91"/>
        <v>. Brake Calipers</v>
      </c>
      <c r="S481" s="286"/>
      <c r="T481" s="195"/>
      <c r="U481" s="193"/>
      <c r="V481" s="195"/>
      <c r="W481" s="193"/>
      <c r="X481" s="193"/>
      <c r="Y481" s="193"/>
      <c r="Z481" s="10" t="s">
        <v>1677</v>
      </c>
      <c r="AA481" s="10" t="s">
        <v>1677</v>
      </c>
      <c r="AB481" s="10" t="s">
        <v>1677</v>
      </c>
      <c r="AC481" s="193" t="s">
        <v>449</v>
      </c>
      <c r="AD481" s="10"/>
      <c r="AE481" s="10"/>
      <c r="AF481" s="200" t="s">
        <v>434</v>
      </c>
      <c r="AH481" s="3" t="s">
        <v>749</v>
      </c>
      <c r="AJ481" s="69"/>
      <c r="AK481" t="s">
        <v>1678</v>
      </c>
      <c r="AL481" t="s">
        <v>1679</v>
      </c>
      <c r="AN481"/>
      <c r="AO481" t="s">
        <v>411</v>
      </c>
      <c r="AX481" s="193"/>
      <c r="AY481" s="193"/>
      <c r="AZ481" s="232" t="str">
        <f>IF($AX481="Yes",'8. Option Codes Decrypted'!$C$15,"")</f>
        <v/>
      </c>
      <c r="BA481" s="232" t="str">
        <f>IF($AX481="Yes",'8. Option Codes Decrypted'!$C$16,"")</f>
        <v/>
      </c>
      <c r="BB481" s="232" t="str">
        <f>IF($AX481="Yes",'8. Option Codes Decrypted'!$C$17,"")</f>
        <v/>
      </c>
      <c r="BC481" s="232" t="str">
        <f>IF($AX481="Yes",'8. Option Codes Decrypted'!$C$18,"")</f>
        <v/>
      </c>
      <c r="BD481" s="232" t="str">
        <f>IF($AY481="Yes",'8. Option Codes Decrypted'!$C$20,"")</f>
        <v/>
      </c>
      <c r="BE481" s="232" t="str">
        <f>IF($AY481="Yes",'8. Option Codes Decrypted'!$C$21,"")</f>
        <v/>
      </c>
      <c r="BF481" s="232" t="str">
        <f>IF($AY481="Yes",'8. Option Codes Decrypted'!$C$22,"")</f>
        <v/>
      </c>
      <c r="BG481" s="232" t="str">
        <f>IF($AY481="Yes",'8. Option Codes Decrypted'!$C$23,"")</f>
        <v/>
      </c>
    </row>
    <row r="482" spans="1:59" x14ac:dyDescent="0.25">
      <c r="A482" s="232" t="str">
        <f t="shared" si="90"/>
        <v/>
      </c>
      <c r="B482" s="358" t="str">
        <f t="shared" si="88"/>
        <v/>
      </c>
      <c r="C482" s="358" t="str">
        <f t="shared" si="93"/>
        <v/>
      </c>
      <c r="D482" s="358"/>
      <c r="E482" s="358" t="str">
        <f t="shared" si="89"/>
        <v/>
      </c>
      <c r="F482" t="s">
        <v>426</v>
      </c>
      <c r="G482" s="230">
        <v>44673</v>
      </c>
      <c r="H482" s="10"/>
      <c r="I482" s="10"/>
      <c r="J482" s="10" t="s">
        <v>504</v>
      </c>
      <c r="K482" s="15" t="s">
        <v>17</v>
      </c>
      <c r="L482" s="10" t="s">
        <v>1680</v>
      </c>
      <c r="M482" s="16" t="s">
        <v>430</v>
      </c>
      <c r="N482" s="16"/>
      <c r="O482" s="191"/>
      <c r="P482" s="191"/>
      <c r="Q482" s="191"/>
      <c r="R482" s="286" t="str">
        <f t="shared" si="91"/>
        <v>. Brake Rotors (TOSS ALL - no need to save for sizing)</v>
      </c>
      <c r="S482" s="286"/>
      <c r="T482" s="16"/>
      <c r="U482" s="16"/>
      <c r="V482" s="16"/>
      <c r="W482" s="16"/>
      <c r="X482" s="16"/>
      <c r="Y482" s="16"/>
      <c r="Z482" s="10" t="s">
        <v>1680</v>
      </c>
      <c r="AA482" s="10" t="s">
        <v>1680</v>
      </c>
      <c r="AB482" s="10" t="s">
        <v>1680</v>
      </c>
      <c r="AC482" s="193" t="s">
        <v>449</v>
      </c>
      <c r="AD482" s="10"/>
      <c r="AE482" s="10"/>
      <c r="AF482" s="200" t="s">
        <v>434</v>
      </c>
      <c r="AH482" s="3" t="s">
        <v>435</v>
      </c>
      <c r="AJ482" s="69"/>
      <c r="AK482" t="s">
        <v>1681</v>
      </c>
      <c r="AN482"/>
      <c r="AX482" s="16"/>
      <c r="AY482" s="16"/>
      <c r="AZ482" s="232" t="str">
        <f>IF($AX482="Yes",'8. Option Codes Decrypted'!$C$15,"")</f>
        <v/>
      </c>
      <c r="BA482" s="232" t="str">
        <f>IF($AX482="Yes",'8. Option Codes Decrypted'!$C$16,"")</f>
        <v/>
      </c>
      <c r="BB482" s="232" t="str">
        <f>IF($AX482="Yes",'8. Option Codes Decrypted'!$C$17,"")</f>
        <v/>
      </c>
      <c r="BC482" s="232" t="str">
        <f>IF($AX482="Yes",'8. Option Codes Decrypted'!$C$18,"")</f>
        <v/>
      </c>
      <c r="BD482" s="232" t="str">
        <f>IF($AY482="Yes",'8. Option Codes Decrypted'!$C$20,"")</f>
        <v/>
      </c>
      <c r="BE482" s="232" t="str">
        <f>IF($AY482="Yes",'8. Option Codes Decrypted'!$C$21,"")</f>
        <v/>
      </c>
      <c r="BF482" s="232" t="str">
        <f>IF($AY482="Yes",'8. Option Codes Decrypted'!$C$22,"")</f>
        <v/>
      </c>
      <c r="BG482" s="232" t="str">
        <f>IF($AY482="Yes",'8. Option Codes Decrypted'!$C$23,"")</f>
        <v/>
      </c>
    </row>
    <row r="483" spans="1:59" x14ac:dyDescent="0.25">
      <c r="A483" s="232" t="str">
        <f t="shared" si="90"/>
        <v/>
      </c>
      <c r="B483" s="358" t="str">
        <f t="shared" si="88"/>
        <v/>
      </c>
      <c r="C483" s="358" t="str">
        <f t="shared" si="93"/>
        <v/>
      </c>
      <c r="D483" s="358"/>
      <c r="E483" s="358" t="str">
        <f t="shared" si="89"/>
        <v/>
      </c>
      <c r="F483" t="s">
        <v>426</v>
      </c>
      <c r="G483" s="230">
        <v>44680</v>
      </c>
      <c r="H483" s="10"/>
      <c r="I483" s="10"/>
      <c r="J483" s="10" t="s">
        <v>504</v>
      </c>
      <c r="K483" s="15" t="s">
        <v>17</v>
      </c>
      <c r="L483" s="10" t="s">
        <v>1682</v>
      </c>
      <c r="M483" s="231" t="s">
        <v>510</v>
      </c>
      <c r="N483" s="231"/>
      <c r="O483" s="288"/>
      <c r="P483" s="288"/>
      <c r="Q483" s="288"/>
      <c r="R483" s="286" t="str">
        <f t="shared" si="91"/>
        <v>. Charcoal Canister / Evap Box (TOSS)</v>
      </c>
      <c r="S483" s="286"/>
      <c r="T483" s="231"/>
      <c r="U483" s="193"/>
      <c r="V483" s="231"/>
      <c r="W483" s="193"/>
      <c r="X483" s="193"/>
      <c r="Y483" s="193"/>
      <c r="Z483" s="10" t="s">
        <v>1682</v>
      </c>
      <c r="AA483" s="10" t="s">
        <v>1682</v>
      </c>
      <c r="AB483" s="10" t="s">
        <v>1682</v>
      </c>
      <c r="AC483" s="193" t="s">
        <v>449</v>
      </c>
      <c r="AD483" s="10"/>
      <c r="AE483" s="10"/>
      <c r="AF483" s="200" t="s">
        <v>434</v>
      </c>
      <c r="AH483" s="3" t="s">
        <v>435</v>
      </c>
      <c r="AJ483" s="69"/>
      <c r="AK483" t="s">
        <v>1683</v>
      </c>
      <c r="AL483" t="s">
        <v>1684</v>
      </c>
      <c r="AN483"/>
      <c r="AO483" t="s">
        <v>411</v>
      </c>
      <c r="AX483" s="193"/>
      <c r="AY483" s="193"/>
      <c r="AZ483" s="232" t="str">
        <f>IF($AX483="Yes",'8. Option Codes Decrypted'!$C$15,"")</f>
        <v/>
      </c>
      <c r="BA483" s="232" t="str">
        <f>IF($AX483="Yes",'8. Option Codes Decrypted'!$C$16,"")</f>
        <v/>
      </c>
      <c r="BB483" s="232" t="str">
        <f>IF($AX483="Yes",'8. Option Codes Decrypted'!$C$17,"")</f>
        <v/>
      </c>
      <c r="BC483" s="232" t="str">
        <f>IF($AX483="Yes",'8. Option Codes Decrypted'!$C$18,"")</f>
        <v/>
      </c>
      <c r="BD483" s="232" t="str">
        <f>IF($AY483="Yes",'8. Option Codes Decrypted'!$C$20,"")</f>
        <v/>
      </c>
      <c r="BE483" s="232" t="str">
        <f>IF($AY483="Yes",'8. Option Codes Decrypted'!$C$21,"")</f>
        <v/>
      </c>
      <c r="BF483" s="232" t="str">
        <f>IF($AY483="Yes",'8. Option Codes Decrypted'!$C$22,"")</f>
        <v/>
      </c>
      <c r="BG483" s="232" t="str">
        <f>IF($AY483="Yes",'8. Option Codes Decrypted'!$C$23,"")</f>
        <v/>
      </c>
    </row>
    <row r="484" spans="1:59" x14ac:dyDescent="0.25">
      <c r="A484" s="232" t="str">
        <f t="shared" si="90"/>
        <v/>
      </c>
      <c r="B484" s="358" t="str">
        <f t="shared" si="88"/>
        <v/>
      </c>
      <c r="C484" s="358" t="str">
        <f t="shared" si="93"/>
        <v/>
      </c>
      <c r="D484" s="358"/>
      <c r="E484" s="358" t="str">
        <f t="shared" si="89"/>
        <v/>
      </c>
      <c r="F484" t="s">
        <v>426</v>
      </c>
      <c r="G484" s="230">
        <v>44674</v>
      </c>
      <c r="H484" s="10"/>
      <c r="I484" s="10"/>
      <c r="J484" s="10" t="s">
        <v>504</v>
      </c>
      <c r="K484" s="15" t="s">
        <v>17</v>
      </c>
      <c r="L484" s="10" t="s">
        <v>1685</v>
      </c>
      <c r="M484" s="195" t="s">
        <v>444</v>
      </c>
      <c r="N484" s="195"/>
      <c r="O484" s="292"/>
      <c r="P484" s="292"/>
      <c r="Q484" s="292"/>
      <c r="R484" s="286" t="str">
        <f t="shared" si="91"/>
        <v>. Spindle / Knuckles (TOSS ALL - fronts &amp; rears)</v>
      </c>
      <c r="S484" s="286"/>
      <c r="T484" s="195"/>
      <c r="U484" s="193"/>
      <c r="V484" s="195"/>
      <c r="W484" s="193"/>
      <c r="X484" s="193"/>
      <c r="Y484" s="193"/>
      <c r="Z484" s="10" t="s">
        <v>1685</v>
      </c>
      <c r="AA484" s="10" t="s">
        <v>1685</v>
      </c>
      <c r="AB484" s="10" t="s">
        <v>1685</v>
      </c>
      <c r="AC484" s="193" t="s">
        <v>449</v>
      </c>
      <c r="AD484" s="10"/>
      <c r="AE484" s="10"/>
      <c r="AF484" s="200" t="s">
        <v>434</v>
      </c>
      <c r="AH484" s="3" t="s">
        <v>435</v>
      </c>
      <c r="AJ484" s="69"/>
      <c r="AK484" t="s">
        <v>1686</v>
      </c>
      <c r="AL484" t="s">
        <v>1687</v>
      </c>
      <c r="AN484"/>
      <c r="AO484" t="s">
        <v>411</v>
      </c>
      <c r="AX484" s="193"/>
      <c r="AY484" s="193"/>
      <c r="AZ484" s="232" t="str">
        <f>IF($AX484="Yes",'8. Option Codes Decrypted'!$C$15,"")</f>
        <v/>
      </c>
      <c r="BA484" s="232" t="str">
        <f>IF($AX484="Yes",'8. Option Codes Decrypted'!$C$16,"")</f>
        <v/>
      </c>
      <c r="BB484" s="232" t="str">
        <f>IF($AX484="Yes",'8. Option Codes Decrypted'!$C$17,"")</f>
        <v/>
      </c>
      <c r="BC484" s="232" t="str">
        <f>IF($AX484="Yes",'8. Option Codes Decrypted'!$C$18,"")</f>
        <v/>
      </c>
      <c r="BD484" s="232" t="str">
        <f>IF($AY484="Yes",'8. Option Codes Decrypted'!$C$20,"")</f>
        <v/>
      </c>
      <c r="BE484" s="232" t="str">
        <f>IF($AY484="Yes",'8. Option Codes Decrypted'!$C$21,"")</f>
        <v/>
      </c>
      <c r="BF484" s="232" t="str">
        <f>IF($AY484="Yes",'8. Option Codes Decrypted'!$C$22,"")</f>
        <v/>
      </c>
      <c r="BG484" s="232" t="str">
        <f>IF($AY484="Yes",'8. Option Codes Decrypted'!$C$23,"")</f>
        <v/>
      </c>
    </row>
    <row r="485" spans="1:59" x14ac:dyDescent="0.25">
      <c r="A485" s="232" t="str">
        <f t="shared" si="90"/>
        <v/>
      </c>
      <c r="B485" s="358" t="str">
        <f t="shared" si="88"/>
        <v/>
      </c>
      <c r="C485" s="358" t="str">
        <f t="shared" si="93"/>
        <v/>
      </c>
      <c r="D485" s="358"/>
      <c r="E485" s="358" t="str">
        <f t="shared" si="89"/>
        <v/>
      </c>
      <c r="F485" t="s">
        <v>426</v>
      </c>
      <c r="G485" s="230">
        <v>44680</v>
      </c>
      <c r="H485" s="10"/>
      <c r="I485" s="10"/>
      <c r="J485" s="10" t="s">
        <v>504</v>
      </c>
      <c r="K485" s="10" t="s">
        <v>17</v>
      </c>
      <c r="L485" s="10" t="s">
        <v>1688</v>
      </c>
      <c r="M485" s="16" t="s">
        <v>430</v>
      </c>
      <c r="N485" s="16"/>
      <c r="O485" s="191"/>
      <c r="P485" s="191"/>
      <c r="Q485" s="191"/>
      <c r="R485" s="286" t="str">
        <f t="shared" si="91"/>
        <v>. Subframe / Crossmember, REAR (the REALLY BIG one that diff mounted in)</v>
      </c>
      <c r="S485" s="286"/>
      <c r="T485" s="16"/>
      <c r="U485" s="16"/>
      <c r="V485" s="16"/>
      <c r="W485" s="16"/>
      <c r="X485" s="16"/>
      <c r="Y485" s="16"/>
      <c r="Z485" s="10" t="s">
        <v>1688</v>
      </c>
      <c r="AA485" s="10" t="s">
        <v>1688</v>
      </c>
      <c r="AB485" s="10" t="s">
        <v>1688</v>
      </c>
      <c r="AC485" s="193" t="s">
        <v>449</v>
      </c>
      <c r="AD485" s="10"/>
      <c r="AE485" s="10"/>
      <c r="AF485" s="200" t="s">
        <v>434</v>
      </c>
      <c r="AH485" s="3" t="s">
        <v>435</v>
      </c>
      <c r="AJ485" s="69"/>
      <c r="AK485" t="s">
        <v>1689</v>
      </c>
      <c r="AN485"/>
      <c r="AX485" s="16"/>
      <c r="AY485" s="16"/>
      <c r="AZ485" s="232" t="str">
        <f>IF($AX485="Yes",'8. Option Codes Decrypted'!$C$15,"")</f>
        <v/>
      </c>
      <c r="BA485" s="232" t="str">
        <f>IF($AX485="Yes",'8. Option Codes Decrypted'!$C$16,"")</f>
        <v/>
      </c>
      <c r="BB485" s="232" t="str">
        <f>IF($AX485="Yes",'8. Option Codes Decrypted'!$C$17,"")</f>
        <v/>
      </c>
      <c r="BC485" s="232" t="str">
        <f>IF($AX485="Yes",'8. Option Codes Decrypted'!$C$18,"")</f>
        <v/>
      </c>
      <c r="BD485" s="232" t="str">
        <f>IF($AY485="Yes",'8. Option Codes Decrypted'!$C$20,"")</f>
        <v/>
      </c>
      <c r="BE485" s="232" t="str">
        <f>IF($AY485="Yes",'8. Option Codes Decrypted'!$C$21,"")</f>
        <v/>
      </c>
      <c r="BF485" s="232" t="str">
        <f>IF($AY485="Yes",'8. Option Codes Decrypted'!$C$22,"")</f>
        <v/>
      </c>
      <c r="BG485" s="232" t="str">
        <f>IF($AY485="Yes",'8. Option Codes Decrypted'!$C$23,"")</f>
        <v/>
      </c>
    </row>
    <row r="486" spans="1:59" x14ac:dyDescent="0.25">
      <c r="A486" s="232" t="str">
        <f t="shared" si="90"/>
        <v/>
      </c>
      <c r="B486" s="358" t="str">
        <f t="shared" si="88"/>
        <v/>
      </c>
      <c r="C486" s="358" t="str">
        <f t="shared" si="93"/>
        <v/>
      </c>
      <c r="D486" s="358"/>
      <c r="E486" s="358" t="str">
        <f t="shared" si="89"/>
        <v/>
      </c>
      <c r="F486" t="s">
        <v>426</v>
      </c>
      <c r="G486" s="230">
        <v>44680</v>
      </c>
      <c r="H486" s="10"/>
      <c r="I486" s="10"/>
      <c r="J486" s="10" t="s">
        <v>504</v>
      </c>
      <c r="K486" s="15" t="s">
        <v>17</v>
      </c>
      <c r="L486" s="10" t="s">
        <v>1690</v>
      </c>
      <c r="M486" s="195" t="s">
        <v>444</v>
      </c>
      <c r="N486" s="195"/>
      <c r="O486" s="292"/>
      <c r="P486" s="292"/>
      <c r="Q486" s="292"/>
      <c r="R486" s="286" t="str">
        <f t="shared" si="91"/>
        <v>. Sway Bar / Stabilizer Bar, REAR (TOSS ALL - even dynamic ones)</v>
      </c>
      <c r="S486" s="286"/>
      <c r="T486" s="195"/>
      <c r="U486" s="193"/>
      <c r="V486" s="195"/>
      <c r="W486" s="193"/>
      <c r="X486" s="193"/>
      <c r="Y486" s="193"/>
      <c r="Z486" s="10" t="s">
        <v>1690</v>
      </c>
      <c r="AA486" s="10" t="s">
        <v>1690</v>
      </c>
      <c r="AB486" s="10" t="s">
        <v>1690</v>
      </c>
      <c r="AC486" s="193" t="s">
        <v>449</v>
      </c>
      <c r="AD486" s="10"/>
      <c r="AE486" s="10"/>
      <c r="AF486" s="200" t="s">
        <v>434</v>
      </c>
      <c r="AH486" s="3" t="s">
        <v>435</v>
      </c>
      <c r="AJ486" s="69"/>
      <c r="AK486" t="s">
        <v>1691</v>
      </c>
      <c r="AN486"/>
      <c r="AO486" t="s">
        <v>411</v>
      </c>
      <c r="AX486" s="193"/>
      <c r="AY486" s="193"/>
      <c r="AZ486" s="232" t="str">
        <f>IF($AX486="Yes",'8. Option Codes Decrypted'!$C$15,"")</f>
        <v/>
      </c>
      <c r="BA486" s="232" t="str">
        <f>IF($AX486="Yes",'8. Option Codes Decrypted'!$C$16,"")</f>
        <v/>
      </c>
      <c r="BB486" s="232" t="str">
        <f>IF($AX486="Yes",'8. Option Codes Decrypted'!$C$17,"")</f>
        <v/>
      </c>
      <c r="BC486" s="232" t="str">
        <f>IF($AX486="Yes",'8. Option Codes Decrypted'!$C$18,"")</f>
        <v/>
      </c>
      <c r="BD486" s="232" t="str">
        <f>IF($AY486="Yes",'8. Option Codes Decrypted'!$C$20,"")</f>
        <v/>
      </c>
      <c r="BE486" s="232" t="str">
        <f>IF($AY486="Yes",'8. Option Codes Decrypted'!$C$21,"")</f>
        <v/>
      </c>
      <c r="BF486" s="232" t="str">
        <f>IF($AY486="Yes",'8. Option Codes Decrypted'!$C$22,"")</f>
        <v/>
      </c>
      <c r="BG486" s="232" t="str">
        <f>IF($AY486="Yes",'8. Option Codes Decrypted'!$C$23,"")</f>
        <v/>
      </c>
    </row>
    <row r="487" spans="1:59" x14ac:dyDescent="0.25">
      <c r="A487" s="232" t="str">
        <f t="shared" si="90"/>
        <v/>
      </c>
      <c r="B487" s="358" t="str">
        <f t="shared" ref="B487" si="94">IF(AQ487&lt;&gt;"",AQ487,"")</f>
        <v/>
      </c>
      <c r="C487" s="358" t="str">
        <f t="shared" ref="C487" si="95">IF(AS487&lt;&gt;"",AS487,"")</f>
        <v/>
      </c>
      <c r="D487" s="358"/>
      <c r="E487" s="358" t="str">
        <f t="shared" si="89"/>
        <v/>
      </c>
      <c r="F487" t="s">
        <v>426</v>
      </c>
      <c r="G487" s="230">
        <v>45216</v>
      </c>
      <c r="H487" s="10"/>
      <c r="I487" s="10"/>
      <c r="J487" s="10" t="s">
        <v>504</v>
      </c>
      <c r="K487" s="15" t="s">
        <v>239</v>
      </c>
      <c r="L487" s="10" t="s">
        <v>1692</v>
      </c>
      <c r="M487" s="368" t="s">
        <v>444</v>
      </c>
      <c r="N487" s="368"/>
      <c r="O487" s="371"/>
      <c r="P487" s="371"/>
      <c r="Q487" s="371"/>
      <c r="R487" s="286" t="str">
        <f t="shared" si="91"/>
        <v>. Automatic Flywheel Flex Plate</v>
      </c>
      <c r="S487" s="286"/>
      <c r="T487" s="368"/>
      <c r="U487" s="199"/>
      <c r="V487" s="368"/>
      <c r="W487" s="199"/>
      <c r="X487" s="199"/>
      <c r="Y487" s="199"/>
      <c r="Z487" s="10" t="s">
        <v>1693</v>
      </c>
      <c r="AA487" s="10"/>
      <c r="AB487" s="10"/>
      <c r="AC487" s="199" t="s">
        <v>449</v>
      </c>
      <c r="AD487" s="10"/>
      <c r="AE487" s="10"/>
      <c r="AF487" s="200" t="s">
        <v>434</v>
      </c>
      <c r="AG487" s="369"/>
      <c r="AH487" s="3" t="s">
        <v>1694</v>
      </c>
      <c r="AJ487" s="370"/>
      <c r="AK487" t="s">
        <v>1695</v>
      </c>
      <c r="AN487"/>
      <c r="AX487" s="199"/>
      <c r="AY487" s="199"/>
      <c r="AZ487" t="str">
        <f>IF($AX487="Yes",'8. Option Codes Decrypted'!$C$15,"")</f>
        <v/>
      </c>
      <c r="BA487" t="str">
        <f>IF($AX487="Yes",'8. Option Codes Decrypted'!$C$16,"")</f>
        <v/>
      </c>
      <c r="BB487" t="str">
        <f>IF($AX487="Yes",'8. Option Codes Decrypted'!$C$17,"")</f>
        <v/>
      </c>
      <c r="BC487" t="str">
        <f>IF($AX487="Yes",'8. Option Codes Decrypted'!$C$18,"")</f>
        <v/>
      </c>
      <c r="BD487" t="str">
        <f>IF($AY487="Yes",'8. Option Codes Decrypted'!$C$20,"")</f>
        <v/>
      </c>
      <c r="BE487" t="str">
        <f>IF($AY487="Yes",'8. Option Codes Decrypted'!$C$21,"")</f>
        <v/>
      </c>
      <c r="BF487" t="str">
        <f>IF($AY487="Yes",'8. Option Codes Decrypted'!$C$22,"")</f>
        <v/>
      </c>
      <c r="BG487" t="str">
        <f>IF($AY487="Yes",'8. Option Codes Decrypted'!$C$23,"")</f>
        <v/>
      </c>
    </row>
    <row r="488" spans="1:59" s="232" customFormat="1" ht="15.75" thickBot="1" x14ac:dyDescent="0.3">
      <c r="A488" s="232" t="str">
        <f t="shared" si="90"/>
        <v/>
      </c>
      <c r="B488" s="358" t="str">
        <f t="shared" si="88"/>
        <v>407-999939</v>
      </c>
      <c r="C488" s="358" t="str">
        <f t="shared" si="93"/>
        <v/>
      </c>
      <c r="D488" s="358"/>
      <c r="E488" s="358">
        <f t="shared" si="89"/>
        <v>1</v>
      </c>
      <c r="F488" s="232" t="s">
        <v>426</v>
      </c>
      <c r="G488" s="241">
        <v>44674</v>
      </c>
      <c r="H488" s="250"/>
      <c r="I488" s="250"/>
      <c r="J488" s="250" t="s">
        <v>427</v>
      </c>
      <c r="K488" s="250" t="s">
        <v>239</v>
      </c>
      <c r="L488" s="250" t="s">
        <v>1696</v>
      </c>
      <c r="M488" s="254" t="s">
        <v>1071</v>
      </c>
      <c r="N488" s="254"/>
      <c r="O488" s="287"/>
      <c r="P488" s="287"/>
      <c r="Q488" s="287"/>
      <c r="R488" s="286" t="str">
        <f t="shared" si="91"/>
        <v>. Torque Converter</v>
      </c>
      <c r="S488" s="286"/>
      <c r="T488" s="254"/>
      <c r="U488" s="244"/>
      <c r="V488" s="254"/>
      <c r="W488" s="244"/>
      <c r="X488" s="244"/>
      <c r="Y488" s="244"/>
      <c r="Z488" s="250" t="s">
        <v>1696</v>
      </c>
      <c r="AA488" s="250"/>
      <c r="AB488" s="250"/>
      <c r="AC488" s="244" t="s">
        <v>449</v>
      </c>
      <c r="AD488" s="250"/>
      <c r="AE488" s="250">
        <v>250</v>
      </c>
      <c r="AF488" s="252" t="s">
        <v>434</v>
      </c>
      <c r="AG488" s="247"/>
      <c r="AH488" s="248" t="s">
        <v>1697</v>
      </c>
      <c r="AJ488" s="249"/>
      <c r="AK488" s="232" t="s">
        <v>1698</v>
      </c>
      <c r="AL488" s="232" t="s">
        <v>1699</v>
      </c>
      <c r="AN488" s="233" t="s">
        <v>1700</v>
      </c>
      <c r="AO488" s="232" t="s">
        <v>411</v>
      </c>
      <c r="AP488" s="232">
        <v>999939</v>
      </c>
      <c r="AQ488" s="232" t="str">
        <f t="shared" ref="AQ488:AQ493" si="96">CONCATENATE(AN488,AO488,AP488)</f>
        <v>407-999939</v>
      </c>
      <c r="AR488" s="232" t="s">
        <v>1701</v>
      </c>
      <c r="AX488" s="244"/>
      <c r="AY488" s="244"/>
      <c r="AZ488" s="232" t="str">
        <f>IF($AX488="Yes",'8. Option Codes Decrypted'!$C$15,"")</f>
        <v/>
      </c>
      <c r="BA488" s="232" t="str">
        <f>IF($AX488="Yes",'8. Option Codes Decrypted'!$C$16,"")</f>
        <v/>
      </c>
      <c r="BB488" s="232" t="str">
        <f>IF($AX488="Yes",'8. Option Codes Decrypted'!$C$17,"")</f>
        <v/>
      </c>
      <c r="BC488" s="232" t="str">
        <f>IF($AX488="Yes",'8. Option Codes Decrypted'!$C$18,"")</f>
        <v/>
      </c>
      <c r="BD488" s="232" t="str">
        <f>IF($AY488="Yes",'8. Option Codes Decrypted'!$C$20,"")</f>
        <v/>
      </c>
      <c r="BE488" s="232" t="str">
        <f>IF($AY488="Yes",'8. Option Codes Decrypted'!$C$21,"")</f>
        <v/>
      </c>
      <c r="BF488" s="232" t="str">
        <f>IF($AY488="Yes",'8. Option Codes Decrypted'!$C$22,"")</f>
        <v/>
      </c>
      <c r="BG488" s="232" t="str">
        <f>IF($AY488="Yes",'8. Option Codes Decrypted'!$C$23,"")</f>
        <v/>
      </c>
    </row>
    <row r="489" spans="1:59" s="232" customFormat="1" ht="15.75" thickBot="1" x14ac:dyDescent="0.3">
      <c r="A489" s="232" t="str">
        <f t="shared" si="90"/>
        <v>A92</v>
      </c>
      <c r="B489" s="358" t="str">
        <f t="shared" si="88"/>
        <v>407-999940</v>
      </c>
      <c r="C489" s="358" t="str">
        <f t="shared" si="93"/>
        <v/>
      </c>
      <c r="D489" s="358"/>
      <c r="E489" s="358">
        <f t="shared" si="89"/>
        <v>1</v>
      </c>
      <c r="F489" s="232" t="s">
        <v>426</v>
      </c>
      <c r="G489" s="241">
        <v>44674</v>
      </c>
      <c r="H489" s="250"/>
      <c r="I489" s="250"/>
      <c r="J489" s="250" t="s">
        <v>427</v>
      </c>
      <c r="K489" s="250" t="s">
        <v>239</v>
      </c>
      <c r="L489" s="250" t="s">
        <v>1696</v>
      </c>
      <c r="M489" s="254" t="s">
        <v>1071</v>
      </c>
      <c r="N489" s="254">
        <v>82</v>
      </c>
      <c r="O489" s="287" t="s">
        <v>336</v>
      </c>
      <c r="P489" s="287" t="s">
        <v>724</v>
      </c>
      <c r="Q489" s="287">
        <v>1</v>
      </c>
      <c r="R489" s="286" t="str">
        <f t="shared" si="91"/>
        <v>A92. Torque Converter</v>
      </c>
      <c r="S489" s="365" t="str">
        <f>HYPERLINK(VLOOKUP(O489,'3D. Pictures'!$B$3:$E$500,4,FALSE),"PIC")</f>
        <v>PIC</v>
      </c>
      <c r="T489" s="254">
        <v>4</v>
      </c>
      <c r="U489" s="244" t="s">
        <v>1702</v>
      </c>
      <c r="V489" s="254" t="s">
        <v>80</v>
      </c>
      <c r="W489" s="244"/>
      <c r="X489" s="244"/>
      <c r="Y489" s="244"/>
      <c r="Z489" s="250" t="s">
        <v>1696</v>
      </c>
      <c r="AA489" s="250"/>
      <c r="AB489" s="250"/>
      <c r="AC489" s="244" t="s">
        <v>449</v>
      </c>
      <c r="AD489" s="250"/>
      <c r="AE489" s="250">
        <v>250</v>
      </c>
      <c r="AF489" s="252" t="s">
        <v>434</v>
      </c>
      <c r="AG489" s="247"/>
      <c r="AH489" s="248" t="s">
        <v>1697</v>
      </c>
      <c r="AJ489" s="249"/>
      <c r="AK489" s="232" t="s">
        <v>1698</v>
      </c>
      <c r="AL489" s="232" t="s">
        <v>1699</v>
      </c>
      <c r="AN489" s="233" t="s">
        <v>1700</v>
      </c>
      <c r="AO489" s="232" t="s">
        <v>411</v>
      </c>
      <c r="AP489" s="232">
        <v>999940</v>
      </c>
      <c r="AQ489" s="232" t="str">
        <f>CONCATENATE(AN489,AO489,AP489)</f>
        <v>407-999940</v>
      </c>
      <c r="AR489" s="232" t="s">
        <v>1703</v>
      </c>
      <c r="AX489" s="244"/>
      <c r="AY489" s="244"/>
      <c r="AZ489" s="232" t="str">
        <f>IF($AX489="Yes",'8. Option Codes Decrypted'!$C$15,"")</f>
        <v/>
      </c>
      <c r="BA489" s="232" t="str">
        <f>IF($AX489="Yes",'8. Option Codes Decrypted'!$C$16,"")</f>
        <v/>
      </c>
      <c r="BB489" s="232" t="str">
        <f>IF($AX489="Yes",'8. Option Codes Decrypted'!$C$17,"")</f>
        <v/>
      </c>
      <c r="BC489" s="232" t="str">
        <f>IF($AX489="Yes",'8. Option Codes Decrypted'!$C$18,"")</f>
        <v/>
      </c>
      <c r="BD489" s="232" t="str">
        <f>IF($AY489="Yes",'8. Option Codes Decrypted'!$C$20,"")</f>
        <v/>
      </c>
      <c r="BE489" s="232" t="str">
        <f>IF($AY489="Yes",'8. Option Codes Decrypted'!$C$21,"")</f>
        <v/>
      </c>
      <c r="BF489" s="232" t="str">
        <f>IF($AY489="Yes",'8. Option Codes Decrypted'!$C$22,"")</f>
        <v/>
      </c>
      <c r="BG489" s="232" t="str">
        <f>IF($AY489="Yes",'8. Option Codes Decrypted'!$C$23,"")</f>
        <v/>
      </c>
    </row>
    <row r="490" spans="1:59" s="232" customFormat="1" x14ac:dyDescent="0.25">
      <c r="A490" s="232" t="str">
        <f t="shared" si="90"/>
        <v/>
      </c>
      <c r="B490" s="358" t="str">
        <f t="shared" si="88"/>
        <v>412-59249</v>
      </c>
      <c r="C490" s="358" t="str">
        <f t="shared" si="93"/>
        <v/>
      </c>
      <c r="D490" s="358"/>
      <c r="E490" s="358">
        <f t="shared" si="89"/>
        <v>1</v>
      </c>
      <c r="F490" s="232" t="s">
        <v>508</v>
      </c>
      <c r="G490" s="241">
        <v>44831</v>
      </c>
      <c r="H490" s="250"/>
      <c r="I490" s="250"/>
      <c r="J490" s="250" t="s">
        <v>427</v>
      </c>
      <c r="K490" s="251" t="s">
        <v>239</v>
      </c>
      <c r="L490" s="250" t="s">
        <v>1704</v>
      </c>
      <c r="M490" s="243" t="s">
        <v>444</v>
      </c>
      <c r="N490" s="243"/>
      <c r="O490" s="285"/>
      <c r="P490" s="285"/>
      <c r="Q490" s="285"/>
      <c r="R490" s="286" t="str">
        <f t="shared" si="91"/>
        <v>. Transfer Case</v>
      </c>
      <c r="S490" s="286"/>
      <c r="T490" s="243"/>
      <c r="U490" s="244"/>
      <c r="V490" s="243"/>
      <c r="W490" s="244"/>
      <c r="X490" s="244"/>
      <c r="Y490" s="244"/>
      <c r="Z490" s="250" t="s">
        <v>1704</v>
      </c>
      <c r="AA490" s="250" t="s">
        <v>1705</v>
      </c>
      <c r="AB490" s="250"/>
      <c r="AC490" s="244" t="s">
        <v>449</v>
      </c>
      <c r="AD490" s="250" t="s">
        <v>1706</v>
      </c>
      <c r="AE490" s="255">
        <v>695</v>
      </c>
      <c r="AF490" s="252" t="s">
        <v>434</v>
      </c>
      <c r="AG490" s="247"/>
      <c r="AH490" s="248" t="s">
        <v>435</v>
      </c>
      <c r="AJ490" s="249"/>
      <c r="AK490" s="232" t="s">
        <v>1707</v>
      </c>
      <c r="AL490" s="232" t="s">
        <v>1708</v>
      </c>
      <c r="AM490" s="232" t="s">
        <v>1709</v>
      </c>
      <c r="AN490" s="233" t="s">
        <v>1710</v>
      </c>
      <c r="AO490" s="232" t="s">
        <v>411</v>
      </c>
      <c r="AP490" s="232">
        <v>59249</v>
      </c>
      <c r="AQ490" s="232" t="str">
        <f t="shared" si="96"/>
        <v>412-59249</v>
      </c>
      <c r="AR490" s="232" t="s">
        <v>1711</v>
      </c>
      <c r="AX490" s="244"/>
      <c r="AY490" s="244"/>
      <c r="AZ490" s="232" t="str">
        <f>IF($AX490="Yes",'8. Option Codes Decrypted'!$C$15,"")</f>
        <v/>
      </c>
      <c r="BA490" s="232" t="str">
        <f>IF($AX490="Yes",'8. Option Codes Decrypted'!$C$16,"")</f>
        <v/>
      </c>
      <c r="BB490" s="232" t="str">
        <f>IF($AX490="Yes",'8. Option Codes Decrypted'!$C$17,"")</f>
        <v/>
      </c>
      <c r="BC490" s="232" t="str">
        <f>IF($AX490="Yes",'8. Option Codes Decrypted'!$C$18,"")</f>
        <v/>
      </c>
      <c r="BD490" s="232" t="str">
        <f>IF($AY490="Yes",'8. Option Codes Decrypted'!$C$20,"")</f>
        <v/>
      </c>
      <c r="BE490" s="232" t="str">
        <f>IF($AY490="Yes",'8. Option Codes Decrypted'!$C$21,"")</f>
        <v/>
      </c>
      <c r="BF490" s="232" t="str">
        <f>IF($AY490="Yes",'8. Option Codes Decrypted'!$C$22,"")</f>
        <v/>
      </c>
      <c r="BG490" s="232" t="str">
        <f>IF($AY490="Yes",'8. Option Codes Decrypted'!$C$23,"")</f>
        <v/>
      </c>
    </row>
    <row r="491" spans="1:59" s="232" customFormat="1" x14ac:dyDescent="0.25">
      <c r="A491" s="232" t="str">
        <f t="shared" si="90"/>
        <v/>
      </c>
      <c r="B491" s="358" t="str">
        <f t="shared" si="88"/>
        <v>412-59298</v>
      </c>
      <c r="C491" s="358" t="str">
        <f t="shared" si="93"/>
        <v/>
      </c>
      <c r="D491" s="358"/>
      <c r="E491" s="358">
        <f t="shared" si="89"/>
        <v>1</v>
      </c>
      <c r="F491" s="232" t="s">
        <v>508</v>
      </c>
      <c r="G491" s="241">
        <v>44831</v>
      </c>
      <c r="H491" s="250"/>
      <c r="I491" s="250"/>
      <c r="J491" s="250" t="s">
        <v>427</v>
      </c>
      <c r="K491" s="251" t="s">
        <v>239</v>
      </c>
      <c r="L491" s="250" t="s">
        <v>1704</v>
      </c>
      <c r="M491" s="243" t="s">
        <v>444</v>
      </c>
      <c r="N491" s="243"/>
      <c r="O491" s="285"/>
      <c r="P491" s="285"/>
      <c r="Q491" s="285"/>
      <c r="R491" s="286" t="str">
        <f t="shared" si="91"/>
        <v>. Transfer Case</v>
      </c>
      <c r="S491" s="286"/>
      <c r="T491" s="243"/>
      <c r="U491" s="244"/>
      <c r="V491" s="243"/>
      <c r="W491" s="244"/>
      <c r="X491" s="244"/>
      <c r="Y491" s="244"/>
      <c r="Z491" s="250" t="s">
        <v>1704</v>
      </c>
      <c r="AA491" s="250" t="s">
        <v>1705</v>
      </c>
      <c r="AB491" s="250"/>
      <c r="AC491" s="244" t="s">
        <v>449</v>
      </c>
      <c r="AD491" s="250" t="s">
        <v>1706</v>
      </c>
      <c r="AE491" s="255">
        <v>1500</v>
      </c>
      <c r="AF491" s="252" t="s">
        <v>434</v>
      </c>
      <c r="AG491" s="247"/>
      <c r="AH491" s="248" t="s">
        <v>435</v>
      </c>
      <c r="AJ491" s="249"/>
      <c r="AK491" s="232" t="s">
        <v>1707</v>
      </c>
      <c r="AL491" s="232" t="s">
        <v>1708</v>
      </c>
      <c r="AM491" s="232" t="s">
        <v>1709</v>
      </c>
      <c r="AN491" s="233" t="s">
        <v>1710</v>
      </c>
      <c r="AO491" s="232" t="s">
        <v>411</v>
      </c>
      <c r="AP491" s="232">
        <v>59298</v>
      </c>
      <c r="AQ491" s="232" t="str">
        <f>CONCATENATE(AN491,AO491,AP491)</f>
        <v>412-59298</v>
      </c>
      <c r="AR491" s="232" t="s">
        <v>1712</v>
      </c>
      <c r="AX491" s="244"/>
      <c r="AY491" s="244"/>
      <c r="AZ491" s="232" t="str">
        <f>IF($AX491="Yes",'8. Option Codes Decrypted'!$C$15,"")</f>
        <v/>
      </c>
      <c r="BA491" s="232" t="str">
        <f>IF($AX491="Yes",'8. Option Codes Decrypted'!$C$16,"")</f>
        <v/>
      </c>
      <c r="BB491" s="232" t="str">
        <f>IF($AX491="Yes",'8. Option Codes Decrypted'!$C$17,"")</f>
        <v/>
      </c>
      <c r="BC491" s="232" t="str">
        <f>IF($AX491="Yes",'8. Option Codes Decrypted'!$C$18,"")</f>
        <v/>
      </c>
      <c r="BD491" s="232" t="str">
        <f>IF($AY491="Yes",'8. Option Codes Decrypted'!$C$20,"")</f>
        <v/>
      </c>
      <c r="BE491" s="232" t="str">
        <f>IF($AY491="Yes",'8. Option Codes Decrypted'!$C$21,"")</f>
        <v/>
      </c>
      <c r="BF491" s="232" t="str">
        <f>IF($AY491="Yes",'8. Option Codes Decrypted'!$C$22,"")</f>
        <v/>
      </c>
      <c r="BG491" s="232" t="str">
        <f>IF($AY491="Yes",'8. Option Codes Decrypted'!$C$23,"")</f>
        <v/>
      </c>
    </row>
    <row r="492" spans="1:59" s="232" customFormat="1" ht="15.75" thickBot="1" x14ac:dyDescent="0.3">
      <c r="A492" s="232" t="str">
        <f t="shared" si="90"/>
        <v/>
      </c>
      <c r="B492" s="358" t="str">
        <f t="shared" si="88"/>
        <v>420-194</v>
      </c>
      <c r="C492" s="358" t="str">
        <f t="shared" si="93"/>
        <v/>
      </c>
      <c r="D492" s="358"/>
      <c r="E492" s="358">
        <f t="shared" si="89"/>
        <v>1</v>
      </c>
      <c r="F492" s="232" t="s">
        <v>426</v>
      </c>
      <c r="G492" s="241">
        <v>44674</v>
      </c>
      <c r="H492" s="250"/>
      <c r="I492" s="250"/>
      <c r="J492" s="250" t="s">
        <v>427</v>
      </c>
      <c r="K492" s="251" t="s">
        <v>239</v>
      </c>
      <c r="L492" s="250" t="s">
        <v>1713</v>
      </c>
      <c r="M492" s="243" t="s">
        <v>444</v>
      </c>
      <c r="N492" s="243"/>
      <c r="O492" s="285"/>
      <c r="P492" s="285"/>
      <c r="Q492" s="285"/>
      <c r="R492" s="286" t="str">
        <f t="shared" si="91"/>
        <v>. Transfer Case Shift Motor</v>
      </c>
      <c r="S492" s="286"/>
      <c r="T492" s="243"/>
      <c r="U492" s="244"/>
      <c r="V492" s="243"/>
      <c r="W492" s="244"/>
      <c r="X492" s="244"/>
      <c r="Y492" s="244"/>
      <c r="Z492" s="250" t="s">
        <v>1713</v>
      </c>
      <c r="AA492" s="250"/>
      <c r="AB492" s="250"/>
      <c r="AC492" s="244" t="s">
        <v>449</v>
      </c>
      <c r="AD492" s="250"/>
      <c r="AE492" s="250">
        <v>235</v>
      </c>
      <c r="AF492" s="252" t="s">
        <v>434</v>
      </c>
      <c r="AG492" s="247"/>
      <c r="AH492" s="248" t="s">
        <v>435</v>
      </c>
      <c r="AJ492" s="249"/>
      <c r="AK492" s="232" t="s">
        <v>1707</v>
      </c>
      <c r="AL492" s="232" t="s">
        <v>1708</v>
      </c>
      <c r="AM492" s="232" t="s">
        <v>1709</v>
      </c>
      <c r="AN492" s="233">
        <v>420</v>
      </c>
      <c r="AO492" s="232" t="s">
        <v>411</v>
      </c>
      <c r="AP492" s="232">
        <v>194</v>
      </c>
      <c r="AQ492" s="232" t="str">
        <f t="shared" si="96"/>
        <v>420-194</v>
      </c>
      <c r="AX492" s="244"/>
      <c r="AY492" s="244"/>
      <c r="AZ492" s="232" t="str">
        <f>IF($AX492="Yes",'8. Option Codes Decrypted'!$C$15,"")</f>
        <v/>
      </c>
      <c r="BA492" s="232" t="str">
        <f>IF($AX492="Yes",'8. Option Codes Decrypted'!$C$16,"")</f>
        <v/>
      </c>
      <c r="BB492" s="232" t="str">
        <f>IF($AX492="Yes",'8. Option Codes Decrypted'!$C$17,"")</f>
        <v/>
      </c>
      <c r="BC492" s="232" t="str">
        <f>IF($AX492="Yes",'8. Option Codes Decrypted'!$C$18,"")</f>
        <v/>
      </c>
      <c r="BD492" s="232" t="str">
        <f>IF($AY492="Yes",'8. Option Codes Decrypted'!$C$20,"")</f>
        <v/>
      </c>
      <c r="BE492" s="232" t="str">
        <f>IF($AY492="Yes",'8. Option Codes Decrypted'!$C$21,"")</f>
        <v/>
      </c>
      <c r="BF492" s="232" t="str">
        <f>IF($AY492="Yes",'8. Option Codes Decrypted'!$C$22,"")</f>
        <v/>
      </c>
      <c r="BG492" s="232" t="str">
        <f>IF($AY492="Yes",'8. Option Codes Decrypted'!$C$23,"")</f>
        <v/>
      </c>
    </row>
    <row r="493" spans="1:59" s="232" customFormat="1" ht="15.75" thickBot="1" x14ac:dyDescent="0.3">
      <c r="A493" s="232" t="str">
        <f t="shared" si="90"/>
        <v>A43</v>
      </c>
      <c r="B493" s="358" t="str">
        <f t="shared" si="88"/>
        <v>414-999923</v>
      </c>
      <c r="C493" s="358" t="str">
        <f t="shared" si="93"/>
        <v/>
      </c>
      <c r="D493" s="358"/>
      <c r="E493" s="358">
        <f t="shared" si="89"/>
        <v>1</v>
      </c>
      <c r="F493" s="232" t="s">
        <v>508</v>
      </c>
      <c r="G493" s="241">
        <v>44691</v>
      </c>
      <c r="H493" s="257"/>
      <c r="I493" s="250"/>
      <c r="J493" s="250" t="s">
        <v>427</v>
      </c>
      <c r="K493" s="251" t="s">
        <v>239</v>
      </c>
      <c r="L493" s="250" t="s">
        <v>1714</v>
      </c>
      <c r="M493" s="254" t="s">
        <v>1071</v>
      </c>
      <c r="N493" s="254">
        <v>33</v>
      </c>
      <c r="O493" s="287" t="s">
        <v>287</v>
      </c>
      <c r="P493" s="287" t="s">
        <v>459</v>
      </c>
      <c r="Q493" s="287">
        <v>1</v>
      </c>
      <c r="R493" s="286" t="str">
        <f t="shared" si="91"/>
        <v>A43. Transmission Oil Cooler</v>
      </c>
      <c r="S493" s="365" t="str">
        <f>HYPERLINK(VLOOKUP(O493,'3D. Pictures'!$B$3:$E$500,4,FALSE),"PIC")</f>
        <v>PIC</v>
      </c>
      <c r="T493" s="254">
        <v>5</v>
      </c>
      <c r="U493" s="244" t="s">
        <v>1715</v>
      </c>
      <c r="V493" s="254" t="s">
        <v>80</v>
      </c>
      <c r="W493" s="244"/>
      <c r="X493" s="244"/>
      <c r="Y493" s="244"/>
      <c r="Z493" s="250" t="s">
        <v>1714</v>
      </c>
      <c r="AA493" s="250"/>
      <c r="AB493" s="250"/>
      <c r="AC493" s="244" t="s">
        <v>449</v>
      </c>
      <c r="AD493" s="250"/>
      <c r="AE493" s="250">
        <v>100</v>
      </c>
      <c r="AF493" s="252" t="s">
        <v>434</v>
      </c>
      <c r="AG493" s="247"/>
      <c r="AH493" s="248" t="s">
        <v>435</v>
      </c>
      <c r="AJ493" s="249"/>
      <c r="AK493" s="232" t="s">
        <v>1716</v>
      </c>
      <c r="AN493" s="233" t="s">
        <v>1717</v>
      </c>
      <c r="AO493" s="232" t="s">
        <v>411</v>
      </c>
      <c r="AP493" s="232">
        <v>999923</v>
      </c>
      <c r="AQ493" s="232" t="str">
        <f t="shared" si="96"/>
        <v>414-999923</v>
      </c>
      <c r="AX493" s="244"/>
      <c r="AY493" s="244"/>
      <c r="AZ493" s="232" t="str">
        <f>IF($AX493="Yes",'8. Option Codes Decrypted'!$C$15,"")</f>
        <v/>
      </c>
      <c r="BA493" s="232" t="str">
        <f>IF($AX493="Yes",'8. Option Codes Decrypted'!$C$16,"")</f>
        <v/>
      </c>
      <c r="BB493" s="232" t="str">
        <f>IF($AX493="Yes",'8. Option Codes Decrypted'!$C$17,"")</f>
        <v/>
      </c>
      <c r="BC493" s="232" t="str">
        <f>IF($AX493="Yes",'8. Option Codes Decrypted'!$C$18,"")</f>
        <v/>
      </c>
      <c r="BD493" s="232" t="str">
        <f>IF($AY493="Yes",'8. Option Codes Decrypted'!$C$20,"")</f>
        <v/>
      </c>
      <c r="BE493" s="232" t="str">
        <f>IF($AY493="Yes",'8. Option Codes Decrypted'!$C$21,"")</f>
        <v/>
      </c>
      <c r="BF493" s="232" t="str">
        <f>IF($AY493="Yes",'8. Option Codes Decrypted'!$C$22,"")</f>
        <v/>
      </c>
      <c r="BG493" s="232" t="str">
        <f>IF($AY493="Yes",'8. Option Codes Decrypted'!$C$23,"")</f>
        <v/>
      </c>
    </row>
    <row r="494" spans="1:59" s="296" customFormat="1" ht="15.75" thickBot="1" x14ac:dyDescent="0.3">
      <c r="A494" s="232" t="str">
        <f t="shared" si="90"/>
        <v>A95</v>
      </c>
      <c r="B494" s="358" t="str">
        <f t="shared" si="88"/>
        <v/>
      </c>
      <c r="C494" s="358" t="str">
        <f t="shared" si="93"/>
        <v>F15-Transmission Oil Pump-14-18-3.0T N55</v>
      </c>
      <c r="D494" s="358"/>
      <c r="E494" s="358" t="str">
        <f t="shared" si="89"/>
        <v/>
      </c>
      <c r="F494" s="296" t="s">
        <v>426</v>
      </c>
      <c r="G494" s="297">
        <v>44687</v>
      </c>
      <c r="H494" s="298"/>
      <c r="I494" s="298"/>
      <c r="J494" s="298" t="s">
        <v>427</v>
      </c>
      <c r="K494" s="299" t="s">
        <v>239</v>
      </c>
      <c r="L494" s="298" t="s">
        <v>1718</v>
      </c>
      <c r="M494" s="306" t="s">
        <v>444</v>
      </c>
      <c r="N494" s="306">
        <v>85</v>
      </c>
      <c r="O494" s="310" t="s">
        <v>339</v>
      </c>
      <c r="P494" s="310" t="s">
        <v>724</v>
      </c>
      <c r="Q494" s="310">
        <v>1</v>
      </c>
      <c r="R494" s="299" t="str">
        <f t="shared" si="91"/>
        <v>A95. Transmission Oil Pump</v>
      </c>
      <c r="S494" s="365" t="str">
        <f>HYPERLINK(VLOOKUP(O494,'3D. Pictures'!$B$3:$E$500,4,FALSE),"PIC")</f>
        <v>PIC</v>
      </c>
      <c r="T494" s="306">
        <v>6</v>
      </c>
      <c r="U494" s="213" t="s">
        <v>1719</v>
      </c>
      <c r="V494" s="306" t="s">
        <v>80</v>
      </c>
      <c r="W494" s="213"/>
      <c r="X494" s="213"/>
      <c r="Y494" s="213"/>
      <c r="Z494" s="298" t="s">
        <v>1720</v>
      </c>
      <c r="AA494" s="298"/>
      <c r="AB494" s="298"/>
      <c r="AC494" s="213" t="s">
        <v>449</v>
      </c>
      <c r="AD494" s="298"/>
      <c r="AE494" s="298">
        <v>250</v>
      </c>
      <c r="AF494" s="300" t="s">
        <v>434</v>
      </c>
      <c r="AG494" s="301"/>
      <c r="AH494" s="302" t="s">
        <v>435</v>
      </c>
      <c r="AJ494" s="303"/>
      <c r="AK494" s="296" t="s">
        <v>1721</v>
      </c>
      <c r="AN494" s="308"/>
      <c r="AO494" s="296" t="s">
        <v>411</v>
      </c>
      <c r="AS494" s="296" t="str">
        <f>CONCATENATE(AT494,"-",AU494,"-",AV494,"-",AW494)</f>
        <v>F15-Transmission Oil Pump-14-18-3.0T N55</v>
      </c>
      <c r="AT494" s="296" t="s">
        <v>661</v>
      </c>
      <c r="AU494" s="296" t="str">
        <f>Z494</f>
        <v>Transmission Oil Pump</v>
      </c>
      <c r="AV494" s="296" t="s">
        <v>757</v>
      </c>
      <c r="AW494" s="296" t="s">
        <v>1625</v>
      </c>
      <c r="AX494" s="213"/>
      <c r="AY494" s="213"/>
      <c r="AZ494" s="232" t="str">
        <f>IF($AX494="Yes",'8. Option Codes Decrypted'!$C$15,"")</f>
        <v/>
      </c>
      <c r="BA494" s="232" t="str">
        <f>IF($AX494="Yes",'8. Option Codes Decrypted'!$C$16,"")</f>
        <v/>
      </c>
      <c r="BB494" s="232" t="str">
        <f>IF($AX494="Yes",'8. Option Codes Decrypted'!$C$17,"")</f>
        <v/>
      </c>
      <c r="BC494" s="232" t="str">
        <f>IF($AX494="Yes",'8. Option Codes Decrypted'!$C$18,"")</f>
        <v/>
      </c>
      <c r="BD494" s="232" t="str">
        <f>IF($AY494="Yes",'8. Option Codes Decrypted'!$C$20,"")</f>
        <v/>
      </c>
      <c r="BE494" s="232" t="str">
        <f>IF($AY494="Yes",'8. Option Codes Decrypted'!$C$21,"")</f>
        <v/>
      </c>
      <c r="BF494" s="232" t="str">
        <f>IF($AY494="Yes",'8. Option Codes Decrypted'!$C$22,"")</f>
        <v/>
      </c>
      <c r="BG494" s="232" t="str">
        <f>IF($AY494="Yes",'8. Option Codes Decrypted'!$C$23,"")</f>
        <v/>
      </c>
    </row>
    <row r="495" spans="1:59" s="296" customFormat="1" ht="15.75" thickBot="1" x14ac:dyDescent="0.3">
      <c r="A495" s="232" t="str">
        <f t="shared" si="90"/>
        <v>A15</v>
      </c>
      <c r="B495" s="358" t="str">
        <f t="shared" si="88"/>
        <v/>
      </c>
      <c r="C495" s="358" t="str">
        <f t="shared" si="93"/>
        <v>F15-Transmission Oil Pump, Hydraulic-14-18-3.0T N55</v>
      </c>
      <c r="D495" s="358"/>
      <c r="E495" s="358" t="str">
        <f t="shared" si="89"/>
        <v/>
      </c>
      <c r="F495" s="296" t="s">
        <v>508</v>
      </c>
      <c r="G495" s="297">
        <v>45107</v>
      </c>
      <c r="H495" s="309"/>
      <c r="I495" s="298"/>
      <c r="J495" s="298" t="s">
        <v>427</v>
      </c>
      <c r="K495" s="299" t="s">
        <v>239</v>
      </c>
      <c r="L495" s="298" t="s">
        <v>1722</v>
      </c>
      <c r="M495" s="306" t="s">
        <v>444</v>
      </c>
      <c r="N495" s="306">
        <v>5</v>
      </c>
      <c r="O495" s="310" t="s">
        <v>259</v>
      </c>
      <c r="P495" s="310" t="s">
        <v>716</v>
      </c>
      <c r="Q495" s="310">
        <v>1</v>
      </c>
      <c r="R495" s="299" t="str">
        <f t="shared" si="91"/>
        <v>A15. Transmission Oil Pump, Hydraulic</v>
      </c>
      <c r="S495" s="365" t="str">
        <f>HYPERLINK(VLOOKUP(O495,'3D. Pictures'!$B$3:$E$500,4,FALSE),"PIC")</f>
        <v>PIC</v>
      </c>
      <c r="T495" s="306">
        <v>3</v>
      </c>
      <c r="U495" s="307" t="s">
        <v>1723</v>
      </c>
      <c r="V495" s="306" t="s">
        <v>80</v>
      </c>
      <c r="W495" s="213"/>
      <c r="X495" s="213"/>
      <c r="Y495" s="213"/>
      <c r="Z495" s="298" t="s">
        <v>1722</v>
      </c>
      <c r="AA495" s="298" t="s">
        <v>1722</v>
      </c>
      <c r="AB495" s="298" t="s">
        <v>1722</v>
      </c>
      <c r="AC495" s="213" t="s">
        <v>449</v>
      </c>
      <c r="AD495" s="298"/>
      <c r="AE495" s="298">
        <v>75</v>
      </c>
      <c r="AF495" s="300" t="s">
        <v>434</v>
      </c>
      <c r="AG495" s="301"/>
      <c r="AH495" s="302" t="s">
        <v>435</v>
      </c>
      <c r="AJ495" s="303"/>
      <c r="AK495" s="296" t="s">
        <v>1724</v>
      </c>
      <c r="AN495" s="308"/>
      <c r="AO495" s="296" t="s">
        <v>411</v>
      </c>
      <c r="AS495" s="296" t="str">
        <f>CONCATENATE(AT495,"-",AU495,"-",AV495,"-",AW495)</f>
        <v>F15-Transmission Oil Pump, Hydraulic-14-18-3.0T N55</v>
      </c>
      <c r="AT495" s="296" t="s">
        <v>661</v>
      </c>
      <c r="AU495" s="296" t="str">
        <f>Z495</f>
        <v>Transmission Oil Pump, Hydraulic</v>
      </c>
      <c r="AV495" s="296" t="s">
        <v>757</v>
      </c>
      <c r="AW495" s="296" t="s">
        <v>1625</v>
      </c>
      <c r="AX495" s="213"/>
      <c r="AY495" s="213"/>
      <c r="AZ495" s="232" t="str">
        <f>IF($AX495="Yes",'8. Option Codes Decrypted'!$C$15,"")</f>
        <v/>
      </c>
      <c r="BA495" s="232" t="str">
        <f>IF($AX495="Yes",'8. Option Codes Decrypted'!$C$16,"")</f>
        <v/>
      </c>
      <c r="BB495" s="232" t="str">
        <f>IF($AX495="Yes",'8. Option Codes Decrypted'!$C$17,"")</f>
        <v/>
      </c>
      <c r="BC495" s="232" t="str">
        <f>IF($AX495="Yes",'8. Option Codes Decrypted'!$C$18,"")</f>
        <v/>
      </c>
      <c r="BD495" s="232" t="str">
        <f>IF($AY495="Yes",'8. Option Codes Decrypted'!$C$20,"")</f>
        <v/>
      </c>
      <c r="BE495" s="232" t="str">
        <f>IF($AY495="Yes",'8. Option Codes Decrypted'!$C$21,"")</f>
        <v/>
      </c>
      <c r="BF495" s="232" t="str">
        <f>IF($AY495="Yes",'8. Option Codes Decrypted'!$C$22,"")</f>
        <v/>
      </c>
      <c r="BG495" s="232" t="str">
        <f>IF($AY495="Yes",'8. Option Codes Decrypted'!$C$23,"")</f>
        <v/>
      </c>
    </row>
    <row r="496" spans="1:59" s="232" customFormat="1" x14ac:dyDescent="0.25">
      <c r="A496" s="232" t="str">
        <f t="shared" si="90"/>
        <v/>
      </c>
      <c r="B496" s="358" t="str">
        <f t="shared" si="88"/>
        <v>400-62503</v>
      </c>
      <c r="C496" s="358" t="str">
        <f t="shared" si="93"/>
        <v/>
      </c>
      <c r="D496" s="358"/>
      <c r="E496" s="358">
        <f t="shared" si="89"/>
        <v>1</v>
      </c>
      <c r="F496" s="232" t="s">
        <v>426</v>
      </c>
      <c r="G496" s="241">
        <v>44674</v>
      </c>
      <c r="H496" s="250"/>
      <c r="I496" s="250"/>
      <c r="J496" s="250" t="s">
        <v>427</v>
      </c>
      <c r="K496" s="250" t="s">
        <v>239</v>
      </c>
      <c r="L496" s="250" t="s">
        <v>1725</v>
      </c>
      <c r="M496" s="243" t="s">
        <v>444</v>
      </c>
      <c r="N496" s="243"/>
      <c r="O496" s="285"/>
      <c r="P496" s="285"/>
      <c r="Q496" s="285"/>
      <c r="R496" s="286" t="str">
        <f t="shared" si="91"/>
        <v>. Valve Body</v>
      </c>
      <c r="S496" s="286"/>
      <c r="T496" s="243"/>
      <c r="U496" s="244"/>
      <c r="V496" s="243"/>
      <c r="W496" s="244"/>
      <c r="X496" s="244"/>
      <c r="Y496" s="244"/>
      <c r="Z496" s="250" t="s">
        <v>1725</v>
      </c>
      <c r="AA496" s="250"/>
      <c r="AB496" s="250"/>
      <c r="AC496" s="244" t="s">
        <v>449</v>
      </c>
      <c r="AD496" s="250"/>
      <c r="AE496" s="250">
        <v>650</v>
      </c>
      <c r="AF496" s="252" t="s">
        <v>434</v>
      </c>
      <c r="AG496" s="247"/>
      <c r="AH496" s="248" t="s">
        <v>435</v>
      </c>
      <c r="AJ496" s="249"/>
      <c r="AK496" s="232" t="s">
        <v>1726</v>
      </c>
      <c r="AN496" s="233">
        <v>400</v>
      </c>
      <c r="AO496" s="232" t="s">
        <v>411</v>
      </c>
      <c r="AP496" s="232">
        <v>62503</v>
      </c>
      <c r="AQ496" s="232" t="str">
        <f t="shared" ref="AQ496:AQ502" si="97">CONCATENATE(AN496,AO496,AP496)</f>
        <v>400-62503</v>
      </c>
      <c r="AR496" s="232" t="s">
        <v>1727</v>
      </c>
      <c r="AX496" s="244"/>
      <c r="AY496" s="244"/>
      <c r="AZ496" s="232" t="str">
        <f>IF($AX496="Yes",'8. Option Codes Decrypted'!$C$15,"")</f>
        <v/>
      </c>
      <c r="BA496" s="232" t="str">
        <f>IF($AX496="Yes",'8. Option Codes Decrypted'!$C$16,"")</f>
        <v/>
      </c>
      <c r="BB496" s="232" t="str">
        <f>IF($AX496="Yes",'8. Option Codes Decrypted'!$C$17,"")</f>
        <v/>
      </c>
      <c r="BC496" s="232" t="str">
        <f>IF($AX496="Yes",'8. Option Codes Decrypted'!$C$18,"")</f>
        <v/>
      </c>
      <c r="BD496" s="232" t="str">
        <f>IF($AY496="Yes",'8. Option Codes Decrypted'!$C$20,"")</f>
        <v/>
      </c>
      <c r="BE496" s="232" t="str">
        <f>IF($AY496="Yes",'8. Option Codes Decrypted'!$C$21,"")</f>
        <v/>
      </c>
      <c r="BF496" s="232" t="str">
        <f>IF($AY496="Yes",'8. Option Codes Decrypted'!$C$22,"")</f>
        <v/>
      </c>
      <c r="BG496" s="232" t="str">
        <f>IF($AY496="Yes",'8. Option Codes Decrypted'!$C$23,"")</f>
        <v/>
      </c>
    </row>
    <row r="497" spans="1:59" s="232" customFormat="1" x14ac:dyDescent="0.25">
      <c r="A497" s="232" t="str">
        <f t="shared" si="90"/>
        <v/>
      </c>
      <c r="B497" s="358" t="str">
        <f t="shared" si="88"/>
        <v>400-62833</v>
      </c>
      <c r="C497" s="358" t="str">
        <f t="shared" si="93"/>
        <v/>
      </c>
      <c r="D497" s="358"/>
      <c r="E497" s="358">
        <f t="shared" si="89"/>
        <v>1</v>
      </c>
      <c r="F497" s="232" t="s">
        <v>426</v>
      </c>
      <c r="G497" s="241">
        <v>44674</v>
      </c>
      <c r="H497" s="250"/>
      <c r="I497" s="250"/>
      <c r="J497" s="250" t="s">
        <v>427</v>
      </c>
      <c r="K497" s="250" t="s">
        <v>239</v>
      </c>
      <c r="L497" s="250" t="s">
        <v>1725</v>
      </c>
      <c r="M497" s="243" t="s">
        <v>444</v>
      </c>
      <c r="N497" s="243"/>
      <c r="O497" s="285"/>
      <c r="P497" s="285"/>
      <c r="Q497" s="285"/>
      <c r="R497" s="286" t="str">
        <f t="shared" si="91"/>
        <v>. Valve Body</v>
      </c>
      <c r="S497" s="286"/>
      <c r="T497" s="243"/>
      <c r="U497" s="244"/>
      <c r="V497" s="243"/>
      <c r="W497" s="244"/>
      <c r="X497" s="244"/>
      <c r="Y497" s="244"/>
      <c r="Z497" s="250" t="s">
        <v>1725</v>
      </c>
      <c r="AA497" s="250"/>
      <c r="AB497" s="250"/>
      <c r="AC497" s="244" t="s">
        <v>449</v>
      </c>
      <c r="AD497" s="250"/>
      <c r="AE497" s="250">
        <v>650</v>
      </c>
      <c r="AF497" s="252" t="s">
        <v>434</v>
      </c>
      <c r="AG497" s="247"/>
      <c r="AH497" s="248" t="s">
        <v>435</v>
      </c>
      <c r="AJ497" s="249"/>
      <c r="AK497" s="232" t="s">
        <v>1726</v>
      </c>
      <c r="AN497" s="233">
        <v>400</v>
      </c>
      <c r="AO497" s="232" t="s">
        <v>411</v>
      </c>
      <c r="AP497" s="232">
        <v>62833</v>
      </c>
      <c r="AQ497" s="232" t="str">
        <f t="shared" si="97"/>
        <v>400-62833</v>
      </c>
      <c r="AR497" s="232" t="s">
        <v>1728</v>
      </c>
      <c r="AX497" s="244"/>
      <c r="AY497" s="244"/>
      <c r="AZ497" s="232" t="str">
        <f>IF($AX497="Yes",'8. Option Codes Decrypted'!$C$15,"")</f>
        <v/>
      </c>
      <c r="BA497" s="232" t="str">
        <f>IF($AX497="Yes",'8. Option Codes Decrypted'!$C$16,"")</f>
        <v/>
      </c>
      <c r="BB497" s="232" t="str">
        <f>IF($AX497="Yes",'8. Option Codes Decrypted'!$C$17,"")</f>
        <v/>
      </c>
      <c r="BC497" s="232" t="str">
        <f>IF($AX497="Yes",'8. Option Codes Decrypted'!$C$18,"")</f>
        <v/>
      </c>
      <c r="BD497" s="232" t="str">
        <f>IF($AY497="Yes",'8. Option Codes Decrypted'!$C$20,"")</f>
        <v/>
      </c>
      <c r="BE497" s="232" t="str">
        <f>IF($AY497="Yes",'8. Option Codes Decrypted'!$C$21,"")</f>
        <v/>
      </c>
      <c r="BF497" s="232" t="str">
        <f>IF($AY497="Yes",'8. Option Codes Decrypted'!$C$22,"")</f>
        <v/>
      </c>
      <c r="BG497" s="232" t="str">
        <f>IF($AY497="Yes",'8. Option Codes Decrypted'!$C$23,"")</f>
        <v/>
      </c>
    </row>
    <row r="498" spans="1:59" s="232" customFormat="1" x14ac:dyDescent="0.25">
      <c r="A498" s="232" t="str">
        <f t="shared" si="90"/>
        <v/>
      </c>
      <c r="B498" s="358" t="str">
        <f t="shared" si="88"/>
        <v>400-62834</v>
      </c>
      <c r="C498" s="358" t="str">
        <f t="shared" si="93"/>
        <v/>
      </c>
      <c r="D498" s="358"/>
      <c r="E498" s="358">
        <f t="shared" si="89"/>
        <v>1</v>
      </c>
      <c r="F498" s="232" t="s">
        <v>426</v>
      </c>
      <c r="G498" s="241">
        <v>44674</v>
      </c>
      <c r="H498" s="250"/>
      <c r="I498" s="250"/>
      <c r="J498" s="250" t="s">
        <v>427</v>
      </c>
      <c r="K498" s="250" t="s">
        <v>239</v>
      </c>
      <c r="L498" s="250" t="s">
        <v>1725</v>
      </c>
      <c r="M498" s="243" t="s">
        <v>444</v>
      </c>
      <c r="N498" s="243"/>
      <c r="O498" s="285"/>
      <c r="P498" s="285"/>
      <c r="Q498" s="285"/>
      <c r="R498" s="286" t="str">
        <f t="shared" si="91"/>
        <v>. Valve Body</v>
      </c>
      <c r="S498" s="286"/>
      <c r="T498" s="243"/>
      <c r="U498" s="244"/>
      <c r="V498" s="243"/>
      <c r="W498" s="244"/>
      <c r="X498" s="244"/>
      <c r="Y498" s="244"/>
      <c r="Z498" s="250" t="s">
        <v>1725</v>
      </c>
      <c r="AA498" s="250"/>
      <c r="AB498" s="250"/>
      <c r="AC498" s="244" t="s">
        <v>449</v>
      </c>
      <c r="AD498" s="250"/>
      <c r="AE498" s="250">
        <v>650</v>
      </c>
      <c r="AF498" s="252" t="s">
        <v>434</v>
      </c>
      <c r="AG498" s="247"/>
      <c r="AH498" s="248" t="s">
        <v>435</v>
      </c>
      <c r="AJ498" s="249"/>
      <c r="AK498" s="232" t="s">
        <v>1726</v>
      </c>
      <c r="AN498" s="233">
        <v>400</v>
      </c>
      <c r="AO498" s="232" t="s">
        <v>411</v>
      </c>
      <c r="AP498" s="232">
        <v>62834</v>
      </c>
      <c r="AQ498" s="232" t="str">
        <f t="shared" si="97"/>
        <v>400-62834</v>
      </c>
      <c r="AR498" s="232" t="s">
        <v>1729</v>
      </c>
      <c r="AX498" s="244"/>
      <c r="AY498" s="244"/>
      <c r="AZ498" s="232" t="str">
        <f>IF($AX498="Yes",'8. Option Codes Decrypted'!$C$15,"")</f>
        <v/>
      </c>
      <c r="BA498" s="232" t="str">
        <f>IF($AX498="Yes",'8. Option Codes Decrypted'!$C$16,"")</f>
        <v/>
      </c>
      <c r="BB498" s="232" t="str">
        <f>IF($AX498="Yes",'8. Option Codes Decrypted'!$C$17,"")</f>
        <v/>
      </c>
      <c r="BC498" s="232" t="str">
        <f>IF($AX498="Yes",'8. Option Codes Decrypted'!$C$18,"")</f>
        <v/>
      </c>
      <c r="BD498" s="232" t="str">
        <f>IF($AY498="Yes",'8. Option Codes Decrypted'!$C$20,"")</f>
        <v/>
      </c>
      <c r="BE498" s="232" t="str">
        <f>IF($AY498="Yes",'8. Option Codes Decrypted'!$C$21,"")</f>
        <v/>
      </c>
      <c r="BF498" s="232" t="str">
        <f>IF($AY498="Yes",'8. Option Codes Decrypted'!$C$22,"")</f>
        <v/>
      </c>
      <c r="BG498" s="232" t="str">
        <f>IF($AY498="Yes",'8. Option Codes Decrypted'!$C$23,"")</f>
        <v/>
      </c>
    </row>
    <row r="499" spans="1:59" s="232" customFormat="1" x14ac:dyDescent="0.25">
      <c r="A499" s="232" t="str">
        <f t="shared" si="90"/>
        <v/>
      </c>
      <c r="B499" s="358" t="str">
        <f t="shared" si="88"/>
        <v>400-63134</v>
      </c>
      <c r="C499" s="358" t="str">
        <f t="shared" si="93"/>
        <v/>
      </c>
      <c r="D499" s="358"/>
      <c r="E499" s="358">
        <f t="shared" si="89"/>
        <v>1</v>
      </c>
      <c r="F499" s="232" t="s">
        <v>426</v>
      </c>
      <c r="G499" s="241">
        <v>44674</v>
      </c>
      <c r="H499" s="250"/>
      <c r="I499" s="250"/>
      <c r="J499" s="250" t="s">
        <v>427</v>
      </c>
      <c r="K499" s="250" t="s">
        <v>239</v>
      </c>
      <c r="L499" s="250" t="s">
        <v>1725</v>
      </c>
      <c r="M499" s="243" t="s">
        <v>444</v>
      </c>
      <c r="N499" s="243"/>
      <c r="O499" s="285"/>
      <c r="P499" s="285"/>
      <c r="Q499" s="285"/>
      <c r="R499" s="286" t="str">
        <f t="shared" si="91"/>
        <v>. Valve Body</v>
      </c>
      <c r="S499" s="286"/>
      <c r="T499" s="243"/>
      <c r="U499" s="244"/>
      <c r="V499" s="243"/>
      <c r="W499" s="244"/>
      <c r="X499" s="244"/>
      <c r="Y499" s="244"/>
      <c r="Z499" s="250" t="s">
        <v>1725</v>
      </c>
      <c r="AA499" s="250"/>
      <c r="AB499" s="250"/>
      <c r="AC499" s="244" t="s">
        <v>449</v>
      </c>
      <c r="AD499" s="250"/>
      <c r="AE499" s="250">
        <v>650</v>
      </c>
      <c r="AF499" s="252" t="s">
        <v>434</v>
      </c>
      <c r="AG499" s="247"/>
      <c r="AH499" s="248" t="s">
        <v>435</v>
      </c>
      <c r="AJ499" s="249"/>
      <c r="AK499" s="232" t="s">
        <v>1726</v>
      </c>
      <c r="AN499" s="233">
        <v>400</v>
      </c>
      <c r="AO499" s="232" t="s">
        <v>411</v>
      </c>
      <c r="AP499" s="232">
        <v>63134</v>
      </c>
      <c r="AQ499" s="232" t="str">
        <f t="shared" si="97"/>
        <v>400-63134</v>
      </c>
      <c r="AR499" s="232" t="s">
        <v>1730</v>
      </c>
      <c r="AX499" s="244"/>
      <c r="AY499" s="244"/>
      <c r="AZ499" s="232" t="str">
        <f>IF($AX499="Yes",'8. Option Codes Decrypted'!$C$15,"")</f>
        <v/>
      </c>
      <c r="BA499" s="232" t="str">
        <f>IF($AX499="Yes",'8. Option Codes Decrypted'!$C$16,"")</f>
        <v/>
      </c>
      <c r="BB499" s="232" t="str">
        <f>IF($AX499="Yes",'8. Option Codes Decrypted'!$C$17,"")</f>
        <v/>
      </c>
      <c r="BC499" s="232" t="str">
        <f>IF($AX499="Yes",'8. Option Codes Decrypted'!$C$18,"")</f>
        <v/>
      </c>
      <c r="BD499" s="232" t="str">
        <f>IF($AY499="Yes",'8. Option Codes Decrypted'!$C$20,"")</f>
        <v/>
      </c>
      <c r="BE499" s="232" t="str">
        <f>IF($AY499="Yes",'8. Option Codes Decrypted'!$C$21,"")</f>
        <v/>
      </c>
      <c r="BF499" s="232" t="str">
        <f>IF($AY499="Yes",'8. Option Codes Decrypted'!$C$22,"")</f>
        <v/>
      </c>
      <c r="BG499" s="232" t="str">
        <f>IF($AY499="Yes",'8. Option Codes Decrypted'!$C$23,"")</f>
        <v/>
      </c>
    </row>
    <row r="500" spans="1:59" s="232" customFormat="1" ht="15.75" thickBot="1" x14ac:dyDescent="0.3">
      <c r="A500" s="232" t="str">
        <f t="shared" si="90"/>
        <v/>
      </c>
      <c r="B500" s="358" t="str">
        <f t="shared" si="88"/>
        <v>400-62835</v>
      </c>
      <c r="C500" s="358" t="str">
        <f t="shared" si="93"/>
        <v/>
      </c>
      <c r="D500" s="358"/>
      <c r="E500" s="358">
        <f t="shared" si="89"/>
        <v>1</v>
      </c>
      <c r="F500" s="232" t="s">
        <v>426</v>
      </c>
      <c r="G500" s="241">
        <v>44674</v>
      </c>
      <c r="H500" s="250"/>
      <c r="I500" s="250"/>
      <c r="J500" s="250" t="s">
        <v>427</v>
      </c>
      <c r="K500" s="250" t="s">
        <v>239</v>
      </c>
      <c r="L500" s="250" t="s">
        <v>1725</v>
      </c>
      <c r="M500" s="243" t="s">
        <v>444</v>
      </c>
      <c r="N500" s="243"/>
      <c r="O500" s="285"/>
      <c r="P500" s="285"/>
      <c r="Q500" s="285"/>
      <c r="R500" s="286" t="str">
        <f t="shared" si="91"/>
        <v>. Valve Body</v>
      </c>
      <c r="S500" s="286"/>
      <c r="T500" s="243"/>
      <c r="U500" s="244"/>
      <c r="V500" s="243"/>
      <c r="W500" s="244"/>
      <c r="X500" s="244"/>
      <c r="Y500" s="244"/>
      <c r="Z500" s="250" t="s">
        <v>1725</v>
      </c>
      <c r="AA500" s="250"/>
      <c r="AB500" s="250"/>
      <c r="AC500" s="244" t="s">
        <v>449</v>
      </c>
      <c r="AD500" s="250"/>
      <c r="AE500" s="250">
        <v>650</v>
      </c>
      <c r="AF500" s="252" t="s">
        <v>434</v>
      </c>
      <c r="AG500" s="247"/>
      <c r="AH500" s="248" t="s">
        <v>435</v>
      </c>
      <c r="AJ500" s="249"/>
      <c r="AK500" s="232" t="s">
        <v>1726</v>
      </c>
      <c r="AN500" s="233">
        <v>400</v>
      </c>
      <c r="AO500" s="232" t="s">
        <v>411</v>
      </c>
      <c r="AP500" s="232">
        <v>62835</v>
      </c>
      <c r="AQ500" s="232" t="str">
        <f t="shared" si="97"/>
        <v>400-62835</v>
      </c>
      <c r="AR500" s="232" t="s">
        <v>1731</v>
      </c>
      <c r="AX500" s="244"/>
      <c r="AY500" s="244"/>
      <c r="AZ500" s="232" t="str">
        <f>IF($AX500="Yes",'8. Option Codes Decrypted'!$C$15,"")</f>
        <v/>
      </c>
      <c r="BA500" s="232" t="str">
        <f>IF($AX500="Yes",'8. Option Codes Decrypted'!$C$16,"")</f>
        <v/>
      </c>
      <c r="BB500" s="232" t="str">
        <f>IF($AX500="Yes",'8. Option Codes Decrypted'!$C$17,"")</f>
        <v/>
      </c>
      <c r="BC500" s="232" t="str">
        <f>IF($AX500="Yes",'8. Option Codes Decrypted'!$C$18,"")</f>
        <v/>
      </c>
      <c r="BD500" s="232" t="str">
        <f>IF($AY500="Yes",'8. Option Codes Decrypted'!$C$20,"")</f>
        <v/>
      </c>
      <c r="BE500" s="232" t="str">
        <f>IF($AY500="Yes",'8. Option Codes Decrypted'!$C$21,"")</f>
        <v/>
      </c>
      <c r="BF500" s="232" t="str">
        <f>IF($AY500="Yes",'8. Option Codes Decrypted'!$C$22,"")</f>
        <v/>
      </c>
      <c r="BG500" s="232" t="str">
        <f>IF($AY500="Yes",'8. Option Codes Decrypted'!$C$23,"")</f>
        <v/>
      </c>
    </row>
    <row r="501" spans="1:59" s="232" customFormat="1" ht="15.75" thickBot="1" x14ac:dyDescent="0.3">
      <c r="A501" s="232" t="str">
        <f t="shared" si="90"/>
        <v>A96</v>
      </c>
      <c r="B501" s="358" t="str">
        <f t="shared" si="88"/>
        <v>400-62777</v>
      </c>
      <c r="C501" s="358" t="str">
        <f t="shared" si="93"/>
        <v/>
      </c>
      <c r="D501" s="358"/>
      <c r="E501" s="358">
        <f t="shared" si="89"/>
        <v>1</v>
      </c>
      <c r="F501" s="232" t="s">
        <v>426</v>
      </c>
      <c r="G501" s="241">
        <v>44674</v>
      </c>
      <c r="H501" s="250"/>
      <c r="I501" s="250"/>
      <c r="J501" s="250" t="s">
        <v>427</v>
      </c>
      <c r="K501" s="250" t="s">
        <v>239</v>
      </c>
      <c r="L501" s="250" t="s">
        <v>1725</v>
      </c>
      <c r="M501" s="243" t="s">
        <v>444</v>
      </c>
      <c r="N501" s="243">
        <v>86</v>
      </c>
      <c r="O501" s="285" t="s">
        <v>340</v>
      </c>
      <c r="P501" s="285" t="s">
        <v>724</v>
      </c>
      <c r="Q501" s="285">
        <v>1</v>
      </c>
      <c r="R501" s="286" t="str">
        <f t="shared" si="91"/>
        <v>A96. Valve Body</v>
      </c>
      <c r="S501" s="365" t="str">
        <f>HYPERLINK(VLOOKUP(O501,'3D. Pictures'!$B$3:$E$500,4,FALSE),"PIC")</f>
        <v>PIC</v>
      </c>
      <c r="T501" s="243">
        <v>6</v>
      </c>
      <c r="U501" s="335" t="s">
        <v>1732</v>
      </c>
      <c r="V501" s="243" t="s">
        <v>81</v>
      </c>
      <c r="W501" s="244"/>
      <c r="X501" s="244"/>
      <c r="Y501" s="244"/>
      <c r="Z501" s="250" t="s">
        <v>1725</v>
      </c>
      <c r="AA501" s="250"/>
      <c r="AB501" s="250"/>
      <c r="AC501" s="244" t="s">
        <v>449</v>
      </c>
      <c r="AD501" s="250"/>
      <c r="AE501" s="250">
        <v>650</v>
      </c>
      <c r="AF501" s="252" t="s">
        <v>434</v>
      </c>
      <c r="AG501" s="247"/>
      <c r="AH501" s="248" t="s">
        <v>435</v>
      </c>
      <c r="AJ501" s="249"/>
      <c r="AK501" s="232" t="s">
        <v>1726</v>
      </c>
      <c r="AN501" s="233">
        <v>400</v>
      </c>
      <c r="AO501" s="232" t="s">
        <v>411</v>
      </c>
      <c r="AP501" s="232">
        <v>62777</v>
      </c>
      <c r="AQ501" s="232" t="str">
        <f t="shared" si="97"/>
        <v>400-62777</v>
      </c>
      <c r="AR501" s="232" t="s">
        <v>1733</v>
      </c>
      <c r="AX501" s="244"/>
      <c r="AY501" s="244"/>
      <c r="AZ501" s="232" t="str">
        <f>IF($AX501="Yes",'8. Option Codes Decrypted'!$C$15,"")</f>
        <v/>
      </c>
      <c r="BA501" s="232" t="str">
        <f>IF($AX501="Yes",'8. Option Codes Decrypted'!$C$16,"")</f>
        <v/>
      </c>
      <c r="BB501" s="232" t="str">
        <f>IF($AX501="Yes",'8. Option Codes Decrypted'!$C$17,"")</f>
        <v/>
      </c>
      <c r="BC501" s="232" t="str">
        <f>IF($AX501="Yes",'8. Option Codes Decrypted'!$C$18,"")</f>
        <v/>
      </c>
      <c r="BD501" s="232" t="str">
        <f>IF($AY501="Yes",'8. Option Codes Decrypted'!$C$20,"")</f>
        <v/>
      </c>
      <c r="BE501" s="232" t="str">
        <f>IF($AY501="Yes",'8. Option Codes Decrypted'!$C$21,"")</f>
        <v/>
      </c>
      <c r="BF501" s="232" t="str">
        <f>IF($AY501="Yes",'8. Option Codes Decrypted'!$C$22,"")</f>
        <v/>
      </c>
      <c r="BG501" s="232" t="str">
        <f>IF($AY501="Yes",'8. Option Codes Decrypted'!$C$23,"")</f>
        <v/>
      </c>
    </row>
    <row r="502" spans="1:59" s="232" customFormat="1" x14ac:dyDescent="0.25">
      <c r="A502" s="232" t="str">
        <f t="shared" si="90"/>
        <v/>
      </c>
      <c r="B502" s="358" t="str">
        <f t="shared" si="88"/>
        <v>400-62722</v>
      </c>
      <c r="C502" s="358" t="str">
        <f t="shared" si="93"/>
        <v/>
      </c>
      <c r="D502" s="358"/>
      <c r="E502" s="358">
        <f t="shared" si="89"/>
        <v>1</v>
      </c>
      <c r="F502" s="232" t="s">
        <v>426</v>
      </c>
      <c r="G502" s="241">
        <v>44674</v>
      </c>
      <c r="H502" s="250"/>
      <c r="I502" s="250"/>
      <c r="J502" s="250" t="s">
        <v>427</v>
      </c>
      <c r="K502" s="250" t="s">
        <v>239</v>
      </c>
      <c r="L502" s="250" t="s">
        <v>1725</v>
      </c>
      <c r="M502" s="243" t="s">
        <v>444</v>
      </c>
      <c r="N502" s="243"/>
      <c r="O502" s="285"/>
      <c r="P502" s="285"/>
      <c r="Q502" s="285"/>
      <c r="R502" s="286" t="str">
        <f t="shared" si="91"/>
        <v>. Valve Body</v>
      </c>
      <c r="S502" s="286"/>
      <c r="T502" s="243"/>
      <c r="U502" s="244"/>
      <c r="V502" s="243"/>
      <c r="W502" s="244"/>
      <c r="X502" s="244"/>
      <c r="Y502" s="244"/>
      <c r="Z502" s="250" t="s">
        <v>1725</v>
      </c>
      <c r="AA502" s="250"/>
      <c r="AB502" s="250"/>
      <c r="AC502" s="244" t="s">
        <v>449</v>
      </c>
      <c r="AD502" s="250"/>
      <c r="AE502" s="250">
        <v>650</v>
      </c>
      <c r="AF502" s="252" t="s">
        <v>434</v>
      </c>
      <c r="AG502" s="247"/>
      <c r="AH502" s="248" t="s">
        <v>435</v>
      </c>
      <c r="AJ502" s="249"/>
      <c r="AK502" s="232" t="s">
        <v>1726</v>
      </c>
      <c r="AN502" s="233">
        <v>400</v>
      </c>
      <c r="AO502" s="232" t="s">
        <v>411</v>
      </c>
      <c r="AP502" s="232">
        <v>62722</v>
      </c>
      <c r="AQ502" s="232" t="str">
        <f t="shared" si="97"/>
        <v>400-62722</v>
      </c>
      <c r="AR502" s="232" t="s">
        <v>1734</v>
      </c>
      <c r="AX502" s="244"/>
      <c r="AY502" s="244"/>
      <c r="AZ502" s="232" t="str">
        <f>IF($AX502="Yes",'8. Option Codes Decrypted'!$C$15,"")</f>
        <v/>
      </c>
      <c r="BA502" s="232" t="str">
        <f>IF($AX502="Yes",'8. Option Codes Decrypted'!$C$16,"")</f>
        <v/>
      </c>
      <c r="BB502" s="232" t="str">
        <f>IF($AX502="Yes",'8. Option Codes Decrypted'!$C$17,"")</f>
        <v/>
      </c>
      <c r="BC502" s="232" t="str">
        <f>IF($AX502="Yes",'8. Option Codes Decrypted'!$C$18,"")</f>
        <v/>
      </c>
      <c r="BD502" s="232" t="str">
        <f>IF($AY502="Yes",'8. Option Codes Decrypted'!$C$20,"")</f>
        <v/>
      </c>
      <c r="BE502" s="232" t="str">
        <f>IF($AY502="Yes",'8. Option Codes Decrypted'!$C$21,"")</f>
        <v/>
      </c>
      <c r="BF502" s="232" t="str">
        <f>IF($AY502="Yes",'8. Option Codes Decrypted'!$C$22,"")</f>
        <v/>
      </c>
      <c r="BG502" s="232" t="str">
        <f>IF($AY502="Yes",'8. Option Codes Decrypted'!$C$23,"")</f>
        <v/>
      </c>
    </row>
    <row r="503" spans="1:59" s="208" customFormat="1" x14ac:dyDescent="0.25">
      <c r="A503" s="232" t="str">
        <f t="shared" si="90"/>
        <v/>
      </c>
      <c r="B503" s="358" t="str">
        <f t="shared" si="88"/>
        <v/>
      </c>
      <c r="C503" s="358" t="str">
        <f t="shared" si="93"/>
        <v/>
      </c>
      <c r="D503" s="358"/>
      <c r="E503" s="358" t="str">
        <f t="shared" si="89"/>
        <v/>
      </c>
      <c r="F503" t="s">
        <v>426</v>
      </c>
      <c r="G503" s="230">
        <v>44670</v>
      </c>
      <c r="H503" s="10"/>
      <c r="I503" s="10"/>
      <c r="J503" s="10" t="s">
        <v>1228</v>
      </c>
      <c r="K503" s="10" t="s">
        <v>239</v>
      </c>
      <c r="L503" s="10" t="s">
        <v>1735</v>
      </c>
      <c r="M503" s="195" t="s">
        <v>444</v>
      </c>
      <c r="N503" s="195"/>
      <c r="O503" s="292"/>
      <c r="P503" s="292"/>
      <c r="Q503" s="292"/>
      <c r="R503" s="286" t="str">
        <f t="shared" si="91"/>
        <v xml:space="preserve">. Transmission Assembly </v>
      </c>
      <c r="S503" s="286"/>
      <c r="T503" s="195"/>
      <c r="U503" s="193"/>
      <c r="V503" s="195"/>
      <c r="W503" s="193"/>
      <c r="X503" s="193"/>
      <c r="Y503" s="193"/>
      <c r="Z503" s="10" t="s">
        <v>1735</v>
      </c>
      <c r="AA503" s="10" t="s">
        <v>1735</v>
      </c>
      <c r="AB503" s="10" t="s">
        <v>1735</v>
      </c>
      <c r="AC503" s="193" t="s">
        <v>449</v>
      </c>
      <c r="AD503" s="16"/>
      <c r="AE503" s="10"/>
      <c r="AF503" s="200" t="s">
        <v>434</v>
      </c>
      <c r="AG503" s="56"/>
      <c r="AH503" s="3" t="s">
        <v>1736</v>
      </c>
      <c r="AI503"/>
      <c r="AJ503" s="69"/>
      <c r="AK503" t="s">
        <v>1737</v>
      </c>
      <c r="AL503" t="s">
        <v>1738</v>
      </c>
      <c r="AM503"/>
      <c r="AO503" t="s">
        <v>411</v>
      </c>
      <c r="AX503" s="193"/>
      <c r="AY503" s="193"/>
      <c r="AZ503" s="232" t="str">
        <f>IF($AX503="Yes",'8. Option Codes Decrypted'!$C$15,"")</f>
        <v/>
      </c>
      <c r="BA503" s="232" t="str">
        <f>IF($AX503="Yes",'8. Option Codes Decrypted'!$C$16,"")</f>
        <v/>
      </c>
      <c r="BB503" s="232" t="str">
        <f>IF($AX503="Yes",'8. Option Codes Decrypted'!$C$17,"")</f>
        <v/>
      </c>
      <c r="BC503" s="232" t="str">
        <f>IF($AX503="Yes",'8. Option Codes Decrypted'!$C$18,"")</f>
        <v/>
      </c>
      <c r="BD503" s="232" t="str">
        <f>IF($AY503="Yes",'8. Option Codes Decrypted'!$C$20,"")</f>
        <v/>
      </c>
      <c r="BE503" s="232" t="str">
        <f>IF($AY503="Yes",'8. Option Codes Decrypted'!$C$21,"")</f>
        <v/>
      </c>
      <c r="BF503" s="232" t="str">
        <f>IF($AY503="Yes",'8. Option Codes Decrypted'!$C$22,"")</f>
        <v/>
      </c>
      <c r="BG503" s="232" t="str">
        <f>IF($AY503="Yes",'8. Option Codes Decrypted'!$C$23,"")</f>
        <v/>
      </c>
    </row>
    <row r="504" spans="1:59" x14ac:dyDescent="0.25">
      <c r="A504" s="232" t="str">
        <f t="shared" si="90"/>
        <v/>
      </c>
      <c r="B504" s="358" t="str">
        <f t="shared" si="88"/>
        <v/>
      </c>
      <c r="C504" s="358" t="str">
        <f t="shared" ref="C504:C530" si="98">IF(AS504&lt;&gt;"",AS504,"")</f>
        <v/>
      </c>
      <c r="D504" s="358"/>
      <c r="E504" s="358" t="str">
        <f t="shared" si="89"/>
        <v/>
      </c>
      <c r="F504" t="s">
        <v>426</v>
      </c>
      <c r="G504" s="230">
        <v>44674</v>
      </c>
      <c r="H504" s="10"/>
      <c r="I504" s="10"/>
      <c r="J504" s="10" t="s">
        <v>504</v>
      </c>
      <c r="K504" s="10" t="s">
        <v>239</v>
      </c>
      <c r="L504" s="10" t="s">
        <v>1739</v>
      </c>
      <c r="M504" s="16" t="s">
        <v>430</v>
      </c>
      <c r="N504" s="16"/>
      <c r="O504" s="191"/>
      <c r="P504" s="191"/>
      <c r="Q504" s="191"/>
      <c r="R504" s="286" t="str">
        <f t="shared" si="91"/>
        <v>. Guibos (TOSS ALL)</v>
      </c>
      <c r="S504" s="286"/>
      <c r="T504" s="16"/>
      <c r="U504" s="16"/>
      <c r="V504" s="16"/>
      <c r="W504" s="16"/>
      <c r="X504" s="16"/>
      <c r="Y504" s="16"/>
      <c r="Z504" s="10" t="s">
        <v>1739</v>
      </c>
      <c r="AA504" s="10" t="s">
        <v>1739</v>
      </c>
      <c r="AB504" s="10" t="s">
        <v>1739</v>
      </c>
      <c r="AC504" s="193" t="s">
        <v>449</v>
      </c>
      <c r="AD504" s="10"/>
      <c r="AE504" s="10"/>
      <c r="AF504" s="200" t="s">
        <v>434</v>
      </c>
      <c r="AH504" s="3" t="s">
        <v>435</v>
      </c>
      <c r="AJ504" s="69"/>
      <c r="AK504" t="s">
        <v>1740</v>
      </c>
      <c r="AN504"/>
      <c r="AX504" s="16"/>
      <c r="AY504" s="16"/>
      <c r="AZ504" s="232" t="str">
        <f>IF($AX504="Yes",'8. Option Codes Decrypted'!$C$15,"")</f>
        <v/>
      </c>
      <c r="BA504" s="232" t="str">
        <f>IF($AX504="Yes",'8. Option Codes Decrypted'!$C$16,"")</f>
        <v/>
      </c>
      <c r="BB504" s="232" t="str">
        <f>IF($AX504="Yes",'8. Option Codes Decrypted'!$C$17,"")</f>
        <v/>
      </c>
      <c r="BC504" s="232" t="str">
        <f>IF($AX504="Yes",'8. Option Codes Decrypted'!$C$18,"")</f>
        <v/>
      </c>
      <c r="BD504" s="232" t="str">
        <f>IF($AY504="Yes",'8. Option Codes Decrypted'!$C$20,"")</f>
        <v/>
      </c>
      <c r="BE504" s="232" t="str">
        <f>IF($AY504="Yes",'8. Option Codes Decrypted'!$C$21,"")</f>
        <v/>
      </c>
      <c r="BF504" s="232" t="str">
        <f>IF($AY504="Yes",'8. Option Codes Decrypted'!$C$22,"")</f>
        <v/>
      </c>
      <c r="BG504" s="232" t="str">
        <f>IF($AY504="Yes",'8. Option Codes Decrypted'!$C$23,"")</f>
        <v/>
      </c>
    </row>
    <row r="505" spans="1:59" x14ac:dyDescent="0.25">
      <c r="A505" s="232" t="str">
        <f t="shared" si="90"/>
        <v/>
      </c>
      <c r="B505" s="358" t="str">
        <f t="shared" si="88"/>
        <v/>
      </c>
      <c r="C505" s="358" t="str">
        <f t="shared" si="98"/>
        <v/>
      </c>
      <c r="D505" s="358"/>
      <c r="E505" s="358" t="str">
        <f t="shared" si="89"/>
        <v/>
      </c>
      <c r="F505" t="s">
        <v>426</v>
      </c>
      <c r="G505" s="230">
        <v>44674</v>
      </c>
      <c r="H505" s="10"/>
      <c r="I505" s="10"/>
      <c r="J505" s="10" t="s">
        <v>504</v>
      </c>
      <c r="K505" s="10" t="s">
        <v>239</v>
      </c>
      <c r="L505" s="10" t="s">
        <v>1741</v>
      </c>
      <c r="M505" s="231" t="s">
        <v>1071</v>
      </c>
      <c r="N505" s="231"/>
      <c r="O505" s="288"/>
      <c r="P505" s="288"/>
      <c r="Q505" s="288"/>
      <c r="R505" s="286" t="str">
        <f t="shared" si="91"/>
        <v>. Oil Pan, Transmission</v>
      </c>
      <c r="S505" s="286"/>
      <c r="T505" s="231"/>
      <c r="U505" s="193"/>
      <c r="V505" s="231"/>
      <c r="W505" s="193"/>
      <c r="X505" s="193"/>
      <c r="Y505" s="193"/>
      <c r="Z505" s="10" t="s">
        <v>1741</v>
      </c>
      <c r="AA505" s="10" t="s">
        <v>1741</v>
      </c>
      <c r="AB505" s="10" t="s">
        <v>1741</v>
      </c>
      <c r="AC505" s="193" t="s">
        <v>449</v>
      </c>
      <c r="AD505" s="10"/>
      <c r="AE505" s="10"/>
      <c r="AF505" s="11" t="s">
        <v>1742</v>
      </c>
      <c r="AH505" s="3" t="s">
        <v>435</v>
      </c>
      <c r="AJ505" s="69"/>
      <c r="AK505" t="s">
        <v>1743</v>
      </c>
      <c r="AL505" t="s">
        <v>1744</v>
      </c>
      <c r="AN505"/>
      <c r="AO505" t="s">
        <v>411</v>
      </c>
      <c r="AX505" s="193"/>
      <c r="AY505" s="193"/>
      <c r="AZ505" s="232" t="str">
        <f>IF($AX505="Yes",'8. Option Codes Decrypted'!$C$15,"")</f>
        <v/>
      </c>
      <c r="BA505" s="232" t="str">
        <f>IF($AX505="Yes",'8. Option Codes Decrypted'!$C$16,"")</f>
        <v/>
      </c>
      <c r="BB505" s="232" t="str">
        <f>IF($AX505="Yes",'8. Option Codes Decrypted'!$C$17,"")</f>
        <v/>
      </c>
      <c r="BC505" s="232" t="str">
        <f>IF($AX505="Yes",'8. Option Codes Decrypted'!$C$18,"")</f>
        <v/>
      </c>
      <c r="BD505" s="232" t="str">
        <f>IF($AY505="Yes",'8. Option Codes Decrypted'!$C$20,"")</f>
        <v/>
      </c>
      <c r="BE505" s="232" t="str">
        <f>IF($AY505="Yes",'8. Option Codes Decrypted'!$C$21,"")</f>
        <v/>
      </c>
      <c r="BF505" s="232" t="str">
        <f>IF($AY505="Yes",'8. Option Codes Decrypted'!$C$22,"")</f>
        <v/>
      </c>
      <c r="BG505" s="232" t="str">
        <f>IF($AY505="Yes",'8. Option Codes Decrypted'!$C$23,"")</f>
        <v/>
      </c>
    </row>
    <row r="506" spans="1:59" ht="15.75" thickBot="1" x14ac:dyDescent="0.3">
      <c r="A506" s="232" t="str">
        <f t="shared" si="90"/>
        <v/>
      </c>
      <c r="B506" s="358" t="str">
        <f t="shared" si="88"/>
        <v/>
      </c>
      <c r="C506" s="358" t="str">
        <f t="shared" si="98"/>
        <v/>
      </c>
      <c r="D506" s="358"/>
      <c r="E506" s="358" t="str">
        <f t="shared" si="89"/>
        <v/>
      </c>
      <c r="F506" t="s">
        <v>508</v>
      </c>
      <c r="G506" s="230">
        <v>44683</v>
      </c>
      <c r="H506" s="16"/>
      <c r="I506" s="16"/>
      <c r="J506" s="10" t="s">
        <v>504</v>
      </c>
      <c r="K506" s="10" t="s">
        <v>239</v>
      </c>
      <c r="L506" s="10" t="s">
        <v>1745</v>
      </c>
      <c r="M506" s="16" t="s">
        <v>430</v>
      </c>
      <c r="N506" s="16"/>
      <c r="O506" s="191"/>
      <c r="P506" s="191"/>
      <c r="Q506" s="191"/>
      <c r="R506" s="286" t="str">
        <f t="shared" si="91"/>
        <v>. Transmission Crossmember Mount Bracket</v>
      </c>
      <c r="S506" s="286"/>
      <c r="T506" s="16"/>
      <c r="U506" s="16"/>
      <c r="V506" s="16"/>
      <c r="W506" s="16"/>
      <c r="X506" s="16"/>
      <c r="Y506" s="16"/>
      <c r="Z506" s="10" t="s">
        <v>1745</v>
      </c>
      <c r="AA506" s="10" t="s">
        <v>1745</v>
      </c>
      <c r="AB506" s="10" t="s">
        <v>1745</v>
      </c>
      <c r="AC506" s="193" t="s">
        <v>449</v>
      </c>
      <c r="AD506" s="210" t="s">
        <v>1746</v>
      </c>
      <c r="AE506" s="16"/>
      <c r="AF506" s="200" t="s">
        <v>434</v>
      </c>
      <c r="AH506" s="3" t="s">
        <v>435</v>
      </c>
      <c r="AJ506" s="69"/>
      <c r="AK506">
        <v>6854188</v>
      </c>
      <c r="AN506"/>
      <c r="AX506" s="16"/>
      <c r="AY506" s="16"/>
      <c r="AZ506" s="232" t="str">
        <f>IF($AX506="Yes",'8. Option Codes Decrypted'!$C$15,"")</f>
        <v/>
      </c>
      <c r="BA506" s="232" t="str">
        <f>IF($AX506="Yes",'8. Option Codes Decrypted'!$C$16,"")</f>
        <v/>
      </c>
      <c r="BB506" s="232" t="str">
        <f>IF($AX506="Yes",'8. Option Codes Decrypted'!$C$17,"")</f>
        <v/>
      </c>
      <c r="BC506" s="232" t="str">
        <f>IF($AX506="Yes",'8. Option Codes Decrypted'!$C$18,"")</f>
        <v/>
      </c>
      <c r="BD506" s="232" t="str">
        <f>IF($AY506="Yes",'8. Option Codes Decrypted'!$C$20,"")</f>
        <v/>
      </c>
      <c r="BE506" s="232" t="str">
        <f>IF($AY506="Yes",'8. Option Codes Decrypted'!$C$21,"")</f>
        <v/>
      </c>
      <c r="BF506" s="232" t="str">
        <f>IF($AY506="Yes",'8. Option Codes Decrypted'!$C$22,"")</f>
        <v/>
      </c>
      <c r="BG506" s="232" t="str">
        <f>IF($AY506="Yes",'8. Option Codes Decrypted'!$C$23,"")</f>
        <v/>
      </c>
    </row>
    <row r="507" spans="1:59" s="296" customFormat="1" ht="15.75" thickBot="1" x14ac:dyDescent="0.3">
      <c r="A507" s="232" t="str">
        <f t="shared" si="90"/>
        <v>A39</v>
      </c>
      <c r="B507" s="358" t="str">
        <f t="shared" si="88"/>
        <v/>
      </c>
      <c r="C507" s="358" t="str">
        <f t="shared" si="98"/>
        <v>F15-Trunk Latch WITH Soft Close Actuator Motor &amp; Cables-14-18-ALL</v>
      </c>
      <c r="D507" s="358"/>
      <c r="E507" s="358" t="str">
        <f t="shared" si="89"/>
        <v/>
      </c>
      <c r="F507" s="296" t="s">
        <v>426</v>
      </c>
      <c r="G507" s="297">
        <v>45217</v>
      </c>
      <c r="H507" s="298"/>
      <c r="I507" s="298"/>
      <c r="J507" s="298" t="s">
        <v>427</v>
      </c>
      <c r="K507" s="298" t="s">
        <v>166</v>
      </c>
      <c r="L507" s="298" t="s">
        <v>1747</v>
      </c>
      <c r="M507" s="298" t="s">
        <v>430</v>
      </c>
      <c r="N507" s="298">
        <v>29</v>
      </c>
      <c r="O507" s="299" t="s">
        <v>283</v>
      </c>
      <c r="P507" s="299" t="s">
        <v>459</v>
      </c>
      <c r="Q507" s="299">
        <v>1</v>
      </c>
      <c r="R507" s="299" t="str">
        <f t="shared" si="91"/>
        <v>A39. Trunk Latch WITH Soft Close Actuator Motor &amp; Cables</v>
      </c>
      <c r="S507" s="365" t="str">
        <f>HYPERLINK(VLOOKUP(O507,'3D. Pictures'!$B$3:$E$500,4,FALSE),"PIC")</f>
        <v>PIC</v>
      </c>
      <c r="T507" s="298">
        <v>7</v>
      </c>
      <c r="U507" s="298" t="s">
        <v>1748</v>
      </c>
      <c r="V507" s="298" t="s">
        <v>81</v>
      </c>
      <c r="W507" s="298"/>
      <c r="X507" s="298"/>
      <c r="Y507" s="298"/>
      <c r="Z507" s="298" t="s">
        <v>1749</v>
      </c>
      <c r="AA507" s="298"/>
      <c r="AB507" s="298"/>
      <c r="AC507" s="213" t="s">
        <v>968</v>
      </c>
      <c r="AD507" s="298"/>
      <c r="AE507" s="298">
        <v>150</v>
      </c>
      <c r="AG507" s="301"/>
      <c r="AH507" s="302" t="s">
        <v>435</v>
      </c>
      <c r="AJ507" s="303"/>
      <c r="AK507" s="296" t="s">
        <v>1750</v>
      </c>
      <c r="AS507" s="296" t="str">
        <f>CONCATENATE(AT507,"-",AU507,"-",AV507,"-",AW507)</f>
        <v>F15-Trunk Latch WITH Soft Close Actuator Motor &amp; Cables-14-18-ALL</v>
      </c>
      <c r="AT507" s="296" t="s">
        <v>661</v>
      </c>
      <c r="AU507" s="296" t="str">
        <f>Z507</f>
        <v>Trunk Latch WITH Soft Close Actuator Motor &amp; Cables</v>
      </c>
      <c r="AV507" s="296" t="s">
        <v>757</v>
      </c>
      <c r="AW507" s="296" t="s">
        <v>662</v>
      </c>
      <c r="AX507" s="298"/>
      <c r="AY507" s="298"/>
      <c r="AZ507" s="232" t="str">
        <f>IF($AX507="Yes",'8. Option Codes Decrypted'!$C$15,"")</f>
        <v/>
      </c>
      <c r="BA507" s="232" t="str">
        <f>IF($AX507="Yes",'8. Option Codes Decrypted'!$C$16,"")</f>
        <v/>
      </c>
      <c r="BB507" s="232" t="str">
        <f>IF($AX507="Yes",'8. Option Codes Decrypted'!$C$17,"")</f>
        <v/>
      </c>
      <c r="BC507" s="232" t="str">
        <f>IF($AX507="Yes",'8. Option Codes Decrypted'!$C$18,"")</f>
        <v/>
      </c>
      <c r="BD507" s="232" t="str">
        <f>IF($AY507="Yes",'8. Option Codes Decrypted'!$C$20,"")</f>
        <v/>
      </c>
      <c r="BE507" s="232" t="str">
        <f>IF($AY507="Yes",'8. Option Codes Decrypted'!$C$21,"")</f>
        <v/>
      </c>
      <c r="BF507" s="232" t="str">
        <f>IF($AY507="Yes",'8. Option Codes Decrypted'!$C$22,"")</f>
        <v/>
      </c>
      <c r="BG507" s="232" t="str">
        <f>IF($AY507="Yes",'8. Option Codes Decrypted'!$C$23,"")</f>
        <v/>
      </c>
    </row>
    <row r="508" spans="1:59" ht="15.75" thickBot="1" x14ac:dyDescent="0.3">
      <c r="A508" s="232" t="str">
        <f t="shared" si="90"/>
        <v/>
      </c>
      <c r="B508" s="358" t="str">
        <f t="shared" si="88"/>
        <v/>
      </c>
      <c r="C508" s="358" t="str">
        <f t="shared" si="98"/>
        <v/>
      </c>
      <c r="D508" s="358"/>
      <c r="E508" s="358" t="str">
        <f t="shared" si="89"/>
        <v/>
      </c>
      <c r="F508" t="s">
        <v>508</v>
      </c>
      <c r="G508" s="230">
        <v>45099</v>
      </c>
      <c r="H508" s="101"/>
      <c r="I508" s="193" t="s">
        <v>441</v>
      </c>
      <c r="J508" s="193" t="s">
        <v>1442</v>
      </c>
      <c r="K508" s="193" t="s">
        <v>166</v>
      </c>
      <c r="L508" s="193" t="s">
        <v>1751</v>
      </c>
      <c r="M508" s="16" t="s">
        <v>430</v>
      </c>
      <c r="N508" s="16"/>
      <c r="O508" s="191"/>
      <c r="P508" s="191"/>
      <c r="Q508" s="191"/>
      <c r="R508" s="286" t="str">
        <f t="shared" si="91"/>
        <v>. Trunk Handle (remove backup camera first &amp; sell solo) (If no camera toss)</v>
      </c>
      <c r="S508" s="286"/>
      <c r="T508" s="16"/>
      <c r="U508" s="16"/>
      <c r="V508" s="16"/>
      <c r="W508" s="16"/>
      <c r="X508" s="16"/>
      <c r="Y508" s="16"/>
      <c r="Z508" s="193" t="s">
        <v>1751</v>
      </c>
      <c r="AA508" s="193" t="s">
        <v>1751</v>
      </c>
      <c r="AB508" s="193" t="s">
        <v>1751</v>
      </c>
      <c r="AC508" s="193" t="s">
        <v>449</v>
      </c>
      <c r="AD508" s="193" t="s">
        <v>1752</v>
      </c>
      <c r="AE508" s="213">
        <v>58</v>
      </c>
      <c r="AF508" s="99" t="s">
        <v>434</v>
      </c>
      <c r="AH508" s="3" t="s">
        <v>435</v>
      </c>
      <c r="AI508" s="156"/>
      <c r="AJ508" s="69"/>
      <c r="AK508" t="s">
        <v>1753</v>
      </c>
      <c r="AN508"/>
      <c r="AX508" s="16"/>
      <c r="AY508" s="16"/>
      <c r="AZ508" s="232" t="str">
        <f>IF($AX508="Yes",'8. Option Codes Decrypted'!$C$15,"")</f>
        <v/>
      </c>
      <c r="BA508" s="232" t="str">
        <f>IF($AX508="Yes",'8. Option Codes Decrypted'!$C$16,"")</f>
        <v/>
      </c>
      <c r="BB508" s="232" t="str">
        <f>IF($AX508="Yes",'8. Option Codes Decrypted'!$C$17,"")</f>
        <v/>
      </c>
      <c r="BC508" s="232" t="str">
        <f>IF($AX508="Yes",'8. Option Codes Decrypted'!$C$18,"")</f>
        <v/>
      </c>
      <c r="BD508" s="232" t="str">
        <f>IF($AY508="Yes",'8. Option Codes Decrypted'!$C$20,"")</f>
        <v/>
      </c>
      <c r="BE508" s="232" t="str">
        <f>IF($AY508="Yes",'8. Option Codes Decrypted'!$C$21,"")</f>
        <v/>
      </c>
      <c r="BF508" s="232" t="str">
        <f>IF($AY508="Yes",'8. Option Codes Decrypted'!$C$22,"")</f>
        <v/>
      </c>
      <c r="BG508" s="232" t="str">
        <f>IF($AY508="Yes",'8. Option Codes Decrypted'!$C$23,"")</f>
        <v/>
      </c>
    </row>
    <row r="509" spans="1:59" s="296" customFormat="1" ht="15.75" thickBot="1" x14ac:dyDescent="0.3">
      <c r="A509" s="232" t="str">
        <f t="shared" si="90"/>
        <v>A31</v>
      </c>
      <c r="B509" s="358" t="str">
        <f t="shared" si="88"/>
        <v/>
      </c>
      <c r="C509" s="358" t="str">
        <f t="shared" si="98"/>
        <v>F15-Battery Cable, NEGATIVE With IBS Module ON-14-18-ALL</v>
      </c>
      <c r="D509" s="358"/>
      <c r="E509" s="358" t="str">
        <f t="shared" si="89"/>
        <v/>
      </c>
      <c r="F509" s="296" t="s">
        <v>426</v>
      </c>
      <c r="G509" s="297">
        <v>44684</v>
      </c>
      <c r="H509" s="298"/>
      <c r="I509" s="298"/>
      <c r="J509" s="298" t="s">
        <v>427</v>
      </c>
      <c r="K509" s="298" t="s">
        <v>166</v>
      </c>
      <c r="L509" s="298" t="s">
        <v>1754</v>
      </c>
      <c r="M509" s="298" t="s">
        <v>430</v>
      </c>
      <c r="N509" s="298">
        <v>21</v>
      </c>
      <c r="O509" s="299" t="s">
        <v>275</v>
      </c>
      <c r="P509" s="299" t="s">
        <v>459</v>
      </c>
      <c r="Q509" s="299">
        <v>1</v>
      </c>
      <c r="R509" s="299" t="str">
        <f t="shared" si="91"/>
        <v>A31. Battery Cable, NEGATIVE With IBS Module ON</v>
      </c>
      <c r="S509" s="365" t="str">
        <f>HYPERLINK(VLOOKUP(O509,'3D. Pictures'!$B$3:$E$500,4,FALSE),"PIC")</f>
        <v>PIC</v>
      </c>
      <c r="T509" s="298">
        <v>4</v>
      </c>
      <c r="U509" s="298" t="s">
        <v>1755</v>
      </c>
      <c r="V509" s="298" t="s">
        <v>80</v>
      </c>
      <c r="W509" s="298"/>
      <c r="X509" s="298"/>
      <c r="Y509" s="298"/>
      <c r="Z509" s="298" t="s">
        <v>1756</v>
      </c>
      <c r="AA509" s="298"/>
      <c r="AB509" s="298" t="s">
        <v>463</v>
      </c>
      <c r="AC509" s="213" t="s">
        <v>449</v>
      </c>
      <c r="AD509" s="298"/>
      <c r="AE509" s="298">
        <v>65</v>
      </c>
      <c r="AF509" s="300" t="s">
        <v>434</v>
      </c>
      <c r="AG509" s="301"/>
      <c r="AH509" s="302" t="s">
        <v>435</v>
      </c>
      <c r="AJ509" s="303"/>
      <c r="AK509" s="296" t="s">
        <v>1757</v>
      </c>
      <c r="AS509" s="296" t="str">
        <f>CONCATENATE(AT509,"-",AU509,"-",AV509,"-",AW509)</f>
        <v>F15-Battery Cable, NEGATIVE With IBS Module ON-14-18-ALL</v>
      </c>
      <c r="AT509" s="296" t="s">
        <v>661</v>
      </c>
      <c r="AU509" s="296" t="str">
        <f>Z509</f>
        <v>Battery Cable, NEGATIVE With IBS Module ON</v>
      </c>
      <c r="AV509" s="296" t="s">
        <v>757</v>
      </c>
      <c r="AW509" s="296" t="s">
        <v>662</v>
      </c>
      <c r="AX509" s="298"/>
      <c r="AY509" s="298"/>
      <c r="AZ509" s="232" t="str">
        <f>IF($AX509="Yes",'8. Option Codes Decrypted'!$C$15,"")</f>
        <v/>
      </c>
      <c r="BA509" s="232" t="str">
        <f>IF($AX509="Yes",'8. Option Codes Decrypted'!$C$16,"")</f>
        <v/>
      </c>
      <c r="BB509" s="232" t="str">
        <f>IF($AX509="Yes",'8. Option Codes Decrypted'!$C$17,"")</f>
        <v/>
      </c>
      <c r="BC509" s="232" t="str">
        <f>IF($AX509="Yes",'8. Option Codes Decrypted'!$C$18,"")</f>
        <v/>
      </c>
      <c r="BD509" s="232" t="str">
        <f>IF($AY509="Yes",'8. Option Codes Decrypted'!$C$20,"")</f>
        <v/>
      </c>
      <c r="BE509" s="232" t="str">
        <f>IF($AY509="Yes",'8. Option Codes Decrypted'!$C$21,"")</f>
        <v/>
      </c>
      <c r="BF509" s="232" t="str">
        <f>IF($AY509="Yes",'8. Option Codes Decrypted'!$C$22,"")</f>
        <v/>
      </c>
      <c r="BG509" s="232" t="str">
        <f>IF($AY509="Yes",'8. Option Codes Decrypted'!$C$23,"")</f>
        <v/>
      </c>
    </row>
    <row r="510" spans="1:59" s="296" customFormat="1" ht="14.25" customHeight="1" thickBot="1" x14ac:dyDescent="0.3">
      <c r="A510" s="232" t="str">
        <f t="shared" si="90"/>
        <v/>
      </c>
      <c r="B510" s="358" t="str">
        <f t="shared" si="88"/>
        <v/>
      </c>
      <c r="C510" s="358" t="str">
        <f t="shared" si="98"/>
        <v>F15-Battery Cable, POSITIVE &amp; Attached Junction Bracket, THE SMALL ONE-14-18-ALL</v>
      </c>
      <c r="D510" s="358"/>
      <c r="E510" s="358" t="str">
        <f t="shared" si="89"/>
        <v/>
      </c>
      <c r="F510" s="296" t="s">
        <v>426</v>
      </c>
      <c r="G510" s="297">
        <v>44683</v>
      </c>
      <c r="H510" s="298"/>
      <c r="I510" s="298"/>
      <c r="J510" s="298" t="s">
        <v>427</v>
      </c>
      <c r="K510" s="298" t="s">
        <v>166</v>
      </c>
      <c r="L510" s="298" t="s">
        <v>1758</v>
      </c>
      <c r="M510" s="298" t="s">
        <v>430</v>
      </c>
      <c r="N510" s="298"/>
      <c r="O510" s="299"/>
      <c r="P510" s="299"/>
      <c r="Q510" s="299"/>
      <c r="R510" s="299" t="str">
        <f t="shared" si="91"/>
        <v>. Battery Cable, POSITIVE &amp; Attached Junction Bracket, THE SMALL ONE</v>
      </c>
      <c r="S510" s="299"/>
      <c r="T510" s="298"/>
      <c r="U510" s="298"/>
      <c r="V510" s="298"/>
      <c r="W510" s="298"/>
      <c r="X510" s="298"/>
      <c r="Y510" s="298"/>
      <c r="Z510" s="298" t="s">
        <v>1759</v>
      </c>
      <c r="AA510" s="298" t="s">
        <v>1760</v>
      </c>
      <c r="AB510" s="298" t="s">
        <v>1761</v>
      </c>
      <c r="AC510" s="213" t="s">
        <v>449</v>
      </c>
      <c r="AD510" s="298"/>
      <c r="AE510" s="298">
        <v>48</v>
      </c>
      <c r="AF510" s="300" t="s">
        <v>434</v>
      </c>
      <c r="AG510" s="301"/>
      <c r="AH510" s="302" t="s">
        <v>435</v>
      </c>
      <c r="AJ510" s="303"/>
      <c r="AK510" s="296" t="s">
        <v>1762</v>
      </c>
      <c r="AS510" s="296" t="str">
        <f>CONCATENATE(AT510,"-",AU510,"-",AV510,"-",AW510)</f>
        <v>F15-Battery Cable, POSITIVE &amp; Attached Junction Bracket, THE SMALL ONE-14-18-ALL</v>
      </c>
      <c r="AT510" s="296" t="s">
        <v>661</v>
      </c>
      <c r="AU510" s="296" t="str">
        <f>Z510</f>
        <v>Battery Cable, POSITIVE &amp; Attached Junction Bracket, THE SMALL ONE</v>
      </c>
      <c r="AV510" s="296" t="s">
        <v>757</v>
      </c>
      <c r="AW510" s="296" t="s">
        <v>662</v>
      </c>
      <c r="AX510" s="298"/>
      <c r="AY510" s="298"/>
      <c r="AZ510" s="232" t="str">
        <f>IF($AX510="Yes",'8. Option Codes Decrypted'!$C$15,"")</f>
        <v/>
      </c>
      <c r="BA510" s="232" t="str">
        <f>IF($AX510="Yes",'8. Option Codes Decrypted'!$C$16,"")</f>
        <v/>
      </c>
      <c r="BB510" s="232" t="str">
        <f>IF($AX510="Yes",'8. Option Codes Decrypted'!$C$17,"")</f>
        <v/>
      </c>
      <c r="BC510" s="232" t="str">
        <f>IF($AX510="Yes",'8. Option Codes Decrypted'!$C$18,"")</f>
        <v/>
      </c>
      <c r="BD510" s="232" t="str">
        <f>IF($AY510="Yes",'8. Option Codes Decrypted'!$C$20,"")</f>
        <v/>
      </c>
      <c r="BE510" s="232" t="str">
        <f>IF($AY510="Yes",'8. Option Codes Decrypted'!$C$21,"")</f>
        <v/>
      </c>
      <c r="BF510" s="232" t="str">
        <f>IF($AY510="Yes",'8. Option Codes Decrypted'!$C$22,"")</f>
        <v/>
      </c>
      <c r="BG510" s="232" t="str">
        <f>IF($AY510="Yes",'8. Option Codes Decrypted'!$C$23,"")</f>
        <v/>
      </c>
    </row>
    <row r="511" spans="1:59" s="296" customFormat="1" ht="15.75" thickBot="1" x14ac:dyDescent="0.3">
      <c r="A511" s="232" t="str">
        <f t="shared" si="90"/>
        <v>A32</v>
      </c>
      <c r="B511" s="358" t="str">
        <f t="shared" si="88"/>
        <v/>
      </c>
      <c r="C511" s="358" t="str">
        <f t="shared" si="98"/>
        <v>F15-Battery Cable, POSITIVE &amp; Attached Terminal Bracket, THE BIG PRIMARY ONE-14-18-ALL</v>
      </c>
      <c r="D511" s="358"/>
      <c r="E511" s="358" t="str">
        <f t="shared" si="89"/>
        <v/>
      </c>
      <c r="F511" s="296" t="s">
        <v>426</v>
      </c>
      <c r="G511" s="297">
        <v>44683</v>
      </c>
      <c r="H511" s="298"/>
      <c r="I511" s="298"/>
      <c r="J511" s="298" t="s">
        <v>427</v>
      </c>
      <c r="K511" s="299" t="s">
        <v>166</v>
      </c>
      <c r="L511" s="298" t="s">
        <v>1754</v>
      </c>
      <c r="M511" s="298" t="s">
        <v>430</v>
      </c>
      <c r="N511" s="298">
        <v>22</v>
      </c>
      <c r="O511" s="299" t="s">
        <v>276</v>
      </c>
      <c r="P511" s="299" t="s">
        <v>459</v>
      </c>
      <c r="Q511" s="299">
        <v>1</v>
      </c>
      <c r="R511" s="299" t="str">
        <f t="shared" si="91"/>
        <v>A32. Battery Cable, POSITIVE &amp; Attached Terminal Bracket, THE BIG PRIMARY ONE</v>
      </c>
      <c r="S511" s="365" t="str">
        <f>HYPERLINK(VLOOKUP(O511,'3D. Pictures'!$B$3:$E$500,4,FALSE),"PIC")</f>
        <v>PIC</v>
      </c>
      <c r="T511" s="298">
        <v>4</v>
      </c>
      <c r="U511" s="298">
        <v>9322056</v>
      </c>
      <c r="V511" s="298" t="s">
        <v>80</v>
      </c>
      <c r="W511" s="298"/>
      <c r="X511" s="298"/>
      <c r="Y511" s="298"/>
      <c r="Z511" s="298" t="s">
        <v>1763</v>
      </c>
      <c r="AA511" s="298" t="s">
        <v>1764</v>
      </c>
      <c r="AB511" s="298" t="s">
        <v>1765</v>
      </c>
      <c r="AC511" s="213" t="s">
        <v>449</v>
      </c>
      <c r="AD511" s="298"/>
      <c r="AE511" s="298">
        <v>150</v>
      </c>
      <c r="AF511" s="300" t="s">
        <v>434</v>
      </c>
      <c r="AG511" s="301"/>
      <c r="AH511" s="302" t="s">
        <v>435</v>
      </c>
      <c r="AJ511" s="303"/>
      <c r="AK511" s="296" t="s">
        <v>1766</v>
      </c>
      <c r="AL511" s="296" t="s">
        <v>1767</v>
      </c>
      <c r="AS511" s="296" t="str">
        <f>CONCATENATE(AT511,"-",AU511,"-",AV511,"-",AW511)</f>
        <v>F15-Battery Cable, POSITIVE &amp; Attached Terminal Bracket, THE BIG PRIMARY ONE-14-18-ALL</v>
      </c>
      <c r="AT511" s="296" t="s">
        <v>661</v>
      </c>
      <c r="AU511" s="296" t="str">
        <f>Z511</f>
        <v>Battery Cable, POSITIVE &amp; Attached Terminal Bracket, THE BIG PRIMARY ONE</v>
      </c>
      <c r="AV511" s="296" t="s">
        <v>757</v>
      </c>
      <c r="AW511" s="296" t="s">
        <v>662</v>
      </c>
      <c r="AX511" s="298"/>
      <c r="AY511" s="298"/>
      <c r="AZ511" s="232" t="str">
        <f>IF($AX511="Yes",'8. Option Codes Decrypted'!$C$15,"")</f>
        <v/>
      </c>
      <c r="BA511" s="232" t="str">
        <f>IF($AX511="Yes",'8. Option Codes Decrypted'!$C$16,"")</f>
        <v/>
      </c>
      <c r="BB511" s="232" t="str">
        <f>IF($AX511="Yes",'8. Option Codes Decrypted'!$C$17,"")</f>
        <v/>
      </c>
      <c r="BC511" s="232" t="str">
        <f>IF($AX511="Yes",'8. Option Codes Decrypted'!$C$18,"")</f>
        <v/>
      </c>
      <c r="BD511" s="232" t="str">
        <f>IF($AY511="Yes",'8. Option Codes Decrypted'!$C$20,"")</f>
        <v/>
      </c>
      <c r="BE511" s="232" t="str">
        <f>IF($AY511="Yes",'8. Option Codes Decrypted'!$C$21,"")</f>
        <v/>
      </c>
      <c r="BF511" s="232" t="str">
        <f>IF($AY511="Yes",'8. Option Codes Decrypted'!$C$22,"")</f>
        <v/>
      </c>
      <c r="BG511" s="232" t="str">
        <f>IF($AY511="Yes",'8. Option Codes Decrypted'!$C$23,"")</f>
        <v/>
      </c>
    </row>
    <row r="512" spans="1:59" s="232" customFormat="1" ht="15.75" thickBot="1" x14ac:dyDescent="0.3">
      <c r="A512" s="232" t="str">
        <f t="shared" si="90"/>
        <v>A76</v>
      </c>
      <c r="B512" s="358" t="str">
        <f t="shared" si="88"/>
        <v>596-894</v>
      </c>
      <c r="C512" s="358" t="str">
        <f t="shared" si="98"/>
        <v/>
      </c>
      <c r="D512" s="358"/>
      <c r="E512" s="358">
        <f t="shared" si="89"/>
        <v>1</v>
      </c>
      <c r="F512" s="232" t="s">
        <v>426</v>
      </c>
      <c r="G512" s="241">
        <v>45218</v>
      </c>
      <c r="H512" s="250"/>
      <c r="I512" s="250"/>
      <c r="J512" s="250" t="s">
        <v>427</v>
      </c>
      <c r="K512" s="251" t="s">
        <v>166</v>
      </c>
      <c r="L512" s="250" t="s">
        <v>1326</v>
      </c>
      <c r="M512" s="254" t="s">
        <v>510</v>
      </c>
      <c r="N512" s="254">
        <v>66</v>
      </c>
      <c r="O512" s="287" t="s">
        <v>320</v>
      </c>
      <c r="P512" s="287" t="s">
        <v>1107</v>
      </c>
      <c r="Q512" s="287">
        <v>1</v>
      </c>
      <c r="R512" s="251" t="str">
        <f t="shared" si="91"/>
        <v>A76. Camera, REAR Backup Camera</v>
      </c>
      <c r="S512" s="365" t="str">
        <f>HYPERLINK(VLOOKUP(O512,'3D. Pictures'!$B$3:$E$500,4,FALSE),"PIC")</f>
        <v>PIC</v>
      </c>
      <c r="T512" s="254">
        <v>4</v>
      </c>
      <c r="U512" s="244" t="s">
        <v>1768</v>
      </c>
      <c r="V512" s="254" t="s">
        <v>81</v>
      </c>
      <c r="W512" s="244"/>
      <c r="X512" s="244"/>
      <c r="Y512" s="244"/>
      <c r="Z512" s="250" t="s">
        <v>1769</v>
      </c>
      <c r="AA512" s="250" t="s">
        <v>1770</v>
      </c>
      <c r="AB512" s="250" t="s">
        <v>1771</v>
      </c>
      <c r="AC512" s="244" t="s">
        <v>449</v>
      </c>
      <c r="AD512" s="250"/>
      <c r="AE512" s="250">
        <v>225</v>
      </c>
      <c r="AF512" s="252" t="s">
        <v>434</v>
      </c>
      <c r="AG512" s="247"/>
      <c r="AH512" s="248" t="s">
        <v>435</v>
      </c>
      <c r="AJ512" s="249"/>
      <c r="AK512" s="232" t="s">
        <v>1772</v>
      </c>
      <c r="AN512" s="233">
        <v>596</v>
      </c>
      <c r="AO512" s="232" t="s">
        <v>411</v>
      </c>
      <c r="AP512" s="232">
        <v>894</v>
      </c>
      <c r="AQ512" s="232" t="str">
        <f>CONCATENATE(AN512,AO512,AP512)</f>
        <v>596-894</v>
      </c>
      <c r="AX512" s="244"/>
      <c r="AY512" s="244"/>
      <c r="AZ512" s="232" t="str">
        <f>IF($AX512="Yes",'8. Option Codes Decrypted'!$C$15,"")</f>
        <v/>
      </c>
      <c r="BA512" s="232" t="str">
        <f>IF($AX512="Yes",'8. Option Codes Decrypted'!$C$16,"")</f>
        <v/>
      </c>
      <c r="BB512" s="232" t="str">
        <f>IF($AX512="Yes",'8. Option Codes Decrypted'!$C$17,"")</f>
        <v/>
      </c>
      <c r="BC512" s="232" t="str">
        <f>IF($AX512="Yes",'8. Option Codes Decrypted'!$C$18,"")</f>
        <v/>
      </c>
      <c r="BD512" s="232" t="str">
        <f>IF($AY512="Yes",'8. Option Codes Decrypted'!$C$20,"")</f>
        <v/>
      </c>
      <c r="BE512" s="232" t="str">
        <f>IF($AY512="Yes",'8. Option Codes Decrypted'!$C$21,"")</f>
        <v/>
      </c>
      <c r="BF512" s="232" t="str">
        <f>IF($AY512="Yes",'8. Option Codes Decrypted'!$C$22,"")</f>
        <v/>
      </c>
      <c r="BG512" s="232" t="str">
        <f>IF($AY512="Yes",'8. Option Codes Decrypted'!$C$23,"")</f>
        <v/>
      </c>
    </row>
    <row r="513" spans="1:60" s="296" customFormat="1" ht="15.75" thickBot="1" x14ac:dyDescent="0.3">
      <c r="A513" s="232" t="str">
        <f t="shared" si="90"/>
        <v>A122</v>
      </c>
      <c r="B513" s="358" t="str">
        <f t="shared" si="88"/>
        <v/>
      </c>
      <c r="C513" s="358" t="str">
        <f t="shared" si="98"/>
        <v>F15-Cargo Cover, Large Retractable-14-18-ALL</v>
      </c>
      <c r="D513" s="358"/>
      <c r="E513" s="358" t="str">
        <f t="shared" si="89"/>
        <v/>
      </c>
      <c r="F513" s="296" t="s">
        <v>426</v>
      </c>
      <c r="G513" s="297">
        <v>44684</v>
      </c>
      <c r="H513" s="298"/>
      <c r="I513" s="298" t="s">
        <v>441</v>
      </c>
      <c r="J513" s="298" t="s">
        <v>427</v>
      </c>
      <c r="K513" s="298" t="s">
        <v>166</v>
      </c>
      <c r="L513" s="298" t="s">
        <v>1773</v>
      </c>
      <c r="M513" s="298" t="s">
        <v>430</v>
      </c>
      <c r="N513" s="298">
        <v>112</v>
      </c>
      <c r="O513" s="299" t="s">
        <v>366</v>
      </c>
      <c r="P513" s="299" t="s">
        <v>397</v>
      </c>
      <c r="Q513" s="299">
        <v>1</v>
      </c>
      <c r="R513" s="299" t="str">
        <f t="shared" si="91"/>
        <v>A122. Cargo Cover, Large Retractable</v>
      </c>
      <c r="S513" s="365" t="str">
        <f>HYPERLINK(VLOOKUP(O513,'3D. Pictures'!$B$3:$E$500,4,FALSE),"PIC")</f>
        <v>PIC</v>
      </c>
      <c r="T513" s="298">
        <v>8</v>
      </c>
      <c r="U513" s="298" t="s">
        <v>1029</v>
      </c>
      <c r="V513" s="298" t="s">
        <v>80</v>
      </c>
      <c r="W513" s="298" t="s">
        <v>2992</v>
      </c>
      <c r="X513" s="298"/>
      <c r="Y513" s="235" t="s">
        <v>1062</v>
      </c>
      <c r="Z513" s="298" t="s">
        <v>1774</v>
      </c>
      <c r="AA513" s="298" t="s">
        <v>1775</v>
      </c>
      <c r="AB513" s="298"/>
      <c r="AC513" s="213" t="s">
        <v>449</v>
      </c>
      <c r="AD513" s="298"/>
      <c r="AE513" s="298">
        <v>195</v>
      </c>
      <c r="AF513" s="11" t="s">
        <v>1776</v>
      </c>
      <c r="AG513" s="56"/>
      <c r="AH513" s="302" t="s">
        <v>435</v>
      </c>
      <c r="AI513"/>
      <c r="AJ513" s="69"/>
      <c r="AK513" s="296" t="s">
        <v>1777</v>
      </c>
      <c r="AL513"/>
      <c r="AM513"/>
      <c r="AS513" s="296" t="str">
        <f>CONCATENATE(AT513,"-",AU513,"-",AV513,"-",AW513)</f>
        <v>F15-Cargo Cover, Large Retractable-14-18-ALL</v>
      </c>
      <c r="AT513" s="296" t="s">
        <v>661</v>
      </c>
      <c r="AU513" s="296" t="str">
        <f>Z513</f>
        <v>Cargo Cover, Large Retractable</v>
      </c>
      <c r="AV513" s="296" t="s">
        <v>757</v>
      </c>
      <c r="AW513" s="296" t="s">
        <v>662</v>
      </c>
      <c r="AX513" s="298"/>
      <c r="AY513" s="298"/>
      <c r="AZ513" s="232" t="str">
        <f>IF($AX513="Yes",'8. Option Codes Decrypted'!$C$15,"")</f>
        <v/>
      </c>
      <c r="BA513" s="232" t="str">
        <f>IF($AX513="Yes",'8. Option Codes Decrypted'!$C$16,"")</f>
        <v/>
      </c>
      <c r="BB513" s="232" t="str">
        <f>IF($AX513="Yes",'8. Option Codes Decrypted'!$C$17,"")</f>
        <v/>
      </c>
      <c r="BC513" s="232" t="str">
        <f>IF($AX513="Yes",'8. Option Codes Decrypted'!$C$18,"")</f>
        <v/>
      </c>
      <c r="BD513" s="232" t="str">
        <f>IF($AY513="Yes",'8. Option Codes Decrypted'!$C$20,"")</f>
        <v/>
      </c>
      <c r="BE513" s="232" t="str">
        <f>IF($AY513="Yes",'8. Option Codes Decrypted'!$C$21,"")</f>
        <v/>
      </c>
      <c r="BF513" s="232" t="str">
        <f>IF($AY513="Yes",'8. Option Codes Decrypted'!$C$22,"")</f>
        <v/>
      </c>
      <c r="BG513" s="232" t="str">
        <f>IF($AY513="Yes",'8. Option Codes Decrypted'!$C$23,"")</f>
        <v/>
      </c>
    </row>
    <row r="514" spans="1:60" s="232" customFormat="1" ht="15.75" thickBot="1" x14ac:dyDescent="0.3">
      <c r="A514" s="232" t="str">
        <f t="shared" si="90"/>
        <v>A107</v>
      </c>
      <c r="B514" s="358" t="str">
        <f>IF(AQ514&lt;&gt;"",AQ514,"")</f>
        <v>170-60923</v>
      </c>
      <c r="C514" s="358" t="str">
        <f t="shared" si="98"/>
        <v/>
      </c>
      <c r="D514" s="358"/>
      <c r="E514" s="358">
        <f t="shared" si="89"/>
        <v>1</v>
      </c>
      <c r="F514" s="232" t="s">
        <v>426</v>
      </c>
      <c r="G514" s="241">
        <v>44674</v>
      </c>
      <c r="H514" s="276"/>
      <c r="I514" s="250"/>
      <c r="J514" s="250" t="s">
        <v>427</v>
      </c>
      <c r="K514" s="250" t="s">
        <v>166</v>
      </c>
      <c r="L514" s="250" t="s">
        <v>1778</v>
      </c>
      <c r="M514" s="243" t="s">
        <v>444</v>
      </c>
      <c r="N514" s="243">
        <v>97</v>
      </c>
      <c r="O514" s="285" t="s">
        <v>351</v>
      </c>
      <c r="P514" s="285" t="s">
        <v>724</v>
      </c>
      <c r="Q514" s="285">
        <v>1</v>
      </c>
      <c r="R514" s="286" t="str">
        <f t="shared" si="91"/>
        <v>A107. Trunk Assembly - LOWER TAILGATE</v>
      </c>
      <c r="S514" s="365" t="str">
        <f>HYPERLINK(VLOOKUP(O514,'3D. Pictures'!$B$3:$E$500,4,FALSE),"PIC")</f>
        <v>PIC</v>
      </c>
      <c r="T514" s="243">
        <v>8</v>
      </c>
      <c r="U514" s="244" t="s">
        <v>1779</v>
      </c>
      <c r="V514" s="243" t="s">
        <v>80</v>
      </c>
      <c r="W514" s="244"/>
      <c r="X514" s="244"/>
      <c r="Y514" s="244"/>
      <c r="Z514" s="250" t="s">
        <v>1780</v>
      </c>
      <c r="AA514" s="250"/>
      <c r="AB514" s="250"/>
      <c r="AC514" s="244" t="s">
        <v>449</v>
      </c>
      <c r="AD514" s="250"/>
      <c r="AE514" s="250">
        <v>850</v>
      </c>
      <c r="AF514" s="252" t="s">
        <v>434</v>
      </c>
      <c r="AG514" s="247"/>
      <c r="AH514" s="248" t="s">
        <v>435</v>
      </c>
      <c r="AJ514" s="249"/>
      <c r="AK514" s="232" t="s">
        <v>1781</v>
      </c>
      <c r="AL514" s="232" t="s">
        <v>1782</v>
      </c>
      <c r="AN514" s="233" t="s">
        <v>1783</v>
      </c>
      <c r="AO514" s="232" t="s">
        <v>411</v>
      </c>
      <c r="AP514" s="232">
        <v>60923</v>
      </c>
      <c r="AQ514" s="232" t="str">
        <f>CONCATENATE(AN514,AO514,AP514)</f>
        <v>170-60923</v>
      </c>
      <c r="AX514" s="244" t="s">
        <v>80</v>
      </c>
      <c r="AY514" s="244"/>
      <c r="AZ514" s="232" t="str">
        <f>IF($AX514="Yes",'8. Option Codes Decrypted'!$C$15,"")</f>
        <v>Painted</v>
      </c>
      <c r="BA514" s="232" t="str">
        <f>IF($AX514="Yes",'8. Option Codes Decrypted'!$C$16,"")</f>
        <v>Brown</v>
      </c>
      <c r="BB514" s="232" t="str">
        <f>IF($AX514="Yes",'8. Option Codes Decrypted'!$C$17,"")</f>
        <v>Sparkling Brown Metallic</v>
      </c>
      <c r="BC514" s="232" t="str">
        <f>IF($AX514="Yes",'8. Option Codes Decrypted'!$C$18,"")</f>
        <v>B53</v>
      </c>
      <c r="BD514" s="232" t="str">
        <f>IF($AY514="Yes",'8. Option Codes Decrypted'!$C$20,"")</f>
        <v/>
      </c>
      <c r="BE514" s="232" t="str">
        <f>IF($AY514="Yes",'8. Option Codes Decrypted'!$C$21,"")</f>
        <v/>
      </c>
      <c r="BF514" s="232" t="str">
        <f>IF($AY514="Yes",'8. Option Codes Decrypted'!$C$22,"")</f>
        <v/>
      </c>
      <c r="BG514" s="232" t="str">
        <f>IF($AY514="Yes",'8. Option Codes Decrypted'!$C$23,"")</f>
        <v/>
      </c>
      <c r="BH514" s="232" t="str">
        <f>B514</f>
        <v>170-60923</v>
      </c>
    </row>
    <row r="515" spans="1:60" s="296" customFormat="1" ht="15.75" thickBot="1" x14ac:dyDescent="0.3">
      <c r="A515" s="232" t="str">
        <f t="shared" si="90"/>
        <v>A11</v>
      </c>
      <c r="B515" s="358" t="str">
        <f t="shared" si="88"/>
        <v/>
      </c>
      <c r="C515" s="358" t="str">
        <f t="shared" si="98"/>
        <v>F15-Trunk Electric Shock SET2-14-18-ALL</v>
      </c>
      <c r="D515" s="358"/>
      <c r="E515" s="358" t="str">
        <f t="shared" si="89"/>
        <v/>
      </c>
      <c r="F515" s="296" t="s">
        <v>426</v>
      </c>
      <c r="G515" s="297">
        <v>44683</v>
      </c>
      <c r="H515" s="298"/>
      <c r="I515" s="298"/>
      <c r="J515" s="299" t="s">
        <v>427</v>
      </c>
      <c r="K515" s="298" t="s">
        <v>166</v>
      </c>
      <c r="L515" s="298" t="s">
        <v>1784</v>
      </c>
      <c r="M515" s="298" t="s">
        <v>430</v>
      </c>
      <c r="N515" s="298">
        <v>1</v>
      </c>
      <c r="O515" s="299" t="s">
        <v>255</v>
      </c>
      <c r="P515" s="299" t="s">
        <v>716</v>
      </c>
      <c r="Q515" s="299">
        <v>1</v>
      </c>
      <c r="R515" s="299" t="str">
        <f t="shared" si="91"/>
        <v>A11. Trunk Electric Shock SET2</v>
      </c>
      <c r="S515" s="365" t="str">
        <f>HYPERLINK(VLOOKUP(O515,'3D. Pictures'!$B$3:$E$500,4,FALSE),"PIC")</f>
        <v>PIC</v>
      </c>
      <c r="T515" s="298">
        <v>5</v>
      </c>
      <c r="U515" s="298" t="s">
        <v>1785</v>
      </c>
      <c r="V515" s="298" t="s">
        <v>80</v>
      </c>
      <c r="W515" s="298"/>
      <c r="X515" s="298"/>
      <c r="Y515" s="298"/>
      <c r="Z515" s="298" t="s">
        <v>1786</v>
      </c>
      <c r="AA515" s="298" t="s">
        <v>1129</v>
      </c>
      <c r="AB515" s="298"/>
      <c r="AC515" s="213" t="s">
        <v>439</v>
      </c>
      <c r="AD515" s="298"/>
      <c r="AE515" s="298">
        <v>225</v>
      </c>
      <c r="AF515" s="300" t="s">
        <v>434</v>
      </c>
      <c r="AG515" s="301"/>
      <c r="AH515" s="302" t="s">
        <v>435</v>
      </c>
      <c r="AJ515" s="303"/>
      <c r="AK515" s="296" t="s">
        <v>1787</v>
      </c>
      <c r="AL515" s="296" t="s">
        <v>1788</v>
      </c>
      <c r="AS515" s="296" t="str">
        <f>CONCATENATE(AT515,"-",AU515,"-",AV515,"-",AW515)</f>
        <v>F15-Trunk Electric Shock SET2-14-18-ALL</v>
      </c>
      <c r="AT515" s="296" t="s">
        <v>661</v>
      </c>
      <c r="AU515" s="296" t="str">
        <f>Z515</f>
        <v>Trunk Electric Shock SET2</v>
      </c>
      <c r="AV515" s="296" t="s">
        <v>757</v>
      </c>
      <c r="AW515" s="296" t="s">
        <v>662</v>
      </c>
      <c r="AX515" s="298"/>
      <c r="AY515" s="298"/>
      <c r="AZ515" s="232" t="str">
        <f>IF($AX515="Yes",'8. Option Codes Decrypted'!$C$15,"")</f>
        <v/>
      </c>
      <c r="BA515" s="232" t="str">
        <f>IF($AX515="Yes",'8. Option Codes Decrypted'!$C$16,"")</f>
        <v/>
      </c>
      <c r="BB515" s="232" t="str">
        <f>IF($AX515="Yes",'8. Option Codes Decrypted'!$C$17,"")</f>
        <v/>
      </c>
      <c r="BC515" s="232" t="str">
        <f>IF($AX515="Yes",'8. Option Codes Decrypted'!$C$18,"")</f>
        <v/>
      </c>
      <c r="BD515" s="232" t="str">
        <f>IF($AY515="Yes",'8. Option Codes Decrypted'!$C$20,"")</f>
        <v/>
      </c>
      <c r="BE515" s="232" t="str">
        <f>IF($AY515="Yes",'8. Option Codes Decrypted'!$C$21,"")</f>
        <v/>
      </c>
      <c r="BF515" s="232" t="str">
        <f>IF($AY515="Yes",'8. Option Codes Decrypted'!$C$22,"")</f>
        <v/>
      </c>
      <c r="BG515" s="232" t="str">
        <f>IF($AY515="Yes",'8. Option Codes Decrypted'!$C$23,"")</f>
        <v/>
      </c>
    </row>
    <row r="516" spans="1:60" s="296" customFormat="1" x14ac:dyDescent="0.25">
      <c r="A516" s="232" t="str">
        <f t="shared" si="90"/>
        <v/>
      </c>
      <c r="B516" s="358" t="str">
        <f t="shared" si="88"/>
        <v/>
      </c>
      <c r="C516" s="358" t="str">
        <f t="shared" si="98"/>
        <v>F15-Trunk Electric Shock, LEFT-14-18-ALL</v>
      </c>
      <c r="D516" s="358"/>
      <c r="E516" s="358" t="str">
        <f t="shared" si="89"/>
        <v/>
      </c>
      <c r="F516" s="296" t="s">
        <v>426</v>
      </c>
      <c r="G516" s="297">
        <v>44683</v>
      </c>
      <c r="H516" s="298"/>
      <c r="I516" s="298"/>
      <c r="J516" s="299" t="s">
        <v>427</v>
      </c>
      <c r="K516" s="298" t="s">
        <v>166</v>
      </c>
      <c r="L516" s="298" t="s">
        <v>1789</v>
      </c>
      <c r="M516" s="298" t="s">
        <v>430</v>
      </c>
      <c r="N516" s="298"/>
      <c r="O516" s="299"/>
      <c r="P516" s="299"/>
      <c r="Q516" s="299"/>
      <c r="R516" s="299" t="str">
        <f t="shared" si="91"/>
        <v>. Trunk Electric Shock, LEFT</v>
      </c>
      <c r="S516" s="299"/>
      <c r="T516" s="298"/>
      <c r="U516" s="298"/>
      <c r="V516" s="298"/>
      <c r="W516" s="298"/>
      <c r="X516" s="298"/>
      <c r="Y516" s="298"/>
      <c r="Z516" s="298" t="s">
        <v>1790</v>
      </c>
      <c r="AA516" s="298" t="s">
        <v>1129</v>
      </c>
      <c r="AB516" s="298"/>
      <c r="AC516" s="213" t="s">
        <v>449</v>
      </c>
      <c r="AD516" s="298"/>
      <c r="AE516" s="298">
        <v>120</v>
      </c>
      <c r="AF516" s="300" t="s">
        <v>434</v>
      </c>
      <c r="AG516" s="301"/>
      <c r="AH516" s="302" t="s">
        <v>435</v>
      </c>
      <c r="AJ516" s="303"/>
      <c r="AK516" s="296" t="s">
        <v>1787</v>
      </c>
      <c r="AL516" s="296" t="s">
        <v>1788</v>
      </c>
      <c r="AS516" s="296" t="str">
        <f>CONCATENATE(AT516,"-",AU516,"-",AV516,"-",AW516)</f>
        <v>F15-Trunk Electric Shock, LEFT-14-18-ALL</v>
      </c>
      <c r="AT516" s="296" t="s">
        <v>661</v>
      </c>
      <c r="AU516" s="296" t="str">
        <f>Z516</f>
        <v>Trunk Electric Shock, LEFT</v>
      </c>
      <c r="AV516" s="296" t="s">
        <v>757</v>
      </c>
      <c r="AW516" s="296" t="s">
        <v>662</v>
      </c>
      <c r="AX516" s="298"/>
      <c r="AY516" s="298"/>
      <c r="AZ516" s="232" t="str">
        <f>IF($AX516="Yes",'8. Option Codes Decrypted'!$C$15,"")</f>
        <v/>
      </c>
      <c r="BA516" s="232" t="str">
        <f>IF($AX516="Yes",'8. Option Codes Decrypted'!$C$16,"")</f>
        <v/>
      </c>
      <c r="BB516" s="232" t="str">
        <f>IF($AX516="Yes",'8. Option Codes Decrypted'!$C$17,"")</f>
        <v/>
      </c>
      <c r="BC516" s="232" t="str">
        <f>IF($AX516="Yes",'8. Option Codes Decrypted'!$C$18,"")</f>
        <v/>
      </c>
      <c r="BD516" s="232" t="str">
        <f>IF($AY516="Yes",'8. Option Codes Decrypted'!$C$20,"")</f>
        <v/>
      </c>
      <c r="BE516" s="232" t="str">
        <f>IF($AY516="Yes",'8. Option Codes Decrypted'!$C$21,"")</f>
        <v/>
      </c>
      <c r="BF516" s="232" t="str">
        <f>IF($AY516="Yes",'8. Option Codes Decrypted'!$C$22,"")</f>
        <v/>
      </c>
      <c r="BG516" s="232" t="str">
        <f>IF($AY516="Yes",'8. Option Codes Decrypted'!$C$23,"")</f>
        <v/>
      </c>
    </row>
    <row r="517" spans="1:60" s="296" customFormat="1" ht="15.75" thickBot="1" x14ac:dyDescent="0.3">
      <c r="A517" s="232" t="str">
        <f t="shared" si="90"/>
        <v/>
      </c>
      <c r="B517" s="358" t="str">
        <f t="shared" si="88"/>
        <v/>
      </c>
      <c r="C517" s="358" t="str">
        <f t="shared" si="98"/>
        <v>F15-Trunk Electric Shock, RIGHT-14-18-ALL</v>
      </c>
      <c r="D517" s="358"/>
      <c r="E517" s="358" t="str">
        <f t="shared" si="89"/>
        <v/>
      </c>
      <c r="F517" s="296" t="s">
        <v>426</v>
      </c>
      <c r="G517" s="297">
        <v>44683</v>
      </c>
      <c r="H517" s="298"/>
      <c r="I517" s="298"/>
      <c r="J517" s="299" t="s">
        <v>427</v>
      </c>
      <c r="K517" s="298" t="s">
        <v>166</v>
      </c>
      <c r="L517" s="298" t="s">
        <v>1789</v>
      </c>
      <c r="M517" s="298" t="s">
        <v>430</v>
      </c>
      <c r="N517" s="298"/>
      <c r="O517" s="299"/>
      <c r="P517" s="299"/>
      <c r="Q517" s="299"/>
      <c r="R517" s="299" t="str">
        <f t="shared" si="91"/>
        <v>. Trunk Electric Shock, RIGHT</v>
      </c>
      <c r="S517" s="299"/>
      <c r="T517" s="298"/>
      <c r="U517" s="298"/>
      <c r="V517" s="298"/>
      <c r="W517" s="298"/>
      <c r="X517" s="298"/>
      <c r="Y517" s="298"/>
      <c r="Z517" s="298" t="s">
        <v>1791</v>
      </c>
      <c r="AA517" s="298" t="s">
        <v>1129</v>
      </c>
      <c r="AB517" s="298"/>
      <c r="AC517" s="213" t="s">
        <v>449</v>
      </c>
      <c r="AD517" s="298"/>
      <c r="AE517" s="298">
        <v>120</v>
      </c>
      <c r="AF517" s="300" t="s">
        <v>434</v>
      </c>
      <c r="AG517" s="301"/>
      <c r="AH517" s="302" t="s">
        <v>435</v>
      </c>
      <c r="AJ517" s="303"/>
      <c r="AK517" s="296" t="s">
        <v>1787</v>
      </c>
      <c r="AL517" s="296" t="s">
        <v>1788</v>
      </c>
      <c r="AS517" s="296" t="str">
        <f>CONCATENATE(AT517,"-",AU517,"-",AV517,"-",AW517)</f>
        <v>F15-Trunk Electric Shock, RIGHT-14-18-ALL</v>
      </c>
      <c r="AT517" s="296" t="s">
        <v>661</v>
      </c>
      <c r="AU517" s="296" t="str">
        <f>Z517</f>
        <v>Trunk Electric Shock, RIGHT</v>
      </c>
      <c r="AV517" s="296" t="s">
        <v>757</v>
      </c>
      <c r="AW517" s="296" t="s">
        <v>662</v>
      </c>
      <c r="AX517" s="298"/>
      <c r="AY517" s="298"/>
      <c r="AZ517" s="232" t="str">
        <f>IF($AX517="Yes",'8. Option Codes Decrypted'!$C$15,"")</f>
        <v/>
      </c>
      <c r="BA517" s="232" t="str">
        <f>IF($AX517="Yes",'8. Option Codes Decrypted'!$C$16,"")</f>
        <v/>
      </c>
      <c r="BB517" s="232" t="str">
        <f>IF($AX517="Yes",'8. Option Codes Decrypted'!$C$17,"")</f>
        <v/>
      </c>
      <c r="BC517" s="232" t="str">
        <f>IF($AX517="Yes",'8. Option Codes Decrypted'!$C$18,"")</f>
        <v/>
      </c>
      <c r="BD517" s="232" t="str">
        <f>IF($AY517="Yes",'8. Option Codes Decrypted'!$C$20,"")</f>
        <v/>
      </c>
      <c r="BE517" s="232" t="str">
        <f>IF($AY517="Yes",'8. Option Codes Decrypted'!$C$21,"")</f>
        <v/>
      </c>
      <c r="BF517" s="232" t="str">
        <f>IF($AY517="Yes",'8. Option Codes Decrypted'!$C$22,"")</f>
        <v/>
      </c>
      <c r="BG517" s="232" t="str">
        <f>IF($AY517="Yes",'8. Option Codes Decrypted'!$C$23,"")</f>
        <v/>
      </c>
    </row>
    <row r="518" spans="1:60" s="296" customFormat="1" ht="15.75" thickBot="1" x14ac:dyDescent="0.3">
      <c r="A518" s="232" t="str">
        <f t="shared" si="90"/>
        <v>A53</v>
      </c>
      <c r="B518" s="358" t="str">
        <f t="shared" si="88"/>
        <v/>
      </c>
      <c r="C518" s="358" t="str">
        <f t="shared" si="98"/>
        <v>F15-Trunk Emblem-14-18-ALL</v>
      </c>
      <c r="D518" s="358"/>
      <c r="E518" s="358" t="str">
        <f t="shared" si="89"/>
        <v/>
      </c>
      <c r="F518" s="296" t="s">
        <v>426</v>
      </c>
      <c r="G518" s="297">
        <v>44684</v>
      </c>
      <c r="H518" s="298"/>
      <c r="I518" s="298" t="s">
        <v>441</v>
      </c>
      <c r="J518" s="298" t="s">
        <v>427</v>
      </c>
      <c r="K518" s="299" t="s">
        <v>166</v>
      </c>
      <c r="L518" s="298" t="s">
        <v>1792</v>
      </c>
      <c r="M518" s="298" t="s">
        <v>430</v>
      </c>
      <c r="N518" s="298">
        <v>43</v>
      </c>
      <c r="O518" s="299" t="s">
        <v>297</v>
      </c>
      <c r="P518" s="299" t="s">
        <v>445</v>
      </c>
      <c r="Q518" s="299">
        <v>1</v>
      </c>
      <c r="R518" s="299" t="str">
        <f t="shared" si="91"/>
        <v>A53. Trunk Emblem</v>
      </c>
      <c r="S518" s="365" t="str">
        <f>HYPERLINK(VLOOKUP(O518,'3D. Pictures'!$B$3:$E$500,4,FALSE),"PIC")</f>
        <v>PIC</v>
      </c>
      <c r="T518" s="298">
        <v>4</v>
      </c>
      <c r="U518" s="298" t="s">
        <v>1793</v>
      </c>
      <c r="V518" s="298" t="s">
        <v>80</v>
      </c>
      <c r="W518" s="298"/>
      <c r="X518" s="298"/>
      <c r="Y518" s="298"/>
      <c r="Z518" s="298" t="s">
        <v>1794</v>
      </c>
      <c r="AA518" s="298"/>
      <c r="AB518" s="298"/>
      <c r="AC518" s="213" t="s">
        <v>449</v>
      </c>
      <c r="AD518" s="298"/>
      <c r="AE518" s="298">
        <v>45</v>
      </c>
      <c r="AF518" s="300" t="s">
        <v>434</v>
      </c>
      <c r="AG518" s="301"/>
      <c r="AH518" s="302" t="s">
        <v>435</v>
      </c>
      <c r="AJ518" s="303"/>
      <c r="AK518" s="296" t="s">
        <v>1795</v>
      </c>
      <c r="AS518" s="296" t="str">
        <f>CONCATENATE(AT518,"-",AU518,"-",AV518,"-",AW518)</f>
        <v>F15-Trunk Emblem-14-18-ALL</v>
      </c>
      <c r="AT518" s="296" t="s">
        <v>661</v>
      </c>
      <c r="AU518" s="296" t="str">
        <f>Z518</f>
        <v>Trunk Emblem</v>
      </c>
      <c r="AV518" s="296" t="s">
        <v>757</v>
      </c>
      <c r="AW518" s="296" t="s">
        <v>662</v>
      </c>
      <c r="AX518" s="298"/>
      <c r="AY518" s="298"/>
      <c r="AZ518" s="232" t="str">
        <f>IF($AX518="Yes",'8. Option Codes Decrypted'!$C$15,"")</f>
        <v/>
      </c>
      <c r="BA518" s="232" t="str">
        <f>IF($AX518="Yes",'8. Option Codes Decrypted'!$C$16,"")</f>
        <v/>
      </c>
      <c r="BB518" s="232" t="str">
        <f>IF($AX518="Yes",'8. Option Codes Decrypted'!$C$17,"")</f>
        <v/>
      </c>
      <c r="BC518" s="232" t="str">
        <f>IF($AX518="Yes",'8. Option Codes Decrypted'!$C$18,"")</f>
        <v/>
      </c>
      <c r="BD518" s="232" t="str">
        <f>IF($AY518="Yes",'8. Option Codes Decrypted'!$C$20,"")</f>
        <v/>
      </c>
      <c r="BE518" s="232" t="str">
        <f>IF($AY518="Yes",'8. Option Codes Decrypted'!$C$21,"")</f>
        <v/>
      </c>
      <c r="BF518" s="232" t="str">
        <f>IF($AY518="Yes",'8. Option Codes Decrypted'!$C$22,"")</f>
        <v/>
      </c>
      <c r="BG518" s="232" t="str">
        <f>IF($AY518="Yes",'8. Option Codes Decrypted'!$C$23,"")</f>
        <v/>
      </c>
    </row>
    <row r="519" spans="1:60" s="232" customFormat="1" ht="15.75" thickBot="1" x14ac:dyDescent="0.3">
      <c r="A519" s="232" t="str">
        <f t="shared" si="90"/>
        <v>A34</v>
      </c>
      <c r="B519" s="358" t="str">
        <f t="shared" si="88"/>
        <v>618-56287</v>
      </c>
      <c r="C519" s="358" t="str">
        <f t="shared" si="98"/>
        <v/>
      </c>
      <c r="D519" s="358"/>
      <c r="E519" s="358">
        <f t="shared" si="89"/>
        <v>1</v>
      </c>
      <c r="F519" s="232" t="s">
        <v>426</v>
      </c>
      <c r="G519" s="241">
        <v>44674</v>
      </c>
      <c r="H519" s="250"/>
      <c r="I519" s="250"/>
      <c r="J519" s="250" t="s">
        <v>427</v>
      </c>
      <c r="K519" s="251" t="s">
        <v>166</v>
      </c>
      <c r="L519" s="250" t="s">
        <v>1796</v>
      </c>
      <c r="M519" s="243" t="s">
        <v>444</v>
      </c>
      <c r="N519" s="243">
        <v>24</v>
      </c>
      <c r="O519" s="285" t="s">
        <v>278</v>
      </c>
      <c r="P519" s="285" t="s">
        <v>459</v>
      </c>
      <c r="Q519" s="285">
        <v>1</v>
      </c>
      <c r="R519" s="286" t="str">
        <f t="shared" si="91"/>
        <v>A34. Wiper Motor, Trunk</v>
      </c>
      <c r="S519" s="365" t="str">
        <f>HYPERLINK(VLOOKUP(O519,'3D. Pictures'!$B$3:$E$500,4,FALSE),"PIC")</f>
        <v>PIC</v>
      </c>
      <c r="T519" s="243">
        <v>4</v>
      </c>
      <c r="U519" s="244" t="s">
        <v>1797</v>
      </c>
      <c r="V519" s="243" t="s">
        <v>80</v>
      </c>
      <c r="W519" s="244"/>
      <c r="X519" s="244"/>
      <c r="Y519" s="244"/>
      <c r="Z519" s="250" t="s">
        <v>1798</v>
      </c>
      <c r="AA519" s="250"/>
      <c r="AB519" s="250"/>
      <c r="AC519" s="244" t="s">
        <v>449</v>
      </c>
      <c r="AD519" s="250"/>
      <c r="AE519" s="250">
        <v>100</v>
      </c>
      <c r="AF519" s="252" t="s">
        <v>434</v>
      </c>
      <c r="AG519" s="247"/>
      <c r="AH519" s="248" t="s">
        <v>435</v>
      </c>
      <c r="AJ519" s="249"/>
      <c r="AK519" s="232" t="s">
        <v>1799</v>
      </c>
      <c r="AN519" s="233" t="s">
        <v>1800</v>
      </c>
      <c r="AO519" s="232" t="s">
        <v>411</v>
      </c>
      <c r="AP519" s="232">
        <v>56287</v>
      </c>
      <c r="AQ519" s="232" t="str">
        <f>CONCATENATE(AN519,AO519,AP519)</f>
        <v>618-56287</v>
      </c>
      <c r="AX519" s="244"/>
      <c r="AY519" s="244"/>
      <c r="AZ519" s="232" t="str">
        <f>IF($AX519="Yes",'8. Option Codes Decrypted'!$C$15,"")</f>
        <v/>
      </c>
      <c r="BA519" s="232" t="str">
        <f>IF($AX519="Yes",'8. Option Codes Decrypted'!$C$16,"")</f>
        <v/>
      </c>
      <c r="BB519" s="232" t="str">
        <f>IF($AX519="Yes",'8. Option Codes Decrypted'!$C$17,"")</f>
        <v/>
      </c>
      <c r="BC519" s="232" t="str">
        <f>IF($AX519="Yes",'8. Option Codes Decrypted'!$C$18,"")</f>
        <v/>
      </c>
      <c r="BD519" s="232" t="str">
        <f>IF($AY519="Yes",'8. Option Codes Decrypted'!$C$20,"")</f>
        <v/>
      </c>
      <c r="BE519" s="232" t="str">
        <f>IF($AY519="Yes",'8. Option Codes Decrypted'!$C$21,"")</f>
        <v/>
      </c>
      <c r="BF519" s="232" t="str">
        <f>IF($AY519="Yes",'8. Option Codes Decrypted'!$C$22,"")</f>
        <v/>
      </c>
      <c r="BG519" s="232" t="str">
        <f>IF($AY519="Yes",'8. Option Codes Decrypted'!$C$23,"")</f>
        <v/>
      </c>
    </row>
    <row r="520" spans="1:60" x14ac:dyDescent="0.25">
      <c r="A520" s="232" t="str">
        <f t="shared" si="90"/>
        <v/>
      </c>
      <c r="B520" s="358" t="str">
        <f t="shared" si="88"/>
        <v/>
      </c>
      <c r="C520" s="358" t="str">
        <f t="shared" si="98"/>
        <v/>
      </c>
      <c r="D520" s="358"/>
      <c r="E520" s="358" t="str">
        <f t="shared" si="89"/>
        <v/>
      </c>
      <c r="F520" t="s">
        <v>426</v>
      </c>
      <c r="G520" s="230">
        <v>44674</v>
      </c>
      <c r="H520" s="190"/>
      <c r="I520" s="10"/>
      <c r="J520" s="10" t="s">
        <v>1228</v>
      </c>
      <c r="K520" s="15" t="s">
        <v>166</v>
      </c>
      <c r="L520" s="10" t="s">
        <v>1801</v>
      </c>
      <c r="M520" s="195" t="s">
        <v>444</v>
      </c>
      <c r="N520" s="195"/>
      <c r="O520" s="292"/>
      <c r="P520" s="292"/>
      <c r="Q520" s="292"/>
      <c r="R520" s="286" t="str">
        <f t="shared" si="91"/>
        <v>. Trunk Assembly - UPPER TRUNK (part out)</v>
      </c>
      <c r="S520" s="286"/>
      <c r="T520" s="195"/>
      <c r="U520" s="193"/>
      <c r="V520" s="195"/>
      <c r="W520" s="193"/>
      <c r="X520" s="193"/>
      <c r="Y520" s="193"/>
      <c r="Z520" s="10" t="s">
        <v>1801</v>
      </c>
      <c r="AA520" s="10" t="s">
        <v>1801</v>
      </c>
      <c r="AB520" s="10" t="s">
        <v>1801</v>
      </c>
      <c r="AC520" s="193" t="s">
        <v>449</v>
      </c>
      <c r="AD520" s="10"/>
      <c r="AE520" s="10"/>
      <c r="AF520" s="200" t="s">
        <v>434</v>
      </c>
      <c r="AH520" s="3" t="s">
        <v>435</v>
      </c>
      <c r="AJ520" s="69"/>
      <c r="AK520" t="s">
        <v>1802</v>
      </c>
      <c r="AN520"/>
      <c r="AO520" t="s">
        <v>411</v>
      </c>
      <c r="AX520" s="193"/>
      <c r="AY520" s="193"/>
      <c r="AZ520" s="232" t="str">
        <f>IF($AX520="Yes",'8. Option Codes Decrypted'!$C$15,"")</f>
        <v/>
      </c>
      <c r="BA520" s="232" t="str">
        <f>IF($AX520="Yes",'8. Option Codes Decrypted'!$C$16,"")</f>
        <v/>
      </c>
      <c r="BB520" s="232" t="str">
        <f>IF($AX520="Yes",'8. Option Codes Decrypted'!$C$17,"")</f>
        <v/>
      </c>
      <c r="BC520" s="232" t="str">
        <f>IF($AX520="Yes",'8. Option Codes Decrypted'!$C$18,"")</f>
        <v/>
      </c>
      <c r="BD520" s="232" t="str">
        <f>IF($AY520="Yes",'8. Option Codes Decrypted'!$C$20,"")</f>
        <v/>
      </c>
      <c r="BE520" s="232" t="str">
        <f>IF($AY520="Yes",'8. Option Codes Decrypted'!$C$21,"")</f>
        <v/>
      </c>
      <c r="BF520" s="232" t="str">
        <f>IF($AY520="Yes",'8. Option Codes Decrypted'!$C$22,"")</f>
        <v/>
      </c>
      <c r="BG520" s="232" t="str">
        <f>IF($AY520="Yes",'8. Option Codes Decrypted'!$C$23,"")</f>
        <v/>
      </c>
    </row>
    <row r="521" spans="1:60" s="208" customFormat="1" x14ac:dyDescent="0.25">
      <c r="A521" s="232" t="str">
        <f t="shared" si="90"/>
        <v/>
      </c>
      <c r="B521" s="358" t="str">
        <f t="shared" ref="B521:B539" si="99">IF(AQ521&lt;&gt;"",AQ521,"")</f>
        <v/>
      </c>
      <c r="C521" s="358" t="str">
        <f t="shared" si="98"/>
        <v/>
      </c>
      <c r="D521" s="358"/>
      <c r="E521" s="358" t="str">
        <f t="shared" ref="E521:E539" si="100">IF(B521&lt;&gt;"",COUNTIF($B$9:$B$2175,B521),"")</f>
        <v/>
      </c>
      <c r="F521" t="s">
        <v>426</v>
      </c>
      <c r="G521" s="230">
        <v>44684</v>
      </c>
      <c r="H521" s="10"/>
      <c r="I521" s="10"/>
      <c r="J521" s="10" t="s">
        <v>504</v>
      </c>
      <c r="K521" s="10" t="s">
        <v>166</v>
      </c>
      <c r="L521" s="10" t="s">
        <v>1803</v>
      </c>
      <c r="M521" s="16" t="s">
        <v>430</v>
      </c>
      <c r="N521" s="16"/>
      <c r="O521" s="191"/>
      <c r="P521" s="191"/>
      <c r="Q521" s="191"/>
      <c r="R521" s="286" t="str">
        <f t="shared" si="91"/>
        <v>. Cargo Hooks (these are the 4 that slide on rails - TOSS ALL)</v>
      </c>
      <c r="S521" s="286"/>
      <c r="T521" s="16"/>
      <c r="U521" s="16"/>
      <c r="V521" s="16"/>
      <c r="W521" s="16"/>
      <c r="X521" s="16"/>
      <c r="Y521" s="16"/>
      <c r="Z521" s="10" t="s">
        <v>1803</v>
      </c>
      <c r="AA521" s="10" t="s">
        <v>1803</v>
      </c>
      <c r="AB521" s="10" t="s">
        <v>1803</v>
      </c>
      <c r="AC521" s="193" t="s">
        <v>449</v>
      </c>
      <c r="AD521" s="10"/>
      <c r="AE521" s="10"/>
      <c r="AF521" s="200" t="s">
        <v>434</v>
      </c>
      <c r="AG521" s="56"/>
      <c r="AH521" s="3" t="s">
        <v>435</v>
      </c>
      <c r="AI521"/>
      <c r="AJ521" s="69"/>
      <c r="AK521" t="s">
        <v>1804</v>
      </c>
      <c r="AL521"/>
      <c r="AM521"/>
      <c r="AX521" s="16"/>
      <c r="AY521" s="16"/>
      <c r="AZ521" s="232" t="str">
        <f>IF($AX521="Yes",'8. Option Codes Decrypted'!$C$15,"")</f>
        <v/>
      </c>
      <c r="BA521" s="232" t="str">
        <f>IF($AX521="Yes",'8. Option Codes Decrypted'!$C$16,"")</f>
        <v/>
      </c>
      <c r="BB521" s="232" t="str">
        <f>IF($AX521="Yes",'8. Option Codes Decrypted'!$C$17,"")</f>
        <v/>
      </c>
      <c r="BC521" s="232" t="str">
        <f>IF($AX521="Yes",'8. Option Codes Decrypted'!$C$18,"")</f>
        <v/>
      </c>
      <c r="BD521" s="232" t="str">
        <f>IF($AY521="Yes",'8. Option Codes Decrypted'!$C$20,"")</f>
        <v/>
      </c>
      <c r="BE521" s="232" t="str">
        <f>IF($AY521="Yes",'8. Option Codes Decrypted'!$C$21,"")</f>
        <v/>
      </c>
      <c r="BF521" s="232" t="str">
        <f>IF($AY521="Yes",'8. Option Codes Decrypted'!$C$22,"")</f>
        <v/>
      </c>
      <c r="BG521" s="232" t="str">
        <f>IF($AY521="Yes",'8. Option Codes Decrypted'!$C$23,"")</f>
        <v/>
      </c>
    </row>
    <row r="522" spans="1:60" s="208" customFormat="1" x14ac:dyDescent="0.25">
      <c r="A522" s="232" t="str">
        <f t="shared" ref="A522:A585" si="101">IF(O522&lt;&gt;"",O522,"")</f>
        <v/>
      </c>
      <c r="B522" s="358" t="str">
        <f t="shared" si="99"/>
        <v/>
      </c>
      <c r="C522" s="358" t="str">
        <f t="shared" si="98"/>
        <v/>
      </c>
      <c r="D522" s="358"/>
      <c r="E522" s="358" t="str">
        <f t="shared" si="100"/>
        <v/>
      </c>
      <c r="F522" t="s">
        <v>426</v>
      </c>
      <c r="G522" s="230">
        <v>44684</v>
      </c>
      <c r="H522" s="10"/>
      <c r="I522" s="10"/>
      <c r="J522" s="15" t="s">
        <v>504</v>
      </c>
      <c r="K522" s="10" t="s">
        <v>166</v>
      </c>
      <c r="L522" s="10" t="s">
        <v>1805</v>
      </c>
      <c r="M522" s="16" t="s">
        <v>430</v>
      </c>
      <c r="N522" s="16"/>
      <c r="O522" s="191"/>
      <c r="P522" s="191"/>
      <c r="Q522" s="191"/>
      <c r="R522" s="286" t="str">
        <f t="shared" si="91"/>
        <v>. Cargo Net</v>
      </c>
      <c r="S522" s="286"/>
      <c r="T522" s="16"/>
      <c r="U522" s="16"/>
      <c r="V522" s="16"/>
      <c r="W522" s="16"/>
      <c r="X522" s="16"/>
      <c r="Y522" s="16"/>
      <c r="Z522" s="10" t="s">
        <v>1805</v>
      </c>
      <c r="AA522" s="10" t="s">
        <v>1805</v>
      </c>
      <c r="AB522" s="10" t="s">
        <v>1805</v>
      </c>
      <c r="AC522" s="193" t="s">
        <v>449</v>
      </c>
      <c r="AD522" s="10"/>
      <c r="AE522" s="10"/>
      <c r="AF522" s="200" t="s">
        <v>434</v>
      </c>
      <c r="AG522" s="56"/>
      <c r="AH522" s="3" t="s">
        <v>435</v>
      </c>
      <c r="AI522"/>
      <c r="AJ522" s="69"/>
      <c r="AK522" t="s">
        <v>1806</v>
      </c>
      <c r="AL522"/>
      <c r="AM522"/>
      <c r="AX522" s="16"/>
      <c r="AY522" s="16"/>
      <c r="AZ522" s="232" t="str">
        <f>IF($AX522="Yes",'8. Option Codes Decrypted'!$C$15,"")</f>
        <v/>
      </c>
      <c r="BA522" s="232" t="str">
        <f>IF($AX522="Yes",'8. Option Codes Decrypted'!$C$16,"")</f>
        <v/>
      </c>
      <c r="BB522" s="232" t="str">
        <f>IF($AX522="Yes",'8. Option Codes Decrypted'!$C$17,"")</f>
        <v/>
      </c>
      <c r="BC522" s="232" t="str">
        <f>IF($AX522="Yes",'8. Option Codes Decrypted'!$C$18,"")</f>
        <v/>
      </c>
      <c r="BD522" s="232" t="str">
        <f>IF($AY522="Yes",'8. Option Codes Decrypted'!$C$20,"")</f>
        <v/>
      </c>
      <c r="BE522" s="232" t="str">
        <f>IF($AY522="Yes",'8. Option Codes Decrypted'!$C$21,"")</f>
        <v/>
      </c>
      <c r="BF522" s="232" t="str">
        <f>IF($AY522="Yes",'8. Option Codes Decrypted'!$C$22,"")</f>
        <v/>
      </c>
      <c r="BG522" s="232" t="str">
        <f>IF($AY522="Yes",'8. Option Codes Decrypted'!$C$23,"")</f>
        <v/>
      </c>
    </row>
    <row r="523" spans="1:60" s="208" customFormat="1" x14ac:dyDescent="0.25">
      <c r="A523" s="232" t="str">
        <f t="shared" si="101"/>
        <v/>
      </c>
      <c r="B523" s="358" t="str">
        <f t="shared" si="99"/>
        <v/>
      </c>
      <c r="C523" s="358" t="str">
        <f t="shared" si="98"/>
        <v/>
      </c>
      <c r="D523" s="358"/>
      <c r="E523" s="358" t="str">
        <f t="shared" si="100"/>
        <v/>
      </c>
      <c r="F523" t="s">
        <v>426</v>
      </c>
      <c r="G523" s="230">
        <v>44684</v>
      </c>
      <c r="H523" s="10"/>
      <c r="I523" s="10"/>
      <c r="J523" s="10" t="s">
        <v>504</v>
      </c>
      <c r="K523" s="10" t="s">
        <v>166</v>
      </c>
      <c r="L523" s="10" t="s">
        <v>1807</v>
      </c>
      <c r="M523" s="16" t="s">
        <v>430</v>
      </c>
      <c r="N523" s="16"/>
      <c r="O523" s="191"/>
      <c r="P523" s="191"/>
      <c r="Q523" s="191"/>
      <c r="R523" s="286" t="str">
        <f t="shared" ref="R523:R539" si="102">CONCATENATE(O523,". ",Z523)</f>
        <v>. Cargo Rails (the 2 aluminum ones - TOSS BOTH)</v>
      </c>
      <c r="S523" s="286"/>
      <c r="T523" s="16"/>
      <c r="U523" s="16"/>
      <c r="V523" s="16"/>
      <c r="W523" s="16"/>
      <c r="X523" s="16"/>
      <c r="Y523" s="16"/>
      <c r="Z523" s="10" t="s">
        <v>1807</v>
      </c>
      <c r="AA523" s="10" t="s">
        <v>1807</v>
      </c>
      <c r="AB523" s="10" t="s">
        <v>1807</v>
      </c>
      <c r="AC523" s="193" t="s">
        <v>449</v>
      </c>
      <c r="AD523" s="10"/>
      <c r="AE523" s="10"/>
      <c r="AF523" s="200" t="s">
        <v>434</v>
      </c>
      <c r="AG523" s="56"/>
      <c r="AH523" s="3" t="s">
        <v>435</v>
      </c>
      <c r="AI523"/>
      <c r="AJ523" s="69"/>
      <c r="AK523" t="s">
        <v>1808</v>
      </c>
      <c r="AL523"/>
      <c r="AM523"/>
      <c r="AX523" s="16"/>
      <c r="AY523" s="16"/>
      <c r="AZ523" s="232" t="str">
        <f>IF($AX523="Yes",'8. Option Codes Decrypted'!$C$15,"")</f>
        <v/>
      </c>
      <c r="BA523" s="232" t="str">
        <f>IF($AX523="Yes",'8. Option Codes Decrypted'!$C$16,"")</f>
        <v/>
      </c>
      <c r="BB523" s="232" t="str">
        <f>IF($AX523="Yes",'8. Option Codes Decrypted'!$C$17,"")</f>
        <v/>
      </c>
      <c r="BC523" s="232" t="str">
        <f>IF($AX523="Yes",'8. Option Codes Decrypted'!$C$18,"")</f>
        <v/>
      </c>
      <c r="BD523" s="232" t="str">
        <f>IF($AY523="Yes",'8. Option Codes Decrypted'!$C$20,"")</f>
        <v/>
      </c>
      <c r="BE523" s="232" t="str">
        <f>IF($AY523="Yes",'8. Option Codes Decrypted'!$C$21,"")</f>
        <v/>
      </c>
      <c r="BF523" s="232" t="str">
        <f>IF($AY523="Yes",'8. Option Codes Decrypted'!$C$22,"")</f>
        <v/>
      </c>
      <c r="BG523" s="232" t="str">
        <f>IF($AY523="Yes",'8. Option Codes Decrypted'!$C$23,"")</f>
        <v/>
      </c>
    </row>
    <row r="524" spans="1:60" s="208" customFormat="1" x14ac:dyDescent="0.25">
      <c r="A524" s="232" t="str">
        <f t="shared" si="101"/>
        <v/>
      </c>
      <c r="B524" s="358" t="str">
        <f t="shared" si="99"/>
        <v/>
      </c>
      <c r="C524" s="358" t="str">
        <f t="shared" si="98"/>
        <v/>
      </c>
      <c r="D524" s="358"/>
      <c r="E524" s="358" t="str">
        <f t="shared" si="100"/>
        <v/>
      </c>
      <c r="F524" t="s">
        <v>426</v>
      </c>
      <c r="G524" s="230">
        <v>44671</v>
      </c>
      <c r="H524" s="10"/>
      <c r="I524" s="10"/>
      <c r="J524" s="10" t="s">
        <v>504</v>
      </c>
      <c r="K524" s="15" t="s">
        <v>166</v>
      </c>
      <c r="L524" s="10" t="s">
        <v>1293</v>
      </c>
      <c r="M524" s="16" t="s">
        <v>430</v>
      </c>
      <c r="N524" s="16"/>
      <c r="O524" s="191"/>
      <c r="P524" s="191"/>
      <c r="Q524" s="191"/>
      <c r="R524" s="286" t="str">
        <f t="shared" si="102"/>
        <v>. License Plate Lights (TOSS BOTH)</v>
      </c>
      <c r="S524" s="286"/>
      <c r="T524" s="16"/>
      <c r="U524" s="16"/>
      <c r="V524" s="16"/>
      <c r="W524" s="16"/>
      <c r="X524" s="16"/>
      <c r="Y524" s="16"/>
      <c r="Z524" s="10" t="s">
        <v>1293</v>
      </c>
      <c r="AA524" s="10" t="s">
        <v>1293</v>
      </c>
      <c r="AB524" s="10" t="s">
        <v>1293</v>
      </c>
      <c r="AC524" s="193" t="s">
        <v>449</v>
      </c>
      <c r="AD524" s="10"/>
      <c r="AE524" s="10"/>
      <c r="AF524" s="200" t="s">
        <v>434</v>
      </c>
      <c r="AG524" s="56"/>
      <c r="AH524" s="3" t="s">
        <v>435</v>
      </c>
      <c r="AI524"/>
      <c r="AJ524" s="69"/>
      <c r="AK524" t="s">
        <v>1294</v>
      </c>
      <c r="AL524"/>
      <c r="AM524"/>
      <c r="AX524" s="16"/>
      <c r="AY524" s="16"/>
      <c r="AZ524" s="232" t="str">
        <f>IF($AX524="Yes",'8. Option Codes Decrypted'!$C$15,"")</f>
        <v/>
      </c>
      <c r="BA524" s="232" t="str">
        <f>IF($AX524="Yes",'8. Option Codes Decrypted'!$C$16,"")</f>
        <v/>
      </c>
      <c r="BB524" s="232" t="str">
        <f>IF($AX524="Yes",'8. Option Codes Decrypted'!$C$17,"")</f>
        <v/>
      </c>
      <c r="BC524" s="232" t="str">
        <f>IF($AX524="Yes",'8. Option Codes Decrypted'!$C$18,"")</f>
        <v/>
      </c>
      <c r="BD524" s="232" t="str">
        <f>IF($AY524="Yes",'8. Option Codes Decrypted'!$C$20,"")</f>
        <v/>
      </c>
      <c r="BE524" s="232" t="str">
        <f>IF($AY524="Yes",'8. Option Codes Decrypted'!$C$21,"")</f>
        <v/>
      </c>
      <c r="BF524" s="232" t="str">
        <f>IF($AY524="Yes",'8. Option Codes Decrypted'!$C$22,"")</f>
        <v/>
      </c>
      <c r="BG524" s="232" t="str">
        <f>IF($AY524="Yes",'8. Option Codes Decrypted'!$C$23,"")</f>
        <v/>
      </c>
    </row>
    <row r="525" spans="1:60" s="208" customFormat="1" x14ac:dyDescent="0.25">
      <c r="A525" s="232" t="str">
        <f t="shared" si="101"/>
        <v/>
      </c>
      <c r="B525" s="358" t="str">
        <f t="shared" si="99"/>
        <v/>
      </c>
      <c r="C525" s="358" t="str">
        <f t="shared" si="98"/>
        <v/>
      </c>
      <c r="D525" s="358"/>
      <c r="E525" s="358" t="str">
        <f t="shared" si="100"/>
        <v/>
      </c>
      <c r="F525" t="s">
        <v>508</v>
      </c>
      <c r="G525" s="230">
        <v>44993</v>
      </c>
      <c r="H525" s="10"/>
      <c r="I525" s="10"/>
      <c r="J525" s="10" t="s">
        <v>504</v>
      </c>
      <c r="K525" s="15" t="s">
        <v>166</v>
      </c>
      <c r="L525" s="10" t="s">
        <v>1809</v>
      </c>
      <c r="M525" s="16" t="s">
        <v>430</v>
      </c>
      <c r="N525" s="16"/>
      <c r="O525" s="191"/>
      <c r="P525" s="191"/>
      <c r="Q525" s="191"/>
      <c r="R525" s="286" t="str">
        <f t="shared" si="102"/>
        <v>. Nebative Battery Cable (Standard brown cable no module)</v>
      </c>
      <c r="S525" s="286"/>
      <c r="T525" s="16"/>
      <c r="U525" s="16"/>
      <c r="V525" s="16"/>
      <c r="W525" s="16"/>
      <c r="X525" s="16"/>
      <c r="Y525" s="16"/>
      <c r="Z525" s="10" t="s">
        <v>1809</v>
      </c>
      <c r="AA525" s="10" t="s">
        <v>1809</v>
      </c>
      <c r="AB525" s="10" t="s">
        <v>1809</v>
      </c>
      <c r="AC525" s="193" t="s">
        <v>449</v>
      </c>
      <c r="AD525" s="10">
        <v>9255047</v>
      </c>
      <c r="AE525" s="10"/>
      <c r="AF525" s="200" t="s">
        <v>434</v>
      </c>
      <c r="AG525" s="56"/>
      <c r="AH525" s="3" t="s">
        <v>435</v>
      </c>
      <c r="AI525"/>
      <c r="AJ525" s="69"/>
      <c r="AK525">
        <v>9255047</v>
      </c>
      <c r="AL525"/>
      <c r="AM525"/>
      <c r="AX525" s="16"/>
      <c r="AY525" s="16"/>
      <c r="AZ525" s="232" t="str">
        <f>IF($AX525="Yes",'8. Option Codes Decrypted'!$C$15,"")</f>
        <v/>
      </c>
      <c r="BA525" s="232" t="str">
        <f>IF($AX525="Yes",'8. Option Codes Decrypted'!$C$16,"")</f>
        <v/>
      </c>
      <c r="BB525" s="232" t="str">
        <f>IF($AX525="Yes",'8. Option Codes Decrypted'!$C$17,"")</f>
        <v/>
      </c>
      <c r="BC525" s="232" t="str">
        <f>IF($AX525="Yes",'8. Option Codes Decrypted'!$C$18,"")</f>
        <v/>
      </c>
      <c r="BD525" s="232" t="str">
        <f>IF($AY525="Yes",'8. Option Codes Decrypted'!$C$20,"")</f>
        <v/>
      </c>
      <c r="BE525" s="232" t="str">
        <f>IF($AY525="Yes",'8. Option Codes Decrypted'!$C$21,"")</f>
        <v/>
      </c>
      <c r="BF525" s="232" t="str">
        <f>IF($AY525="Yes",'8. Option Codes Decrypted'!$C$22,"")</f>
        <v/>
      </c>
      <c r="BG525" s="232" t="str">
        <f>IF($AY525="Yes",'8. Option Codes Decrypted'!$C$23,"")</f>
        <v/>
      </c>
    </row>
    <row r="526" spans="1:60" s="208" customFormat="1" x14ac:dyDescent="0.25">
      <c r="A526" s="232" t="str">
        <f t="shared" si="101"/>
        <v/>
      </c>
      <c r="B526" s="358" t="str">
        <f t="shared" si="99"/>
        <v/>
      </c>
      <c r="C526" s="358" t="str">
        <f t="shared" si="98"/>
        <v/>
      </c>
      <c r="D526" s="358"/>
      <c r="E526" s="358" t="str">
        <f t="shared" si="100"/>
        <v/>
      </c>
      <c r="F526" t="s">
        <v>426</v>
      </c>
      <c r="G526" s="230">
        <v>44684</v>
      </c>
      <c r="H526" s="10"/>
      <c r="I526" s="10"/>
      <c r="J526" s="10" t="s">
        <v>504</v>
      </c>
      <c r="K526" s="15" t="s">
        <v>166</v>
      </c>
      <c r="L526" s="10" t="s">
        <v>1810</v>
      </c>
      <c r="M526" s="16" t="s">
        <v>430</v>
      </c>
      <c r="N526" s="16"/>
      <c r="O526" s="191"/>
      <c r="P526" s="191"/>
      <c r="Q526" s="191"/>
      <c r="R526" s="286" t="str">
        <f t="shared" si="102"/>
        <v>. Positive Battery Distribution Box (6x6 inch flat w/ red plastic on top &amp; black on bottom)</v>
      </c>
      <c r="S526" s="286"/>
      <c r="T526" s="16"/>
      <c r="U526" s="16"/>
      <c r="V526" s="16"/>
      <c r="W526" s="16"/>
      <c r="X526" s="16"/>
      <c r="Y526" s="16"/>
      <c r="Z526" s="10" t="s">
        <v>1810</v>
      </c>
      <c r="AA526" s="10" t="s">
        <v>1810</v>
      </c>
      <c r="AB526" s="10" t="s">
        <v>1810</v>
      </c>
      <c r="AC526" s="193" t="s">
        <v>449</v>
      </c>
      <c r="AD526" s="10"/>
      <c r="AE526" s="10"/>
      <c r="AF526" s="200" t="s">
        <v>434</v>
      </c>
      <c r="AG526" s="56"/>
      <c r="AH526" s="3" t="s">
        <v>435</v>
      </c>
      <c r="AI526"/>
      <c r="AJ526" s="69"/>
      <c r="AK526" t="s">
        <v>1811</v>
      </c>
      <c r="AL526" t="s">
        <v>1812</v>
      </c>
      <c r="AM526"/>
      <c r="AX526" s="16"/>
      <c r="AY526" s="16"/>
      <c r="AZ526" s="232" t="str">
        <f>IF($AX526="Yes",'8. Option Codes Decrypted'!$C$15,"")</f>
        <v/>
      </c>
      <c r="BA526" s="232" t="str">
        <f>IF($AX526="Yes",'8. Option Codes Decrypted'!$C$16,"")</f>
        <v/>
      </c>
      <c r="BB526" s="232" t="str">
        <f>IF($AX526="Yes",'8. Option Codes Decrypted'!$C$17,"")</f>
        <v/>
      </c>
      <c r="BC526" s="232" t="str">
        <f>IF($AX526="Yes",'8. Option Codes Decrypted'!$C$18,"")</f>
        <v/>
      </c>
      <c r="BD526" s="232" t="str">
        <f>IF($AY526="Yes",'8. Option Codes Decrypted'!$C$20,"")</f>
        <v/>
      </c>
      <c r="BE526" s="232" t="str">
        <f>IF($AY526="Yes",'8. Option Codes Decrypted'!$C$21,"")</f>
        <v/>
      </c>
      <c r="BF526" s="232" t="str">
        <f>IF($AY526="Yes",'8. Option Codes Decrypted'!$C$22,"")</f>
        <v/>
      </c>
      <c r="BG526" s="232" t="str">
        <f>IF($AY526="Yes",'8. Option Codes Decrypted'!$C$23,"")</f>
        <v/>
      </c>
    </row>
    <row r="527" spans="1:60" x14ac:dyDescent="0.25">
      <c r="A527" s="232" t="str">
        <f t="shared" si="101"/>
        <v/>
      </c>
      <c r="B527" s="358" t="str">
        <f t="shared" si="99"/>
        <v/>
      </c>
      <c r="C527" s="358" t="str">
        <f t="shared" si="98"/>
        <v/>
      </c>
      <c r="D527" s="358"/>
      <c r="E527" s="358" t="str">
        <f t="shared" si="100"/>
        <v/>
      </c>
      <c r="F527" t="s">
        <v>426</v>
      </c>
      <c r="G527" s="230">
        <v>44684</v>
      </c>
      <c r="H527" s="10"/>
      <c r="I527" s="10"/>
      <c r="J527" s="10" t="s">
        <v>504</v>
      </c>
      <c r="K527" s="15" t="s">
        <v>166</v>
      </c>
      <c r="L527" s="10" t="s">
        <v>1813</v>
      </c>
      <c r="M527" s="16" t="s">
        <v>430</v>
      </c>
      <c r="N527" s="16"/>
      <c r="O527" s="191"/>
      <c r="P527" s="191"/>
      <c r="Q527" s="191"/>
      <c r="R527" s="286" t="str">
        <f t="shared" si="102"/>
        <v>. Switch/Button, Trunk Lid Lock / Open Close Switch Button (trunk mounted)</v>
      </c>
      <c r="S527" s="286"/>
      <c r="T527" s="16"/>
      <c r="U527" s="16"/>
      <c r="V527" s="16"/>
      <c r="W527" s="16"/>
      <c r="X527" s="16"/>
      <c r="Y527" s="16"/>
      <c r="Z527" s="10" t="s">
        <v>1813</v>
      </c>
      <c r="AA527" s="10" t="s">
        <v>1813</v>
      </c>
      <c r="AB527" s="10" t="s">
        <v>1813</v>
      </c>
      <c r="AC527" s="193" t="s">
        <v>449</v>
      </c>
      <c r="AD527" s="10"/>
      <c r="AE527" s="10"/>
      <c r="AF527" s="200" t="s">
        <v>434</v>
      </c>
      <c r="AH527" s="3" t="s">
        <v>435</v>
      </c>
      <c r="AJ527" s="69"/>
      <c r="AK527" t="s">
        <v>1814</v>
      </c>
      <c r="AN527"/>
      <c r="AX527" s="16"/>
      <c r="AY527" s="16"/>
      <c r="AZ527" s="232" t="str">
        <f>IF($AX527="Yes",'8. Option Codes Decrypted'!$C$15,"")</f>
        <v/>
      </c>
      <c r="BA527" s="232" t="str">
        <f>IF($AX527="Yes",'8. Option Codes Decrypted'!$C$16,"")</f>
        <v/>
      </c>
      <c r="BB527" s="232" t="str">
        <f>IF($AX527="Yes",'8. Option Codes Decrypted'!$C$17,"")</f>
        <v/>
      </c>
      <c r="BC527" s="232" t="str">
        <f>IF($AX527="Yes",'8. Option Codes Decrypted'!$C$18,"")</f>
        <v/>
      </c>
      <c r="BD527" s="232" t="str">
        <f>IF($AY527="Yes",'8. Option Codes Decrypted'!$C$20,"")</f>
        <v/>
      </c>
      <c r="BE527" s="232" t="str">
        <f>IF($AY527="Yes",'8. Option Codes Decrypted'!$C$21,"")</f>
        <v/>
      </c>
      <c r="BF527" s="232" t="str">
        <f>IF($AY527="Yes",'8. Option Codes Decrypted'!$C$22,"")</f>
        <v/>
      </c>
      <c r="BG527" s="232" t="str">
        <f>IF($AY527="Yes",'8. Option Codes Decrypted'!$C$23,"")</f>
        <v/>
      </c>
    </row>
    <row r="528" spans="1:60" x14ac:dyDescent="0.25">
      <c r="A528" s="232" t="str">
        <f t="shared" si="101"/>
        <v/>
      </c>
      <c r="B528" s="358" t="str">
        <f t="shared" si="99"/>
        <v/>
      </c>
      <c r="C528" s="358" t="str">
        <f t="shared" si="98"/>
        <v/>
      </c>
      <c r="D528" s="358"/>
      <c r="E528" s="358" t="str">
        <f t="shared" si="100"/>
        <v/>
      </c>
      <c r="F528" t="s">
        <v>426</v>
      </c>
      <c r="G528" s="230">
        <v>44674</v>
      </c>
      <c r="H528" s="10"/>
      <c r="I528" s="10"/>
      <c r="J528" s="10" t="s">
        <v>504</v>
      </c>
      <c r="K528" s="10" t="s">
        <v>166</v>
      </c>
      <c r="L528" s="10" t="s">
        <v>1815</v>
      </c>
      <c r="M528" s="231" t="s">
        <v>458</v>
      </c>
      <c r="N528" s="231"/>
      <c r="O528" s="288"/>
      <c r="P528" s="288"/>
      <c r="Q528" s="288"/>
      <c r="R528" s="286" t="str">
        <f t="shared" si="102"/>
        <v>. Wiper Arm, REAR</v>
      </c>
      <c r="S528" s="286"/>
      <c r="T528" s="231"/>
      <c r="U528" s="193"/>
      <c r="V528" s="231"/>
      <c r="W528" s="193"/>
      <c r="X528" s="193"/>
      <c r="Y528" s="193"/>
      <c r="Z528" s="10" t="s">
        <v>1815</v>
      </c>
      <c r="AA528" s="10" t="s">
        <v>1815</v>
      </c>
      <c r="AB528" s="10" t="s">
        <v>1815</v>
      </c>
      <c r="AC528" s="193" t="s">
        <v>449</v>
      </c>
      <c r="AD528" s="10"/>
      <c r="AE528" s="10"/>
      <c r="AF528" s="200" t="s">
        <v>434</v>
      </c>
      <c r="AH528" s="3" t="s">
        <v>435</v>
      </c>
      <c r="AJ528" s="69"/>
      <c r="AK528" t="s">
        <v>1816</v>
      </c>
      <c r="AN528" s="208"/>
      <c r="AO528" t="s">
        <v>411</v>
      </c>
      <c r="AP528" s="208"/>
      <c r="AQ528" s="208"/>
      <c r="AR528" s="208"/>
      <c r="AS528" s="208"/>
      <c r="AT528" s="208"/>
      <c r="AU528" s="208"/>
      <c r="AV528" s="208"/>
      <c r="AW528" s="208"/>
      <c r="AX528" s="193"/>
      <c r="AY528" s="193"/>
      <c r="AZ528" s="232" t="str">
        <f>IF($AX528="Yes",'8. Option Codes Decrypted'!$C$15,"")</f>
        <v/>
      </c>
      <c r="BA528" s="232" t="str">
        <f>IF($AX528="Yes",'8. Option Codes Decrypted'!$C$16,"")</f>
        <v/>
      </c>
      <c r="BB528" s="232" t="str">
        <f>IF($AX528="Yes",'8. Option Codes Decrypted'!$C$17,"")</f>
        <v/>
      </c>
      <c r="BC528" s="232" t="str">
        <f>IF($AX528="Yes",'8. Option Codes Decrypted'!$C$18,"")</f>
        <v/>
      </c>
      <c r="BD528" s="232" t="str">
        <f>IF($AY528="Yes",'8. Option Codes Decrypted'!$C$20,"")</f>
        <v/>
      </c>
      <c r="BE528" s="232" t="str">
        <f>IF($AY528="Yes",'8. Option Codes Decrypted'!$C$21,"")</f>
        <v/>
      </c>
      <c r="BF528" s="232" t="str">
        <f>IF($AY528="Yes",'8. Option Codes Decrypted'!$C$22,"")</f>
        <v/>
      </c>
      <c r="BG528" s="232" t="str">
        <f>IF($AY528="Yes",'8. Option Codes Decrypted'!$C$23,"")</f>
        <v/>
      </c>
    </row>
    <row r="529" spans="1:59" x14ac:dyDescent="0.25">
      <c r="A529" s="232" t="str">
        <f t="shared" si="101"/>
        <v/>
      </c>
      <c r="B529" s="358" t="str">
        <f t="shared" si="99"/>
        <v/>
      </c>
      <c r="C529" s="358" t="str">
        <f t="shared" si="98"/>
        <v/>
      </c>
      <c r="D529" s="358"/>
      <c r="E529" s="358" t="str">
        <f t="shared" si="100"/>
        <v/>
      </c>
      <c r="F529" t="s">
        <v>563</v>
      </c>
      <c r="G529" s="204"/>
      <c r="H529" s="100"/>
      <c r="I529" s="100"/>
      <c r="J529" s="100" t="s">
        <v>564</v>
      </c>
      <c r="K529" s="100" t="s">
        <v>1817</v>
      </c>
      <c r="L529" s="100" t="s">
        <v>1818</v>
      </c>
      <c r="M529" s="16" t="s">
        <v>430</v>
      </c>
      <c r="N529" s="16"/>
      <c r="O529" s="191"/>
      <c r="P529" s="191"/>
      <c r="Q529" s="191"/>
      <c r="R529" s="286" t="str">
        <f t="shared" si="102"/>
        <v>. Wheel Lock Nuts &amp; Key</v>
      </c>
      <c r="S529" s="286"/>
      <c r="T529" s="16"/>
      <c r="U529" s="16"/>
      <c r="V529" s="16"/>
      <c r="W529" s="16"/>
      <c r="X529" s="16"/>
      <c r="Y529" s="16"/>
      <c r="Z529" s="100" t="s">
        <v>1818</v>
      </c>
      <c r="AA529" s="100" t="s">
        <v>1818</v>
      </c>
      <c r="AB529" s="100" t="s">
        <v>1818</v>
      </c>
      <c r="AC529" s="193" t="s">
        <v>449</v>
      </c>
      <c r="AD529" s="100"/>
      <c r="AE529" s="100"/>
      <c r="AF529" s="204"/>
      <c r="AG529" s="151"/>
      <c r="AH529" s="206"/>
      <c r="AI529" s="204"/>
      <c r="AJ529" s="152"/>
      <c r="AK529" s="204"/>
      <c r="AL529" s="204"/>
      <c r="AM529" s="204"/>
      <c r="AN529"/>
      <c r="AX529" s="16"/>
      <c r="AY529" s="16"/>
      <c r="AZ529" s="232" t="str">
        <f>IF($AX529="Yes",'8. Option Codes Decrypted'!$C$15,"")</f>
        <v/>
      </c>
      <c r="BA529" s="232" t="str">
        <f>IF($AX529="Yes",'8. Option Codes Decrypted'!$C$16,"")</f>
        <v/>
      </c>
      <c r="BB529" s="232" t="str">
        <f>IF($AX529="Yes",'8. Option Codes Decrypted'!$C$17,"")</f>
        <v/>
      </c>
      <c r="BC529" s="232" t="str">
        <f>IF($AX529="Yes",'8. Option Codes Decrypted'!$C$18,"")</f>
        <v/>
      </c>
      <c r="BD529" s="232" t="str">
        <f>IF($AY529="Yes",'8. Option Codes Decrypted'!$C$20,"")</f>
        <v/>
      </c>
      <c r="BE529" s="232" t="str">
        <f>IF($AY529="Yes",'8. Option Codes Decrypted'!$C$21,"")</f>
        <v/>
      </c>
      <c r="BF529" s="232" t="str">
        <f>IF($AY529="Yes",'8. Option Codes Decrypted'!$C$22,"")</f>
        <v/>
      </c>
      <c r="BG529" s="232" t="str">
        <f>IF($AY529="Yes",'8. Option Codes Decrypted'!$C$23,"")</f>
        <v/>
      </c>
    </row>
    <row r="530" spans="1:59" x14ac:dyDescent="0.25">
      <c r="A530" s="232" t="str">
        <f t="shared" si="101"/>
        <v/>
      </c>
      <c r="B530" s="358" t="str">
        <f t="shared" si="99"/>
        <v/>
      </c>
      <c r="C530" s="358" t="str">
        <f t="shared" si="98"/>
        <v/>
      </c>
      <c r="D530" s="358"/>
      <c r="E530" s="358" t="str">
        <f t="shared" si="100"/>
        <v/>
      </c>
      <c r="F530" t="s">
        <v>426</v>
      </c>
      <c r="G530" s="230">
        <v>44684</v>
      </c>
      <c r="H530" s="19"/>
      <c r="I530" s="193" t="s">
        <v>441</v>
      </c>
      <c r="J530" s="214" t="s">
        <v>1542</v>
      </c>
      <c r="K530" s="193" t="s">
        <v>1817</v>
      </c>
      <c r="L530" s="193" t="s">
        <v>1819</v>
      </c>
      <c r="M530" s="195" t="s">
        <v>444</v>
      </c>
      <c r="N530" s="195"/>
      <c r="O530" s="292"/>
      <c r="P530" s="292"/>
      <c r="Q530" s="292"/>
      <c r="R530" s="286" t="str">
        <f t="shared" si="102"/>
        <v>. Wheels (ask DRF - tons of options)</v>
      </c>
      <c r="S530" s="286"/>
      <c r="T530" s="195"/>
      <c r="U530" s="193"/>
      <c r="V530" s="195"/>
      <c r="W530" s="193"/>
      <c r="X530" s="193"/>
      <c r="Y530" s="193"/>
      <c r="Z530" s="193" t="s">
        <v>1819</v>
      </c>
      <c r="AA530" s="193" t="s">
        <v>1819</v>
      </c>
      <c r="AB530" s="193" t="s">
        <v>1819</v>
      </c>
      <c r="AC530" s="193" t="s">
        <v>449</v>
      </c>
      <c r="AD530" s="193" t="s">
        <v>1820</v>
      </c>
      <c r="AE530" s="193" t="s">
        <v>1821</v>
      </c>
      <c r="AF530" s="11" t="s">
        <v>1821</v>
      </c>
      <c r="AH530" s="3" t="s">
        <v>435</v>
      </c>
      <c r="AI530" s="156"/>
      <c r="AJ530" s="69"/>
      <c r="AK530" t="s">
        <v>1821</v>
      </c>
      <c r="AN530"/>
      <c r="AO530" t="s">
        <v>411</v>
      </c>
      <c r="AX530" s="193"/>
      <c r="AY530" s="193"/>
      <c r="AZ530" s="232" t="str">
        <f>IF($AX530="Yes",'8. Option Codes Decrypted'!$C$15,"")</f>
        <v/>
      </c>
      <c r="BA530" s="232" t="str">
        <f>IF($AX530="Yes",'8. Option Codes Decrypted'!$C$16,"")</f>
        <v/>
      </c>
      <c r="BB530" s="232" t="str">
        <f>IF($AX530="Yes",'8. Option Codes Decrypted'!$C$17,"")</f>
        <v/>
      </c>
      <c r="BC530" s="232" t="str">
        <f>IF($AX530="Yes",'8. Option Codes Decrypted'!$C$18,"")</f>
        <v/>
      </c>
      <c r="BD530" s="232" t="str">
        <f>IF($AY530="Yes",'8. Option Codes Decrypted'!$C$20,"")</f>
        <v/>
      </c>
      <c r="BE530" s="232" t="str">
        <f>IF($AY530="Yes",'8. Option Codes Decrypted'!$C$21,"")</f>
        <v/>
      </c>
      <c r="BF530" s="232" t="str">
        <f>IF($AY530="Yes",'8. Option Codes Decrypted'!$C$22,"")</f>
        <v/>
      </c>
      <c r="BG530" s="232" t="str">
        <f>IF($AY530="Yes",'8. Option Codes Decrypted'!$C$23,"")</f>
        <v/>
      </c>
    </row>
    <row r="531" spans="1:59" s="232" customFormat="1" ht="15.75" thickBot="1" x14ac:dyDescent="0.3">
      <c r="A531" s="232" t="str">
        <f t="shared" si="101"/>
        <v/>
      </c>
      <c r="B531" s="358" t="str">
        <f t="shared" si="99"/>
        <v>560-86054</v>
      </c>
      <c r="C531" s="358" t="s">
        <v>1822</v>
      </c>
      <c r="D531" s="358"/>
      <c r="E531" s="358">
        <f t="shared" si="100"/>
        <v>3</v>
      </c>
      <c r="F531" s="232" t="s">
        <v>426</v>
      </c>
      <c r="G531" s="241">
        <v>45219</v>
      </c>
      <c r="H531" s="257"/>
      <c r="I531" s="244"/>
      <c r="J531" s="245" t="s">
        <v>427</v>
      </c>
      <c r="K531" s="244" t="s">
        <v>1817</v>
      </c>
      <c r="L531" s="244" t="s">
        <v>1819</v>
      </c>
      <c r="M531" s="243" t="s">
        <v>444</v>
      </c>
      <c r="N531" s="243"/>
      <c r="O531" s="285"/>
      <c r="P531" s="285"/>
      <c r="Q531" s="285"/>
      <c r="R531" s="251" t="str">
        <f t="shared" si="102"/>
        <v>. Wheels SET/4 (560-86059 x2 &amp; 560-86054 x2)</v>
      </c>
      <c r="S531" s="251"/>
      <c r="T531" s="243"/>
      <c r="U531" s="244" t="s">
        <v>1823</v>
      </c>
      <c r="V531" s="243" t="s">
        <v>80</v>
      </c>
      <c r="W531" s="244"/>
      <c r="X531" s="244"/>
      <c r="Y531" s="244"/>
      <c r="Z531" s="244" t="s">
        <v>1824</v>
      </c>
      <c r="AA531" s="244" t="s">
        <v>1825</v>
      </c>
      <c r="AB531" s="244"/>
      <c r="AC531" s="244" t="s">
        <v>1826</v>
      </c>
      <c r="AD531" s="244"/>
      <c r="AE531" s="244">
        <v>1000</v>
      </c>
      <c r="AF531" s="262" t="s">
        <v>1821</v>
      </c>
      <c r="AG531" s="247"/>
      <c r="AH531" s="248" t="s">
        <v>435</v>
      </c>
      <c r="AI531" s="258"/>
      <c r="AJ531" s="249"/>
      <c r="AK531" s="232" t="s">
        <v>1821</v>
      </c>
      <c r="AN531" s="232">
        <v>560</v>
      </c>
      <c r="AO531" s="232" t="s">
        <v>411</v>
      </c>
      <c r="AP531" s="232">
        <v>86054</v>
      </c>
      <c r="AQ531" s="232" t="str">
        <f>CONCATENATE(AN531,AO531,AP531)</f>
        <v>560-86054</v>
      </c>
      <c r="AX531" s="244"/>
      <c r="AY531" s="244"/>
      <c r="AZ531" s="232" t="str">
        <f>IF($AX531="Yes",'8. Option Codes Decrypted'!$C$15,"")</f>
        <v/>
      </c>
      <c r="BA531" s="232" t="str">
        <f>IF($AX531="Yes",'8. Option Codes Decrypted'!$C$16,"")</f>
        <v/>
      </c>
      <c r="BB531" s="232" t="str">
        <f>IF($AX531="Yes",'8. Option Codes Decrypted'!$C$17,"")</f>
        <v/>
      </c>
      <c r="BC531" s="232" t="str">
        <f>IF($AX531="Yes",'8. Option Codes Decrypted'!$C$18,"")</f>
        <v/>
      </c>
      <c r="BD531" s="232" t="str">
        <f>IF($AY531="Yes",'8. Option Codes Decrypted'!$C$20,"")</f>
        <v/>
      </c>
      <c r="BE531" s="232" t="str">
        <f>IF($AY531="Yes",'8. Option Codes Decrypted'!$C$21,"")</f>
        <v/>
      </c>
      <c r="BF531" s="232" t="str">
        <f>IF($AY531="Yes",'8. Option Codes Decrypted'!$C$22,"")</f>
        <v/>
      </c>
      <c r="BG531" s="232" t="str">
        <f>IF($AY531="Yes",'8. Option Codes Decrypted'!$C$23,"")</f>
        <v/>
      </c>
    </row>
    <row r="532" spans="1:59" s="232" customFormat="1" ht="15.75" thickBot="1" x14ac:dyDescent="0.3">
      <c r="A532" s="232" t="str">
        <f t="shared" si="101"/>
        <v>A87</v>
      </c>
      <c r="B532" s="358" t="str">
        <f t="shared" si="99"/>
        <v>560-86054</v>
      </c>
      <c r="C532" s="358" t="s">
        <v>1827</v>
      </c>
      <c r="D532" s="358" t="s">
        <v>331</v>
      </c>
      <c r="E532" s="358">
        <f t="shared" si="100"/>
        <v>3</v>
      </c>
      <c r="F532" s="232" t="s">
        <v>426</v>
      </c>
      <c r="G532" s="241">
        <v>45219</v>
      </c>
      <c r="H532" s="257"/>
      <c r="I532" s="244"/>
      <c r="J532" s="245" t="s">
        <v>427</v>
      </c>
      <c r="K532" s="244" t="s">
        <v>1817</v>
      </c>
      <c r="L532" s="244" t="s">
        <v>1817</v>
      </c>
      <c r="M532" s="243" t="s">
        <v>444</v>
      </c>
      <c r="N532" s="243">
        <v>77</v>
      </c>
      <c r="O532" s="285" t="s">
        <v>331</v>
      </c>
      <c r="P532" s="285" t="s">
        <v>724</v>
      </c>
      <c r="Q532" s="285">
        <v>1</v>
      </c>
      <c r="R532" s="251" t="str">
        <f t="shared" si="102"/>
        <v>A87. Wheel, FRONT LEFT or RIGHT (marked 2)</v>
      </c>
      <c r="S532" s="365" t="str">
        <f>HYPERLINK(VLOOKUP(O532,'3D. Pictures'!$B$3:$E$500,4,FALSE),"PIC")</f>
        <v>PIC</v>
      </c>
      <c r="T532" s="243">
        <v>9</v>
      </c>
      <c r="U532" s="244" t="s">
        <v>1828</v>
      </c>
      <c r="V532" s="243" t="s">
        <v>80</v>
      </c>
      <c r="W532" s="244" t="s">
        <v>2993</v>
      </c>
      <c r="X532" s="244"/>
      <c r="Y532" s="244"/>
      <c r="Z532" s="244" t="s">
        <v>1829</v>
      </c>
      <c r="AA532" s="244"/>
      <c r="AB532" s="244"/>
      <c r="AC532" s="244" t="s">
        <v>449</v>
      </c>
      <c r="AD532" s="244"/>
      <c r="AE532" s="244">
        <v>350</v>
      </c>
      <c r="AF532" s="262" t="s">
        <v>1821</v>
      </c>
      <c r="AG532" s="247"/>
      <c r="AH532" s="248" t="s">
        <v>435</v>
      </c>
      <c r="AI532" s="258"/>
      <c r="AJ532" s="249"/>
      <c r="AK532" s="232" t="s">
        <v>1821</v>
      </c>
      <c r="AN532" s="232">
        <v>560</v>
      </c>
      <c r="AO532" s="232" t="s">
        <v>411</v>
      </c>
      <c r="AP532" s="232">
        <v>86054</v>
      </c>
      <c r="AQ532" s="232" t="str">
        <f>CONCATENATE(AN532,AO532,AP532)</f>
        <v>560-86054</v>
      </c>
      <c r="AX532" s="244"/>
      <c r="AY532" s="244"/>
      <c r="AZ532" s="232" t="str">
        <f>IF($AX532="Yes",'8. Option Codes Decrypted'!$C$15,"")</f>
        <v/>
      </c>
      <c r="BA532" s="232" t="str">
        <f>IF($AX532="Yes",'8. Option Codes Decrypted'!$C$16,"")</f>
        <v/>
      </c>
      <c r="BB532" s="232" t="str">
        <f>IF($AX532="Yes",'8. Option Codes Decrypted'!$C$17,"")</f>
        <v/>
      </c>
      <c r="BC532" s="232" t="str">
        <f>IF($AX532="Yes",'8. Option Codes Decrypted'!$C$18,"")</f>
        <v/>
      </c>
      <c r="BD532" s="232" t="str">
        <f>IF($AY532="Yes",'8. Option Codes Decrypted'!$C$20,"")</f>
        <v/>
      </c>
      <c r="BE532" s="232" t="str">
        <f>IF($AY532="Yes",'8. Option Codes Decrypted'!$C$21,"")</f>
        <v/>
      </c>
      <c r="BF532" s="232" t="str">
        <f>IF($AY532="Yes",'8. Option Codes Decrypted'!$C$22,"")</f>
        <v/>
      </c>
      <c r="BG532" s="232" t="str">
        <f>IF($AY532="Yes",'8. Option Codes Decrypted'!$C$23,"")</f>
        <v/>
      </c>
    </row>
    <row r="533" spans="1:59" s="232" customFormat="1" ht="15.75" thickBot="1" x14ac:dyDescent="0.3">
      <c r="A533" s="232" t="str">
        <f t="shared" si="101"/>
        <v>A88</v>
      </c>
      <c r="B533" s="358" t="str">
        <f t="shared" si="99"/>
        <v>560-86054</v>
      </c>
      <c r="C533" s="358" t="s">
        <v>1827</v>
      </c>
      <c r="D533" s="358" t="s">
        <v>332</v>
      </c>
      <c r="E533" s="358">
        <f t="shared" si="100"/>
        <v>3</v>
      </c>
      <c r="F533" s="232" t="s">
        <v>426</v>
      </c>
      <c r="G533" s="241">
        <v>45219</v>
      </c>
      <c r="H533" s="257"/>
      <c r="I533" s="244"/>
      <c r="J533" s="245" t="s">
        <v>427</v>
      </c>
      <c r="K533" s="244" t="s">
        <v>1817</v>
      </c>
      <c r="L533" s="244" t="s">
        <v>1817</v>
      </c>
      <c r="M533" s="243" t="s">
        <v>444</v>
      </c>
      <c r="N533" s="243">
        <v>78</v>
      </c>
      <c r="O533" s="285" t="s">
        <v>332</v>
      </c>
      <c r="P533" s="285" t="s">
        <v>724</v>
      </c>
      <c r="Q533" s="285">
        <v>1</v>
      </c>
      <c r="R533" s="251" t="str">
        <f t="shared" si="102"/>
        <v>A88. Wheel, FRONT LEFT or RIGHT (marked 3)</v>
      </c>
      <c r="S533" s="365" t="str">
        <f>HYPERLINK(VLOOKUP(O533,'3D. Pictures'!$B$3:$E$500,4,FALSE),"PIC")</f>
        <v>PIC</v>
      </c>
      <c r="T533" s="243">
        <v>9</v>
      </c>
      <c r="U533" s="244" t="s">
        <v>1828</v>
      </c>
      <c r="V533" s="243" t="s">
        <v>80</v>
      </c>
      <c r="W533" s="244" t="s">
        <v>2993</v>
      </c>
      <c r="X533" s="244"/>
      <c r="Y533" s="244"/>
      <c r="Z533" s="345" t="s">
        <v>1830</v>
      </c>
      <c r="AA533" s="244"/>
      <c r="AB533" s="244"/>
      <c r="AC533" s="244" t="s">
        <v>449</v>
      </c>
      <c r="AD533" s="244"/>
      <c r="AE533" s="244">
        <v>350</v>
      </c>
      <c r="AF533" s="262" t="s">
        <v>1821</v>
      </c>
      <c r="AG533" s="247"/>
      <c r="AH533" s="248" t="s">
        <v>435</v>
      </c>
      <c r="AI533" s="258"/>
      <c r="AJ533" s="249"/>
      <c r="AK533" s="232" t="s">
        <v>1821</v>
      </c>
      <c r="AN533" s="232">
        <v>560</v>
      </c>
      <c r="AO533" s="232" t="s">
        <v>411</v>
      </c>
      <c r="AP533" s="232">
        <v>86054</v>
      </c>
      <c r="AQ533" s="232" t="str">
        <f>CONCATENATE(AN533,AO533,AP533)</f>
        <v>560-86054</v>
      </c>
      <c r="AX533" s="244"/>
      <c r="AY533" s="244"/>
      <c r="AZ533" s="232" t="str">
        <f>IF($AX533="Yes",'8. Option Codes Decrypted'!$C$15,"")</f>
        <v/>
      </c>
      <c r="BA533" s="232" t="str">
        <f>IF($AX533="Yes",'8. Option Codes Decrypted'!$C$16,"")</f>
        <v/>
      </c>
      <c r="BB533" s="232" t="str">
        <f>IF($AX533="Yes",'8. Option Codes Decrypted'!$C$17,"")</f>
        <v/>
      </c>
      <c r="BC533" s="232" t="str">
        <f>IF($AX533="Yes",'8. Option Codes Decrypted'!$C$18,"")</f>
        <v/>
      </c>
      <c r="BD533" s="232" t="str">
        <f>IF($AY533="Yes",'8. Option Codes Decrypted'!$C$20,"")</f>
        <v/>
      </c>
      <c r="BE533" s="232" t="str">
        <f>IF($AY533="Yes",'8. Option Codes Decrypted'!$C$21,"")</f>
        <v/>
      </c>
      <c r="BF533" s="232" t="str">
        <f>IF($AY533="Yes",'8. Option Codes Decrypted'!$C$22,"")</f>
        <v/>
      </c>
      <c r="BG533" s="232" t="str">
        <f>IF($AY533="Yes",'8. Option Codes Decrypted'!$C$23,"")</f>
        <v/>
      </c>
    </row>
    <row r="534" spans="1:59" s="232" customFormat="1" ht="15.75" thickBot="1" x14ac:dyDescent="0.3">
      <c r="A534" s="232" t="str">
        <f t="shared" si="101"/>
        <v>A89</v>
      </c>
      <c r="B534" s="358" t="str">
        <f t="shared" si="99"/>
        <v>560-86059</v>
      </c>
      <c r="C534" s="358"/>
      <c r="D534" s="358"/>
      <c r="E534" s="358">
        <f t="shared" si="100"/>
        <v>2</v>
      </c>
      <c r="F534" s="232" t="s">
        <v>426</v>
      </c>
      <c r="G534" s="241">
        <v>45219</v>
      </c>
      <c r="H534" s="257"/>
      <c r="I534" s="244"/>
      <c r="J534" s="245" t="s">
        <v>427</v>
      </c>
      <c r="K534" s="244" t="s">
        <v>1817</v>
      </c>
      <c r="L534" s="244" t="s">
        <v>1817</v>
      </c>
      <c r="M534" s="243" t="s">
        <v>444</v>
      </c>
      <c r="N534" s="243">
        <v>79</v>
      </c>
      <c r="O534" s="285" t="s">
        <v>333</v>
      </c>
      <c r="P534" s="285" t="s">
        <v>724</v>
      </c>
      <c r="Q534" s="285">
        <v>1</v>
      </c>
      <c r="R534" s="251" t="str">
        <f t="shared" si="102"/>
        <v>A89. Wheel, REAR LEFT or RIGHT (marked 1)</v>
      </c>
      <c r="S534" s="365" t="str">
        <f>HYPERLINK(VLOOKUP(O534,'3D. Pictures'!$B$3:$E$500,4,FALSE),"PIC")</f>
        <v>PIC</v>
      </c>
      <c r="T534" s="243">
        <v>9</v>
      </c>
      <c r="U534" s="244" t="s">
        <v>1831</v>
      </c>
      <c r="V534" s="243" t="s">
        <v>80</v>
      </c>
      <c r="W534" s="244" t="s">
        <v>2993</v>
      </c>
      <c r="X534" s="244"/>
      <c r="Y534" s="244"/>
      <c r="Z534" s="244" t="s">
        <v>1832</v>
      </c>
      <c r="AA534" s="244"/>
      <c r="AB534" s="244"/>
      <c r="AC534" s="244" t="s">
        <v>449</v>
      </c>
      <c r="AD534" s="244"/>
      <c r="AE534" s="244">
        <v>350</v>
      </c>
      <c r="AF534" s="262" t="s">
        <v>1821</v>
      </c>
      <c r="AG534" s="247"/>
      <c r="AH534" s="248" t="s">
        <v>435</v>
      </c>
      <c r="AI534" s="258"/>
      <c r="AJ534" s="249"/>
      <c r="AK534" s="232" t="s">
        <v>1821</v>
      </c>
      <c r="AN534" s="232">
        <v>560</v>
      </c>
      <c r="AO534" s="232" t="s">
        <v>411</v>
      </c>
      <c r="AP534" s="232">
        <v>86059</v>
      </c>
      <c r="AQ534" s="232" t="str">
        <f>CONCATENATE(AN534,AO534,AP534)</f>
        <v>560-86059</v>
      </c>
      <c r="AX534" s="244"/>
      <c r="AY534" s="244"/>
      <c r="AZ534" s="232" t="str">
        <f>IF($AX534="Yes",'8. Option Codes Decrypted'!$C$15,"")</f>
        <v/>
      </c>
      <c r="BA534" s="232" t="str">
        <f>IF($AX534="Yes",'8. Option Codes Decrypted'!$C$16,"")</f>
        <v/>
      </c>
      <c r="BB534" s="232" t="str">
        <f>IF($AX534="Yes",'8. Option Codes Decrypted'!$C$17,"")</f>
        <v/>
      </c>
      <c r="BC534" s="232" t="str">
        <f>IF($AX534="Yes",'8. Option Codes Decrypted'!$C$18,"")</f>
        <v/>
      </c>
      <c r="BD534" s="232" t="str">
        <f>IF($AY534="Yes",'8. Option Codes Decrypted'!$C$20,"")</f>
        <v/>
      </c>
      <c r="BE534" s="232" t="str">
        <f>IF($AY534="Yes",'8. Option Codes Decrypted'!$C$21,"")</f>
        <v/>
      </c>
      <c r="BF534" s="232" t="str">
        <f>IF($AY534="Yes",'8. Option Codes Decrypted'!$C$22,"")</f>
        <v/>
      </c>
      <c r="BG534" s="232" t="str">
        <f>IF($AY534="Yes",'8. Option Codes Decrypted'!$C$23,"")</f>
        <v/>
      </c>
    </row>
    <row r="535" spans="1:59" s="232" customFormat="1" ht="15.75" thickBot="1" x14ac:dyDescent="0.3">
      <c r="A535" s="232" t="str">
        <f t="shared" si="101"/>
        <v/>
      </c>
      <c r="B535" s="358" t="str">
        <f t="shared" si="99"/>
        <v>560-86059</v>
      </c>
      <c r="C535" s="358"/>
      <c r="D535" s="358"/>
      <c r="E535" s="358">
        <f t="shared" si="100"/>
        <v>2</v>
      </c>
      <c r="F535" s="232" t="s">
        <v>426</v>
      </c>
      <c r="G535" s="241">
        <v>45219</v>
      </c>
      <c r="H535" s="257"/>
      <c r="I535" s="244"/>
      <c r="J535" s="245" t="s">
        <v>427</v>
      </c>
      <c r="K535" s="244" t="s">
        <v>1817</v>
      </c>
      <c r="L535" s="244" t="s">
        <v>1819</v>
      </c>
      <c r="M535" s="243" t="s">
        <v>444</v>
      </c>
      <c r="N535" s="243"/>
      <c r="O535" s="285"/>
      <c r="P535" s="285"/>
      <c r="Q535" s="285"/>
      <c r="R535" s="251" t="str">
        <f t="shared" si="102"/>
        <v>. Wheel, REAR LEFT or RIGHT (marked INSERT HERE)</v>
      </c>
      <c r="S535" s="251"/>
      <c r="T535" s="243"/>
      <c r="U535" s="244" t="s">
        <v>1831</v>
      </c>
      <c r="V535" s="243" t="s">
        <v>80</v>
      </c>
      <c r="W535" s="244"/>
      <c r="X535" s="244"/>
      <c r="Y535" s="244"/>
      <c r="Z535" s="244" t="s">
        <v>1833</v>
      </c>
      <c r="AA535" s="244"/>
      <c r="AB535" s="244"/>
      <c r="AC535" s="244" t="s">
        <v>449</v>
      </c>
      <c r="AD535" s="244"/>
      <c r="AE535" s="244">
        <v>350</v>
      </c>
      <c r="AF535" s="262" t="s">
        <v>1821</v>
      </c>
      <c r="AG535" s="247"/>
      <c r="AH535" s="248" t="s">
        <v>435</v>
      </c>
      <c r="AI535" s="258"/>
      <c r="AJ535" s="249"/>
      <c r="AK535" s="232" t="s">
        <v>1821</v>
      </c>
      <c r="AN535" s="232">
        <v>560</v>
      </c>
      <c r="AO535" s="232" t="s">
        <v>411</v>
      </c>
      <c r="AP535" s="232">
        <v>86059</v>
      </c>
      <c r="AQ535" s="232" t="str">
        <f>CONCATENATE(AN535,AO535,AP535)</f>
        <v>560-86059</v>
      </c>
      <c r="AX535" s="244"/>
      <c r="AY535" s="244"/>
      <c r="AZ535" s="232" t="str">
        <f>IF($AX535="Yes",'8. Option Codes Decrypted'!$C$15,"")</f>
        <v/>
      </c>
      <c r="BA535" s="232" t="str">
        <f>IF($AX535="Yes",'8. Option Codes Decrypted'!$C$16,"")</f>
        <v/>
      </c>
      <c r="BB535" s="232" t="str">
        <f>IF($AX535="Yes",'8. Option Codes Decrypted'!$C$17,"")</f>
        <v/>
      </c>
      <c r="BC535" s="232" t="str">
        <f>IF($AX535="Yes",'8. Option Codes Decrypted'!$C$18,"")</f>
        <v/>
      </c>
      <c r="BD535" s="232" t="str">
        <f>IF($AY535="Yes",'8. Option Codes Decrypted'!$C$20,"")</f>
        <v/>
      </c>
      <c r="BE535" s="232" t="str">
        <f>IF($AY535="Yes",'8. Option Codes Decrypted'!$C$21,"")</f>
        <v/>
      </c>
      <c r="BF535" s="232" t="str">
        <f>IF($AY535="Yes",'8. Option Codes Decrypted'!$C$22,"")</f>
        <v/>
      </c>
      <c r="BG535" s="232" t="str">
        <f>IF($AY535="Yes",'8. Option Codes Decrypted'!$C$23,"")</f>
        <v/>
      </c>
    </row>
    <row r="536" spans="1:59" s="296" customFormat="1" ht="15.75" thickBot="1" x14ac:dyDescent="0.3">
      <c r="A536" s="232" t="str">
        <f t="shared" si="101"/>
        <v>A24</v>
      </c>
      <c r="B536" s="358" t="str">
        <f t="shared" si="99"/>
        <v/>
      </c>
      <c r="C536" s="358" t="str">
        <f>IF(AS536&lt;&gt;"",AS536,"")</f>
        <v>F15-TPMS Tire Pressure Sensor SET4-14-18-ALL</v>
      </c>
      <c r="D536" s="358"/>
      <c r="E536" s="358" t="str">
        <f t="shared" si="100"/>
        <v/>
      </c>
      <c r="F536" s="296" t="s">
        <v>508</v>
      </c>
      <c r="G536" s="297">
        <v>44936</v>
      </c>
      <c r="H536" s="320"/>
      <c r="I536" s="320"/>
      <c r="J536" s="298" t="s">
        <v>427</v>
      </c>
      <c r="K536" s="298" t="s">
        <v>1817</v>
      </c>
      <c r="L536" s="298" t="s">
        <v>1834</v>
      </c>
      <c r="M536" s="298" t="s">
        <v>430</v>
      </c>
      <c r="N536" s="298">
        <v>14</v>
      </c>
      <c r="O536" s="299" t="s">
        <v>268</v>
      </c>
      <c r="P536" s="299" t="s">
        <v>716</v>
      </c>
      <c r="Q536" s="299">
        <v>1</v>
      </c>
      <c r="R536" s="299" t="str">
        <f t="shared" si="102"/>
        <v>A24. TPMS Tire Pressure Sensor SET4</v>
      </c>
      <c r="S536" s="365" t="str">
        <f>HYPERLINK(VLOOKUP(O536,'3D. Pictures'!$B$3:$E$500,4,FALSE),"PIC")</f>
        <v>PIC</v>
      </c>
      <c r="T536" s="298">
        <v>3</v>
      </c>
      <c r="U536" s="298">
        <v>6855539</v>
      </c>
      <c r="V536" s="298" t="s">
        <v>80</v>
      </c>
      <c r="W536" s="298"/>
      <c r="X536" s="298"/>
      <c r="Y536" s="298"/>
      <c r="Z536" s="298" t="s">
        <v>1835</v>
      </c>
      <c r="AA536" s="298" t="s">
        <v>967</v>
      </c>
      <c r="AB536" s="298"/>
      <c r="AC536" s="213" t="s">
        <v>433</v>
      </c>
      <c r="AD536" s="298"/>
      <c r="AE536" s="298">
        <v>75</v>
      </c>
      <c r="AF536" s="300" t="s">
        <v>434</v>
      </c>
      <c r="AG536" s="301"/>
      <c r="AH536" s="302" t="s">
        <v>435</v>
      </c>
      <c r="AJ536" s="303"/>
      <c r="AK536" s="296">
        <v>6855539</v>
      </c>
      <c r="AS536" s="296" t="str">
        <f>CONCATENATE(AT536,"-",AU536,"-",AV536,"-",AW536)</f>
        <v>F15-TPMS Tire Pressure Sensor SET4-14-18-ALL</v>
      </c>
      <c r="AT536" s="296" t="s">
        <v>661</v>
      </c>
      <c r="AU536" s="296" t="str">
        <f>Z536</f>
        <v>TPMS Tire Pressure Sensor SET4</v>
      </c>
      <c r="AV536" s="296" t="s">
        <v>757</v>
      </c>
      <c r="AW536" s="296" t="s">
        <v>662</v>
      </c>
      <c r="AX536" s="298"/>
      <c r="AY536" s="298"/>
      <c r="AZ536" s="232" t="str">
        <f>IF($AX536="Yes",'8. Option Codes Decrypted'!$C$15,"")</f>
        <v/>
      </c>
      <c r="BA536" s="232" t="str">
        <f>IF($AX536="Yes",'8. Option Codes Decrypted'!$C$16,"")</f>
        <v/>
      </c>
      <c r="BB536" s="232" t="str">
        <f>IF($AX536="Yes",'8. Option Codes Decrypted'!$C$17,"")</f>
        <v/>
      </c>
      <c r="BC536" s="232" t="str">
        <f>IF($AX536="Yes",'8. Option Codes Decrypted'!$C$18,"")</f>
        <v/>
      </c>
      <c r="BD536" s="232" t="str">
        <f>IF($AY536="Yes",'8. Option Codes Decrypted'!$C$20,"")</f>
        <v/>
      </c>
      <c r="BE536" s="232" t="str">
        <f>IF($AY536="Yes",'8. Option Codes Decrypted'!$C$21,"")</f>
        <v/>
      </c>
      <c r="BF536" s="232" t="str">
        <f>IF($AY536="Yes",'8. Option Codes Decrypted'!$C$22,"")</f>
        <v/>
      </c>
      <c r="BG536" s="232" t="str">
        <f>IF($AY536="Yes",'8. Option Codes Decrypted'!$C$23,"")</f>
        <v/>
      </c>
    </row>
    <row r="537" spans="1:59" x14ac:dyDescent="0.25">
      <c r="A537" s="232" t="str">
        <f t="shared" si="101"/>
        <v/>
      </c>
      <c r="B537" s="358" t="str">
        <f t="shared" si="99"/>
        <v/>
      </c>
      <c r="C537" s="358" t="str">
        <f>IF(AS537&lt;&gt;"",AS537,"")</f>
        <v/>
      </c>
      <c r="D537" s="358"/>
      <c r="E537" s="358" t="str">
        <f t="shared" si="100"/>
        <v/>
      </c>
      <c r="F537" t="s">
        <v>508</v>
      </c>
      <c r="G537" s="230">
        <v>44998</v>
      </c>
      <c r="H537" s="16"/>
      <c r="I537" s="16"/>
      <c r="J537" s="191" t="s">
        <v>427</v>
      </c>
      <c r="K537" s="191" t="s">
        <v>1817</v>
      </c>
      <c r="L537" s="191" t="s">
        <v>1836</v>
      </c>
      <c r="M537" s="16" t="s">
        <v>430</v>
      </c>
      <c r="N537" s="16"/>
      <c r="O537" s="191"/>
      <c r="P537" s="191"/>
      <c r="Q537" s="191"/>
      <c r="R537" s="286" t="str">
        <f t="shared" si="102"/>
        <v>. Wheel Lock Nuts &amp; Key (If 1 Missing Toss All)</v>
      </c>
      <c r="S537" s="286"/>
      <c r="T537" s="191"/>
      <c r="U537" s="191"/>
      <c r="V537" s="191"/>
      <c r="W537" s="191"/>
      <c r="X537" s="191"/>
      <c r="Y537" s="191"/>
      <c r="Z537" s="191" t="s">
        <v>1836</v>
      </c>
      <c r="AA537" s="191" t="s">
        <v>1836</v>
      </c>
      <c r="AB537" s="191" t="s">
        <v>1836</v>
      </c>
      <c r="AC537" s="193" t="s">
        <v>449</v>
      </c>
      <c r="AD537" s="16"/>
      <c r="AE537" s="16">
        <v>70</v>
      </c>
      <c r="AF537" s="99" t="s">
        <v>434</v>
      </c>
      <c r="AH537" s="3" t="s">
        <v>435</v>
      </c>
      <c r="AJ537" s="69"/>
      <c r="AK537" t="s">
        <v>1837</v>
      </c>
      <c r="AN537" s="208"/>
      <c r="AO537" s="208"/>
      <c r="AP537" s="208"/>
      <c r="AQ537" s="208"/>
      <c r="AR537" s="208"/>
      <c r="AS537" s="208"/>
      <c r="AT537" s="208"/>
      <c r="AU537" s="208"/>
      <c r="AV537" s="208"/>
      <c r="AW537" s="208"/>
      <c r="AX537" s="191"/>
      <c r="AY537" s="191"/>
      <c r="AZ537" s="232" t="str">
        <f>IF($AX537="Yes",'8. Option Codes Decrypted'!$C$15,"")</f>
        <v/>
      </c>
      <c r="BA537" s="232" t="str">
        <f>IF($AX537="Yes",'8. Option Codes Decrypted'!$C$16,"")</f>
        <v/>
      </c>
      <c r="BB537" s="232" t="str">
        <f>IF($AX537="Yes",'8. Option Codes Decrypted'!$C$17,"")</f>
        <v/>
      </c>
      <c r="BC537" s="232" t="str">
        <f>IF($AX537="Yes",'8. Option Codes Decrypted'!$C$18,"")</f>
        <v/>
      </c>
      <c r="BD537" s="232" t="str">
        <f>IF($AY537="Yes",'8. Option Codes Decrypted'!$C$20,"")</f>
        <v/>
      </c>
      <c r="BE537" s="232" t="str">
        <f>IF($AY537="Yes",'8. Option Codes Decrypted'!$C$21,"")</f>
        <v/>
      </c>
      <c r="BF537" s="232" t="str">
        <f>IF($AY537="Yes",'8. Option Codes Decrypted'!$C$22,"")</f>
        <v/>
      </c>
      <c r="BG537" s="232" t="str">
        <f>IF($AY537="Yes",'8. Option Codes Decrypted'!$C$23,"")</f>
        <v/>
      </c>
    </row>
    <row r="538" spans="1:59" s="208" customFormat="1" x14ac:dyDescent="0.25">
      <c r="A538" s="232" t="str">
        <f t="shared" si="101"/>
        <v/>
      </c>
      <c r="B538" s="358" t="str">
        <f t="shared" si="99"/>
        <v/>
      </c>
      <c r="C538" s="358" t="str">
        <f>IF(AS538&lt;&gt;"",AS538,"")</f>
        <v/>
      </c>
      <c r="D538" s="358"/>
      <c r="E538" s="358" t="str">
        <f t="shared" si="100"/>
        <v/>
      </c>
      <c r="F538" t="s">
        <v>426</v>
      </c>
      <c r="G538" s="230">
        <v>44674</v>
      </c>
      <c r="H538" s="10"/>
      <c r="I538" s="10"/>
      <c r="J538" s="15" t="s">
        <v>504</v>
      </c>
      <c r="K538" s="15" t="s">
        <v>1817</v>
      </c>
      <c r="L538" s="15" t="s">
        <v>1838</v>
      </c>
      <c r="M538" s="16" t="s">
        <v>430</v>
      </c>
      <c r="N538" s="16"/>
      <c r="O538" s="191"/>
      <c r="P538" s="191"/>
      <c r="Q538" s="191"/>
      <c r="R538" s="286" t="str">
        <f t="shared" si="102"/>
        <v>. Lug Nuts</v>
      </c>
      <c r="S538" s="286"/>
      <c r="T538" s="191"/>
      <c r="U538" s="191"/>
      <c r="V538" s="191"/>
      <c r="W538" s="191"/>
      <c r="X538" s="191"/>
      <c r="Y538" s="191"/>
      <c r="Z538" s="15" t="s">
        <v>1838</v>
      </c>
      <c r="AA538" s="15" t="s">
        <v>1838</v>
      </c>
      <c r="AB538" s="15" t="s">
        <v>1838</v>
      </c>
      <c r="AC538" s="193" t="s">
        <v>449</v>
      </c>
      <c r="AD538" s="10"/>
      <c r="AE538" s="10"/>
      <c r="AF538" s="200" t="s">
        <v>434</v>
      </c>
      <c r="AG538" s="56"/>
      <c r="AH538" s="3" t="s">
        <v>435</v>
      </c>
      <c r="AI538"/>
      <c r="AJ538" s="69"/>
      <c r="AK538" t="s">
        <v>1839</v>
      </c>
      <c r="AL538"/>
      <c r="AM538"/>
      <c r="AX538" s="191"/>
      <c r="AY538" s="191"/>
      <c r="AZ538" s="232" t="str">
        <f>IF($AX538="Yes",'8. Option Codes Decrypted'!$C$15,"")</f>
        <v/>
      </c>
      <c r="BA538" s="232" t="str">
        <f>IF($AX538="Yes",'8. Option Codes Decrypted'!$C$16,"")</f>
        <v/>
      </c>
      <c r="BB538" s="232" t="str">
        <f>IF($AX538="Yes",'8. Option Codes Decrypted'!$C$17,"")</f>
        <v/>
      </c>
      <c r="BC538" s="232" t="str">
        <f>IF($AX538="Yes",'8. Option Codes Decrypted'!$C$18,"")</f>
        <v/>
      </c>
      <c r="BD538" s="232" t="str">
        <f>IF($AY538="Yes",'8. Option Codes Decrypted'!$C$20,"")</f>
        <v/>
      </c>
      <c r="BE538" s="232" t="str">
        <f>IF($AY538="Yes",'8. Option Codes Decrypted'!$C$21,"")</f>
        <v/>
      </c>
      <c r="BF538" s="232" t="str">
        <f>IF($AY538="Yes",'8. Option Codes Decrypted'!$C$22,"")</f>
        <v/>
      </c>
      <c r="BG538" s="232" t="str">
        <f>IF($AY538="Yes",'8. Option Codes Decrypted'!$C$23,"")</f>
        <v/>
      </c>
    </row>
    <row r="539" spans="1:59" x14ac:dyDescent="0.25">
      <c r="A539" s="232" t="str">
        <f t="shared" si="101"/>
        <v/>
      </c>
      <c r="B539" s="358" t="str">
        <f t="shared" si="99"/>
        <v/>
      </c>
      <c r="C539" s="358" t="str">
        <f>IF(AS539&lt;&gt;"",AS539,"")</f>
        <v/>
      </c>
      <c r="D539" s="358"/>
      <c r="E539" s="358" t="str">
        <f t="shared" si="100"/>
        <v/>
      </c>
      <c r="F539" t="s">
        <v>426</v>
      </c>
      <c r="G539" s="230">
        <v>44674</v>
      </c>
      <c r="H539" s="10"/>
      <c r="I539" s="10"/>
      <c r="J539" s="10" t="s">
        <v>504</v>
      </c>
      <c r="K539" s="10" t="s">
        <v>1817</v>
      </c>
      <c r="L539" s="10" t="s">
        <v>1840</v>
      </c>
      <c r="M539" s="16" t="s">
        <v>430</v>
      </c>
      <c r="N539" s="16"/>
      <c r="O539" s="191"/>
      <c r="P539" s="191"/>
      <c r="Q539" s="191"/>
      <c r="R539" s="286" t="str">
        <f t="shared" si="102"/>
        <v>. Wheel Speed Sensors (TOSS ALL)</v>
      </c>
      <c r="S539" s="286"/>
      <c r="T539" s="16"/>
      <c r="U539" s="16"/>
      <c r="V539" s="16"/>
      <c r="W539" s="16"/>
      <c r="X539" s="16"/>
      <c r="Y539" s="16"/>
      <c r="Z539" s="10" t="s">
        <v>1840</v>
      </c>
      <c r="AA539" s="10" t="s">
        <v>1840</v>
      </c>
      <c r="AB539" s="10" t="s">
        <v>1840</v>
      </c>
      <c r="AC539" s="193" t="s">
        <v>449</v>
      </c>
      <c r="AD539" s="10"/>
      <c r="AE539" s="10"/>
      <c r="AF539" s="200" t="s">
        <v>434</v>
      </c>
      <c r="AH539" s="3" t="s">
        <v>435</v>
      </c>
      <c r="AJ539" s="69"/>
      <c r="AK539" t="s">
        <v>1841</v>
      </c>
      <c r="AN539"/>
      <c r="AX539" s="16"/>
      <c r="AY539" s="16"/>
      <c r="AZ539" s="232" t="str">
        <f>IF($AX539="Yes",'8. Option Codes Decrypted'!$C$15,"")</f>
        <v/>
      </c>
      <c r="BA539" s="232" t="str">
        <f>IF($AX539="Yes",'8. Option Codes Decrypted'!$C$16,"")</f>
        <v/>
      </c>
      <c r="BB539" s="232" t="str">
        <f>IF($AX539="Yes",'8. Option Codes Decrypted'!$C$17,"")</f>
        <v/>
      </c>
      <c r="BC539" s="232" t="str">
        <f>IF($AX539="Yes",'8. Option Codes Decrypted'!$C$18,"")</f>
        <v/>
      </c>
      <c r="BD539" s="232" t="str">
        <f>IF($AY539="Yes",'8. Option Codes Decrypted'!$C$20,"")</f>
        <v/>
      </c>
      <c r="BE539" s="232" t="str">
        <f>IF($AY539="Yes",'8. Option Codes Decrypted'!$C$21,"")</f>
        <v/>
      </c>
      <c r="BF539" s="232" t="str">
        <f>IF($AY539="Yes",'8. Option Codes Decrypted'!$C$22,"")</f>
        <v/>
      </c>
      <c r="BG539" s="232" t="str">
        <f>IF($AY539="Yes",'8. Option Codes Decrypted'!$C$23,"")</f>
        <v/>
      </c>
    </row>
    <row r="540" spans="1:59" x14ac:dyDescent="0.25">
      <c r="A540" s="232" t="str">
        <f t="shared" si="101"/>
        <v/>
      </c>
      <c r="AJ540" s="69"/>
      <c r="AO540" t="s">
        <v>411</v>
      </c>
    </row>
    <row r="541" spans="1:59" x14ac:dyDescent="0.25">
      <c r="A541" s="232" t="str">
        <f t="shared" si="101"/>
        <v/>
      </c>
      <c r="AJ541" s="69"/>
      <c r="AO541" t="s">
        <v>411</v>
      </c>
    </row>
    <row r="542" spans="1:59" x14ac:dyDescent="0.25">
      <c r="A542" s="232" t="str">
        <f t="shared" si="101"/>
        <v/>
      </c>
      <c r="AJ542" s="69"/>
    </row>
    <row r="543" spans="1:59" x14ac:dyDescent="0.25">
      <c r="A543" s="232" t="str">
        <f t="shared" si="101"/>
        <v/>
      </c>
      <c r="AJ543" s="69"/>
    </row>
    <row r="544" spans="1:59" x14ac:dyDescent="0.25">
      <c r="A544" s="232" t="str">
        <f t="shared" si="101"/>
        <v/>
      </c>
      <c r="M544"/>
      <c r="N544"/>
      <c r="O544"/>
      <c r="P544"/>
      <c r="Q544"/>
      <c r="R544"/>
      <c r="S544"/>
      <c r="T544"/>
      <c r="U544"/>
      <c r="V544"/>
      <c r="W544"/>
      <c r="X544"/>
      <c r="Y544"/>
      <c r="AF544"/>
      <c r="AG544"/>
      <c r="AH544"/>
      <c r="AJ544" s="69"/>
      <c r="AN544"/>
      <c r="AX544"/>
      <c r="AY544"/>
    </row>
    <row r="545" spans="1:51" x14ac:dyDescent="0.25">
      <c r="A545" s="232" t="str">
        <f t="shared" si="101"/>
        <v/>
      </c>
      <c r="M545"/>
      <c r="N545"/>
      <c r="O545"/>
      <c r="P545"/>
      <c r="Q545"/>
      <c r="R545"/>
      <c r="S545"/>
      <c r="T545"/>
      <c r="U545"/>
      <c r="V545"/>
      <c r="W545"/>
      <c r="X545"/>
      <c r="Y545"/>
      <c r="AF545"/>
      <c r="AG545"/>
      <c r="AH545"/>
      <c r="AJ545" s="69"/>
      <c r="AN545"/>
      <c r="AX545"/>
      <c r="AY545"/>
    </row>
    <row r="546" spans="1:51" x14ac:dyDescent="0.25">
      <c r="A546" s="232" t="str">
        <f t="shared" si="101"/>
        <v/>
      </c>
      <c r="M546"/>
      <c r="N546"/>
      <c r="O546"/>
      <c r="P546"/>
      <c r="Q546"/>
      <c r="R546"/>
      <c r="S546"/>
      <c r="T546"/>
      <c r="U546"/>
      <c r="V546"/>
      <c r="W546"/>
      <c r="X546"/>
      <c r="Y546"/>
      <c r="AF546"/>
      <c r="AG546"/>
      <c r="AH546"/>
      <c r="AJ546" s="69"/>
      <c r="AN546"/>
      <c r="AX546"/>
      <c r="AY546"/>
    </row>
    <row r="547" spans="1:51" x14ac:dyDescent="0.25">
      <c r="A547" s="232" t="str">
        <f t="shared" si="101"/>
        <v/>
      </c>
      <c r="M547"/>
      <c r="N547"/>
      <c r="O547"/>
      <c r="P547"/>
      <c r="Q547"/>
      <c r="R547"/>
      <c r="S547"/>
      <c r="T547"/>
      <c r="U547"/>
      <c r="V547"/>
      <c r="W547"/>
      <c r="X547"/>
      <c r="Y547"/>
      <c r="AF547"/>
      <c r="AG547"/>
      <c r="AH547"/>
      <c r="AJ547" s="69"/>
      <c r="AN547"/>
      <c r="AX547"/>
      <c r="AY547"/>
    </row>
    <row r="548" spans="1:51" x14ac:dyDescent="0.25">
      <c r="A548" s="232" t="str">
        <f t="shared" si="101"/>
        <v/>
      </c>
      <c r="M548"/>
      <c r="N548"/>
      <c r="O548"/>
      <c r="P548"/>
      <c r="Q548"/>
      <c r="R548"/>
      <c r="S548"/>
      <c r="T548"/>
      <c r="U548"/>
      <c r="V548"/>
      <c r="W548"/>
      <c r="X548"/>
      <c r="Y548"/>
      <c r="AF548"/>
      <c r="AG548"/>
      <c r="AH548"/>
      <c r="AJ548" s="69"/>
      <c r="AN548"/>
      <c r="AX548"/>
      <c r="AY548"/>
    </row>
    <row r="549" spans="1:51" x14ac:dyDescent="0.25">
      <c r="A549" s="232" t="str">
        <f t="shared" si="101"/>
        <v/>
      </c>
      <c r="M549"/>
      <c r="N549"/>
      <c r="O549"/>
      <c r="P549"/>
      <c r="Q549"/>
      <c r="R549"/>
      <c r="S549"/>
      <c r="T549"/>
      <c r="U549"/>
      <c r="V549"/>
      <c r="W549"/>
      <c r="X549"/>
      <c r="Y549"/>
      <c r="AF549"/>
      <c r="AG549"/>
      <c r="AH549"/>
      <c r="AJ549" s="69"/>
      <c r="AN549"/>
      <c r="AX549"/>
      <c r="AY549"/>
    </row>
    <row r="550" spans="1:51" x14ac:dyDescent="0.25">
      <c r="A550" s="232" t="str">
        <f t="shared" si="101"/>
        <v/>
      </c>
      <c r="M550"/>
      <c r="N550"/>
      <c r="O550"/>
      <c r="P550"/>
      <c r="Q550"/>
      <c r="R550"/>
      <c r="S550"/>
      <c r="T550"/>
      <c r="U550"/>
      <c r="V550"/>
      <c r="W550"/>
      <c r="X550"/>
      <c r="Y550"/>
      <c r="AF550"/>
      <c r="AG550"/>
      <c r="AH550"/>
      <c r="AJ550" s="69"/>
      <c r="AN550"/>
      <c r="AX550"/>
      <c r="AY550"/>
    </row>
    <row r="551" spans="1:51" x14ac:dyDescent="0.25">
      <c r="A551" s="232" t="str">
        <f t="shared" si="101"/>
        <v/>
      </c>
      <c r="M551"/>
      <c r="N551"/>
      <c r="O551"/>
      <c r="P551"/>
      <c r="Q551"/>
      <c r="R551"/>
      <c r="S551"/>
      <c r="T551"/>
      <c r="U551"/>
      <c r="V551"/>
      <c r="W551"/>
      <c r="X551"/>
      <c r="Y551"/>
      <c r="AF551"/>
      <c r="AG551"/>
      <c r="AH551"/>
      <c r="AJ551" s="69"/>
      <c r="AN551"/>
      <c r="AX551"/>
      <c r="AY551"/>
    </row>
    <row r="552" spans="1:51" x14ac:dyDescent="0.25">
      <c r="A552" s="232" t="str">
        <f t="shared" si="101"/>
        <v/>
      </c>
      <c r="M552"/>
      <c r="N552"/>
      <c r="O552"/>
      <c r="P552"/>
      <c r="Q552"/>
      <c r="R552"/>
      <c r="S552"/>
      <c r="T552"/>
      <c r="U552"/>
      <c r="V552"/>
      <c r="W552"/>
      <c r="X552"/>
      <c r="Y552"/>
      <c r="AF552"/>
      <c r="AG552"/>
      <c r="AH552"/>
      <c r="AJ552" s="69"/>
      <c r="AN552"/>
      <c r="AX552"/>
      <c r="AY552"/>
    </row>
    <row r="553" spans="1:51" x14ac:dyDescent="0.25">
      <c r="A553" s="232" t="str">
        <f t="shared" si="101"/>
        <v/>
      </c>
      <c r="M553"/>
      <c r="N553"/>
      <c r="O553"/>
      <c r="P553"/>
      <c r="Q553"/>
      <c r="R553"/>
      <c r="S553"/>
      <c r="T553"/>
      <c r="U553"/>
      <c r="V553"/>
      <c r="W553"/>
      <c r="X553"/>
      <c r="Y553"/>
      <c r="AF553"/>
      <c r="AG553"/>
      <c r="AH553"/>
      <c r="AJ553" s="69"/>
      <c r="AN553"/>
      <c r="AX553"/>
      <c r="AY553"/>
    </row>
    <row r="554" spans="1:51" x14ac:dyDescent="0.25">
      <c r="A554" s="232" t="str">
        <f t="shared" si="101"/>
        <v/>
      </c>
      <c r="M554"/>
      <c r="N554"/>
      <c r="O554"/>
      <c r="P554"/>
      <c r="Q554"/>
      <c r="R554"/>
      <c r="S554"/>
      <c r="T554"/>
      <c r="U554"/>
      <c r="V554"/>
      <c r="W554"/>
      <c r="X554"/>
      <c r="Y554"/>
      <c r="AF554"/>
      <c r="AG554"/>
      <c r="AH554"/>
      <c r="AJ554" s="69"/>
      <c r="AN554"/>
      <c r="AX554"/>
      <c r="AY554"/>
    </row>
    <row r="555" spans="1:51" x14ac:dyDescent="0.25">
      <c r="A555" s="232" t="str">
        <f t="shared" si="101"/>
        <v/>
      </c>
      <c r="M555"/>
      <c r="N555"/>
      <c r="O555"/>
      <c r="P555"/>
      <c r="Q555"/>
      <c r="R555"/>
      <c r="S555"/>
      <c r="T555"/>
      <c r="U555"/>
      <c r="V555"/>
      <c r="W555"/>
      <c r="X555"/>
      <c r="Y555"/>
      <c r="AF555"/>
      <c r="AG555"/>
      <c r="AH555"/>
      <c r="AJ555" s="69"/>
      <c r="AN555"/>
      <c r="AX555"/>
      <c r="AY555"/>
    </row>
    <row r="556" spans="1:51" x14ac:dyDescent="0.25">
      <c r="A556" s="232" t="str">
        <f t="shared" si="101"/>
        <v/>
      </c>
      <c r="M556"/>
      <c r="N556"/>
      <c r="O556"/>
      <c r="P556"/>
      <c r="Q556"/>
      <c r="R556"/>
      <c r="S556"/>
      <c r="T556"/>
      <c r="U556"/>
      <c r="V556"/>
      <c r="W556"/>
      <c r="X556"/>
      <c r="Y556"/>
      <c r="AF556"/>
      <c r="AG556"/>
      <c r="AH556"/>
      <c r="AJ556" s="69"/>
      <c r="AN556"/>
      <c r="AX556"/>
      <c r="AY556"/>
    </row>
    <row r="557" spans="1:51" x14ac:dyDescent="0.25">
      <c r="A557" s="232" t="str">
        <f t="shared" si="101"/>
        <v/>
      </c>
      <c r="M557"/>
      <c r="N557"/>
      <c r="O557"/>
      <c r="P557"/>
      <c r="Q557"/>
      <c r="R557"/>
      <c r="S557"/>
      <c r="T557"/>
      <c r="U557"/>
      <c r="V557"/>
      <c r="W557"/>
      <c r="X557"/>
      <c r="Y557"/>
      <c r="AF557"/>
      <c r="AG557"/>
      <c r="AH557"/>
      <c r="AJ557" s="69"/>
      <c r="AN557"/>
      <c r="AX557"/>
      <c r="AY557"/>
    </row>
    <row r="558" spans="1:51" x14ac:dyDescent="0.25">
      <c r="A558" s="232" t="str">
        <f t="shared" si="101"/>
        <v/>
      </c>
      <c r="M558"/>
      <c r="N558"/>
      <c r="O558"/>
      <c r="P558"/>
      <c r="Q558"/>
      <c r="R558"/>
      <c r="S558"/>
      <c r="T558"/>
      <c r="U558"/>
      <c r="V558"/>
      <c r="W558"/>
      <c r="X558"/>
      <c r="Y558"/>
      <c r="AF558"/>
      <c r="AG558"/>
      <c r="AH558"/>
      <c r="AJ558" s="69"/>
      <c r="AN558"/>
      <c r="AX558"/>
      <c r="AY558"/>
    </row>
    <row r="559" spans="1:51" x14ac:dyDescent="0.25">
      <c r="A559" s="232" t="str">
        <f t="shared" si="101"/>
        <v/>
      </c>
      <c r="M559"/>
      <c r="N559"/>
      <c r="O559"/>
      <c r="P559"/>
      <c r="Q559"/>
      <c r="R559"/>
      <c r="S559"/>
      <c r="T559"/>
      <c r="U559"/>
      <c r="V559"/>
      <c r="W559"/>
      <c r="X559"/>
      <c r="Y559"/>
      <c r="AF559"/>
      <c r="AG559"/>
      <c r="AH559"/>
      <c r="AJ559" s="69"/>
      <c r="AN559"/>
      <c r="AX559"/>
      <c r="AY559"/>
    </row>
    <row r="560" spans="1:51" x14ac:dyDescent="0.25">
      <c r="A560" s="232" t="str">
        <f t="shared" si="101"/>
        <v/>
      </c>
      <c r="M560"/>
      <c r="N560"/>
      <c r="O560"/>
      <c r="P560"/>
      <c r="Q560"/>
      <c r="R560"/>
      <c r="S560"/>
      <c r="T560"/>
      <c r="U560"/>
      <c r="V560"/>
      <c r="W560"/>
      <c r="X560"/>
      <c r="Y560"/>
      <c r="AF560"/>
      <c r="AG560"/>
      <c r="AH560"/>
      <c r="AJ560" s="69"/>
      <c r="AN560"/>
      <c r="AX560"/>
      <c r="AY560"/>
    </row>
    <row r="561" spans="1:51" x14ac:dyDescent="0.25">
      <c r="A561" s="232" t="str">
        <f t="shared" si="101"/>
        <v/>
      </c>
      <c r="M561"/>
      <c r="N561"/>
      <c r="O561"/>
      <c r="P561"/>
      <c r="Q561"/>
      <c r="R561"/>
      <c r="S561"/>
      <c r="T561"/>
      <c r="U561"/>
      <c r="V561"/>
      <c r="W561"/>
      <c r="X561"/>
      <c r="Y561"/>
      <c r="AF561"/>
      <c r="AG561"/>
      <c r="AH561"/>
      <c r="AJ561" s="69"/>
      <c r="AN561"/>
      <c r="AX561"/>
      <c r="AY561"/>
    </row>
    <row r="562" spans="1:51" x14ac:dyDescent="0.25">
      <c r="A562" s="232" t="str">
        <f t="shared" si="101"/>
        <v/>
      </c>
      <c r="M562"/>
      <c r="N562"/>
      <c r="O562"/>
      <c r="P562"/>
      <c r="Q562"/>
      <c r="R562"/>
      <c r="S562"/>
      <c r="T562"/>
      <c r="U562"/>
      <c r="V562"/>
      <c r="W562"/>
      <c r="X562"/>
      <c r="Y562"/>
      <c r="AF562"/>
      <c r="AG562"/>
      <c r="AH562"/>
      <c r="AJ562" s="69"/>
      <c r="AN562"/>
      <c r="AX562"/>
      <c r="AY562"/>
    </row>
    <row r="563" spans="1:51" x14ac:dyDescent="0.25">
      <c r="A563" s="232" t="str">
        <f t="shared" si="101"/>
        <v/>
      </c>
      <c r="M563"/>
      <c r="N563"/>
      <c r="O563"/>
      <c r="P563"/>
      <c r="Q563"/>
      <c r="R563"/>
      <c r="S563"/>
      <c r="T563"/>
      <c r="U563"/>
      <c r="V563"/>
      <c r="W563"/>
      <c r="X563"/>
      <c r="Y563"/>
      <c r="AF563"/>
      <c r="AG563"/>
      <c r="AH563"/>
      <c r="AJ563" s="69"/>
      <c r="AN563"/>
      <c r="AX563"/>
      <c r="AY563"/>
    </row>
    <row r="564" spans="1:51" x14ac:dyDescent="0.25">
      <c r="A564" s="232" t="str">
        <f t="shared" si="101"/>
        <v/>
      </c>
      <c r="M564"/>
      <c r="N564"/>
      <c r="O564"/>
      <c r="P564"/>
      <c r="Q564"/>
      <c r="R564"/>
      <c r="S564"/>
      <c r="T564"/>
      <c r="U564"/>
      <c r="V564"/>
      <c r="W564"/>
      <c r="X564"/>
      <c r="Y564"/>
      <c r="AF564"/>
      <c r="AG564"/>
      <c r="AH564"/>
      <c r="AJ564" s="69"/>
      <c r="AN564"/>
      <c r="AX564"/>
      <c r="AY564"/>
    </row>
    <row r="565" spans="1:51" x14ac:dyDescent="0.25">
      <c r="A565" s="232" t="str">
        <f t="shared" si="101"/>
        <v/>
      </c>
      <c r="M565"/>
      <c r="N565"/>
      <c r="O565"/>
      <c r="P565"/>
      <c r="Q565"/>
      <c r="R565"/>
      <c r="S565"/>
      <c r="T565"/>
      <c r="U565"/>
      <c r="V565"/>
      <c r="W565"/>
      <c r="X565"/>
      <c r="Y565"/>
      <c r="AF565"/>
      <c r="AG565"/>
      <c r="AH565"/>
      <c r="AJ565" s="69"/>
      <c r="AN565"/>
      <c r="AX565"/>
      <c r="AY565"/>
    </row>
    <row r="566" spans="1:51" x14ac:dyDescent="0.25">
      <c r="A566" s="232" t="str">
        <f t="shared" si="101"/>
        <v/>
      </c>
      <c r="M566"/>
      <c r="N566"/>
      <c r="O566"/>
      <c r="P566"/>
      <c r="Q566"/>
      <c r="R566"/>
      <c r="S566"/>
      <c r="T566"/>
      <c r="U566"/>
      <c r="V566"/>
      <c r="W566"/>
      <c r="X566"/>
      <c r="Y566"/>
      <c r="AF566"/>
      <c r="AG566"/>
      <c r="AH566"/>
      <c r="AJ566" s="69"/>
      <c r="AN566"/>
      <c r="AX566"/>
      <c r="AY566"/>
    </row>
    <row r="567" spans="1:51" x14ac:dyDescent="0.25">
      <c r="A567" s="232" t="str">
        <f t="shared" si="101"/>
        <v/>
      </c>
      <c r="M567"/>
      <c r="N567"/>
      <c r="O567"/>
      <c r="P567"/>
      <c r="Q567"/>
      <c r="R567"/>
      <c r="S567"/>
      <c r="T567"/>
      <c r="U567"/>
      <c r="V567"/>
      <c r="W567"/>
      <c r="X567"/>
      <c r="Y567"/>
      <c r="AF567"/>
      <c r="AG567"/>
      <c r="AH567"/>
      <c r="AJ567" s="69"/>
      <c r="AN567"/>
      <c r="AX567"/>
      <c r="AY567"/>
    </row>
    <row r="568" spans="1:51" x14ac:dyDescent="0.25">
      <c r="A568" s="232" t="str">
        <f t="shared" si="101"/>
        <v/>
      </c>
      <c r="M568"/>
      <c r="N568"/>
      <c r="O568"/>
      <c r="P568"/>
      <c r="Q568"/>
      <c r="R568"/>
      <c r="S568"/>
      <c r="T568"/>
      <c r="U568"/>
      <c r="V568"/>
      <c r="W568"/>
      <c r="X568"/>
      <c r="Y568"/>
      <c r="AF568"/>
      <c r="AG568"/>
      <c r="AH568"/>
      <c r="AJ568" s="69"/>
      <c r="AN568"/>
      <c r="AX568"/>
      <c r="AY568"/>
    </row>
    <row r="569" spans="1:51" x14ac:dyDescent="0.25">
      <c r="A569" s="232" t="str">
        <f t="shared" si="101"/>
        <v/>
      </c>
      <c r="M569"/>
      <c r="N569"/>
      <c r="O569"/>
      <c r="P569"/>
      <c r="Q569"/>
      <c r="R569"/>
      <c r="S569"/>
      <c r="T569"/>
      <c r="U569"/>
      <c r="V569"/>
      <c r="W569"/>
      <c r="X569"/>
      <c r="Y569"/>
      <c r="AF569"/>
      <c r="AG569"/>
      <c r="AH569"/>
      <c r="AJ569" s="69"/>
      <c r="AN569"/>
      <c r="AX569"/>
      <c r="AY569"/>
    </row>
    <row r="570" spans="1:51" x14ac:dyDescent="0.25">
      <c r="A570" s="232" t="str">
        <f t="shared" si="101"/>
        <v/>
      </c>
      <c r="M570"/>
      <c r="N570"/>
      <c r="O570"/>
      <c r="P570"/>
      <c r="Q570"/>
      <c r="R570"/>
      <c r="S570"/>
      <c r="T570"/>
      <c r="U570"/>
      <c r="V570"/>
      <c r="W570"/>
      <c r="X570"/>
      <c r="Y570"/>
      <c r="AF570"/>
      <c r="AG570"/>
      <c r="AH570"/>
      <c r="AJ570" s="69"/>
      <c r="AN570"/>
      <c r="AX570"/>
      <c r="AY570"/>
    </row>
    <row r="571" spans="1:51" x14ac:dyDescent="0.25">
      <c r="A571" s="232" t="str">
        <f t="shared" si="101"/>
        <v/>
      </c>
      <c r="M571"/>
      <c r="N571"/>
      <c r="O571"/>
      <c r="P571"/>
      <c r="Q571"/>
      <c r="R571"/>
      <c r="S571"/>
      <c r="T571"/>
      <c r="U571"/>
      <c r="V571"/>
      <c r="W571"/>
      <c r="X571"/>
      <c r="Y571"/>
      <c r="AF571"/>
      <c r="AG571"/>
      <c r="AH571"/>
      <c r="AJ571" s="69"/>
      <c r="AN571"/>
      <c r="AX571"/>
      <c r="AY571"/>
    </row>
    <row r="572" spans="1:51" x14ac:dyDescent="0.25">
      <c r="A572" s="232" t="str">
        <f t="shared" si="101"/>
        <v/>
      </c>
      <c r="M572"/>
      <c r="N572"/>
      <c r="O572"/>
      <c r="P572"/>
      <c r="Q572"/>
      <c r="R572"/>
      <c r="S572"/>
      <c r="T572"/>
      <c r="U572"/>
      <c r="V572"/>
      <c r="W572"/>
      <c r="X572"/>
      <c r="Y572"/>
      <c r="AF572"/>
      <c r="AG572"/>
      <c r="AH572"/>
      <c r="AJ572" s="69"/>
      <c r="AN572"/>
      <c r="AX572"/>
      <c r="AY572"/>
    </row>
    <row r="573" spans="1:51" x14ac:dyDescent="0.25">
      <c r="A573" s="232" t="str">
        <f t="shared" si="101"/>
        <v/>
      </c>
      <c r="M573"/>
      <c r="N573"/>
      <c r="O573"/>
      <c r="P573"/>
      <c r="Q573"/>
      <c r="R573"/>
      <c r="S573"/>
      <c r="T573"/>
      <c r="U573"/>
      <c r="V573"/>
      <c r="W573"/>
      <c r="X573"/>
      <c r="Y573"/>
      <c r="AF573"/>
      <c r="AG573"/>
      <c r="AH573"/>
      <c r="AJ573" s="69"/>
      <c r="AN573"/>
      <c r="AX573"/>
      <c r="AY573"/>
    </row>
    <row r="574" spans="1:51" x14ac:dyDescent="0.25">
      <c r="A574" s="232" t="str">
        <f t="shared" si="101"/>
        <v/>
      </c>
      <c r="M574"/>
      <c r="N574"/>
      <c r="O574"/>
      <c r="P574"/>
      <c r="Q574"/>
      <c r="R574"/>
      <c r="S574"/>
      <c r="T574"/>
      <c r="U574"/>
      <c r="V574"/>
      <c r="W574"/>
      <c r="X574"/>
      <c r="Y574"/>
      <c r="AF574"/>
      <c r="AG574"/>
      <c r="AH574"/>
      <c r="AJ574" s="69"/>
      <c r="AN574"/>
      <c r="AX574"/>
      <c r="AY574"/>
    </row>
    <row r="575" spans="1:51" x14ac:dyDescent="0.25">
      <c r="A575" s="232" t="str">
        <f t="shared" si="101"/>
        <v/>
      </c>
      <c r="M575"/>
      <c r="N575"/>
      <c r="O575"/>
      <c r="P575"/>
      <c r="Q575"/>
      <c r="R575"/>
      <c r="S575"/>
      <c r="T575"/>
      <c r="U575"/>
      <c r="V575"/>
      <c r="W575"/>
      <c r="X575"/>
      <c r="Y575"/>
      <c r="AF575"/>
      <c r="AG575"/>
      <c r="AH575"/>
      <c r="AJ575" s="69"/>
      <c r="AN575"/>
      <c r="AX575"/>
      <c r="AY575"/>
    </row>
    <row r="576" spans="1:51" x14ac:dyDescent="0.25">
      <c r="A576" s="232" t="str">
        <f t="shared" si="101"/>
        <v/>
      </c>
      <c r="M576"/>
      <c r="N576"/>
      <c r="O576"/>
      <c r="P576"/>
      <c r="Q576"/>
      <c r="R576"/>
      <c r="S576"/>
      <c r="T576"/>
      <c r="U576"/>
      <c r="V576"/>
      <c r="W576"/>
      <c r="X576"/>
      <c r="Y576"/>
      <c r="AF576"/>
      <c r="AG576"/>
      <c r="AH576"/>
      <c r="AJ576" s="69"/>
      <c r="AN576"/>
      <c r="AX576"/>
      <c r="AY576"/>
    </row>
    <row r="577" spans="1:51" x14ac:dyDescent="0.25">
      <c r="A577" s="232" t="str">
        <f t="shared" si="101"/>
        <v/>
      </c>
      <c r="M577"/>
      <c r="N577"/>
      <c r="O577"/>
      <c r="P577"/>
      <c r="Q577"/>
      <c r="R577"/>
      <c r="S577"/>
      <c r="T577"/>
      <c r="U577"/>
      <c r="V577"/>
      <c r="W577"/>
      <c r="X577"/>
      <c r="Y577"/>
      <c r="AF577"/>
      <c r="AG577"/>
      <c r="AH577"/>
      <c r="AJ577" s="69"/>
      <c r="AN577"/>
      <c r="AX577"/>
      <c r="AY577"/>
    </row>
    <row r="578" spans="1:51" x14ac:dyDescent="0.25">
      <c r="A578" s="232" t="str">
        <f t="shared" si="101"/>
        <v/>
      </c>
      <c r="M578"/>
      <c r="N578"/>
      <c r="O578"/>
      <c r="P578"/>
      <c r="Q578"/>
      <c r="R578"/>
      <c r="S578"/>
      <c r="T578"/>
      <c r="U578"/>
      <c r="V578"/>
      <c r="W578"/>
      <c r="X578"/>
      <c r="Y578"/>
      <c r="AF578"/>
      <c r="AG578"/>
      <c r="AH578"/>
      <c r="AJ578" s="69"/>
      <c r="AN578"/>
      <c r="AX578"/>
      <c r="AY578"/>
    </row>
    <row r="579" spans="1:51" x14ac:dyDescent="0.25">
      <c r="A579" s="232" t="str">
        <f t="shared" si="101"/>
        <v/>
      </c>
      <c r="M579"/>
      <c r="N579"/>
      <c r="O579"/>
      <c r="P579"/>
      <c r="Q579"/>
      <c r="R579"/>
      <c r="S579"/>
      <c r="T579"/>
      <c r="U579"/>
      <c r="V579"/>
      <c r="W579"/>
      <c r="X579"/>
      <c r="Y579"/>
      <c r="AF579"/>
      <c r="AG579"/>
      <c r="AH579"/>
      <c r="AJ579" s="69"/>
      <c r="AN579"/>
      <c r="AX579"/>
      <c r="AY579"/>
    </row>
    <row r="580" spans="1:51" x14ac:dyDescent="0.25">
      <c r="A580" s="232" t="str">
        <f t="shared" si="101"/>
        <v/>
      </c>
      <c r="M580"/>
      <c r="N580"/>
      <c r="O580"/>
      <c r="P580"/>
      <c r="Q580"/>
      <c r="R580"/>
      <c r="S580"/>
      <c r="T580"/>
      <c r="U580"/>
      <c r="V580"/>
      <c r="W580"/>
      <c r="X580"/>
      <c r="Y580"/>
      <c r="AF580"/>
      <c r="AG580"/>
      <c r="AH580"/>
      <c r="AJ580" s="69"/>
      <c r="AN580"/>
      <c r="AX580"/>
      <c r="AY580"/>
    </row>
    <row r="581" spans="1:51" x14ac:dyDescent="0.25">
      <c r="A581" s="232" t="str">
        <f t="shared" si="101"/>
        <v/>
      </c>
      <c r="M581"/>
      <c r="N581"/>
      <c r="O581"/>
      <c r="P581"/>
      <c r="Q581"/>
      <c r="R581"/>
      <c r="S581"/>
      <c r="T581"/>
      <c r="U581"/>
      <c r="V581"/>
      <c r="W581"/>
      <c r="X581"/>
      <c r="Y581"/>
      <c r="AF581"/>
      <c r="AG581"/>
      <c r="AH581"/>
      <c r="AJ581" s="69"/>
      <c r="AN581"/>
      <c r="AX581"/>
      <c r="AY581"/>
    </row>
    <row r="582" spans="1:51" x14ac:dyDescent="0.25">
      <c r="A582" s="232" t="str">
        <f t="shared" si="101"/>
        <v/>
      </c>
      <c r="M582"/>
      <c r="N582"/>
      <c r="O582"/>
      <c r="P582"/>
      <c r="Q582"/>
      <c r="R582"/>
      <c r="S582"/>
      <c r="T582"/>
      <c r="U582"/>
      <c r="V582"/>
      <c r="W582"/>
      <c r="X582"/>
      <c r="Y582"/>
      <c r="AF582"/>
      <c r="AG582"/>
      <c r="AH582"/>
      <c r="AJ582" s="69"/>
      <c r="AN582"/>
      <c r="AX582"/>
      <c r="AY582"/>
    </row>
    <row r="583" spans="1:51" x14ac:dyDescent="0.25">
      <c r="A583" s="232" t="str">
        <f t="shared" si="101"/>
        <v/>
      </c>
      <c r="M583"/>
      <c r="N583"/>
      <c r="O583"/>
      <c r="P583"/>
      <c r="Q583"/>
      <c r="R583"/>
      <c r="S583"/>
      <c r="T583"/>
      <c r="U583"/>
      <c r="V583"/>
      <c r="W583"/>
      <c r="X583"/>
      <c r="Y583"/>
      <c r="AF583"/>
      <c r="AG583"/>
      <c r="AH583"/>
      <c r="AJ583" s="69"/>
      <c r="AN583"/>
      <c r="AX583"/>
      <c r="AY583"/>
    </row>
    <row r="584" spans="1:51" x14ac:dyDescent="0.25">
      <c r="A584" s="232" t="str">
        <f t="shared" si="101"/>
        <v/>
      </c>
      <c r="M584"/>
      <c r="N584"/>
      <c r="O584"/>
      <c r="P584"/>
      <c r="Q584"/>
      <c r="R584"/>
      <c r="S584"/>
      <c r="T584"/>
      <c r="U584"/>
      <c r="V584"/>
      <c r="W584"/>
      <c r="X584"/>
      <c r="Y584"/>
      <c r="AF584"/>
      <c r="AG584"/>
      <c r="AH584"/>
      <c r="AJ584" s="69"/>
      <c r="AN584"/>
      <c r="AX584"/>
      <c r="AY584"/>
    </row>
    <row r="585" spans="1:51" x14ac:dyDescent="0.25">
      <c r="A585" s="232" t="str">
        <f t="shared" si="101"/>
        <v/>
      </c>
      <c r="M585"/>
      <c r="N585"/>
      <c r="O585"/>
      <c r="P585"/>
      <c r="Q585"/>
      <c r="R585"/>
      <c r="S585"/>
      <c r="T585"/>
      <c r="U585"/>
      <c r="V585"/>
      <c r="W585"/>
      <c r="X585"/>
      <c r="Y585"/>
      <c r="AF585"/>
      <c r="AG585"/>
      <c r="AH585"/>
      <c r="AJ585" s="69"/>
      <c r="AN585"/>
      <c r="AX585"/>
      <c r="AY585"/>
    </row>
    <row r="586" spans="1:51" x14ac:dyDescent="0.25">
      <c r="A586" s="232" t="str">
        <f t="shared" ref="A586:A649" si="103">IF(O586&lt;&gt;"",O586,"")</f>
        <v/>
      </c>
      <c r="M586"/>
      <c r="N586"/>
      <c r="O586"/>
      <c r="P586"/>
      <c r="Q586"/>
      <c r="R586"/>
      <c r="S586"/>
      <c r="T586"/>
      <c r="U586"/>
      <c r="V586"/>
      <c r="W586"/>
      <c r="X586"/>
      <c r="Y586"/>
      <c r="AF586"/>
      <c r="AG586"/>
      <c r="AH586"/>
      <c r="AJ586" s="69"/>
      <c r="AN586"/>
      <c r="AX586"/>
      <c r="AY586"/>
    </row>
    <row r="587" spans="1:51" x14ac:dyDescent="0.25">
      <c r="A587" s="232" t="str">
        <f t="shared" si="103"/>
        <v/>
      </c>
      <c r="M587"/>
      <c r="N587"/>
      <c r="O587"/>
      <c r="P587"/>
      <c r="Q587"/>
      <c r="R587"/>
      <c r="S587"/>
      <c r="T587"/>
      <c r="U587"/>
      <c r="V587"/>
      <c r="W587"/>
      <c r="X587"/>
      <c r="Y587"/>
      <c r="AF587"/>
      <c r="AG587"/>
      <c r="AH587"/>
      <c r="AJ587" s="69"/>
      <c r="AN587"/>
      <c r="AX587"/>
      <c r="AY587"/>
    </row>
    <row r="588" spans="1:51" x14ac:dyDescent="0.25">
      <c r="A588" s="232" t="str">
        <f t="shared" si="103"/>
        <v/>
      </c>
      <c r="M588"/>
      <c r="N588"/>
      <c r="O588"/>
      <c r="P588"/>
      <c r="Q588"/>
      <c r="R588"/>
      <c r="S588"/>
      <c r="T588"/>
      <c r="U588"/>
      <c r="V588"/>
      <c r="W588"/>
      <c r="X588"/>
      <c r="Y588"/>
      <c r="AF588"/>
      <c r="AG588"/>
      <c r="AH588"/>
      <c r="AJ588" s="69"/>
      <c r="AN588"/>
      <c r="AX588"/>
      <c r="AY588"/>
    </row>
    <row r="589" spans="1:51" x14ac:dyDescent="0.25">
      <c r="A589" s="232" t="str">
        <f t="shared" si="103"/>
        <v/>
      </c>
      <c r="M589"/>
      <c r="N589"/>
      <c r="O589"/>
      <c r="P589"/>
      <c r="Q589"/>
      <c r="R589"/>
      <c r="S589"/>
      <c r="T589"/>
      <c r="U589"/>
      <c r="V589"/>
      <c r="W589"/>
      <c r="X589"/>
      <c r="Y589"/>
      <c r="AF589"/>
      <c r="AG589"/>
      <c r="AH589"/>
      <c r="AJ589" s="69"/>
      <c r="AN589"/>
      <c r="AX589"/>
      <c r="AY589"/>
    </row>
    <row r="590" spans="1:51" x14ac:dyDescent="0.25">
      <c r="A590" s="232" t="str">
        <f t="shared" si="103"/>
        <v/>
      </c>
      <c r="M590"/>
      <c r="N590"/>
      <c r="O590"/>
      <c r="P590"/>
      <c r="Q590"/>
      <c r="R590"/>
      <c r="S590"/>
      <c r="T590"/>
      <c r="U590"/>
      <c r="V590"/>
      <c r="W590"/>
      <c r="X590"/>
      <c r="Y590"/>
      <c r="AF590"/>
      <c r="AG590"/>
      <c r="AH590"/>
      <c r="AJ590" s="69"/>
      <c r="AN590"/>
      <c r="AX590"/>
      <c r="AY590"/>
    </row>
    <row r="591" spans="1:51" x14ac:dyDescent="0.25">
      <c r="A591" s="232" t="str">
        <f t="shared" si="103"/>
        <v/>
      </c>
      <c r="M591"/>
      <c r="N591"/>
      <c r="O591"/>
      <c r="P591"/>
      <c r="Q591"/>
      <c r="R591"/>
      <c r="S591"/>
      <c r="T591"/>
      <c r="U591"/>
      <c r="V591"/>
      <c r="W591"/>
      <c r="X591"/>
      <c r="Y591"/>
      <c r="AF591"/>
      <c r="AG591"/>
      <c r="AH591"/>
      <c r="AJ591" s="69"/>
      <c r="AN591"/>
      <c r="AX591"/>
      <c r="AY591"/>
    </row>
    <row r="592" spans="1:51" x14ac:dyDescent="0.25">
      <c r="A592" s="232" t="str">
        <f t="shared" si="103"/>
        <v/>
      </c>
      <c r="M592"/>
      <c r="N592"/>
      <c r="O592"/>
      <c r="P592"/>
      <c r="Q592"/>
      <c r="R592"/>
      <c r="S592"/>
      <c r="T592"/>
      <c r="U592"/>
      <c r="V592"/>
      <c r="W592"/>
      <c r="X592"/>
      <c r="Y592"/>
      <c r="AF592"/>
      <c r="AG592"/>
      <c r="AH592"/>
      <c r="AJ592" s="69"/>
      <c r="AN592"/>
      <c r="AX592"/>
      <c r="AY592"/>
    </row>
    <row r="593" spans="1:51" x14ac:dyDescent="0.25">
      <c r="A593" s="232" t="str">
        <f t="shared" si="103"/>
        <v/>
      </c>
      <c r="M593"/>
      <c r="N593"/>
      <c r="O593"/>
      <c r="P593"/>
      <c r="Q593"/>
      <c r="R593"/>
      <c r="S593"/>
      <c r="T593"/>
      <c r="U593"/>
      <c r="V593"/>
      <c r="W593"/>
      <c r="X593"/>
      <c r="Y593"/>
      <c r="AF593"/>
      <c r="AG593"/>
      <c r="AH593"/>
      <c r="AJ593" s="69"/>
      <c r="AN593"/>
      <c r="AX593"/>
      <c r="AY593"/>
    </row>
    <row r="594" spans="1:51" x14ac:dyDescent="0.25">
      <c r="A594" s="232" t="str">
        <f t="shared" si="103"/>
        <v/>
      </c>
      <c r="M594"/>
      <c r="N594"/>
      <c r="O594"/>
      <c r="P594"/>
      <c r="Q594"/>
      <c r="R594"/>
      <c r="S594"/>
      <c r="T594"/>
      <c r="U594"/>
      <c r="V594"/>
      <c r="W594"/>
      <c r="X594"/>
      <c r="Y594"/>
      <c r="AF594"/>
      <c r="AG594"/>
      <c r="AH594"/>
      <c r="AJ594" s="69"/>
      <c r="AN594"/>
      <c r="AX594"/>
      <c r="AY594"/>
    </row>
    <row r="595" spans="1:51" x14ac:dyDescent="0.25">
      <c r="A595" s="232" t="str">
        <f t="shared" si="103"/>
        <v/>
      </c>
      <c r="M595"/>
      <c r="N595"/>
      <c r="O595"/>
      <c r="P595"/>
      <c r="Q595"/>
      <c r="R595"/>
      <c r="S595"/>
      <c r="T595"/>
      <c r="U595"/>
      <c r="V595"/>
      <c r="W595"/>
      <c r="X595"/>
      <c r="Y595"/>
      <c r="AF595"/>
      <c r="AG595"/>
      <c r="AH595"/>
      <c r="AJ595" s="69"/>
      <c r="AN595"/>
      <c r="AX595"/>
      <c r="AY595"/>
    </row>
    <row r="596" spans="1:51" x14ac:dyDescent="0.25">
      <c r="A596" s="232" t="str">
        <f t="shared" si="103"/>
        <v/>
      </c>
      <c r="M596"/>
      <c r="N596"/>
      <c r="O596"/>
      <c r="P596"/>
      <c r="Q596"/>
      <c r="R596"/>
      <c r="S596"/>
      <c r="T596"/>
      <c r="U596"/>
      <c r="V596"/>
      <c r="W596"/>
      <c r="X596"/>
      <c r="Y596"/>
      <c r="AF596"/>
      <c r="AG596"/>
      <c r="AH596"/>
      <c r="AJ596" s="69"/>
      <c r="AN596"/>
      <c r="AX596"/>
      <c r="AY596"/>
    </row>
    <row r="597" spans="1:51" x14ac:dyDescent="0.25">
      <c r="A597" s="232" t="str">
        <f t="shared" si="103"/>
        <v/>
      </c>
      <c r="M597"/>
      <c r="N597"/>
      <c r="O597"/>
      <c r="P597"/>
      <c r="Q597"/>
      <c r="R597"/>
      <c r="S597"/>
      <c r="T597"/>
      <c r="U597"/>
      <c r="V597"/>
      <c r="W597"/>
      <c r="X597"/>
      <c r="Y597"/>
      <c r="AF597"/>
      <c r="AG597"/>
      <c r="AH597"/>
      <c r="AJ597" s="69"/>
      <c r="AN597"/>
      <c r="AX597"/>
      <c r="AY597"/>
    </row>
    <row r="598" spans="1:51" x14ac:dyDescent="0.25">
      <c r="A598" s="232" t="str">
        <f t="shared" si="103"/>
        <v/>
      </c>
      <c r="M598"/>
      <c r="N598"/>
      <c r="O598"/>
      <c r="P598"/>
      <c r="Q598"/>
      <c r="R598"/>
      <c r="S598"/>
      <c r="T598"/>
      <c r="U598"/>
      <c r="V598"/>
      <c r="W598"/>
      <c r="X598"/>
      <c r="Y598"/>
      <c r="AF598"/>
      <c r="AG598"/>
      <c r="AH598"/>
      <c r="AJ598" s="69"/>
      <c r="AN598"/>
      <c r="AX598"/>
      <c r="AY598"/>
    </row>
    <row r="599" spans="1:51" x14ac:dyDescent="0.25">
      <c r="A599" s="232" t="str">
        <f t="shared" si="103"/>
        <v/>
      </c>
      <c r="M599"/>
      <c r="N599"/>
      <c r="O599"/>
      <c r="P599"/>
      <c r="Q599"/>
      <c r="R599"/>
      <c r="S599"/>
      <c r="T599"/>
      <c r="U599"/>
      <c r="V599"/>
      <c r="W599"/>
      <c r="X599"/>
      <c r="Y599"/>
      <c r="AF599"/>
      <c r="AG599"/>
      <c r="AH599"/>
      <c r="AJ599" s="69"/>
      <c r="AN599"/>
      <c r="AX599"/>
      <c r="AY599"/>
    </row>
    <row r="600" spans="1:51" x14ac:dyDescent="0.25">
      <c r="A600" s="232" t="str">
        <f t="shared" si="103"/>
        <v/>
      </c>
      <c r="M600"/>
      <c r="N600"/>
      <c r="O600"/>
      <c r="P600"/>
      <c r="Q600"/>
      <c r="R600"/>
      <c r="S600"/>
      <c r="T600"/>
      <c r="U600"/>
      <c r="V600"/>
      <c r="W600"/>
      <c r="X600"/>
      <c r="Y600"/>
      <c r="AF600"/>
      <c r="AG600"/>
      <c r="AH600"/>
      <c r="AJ600" s="69"/>
      <c r="AN600"/>
      <c r="AX600"/>
      <c r="AY600"/>
    </row>
    <row r="601" spans="1:51" x14ac:dyDescent="0.25">
      <c r="A601" s="232" t="str">
        <f t="shared" si="103"/>
        <v/>
      </c>
      <c r="M601"/>
      <c r="N601"/>
      <c r="O601"/>
      <c r="P601"/>
      <c r="Q601"/>
      <c r="R601"/>
      <c r="S601"/>
      <c r="T601"/>
      <c r="U601"/>
      <c r="V601"/>
      <c r="W601"/>
      <c r="X601"/>
      <c r="Y601"/>
      <c r="AF601"/>
      <c r="AG601"/>
      <c r="AH601"/>
      <c r="AJ601" s="69"/>
      <c r="AN601"/>
      <c r="AX601"/>
      <c r="AY601"/>
    </row>
    <row r="602" spans="1:51" x14ac:dyDescent="0.25">
      <c r="A602" s="232" t="str">
        <f t="shared" si="103"/>
        <v/>
      </c>
      <c r="M602"/>
      <c r="N602"/>
      <c r="O602"/>
      <c r="P602"/>
      <c r="Q602"/>
      <c r="R602"/>
      <c r="S602"/>
      <c r="T602"/>
      <c r="U602"/>
      <c r="V602"/>
      <c r="W602"/>
      <c r="X602"/>
      <c r="Y602"/>
      <c r="AF602"/>
      <c r="AG602"/>
      <c r="AH602"/>
      <c r="AJ602" s="69"/>
      <c r="AN602"/>
      <c r="AX602"/>
      <c r="AY602"/>
    </row>
    <row r="603" spans="1:51" x14ac:dyDescent="0.25">
      <c r="A603" s="232" t="str">
        <f t="shared" si="103"/>
        <v/>
      </c>
      <c r="M603"/>
      <c r="N603"/>
      <c r="O603"/>
      <c r="P603"/>
      <c r="Q603"/>
      <c r="R603"/>
      <c r="S603"/>
      <c r="T603"/>
      <c r="U603"/>
      <c r="V603"/>
      <c r="W603"/>
      <c r="X603"/>
      <c r="Y603"/>
      <c r="AF603"/>
      <c r="AG603"/>
      <c r="AH603"/>
      <c r="AJ603" s="69"/>
      <c r="AN603"/>
      <c r="AX603"/>
      <c r="AY603"/>
    </row>
    <row r="604" spans="1:51" x14ac:dyDescent="0.25">
      <c r="A604" s="232" t="str">
        <f t="shared" si="103"/>
        <v/>
      </c>
      <c r="M604"/>
      <c r="N604"/>
      <c r="O604"/>
      <c r="P604"/>
      <c r="Q604"/>
      <c r="R604"/>
      <c r="S604"/>
      <c r="T604"/>
      <c r="U604"/>
      <c r="V604"/>
      <c r="W604"/>
      <c r="X604"/>
      <c r="Y604"/>
      <c r="AF604"/>
      <c r="AG604"/>
      <c r="AH604"/>
      <c r="AJ604" s="69"/>
      <c r="AN604"/>
      <c r="AX604"/>
      <c r="AY604"/>
    </row>
    <row r="605" spans="1:51" x14ac:dyDescent="0.25">
      <c r="A605" s="232" t="str">
        <f t="shared" si="103"/>
        <v/>
      </c>
      <c r="M605"/>
      <c r="N605"/>
      <c r="O605"/>
      <c r="P605"/>
      <c r="Q605"/>
      <c r="R605"/>
      <c r="S605"/>
      <c r="T605"/>
      <c r="U605"/>
      <c r="V605"/>
      <c r="W605"/>
      <c r="X605"/>
      <c r="Y605"/>
      <c r="AF605"/>
      <c r="AG605"/>
      <c r="AH605"/>
      <c r="AJ605" s="69"/>
      <c r="AN605"/>
      <c r="AX605"/>
      <c r="AY605"/>
    </row>
    <row r="606" spans="1:51" x14ac:dyDescent="0.25">
      <c r="A606" s="232" t="str">
        <f t="shared" si="103"/>
        <v/>
      </c>
      <c r="M606"/>
      <c r="N606"/>
      <c r="O606"/>
      <c r="P606"/>
      <c r="Q606"/>
      <c r="R606"/>
      <c r="S606"/>
      <c r="T606"/>
      <c r="U606"/>
      <c r="V606"/>
      <c r="W606"/>
      <c r="X606"/>
      <c r="Y606"/>
      <c r="AF606"/>
      <c r="AG606"/>
      <c r="AH606"/>
      <c r="AJ606" s="69"/>
      <c r="AN606"/>
      <c r="AX606"/>
      <c r="AY606"/>
    </row>
    <row r="607" spans="1:51" x14ac:dyDescent="0.25">
      <c r="A607" s="232" t="str">
        <f t="shared" si="103"/>
        <v/>
      </c>
      <c r="M607"/>
      <c r="N607"/>
      <c r="O607"/>
      <c r="P607"/>
      <c r="Q607"/>
      <c r="R607"/>
      <c r="S607"/>
      <c r="T607"/>
      <c r="U607"/>
      <c r="V607"/>
      <c r="W607"/>
      <c r="X607"/>
      <c r="Y607"/>
      <c r="AF607"/>
      <c r="AG607"/>
      <c r="AH607"/>
      <c r="AJ607" s="69"/>
      <c r="AN607"/>
      <c r="AX607"/>
      <c r="AY607"/>
    </row>
    <row r="608" spans="1:51" x14ac:dyDescent="0.25">
      <c r="A608" s="232" t="str">
        <f t="shared" si="103"/>
        <v/>
      </c>
      <c r="M608"/>
      <c r="N608"/>
      <c r="O608"/>
      <c r="P608"/>
      <c r="Q608"/>
      <c r="R608"/>
      <c r="S608"/>
      <c r="T608"/>
      <c r="U608"/>
      <c r="V608"/>
      <c r="W608"/>
      <c r="X608"/>
      <c r="Y608"/>
      <c r="AF608"/>
      <c r="AG608"/>
      <c r="AH608"/>
      <c r="AJ608" s="69"/>
      <c r="AN608"/>
      <c r="AX608"/>
      <c r="AY608"/>
    </row>
    <row r="609" spans="1:51" x14ac:dyDescent="0.25">
      <c r="A609" s="232" t="str">
        <f t="shared" si="103"/>
        <v/>
      </c>
      <c r="M609"/>
      <c r="N609"/>
      <c r="O609"/>
      <c r="P609"/>
      <c r="Q609"/>
      <c r="R609"/>
      <c r="S609"/>
      <c r="T609"/>
      <c r="U609"/>
      <c r="V609"/>
      <c r="W609"/>
      <c r="X609"/>
      <c r="Y609"/>
      <c r="AF609"/>
      <c r="AG609"/>
      <c r="AH609"/>
      <c r="AJ609" s="69"/>
      <c r="AN609"/>
      <c r="AX609"/>
      <c r="AY609"/>
    </row>
    <row r="610" spans="1:51" x14ac:dyDescent="0.25">
      <c r="A610" s="232" t="str">
        <f t="shared" si="103"/>
        <v/>
      </c>
      <c r="M610"/>
      <c r="N610"/>
      <c r="O610"/>
      <c r="P610"/>
      <c r="Q610"/>
      <c r="R610"/>
      <c r="S610"/>
      <c r="T610"/>
      <c r="U610"/>
      <c r="V610"/>
      <c r="W610"/>
      <c r="X610"/>
      <c r="Y610"/>
      <c r="AF610"/>
      <c r="AG610"/>
      <c r="AH610"/>
      <c r="AJ610" s="69"/>
      <c r="AN610"/>
      <c r="AX610"/>
      <c r="AY610"/>
    </row>
    <row r="611" spans="1:51" x14ac:dyDescent="0.25">
      <c r="A611" s="232" t="str">
        <f t="shared" si="103"/>
        <v/>
      </c>
      <c r="M611"/>
      <c r="N611"/>
      <c r="O611"/>
      <c r="P611"/>
      <c r="Q611"/>
      <c r="R611"/>
      <c r="S611"/>
      <c r="T611"/>
      <c r="U611"/>
      <c r="V611"/>
      <c r="W611"/>
      <c r="X611"/>
      <c r="Y611"/>
      <c r="AF611"/>
      <c r="AG611"/>
      <c r="AH611"/>
      <c r="AJ611" s="69"/>
      <c r="AN611"/>
      <c r="AX611"/>
      <c r="AY611"/>
    </row>
    <row r="612" spans="1:51" x14ac:dyDescent="0.25">
      <c r="A612" s="232" t="str">
        <f t="shared" si="103"/>
        <v/>
      </c>
      <c r="M612"/>
      <c r="N612"/>
      <c r="O612"/>
      <c r="P612"/>
      <c r="Q612"/>
      <c r="R612"/>
      <c r="S612"/>
      <c r="T612"/>
      <c r="U612"/>
      <c r="V612"/>
      <c r="W612"/>
      <c r="X612"/>
      <c r="Y612"/>
      <c r="AF612"/>
      <c r="AG612"/>
      <c r="AH612"/>
      <c r="AJ612" s="69"/>
      <c r="AN612"/>
      <c r="AX612"/>
      <c r="AY612"/>
    </row>
    <row r="613" spans="1:51" x14ac:dyDescent="0.25">
      <c r="A613" s="232" t="str">
        <f t="shared" si="103"/>
        <v/>
      </c>
      <c r="M613"/>
      <c r="N613"/>
      <c r="O613"/>
      <c r="P613"/>
      <c r="Q613"/>
      <c r="R613"/>
      <c r="S613"/>
      <c r="T613"/>
      <c r="U613"/>
      <c r="V613"/>
      <c r="W613"/>
      <c r="X613"/>
      <c r="Y613"/>
      <c r="AF613"/>
      <c r="AG613"/>
      <c r="AH613"/>
      <c r="AJ613" s="69"/>
      <c r="AN613"/>
      <c r="AX613"/>
      <c r="AY613"/>
    </row>
    <row r="614" spans="1:51" x14ac:dyDescent="0.25">
      <c r="A614" s="232" t="str">
        <f t="shared" si="103"/>
        <v/>
      </c>
      <c r="M614"/>
      <c r="N614"/>
      <c r="O614"/>
      <c r="P614"/>
      <c r="Q614"/>
      <c r="R614"/>
      <c r="S614"/>
      <c r="T614"/>
      <c r="U614"/>
      <c r="V614"/>
      <c r="W614"/>
      <c r="X614"/>
      <c r="Y614"/>
      <c r="AF614"/>
      <c r="AG614"/>
      <c r="AH614"/>
      <c r="AJ614" s="69"/>
      <c r="AN614"/>
      <c r="AX614"/>
      <c r="AY614"/>
    </row>
    <row r="615" spans="1:51" x14ac:dyDescent="0.25">
      <c r="A615" s="232" t="str">
        <f t="shared" si="103"/>
        <v/>
      </c>
      <c r="M615"/>
      <c r="N615"/>
      <c r="O615"/>
      <c r="P615"/>
      <c r="Q615"/>
      <c r="R615"/>
      <c r="S615"/>
      <c r="T615"/>
      <c r="U615"/>
      <c r="V615"/>
      <c r="W615"/>
      <c r="X615"/>
      <c r="Y615"/>
      <c r="AF615"/>
      <c r="AG615"/>
      <c r="AH615"/>
      <c r="AJ615" s="69"/>
      <c r="AN615"/>
      <c r="AX615"/>
      <c r="AY615"/>
    </row>
    <row r="616" spans="1:51" x14ac:dyDescent="0.25">
      <c r="A616" s="232" t="str">
        <f t="shared" si="103"/>
        <v/>
      </c>
      <c r="M616"/>
      <c r="N616"/>
      <c r="O616"/>
      <c r="P616"/>
      <c r="Q616"/>
      <c r="R616"/>
      <c r="S616"/>
      <c r="T616"/>
      <c r="U616"/>
      <c r="V616"/>
      <c r="W616"/>
      <c r="X616"/>
      <c r="Y616"/>
      <c r="AF616"/>
      <c r="AG616"/>
      <c r="AH616"/>
      <c r="AJ616" s="69"/>
      <c r="AN616"/>
      <c r="AX616"/>
      <c r="AY616"/>
    </row>
    <row r="617" spans="1:51" x14ac:dyDescent="0.25">
      <c r="A617" s="232" t="str">
        <f t="shared" si="103"/>
        <v/>
      </c>
      <c r="M617"/>
      <c r="N617"/>
      <c r="O617"/>
      <c r="P617"/>
      <c r="Q617"/>
      <c r="R617"/>
      <c r="S617"/>
      <c r="T617"/>
      <c r="U617"/>
      <c r="V617"/>
      <c r="W617"/>
      <c r="X617"/>
      <c r="Y617"/>
      <c r="AF617"/>
      <c r="AG617"/>
      <c r="AH617"/>
      <c r="AJ617" s="69"/>
      <c r="AN617"/>
      <c r="AX617"/>
      <c r="AY617"/>
    </row>
    <row r="618" spans="1:51" x14ac:dyDescent="0.25">
      <c r="A618" s="232" t="str">
        <f t="shared" si="103"/>
        <v/>
      </c>
      <c r="M618"/>
      <c r="N618"/>
      <c r="O618"/>
      <c r="P618"/>
      <c r="Q618"/>
      <c r="R618"/>
      <c r="S618"/>
      <c r="T618"/>
      <c r="U618"/>
      <c r="V618"/>
      <c r="W618"/>
      <c r="X618"/>
      <c r="Y618"/>
      <c r="AF618"/>
      <c r="AG618"/>
      <c r="AH618"/>
      <c r="AJ618" s="69"/>
      <c r="AN618"/>
      <c r="AX618"/>
      <c r="AY618"/>
    </row>
    <row r="619" spans="1:51" x14ac:dyDescent="0.25">
      <c r="A619" s="232" t="str">
        <f t="shared" si="103"/>
        <v/>
      </c>
      <c r="M619"/>
      <c r="N619"/>
      <c r="O619"/>
      <c r="P619"/>
      <c r="Q619"/>
      <c r="R619"/>
      <c r="S619"/>
      <c r="T619"/>
      <c r="U619"/>
      <c r="V619"/>
      <c r="W619"/>
      <c r="X619"/>
      <c r="Y619"/>
      <c r="AF619"/>
      <c r="AG619"/>
      <c r="AH619"/>
      <c r="AJ619" s="69"/>
      <c r="AN619"/>
      <c r="AX619"/>
      <c r="AY619"/>
    </row>
    <row r="620" spans="1:51" x14ac:dyDescent="0.25">
      <c r="A620" s="232" t="str">
        <f t="shared" si="103"/>
        <v/>
      </c>
      <c r="M620"/>
      <c r="N620"/>
      <c r="O620"/>
      <c r="P620"/>
      <c r="Q620"/>
      <c r="R620"/>
      <c r="S620"/>
      <c r="T620"/>
      <c r="U620"/>
      <c r="V620"/>
      <c r="W620"/>
      <c r="X620"/>
      <c r="Y620"/>
      <c r="AF620"/>
      <c r="AG620"/>
      <c r="AH620"/>
      <c r="AJ620" s="69"/>
      <c r="AN620"/>
      <c r="AX620"/>
      <c r="AY620"/>
    </row>
    <row r="621" spans="1:51" x14ac:dyDescent="0.25">
      <c r="A621" s="232" t="str">
        <f t="shared" si="103"/>
        <v/>
      </c>
      <c r="M621"/>
      <c r="N621"/>
      <c r="O621"/>
      <c r="P621"/>
      <c r="Q621"/>
      <c r="R621"/>
      <c r="S621"/>
      <c r="T621"/>
      <c r="U621"/>
      <c r="V621"/>
      <c r="W621"/>
      <c r="X621"/>
      <c r="Y621"/>
      <c r="AF621"/>
      <c r="AG621"/>
      <c r="AH621"/>
      <c r="AJ621" s="69"/>
      <c r="AN621"/>
      <c r="AX621"/>
      <c r="AY621"/>
    </row>
    <row r="622" spans="1:51" x14ac:dyDescent="0.25">
      <c r="A622" s="232" t="str">
        <f t="shared" si="103"/>
        <v/>
      </c>
      <c r="M622"/>
      <c r="N622"/>
      <c r="O622"/>
      <c r="P622"/>
      <c r="Q622"/>
      <c r="R622"/>
      <c r="S622"/>
      <c r="T622"/>
      <c r="U622"/>
      <c r="V622"/>
      <c r="W622"/>
      <c r="X622"/>
      <c r="Y622"/>
      <c r="AF622"/>
      <c r="AG622"/>
      <c r="AH622"/>
      <c r="AJ622" s="69"/>
      <c r="AN622"/>
      <c r="AX622"/>
      <c r="AY622"/>
    </row>
    <row r="623" spans="1:51" x14ac:dyDescent="0.25">
      <c r="A623" s="232" t="str">
        <f t="shared" si="103"/>
        <v/>
      </c>
      <c r="M623"/>
      <c r="N623"/>
      <c r="O623"/>
      <c r="P623"/>
      <c r="Q623"/>
      <c r="R623"/>
      <c r="S623"/>
      <c r="T623"/>
      <c r="U623"/>
      <c r="V623"/>
      <c r="W623"/>
      <c r="X623"/>
      <c r="Y623"/>
      <c r="AF623"/>
      <c r="AG623"/>
      <c r="AH623"/>
      <c r="AJ623" s="69"/>
      <c r="AN623"/>
      <c r="AX623"/>
      <c r="AY623"/>
    </row>
    <row r="624" spans="1:51" x14ac:dyDescent="0.25">
      <c r="A624" s="232" t="str">
        <f t="shared" si="103"/>
        <v/>
      </c>
      <c r="M624"/>
      <c r="N624"/>
      <c r="O624"/>
      <c r="P624"/>
      <c r="Q624"/>
      <c r="R624"/>
      <c r="S624"/>
      <c r="T624"/>
      <c r="U624"/>
      <c r="V624"/>
      <c r="W624"/>
      <c r="X624"/>
      <c r="Y624"/>
      <c r="AF624"/>
      <c r="AG624"/>
      <c r="AH624"/>
      <c r="AJ624" s="69"/>
      <c r="AN624"/>
      <c r="AX624"/>
      <c r="AY624"/>
    </row>
    <row r="625" spans="1:51" x14ac:dyDescent="0.25">
      <c r="A625" s="232" t="str">
        <f t="shared" si="103"/>
        <v/>
      </c>
      <c r="M625"/>
      <c r="N625"/>
      <c r="O625"/>
      <c r="P625"/>
      <c r="Q625"/>
      <c r="R625"/>
      <c r="S625"/>
      <c r="T625"/>
      <c r="U625"/>
      <c r="V625"/>
      <c r="W625"/>
      <c r="X625"/>
      <c r="Y625"/>
      <c r="AF625"/>
      <c r="AG625"/>
      <c r="AH625"/>
      <c r="AJ625" s="69"/>
      <c r="AN625"/>
      <c r="AX625"/>
      <c r="AY625"/>
    </row>
    <row r="626" spans="1:51" x14ac:dyDescent="0.25">
      <c r="A626" s="232" t="str">
        <f t="shared" si="103"/>
        <v/>
      </c>
      <c r="M626"/>
      <c r="N626"/>
      <c r="O626"/>
      <c r="P626"/>
      <c r="Q626"/>
      <c r="R626"/>
      <c r="S626"/>
      <c r="T626"/>
      <c r="U626"/>
      <c r="V626"/>
      <c r="W626"/>
      <c r="X626"/>
      <c r="Y626"/>
      <c r="AF626"/>
      <c r="AG626"/>
      <c r="AH626"/>
      <c r="AJ626" s="69"/>
      <c r="AN626"/>
      <c r="AX626"/>
      <c r="AY626"/>
    </row>
    <row r="627" spans="1:51" x14ac:dyDescent="0.25">
      <c r="A627" s="232" t="str">
        <f t="shared" si="103"/>
        <v/>
      </c>
      <c r="M627"/>
      <c r="N627"/>
      <c r="O627"/>
      <c r="P627"/>
      <c r="Q627"/>
      <c r="R627"/>
      <c r="S627"/>
      <c r="T627"/>
      <c r="U627"/>
      <c r="V627"/>
      <c r="W627"/>
      <c r="X627"/>
      <c r="Y627"/>
      <c r="AF627"/>
      <c r="AG627"/>
      <c r="AH627"/>
      <c r="AJ627" s="69"/>
      <c r="AN627"/>
      <c r="AX627"/>
      <c r="AY627"/>
    </row>
    <row r="628" spans="1:51" x14ac:dyDescent="0.25">
      <c r="A628" s="232" t="str">
        <f t="shared" si="103"/>
        <v/>
      </c>
      <c r="M628"/>
      <c r="N628"/>
      <c r="O628"/>
      <c r="P628"/>
      <c r="Q628"/>
      <c r="R628"/>
      <c r="S628"/>
      <c r="T628"/>
      <c r="U628"/>
      <c r="V628"/>
      <c r="W628"/>
      <c r="X628"/>
      <c r="Y628"/>
      <c r="AF628"/>
      <c r="AG628"/>
      <c r="AH628"/>
      <c r="AJ628" s="69"/>
      <c r="AN628"/>
      <c r="AX628"/>
      <c r="AY628"/>
    </row>
    <row r="629" spans="1:51" x14ac:dyDescent="0.25">
      <c r="A629" s="232" t="str">
        <f t="shared" si="103"/>
        <v/>
      </c>
      <c r="M629"/>
      <c r="N629"/>
      <c r="O629"/>
      <c r="P629"/>
      <c r="Q629"/>
      <c r="R629"/>
      <c r="S629"/>
      <c r="T629"/>
      <c r="U629"/>
      <c r="V629"/>
      <c r="W629"/>
      <c r="X629"/>
      <c r="Y629"/>
      <c r="AF629"/>
      <c r="AG629"/>
      <c r="AH629"/>
      <c r="AJ629" s="69"/>
      <c r="AN629"/>
      <c r="AX629"/>
      <c r="AY629"/>
    </row>
    <row r="630" spans="1:51" x14ac:dyDescent="0.25">
      <c r="A630" s="232" t="str">
        <f t="shared" si="103"/>
        <v/>
      </c>
      <c r="M630"/>
      <c r="N630"/>
      <c r="O630"/>
      <c r="P630"/>
      <c r="Q630"/>
      <c r="R630"/>
      <c r="S630"/>
      <c r="T630"/>
      <c r="U630"/>
      <c r="V630"/>
      <c r="W630"/>
      <c r="X630"/>
      <c r="Y630"/>
      <c r="AF630"/>
      <c r="AG630"/>
      <c r="AH630"/>
      <c r="AJ630" s="69"/>
      <c r="AN630"/>
      <c r="AX630"/>
      <c r="AY630"/>
    </row>
    <row r="631" spans="1:51" x14ac:dyDescent="0.25">
      <c r="A631" s="232" t="str">
        <f t="shared" si="103"/>
        <v/>
      </c>
      <c r="M631"/>
      <c r="N631"/>
      <c r="O631"/>
      <c r="P631"/>
      <c r="Q631"/>
      <c r="R631"/>
      <c r="S631"/>
      <c r="T631"/>
      <c r="U631"/>
      <c r="V631"/>
      <c r="W631"/>
      <c r="X631"/>
      <c r="Y631"/>
      <c r="AF631"/>
      <c r="AG631"/>
      <c r="AH631"/>
      <c r="AJ631" s="69"/>
      <c r="AN631"/>
      <c r="AX631"/>
      <c r="AY631"/>
    </row>
    <row r="632" spans="1:51" x14ac:dyDescent="0.25">
      <c r="A632" s="232" t="str">
        <f t="shared" si="103"/>
        <v/>
      </c>
      <c r="M632"/>
      <c r="N632"/>
      <c r="O632"/>
      <c r="P632"/>
      <c r="Q632"/>
      <c r="R632"/>
      <c r="S632"/>
      <c r="T632"/>
      <c r="U632"/>
      <c r="V632"/>
      <c r="W632"/>
      <c r="X632"/>
      <c r="Y632"/>
      <c r="AF632"/>
      <c r="AG632"/>
      <c r="AH632"/>
      <c r="AJ632" s="69"/>
      <c r="AN632"/>
      <c r="AX632"/>
      <c r="AY632"/>
    </row>
    <row r="633" spans="1:51" x14ac:dyDescent="0.25">
      <c r="A633" s="232" t="str">
        <f t="shared" si="103"/>
        <v/>
      </c>
      <c r="M633"/>
      <c r="N633"/>
      <c r="O633"/>
      <c r="P633"/>
      <c r="Q633"/>
      <c r="R633"/>
      <c r="S633"/>
      <c r="T633"/>
      <c r="U633"/>
      <c r="V633"/>
      <c r="W633"/>
      <c r="X633"/>
      <c r="Y633"/>
      <c r="AF633"/>
      <c r="AG633"/>
      <c r="AH633"/>
      <c r="AJ633" s="69"/>
      <c r="AN633"/>
      <c r="AX633"/>
      <c r="AY633"/>
    </row>
    <row r="634" spans="1:51" x14ac:dyDescent="0.25">
      <c r="A634" s="232" t="str">
        <f t="shared" si="103"/>
        <v/>
      </c>
      <c r="M634"/>
      <c r="N634"/>
      <c r="O634"/>
      <c r="P634"/>
      <c r="Q634"/>
      <c r="R634"/>
      <c r="S634"/>
      <c r="T634"/>
      <c r="U634"/>
      <c r="V634"/>
      <c r="W634"/>
      <c r="X634"/>
      <c r="Y634"/>
      <c r="AF634"/>
      <c r="AG634"/>
      <c r="AH634"/>
      <c r="AJ634" s="69"/>
      <c r="AN634"/>
      <c r="AX634"/>
      <c r="AY634"/>
    </row>
    <row r="635" spans="1:51" x14ac:dyDescent="0.25">
      <c r="A635" s="232" t="str">
        <f t="shared" si="103"/>
        <v/>
      </c>
      <c r="M635"/>
      <c r="N635"/>
      <c r="O635"/>
      <c r="P635"/>
      <c r="Q635"/>
      <c r="R635"/>
      <c r="S635"/>
      <c r="T635"/>
      <c r="U635"/>
      <c r="V635"/>
      <c r="W635"/>
      <c r="X635"/>
      <c r="Y635"/>
      <c r="AF635"/>
      <c r="AG635"/>
      <c r="AH635"/>
      <c r="AJ635" s="69"/>
      <c r="AN635"/>
      <c r="AX635"/>
      <c r="AY635"/>
    </row>
    <row r="636" spans="1:51" x14ac:dyDescent="0.25">
      <c r="A636" s="232" t="str">
        <f t="shared" si="103"/>
        <v/>
      </c>
      <c r="M636"/>
      <c r="N636"/>
      <c r="O636"/>
      <c r="P636"/>
      <c r="Q636"/>
      <c r="R636"/>
      <c r="S636"/>
      <c r="T636"/>
      <c r="U636"/>
      <c r="V636"/>
      <c r="W636"/>
      <c r="X636"/>
      <c r="Y636"/>
      <c r="AF636"/>
      <c r="AG636"/>
      <c r="AH636"/>
      <c r="AJ636" s="69"/>
      <c r="AN636"/>
      <c r="AX636"/>
      <c r="AY636"/>
    </row>
    <row r="637" spans="1:51" x14ac:dyDescent="0.25">
      <c r="A637" s="232" t="str">
        <f t="shared" si="103"/>
        <v/>
      </c>
      <c r="M637"/>
      <c r="N637"/>
      <c r="O637"/>
      <c r="P637"/>
      <c r="Q637"/>
      <c r="R637"/>
      <c r="S637"/>
      <c r="T637"/>
      <c r="U637"/>
      <c r="V637"/>
      <c r="W637"/>
      <c r="X637"/>
      <c r="Y637"/>
      <c r="AF637"/>
      <c r="AG637"/>
      <c r="AH637"/>
      <c r="AJ637" s="69"/>
      <c r="AN637"/>
      <c r="AX637"/>
      <c r="AY637"/>
    </row>
    <row r="638" spans="1:51" x14ac:dyDescent="0.25">
      <c r="A638" s="232" t="str">
        <f t="shared" si="103"/>
        <v/>
      </c>
      <c r="M638"/>
      <c r="N638"/>
      <c r="O638"/>
      <c r="P638"/>
      <c r="Q638"/>
      <c r="R638"/>
      <c r="S638"/>
      <c r="T638"/>
      <c r="U638"/>
      <c r="V638"/>
      <c r="W638"/>
      <c r="X638"/>
      <c r="Y638"/>
      <c r="AF638"/>
      <c r="AG638"/>
      <c r="AH638"/>
      <c r="AJ638" s="69"/>
      <c r="AN638"/>
      <c r="AX638"/>
      <c r="AY638"/>
    </row>
    <row r="639" spans="1:51" x14ac:dyDescent="0.25">
      <c r="A639" s="232" t="str">
        <f t="shared" si="103"/>
        <v/>
      </c>
      <c r="M639"/>
      <c r="N639"/>
      <c r="O639"/>
      <c r="P639"/>
      <c r="Q639"/>
      <c r="R639"/>
      <c r="S639"/>
      <c r="T639"/>
      <c r="U639"/>
      <c r="V639"/>
      <c r="W639"/>
      <c r="X639"/>
      <c r="Y639"/>
      <c r="AF639"/>
      <c r="AG639"/>
      <c r="AH639"/>
      <c r="AJ639" s="69"/>
      <c r="AN639"/>
      <c r="AX639"/>
      <c r="AY639"/>
    </row>
    <row r="640" spans="1:51" x14ac:dyDescent="0.25">
      <c r="A640" s="232" t="str">
        <f t="shared" si="103"/>
        <v/>
      </c>
      <c r="M640"/>
      <c r="N640"/>
      <c r="O640"/>
      <c r="P640"/>
      <c r="Q640"/>
      <c r="R640"/>
      <c r="S640"/>
      <c r="T640"/>
      <c r="U640"/>
      <c r="V640"/>
      <c r="W640"/>
      <c r="X640"/>
      <c r="Y640"/>
      <c r="AF640"/>
      <c r="AG640"/>
      <c r="AH640"/>
      <c r="AJ640" s="69"/>
      <c r="AN640"/>
      <c r="AX640"/>
      <c r="AY640"/>
    </row>
    <row r="641" spans="1:51" x14ac:dyDescent="0.25">
      <c r="A641" s="232" t="str">
        <f t="shared" si="103"/>
        <v/>
      </c>
      <c r="M641"/>
      <c r="N641"/>
      <c r="O641"/>
      <c r="P641"/>
      <c r="Q641"/>
      <c r="R641"/>
      <c r="S641"/>
      <c r="T641"/>
      <c r="U641"/>
      <c r="V641"/>
      <c r="W641"/>
      <c r="X641"/>
      <c r="Y641"/>
      <c r="AF641"/>
      <c r="AG641"/>
      <c r="AH641"/>
      <c r="AJ641" s="69"/>
      <c r="AN641"/>
      <c r="AX641"/>
      <c r="AY641"/>
    </row>
    <row r="642" spans="1:51" x14ac:dyDescent="0.25">
      <c r="A642" s="232" t="str">
        <f t="shared" si="103"/>
        <v/>
      </c>
      <c r="M642"/>
      <c r="N642"/>
      <c r="O642"/>
      <c r="P642"/>
      <c r="Q642"/>
      <c r="R642"/>
      <c r="S642"/>
      <c r="T642"/>
      <c r="U642"/>
      <c r="V642"/>
      <c r="W642"/>
      <c r="X642"/>
      <c r="Y642"/>
      <c r="AF642"/>
      <c r="AG642"/>
      <c r="AH642"/>
      <c r="AJ642" s="69"/>
      <c r="AN642"/>
      <c r="AX642"/>
      <c r="AY642"/>
    </row>
    <row r="643" spans="1:51" x14ac:dyDescent="0.25">
      <c r="A643" s="232" t="str">
        <f t="shared" si="103"/>
        <v/>
      </c>
      <c r="M643"/>
      <c r="N643"/>
      <c r="O643"/>
      <c r="P643"/>
      <c r="Q643"/>
      <c r="R643"/>
      <c r="S643"/>
      <c r="T643"/>
      <c r="U643"/>
      <c r="V643"/>
      <c r="W643"/>
      <c r="X643"/>
      <c r="Y643"/>
      <c r="AF643"/>
      <c r="AG643"/>
      <c r="AH643"/>
      <c r="AJ643" s="69"/>
      <c r="AN643"/>
      <c r="AX643"/>
      <c r="AY643"/>
    </row>
    <row r="644" spans="1:51" x14ac:dyDescent="0.25">
      <c r="A644" s="232" t="str">
        <f t="shared" si="103"/>
        <v/>
      </c>
      <c r="M644"/>
      <c r="N644"/>
      <c r="O644"/>
      <c r="P644"/>
      <c r="Q644"/>
      <c r="R644"/>
      <c r="S644"/>
      <c r="T644"/>
      <c r="U644"/>
      <c r="V644"/>
      <c r="W644"/>
      <c r="X644"/>
      <c r="Y644"/>
      <c r="AF644"/>
      <c r="AG644"/>
      <c r="AH644"/>
      <c r="AJ644" s="69"/>
      <c r="AN644"/>
      <c r="AX644"/>
      <c r="AY644"/>
    </row>
    <row r="645" spans="1:51" x14ac:dyDescent="0.25">
      <c r="A645" s="232" t="str">
        <f t="shared" si="103"/>
        <v/>
      </c>
      <c r="M645"/>
      <c r="N645"/>
      <c r="O645"/>
      <c r="P645"/>
      <c r="Q645"/>
      <c r="R645"/>
      <c r="S645"/>
      <c r="T645"/>
      <c r="U645"/>
      <c r="V645"/>
      <c r="W645"/>
      <c r="X645"/>
      <c r="Y645"/>
      <c r="AF645"/>
      <c r="AG645"/>
      <c r="AH645"/>
      <c r="AJ645" s="69"/>
      <c r="AN645"/>
      <c r="AX645"/>
      <c r="AY645"/>
    </row>
    <row r="646" spans="1:51" x14ac:dyDescent="0.25">
      <c r="A646" s="232" t="str">
        <f t="shared" si="103"/>
        <v/>
      </c>
      <c r="M646"/>
      <c r="N646"/>
      <c r="O646"/>
      <c r="P646"/>
      <c r="Q646"/>
      <c r="R646"/>
      <c r="S646"/>
      <c r="T646"/>
      <c r="U646"/>
      <c r="V646"/>
      <c r="W646"/>
      <c r="X646"/>
      <c r="Y646"/>
      <c r="AF646"/>
      <c r="AG646"/>
      <c r="AH646"/>
      <c r="AJ646" s="69"/>
      <c r="AN646"/>
      <c r="AX646"/>
      <c r="AY646"/>
    </row>
    <row r="647" spans="1:51" x14ac:dyDescent="0.25">
      <c r="A647" s="232" t="str">
        <f t="shared" si="103"/>
        <v/>
      </c>
      <c r="M647"/>
      <c r="N647"/>
      <c r="O647"/>
      <c r="P647"/>
      <c r="Q647"/>
      <c r="R647"/>
      <c r="S647"/>
      <c r="T647"/>
      <c r="U647"/>
      <c r="V647"/>
      <c r="W647"/>
      <c r="X647"/>
      <c r="Y647"/>
      <c r="AF647"/>
      <c r="AG647"/>
      <c r="AH647"/>
      <c r="AJ647" s="69"/>
      <c r="AN647"/>
      <c r="AX647"/>
      <c r="AY647"/>
    </row>
    <row r="648" spans="1:51" x14ac:dyDescent="0.25">
      <c r="A648" s="232" t="str">
        <f t="shared" si="103"/>
        <v/>
      </c>
      <c r="M648"/>
      <c r="N648"/>
      <c r="O648"/>
      <c r="P648"/>
      <c r="Q648"/>
      <c r="R648"/>
      <c r="S648"/>
      <c r="T648"/>
      <c r="U648"/>
      <c r="V648"/>
      <c r="W648"/>
      <c r="X648"/>
      <c r="Y648"/>
      <c r="AF648"/>
      <c r="AG648"/>
      <c r="AH648"/>
      <c r="AJ648" s="69"/>
      <c r="AN648"/>
      <c r="AX648"/>
      <c r="AY648"/>
    </row>
    <row r="649" spans="1:51" x14ac:dyDescent="0.25">
      <c r="A649" s="232" t="str">
        <f t="shared" si="103"/>
        <v/>
      </c>
      <c r="M649"/>
      <c r="N649"/>
      <c r="O649"/>
      <c r="P649"/>
      <c r="Q649"/>
      <c r="R649"/>
      <c r="S649"/>
      <c r="T649"/>
      <c r="U649"/>
      <c r="V649"/>
      <c r="W649"/>
      <c r="X649"/>
      <c r="Y649"/>
      <c r="AF649"/>
      <c r="AG649"/>
      <c r="AH649"/>
      <c r="AJ649" s="69"/>
      <c r="AN649"/>
      <c r="AX649"/>
      <c r="AY649"/>
    </row>
    <row r="650" spans="1:51" x14ac:dyDescent="0.25">
      <c r="A650" s="232" t="str">
        <f t="shared" ref="A650:A713" si="104">IF(O650&lt;&gt;"",O650,"")</f>
        <v/>
      </c>
      <c r="M650"/>
      <c r="N650"/>
      <c r="O650"/>
      <c r="P650"/>
      <c r="Q650"/>
      <c r="R650"/>
      <c r="S650"/>
      <c r="T650"/>
      <c r="U650"/>
      <c r="V650"/>
      <c r="W650"/>
      <c r="X650"/>
      <c r="Y650"/>
      <c r="AF650"/>
      <c r="AG650"/>
      <c r="AH650"/>
      <c r="AJ650" s="69"/>
      <c r="AN650"/>
      <c r="AX650"/>
      <c r="AY650"/>
    </row>
    <row r="651" spans="1:51" x14ac:dyDescent="0.25">
      <c r="A651" s="232" t="str">
        <f t="shared" si="104"/>
        <v/>
      </c>
      <c r="M651"/>
      <c r="N651"/>
      <c r="O651"/>
      <c r="P651"/>
      <c r="Q651"/>
      <c r="R651"/>
      <c r="S651"/>
      <c r="T651"/>
      <c r="U651"/>
      <c r="V651"/>
      <c r="W651"/>
      <c r="X651"/>
      <c r="Y651"/>
      <c r="AF651"/>
      <c r="AG651"/>
      <c r="AH651"/>
      <c r="AJ651" s="69"/>
      <c r="AN651"/>
      <c r="AX651"/>
      <c r="AY651"/>
    </row>
    <row r="652" spans="1:51" x14ac:dyDescent="0.25">
      <c r="A652" s="232" t="str">
        <f t="shared" si="104"/>
        <v/>
      </c>
      <c r="M652"/>
      <c r="N652"/>
      <c r="O652"/>
      <c r="P652"/>
      <c r="Q652"/>
      <c r="R652"/>
      <c r="S652"/>
      <c r="T652"/>
      <c r="U652"/>
      <c r="V652"/>
      <c r="W652"/>
      <c r="X652"/>
      <c r="Y652"/>
      <c r="AF652"/>
      <c r="AG652"/>
      <c r="AH652"/>
      <c r="AJ652" s="69"/>
      <c r="AN652"/>
      <c r="AX652"/>
      <c r="AY652"/>
    </row>
    <row r="653" spans="1:51" x14ac:dyDescent="0.25">
      <c r="A653" s="232" t="str">
        <f t="shared" si="104"/>
        <v/>
      </c>
      <c r="M653"/>
      <c r="N653"/>
      <c r="O653"/>
      <c r="P653"/>
      <c r="Q653"/>
      <c r="R653"/>
      <c r="S653"/>
      <c r="T653"/>
      <c r="U653"/>
      <c r="V653"/>
      <c r="W653"/>
      <c r="X653"/>
      <c r="Y653"/>
      <c r="AF653"/>
      <c r="AG653"/>
      <c r="AH653"/>
      <c r="AJ653" s="69"/>
      <c r="AN653"/>
      <c r="AX653"/>
      <c r="AY653"/>
    </row>
    <row r="654" spans="1:51" x14ac:dyDescent="0.25">
      <c r="A654" s="232" t="str">
        <f t="shared" si="104"/>
        <v/>
      </c>
      <c r="M654"/>
      <c r="N654"/>
      <c r="O654"/>
      <c r="P654"/>
      <c r="Q654"/>
      <c r="R654"/>
      <c r="S654"/>
      <c r="T654"/>
      <c r="U654"/>
      <c r="V654"/>
      <c r="W654"/>
      <c r="X654"/>
      <c r="Y654"/>
      <c r="AF654"/>
      <c r="AG654"/>
      <c r="AH654"/>
      <c r="AJ654" s="69"/>
      <c r="AN654"/>
      <c r="AX654"/>
      <c r="AY654"/>
    </row>
    <row r="655" spans="1:51" x14ac:dyDescent="0.25">
      <c r="A655" s="232" t="str">
        <f t="shared" si="104"/>
        <v/>
      </c>
      <c r="M655"/>
      <c r="N655"/>
      <c r="O655"/>
      <c r="P655"/>
      <c r="Q655"/>
      <c r="R655"/>
      <c r="S655"/>
      <c r="T655"/>
      <c r="U655"/>
      <c r="V655"/>
      <c r="W655"/>
      <c r="X655"/>
      <c r="Y655"/>
      <c r="AF655"/>
      <c r="AG655"/>
      <c r="AH655"/>
      <c r="AJ655" s="69"/>
      <c r="AN655"/>
      <c r="AX655"/>
      <c r="AY655"/>
    </row>
    <row r="656" spans="1:51" x14ac:dyDescent="0.25">
      <c r="A656" s="232" t="str">
        <f t="shared" si="104"/>
        <v/>
      </c>
      <c r="M656"/>
      <c r="N656"/>
      <c r="O656"/>
      <c r="P656"/>
      <c r="Q656"/>
      <c r="R656"/>
      <c r="S656"/>
      <c r="T656"/>
      <c r="U656"/>
      <c r="V656"/>
      <c r="W656"/>
      <c r="X656"/>
      <c r="Y656"/>
      <c r="AF656"/>
      <c r="AG656"/>
      <c r="AH656"/>
      <c r="AJ656" s="69"/>
      <c r="AN656"/>
      <c r="AX656"/>
      <c r="AY656"/>
    </row>
    <row r="657" spans="1:51" x14ac:dyDescent="0.25">
      <c r="A657" s="232" t="str">
        <f t="shared" si="104"/>
        <v/>
      </c>
      <c r="M657"/>
      <c r="N657"/>
      <c r="O657"/>
      <c r="P657"/>
      <c r="Q657"/>
      <c r="R657"/>
      <c r="S657"/>
      <c r="T657"/>
      <c r="U657"/>
      <c r="V657"/>
      <c r="W657"/>
      <c r="X657"/>
      <c r="Y657"/>
      <c r="AF657"/>
      <c r="AG657"/>
      <c r="AH657"/>
      <c r="AJ657" s="69"/>
      <c r="AN657"/>
      <c r="AX657"/>
      <c r="AY657"/>
    </row>
    <row r="658" spans="1:51" x14ac:dyDescent="0.25">
      <c r="A658" s="232" t="str">
        <f t="shared" si="104"/>
        <v/>
      </c>
      <c r="M658"/>
      <c r="N658"/>
      <c r="O658"/>
      <c r="P658"/>
      <c r="Q658"/>
      <c r="R658"/>
      <c r="S658"/>
      <c r="T658"/>
      <c r="U658"/>
      <c r="V658"/>
      <c r="W658"/>
      <c r="X658"/>
      <c r="Y658"/>
      <c r="AF658"/>
      <c r="AG658"/>
      <c r="AH658"/>
      <c r="AJ658" s="69"/>
      <c r="AN658"/>
      <c r="AX658"/>
      <c r="AY658"/>
    </row>
    <row r="659" spans="1:51" x14ac:dyDescent="0.25">
      <c r="A659" s="232" t="str">
        <f t="shared" si="104"/>
        <v/>
      </c>
      <c r="M659"/>
      <c r="N659"/>
      <c r="O659"/>
      <c r="P659"/>
      <c r="Q659"/>
      <c r="R659"/>
      <c r="S659"/>
      <c r="T659"/>
      <c r="U659"/>
      <c r="V659"/>
      <c r="W659"/>
      <c r="X659"/>
      <c r="Y659"/>
      <c r="AF659"/>
      <c r="AG659"/>
      <c r="AH659"/>
      <c r="AJ659" s="69"/>
      <c r="AN659"/>
      <c r="AX659"/>
      <c r="AY659"/>
    </row>
    <row r="660" spans="1:51" x14ac:dyDescent="0.25">
      <c r="A660" s="232" t="str">
        <f t="shared" si="104"/>
        <v/>
      </c>
      <c r="M660"/>
      <c r="N660"/>
      <c r="O660"/>
      <c r="P660"/>
      <c r="Q660"/>
      <c r="R660"/>
      <c r="S660"/>
      <c r="T660"/>
      <c r="U660"/>
      <c r="V660"/>
      <c r="W660"/>
      <c r="X660"/>
      <c r="Y660"/>
      <c r="AF660"/>
      <c r="AG660"/>
      <c r="AH660"/>
      <c r="AJ660" s="69"/>
      <c r="AN660"/>
      <c r="AX660"/>
      <c r="AY660"/>
    </row>
    <row r="661" spans="1:51" x14ac:dyDescent="0.25">
      <c r="A661" s="232" t="str">
        <f t="shared" si="104"/>
        <v/>
      </c>
      <c r="M661"/>
      <c r="N661"/>
      <c r="O661"/>
      <c r="P661"/>
      <c r="Q661"/>
      <c r="R661"/>
      <c r="S661"/>
      <c r="T661"/>
      <c r="U661"/>
      <c r="V661"/>
      <c r="W661"/>
      <c r="X661"/>
      <c r="Y661"/>
      <c r="AF661"/>
      <c r="AG661"/>
      <c r="AH661"/>
      <c r="AJ661" s="69"/>
      <c r="AN661"/>
      <c r="AX661"/>
      <c r="AY661"/>
    </row>
    <row r="662" spans="1:51" x14ac:dyDescent="0.25">
      <c r="A662" s="232" t="str">
        <f t="shared" si="104"/>
        <v/>
      </c>
      <c r="M662"/>
      <c r="N662"/>
      <c r="O662"/>
      <c r="P662"/>
      <c r="Q662"/>
      <c r="R662"/>
      <c r="S662"/>
      <c r="T662"/>
      <c r="U662"/>
      <c r="V662"/>
      <c r="W662"/>
      <c r="X662"/>
      <c r="Y662"/>
      <c r="AF662"/>
      <c r="AG662"/>
      <c r="AH662"/>
      <c r="AJ662" s="69"/>
      <c r="AN662"/>
      <c r="AX662"/>
      <c r="AY662"/>
    </row>
    <row r="663" spans="1:51" x14ac:dyDescent="0.25">
      <c r="A663" s="232" t="str">
        <f t="shared" si="104"/>
        <v/>
      </c>
      <c r="M663"/>
      <c r="N663"/>
      <c r="O663"/>
      <c r="P663"/>
      <c r="Q663"/>
      <c r="R663"/>
      <c r="S663"/>
      <c r="T663"/>
      <c r="U663"/>
      <c r="V663"/>
      <c r="W663"/>
      <c r="X663"/>
      <c r="Y663"/>
      <c r="AF663"/>
      <c r="AG663"/>
      <c r="AH663"/>
      <c r="AJ663" s="69"/>
      <c r="AN663"/>
      <c r="AX663"/>
      <c r="AY663"/>
    </row>
    <row r="664" spans="1:51" x14ac:dyDescent="0.25">
      <c r="A664" s="232" t="str">
        <f t="shared" si="104"/>
        <v/>
      </c>
      <c r="M664"/>
      <c r="N664"/>
      <c r="O664"/>
      <c r="P664"/>
      <c r="Q664"/>
      <c r="R664"/>
      <c r="S664"/>
      <c r="T664"/>
      <c r="U664"/>
      <c r="V664"/>
      <c r="W664"/>
      <c r="X664"/>
      <c r="Y664"/>
      <c r="AF664"/>
      <c r="AG664"/>
      <c r="AH664"/>
      <c r="AJ664" s="69"/>
      <c r="AN664"/>
      <c r="AX664"/>
      <c r="AY664"/>
    </row>
    <row r="665" spans="1:51" x14ac:dyDescent="0.25">
      <c r="A665" s="232" t="str">
        <f t="shared" si="104"/>
        <v/>
      </c>
      <c r="M665"/>
      <c r="N665"/>
      <c r="O665"/>
      <c r="P665"/>
      <c r="Q665"/>
      <c r="R665"/>
      <c r="S665"/>
      <c r="T665"/>
      <c r="U665"/>
      <c r="V665"/>
      <c r="W665"/>
      <c r="X665"/>
      <c r="Y665"/>
      <c r="AF665"/>
      <c r="AG665"/>
      <c r="AH665"/>
      <c r="AJ665" s="69"/>
      <c r="AN665"/>
      <c r="AX665"/>
      <c r="AY665"/>
    </row>
    <row r="666" spans="1:51" x14ac:dyDescent="0.25">
      <c r="A666" s="232" t="str">
        <f t="shared" si="104"/>
        <v/>
      </c>
      <c r="M666"/>
      <c r="N666"/>
      <c r="O666"/>
      <c r="P666"/>
      <c r="Q666"/>
      <c r="R666"/>
      <c r="S666"/>
      <c r="T666"/>
      <c r="U666"/>
      <c r="V666"/>
      <c r="W666"/>
      <c r="X666"/>
      <c r="Y666"/>
      <c r="AF666"/>
      <c r="AG666"/>
      <c r="AH666"/>
      <c r="AJ666" s="69"/>
      <c r="AN666"/>
      <c r="AX666"/>
      <c r="AY666"/>
    </row>
    <row r="667" spans="1:51" x14ac:dyDescent="0.25">
      <c r="A667" s="232" t="str">
        <f t="shared" si="104"/>
        <v/>
      </c>
      <c r="M667"/>
      <c r="N667"/>
      <c r="O667"/>
      <c r="P667"/>
      <c r="Q667"/>
      <c r="R667"/>
      <c r="S667"/>
      <c r="T667"/>
      <c r="U667"/>
      <c r="V667"/>
      <c r="W667"/>
      <c r="X667"/>
      <c r="Y667"/>
      <c r="AF667"/>
      <c r="AG667"/>
      <c r="AH667"/>
      <c r="AJ667" s="69"/>
      <c r="AN667"/>
      <c r="AX667"/>
      <c r="AY667"/>
    </row>
    <row r="668" spans="1:51" x14ac:dyDescent="0.25">
      <c r="A668" s="232" t="str">
        <f t="shared" si="104"/>
        <v/>
      </c>
      <c r="M668"/>
      <c r="N668"/>
      <c r="O668"/>
      <c r="P668"/>
      <c r="Q668"/>
      <c r="R668"/>
      <c r="S668"/>
      <c r="T668"/>
      <c r="U668"/>
      <c r="V668"/>
      <c r="W668"/>
      <c r="X668"/>
      <c r="Y668"/>
      <c r="AF668"/>
      <c r="AG668"/>
      <c r="AH668"/>
      <c r="AJ668" s="69"/>
      <c r="AN668"/>
      <c r="AX668"/>
      <c r="AY668"/>
    </row>
    <row r="669" spans="1:51" x14ac:dyDescent="0.25">
      <c r="A669" s="232" t="str">
        <f t="shared" si="104"/>
        <v/>
      </c>
      <c r="M669"/>
      <c r="N669"/>
      <c r="O669"/>
      <c r="P669"/>
      <c r="Q669"/>
      <c r="R669"/>
      <c r="S669"/>
      <c r="T669"/>
      <c r="U669"/>
      <c r="V669"/>
      <c r="W669"/>
      <c r="X669"/>
      <c r="Y669"/>
      <c r="AF669"/>
      <c r="AG669"/>
      <c r="AH669"/>
      <c r="AJ669" s="69"/>
      <c r="AN669"/>
      <c r="AX669"/>
      <c r="AY669"/>
    </row>
    <row r="670" spans="1:51" x14ac:dyDescent="0.25">
      <c r="A670" s="232" t="str">
        <f t="shared" si="104"/>
        <v/>
      </c>
      <c r="M670"/>
      <c r="N670"/>
      <c r="O670"/>
      <c r="P670"/>
      <c r="Q670"/>
      <c r="R670"/>
      <c r="S670"/>
      <c r="T670"/>
      <c r="U670"/>
      <c r="V670"/>
      <c r="W670"/>
      <c r="X670"/>
      <c r="Y670"/>
      <c r="AF670"/>
      <c r="AG670"/>
      <c r="AH670"/>
      <c r="AJ670" s="69"/>
      <c r="AN670"/>
      <c r="AX670"/>
      <c r="AY670"/>
    </row>
    <row r="671" spans="1:51" x14ac:dyDescent="0.25">
      <c r="A671" s="232" t="str">
        <f t="shared" si="104"/>
        <v/>
      </c>
      <c r="M671"/>
      <c r="N671"/>
      <c r="O671"/>
      <c r="P671"/>
      <c r="Q671"/>
      <c r="R671"/>
      <c r="S671"/>
      <c r="T671"/>
      <c r="U671"/>
      <c r="V671"/>
      <c r="W671"/>
      <c r="X671"/>
      <c r="Y671"/>
      <c r="AF671"/>
      <c r="AG671"/>
      <c r="AH671"/>
      <c r="AJ671" s="69"/>
      <c r="AN671"/>
      <c r="AX671"/>
      <c r="AY671"/>
    </row>
    <row r="672" spans="1:51" x14ac:dyDescent="0.25">
      <c r="A672" s="232" t="str">
        <f t="shared" si="104"/>
        <v/>
      </c>
      <c r="M672"/>
      <c r="N672"/>
      <c r="O672"/>
      <c r="P672"/>
      <c r="Q672"/>
      <c r="R672"/>
      <c r="S672"/>
      <c r="T672"/>
      <c r="U672"/>
      <c r="V672"/>
      <c r="W672"/>
      <c r="X672"/>
      <c r="Y672"/>
      <c r="AF672"/>
      <c r="AG672"/>
      <c r="AH672"/>
      <c r="AJ672" s="69"/>
      <c r="AN672"/>
      <c r="AX672"/>
      <c r="AY672"/>
    </row>
    <row r="673" spans="1:51" x14ac:dyDescent="0.25">
      <c r="A673" s="232" t="str">
        <f t="shared" si="104"/>
        <v/>
      </c>
      <c r="M673"/>
      <c r="N673"/>
      <c r="O673"/>
      <c r="P673"/>
      <c r="Q673"/>
      <c r="R673"/>
      <c r="S673"/>
      <c r="T673"/>
      <c r="U673"/>
      <c r="V673"/>
      <c r="W673"/>
      <c r="X673"/>
      <c r="Y673"/>
      <c r="AF673"/>
      <c r="AG673"/>
      <c r="AH673"/>
      <c r="AJ673" s="69"/>
      <c r="AN673"/>
      <c r="AX673"/>
      <c r="AY673"/>
    </row>
    <row r="674" spans="1:51" x14ac:dyDescent="0.25">
      <c r="A674" s="232" t="str">
        <f t="shared" si="104"/>
        <v/>
      </c>
      <c r="M674"/>
      <c r="N674"/>
      <c r="O674"/>
      <c r="P674"/>
      <c r="Q674"/>
      <c r="R674"/>
      <c r="S674"/>
      <c r="T674"/>
      <c r="U674"/>
      <c r="V674"/>
      <c r="W674"/>
      <c r="X674"/>
      <c r="Y674"/>
      <c r="AF674"/>
      <c r="AG674"/>
      <c r="AH674"/>
      <c r="AJ674" s="69"/>
      <c r="AN674"/>
      <c r="AX674"/>
      <c r="AY674"/>
    </row>
    <row r="675" spans="1:51" x14ac:dyDescent="0.25">
      <c r="A675" s="232" t="str">
        <f t="shared" si="104"/>
        <v/>
      </c>
      <c r="M675"/>
      <c r="N675"/>
      <c r="O675"/>
      <c r="P675"/>
      <c r="Q675"/>
      <c r="R675"/>
      <c r="S675"/>
      <c r="T675"/>
      <c r="U675"/>
      <c r="V675"/>
      <c r="W675"/>
      <c r="X675"/>
      <c r="Y675"/>
      <c r="AF675"/>
      <c r="AG675"/>
      <c r="AH675"/>
      <c r="AJ675" s="69"/>
      <c r="AN675"/>
      <c r="AX675"/>
      <c r="AY675"/>
    </row>
    <row r="676" spans="1:51" x14ac:dyDescent="0.25">
      <c r="A676" s="232" t="str">
        <f t="shared" si="104"/>
        <v/>
      </c>
      <c r="M676"/>
      <c r="N676"/>
      <c r="O676"/>
      <c r="P676"/>
      <c r="Q676"/>
      <c r="R676"/>
      <c r="S676"/>
      <c r="T676"/>
      <c r="U676"/>
      <c r="V676"/>
      <c r="W676"/>
      <c r="X676"/>
      <c r="Y676"/>
      <c r="AF676"/>
      <c r="AG676"/>
      <c r="AH676"/>
      <c r="AJ676" s="69"/>
      <c r="AN676"/>
      <c r="AX676"/>
      <c r="AY676"/>
    </row>
    <row r="677" spans="1:51" x14ac:dyDescent="0.25">
      <c r="A677" s="232" t="str">
        <f t="shared" si="104"/>
        <v/>
      </c>
      <c r="M677"/>
      <c r="N677"/>
      <c r="O677"/>
      <c r="P677"/>
      <c r="Q677"/>
      <c r="R677"/>
      <c r="S677"/>
      <c r="T677"/>
      <c r="U677"/>
      <c r="V677"/>
      <c r="W677"/>
      <c r="X677"/>
      <c r="Y677"/>
      <c r="AF677"/>
      <c r="AG677"/>
      <c r="AH677"/>
      <c r="AJ677" s="69"/>
      <c r="AN677"/>
      <c r="AX677"/>
      <c r="AY677"/>
    </row>
    <row r="678" spans="1:51" x14ac:dyDescent="0.25">
      <c r="A678" s="232" t="str">
        <f t="shared" si="104"/>
        <v/>
      </c>
      <c r="M678"/>
      <c r="N678"/>
      <c r="O678"/>
      <c r="P678"/>
      <c r="Q678"/>
      <c r="R678"/>
      <c r="S678"/>
      <c r="T678"/>
      <c r="U678"/>
      <c r="V678"/>
      <c r="W678"/>
      <c r="X678"/>
      <c r="Y678"/>
      <c r="AF678"/>
      <c r="AG678"/>
      <c r="AH678"/>
      <c r="AJ678" s="69"/>
      <c r="AN678"/>
      <c r="AX678"/>
      <c r="AY678"/>
    </row>
    <row r="679" spans="1:51" x14ac:dyDescent="0.25">
      <c r="A679" s="232" t="str">
        <f t="shared" si="104"/>
        <v/>
      </c>
      <c r="M679"/>
      <c r="N679"/>
      <c r="O679"/>
      <c r="P679"/>
      <c r="Q679"/>
      <c r="R679"/>
      <c r="S679"/>
      <c r="T679"/>
      <c r="U679"/>
      <c r="V679"/>
      <c r="W679"/>
      <c r="X679"/>
      <c r="Y679"/>
      <c r="AF679"/>
      <c r="AG679"/>
      <c r="AH679"/>
      <c r="AJ679" s="69"/>
      <c r="AN679"/>
      <c r="AX679"/>
      <c r="AY679"/>
    </row>
    <row r="680" spans="1:51" x14ac:dyDescent="0.25">
      <c r="A680" s="232" t="str">
        <f t="shared" si="104"/>
        <v/>
      </c>
      <c r="M680"/>
      <c r="N680"/>
      <c r="O680"/>
      <c r="P680"/>
      <c r="Q680"/>
      <c r="R680"/>
      <c r="S680"/>
      <c r="T680"/>
      <c r="U680"/>
      <c r="V680"/>
      <c r="W680"/>
      <c r="X680"/>
      <c r="Y680"/>
      <c r="AF680"/>
      <c r="AG680"/>
      <c r="AH680"/>
      <c r="AJ680" s="69"/>
      <c r="AN680"/>
      <c r="AX680"/>
      <c r="AY680"/>
    </row>
    <row r="681" spans="1:51" x14ac:dyDescent="0.25">
      <c r="A681" s="232" t="str">
        <f t="shared" si="104"/>
        <v/>
      </c>
      <c r="M681"/>
      <c r="N681"/>
      <c r="O681"/>
      <c r="P681"/>
      <c r="Q681"/>
      <c r="R681"/>
      <c r="S681"/>
      <c r="T681"/>
      <c r="U681"/>
      <c r="V681"/>
      <c r="W681"/>
      <c r="X681"/>
      <c r="Y681"/>
      <c r="AF681"/>
      <c r="AG681"/>
      <c r="AH681"/>
      <c r="AJ681" s="69"/>
      <c r="AN681"/>
      <c r="AX681"/>
      <c r="AY681"/>
    </row>
    <row r="682" spans="1:51" x14ac:dyDescent="0.25">
      <c r="A682" s="232" t="str">
        <f t="shared" si="104"/>
        <v/>
      </c>
      <c r="M682"/>
      <c r="N682"/>
      <c r="O682"/>
      <c r="P682"/>
      <c r="Q682"/>
      <c r="R682"/>
      <c r="S682"/>
      <c r="T682"/>
      <c r="U682"/>
      <c r="V682"/>
      <c r="W682"/>
      <c r="X682"/>
      <c r="Y682"/>
      <c r="AF682"/>
      <c r="AG682"/>
      <c r="AH682"/>
      <c r="AJ682" s="69"/>
      <c r="AN682"/>
      <c r="AX682"/>
      <c r="AY682"/>
    </row>
    <row r="683" spans="1:51" x14ac:dyDescent="0.25">
      <c r="A683" s="232" t="str">
        <f t="shared" si="104"/>
        <v/>
      </c>
      <c r="M683"/>
      <c r="N683"/>
      <c r="O683"/>
      <c r="P683"/>
      <c r="Q683"/>
      <c r="R683"/>
      <c r="S683"/>
      <c r="T683"/>
      <c r="U683"/>
      <c r="V683"/>
      <c r="W683"/>
      <c r="X683"/>
      <c r="Y683"/>
      <c r="AF683"/>
      <c r="AG683"/>
      <c r="AH683"/>
      <c r="AJ683" s="69"/>
      <c r="AN683"/>
      <c r="AX683"/>
      <c r="AY683"/>
    </row>
    <row r="684" spans="1:51" x14ac:dyDescent="0.25">
      <c r="A684" s="232" t="str">
        <f t="shared" si="104"/>
        <v/>
      </c>
      <c r="M684"/>
      <c r="N684"/>
      <c r="O684"/>
      <c r="P684"/>
      <c r="Q684"/>
      <c r="R684"/>
      <c r="S684"/>
      <c r="T684"/>
      <c r="U684"/>
      <c r="V684"/>
      <c r="W684"/>
      <c r="X684"/>
      <c r="Y684"/>
      <c r="AF684"/>
      <c r="AG684"/>
      <c r="AH684"/>
      <c r="AJ684" s="69"/>
      <c r="AN684"/>
      <c r="AX684"/>
      <c r="AY684"/>
    </row>
    <row r="685" spans="1:51" x14ac:dyDescent="0.25">
      <c r="A685" s="232" t="str">
        <f t="shared" si="104"/>
        <v/>
      </c>
      <c r="M685"/>
      <c r="N685"/>
      <c r="O685"/>
      <c r="P685"/>
      <c r="Q685"/>
      <c r="R685"/>
      <c r="S685"/>
      <c r="T685"/>
      <c r="U685"/>
      <c r="V685"/>
      <c r="W685"/>
      <c r="X685"/>
      <c r="Y685"/>
      <c r="AF685"/>
      <c r="AG685"/>
      <c r="AH685"/>
      <c r="AJ685" s="69"/>
      <c r="AN685"/>
      <c r="AX685"/>
      <c r="AY685"/>
    </row>
    <row r="686" spans="1:51" x14ac:dyDescent="0.25">
      <c r="A686" s="232" t="str">
        <f t="shared" si="104"/>
        <v/>
      </c>
      <c r="M686"/>
      <c r="N686"/>
      <c r="O686"/>
      <c r="P686"/>
      <c r="Q686"/>
      <c r="R686"/>
      <c r="S686"/>
      <c r="T686"/>
      <c r="U686"/>
      <c r="V686"/>
      <c r="W686"/>
      <c r="X686"/>
      <c r="Y686"/>
      <c r="AF686"/>
      <c r="AG686"/>
      <c r="AH686"/>
      <c r="AJ686" s="69"/>
      <c r="AN686"/>
      <c r="AX686"/>
      <c r="AY686"/>
    </row>
    <row r="687" spans="1:51" x14ac:dyDescent="0.25">
      <c r="A687" s="232" t="str">
        <f t="shared" si="104"/>
        <v/>
      </c>
      <c r="M687"/>
      <c r="N687"/>
      <c r="O687"/>
      <c r="P687"/>
      <c r="Q687"/>
      <c r="R687"/>
      <c r="S687"/>
      <c r="T687"/>
      <c r="U687"/>
      <c r="V687"/>
      <c r="W687"/>
      <c r="X687"/>
      <c r="Y687"/>
      <c r="AF687"/>
      <c r="AG687"/>
      <c r="AH687"/>
      <c r="AJ687" s="69"/>
      <c r="AN687"/>
      <c r="AX687"/>
      <c r="AY687"/>
    </row>
    <row r="688" spans="1:51" x14ac:dyDescent="0.25">
      <c r="A688" s="232" t="str">
        <f t="shared" si="104"/>
        <v/>
      </c>
      <c r="M688"/>
      <c r="N688"/>
      <c r="O688"/>
      <c r="P688"/>
      <c r="Q688"/>
      <c r="R688"/>
      <c r="S688"/>
      <c r="T688"/>
      <c r="U688"/>
      <c r="V688"/>
      <c r="W688"/>
      <c r="X688"/>
      <c r="Y688"/>
      <c r="AF688"/>
      <c r="AG688"/>
      <c r="AH688"/>
      <c r="AJ688" s="69"/>
      <c r="AN688"/>
      <c r="AX688"/>
      <c r="AY688"/>
    </row>
    <row r="689" spans="1:51" x14ac:dyDescent="0.25">
      <c r="A689" s="232" t="str">
        <f t="shared" si="104"/>
        <v/>
      </c>
      <c r="M689"/>
      <c r="N689"/>
      <c r="O689"/>
      <c r="P689"/>
      <c r="Q689"/>
      <c r="R689"/>
      <c r="S689"/>
      <c r="T689"/>
      <c r="U689"/>
      <c r="V689"/>
      <c r="W689"/>
      <c r="X689"/>
      <c r="Y689"/>
      <c r="AF689"/>
      <c r="AG689"/>
      <c r="AH689"/>
      <c r="AJ689" s="69"/>
      <c r="AN689"/>
      <c r="AX689"/>
      <c r="AY689"/>
    </row>
    <row r="690" spans="1:51" x14ac:dyDescent="0.25">
      <c r="A690" s="232" t="str">
        <f t="shared" si="104"/>
        <v/>
      </c>
      <c r="M690"/>
      <c r="N690"/>
      <c r="O690"/>
      <c r="P690"/>
      <c r="Q690"/>
      <c r="R690"/>
      <c r="S690"/>
      <c r="T690"/>
      <c r="U690"/>
      <c r="V690"/>
      <c r="W690"/>
      <c r="X690"/>
      <c r="Y690"/>
      <c r="AF690"/>
      <c r="AG690"/>
      <c r="AH690"/>
      <c r="AJ690" s="69"/>
      <c r="AN690"/>
      <c r="AX690"/>
      <c r="AY690"/>
    </row>
    <row r="691" spans="1:51" x14ac:dyDescent="0.25">
      <c r="A691" s="232" t="str">
        <f t="shared" si="104"/>
        <v/>
      </c>
      <c r="M691"/>
      <c r="N691"/>
      <c r="O691"/>
      <c r="P691"/>
      <c r="Q691"/>
      <c r="R691"/>
      <c r="S691"/>
      <c r="T691"/>
      <c r="U691"/>
      <c r="V691"/>
      <c r="W691"/>
      <c r="X691"/>
      <c r="Y691"/>
      <c r="AF691"/>
      <c r="AG691"/>
      <c r="AH691"/>
      <c r="AJ691" s="69"/>
      <c r="AN691"/>
      <c r="AX691"/>
      <c r="AY691"/>
    </row>
    <row r="692" spans="1:51" x14ac:dyDescent="0.25">
      <c r="A692" s="232" t="str">
        <f t="shared" si="104"/>
        <v/>
      </c>
      <c r="M692"/>
      <c r="N692"/>
      <c r="O692"/>
      <c r="P692"/>
      <c r="Q692"/>
      <c r="R692"/>
      <c r="S692"/>
      <c r="T692"/>
      <c r="U692"/>
      <c r="V692"/>
      <c r="W692"/>
      <c r="X692"/>
      <c r="Y692"/>
      <c r="AF692"/>
      <c r="AG692"/>
      <c r="AH692"/>
      <c r="AJ692" s="69"/>
      <c r="AN692"/>
      <c r="AX692"/>
      <c r="AY692"/>
    </row>
    <row r="693" spans="1:51" x14ac:dyDescent="0.25">
      <c r="A693" s="232" t="str">
        <f t="shared" si="104"/>
        <v/>
      </c>
      <c r="M693"/>
      <c r="N693"/>
      <c r="O693"/>
      <c r="P693"/>
      <c r="Q693"/>
      <c r="R693"/>
      <c r="S693"/>
      <c r="T693"/>
      <c r="U693"/>
      <c r="V693"/>
      <c r="W693"/>
      <c r="X693"/>
      <c r="Y693"/>
      <c r="AF693"/>
      <c r="AG693"/>
      <c r="AH693"/>
      <c r="AJ693" s="69"/>
      <c r="AN693"/>
      <c r="AX693"/>
      <c r="AY693"/>
    </row>
    <row r="694" spans="1:51" x14ac:dyDescent="0.25">
      <c r="A694" s="232" t="str">
        <f t="shared" si="104"/>
        <v/>
      </c>
      <c r="M694"/>
      <c r="N694"/>
      <c r="O694"/>
      <c r="P694"/>
      <c r="Q694"/>
      <c r="R694"/>
      <c r="S694"/>
      <c r="T694"/>
      <c r="U694"/>
      <c r="V694"/>
      <c r="W694"/>
      <c r="X694"/>
      <c r="Y694"/>
      <c r="AF694"/>
      <c r="AG694"/>
      <c r="AH694"/>
      <c r="AJ694" s="69"/>
      <c r="AN694"/>
      <c r="AX694"/>
      <c r="AY694"/>
    </row>
    <row r="695" spans="1:51" x14ac:dyDescent="0.25">
      <c r="A695" s="232" t="str">
        <f t="shared" si="104"/>
        <v/>
      </c>
      <c r="M695"/>
      <c r="N695"/>
      <c r="O695"/>
      <c r="P695"/>
      <c r="Q695"/>
      <c r="R695"/>
      <c r="S695"/>
      <c r="T695"/>
      <c r="U695"/>
      <c r="V695"/>
      <c r="W695"/>
      <c r="X695"/>
      <c r="Y695"/>
      <c r="AF695"/>
      <c r="AG695"/>
      <c r="AH695"/>
      <c r="AJ695" s="69"/>
      <c r="AN695"/>
      <c r="AX695"/>
      <c r="AY695"/>
    </row>
    <row r="696" spans="1:51" x14ac:dyDescent="0.25">
      <c r="A696" s="232" t="str">
        <f t="shared" si="104"/>
        <v/>
      </c>
      <c r="M696"/>
      <c r="N696"/>
      <c r="O696"/>
      <c r="P696"/>
      <c r="Q696"/>
      <c r="R696"/>
      <c r="S696"/>
      <c r="T696"/>
      <c r="U696"/>
      <c r="V696"/>
      <c r="W696"/>
      <c r="X696"/>
      <c r="Y696"/>
      <c r="AF696"/>
      <c r="AG696"/>
      <c r="AH696"/>
      <c r="AJ696" s="69"/>
      <c r="AN696"/>
      <c r="AX696"/>
      <c r="AY696"/>
    </row>
    <row r="697" spans="1:51" x14ac:dyDescent="0.25">
      <c r="A697" s="232" t="str">
        <f t="shared" si="104"/>
        <v/>
      </c>
      <c r="M697"/>
      <c r="N697"/>
      <c r="O697"/>
      <c r="P697"/>
      <c r="Q697"/>
      <c r="R697"/>
      <c r="S697"/>
      <c r="T697"/>
      <c r="U697"/>
      <c r="V697"/>
      <c r="W697"/>
      <c r="X697"/>
      <c r="Y697"/>
      <c r="AF697"/>
      <c r="AG697"/>
      <c r="AH697"/>
      <c r="AJ697" s="69"/>
      <c r="AN697"/>
      <c r="AX697"/>
      <c r="AY697"/>
    </row>
    <row r="698" spans="1:51" x14ac:dyDescent="0.25">
      <c r="A698" s="232" t="str">
        <f t="shared" si="104"/>
        <v/>
      </c>
      <c r="M698"/>
      <c r="N698"/>
      <c r="O698"/>
      <c r="P698"/>
      <c r="Q698"/>
      <c r="R698"/>
      <c r="S698"/>
      <c r="T698"/>
      <c r="U698"/>
      <c r="V698"/>
      <c r="W698"/>
      <c r="X698"/>
      <c r="Y698"/>
      <c r="AF698"/>
      <c r="AG698"/>
      <c r="AH698"/>
      <c r="AJ698" s="69"/>
      <c r="AN698"/>
      <c r="AX698"/>
      <c r="AY698"/>
    </row>
    <row r="699" spans="1:51" x14ac:dyDescent="0.25">
      <c r="A699" s="232" t="str">
        <f t="shared" si="104"/>
        <v/>
      </c>
      <c r="M699"/>
      <c r="N699"/>
      <c r="O699"/>
      <c r="P699"/>
      <c r="Q699"/>
      <c r="R699"/>
      <c r="S699"/>
      <c r="T699"/>
      <c r="U699"/>
      <c r="V699"/>
      <c r="W699"/>
      <c r="X699"/>
      <c r="Y699"/>
      <c r="AF699"/>
      <c r="AG699"/>
      <c r="AH699"/>
      <c r="AJ699" s="69"/>
      <c r="AN699"/>
      <c r="AX699"/>
      <c r="AY699"/>
    </row>
    <row r="700" spans="1:51" x14ac:dyDescent="0.25">
      <c r="A700" s="232" t="str">
        <f t="shared" si="104"/>
        <v/>
      </c>
      <c r="M700"/>
      <c r="N700"/>
      <c r="O700"/>
      <c r="P700"/>
      <c r="Q700"/>
      <c r="R700"/>
      <c r="S700"/>
      <c r="T700"/>
      <c r="U700"/>
      <c r="V700"/>
      <c r="W700"/>
      <c r="X700"/>
      <c r="Y700"/>
      <c r="AF700"/>
      <c r="AG700"/>
      <c r="AH700"/>
      <c r="AJ700" s="69"/>
      <c r="AN700"/>
      <c r="AX700"/>
      <c r="AY700"/>
    </row>
    <row r="701" spans="1:51" x14ac:dyDescent="0.25">
      <c r="A701" s="232" t="str">
        <f t="shared" si="104"/>
        <v/>
      </c>
      <c r="M701"/>
      <c r="N701"/>
      <c r="O701"/>
      <c r="P701"/>
      <c r="Q701"/>
      <c r="R701"/>
      <c r="S701"/>
      <c r="T701"/>
      <c r="U701"/>
      <c r="V701"/>
      <c r="W701"/>
      <c r="X701"/>
      <c r="Y701"/>
      <c r="AF701"/>
      <c r="AG701"/>
      <c r="AH701"/>
      <c r="AJ701" s="69"/>
      <c r="AN701"/>
      <c r="AX701"/>
      <c r="AY701"/>
    </row>
    <row r="702" spans="1:51" x14ac:dyDescent="0.25">
      <c r="A702" s="232" t="str">
        <f t="shared" si="104"/>
        <v/>
      </c>
      <c r="M702"/>
      <c r="N702"/>
      <c r="O702"/>
      <c r="P702"/>
      <c r="Q702"/>
      <c r="R702"/>
      <c r="S702"/>
      <c r="T702"/>
      <c r="U702"/>
      <c r="V702"/>
      <c r="W702"/>
      <c r="X702"/>
      <c r="Y702"/>
      <c r="AF702"/>
      <c r="AG702"/>
      <c r="AH702"/>
      <c r="AJ702" s="69"/>
      <c r="AN702"/>
      <c r="AX702"/>
      <c r="AY702"/>
    </row>
    <row r="703" spans="1:51" x14ac:dyDescent="0.25">
      <c r="A703" s="232" t="str">
        <f t="shared" si="104"/>
        <v/>
      </c>
      <c r="M703"/>
      <c r="N703"/>
      <c r="O703"/>
      <c r="P703"/>
      <c r="Q703"/>
      <c r="R703"/>
      <c r="S703"/>
      <c r="T703"/>
      <c r="U703"/>
      <c r="V703"/>
      <c r="W703"/>
      <c r="X703"/>
      <c r="Y703"/>
      <c r="AF703"/>
      <c r="AG703"/>
      <c r="AH703"/>
      <c r="AJ703" s="69"/>
      <c r="AN703"/>
      <c r="AX703"/>
      <c r="AY703"/>
    </row>
    <row r="704" spans="1:51" x14ac:dyDescent="0.25">
      <c r="A704" s="232" t="str">
        <f t="shared" si="104"/>
        <v/>
      </c>
      <c r="M704"/>
      <c r="N704"/>
      <c r="O704"/>
      <c r="P704"/>
      <c r="Q704"/>
      <c r="R704"/>
      <c r="S704"/>
      <c r="T704"/>
      <c r="U704"/>
      <c r="V704"/>
      <c r="W704"/>
      <c r="X704"/>
      <c r="Y704"/>
      <c r="AF704"/>
      <c r="AG704"/>
      <c r="AH704"/>
      <c r="AJ704" s="69"/>
      <c r="AN704"/>
      <c r="AX704"/>
      <c r="AY704"/>
    </row>
    <row r="705" spans="1:51" x14ac:dyDescent="0.25">
      <c r="A705" s="232" t="str">
        <f t="shared" si="104"/>
        <v/>
      </c>
      <c r="M705"/>
      <c r="N705"/>
      <c r="O705"/>
      <c r="P705"/>
      <c r="Q705"/>
      <c r="R705"/>
      <c r="S705"/>
      <c r="T705"/>
      <c r="U705"/>
      <c r="V705"/>
      <c r="W705"/>
      <c r="X705"/>
      <c r="Y705"/>
      <c r="AF705"/>
      <c r="AG705"/>
      <c r="AH705"/>
      <c r="AJ705" s="69"/>
      <c r="AN705"/>
      <c r="AX705"/>
      <c r="AY705"/>
    </row>
    <row r="706" spans="1:51" x14ac:dyDescent="0.25">
      <c r="A706" s="232" t="str">
        <f t="shared" si="104"/>
        <v/>
      </c>
      <c r="M706"/>
      <c r="N706"/>
      <c r="O706"/>
      <c r="P706"/>
      <c r="Q706"/>
      <c r="R706"/>
      <c r="S706"/>
      <c r="T706"/>
      <c r="U706"/>
      <c r="V706"/>
      <c r="W706"/>
      <c r="X706"/>
      <c r="Y706"/>
      <c r="AF706"/>
      <c r="AG706"/>
      <c r="AH706"/>
      <c r="AJ706" s="69"/>
      <c r="AN706"/>
      <c r="AX706"/>
      <c r="AY706"/>
    </row>
    <row r="707" spans="1:51" x14ac:dyDescent="0.25">
      <c r="A707" s="232" t="str">
        <f t="shared" si="104"/>
        <v/>
      </c>
      <c r="M707"/>
      <c r="N707"/>
      <c r="O707"/>
      <c r="P707"/>
      <c r="Q707"/>
      <c r="R707"/>
      <c r="S707"/>
      <c r="T707"/>
      <c r="U707"/>
      <c r="V707"/>
      <c r="W707"/>
      <c r="X707"/>
      <c r="Y707"/>
      <c r="AF707"/>
      <c r="AG707"/>
      <c r="AH707"/>
      <c r="AJ707" s="69"/>
      <c r="AN707"/>
      <c r="AX707"/>
      <c r="AY707"/>
    </row>
    <row r="708" spans="1:51" x14ac:dyDescent="0.25">
      <c r="A708" s="232" t="str">
        <f t="shared" si="104"/>
        <v/>
      </c>
      <c r="M708"/>
      <c r="N708"/>
      <c r="O708"/>
      <c r="P708"/>
      <c r="Q708"/>
      <c r="R708"/>
      <c r="S708"/>
      <c r="T708"/>
      <c r="U708"/>
      <c r="V708"/>
      <c r="W708"/>
      <c r="X708"/>
      <c r="Y708"/>
      <c r="AF708"/>
      <c r="AG708"/>
      <c r="AH708"/>
      <c r="AJ708" s="69"/>
      <c r="AN708"/>
      <c r="AX708"/>
      <c r="AY708"/>
    </row>
    <row r="709" spans="1:51" x14ac:dyDescent="0.25">
      <c r="A709" s="232" t="str">
        <f t="shared" si="104"/>
        <v/>
      </c>
      <c r="M709"/>
      <c r="N709"/>
      <c r="O709"/>
      <c r="P709"/>
      <c r="Q709"/>
      <c r="R709"/>
      <c r="S709"/>
      <c r="T709"/>
      <c r="U709"/>
      <c r="V709"/>
      <c r="W709"/>
      <c r="X709"/>
      <c r="Y709"/>
      <c r="AF709"/>
      <c r="AG709"/>
      <c r="AH709"/>
      <c r="AJ709" s="69"/>
      <c r="AN709"/>
      <c r="AX709"/>
      <c r="AY709"/>
    </row>
    <row r="710" spans="1:51" x14ac:dyDescent="0.25">
      <c r="A710" s="232" t="str">
        <f t="shared" si="104"/>
        <v/>
      </c>
      <c r="M710"/>
      <c r="N710"/>
      <c r="O710"/>
      <c r="P710"/>
      <c r="Q710"/>
      <c r="R710"/>
      <c r="S710"/>
      <c r="T710"/>
      <c r="U710"/>
      <c r="V710"/>
      <c r="W710"/>
      <c r="X710"/>
      <c r="Y710"/>
      <c r="AF710"/>
      <c r="AG710"/>
      <c r="AH710"/>
      <c r="AJ710" s="69"/>
      <c r="AN710"/>
      <c r="AX710"/>
      <c r="AY710"/>
    </row>
    <row r="711" spans="1:51" x14ac:dyDescent="0.25">
      <c r="A711" s="232" t="str">
        <f t="shared" si="104"/>
        <v/>
      </c>
      <c r="M711"/>
      <c r="N711"/>
      <c r="O711"/>
      <c r="P711"/>
      <c r="Q711"/>
      <c r="R711"/>
      <c r="S711"/>
      <c r="T711"/>
      <c r="U711"/>
      <c r="V711"/>
      <c r="W711"/>
      <c r="X711"/>
      <c r="Y711"/>
      <c r="AF711"/>
      <c r="AG711"/>
      <c r="AH711"/>
      <c r="AJ711" s="69"/>
      <c r="AN711"/>
      <c r="AX711"/>
      <c r="AY711"/>
    </row>
    <row r="712" spans="1:51" x14ac:dyDescent="0.25">
      <c r="A712" s="232" t="str">
        <f t="shared" si="104"/>
        <v/>
      </c>
      <c r="M712"/>
      <c r="N712"/>
      <c r="O712"/>
      <c r="P712"/>
      <c r="Q712"/>
      <c r="R712"/>
      <c r="S712"/>
      <c r="T712"/>
      <c r="U712"/>
      <c r="V712"/>
      <c r="W712"/>
      <c r="X712"/>
      <c r="Y712"/>
      <c r="AF712"/>
      <c r="AG712"/>
      <c r="AH712"/>
      <c r="AJ712" s="69"/>
      <c r="AN712"/>
      <c r="AX712"/>
      <c r="AY712"/>
    </row>
    <row r="713" spans="1:51" x14ac:dyDescent="0.25">
      <c r="A713" s="232" t="str">
        <f t="shared" si="104"/>
        <v/>
      </c>
      <c r="M713"/>
      <c r="N713"/>
      <c r="O713"/>
      <c r="P713"/>
      <c r="Q713"/>
      <c r="R713"/>
      <c r="S713"/>
      <c r="T713"/>
      <c r="U713"/>
      <c r="V713"/>
      <c r="W713"/>
      <c r="X713"/>
      <c r="Y713"/>
      <c r="AF713"/>
      <c r="AG713"/>
      <c r="AH713"/>
      <c r="AJ713" s="69"/>
      <c r="AN713"/>
      <c r="AX713"/>
      <c r="AY713"/>
    </row>
    <row r="714" spans="1:51" x14ac:dyDescent="0.25">
      <c r="A714" s="232" t="str">
        <f t="shared" ref="A714:A777" si="105">IF(O714&lt;&gt;"",O714,"")</f>
        <v/>
      </c>
      <c r="M714"/>
      <c r="N714"/>
      <c r="O714"/>
      <c r="P714"/>
      <c r="Q714"/>
      <c r="R714"/>
      <c r="S714"/>
      <c r="T714"/>
      <c r="U714"/>
      <c r="V714"/>
      <c r="W714"/>
      <c r="X714"/>
      <c r="Y714"/>
      <c r="AF714"/>
      <c r="AG714"/>
      <c r="AH714"/>
      <c r="AJ714" s="69"/>
      <c r="AN714"/>
      <c r="AX714"/>
      <c r="AY714"/>
    </row>
    <row r="715" spans="1:51" x14ac:dyDescent="0.25">
      <c r="A715" s="232" t="str">
        <f t="shared" si="105"/>
        <v/>
      </c>
      <c r="M715"/>
      <c r="N715"/>
      <c r="O715"/>
      <c r="P715"/>
      <c r="Q715"/>
      <c r="R715"/>
      <c r="S715"/>
      <c r="T715"/>
      <c r="U715"/>
      <c r="V715"/>
      <c r="W715"/>
      <c r="X715"/>
      <c r="Y715"/>
      <c r="AF715"/>
      <c r="AG715"/>
      <c r="AH715"/>
      <c r="AJ715" s="69"/>
      <c r="AN715"/>
      <c r="AX715"/>
      <c r="AY715"/>
    </row>
    <row r="716" spans="1:51" x14ac:dyDescent="0.25">
      <c r="A716" s="232" t="str">
        <f t="shared" si="105"/>
        <v/>
      </c>
      <c r="M716"/>
      <c r="N716"/>
      <c r="O716"/>
      <c r="P716"/>
      <c r="Q716"/>
      <c r="R716"/>
      <c r="S716"/>
      <c r="T716"/>
      <c r="U716"/>
      <c r="V716"/>
      <c r="W716"/>
      <c r="X716"/>
      <c r="Y716"/>
      <c r="AF716"/>
      <c r="AG716"/>
      <c r="AH716"/>
      <c r="AJ716" s="69"/>
      <c r="AN716"/>
      <c r="AX716"/>
      <c r="AY716"/>
    </row>
    <row r="717" spans="1:51" x14ac:dyDescent="0.25">
      <c r="A717" s="232" t="str">
        <f t="shared" si="105"/>
        <v/>
      </c>
      <c r="M717"/>
      <c r="N717"/>
      <c r="O717"/>
      <c r="P717"/>
      <c r="Q717"/>
      <c r="R717"/>
      <c r="S717"/>
      <c r="T717"/>
      <c r="U717"/>
      <c r="V717"/>
      <c r="W717"/>
      <c r="X717"/>
      <c r="Y717"/>
      <c r="AF717"/>
      <c r="AG717"/>
      <c r="AH717"/>
      <c r="AJ717" s="69"/>
      <c r="AN717"/>
      <c r="AX717"/>
      <c r="AY717"/>
    </row>
    <row r="718" spans="1:51" x14ac:dyDescent="0.25">
      <c r="A718" s="232" t="str">
        <f t="shared" si="105"/>
        <v/>
      </c>
      <c r="M718"/>
      <c r="N718"/>
      <c r="O718"/>
      <c r="P718"/>
      <c r="Q718"/>
      <c r="R718"/>
      <c r="S718"/>
      <c r="T718"/>
      <c r="U718"/>
      <c r="V718"/>
      <c r="W718"/>
      <c r="X718"/>
      <c r="Y718"/>
      <c r="AF718"/>
      <c r="AG718"/>
      <c r="AH718"/>
      <c r="AJ718" s="69"/>
      <c r="AN718"/>
      <c r="AX718"/>
      <c r="AY718"/>
    </row>
    <row r="719" spans="1:51" x14ac:dyDescent="0.25">
      <c r="A719" s="232" t="str">
        <f t="shared" si="105"/>
        <v/>
      </c>
      <c r="M719"/>
      <c r="N719"/>
      <c r="O719"/>
      <c r="P719"/>
      <c r="Q719"/>
      <c r="R719"/>
      <c r="S719"/>
      <c r="T719"/>
      <c r="U719"/>
      <c r="V719"/>
      <c r="W719"/>
      <c r="X719"/>
      <c r="Y719"/>
      <c r="AF719"/>
      <c r="AG719"/>
      <c r="AH719"/>
      <c r="AJ719" s="69"/>
      <c r="AN719"/>
      <c r="AX719"/>
      <c r="AY719"/>
    </row>
    <row r="720" spans="1:51" x14ac:dyDescent="0.25">
      <c r="A720" s="232" t="str">
        <f t="shared" si="105"/>
        <v/>
      </c>
      <c r="M720"/>
      <c r="N720"/>
      <c r="O720"/>
      <c r="P720"/>
      <c r="Q720"/>
      <c r="R720"/>
      <c r="S720"/>
      <c r="T720"/>
      <c r="U720"/>
      <c r="V720"/>
      <c r="W720"/>
      <c r="X720"/>
      <c r="Y720"/>
      <c r="AF720"/>
      <c r="AG720"/>
      <c r="AH720"/>
      <c r="AJ720" s="69"/>
      <c r="AN720"/>
      <c r="AX720"/>
      <c r="AY720"/>
    </row>
    <row r="721" spans="1:51" x14ac:dyDescent="0.25">
      <c r="A721" s="232" t="str">
        <f t="shared" si="105"/>
        <v/>
      </c>
      <c r="M721"/>
      <c r="N721"/>
      <c r="O721"/>
      <c r="P721"/>
      <c r="Q721"/>
      <c r="R721"/>
      <c r="S721"/>
      <c r="T721"/>
      <c r="U721"/>
      <c r="V721"/>
      <c r="W721"/>
      <c r="X721"/>
      <c r="Y721"/>
      <c r="AF721"/>
      <c r="AG721"/>
      <c r="AH721"/>
      <c r="AJ721" s="69"/>
      <c r="AN721"/>
      <c r="AX721"/>
      <c r="AY721"/>
    </row>
    <row r="722" spans="1:51" x14ac:dyDescent="0.25">
      <c r="A722" s="232" t="str">
        <f t="shared" si="105"/>
        <v/>
      </c>
      <c r="M722"/>
      <c r="N722"/>
      <c r="O722"/>
      <c r="P722"/>
      <c r="Q722"/>
      <c r="R722"/>
      <c r="S722"/>
      <c r="T722"/>
      <c r="U722"/>
      <c r="V722"/>
      <c r="W722"/>
      <c r="X722"/>
      <c r="Y722"/>
      <c r="AF722"/>
      <c r="AG722"/>
      <c r="AH722"/>
      <c r="AJ722" s="69"/>
      <c r="AN722"/>
      <c r="AX722"/>
      <c r="AY722"/>
    </row>
    <row r="723" spans="1:51" x14ac:dyDescent="0.25">
      <c r="A723" s="232" t="str">
        <f t="shared" si="105"/>
        <v/>
      </c>
      <c r="M723"/>
      <c r="N723"/>
      <c r="O723"/>
      <c r="P723"/>
      <c r="Q723"/>
      <c r="R723"/>
      <c r="S723"/>
      <c r="T723"/>
      <c r="U723"/>
      <c r="V723"/>
      <c r="W723"/>
      <c r="X723"/>
      <c r="Y723"/>
      <c r="AF723"/>
      <c r="AG723"/>
      <c r="AH723"/>
      <c r="AJ723" s="69"/>
      <c r="AN723"/>
      <c r="AX723"/>
      <c r="AY723"/>
    </row>
    <row r="724" spans="1:51" x14ac:dyDescent="0.25">
      <c r="A724" s="232" t="str">
        <f t="shared" si="105"/>
        <v/>
      </c>
      <c r="M724"/>
      <c r="N724"/>
      <c r="O724"/>
      <c r="P724"/>
      <c r="Q724"/>
      <c r="R724"/>
      <c r="S724"/>
      <c r="T724"/>
      <c r="U724"/>
      <c r="V724"/>
      <c r="W724"/>
      <c r="X724"/>
      <c r="Y724"/>
      <c r="AF724"/>
      <c r="AG724"/>
      <c r="AH724"/>
      <c r="AJ724" s="69"/>
      <c r="AN724"/>
      <c r="AX724"/>
      <c r="AY724"/>
    </row>
    <row r="725" spans="1:51" x14ac:dyDescent="0.25">
      <c r="A725" s="232" t="str">
        <f t="shared" si="105"/>
        <v/>
      </c>
      <c r="M725"/>
      <c r="N725"/>
      <c r="O725"/>
      <c r="P725"/>
      <c r="Q725"/>
      <c r="R725"/>
      <c r="S725"/>
      <c r="T725"/>
      <c r="U725"/>
      <c r="V725"/>
      <c r="W725"/>
      <c r="X725"/>
      <c r="Y725"/>
      <c r="AF725"/>
      <c r="AG725"/>
      <c r="AH725"/>
      <c r="AJ725" s="69"/>
      <c r="AN725"/>
      <c r="AX725"/>
      <c r="AY725"/>
    </row>
    <row r="726" spans="1:51" x14ac:dyDescent="0.25">
      <c r="A726" s="232" t="str">
        <f t="shared" si="105"/>
        <v/>
      </c>
      <c r="M726"/>
      <c r="N726"/>
      <c r="O726"/>
      <c r="P726"/>
      <c r="Q726"/>
      <c r="R726"/>
      <c r="S726"/>
      <c r="T726"/>
      <c r="U726"/>
      <c r="V726"/>
      <c r="W726"/>
      <c r="X726"/>
      <c r="Y726"/>
      <c r="AF726"/>
      <c r="AG726"/>
      <c r="AH726"/>
      <c r="AJ726" s="69"/>
      <c r="AN726"/>
      <c r="AX726"/>
      <c r="AY726"/>
    </row>
    <row r="727" spans="1:51" x14ac:dyDescent="0.25">
      <c r="A727" s="232" t="str">
        <f t="shared" si="105"/>
        <v/>
      </c>
      <c r="M727"/>
      <c r="N727"/>
      <c r="O727"/>
      <c r="P727"/>
      <c r="Q727"/>
      <c r="R727"/>
      <c r="S727"/>
      <c r="T727"/>
      <c r="U727"/>
      <c r="V727"/>
      <c r="W727"/>
      <c r="X727"/>
      <c r="Y727"/>
      <c r="AF727"/>
      <c r="AG727"/>
      <c r="AH727"/>
      <c r="AJ727" s="69"/>
      <c r="AN727"/>
      <c r="AX727"/>
      <c r="AY727"/>
    </row>
    <row r="728" spans="1:51" x14ac:dyDescent="0.25">
      <c r="A728" s="232" t="str">
        <f t="shared" si="105"/>
        <v/>
      </c>
      <c r="M728"/>
      <c r="N728"/>
      <c r="O728"/>
      <c r="P728"/>
      <c r="Q728"/>
      <c r="R728"/>
      <c r="S728"/>
      <c r="T728"/>
      <c r="U728"/>
      <c r="V728"/>
      <c r="W728"/>
      <c r="X728"/>
      <c r="Y728"/>
      <c r="AF728"/>
      <c r="AG728"/>
      <c r="AH728"/>
      <c r="AJ728" s="69"/>
      <c r="AN728"/>
      <c r="AX728"/>
      <c r="AY728"/>
    </row>
    <row r="729" spans="1:51" x14ac:dyDescent="0.25">
      <c r="A729" s="232" t="str">
        <f t="shared" si="105"/>
        <v/>
      </c>
      <c r="M729"/>
      <c r="N729"/>
      <c r="O729"/>
      <c r="P729"/>
      <c r="Q729"/>
      <c r="R729"/>
      <c r="S729"/>
      <c r="T729"/>
      <c r="U729"/>
      <c r="V729"/>
      <c r="W729"/>
      <c r="X729"/>
      <c r="Y729"/>
      <c r="AF729"/>
      <c r="AG729"/>
      <c r="AH729"/>
      <c r="AJ729" s="69"/>
      <c r="AN729"/>
      <c r="AX729"/>
      <c r="AY729"/>
    </row>
    <row r="730" spans="1:51" x14ac:dyDescent="0.25">
      <c r="A730" s="232" t="str">
        <f t="shared" si="105"/>
        <v/>
      </c>
      <c r="M730"/>
      <c r="N730"/>
      <c r="O730"/>
      <c r="P730"/>
      <c r="Q730"/>
      <c r="R730"/>
      <c r="S730"/>
      <c r="T730"/>
      <c r="U730"/>
      <c r="V730"/>
      <c r="W730"/>
      <c r="X730"/>
      <c r="Y730"/>
      <c r="AF730"/>
      <c r="AG730"/>
      <c r="AH730"/>
      <c r="AJ730" s="69"/>
      <c r="AN730"/>
      <c r="AX730"/>
      <c r="AY730"/>
    </row>
    <row r="731" spans="1:51" x14ac:dyDescent="0.25">
      <c r="A731" s="232" t="str">
        <f t="shared" si="105"/>
        <v/>
      </c>
      <c r="M731"/>
      <c r="N731"/>
      <c r="O731"/>
      <c r="P731"/>
      <c r="Q731"/>
      <c r="R731"/>
      <c r="S731"/>
      <c r="T731"/>
      <c r="U731"/>
      <c r="V731"/>
      <c r="W731"/>
      <c r="X731"/>
      <c r="Y731"/>
      <c r="AF731"/>
      <c r="AG731"/>
      <c r="AH731"/>
      <c r="AJ731" s="69"/>
      <c r="AN731"/>
      <c r="AX731"/>
      <c r="AY731"/>
    </row>
    <row r="732" spans="1:51" x14ac:dyDescent="0.25">
      <c r="A732" s="232" t="str">
        <f t="shared" si="105"/>
        <v/>
      </c>
      <c r="M732"/>
      <c r="N732"/>
      <c r="O732"/>
      <c r="P732"/>
      <c r="Q732"/>
      <c r="R732"/>
      <c r="S732"/>
      <c r="T732"/>
      <c r="U732"/>
      <c r="V732"/>
      <c r="W732"/>
      <c r="X732"/>
      <c r="Y732"/>
      <c r="AF732"/>
      <c r="AG732"/>
      <c r="AH732"/>
      <c r="AJ732" s="69"/>
      <c r="AN732"/>
      <c r="AX732"/>
      <c r="AY732"/>
    </row>
    <row r="733" spans="1:51" x14ac:dyDescent="0.25">
      <c r="A733" s="232" t="str">
        <f t="shared" si="105"/>
        <v/>
      </c>
      <c r="M733"/>
      <c r="N733"/>
      <c r="O733"/>
      <c r="P733"/>
      <c r="Q733"/>
      <c r="R733"/>
      <c r="S733"/>
      <c r="T733"/>
      <c r="U733"/>
      <c r="V733"/>
      <c r="W733"/>
      <c r="X733"/>
      <c r="Y733"/>
      <c r="AF733"/>
      <c r="AG733"/>
      <c r="AH733"/>
      <c r="AJ733" s="69"/>
      <c r="AN733"/>
      <c r="AX733"/>
      <c r="AY733"/>
    </row>
    <row r="734" spans="1:51" x14ac:dyDescent="0.25">
      <c r="A734" s="232" t="str">
        <f t="shared" si="105"/>
        <v/>
      </c>
      <c r="M734"/>
      <c r="N734"/>
      <c r="O734"/>
      <c r="P734"/>
      <c r="Q734"/>
      <c r="R734"/>
      <c r="S734"/>
      <c r="T734"/>
      <c r="U734"/>
      <c r="V734"/>
      <c r="W734"/>
      <c r="X734"/>
      <c r="Y734"/>
      <c r="AF734"/>
      <c r="AG734"/>
      <c r="AH734"/>
      <c r="AJ734" s="69"/>
      <c r="AN734"/>
      <c r="AX734"/>
      <c r="AY734"/>
    </row>
    <row r="735" spans="1:51" x14ac:dyDescent="0.25">
      <c r="A735" s="232" t="str">
        <f t="shared" si="105"/>
        <v/>
      </c>
      <c r="M735"/>
      <c r="N735"/>
      <c r="O735"/>
      <c r="P735"/>
      <c r="Q735"/>
      <c r="R735"/>
      <c r="S735"/>
      <c r="T735"/>
      <c r="U735"/>
      <c r="V735"/>
      <c r="W735"/>
      <c r="X735"/>
      <c r="Y735"/>
      <c r="AF735"/>
      <c r="AG735"/>
      <c r="AH735"/>
      <c r="AJ735" s="69"/>
      <c r="AN735"/>
      <c r="AX735"/>
      <c r="AY735"/>
    </row>
    <row r="736" spans="1:51" x14ac:dyDescent="0.25">
      <c r="A736" s="232" t="str">
        <f t="shared" si="105"/>
        <v/>
      </c>
      <c r="M736"/>
      <c r="N736"/>
      <c r="O736"/>
      <c r="P736"/>
      <c r="Q736"/>
      <c r="R736"/>
      <c r="S736"/>
      <c r="T736"/>
      <c r="U736"/>
      <c r="V736"/>
      <c r="W736"/>
      <c r="X736"/>
      <c r="Y736"/>
      <c r="AF736"/>
      <c r="AG736"/>
      <c r="AH736"/>
      <c r="AJ736" s="69"/>
      <c r="AN736"/>
      <c r="AX736"/>
      <c r="AY736"/>
    </row>
    <row r="737" spans="1:51" x14ac:dyDescent="0.25">
      <c r="A737" s="232" t="str">
        <f t="shared" si="105"/>
        <v/>
      </c>
      <c r="M737"/>
      <c r="N737"/>
      <c r="O737"/>
      <c r="P737"/>
      <c r="Q737"/>
      <c r="R737"/>
      <c r="S737"/>
      <c r="T737"/>
      <c r="U737"/>
      <c r="V737"/>
      <c r="W737"/>
      <c r="X737"/>
      <c r="Y737"/>
      <c r="AF737"/>
      <c r="AG737"/>
      <c r="AH737"/>
      <c r="AJ737" s="69"/>
      <c r="AN737"/>
      <c r="AX737"/>
      <c r="AY737"/>
    </row>
    <row r="738" spans="1:51" x14ac:dyDescent="0.25">
      <c r="A738" s="232" t="str">
        <f t="shared" si="105"/>
        <v/>
      </c>
      <c r="M738"/>
      <c r="N738"/>
      <c r="O738"/>
      <c r="P738"/>
      <c r="Q738"/>
      <c r="R738"/>
      <c r="S738"/>
      <c r="T738"/>
      <c r="U738"/>
      <c r="V738"/>
      <c r="W738"/>
      <c r="X738"/>
      <c r="Y738"/>
      <c r="AF738"/>
      <c r="AG738"/>
      <c r="AH738"/>
      <c r="AJ738" s="69"/>
      <c r="AN738"/>
      <c r="AX738"/>
      <c r="AY738"/>
    </row>
    <row r="739" spans="1:51" x14ac:dyDescent="0.25">
      <c r="A739" s="232" t="str">
        <f t="shared" si="105"/>
        <v/>
      </c>
      <c r="M739"/>
      <c r="N739"/>
      <c r="O739"/>
      <c r="P739"/>
      <c r="Q739"/>
      <c r="R739"/>
      <c r="S739"/>
      <c r="T739"/>
      <c r="U739"/>
      <c r="V739"/>
      <c r="W739"/>
      <c r="X739"/>
      <c r="Y739"/>
      <c r="AF739"/>
      <c r="AG739"/>
      <c r="AH739"/>
      <c r="AJ739" s="69"/>
      <c r="AN739"/>
      <c r="AX739"/>
      <c r="AY739"/>
    </row>
    <row r="740" spans="1:51" x14ac:dyDescent="0.25">
      <c r="A740" s="232" t="str">
        <f t="shared" si="105"/>
        <v/>
      </c>
      <c r="M740"/>
      <c r="N740"/>
      <c r="O740"/>
      <c r="P740"/>
      <c r="Q740"/>
      <c r="R740"/>
      <c r="S740"/>
      <c r="T740"/>
      <c r="U740"/>
      <c r="V740"/>
      <c r="W740"/>
      <c r="X740"/>
      <c r="Y740"/>
      <c r="AF740"/>
      <c r="AG740"/>
      <c r="AH740"/>
      <c r="AJ740" s="69"/>
      <c r="AN740"/>
      <c r="AX740"/>
      <c r="AY740"/>
    </row>
    <row r="741" spans="1:51" x14ac:dyDescent="0.25">
      <c r="A741" s="232" t="str">
        <f t="shared" si="105"/>
        <v/>
      </c>
      <c r="M741"/>
      <c r="N741"/>
      <c r="O741"/>
      <c r="P741"/>
      <c r="Q741"/>
      <c r="R741"/>
      <c r="S741"/>
      <c r="T741"/>
      <c r="U741"/>
      <c r="V741"/>
      <c r="W741"/>
      <c r="X741"/>
      <c r="Y741"/>
      <c r="AF741"/>
      <c r="AG741"/>
      <c r="AH741"/>
      <c r="AJ741" s="69"/>
      <c r="AN741"/>
      <c r="AX741"/>
      <c r="AY741"/>
    </row>
    <row r="742" spans="1:51" x14ac:dyDescent="0.25">
      <c r="A742" s="232" t="str">
        <f t="shared" si="105"/>
        <v/>
      </c>
      <c r="M742"/>
      <c r="N742"/>
      <c r="O742"/>
      <c r="P742"/>
      <c r="Q742"/>
      <c r="R742"/>
      <c r="S742"/>
      <c r="T742"/>
      <c r="U742"/>
      <c r="V742"/>
      <c r="W742"/>
      <c r="X742"/>
      <c r="Y742"/>
      <c r="AF742"/>
      <c r="AG742"/>
      <c r="AH742"/>
      <c r="AJ742" s="69"/>
      <c r="AN742"/>
      <c r="AX742"/>
      <c r="AY742"/>
    </row>
    <row r="743" spans="1:51" x14ac:dyDescent="0.25">
      <c r="A743" s="232" t="str">
        <f t="shared" si="105"/>
        <v/>
      </c>
      <c r="M743"/>
      <c r="N743"/>
      <c r="O743"/>
      <c r="P743"/>
      <c r="Q743"/>
      <c r="R743"/>
      <c r="S743"/>
      <c r="T743"/>
      <c r="U743"/>
      <c r="V743"/>
      <c r="W743"/>
      <c r="X743"/>
      <c r="Y743"/>
      <c r="AF743"/>
      <c r="AG743"/>
      <c r="AH743"/>
      <c r="AJ743" s="69"/>
      <c r="AN743"/>
      <c r="AX743"/>
      <c r="AY743"/>
    </row>
    <row r="744" spans="1:51" x14ac:dyDescent="0.25">
      <c r="A744" s="232" t="str">
        <f t="shared" si="105"/>
        <v/>
      </c>
      <c r="M744"/>
      <c r="N744"/>
      <c r="O744"/>
      <c r="P744"/>
      <c r="Q744"/>
      <c r="R744"/>
      <c r="S744"/>
      <c r="T744"/>
      <c r="U744"/>
      <c r="V744"/>
      <c r="W744"/>
      <c r="X744"/>
      <c r="Y744"/>
      <c r="AF744"/>
      <c r="AG744"/>
      <c r="AH744"/>
      <c r="AJ744" s="69"/>
      <c r="AN744"/>
      <c r="AX744"/>
      <c r="AY744"/>
    </row>
    <row r="745" spans="1:51" x14ac:dyDescent="0.25">
      <c r="A745" s="232" t="str">
        <f t="shared" si="105"/>
        <v/>
      </c>
      <c r="M745"/>
      <c r="N745"/>
      <c r="O745"/>
      <c r="P745"/>
      <c r="Q745"/>
      <c r="R745"/>
      <c r="S745"/>
      <c r="T745"/>
      <c r="U745"/>
      <c r="V745"/>
      <c r="W745"/>
      <c r="X745"/>
      <c r="Y745"/>
      <c r="AF745"/>
      <c r="AG745"/>
      <c r="AH745"/>
      <c r="AJ745" s="69"/>
      <c r="AN745"/>
      <c r="AX745"/>
      <c r="AY745"/>
    </row>
    <row r="746" spans="1:51" x14ac:dyDescent="0.25">
      <c r="A746" s="232" t="str">
        <f t="shared" si="105"/>
        <v/>
      </c>
      <c r="M746"/>
      <c r="N746"/>
      <c r="O746"/>
      <c r="P746"/>
      <c r="Q746"/>
      <c r="R746"/>
      <c r="S746"/>
      <c r="T746"/>
      <c r="U746"/>
      <c r="V746"/>
      <c r="W746"/>
      <c r="X746"/>
      <c r="Y746"/>
      <c r="AF746"/>
      <c r="AG746"/>
      <c r="AH746"/>
      <c r="AJ746" s="69"/>
      <c r="AN746"/>
      <c r="AX746"/>
      <c r="AY746"/>
    </row>
    <row r="747" spans="1:51" x14ac:dyDescent="0.25">
      <c r="A747" s="232" t="str">
        <f t="shared" si="105"/>
        <v/>
      </c>
      <c r="M747"/>
      <c r="N747"/>
      <c r="O747"/>
      <c r="P747"/>
      <c r="Q747"/>
      <c r="R747"/>
      <c r="S747"/>
      <c r="T747"/>
      <c r="U747"/>
      <c r="V747"/>
      <c r="W747"/>
      <c r="X747"/>
      <c r="Y747"/>
      <c r="AF747"/>
      <c r="AG747"/>
      <c r="AH747"/>
      <c r="AJ747" s="69"/>
      <c r="AN747"/>
      <c r="AX747"/>
      <c r="AY747"/>
    </row>
    <row r="748" spans="1:51" x14ac:dyDescent="0.25">
      <c r="A748" s="232" t="str">
        <f t="shared" si="105"/>
        <v/>
      </c>
      <c r="M748"/>
      <c r="N748"/>
      <c r="O748"/>
      <c r="P748"/>
      <c r="Q748"/>
      <c r="R748"/>
      <c r="S748"/>
      <c r="T748"/>
      <c r="U748"/>
      <c r="V748"/>
      <c r="W748"/>
      <c r="X748"/>
      <c r="Y748"/>
      <c r="AF748"/>
      <c r="AG748"/>
      <c r="AH748"/>
      <c r="AJ748" s="69"/>
      <c r="AN748"/>
      <c r="AX748"/>
      <c r="AY748"/>
    </row>
    <row r="749" spans="1:51" x14ac:dyDescent="0.25">
      <c r="A749" s="232" t="str">
        <f t="shared" si="105"/>
        <v/>
      </c>
      <c r="M749"/>
      <c r="N749"/>
      <c r="O749"/>
      <c r="P749"/>
      <c r="Q749"/>
      <c r="R749"/>
      <c r="S749"/>
      <c r="T749"/>
      <c r="U749"/>
      <c r="V749"/>
      <c r="W749"/>
      <c r="X749"/>
      <c r="Y749"/>
      <c r="AF749"/>
      <c r="AG749"/>
      <c r="AH749"/>
      <c r="AJ749" s="69"/>
      <c r="AN749"/>
      <c r="AX749"/>
      <c r="AY749"/>
    </row>
    <row r="750" spans="1:51" x14ac:dyDescent="0.25">
      <c r="A750" s="232" t="str">
        <f t="shared" si="105"/>
        <v/>
      </c>
      <c r="M750"/>
      <c r="N750"/>
      <c r="O750"/>
      <c r="P750"/>
      <c r="Q750"/>
      <c r="R750"/>
      <c r="S750"/>
      <c r="T750"/>
      <c r="U750"/>
      <c r="V750"/>
      <c r="W750"/>
      <c r="X750"/>
      <c r="Y750"/>
      <c r="AF750"/>
      <c r="AG750"/>
      <c r="AH750"/>
      <c r="AJ750" s="69"/>
      <c r="AN750"/>
      <c r="AX750"/>
      <c r="AY750"/>
    </row>
    <row r="751" spans="1:51" x14ac:dyDescent="0.25">
      <c r="A751" s="232" t="str">
        <f t="shared" si="105"/>
        <v/>
      </c>
      <c r="M751"/>
      <c r="N751"/>
      <c r="O751"/>
      <c r="P751"/>
      <c r="Q751"/>
      <c r="R751"/>
      <c r="S751"/>
      <c r="T751"/>
      <c r="U751"/>
      <c r="V751"/>
      <c r="W751"/>
      <c r="X751"/>
      <c r="Y751"/>
      <c r="AF751"/>
      <c r="AG751"/>
      <c r="AH751"/>
      <c r="AJ751" s="69"/>
      <c r="AN751"/>
      <c r="AX751"/>
      <c r="AY751"/>
    </row>
    <row r="752" spans="1:51" x14ac:dyDescent="0.25">
      <c r="A752" s="232" t="str">
        <f t="shared" si="105"/>
        <v/>
      </c>
      <c r="M752"/>
      <c r="N752"/>
      <c r="O752"/>
      <c r="P752"/>
      <c r="Q752"/>
      <c r="R752"/>
      <c r="S752"/>
      <c r="T752"/>
      <c r="U752"/>
      <c r="V752"/>
      <c r="W752"/>
      <c r="X752"/>
      <c r="Y752"/>
      <c r="AF752"/>
      <c r="AG752"/>
      <c r="AH752"/>
      <c r="AJ752" s="69"/>
      <c r="AN752"/>
      <c r="AX752"/>
      <c r="AY752"/>
    </row>
    <row r="753" spans="1:51" x14ac:dyDescent="0.25">
      <c r="A753" s="232" t="str">
        <f t="shared" si="105"/>
        <v/>
      </c>
      <c r="M753"/>
      <c r="N753"/>
      <c r="O753"/>
      <c r="P753"/>
      <c r="Q753"/>
      <c r="R753"/>
      <c r="S753"/>
      <c r="T753"/>
      <c r="U753"/>
      <c r="V753"/>
      <c r="W753"/>
      <c r="X753"/>
      <c r="Y753"/>
      <c r="AF753"/>
      <c r="AG753"/>
      <c r="AH753"/>
      <c r="AJ753" s="69"/>
      <c r="AN753"/>
      <c r="AX753"/>
      <c r="AY753"/>
    </row>
    <row r="754" spans="1:51" x14ac:dyDescent="0.25">
      <c r="A754" s="232" t="str">
        <f t="shared" si="105"/>
        <v/>
      </c>
      <c r="M754"/>
      <c r="N754"/>
      <c r="O754"/>
      <c r="P754"/>
      <c r="Q754"/>
      <c r="R754"/>
      <c r="S754"/>
      <c r="T754"/>
      <c r="U754"/>
      <c r="V754"/>
      <c r="W754"/>
      <c r="X754"/>
      <c r="Y754"/>
      <c r="AF754"/>
      <c r="AG754"/>
      <c r="AH754"/>
      <c r="AJ754" s="69"/>
      <c r="AN754"/>
      <c r="AX754"/>
      <c r="AY754"/>
    </row>
    <row r="755" spans="1:51" x14ac:dyDescent="0.25">
      <c r="A755" s="232" t="str">
        <f t="shared" si="105"/>
        <v/>
      </c>
      <c r="M755"/>
      <c r="N755"/>
      <c r="O755"/>
      <c r="P755"/>
      <c r="Q755"/>
      <c r="R755"/>
      <c r="S755"/>
      <c r="T755"/>
      <c r="U755"/>
      <c r="V755"/>
      <c r="W755"/>
      <c r="X755"/>
      <c r="Y755"/>
      <c r="AF755"/>
      <c r="AG755"/>
      <c r="AH755"/>
      <c r="AJ755" s="69"/>
      <c r="AN755"/>
      <c r="AX755"/>
      <c r="AY755"/>
    </row>
    <row r="756" spans="1:51" x14ac:dyDescent="0.25">
      <c r="A756" s="232" t="str">
        <f t="shared" si="105"/>
        <v/>
      </c>
      <c r="M756"/>
      <c r="N756"/>
      <c r="O756"/>
      <c r="P756"/>
      <c r="Q756"/>
      <c r="R756"/>
      <c r="S756"/>
      <c r="T756"/>
      <c r="U756"/>
      <c r="V756"/>
      <c r="W756"/>
      <c r="X756"/>
      <c r="Y756"/>
      <c r="AF756"/>
      <c r="AG756"/>
      <c r="AH756"/>
      <c r="AJ756" s="69"/>
      <c r="AN756"/>
      <c r="AX756"/>
      <c r="AY756"/>
    </row>
    <row r="757" spans="1:51" x14ac:dyDescent="0.25">
      <c r="A757" s="232" t="str">
        <f t="shared" si="105"/>
        <v/>
      </c>
      <c r="M757"/>
      <c r="N757"/>
      <c r="O757"/>
      <c r="P757"/>
      <c r="Q757"/>
      <c r="R757"/>
      <c r="S757"/>
      <c r="T757"/>
      <c r="U757"/>
      <c r="V757"/>
      <c r="W757"/>
      <c r="X757"/>
      <c r="Y757"/>
      <c r="AF757"/>
      <c r="AG757"/>
      <c r="AH757"/>
      <c r="AJ757" s="69"/>
      <c r="AN757"/>
      <c r="AX757"/>
      <c r="AY757"/>
    </row>
    <row r="758" spans="1:51" x14ac:dyDescent="0.25">
      <c r="A758" s="232" t="str">
        <f t="shared" si="105"/>
        <v/>
      </c>
      <c r="M758"/>
      <c r="N758"/>
      <c r="O758"/>
      <c r="P758"/>
      <c r="Q758"/>
      <c r="R758"/>
      <c r="S758"/>
      <c r="T758"/>
      <c r="U758"/>
      <c r="V758"/>
      <c r="W758"/>
      <c r="X758"/>
      <c r="Y758"/>
      <c r="AF758"/>
      <c r="AG758"/>
      <c r="AH758"/>
      <c r="AJ758" s="69"/>
      <c r="AN758"/>
      <c r="AX758"/>
      <c r="AY758"/>
    </row>
    <row r="759" spans="1:51" x14ac:dyDescent="0.25">
      <c r="A759" s="232" t="str">
        <f t="shared" si="105"/>
        <v/>
      </c>
      <c r="M759"/>
      <c r="N759"/>
      <c r="O759"/>
      <c r="P759"/>
      <c r="Q759"/>
      <c r="R759"/>
      <c r="S759"/>
      <c r="T759"/>
      <c r="U759"/>
      <c r="V759"/>
      <c r="W759"/>
      <c r="X759"/>
      <c r="Y759"/>
      <c r="AF759"/>
      <c r="AG759"/>
      <c r="AH759"/>
      <c r="AJ759" s="69"/>
      <c r="AN759"/>
      <c r="AX759"/>
      <c r="AY759"/>
    </row>
    <row r="760" spans="1:51" x14ac:dyDescent="0.25">
      <c r="A760" s="232" t="str">
        <f t="shared" si="105"/>
        <v/>
      </c>
      <c r="M760"/>
      <c r="N760"/>
      <c r="O760"/>
      <c r="P760"/>
      <c r="Q760"/>
      <c r="R760"/>
      <c r="S760"/>
      <c r="T760"/>
      <c r="U760"/>
      <c r="V760"/>
      <c r="W760"/>
      <c r="X760"/>
      <c r="Y760"/>
      <c r="AF760"/>
      <c r="AG760"/>
      <c r="AH760"/>
      <c r="AJ760" s="69"/>
      <c r="AN760"/>
      <c r="AX760"/>
      <c r="AY760"/>
    </row>
    <row r="761" spans="1:51" x14ac:dyDescent="0.25">
      <c r="A761" s="232" t="str">
        <f t="shared" si="105"/>
        <v/>
      </c>
      <c r="M761"/>
      <c r="N761"/>
      <c r="O761"/>
      <c r="P761"/>
      <c r="Q761"/>
      <c r="R761"/>
      <c r="S761"/>
      <c r="T761"/>
      <c r="U761"/>
      <c r="V761"/>
      <c r="W761"/>
      <c r="X761"/>
      <c r="Y761"/>
      <c r="AF761"/>
      <c r="AG761"/>
      <c r="AH761"/>
      <c r="AJ761" s="69"/>
      <c r="AN761"/>
      <c r="AX761"/>
      <c r="AY761"/>
    </row>
    <row r="762" spans="1:51" x14ac:dyDescent="0.25">
      <c r="A762" s="232" t="str">
        <f t="shared" si="105"/>
        <v/>
      </c>
      <c r="M762"/>
      <c r="N762"/>
      <c r="O762"/>
      <c r="P762"/>
      <c r="Q762"/>
      <c r="R762"/>
      <c r="S762"/>
      <c r="T762"/>
      <c r="U762"/>
      <c r="V762"/>
      <c r="W762"/>
      <c r="X762"/>
      <c r="Y762"/>
      <c r="AF762"/>
      <c r="AG762"/>
      <c r="AH762"/>
      <c r="AJ762" s="69"/>
      <c r="AN762"/>
      <c r="AX762"/>
      <c r="AY762"/>
    </row>
    <row r="763" spans="1:51" x14ac:dyDescent="0.25">
      <c r="A763" s="232" t="str">
        <f t="shared" si="105"/>
        <v/>
      </c>
      <c r="M763"/>
      <c r="N763"/>
      <c r="O763"/>
      <c r="P763"/>
      <c r="Q763"/>
      <c r="R763"/>
      <c r="S763"/>
      <c r="T763"/>
      <c r="U763"/>
      <c r="V763"/>
      <c r="W763"/>
      <c r="X763"/>
      <c r="Y763"/>
      <c r="AF763"/>
      <c r="AG763"/>
      <c r="AH763"/>
      <c r="AJ763" s="69"/>
      <c r="AN763"/>
      <c r="AX763"/>
      <c r="AY763"/>
    </row>
    <row r="764" spans="1:51" x14ac:dyDescent="0.25">
      <c r="A764" s="232" t="str">
        <f t="shared" si="105"/>
        <v/>
      </c>
      <c r="M764"/>
      <c r="N764"/>
      <c r="O764"/>
      <c r="P764"/>
      <c r="Q764"/>
      <c r="R764"/>
      <c r="S764"/>
      <c r="T764"/>
      <c r="U764"/>
      <c r="V764"/>
      <c r="W764"/>
      <c r="X764"/>
      <c r="Y764"/>
      <c r="AF764"/>
      <c r="AG764"/>
      <c r="AH764"/>
      <c r="AJ764" s="69"/>
      <c r="AN764"/>
      <c r="AX764"/>
      <c r="AY764"/>
    </row>
    <row r="765" spans="1:51" x14ac:dyDescent="0.25">
      <c r="A765" s="232" t="str">
        <f t="shared" si="105"/>
        <v/>
      </c>
      <c r="M765"/>
      <c r="N765"/>
      <c r="O765"/>
      <c r="P765"/>
      <c r="Q765"/>
      <c r="R765"/>
      <c r="S765"/>
      <c r="T765"/>
      <c r="U765"/>
      <c r="V765"/>
      <c r="W765"/>
      <c r="X765"/>
      <c r="Y765"/>
      <c r="AF765"/>
      <c r="AG765"/>
      <c r="AH765"/>
      <c r="AJ765" s="69"/>
      <c r="AN765"/>
      <c r="AX765"/>
      <c r="AY765"/>
    </row>
    <row r="766" spans="1:51" x14ac:dyDescent="0.25">
      <c r="A766" s="232" t="str">
        <f t="shared" si="105"/>
        <v/>
      </c>
      <c r="M766"/>
      <c r="N766"/>
      <c r="O766"/>
      <c r="P766"/>
      <c r="Q766"/>
      <c r="R766"/>
      <c r="S766"/>
      <c r="T766"/>
      <c r="U766"/>
      <c r="V766"/>
      <c r="W766"/>
      <c r="X766"/>
      <c r="Y766"/>
      <c r="AF766"/>
      <c r="AG766"/>
      <c r="AH766"/>
      <c r="AJ766" s="69"/>
      <c r="AN766"/>
      <c r="AX766"/>
      <c r="AY766"/>
    </row>
    <row r="767" spans="1:51" x14ac:dyDescent="0.25">
      <c r="A767" s="232" t="str">
        <f t="shared" si="105"/>
        <v/>
      </c>
      <c r="M767"/>
      <c r="N767"/>
      <c r="O767"/>
      <c r="P767"/>
      <c r="Q767"/>
      <c r="R767"/>
      <c r="S767"/>
      <c r="T767"/>
      <c r="U767"/>
      <c r="V767"/>
      <c r="W767"/>
      <c r="X767"/>
      <c r="Y767"/>
      <c r="AF767"/>
      <c r="AG767"/>
      <c r="AH767"/>
      <c r="AJ767" s="69"/>
      <c r="AN767"/>
      <c r="AX767"/>
      <c r="AY767"/>
    </row>
    <row r="768" spans="1:51" x14ac:dyDescent="0.25">
      <c r="A768" s="232" t="str">
        <f t="shared" si="105"/>
        <v/>
      </c>
      <c r="M768"/>
      <c r="N768"/>
      <c r="O768"/>
      <c r="P768"/>
      <c r="Q768"/>
      <c r="R768"/>
      <c r="S768"/>
      <c r="T768"/>
      <c r="U768"/>
      <c r="V768"/>
      <c r="W768"/>
      <c r="X768"/>
      <c r="Y768"/>
      <c r="AF768"/>
      <c r="AG768"/>
      <c r="AH768"/>
      <c r="AJ768" s="69"/>
      <c r="AN768"/>
      <c r="AX768"/>
      <c r="AY768"/>
    </row>
    <row r="769" spans="1:51" x14ac:dyDescent="0.25">
      <c r="A769" s="232" t="str">
        <f t="shared" si="105"/>
        <v/>
      </c>
      <c r="M769"/>
      <c r="N769"/>
      <c r="O769"/>
      <c r="P769"/>
      <c r="Q769"/>
      <c r="R769"/>
      <c r="S769"/>
      <c r="T769"/>
      <c r="U769"/>
      <c r="V769"/>
      <c r="W769"/>
      <c r="X769"/>
      <c r="Y769"/>
      <c r="AF769"/>
      <c r="AG769"/>
      <c r="AH769"/>
      <c r="AJ769" s="69"/>
      <c r="AN769"/>
      <c r="AX769"/>
      <c r="AY769"/>
    </row>
    <row r="770" spans="1:51" x14ac:dyDescent="0.25">
      <c r="A770" s="232" t="str">
        <f t="shared" si="105"/>
        <v/>
      </c>
      <c r="M770"/>
      <c r="N770"/>
      <c r="O770"/>
      <c r="P770"/>
      <c r="Q770"/>
      <c r="R770"/>
      <c r="S770"/>
      <c r="T770"/>
      <c r="U770"/>
      <c r="V770"/>
      <c r="W770"/>
      <c r="X770"/>
      <c r="Y770"/>
      <c r="AF770"/>
      <c r="AG770"/>
      <c r="AH770"/>
      <c r="AJ770" s="69"/>
      <c r="AN770"/>
      <c r="AX770"/>
      <c r="AY770"/>
    </row>
    <row r="771" spans="1:51" x14ac:dyDescent="0.25">
      <c r="A771" s="232" t="str">
        <f t="shared" si="105"/>
        <v/>
      </c>
      <c r="M771"/>
      <c r="N771"/>
      <c r="O771"/>
      <c r="P771"/>
      <c r="Q771"/>
      <c r="R771"/>
      <c r="S771"/>
      <c r="T771"/>
      <c r="U771"/>
      <c r="V771"/>
      <c r="W771"/>
      <c r="X771"/>
      <c r="Y771"/>
      <c r="AF771"/>
      <c r="AG771"/>
      <c r="AH771"/>
      <c r="AJ771" s="69"/>
      <c r="AN771"/>
      <c r="AX771"/>
      <c r="AY771"/>
    </row>
    <row r="772" spans="1:51" x14ac:dyDescent="0.25">
      <c r="A772" s="232" t="str">
        <f t="shared" si="105"/>
        <v/>
      </c>
      <c r="M772"/>
      <c r="N772"/>
      <c r="O772"/>
      <c r="P772"/>
      <c r="Q772"/>
      <c r="R772"/>
      <c r="S772"/>
      <c r="T772"/>
      <c r="U772"/>
      <c r="V772"/>
      <c r="W772"/>
      <c r="X772"/>
      <c r="Y772"/>
      <c r="AF772"/>
      <c r="AG772"/>
      <c r="AH772"/>
      <c r="AJ772" s="69"/>
      <c r="AN772"/>
      <c r="AX772"/>
      <c r="AY772"/>
    </row>
    <row r="773" spans="1:51" x14ac:dyDescent="0.25">
      <c r="A773" s="232" t="str">
        <f t="shared" si="105"/>
        <v/>
      </c>
      <c r="M773"/>
      <c r="N773"/>
      <c r="O773"/>
      <c r="P773"/>
      <c r="Q773"/>
      <c r="R773"/>
      <c r="S773"/>
      <c r="T773"/>
      <c r="U773"/>
      <c r="V773"/>
      <c r="W773"/>
      <c r="X773"/>
      <c r="Y773"/>
      <c r="AF773"/>
      <c r="AG773"/>
      <c r="AH773"/>
      <c r="AJ773" s="69"/>
      <c r="AN773"/>
      <c r="AX773"/>
      <c r="AY773"/>
    </row>
    <row r="774" spans="1:51" x14ac:dyDescent="0.25">
      <c r="A774" s="232" t="str">
        <f t="shared" si="105"/>
        <v/>
      </c>
      <c r="M774"/>
      <c r="N774"/>
      <c r="O774"/>
      <c r="P774"/>
      <c r="Q774"/>
      <c r="R774"/>
      <c r="S774"/>
      <c r="T774"/>
      <c r="U774"/>
      <c r="V774"/>
      <c r="W774"/>
      <c r="X774"/>
      <c r="Y774"/>
      <c r="AF774"/>
      <c r="AG774"/>
      <c r="AH774"/>
      <c r="AJ774" s="69"/>
      <c r="AN774"/>
      <c r="AX774"/>
      <c r="AY774"/>
    </row>
    <row r="775" spans="1:51" x14ac:dyDescent="0.25">
      <c r="A775" s="232" t="str">
        <f t="shared" si="105"/>
        <v/>
      </c>
      <c r="M775"/>
      <c r="N775"/>
      <c r="O775"/>
      <c r="P775"/>
      <c r="Q775"/>
      <c r="R775"/>
      <c r="S775"/>
      <c r="T775"/>
      <c r="U775"/>
      <c r="V775"/>
      <c r="W775"/>
      <c r="X775"/>
      <c r="Y775"/>
      <c r="AF775"/>
      <c r="AG775"/>
      <c r="AH775"/>
      <c r="AJ775" s="69"/>
      <c r="AN775"/>
      <c r="AX775"/>
      <c r="AY775"/>
    </row>
    <row r="776" spans="1:51" x14ac:dyDescent="0.25">
      <c r="A776" s="232" t="str">
        <f t="shared" si="105"/>
        <v/>
      </c>
      <c r="M776"/>
      <c r="N776"/>
      <c r="O776"/>
      <c r="P776"/>
      <c r="Q776"/>
      <c r="R776"/>
      <c r="S776"/>
      <c r="T776"/>
      <c r="U776"/>
      <c r="V776"/>
      <c r="W776"/>
      <c r="X776"/>
      <c r="Y776"/>
      <c r="AF776"/>
      <c r="AG776"/>
      <c r="AH776"/>
      <c r="AJ776" s="69"/>
      <c r="AN776"/>
      <c r="AX776"/>
      <c r="AY776"/>
    </row>
    <row r="777" spans="1:51" x14ac:dyDescent="0.25">
      <c r="A777" s="232" t="str">
        <f t="shared" si="105"/>
        <v/>
      </c>
      <c r="M777"/>
      <c r="N777"/>
      <c r="O777"/>
      <c r="P777"/>
      <c r="Q777"/>
      <c r="R777"/>
      <c r="S777"/>
      <c r="T777"/>
      <c r="U777"/>
      <c r="V777"/>
      <c r="W777"/>
      <c r="X777"/>
      <c r="Y777"/>
      <c r="AF777"/>
      <c r="AG777"/>
      <c r="AH777"/>
      <c r="AJ777" s="69"/>
      <c r="AN777"/>
      <c r="AX777"/>
      <c r="AY777"/>
    </row>
    <row r="778" spans="1:51" x14ac:dyDescent="0.25">
      <c r="A778" s="232" t="str">
        <f t="shared" ref="A778:A841" si="106">IF(O778&lt;&gt;"",O778,"")</f>
        <v/>
      </c>
      <c r="M778"/>
      <c r="N778"/>
      <c r="O778"/>
      <c r="P778"/>
      <c r="Q778"/>
      <c r="R778"/>
      <c r="S778"/>
      <c r="T778"/>
      <c r="U778"/>
      <c r="V778"/>
      <c r="W778"/>
      <c r="X778"/>
      <c r="Y778"/>
      <c r="AF778"/>
      <c r="AG778"/>
      <c r="AH778"/>
      <c r="AJ778" s="69"/>
      <c r="AN778"/>
      <c r="AX778"/>
      <c r="AY778"/>
    </row>
    <row r="779" spans="1:51" x14ac:dyDescent="0.25">
      <c r="A779" s="232" t="str">
        <f t="shared" si="106"/>
        <v/>
      </c>
      <c r="M779"/>
      <c r="N779"/>
      <c r="O779"/>
      <c r="P779"/>
      <c r="Q779"/>
      <c r="R779"/>
      <c r="S779"/>
      <c r="T779"/>
      <c r="U779"/>
      <c r="V779"/>
      <c r="W779"/>
      <c r="X779"/>
      <c r="Y779"/>
      <c r="AF779"/>
      <c r="AG779"/>
      <c r="AH779"/>
      <c r="AJ779" s="69"/>
      <c r="AN779"/>
      <c r="AX779"/>
      <c r="AY779"/>
    </row>
    <row r="780" spans="1:51" x14ac:dyDescent="0.25">
      <c r="A780" s="232" t="str">
        <f t="shared" si="106"/>
        <v/>
      </c>
      <c r="M780"/>
      <c r="N780"/>
      <c r="O780"/>
      <c r="P780"/>
      <c r="Q780"/>
      <c r="R780"/>
      <c r="S780"/>
      <c r="T780"/>
      <c r="U780"/>
      <c r="V780"/>
      <c r="W780"/>
      <c r="X780"/>
      <c r="Y780"/>
      <c r="AF780"/>
      <c r="AG780"/>
      <c r="AH780"/>
      <c r="AJ780" s="69"/>
      <c r="AN780"/>
      <c r="AX780"/>
      <c r="AY780"/>
    </row>
    <row r="781" spans="1:51" x14ac:dyDescent="0.25">
      <c r="A781" s="232" t="str">
        <f t="shared" si="106"/>
        <v/>
      </c>
      <c r="M781"/>
      <c r="N781"/>
      <c r="O781"/>
      <c r="P781"/>
      <c r="Q781"/>
      <c r="R781"/>
      <c r="S781"/>
      <c r="T781"/>
      <c r="U781"/>
      <c r="V781"/>
      <c r="W781"/>
      <c r="X781"/>
      <c r="Y781"/>
      <c r="AF781"/>
      <c r="AG781"/>
      <c r="AH781"/>
      <c r="AJ781" s="69"/>
      <c r="AN781"/>
      <c r="AX781"/>
      <c r="AY781"/>
    </row>
    <row r="782" spans="1:51" x14ac:dyDescent="0.25">
      <c r="A782" s="232" t="str">
        <f t="shared" si="106"/>
        <v/>
      </c>
      <c r="M782"/>
      <c r="N782"/>
      <c r="O782"/>
      <c r="P782"/>
      <c r="Q782"/>
      <c r="R782"/>
      <c r="S782"/>
      <c r="T782"/>
      <c r="U782"/>
      <c r="V782"/>
      <c r="W782"/>
      <c r="X782"/>
      <c r="Y782"/>
      <c r="AF782"/>
      <c r="AG782"/>
      <c r="AH782"/>
      <c r="AJ782" s="69"/>
      <c r="AN782"/>
      <c r="AX782"/>
      <c r="AY782"/>
    </row>
    <row r="783" spans="1:51" x14ac:dyDescent="0.25">
      <c r="A783" s="232" t="str">
        <f t="shared" si="106"/>
        <v/>
      </c>
      <c r="M783"/>
      <c r="N783"/>
      <c r="O783"/>
      <c r="P783"/>
      <c r="Q783"/>
      <c r="R783"/>
      <c r="S783"/>
      <c r="T783"/>
      <c r="U783"/>
      <c r="V783"/>
      <c r="W783"/>
      <c r="X783"/>
      <c r="Y783"/>
      <c r="AF783"/>
      <c r="AG783"/>
      <c r="AH783"/>
      <c r="AJ783" s="69"/>
      <c r="AN783"/>
      <c r="AX783"/>
      <c r="AY783"/>
    </row>
    <row r="784" spans="1:51" x14ac:dyDescent="0.25">
      <c r="A784" s="232" t="str">
        <f t="shared" si="106"/>
        <v/>
      </c>
      <c r="M784"/>
      <c r="N784"/>
      <c r="O784"/>
      <c r="P784"/>
      <c r="Q784"/>
      <c r="R784"/>
      <c r="S784"/>
      <c r="T784"/>
      <c r="U784"/>
      <c r="V784"/>
      <c r="W784"/>
      <c r="X784"/>
      <c r="Y784"/>
      <c r="AF784"/>
      <c r="AG784"/>
      <c r="AH784"/>
      <c r="AJ784" s="69"/>
      <c r="AN784"/>
      <c r="AX784"/>
      <c r="AY784"/>
    </row>
    <row r="785" spans="1:51" x14ac:dyDescent="0.25">
      <c r="A785" s="232" t="str">
        <f t="shared" si="106"/>
        <v/>
      </c>
      <c r="M785"/>
      <c r="N785"/>
      <c r="O785"/>
      <c r="P785"/>
      <c r="Q785"/>
      <c r="R785"/>
      <c r="S785"/>
      <c r="T785"/>
      <c r="U785"/>
      <c r="V785"/>
      <c r="W785"/>
      <c r="X785"/>
      <c r="Y785"/>
      <c r="AF785"/>
      <c r="AG785"/>
      <c r="AH785"/>
      <c r="AJ785" s="69"/>
      <c r="AN785"/>
      <c r="AX785"/>
      <c r="AY785"/>
    </row>
    <row r="786" spans="1:51" x14ac:dyDescent="0.25">
      <c r="A786" s="232" t="str">
        <f t="shared" si="106"/>
        <v/>
      </c>
      <c r="M786"/>
      <c r="N786"/>
      <c r="O786"/>
      <c r="P786"/>
      <c r="Q786"/>
      <c r="R786"/>
      <c r="S786"/>
      <c r="T786"/>
      <c r="U786"/>
      <c r="V786"/>
      <c r="W786"/>
      <c r="X786"/>
      <c r="Y786"/>
      <c r="AF786"/>
      <c r="AG786"/>
      <c r="AH786"/>
      <c r="AJ786" s="69"/>
      <c r="AN786"/>
      <c r="AX786"/>
      <c r="AY786"/>
    </row>
    <row r="787" spans="1:51" x14ac:dyDescent="0.25">
      <c r="A787" s="232" t="str">
        <f t="shared" si="106"/>
        <v/>
      </c>
      <c r="M787"/>
      <c r="N787"/>
      <c r="O787"/>
      <c r="P787"/>
      <c r="Q787"/>
      <c r="R787"/>
      <c r="S787"/>
      <c r="T787"/>
      <c r="U787"/>
      <c r="V787"/>
      <c r="W787"/>
      <c r="X787"/>
      <c r="Y787"/>
      <c r="AF787"/>
      <c r="AG787"/>
      <c r="AH787"/>
      <c r="AJ787" s="69"/>
      <c r="AN787"/>
      <c r="AX787"/>
      <c r="AY787"/>
    </row>
    <row r="788" spans="1:51" x14ac:dyDescent="0.25">
      <c r="A788" s="232" t="str">
        <f t="shared" si="106"/>
        <v/>
      </c>
      <c r="M788"/>
      <c r="N788"/>
      <c r="O788"/>
      <c r="P788"/>
      <c r="Q788"/>
      <c r="R788"/>
      <c r="S788"/>
      <c r="T788"/>
      <c r="U788"/>
      <c r="V788"/>
      <c r="W788"/>
      <c r="X788"/>
      <c r="Y788"/>
      <c r="AF788"/>
      <c r="AG788"/>
      <c r="AH788"/>
      <c r="AJ788" s="69"/>
      <c r="AN788"/>
      <c r="AX788"/>
      <c r="AY788"/>
    </row>
    <row r="789" spans="1:51" x14ac:dyDescent="0.25">
      <c r="A789" s="232" t="str">
        <f t="shared" si="106"/>
        <v/>
      </c>
      <c r="M789"/>
      <c r="N789"/>
      <c r="O789"/>
      <c r="P789"/>
      <c r="Q789"/>
      <c r="R789"/>
      <c r="S789"/>
      <c r="T789"/>
      <c r="U789"/>
      <c r="V789"/>
      <c r="W789"/>
      <c r="X789"/>
      <c r="Y789"/>
      <c r="AF789"/>
      <c r="AG789"/>
      <c r="AH789"/>
      <c r="AJ789" s="69"/>
      <c r="AN789"/>
      <c r="AX789"/>
      <c r="AY789"/>
    </row>
    <row r="790" spans="1:51" x14ac:dyDescent="0.25">
      <c r="A790" s="232" t="str">
        <f t="shared" si="106"/>
        <v/>
      </c>
      <c r="M790"/>
      <c r="N790"/>
      <c r="O790"/>
      <c r="P790"/>
      <c r="Q790"/>
      <c r="R790"/>
      <c r="S790"/>
      <c r="T790"/>
      <c r="U790"/>
      <c r="V790"/>
      <c r="W790"/>
      <c r="X790"/>
      <c r="Y790"/>
      <c r="AF790"/>
      <c r="AG790"/>
      <c r="AH790"/>
      <c r="AJ790" s="69"/>
      <c r="AN790"/>
      <c r="AX790"/>
      <c r="AY790"/>
    </row>
    <row r="791" spans="1:51" x14ac:dyDescent="0.25">
      <c r="A791" s="232" t="str">
        <f t="shared" si="106"/>
        <v/>
      </c>
      <c r="M791"/>
      <c r="N791"/>
      <c r="O791"/>
      <c r="P791"/>
      <c r="Q791"/>
      <c r="R791"/>
      <c r="S791"/>
      <c r="T791"/>
      <c r="U791"/>
      <c r="V791"/>
      <c r="W791"/>
      <c r="X791"/>
      <c r="Y791"/>
      <c r="AF791"/>
      <c r="AG791"/>
      <c r="AH791"/>
      <c r="AJ791" s="69"/>
      <c r="AN791"/>
      <c r="AX791"/>
      <c r="AY791"/>
    </row>
    <row r="792" spans="1:51" x14ac:dyDescent="0.25">
      <c r="A792" s="232" t="str">
        <f t="shared" si="106"/>
        <v/>
      </c>
      <c r="M792"/>
      <c r="N792"/>
      <c r="O792"/>
      <c r="P792"/>
      <c r="Q792"/>
      <c r="R792"/>
      <c r="S792"/>
      <c r="T792"/>
      <c r="U792"/>
      <c r="V792"/>
      <c r="W792"/>
      <c r="X792"/>
      <c r="Y792"/>
      <c r="AF792"/>
      <c r="AG792"/>
      <c r="AH792"/>
      <c r="AJ792" s="69"/>
      <c r="AN792"/>
      <c r="AX792"/>
      <c r="AY792"/>
    </row>
    <row r="793" spans="1:51" x14ac:dyDescent="0.25">
      <c r="A793" s="232" t="str">
        <f t="shared" si="106"/>
        <v/>
      </c>
      <c r="M793"/>
      <c r="N793"/>
      <c r="O793"/>
      <c r="P793"/>
      <c r="Q793"/>
      <c r="R793"/>
      <c r="S793"/>
      <c r="T793"/>
      <c r="U793"/>
      <c r="V793"/>
      <c r="W793"/>
      <c r="X793"/>
      <c r="Y793"/>
      <c r="AF793"/>
      <c r="AG793"/>
      <c r="AH793"/>
      <c r="AJ793" s="69"/>
      <c r="AN793"/>
      <c r="AX793"/>
      <c r="AY793"/>
    </row>
    <row r="794" spans="1:51" x14ac:dyDescent="0.25">
      <c r="A794" s="232" t="str">
        <f t="shared" si="106"/>
        <v/>
      </c>
      <c r="M794"/>
      <c r="N794"/>
      <c r="O794"/>
      <c r="P794"/>
      <c r="Q794"/>
      <c r="R794"/>
      <c r="S794"/>
      <c r="T794"/>
      <c r="U794"/>
      <c r="V794"/>
      <c r="W794"/>
      <c r="X794"/>
      <c r="Y794"/>
      <c r="AF794"/>
      <c r="AG794"/>
      <c r="AH794"/>
      <c r="AJ794" s="69"/>
      <c r="AN794"/>
      <c r="AX794"/>
      <c r="AY794"/>
    </row>
    <row r="795" spans="1:51" x14ac:dyDescent="0.25">
      <c r="A795" s="232" t="str">
        <f t="shared" si="106"/>
        <v/>
      </c>
      <c r="M795"/>
      <c r="N795"/>
      <c r="O795"/>
      <c r="P795"/>
      <c r="Q795"/>
      <c r="R795"/>
      <c r="S795"/>
      <c r="T795"/>
      <c r="U795"/>
      <c r="V795"/>
      <c r="W795"/>
      <c r="X795"/>
      <c r="Y795"/>
      <c r="AF795"/>
      <c r="AG795"/>
      <c r="AH795"/>
      <c r="AJ795" s="69"/>
      <c r="AN795"/>
      <c r="AX795"/>
      <c r="AY795"/>
    </row>
    <row r="796" spans="1:51" x14ac:dyDescent="0.25">
      <c r="A796" s="232" t="str">
        <f t="shared" si="106"/>
        <v/>
      </c>
      <c r="M796"/>
      <c r="N796"/>
      <c r="O796"/>
      <c r="P796"/>
      <c r="Q796"/>
      <c r="R796"/>
      <c r="S796"/>
      <c r="T796"/>
      <c r="U796"/>
      <c r="V796"/>
      <c r="W796"/>
      <c r="X796"/>
      <c r="Y796"/>
      <c r="AF796"/>
      <c r="AG796"/>
      <c r="AH796"/>
      <c r="AJ796" s="69"/>
      <c r="AN796"/>
      <c r="AX796"/>
      <c r="AY796"/>
    </row>
    <row r="797" spans="1:51" x14ac:dyDescent="0.25">
      <c r="A797" s="232" t="str">
        <f t="shared" si="106"/>
        <v/>
      </c>
      <c r="M797"/>
      <c r="N797"/>
      <c r="O797"/>
      <c r="P797"/>
      <c r="Q797"/>
      <c r="R797"/>
      <c r="S797"/>
      <c r="T797"/>
      <c r="U797"/>
      <c r="V797"/>
      <c r="W797"/>
      <c r="X797"/>
      <c r="Y797"/>
      <c r="AF797"/>
      <c r="AG797"/>
      <c r="AH797"/>
      <c r="AJ797" s="69"/>
      <c r="AN797"/>
      <c r="AX797"/>
      <c r="AY797"/>
    </row>
    <row r="798" spans="1:51" x14ac:dyDescent="0.25">
      <c r="A798" s="232" t="str">
        <f t="shared" si="106"/>
        <v/>
      </c>
      <c r="M798"/>
      <c r="N798"/>
      <c r="O798"/>
      <c r="P798"/>
      <c r="Q798"/>
      <c r="R798"/>
      <c r="S798"/>
      <c r="T798"/>
      <c r="U798"/>
      <c r="V798"/>
      <c r="W798"/>
      <c r="X798"/>
      <c r="Y798"/>
      <c r="AF798"/>
      <c r="AG798"/>
      <c r="AH798"/>
      <c r="AJ798" s="69"/>
      <c r="AN798"/>
      <c r="AX798"/>
      <c r="AY798"/>
    </row>
    <row r="799" spans="1:51" x14ac:dyDescent="0.25">
      <c r="A799" s="232" t="str">
        <f t="shared" si="106"/>
        <v/>
      </c>
      <c r="M799"/>
      <c r="N799"/>
      <c r="O799"/>
      <c r="P799"/>
      <c r="Q799"/>
      <c r="R799"/>
      <c r="S799"/>
      <c r="T799"/>
      <c r="U799"/>
      <c r="V799"/>
      <c r="W799"/>
      <c r="X799"/>
      <c r="Y799"/>
      <c r="AF799"/>
      <c r="AG799"/>
      <c r="AH799"/>
      <c r="AJ799" s="69"/>
      <c r="AN799"/>
      <c r="AX799"/>
      <c r="AY799"/>
    </row>
    <row r="800" spans="1:51" x14ac:dyDescent="0.25">
      <c r="A800" s="232" t="str">
        <f t="shared" si="106"/>
        <v/>
      </c>
      <c r="M800"/>
      <c r="N800"/>
      <c r="O800"/>
      <c r="P800"/>
      <c r="Q800"/>
      <c r="R800"/>
      <c r="S800"/>
      <c r="T800"/>
      <c r="U800"/>
      <c r="V800"/>
      <c r="W800"/>
      <c r="X800"/>
      <c r="Y800"/>
      <c r="AF800"/>
      <c r="AG800"/>
      <c r="AH800"/>
      <c r="AJ800" s="69"/>
      <c r="AN800"/>
      <c r="AX800"/>
      <c r="AY800"/>
    </row>
    <row r="801" spans="1:51" x14ac:dyDescent="0.25">
      <c r="A801" s="232" t="str">
        <f t="shared" si="106"/>
        <v/>
      </c>
      <c r="M801"/>
      <c r="N801"/>
      <c r="O801"/>
      <c r="P801"/>
      <c r="Q801"/>
      <c r="R801"/>
      <c r="S801"/>
      <c r="T801"/>
      <c r="U801"/>
      <c r="V801"/>
      <c r="W801"/>
      <c r="X801"/>
      <c r="Y801"/>
      <c r="AF801"/>
      <c r="AG801"/>
      <c r="AH801"/>
      <c r="AJ801" s="69"/>
      <c r="AN801"/>
      <c r="AX801"/>
      <c r="AY801"/>
    </row>
    <row r="802" spans="1:51" x14ac:dyDescent="0.25">
      <c r="A802" s="232" t="str">
        <f t="shared" si="106"/>
        <v/>
      </c>
      <c r="M802"/>
      <c r="N802"/>
      <c r="O802"/>
      <c r="P802"/>
      <c r="Q802"/>
      <c r="R802"/>
      <c r="S802"/>
      <c r="T802"/>
      <c r="U802"/>
      <c r="V802"/>
      <c r="W802"/>
      <c r="X802"/>
      <c r="Y802"/>
      <c r="AF802"/>
      <c r="AG802"/>
      <c r="AH802"/>
      <c r="AJ802" s="69"/>
      <c r="AN802"/>
      <c r="AX802"/>
      <c r="AY802"/>
    </row>
    <row r="803" spans="1:51" x14ac:dyDescent="0.25">
      <c r="A803" s="232" t="str">
        <f t="shared" si="106"/>
        <v/>
      </c>
      <c r="M803"/>
      <c r="N803"/>
      <c r="O803"/>
      <c r="P803"/>
      <c r="Q803"/>
      <c r="R803"/>
      <c r="S803"/>
      <c r="T803"/>
      <c r="U803"/>
      <c r="V803"/>
      <c r="W803"/>
      <c r="X803"/>
      <c r="Y803"/>
      <c r="AF803"/>
      <c r="AG803"/>
      <c r="AH803"/>
      <c r="AJ803" s="69"/>
      <c r="AN803"/>
      <c r="AX803"/>
      <c r="AY803"/>
    </row>
    <row r="804" spans="1:51" x14ac:dyDescent="0.25">
      <c r="A804" s="232" t="str">
        <f t="shared" si="106"/>
        <v/>
      </c>
      <c r="M804"/>
      <c r="N804"/>
      <c r="O804"/>
      <c r="P804"/>
      <c r="Q804"/>
      <c r="R804"/>
      <c r="S804"/>
      <c r="T804"/>
      <c r="U804"/>
      <c r="V804"/>
      <c r="W804"/>
      <c r="X804"/>
      <c r="Y804"/>
      <c r="AF804"/>
      <c r="AG804"/>
      <c r="AH804"/>
      <c r="AJ804" s="69"/>
      <c r="AN804"/>
      <c r="AX804"/>
      <c r="AY804"/>
    </row>
    <row r="805" spans="1:51" x14ac:dyDescent="0.25">
      <c r="A805" s="232" t="str">
        <f t="shared" si="106"/>
        <v/>
      </c>
      <c r="M805"/>
      <c r="N805"/>
      <c r="O805"/>
      <c r="P805"/>
      <c r="Q805"/>
      <c r="R805"/>
      <c r="S805"/>
      <c r="T805"/>
      <c r="U805"/>
      <c r="V805"/>
      <c r="W805"/>
      <c r="X805"/>
      <c r="Y805"/>
      <c r="AF805"/>
      <c r="AG805"/>
      <c r="AH805"/>
      <c r="AJ805" s="69"/>
      <c r="AN805"/>
      <c r="AX805"/>
      <c r="AY805"/>
    </row>
    <row r="806" spans="1:51" x14ac:dyDescent="0.25">
      <c r="A806" s="232" t="str">
        <f t="shared" si="106"/>
        <v/>
      </c>
      <c r="M806"/>
      <c r="N806"/>
      <c r="O806"/>
      <c r="P806"/>
      <c r="Q806"/>
      <c r="R806"/>
      <c r="S806"/>
      <c r="T806"/>
      <c r="U806"/>
      <c r="V806"/>
      <c r="W806"/>
      <c r="X806"/>
      <c r="Y806"/>
      <c r="AF806"/>
      <c r="AG806"/>
      <c r="AH806"/>
      <c r="AJ806" s="69"/>
      <c r="AN806"/>
      <c r="AX806"/>
      <c r="AY806"/>
    </row>
    <row r="807" spans="1:51" x14ac:dyDescent="0.25">
      <c r="A807" s="232" t="str">
        <f t="shared" si="106"/>
        <v/>
      </c>
      <c r="M807"/>
      <c r="N807"/>
      <c r="O807"/>
      <c r="P807"/>
      <c r="Q807"/>
      <c r="R807"/>
      <c r="S807"/>
      <c r="T807"/>
      <c r="U807"/>
      <c r="V807"/>
      <c r="W807"/>
      <c r="X807"/>
      <c r="Y807"/>
      <c r="AF807"/>
      <c r="AG807"/>
      <c r="AH807"/>
      <c r="AJ807" s="69"/>
      <c r="AN807"/>
      <c r="AX807"/>
      <c r="AY807"/>
    </row>
    <row r="808" spans="1:51" x14ac:dyDescent="0.25">
      <c r="A808" s="232" t="str">
        <f t="shared" si="106"/>
        <v/>
      </c>
      <c r="M808"/>
      <c r="N808"/>
      <c r="O808"/>
      <c r="P808"/>
      <c r="Q808"/>
      <c r="R808"/>
      <c r="S808"/>
      <c r="T808"/>
      <c r="U808"/>
      <c r="V808"/>
      <c r="W808"/>
      <c r="X808"/>
      <c r="Y808"/>
      <c r="AF808"/>
      <c r="AG808"/>
      <c r="AH808"/>
      <c r="AJ808" s="69"/>
      <c r="AN808"/>
      <c r="AX808"/>
      <c r="AY808"/>
    </row>
    <row r="809" spans="1:51" x14ac:dyDescent="0.25">
      <c r="A809" s="232" t="str">
        <f t="shared" si="106"/>
        <v/>
      </c>
      <c r="M809"/>
      <c r="N809"/>
      <c r="O809"/>
      <c r="P809"/>
      <c r="Q809"/>
      <c r="R809"/>
      <c r="S809"/>
      <c r="T809"/>
      <c r="U809"/>
      <c r="V809"/>
      <c r="W809"/>
      <c r="X809"/>
      <c r="Y809"/>
      <c r="AF809"/>
      <c r="AG809"/>
      <c r="AH809"/>
      <c r="AJ809" s="69"/>
      <c r="AN809"/>
      <c r="AX809"/>
      <c r="AY809"/>
    </row>
    <row r="810" spans="1:51" x14ac:dyDescent="0.25">
      <c r="A810" s="232" t="str">
        <f t="shared" si="106"/>
        <v/>
      </c>
      <c r="M810"/>
      <c r="N810"/>
      <c r="O810"/>
      <c r="P810"/>
      <c r="Q810"/>
      <c r="R810"/>
      <c r="S810"/>
      <c r="T810"/>
      <c r="U810"/>
      <c r="V810"/>
      <c r="W810"/>
      <c r="X810"/>
      <c r="Y810"/>
      <c r="AF810"/>
      <c r="AG810"/>
      <c r="AH810"/>
      <c r="AJ810" s="69"/>
      <c r="AN810"/>
      <c r="AX810"/>
      <c r="AY810"/>
    </row>
    <row r="811" spans="1:51" x14ac:dyDescent="0.25">
      <c r="A811" s="232" t="str">
        <f t="shared" si="106"/>
        <v/>
      </c>
      <c r="M811"/>
      <c r="N811"/>
      <c r="O811"/>
      <c r="P811"/>
      <c r="Q811"/>
      <c r="R811"/>
      <c r="S811"/>
      <c r="T811"/>
      <c r="U811"/>
      <c r="V811"/>
      <c r="W811"/>
      <c r="X811"/>
      <c r="Y811"/>
      <c r="AF811"/>
      <c r="AG811"/>
      <c r="AH811"/>
      <c r="AJ811" s="69"/>
      <c r="AN811"/>
      <c r="AX811"/>
      <c r="AY811"/>
    </row>
    <row r="812" spans="1:51" x14ac:dyDescent="0.25">
      <c r="A812" s="232" t="str">
        <f t="shared" si="106"/>
        <v/>
      </c>
      <c r="M812"/>
      <c r="N812"/>
      <c r="O812"/>
      <c r="P812"/>
      <c r="Q812"/>
      <c r="R812"/>
      <c r="S812"/>
      <c r="T812"/>
      <c r="U812"/>
      <c r="V812"/>
      <c r="W812"/>
      <c r="X812"/>
      <c r="Y812"/>
      <c r="AF812"/>
      <c r="AG812"/>
      <c r="AH812"/>
      <c r="AJ812" s="69"/>
      <c r="AN812"/>
      <c r="AX812"/>
      <c r="AY812"/>
    </row>
    <row r="813" spans="1:51" x14ac:dyDescent="0.25">
      <c r="A813" s="232" t="str">
        <f t="shared" si="106"/>
        <v/>
      </c>
      <c r="M813"/>
      <c r="N813"/>
      <c r="O813"/>
      <c r="P813"/>
      <c r="Q813"/>
      <c r="R813"/>
      <c r="S813"/>
      <c r="T813"/>
      <c r="U813"/>
      <c r="V813"/>
      <c r="W813"/>
      <c r="X813"/>
      <c r="Y813"/>
      <c r="AF813"/>
      <c r="AG813"/>
      <c r="AH813"/>
      <c r="AJ813" s="69"/>
      <c r="AN813"/>
      <c r="AX813"/>
      <c r="AY813"/>
    </row>
    <row r="814" spans="1:51" x14ac:dyDescent="0.25">
      <c r="A814" s="232" t="str">
        <f t="shared" si="106"/>
        <v/>
      </c>
      <c r="M814"/>
      <c r="N814"/>
      <c r="O814"/>
      <c r="P814"/>
      <c r="Q814"/>
      <c r="R814"/>
      <c r="S814"/>
      <c r="T814"/>
      <c r="U814"/>
      <c r="V814"/>
      <c r="W814"/>
      <c r="X814"/>
      <c r="Y814"/>
      <c r="AF814"/>
      <c r="AG814"/>
      <c r="AH814"/>
      <c r="AJ814" s="69"/>
      <c r="AN814"/>
      <c r="AX814"/>
      <c r="AY814"/>
    </row>
    <row r="815" spans="1:51" x14ac:dyDescent="0.25">
      <c r="A815" s="232" t="str">
        <f t="shared" si="106"/>
        <v/>
      </c>
      <c r="M815"/>
      <c r="N815"/>
      <c r="O815"/>
      <c r="P815"/>
      <c r="Q815"/>
      <c r="R815"/>
      <c r="S815"/>
      <c r="T815"/>
      <c r="U815"/>
      <c r="V815"/>
      <c r="W815"/>
      <c r="X815"/>
      <c r="Y815"/>
      <c r="AF815"/>
      <c r="AG815"/>
      <c r="AH815"/>
      <c r="AJ815" s="69"/>
      <c r="AN815"/>
      <c r="AX815"/>
      <c r="AY815"/>
    </row>
    <row r="816" spans="1:51" x14ac:dyDescent="0.25">
      <c r="A816" s="232" t="str">
        <f t="shared" si="106"/>
        <v/>
      </c>
      <c r="M816"/>
      <c r="N816"/>
      <c r="O816"/>
      <c r="P816"/>
      <c r="Q816"/>
      <c r="R816"/>
      <c r="S816"/>
      <c r="T816"/>
      <c r="U816"/>
      <c r="V816"/>
      <c r="W816"/>
      <c r="X816"/>
      <c r="Y816"/>
      <c r="AF816"/>
      <c r="AG816"/>
      <c r="AH816"/>
      <c r="AJ816" s="69"/>
      <c r="AN816"/>
      <c r="AX816"/>
      <c r="AY816"/>
    </row>
    <row r="817" spans="1:51" x14ac:dyDescent="0.25">
      <c r="A817" s="232" t="str">
        <f t="shared" si="106"/>
        <v/>
      </c>
      <c r="M817"/>
      <c r="N817"/>
      <c r="O817"/>
      <c r="P817"/>
      <c r="Q817"/>
      <c r="R817"/>
      <c r="S817"/>
      <c r="T817"/>
      <c r="U817"/>
      <c r="V817"/>
      <c r="W817"/>
      <c r="X817"/>
      <c r="Y817"/>
      <c r="AF817"/>
      <c r="AG817"/>
      <c r="AH817"/>
      <c r="AJ817" s="69"/>
      <c r="AN817"/>
      <c r="AX817"/>
      <c r="AY817"/>
    </row>
    <row r="818" spans="1:51" x14ac:dyDescent="0.25">
      <c r="A818" s="232" t="str">
        <f t="shared" si="106"/>
        <v/>
      </c>
      <c r="M818"/>
      <c r="N818"/>
      <c r="O818"/>
      <c r="P818"/>
      <c r="Q818"/>
      <c r="R818"/>
      <c r="S818"/>
      <c r="T818"/>
      <c r="U818"/>
      <c r="V818"/>
      <c r="W818"/>
      <c r="X818"/>
      <c r="Y818"/>
      <c r="AF818"/>
      <c r="AG818"/>
      <c r="AH818"/>
      <c r="AJ818" s="69"/>
      <c r="AN818"/>
      <c r="AX818"/>
      <c r="AY818"/>
    </row>
    <row r="819" spans="1:51" x14ac:dyDescent="0.25">
      <c r="A819" s="232" t="str">
        <f t="shared" si="106"/>
        <v/>
      </c>
      <c r="M819"/>
      <c r="N819"/>
      <c r="O819"/>
      <c r="P819"/>
      <c r="Q819"/>
      <c r="R819"/>
      <c r="S819"/>
      <c r="T819"/>
      <c r="U819"/>
      <c r="V819"/>
      <c r="W819"/>
      <c r="X819"/>
      <c r="Y819"/>
      <c r="AF819"/>
      <c r="AG819"/>
      <c r="AH819"/>
      <c r="AJ819" s="69"/>
      <c r="AN819"/>
      <c r="AX819"/>
      <c r="AY819"/>
    </row>
    <row r="820" spans="1:51" x14ac:dyDescent="0.25">
      <c r="A820" s="232" t="str">
        <f t="shared" si="106"/>
        <v/>
      </c>
      <c r="M820"/>
      <c r="N820"/>
      <c r="O820"/>
      <c r="P820"/>
      <c r="Q820"/>
      <c r="R820"/>
      <c r="S820"/>
      <c r="T820"/>
      <c r="U820"/>
      <c r="V820"/>
      <c r="W820"/>
      <c r="X820"/>
      <c r="Y820"/>
      <c r="AF820"/>
      <c r="AG820"/>
      <c r="AH820"/>
      <c r="AJ820" s="69"/>
      <c r="AN820"/>
      <c r="AX820"/>
      <c r="AY820"/>
    </row>
    <row r="821" spans="1:51" x14ac:dyDescent="0.25">
      <c r="A821" s="232" t="str">
        <f t="shared" si="106"/>
        <v/>
      </c>
      <c r="M821"/>
      <c r="N821"/>
      <c r="O821"/>
      <c r="P821"/>
      <c r="Q821"/>
      <c r="R821"/>
      <c r="S821"/>
      <c r="T821"/>
      <c r="U821"/>
      <c r="V821"/>
      <c r="W821"/>
      <c r="X821"/>
      <c r="Y821"/>
      <c r="AF821"/>
      <c r="AG821"/>
      <c r="AH821"/>
      <c r="AJ821" s="69"/>
      <c r="AN821"/>
      <c r="AX821"/>
      <c r="AY821"/>
    </row>
    <row r="822" spans="1:51" x14ac:dyDescent="0.25">
      <c r="A822" s="232" t="str">
        <f t="shared" si="106"/>
        <v/>
      </c>
      <c r="M822"/>
      <c r="N822"/>
      <c r="O822"/>
      <c r="P822"/>
      <c r="Q822"/>
      <c r="R822"/>
      <c r="S822"/>
      <c r="T822"/>
      <c r="U822"/>
      <c r="V822"/>
      <c r="W822"/>
      <c r="X822"/>
      <c r="Y822"/>
      <c r="AF822"/>
      <c r="AG822"/>
      <c r="AH822"/>
      <c r="AJ822" s="69"/>
      <c r="AN822"/>
      <c r="AX822"/>
      <c r="AY822"/>
    </row>
    <row r="823" spans="1:51" x14ac:dyDescent="0.25">
      <c r="A823" s="232" t="str">
        <f t="shared" si="106"/>
        <v/>
      </c>
      <c r="M823"/>
      <c r="N823"/>
      <c r="O823"/>
      <c r="P823"/>
      <c r="Q823"/>
      <c r="R823"/>
      <c r="S823"/>
      <c r="T823"/>
      <c r="U823"/>
      <c r="V823"/>
      <c r="W823"/>
      <c r="X823"/>
      <c r="Y823"/>
      <c r="AF823"/>
      <c r="AG823"/>
      <c r="AH823"/>
      <c r="AJ823" s="69"/>
      <c r="AN823"/>
      <c r="AX823"/>
      <c r="AY823"/>
    </row>
    <row r="824" spans="1:51" x14ac:dyDescent="0.25">
      <c r="A824" s="232" t="str">
        <f t="shared" si="106"/>
        <v/>
      </c>
      <c r="M824"/>
      <c r="N824"/>
      <c r="O824"/>
      <c r="P824"/>
      <c r="Q824"/>
      <c r="R824"/>
      <c r="S824"/>
      <c r="T824"/>
      <c r="U824"/>
      <c r="V824"/>
      <c r="W824"/>
      <c r="X824"/>
      <c r="Y824"/>
      <c r="AF824"/>
      <c r="AG824"/>
      <c r="AH824"/>
      <c r="AJ824" s="69"/>
      <c r="AN824"/>
      <c r="AX824"/>
      <c r="AY824"/>
    </row>
    <row r="825" spans="1:51" x14ac:dyDescent="0.25">
      <c r="A825" s="232" t="str">
        <f t="shared" si="106"/>
        <v/>
      </c>
      <c r="M825"/>
      <c r="N825"/>
      <c r="O825"/>
      <c r="P825"/>
      <c r="Q825"/>
      <c r="R825"/>
      <c r="S825"/>
      <c r="T825"/>
      <c r="U825"/>
      <c r="V825"/>
      <c r="W825"/>
      <c r="X825"/>
      <c r="Y825"/>
      <c r="AF825"/>
      <c r="AG825"/>
      <c r="AH825"/>
      <c r="AJ825" s="69"/>
      <c r="AN825"/>
      <c r="AX825"/>
      <c r="AY825"/>
    </row>
    <row r="826" spans="1:51" x14ac:dyDescent="0.25">
      <c r="A826" s="232" t="str">
        <f t="shared" si="106"/>
        <v/>
      </c>
      <c r="M826"/>
      <c r="N826"/>
      <c r="O826"/>
      <c r="P826"/>
      <c r="Q826"/>
      <c r="R826"/>
      <c r="S826"/>
      <c r="T826"/>
      <c r="U826"/>
      <c r="V826"/>
      <c r="W826"/>
      <c r="X826"/>
      <c r="Y826"/>
      <c r="AF826"/>
      <c r="AG826"/>
      <c r="AH826"/>
      <c r="AJ826" s="69"/>
      <c r="AN826"/>
      <c r="AX826"/>
      <c r="AY826"/>
    </row>
    <row r="827" spans="1:51" x14ac:dyDescent="0.25">
      <c r="A827" s="232" t="str">
        <f t="shared" si="106"/>
        <v/>
      </c>
      <c r="M827"/>
      <c r="N827"/>
      <c r="O827"/>
      <c r="P827"/>
      <c r="Q827"/>
      <c r="R827"/>
      <c r="S827"/>
      <c r="T827"/>
      <c r="U827"/>
      <c r="V827"/>
      <c r="W827"/>
      <c r="X827"/>
      <c r="Y827"/>
      <c r="AF827"/>
      <c r="AG827"/>
      <c r="AH827"/>
      <c r="AJ827" s="69"/>
      <c r="AN827"/>
      <c r="AX827"/>
      <c r="AY827"/>
    </row>
    <row r="828" spans="1:51" x14ac:dyDescent="0.25">
      <c r="A828" s="232" t="str">
        <f t="shared" si="106"/>
        <v/>
      </c>
      <c r="M828"/>
      <c r="N828"/>
      <c r="O828"/>
      <c r="P828"/>
      <c r="Q828"/>
      <c r="R828"/>
      <c r="S828"/>
      <c r="T828"/>
      <c r="U828"/>
      <c r="V828"/>
      <c r="W828"/>
      <c r="X828"/>
      <c r="Y828"/>
      <c r="AF828"/>
      <c r="AG828"/>
      <c r="AH828"/>
      <c r="AJ828" s="69"/>
      <c r="AN828"/>
      <c r="AX828"/>
      <c r="AY828"/>
    </row>
    <row r="829" spans="1:51" x14ac:dyDescent="0.25">
      <c r="A829" s="232" t="str">
        <f t="shared" si="106"/>
        <v/>
      </c>
      <c r="M829"/>
      <c r="N829"/>
      <c r="O829"/>
      <c r="P829"/>
      <c r="Q829"/>
      <c r="R829"/>
      <c r="S829"/>
      <c r="T829"/>
      <c r="U829"/>
      <c r="V829"/>
      <c r="W829"/>
      <c r="X829"/>
      <c r="Y829"/>
      <c r="AF829"/>
      <c r="AG829"/>
      <c r="AH829"/>
      <c r="AJ829" s="69"/>
      <c r="AN829"/>
      <c r="AX829"/>
      <c r="AY829"/>
    </row>
    <row r="830" spans="1:51" x14ac:dyDescent="0.25">
      <c r="A830" s="232" t="str">
        <f t="shared" si="106"/>
        <v/>
      </c>
      <c r="M830"/>
      <c r="N830"/>
      <c r="O830"/>
      <c r="P830"/>
      <c r="Q830"/>
      <c r="R830"/>
      <c r="S830"/>
      <c r="T830"/>
      <c r="U830"/>
      <c r="V830"/>
      <c r="W830"/>
      <c r="X830"/>
      <c r="Y830"/>
      <c r="AF830"/>
      <c r="AG830"/>
      <c r="AH830"/>
      <c r="AJ830" s="69"/>
      <c r="AN830"/>
      <c r="AX830"/>
      <c r="AY830"/>
    </row>
    <row r="831" spans="1:51" x14ac:dyDescent="0.25">
      <c r="A831" s="232" t="str">
        <f t="shared" si="106"/>
        <v/>
      </c>
      <c r="M831"/>
      <c r="N831"/>
      <c r="O831"/>
      <c r="P831"/>
      <c r="Q831"/>
      <c r="R831"/>
      <c r="S831"/>
      <c r="T831"/>
      <c r="U831"/>
      <c r="V831"/>
      <c r="W831"/>
      <c r="X831"/>
      <c r="Y831"/>
      <c r="AF831"/>
      <c r="AG831"/>
      <c r="AH831"/>
      <c r="AJ831" s="69"/>
      <c r="AN831"/>
      <c r="AX831"/>
      <c r="AY831"/>
    </row>
    <row r="832" spans="1:51" x14ac:dyDescent="0.25">
      <c r="A832" s="232" t="str">
        <f t="shared" si="106"/>
        <v/>
      </c>
      <c r="M832"/>
      <c r="N832"/>
      <c r="O832"/>
      <c r="P832"/>
      <c r="Q832"/>
      <c r="R832"/>
      <c r="S832"/>
      <c r="T832"/>
      <c r="U832"/>
      <c r="V832"/>
      <c r="W832"/>
      <c r="X832"/>
      <c r="Y832"/>
      <c r="AF832"/>
      <c r="AG832"/>
      <c r="AH832"/>
      <c r="AJ832" s="69"/>
      <c r="AN832"/>
      <c r="AX832"/>
      <c r="AY832"/>
    </row>
    <row r="833" spans="1:51" x14ac:dyDescent="0.25">
      <c r="A833" s="232" t="str">
        <f t="shared" si="106"/>
        <v/>
      </c>
      <c r="M833"/>
      <c r="N833"/>
      <c r="O833"/>
      <c r="P833"/>
      <c r="Q833"/>
      <c r="R833"/>
      <c r="S833"/>
      <c r="T833"/>
      <c r="U833"/>
      <c r="V833"/>
      <c r="W833"/>
      <c r="X833"/>
      <c r="Y833"/>
      <c r="AF833"/>
      <c r="AG833"/>
      <c r="AH833"/>
      <c r="AJ833" s="69"/>
      <c r="AN833"/>
      <c r="AX833"/>
      <c r="AY833"/>
    </row>
    <row r="834" spans="1:51" x14ac:dyDescent="0.25">
      <c r="A834" s="232" t="str">
        <f t="shared" si="106"/>
        <v/>
      </c>
      <c r="M834"/>
      <c r="N834"/>
      <c r="O834"/>
      <c r="P834"/>
      <c r="Q834"/>
      <c r="R834"/>
      <c r="S834"/>
      <c r="T834"/>
      <c r="U834"/>
      <c r="V834"/>
      <c r="W834"/>
      <c r="X834"/>
      <c r="Y834"/>
      <c r="AF834"/>
      <c r="AG834"/>
      <c r="AH834"/>
      <c r="AJ834" s="69"/>
      <c r="AN834"/>
      <c r="AX834"/>
      <c r="AY834"/>
    </row>
    <row r="835" spans="1:51" x14ac:dyDescent="0.25">
      <c r="A835" s="232" t="str">
        <f t="shared" si="106"/>
        <v/>
      </c>
      <c r="M835"/>
      <c r="N835"/>
      <c r="O835"/>
      <c r="P835"/>
      <c r="Q835"/>
      <c r="R835"/>
      <c r="S835"/>
      <c r="T835"/>
      <c r="U835"/>
      <c r="V835"/>
      <c r="W835"/>
      <c r="X835"/>
      <c r="Y835"/>
      <c r="AF835"/>
      <c r="AG835"/>
      <c r="AH835"/>
      <c r="AJ835" s="69"/>
      <c r="AN835"/>
      <c r="AX835"/>
      <c r="AY835"/>
    </row>
    <row r="836" spans="1:51" x14ac:dyDescent="0.25">
      <c r="A836" s="232" t="str">
        <f t="shared" si="106"/>
        <v/>
      </c>
      <c r="M836"/>
      <c r="N836"/>
      <c r="O836"/>
      <c r="P836"/>
      <c r="Q836"/>
      <c r="R836"/>
      <c r="S836"/>
      <c r="T836"/>
      <c r="U836"/>
      <c r="V836"/>
      <c r="W836"/>
      <c r="X836"/>
      <c r="Y836"/>
      <c r="AF836"/>
      <c r="AG836"/>
      <c r="AH836"/>
      <c r="AJ836" s="69"/>
      <c r="AN836"/>
      <c r="AX836"/>
      <c r="AY836"/>
    </row>
    <row r="837" spans="1:51" x14ac:dyDescent="0.25">
      <c r="A837" s="232" t="str">
        <f t="shared" si="106"/>
        <v/>
      </c>
      <c r="M837"/>
      <c r="N837"/>
      <c r="O837"/>
      <c r="P837"/>
      <c r="Q837"/>
      <c r="R837"/>
      <c r="S837"/>
      <c r="T837"/>
      <c r="U837"/>
      <c r="V837"/>
      <c r="W837"/>
      <c r="X837"/>
      <c r="Y837"/>
      <c r="AF837"/>
      <c r="AG837"/>
      <c r="AH837"/>
      <c r="AJ837" s="69"/>
      <c r="AN837"/>
      <c r="AX837"/>
      <c r="AY837"/>
    </row>
    <row r="838" spans="1:51" x14ac:dyDescent="0.25">
      <c r="A838" s="232" t="str">
        <f t="shared" si="106"/>
        <v/>
      </c>
      <c r="M838"/>
      <c r="N838"/>
      <c r="O838"/>
      <c r="P838"/>
      <c r="Q838"/>
      <c r="R838"/>
      <c r="S838"/>
      <c r="T838"/>
      <c r="U838"/>
      <c r="V838"/>
      <c r="W838"/>
      <c r="X838"/>
      <c r="Y838"/>
      <c r="AF838"/>
      <c r="AG838"/>
      <c r="AH838"/>
      <c r="AJ838" s="69"/>
      <c r="AN838"/>
      <c r="AX838"/>
      <c r="AY838"/>
    </row>
    <row r="839" spans="1:51" x14ac:dyDescent="0.25">
      <c r="A839" s="232" t="str">
        <f t="shared" si="106"/>
        <v/>
      </c>
      <c r="M839"/>
      <c r="N839"/>
      <c r="O839"/>
      <c r="P839"/>
      <c r="Q839"/>
      <c r="R839"/>
      <c r="S839"/>
      <c r="T839"/>
      <c r="U839"/>
      <c r="V839"/>
      <c r="W839"/>
      <c r="X839"/>
      <c r="Y839"/>
      <c r="AF839"/>
      <c r="AG839"/>
      <c r="AH839"/>
      <c r="AJ839" s="69"/>
      <c r="AN839"/>
      <c r="AX839"/>
      <c r="AY839"/>
    </row>
    <row r="840" spans="1:51" x14ac:dyDescent="0.25">
      <c r="A840" s="232" t="str">
        <f t="shared" si="106"/>
        <v/>
      </c>
      <c r="M840"/>
      <c r="N840"/>
      <c r="O840"/>
      <c r="P840"/>
      <c r="Q840"/>
      <c r="R840"/>
      <c r="S840"/>
      <c r="T840"/>
      <c r="U840"/>
      <c r="V840"/>
      <c r="W840"/>
      <c r="X840"/>
      <c r="Y840"/>
      <c r="AF840"/>
      <c r="AG840"/>
      <c r="AH840"/>
      <c r="AJ840" s="69"/>
      <c r="AN840"/>
      <c r="AX840"/>
      <c r="AY840"/>
    </row>
    <row r="841" spans="1:51" x14ac:dyDescent="0.25">
      <c r="A841" s="232" t="str">
        <f t="shared" si="106"/>
        <v/>
      </c>
      <c r="M841"/>
      <c r="N841"/>
      <c r="O841"/>
      <c r="P841"/>
      <c r="Q841"/>
      <c r="R841"/>
      <c r="S841"/>
      <c r="T841"/>
      <c r="U841"/>
      <c r="V841"/>
      <c r="W841"/>
      <c r="X841"/>
      <c r="Y841"/>
      <c r="AF841"/>
      <c r="AG841"/>
      <c r="AH841"/>
      <c r="AJ841" s="69"/>
      <c r="AN841"/>
      <c r="AX841"/>
      <c r="AY841"/>
    </row>
    <row r="842" spans="1:51" x14ac:dyDescent="0.25">
      <c r="A842" s="232" t="str">
        <f t="shared" ref="A842:A905" si="107">IF(O842&lt;&gt;"",O842,"")</f>
        <v/>
      </c>
      <c r="M842"/>
      <c r="N842"/>
      <c r="O842"/>
      <c r="P842"/>
      <c r="Q842"/>
      <c r="R842"/>
      <c r="S842"/>
      <c r="T842"/>
      <c r="U842"/>
      <c r="V842"/>
      <c r="W842"/>
      <c r="X842"/>
      <c r="Y842"/>
      <c r="AF842"/>
      <c r="AG842"/>
      <c r="AH842"/>
      <c r="AJ842" s="69"/>
      <c r="AN842"/>
      <c r="AX842"/>
      <c r="AY842"/>
    </row>
    <row r="843" spans="1:51" x14ac:dyDescent="0.25">
      <c r="A843" s="232" t="str">
        <f t="shared" si="107"/>
        <v/>
      </c>
      <c r="M843"/>
      <c r="N843"/>
      <c r="O843"/>
      <c r="P843"/>
      <c r="Q843"/>
      <c r="R843"/>
      <c r="S843"/>
      <c r="T843"/>
      <c r="U843"/>
      <c r="V843"/>
      <c r="W843"/>
      <c r="X843"/>
      <c r="Y843"/>
      <c r="AF843"/>
      <c r="AG843"/>
      <c r="AH843"/>
      <c r="AJ843" s="69"/>
      <c r="AN843"/>
      <c r="AX843"/>
      <c r="AY843"/>
    </row>
    <row r="844" spans="1:51" x14ac:dyDescent="0.25">
      <c r="A844" s="232" t="str">
        <f t="shared" si="107"/>
        <v/>
      </c>
      <c r="M844"/>
      <c r="N844"/>
      <c r="O844"/>
      <c r="P844"/>
      <c r="Q844"/>
      <c r="R844"/>
      <c r="S844"/>
      <c r="T844"/>
      <c r="U844"/>
      <c r="V844"/>
      <c r="W844"/>
      <c r="X844"/>
      <c r="Y844"/>
      <c r="AF844"/>
      <c r="AG844"/>
      <c r="AH844"/>
      <c r="AJ844" s="69"/>
      <c r="AN844"/>
      <c r="AX844"/>
      <c r="AY844"/>
    </row>
    <row r="845" spans="1:51" x14ac:dyDescent="0.25">
      <c r="A845" s="232" t="str">
        <f t="shared" si="107"/>
        <v/>
      </c>
      <c r="M845"/>
      <c r="N845"/>
      <c r="O845"/>
      <c r="P845"/>
      <c r="Q845"/>
      <c r="R845"/>
      <c r="S845"/>
      <c r="T845"/>
      <c r="U845"/>
      <c r="V845"/>
      <c r="W845"/>
      <c r="X845"/>
      <c r="Y845"/>
      <c r="AF845"/>
      <c r="AG845"/>
      <c r="AH845"/>
      <c r="AJ845" s="69"/>
      <c r="AN845"/>
      <c r="AX845"/>
      <c r="AY845"/>
    </row>
    <row r="846" spans="1:51" x14ac:dyDescent="0.25">
      <c r="A846" s="232" t="str">
        <f t="shared" si="107"/>
        <v/>
      </c>
      <c r="M846"/>
      <c r="N846"/>
      <c r="O846"/>
      <c r="P846"/>
      <c r="Q846"/>
      <c r="R846"/>
      <c r="S846"/>
      <c r="T846"/>
      <c r="U846"/>
      <c r="V846"/>
      <c r="W846"/>
      <c r="X846"/>
      <c r="Y846"/>
      <c r="AF846"/>
      <c r="AG846"/>
      <c r="AH846"/>
      <c r="AJ846" s="69"/>
      <c r="AN846"/>
      <c r="AX846"/>
      <c r="AY846"/>
    </row>
    <row r="847" spans="1:51" x14ac:dyDescent="0.25">
      <c r="A847" s="232" t="str">
        <f t="shared" si="107"/>
        <v/>
      </c>
      <c r="M847"/>
      <c r="N847"/>
      <c r="O847"/>
      <c r="P847"/>
      <c r="Q847"/>
      <c r="R847"/>
      <c r="S847"/>
      <c r="T847"/>
      <c r="U847"/>
      <c r="V847"/>
      <c r="W847"/>
      <c r="X847"/>
      <c r="Y847"/>
      <c r="AF847"/>
      <c r="AG847"/>
      <c r="AH847"/>
      <c r="AJ847" s="69"/>
      <c r="AN847"/>
      <c r="AX847"/>
      <c r="AY847"/>
    </row>
    <row r="848" spans="1:51" x14ac:dyDescent="0.25">
      <c r="A848" s="232" t="str">
        <f t="shared" si="107"/>
        <v/>
      </c>
      <c r="M848"/>
      <c r="N848"/>
      <c r="O848"/>
      <c r="P848"/>
      <c r="Q848"/>
      <c r="R848"/>
      <c r="S848"/>
      <c r="T848"/>
      <c r="U848"/>
      <c r="V848"/>
      <c r="W848"/>
      <c r="X848"/>
      <c r="Y848"/>
      <c r="AF848"/>
      <c r="AG848"/>
      <c r="AH848"/>
      <c r="AJ848" s="69"/>
      <c r="AN848"/>
      <c r="AX848"/>
      <c r="AY848"/>
    </row>
    <row r="849" spans="1:51" x14ac:dyDescent="0.25">
      <c r="A849" s="232" t="str">
        <f t="shared" si="107"/>
        <v/>
      </c>
      <c r="M849"/>
      <c r="N849"/>
      <c r="O849"/>
      <c r="P849"/>
      <c r="Q849"/>
      <c r="R849"/>
      <c r="S849"/>
      <c r="T849"/>
      <c r="U849"/>
      <c r="V849"/>
      <c r="W849"/>
      <c r="X849"/>
      <c r="Y849"/>
      <c r="AF849"/>
      <c r="AG849"/>
      <c r="AH849"/>
      <c r="AJ849" s="69"/>
      <c r="AN849"/>
      <c r="AX849"/>
      <c r="AY849"/>
    </row>
    <row r="850" spans="1:51" x14ac:dyDescent="0.25">
      <c r="A850" s="232" t="str">
        <f t="shared" si="107"/>
        <v/>
      </c>
      <c r="M850"/>
      <c r="N850"/>
      <c r="O850"/>
      <c r="P850"/>
      <c r="Q850"/>
      <c r="R850"/>
      <c r="S850"/>
      <c r="T850"/>
      <c r="U850"/>
      <c r="V850"/>
      <c r="W850"/>
      <c r="X850"/>
      <c r="Y850"/>
      <c r="AF850"/>
      <c r="AG850"/>
      <c r="AH850"/>
      <c r="AJ850" s="69"/>
      <c r="AN850"/>
      <c r="AX850"/>
      <c r="AY850"/>
    </row>
    <row r="851" spans="1:51" x14ac:dyDescent="0.25">
      <c r="A851" s="232" t="str">
        <f t="shared" si="107"/>
        <v/>
      </c>
      <c r="M851"/>
      <c r="N851"/>
      <c r="O851"/>
      <c r="P851"/>
      <c r="Q851"/>
      <c r="R851"/>
      <c r="S851"/>
      <c r="T851"/>
      <c r="U851"/>
      <c r="V851"/>
      <c r="W851"/>
      <c r="X851"/>
      <c r="Y851"/>
      <c r="AF851"/>
      <c r="AG851"/>
      <c r="AH851"/>
      <c r="AJ851" s="69"/>
      <c r="AN851"/>
      <c r="AX851"/>
      <c r="AY851"/>
    </row>
    <row r="852" spans="1:51" x14ac:dyDescent="0.25">
      <c r="A852" s="232" t="str">
        <f t="shared" si="107"/>
        <v/>
      </c>
      <c r="M852"/>
      <c r="N852"/>
      <c r="O852"/>
      <c r="P852"/>
      <c r="Q852"/>
      <c r="R852"/>
      <c r="S852"/>
      <c r="T852"/>
      <c r="U852"/>
      <c r="V852"/>
      <c r="W852"/>
      <c r="X852"/>
      <c r="Y852"/>
      <c r="AF852"/>
      <c r="AG852"/>
      <c r="AH852"/>
      <c r="AJ852" s="69"/>
      <c r="AN852"/>
      <c r="AX852"/>
      <c r="AY852"/>
    </row>
    <row r="853" spans="1:51" x14ac:dyDescent="0.25">
      <c r="A853" s="232" t="str">
        <f t="shared" si="107"/>
        <v/>
      </c>
      <c r="M853"/>
      <c r="N853"/>
      <c r="O853"/>
      <c r="P853"/>
      <c r="Q853"/>
      <c r="R853"/>
      <c r="S853"/>
      <c r="T853"/>
      <c r="U853"/>
      <c r="V853"/>
      <c r="W853"/>
      <c r="X853"/>
      <c r="Y853"/>
      <c r="AF853"/>
      <c r="AG853"/>
      <c r="AH853"/>
      <c r="AJ853" s="69"/>
      <c r="AN853"/>
      <c r="AX853"/>
      <c r="AY853"/>
    </row>
    <row r="854" spans="1:51" x14ac:dyDescent="0.25">
      <c r="A854" s="232" t="str">
        <f t="shared" si="107"/>
        <v/>
      </c>
      <c r="M854"/>
      <c r="N854"/>
      <c r="O854"/>
      <c r="P854"/>
      <c r="Q854"/>
      <c r="R854"/>
      <c r="S854"/>
      <c r="T854"/>
      <c r="U854"/>
      <c r="V854"/>
      <c r="W854"/>
      <c r="X854"/>
      <c r="Y854"/>
      <c r="AF854"/>
      <c r="AG854"/>
      <c r="AH854"/>
      <c r="AJ854" s="69"/>
      <c r="AN854"/>
      <c r="AX854"/>
      <c r="AY854"/>
    </row>
    <row r="855" spans="1:51" x14ac:dyDescent="0.25">
      <c r="A855" s="232" t="str">
        <f t="shared" si="107"/>
        <v/>
      </c>
      <c r="M855"/>
      <c r="N855"/>
      <c r="O855"/>
      <c r="P855"/>
      <c r="Q855"/>
      <c r="R855"/>
      <c r="S855"/>
      <c r="T855"/>
      <c r="U855"/>
      <c r="V855"/>
      <c r="W855"/>
      <c r="X855"/>
      <c r="Y855"/>
      <c r="AF855"/>
      <c r="AG855"/>
      <c r="AH855"/>
      <c r="AJ855" s="69"/>
      <c r="AN855"/>
      <c r="AX855"/>
      <c r="AY855"/>
    </row>
    <row r="856" spans="1:51" x14ac:dyDescent="0.25">
      <c r="A856" s="232" t="str">
        <f t="shared" si="107"/>
        <v/>
      </c>
      <c r="M856"/>
      <c r="N856"/>
      <c r="O856"/>
      <c r="P856"/>
      <c r="Q856"/>
      <c r="R856"/>
      <c r="S856"/>
      <c r="T856"/>
      <c r="U856"/>
      <c r="V856"/>
      <c r="W856"/>
      <c r="X856"/>
      <c r="Y856"/>
      <c r="AF856"/>
      <c r="AG856"/>
      <c r="AH856"/>
      <c r="AJ856" s="69"/>
      <c r="AN856"/>
      <c r="AX856"/>
      <c r="AY856"/>
    </row>
    <row r="857" spans="1:51" x14ac:dyDescent="0.25">
      <c r="A857" s="232" t="str">
        <f t="shared" si="107"/>
        <v/>
      </c>
      <c r="M857"/>
      <c r="N857"/>
      <c r="O857"/>
      <c r="P857"/>
      <c r="Q857"/>
      <c r="R857"/>
      <c r="S857"/>
      <c r="T857"/>
      <c r="U857"/>
      <c r="V857"/>
      <c r="W857"/>
      <c r="X857"/>
      <c r="Y857"/>
      <c r="AF857"/>
      <c r="AG857"/>
      <c r="AH857"/>
      <c r="AJ857" s="69"/>
      <c r="AN857"/>
      <c r="AX857"/>
      <c r="AY857"/>
    </row>
    <row r="858" spans="1:51" x14ac:dyDescent="0.25">
      <c r="A858" s="232" t="str">
        <f t="shared" si="107"/>
        <v/>
      </c>
      <c r="M858"/>
      <c r="N858"/>
      <c r="O858"/>
      <c r="P858"/>
      <c r="Q858"/>
      <c r="R858"/>
      <c r="S858"/>
      <c r="T858"/>
      <c r="U858"/>
      <c r="V858"/>
      <c r="W858"/>
      <c r="X858"/>
      <c r="Y858"/>
      <c r="AF858"/>
      <c r="AG858"/>
      <c r="AH858"/>
      <c r="AJ858" s="69"/>
      <c r="AN858"/>
      <c r="AX858"/>
      <c r="AY858"/>
    </row>
    <row r="859" spans="1:51" x14ac:dyDescent="0.25">
      <c r="A859" s="232" t="str">
        <f t="shared" si="107"/>
        <v/>
      </c>
      <c r="M859"/>
      <c r="N859"/>
      <c r="O859"/>
      <c r="P859"/>
      <c r="Q859"/>
      <c r="R859"/>
      <c r="S859"/>
      <c r="T859"/>
      <c r="U859"/>
      <c r="V859"/>
      <c r="W859"/>
      <c r="X859"/>
      <c r="Y859"/>
      <c r="AF859"/>
      <c r="AG859"/>
      <c r="AH859"/>
      <c r="AJ859" s="69"/>
      <c r="AN859"/>
      <c r="AX859"/>
      <c r="AY859"/>
    </row>
    <row r="860" spans="1:51" x14ac:dyDescent="0.25">
      <c r="A860" s="232" t="str">
        <f t="shared" si="107"/>
        <v/>
      </c>
      <c r="M860"/>
      <c r="N860"/>
      <c r="O860"/>
      <c r="P860"/>
      <c r="Q860"/>
      <c r="R860"/>
      <c r="S860"/>
      <c r="T860"/>
      <c r="U860"/>
      <c r="V860"/>
      <c r="W860"/>
      <c r="X860"/>
      <c r="Y860"/>
      <c r="AF860"/>
      <c r="AG860"/>
      <c r="AH860"/>
      <c r="AJ860" s="69"/>
      <c r="AN860"/>
      <c r="AX860"/>
      <c r="AY860"/>
    </row>
    <row r="861" spans="1:51" x14ac:dyDescent="0.25">
      <c r="A861" s="232" t="str">
        <f t="shared" si="107"/>
        <v/>
      </c>
      <c r="M861"/>
      <c r="N861"/>
      <c r="O861"/>
      <c r="P861"/>
      <c r="Q861"/>
      <c r="R861"/>
      <c r="S861"/>
      <c r="T861"/>
      <c r="U861"/>
      <c r="V861"/>
      <c r="W861"/>
      <c r="X861"/>
      <c r="Y861"/>
      <c r="AF861"/>
      <c r="AG861"/>
      <c r="AH861"/>
      <c r="AJ861" s="69"/>
      <c r="AN861"/>
      <c r="AX861"/>
      <c r="AY861"/>
    </row>
    <row r="862" spans="1:51" x14ac:dyDescent="0.25">
      <c r="A862" s="232" t="str">
        <f t="shared" si="107"/>
        <v/>
      </c>
      <c r="M862"/>
      <c r="N862"/>
      <c r="O862"/>
      <c r="P862"/>
      <c r="Q862"/>
      <c r="R862"/>
      <c r="S862"/>
      <c r="T862"/>
      <c r="U862"/>
      <c r="V862"/>
      <c r="W862"/>
      <c r="X862"/>
      <c r="Y862"/>
      <c r="AF862"/>
      <c r="AG862"/>
      <c r="AH862"/>
      <c r="AJ862" s="69"/>
      <c r="AN862"/>
      <c r="AX862"/>
      <c r="AY862"/>
    </row>
    <row r="863" spans="1:51" x14ac:dyDescent="0.25">
      <c r="A863" s="232" t="str">
        <f t="shared" si="107"/>
        <v/>
      </c>
      <c r="M863"/>
      <c r="N863"/>
      <c r="O863"/>
      <c r="P863"/>
      <c r="Q863"/>
      <c r="R863"/>
      <c r="S863"/>
      <c r="T863"/>
      <c r="U863"/>
      <c r="V863"/>
      <c r="W863"/>
      <c r="X863"/>
      <c r="Y863"/>
      <c r="AF863"/>
      <c r="AG863"/>
      <c r="AH863"/>
      <c r="AJ863" s="69"/>
      <c r="AN863"/>
      <c r="AX863"/>
      <c r="AY863"/>
    </row>
    <row r="864" spans="1:51" x14ac:dyDescent="0.25">
      <c r="A864" s="232" t="str">
        <f t="shared" si="107"/>
        <v/>
      </c>
      <c r="M864"/>
      <c r="N864"/>
      <c r="O864"/>
      <c r="P864"/>
      <c r="Q864"/>
      <c r="R864"/>
      <c r="S864"/>
      <c r="T864"/>
      <c r="U864"/>
      <c r="V864"/>
      <c r="W864"/>
      <c r="X864"/>
      <c r="Y864"/>
      <c r="AF864"/>
      <c r="AG864"/>
      <c r="AH864"/>
      <c r="AJ864" s="69"/>
      <c r="AN864"/>
      <c r="AX864"/>
      <c r="AY864"/>
    </row>
    <row r="865" spans="1:51" x14ac:dyDescent="0.25">
      <c r="A865" s="232" t="str">
        <f t="shared" si="107"/>
        <v/>
      </c>
      <c r="M865"/>
      <c r="N865"/>
      <c r="O865"/>
      <c r="P865"/>
      <c r="Q865"/>
      <c r="R865"/>
      <c r="S865"/>
      <c r="T865"/>
      <c r="U865"/>
      <c r="V865"/>
      <c r="W865"/>
      <c r="X865"/>
      <c r="Y865"/>
      <c r="AF865"/>
      <c r="AG865"/>
      <c r="AH865"/>
      <c r="AJ865" s="69"/>
      <c r="AN865"/>
      <c r="AX865"/>
      <c r="AY865"/>
    </row>
    <row r="866" spans="1:51" x14ac:dyDescent="0.25">
      <c r="A866" s="232" t="str">
        <f t="shared" si="107"/>
        <v/>
      </c>
      <c r="M866"/>
      <c r="N866"/>
      <c r="O866"/>
      <c r="P866"/>
      <c r="Q866"/>
      <c r="R866"/>
      <c r="S866"/>
      <c r="T866"/>
      <c r="U866"/>
      <c r="V866"/>
      <c r="W866"/>
      <c r="X866"/>
      <c r="Y866"/>
      <c r="AF866"/>
      <c r="AG866"/>
      <c r="AH866"/>
      <c r="AJ866" s="69"/>
      <c r="AN866"/>
      <c r="AX866"/>
      <c r="AY866"/>
    </row>
    <row r="867" spans="1:51" x14ac:dyDescent="0.25">
      <c r="A867" s="232" t="str">
        <f t="shared" si="107"/>
        <v/>
      </c>
      <c r="M867"/>
      <c r="N867"/>
      <c r="O867"/>
      <c r="P867"/>
      <c r="Q867"/>
      <c r="R867"/>
      <c r="S867"/>
      <c r="T867"/>
      <c r="U867"/>
      <c r="V867"/>
      <c r="W867"/>
      <c r="X867"/>
      <c r="Y867"/>
      <c r="AF867"/>
      <c r="AG867"/>
      <c r="AH867"/>
      <c r="AJ867" s="69"/>
      <c r="AN867"/>
      <c r="AX867"/>
      <c r="AY867"/>
    </row>
    <row r="868" spans="1:51" x14ac:dyDescent="0.25">
      <c r="A868" s="232" t="str">
        <f t="shared" si="107"/>
        <v/>
      </c>
      <c r="M868"/>
      <c r="N868"/>
      <c r="O868"/>
      <c r="P868"/>
      <c r="Q868"/>
      <c r="R868"/>
      <c r="S868"/>
      <c r="T868"/>
      <c r="U868"/>
      <c r="V868"/>
      <c r="W868"/>
      <c r="X868"/>
      <c r="Y868"/>
      <c r="AF868"/>
      <c r="AG868"/>
      <c r="AH868"/>
      <c r="AJ868" s="69"/>
      <c r="AN868"/>
      <c r="AX868"/>
      <c r="AY868"/>
    </row>
    <row r="869" spans="1:51" x14ac:dyDescent="0.25">
      <c r="A869" s="232" t="str">
        <f t="shared" si="107"/>
        <v/>
      </c>
      <c r="M869"/>
      <c r="N869"/>
      <c r="O869"/>
      <c r="P869"/>
      <c r="Q869"/>
      <c r="R869"/>
      <c r="S869"/>
      <c r="T869"/>
      <c r="U869"/>
      <c r="V869"/>
      <c r="W869"/>
      <c r="X869"/>
      <c r="Y869"/>
      <c r="AF869"/>
      <c r="AG869"/>
      <c r="AH869"/>
      <c r="AJ869" s="69"/>
      <c r="AN869"/>
      <c r="AX869"/>
      <c r="AY869"/>
    </row>
    <row r="870" spans="1:51" x14ac:dyDescent="0.25">
      <c r="A870" s="232" t="str">
        <f t="shared" si="107"/>
        <v/>
      </c>
      <c r="M870"/>
      <c r="N870"/>
      <c r="O870"/>
      <c r="P870"/>
      <c r="Q870"/>
      <c r="R870"/>
      <c r="S870"/>
      <c r="T870"/>
      <c r="U870"/>
      <c r="V870"/>
      <c r="W870"/>
      <c r="X870"/>
      <c r="Y870"/>
      <c r="AF870"/>
      <c r="AG870"/>
      <c r="AH870"/>
      <c r="AJ870" s="69"/>
      <c r="AN870"/>
      <c r="AX870"/>
      <c r="AY870"/>
    </row>
    <row r="871" spans="1:51" x14ac:dyDescent="0.25">
      <c r="A871" s="232" t="str">
        <f t="shared" si="107"/>
        <v/>
      </c>
      <c r="M871"/>
      <c r="N871"/>
      <c r="O871"/>
      <c r="P871"/>
      <c r="Q871"/>
      <c r="R871"/>
      <c r="S871"/>
      <c r="T871"/>
      <c r="U871"/>
      <c r="V871"/>
      <c r="W871"/>
      <c r="X871"/>
      <c r="Y871"/>
      <c r="AF871"/>
      <c r="AG871"/>
      <c r="AH871"/>
      <c r="AJ871" s="69"/>
      <c r="AN871"/>
      <c r="AX871"/>
      <c r="AY871"/>
    </row>
    <row r="872" spans="1:51" x14ac:dyDescent="0.25">
      <c r="A872" s="232" t="str">
        <f t="shared" si="107"/>
        <v/>
      </c>
      <c r="M872"/>
      <c r="N872"/>
      <c r="O872"/>
      <c r="P872"/>
      <c r="Q872"/>
      <c r="R872"/>
      <c r="S872"/>
      <c r="T872"/>
      <c r="U872"/>
      <c r="V872"/>
      <c r="W872"/>
      <c r="X872"/>
      <c r="Y872"/>
      <c r="AF872"/>
      <c r="AG872"/>
      <c r="AH872"/>
      <c r="AJ872" s="69"/>
      <c r="AN872"/>
      <c r="AX872"/>
      <c r="AY872"/>
    </row>
    <row r="873" spans="1:51" x14ac:dyDescent="0.25">
      <c r="A873" s="232" t="str">
        <f t="shared" si="107"/>
        <v/>
      </c>
      <c r="M873"/>
      <c r="N873"/>
      <c r="O873"/>
      <c r="P873"/>
      <c r="Q873"/>
      <c r="R873"/>
      <c r="S873"/>
      <c r="T873"/>
      <c r="U873"/>
      <c r="V873"/>
      <c r="W873"/>
      <c r="X873"/>
      <c r="Y873"/>
      <c r="AF873"/>
      <c r="AG873"/>
      <c r="AH873"/>
      <c r="AJ873" s="69"/>
      <c r="AN873"/>
      <c r="AX873"/>
      <c r="AY873"/>
    </row>
    <row r="874" spans="1:51" x14ac:dyDescent="0.25">
      <c r="A874" s="232" t="str">
        <f t="shared" si="107"/>
        <v/>
      </c>
      <c r="M874"/>
      <c r="N874"/>
      <c r="O874"/>
      <c r="P874"/>
      <c r="Q874"/>
      <c r="R874"/>
      <c r="S874"/>
      <c r="T874"/>
      <c r="U874"/>
      <c r="V874"/>
      <c r="W874"/>
      <c r="X874"/>
      <c r="Y874"/>
      <c r="AF874"/>
      <c r="AG874"/>
      <c r="AH874"/>
      <c r="AJ874" s="69"/>
      <c r="AN874"/>
      <c r="AX874"/>
      <c r="AY874"/>
    </row>
    <row r="875" spans="1:51" x14ac:dyDescent="0.25">
      <c r="A875" s="232" t="str">
        <f t="shared" si="107"/>
        <v/>
      </c>
      <c r="M875"/>
      <c r="N875"/>
      <c r="O875"/>
      <c r="P875"/>
      <c r="Q875"/>
      <c r="R875"/>
      <c r="S875"/>
      <c r="T875"/>
      <c r="U875"/>
      <c r="V875"/>
      <c r="W875"/>
      <c r="X875"/>
      <c r="Y875"/>
      <c r="AF875"/>
      <c r="AG875"/>
      <c r="AH875"/>
      <c r="AJ875" s="69"/>
      <c r="AN875"/>
      <c r="AX875"/>
      <c r="AY875"/>
    </row>
    <row r="876" spans="1:51" x14ac:dyDescent="0.25">
      <c r="A876" s="232" t="str">
        <f t="shared" si="107"/>
        <v/>
      </c>
      <c r="M876"/>
      <c r="N876"/>
      <c r="O876"/>
      <c r="P876"/>
      <c r="Q876"/>
      <c r="R876"/>
      <c r="S876"/>
      <c r="T876"/>
      <c r="U876"/>
      <c r="V876"/>
      <c r="W876"/>
      <c r="X876"/>
      <c r="Y876"/>
      <c r="AF876"/>
      <c r="AG876"/>
      <c r="AH876"/>
      <c r="AJ876" s="69"/>
      <c r="AN876"/>
      <c r="AX876"/>
      <c r="AY876"/>
    </row>
    <row r="877" spans="1:51" x14ac:dyDescent="0.25">
      <c r="A877" s="232" t="str">
        <f t="shared" si="107"/>
        <v/>
      </c>
      <c r="M877"/>
      <c r="N877"/>
      <c r="O877"/>
      <c r="P877"/>
      <c r="Q877"/>
      <c r="R877"/>
      <c r="S877"/>
      <c r="T877"/>
      <c r="U877"/>
      <c r="V877"/>
      <c r="W877"/>
      <c r="X877"/>
      <c r="Y877"/>
      <c r="AF877"/>
      <c r="AG877"/>
      <c r="AH877"/>
      <c r="AJ877" s="69"/>
      <c r="AN877"/>
      <c r="AX877"/>
      <c r="AY877"/>
    </row>
    <row r="878" spans="1:51" x14ac:dyDescent="0.25">
      <c r="A878" s="232" t="str">
        <f t="shared" si="107"/>
        <v/>
      </c>
      <c r="M878"/>
      <c r="N878"/>
      <c r="O878"/>
      <c r="P878"/>
      <c r="Q878"/>
      <c r="R878"/>
      <c r="S878"/>
      <c r="T878"/>
      <c r="U878"/>
      <c r="V878"/>
      <c r="W878"/>
      <c r="X878"/>
      <c r="Y878"/>
      <c r="AF878"/>
      <c r="AG878"/>
      <c r="AH878"/>
      <c r="AJ878" s="69"/>
      <c r="AN878"/>
      <c r="AX878"/>
      <c r="AY878"/>
    </row>
    <row r="879" spans="1:51" x14ac:dyDescent="0.25">
      <c r="A879" s="232" t="str">
        <f t="shared" si="107"/>
        <v/>
      </c>
      <c r="M879"/>
      <c r="N879"/>
      <c r="O879"/>
      <c r="P879"/>
      <c r="Q879"/>
      <c r="R879"/>
      <c r="S879"/>
      <c r="T879"/>
      <c r="U879"/>
      <c r="V879"/>
      <c r="W879"/>
      <c r="X879"/>
      <c r="Y879"/>
      <c r="AF879"/>
      <c r="AG879"/>
      <c r="AH879"/>
      <c r="AJ879" s="69"/>
      <c r="AN879"/>
      <c r="AX879"/>
      <c r="AY879"/>
    </row>
    <row r="880" spans="1:51" x14ac:dyDescent="0.25">
      <c r="A880" s="232" t="str">
        <f t="shared" si="107"/>
        <v/>
      </c>
      <c r="M880"/>
      <c r="N880"/>
      <c r="O880"/>
      <c r="P880"/>
      <c r="Q880"/>
      <c r="R880"/>
      <c r="S880"/>
      <c r="T880"/>
      <c r="U880"/>
      <c r="V880"/>
      <c r="W880"/>
      <c r="X880"/>
      <c r="Y880"/>
      <c r="AF880"/>
      <c r="AG880"/>
      <c r="AH880"/>
      <c r="AJ880" s="69"/>
      <c r="AN880"/>
      <c r="AX880"/>
      <c r="AY880"/>
    </row>
    <row r="881" spans="1:51" x14ac:dyDescent="0.25">
      <c r="A881" s="232" t="str">
        <f t="shared" si="107"/>
        <v/>
      </c>
      <c r="M881"/>
      <c r="N881"/>
      <c r="O881"/>
      <c r="P881"/>
      <c r="Q881"/>
      <c r="R881"/>
      <c r="S881"/>
      <c r="T881"/>
      <c r="U881"/>
      <c r="V881"/>
      <c r="W881"/>
      <c r="X881"/>
      <c r="Y881"/>
      <c r="AF881"/>
      <c r="AG881"/>
      <c r="AH881"/>
      <c r="AJ881" s="69"/>
      <c r="AN881"/>
      <c r="AX881"/>
      <c r="AY881"/>
    </row>
    <row r="882" spans="1:51" x14ac:dyDescent="0.25">
      <c r="A882" s="232" t="str">
        <f t="shared" si="107"/>
        <v/>
      </c>
      <c r="M882"/>
      <c r="N882"/>
      <c r="O882"/>
      <c r="P882"/>
      <c r="Q882"/>
      <c r="R882"/>
      <c r="S882"/>
      <c r="T882"/>
      <c r="U882"/>
      <c r="V882"/>
      <c r="W882"/>
      <c r="X882"/>
      <c r="Y882"/>
      <c r="AF882"/>
      <c r="AG882"/>
      <c r="AH882"/>
      <c r="AJ882" s="69"/>
      <c r="AN882"/>
      <c r="AX882"/>
      <c r="AY882"/>
    </row>
    <row r="883" spans="1:51" x14ac:dyDescent="0.25">
      <c r="A883" s="232" t="str">
        <f t="shared" si="107"/>
        <v/>
      </c>
      <c r="M883"/>
      <c r="N883"/>
      <c r="O883"/>
      <c r="P883"/>
      <c r="Q883"/>
      <c r="R883"/>
      <c r="S883"/>
      <c r="T883"/>
      <c r="U883"/>
      <c r="V883"/>
      <c r="W883"/>
      <c r="X883"/>
      <c r="Y883"/>
      <c r="AF883"/>
      <c r="AG883"/>
      <c r="AH883"/>
      <c r="AJ883" s="69"/>
      <c r="AN883"/>
      <c r="AX883"/>
      <c r="AY883"/>
    </row>
    <row r="884" spans="1:51" x14ac:dyDescent="0.25">
      <c r="A884" s="232" t="str">
        <f t="shared" si="107"/>
        <v/>
      </c>
      <c r="M884"/>
      <c r="N884"/>
      <c r="O884"/>
      <c r="P884"/>
      <c r="Q884"/>
      <c r="R884"/>
      <c r="S884"/>
      <c r="T884"/>
      <c r="U884"/>
      <c r="V884"/>
      <c r="W884"/>
      <c r="X884"/>
      <c r="Y884"/>
      <c r="AF884"/>
      <c r="AG884"/>
      <c r="AH884"/>
      <c r="AJ884" s="69"/>
      <c r="AN884"/>
      <c r="AX884"/>
      <c r="AY884"/>
    </row>
    <row r="885" spans="1:51" x14ac:dyDescent="0.25">
      <c r="A885" s="232" t="str">
        <f t="shared" si="107"/>
        <v/>
      </c>
      <c r="M885"/>
      <c r="N885"/>
      <c r="O885"/>
      <c r="P885"/>
      <c r="Q885"/>
      <c r="R885"/>
      <c r="S885"/>
      <c r="T885"/>
      <c r="U885"/>
      <c r="V885"/>
      <c r="W885"/>
      <c r="X885"/>
      <c r="Y885"/>
      <c r="AF885"/>
      <c r="AG885"/>
      <c r="AH885"/>
      <c r="AJ885" s="69"/>
      <c r="AN885"/>
      <c r="AX885"/>
      <c r="AY885"/>
    </row>
    <row r="886" spans="1:51" x14ac:dyDescent="0.25">
      <c r="A886" s="232" t="str">
        <f t="shared" si="107"/>
        <v/>
      </c>
      <c r="M886"/>
      <c r="N886"/>
      <c r="O886"/>
      <c r="P886"/>
      <c r="Q886"/>
      <c r="R886"/>
      <c r="S886"/>
      <c r="T886"/>
      <c r="U886"/>
      <c r="V886"/>
      <c r="W886"/>
      <c r="X886"/>
      <c r="Y886"/>
      <c r="AF886"/>
      <c r="AG886"/>
      <c r="AH886"/>
      <c r="AJ886" s="69"/>
      <c r="AN886"/>
      <c r="AX886"/>
      <c r="AY886"/>
    </row>
    <row r="887" spans="1:51" x14ac:dyDescent="0.25">
      <c r="A887" s="232" t="str">
        <f t="shared" si="107"/>
        <v/>
      </c>
      <c r="M887"/>
      <c r="N887"/>
      <c r="O887"/>
      <c r="P887"/>
      <c r="Q887"/>
      <c r="R887"/>
      <c r="S887"/>
      <c r="T887"/>
      <c r="U887"/>
      <c r="V887"/>
      <c r="W887"/>
      <c r="X887"/>
      <c r="Y887"/>
      <c r="AF887"/>
      <c r="AG887"/>
      <c r="AH887"/>
      <c r="AJ887" s="69"/>
      <c r="AN887"/>
      <c r="AX887"/>
      <c r="AY887"/>
    </row>
    <row r="888" spans="1:51" x14ac:dyDescent="0.25">
      <c r="A888" s="232" t="str">
        <f t="shared" si="107"/>
        <v/>
      </c>
      <c r="M888"/>
      <c r="N888"/>
      <c r="O888"/>
      <c r="P888"/>
      <c r="Q888"/>
      <c r="R888"/>
      <c r="S888"/>
      <c r="T888"/>
      <c r="U888"/>
      <c r="V888"/>
      <c r="W888"/>
      <c r="X888"/>
      <c r="Y888"/>
      <c r="AF888"/>
      <c r="AG888"/>
      <c r="AH888"/>
      <c r="AJ888" s="69"/>
      <c r="AN888"/>
      <c r="AX888"/>
      <c r="AY888"/>
    </row>
    <row r="889" spans="1:51" x14ac:dyDescent="0.25">
      <c r="A889" s="232" t="str">
        <f t="shared" si="107"/>
        <v/>
      </c>
      <c r="M889"/>
      <c r="N889"/>
      <c r="O889"/>
      <c r="P889"/>
      <c r="Q889"/>
      <c r="R889"/>
      <c r="S889"/>
      <c r="T889"/>
      <c r="U889"/>
      <c r="V889"/>
      <c r="W889"/>
      <c r="X889"/>
      <c r="Y889"/>
      <c r="AF889"/>
      <c r="AG889"/>
      <c r="AH889"/>
      <c r="AJ889" s="69"/>
      <c r="AN889"/>
      <c r="AX889"/>
      <c r="AY889"/>
    </row>
    <row r="890" spans="1:51" x14ac:dyDescent="0.25">
      <c r="A890" s="232" t="str">
        <f t="shared" si="107"/>
        <v/>
      </c>
      <c r="M890"/>
      <c r="N890"/>
      <c r="O890"/>
      <c r="P890"/>
      <c r="Q890"/>
      <c r="R890"/>
      <c r="S890"/>
      <c r="T890"/>
      <c r="U890"/>
      <c r="V890"/>
      <c r="W890"/>
      <c r="X890"/>
      <c r="Y890"/>
      <c r="AF890"/>
      <c r="AG890"/>
      <c r="AH890"/>
      <c r="AJ890" s="69"/>
      <c r="AN890"/>
      <c r="AX890"/>
      <c r="AY890"/>
    </row>
    <row r="891" spans="1:51" x14ac:dyDescent="0.25">
      <c r="A891" s="232" t="str">
        <f t="shared" si="107"/>
        <v/>
      </c>
      <c r="M891"/>
      <c r="N891"/>
      <c r="O891"/>
      <c r="P891"/>
      <c r="Q891"/>
      <c r="R891"/>
      <c r="S891"/>
      <c r="T891"/>
      <c r="U891"/>
      <c r="V891"/>
      <c r="W891"/>
      <c r="X891"/>
      <c r="Y891"/>
      <c r="AF891"/>
      <c r="AG891"/>
      <c r="AH891"/>
      <c r="AJ891" s="69"/>
      <c r="AN891"/>
      <c r="AX891"/>
      <c r="AY891"/>
    </row>
    <row r="892" spans="1:51" x14ac:dyDescent="0.25">
      <c r="A892" s="232" t="str">
        <f t="shared" si="107"/>
        <v/>
      </c>
      <c r="M892"/>
      <c r="N892"/>
      <c r="O892"/>
      <c r="P892"/>
      <c r="Q892"/>
      <c r="R892"/>
      <c r="S892"/>
      <c r="T892"/>
      <c r="U892"/>
      <c r="V892"/>
      <c r="W892"/>
      <c r="X892"/>
      <c r="Y892"/>
      <c r="AF892"/>
      <c r="AG892"/>
      <c r="AH892"/>
      <c r="AJ892" s="69"/>
      <c r="AN892"/>
      <c r="AX892"/>
      <c r="AY892"/>
    </row>
    <row r="893" spans="1:51" x14ac:dyDescent="0.25">
      <c r="A893" s="232" t="str">
        <f t="shared" si="107"/>
        <v/>
      </c>
      <c r="M893"/>
      <c r="N893"/>
      <c r="O893"/>
      <c r="P893"/>
      <c r="Q893"/>
      <c r="R893"/>
      <c r="S893"/>
      <c r="T893"/>
      <c r="U893"/>
      <c r="V893"/>
      <c r="W893"/>
      <c r="X893"/>
      <c r="Y893"/>
      <c r="AF893"/>
      <c r="AG893"/>
      <c r="AH893"/>
      <c r="AJ893" s="69"/>
      <c r="AN893"/>
      <c r="AX893"/>
      <c r="AY893"/>
    </row>
    <row r="894" spans="1:51" x14ac:dyDescent="0.25">
      <c r="A894" s="232" t="str">
        <f t="shared" si="107"/>
        <v/>
      </c>
      <c r="M894"/>
      <c r="N894"/>
      <c r="O894"/>
      <c r="P894"/>
      <c r="Q894"/>
      <c r="R894"/>
      <c r="S894"/>
      <c r="T894"/>
      <c r="U894"/>
      <c r="V894"/>
      <c r="W894"/>
      <c r="X894"/>
      <c r="Y894"/>
      <c r="AF894"/>
      <c r="AG894"/>
      <c r="AH894"/>
      <c r="AJ894" s="69"/>
      <c r="AN894"/>
      <c r="AX894"/>
      <c r="AY894"/>
    </row>
    <row r="895" spans="1:51" x14ac:dyDescent="0.25">
      <c r="A895" s="232" t="str">
        <f t="shared" si="107"/>
        <v/>
      </c>
      <c r="M895"/>
      <c r="N895"/>
      <c r="O895"/>
      <c r="P895"/>
      <c r="Q895"/>
      <c r="R895"/>
      <c r="S895"/>
      <c r="T895"/>
      <c r="U895"/>
      <c r="V895"/>
      <c r="W895"/>
      <c r="X895"/>
      <c r="Y895"/>
      <c r="AF895"/>
      <c r="AG895"/>
      <c r="AH895"/>
      <c r="AJ895" s="69"/>
      <c r="AN895"/>
      <c r="AX895"/>
      <c r="AY895"/>
    </row>
    <row r="896" spans="1:51" x14ac:dyDescent="0.25">
      <c r="A896" s="232" t="str">
        <f t="shared" si="107"/>
        <v/>
      </c>
      <c r="M896"/>
      <c r="N896"/>
      <c r="O896"/>
      <c r="P896"/>
      <c r="Q896"/>
      <c r="R896"/>
      <c r="S896"/>
      <c r="T896"/>
      <c r="U896"/>
      <c r="V896"/>
      <c r="W896"/>
      <c r="X896"/>
      <c r="Y896"/>
      <c r="AF896"/>
      <c r="AG896"/>
      <c r="AH896"/>
      <c r="AJ896" s="69"/>
      <c r="AN896"/>
      <c r="AX896"/>
      <c r="AY896"/>
    </row>
    <row r="897" spans="1:51" x14ac:dyDescent="0.25">
      <c r="A897" s="232" t="str">
        <f t="shared" si="107"/>
        <v/>
      </c>
      <c r="M897"/>
      <c r="N897"/>
      <c r="O897"/>
      <c r="P897"/>
      <c r="Q897"/>
      <c r="R897"/>
      <c r="S897"/>
      <c r="T897"/>
      <c r="U897"/>
      <c r="V897"/>
      <c r="W897"/>
      <c r="X897"/>
      <c r="Y897"/>
      <c r="AF897"/>
      <c r="AG897"/>
      <c r="AH897"/>
      <c r="AJ897" s="69"/>
      <c r="AN897"/>
      <c r="AX897"/>
      <c r="AY897"/>
    </row>
    <row r="898" spans="1:51" x14ac:dyDescent="0.25">
      <c r="A898" s="232" t="str">
        <f t="shared" si="107"/>
        <v/>
      </c>
      <c r="M898"/>
      <c r="N898"/>
      <c r="O898"/>
      <c r="P898"/>
      <c r="Q898"/>
      <c r="R898"/>
      <c r="S898"/>
      <c r="T898"/>
      <c r="U898"/>
      <c r="V898"/>
      <c r="W898"/>
      <c r="X898"/>
      <c r="Y898"/>
      <c r="AF898"/>
      <c r="AG898"/>
      <c r="AH898"/>
      <c r="AJ898" s="69"/>
      <c r="AN898"/>
      <c r="AX898"/>
      <c r="AY898"/>
    </row>
    <row r="899" spans="1:51" x14ac:dyDescent="0.25">
      <c r="A899" s="232" t="str">
        <f t="shared" si="107"/>
        <v/>
      </c>
      <c r="M899"/>
      <c r="N899"/>
      <c r="O899"/>
      <c r="P899"/>
      <c r="Q899"/>
      <c r="R899"/>
      <c r="S899"/>
      <c r="T899"/>
      <c r="U899"/>
      <c r="V899"/>
      <c r="W899"/>
      <c r="X899"/>
      <c r="Y899"/>
      <c r="AF899"/>
      <c r="AG899"/>
      <c r="AH899"/>
      <c r="AJ899" s="69"/>
      <c r="AN899"/>
      <c r="AX899"/>
      <c r="AY899"/>
    </row>
    <row r="900" spans="1:51" x14ac:dyDescent="0.25">
      <c r="A900" s="232" t="str">
        <f t="shared" si="107"/>
        <v/>
      </c>
      <c r="M900"/>
      <c r="N900"/>
      <c r="O900"/>
      <c r="P900"/>
      <c r="Q900"/>
      <c r="R900"/>
      <c r="S900"/>
      <c r="T900"/>
      <c r="U900"/>
      <c r="V900"/>
      <c r="W900"/>
      <c r="X900"/>
      <c r="Y900"/>
      <c r="AF900"/>
      <c r="AG900"/>
      <c r="AH900"/>
      <c r="AJ900" s="69"/>
      <c r="AN900"/>
      <c r="AX900"/>
      <c r="AY900"/>
    </row>
    <row r="901" spans="1:51" x14ac:dyDescent="0.25">
      <c r="A901" s="232" t="str">
        <f t="shared" si="107"/>
        <v/>
      </c>
      <c r="M901"/>
      <c r="N901"/>
      <c r="O901"/>
      <c r="P901"/>
      <c r="Q901"/>
      <c r="R901"/>
      <c r="S901"/>
      <c r="T901"/>
      <c r="U901"/>
      <c r="V901"/>
      <c r="W901"/>
      <c r="X901"/>
      <c r="Y901"/>
      <c r="AF901"/>
      <c r="AG901"/>
      <c r="AH901"/>
      <c r="AJ901" s="69"/>
      <c r="AN901"/>
      <c r="AX901"/>
      <c r="AY901"/>
    </row>
    <row r="902" spans="1:51" x14ac:dyDescent="0.25">
      <c r="A902" s="232" t="str">
        <f t="shared" si="107"/>
        <v/>
      </c>
      <c r="M902"/>
      <c r="N902"/>
      <c r="O902"/>
      <c r="P902"/>
      <c r="Q902"/>
      <c r="R902"/>
      <c r="S902"/>
      <c r="T902"/>
      <c r="U902"/>
      <c r="V902"/>
      <c r="W902"/>
      <c r="X902"/>
      <c r="Y902"/>
      <c r="AF902"/>
      <c r="AG902"/>
      <c r="AH902"/>
      <c r="AJ902" s="69"/>
      <c r="AN902"/>
      <c r="AX902"/>
      <c r="AY902"/>
    </row>
    <row r="903" spans="1:51" x14ac:dyDescent="0.25">
      <c r="A903" s="232" t="str">
        <f t="shared" si="107"/>
        <v/>
      </c>
      <c r="M903"/>
      <c r="N903"/>
      <c r="O903"/>
      <c r="P903"/>
      <c r="Q903"/>
      <c r="R903"/>
      <c r="S903"/>
      <c r="T903"/>
      <c r="U903"/>
      <c r="V903"/>
      <c r="W903"/>
      <c r="X903"/>
      <c r="Y903"/>
      <c r="AF903"/>
      <c r="AG903"/>
      <c r="AH903"/>
      <c r="AJ903" s="69"/>
      <c r="AN903"/>
      <c r="AX903"/>
      <c r="AY903"/>
    </row>
    <row r="904" spans="1:51" x14ac:dyDescent="0.25">
      <c r="A904" s="232" t="str">
        <f t="shared" si="107"/>
        <v/>
      </c>
      <c r="M904"/>
      <c r="N904"/>
      <c r="O904"/>
      <c r="P904"/>
      <c r="Q904"/>
      <c r="R904"/>
      <c r="S904"/>
      <c r="T904"/>
      <c r="U904"/>
      <c r="V904"/>
      <c r="W904"/>
      <c r="X904"/>
      <c r="Y904"/>
      <c r="AF904"/>
      <c r="AG904"/>
      <c r="AH904"/>
      <c r="AJ904" s="69"/>
      <c r="AN904"/>
      <c r="AX904"/>
      <c r="AY904"/>
    </row>
    <row r="905" spans="1:51" x14ac:dyDescent="0.25">
      <c r="A905" s="232" t="str">
        <f t="shared" si="107"/>
        <v/>
      </c>
      <c r="M905"/>
      <c r="N905"/>
      <c r="O905"/>
      <c r="P905"/>
      <c r="Q905"/>
      <c r="R905"/>
      <c r="S905"/>
      <c r="T905"/>
      <c r="U905"/>
      <c r="V905"/>
      <c r="W905"/>
      <c r="X905"/>
      <c r="Y905"/>
      <c r="AF905"/>
      <c r="AG905"/>
      <c r="AH905"/>
      <c r="AJ905" s="69"/>
      <c r="AN905"/>
      <c r="AX905"/>
      <c r="AY905"/>
    </row>
    <row r="906" spans="1:51" x14ac:dyDescent="0.25">
      <c r="A906" s="232" t="str">
        <f t="shared" ref="A906:A960" si="108">IF(O906&lt;&gt;"",O906,"")</f>
        <v/>
      </c>
      <c r="M906"/>
      <c r="N906"/>
      <c r="O906"/>
      <c r="P906"/>
      <c r="Q906"/>
      <c r="R906"/>
      <c r="S906"/>
      <c r="T906"/>
      <c r="U906"/>
      <c r="V906"/>
      <c r="W906"/>
      <c r="X906"/>
      <c r="Y906"/>
      <c r="AF906"/>
      <c r="AG906"/>
      <c r="AH906"/>
      <c r="AJ906" s="69"/>
      <c r="AN906"/>
      <c r="AX906"/>
      <c r="AY906"/>
    </row>
    <row r="907" spans="1:51" x14ac:dyDescent="0.25">
      <c r="A907" s="232" t="str">
        <f t="shared" si="108"/>
        <v/>
      </c>
      <c r="M907"/>
      <c r="N907"/>
      <c r="O907"/>
      <c r="P907"/>
      <c r="Q907"/>
      <c r="R907"/>
      <c r="S907"/>
      <c r="T907"/>
      <c r="U907"/>
      <c r="V907"/>
      <c r="W907"/>
      <c r="X907"/>
      <c r="Y907"/>
      <c r="AF907"/>
      <c r="AG907"/>
      <c r="AH907"/>
      <c r="AJ907" s="69"/>
      <c r="AN907"/>
      <c r="AX907"/>
      <c r="AY907"/>
    </row>
    <row r="908" spans="1:51" x14ac:dyDescent="0.25">
      <c r="A908" s="232" t="str">
        <f t="shared" si="108"/>
        <v/>
      </c>
      <c r="M908"/>
      <c r="N908"/>
      <c r="O908"/>
      <c r="P908"/>
      <c r="Q908"/>
      <c r="R908"/>
      <c r="S908"/>
      <c r="T908"/>
      <c r="U908"/>
      <c r="V908"/>
      <c r="W908"/>
      <c r="X908"/>
      <c r="Y908"/>
      <c r="AF908"/>
      <c r="AG908"/>
      <c r="AH908"/>
      <c r="AJ908" s="69"/>
      <c r="AN908"/>
      <c r="AX908"/>
      <c r="AY908"/>
    </row>
    <row r="909" spans="1:51" x14ac:dyDescent="0.25">
      <c r="A909" s="232" t="str">
        <f t="shared" si="108"/>
        <v/>
      </c>
      <c r="M909"/>
      <c r="N909"/>
      <c r="O909"/>
      <c r="P909"/>
      <c r="Q909"/>
      <c r="R909"/>
      <c r="S909"/>
      <c r="T909"/>
      <c r="U909"/>
      <c r="V909"/>
      <c r="W909"/>
      <c r="X909"/>
      <c r="Y909"/>
      <c r="AF909"/>
      <c r="AG909"/>
      <c r="AH909"/>
      <c r="AJ909" s="69"/>
      <c r="AN909"/>
      <c r="AX909"/>
      <c r="AY909"/>
    </row>
    <row r="910" spans="1:51" x14ac:dyDescent="0.25">
      <c r="A910" s="232" t="str">
        <f t="shared" si="108"/>
        <v/>
      </c>
      <c r="M910"/>
      <c r="N910"/>
      <c r="O910"/>
      <c r="P910"/>
      <c r="Q910"/>
      <c r="R910"/>
      <c r="S910"/>
      <c r="T910"/>
      <c r="U910"/>
      <c r="V910"/>
      <c r="W910"/>
      <c r="X910"/>
      <c r="Y910"/>
      <c r="AF910"/>
      <c r="AG910"/>
      <c r="AH910"/>
      <c r="AJ910" s="69"/>
      <c r="AN910"/>
      <c r="AX910"/>
      <c r="AY910"/>
    </row>
    <row r="911" spans="1:51" x14ac:dyDescent="0.25">
      <c r="A911" s="232" t="str">
        <f t="shared" si="108"/>
        <v/>
      </c>
      <c r="M911"/>
      <c r="N911"/>
      <c r="O911"/>
      <c r="P911"/>
      <c r="Q911"/>
      <c r="R911"/>
      <c r="S911"/>
      <c r="T911"/>
      <c r="U911"/>
      <c r="V911"/>
      <c r="W911"/>
      <c r="X911"/>
      <c r="Y911"/>
      <c r="AF911"/>
      <c r="AG911"/>
      <c r="AH911"/>
      <c r="AJ911" s="69"/>
      <c r="AN911"/>
      <c r="AX911"/>
      <c r="AY911"/>
    </row>
    <row r="912" spans="1:51" x14ac:dyDescent="0.25">
      <c r="A912" s="232" t="str">
        <f t="shared" si="108"/>
        <v/>
      </c>
      <c r="M912"/>
      <c r="N912"/>
      <c r="O912"/>
      <c r="P912"/>
      <c r="Q912"/>
      <c r="R912"/>
      <c r="S912"/>
      <c r="T912"/>
      <c r="U912"/>
      <c r="V912"/>
      <c r="W912"/>
      <c r="X912"/>
      <c r="Y912"/>
      <c r="AF912"/>
      <c r="AG912"/>
      <c r="AH912"/>
      <c r="AJ912" s="69"/>
      <c r="AN912"/>
      <c r="AX912"/>
      <c r="AY912"/>
    </row>
    <row r="913" spans="1:51" x14ac:dyDescent="0.25">
      <c r="A913" s="232" t="str">
        <f t="shared" si="108"/>
        <v/>
      </c>
      <c r="M913"/>
      <c r="N913"/>
      <c r="O913"/>
      <c r="P913"/>
      <c r="Q913"/>
      <c r="R913"/>
      <c r="S913"/>
      <c r="T913"/>
      <c r="U913"/>
      <c r="V913"/>
      <c r="W913"/>
      <c r="X913"/>
      <c r="Y913"/>
      <c r="AF913"/>
      <c r="AG913"/>
      <c r="AH913"/>
      <c r="AJ913" s="69"/>
      <c r="AN913"/>
      <c r="AX913"/>
      <c r="AY913"/>
    </row>
    <row r="914" spans="1:51" x14ac:dyDescent="0.25">
      <c r="A914" s="232" t="str">
        <f t="shared" si="108"/>
        <v/>
      </c>
      <c r="M914"/>
      <c r="N914"/>
      <c r="O914"/>
      <c r="P914"/>
      <c r="Q914"/>
      <c r="R914"/>
      <c r="S914"/>
      <c r="T914"/>
      <c r="U914"/>
      <c r="V914"/>
      <c r="W914"/>
      <c r="X914"/>
      <c r="Y914"/>
      <c r="AF914"/>
      <c r="AG914"/>
      <c r="AH914"/>
      <c r="AJ914" s="69"/>
      <c r="AN914"/>
      <c r="AX914"/>
      <c r="AY914"/>
    </row>
    <row r="915" spans="1:51" x14ac:dyDescent="0.25">
      <c r="A915" s="232" t="str">
        <f t="shared" si="108"/>
        <v/>
      </c>
      <c r="M915"/>
      <c r="N915"/>
      <c r="O915"/>
      <c r="P915"/>
      <c r="Q915"/>
      <c r="R915"/>
      <c r="S915"/>
      <c r="T915"/>
      <c r="U915"/>
      <c r="V915"/>
      <c r="W915"/>
      <c r="X915"/>
      <c r="Y915"/>
      <c r="AF915"/>
      <c r="AG915"/>
      <c r="AH915"/>
      <c r="AJ915" s="69"/>
      <c r="AN915"/>
      <c r="AX915"/>
      <c r="AY915"/>
    </row>
    <row r="916" spans="1:51" x14ac:dyDescent="0.25">
      <c r="A916" s="232" t="str">
        <f t="shared" si="108"/>
        <v/>
      </c>
      <c r="M916"/>
      <c r="N916"/>
      <c r="O916"/>
      <c r="P916"/>
      <c r="Q916"/>
      <c r="R916"/>
      <c r="S916"/>
      <c r="T916"/>
      <c r="U916"/>
      <c r="V916"/>
      <c r="W916"/>
      <c r="X916"/>
      <c r="Y916"/>
      <c r="AF916"/>
      <c r="AG916"/>
      <c r="AH916"/>
      <c r="AJ916" s="69"/>
      <c r="AN916"/>
      <c r="AX916"/>
      <c r="AY916"/>
    </row>
    <row r="917" spans="1:51" x14ac:dyDescent="0.25">
      <c r="A917" s="232" t="str">
        <f t="shared" si="108"/>
        <v/>
      </c>
      <c r="M917"/>
      <c r="N917"/>
      <c r="O917"/>
      <c r="P917"/>
      <c r="Q917"/>
      <c r="R917"/>
      <c r="S917"/>
      <c r="T917"/>
      <c r="U917"/>
      <c r="V917"/>
      <c r="W917"/>
      <c r="X917"/>
      <c r="Y917"/>
      <c r="AF917"/>
      <c r="AG917"/>
      <c r="AH917"/>
      <c r="AJ917" s="69"/>
      <c r="AN917"/>
      <c r="AX917"/>
      <c r="AY917"/>
    </row>
    <row r="918" spans="1:51" x14ac:dyDescent="0.25">
      <c r="A918" s="232" t="str">
        <f t="shared" si="108"/>
        <v/>
      </c>
      <c r="M918"/>
      <c r="N918"/>
      <c r="O918"/>
      <c r="P918"/>
      <c r="Q918"/>
      <c r="R918"/>
      <c r="S918"/>
      <c r="T918"/>
      <c r="U918"/>
      <c r="V918"/>
      <c r="W918"/>
      <c r="X918"/>
      <c r="Y918"/>
      <c r="AF918"/>
      <c r="AG918"/>
      <c r="AH918"/>
      <c r="AJ918" s="69"/>
      <c r="AN918"/>
      <c r="AX918"/>
      <c r="AY918"/>
    </row>
    <row r="919" spans="1:51" x14ac:dyDescent="0.25">
      <c r="A919" s="232" t="str">
        <f t="shared" si="108"/>
        <v/>
      </c>
      <c r="M919"/>
      <c r="N919"/>
      <c r="O919"/>
      <c r="P919"/>
      <c r="Q919"/>
      <c r="R919"/>
      <c r="S919"/>
      <c r="T919"/>
      <c r="U919"/>
      <c r="V919"/>
      <c r="W919"/>
      <c r="X919"/>
      <c r="Y919"/>
      <c r="AF919"/>
      <c r="AG919"/>
      <c r="AH919"/>
      <c r="AJ919" s="69"/>
      <c r="AN919"/>
      <c r="AX919"/>
      <c r="AY919"/>
    </row>
    <row r="920" spans="1:51" x14ac:dyDescent="0.25">
      <c r="A920" s="232" t="str">
        <f t="shared" si="108"/>
        <v/>
      </c>
      <c r="M920"/>
      <c r="N920"/>
      <c r="O920"/>
      <c r="P920"/>
      <c r="Q920"/>
      <c r="R920"/>
      <c r="S920"/>
      <c r="T920"/>
      <c r="U920"/>
      <c r="V920"/>
      <c r="W920"/>
      <c r="X920"/>
      <c r="Y920"/>
      <c r="AF920"/>
      <c r="AG920"/>
      <c r="AH920"/>
      <c r="AJ920" s="69"/>
      <c r="AN920"/>
      <c r="AX920"/>
      <c r="AY920"/>
    </row>
    <row r="921" spans="1:51" x14ac:dyDescent="0.25">
      <c r="A921" s="232" t="str">
        <f t="shared" si="108"/>
        <v/>
      </c>
      <c r="M921"/>
      <c r="N921"/>
      <c r="O921"/>
      <c r="P921"/>
      <c r="Q921"/>
      <c r="R921"/>
      <c r="S921"/>
      <c r="T921"/>
      <c r="U921"/>
      <c r="V921"/>
      <c r="W921"/>
      <c r="X921"/>
      <c r="Y921"/>
      <c r="AF921"/>
      <c r="AG921"/>
      <c r="AH921"/>
      <c r="AJ921" s="69"/>
      <c r="AN921"/>
      <c r="AX921"/>
      <c r="AY921"/>
    </row>
    <row r="922" spans="1:51" x14ac:dyDescent="0.25">
      <c r="A922" s="232" t="str">
        <f t="shared" si="108"/>
        <v/>
      </c>
      <c r="M922"/>
      <c r="N922"/>
      <c r="O922"/>
      <c r="P922"/>
      <c r="Q922"/>
      <c r="R922"/>
      <c r="S922"/>
      <c r="T922"/>
      <c r="U922"/>
      <c r="V922"/>
      <c r="W922"/>
      <c r="X922"/>
      <c r="Y922"/>
      <c r="AF922"/>
      <c r="AG922"/>
      <c r="AH922"/>
      <c r="AJ922" s="69"/>
      <c r="AN922"/>
      <c r="AX922"/>
      <c r="AY922"/>
    </row>
    <row r="923" spans="1:51" x14ac:dyDescent="0.25">
      <c r="A923" s="232" t="str">
        <f t="shared" si="108"/>
        <v/>
      </c>
      <c r="M923"/>
      <c r="N923"/>
      <c r="O923"/>
      <c r="P923"/>
      <c r="Q923"/>
      <c r="R923"/>
      <c r="S923"/>
      <c r="T923"/>
      <c r="U923"/>
      <c r="V923"/>
      <c r="W923"/>
      <c r="X923"/>
      <c r="Y923"/>
      <c r="AF923"/>
      <c r="AG923"/>
      <c r="AH923"/>
      <c r="AJ923" s="69"/>
      <c r="AN923"/>
      <c r="AX923"/>
      <c r="AY923"/>
    </row>
    <row r="924" spans="1:51" x14ac:dyDescent="0.25">
      <c r="A924" s="232" t="str">
        <f t="shared" si="108"/>
        <v/>
      </c>
      <c r="M924"/>
      <c r="N924"/>
      <c r="O924"/>
      <c r="P924"/>
      <c r="Q924"/>
      <c r="R924"/>
      <c r="S924"/>
      <c r="T924"/>
      <c r="U924"/>
      <c r="V924"/>
      <c r="W924"/>
      <c r="X924"/>
      <c r="Y924"/>
      <c r="AF924"/>
      <c r="AG924"/>
      <c r="AH924"/>
      <c r="AJ924" s="69"/>
      <c r="AN924"/>
      <c r="AX924"/>
      <c r="AY924"/>
    </row>
    <row r="925" spans="1:51" x14ac:dyDescent="0.25">
      <c r="A925" s="232" t="str">
        <f t="shared" si="108"/>
        <v/>
      </c>
      <c r="M925"/>
      <c r="N925"/>
      <c r="O925"/>
      <c r="P925"/>
      <c r="Q925"/>
      <c r="R925"/>
      <c r="S925"/>
      <c r="T925"/>
      <c r="U925"/>
      <c r="V925"/>
      <c r="W925"/>
      <c r="X925"/>
      <c r="Y925"/>
      <c r="AF925"/>
      <c r="AG925"/>
      <c r="AH925"/>
      <c r="AJ925" s="69"/>
      <c r="AN925"/>
      <c r="AX925"/>
      <c r="AY925"/>
    </row>
    <row r="926" spans="1:51" x14ac:dyDescent="0.25">
      <c r="A926" s="232" t="str">
        <f t="shared" si="108"/>
        <v/>
      </c>
      <c r="M926"/>
      <c r="N926"/>
      <c r="O926"/>
      <c r="P926"/>
      <c r="Q926"/>
      <c r="R926"/>
      <c r="S926"/>
      <c r="T926"/>
      <c r="U926"/>
      <c r="V926"/>
      <c r="W926"/>
      <c r="X926"/>
      <c r="Y926"/>
      <c r="AF926"/>
      <c r="AG926"/>
      <c r="AH926"/>
      <c r="AJ926" s="69"/>
      <c r="AN926"/>
      <c r="AX926"/>
      <c r="AY926"/>
    </row>
    <row r="927" spans="1:51" x14ac:dyDescent="0.25">
      <c r="A927" s="232" t="str">
        <f t="shared" si="108"/>
        <v/>
      </c>
      <c r="M927"/>
      <c r="N927"/>
      <c r="O927"/>
      <c r="P927"/>
      <c r="Q927"/>
      <c r="R927"/>
      <c r="S927"/>
      <c r="T927"/>
      <c r="U927"/>
      <c r="V927"/>
      <c r="W927"/>
      <c r="X927"/>
      <c r="Y927"/>
      <c r="AF927"/>
      <c r="AG927"/>
      <c r="AH927"/>
      <c r="AJ927" s="69"/>
      <c r="AN927"/>
      <c r="AX927"/>
      <c r="AY927"/>
    </row>
    <row r="928" spans="1:51" x14ac:dyDescent="0.25">
      <c r="A928" s="232" t="str">
        <f t="shared" si="108"/>
        <v/>
      </c>
      <c r="M928"/>
      <c r="N928"/>
      <c r="O928"/>
      <c r="P928"/>
      <c r="Q928"/>
      <c r="R928"/>
      <c r="S928"/>
      <c r="T928"/>
      <c r="U928"/>
      <c r="V928"/>
      <c r="W928"/>
      <c r="X928"/>
      <c r="Y928"/>
      <c r="AF928"/>
      <c r="AG928"/>
      <c r="AH928"/>
      <c r="AJ928" s="69"/>
      <c r="AN928"/>
      <c r="AX928"/>
      <c r="AY928"/>
    </row>
    <row r="929" spans="1:51" x14ac:dyDescent="0.25">
      <c r="A929" s="232" t="str">
        <f t="shared" si="108"/>
        <v/>
      </c>
      <c r="M929"/>
      <c r="N929"/>
      <c r="O929"/>
      <c r="P929"/>
      <c r="Q929"/>
      <c r="R929"/>
      <c r="S929"/>
      <c r="T929"/>
      <c r="U929"/>
      <c r="V929"/>
      <c r="W929"/>
      <c r="X929"/>
      <c r="Y929"/>
      <c r="AF929"/>
      <c r="AG929"/>
      <c r="AH929"/>
      <c r="AJ929" s="69"/>
      <c r="AN929"/>
      <c r="AX929"/>
      <c r="AY929"/>
    </row>
    <row r="930" spans="1:51" x14ac:dyDescent="0.25">
      <c r="A930" s="232" t="str">
        <f t="shared" si="108"/>
        <v/>
      </c>
      <c r="M930"/>
      <c r="N930"/>
      <c r="O930"/>
      <c r="P930"/>
      <c r="Q930"/>
      <c r="R930"/>
      <c r="S930"/>
      <c r="T930"/>
      <c r="U930"/>
      <c r="V930"/>
      <c r="W930"/>
      <c r="X930"/>
      <c r="Y930"/>
      <c r="AF930"/>
      <c r="AG930"/>
      <c r="AH930"/>
      <c r="AJ930" s="69"/>
      <c r="AN930"/>
      <c r="AX930"/>
      <c r="AY930"/>
    </row>
    <row r="931" spans="1:51" x14ac:dyDescent="0.25">
      <c r="A931" s="232" t="str">
        <f t="shared" si="108"/>
        <v/>
      </c>
      <c r="M931"/>
      <c r="N931"/>
      <c r="O931"/>
      <c r="P931"/>
      <c r="Q931"/>
      <c r="R931"/>
      <c r="S931"/>
      <c r="T931"/>
      <c r="U931"/>
      <c r="V931"/>
      <c r="W931"/>
      <c r="X931"/>
      <c r="Y931"/>
      <c r="AF931"/>
      <c r="AG931"/>
      <c r="AH931"/>
      <c r="AJ931" s="69"/>
      <c r="AN931"/>
      <c r="AX931"/>
      <c r="AY931"/>
    </row>
    <row r="932" spans="1:51" x14ac:dyDescent="0.25">
      <c r="A932" s="232" t="str">
        <f t="shared" si="108"/>
        <v/>
      </c>
      <c r="M932"/>
      <c r="N932"/>
      <c r="O932"/>
      <c r="P932"/>
      <c r="Q932"/>
      <c r="R932"/>
      <c r="S932"/>
      <c r="T932"/>
      <c r="U932"/>
      <c r="V932"/>
      <c r="W932"/>
      <c r="X932"/>
      <c r="Y932"/>
      <c r="AF932"/>
      <c r="AG932"/>
      <c r="AH932"/>
      <c r="AJ932" s="69"/>
      <c r="AN932"/>
      <c r="AX932"/>
      <c r="AY932"/>
    </row>
    <row r="933" spans="1:51" x14ac:dyDescent="0.25">
      <c r="A933" s="232" t="str">
        <f t="shared" si="108"/>
        <v/>
      </c>
      <c r="M933"/>
      <c r="N933"/>
      <c r="O933"/>
      <c r="P933"/>
      <c r="Q933"/>
      <c r="R933"/>
      <c r="S933"/>
      <c r="T933"/>
      <c r="U933"/>
      <c r="V933"/>
      <c r="W933"/>
      <c r="X933"/>
      <c r="Y933"/>
      <c r="AF933"/>
      <c r="AG933"/>
      <c r="AH933"/>
      <c r="AJ933" s="69"/>
      <c r="AN933"/>
      <c r="AX933"/>
      <c r="AY933"/>
    </row>
    <row r="934" spans="1:51" x14ac:dyDescent="0.25">
      <c r="A934" s="232" t="str">
        <f t="shared" si="108"/>
        <v/>
      </c>
      <c r="M934"/>
      <c r="N934"/>
      <c r="O934"/>
      <c r="P934"/>
      <c r="Q934"/>
      <c r="R934"/>
      <c r="S934"/>
      <c r="T934"/>
      <c r="U934"/>
      <c r="V934"/>
      <c r="W934"/>
      <c r="X934"/>
      <c r="Y934"/>
      <c r="AF934"/>
      <c r="AG934"/>
      <c r="AH934"/>
      <c r="AJ934" s="69"/>
      <c r="AN934"/>
      <c r="AX934"/>
      <c r="AY934"/>
    </row>
    <row r="935" spans="1:51" x14ac:dyDescent="0.25">
      <c r="A935" s="232" t="str">
        <f t="shared" si="108"/>
        <v/>
      </c>
      <c r="M935"/>
      <c r="N935"/>
      <c r="O935"/>
      <c r="P935"/>
      <c r="Q935"/>
      <c r="R935"/>
      <c r="S935"/>
      <c r="T935"/>
      <c r="U935"/>
      <c r="V935"/>
      <c r="W935"/>
      <c r="X935"/>
      <c r="Y935"/>
      <c r="AF935"/>
      <c r="AG935"/>
      <c r="AH935"/>
      <c r="AJ935" s="69"/>
      <c r="AN935"/>
      <c r="AX935"/>
      <c r="AY935"/>
    </row>
    <row r="936" spans="1:51" x14ac:dyDescent="0.25">
      <c r="A936" s="232" t="str">
        <f t="shared" si="108"/>
        <v/>
      </c>
      <c r="M936"/>
      <c r="N936"/>
      <c r="O936"/>
      <c r="P936"/>
      <c r="Q936"/>
      <c r="R936"/>
      <c r="S936"/>
      <c r="T936"/>
      <c r="U936"/>
      <c r="V936"/>
      <c r="W936"/>
      <c r="X936"/>
      <c r="Y936"/>
      <c r="AF936"/>
      <c r="AG936"/>
      <c r="AH936"/>
      <c r="AJ936" s="69"/>
      <c r="AN936"/>
      <c r="AX936"/>
      <c r="AY936"/>
    </row>
    <row r="937" spans="1:51" x14ac:dyDescent="0.25">
      <c r="A937" s="232" t="str">
        <f t="shared" si="108"/>
        <v/>
      </c>
      <c r="M937"/>
      <c r="N937"/>
      <c r="O937"/>
      <c r="P937"/>
      <c r="Q937"/>
      <c r="R937"/>
      <c r="S937"/>
      <c r="T937"/>
      <c r="U937"/>
      <c r="V937"/>
      <c r="W937"/>
      <c r="X937"/>
      <c r="Y937"/>
      <c r="AF937"/>
      <c r="AG937"/>
      <c r="AH937"/>
      <c r="AJ937" s="69"/>
      <c r="AN937"/>
      <c r="AX937"/>
      <c r="AY937"/>
    </row>
    <row r="938" spans="1:51" x14ac:dyDescent="0.25">
      <c r="A938" s="232" t="str">
        <f t="shared" si="108"/>
        <v/>
      </c>
      <c r="M938"/>
      <c r="N938"/>
      <c r="O938"/>
      <c r="P938"/>
      <c r="Q938"/>
      <c r="R938"/>
      <c r="S938"/>
      <c r="T938"/>
      <c r="U938"/>
      <c r="V938"/>
      <c r="W938"/>
      <c r="X938"/>
      <c r="Y938"/>
      <c r="AF938"/>
      <c r="AG938"/>
      <c r="AH938"/>
      <c r="AJ938" s="69"/>
      <c r="AN938"/>
      <c r="AX938"/>
      <c r="AY938"/>
    </row>
    <row r="939" spans="1:51" x14ac:dyDescent="0.25">
      <c r="A939" s="232" t="str">
        <f t="shared" si="108"/>
        <v/>
      </c>
      <c r="M939"/>
      <c r="N939"/>
      <c r="O939"/>
      <c r="P939"/>
      <c r="Q939"/>
      <c r="R939"/>
      <c r="S939"/>
      <c r="T939"/>
      <c r="U939"/>
      <c r="V939"/>
      <c r="W939"/>
      <c r="X939"/>
      <c r="Y939"/>
      <c r="AF939"/>
      <c r="AG939"/>
      <c r="AH939"/>
      <c r="AJ939" s="69"/>
      <c r="AN939"/>
      <c r="AX939"/>
      <c r="AY939"/>
    </row>
    <row r="940" spans="1:51" x14ac:dyDescent="0.25">
      <c r="A940" s="232" t="str">
        <f t="shared" si="108"/>
        <v/>
      </c>
      <c r="M940"/>
      <c r="N940"/>
      <c r="O940"/>
      <c r="P940"/>
      <c r="Q940"/>
      <c r="R940"/>
      <c r="S940"/>
      <c r="T940"/>
      <c r="U940"/>
      <c r="V940"/>
      <c r="W940"/>
      <c r="X940"/>
      <c r="Y940"/>
      <c r="AF940"/>
      <c r="AG940"/>
      <c r="AH940"/>
      <c r="AJ940" s="69"/>
      <c r="AN940"/>
      <c r="AX940"/>
      <c r="AY940"/>
    </row>
    <row r="941" spans="1:51" x14ac:dyDescent="0.25">
      <c r="A941" s="232" t="str">
        <f t="shared" si="108"/>
        <v/>
      </c>
      <c r="M941"/>
      <c r="N941"/>
      <c r="O941"/>
      <c r="P941"/>
      <c r="Q941"/>
      <c r="R941"/>
      <c r="S941"/>
      <c r="T941"/>
      <c r="U941"/>
      <c r="V941"/>
      <c r="W941"/>
      <c r="X941"/>
      <c r="Y941"/>
      <c r="AF941"/>
      <c r="AG941"/>
      <c r="AH941"/>
      <c r="AJ941" s="69"/>
      <c r="AN941"/>
      <c r="AX941"/>
      <c r="AY941"/>
    </row>
    <row r="942" spans="1:51" x14ac:dyDescent="0.25">
      <c r="A942" s="232" t="str">
        <f t="shared" si="108"/>
        <v/>
      </c>
      <c r="M942"/>
      <c r="N942"/>
      <c r="O942"/>
      <c r="P942"/>
      <c r="Q942"/>
      <c r="R942"/>
      <c r="S942"/>
      <c r="T942"/>
      <c r="U942"/>
      <c r="V942"/>
      <c r="W942"/>
      <c r="X942"/>
      <c r="Y942"/>
      <c r="AF942"/>
      <c r="AG942"/>
      <c r="AH942"/>
      <c r="AJ942" s="69"/>
      <c r="AN942"/>
      <c r="AX942"/>
      <c r="AY942"/>
    </row>
    <row r="943" spans="1:51" x14ac:dyDescent="0.25">
      <c r="A943" s="232" t="str">
        <f t="shared" si="108"/>
        <v/>
      </c>
      <c r="M943"/>
      <c r="N943"/>
      <c r="O943"/>
      <c r="P943"/>
      <c r="Q943"/>
      <c r="R943"/>
      <c r="S943"/>
      <c r="T943"/>
      <c r="U943"/>
      <c r="V943"/>
      <c r="W943"/>
      <c r="X943"/>
      <c r="Y943"/>
      <c r="AF943"/>
      <c r="AG943"/>
      <c r="AH943"/>
      <c r="AJ943" s="69"/>
      <c r="AN943"/>
      <c r="AX943"/>
      <c r="AY943"/>
    </row>
    <row r="944" spans="1:51" x14ac:dyDescent="0.25">
      <c r="A944" s="232" t="str">
        <f t="shared" si="108"/>
        <v/>
      </c>
      <c r="M944"/>
      <c r="N944"/>
      <c r="O944"/>
      <c r="P944"/>
      <c r="Q944"/>
      <c r="R944"/>
      <c r="S944"/>
      <c r="T944"/>
      <c r="U944"/>
      <c r="V944"/>
      <c r="W944"/>
      <c r="X944"/>
      <c r="Y944"/>
      <c r="AF944"/>
      <c r="AG944"/>
      <c r="AH944"/>
      <c r="AJ944" s="69"/>
      <c r="AN944"/>
      <c r="AX944"/>
      <c r="AY944"/>
    </row>
    <row r="945" spans="1:51" x14ac:dyDescent="0.25">
      <c r="A945" s="232" t="str">
        <f t="shared" si="108"/>
        <v/>
      </c>
      <c r="M945"/>
      <c r="N945"/>
      <c r="O945"/>
      <c r="P945"/>
      <c r="Q945"/>
      <c r="R945"/>
      <c r="S945"/>
      <c r="T945"/>
      <c r="U945"/>
      <c r="V945"/>
      <c r="W945"/>
      <c r="X945"/>
      <c r="Y945"/>
      <c r="AF945"/>
      <c r="AG945"/>
      <c r="AH945"/>
      <c r="AJ945" s="69"/>
      <c r="AN945"/>
      <c r="AX945"/>
      <c r="AY945"/>
    </row>
    <row r="946" spans="1:51" x14ac:dyDescent="0.25">
      <c r="A946" s="232" t="str">
        <f t="shared" si="108"/>
        <v/>
      </c>
      <c r="M946"/>
      <c r="N946"/>
      <c r="O946"/>
      <c r="P946"/>
      <c r="Q946"/>
      <c r="R946"/>
      <c r="S946"/>
      <c r="T946"/>
      <c r="U946"/>
      <c r="V946"/>
      <c r="W946"/>
      <c r="X946"/>
      <c r="Y946"/>
      <c r="AF946"/>
      <c r="AG946"/>
      <c r="AH946"/>
      <c r="AJ946" s="69"/>
      <c r="AN946"/>
      <c r="AX946"/>
      <c r="AY946"/>
    </row>
    <row r="947" spans="1:51" x14ac:dyDescent="0.25">
      <c r="A947" s="232" t="str">
        <f t="shared" si="108"/>
        <v/>
      </c>
      <c r="M947"/>
      <c r="N947"/>
      <c r="O947"/>
      <c r="P947"/>
      <c r="Q947"/>
      <c r="R947"/>
      <c r="S947"/>
      <c r="T947"/>
      <c r="U947"/>
      <c r="V947"/>
      <c r="W947"/>
      <c r="X947"/>
      <c r="Y947"/>
      <c r="AF947"/>
      <c r="AG947"/>
      <c r="AH947"/>
      <c r="AJ947" s="69"/>
      <c r="AN947"/>
      <c r="AX947"/>
      <c r="AY947"/>
    </row>
    <row r="948" spans="1:51" x14ac:dyDescent="0.25">
      <c r="A948" s="232" t="str">
        <f t="shared" si="108"/>
        <v/>
      </c>
      <c r="M948"/>
      <c r="N948"/>
      <c r="O948"/>
      <c r="P948"/>
      <c r="Q948"/>
      <c r="R948"/>
      <c r="S948"/>
      <c r="T948"/>
      <c r="U948"/>
      <c r="V948"/>
      <c r="W948"/>
      <c r="X948"/>
      <c r="Y948"/>
      <c r="AF948"/>
      <c r="AG948"/>
      <c r="AH948"/>
      <c r="AJ948" s="69"/>
      <c r="AN948"/>
      <c r="AX948"/>
      <c r="AY948"/>
    </row>
    <row r="949" spans="1:51" x14ac:dyDescent="0.25">
      <c r="A949" s="232" t="str">
        <f t="shared" si="108"/>
        <v/>
      </c>
      <c r="M949"/>
      <c r="N949"/>
      <c r="O949"/>
      <c r="P949"/>
      <c r="Q949"/>
      <c r="R949"/>
      <c r="S949"/>
      <c r="T949"/>
      <c r="U949"/>
      <c r="V949"/>
      <c r="W949"/>
      <c r="X949"/>
      <c r="Y949"/>
      <c r="AF949"/>
      <c r="AG949"/>
      <c r="AH949"/>
      <c r="AJ949" s="69"/>
      <c r="AN949"/>
      <c r="AX949"/>
      <c r="AY949"/>
    </row>
    <row r="950" spans="1:51" x14ac:dyDescent="0.25">
      <c r="A950" s="232" t="str">
        <f t="shared" si="108"/>
        <v/>
      </c>
      <c r="M950"/>
      <c r="N950"/>
      <c r="O950"/>
      <c r="P950"/>
      <c r="Q950"/>
      <c r="R950"/>
      <c r="S950"/>
      <c r="T950"/>
      <c r="U950"/>
      <c r="V950"/>
      <c r="W950"/>
      <c r="X950"/>
      <c r="Y950"/>
      <c r="AF950"/>
      <c r="AG950"/>
      <c r="AH950"/>
      <c r="AJ950" s="69"/>
      <c r="AN950"/>
      <c r="AX950"/>
      <c r="AY950"/>
    </row>
    <row r="951" spans="1:51" x14ac:dyDescent="0.25">
      <c r="A951" s="232" t="str">
        <f t="shared" si="108"/>
        <v/>
      </c>
      <c r="M951"/>
      <c r="N951"/>
      <c r="O951"/>
      <c r="P951"/>
      <c r="Q951"/>
      <c r="R951"/>
      <c r="S951"/>
      <c r="T951"/>
      <c r="U951"/>
      <c r="V951"/>
      <c r="W951"/>
      <c r="X951"/>
      <c r="Y951"/>
      <c r="AF951"/>
      <c r="AG951"/>
      <c r="AH951"/>
      <c r="AJ951" s="69"/>
      <c r="AN951"/>
      <c r="AX951"/>
      <c r="AY951"/>
    </row>
    <row r="952" spans="1:51" x14ac:dyDescent="0.25">
      <c r="A952" s="232" t="str">
        <f t="shared" si="108"/>
        <v/>
      </c>
      <c r="M952"/>
      <c r="N952"/>
      <c r="O952"/>
      <c r="P952"/>
      <c r="Q952"/>
      <c r="R952"/>
      <c r="S952"/>
      <c r="T952"/>
      <c r="U952"/>
      <c r="V952"/>
      <c r="W952"/>
      <c r="X952"/>
      <c r="Y952"/>
      <c r="AF952"/>
      <c r="AG952"/>
      <c r="AH952"/>
      <c r="AJ952" s="69"/>
      <c r="AN952"/>
      <c r="AX952"/>
      <c r="AY952"/>
    </row>
    <row r="953" spans="1:51" x14ac:dyDescent="0.25">
      <c r="A953" s="232" t="str">
        <f t="shared" si="108"/>
        <v/>
      </c>
      <c r="M953"/>
      <c r="N953"/>
      <c r="O953"/>
      <c r="P953"/>
      <c r="Q953"/>
      <c r="R953"/>
      <c r="S953"/>
      <c r="T953"/>
      <c r="U953"/>
      <c r="V953"/>
      <c r="W953"/>
      <c r="X953"/>
      <c r="Y953"/>
      <c r="AF953"/>
      <c r="AG953"/>
      <c r="AH953"/>
      <c r="AJ953" s="69"/>
      <c r="AN953"/>
      <c r="AX953"/>
      <c r="AY953"/>
    </row>
    <row r="954" spans="1:51" x14ac:dyDescent="0.25">
      <c r="A954" s="232" t="str">
        <f t="shared" si="108"/>
        <v/>
      </c>
      <c r="M954"/>
      <c r="N954"/>
      <c r="O954"/>
      <c r="P954"/>
      <c r="Q954"/>
      <c r="R954"/>
      <c r="S954"/>
      <c r="T954"/>
      <c r="U954"/>
      <c r="V954"/>
      <c r="W954"/>
      <c r="X954"/>
      <c r="Y954"/>
      <c r="AF954"/>
      <c r="AG954"/>
      <c r="AH954"/>
      <c r="AJ954" s="69"/>
      <c r="AN954"/>
      <c r="AX954"/>
      <c r="AY954"/>
    </row>
    <row r="955" spans="1:51" x14ac:dyDescent="0.25">
      <c r="A955" s="232" t="str">
        <f t="shared" si="108"/>
        <v/>
      </c>
      <c r="M955"/>
      <c r="N955"/>
      <c r="O955"/>
      <c r="P955"/>
      <c r="Q955"/>
      <c r="R955"/>
      <c r="S955"/>
      <c r="T955"/>
      <c r="U955"/>
      <c r="V955"/>
      <c r="W955"/>
      <c r="X955"/>
      <c r="Y955"/>
      <c r="AF955"/>
      <c r="AG955"/>
      <c r="AH955"/>
      <c r="AJ955" s="69"/>
      <c r="AN955"/>
      <c r="AX955"/>
      <c r="AY955"/>
    </row>
    <row r="956" spans="1:51" x14ac:dyDescent="0.25">
      <c r="A956" s="232" t="str">
        <f t="shared" si="108"/>
        <v/>
      </c>
      <c r="M956"/>
      <c r="N956"/>
      <c r="O956"/>
      <c r="P956"/>
      <c r="Q956"/>
      <c r="R956"/>
      <c r="S956"/>
      <c r="T956"/>
      <c r="U956"/>
      <c r="V956"/>
      <c r="W956"/>
      <c r="X956"/>
      <c r="Y956"/>
      <c r="AF956"/>
      <c r="AG956"/>
      <c r="AH956"/>
      <c r="AJ956" s="69"/>
      <c r="AN956"/>
      <c r="AX956"/>
      <c r="AY956"/>
    </row>
    <row r="957" spans="1:51" x14ac:dyDescent="0.25">
      <c r="A957" s="232" t="str">
        <f t="shared" si="108"/>
        <v/>
      </c>
      <c r="M957"/>
      <c r="N957"/>
      <c r="O957"/>
      <c r="P957"/>
      <c r="Q957"/>
      <c r="R957"/>
      <c r="S957"/>
      <c r="T957"/>
      <c r="U957"/>
      <c r="V957"/>
      <c r="W957"/>
      <c r="X957"/>
      <c r="Y957"/>
      <c r="AF957"/>
      <c r="AG957"/>
      <c r="AH957"/>
      <c r="AJ957" s="69"/>
      <c r="AN957"/>
      <c r="AX957"/>
      <c r="AY957"/>
    </row>
    <row r="958" spans="1:51" x14ac:dyDescent="0.25">
      <c r="A958" s="232" t="str">
        <f t="shared" si="108"/>
        <v/>
      </c>
      <c r="M958"/>
      <c r="N958"/>
      <c r="O958"/>
      <c r="P958"/>
      <c r="Q958"/>
      <c r="R958"/>
      <c r="S958"/>
      <c r="T958"/>
      <c r="U958"/>
      <c r="V958"/>
      <c r="W958"/>
      <c r="X958"/>
      <c r="Y958"/>
      <c r="AF958"/>
      <c r="AG958"/>
      <c r="AH958"/>
      <c r="AJ958" s="69"/>
      <c r="AN958"/>
      <c r="AX958"/>
      <c r="AY958"/>
    </row>
    <row r="959" spans="1:51" x14ac:dyDescent="0.25">
      <c r="A959" s="232" t="str">
        <f t="shared" si="108"/>
        <v/>
      </c>
      <c r="M959"/>
      <c r="N959"/>
      <c r="O959"/>
      <c r="P959"/>
      <c r="Q959"/>
      <c r="R959"/>
      <c r="S959"/>
      <c r="T959"/>
      <c r="U959"/>
      <c r="V959"/>
      <c r="W959"/>
      <c r="X959"/>
      <c r="Y959"/>
      <c r="AF959"/>
      <c r="AG959"/>
      <c r="AH959"/>
      <c r="AJ959" s="69"/>
      <c r="AN959"/>
      <c r="AX959"/>
      <c r="AY959"/>
    </row>
    <row r="960" spans="1:51" x14ac:dyDescent="0.25">
      <c r="A960" s="232" t="str">
        <f t="shared" si="108"/>
        <v/>
      </c>
      <c r="M960"/>
      <c r="N960"/>
      <c r="O960"/>
      <c r="P960"/>
      <c r="Q960"/>
      <c r="R960"/>
      <c r="S960"/>
      <c r="T960"/>
      <c r="U960"/>
      <c r="V960"/>
      <c r="W960"/>
      <c r="X960"/>
      <c r="Y960"/>
      <c r="AF960"/>
      <c r="AG960"/>
      <c r="AH960"/>
      <c r="AJ960" s="69"/>
      <c r="AN960"/>
      <c r="AX960"/>
      <c r="AY960"/>
    </row>
    <row r="961" spans="36:36" customFormat="1" x14ac:dyDescent="0.25">
      <c r="AJ961" s="69"/>
    </row>
    <row r="962" spans="36:36" customFormat="1" x14ac:dyDescent="0.25">
      <c r="AJ962" s="69"/>
    </row>
    <row r="963" spans="36:36" customFormat="1" x14ac:dyDescent="0.25">
      <c r="AJ963" s="69"/>
    </row>
    <row r="964" spans="36:36" customFormat="1" x14ac:dyDescent="0.25">
      <c r="AJ964" s="69"/>
    </row>
    <row r="965" spans="36:36" customFormat="1" x14ac:dyDescent="0.25">
      <c r="AJ965" s="69"/>
    </row>
    <row r="966" spans="36:36" customFormat="1" x14ac:dyDescent="0.25">
      <c r="AJ966" s="69"/>
    </row>
    <row r="967" spans="36:36" customFormat="1" x14ac:dyDescent="0.25">
      <c r="AJ967" s="69"/>
    </row>
    <row r="968" spans="36:36" customFormat="1" x14ac:dyDescent="0.25">
      <c r="AJ968" s="69"/>
    </row>
    <row r="969" spans="36:36" customFormat="1" x14ac:dyDescent="0.25">
      <c r="AJ969" s="69"/>
    </row>
    <row r="970" spans="36:36" customFormat="1" x14ac:dyDescent="0.25">
      <c r="AJ970" s="69"/>
    </row>
    <row r="971" spans="36:36" customFormat="1" x14ac:dyDescent="0.25">
      <c r="AJ971" s="69"/>
    </row>
    <row r="972" spans="36:36" customFormat="1" x14ac:dyDescent="0.25">
      <c r="AJ972" s="69"/>
    </row>
    <row r="973" spans="36:36" customFormat="1" x14ac:dyDescent="0.25">
      <c r="AJ973" s="69"/>
    </row>
    <row r="974" spans="36:36" customFormat="1" x14ac:dyDescent="0.25">
      <c r="AJ974" s="69"/>
    </row>
    <row r="975" spans="36:36" customFormat="1" x14ac:dyDescent="0.25">
      <c r="AJ975" s="69"/>
    </row>
    <row r="976" spans="36:36" customFormat="1" x14ac:dyDescent="0.25">
      <c r="AJ976" s="69"/>
    </row>
    <row r="977" spans="36:36" customFormat="1" x14ac:dyDescent="0.25">
      <c r="AJ977" s="69"/>
    </row>
    <row r="978" spans="36:36" customFormat="1" x14ac:dyDescent="0.25">
      <c r="AJ978" s="69"/>
    </row>
    <row r="979" spans="36:36" customFormat="1" x14ac:dyDescent="0.25">
      <c r="AJ979" s="69"/>
    </row>
    <row r="980" spans="36:36" customFormat="1" x14ac:dyDescent="0.25">
      <c r="AJ980" s="69"/>
    </row>
    <row r="981" spans="36:36" customFormat="1" x14ac:dyDescent="0.25">
      <c r="AJ981" s="69"/>
    </row>
    <row r="982" spans="36:36" customFormat="1" x14ac:dyDescent="0.25">
      <c r="AJ982" s="69"/>
    </row>
    <row r="983" spans="36:36" customFormat="1" x14ac:dyDescent="0.25">
      <c r="AJ983" s="69"/>
    </row>
    <row r="984" spans="36:36" customFormat="1" x14ac:dyDescent="0.25">
      <c r="AJ984" s="69"/>
    </row>
    <row r="985" spans="36:36" customFormat="1" x14ac:dyDescent="0.25">
      <c r="AJ985" s="69"/>
    </row>
    <row r="986" spans="36:36" customFormat="1" x14ac:dyDescent="0.25">
      <c r="AJ986" s="69"/>
    </row>
    <row r="987" spans="36:36" customFormat="1" x14ac:dyDescent="0.25">
      <c r="AJ987" s="69"/>
    </row>
    <row r="988" spans="36:36" customFormat="1" x14ac:dyDescent="0.25">
      <c r="AJ988" s="69"/>
    </row>
    <row r="989" spans="36:36" customFormat="1" x14ac:dyDescent="0.25">
      <c r="AJ989" s="69"/>
    </row>
    <row r="990" spans="36:36" customFormat="1" x14ac:dyDescent="0.25">
      <c r="AJ990" s="69"/>
    </row>
    <row r="991" spans="36:36" customFormat="1" x14ac:dyDescent="0.25">
      <c r="AJ991" s="69"/>
    </row>
    <row r="992" spans="36:36" customFormat="1" x14ac:dyDescent="0.25">
      <c r="AJ992" s="69"/>
    </row>
    <row r="993" spans="36:36" customFormat="1" x14ac:dyDescent="0.25">
      <c r="AJ993" s="69"/>
    </row>
    <row r="994" spans="36:36" customFormat="1" x14ac:dyDescent="0.25">
      <c r="AJ994" s="69"/>
    </row>
    <row r="995" spans="36:36" customFormat="1" x14ac:dyDescent="0.25">
      <c r="AJ995" s="69"/>
    </row>
    <row r="996" spans="36:36" customFormat="1" x14ac:dyDescent="0.25">
      <c r="AJ996" s="69"/>
    </row>
    <row r="997" spans="36:36" customFormat="1" x14ac:dyDescent="0.25">
      <c r="AJ997" s="69"/>
    </row>
    <row r="998" spans="36:36" customFormat="1" x14ac:dyDescent="0.25">
      <c r="AJ998" s="69"/>
    </row>
    <row r="999" spans="36:36" customFormat="1" x14ac:dyDescent="0.25">
      <c r="AJ999" s="69"/>
    </row>
    <row r="1000" spans="36:36" customFormat="1" x14ac:dyDescent="0.25">
      <c r="AJ1000" s="69"/>
    </row>
    <row r="1001" spans="36:36" customFormat="1" x14ac:dyDescent="0.25">
      <c r="AJ1001" s="69"/>
    </row>
    <row r="1002" spans="36:36" customFormat="1" x14ac:dyDescent="0.25">
      <c r="AJ1002" s="69"/>
    </row>
    <row r="1003" spans="36:36" customFormat="1" x14ac:dyDescent="0.25">
      <c r="AJ1003" s="69"/>
    </row>
    <row r="1004" spans="36:36" customFormat="1" x14ac:dyDescent="0.25">
      <c r="AJ1004" s="69"/>
    </row>
    <row r="1005" spans="36:36" customFormat="1" x14ac:dyDescent="0.25">
      <c r="AJ1005" s="69"/>
    </row>
    <row r="1006" spans="36:36" customFormat="1" x14ac:dyDescent="0.25">
      <c r="AJ1006" s="69"/>
    </row>
    <row r="1007" spans="36:36" customFormat="1" x14ac:dyDescent="0.25">
      <c r="AJ1007" s="69"/>
    </row>
    <row r="1008" spans="36:36" customFormat="1" x14ac:dyDescent="0.25">
      <c r="AJ1008" s="69"/>
    </row>
    <row r="1009" spans="36:36" customFormat="1" x14ac:dyDescent="0.25">
      <c r="AJ1009" s="69"/>
    </row>
    <row r="1010" spans="36:36" customFormat="1" x14ac:dyDescent="0.25">
      <c r="AJ1010" s="69"/>
    </row>
    <row r="1011" spans="36:36" customFormat="1" x14ac:dyDescent="0.25">
      <c r="AJ1011" s="69"/>
    </row>
    <row r="1012" spans="36:36" customFormat="1" x14ac:dyDescent="0.25">
      <c r="AJ1012" s="69"/>
    </row>
    <row r="1013" spans="36:36" customFormat="1" x14ac:dyDescent="0.25">
      <c r="AJ1013" s="69"/>
    </row>
    <row r="1014" spans="36:36" customFormat="1" x14ac:dyDescent="0.25">
      <c r="AJ1014" s="69"/>
    </row>
    <row r="1015" spans="36:36" customFormat="1" x14ac:dyDescent="0.25">
      <c r="AJ1015" s="69"/>
    </row>
    <row r="1016" spans="36:36" customFormat="1" x14ac:dyDescent="0.25">
      <c r="AJ1016" s="69"/>
    </row>
    <row r="1017" spans="36:36" customFormat="1" x14ac:dyDescent="0.25">
      <c r="AJ1017" s="69"/>
    </row>
    <row r="1018" spans="36:36" customFormat="1" x14ac:dyDescent="0.25">
      <c r="AJ1018" s="69"/>
    </row>
    <row r="1019" spans="36:36" customFormat="1" x14ac:dyDescent="0.25">
      <c r="AJ1019" s="69"/>
    </row>
    <row r="1020" spans="36:36" customFormat="1" x14ac:dyDescent="0.25">
      <c r="AJ1020" s="69"/>
    </row>
    <row r="1021" spans="36:36" customFormat="1" x14ac:dyDescent="0.25">
      <c r="AJ1021" s="69"/>
    </row>
    <row r="1022" spans="36:36" customFormat="1" x14ac:dyDescent="0.25">
      <c r="AJ1022" s="69"/>
    </row>
    <row r="1023" spans="36:36" customFormat="1" x14ac:dyDescent="0.25">
      <c r="AJ1023" s="69"/>
    </row>
    <row r="1024" spans="36:36" customFormat="1" x14ac:dyDescent="0.25">
      <c r="AJ1024" s="69"/>
    </row>
    <row r="1025" spans="36:36" customFormat="1" x14ac:dyDescent="0.25">
      <c r="AJ1025" s="69"/>
    </row>
    <row r="1026" spans="36:36" customFormat="1" x14ac:dyDescent="0.25">
      <c r="AJ1026" s="69"/>
    </row>
    <row r="1027" spans="36:36" customFormat="1" x14ac:dyDescent="0.25">
      <c r="AJ1027" s="69"/>
    </row>
    <row r="1028" spans="36:36" customFormat="1" x14ac:dyDescent="0.25">
      <c r="AJ1028" s="69"/>
    </row>
    <row r="1029" spans="36:36" customFormat="1" x14ac:dyDescent="0.25">
      <c r="AJ1029" s="69"/>
    </row>
    <row r="1030" spans="36:36" customFormat="1" x14ac:dyDescent="0.25">
      <c r="AJ1030" s="69"/>
    </row>
    <row r="1031" spans="36:36" customFormat="1" x14ac:dyDescent="0.25">
      <c r="AJ1031" s="69"/>
    </row>
    <row r="1032" spans="36:36" customFormat="1" x14ac:dyDescent="0.25">
      <c r="AJ1032" s="69"/>
    </row>
    <row r="1033" spans="36:36" customFormat="1" x14ac:dyDescent="0.25">
      <c r="AJ1033" s="69"/>
    </row>
    <row r="1034" spans="36:36" customFormat="1" x14ac:dyDescent="0.25">
      <c r="AJ1034" s="69"/>
    </row>
    <row r="1035" spans="36:36" customFormat="1" x14ac:dyDescent="0.25">
      <c r="AJ1035" s="69"/>
    </row>
    <row r="1036" spans="36:36" customFormat="1" x14ac:dyDescent="0.25">
      <c r="AJ1036" s="69"/>
    </row>
    <row r="1037" spans="36:36" customFormat="1" x14ac:dyDescent="0.25">
      <c r="AJ1037" s="69"/>
    </row>
    <row r="1038" spans="36:36" customFormat="1" x14ac:dyDescent="0.25">
      <c r="AJ1038" s="69"/>
    </row>
    <row r="1039" spans="36:36" customFormat="1" x14ac:dyDescent="0.25">
      <c r="AJ1039" s="69"/>
    </row>
    <row r="1040" spans="36:36" customFormat="1" x14ac:dyDescent="0.25">
      <c r="AJ1040" s="69"/>
    </row>
    <row r="1041" spans="36:36" customFormat="1" x14ac:dyDescent="0.25">
      <c r="AJ1041" s="69"/>
    </row>
    <row r="1042" spans="36:36" customFormat="1" x14ac:dyDescent="0.25">
      <c r="AJ1042" s="69"/>
    </row>
    <row r="1043" spans="36:36" customFormat="1" x14ac:dyDescent="0.25">
      <c r="AJ1043" s="69"/>
    </row>
    <row r="1044" spans="36:36" customFormat="1" x14ac:dyDescent="0.25">
      <c r="AJ1044" s="69"/>
    </row>
    <row r="1045" spans="36:36" customFormat="1" x14ac:dyDescent="0.25">
      <c r="AJ1045" s="69"/>
    </row>
    <row r="1046" spans="36:36" customFormat="1" x14ac:dyDescent="0.25">
      <c r="AJ1046" s="69"/>
    </row>
    <row r="1047" spans="36:36" customFormat="1" x14ac:dyDescent="0.25">
      <c r="AJ1047" s="69"/>
    </row>
    <row r="1048" spans="36:36" customFormat="1" x14ac:dyDescent="0.25">
      <c r="AJ1048" s="69"/>
    </row>
    <row r="1049" spans="36:36" customFormat="1" x14ac:dyDescent="0.25">
      <c r="AJ1049" s="69"/>
    </row>
    <row r="1050" spans="36:36" customFormat="1" x14ac:dyDescent="0.25">
      <c r="AJ1050" s="69"/>
    </row>
    <row r="1051" spans="36:36" customFormat="1" x14ac:dyDescent="0.25">
      <c r="AJ1051" s="69"/>
    </row>
    <row r="1052" spans="36:36" customFormat="1" x14ac:dyDescent="0.25">
      <c r="AJ1052" s="69"/>
    </row>
    <row r="1053" spans="36:36" customFormat="1" x14ac:dyDescent="0.25">
      <c r="AJ1053" s="69"/>
    </row>
    <row r="1054" spans="36:36" customFormat="1" x14ac:dyDescent="0.25">
      <c r="AJ1054" s="69"/>
    </row>
    <row r="1055" spans="36:36" customFormat="1" x14ac:dyDescent="0.25">
      <c r="AJ1055" s="69"/>
    </row>
    <row r="1056" spans="36:36" customFormat="1" x14ac:dyDescent="0.25">
      <c r="AJ1056" s="69"/>
    </row>
    <row r="1057" spans="36:36" customFormat="1" x14ac:dyDescent="0.25">
      <c r="AJ1057" s="69"/>
    </row>
    <row r="1058" spans="36:36" customFormat="1" x14ac:dyDescent="0.25">
      <c r="AJ1058" s="69"/>
    </row>
    <row r="1059" spans="36:36" customFormat="1" x14ac:dyDescent="0.25">
      <c r="AJ1059" s="69"/>
    </row>
    <row r="1060" spans="36:36" customFormat="1" x14ac:dyDescent="0.25">
      <c r="AJ1060" s="69"/>
    </row>
    <row r="1061" spans="36:36" customFormat="1" x14ac:dyDescent="0.25">
      <c r="AJ1061" s="69"/>
    </row>
    <row r="1062" spans="36:36" customFormat="1" x14ac:dyDescent="0.25">
      <c r="AJ1062" s="69"/>
    </row>
    <row r="1063" spans="36:36" customFormat="1" x14ac:dyDescent="0.25">
      <c r="AJ1063" s="69"/>
    </row>
    <row r="1064" spans="36:36" customFormat="1" x14ac:dyDescent="0.25">
      <c r="AJ1064" s="69"/>
    </row>
    <row r="1065" spans="36:36" customFormat="1" x14ac:dyDescent="0.25">
      <c r="AJ1065" s="69"/>
    </row>
    <row r="1066" spans="36:36" customFormat="1" x14ac:dyDescent="0.25">
      <c r="AJ1066" s="69"/>
    </row>
    <row r="1067" spans="36:36" customFormat="1" x14ac:dyDescent="0.25">
      <c r="AJ1067" s="69"/>
    </row>
    <row r="1068" spans="36:36" customFormat="1" x14ac:dyDescent="0.25">
      <c r="AJ1068" s="69"/>
    </row>
    <row r="1069" spans="36:36" customFormat="1" x14ac:dyDescent="0.25">
      <c r="AJ1069" s="69"/>
    </row>
    <row r="1070" spans="36:36" customFormat="1" x14ac:dyDescent="0.25">
      <c r="AJ1070" s="69"/>
    </row>
    <row r="1071" spans="36:36" customFormat="1" x14ac:dyDescent="0.25">
      <c r="AJ1071" s="69"/>
    </row>
    <row r="1072" spans="36:36" customFormat="1" x14ac:dyDescent="0.25">
      <c r="AJ1072" s="69"/>
    </row>
    <row r="1073" spans="36:36" customFormat="1" x14ac:dyDescent="0.25">
      <c r="AJ1073" s="69"/>
    </row>
    <row r="1074" spans="36:36" customFormat="1" x14ac:dyDescent="0.25">
      <c r="AJ1074" s="69"/>
    </row>
    <row r="1075" spans="36:36" customFormat="1" x14ac:dyDescent="0.25">
      <c r="AJ1075" s="69"/>
    </row>
    <row r="1076" spans="36:36" customFormat="1" x14ac:dyDescent="0.25">
      <c r="AJ1076" s="69"/>
    </row>
    <row r="1077" spans="36:36" customFormat="1" x14ac:dyDescent="0.25">
      <c r="AJ1077" s="69"/>
    </row>
    <row r="1078" spans="36:36" customFormat="1" x14ac:dyDescent="0.25">
      <c r="AJ1078" s="69"/>
    </row>
    <row r="1079" spans="36:36" customFormat="1" x14ac:dyDescent="0.25">
      <c r="AJ1079" s="69"/>
    </row>
    <row r="1080" spans="36:36" customFormat="1" x14ac:dyDescent="0.25">
      <c r="AJ1080" s="69"/>
    </row>
    <row r="1081" spans="36:36" customFormat="1" x14ac:dyDescent="0.25">
      <c r="AJ1081" s="69"/>
    </row>
    <row r="1082" spans="36:36" customFormat="1" x14ac:dyDescent="0.25">
      <c r="AJ1082" s="69"/>
    </row>
    <row r="1083" spans="36:36" customFormat="1" x14ac:dyDescent="0.25">
      <c r="AJ1083" s="69"/>
    </row>
    <row r="1084" spans="36:36" customFormat="1" x14ac:dyDescent="0.25">
      <c r="AJ1084" s="69"/>
    </row>
    <row r="1085" spans="36:36" customFormat="1" x14ac:dyDescent="0.25">
      <c r="AJ1085" s="69"/>
    </row>
    <row r="1086" spans="36:36" customFormat="1" x14ac:dyDescent="0.25">
      <c r="AJ1086" s="69"/>
    </row>
    <row r="1087" spans="36:36" customFormat="1" x14ac:dyDescent="0.25">
      <c r="AJ1087" s="69"/>
    </row>
    <row r="1088" spans="36:36" customFormat="1" x14ac:dyDescent="0.25">
      <c r="AJ1088" s="69"/>
    </row>
    <row r="1089" spans="36:36" customFormat="1" x14ac:dyDescent="0.25">
      <c r="AJ1089" s="69"/>
    </row>
    <row r="1090" spans="36:36" customFormat="1" x14ac:dyDescent="0.25">
      <c r="AJ1090" s="69"/>
    </row>
    <row r="1091" spans="36:36" customFormat="1" x14ac:dyDescent="0.25">
      <c r="AJ1091" s="69"/>
    </row>
    <row r="1092" spans="36:36" customFormat="1" x14ac:dyDescent="0.25">
      <c r="AJ1092" s="69"/>
    </row>
    <row r="1093" spans="36:36" customFormat="1" x14ac:dyDescent="0.25">
      <c r="AJ1093" s="69"/>
    </row>
    <row r="1094" spans="36:36" customFormat="1" x14ac:dyDescent="0.25">
      <c r="AJ1094" s="69"/>
    </row>
    <row r="1095" spans="36:36" customFormat="1" x14ac:dyDescent="0.25">
      <c r="AJ1095" s="69"/>
    </row>
    <row r="1096" spans="36:36" customFormat="1" x14ac:dyDescent="0.25">
      <c r="AJ1096" s="69"/>
    </row>
    <row r="1097" spans="36:36" customFormat="1" x14ac:dyDescent="0.25">
      <c r="AJ1097" s="69"/>
    </row>
    <row r="1098" spans="36:36" customFormat="1" x14ac:dyDescent="0.25">
      <c r="AJ1098" s="69"/>
    </row>
    <row r="1099" spans="36:36" customFormat="1" x14ac:dyDescent="0.25">
      <c r="AJ1099" s="69"/>
    </row>
    <row r="1100" spans="36:36" customFormat="1" x14ac:dyDescent="0.25">
      <c r="AJ1100" s="69"/>
    </row>
    <row r="1101" spans="36:36" customFormat="1" x14ac:dyDescent="0.25">
      <c r="AJ1101" s="69"/>
    </row>
    <row r="1102" spans="36:36" customFormat="1" x14ac:dyDescent="0.25">
      <c r="AJ1102" s="69"/>
    </row>
    <row r="1103" spans="36:36" customFormat="1" x14ac:dyDescent="0.25">
      <c r="AJ1103" s="69"/>
    </row>
    <row r="1104" spans="36:36" customFormat="1" x14ac:dyDescent="0.25">
      <c r="AJ1104" s="69"/>
    </row>
    <row r="1105" spans="36:36" customFormat="1" x14ac:dyDescent="0.25">
      <c r="AJ1105" s="69"/>
    </row>
    <row r="1106" spans="36:36" customFormat="1" x14ac:dyDescent="0.25">
      <c r="AJ1106" s="69"/>
    </row>
    <row r="1107" spans="36:36" customFormat="1" x14ac:dyDescent="0.25">
      <c r="AJ1107" s="69"/>
    </row>
    <row r="1108" spans="36:36" customFormat="1" x14ac:dyDescent="0.25">
      <c r="AJ1108" s="69"/>
    </row>
    <row r="1109" spans="36:36" customFormat="1" x14ac:dyDescent="0.25">
      <c r="AJ1109" s="69"/>
    </row>
    <row r="1110" spans="36:36" customFormat="1" x14ac:dyDescent="0.25">
      <c r="AJ1110" s="69"/>
    </row>
    <row r="1111" spans="36:36" customFormat="1" x14ac:dyDescent="0.25">
      <c r="AJ1111" s="69"/>
    </row>
    <row r="1112" spans="36:36" customFormat="1" x14ac:dyDescent="0.25">
      <c r="AJ1112" s="69"/>
    </row>
    <row r="1113" spans="36:36" customFormat="1" x14ac:dyDescent="0.25">
      <c r="AJ1113" s="69"/>
    </row>
    <row r="1114" spans="36:36" customFormat="1" x14ac:dyDescent="0.25">
      <c r="AJ1114" s="69"/>
    </row>
    <row r="1115" spans="36:36" customFormat="1" x14ac:dyDescent="0.25">
      <c r="AJ1115" s="69"/>
    </row>
    <row r="1116" spans="36:36" customFormat="1" x14ac:dyDescent="0.25">
      <c r="AJ1116" s="69"/>
    </row>
    <row r="1117" spans="36:36" customFormat="1" x14ac:dyDescent="0.25">
      <c r="AJ1117" s="69"/>
    </row>
    <row r="1118" spans="36:36" customFormat="1" x14ac:dyDescent="0.25">
      <c r="AJ1118" s="69"/>
    </row>
    <row r="1119" spans="36:36" customFormat="1" x14ac:dyDescent="0.25">
      <c r="AJ1119" s="69"/>
    </row>
    <row r="1120" spans="36:36" customFormat="1" x14ac:dyDescent="0.25">
      <c r="AJ1120" s="69"/>
    </row>
    <row r="1121" spans="36:36" customFormat="1" x14ac:dyDescent="0.25">
      <c r="AJ1121" s="69"/>
    </row>
    <row r="1122" spans="36:36" customFormat="1" x14ac:dyDescent="0.25">
      <c r="AJ1122" s="69"/>
    </row>
    <row r="1123" spans="36:36" customFormat="1" x14ac:dyDescent="0.25">
      <c r="AJ1123" s="69"/>
    </row>
    <row r="1124" spans="36:36" customFormat="1" x14ac:dyDescent="0.25">
      <c r="AJ1124" s="69"/>
    </row>
    <row r="1125" spans="36:36" customFormat="1" x14ac:dyDescent="0.25">
      <c r="AJ1125" s="69"/>
    </row>
    <row r="1126" spans="36:36" customFormat="1" x14ac:dyDescent="0.25">
      <c r="AJ1126" s="69"/>
    </row>
    <row r="1127" spans="36:36" customFormat="1" x14ac:dyDescent="0.25">
      <c r="AJ1127" s="69"/>
    </row>
    <row r="1128" spans="36:36" customFormat="1" x14ac:dyDescent="0.25">
      <c r="AJ1128" s="69"/>
    </row>
    <row r="1129" spans="36:36" customFormat="1" x14ac:dyDescent="0.25">
      <c r="AJ1129" s="69"/>
    </row>
    <row r="1130" spans="36:36" customFormat="1" x14ac:dyDescent="0.25">
      <c r="AJ1130" s="69"/>
    </row>
    <row r="1131" spans="36:36" customFormat="1" x14ac:dyDescent="0.25">
      <c r="AJ1131" s="69"/>
    </row>
    <row r="1132" spans="36:36" customFormat="1" x14ac:dyDescent="0.25">
      <c r="AJ1132" s="69"/>
    </row>
    <row r="1133" spans="36:36" customFormat="1" x14ac:dyDescent="0.25">
      <c r="AJ1133" s="69"/>
    </row>
    <row r="1134" spans="36:36" customFormat="1" x14ac:dyDescent="0.25">
      <c r="AJ1134" s="69"/>
    </row>
    <row r="1135" spans="36:36" customFormat="1" x14ac:dyDescent="0.25">
      <c r="AJ1135" s="69"/>
    </row>
    <row r="1136" spans="36:36" customFormat="1" x14ac:dyDescent="0.25">
      <c r="AJ1136" s="69"/>
    </row>
    <row r="1137" spans="36:36" customFormat="1" x14ac:dyDescent="0.25">
      <c r="AJ1137" s="69"/>
    </row>
    <row r="1138" spans="36:36" customFormat="1" x14ac:dyDescent="0.25">
      <c r="AJ1138" s="69"/>
    </row>
    <row r="1139" spans="36:36" customFormat="1" x14ac:dyDescent="0.25">
      <c r="AJ1139" s="69"/>
    </row>
    <row r="1140" spans="36:36" customFormat="1" x14ac:dyDescent="0.25">
      <c r="AJ1140" s="69"/>
    </row>
    <row r="1141" spans="36:36" customFormat="1" x14ac:dyDescent="0.25">
      <c r="AJ1141" s="69"/>
    </row>
    <row r="1142" spans="36:36" customFormat="1" x14ac:dyDescent="0.25">
      <c r="AJ1142" s="69"/>
    </row>
    <row r="1143" spans="36:36" customFormat="1" x14ac:dyDescent="0.25">
      <c r="AJ1143" s="69"/>
    </row>
    <row r="1144" spans="36:36" customFormat="1" x14ac:dyDescent="0.25">
      <c r="AJ1144" s="69"/>
    </row>
    <row r="1145" spans="36:36" customFormat="1" x14ac:dyDescent="0.25">
      <c r="AJ1145" s="69"/>
    </row>
    <row r="1146" spans="36:36" customFormat="1" x14ac:dyDescent="0.25">
      <c r="AJ1146" s="69"/>
    </row>
    <row r="1147" spans="36:36" customFormat="1" x14ac:dyDescent="0.25">
      <c r="AJ1147" s="69"/>
    </row>
    <row r="1148" spans="36:36" customFormat="1" x14ac:dyDescent="0.25">
      <c r="AJ1148" s="69"/>
    </row>
    <row r="1149" spans="36:36" customFormat="1" x14ac:dyDescent="0.25">
      <c r="AJ1149" s="69"/>
    </row>
    <row r="1150" spans="36:36" customFormat="1" x14ac:dyDescent="0.25">
      <c r="AJ1150" s="69"/>
    </row>
    <row r="1151" spans="36:36" customFormat="1" x14ac:dyDescent="0.25">
      <c r="AJ1151" s="69"/>
    </row>
    <row r="1152" spans="36:36" customFormat="1" x14ac:dyDescent="0.25">
      <c r="AJ1152" s="69"/>
    </row>
    <row r="1153" spans="36:36" customFormat="1" x14ac:dyDescent="0.25">
      <c r="AJ1153" s="69"/>
    </row>
    <row r="1154" spans="36:36" customFormat="1" x14ac:dyDescent="0.25">
      <c r="AJ1154" s="69"/>
    </row>
    <row r="1155" spans="36:36" customFormat="1" x14ac:dyDescent="0.25">
      <c r="AJ1155" s="69"/>
    </row>
    <row r="1156" spans="36:36" customFormat="1" x14ac:dyDescent="0.25">
      <c r="AJ1156" s="69"/>
    </row>
    <row r="1157" spans="36:36" customFormat="1" x14ac:dyDescent="0.25">
      <c r="AJ1157" s="69"/>
    </row>
    <row r="1158" spans="36:36" customFormat="1" x14ac:dyDescent="0.25">
      <c r="AJ1158" s="69"/>
    </row>
    <row r="1159" spans="36:36" customFormat="1" x14ac:dyDescent="0.25">
      <c r="AJ1159" s="69"/>
    </row>
    <row r="1160" spans="36:36" customFormat="1" x14ac:dyDescent="0.25">
      <c r="AJ1160" s="69"/>
    </row>
    <row r="1161" spans="36:36" customFormat="1" x14ac:dyDescent="0.25">
      <c r="AJ1161" s="69"/>
    </row>
    <row r="1162" spans="36:36" customFormat="1" x14ac:dyDescent="0.25">
      <c r="AJ1162" s="69"/>
    </row>
    <row r="1163" spans="36:36" customFormat="1" x14ac:dyDescent="0.25">
      <c r="AJ1163" s="69"/>
    </row>
    <row r="1164" spans="36:36" customFormat="1" x14ac:dyDescent="0.25">
      <c r="AJ1164" s="69"/>
    </row>
    <row r="1165" spans="36:36" customFormat="1" x14ac:dyDescent="0.25">
      <c r="AJ1165" s="69"/>
    </row>
    <row r="1166" spans="36:36" customFormat="1" x14ac:dyDescent="0.25">
      <c r="AJ1166" s="69"/>
    </row>
    <row r="1167" spans="36:36" customFormat="1" x14ac:dyDescent="0.25">
      <c r="AJ1167" s="69"/>
    </row>
    <row r="1168" spans="36:36" customFormat="1" x14ac:dyDescent="0.25">
      <c r="AJ1168" s="69"/>
    </row>
    <row r="1169" spans="36:36" customFormat="1" x14ac:dyDescent="0.25">
      <c r="AJ1169" s="69"/>
    </row>
    <row r="1170" spans="36:36" customFormat="1" x14ac:dyDescent="0.25">
      <c r="AJ1170" s="69"/>
    </row>
    <row r="1171" spans="36:36" customFormat="1" x14ac:dyDescent="0.25">
      <c r="AJ1171" s="69"/>
    </row>
    <row r="1172" spans="36:36" customFormat="1" x14ac:dyDescent="0.25">
      <c r="AJ1172" s="69"/>
    </row>
    <row r="1173" spans="36:36" customFormat="1" x14ac:dyDescent="0.25">
      <c r="AJ1173" s="69"/>
    </row>
    <row r="1174" spans="36:36" customFormat="1" x14ac:dyDescent="0.25">
      <c r="AJ1174" s="69"/>
    </row>
    <row r="1175" spans="36:36" customFormat="1" x14ac:dyDescent="0.25">
      <c r="AJ1175" s="69"/>
    </row>
    <row r="1176" spans="36:36" customFormat="1" x14ac:dyDescent="0.25">
      <c r="AJ1176" s="69"/>
    </row>
    <row r="1177" spans="36:36" customFormat="1" x14ac:dyDescent="0.25">
      <c r="AJ1177" s="69"/>
    </row>
    <row r="1178" spans="36:36" customFormat="1" x14ac:dyDescent="0.25">
      <c r="AJ1178" s="69"/>
    </row>
    <row r="1179" spans="36:36" customFormat="1" x14ac:dyDescent="0.25">
      <c r="AJ1179" s="69"/>
    </row>
    <row r="1180" spans="36:36" customFormat="1" x14ac:dyDescent="0.25">
      <c r="AJ1180" s="69"/>
    </row>
    <row r="1181" spans="36:36" customFormat="1" x14ac:dyDescent="0.25">
      <c r="AJ1181" s="69"/>
    </row>
    <row r="1182" spans="36:36" customFormat="1" x14ac:dyDescent="0.25">
      <c r="AJ1182" s="69"/>
    </row>
    <row r="1183" spans="36:36" customFormat="1" x14ac:dyDescent="0.25">
      <c r="AJ1183" s="69"/>
    </row>
    <row r="1184" spans="36:36" customFormat="1" x14ac:dyDescent="0.25">
      <c r="AJ1184" s="69"/>
    </row>
    <row r="1185" spans="36:36" customFormat="1" x14ac:dyDescent="0.25">
      <c r="AJ1185" s="69"/>
    </row>
    <row r="1186" spans="36:36" customFormat="1" x14ac:dyDescent="0.25">
      <c r="AJ1186" s="69"/>
    </row>
    <row r="1187" spans="36:36" customFormat="1" x14ac:dyDescent="0.25">
      <c r="AJ1187" s="69"/>
    </row>
    <row r="1188" spans="36:36" customFormat="1" x14ac:dyDescent="0.25">
      <c r="AJ1188" s="69"/>
    </row>
    <row r="1189" spans="36:36" customFormat="1" x14ac:dyDescent="0.25">
      <c r="AJ1189" s="69"/>
    </row>
    <row r="1190" spans="36:36" customFormat="1" x14ac:dyDescent="0.25">
      <c r="AJ1190" s="69"/>
    </row>
    <row r="1191" spans="36:36" customFormat="1" x14ac:dyDescent="0.25">
      <c r="AJ1191" s="69"/>
    </row>
    <row r="1192" spans="36:36" customFormat="1" x14ac:dyDescent="0.25">
      <c r="AJ1192" s="69"/>
    </row>
    <row r="1193" spans="36:36" customFormat="1" x14ac:dyDescent="0.25">
      <c r="AJ1193" s="69"/>
    </row>
    <row r="1194" spans="36:36" customFormat="1" x14ac:dyDescent="0.25">
      <c r="AJ1194" s="69"/>
    </row>
    <row r="1195" spans="36:36" customFormat="1" x14ac:dyDescent="0.25">
      <c r="AJ1195" s="69"/>
    </row>
    <row r="1196" spans="36:36" customFormat="1" x14ac:dyDescent="0.25">
      <c r="AJ1196" s="69"/>
    </row>
    <row r="1197" spans="36:36" customFormat="1" x14ac:dyDescent="0.25">
      <c r="AJ1197" s="69"/>
    </row>
    <row r="1198" spans="36:36" customFormat="1" x14ac:dyDescent="0.25">
      <c r="AJ1198" s="69"/>
    </row>
    <row r="1199" spans="36:36" customFormat="1" x14ac:dyDescent="0.25">
      <c r="AJ1199" s="69"/>
    </row>
    <row r="1200" spans="36:36" customFormat="1" x14ac:dyDescent="0.25">
      <c r="AJ1200" s="69"/>
    </row>
    <row r="1201" spans="36:36" customFormat="1" x14ac:dyDescent="0.25">
      <c r="AJ1201" s="69"/>
    </row>
    <row r="1202" spans="36:36" customFormat="1" x14ac:dyDescent="0.25">
      <c r="AJ1202" s="69"/>
    </row>
    <row r="1203" spans="36:36" customFormat="1" x14ac:dyDescent="0.25">
      <c r="AJ1203" s="69"/>
    </row>
    <row r="1204" spans="36:36" customFormat="1" x14ac:dyDescent="0.25">
      <c r="AJ1204" s="69"/>
    </row>
    <row r="1205" spans="36:36" customFormat="1" x14ac:dyDescent="0.25">
      <c r="AJ1205" s="69"/>
    </row>
    <row r="1206" spans="36:36" customFormat="1" x14ac:dyDescent="0.25">
      <c r="AJ1206" s="69"/>
    </row>
    <row r="1207" spans="36:36" customFormat="1" x14ac:dyDescent="0.25">
      <c r="AJ1207" s="69"/>
    </row>
    <row r="1208" spans="36:36" customFormat="1" x14ac:dyDescent="0.25">
      <c r="AJ1208" s="69"/>
    </row>
    <row r="1209" spans="36:36" customFormat="1" x14ac:dyDescent="0.25">
      <c r="AJ1209" s="69"/>
    </row>
    <row r="1210" spans="36:36" customFormat="1" x14ac:dyDescent="0.25">
      <c r="AJ1210" s="69"/>
    </row>
    <row r="1211" spans="36:36" customFormat="1" x14ac:dyDescent="0.25">
      <c r="AJ1211" s="69"/>
    </row>
    <row r="1212" spans="36:36" customFormat="1" x14ac:dyDescent="0.25">
      <c r="AJ1212" s="69"/>
    </row>
    <row r="1213" spans="36:36" customFormat="1" x14ac:dyDescent="0.25">
      <c r="AJ1213" s="69"/>
    </row>
    <row r="1214" spans="36:36" customFormat="1" x14ac:dyDescent="0.25">
      <c r="AJ1214" s="69"/>
    </row>
    <row r="1215" spans="36:36" customFormat="1" x14ac:dyDescent="0.25">
      <c r="AJ1215" s="69"/>
    </row>
    <row r="1216" spans="36:36" customFormat="1" x14ac:dyDescent="0.25">
      <c r="AJ1216" s="69"/>
    </row>
    <row r="1217" spans="36:36" customFormat="1" x14ac:dyDescent="0.25">
      <c r="AJ1217" s="69"/>
    </row>
    <row r="1218" spans="36:36" customFormat="1" x14ac:dyDescent="0.25">
      <c r="AJ1218" s="69"/>
    </row>
    <row r="1219" spans="36:36" customFormat="1" x14ac:dyDescent="0.25">
      <c r="AJ1219" s="69"/>
    </row>
    <row r="1220" spans="36:36" customFormat="1" x14ac:dyDescent="0.25">
      <c r="AJ1220" s="69"/>
    </row>
    <row r="1221" spans="36:36" customFormat="1" x14ac:dyDescent="0.25">
      <c r="AJ1221" s="69"/>
    </row>
    <row r="1222" spans="36:36" customFormat="1" x14ac:dyDescent="0.25">
      <c r="AJ1222" s="69"/>
    </row>
    <row r="1223" spans="36:36" customFormat="1" x14ac:dyDescent="0.25">
      <c r="AJ1223" s="69"/>
    </row>
    <row r="1224" spans="36:36" customFormat="1" x14ac:dyDescent="0.25">
      <c r="AJ1224" s="69"/>
    </row>
    <row r="1225" spans="36:36" customFormat="1" x14ac:dyDescent="0.25">
      <c r="AJ1225" s="69"/>
    </row>
    <row r="1226" spans="36:36" customFormat="1" x14ac:dyDescent="0.25">
      <c r="AJ1226" s="69"/>
    </row>
    <row r="1227" spans="36:36" customFormat="1" x14ac:dyDescent="0.25">
      <c r="AJ1227" s="69"/>
    </row>
    <row r="1228" spans="36:36" customFormat="1" x14ac:dyDescent="0.25">
      <c r="AJ1228" s="69"/>
    </row>
    <row r="1229" spans="36:36" customFormat="1" x14ac:dyDescent="0.25">
      <c r="AJ1229" s="69"/>
    </row>
    <row r="1230" spans="36:36" customFormat="1" x14ac:dyDescent="0.25">
      <c r="AJ1230" s="69"/>
    </row>
    <row r="1231" spans="36:36" customFormat="1" x14ac:dyDescent="0.25">
      <c r="AJ1231" s="69"/>
    </row>
    <row r="1232" spans="36:36" customFormat="1" x14ac:dyDescent="0.25">
      <c r="AJ1232" s="69"/>
    </row>
    <row r="1233" spans="36:36" customFormat="1" x14ac:dyDescent="0.25">
      <c r="AJ1233" s="69"/>
    </row>
    <row r="1234" spans="36:36" customFormat="1" x14ac:dyDescent="0.25">
      <c r="AJ1234" s="69"/>
    </row>
    <row r="1235" spans="36:36" customFormat="1" x14ac:dyDescent="0.25">
      <c r="AJ1235" s="69"/>
    </row>
    <row r="1236" spans="36:36" customFormat="1" x14ac:dyDescent="0.25">
      <c r="AJ1236" s="69"/>
    </row>
    <row r="1237" spans="36:36" customFormat="1" x14ac:dyDescent="0.25">
      <c r="AJ1237" s="69"/>
    </row>
    <row r="1238" spans="36:36" customFormat="1" x14ac:dyDescent="0.25">
      <c r="AJ1238" s="69"/>
    </row>
    <row r="1239" spans="36:36" customFormat="1" x14ac:dyDescent="0.25">
      <c r="AJ1239" s="69"/>
    </row>
    <row r="1240" spans="36:36" customFormat="1" x14ac:dyDescent="0.25">
      <c r="AJ1240" s="69"/>
    </row>
    <row r="1241" spans="36:36" customFormat="1" x14ac:dyDescent="0.25">
      <c r="AJ1241" s="69"/>
    </row>
    <row r="1242" spans="36:36" customFormat="1" x14ac:dyDescent="0.25">
      <c r="AJ1242" s="69"/>
    </row>
    <row r="1243" spans="36:36" customFormat="1" x14ac:dyDescent="0.25">
      <c r="AJ1243" s="69"/>
    </row>
    <row r="1244" spans="36:36" customFormat="1" x14ac:dyDescent="0.25">
      <c r="AJ1244" s="69"/>
    </row>
    <row r="1245" spans="36:36" customFormat="1" x14ac:dyDescent="0.25">
      <c r="AJ1245" s="69"/>
    </row>
    <row r="1246" spans="36:36" customFormat="1" x14ac:dyDescent="0.25">
      <c r="AJ1246" s="69"/>
    </row>
    <row r="1247" spans="36:36" customFormat="1" x14ac:dyDescent="0.25">
      <c r="AJ1247" s="69"/>
    </row>
    <row r="1248" spans="36:36" customFormat="1" x14ac:dyDescent="0.25">
      <c r="AJ1248" s="69"/>
    </row>
    <row r="1249" spans="36:36" customFormat="1" x14ac:dyDescent="0.25">
      <c r="AJ1249" s="69"/>
    </row>
    <row r="1250" spans="36:36" customFormat="1" x14ac:dyDescent="0.25">
      <c r="AJ1250" s="69"/>
    </row>
    <row r="1251" spans="36:36" customFormat="1" x14ac:dyDescent="0.25">
      <c r="AJ1251" s="69"/>
    </row>
    <row r="1252" spans="36:36" customFormat="1" x14ac:dyDescent="0.25">
      <c r="AJ1252" s="69"/>
    </row>
    <row r="1253" spans="36:36" customFormat="1" x14ac:dyDescent="0.25">
      <c r="AJ1253" s="69"/>
    </row>
    <row r="1254" spans="36:36" customFormat="1" x14ac:dyDescent="0.25">
      <c r="AJ1254" s="69"/>
    </row>
    <row r="1255" spans="36:36" customFormat="1" x14ac:dyDescent="0.25">
      <c r="AJ1255" s="69"/>
    </row>
    <row r="1256" spans="36:36" customFormat="1" x14ac:dyDescent="0.25">
      <c r="AJ1256" s="69"/>
    </row>
    <row r="1257" spans="36:36" customFormat="1" x14ac:dyDescent="0.25">
      <c r="AJ1257" s="69"/>
    </row>
    <row r="1258" spans="36:36" customFormat="1" x14ac:dyDescent="0.25">
      <c r="AJ1258" s="69"/>
    </row>
    <row r="1259" spans="36:36" customFormat="1" x14ac:dyDescent="0.25">
      <c r="AJ1259" s="69"/>
    </row>
    <row r="1260" spans="36:36" customFormat="1" x14ac:dyDescent="0.25">
      <c r="AJ1260" s="69"/>
    </row>
    <row r="1261" spans="36:36" customFormat="1" x14ac:dyDescent="0.25">
      <c r="AJ1261" s="69"/>
    </row>
    <row r="1262" spans="36:36" customFormat="1" x14ac:dyDescent="0.25">
      <c r="AJ1262" s="69"/>
    </row>
    <row r="1263" spans="36:36" customFormat="1" x14ac:dyDescent="0.25">
      <c r="AJ1263" s="69"/>
    </row>
    <row r="1264" spans="36:36" customFormat="1" x14ac:dyDescent="0.25">
      <c r="AJ1264" s="69"/>
    </row>
    <row r="1265" spans="36:36" customFormat="1" x14ac:dyDescent="0.25">
      <c r="AJ1265" s="69"/>
    </row>
    <row r="1266" spans="36:36" customFormat="1" x14ac:dyDescent="0.25">
      <c r="AJ1266" s="69"/>
    </row>
    <row r="1267" spans="36:36" customFormat="1" x14ac:dyDescent="0.25">
      <c r="AJ1267" s="69"/>
    </row>
    <row r="1268" spans="36:36" customFormat="1" x14ac:dyDescent="0.25">
      <c r="AJ1268" s="69"/>
    </row>
    <row r="1269" spans="36:36" customFormat="1" x14ac:dyDescent="0.25">
      <c r="AJ1269" s="69"/>
    </row>
    <row r="1270" spans="36:36" customFormat="1" x14ac:dyDescent="0.25">
      <c r="AJ1270" s="69"/>
    </row>
    <row r="1271" spans="36:36" customFormat="1" x14ac:dyDescent="0.25">
      <c r="AJ1271" s="69"/>
    </row>
    <row r="1272" spans="36:36" customFormat="1" x14ac:dyDescent="0.25">
      <c r="AJ1272" s="69"/>
    </row>
    <row r="1273" spans="36:36" customFormat="1" x14ac:dyDescent="0.25">
      <c r="AJ1273" s="69"/>
    </row>
    <row r="1274" spans="36:36" customFormat="1" x14ac:dyDescent="0.25">
      <c r="AJ1274" s="69"/>
    </row>
    <row r="1275" spans="36:36" customFormat="1" x14ac:dyDescent="0.25">
      <c r="AJ1275" s="69"/>
    </row>
    <row r="1276" spans="36:36" customFormat="1" x14ac:dyDescent="0.25">
      <c r="AJ1276" s="69"/>
    </row>
    <row r="1277" spans="36:36" customFormat="1" x14ac:dyDescent="0.25">
      <c r="AJ1277" s="69"/>
    </row>
    <row r="1278" spans="36:36" customFormat="1" x14ac:dyDescent="0.25">
      <c r="AJ1278" s="69"/>
    </row>
    <row r="1279" spans="36:36" customFormat="1" x14ac:dyDescent="0.25">
      <c r="AJ1279" s="69"/>
    </row>
    <row r="1280" spans="36:36" customFormat="1" x14ac:dyDescent="0.25">
      <c r="AJ1280" s="69"/>
    </row>
    <row r="1281" spans="36:36" customFormat="1" x14ac:dyDescent="0.25">
      <c r="AJ1281" s="69"/>
    </row>
    <row r="1282" spans="36:36" customFormat="1" x14ac:dyDescent="0.25">
      <c r="AJ1282" s="69"/>
    </row>
    <row r="1283" spans="36:36" customFormat="1" x14ac:dyDescent="0.25">
      <c r="AJ1283" s="69"/>
    </row>
    <row r="1284" spans="36:36" customFormat="1" x14ac:dyDescent="0.25">
      <c r="AJ1284" s="69"/>
    </row>
    <row r="1285" spans="36:36" customFormat="1" x14ac:dyDescent="0.25">
      <c r="AJ1285" s="69"/>
    </row>
    <row r="1286" spans="36:36" customFormat="1" x14ac:dyDescent="0.25">
      <c r="AJ1286" s="69"/>
    </row>
    <row r="1287" spans="36:36" customFormat="1" x14ac:dyDescent="0.25">
      <c r="AJ1287" s="69"/>
    </row>
    <row r="1288" spans="36:36" customFormat="1" x14ac:dyDescent="0.25">
      <c r="AJ1288" s="69"/>
    </row>
    <row r="1289" spans="36:36" customFormat="1" x14ac:dyDescent="0.25">
      <c r="AJ1289" s="69"/>
    </row>
    <row r="1290" spans="36:36" customFormat="1" x14ac:dyDescent="0.25">
      <c r="AJ1290" s="69"/>
    </row>
    <row r="1291" spans="36:36" customFormat="1" x14ac:dyDescent="0.25">
      <c r="AJ1291" s="69"/>
    </row>
    <row r="1292" spans="36:36" customFormat="1" x14ac:dyDescent="0.25">
      <c r="AJ1292" s="69"/>
    </row>
    <row r="1293" spans="36:36" customFormat="1" x14ac:dyDescent="0.25">
      <c r="AJ1293" s="69"/>
    </row>
    <row r="1294" spans="36:36" customFormat="1" x14ac:dyDescent="0.25">
      <c r="AJ1294" s="69"/>
    </row>
    <row r="1295" spans="36:36" customFormat="1" x14ac:dyDescent="0.25">
      <c r="AJ1295" s="69"/>
    </row>
    <row r="1296" spans="36:36" customFormat="1" x14ac:dyDescent="0.25">
      <c r="AJ1296" s="69"/>
    </row>
    <row r="1297" spans="36:36" customFormat="1" x14ac:dyDescent="0.25">
      <c r="AJ1297" s="69"/>
    </row>
    <row r="1298" spans="36:36" customFormat="1" x14ac:dyDescent="0.25">
      <c r="AJ1298" s="69"/>
    </row>
    <row r="1299" spans="36:36" customFormat="1" x14ac:dyDescent="0.25">
      <c r="AJ1299" s="69"/>
    </row>
    <row r="1300" spans="36:36" customFormat="1" x14ac:dyDescent="0.25">
      <c r="AJ1300" s="69"/>
    </row>
    <row r="1301" spans="36:36" customFormat="1" x14ac:dyDescent="0.25">
      <c r="AJ1301" s="69"/>
    </row>
    <row r="1302" spans="36:36" customFormat="1" x14ac:dyDescent="0.25">
      <c r="AJ1302" s="69"/>
    </row>
    <row r="1303" spans="36:36" customFormat="1" x14ac:dyDescent="0.25">
      <c r="AJ1303" s="69"/>
    </row>
    <row r="1304" spans="36:36" customFormat="1" x14ac:dyDescent="0.25">
      <c r="AJ1304" s="69"/>
    </row>
    <row r="1305" spans="36:36" customFormat="1" x14ac:dyDescent="0.25">
      <c r="AJ1305" s="69"/>
    </row>
    <row r="1306" spans="36:36" customFormat="1" x14ac:dyDescent="0.25">
      <c r="AJ1306" s="69"/>
    </row>
    <row r="1307" spans="36:36" customFormat="1" x14ac:dyDescent="0.25">
      <c r="AJ1307" s="69"/>
    </row>
    <row r="1308" spans="36:36" customFormat="1" x14ac:dyDescent="0.25">
      <c r="AJ1308" s="69"/>
    </row>
    <row r="1309" spans="36:36" customFormat="1" x14ac:dyDescent="0.25">
      <c r="AJ1309" s="69"/>
    </row>
    <row r="1310" spans="36:36" customFormat="1" x14ac:dyDescent="0.25">
      <c r="AJ1310" s="69"/>
    </row>
    <row r="1311" spans="36:36" customFormat="1" x14ac:dyDescent="0.25">
      <c r="AJ1311" s="69"/>
    </row>
    <row r="1312" spans="36:36" customFormat="1" x14ac:dyDescent="0.25">
      <c r="AJ1312" s="69"/>
    </row>
    <row r="1313" spans="36:36" customFormat="1" x14ac:dyDescent="0.25">
      <c r="AJ1313" s="69"/>
    </row>
    <row r="1314" spans="36:36" customFormat="1" x14ac:dyDescent="0.25">
      <c r="AJ1314" s="69"/>
    </row>
    <row r="1315" spans="36:36" customFormat="1" x14ac:dyDescent="0.25">
      <c r="AJ1315" s="69"/>
    </row>
    <row r="1316" spans="36:36" customFormat="1" x14ac:dyDescent="0.25">
      <c r="AJ1316" s="69"/>
    </row>
    <row r="1317" spans="36:36" customFormat="1" x14ac:dyDescent="0.25">
      <c r="AJ1317" s="69"/>
    </row>
    <row r="1318" spans="36:36" customFormat="1" x14ac:dyDescent="0.25">
      <c r="AJ1318" s="69"/>
    </row>
    <row r="1319" spans="36:36" customFormat="1" x14ac:dyDescent="0.25">
      <c r="AJ1319" s="69"/>
    </row>
    <row r="1320" spans="36:36" customFormat="1" x14ac:dyDescent="0.25">
      <c r="AJ1320" s="69"/>
    </row>
    <row r="1321" spans="36:36" customFormat="1" x14ac:dyDescent="0.25">
      <c r="AJ1321" s="69"/>
    </row>
    <row r="1322" spans="36:36" customFormat="1" x14ac:dyDescent="0.25">
      <c r="AJ1322" s="69"/>
    </row>
    <row r="1323" spans="36:36" customFormat="1" x14ac:dyDescent="0.25">
      <c r="AJ1323" s="69"/>
    </row>
    <row r="1324" spans="36:36" customFormat="1" x14ac:dyDescent="0.25">
      <c r="AJ1324" s="69"/>
    </row>
    <row r="1325" spans="36:36" customFormat="1" x14ac:dyDescent="0.25">
      <c r="AJ1325" s="69"/>
    </row>
    <row r="1326" spans="36:36" customFormat="1" x14ac:dyDescent="0.25">
      <c r="AJ1326" s="69"/>
    </row>
    <row r="1327" spans="36:36" customFormat="1" x14ac:dyDescent="0.25">
      <c r="AJ1327" s="69"/>
    </row>
    <row r="1328" spans="36:36" customFormat="1" x14ac:dyDescent="0.25">
      <c r="AJ1328" s="69"/>
    </row>
    <row r="1329" spans="36:36" customFormat="1" x14ac:dyDescent="0.25">
      <c r="AJ1329" s="69"/>
    </row>
    <row r="1330" spans="36:36" customFormat="1" x14ac:dyDescent="0.25">
      <c r="AJ1330" s="69"/>
    </row>
    <row r="1331" spans="36:36" customFormat="1" x14ac:dyDescent="0.25">
      <c r="AJ1331" s="69"/>
    </row>
    <row r="1332" spans="36:36" customFormat="1" x14ac:dyDescent="0.25">
      <c r="AJ1332" s="69"/>
    </row>
    <row r="1333" spans="36:36" customFormat="1" x14ac:dyDescent="0.25">
      <c r="AJ1333" s="69"/>
    </row>
    <row r="1334" spans="36:36" customFormat="1" x14ac:dyDescent="0.25">
      <c r="AJ1334" s="69"/>
    </row>
    <row r="1335" spans="36:36" customFormat="1" x14ac:dyDescent="0.25">
      <c r="AJ1335" s="69"/>
    </row>
    <row r="1336" spans="36:36" customFormat="1" x14ac:dyDescent="0.25">
      <c r="AJ1336" s="69"/>
    </row>
    <row r="1337" spans="36:36" customFormat="1" x14ac:dyDescent="0.25">
      <c r="AJ1337" s="69"/>
    </row>
    <row r="1338" spans="36:36" customFormat="1" x14ac:dyDescent="0.25">
      <c r="AJ1338" s="69"/>
    </row>
    <row r="1339" spans="36:36" customFormat="1" x14ac:dyDescent="0.25">
      <c r="AJ1339" s="69"/>
    </row>
    <row r="1340" spans="36:36" customFormat="1" x14ac:dyDescent="0.25">
      <c r="AJ1340" s="69"/>
    </row>
    <row r="1341" spans="36:36" customFormat="1" x14ac:dyDescent="0.25">
      <c r="AJ1341" s="69"/>
    </row>
    <row r="1342" spans="36:36" customFormat="1" x14ac:dyDescent="0.25">
      <c r="AJ1342" s="69"/>
    </row>
    <row r="1343" spans="36:36" customFormat="1" x14ac:dyDescent="0.25">
      <c r="AJ1343" s="69"/>
    </row>
    <row r="1344" spans="36:36" customFormat="1" x14ac:dyDescent="0.25">
      <c r="AJ1344" s="69"/>
    </row>
    <row r="1345" spans="36:36" customFormat="1" x14ac:dyDescent="0.25">
      <c r="AJ1345" s="69"/>
    </row>
    <row r="1346" spans="36:36" customFormat="1" x14ac:dyDescent="0.25">
      <c r="AJ1346" s="69"/>
    </row>
    <row r="1347" spans="36:36" customFormat="1" x14ac:dyDescent="0.25">
      <c r="AJ1347" s="69"/>
    </row>
    <row r="1348" spans="36:36" customFormat="1" x14ac:dyDescent="0.25">
      <c r="AJ1348" s="69"/>
    </row>
    <row r="1349" spans="36:36" customFormat="1" x14ac:dyDescent="0.25">
      <c r="AJ1349" s="69"/>
    </row>
    <row r="1350" spans="36:36" customFormat="1" x14ac:dyDescent="0.25">
      <c r="AJ1350" s="69"/>
    </row>
    <row r="1351" spans="36:36" customFormat="1" x14ac:dyDescent="0.25">
      <c r="AJ1351" s="69"/>
    </row>
    <row r="1352" spans="36:36" customFormat="1" x14ac:dyDescent="0.25">
      <c r="AJ1352" s="69"/>
    </row>
    <row r="1353" spans="36:36" customFormat="1" x14ac:dyDescent="0.25">
      <c r="AJ1353" s="69"/>
    </row>
    <row r="1354" spans="36:36" customFormat="1" x14ac:dyDescent="0.25">
      <c r="AJ1354" s="69"/>
    </row>
    <row r="1355" spans="36:36" customFormat="1" x14ac:dyDescent="0.25">
      <c r="AJ1355" s="69"/>
    </row>
    <row r="1356" spans="36:36" customFormat="1" x14ac:dyDescent="0.25">
      <c r="AJ1356" s="69"/>
    </row>
    <row r="1357" spans="36:36" customFormat="1" x14ac:dyDescent="0.25">
      <c r="AJ1357" s="69"/>
    </row>
    <row r="1358" spans="36:36" customFormat="1" x14ac:dyDescent="0.25">
      <c r="AJ1358" s="69"/>
    </row>
    <row r="1359" spans="36:36" customFormat="1" x14ac:dyDescent="0.25">
      <c r="AJ1359" s="69"/>
    </row>
    <row r="1360" spans="36:36" customFormat="1" x14ac:dyDescent="0.25">
      <c r="AJ1360" s="69"/>
    </row>
    <row r="1361" spans="36:36" customFormat="1" x14ac:dyDescent="0.25">
      <c r="AJ1361" s="69"/>
    </row>
    <row r="1362" spans="36:36" customFormat="1" x14ac:dyDescent="0.25">
      <c r="AJ1362" s="69"/>
    </row>
    <row r="1363" spans="36:36" customFormat="1" x14ac:dyDescent="0.25">
      <c r="AJ1363" s="69"/>
    </row>
    <row r="1364" spans="36:36" customFormat="1" x14ac:dyDescent="0.25">
      <c r="AJ1364" s="69"/>
    </row>
    <row r="1365" spans="36:36" customFormat="1" x14ac:dyDescent="0.25">
      <c r="AJ1365" s="69"/>
    </row>
    <row r="1366" spans="36:36" customFormat="1" x14ac:dyDescent="0.25">
      <c r="AJ1366" s="69"/>
    </row>
    <row r="1367" spans="36:36" customFormat="1" x14ac:dyDescent="0.25">
      <c r="AJ1367" s="69"/>
    </row>
    <row r="1368" spans="36:36" customFormat="1" x14ac:dyDescent="0.25">
      <c r="AJ1368" s="69"/>
    </row>
    <row r="1369" spans="36:36" customFormat="1" x14ac:dyDescent="0.25">
      <c r="AJ1369" s="69"/>
    </row>
    <row r="1370" spans="36:36" customFormat="1" x14ac:dyDescent="0.25">
      <c r="AJ1370" s="69"/>
    </row>
    <row r="1371" spans="36:36" customFormat="1" x14ac:dyDescent="0.25">
      <c r="AJ1371" s="69"/>
    </row>
    <row r="1372" spans="36:36" customFormat="1" x14ac:dyDescent="0.25">
      <c r="AJ1372" s="69"/>
    </row>
    <row r="1373" spans="36:36" customFormat="1" x14ac:dyDescent="0.25">
      <c r="AJ1373" s="69"/>
    </row>
    <row r="1374" spans="36:36" customFormat="1" x14ac:dyDescent="0.25">
      <c r="AJ1374" s="69"/>
    </row>
    <row r="1375" spans="36:36" customFormat="1" x14ac:dyDescent="0.25">
      <c r="AJ1375" s="69"/>
    </row>
    <row r="1376" spans="36:36" customFormat="1" x14ac:dyDescent="0.25">
      <c r="AJ1376" s="69"/>
    </row>
    <row r="1377" spans="36:36" customFormat="1" x14ac:dyDescent="0.25">
      <c r="AJ1377" s="69"/>
    </row>
    <row r="1378" spans="36:36" customFormat="1" x14ac:dyDescent="0.25">
      <c r="AJ1378" s="69"/>
    </row>
    <row r="1379" spans="36:36" customFormat="1" x14ac:dyDescent="0.25">
      <c r="AJ1379" s="69"/>
    </row>
    <row r="1380" spans="36:36" customFormat="1" x14ac:dyDescent="0.25">
      <c r="AJ1380" s="69"/>
    </row>
    <row r="1381" spans="36:36" customFormat="1" x14ac:dyDescent="0.25">
      <c r="AJ1381" s="69"/>
    </row>
    <row r="1382" spans="36:36" customFormat="1" x14ac:dyDescent="0.25">
      <c r="AJ1382" s="69"/>
    </row>
    <row r="1383" spans="36:36" customFormat="1" x14ac:dyDescent="0.25">
      <c r="AJ1383" s="69"/>
    </row>
    <row r="1384" spans="36:36" customFormat="1" x14ac:dyDescent="0.25">
      <c r="AJ1384" s="69"/>
    </row>
    <row r="1385" spans="36:36" customFormat="1" x14ac:dyDescent="0.25">
      <c r="AJ1385" s="69"/>
    </row>
    <row r="1386" spans="36:36" customFormat="1" x14ac:dyDescent="0.25">
      <c r="AJ1386" s="69"/>
    </row>
    <row r="1387" spans="36:36" customFormat="1" x14ac:dyDescent="0.25">
      <c r="AJ1387" s="69"/>
    </row>
    <row r="1388" spans="36:36" customFormat="1" x14ac:dyDescent="0.25">
      <c r="AJ1388" s="69"/>
    </row>
    <row r="1389" spans="36:36" customFormat="1" x14ac:dyDescent="0.25">
      <c r="AJ1389" s="69"/>
    </row>
    <row r="1390" spans="36:36" customFormat="1" x14ac:dyDescent="0.25">
      <c r="AJ1390" s="69"/>
    </row>
    <row r="1391" spans="36:36" customFormat="1" x14ac:dyDescent="0.25">
      <c r="AJ1391" s="69"/>
    </row>
    <row r="1392" spans="36:36" customFormat="1" x14ac:dyDescent="0.25">
      <c r="AJ1392" s="69"/>
    </row>
    <row r="1393" spans="36:36" customFormat="1" x14ac:dyDescent="0.25">
      <c r="AJ1393" s="69"/>
    </row>
    <row r="1394" spans="36:36" customFormat="1" x14ac:dyDescent="0.25">
      <c r="AJ1394" s="69"/>
    </row>
    <row r="1395" spans="36:36" customFormat="1" x14ac:dyDescent="0.25">
      <c r="AJ1395" s="69"/>
    </row>
    <row r="1396" spans="36:36" customFormat="1" x14ac:dyDescent="0.25">
      <c r="AJ1396" s="69"/>
    </row>
    <row r="1397" spans="36:36" customFormat="1" x14ac:dyDescent="0.25">
      <c r="AJ1397" s="69"/>
    </row>
    <row r="1398" spans="36:36" customFormat="1" x14ac:dyDescent="0.25">
      <c r="AJ1398" s="69"/>
    </row>
    <row r="1399" spans="36:36" customFormat="1" x14ac:dyDescent="0.25">
      <c r="AJ1399" s="69"/>
    </row>
    <row r="1400" spans="36:36" customFormat="1" x14ac:dyDescent="0.25">
      <c r="AJ1400" s="69"/>
    </row>
    <row r="1401" spans="36:36" customFormat="1" x14ac:dyDescent="0.25">
      <c r="AJ1401" s="69"/>
    </row>
    <row r="1402" spans="36:36" customFormat="1" x14ac:dyDescent="0.25">
      <c r="AJ1402" s="69"/>
    </row>
    <row r="1403" spans="36:36" customFormat="1" x14ac:dyDescent="0.25">
      <c r="AJ1403" s="69"/>
    </row>
    <row r="1404" spans="36:36" customFormat="1" x14ac:dyDescent="0.25">
      <c r="AJ1404" s="69"/>
    </row>
    <row r="1405" spans="36:36" customFormat="1" x14ac:dyDescent="0.25">
      <c r="AJ1405" s="69"/>
    </row>
    <row r="1406" spans="36:36" customFormat="1" x14ac:dyDescent="0.25">
      <c r="AJ1406" s="69"/>
    </row>
    <row r="1407" spans="36:36" customFormat="1" x14ac:dyDescent="0.25">
      <c r="AJ1407" s="69"/>
    </row>
    <row r="1408" spans="36:36" customFormat="1" x14ac:dyDescent="0.25">
      <c r="AJ1408" s="69"/>
    </row>
    <row r="1409" spans="36:36" customFormat="1" x14ac:dyDescent="0.25">
      <c r="AJ1409" s="69"/>
    </row>
    <row r="1410" spans="36:36" customFormat="1" x14ac:dyDescent="0.25">
      <c r="AJ1410" s="69"/>
    </row>
    <row r="1411" spans="36:36" customFormat="1" x14ac:dyDescent="0.25">
      <c r="AJ1411" s="69"/>
    </row>
    <row r="1412" spans="36:36" customFormat="1" x14ac:dyDescent="0.25">
      <c r="AJ1412" s="69"/>
    </row>
    <row r="1413" spans="36:36" customFormat="1" x14ac:dyDescent="0.25">
      <c r="AJ1413" s="69"/>
    </row>
    <row r="1414" spans="36:36" customFormat="1" x14ac:dyDescent="0.25">
      <c r="AJ1414" s="69"/>
    </row>
    <row r="1415" spans="36:36" customFormat="1" x14ac:dyDescent="0.25">
      <c r="AJ1415" s="69"/>
    </row>
    <row r="1416" spans="36:36" customFormat="1" x14ac:dyDescent="0.25">
      <c r="AJ1416" s="69"/>
    </row>
    <row r="1417" spans="36:36" customFormat="1" x14ac:dyDescent="0.25">
      <c r="AJ1417" s="69"/>
    </row>
    <row r="1418" spans="36:36" customFormat="1" x14ac:dyDescent="0.25">
      <c r="AJ1418" s="69"/>
    </row>
    <row r="1419" spans="36:36" customFormat="1" x14ac:dyDescent="0.25">
      <c r="AJ1419" s="69"/>
    </row>
    <row r="1420" spans="36:36" customFormat="1" x14ac:dyDescent="0.25">
      <c r="AJ1420" s="69"/>
    </row>
    <row r="1421" spans="36:36" customFormat="1" x14ac:dyDescent="0.25">
      <c r="AJ1421" s="69"/>
    </row>
    <row r="1422" spans="36:36" customFormat="1" x14ac:dyDescent="0.25">
      <c r="AJ1422" s="69"/>
    </row>
  </sheetData>
  <autoFilter ref="A8:BH8" xr:uid="{00000000-0001-0000-0300-000000000000}"/>
  <mergeCells count="2">
    <mergeCell ref="I1:AA1"/>
    <mergeCell ref="H2:AA2"/>
  </mergeCells>
  <conditionalFormatting sqref="Y259:Y262">
    <cfRule type="containsText" dxfId="26" priority="25" operator="containsText" text="[YES-ENTER]">
      <formula>NOT(ISERROR(SEARCH("[YES-ENTER]",Y259)))</formula>
    </cfRule>
  </conditionalFormatting>
  <conditionalFormatting sqref="Y284">
    <cfRule type="containsText" dxfId="25" priority="24" operator="containsText" text="[YES-ENTER]">
      <formula>NOT(ISERROR(SEARCH("[YES-ENTER]",Y284)))</formula>
    </cfRule>
  </conditionalFormatting>
  <conditionalFormatting sqref="Y285">
    <cfRule type="containsText" dxfId="24" priority="23" operator="containsText" text="[YES-ENTER]">
      <formula>NOT(ISERROR(SEARCH("[YES-ENTER]",Y285)))</formula>
    </cfRule>
  </conditionalFormatting>
  <conditionalFormatting sqref="Y286">
    <cfRule type="containsText" dxfId="23" priority="22" operator="containsText" text="[YES-ENTER]">
      <formula>NOT(ISERROR(SEARCH("[YES-ENTER]",Y286)))</formula>
    </cfRule>
  </conditionalFormatting>
  <conditionalFormatting sqref="Y287">
    <cfRule type="containsText" dxfId="22" priority="21" operator="containsText" text="[YES-ENTER]">
      <formula>NOT(ISERROR(SEARCH("[YES-ENTER]",Y287)))</formula>
    </cfRule>
  </conditionalFormatting>
  <conditionalFormatting sqref="Y288">
    <cfRule type="containsText" dxfId="21" priority="20" operator="containsText" text="[YES-ENTER]">
      <formula>NOT(ISERROR(SEARCH("[YES-ENTER]",Y288)))</formula>
    </cfRule>
  </conditionalFormatting>
  <conditionalFormatting sqref="Y289">
    <cfRule type="containsText" dxfId="20" priority="19" operator="containsText" text="[YES-ENTER]">
      <formula>NOT(ISERROR(SEARCH("[YES-ENTER]",Y289)))</formula>
    </cfRule>
  </conditionalFormatting>
  <conditionalFormatting sqref="Y290">
    <cfRule type="containsText" dxfId="19" priority="18" operator="containsText" text="[YES-ENTER]">
      <formula>NOT(ISERROR(SEARCH("[YES-ENTER]",Y290)))</formula>
    </cfRule>
  </conditionalFormatting>
  <conditionalFormatting sqref="Y291">
    <cfRule type="containsText" dxfId="18" priority="17" operator="containsText" text="[YES-ENTER]">
      <formula>NOT(ISERROR(SEARCH("[YES-ENTER]",Y291)))</formula>
    </cfRule>
  </conditionalFormatting>
  <conditionalFormatting sqref="Y292">
    <cfRule type="containsText" dxfId="17" priority="16" operator="containsText" text="[YES-ENTER]">
      <formula>NOT(ISERROR(SEARCH("[YES-ENTER]",Y292)))</formula>
    </cfRule>
  </conditionalFormatting>
  <conditionalFormatting sqref="Y293">
    <cfRule type="containsText" dxfId="16" priority="15" operator="containsText" text="[YES-ENTER]">
      <formula>NOT(ISERROR(SEARCH("[YES-ENTER]",Y293)))</formula>
    </cfRule>
  </conditionalFormatting>
  <conditionalFormatting sqref="Y294">
    <cfRule type="containsText" dxfId="15" priority="14" operator="containsText" text="[YES-ENTER]">
      <formula>NOT(ISERROR(SEARCH("[YES-ENTER]",Y294)))</formula>
    </cfRule>
  </conditionalFormatting>
  <conditionalFormatting sqref="Y295">
    <cfRule type="containsText" dxfId="14" priority="13" operator="containsText" text="[YES-ENTER]">
      <formula>NOT(ISERROR(SEARCH("[YES-ENTER]",Y295)))</formula>
    </cfRule>
  </conditionalFormatting>
  <conditionalFormatting sqref="Y307">
    <cfRule type="containsText" dxfId="13" priority="12" operator="containsText" text="[YES-ENTER]">
      <formula>NOT(ISERROR(SEARCH("[YES-ENTER]",Y307)))</formula>
    </cfRule>
  </conditionalFormatting>
  <conditionalFormatting sqref="Y403">
    <cfRule type="containsText" dxfId="12" priority="11" operator="containsText" text="[YES-ENTER]">
      <formula>NOT(ISERROR(SEARCH("[YES-ENTER]",Y403)))</formula>
    </cfRule>
  </conditionalFormatting>
  <conditionalFormatting sqref="Y404">
    <cfRule type="containsText" dxfId="11" priority="10" operator="containsText" text="[YES-ENTER]">
      <formula>NOT(ISERROR(SEARCH("[YES-ENTER]",Y404)))</formula>
    </cfRule>
  </conditionalFormatting>
  <conditionalFormatting sqref="Y405">
    <cfRule type="containsText" dxfId="10" priority="9" operator="containsText" text="[YES-ENTER]">
      <formula>NOT(ISERROR(SEARCH("[YES-ENTER]",Y405)))</formula>
    </cfRule>
  </conditionalFormatting>
  <conditionalFormatting sqref="Y407">
    <cfRule type="containsText" dxfId="9" priority="8" operator="containsText" text="[YES-ENTER]">
      <formula>NOT(ISERROR(SEARCH("[YES-ENTER]",Y407)))</formula>
    </cfRule>
  </conditionalFormatting>
  <conditionalFormatting sqref="Y409">
    <cfRule type="containsText" dxfId="8" priority="7" operator="containsText" text="[YES-ENTER]">
      <formula>NOT(ISERROR(SEARCH("[YES-ENTER]",Y409)))</formula>
    </cfRule>
  </conditionalFormatting>
  <conditionalFormatting sqref="Y410">
    <cfRule type="containsText" dxfId="7" priority="6" operator="containsText" text="[YES-ENTER]">
      <formula>NOT(ISERROR(SEARCH("[YES-ENTER]",Y410)))</formula>
    </cfRule>
  </conditionalFormatting>
  <conditionalFormatting sqref="Y513">
    <cfRule type="containsText" dxfId="6" priority="5" operator="containsText" text="[YES-ENTER]">
      <formula>NOT(ISERROR(SEARCH("[YES-ENTER]",Y513)))</formula>
    </cfRule>
  </conditionalFormatting>
  <conditionalFormatting sqref="Y252">
    <cfRule type="containsText" dxfId="5" priority="4" operator="containsText" text="[YES-ENTER]">
      <formula>NOT(ISERROR(SEARCH("[YES-ENTER]",Y252)))</formula>
    </cfRule>
  </conditionalFormatting>
  <conditionalFormatting sqref="Y413">
    <cfRule type="containsText" dxfId="4" priority="2" operator="containsText" text="[YES-ENTER]">
      <formula>NOT(ISERROR(SEARCH("[YES-ENTER]",Y413)))</formula>
    </cfRule>
  </conditionalFormatting>
  <conditionalFormatting sqref="Y425">
    <cfRule type="containsText" dxfId="3" priority="1" operator="containsText" text="[YES-ENTER]">
      <formula>NOT(ISERROR(SEARCH("[YES-ENTER]",Y425)))</formula>
    </cfRule>
  </conditionalFormatting>
  <pageMargins left="0.7" right="0.7" top="0.75" bottom="0.75" header="0.3" footer="0.3"/>
  <pageSetup scale="20" fitToHeight="0" orientation="landscape" horizont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1CD8-FC74-4DF1-846B-6F067B07F208}">
  <sheetPr codeName="Sheet14"/>
  <dimension ref="A1:H1"/>
  <sheetViews>
    <sheetView workbookViewId="0">
      <selection activeCell="H29" sqref="H29"/>
    </sheetView>
  </sheetViews>
  <sheetFormatPr defaultRowHeight="15" x14ac:dyDescent="0.25"/>
  <cols>
    <col min="8" max="8" width="20.5703125" customWidth="1"/>
  </cols>
  <sheetData>
    <row r="1" spans="1:8" x14ac:dyDescent="0.25">
      <c r="A1" s="1" t="s">
        <v>1842</v>
      </c>
      <c r="B1" s="1" t="s">
        <v>1843</v>
      </c>
      <c r="C1" s="1" t="s">
        <v>377</v>
      </c>
      <c r="D1" s="1" t="s">
        <v>1844</v>
      </c>
      <c r="E1" s="1" t="s">
        <v>1845</v>
      </c>
      <c r="F1" s="1" t="s">
        <v>1846</v>
      </c>
      <c r="G1" s="1" t="s">
        <v>1847</v>
      </c>
      <c r="H1" s="1" t="s">
        <v>1848</v>
      </c>
    </row>
  </sheetData>
  <pageMargins left="0.7" right="0.7" top="0.75" bottom="0.75" header="0.3" footer="0.3"/>
  <pageSetup paperSize="256" orientation="portrait" horizontalDpi="203" verticalDpi="20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96FD3F-EDEC-4EB1-BD5D-F29D852D08EB}">
  <sheetPr codeName="Sheet15"/>
  <dimension ref="A1:L113"/>
  <sheetViews>
    <sheetView workbookViewId="0">
      <selection activeCell="A31" sqref="A31"/>
    </sheetView>
  </sheetViews>
  <sheetFormatPr defaultRowHeight="15" x14ac:dyDescent="0.25"/>
  <cols>
    <col min="2" max="2" width="14" customWidth="1"/>
    <col min="3" max="3" width="11.42578125" customWidth="1"/>
    <col min="4" max="5" width="18.28515625" bestFit="1" customWidth="1"/>
    <col min="6" max="6" width="15.140625" bestFit="1" customWidth="1"/>
    <col min="7" max="7" width="17.85546875" bestFit="1" customWidth="1"/>
    <col min="8" max="8" width="81.28515625" bestFit="1" customWidth="1"/>
    <col min="9" max="11" width="81" bestFit="1" customWidth="1"/>
  </cols>
  <sheetData>
    <row r="1" spans="1:12" x14ac:dyDescent="0.25">
      <c r="A1" t="s">
        <v>377</v>
      </c>
      <c r="B1" t="s">
        <v>378</v>
      </c>
      <c r="C1" t="s">
        <v>378</v>
      </c>
      <c r="D1" s="1" t="s">
        <v>413</v>
      </c>
      <c r="E1" s="1" t="s">
        <v>413</v>
      </c>
      <c r="F1" s="1" t="s">
        <v>1849</v>
      </c>
      <c r="G1" s="1" t="s">
        <v>1850</v>
      </c>
      <c r="H1" s="1" t="s">
        <v>1851</v>
      </c>
      <c r="I1" s="1" t="s">
        <v>1852</v>
      </c>
      <c r="J1" s="1" t="s">
        <v>1853</v>
      </c>
      <c r="K1" s="1" t="s">
        <v>1854</v>
      </c>
      <c r="L1" s="1" t="s">
        <v>1855</v>
      </c>
    </row>
    <row r="2" spans="1:12" x14ac:dyDescent="0.25">
      <c r="A2" s="285" t="s">
        <v>291</v>
      </c>
      <c r="B2" s="232" t="s">
        <v>1856</v>
      </c>
      <c r="C2" t="str" cm="1">
        <f t="array" ref="C2:C67">_xlfn.UNIQUE(B2:B113)</f>
        <v>129-52061</v>
      </c>
      <c r="D2" t="s">
        <v>1856</v>
      </c>
      <c r="E2" t="s">
        <v>453</v>
      </c>
      <c r="F2" t="s">
        <v>80</v>
      </c>
      <c r="G2" t="s">
        <v>80</v>
      </c>
      <c r="H2" t="s">
        <v>1857</v>
      </c>
      <c r="I2" t="s">
        <v>1858</v>
      </c>
    </row>
    <row r="3" spans="1:12" x14ac:dyDescent="0.25">
      <c r="A3" s="287" t="s">
        <v>274</v>
      </c>
      <c r="B3" s="232" t="s">
        <v>1859</v>
      </c>
      <c r="C3" t="str">
        <v>285-999723</v>
      </c>
      <c r="D3" t="s">
        <v>1860</v>
      </c>
      <c r="E3" t="s">
        <v>456</v>
      </c>
      <c r="F3" t="s">
        <v>80</v>
      </c>
      <c r="G3" t="s">
        <v>80</v>
      </c>
      <c r="H3" t="s">
        <v>1861</v>
      </c>
      <c r="I3" t="s">
        <v>1862</v>
      </c>
    </row>
    <row r="4" spans="1:12" x14ac:dyDescent="0.25">
      <c r="A4" s="285" t="s">
        <v>360</v>
      </c>
      <c r="B4" s="232" t="s">
        <v>1863</v>
      </c>
      <c r="C4" t="str">
        <v>128-11763</v>
      </c>
      <c r="D4" t="s">
        <v>1859</v>
      </c>
    </row>
    <row r="5" spans="1:12" x14ac:dyDescent="0.25">
      <c r="A5" s="285" t="s">
        <v>302</v>
      </c>
      <c r="B5" s="232" t="s">
        <v>1864</v>
      </c>
      <c r="C5" t="str">
        <v>641-54182</v>
      </c>
      <c r="D5" t="s">
        <v>1865</v>
      </c>
    </row>
    <row r="6" spans="1:12" x14ac:dyDescent="0.25">
      <c r="A6" s="284" t="s">
        <v>293</v>
      </c>
      <c r="B6" s="232" t="s">
        <v>1856</v>
      </c>
      <c r="C6" t="str">
        <v>286-999771</v>
      </c>
      <c r="D6">
        <v>0</v>
      </c>
    </row>
    <row r="7" spans="1:12" x14ac:dyDescent="0.25">
      <c r="A7" s="284" t="s">
        <v>272</v>
      </c>
      <c r="B7" s="232" t="s">
        <v>1866</v>
      </c>
      <c r="C7" t="str">
        <v>129-52060</v>
      </c>
      <c r="D7" t="s">
        <v>1867</v>
      </c>
    </row>
    <row r="8" spans="1:12" x14ac:dyDescent="0.25">
      <c r="A8" s="285" t="s">
        <v>362</v>
      </c>
      <c r="B8" s="232" t="s">
        <v>1868</v>
      </c>
      <c r="C8" t="str">
        <v>285-999722</v>
      </c>
      <c r="D8" t="s">
        <v>1869</v>
      </c>
      <c r="E8" t="s">
        <v>453</v>
      </c>
      <c r="F8" t="s">
        <v>80</v>
      </c>
      <c r="G8" t="s">
        <v>80</v>
      </c>
      <c r="H8" t="s">
        <v>1870</v>
      </c>
      <c r="I8" t="s">
        <v>1871</v>
      </c>
    </row>
    <row r="9" spans="1:12" x14ac:dyDescent="0.25">
      <c r="A9" s="284" t="s">
        <v>273</v>
      </c>
      <c r="B9" s="232" t="s">
        <v>1872</v>
      </c>
      <c r="C9" t="str">
        <v>128-11762</v>
      </c>
      <c r="D9" t="s">
        <v>1873</v>
      </c>
      <c r="E9" t="s">
        <v>456</v>
      </c>
      <c r="F9" t="s">
        <v>80</v>
      </c>
      <c r="G9" t="s">
        <v>80</v>
      </c>
      <c r="H9" t="s">
        <v>1874</v>
      </c>
      <c r="I9" s="22" t="s">
        <v>1875</v>
      </c>
    </row>
    <row r="10" spans="1:12" x14ac:dyDescent="0.25">
      <c r="A10" s="285" t="s">
        <v>355</v>
      </c>
      <c r="B10" s="232" t="s">
        <v>1876</v>
      </c>
      <c r="C10" t="str">
        <v>286-999770</v>
      </c>
      <c r="D10" t="s">
        <v>1877</v>
      </c>
    </row>
    <row r="11" spans="1:12" x14ac:dyDescent="0.25">
      <c r="A11" s="284" t="s">
        <v>296</v>
      </c>
      <c r="B11" s="232" t="s">
        <v>1868</v>
      </c>
      <c r="C11" t="str">
        <v>300-70932</v>
      </c>
      <c r="D11" t="s">
        <v>1878</v>
      </c>
    </row>
    <row r="12" spans="1:12" x14ac:dyDescent="0.25">
      <c r="A12" s="284" t="s">
        <v>271</v>
      </c>
      <c r="B12" s="232" t="s">
        <v>1879</v>
      </c>
      <c r="C12">
        <v>0</v>
      </c>
      <c r="D12" t="s">
        <v>1880</v>
      </c>
    </row>
    <row r="13" spans="1:12" x14ac:dyDescent="0.25">
      <c r="A13" s="284" t="s">
        <v>353</v>
      </c>
      <c r="B13" s="232" t="s">
        <v>601</v>
      </c>
      <c r="C13" t="str">
        <v>545-53340</v>
      </c>
      <c r="D13" t="s">
        <v>1881</v>
      </c>
    </row>
    <row r="14" spans="1:12" x14ac:dyDescent="0.25">
      <c r="A14" s="299" t="s">
        <v>288</v>
      </c>
      <c r="B14" s="296"/>
      <c r="C14" t="str">
        <v>317-50194</v>
      </c>
      <c r="D14" t="s">
        <v>1863</v>
      </c>
    </row>
    <row r="15" spans="1:12" x14ac:dyDescent="0.25">
      <c r="A15" s="284" t="s">
        <v>260</v>
      </c>
      <c r="B15" s="232" t="s">
        <v>1882</v>
      </c>
      <c r="C15" t="str">
        <v>540-59227</v>
      </c>
      <c r="D15" t="s">
        <v>1883</v>
      </c>
    </row>
    <row r="16" spans="1:12" x14ac:dyDescent="0.25">
      <c r="A16" s="291" t="s">
        <v>348</v>
      </c>
      <c r="B16" s="232" t="s">
        <v>1884</v>
      </c>
      <c r="C16" t="str">
        <v>674-60229</v>
      </c>
      <c r="D16" t="s">
        <v>1885</v>
      </c>
    </row>
    <row r="17" spans="1:4" x14ac:dyDescent="0.25">
      <c r="A17" s="284" t="s">
        <v>347</v>
      </c>
      <c r="B17" s="232" t="s">
        <v>1886</v>
      </c>
      <c r="C17" t="str">
        <v>626-997571</v>
      </c>
      <c r="D17" t="s">
        <v>1887</v>
      </c>
    </row>
    <row r="18" spans="1:4" x14ac:dyDescent="0.25">
      <c r="A18" s="284" t="s">
        <v>334</v>
      </c>
      <c r="B18" s="232" t="s">
        <v>1888</v>
      </c>
      <c r="C18" t="str">
        <v>177-999001</v>
      </c>
      <c r="D18" t="s">
        <v>1889</v>
      </c>
    </row>
    <row r="19" spans="1:4" x14ac:dyDescent="0.25">
      <c r="A19" s="299" t="s">
        <v>286</v>
      </c>
      <c r="B19" s="296"/>
      <c r="C19" t="str">
        <v>169-53399</v>
      </c>
      <c r="D19" t="s">
        <v>1868</v>
      </c>
    </row>
    <row r="20" spans="1:4" x14ac:dyDescent="0.25">
      <c r="A20" s="284" t="s">
        <v>270</v>
      </c>
      <c r="B20" s="232" t="s">
        <v>1890</v>
      </c>
      <c r="C20" t="str">
        <v>655-72540</v>
      </c>
      <c r="D20" t="s">
        <v>1891</v>
      </c>
    </row>
    <row r="21" spans="1:4" x14ac:dyDescent="0.25">
      <c r="A21" s="291" t="s">
        <v>363</v>
      </c>
      <c r="B21" s="232" t="s">
        <v>1892</v>
      </c>
      <c r="C21" t="str">
        <v>253-67828</v>
      </c>
      <c r="D21" t="s">
        <v>1872</v>
      </c>
    </row>
    <row r="22" spans="1:4" x14ac:dyDescent="0.25">
      <c r="A22" s="299" t="s">
        <v>267</v>
      </c>
      <c r="B22" s="296"/>
      <c r="C22" t="str">
        <v>253-67827</v>
      </c>
      <c r="D22" t="s">
        <v>1893</v>
      </c>
    </row>
    <row r="23" spans="1:4" x14ac:dyDescent="0.25">
      <c r="A23" s="284" t="s">
        <v>335</v>
      </c>
      <c r="B23" s="232" t="s">
        <v>1894</v>
      </c>
      <c r="C23" t="str">
        <v>253-67831</v>
      </c>
      <c r="D23" t="s">
        <v>1895</v>
      </c>
    </row>
    <row r="24" spans="1:4" x14ac:dyDescent="0.25">
      <c r="A24" s="299" t="s">
        <v>279</v>
      </c>
      <c r="B24" s="296"/>
      <c r="C24" t="str">
        <v>253-67825</v>
      </c>
      <c r="D24" t="s">
        <v>1896</v>
      </c>
    </row>
    <row r="25" spans="1:4" x14ac:dyDescent="0.25">
      <c r="A25" s="299" t="s">
        <v>277</v>
      </c>
      <c r="B25" s="296"/>
      <c r="C25" t="str">
        <v>253-67829</v>
      </c>
      <c r="D25" t="s">
        <v>1897</v>
      </c>
    </row>
    <row r="26" spans="1:4" x14ac:dyDescent="0.25">
      <c r="A26" s="284" t="s">
        <v>365</v>
      </c>
      <c r="B26" s="232" t="s">
        <v>1898</v>
      </c>
      <c r="C26" t="str">
        <v>253-67961</v>
      </c>
      <c r="D26" t="s">
        <v>1899</v>
      </c>
    </row>
    <row r="27" spans="1:4" x14ac:dyDescent="0.25">
      <c r="A27" s="284" t="s">
        <v>262</v>
      </c>
      <c r="B27" s="232" t="s">
        <v>1900</v>
      </c>
      <c r="C27" t="str">
        <v>615-58781</v>
      </c>
      <c r="D27" t="s">
        <v>1901</v>
      </c>
    </row>
    <row r="28" spans="1:4" x14ac:dyDescent="0.25">
      <c r="A28" s="284" t="s">
        <v>256</v>
      </c>
      <c r="B28" s="232" t="s">
        <v>1902</v>
      </c>
      <c r="C28" t="str">
        <v>629-61110</v>
      </c>
      <c r="D28" t="s">
        <v>1903</v>
      </c>
    </row>
    <row r="29" spans="1:4" x14ac:dyDescent="0.25">
      <c r="A29" s="284" t="s">
        <v>258</v>
      </c>
      <c r="B29" s="232" t="s">
        <v>1904</v>
      </c>
      <c r="C29" t="str">
        <v>242-999156</v>
      </c>
      <c r="D29" t="s">
        <v>1905</v>
      </c>
    </row>
    <row r="30" spans="1:4" x14ac:dyDescent="0.25">
      <c r="A30" s="284" t="s">
        <v>266</v>
      </c>
      <c r="B30" s="232" t="s">
        <v>1906</v>
      </c>
      <c r="C30" t="str">
        <v>267-51293</v>
      </c>
      <c r="D30" t="s">
        <v>1876</v>
      </c>
    </row>
    <row r="31" spans="1:4" x14ac:dyDescent="0.25">
      <c r="A31" s="284" t="s">
        <v>264</v>
      </c>
      <c r="B31" s="232" t="s">
        <v>1907</v>
      </c>
      <c r="C31" t="str">
        <v>594-1775</v>
      </c>
      <c r="D31" t="s">
        <v>1908</v>
      </c>
    </row>
    <row r="32" spans="1:4" x14ac:dyDescent="0.25">
      <c r="A32" s="284" t="s">
        <v>306</v>
      </c>
      <c r="B32" s="232" t="s">
        <v>1909</v>
      </c>
      <c r="C32" t="str">
        <v>638-72260</v>
      </c>
      <c r="D32" t="s">
        <v>1910</v>
      </c>
    </row>
    <row r="33" spans="1:3" x14ac:dyDescent="0.25">
      <c r="A33" s="284" t="s">
        <v>263</v>
      </c>
      <c r="B33" s="232" t="s">
        <v>1911</v>
      </c>
      <c r="C33" t="str">
        <v>257-66546</v>
      </c>
    </row>
    <row r="34" spans="1:3" x14ac:dyDescent="0.25">
      <c r="A34" s="299" t="s">
        <v>280</v>
      </c>
      <c r="B34" s="296"/>
      <c r="C34" t="str">
        <v>235-992180</v>
      </c>
    </row>
    <row r="35" spans="1:3" x14ac:dyDescent="0.25">
      <c r="A35" s="284" t="s">
        <v>295</v>
      </c>
      <c r="B35" s="232" t="s">
        <v>1912</v>
      </c>
      <c r="C35" t="str">
        <v>288-50844</v>
      </c>
    </row>
    <row r="36" spans="1:3" x14ac:dyDescent="0.25">
      <c r="A36" s="299" t="s">
        <v>305</v>
      </c>
      <c r="B36" s="296"/>
      <c r="C36" t="str">
        <v>288-50845</v>
      </c>
    </row>
    <row r="37" spans="1:3" x14ac:dyDescent="0.25">
      <c r="A37" s="352" t="s">
        <v>364</v>
      </c>
      <c r="B37" s="337" t="s">
        <v>1913</v>
      </c>
      <c r="C37" t="str">
        <v>628-999907</v>
      </c>
    </row>
    <row r="38" spans="1:3" x14ac:dyDescent="0.25">
      <c r="A38" s="327" t="s">
        <v>329</v>
      </c>
      <c r="B38" s="296"/>
      <c r="C38" t="str">
        <v>114-60267</v>
      </c>
    </row>
    <row r="39" spans="1:3" x14ac:dyDescent="0.25">
      <c r="A39" s="327" t="s">
        <v>311</v>
      </c>
      <c r="B39" s="296"/>
      <c r="C39" t="str">
        <v>114-60266</v>
      </c>
    </row>
    <row r="40" spans="1:3" x14ac:dyDescent="0.25">
      <c r="A40" s="327" t="s">
        <v>313</v>
      </c>
      <c r="B40" s="296"/>
      <c r="C40" t="str">
        <v>166-60725</v>
      </c>
    </row>
    <row r="41" spans="1:3" x14ac:dyDescent="0.25">
      <c r="A41" s="284" t="s">
        <v>308</v>
      </c>
      <c r="B41" s="232" t="s">
        <v>1914</v>
      </c>
      <c r="C41" t="str">
        <v>166-60724</v>
      </c>
    </row>
    <row r="42" spans="1:3" x14ac:dyDescent="0.25">
      <c r="A42" s="284" t="s">
        <v>292</v>
      </c>
      <c r="B42" s="232" t="s">
        <v>1915</v>
      </c>
      <c r="C42" t="str">
        <v>166-60727</v>
      </c>
    </row>
    <row r="43" spans="1:3" x14ac:dyDescent="0.25">
      <c r="A43" s="284" t="s">
        <v>316</v>
      </c>
      <c r="B43" s="232" t="s">
        <v>1916</v>
      </c>
      <c r="C43" t="str">
        <v>166-60726</v>
      </c>
    </row>
    <row r="44" spans="1:3" x14ac:dyDescent="0.25">
      <c r="A44" s="284" t="s">
        <v>323</v>
      </c>
      <c r="B44" s="232" t="s">
        <v>1917</v>
      </c>
      <c r="C44" t="str">
        <v>591-74062</v>
      </c>
    </row>
    <row r="45" spans="1:3" x14ac:dyDescent="0.25">
      <c r="A45" s="299" t="s">
        <v>269</v>
      </c>
      <c r="B45" s="296"/>
      <c r="C45" t="str">
        <v>638-72908</v>
      </c>
    </row>
    <row r="46" spans="1:3" x14ac:dyDescent="0.25">
      <c r="A46" s="291" t="s">
        <v>361</v>
      </c>
      <c r="B46" s="232" t="s">
        <v>1918</v>
      </c>
      <c r="C46" t="str">
        <v>590-62356</v>
      </c>
    </row>
    <row r="47" spans="1:3" x14ac:dyDescent="0.25">
      <c r="A47" s="299" t="s">
        <v>299</v>
      </c>
      <c r="B47" s="296"/>
      <c r="C47" t="str">
        <v>591-74039</v>
      </c>
    </row>
    <row r="48" spans="1:3" x14ac:dyDescent="0.25">
      <c r="A48" s="299" t="s">
        <v>290</v>
      </c>
      <c r="B48" s="296"/>
      <c r="C48" t="str">
        <v>591-74058</v>
      </c>
    </row>
    <row r="49" spans="1:3" x14ac:dyDescent="0.25">
      <c r="A49" s="299" t="s">
        <v>303</v>
      </c>
      <c r="B49" s="296"/>
      <c r="C49" t="str">
        <v>660-50116</v>
      </c>
    </row>
    <row r="50" spans="1:3" x14ac:dyDescent="0.25">
      <c r="A50" s="299" t="s">
        <v>309</v>
      </c>
      <c r="B50" s="296"/>
      <c r="C50" t="str">
        <v>210-53562</v>
      </c>
    </row>
    <row r="51" spans="1:3" x14ac:dyDescent="0.25">
      <c r="A51" s="299" t="s">
        <v>300</v>
      </c>
      <c r="B51" s="296"/>
      <c r="C51" t="str">
        <v>210-53565</v>
      </c>
    </row>
    <row r="52" spans="1:3" x14ac:dyDescent="0.25">
      <c r="A52" s="285" t="s">
        <v>341</v>
      </c>
      <c r="B52" s="232" t="s">
        <v>1919</v>
      </c>
      <c r="C52" t="str">
        <v>210-53566</v>
      </c>
    </row>
    <row r="53" spans="1:3" x14ac:dyDescent="0.25">
      <c r="A53" s="285" t="s">
        <v>342</v>
      </c>
      <c r="B53" s="232" t="s">
        <v>1920</v>
      </c>
      <c r="C53" t="str">
        <v>431-59702</v>
      </c>
    </row>
    <row r="54" spans="1:3" x14ac:dyDescent="0.25">
      <c r="A54" s="285" t="s">
        <v>281</v>
      </c>
      <c r="B54" s="232" t="s">
        <v>1921</v>
      </c>
      <c r="C54" t="str">
        <v>511-50148</v>
      </c>
    </row>
    <row r="55" spans="1:3" x14ac:dyDescent="0.25">
      <c r="A55" s="285" t="s">
        <v>282</v>
      </c>
      <c r="B55" s="232" t="s">
        <v>1921</v>
      </c>
      <c r="C55" t="str">
        <v>511-50147</v>
      </c>
    </row>
    <row r="56" spans="1:3" x14ac:dyDescent="0.25">
      <c r="A56" s="285" t="s">
        <v>327</v>
      </c>
      <c r="B56" s="232" t="s">
        <v>1922</v>
      </c>
      <c r="C56" t="str">
        <v>513-50296</v>
      </c>
    </row>
    <row r="57" spans="1:3" x14ac:dyDescent="0.25">
      <c r="A57" s="343" t="s">
        <v>328</v>
      </c>
      <c r="B57" s="337" t="s">
        <v>1923</v>
      </c>
      <c r="C57" t="str">
        <v>513-50295</v>
      </c>
    </row>
    <row r="58" spans="1:3" x14ac:dyDescent="0.25">
      <c r="A58" s="285" t="s">
        <v>356</v>
      </c>
      <c r="B58" s="232" t="s">
        <v>1924</v>
      </c>
      <c r="C58" t="str">
        <v>440-59427</v>
      </c>
    </row>
    <row r="59" spans="1:3" x14ac:dyDescent="0.25">
      <c r="A59" s="343" t="s">
        <v>358</v>
      </c>
      <c r="B59" s="337" t="s">
        <v>1925</v>
      </c>
      <c r="C59" t="str">
        <v>551-60089</v>
      </c>
    </row>
    <row r="60" spans="1:3" x14ac:dyDescent="0.25">
      <c r="A60" s="285" t="s">
        <v>357</v>
      </c>
      <c r="B60" s="232" t="s">
        <v>1926</v>
      </c>
      <c r="C60" t="str">
        <v>407-999940</v>
      </c>
    </row>
    <row r="61" spans="1:3" x14ac:dyDescent="0.25">
      <c r="A61" s="285" t="s">
        <v>359</v>
      </c>
      <c r="B61" s="232" t="s">
        <v>1927</v>
      </c>
      <c r="C61" t="str">
        <v>414-999923</v>
      </c>
    </row>
    <row r="62" spans="1:3" x14ac:dyDescent="0.25">
      <c r="A62" s="287" t="s">
        <v>318</v>
      </c>
      <c r="B62" s="232" t="s">
        <v>1928</v>
      </c>
      <c r="C62" t="str">
        <v>400-62833</v>
      </c>
    </row>
    <row r="63" spans="1:3" x14ac:dyDescent="0.25">
      <c r="A63" s="285" t="s">
        <v>317</v>
      </c>
      <c r="B63" s="232" t="s">
        <v>1929</v>
      </c>
      <c r="C63" t="str">
        <v>596-894</v>
      </c>
    </row>
    <row r="64" spans="1:3" x14ac:dyDescent="0.25">
      <c r="A64" s="287" t="s">
        <v>315</v>
      </c>
      <c r="B64" s="232" t="s">
        <v>1930</v>
      </c>
      <c r="C64" t="str">
        <v>170-60923</v>
      </c>
    </row>
    <row r="65" spans="1:3" x14ac:dyDescent="0.25">
      <c r="A65" s="287" t="s">
        <v>322</v>
      </c>
      <c r="B65" s="232" t="s">
        <v>1931</v>
      </c>
      <c r="C65" t="str">
        <v>618-56287</v>
      </c>
    </row>
    <row r="66" spans="1:3" x14ac:dyDescent="0.25">
      <c r="A66" s="287" t="s">
        <v>321</v>
      </c>
      <c r="B66" s="232" t="s">
        <v>1932</v>
      </c>
      <c r="C66" t="str">
        <v>560-86054</v>
      </c>
    </row>
    <row r="67" spans="1:3" x14ac:dyDescent="0.25">
      <c r="A67" s="287" t="s">
        <v>319</v>
      </c>
      <c r="B67" s="232" t="s">
        <v>1933</v>
      </c>
      <c r="C67" t="str">
        <v>560-86059</v>
      </c>
    </row>
    <row r="68" spans="1:3" x14ac:dyDescent="0.25">
      <c r="A68" s="299" t="s">
        <v>354</v>
      </c>
      <c r="B68" s="296"/>
    </row>
    <row r="69" spans="1:3" x14ac:dyDescent="0.25">
      <c r="A69" s="285" t="s">
        <v>310</v>
      </c>
      <c r="B69" s="232" t="s">
        <v>1934</v>
      </c>
    </row>
    <row r="70" spans="1:3" x14ac:dyDescent="0.25">
      <c r="A70" s="285" t="s">
        <v>294</v>
      </c>
      <c r="B70" s="232" t="s">
        <v>1935</v>
      </c>
    </row>
    <row r="71" spans="1:3" x14ac:dyDescent="0.25">
      <c r="A71" s="299" t="s">
        <v>314</v>
      </c>
      <c r="B71" s="296"/>
    </row>
    <row r="72" spans="1:3" x14ac:dyDescent="0.25">
      <c r="A72" s="299" t="s">
        <v>312</v>
      </c>
      <c r="B72" s="296"/>
    </row>
    <row r="73" spans="1:3" x14ac:dyDescent="0.25">
      <c r="A73" s="285" t="s">
        <v>304</v>
      </c>
      <c r="B73" s="232" t="s">
        <v>1934</v>
      </c>
    </row>
    <row r="74" spans="1:3" x14ac:dyDescent="0.25">
      <c r="A74" s="285" t="s">
        <v>307</v>
      </c>
      <c r="B74" s="232" t="s">
        <v>1936</v>
      </c>
    </row>
    <row r="75" spans="1:3" x14ac:dyDescent="0.25">
      <c r="A75" s="299" t="s">
        <v>326</v>
      </c>
      <c r="B75" s="296"/>
    </row>
    <row r="76" spans="1:3" x14ac:dyDescent="0.25">
      <c r="A76" s="299" t="s">
        <v>301</v>
      </c>
      <c r="B76" s="296"/>
    </row>
    <row r="77" spans="1:3" x14ac:dyDescent="0.25">
      <c r="A77" s="310" t="s">
        <v>350</v>
      </c>
      <c r="B77" s="296"/>
    </row>
    <row r="78" spans="1:3" x14ac:dyDescent="0.25">
      <c r="A78" s="299" t="s">
        <v>325</v>
      </c>
      <c r="B78" s="296"/>
    </row>
    <row r="79" spans="1:3" x14ac:dyDescent="0.25">
      <c r="A79" s="299" t="s">
        <v>289</v>
      </c>
      <c r="B79" s="296"/>
    </row>
    <row r="80" spans="1:3" x14ac:dyDescent="0.25">
      <c r="A80" s="299" t="s">
        <v>324</v>
      </c>
      <c r="B80" s="296"/>
    </row>
    <row r="81" spans="1:4" x14ac:dyDescent="0.25">
      <c r="A81" s="299" t="s">
        <v>298</v>
      </c>
      <c r="B81" s="296"/>
    </row>
    <row r="82" spans="1:4" x14ac:dyDescent="0.25">
      <c r="A82" s="299" t="s">
        <v>330</v>
      </c>
      <c r="B82" s="296"/>
    </row>
    <row r="83" spans="1:4" x14ac:dyDescent="0.25">
      <c r="A83" s="310" t="s">
        <v>349</v>
      </c>
      <c r="B83" s="296"/>
    </row>
    <row r="84" spans="1:4" x14ac:dyDescent="0.25">
      <c r="A84" s="285" t="s">
        <v>338</v>
      </c>
      <c r="B84" s="232" t="s">
        <v>1937</v>
      </c>
    </row>
    <row r="85" spans="1:4" x14ac:dyDescent="0.25">
      <c r="A85" s="285" t="s">
        <v>257</v>
      </c>
      <c r="B85" s="232" t="s">
        <v>1938</v>
      </c>
    </row>
    <row r="86" spans="1:4" x14ac:dyDescent="0.25">
      <c r="A86" s="285" t="s">
        <v>265</v>
      </c>
      <c r="B86" s="232" t="s">
        <v>1939</v>
      </c>
    </row>
    <row r="87" spans="1:4" x14ac:dyDescent="0.25">
      <c r="A87" s="285" t="s">
        <v>343</v>
      </c>
      <c r="B87" s="232" t="s">
        <v>1940</v>
      </c>
    </row>
    <row r="88" spans="1:4" x14ac:dyDescent="0.25">
      <c r="A88" s="285" t="s">
        <v>344</v>
      </c>
      <c r="B88" s="232" t="s">
        <v>1941</v>
      </c>
    </row>
    <row r="89" spans="1:4" x14ac:dyDescent="0.25">
      <c r="A89" s="285" t="s">
        <v>352</v>
      </c>
      <c r="B89" s="232" t="s">
        <v>1595</v>
      </c>
    </row>
    <row r="90" spans="1:4" x14ac:dyDescent="0.25">
      <c r="A90" s="296" t="s">
        <v>346</v>
      </c>
      <c r="B90" s="296"/>
    </row>
    <row r="91" spans="1:4" x14ac:dyDescent="0.25">
      <c r="A91" s="299" t="s">
        <v>284</v>
      </c>
      <c r="B91" s="296"/>
    </row>
    <row r="92" spans="1:4" x14ac:dyDescent="0.25">
      <c r="A92" s="299" t="s">
        <v>285</v>
      </c>
      <c r="B92" s="296"/>
    </row>
    <row r="93" spans="1:4" x14ac:dyDescent="0.25">
      <c r="A93" s="299" t="s">
        <v>261</v>
      </c>
      <c r="B93" s="296"/>
    </row>
    <row r="94" spans="1:4" x14ac:dyDescent="0.25">
      <c r="A94" s="299" t="s">
        <v>345</v>
      </c>
      <c r="B94" s="296"/>
    </row>
    <row r="95" spans="1:4" x14ac:dyDescent="0.25">
      <c r="A95" s="285" t="s">
        <v>337</v>
      </c>
      <c r="B95" s="232" t="s">
        <v>1942</v>
      </c>
      <c r="D95" t="s">
        <v>1943</v>
      </c>
    </row>
    <row r="96" spans="1:4" x14ac:dyDescent="0.25">
      <c r="A96" s="287" t="s">
        <v>336</v>
      </c>
      <c r="B96" s="232" t="s">
        <v>1944</v>
      </c>
      <c r="D96" t="s">
        <v>1945</v>
      </c>
    </row>
    <row r="97" spans="1:4" x14ac:dyDescent="0.25">
      <c r="A97" s="287" t="s">
        <v>287</v>
      </c>
      <c r="B97" s="232" t="s">
        <v>1946</v>
      </c>
      <c r="D97" t="s">
        <v>1947</v>
      </c>
    </row>
    <row r="98" spans="1:4" x14ac:dyDescent="0.25">
      <c r="A98" s="310" t="s">
        <v>339</v>
      </c>
      <c r="B98" s="296"/>
    </row>
    <row r="99" spans="1:4" x14ac:dyDescent="0.25">
      <c r="A99" s="310" t="s">
        <v>259</v>
      </c>
      <c r="B99" s="296"/>
    </row>
    <row r="100" spans="1:4" x14ac:dyDescent="0.25">
      <c r="A100" s="285" t="s">
        <v>340</v>
      </c>
      <c r="B100" s="232" t="s">
        <v>1948</v>
      </c>
    </row>
    <row r="101" spans="1:4" x14ac:dyDescent="0.25">
      <c r="A101" s="299" t="s">
        <v>283</v>
      </c>
      <c r="B101" s="296"/>
    </row>
    <row r="102" spans="1:4" x14ac:dyDescent="0.25">
      <c r="A102" s="299" t="s">
        <v>275</v>
      </c>
      <c r="B102" s="296"/>
    </row>
    <row r="103" spans="1:4" x14ac:dyDescent="0.25">
      <c r="A103" s="299" t="s">
        <v>276</v>
      </c>
      <c r="B103" s="296"/>
    </row>
    <row r="104" spans="1:4" x14ac:dyDescent="0.25">
      <c r="A104" s="287" t="s">
        <v>320</v>
      </c>
      <c r="B104" s="232" t="s">
        <v>1949</v>
      </c>
    </row>
    <row r="105" spans="1:4" x14ac:dyDescent="0.25">
      <c r="A105" s="299" t="s">
        <v>366</v>
      </c>
      <c r="B105" s="296"/>
    </row>
    <row r="106" spans="1:4" x14ac:dyDescent="0.25">
      <c r="A106" s="285" t="s">
        <v>351</v>
      </c>
      <c r="B106" s="232" t="s">
        <v>1950</v>
      </c>
    </row>
    <row r="107" spans="1:4" x14ac:dyDescent="0.25">
      <c r="A107" s="299" t="s">
        <v>255</v>
      </c>
      <c r="B107" s="296"/>
    </row>
    <row r="108" spans="1:4" x14ac:dyDescent="0.25">
      <c r="A108" s="299" t="s">
        <v>297</v>
      </c>
      <c r="B108" s="296"/>
    </row>
    <row r="109" spans="1:4" x14ac:dyDescent="0.25">
      <c r="A109" s="285" t="s">
        <v>278</v>
      </c>
      <c r="B109" s="232" t="s">
        <v>1951</v>
      </c>
    </row>
    <row r="110" spans="1:4" x14ac:dyDescent="0.25">
      <c r="A110" s="285" t="s">
        <v>331</v>
      </c>
      <c r="B110" s="232" t="s">
        <v>1952</v>
      </c>
    </row>
    <row r="111" spans="1:4" x14ac:dyDescent="0.25">
      <c r="A111" s="285" t="s">
        <v>332</v>
      </c>
      <c r="B111" s="232" t="s">
        <v>1952</v>
      </c>
    </row>
    <row r="112" spans="1:4" x14ac:dyDescent="0.25">
      <c r="A112" s="285" t="s">
        <v>333</v>
      </c>
      <c r="B112" s="232" t="s">
        <v>1953</v>
      </c>
    </row>
    <row r="113" spans="1:2" x14ac:dyDescent="0.25">
      <c r="A113" s="299" t="s">
        <v>268</v>
      </c>
      <c r="B113" s="296"/>
    </row>
  </sheetData>
  <pageMargins left="0.7" right="0.7" top="0.75" bottom="0.75" header="0.3" footer="0.3"/>
  <pageSetup paperSize="256" orientation="portrait" horizontalDpi="203" verticalDpi="20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48E32-F31F-4A68-9803-22AA71D6BEF3}">
  <sheetPr codeName="Sheet16">
    <pageSetUpPr fitToPage="1"/>
  </sheetPr>
  <dimension ref="B1:E21"/>
  <sheetViews>
    <sheetView workbookViewId="0">
      <selection activeCell="C28" sqref="C28"/>
    </sheetView>
  </sheetViews>
  <sheetFormatPr defaultRowHeight="15" x14ac:dyDescent="0.25"/>
  <cols>
    <col min="2" max="2" width="51.28515625" bestFit="1" customWidth="1"/>
    <col min="3" max="3" width="15.85546875" customWidth="1"/>
    <col min="4" max="4" width="14.5703125" customWidth="1"/>
    <col min="5" max="5" width="74.5703125" customWidth="1"/>
  </cols>
  <sheetData>
    <row r="1" spans="2:5" ht="15.75" thickBot="1" x14ac:dyDescent="0.3">
      <c r="B1" s="9" t="s">
        <v>399</v>
      </c>
      <c r="C1" s="9" t="s">
        <v>390</v>
      </c>
      <c r="D1" s="9" t="s">
        <v>1954</v>
      </c>
      <c r="E1" s="357" t="s">
        <v>1955</v>
      </c>
    </row>
    <row r="2" spans="2:5" x14ac:dyDescent="0.25">
      <c r="B2" s="298" t="s">
        <v>905</v>
      </c>
      <c r="C2" s="299" t="s">
        <v>716</v>
      </c>
      <c r="D2" s="299" t="s">
        <v>267</v>
      </c>
      <c r="E2" s="10"/>
    </row>
    <row r="3" spans="2:5" x14ac:dyDescent="0.25">
      <c r="B3" s="250" t="s">
        <v>994</v>
      </c>
      <c r="C3" s="284" t="s">
        <v>716</v>
      </c>
      <c r="D3" s="284" t="s">
        <v>262</v>
      </c>
      <c r="E3" s="10"/>
    </row>
    <row r="4" spans="2:5" x14ac:dyDescent="0.25">
      <c r="B4" s="250" t="s">
        <v>998</v>
      </c>
      <c r="C4" s="284" t="s">
        <v>716</v>
      </c>
      <c r="D4" s="284" t="s">
        <v>256</v>
      </c>
      <c r="E4" s="10"/>
    </row>
    <row r="5" spans="2:5" x14ac:dyDescent="0.25">
      <c r="B5" s="250" t="s">
        <v>1002</v>
      </c>
      <c r="C5" s="284" t="s">
        <v>716</v>
      </c>
      <c r="D5" s="284" t="s">
        <v>258</v>
      </c>
      <c r="E5" s="10"/>
    </row>
    <row r="6" spans="2:5" x14ac:dyDescent="0.25">
      <c r="B6" s="250" t="s">
        <v>1006</v>
      </c>
      <c r="C6" s="284" t="s">
        <v>716</v>
      </c>
      <c r="D6" s="284" t="s">
        <v>266</v>
      </c>
      <c r="E6" s="10"/>
    </row>
    <row r="7" spans="2:5" x14ac:dyDescent="0.25">
      <c r="B7" s="250" t="s">
        <v>1021</v>
      </c>
      <c r="C7" s="284" t="s">
        <v>716</v>
      </c>
      <c r="D7" s="284" t="s">
        <v>263</v>
      </c>
      <c r="E7" s="10"/>
    </row>
    <row r="8" spans="2:5" x14ac:dyDescent="0.25">
      <c r="B8" s="298" t="s">
        <v>1786</v>
      </c>
      <c r="C8" s="299" t="s">
        <v>716</v>
      </c>
      <c r="D8" s="299" t="s">
        <v>255</v>
      </c>
      <c r="E8" s="10"/>
    </row>
    <row r="9" spans="2:5" x14ac:dyDescent="0.25">
      <c r="B9" s="298" t="s">
        <v>1835</v>
      </c>
      <c r="C9" s="299" t="s">
        <v>716</v>
      </c>
      <c r="D9" s="299" t="s">
        <v>268</v>
      </c>
      <c r="E9" s="10"/>
    </row>
    <row r="10" spans="2:5" x14ac:dyDescent="0.25">
      <c r="B10" s="298" t="s">
        <v>1956</v>
      </c>
      <c r="C10" s="299" t="s">
        <v>459</v>
      </c>
      <c r="D10" s="299" t="s">
        <v>288</v>
      </c>
      <c r="E10" s="10"/>
    </row>
    <row r="11" spans="2:5" x14ac:dyDescent="0.25">
      <c r="B11" s="298" t="s">
        <v>959</v>
      </c>
      <c r="C11" s="299" t="s">
        <v>459</v>
      </c>
      <c r="D11" s="299" t="s">
        <v>279</v>
      </c>
      <c r="E11" s="10"/>
    </row>
    <row r="12" spans="2:5" x14ac:dyDescent="0.25">
      <c r="B12" s="213" t="s">
        <v>1030</v>
      </c>
      <c r="C12" s="299" t="s">
        <v>459</v>
      </c>
      <c r="D12" s="299" t="s">
        <v>280</v>
      </c>
      <c r="E12" s="10"/>
    </row>
    <row r="13" spans="2:5" x14ac:dyDescent="0.25">
      <c r="B13" s="298" t="s">
        <v>1613</v>
      </c>
      <c r="C13" s="299" t="s">
        <v>459</v>
      </c>
      <c r="D13" s="299" t="s">
        <v>284</v>
      </c>
      <c r="E13" s="10"/>
    </row>
    <row r="14" spans="2:5" x14ac:dyDescent="0.25">
      <c r="B14" s="298" t="s">
        <v>1620</v>
      </c>
      <c r="C14" s="299" t="s">
        <v>459</v>
      </c>
      <c r="D14" s="299" t="s">
        <v>285</v>
      </c>
      <c r="E14" s="10"/>
    </row>
    <row r="15" spans="2:5" x14ac:dyDescent="0.25">
      <c r="B15" s="250" t="s">
        <v>1462</v>
      </c>
      <c r="C15" s="285" t="s">
        <v>445</v>
      </c>
      <c r="D15" s="285" t="s">
        <v>294</v>
      </c>
      <c r="E15" s="10"/>
    </row>
    <row r="16" spans="2:5" x14ac:dyDescent="0.25">
      <c r="B16" s="298" t="s">
        <v>1957</v>
      </c>
      <c r="C16" s="299" t="s">
        <v>445</v>
      </c>
      <c r="D16" s="299" t="s">
        <v>314</v>
      </c>
      <c r="E16" s="10"/>
    </row>
    <row r="17" spans="2:5" x14ac:dyDescent="0.25">
      <c r="B17" s="298" t="s">
        <v>1475</v>
      </c>
      <c r="C17" s="299" t="s">
        <v>445</v>
      </c>
      <c r="D17" s="299" t="s">
        <v>312</v>
      </c>
      <c r="E17" s="10"/>
    </row>
    <row r="18" spans="2:5" x14ac:dyDescent="0.25">
      <c r="B18" s="250" t="s">
        <v>1481</v>
      </c>
      <c r="C18" s="285" t="s">
        <v>445</v>
      </c>
      <c r="D18" s="285" t="s">
        <v>307</v>
      </c>
      <c r="E18" s="10"/>
    </row>
    <row r="19" spans="2:5" x14ac:dyDescent="0.25">
      <c r="B19" s="298" t="s">
        <v>1720</v>
      </c>
      <c r="C19" s="310" t="s">
        <v>724</v>
      </c>
      <c r="D19" s="310" t="s">
        <v>339</v>
      </c>
      <c r="E19" s="10"/>
    </row>
    <row r="20" spans="2:5" x14ac:dyDescent="0.25">
      <c r="B20" s="213" t="s">
        <v>502</v>
      </c>
      <c r="C20" s="299" t="s">
        <v>397</v>
      </c>
      <c r="D20" s="299" t="s">
        <v>354</v>
      </c>
      <c r="E20" s="10"/>
    </row>
    <row r="21" spans="2:5" x14ac:dyDescent="0.25">
      <c r="B21" s="298" t="s">
        <v>1774</v>
      </c>
      <c r="C21" s="299" t="s">
        <v>397</v>
      </c>
      <c r="D21" s="299" t="s">
        <v>366</v>
      </c>
      <c r="E21" s="10"/>
    </row>
  </sheetData>
  <autoFilter ref="B1:E1" xr:uid="{48148E32-F31F-4A68-9803-22AA71D6BEF3}">
    <sortState xmlns:xlrd2="http://schemas.microsoft.com/office/spreadsheetml/2017/richdata2" ref="B2:E21">
      <sortCondition ref="C1"/>
    </sortState>
  </autoFilter>
  <pageMargins left="0.7" right="0.7" top="0.75" bottom="0.75" header="0.3" footer="0.3"/>
  <pageSetup paperSize="256" scale="73" orientation="landscape" horizontalDpi="4294967293" verticalDpi="203"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80D35-EDE8-48B0-9E20-417E75956EA3}">
  <sheetPr codeName="Sheet1"/>
  <dimension ref="B1:BO115"/>
  <sheetViews>
    <sheetView topLeftCell="A81" workbookViewId="0">
      <selection activeCell="C117" sqref="C117"/>
    </sheetView>
  </sheetViews>
  <sheetFormatPr defaultRowHeight="15" x14ac:dyDescent="0.25"/>
  <cols>
    <col min="3" max="3" width="64.140625" customWidth="1"/>
    <col min="4" max="4" width="17" bestFit="1" customWidth="1"/>
    <col min="5" max="7" width="64.140625" customWidth="1"/>
    <col min="8" max="8" width="107.140625" customWidth="1"/>
    <col min="9" max="27" width="64.140625" customWidth="1"/>
    <col min="28" max="28" width="118.140625" customWidth="1"/>
    <col min="29" max="29" width="13.140625" bestFit="1" customWidth="1"/>
    <col min="30" max="31" width="19.85546875" bestFit="1" customWidth="1"/>
  </cols>
  <sheetData>
    <row r="1" spans="2:67" x14ac:dyDescent="0.25">
      <c r="E1">
        <v>1</v>
      </c>
      <c r="F1">
        <v>2</v>
      </c>
      <c r="G1">
        <v>3</v>
      </c>
      <c r="H1">
        <v>4</v>
      </c>
      <c r="I1">
        <v>6</v>
      </c>
      <c r="J1">
        <v>8</v>
      </c>
      <c r="K1">
        <v>9</v>
      </c>
      <c r="L1">
        <v>10</v>
      </c>
      <c r="M1">
        <v>11</v>
      </c>
      <c r="N1">
        <v>12</v>
      </c>
      <c r="O1">
        <v>13</v>
      </c>
      <c r="P1">
        <v>14</v>
      </c>
      <c r="Q1">
        <v>15</v>
      </c>
      <c r="R1">
        <v>16</v>
      </c>
      <c r="S1">
        <v>17</v>
      </c>
      <c r="T1">
        <v>18</v>
      </c>
      <c r="U1">
        <v>19</v>
      </c>
      <c r="V1">
        <v>20</v>
      </c>
      <c r="W1">
        <v>21</v>
      </c>
      <c r="X1">
        <v>22</v>
      </c>
      <c r="Y1">
        <v>23</v>
      </c>
      <c r="Z1">
        <v>24</v>
      </c>
    </row>
    <row r="2" spans="2:67" x14ac:dyDescent="0.25">
      <c r="B2" t="s">
        <v>377</v>
      </c>
      <c r="C2" t="s">
        <v>1958</v>
      </c>
      <c r="D2" t="s">
        <v>1959</v>
      </c>
      <c r="E2" t="s">
        <v>1960</v>
      </c>
      <c r="F2" t="s">
        <v>1961</v>
      </c>
      <c r="G2" t="s">
        <v>1962</v>
      </c>
      <c r="H2" t="s">
        <v>1963</v>
      </c>
      <c r="I2" t="s">
        <v>1964</v>
      </c>
      <c r="J2" t="s">
        <v>1965</v>
      </c>
      <c r="K2" t="s">
        <v>1966</v>
      </c>
      <c r="L2" t="s">
        <v>1967</v>
      </c>
      <c r="M2" t="s">
        <v>1968</v>
      </c>
      <c r="N2" t="s">
        <v>1969</v>
      </c>
      <c r="O2" t="s">
        <v>1970</v>
      </c>
      <c r="P2" t="s">
        <v>1971</v>
      </c>
      <c r="Q2" t="s">
        <v>1972</v>
      </c>
      <c r="R2" t="s">
        <v>1973</v>
      </c>
      <c r="S2" t="s">
        <v>1974</v>
      </c>
      <c r="T2" t="s">
        <v>1975</v>
      </c>
      <c r="U2" t="s">
        <v>1976</v>
      </c>
      <c r="V2" t="s">
        <v>1977</v>
      </c>
      <c r="W2" t="s">
        <v>1978</v>
      </c>
      <c r="X2" t="s">
        <v>1979</v>
      </c>
      <c r="Y2" t="s">
        <v>1980</v>
      </c>
      <c r="Z2" t="s">
        <v>1981</v>
      </c>
      <c r="AA2" t="s">
        <v>1982</v>
      </c>
      <c r="AB2" t="s">
        <v>1983</v>
      </c>
      <c r="AC2" t="s">
        <v>1984</v>
      </c>
      <c r="AD2" t="s">
        <v>1985</v>
      </c>
      <c r="AE2" t="s">
        <v>1986</v>
      </c>
      <c r="AF2" s="22" t="s">
        <v>1987</v>
      </c>
      <c r="AG2" s="22" t="s">
        <v>1988</v>
      </c>
      <c r="AH2" t="s">
        <v>1989</v>
      </c>
      <c r="AI2" s="22" t="s">
        <v>1990</v>
      </c>
      <c r="AJ2" s="22" t="s">
        <v>1991</v>
      </c>
      <c r="AK2" s="22" t="s">
        <v>1992</v>
      </c>
      <c r="AL2" s="22" t="s">
        <v>1993</v>
      </c>
      <c r="AM2" s="22" t="s">
        <v>1994</v>
      </c>
      <c r="AN2" s="22" t="s">
        <v>1995</v>
      </c>
      <c r="AO2" t="s">
        <v>1996</v>
      </c>
      <c r="AP2" t="s">
        <v>1996</v>
      </c>
      <c r="AQ2" t="s">
        <v>1996</v>
      </c>
      <c r="AR2" t="s">
        <v>1996</v>
      </c>
      <c r="AS2" t="s">
        <v>1996</v>
      </c>
      <c r="AT2" t="s">
        <v>1996</v>
      </c>
      <c r="AU2" t="s">
        <v>1996</v>
      </c>
      <c r="AV2" t="s">
        <v>1996</v>
      </c>
      <c r="AW2" t="s">
        <v>1996</v>
      </c>
      <c r="AX2" t="s">
        <v>1996</v>
      </c>
      <c r="AY2" t="s">
        <v>1996</v>
      </c>
      <c r="AZ2" t="s">
        <v>1996</v>
      </c>
      <c r="BA2" t="s">
        <v>1996</v>
      </c>
      <c r="BB2" t="s">
        <v>1996</v>
      </c>
      <c r="BC2" t="s">
        <v>1996</v>
      </c>
      <c r="BD2" t="s">
        <v>1996</v>
      </c>
      <c r="BE2" t="s">
        <v>1996</v>
      </c>
      <c r="BF2" t="s">
        <v>1996</v>
      </c>
      <c r="BG2" t="s">
        <v>1996</v>
      </c>
      <c r="BH2" t="s">
        <v>1996</v>
      </c>
      <c r="BI2" t="s">
        <v>1996</v>
      </c>
      <c r="BJ2" t="s">
        <v>1996</v>
      </c>
      <c r="BK2" t="s">
        <v>1996</v>
      </c>
      <c r="BL2" t="s">
        <v>1996</v>
      </c>
      <c r="BM2" t="s">
        <v>1996</v>
      </c>
      <c r="BN2" t="s">
        <v>1996</v>
      </c>
      <c r="BO2" t="s">
        <v>1997</v>
      </c>
    </row>
    <row r="3" spans="2:67" x14ac:dyDescent="0.25">
      <c r="B3" t="s">
        <v>255</v>
      </c>
      <c r="C3" s="358" t="str">
        <f>_xlfn.TEXTJOIN("|",TRUE,E3:Z3)</f>
        <v>https://viking-pictures.s3.us-west-1.amazonaws.com/AA1155/A11.+Trunk+Electric+Shock+SET2+(1).JPG|https://viking-pictures.s3.us-west-1.amazonaws.com/AA1155/A11.+Trunk+Electric+Shock+SET2+(2).JPG|https://viking-pictures.s3.us-west-1.amazonaws.com/AA1155/A11.+Trunk+Electric+Shock+SET2+(3).JPG|https://viking-pictures.s3.us-west-1.amazonaws.com/AA1155/A11.+Trunk+Electric+Shock+SET2+(4).JPG</v>
      </c>
      <c r="D3" s="360">
        <f>VLOOKUP(B3,'3. Keep &amp; Toss Items'!$O$9:$T$749,6,FALSE)</f>
        <v>5</v>
      </c>
      <c r="E3" s="358" t="str">
        <f t="shared" ref="E3:E34" si="0">IF($D3&gt;=E$1,CONCATENATE($AA3,$AB3,$AO3,AP3,$BN3),"")</f>
        <v>https://viking-pictures.s3.us-west-1.amazonaws.com/AA1155/A11.+Trunk+Electric+Shock+SET2+(1).JPG</v>
      </c>
      <c r="F3" s="358" t="str">
        <f>IF($D3&gt;=F1,CONCATENATE($AA3,$AB3,$AO3,AQ3,$BN3),"")</f>
        <v>https://viking-pictures.s3.us-west-1.amazonaws.com/AA1155/A11.+Trunk+Electric+Shock+SET2+(2).JPG</v>
      </c>
      <c r="G3" s="358" t="str">
        <f>IF($D3&gt;=G1,CONCATENATE($AA3,$AB3,$AO3,AR3,$BN3),"")</f>
        <v>https://viking-pictures.s3.us-west-1.amazonaws.com/AA1155/A11.+Trunk+Electric+Shock+SET2+(3).JPG</v>
      </c>
      <c r="H3" s="358" t="str">
        <f>IF($D3&gt;=H1,CONCATENATE($AA3,$AB3,$AO3,AS3,$BN3),"")</f>
        <v>https://viking-pictures.s3.us-west-1.amazonaws.com/AA1155/A11.+Trunk+Electric+Shock+SET2+(4).JPG</v>
      </c>
      <c r="I3" s="358" t="str">
        <f>IF($D3&gt;=I1,CONCATENATE($AA3,$AB3,$AO3,AU3,$BN3),"")</f>
        <v/>
      </c>
      <c r="J3" s="358" t="str">
        <f t="shared" ref="J3:Z3" si="1">IF($D3&gt;=J1,CONCATENATE($AA3,$AB3,$AO3,AW3,$BN3),"")</f>
        <v/>
      </c>
      <c r="K3" s="358" t="str">
        <f t="shared" si="1"/>
        <v/>
      </c>
      <c r="L3" s="358" t="str">
        <f t="shared" si="1"/>
        <v/>
      </c>
      <c r="M3" s="358" t="str">
        <f t="shared" si="1"/>
        <v/>
      </c>
      <c r="N3" s="358" t="str">
        <f t="shared" si="1"/>
        <v/>
      </c>
      <c r="O3" s="358" t="str">
        <f t="shared" si="1"/>
        <v/>
      </c>
      <c r="P3" s="358" t="str">
        <f t="shared" si="1"/>
        <v/>
      </c>
      <c r="Q3" s="358" t="str">
        <f t="shared" si="1"/>
        <v/>
      </c>
      <c r="R3" s="358" t="str">
        <f t="shared" si="1"/>
        <v/>
      </c>
      <c r="S3" s="358" t="str">
        <f t="shared" si="1"/>
        <v/>
      </c>
      <c r="T3" s="358" t="str">
        <f t="shared" si="1"/>
        <v/>
      </c>
      <c r="U3" s="358" t="str">
        <f t="shared" si="1"/>
        <v/>
      </c>
      <c r="V3" s="358" t="str">
        <f t="shared" si="1"/>
        <v/>
      </c>
      <c r="W3" s="358" t="str">
        <f t="shared" si="1"/>
        <v/>
      </c>
      <c r="X3" s="358" t="str">
        <f t="shared" si="1"/>
        <v/>
      </c>
      <c r="Y3" s="358" t="str">
        <f t="shared" si="1"/>
        <v/>
      </c>
      <c r="Z3" s="358" t="str">
        <f t="shared" si="1"/>
        <v/>
      </c>
      <c r="AA3" s="111" t="s">
        <v>1998</v>
      </c>
      <c r="AB3" s="358" t="str">
        <f>AN3</f>
        <v>A11.+Trunk+Electric+Shock+SET2</v>
      </c>
      <c r="AC3" s="358" t="str">
        <f>VLOOKUP(B3,'3. Keep &amp; Toss Items'!$O$9:$R$749,4,FALSE)</f>
        <v>A11. Trunk Electric Shock SET2</v>
      </c>
      <c r="AD3" s="358" t="str">
        <f>SUBSTITUTE(AC3,"+","%2B")</f>
        <v>A11. Trunk Electric Shock SET2</v>
      </c>
      <c r="AE3" s="358" t="str">
        <f>SUBSTITUTE(AD3," ","+")</f>
        <v>A11.+Trunk+Electric+Shock+SET2</v>
      </c>
      <c r="AF3" s="358" t="str">
        <f>SUBSTITUTE(AE3,",","%2C")</f>
        <v>A11.+Trunk+Electric+Shock+SET2</v>
      </c>
      <c r="AG3" s="358" t="str">
        <f>SUBSTITUTE(AF3,";","%3B")</f>
        <v>A11.+Trunk+Electric+Shock+SET2</v>
      </c>
      <c r="AH3" s="358" t="str">
        <f>SUBSTITUTE(AG3,":","%3A")</f>
        <v>A11.+Trunk+Electric+Shock+SET2</v>
      </c>
      <c r="AI3" s="358" t="str">
        <f>SUBSTITUTE(AH3,"@","40%")</f>
        <v>A11.+Trunk+Electric+Shock+SET2</v>
      </c>
      <c r="AJ3" s="358" t="str">
        <f>SUBSTITUTE(AI3,"&amp;","%26")</f>
        <v>A11.+Trunk+Electric+Shock+SET2</v>
      </c>
      <c r="AK3" s="358" t="str">
        <f>SUBSTITUTE(AJ3,"=","%3D")</f>
        <v>A11.+Trunk+Electric+Shock+SET2</v>
      </c>
      <c r="AL3" s="358" t="str">
        <f t="shared" ref="AL3:AL34" si="2">SUBSTITUTE(AK3,"?","%3F")</f>
        <v>A11.+Trunk+Electric+Shock+SET2</v>
      </c>
      <c r="AM3" s="358" t="str">
        <f>SUBSTITUTE(AL3,"/","%2F")</f>
        <v>A11.+Trunk+Electric+Shock+SET2</v>
      </c>
      <c r="AN3" s="358" t="str">
        <f>SUBSTITUTE(AM3,"""","")</f>
        <v>A11.+Trunk+Electric+Shock+SET2</v>
      </c>
      <c r="AO3" s="359" t="s">
        <v>1999</v>
      </c>
      <c r="AP3" s="359" t="s">
        <v>2000</v>
      </c>
      <c r="AQ3" s="359" t="s">
        <v>2001</v>
      </c>
      <c r="AR3" s="359" t="s">
        <v>2002</v>
      </c>
      <c r="AS3" s="359" t="s">
        <v>2003</v>
      </c>
      <c r="AT3" s="359" t="s">
        <v>2004</v>
      </c>
      <c r="AU3" s="359" t="s">
        <v>2005</v>
      </c>
      <c r="AV3" s="359" t="s">
        <v>2006</v>
      </c>
      <c r="AW3" s="359" t="s">
        <v>2007</v>
      </c>
      <c r="AX3" s="359" t="s">
        <v>2008</v>
      </c>
      <c r="AY3" s="359" t="s">
        <v>2009</v>
      </c>
      <c r="AZ3" s="359" t="s">
        <v>2010</v>
      </c>
      <c r="BA3" s="359" t="s">
        <v>2011</v>
      </c>
      <c r="BB3" s="359" t="s">
        <v>2012</v>
      </c>
      <c r="BC3" s="359" t="s">
        <v>2013</v>
      </c>
      <c r="BD3" s="359" t="s">
        <v>2014</v>
      </c>
      <c r="BE3" s="359" t="s">
        <v>2015</v>
      </c>
      <c r="BF3" s="359" t="s">
        <v>2016</v>
      </c>
      <c r="BG3" s="359" t="s">
        <v>2017</v>
      </c>
      <c r="BH3" s="359" t="s">
        <v>2018</v>
      </c>
      <c r="BI3" s="359" t="s">
        <v>2019</v>
      </c>
      <c r="BJ3" s="359" t="s">
        <v>2020</v>
      </c>
      <c r="BK3" s="359" t="s">
        <v>2021</v>
      </c>
      <c r="BL3" s="359" t="s">
        <v>2022</v>
      </c>
      <c r="BM3" s="359" t="s">
        <v>2023</v>
      </c>
      <c r="BN3" s="359" t="s">
        <v>2024</v>
      </c>
      <c r="BO3" s="147" t="str">
        <f t="shared" ref="BO3:BO34" si="3">HYPERLINK(E3,"Pic Example")</f>
        <v>Pic Example</v>
      </c>
    </row>
    <row r="4" spans="2:67" x14ac:dyDescent="0.25">
      <c r="B4" t="s">
        <v>256</v>
      </c>
      <c r="C4" s="358" t="str">
        <f>_xlfn.TEXTJOIN("|",TRUE,E4:Z4)</f>
        <v>https://viking-pictures.s3.us-west-1.amazonaws.com/AA1155/A12.+Airbag%2C+KNEE+-+FRONT+LEFT+(DRIVER)+(1).JPG|https://viking-pictures.s3.us-west-1.amazonaws.com/AA1155/A12.+Airbag%2C+KNEE+-+FRONT+LEFT+(DRIVER)+(2).JPG|https://viking-pictures.s3.us-west-1.amazonaws.com/AA1155/A12.+Airbag%2C+KNEE+-+FRONT+LEFT+(DRIVER)+(3).JPG|https://viking-pictures.s3.us-west-1.amazonaws.com/AA1155/A12.+Airbag%2C+KNEE+-+FRONT+LEFT+(DRIVER)+(4).JPG|https://viking-pictures.s3.us-west-1.amazonaws.com/AA1155/A12.+Airbag%2C+KNEE+-+FRONT+LEFT+(DRIVER)+(6).JPG</v>
      </c>
      <c r="D4" s="358">
        <f>VLOOKUP(B4,'3. Keep &amp; Toss Items'!$O$9:$T$749,6,FALSE)</f>
        <v>6</v>
      </c>
      <c r="E4" s="358" t="str">
        <f t="shared" si="0"/>
        <v>https://viking-pictures.s3.us-west-1.amazonaws.com/AA1155/A12.+Airbag%2C+KNEE+-+FRONT+LEFT+(DRIVER)+(1).JPG</v>
      </c>
      <c r="F4" s="358" t="str">
        <f t="shared" ref="F4:F35" si="4">IF($D4&gt;=F$1,CONCATENATE($AA4,$AB4,$AO4,AQ4,$BN4),"")</f>
        <v>https://viking-pictures.s3.us-west-1.amazonaws.com/AA1155/A12.+Airbag%2C+KNEE+-+FRONT+LEFT+(DRIVER)+(2).JPG</v>
      </c>
      <c r="G4" s="358" t="str">
        <f t="shared" ref="G4:G35" si="5">IF($D4&gt;=G$1,CONCATENATE($AA4,$AB4,$AO4,AR4,$BN4),"")</f>
        <v>https://viking-pictures.s3.us-west-1.amazonaws.com/AA1155/A12.+Airbag%2C+KNEE+-+FRONT+LEFT+(DRIVER)+(3).JPG</v>
      </c>
      <c r="H4" s="358" t="str">
        <f t="shared" ref="H4:H35" si="6">IF($D4&gt;=H$1,CONCATENATE($AA4,$AB4,$AO4,AS4,$BN4),"")</f>
        <v>https://viking-pictures.s3.us-west-1.amazonaws.com/AA1155/A12.+Airbag%2C+KNEE+-+FRONT+LEFT+(DRIVER)+(4).JPG</v>
      </c>
      <c r="I4" s="358" t="str">
        <f t="shared" ref="I4:I35" si="7">IF($D4&gt;=I$1,CONCATENATE($AA4,$AB4,$AO4,AU4,$BN4),"")</f>
        <v>https://viking-pictures.s3.us-west-1.amazonaws.com/AA1155/A12.+Airbag%2C+KNEE+-+FRONT+LEFT+(DRIVER)+(6).JPG</v>
      </c>
      <c r="J4" s="358" t="str">
        <f t="shared" ref="J4:J35" si="8">IF($D4&gt;=J$1,CONCATENATE($AA4,$AB4,$AO4,AW4,$BN4),"")</f>
        <v/>
      </c>
      <c r="K4" s="358" t="str">
        <f t="shared" ref="K4:K35" si="9">IF($D4&gt;=K$1,CONCATENATE($AA4,$AB4,$AO4,AX4,$BN4),"")</f>
        <v/>
      </c>
      <c r="L4" s="358" t="str">
        <f t="shared" ref="L4:L35" si="10">IF($D4&gt;=L$1,CONCATENATE($AA4,$AB4,$AO4,AY4,$BN4),"")</f>
        <v/>
      </c>
      <c r="M4" s="358" t="str">
        <f t="shared" ref="M4:M35" si="11">IF($D4&gt;=M$1,CONCATENATE($AA4,$AB4,$AO4,AZ4,$BN4),"")</f>
        <v/>
      </c>
      <c r="N4" s="358" t="str">
        <f t="shared" ref="N4:N35" si="12">IF($D4&gt;=N$1,CONCATENATE($AA4,$AB4,$AO4,BA4,$BN4),"")</f>
        <v/>
      </c>
      <c r="O4" s="358" t="str">
        <f t="shared" ref="O4:O35" si="13">IF($D4&gt;=O$1,CONCATENATE($AA4,$AB4,$AO4,BB4,$BN4),"")</f>
        <v/>
      </c>
      <c r="P4" s="358" t="str">
        <f t="shared" ref="P4:P35" si="14">IF($D4&gt;=P$1,CONCATENATE($AA4,$AB4,$AO4,BC4,$BN4),"")</f>
        <v/>
      </c>
      <c r="Q4" s="358" t="str">
        <f t="shared" ref="Q4:Q35" si="15">IF($D4&gt;=Q$1,CONCATENATE($AA4,$AB4,$AO4,BD4,$BN4),"")</f>
        <v/>
      </c>
      <c r="R4" s="358" t="str">
        <f t="shared" ref="R4:R35" si="16">IF($D4&gt;=R$1,CONCATENATE($AA4,$AB4,$AO4,BE4,$BN4),"")</f>
        <v/>
      </c>
      <c r="S4" s="358" t="str">
        <f t="shared" ref="S4:S35" si="17">IF($D4&gt;=S$1,CONCATENATE($AA4,$AB4,$AO4,BF4,$BN4),"")</f>
        <v/>
      </c>
      <c r="T4" s="358" t="str">
        <f t="shared" ref="T4:T35" si="18">IF($D4&gt;=T$1,CONCATENATE($AA4,$AB4,$AO4,BG4,$BN4),"")</f>
        <v/>
      </c>
      <c r="U4" s="358" t="str">
        <f t="shared" ref="U4:U35" si="19">IF($D4&gt;=U$1,CONCATENATE($AA4,$AB4,$AO4,BH4,$BN4),"")</f>
        <v/>
      </c>
      <c r="V4" s="358" t="str">
        <f t="shared" ref="V4:V35" si="20">IF($D4&gt;=V$1,CONCATENATE($AA4,$AB4,$AO4,BI4,$BN4),"")</f>
        <v/>
      </c>
      <c r="W4" s="358" t="str">
        <f t="shared" ref="W4:W35" si="21">IF($D4&gt;=W$1,CONCATENATE($AA4,$AB4,$AO4,BJ4,$BN4),"")</f>
        <v/>
      </c>
      <c r="X4" s="358" t="str">
        <f t="shared" ref="X4:X35" si="22">IF($D4&gt;=X$1,CONCATENATE($AA4,$AB4,$AO4,BK4,$BN4),"")</f>
        <v/>
      </c>
      <c r="Y4" s="358" t="str">
        <f t="shared" ref="Y4:Y35" si="23">IF($D4&gt;=Y$1,CONCATENATE($AA4,$AB4,$AO4,BL4,$BN4),"")</f>
        <v/>
      </c>
      <c r="Z4" s="358" t="str">
        <f t="shared" ref="Z4:Z35" si="24">IF($D4&gt;=Z$1,CONCATENATE($AA4,$AB4,$AO4,BM4,$BN4),"")</f>
        <v/>
      </c>
      <c r="AA4" s="111" t="s">
        <v>1998</v>
      </c>
      <c r="AB4" s="358" t="str">
        <f t="shared" ref="AB4:AB67" si="25">AN4</f>
        <v>A12.+Airbag%2C+KNEE+-+FRONT+LEFT+(DRIVER)</v>
      </c>
      <c r="AC4" s="358" t="str">
        <f>VLOOKUP(B4,'3. Keep &amp; Toss Items'!$O$9:$R$749,4,FALSE)</f>
        <v>A12. Airbag, KNEE - FRONT LEFT (DRIVER)</v>
      </c>
      <c r="AD4" s="358" t="str">
        <f t="shared" ref="AD4:AD67" si="26">SUBSTITUTE(AC4,"+","%2B")</f>
        <v>A12. Airbag, KNEE - FRONT LEFT (DRIVER)</v>
      </c>
      <c r="AE4" s="358" t="str">
        <f t="shared" ref="AE4:AE67" si="27">SUBSTITUTE(AD4," ","+")</f>
        <v>A12.+Airbag,+KNEE+-+FRONT+LEFT+(DRIVER)</v>
      </c>
      <c r="AF4" s="358" t="str">
        <f t="shared" ref="AF4:AF67" si="28">SUBSTITUTE(AE4,",","%2C")</f>
        <v>A12.+Airbag%2C+KNEE+-+FRONT+LEFT+(DRIVER)</v>
      </c>
      <c r="AG4" s="358" t="str">
        <f t="shared" ref="AG4:AG67" si="29">SUBSTITUTE(AF4,";","%3B")</f>
        <v>A12.+Airbag%2C+KNEE+-+FRONT+LEFT+(DRIVER)</v>
      </c>
      <c r="AH4" s="358" t="str">
        <f t="shared" ref="AH4:AH67" si="30">SUBSTITUTE(AG4,":","%3A")</f>
        <v>A12.+Airbag%2C+KNEE+-+FRONT+LEFT+(DRIVER)</v>
      </c>
      <c r="AI4" s="358" t="str">
        <f t="shared" ref="AI4:AI67" si="31">SUBSTITUTE(AH4,"@","40%")</f>
        <v>A12.+Airbag%2C+KNEE+-+FRONT+LEFT+(DRIVER)</v>
      </c>
      <c r="AJ4" s="358" t="str">
        <f t="shared" ref="AJ4:AJ67" si="32">SUBSTITUTE(AI4,"&amp;","%26")</f>
        <v>A12.+Airbag%2C+KNEE+-+FRONT+LEFT+(DRIVER)</v>
      </c>
      <c r="AK4" s="358" t="str">
        <f t="shared" ref="AK4:AK67" si="33">SUBSTITUTE(AJ4,"=","%3D")</f>
        <v>A12.+Airbag%2C+KNEE+-+FRONT+LEFT+(DRIVER)</v>
      </c>
      <c r="AL4" s="358" t="str">
        <f t="shared" si="2"/>
        <v>A12.+Airbag%2C+KNEE+-+FRONT+LEFT+(DRIVER)</v>
      </c>
      <c r="AM4" s="358" t="str">
        <f t="shared" ref="AM4:AM67" si="34">SUBSTITUTE(AL4,"/","%2F")</f>
        <v>A12.+Airbag%2C+KNEE+-+FRONT+LEFT+(DRIVER)</v>
      </c>
      <c r="AN4" s="358" t="str">
        <f t="shared" ref="AN4:AN67" si="35">SUBSTITUTE(AM4,"""","")</f>
        <v>A12.+Airbag%2C+KNEE+-+FRONT+LEFT+(DRIVER)</v>
      </c>
      <c r="AO4" s="359" t="s">
        <v>1999</v>
      </c>
      <c r="AP4" s="359" t="s">
        <v>2000</v>
      </c>
      <c r="AQ4" s="359" t="s">
        <v>2001</v>
      </c>
      <c r="AR4" s="359" t="s">
        <v>2002</v>
      </c>
      <c r="AS4" s="359" t="s">
        <v>2003</v>
      </c>
      <c r="AT4" s="359" t="s">
        <v>2004</v>
      </c>
      <c r="AU4" s="359" t="s">
        <v>2005</v>
      </c>
      <c r="AV4" s="359" t="s">
        <v>2006</v>
      </c>
      <c r="AW4" s="359" t="s">
        <v>2007</v>
      </c>
      <c r="AX4" s="359" t="s">
        <v>2008</v>
      </c>
      <c r="AY4" s="359" t="s">
        <v>2009</v>
      </c>
      <c r="AZ4" s="359" t="s">
        <v>2010</v>
      </c>
      <c r="BA4" s="359" t="s">
        <v>2011</v>
      </c>
      <c r="BB4" s="359" t="s">
        <v>2012</v>
      </c>
      <c r="BC4" s="359" t="s">
        <v>2013</v>
      </c>
      <c r="BD4" s="359" t="s">
        <v>2014</v>
      </c>
      <c r="BE4" s="359" t="s">
        <v>2015</v>
      </c>
      <c r="BF4" s="359" t="s">
        <v>2016</v>
      </c>
      <c r="BG4" s="359" t="s">
        <v>2017</v>
      </c>
      <c r="BH4" s="359" t="s">
        <v>2018</v>
      </c>
      <c r="BI4" s="359" t="s">
        <v>2019</v>
      </c>
      <c r="BJ4" s="359" t="s">
        <v>2020</v>
      </c>
      <c r="BK4" s="359" t="s">
        <v>2021</v>
      </c>
      <c r="BL4" s="359" t="s">
        <v>2022</v>
      </c>
      <c r="BM4" s="359" t="s">
        <v>2023</v>
      </c>
      <c r="BN4" s="359" t="s">
        <v>2024</v>
      </c>
      <c r="BO4" s="147" t="str">
        <f t="shared" si="3"/>
        <v>Pic Example</v>
      </c>
    </row>
    <row r="5" spans="2:67" x14ac:dyDescent="0.25">
      <c r="B5" t="s">
        <v>257</v>
      </c>
      <c r="C5" s="358" t="str">
        <f t="shared" ref="C5:C68" si="36">_xlfn.TEXTJOIN("|",TRUE,E5:Z5)</f>
        <v>https://viking-pictures.s3.us-west-1.amazonaws.com/AA1155/A13.+Control+Arms%2C+FRONT+-+UPPER+U+WISHBONE%2C+LEFT+(1).JPG|https://viking-pictures.s3.us-west-1.amazonaws.com/AA1155/A13.+Control+Arms%2C+FRONT+-+UPPER+U+WISHBONE%2C+LEFT+(2).JPG|https://viking-pictures.s3.us-west-1.amazonaws.com/AA1155/A13.+Control+Arms%2C+FRONT+-+UPPER+U+WISHBONE%2C+LEFT+(3).JPG|https://viking-pictures.s3.us-west-1.amazonaws.com/AA1155/A13.+Control+Arms%2C+FRONT+-+UPPER+U+WISHBONE%2C+LEFT+(4).JPG</v>
      </c>
      <c r="D5" s="358">
        <f>VLOOKUP(B5,'3. Keep &amp; Toss Items'!$O$9:$T$749,6,FALSE)</f>
        <v>5</v>
      </c>
      <c r="E5" s="358" t="str">
        <f t="shared" si="0"/>
        <v>https://viking-pictures.s3.us-west-1.amazonaws.com/AA1155/A13.+Control+Arms%2C+FRONT+-+UPPER+U+WISHBONE%2C+LEFT+(1).JPG</v>
      </c>
      <c r="F5" s="358" t="str">
        <f t="shared" si="4"/>
        <v>https://viking-pictures.s3.us-west-1.amazonaws.com/AA1155/A13.+Control+Arms%2C+FRONT+-+UPPER+U+WISHBONE%2C+LEFT+(2).JPG</v>
      </c>
      <c r="G5" s="358" t="str">
        <f t="shared" si="5"/>
        <v>https://viking-pictures.s3.us-west-1.amazonaws.com/AA1155/A13.+Control+Arms%2C+FRONT+-+UPPER+U+WISHBONE%2C+LEFT+(3).JPG</v>
      </c>
      <c r="H5" s="358" t="str">
        <f t="shared" si="6"/>
        <v>https://viking-pictures.s3.us-west-1.amazonaws.com/AA1155/A13.+Control+Arms%2C+FRONT+-+UPPER+U+WISHBONE%2C+LEFT+(4).JPG</v>
      </c>
      <c r="I5" s="358" t="str">
        <f t="shared" si="7"/>
        <v/>
      </c>
      <c r="J5" s="358" t="str">
        <f t="shared" si="8"/>
        <v/>
      </c>
      <c r="K5" s="358" t="str">
        <f t="shared" si="9"/>
        <v/>
      </c>
      <c r="L5" s="358" t="str">
        <f t="shared" si="10"/>
        <v/>
      </c>
      <c r="M5" s="358" t="str">
        <f t="shared" si="11"/>
        <v/>
      </c>
      <c r="N5" s="358" t="str">
        <f t="shared" si="12"/>
        <v/>
      </c>
      <c r="O5" s="358" t="str">
        <f t="shared" si="13"/>
        <v/>
      </c>
      <c r="P5" s="358" t="str">
        <f t="shared" si="14"/>
        <v/>
      </c>
      <c r="Q5" s="358" t="str">
        <f t="shared" si="15"/>
        <v/>
      </c>
      <c r="R5" s="358" t="str">
        <f t="shared" si="16"/>
        <v/>
      </c>
      <c r="S5" s="358" t="str">
        <f t="shared" si="17"/>
        <v/>
      </c>
      <c r="T5" s="358" t="str">
        <f t="shared" si="18"/>
        <v/>
      </c>
      <c r="U5" s="358" t="str">
        <f t="shared" si="19"/>
        <v/>
      </c>
      <c r="V5" s="358" t="str">
        <f t="shared" si="20"/>
        <v/>
      </c>
      <c r="W5" s="358" t="str">
        <f t="shared" si="21"/>
        <v/>
      </c>
      <c r="X5" s="358" t="str">
        <f t="shared" si="22"/>
        <v/>
      </c>
      <c r="Y5" s="358" t="str">
        <f t="shared" si="23"/>
        <v/>
      </c>
      <c r="Z5" s="358" t="str">
        <f t="shared" si="24"/>
        <v/>
      </c>
      <c r="AA5" s="111" t="s">
        <v>1998</v>
      </c>
      <c r="AB5" s="358" t="str">
        <f t="shared" si="25"/>
        <v>A13.+Control+Arms%2C+FRONT+-+UPPER+U+WISHBONE%2C+LEFT</v>
      </c>
      <c r="AC5" s="358" t="str">
        <f>VLOOKUP(B5,'3. Keep &amp; Toss Items'!$O$9:$R$749,4,FALSE)</f>
        <v>A13. Control Arms, FRONT - UPPER "U" WISHBONE, LEFT</v>
      </c>
      <c r="AD5" s="358" t="str">
        <f t="shared" si="26"/>
        <v>A13. Control Arms, FRONT - UPPER "U" WISHBONE, LEFT</v>
      </c>
      <c r="AE5" s="358" t="str">
        <f t="shared" si="27"/>
        <v>A13.+Control+Arms,+FRONT+-+UPPER+"U"+WISHBONE,+LEFT</v>
      </c>
      <c r="AF5" s="358" t="str">
        <f t="shared" si="28"/>
        <v>A13.+Control+Arms%2C+FRONT+-+UPPER+"U"+WISHBONE%2C+LEFT</v>
      </c>
      <c r="AG5" s="358" t="str">
        <f t="shared" si="29"/>
        <v>A13.+Control+Arms%2C+FRONT+-+UPPER+"U"+WISHBONE%2C+LEFT</v>
      </c>
      <c r="AH5" s="358" t="str">
        <f t="shared" si="30"/>
        <v>A13.+Control+Arms%2C+FRONT+-+UPPER+"U"+WISHBONE%2C+LEFT</v>
      </c>
      <c r="AI5" s="358" t="str">
        <f t="shared" si="31"/>
        <v>A13.+Control+Arms%2C+FRONT+-+UPPER+"U"+WISHBONE%2C+LEFT</v>
      </c>
      <c r="AJ5" s="358" t="str">
        <f t="shared" si="32"/>
        <v>A13.+Control+Arms%2C+FRONT+-+UPPER+"U"+WISHBONE%2C+LEFT</v>
      </c>
      <c r="AK5" s="358" t="str">
        <f t="shared" si="33"/>
        <v>A13.+Control+Arms%2C+FRONT+-+UPPER+"U"+WISHBONE%2C+LEFT</v>
      </c>
      <c r="AL5" s="358" t="str">
        <f t="shared" si="2"/>
        <v>A13.+Control+Arms%2C+FRONT+-+UPPER+"U"+WISHBONE%2C+LEFT</v>
      </c>
      <c r="AM5" s="358" t="str">
        <f t="shared" si="34"/>
        <v>A13.+Control+Arms%2C+FRONT+-+UPPER+"U"+WISHBONE%2C+LEFT</v>
      </c>
      <c r="AN5" s="358" t="str">
        <f t="shared" si="35"/>
        <v>A13.+Control+Arms%2C+FRONT+-+UPPER+U+WISHBONE%2C+LEFT</v>
      </c>
      <c r="AO5" s="359" t="s">
        <v>1999</v>
      </c>
      <c r="AP5" s="359" t="s">
        <v>2000</v>
      </c>
      <c r="AQ5" s="359" t="s">
        <v>2001</v>
      </c>
      <c r="AR5" s="359" t="s">
        <v>2002</v>
      </c>
      <c r="AS5" s="359" t="s">
        <v>2003</v>
      </c>
      <c r="AT5" s="359" t="s">
        <v>2004</v>
      </c>
      <c r="AU5" s="359" t="s">
        <v>2005</v>
      </c>
      <c r="AV5" s="359" t="s">
        <v>2006</v>
      </c>
      <c r="AW5" s="359" t="s">
        <v>2007</v>
      </c>
      <c r="AX5" s="359" t="s">
        <v>2008</v>
      </c>
      <c r="AY5" s="359" t="s">
        <v>2009</v>
      </c>
      <c r="AZ5" s="359" t="s">
        <v>2010</v>
      </c>
      <c r="BA5" s="359" t="s">
        <v>2011</v>
      </c>
      <c r="BB5" s="359" t="s">
        <v>2012</v>
      </c>
      <c r="BC5" s="359" t="s">
        <v>2013</v>
      </c>
      <c r="BD5" s="359" t="s">
        <v>2014</v>
      </c>
      <c r="BE5" s="359" t="s">
        <v>2015</v>
      </c>
      <c r="BF5" s="359" t="s">
        <v>2016</v>
      </c>
      <c r="BG5" s="359" t="s">
        <v>2017</v>
      </c>
      <c r="BH5" s="359" t="s">
        <v>2018</v>
      </c>
      <c r="BI5" s="359" t="s">
        <v>2019</v>
      </c>
      <c r="BJ5" s="359" t="s">
        <v>2020</v>
      </c>
      <c r="BK5" s="359" t="s">
        <v>2021</v>
      </c>
      <c r="BL5" s="359" t="s">
        <v>2022</v>
      </c>
      <c r="BM5" s="359" t="s">
        <v>2023</v>
      </c>
      <c r="BN5" s="359" t="s">
        <v>2024</v>
      </c>
      <c r="BO5" s="147" t="str">
        <f t="shared" si="3"/>
        <v>Pic Example</v>
      </c>
    </row>
    <row r="6" spans="2:67" x14ac:dyDescent="0.25">
      <c r="B6" t="s">
        <v>258</v>
      </c>
      <c r="C6" s="358" t="str">
        <f t="shared" si="36"/>
        <v>https://viking-pictures.s3.us-west-1.amazonaws.com/AA1155/A14.+Airbag%2C+KNEE+-+FRONT+RIGHT+(PASSENGER)+(1).JPG|https://viking-pictures.s3.us-west-1.amazonaws.com/AA1155/A14.+Airbag%2C+KNEE+-+FRONT+RIGHT+(PASSENGER)+(2).JPG|https://viking-pictures.s3.us-west-1.amazonaws.com/AA1155/A14.+Airbag%2C+KNEE+-+FRONT+RIGHT+(PASSENGER)+(3).JPG|https://viking-pictures.s3.us-west-1.amazonaws.com/AA1155/A14.+Airbag%2C+KNEE+-+FRONT+RIGHT+(PASSENGER)+(4).JPG</v>
      </c>
      <c r="D6" s="358">
        <f>VLOOKUP(B6,'3. Keep &amp; Toss Items'!$O$9:$T$749,6,FALSE)</f>
        <v>5</v>
      </c>
      <c r="E6" s="358" t="str">
        <f t="shared" si="0"/>
        <v>https://viking-pictures.s3.us-west-1.amazonaws.com/AA1155/A14.+Airbag%2C+KNEE+-+FRONT+RIGHT+(PASSENGER)+(1).JPG</v>
      </c>
      <c r="F6" s="358" t="str">
        <f t="shared" si="4"/>
        <v>https://viking-pictures.s3.us-west-1.amazonaws.com/AA1155/A14.+Airbag%2C+KNEE+-+FRONT+RIGHT+(PASSENGER)+(2).JPG</v>
      </c>
      <c r="G6" s="358" t="str">
        <f t="shared" si="5"/>
        <v>https://viking-pictures.s3.us-west-1.amazonaws.com/AA1155/A14.+Airbag%2C+KNEE+-+FRONT+RIGHT+(PASSENGER)+(3).JPG</v>
      </c>
      <c r="H6" s="358" t="str">
        <f t="shared" si="6"/>
        <v>https://viking-pictures.s3.us-west-1.amazonaws.com/AA1155/A14.+Airbag%2C+KNEE+-+FRONT+RIGHT+(PASSENGER)+(4).JPG</v>
      </c>
      <c r="I6" s="358" t="str">
        <f t="shared" si="7"/>
        <v/>
      </c>
      <c r="J6" s="358" t="str">
        <f t="shared" si="8"/>
        <v/>
      </c>
      <c r="K6" s="358" t="str">
        <f t="shared" si="9"/>
        <v/>
      </c>
      <c r="L6" s="358" t="str">
        <f t="shared" si="10"/>
        <v/>
      </c>
      <c r="M6" s="358" t="str">
        <f t="shared" si="11"/>
        <v/>
      </c>
      <c r="N6" s="358" t="str">
        <f t="shared" si="12"/>
        <v/>
      </c>
      <c r="O6" s="358" t="str">
        <f t="shared" si="13"/>
        <v/>
      </c>
      <c r="P6" s="358" t="str">
        <f t="shared" si="14"/>
        <v/>
      </c>
      <c r="Q6" s="358" t="str">
        <f t="shared" si="15"/>
        <v/>
      </c>
      <c r="R6" s="358" t="str">
        <f t="shared" si="16"/>
        <v/>
      </c>
      <c r="S6" s="358" t="str">
        <f t="shared" si="17"/>
        <v/>
      </c>
      <c r="T6" s="358" t="str">
        <f t="shared" si="18"/>
        <v/>
      </c>
      <c r="U6" s="358" t="str">
        <f t="shared" si="19"/>
        <v/>
      </c>
      <c r="V6" s="358" t="str">
        <f t="shared" si="20"/>
        <v/>
      </c>
      <c r="W6" s="358" t="str">
        <f t="shared" si="21"/>
        <v/>
      </c>
      <c r="X6" s="358" t="str">
        <f t="shared" si="22"/>
        <v/>
      </c>
      <c r="Y6" s="358" t="str">
        <f t="shared" si="23"/>
        <v/>
      </c>
      <c r="Z6" s="358" t="str">
        <f t="shared" si="24"/>
        <v/>
      </c>
      <c r="AA6" s="111" t="s">
        <v>1998</v>
      </c>
      <c r="AB6" s="358" t="str">
        <f t="shared" si="25"/>
        <v>A14.+Airbag%2C+KNEE+-+FRONT+RIGHT+(PASSENGER)</v>
      </c>
      <c r="AC6" s="358" t="str">
        <f>VLOOKUP(B6,'3. Keep &amp; Toss Items'!$O$9:$R$749,4,FALSE)</f>
        <v>A14. Airbag, KNEE - FRONT RIGHT (PASSENGER)</v>
      </c>
      <c r="AD6" s="358" t="str">
        <f t="shared" si="26"/>
        <v>A14. Airbag, KNEE - FRONT RIGHT (PASSENGER)</v>
      </c>
      <c r="AE6" s="358" t="str">
        <f t="shared" si="27"/>
        <v>A14.+Airbag,+KNEE+-+FRONT+RIGHT+(PASSENGER)</v>
      </c>
      <c r="AF6" s="358" t="str">
        <f t="shared" si="28"/>
        <v>A14.+Airbag%2C+KNEE+-+FRONT+RIGHT+(PASSENGER)</v>
      </c>
      <c r="AG6" s="358" t="str">
        <f t="shared" si="29"/>
        <v>A14.+Airbag%2C+KNEE+-+FRONT+RIGHT+(PASSENGER)</v>
      </c>
      <c r="AH6" s="358" t="str">
        <f t="shared" si="30"/>
        <v>A14.+Airbag%2C+KNEE+-+FRONT+RIGHT+(PASSENGER)</v>
      </c>
      <c r="AI6" s="358" t="str">
        <f t="shared" si="31"/>
        <v>A14.+Airbag%2C+KNEE+-+FRONT+RIGHT+(PASSENGER)</v>
      </c>
      <c r="AJ6" s="358" t="str">
        <f t="shared" si="32"/>
        <v>A14.+Airbag%2C+KNEE+-+FRONT+RIGHT+(PASSENGER)</v>
      </c>
      <c r="AK6" s="358" t="str">
        <f t="shared" si="33"/>
        <v>A14.+Airbag%2C+KNEE+-+FRONT+RIGHT+(PASSENGER)</v>
      </c>
      <c r="AL6" s="358" t="str">
        <f t="shared" si="2"/>
        <v>A14.+Airbag%2C+KNEE+-+FRONT+RIGHT+(PASSENGER)</v>
      </c>
      <c r="AM6" s="358" t="str">
        <f t="shared" si="34"/>
        <v>A14.+Airbag%2C+KNEE+-+FRONT+RIGHT+(PASSENGER)</v>
      </c>
      <c r="AN6" s="358" t="str">
        <f t="shared" si="35"/>
        <v>A14.+Airbag%2C+KNEE+-+FRONT+RIGHT+(PASSENGER)</v>
      </c>
      <c r="AO6" s="359" t="s">
        <v>1999</v>
      </c>
      <c r="AP6" s="359" t="s">
        <v>2000</v>
      </c>
      <c r="AQ6" s="359" t="s">
        <v>2001</v>
      </c>
      <c r="AR6" s="359" t="s">
        <v>2002</v>
      </c>
      <c r="AS6" s="359" t="s">
        <v>2003</v>
      </c>
      <c r="AT6" s="359" t="s">
        <v>2004</v>
      </c>
      <c r="AU6" s="359" t="s">
        <v>2005</v>
      </c>
      <c r="AV6" s="359" t="s">
        <v>2006</v>
      </c>
      <c r="AW6" s="359" t="s">
        <v>2007</v>
      </c>
      <c r="AX6" s="359" t="s">
        <v>2008</v>
      </c>
      <c r="AY6" s="359" t="s">
        <v>2009</v>
      </c>
      <c r="AZ6" s="359" t="s">
        <v>2010</v>
      </c>
      <c r="BA6" s="359" t="s">
        <v>2011</v>
      </c>
      <c r="BB6" s="359" t="s">
        <v>2012</v>
      </c>
      <c r="BC6" s="359" t="s">
        <v>2013</v>
      </c>
      <c r="BD6" s="359" t="s">
        <v>2014</v>
      </c>
      <c r="BE6" s="359" t="s">
        <v>2015</v>
      </c>
      <c r="BF6" s="359" t="s">
        <v>2016</v>
      </c>
      <c r="BG6" s="359" t="s">
        <v>2017</v>
      </c>
      <c r="BH6" s="359" t="s">
        <v>2018</v>
      </c>
      <c r="BI6" s="359" t="s">
        <v>2019</v>
      </c>
      <c r="BJ6" s="359" t="s">
        <v>2020</v>
      </c>
      <c r="BK6" s="359" t="s">
        <v>2021</v>
      </c>
      <c r="BL6" s="359" t="s">
        <v>2022</v>
      </c>
      <c r="BM6" s="359" t="s">
        <v>2023</v>
      </c>
      <c r="BN6" s="359" t="s">
        <v>2024</v>
      </c>
      <c r="BO6" s="147" t="str">
        <f t="shared" si="3"/>
        <v>Pic Example</v>
      </c>
    </row>
    <row r="7" spans="2:67" x14ac:dyDescent="0.25">
      <c r="B7" t="s">
        <v>259</v>
      </c>
      <c r="C7" s="358" t="str">
        <f t="shared" si="36"/>
        <v>https://viking-pictures.s3.us-west-1.amazonaws.com/AA1155/A15.+Transmission+Oil+Pump%2C+Hydraulic+(1).JPG|https://viking-pictures.s3.us-west-1.amazonaws.com/AA1155/A15.+Transmission+Oil+Pump%2C+Hydraulic+(2).JPG|https://viking-pictures.s3.us-west-1.amazonaws.com/AA1155/A15.+Transmission+Oil+Pump%2C+Hydraulic+(3).JPG</v>
      </c>
      <c r="D7" s="358">
        <f>VLOOKUP(B7,'3. Keep &amp; Toss Items'!$O$9:$T$749,6,FALSE)</f>
        <v>3</v>
      </c>
      <c r="E7" s="358" t="str">
        <f t="shared" si="0"/>
        <v>https://viking-pictures.s3.us-west-1.amazonaws.com/AA1155/A15.+Transmission+Oil+Pump%2C+Hydraulic+(1).JPG</v>
      </c>
      <c r="F7" s="358" t="str">
        <f t="shared" si="4"/>
        <v>https://viking-pictures.s3.us-west-1.amazonaws.com/AA1155/A15.+Transmission+Oil+Pump%2C+Hydraulic+(2).JPG</v>
      </c>
      <c r="G7" s="358" t="str">
        <f t="shared" si="5"/>
        <v>https://viking-pictures.s3.us-west-1.amazonaws.com/AA1155/A15.+Transmission+Oil+Pump%2C+Hydraulic+(3).JPG</v>
      </c>
      <c r="H7" s="358" t="str">
        <f t="shared" si="6"/>
        <v/>
      </c>
      <c r="I7" s="358" t="str">
        <f t="shared" si="7"/>
        <v/>
      </c>
      <c r="J7" s="358" t="str">
        <f t="shared" si="8"/>
        <v/>
      </c>
      <c r="K7" s="358" t="str">
        <f t="shared" si="9"/>
        <v/>
      </c>
      <c r="L7" s="358" t="str">
        <f t="shared" si="10"/>
        <v/>
      </c>
      <c r="M7" s="358" t="str">
        <f t="shared" si="11"/>
        <v/>
      </c>
      <c r="N7" s="358" t="str">
        <f t="shared" si="12"/>
        <v/>
      </c>
      <c r="O7" s="358" t="str">
        <f t="shared" si="13"/>
        <v/>
      </c>
      <c r="P7" s="358" t="str">
        <f t="shared" si="14"/>
        <v/>
      </c>
      <c r="Q7" s="358" t="str">
        <f t="shared" si="15"/>
        <v/>
      </c>
      <c r="R7" s="358" t="str">
        <f t="shared" si="16"/>
        <v/>
      </c>
      <c r="S7" s="358" t="str">
        <f t="shared" si="17"/>
        <v/>
      </c>
      <c r="T7" s="358" t="str">
        <f t="shared" si="18"/>
        <v/>
      </c>
      <c r="U7" s="358" t="str">
        <f t="shared" si="19"/>
        <v/>
      </c>
      <c r="V7" s="358" t="str">
        <f t="shared" si="20"/>
        <v/>
      </c>
      <c r="W7" s="358" t="str">
        <f t="shared" si="21"/>
        <v/>
      </c>
      <c r="X7" s="358" t="str">
        <f t="shared" si="22"/>
        <v/>
      </c>
      <c r="Y7" s="358" t="str">
        <f t="shared" si="23"/>
        <v/>
      </c>
      <c r="Z7" s="358" t="str">
        <f t="shared" si="24"/>
        <v/>
      </c>
      <c r="AA7" s="111" t="s">
        <v>1998</v>
      </c>
      <c r="AB7" s="358" t="str">
        <f t="shared" si="25"/>
        <v>A15.+Transmission+Oil+Pump%2C+Hydraulic</v>
      </c>
      <c r="AC7" s="358" t="str">
        <f>VLOOKUP(B7,'3. Keep &amp; Toss Items'!$O$9:$R$749,4,FALSE)</f>
        <v>A15. Transmission Oil Pump, Hydraulic</v>
      </c>
      <c r="AD7" s="358" t="str">
        <f t="shared" si="26"/>
        <v>A15. Transmission Oil Pump, Hydraulic</v>
      </c>
      <c r="AE7" s="358" t="str">
        <f t="shared" si="27"/>
        <v>A15.+Transmission+Oil+Pump,+Hydraulic</v>
      </c>
      <c r="AF7" s="358" t="str">
        <f t="shared" si="28"/>
        <v>A15.+Transmission+Oil+Pump%2C+Hydraulic</v>
      </c>
      <c r="AG7" s="358" t="str">
        <f t="shared" si="29"/>
        <v>A15.+Transmission+Oil+Pump%2C+Hydraulic</v>
      </c>
      <c r="AH7" s="358" t="str">
        <f t="shared" si="30"/>
        <v>A15.+Transmission+Oil+Pump%2C+Hydraulic</v>
      </c>
      <c r="AI7" s="358" t="str">
        <f t="shared" si="31"/>
        <v>A15.+Transmission+Oil+Pump%2C+Hydraulic</v>
      </c>
      <c r="AJ7" s="358" t="str">
        <f t="shared" si="32"/>
        <v>A15.+Transmission+Oil+Pump%2C+Hydraulic</v>
      </c>
      <c r="AK7" s="358" t="str">
        <f t="shared" si="33"/>
        <v>A15.+Transmission+Oil+Pump%2C+Hydraulic</v>
      </c>
      <c r="AL7" s="358" t="str">
        <f t="shared" si="2"/>
        <v>A15.+Transmission+Oil+Pump%2C+Hydraulic</v>
      </c>
      <c r="AM7" s="358" t="str">
        <f t="shared" si="34"/>
        <v>A15.+Transmission+Oil+Pump%2C+Hydraulic</v>
      </c>
      <c r="AN7" s="358" t="str">
        <f t="shared" si="35"/>
        <v>A15.+Transmission+Oil+Pump%2C+Hydraulic</v>
      </c>
      <c r="AO7" s="359" t="s">
        <v>1999</v>
      </c>
      <c r="AP7" s="359" t="s">
        <v>2000</v>
      </c>
      <c r="AQ7" s="359" t="s">
        <v>2001</v>
      </c>
      <c r="AR7" s="359" t="s">
        <v>2002</v>
      </c>
      <c r="AS7" s="359" t="s">
        <v>2003</v>
      </c>
      <c r="AT7" s="359" t="s">
        <v>2004</v>
      </c>
      <c r="AU7" s="359" t="s">
        <v>2005</v>
      </c>
      <c r="AV7" s="359" t="s">
        <v>2006</v>
      </c>
      <c r="AW7" s="359" t="s">
        <v>2007</v>
      </c>
      <c r="AX7" s="359" t="s">
        <v>2008</v>
      </c>
      <c r="AY7" s="359" t="s">
        <v>2009</v>
      </c>
      <c r="AZ7" s="359" t="s">
        <v>2010</v>
      </c>
      <c r="BA7" s="359" t="s">
        <v>2011</v>
      </c>
      <c r="BB7" s="359" t="s">
        <v>2012</v>
      </c>
      <c r="BC7" s="359" t="s">
        <v>2013</v>
      </c>
      <c r="BD7" s="359" t="s">
        <v>2014</v>
      </c>
      <c r="BE7" s="359" t="s">
        <v>2015</v>
      </c>
      <c r="BF7" s="359" t="s">
        <v>2016</v>
      </c>
      <c r="BG7" s="359" t="s">
        <v>2017</v>
      </c>
      <c r="BH7" s="359" t="s">
        <v>2018</v>
      </c>
      <c r="BI7" s="359" t="s">
        <v>2019</v>
      </c>
      <c r="BJ7" s="359" t="s">
        <v>2020</v>
      </c>
      <c r="BK7" s="359" t="s">
        <v>2021</v>
      </c>
      <c r="BL7" s="359" t="s">
        <v>2022</v>
      </c>
      <c r="BM7" s="359" t="s">
        <v>2023</v>
      </c>
      <c r="BN7" s="359" t="s">
        <v>2024</v>
      </c>
      <c r="BO7" s="147" t="str">
        <f t="shared" si="3"/>
        <v>Pic Example</v>
      </c>
    </row>
    <row r="8" spans="2:67" x14ac:dyDescent="0.25">
      <c r="B8" t="s">
        <v>260</v>
      </c>
      <c r="C8" s="358" t="str">
        <f t="shared" si="36"/>
        <v>https://viking-pictures.s3.us-west-1.amazonaws.com/AA1155/A16.+ABS+Pump+%26+Module+(1).JPG|https://viking-pictures.s3.us-west-1.amazonaws.com/AA1155/A16.+ABS+Pump+%26+Module+(2).JPG|https://viking-pictures.s3.us-west-1.amazonaws.com/AA1155/A16.+ABS+Pump+%26+Module+(3).JPG|https://viking-pictures.s3.us-west-1.amazonaws.com/AA1155/A16.+ABS+Pump+%26+Module+(4).JPG</v>
      </c>
      <c r="D8" s="358">
        <f>VLOOKUP(B8,'3. Keep &amp; Toss Items'!$O$9:$T$749,6,FALSE)</f>
        <v>5</v>
      </c>
      <c r="E8" s="358" t="str">
        <f t="shared" si="0"/>
        <v>https://viking-pictures.s3.us-west-1.amazonaws.com/AA1155/A16.+ABS+Pump+%26+Module+(1).JPG</v>
      </c>
      <c r="F8" s="358" t="str">
        <f t="shared" si="4"/>
        <v>https://viking-pictures.s3.us-west-1.amazonaws.com/AA1155/A16.+ABS+Pump+%26+Module+(2).JPG</v>
      </c>
      <c r="G8" s="358" t="str">
        <f t="shared" si="5"/>
        <v>https://viking-pictures.s3.us-west-1.amazonaws.com/AA1155/A16.+ABS+Pump+%26+Module+(3).JPG</v>
      </c>
      <c r="H8" s="358" t="str">
        <f t="shared" si="6"/>
        <v>https://viking-pictures.s3.us-west-1.amazonaws.com/AA1155/A16.+ABS+Pump+%26+Module+(4).JPG</v>
      </c>
      <c r="I8" s="358" t="str">
        <f t="shared" si="7"/>
        <v/>
      </c>
      <c r="J8" s="358" t="str">
        <f t="shared" si="8"/>
        <v/>
      </c>
      <c r="K8" s="358" t="str">
        <f t="shared" si="9"/>
        <v/>
      </c>
      <c r="L8" s="358" t="str">
        <f t="shared" si="10"/>
        <v/>
      </c>
      <c r="M8" s="358" t="str">
        <f t="shared" si="11"/>
        <v/>
      </c>
      <c r="N8" s="358" t="str">
        <f t="shared" si="12"/>
        <v/>
      </c>
      <c r="O8" s="358" t="str">
        <f t="shared" si="13"/>
        <v/>
      </c>
      <c r="P8" s="358" t="str">
        <f t="shared" si="14"/>
        <v/>
      </c>
      <c r="Q8" s="358" t="str">
        <f t="shared" si="15"/>
        <v/>
      </c>
      <c r="R8" s="358" t="str">
        <f t="shared" si="16"/>
        <v/>
      </c>
      <c r="S8" s="358" t="str">
        <f t="shared" si="17"/>
        <v/>
      </c>
      <c r="T8" s="358" t="str">
        <f t="shared" si="18"/>
        <v/>
      </c>
      <c r="U8" s="358" t="str">
        <f t="shared" si="19"/>
        <v/>
      </c>
      <c r="V8" s="358" t="str">
        <f t="shared" si="20"/>
        <v/>
      </c>
      <c r="W8" s="358" t="str">
        <f t="shared" si="21"/>
        <v/>
      </c>
      <c r="X8" s="358" t="str">
        <f t="shared" si="22"/>
        <v/>
      </c>
      <c r="Y8" s="358" t="str">
        <f t="shared" si="23"/>
        <v/>
      </c>
      <c r="Z8" s="358" t="str">
        <f t="shared" si="24"/>
        <v/>
      </c>
      <c r="AA8" s="111" t="s">
        <v>1998</v>
      </c>
      <c r="AB8" s="358" t="str">
        <f t="shared" si="25"/>
        <v>A16.+ABS+Pump+%26+Module</v>
      </c>
      <c r="AC8" s="358" t="str">
        <f>VLOOKUP(B8,'3. Keep &amp; Toss Items'!$O$9:$R$749,4,FALSE)</f>
        <v>A16. ABS Pump &amp; Module</v>
      </c>
      <c r="AD8" s="358" t="str">
        <f t="shared" si="26"/>
        <v>A16. ABS Pump &amp; Module</v>
      </c>
      <c r="AE8" s="358" t="str">
        <f t="shared" si="27"/>
        <v>A16.+ABS+Pump+&amp;+Module</v>
      </c>
      <c r="AF8" s="358" t="str">
        <f t="shared" si="28"/>
        <v>A16.+ABS+Pump+&amp;+Module</v>
      </c>
      <c r="AG8" s="358" t="str">
        <f t="shared" si="29"/>
        <v>A16.+ABS+Pump+&amp;+Module</v>
      </c>
      <c r="AH8" s="358" t="str">
        <f t="shared" si="30"/>
        <v>A16.+ABS+Pump+&amp;+Module</v>
      </c>
      <c r="AI8" s="358" t="str">
        <f t="shared" si="31"/>
        <v>A16.+ABS+Pump+&amp;+Module</v>
      </c>
      <c r="AJ8" s="358" t="str">
        <f t="shared" si="32"/>
        <v>A16.+ABS+Pump+%26+Module</v>
      </c>
      <c r="AK8" s="358" t="str">
        <f t="shared" si="33"/>
        <v>A16.+ABS+Pump+%26+Module</v>
      </c>
      <c r="AL8" s="358" t="str">
        <f t="shared" si="2"/>
        <v>A16.+ABS+Pump+%26+Module</v>
      </c>
      <c r="AM8" s="358" t="str">
        <f t="shared" si="34"/>
        <v>A16.+ABS+Pump+%26+Module</v>
      </c>
      <c r="AN8" s="358" t="str">
        <f t="shared" si="35"/>
        <v>A16.+ABS+Pump+%26+Module</v>
      </c>
      <c r="AO8" s="359" t="s">
        <v>1999</v>
      </c>
      <c r="AP8" s="359" t="s">
        <v>2000</v>
      </c>
      <c r="AQ8" s="359" t="s">
        <v>2001</v>
      </c>
      <c r="AR8" s="359" t="s">
        <v>2002</v>
      </c>
      <c r="AS8" s="359" t="s">
        <v>2003</v>
      </c>
      <c r="AT8" s="359" t="s">
        <v>2004</v>
      </c>
      <c r="AU8" s="359" t="s">
        <v>2005</v>
      </c>
      <c r="AV8" s="359" t="s">
        <v>2006</v>
      </c>
      <c r="AW8" s="359" t="s">
        <v>2007</v>
      </c>
      <c r="AX8" s="359" t="s">
        <v>2008</v>
      </c>
      <c r="AY8" s="359" t="s">
        <v>2009</v>
      </c>
      <c r="AZ8" s="359" t="s">
        <v>2010</v>
      </c>
      <c r="BA8" s="359" t="s">
        <v>2011</v>
      </c>
      <c r="BB8" s="359" t="s">
        <v>2012</v>
      </c>
      <c r="BC8" s="359" t="s">
        <v>2013</v>
      </c>
      <c r="BD8" s="359" t="s">
        <v>2014</v>
      </c>
      <c r="BE8" s="359" t="s">
        <v>2015</v>
      </c>
      <c r="BF8" s="359" t="s">
        <v>2016</v>
      </c>
      <c r="BG8" s="359" t="s">
        <v>2017</v>
      </c>
      <c r="BH8" s="359" t="s">
        <v>2018</v>
      </c>
      <c r="BI8" s="359" t="s">
        <v>2019</v>
      </c>
      <c r="BJ8" s="359" t="s">
        <v>2020</v>
      </c>
      <c r="BK8" s="359" t="s">
        <v>2021</v>
      </c>
      <c r="BL8" s="359" t="s">
        <v>2022</v>
      </c>
      <c r="BM8" s="359" t="s">
        <v>2023</v>
      </c>
      <c r="BN8" s="359" t="s">
        <v>2024</v>
      </c>
      <c r="BO8" s="147" t="str">
        <f t="shared" si="3"/>
        <v>Pic Example</v>
      </c>
    </row>
    <row r="9" spans="2:67" x14ac:dyDescent="0.25">
      <c r="B9" t="s">
        <v>261</v>
      </c>
      <c r="C9" s="358" t="str">
        <f t="shared" si="36"/>
        <v>https://viking-pictures.s3.us-west-1.amazonaws.com/AA1155/A17.+Muffler+Tips+SET2+(1).JPG|https://viking-pictures.s3.us-west-1.amazonaws.com/AA1155/A17.+Muffler+Tips+SET2+(2).JPG|https://viking-pictures.s3.us-west-1.amazonaws.com/AA1155/A17.+Muffler+Tips+SET2+(3).JPG|https://viking-pictures.s3.us-west-1.amazonaws.com/AA1155/A17.+Muffler+Tips+SET2+(4).JPG</v>
      </c>
      <c r="D9" s="358">
        <f>VLOOKUP(B9,'3. Keep &amp; Toss Items'!$O$9:$T$749,6,FALSE)</f>
        <v>4</v>
      </c>
      <c r="E9" s="358" t="str">
        <f t="shared" si="0"/>
        <v>https://viking-pictures.s3.us-west-1.amazonaws.com/AA1155/A17.+Muffler+Tips+SET2+(1).JPG</v>
      </c>
      <c r="F9" s="358" t="str">
        <f t="shared" si="4"/>
        <v>https://viking-pictures.s3.us-west-1.amazonaws.com/AA1155/A17.+Muffler+Tips+SET2+(2).JPG</v>
      </c>
      <c r="G9" s="358" t="str">
        <f t="shared" si="5"/>
        <v>https://viking-pictures.s3.us-west-1.amazonaws.com/AA1155/A17.+Muffler+Tips+SET2+(3).JPG</v>
      </c>
      <c r="H9" s="358" t="str">
        <f t="shared" si="6"/>
        <v>https://viking-pictures.s3.us-west-1.amazonaws.com/AA1155/A17.+Muffler+Tips+SET2+(4).JPG</v>
      </c>
      <c r="I9" s="358" t="str">
        <f t="shared" si="7"/>
        <v/>
      </c>
      <c r="J9" s="358" t="str">
        <f t="shared" si="8"/>
        <v/>
      </c>
      <c r="K9" s="358" t="str">
        <f t="shared" si="9"/>
        <v/>
      </c>
      <c r="L9" s="358" t="str">
        <f t="shared" si="10"/>
        <v/>
      </c>
      <c r="M9" s="358" t="str">
        <f t="shared" si="11"/>
        <v/>
      </c>
      <c r="N9" s="358" t="str">
        <f t="shared" si="12"/>
        <v/>
      </c>
      <c r="O9" s="358" t="str">
        <f t="shared" si="13"/>
        <v/>
      </c>
      <c r="P9" s="358" t="str">
        <f t="shared" si="14"/>
        <v/>
      </c>
      <c r="Q9" s="358" t="str">
        <f t="shared" si="15"/>
        <v/>
      </c>
      <c r="R9" s="358" t="str">
        <f t="shared" si="16"/>
        <v/>
      </c>
      <c r="S9" s="358" t="str">
        <f t="shared" si="17"/>
        <v/>
      </c>
      <c r="T9" s="358" t="str">
        <f t="shared" si="18"/>
        <v/>
      </c>
      <c r="U9" s="358" t="str">
        <f t="shared" si="19"/>
        <v/>
      </c>
      <c r="V9" s="358" t="str">
        <f t="shared" si="20"/>
        <v/>
      </c>
      <c r="W9" s="358" t="str">
        <f t="shared" si="21"/>
        <v/>
      </c>
      <c r="X9" s="358" t="str">
        <f t="shared" si="22"/>
        <v/>
      </c>
      <c r="Y9" s="358" t="str">
        <f t="shared" si="23"/>
        <v/>
      </c>
      <c r="Z9" s="358" t="str">
        <f t="shared" si="24"/>
        <v/>
      </c>
      <c r="AA9" s="111" t="s">
        <v>1998</v>
      </c>
      <c r="AB9" s="358" t="str">
        <f t="shared" si="25"/>
        <v>A17.+Muffler+Tips+SET2</v>
      </c>
      <c r="AC9" s="358" t="str">
        <f>VLOOKUP(B9,'3. Keep &amp; Toss Items'!$O$9:$R$749,4,FALSE)</f>
        <v>A17. Muffler Tips SET2</v>
      </c>
      <c r="AD9" s="358" t="str">
        <f t="shared" si="26"/>
        <v>A17. Muffler Tips SET2</v>
      </c>
      <c r="AE9" s="358" t="str">
        <f t="shared" si="27"/>
        <v>A17.+Muffler+Tips+SET2</v>
      </c>
      <c r="AF9" s="358" t="str">
        <f t="shared" si="28"/>
        <v>A17.+Muffler+Tips+SET2</v>
      </c>
      <c r="AG9" s="358" t="str">
        <f t="shared" si="29"/>
        <v>A17.+Muffler+Tips+SET2</v>
      </c>
      <c r="AH9" s="358" t="str">
        <f t="shared" si="30"/>
        <v>A17.+Muffler+Tips+SET2</v>
      </c>
      <c r="AI9" s="358" t="str">
        <f t="shared" si="31"/>
        <v>A17.+Muffler+Tips+SET2</v>
      </c>
      <c r="AJ9" s="358" t="str">
        <f t="shared" si="32"/>
        <v>A17.+Muffler+Tips+SET2</v>
      </c>
      <c r="AK9" s="358" t="str">
        <f t="shared" si="33"/>
        <v>A17.+Muffler+Tips+SET2</v>
      </c>
      <c r="AL9" s="358" t="str">
        <f t="shared" si="2"/>
        <v>A17.+Muffler+Tips+SET2</v>
      </c>
      <c r="AM9" s="358" t="str">
        <f t="shared" si="34"/>
        <v>A17.+Muffler+Tips+SET2</v>
      </c>
      <c r="AN9" s="358" t="str">
        <f t="shared" si="35"/>
        <v>A17.+Muffler+Tips+SET2</v>
      </c>
      <c r="AO9" s="359" t="s">
        <v>1999</v>
      </c>
      <c r="AP9" s="359" t="s">
        <v>2000</v>
      </c>
      <c r="AQ9" s="359" t="s">
        <v>2001</v>
      </c>
      <c r="AR9" s="359" t="s">
        <v>2002</v>
      </c>
      <c r="AS9" s="359" t="s">
        <v>2003</v>
      </c>
      <c r="AT9" s="359" t="s">
        <v>2004</v>
      </c>
      <c r="AU9" s="359" t="s">
        <v>2005</v>
      </c>
      <c r="AV9" s="359" t="s">
        <v>2006</v>
      </c>
      <c r="AW9" s="359" t="s">
        <v>2007</v>
      </c>
      <c r="AX9" s="359" t="s">
        <v>2008</v>
      </c>
      <c r="AY9" s="359" t="s">
        <v>2009</v>
      </c>
      <c r="AZ9" s="359" t="s">
        <v>2010</v>
      </c>
      <c r="BA9" s="359" t="s">
        <v>2011</v>
      </c>
      <c r="BB9" s="359" t="s">
        <v>2012</v>
      </c>
      <c r="BC9" s="359" t="s">
        <v>2013</v>
      </c>
      <c r="BD9" s="359" t="s">
        <v>2014</v>
      </c>
      <c r="BE9" s="359" t="s">
        <v>2015</v>
      </c>
      <c r="BF9" s="359" t="s">
        <v>2016</v>
      </c>
      <c r="BG9" s="359" t="s">
        <v>2017</v>
      </c>
      <c r="BH9" s="359" t="s">
        <v>2018</v>
      </c>
      <c r="BI9" s="359" t="s">
        <v>2019</v>
      </c>
      <c r="BJ9" s="359" t="s">
        <v>2020</v>
      </c>
      <c r="BK9" s="359" t="s">
        <v>2021</v>
      </c>
      <c r="BL9" s="359" t="s">
        <v>2022</v>
      </c>
      <c r="BM9" s="359" t="s">
        <v>2023</v>
      </c>
      <c r="BN9" s="359" t="s">
        <v>2024</v>
      </c>
      <c r="BO9" s="147" t="str">
        <f t="shared" si="3"/>
        <v>Pic Example</v>
      </c>
    </row>
    <row r="10" spans="2:67" x14ac:dyDescent="0.25">
      <c r="B10" t="s">
        <v>262</v>
      </c>
      <c r="C10" s="358" t="str">
        <f t="shared" si="36"/>
        <v>https://viking-pictures.s3.us-west-1.amazonaws.com/AA1155/A18.+Airbag%2C+DASH+-+RIGHT+(PASSENGER)+(1).JPG|https://viking-pictures.s3.us-west-1.amazonaws.com/AA1155/A18.+Airbag%2C+DASH+-+RIGHT+(PASSENGER)+(2).JPG|https://viking-pictures.s3.us-west-1.amazonaws.com/AA1155/A18.+Airbag%2C+DASH+-+RIGHT+(PASSENGER)+(3).JPG|https://viking-pictures.s3.us-west-1.amazonaws.com/AA1155/A18.+Airbag%2C+DASH+-+RIGHT+(PASSENGER)+(4).JPG</v>
      </c>
      <c r="D10" s="358">
        <f>VLOOKUP(B10,'3. Keep &amp; Toss Items'!$O$9:$T$749,6,FALSE)</f>
        <v>5</v>
      </c>
      <c r="E10" s="358" t="str">
        <f t="shared" si="0"/>
        <v>https://viking-pictures.s3.us-west-1.amazonaws.com/AA1155/A18.+Airbag%2C+DASH+-+RIGHT+(PASSENGER)+(1).JPG</v>
      </c>
      <c r="F10" s="358" t="str">
        <f t="shared" si="4"/>
        <v>https://viking-pictures.s3.us-west-1.amazonaws.com/AA1155/A18.+Airbag%2C+DASH+-+RIGHT+(PASSENGER)+(2).JPG</v>
      </c>
      <c r="G10" s="358" t="str">
        <f t="shared" si="5"/>
        <v>https://viking-pictures.s3.us-west-1.amazonaws.com/AA1155/A18.+Airbag%2C+DASH+-+RIGHT+(PASSENGER)+(3).JPG</v>
      </c>
      <c r="H10" s="358" t="str">
        <f t="shared" si="6"/>
        <v>https://viking-pictures.s3.us-west-1.amazonaws.com/AA1155/A18.+Airbag%2C+DASH+-+RIGHT+(PASSENGER)+(4).JPG</v>
      </c>
      <c r="I10" s="358" t="str">
        <f t="shared" si="7"/>
        <v/>
      </c>
      <c r="J10" s="358" t="str">
        <f t="shared" si="8"/>
        <v/>
      </c>
      <c r="K10" s="358" t="str">
        <f t="shared" si="9"/>
        <v/>
      </c>
      <c r="L10" s="358" t="str">
        <f t="shared" si="10"/>
        <v/>
      </c>
      <c r="M10" s="358" t="str">
        <f t="shared" si="11"/>
        <v/>
      </c>
      <c r="N10" s="358" t="str">
        <f t="shared" si="12"/>
        <v/>
      </c>
      <c r="O10" s="358" t="str">
        <f t="shared" si="13"/>
        <v/>
      </c>
      <c r="P10" s="358" t="str">
        <f t="shared" si="14"/>
        <v/>
      </c>
      <c r="Q10" s="358" t="str">
        <f t="shared" si="15"/>
        <v/>
      </c>
      <c r="R10" s="358" t="str">
        <f t="shared" si="16"/>
        <v/>
      </c>
      <c r="S10" s="358" t="str">
        <f t="shared" si="17"/>
        <v/>
      </c>
      <c r="T10" s="358" t="str">
        <f t="shared" si="18"/>
        <v/>
      </c>
      <c r="U10" s="358" t="str">
        <f t="shared" si="19"/>
        <v/>
      </c>
      <c r="V10" s="358" t="str">
        <f t="shared" si="20"/>
        <v/>
      </c>
      <c r="W10" s="358" t="str">
        <f t="shared" si="21"/>
        <v/>
      </c>
      <c r="X10" s="358" t="str">
        <f t="shared" si="22"/>
        <v/>
      </c>
      <c r="Y10" s="358" t="str">
        <f t="shared" si="23"/>
        <v/>
      </c>
      <c r="Z10" s="358" t="str">
        <f t="shared" si="24"/>
        <v/>
      </c>
      <c r="AA10" s="111" t="s">
        <v>1998</v>
      </c>
      <c r="AB10" s="358" t="str">
        <f t="shared" si="25"/>
        <v>A18.+Airbag%2C+DASH+-+RIGHT+(PASSENGER)</v>
      </c>
      <c r="AC10" s="358" t="str">
        <f>VLOOKUP(B10,'3. Keep &amp; Toss Items'!$O$9:$R$749,4,FALSE)</f>
        <v>A18. Airbag, DASH - RIGHT (PASSENGER)</v>
      </c>
      <c r="AD10" s="358" t="str">
        <f t="shared" si="26"/>
        <v>A18. Airbag, DASH - RIGHT (PASSENGER)</v>
      </c>
      <c r="AE10" s="358" t="str">
        <f t="shared" si="27"/>
        <v>A18.+Airbag,+DASH+-+RIGHT+(PASSENGER)</v>
      </c>
      <c r="AF10" s="358" t="str">
        <f t="shared" si="28"/>
        <v>A18.+Airbag%2C+DASH+-+RIGHT+(PASSENGER)</v>
      </c>
      <c r="AG10" s="358" t="str">
        <f t="shared" si="29"/>
        <v>A18.+Airbag%2C+DASH+-+RIGHT+(PASSENGER)</v>
      </c>
      <c r="AH10" s="358" t="str">
        <f t="shared" si="30"/>
        <v>A18.+Airbag%2C+DASH+-+RIGHT+(PASSENGER)</v>
      </c>
      <c r="AI10" s="358" t="str">
        <f t="shared" si="31"/>
        <v>A18.+Airbag%2C+DASH+-+RIGHT+(PASSENGER)</v>
      </c>
      <c r="AJ10" s="358" t="str">
        <f t="shared" si="32"/>
        <v>A18.+Airbag%2C+DASH+-+RIGHT+(PASSENGER)</v>
      </c>
      <c r="AK10" s="358" t="str">
        <f t="shared" si="33"/>
        <v>A18.+Airbag%2C+DASH+-+RIGHT+(PASSENGER)</v>
      </c>
      <c r="AL10" s="358" t="str">
        <f t="shared" si="2"/>
        <v>A18.+Airbag%2C+DASH+-+RIGHT+(PASSENGER)</v>
      </c>
      <c r="AM10" s="358" t="str">
        <f t="shared" si="34"/>
        <v>A18.+Airbag%2C+DASH+-+RIGHT+(PASSENGER)</v>
      </c>
      <c r="AN10" s="358" t="str">
        <f t="shared" si="35"/>
        <v>A18.+Airbag%2C+DASH+-+RIGHT+(PASSENGER)</v>
      </c>
      <c r="AO10" s="359" t="s">
        <v>1999</v>
      </c>
      <c r="AP10" s="359" t="s">
        <v>2000</v>
      </c>
      <c r="AQ10" s="359" t="s">
        <v>2001</v>
      </c>
      <c r="AR10" s="359" t="s">
        <v>2002</v>
      </c>
      <c r="AS10" s="359" t="s">
        <v>2003</v>
      </c>
      <c r="AT10" s="359" t="s">
        <v>2004</v>
      </c>
      <c r="AU10" s="359" t="s">
        <v>2005</v>
      </c>
      <c r="AV10" s="359" t="s">
        <v>2006</v>
      </c>
      <c r="AW10" s="359" t="s">
        <v>2007</v>
      </c>
      <c r="AX10" s="359" t="s">
        <v>2008</v>
      </c>
      <c r="AY10" s="359" t="s">
        <v>2009</v>
      </c>
      <c r="AZ10" s="359" t="s">
        <v>2010</v>
      </c>
      <c r="BA10" s="359" t="s">
        <v>2011</v>
      </c>
      <c r="BB10" s="359" t="s">
        <v>2012</v>
      </c>
      <c r="BC10" s="359" t="s">
        <v>2013</v>
      </c>
      <c r="BD10" s="359" t="s">
        <v>2014</v>
      </c>
      <c r="BE10" s="359" t="s">
        <v>2015</v>
      </c>
      <c r="BF10" s="359" t="s">
        <v>2016</v>
      </c>
      <c r="BG10" s="359" t="s">
        <v>2017</v>
      </c>
      <c r="BH10" s="359" t="s">
        <v>2018</v>
      </c>
      <c r="BI10" s="359" t="s">
        <v>2019</v>
      </c>
      <c r="BJ10" s="359" t="s">
        <v>2020</v>
      </c>
      <c r="BK10" s="359" t="s">
        <v>2021</v>
      </c>
      <c r="BL10" s="359" t="s">
        <v>2022</v>
      </c>
      <c r="BM10" s="359" t="s">
        <v>2023</v>
      </c>
      <c r="BN10" s="359" t="s">
        <v>2024</v>
      </c>
      <c r="BO10" s="147" t="str">
        <f t="shared" si="3"/>
        <v>Pic Example</v>
      </c>
    </row>
    <row r="11" spans="2:67" x14ac:dyDescent="0.25">
      <c r="B11" t="s">
        <v>263</v>
      </c>
      <c r="C11" s="358" t="str">
        <f t="shared" si="36"/>
        <v>https://viking-pictures.s3.us-west-1.amazonaws.com/AA1155/A19.+Blower+Motor%2C+FRONT+FOOTWELL+(1).JPG|https://viking-pictures.s3.us-west-1.amazonaws.com/AA1155/A19.+Blower+Motor%2C+FRONT+FOOTWELL+(2).JPG|https://viking-pictures.s3.us-west-1.amazonaws.com/AA1155/A19.+Blower+Motor%2C+FRONT+FOOTWELL+(3).JPG|https://viking-pictures.s3.us-west-1.amazonaws.com/AA1155/A19.+Blower+Motor%2C+FRONT+FOOTWELL+(4).JPG</v>
      </c>
      <c r="D11" s="358">
        <f>VLOOKUP(B11,'3. Keep &amp; Toss Items'!$O$9:$T$749,6,FALSE)</f>
        <v>4</v>
      </c>
      <c r="E11" s="358" t="str">
        <f t="shared" si="0"/>
        <v>https://viking-pictures.s3.us-west-1.amazonaws.com/AA1155/A19.+Blower+Motor%2C+FRONT+FOOTWELL+(1).JPG</v>
      </c>
      <c r="F11" s="358" t="str">
        <f t="shared" si="4"/>
        <v>https://viking-pictures.s3.us-west-1.amazonaws.com/AA1155/A19.+Blower+Motor%2C+FRONT+FOOTWELL+(2).JPG</v>
      </c>
      <c r="G11" s="358" t="str">
        <f t="shared" si="5"/>
        <v>https://viking-pictures.s3.us-west-1.amazonaws.com/AA1155/A19.+Blower+Motor%2C+FRONT+FOOTWELL+(3).JPG</v>
      </c>
      <c r="H11" s="358" t="str">
        <f t="shared" si="6"/>
        <v>https://viking-pictures.s3.us-west-1.amazonaws.com/AA1155/A19.+Blower+Motor%2C+FRONT+FOOTWELL+(4).JPG</v>
      </c>
      <c r="I11" s="358" t="str">
        <f t="shared" si="7"/>
        <v/>
      </c>
      <c r="J11" s="358" t="str">
        <f t="shared" si="8"/>
        <v/>
      </c>
      <c r="K11" s="358" t="str">
        <f t="shared" si="9"/>
        <v/>
      </c>
      <c r="L11" s="358" t="str">
        <f t="shared" si="10"/>
        <v/>
      </c>
      <c r="M11" s="358" t="str">
        <f t="shared" si="11"/>
        <v/>
      </c>
      <c r="N11" s="358" t="str">
        <f t="shared" si="12"/>
        <v/>
      </c>
      <c r="O11" s="358" t="str">
        <f t="shared" si="13"/>
        <v/>
      </c>
      <c r="P11" s="358" t="str">
        <f t="shared" si="14"/>
        <v/>
      </c>
      <c r="Q11" s="358" t="str">
        <f t="shared" si="15"/>
        <v/>
      </c>
      <c r="R11" s="358" t="str">
        <f t="shared" si="16"/>
        <v/>
      </c>
      <c r="S11" s="358" t="str">
        <f t="shared" si="17"/>
        <v/>
      </c>
      <c r="T11" s="358" t="str">
        <f t="shared" si="18"/>
        <v/>
      </c>
      <c r="U11" s="358" t="str">
        <f t="shared" si="19"/>
        <v/>
      </c>
      <c r="V11" s="358" t="str">
        <f t="shared" si="20"/>
        <v/>
      </c>
      <c r="W11" s="358" t="str">
        <f t="shared" si="21"/>
        <v/>
      </c>
      <c r="X11" s="358" t="str">
        <f t="shared" si="22"/>
        <v/>
      </c>
      <c r="Y11" s="358" t="str">
        <f t="shared" si="23"/>
        <v/>
      </c>
      <c r="Z11" s="358" t="str">
        <f t="shared" si="24"/>
        <v/>
      </c>
      <c r="AA11" s="111" t="s">
        <v>1998</v>
      </c>
      <c r="AB11" s="358" t="str">
        <f t="shared" si="25"/>
        <v>A19.+Blower+Motor%2C+FRONT+FOOTWELL</v>
      </c>
      <c r="AC11" s="358" t="str">
        <f>VLOOKUP(B11,'3. Keep &amp; Toss Items'!$O$9:$R$749,4,FALSE)</f>
        <v>A19. Blower Motor, FRONT FOOTWELL</v>
      </c>
      <c r="AD11" s="358" t="str">
        <f t="shared" si="26"/>
        <v>A19. Blower Motor, FRONT FOOTWELL</v>
      </c>
      <c r="AE11" s="358" t="str">
        <f t="shared" si="27"/>
        <v>A19.+Blower+Motor,+FRONT+FOOTWELL</v>
      </c>
      <c r="AF11" s="358" t="str">
        <f t="shared" si="28"/>
        <v>A19.+Blower+Motor%2C+FRONT+FOOTWELL</v>
      </c>
      <c r="AG11" s="358" t="str">
        <f t="shared" si="29"/>
        <v>A19.+Blower+Motor%2C+FRONT+FOOTWELL</v>
      </c>
      <c r="AH11" s="358" t="str">
        <f t="shared" si="30"/>
        <v>A19.+Blower+Motor%2C+FRONT+FOOTWELL</v>
      </c>
      <c r="AI11" s="358" t="str">
        <f t="shared" si="31"/>
        <v>A19.+Blower+Motor%2C+FRONT+FOOTWELL</v>
      </c>
      <c r="AJ11" s="358" t="str">
        <f t="shared" si="32"/>
        <v>A19.+Blower+Motor%2C+FRONT+FOOTWELL</v>
      </c>
      <c r="AK11" s="358" t="str">
        <f t="shared" si="33"/>
        <v>A19.+Blower+Motor%2C+FRONT+FOOTWELL</v>
      </c>
      <c r="AL11" s="358" t="str">
        <f t="shared" si="2"/>
        <v>A19.+Blower+Motor%2C+FRONT+FOOTWELL</v>
      </c>
      <c r="AM11" s="358" t="str">
        <f t="shared" si="34"/>
        <v>A19.+Blower+Motor%2C+FRONT+FOOTWELL</v>
      </c>
      <c r="AN11" s="358" t="str">
        <f t="shared" si="35"/>
        <v>A19.+Blower+Motor%2C+FRONT+FOOTWELL</v>
      </c>
      <c r="AO11" s="359" t="s">
        <v>1999</v>
      </c>
      <c r="AP11" s="359" t="s">
        <v>2000</v>
      </c>
      <c r="AQ11" s="359" t="s">
        <v>2001</v>
      </c>
      <c r="AR11" s="359" t="s">
        <v>2002</v>
      </c>
      <c r="AS11" s="359" t="s">
        <v>2003</v>
      </c>
      <c r="AT11" s="359" t="s">
        <v>2004</v>
      </c>
      <c r="AU11" s="359" t="s">
        <v>2005</v>
      </c>
      <c r="AV11" s="359" t="s">
        <v>2006</v>
      </c>
      <c r="AW11" s="359" t="s">
        <v>2007</v>
      </c>
      <c r="AX11" s="359" t="s">
        <v>2008</v>
      </c>
      <c r="AY11" s="359" t="s">
        <v>2009</v>
      </c>
      <c r="AZ11" s="359" t="s">
        <v>2010</v>
      </c>
      <c r="BA11" s="359" t="s">
        <v>2011</v>
      </c>
      <c r="BB11" s="359" t="s">
        <v>2012</v>
      </c>
      <c r="BC11" s="359" t="s">
        <v>2013</v>
      </c>
      <c r="BD11" s="359" t="s">
        <v>2014</v>
      </c>
      <c r="BE11" s="359" t="s">
        <v>2015</v>
      </c>
      <c r="BF11" s="359" t="s">
        <v>2016</v>
      </c>
      <c r="BG11" s="359" t="s">
        <v>2017</v>
      </c>
      <c r="BH11" s="359" t="s">
        <v>2018</v>
      </c>
      <c r="BI11" s="359" t="s">
        <v>2019</v>
      </c>
      <c r="BJ11" s="359" t="s">
        <v>2020</v>
      </c>
      <c r="BK11" s="359" t="s">
        <v>2021</v>
      </c>
      <c r="BL11" s="359" t="s">
        <v>2022</v>
      </c>
      <c r="BM11" s="359" t="s">
        <v>2023</v>
      </c>
      <c r="BN11" s="359" t="s">
        <v>2024</v>
      </c>
      <c r="BO11" s="147" t="str">
        <f t="shared" si="3"/>
        <v>Pic Example</v>
      </c>
    </row>
    <row r="12" spans="2:67" x14ac:dyDescent="0.25">
      <c r="B12" t="s">
        <v>264</v>
      </c>
      <c r="C12" s="358" t="str">
        <f t="shared" si="36"/>
        <v>https://viking-pictures.s3.us-west-1.amazonaws.com/AA1155/A20.+Airbag%2C+ROOF+-+RIGHT+(PASSENGER)+(1).JPG|https://viking-pictures.s3.us-west-1.amazonaws.com/AA1155/A20.+Airbag%2C+ROOF+-+RIGHT+(PASSENGER)+(2).JPG|https://viking-pictures.s3.us-west-1.amazonaws.com/AA1155/A20.+Airbag%2C+ROOF+-+RIGHT+(PASSENGER)+(3).JPG|https://viking-pictures.s3.us-west-1.amazonaws.com/AA1155/A20.+Airbag%2C+ROOF+-+RIGHT+(PASSENGER)+(4).JPG</v>
      </c>
      <c r="D12" s="358">
        <f>VLOOKUP(B12,'3. Keep &amp; Toss Items'!$O$9:$T$749,6,FALSE)</f>
        <v>5</v>
      </c>
      <c r="E12" s="358" t="str">
        <f t="shared" si="0"/>
        <v>https://viking-pictures.s3.us-west-1.amazonaws.com/AA1155/A20.+Airbag%2C+ROOF+-+RIGHT+(PASSENGER)+(1).JPG</v>
      </c>
      <c r="F12" s="358" t="str">
        <f t="shared" si="4"/>
        <v>https://viking-pictures.s3.us-west-1.amazonaws.com/AA1155/A20.+Airbag%2C+ROOF+-+RIGHT+(PASSENGER)+(2).JPG</v>
      </c>
      <c r="G12" s="358" t="str">
        <f t="shared" si="5"/>
        <v>https://viking-pictures.s3.us-west-1.amazonaws.com/AA1155/A20.+Airbag%2C+ROOF+-+RIGHT+(PASSENGER)+(3).JPG</v>
      </c>
      <c r="H12" s="358" t="str">
        <f t="shared" si="6"/>
        <v>https://viking-pictures.s3.us-west-1.amazonaws.com/AA1155/A20.+Airbag%2C+ROOF+-+RIGHT+(PASSENGER)+(4).JPG</v>
      </c>
      <c r="I12" s="358" t="str">
        <f t="shared" si="7"/>
        <v/>
      </c>
      <c r="J12" s="358" t="str">
        <f t="shared" si="8"/>
        <v/>
      </c>
      <c r="K12" s="358" t="str">
        <f t="shared" si="9"/>
        <v/>
      </c>
      <c r="L12" s="358" t="str">
        <f t="shared" si="10"/>
        <v/>
      </c>
      <c r="M12" s="358" t="str">
        <f t="shared" si="11"/>
        <v/>
      </c>
      <c r="N12" s="358" t="str">
        <f t="shared" si="12"/>
        <v/>
      </c>
      <c r="O12" s="358" t="str">
        <f t="shared" si="13"/>
        <v/>
      </c>
      <c r="P12" s="358" t="str">
        <f t="shared" si="14"/>
        <v/>
      </c>
      <c r="Q12" s="358" t="str">
        <f t="shared" si="15"/>
        <v/>
      </c>
      <c r="R12" s="358" t="str">
        <f t="shared" si="16"/>
        <v/>
      </c>
      <c r="S12" s="358" t="str">
        <f t="shared" si="17"/>
        <v/>
      </c>
      <c r="T12" s="358" t="str">
        <f t="shared" si="18"/>
        <v/>
      </c>
      <c r="U12" s="358" t="str">
        <f t="shared" si="19"/>
        <v/>
      </c>
      <c r="V12" s="358" t="str">
        <f t="shared" si="20"/>
        <v/>
      </c>
      <c r="W12" s="358" t="str">
        <f t="shared" si="21"/>
        <v/>
      </c>
      <c r="X12" s="358" t="str">
        <f t="shared" si="22"/>
        <v/>
      </c>
      <c r="Y12" s="358" t="str">
        <f t="shared" si="23"/>
        <v/>
      </c>
      <c r="Z12" s="358" t="str">
        <f t="shared" si="24"/>
        <v/>
      </c>
      <c r="AA12" s="111" t="s">
        <v>1998</v>
      </c>
      <c r="AB12" s="358" t="str">
        <f t="shared" si="25"/>
        <v>A20.+Airbag%2C+ROOF+-+RIGHT+(PASSENGER)</v>
      </c>
      <c r="AC12" s="358" t="str">
        <f>VLOOKUP(B12,'3. Keep &amp; Toss Items'!$O$9:$R$749,4,FALSE)</f>
        <v>A20. Airbag, ROOF - RIGHT (PASSENGER)</v>
      </c>
      <c r="AD12" s="358" t="str">
        <f t="shared" si="26"/>
        <v>A20. Airbag, ROOF - RIGHT (PASSENGER)</v>
      </c>
      <c r="AE12" s="358" t="str">
        <f t="shared" si="27"/>
        <v>A20.+Airbag,+ROOF+-+RIGHT+(PASSENGER)</v>
      </c>
      <c r="AF12" s="358" t="str">
        <f t="shared" si="28"/>
        <v>A20.+Airbag%2C+ROOF+-+RIGHT+(PASSENGER)</v>
      </c>
      <c r="AG12" s="358" t="str">
        <f t="shared" si="29"/>
        <v>A20.+Airbag%2C+ROOF+-+RIGHT+(PASSENGER)</v>
      </c>
      <c r="AH12" s="358" t="str">
        <f t="shared" si="30"/>
        <v>A20.+Airbag%2C+ROOF+-+RIGHT+(PASSENGER)</v>
      </c>
      <c r="AI12" s="358" t="str">
        <f t="shared" si="31"/>
        <v>A20.+Airbag%2C+ROOF+-+RIGHT+(PASSENGER)</v>
      </c>
      <c r="AJ12" s="358" t="str">
        <f t="shared" si="32"/>
        <v>A20.+Airbag%2C+ROOF+-+RIGHT+(PASSENGER)</v>
      </c>
      <c r="AK12" s="358" t="str">
        <f t="shared" si="33"/>
        <v>A20.+Airbag%2C+ROOF+-+RIGHT+(PASSENGER)</v>
      </c>
      <c r="AL12" s="358" t="str">
        <f t="shared" si="2"/>
        <v>A20.+Airbag%2C+ROOF+-+RIGHT+(PASSENGER)</v>
      </c>
      <c r="AM12" s="358" t="str">
        <f t="shared" si="34"/>
        <v>A20.+Airbag%2C+ROOF+-+RIGHT+(PASSENGER)</v>
      </c>
      <c r="AN12" s="358" t="str">
        <f t="shared" si="35"/>
        <v>A20.+Airbag%2C+ROOF+-+RIGHT+(PASSENGER)</v>
      </c>
      <c r="AO12" s="359" t="s">
        <v>1999</v>
      </c>
      <c r="AP12" s="359" t="s">
        <v>2000</v>
      </c>
      <c r="AQ12" s="359" t="s">
        <v>2001</v>
      </c>
      <c r="AR12" s="359" t="s">
        <v>2002</v>
      </c>
      <c r="AS12" s="359" t="s">
        <v>2003</v>
      </c>
      <c r="AT12" s="359" t="s">
        <v>2004</v>
      </c>
      <c r="AU12" s="359" t="s">
        <v>2005</v>
      </c>
      <c r="AV12" s="359" t="s">
        <v>2006</v>
      </c>
      <c r="AW12" s="359" t="s">
        <v>2007</v>
      </c>
      <c r="AX12" s="359" t="s">
        <v>2008</v>
      </c>
      <c r="AY12" s="359" t="s">
        <v>2009</v>
      </c>
      <c r="AZ12" s="359" t="s">
        <v>2010</v>
      </c>
      <c r="BA12" s="359" t="s">
        <v>2011</v>
      </c>
      <c r="BB12" s="359" t="s">
        <v>2012</v>
      </c>
      <c r="BC12" s="359" t="s">
        <v>2013</v>
      </c>
      <c r="BD12" s="359" t="s">
        <v>2014</v>
      </c>
      <c r="BE12" s="359" t="s">
        <v>2015</v>
      </c>
      <c r="BF12" s="359" t="s">
        <v>2016</v>
      </c>
      <c r="BG12" s="359" t="s">
        <v>2017</v>
      </c>
      <c r="BH12" s="359" t="s">
        <v>2018</v>
      </c>
      <c r="BI12" s="359" t="s">
        <v>2019</v>
      </c>
      <c r="BJ12" s="359" t="s">
        <v>2020</v>
      </c>
      <c r="BK12" s="359" t="s">
        <v>2021</v>
      </c>
      <c r="BL12" s="359" t="s">
        <v>2022</v>
      </c>
      <c r="BM12" s="359" t="s">
        <v>2023</v>
      </c>
      <c r="BN12" s="359" t="s">
        <v>2024</v>
      </c>
      <c r="BO12" s="147" t="str">
        <f t="shared" si="3"/>
        <v>Pic Example</v>
      </c>
    </row>
    <row r="13" spans="2:67" x14ac:dyDescent="0.25">
      <c r="B13" t="s">
        <v>265</v>
      </c>
      <c r="C13" s="358" t="str">
        <f t="shared" si="36"/>
        <v>https://viking-pictures.s3.us-west-1.amazonaws.com/AA1155/A21.+Control+Arms%2C+FRONT+-+UPPER+U+WISHBONE%2C+RIGHT+(1).JPG|https://viking-pictures.s3.us-west-1.amazonaws.com/AA1155/A21.+Control+Arms%2C+FRONT+-+UPPER+U+WISHBONE%2C+RIGHT+(2).JPG|https://viking-pictures.s3.us-west-1.amazonaws.com/AA1155/A21.+Control+Arms%2C+FRONT+-+UPPER+U+WISHBONE%2C+RIGHT+(3).JPG|https://viking-pictures.s3.us-west-1.amazonaws.com/AA1155/A21.+Control+Arms%2C+FRONT+-+UPPER+U+WISHBONE%2C+RIGHT+(4).JPG</v>
      </c>
      <c r="D13" s="358">
        <f>VLOOKUP(B13,'3. Keep &amp; Toss Items'!$O$9:$T$749,6,FALSE)</f>
        <v>5</v>
      </c>
      <c r="E13" s="358" t="str">
        <f t="shared" si="0"/>
        <v>https://viking-pictures.s3.us-west-1.amazonaws.com/AA1155/A21.+Control+Arms%2C+FRONT+-+UPPER+U+WISHBONE%2C+RIGHT+(1).JPG</v>
      </c>
      <c r="F13" s="358" t="str">
        <f t="shared" si="4"/>
        <v>https://viking-pictures.s3.us-west-1.amazonaws.com/AA1155/A21.+Control+Arms%2C+FRONT+-+UPPER+U+WISHBONE%2C+RIGHT+(2).JPG</v>
      </c>
      <c r="G13" s="358" t="str">
        <f t="shared" si="5"/>
        <v>https://viking-pictures.s3.us-west-1.amazonaws.com/AA1155/A21.+Control+Arms%2C+FRONT+-+UPPER+U+WISHBONE%2C+RIGHT+(3).JPG</v>
      </c>
      <c r="H13" s="358" t="str">
        <f t="shared" si="6"/>
        <v>https://viking-pictures.s3.us-west-1.amazonaws.com/AA1155/A21.+Control+Arms%2C+FRONT+-+UPPER+U+WISHBONE%2C+RIGHT+(4).JPG</v>
      </c>
      <c r="I13" s="358" t="str">
        <f t="shared" si="7"/>
        <v/>
      </c>
      <c r="J13" s="358" t="str">
        <f t="shared" si="8"/>
        <v/>
      </c>
      <c r="K13" s="358" t="str">
        <f t="shared" si="9"/>
        <v/>
      </c>
      <c r="L13" s="358" t="str">
        <f t="shared" si="10"/>
        <v/>
      </c>
      <c r="M13" s="358" t="str">
        <f t="shared" si="11"/>
        <v/>
      </c>
      <c r="N13" s="358" t="str">
        <f t="shared" si="12"/>
        <v/>
      </c>
      <c r="O13" s="358" t="str">
        <f t="shared" si="13"/>
        <v/>
      </c>
      <c r="P13" s="358" t="str">
        <f t="shared" si="14"/>
        <v/>
      </c>
      <c r="Q13" s="358" t="str">
        <f t="shared" si="15"/>
        <v/>
      </c>
      <c r="R13" s="358" t="str">
        <f t="shared" si="16"/>
        <v/>
      </c>
      <c r="S13" s="358" t="str">
        <f t="shared" si="17"/>
        <v/>
      </c>
      <c r="T13" s="358" t="str">
        <f t="shared" si="18"/>
        <v/>
      </c>
      <c r="U13" s="358" t="str">
        <f t="shared" si="19"/>
        <v/>
      </c>
      <c r="V13" s="358" t="str">
        <f t="shared" si="20"/>
        <v/>
      </c>
      <c r="W13" s="358" t="str">
        <f t="shared" si="21"/>
        <v/>
      </c>
      <c r="X13" s="358" t="str">
        <f t="shared" si="22"/>
        <v/>
      </c>
      <c r="Y13" s="358" t="str">
        <f t="shared" si="23"/>
        <v/>
      </c>
      <c r="Z13" s="358" t="str">
        <f t="shared" si="24"/>
        <v/>
      </c>
      <c r="AA13" s="111" t="s">
        <v>1998</v>
      </c>
      <c r="AB13" s="358" t="str">
        <f t="shared" si="25"/>
        <v>A21.+Control+Arms%2C+FRONT+-+UPPER+U+WISHBONE%2C+RIGHT</v>
      </c>
      <c r="AC13" s="358" t="str">
        <f>VLOOKUP(B13,'3. Keep &amp; Toss Items'!$O$9:$R$749,4,FALSE)</f>
        <v>A21. Control Arms, FRONT - UPPER "U" WISHBONE, RIGHT</v>
      </c>
      <c r="AD13" s="358" t="str">
        <f t="shared" si="26"/>
        <v>A21. Control Arms, FRONT - UPPER "U" WISHBONE, RIGHT</v>
      </c>
      <c r="AE13" s="358" t="str">
        <f t="shared" si="27"/>
        <v>A21.+Control+Arms,+FRONT+-+UPPER+"U"+WISHBONE,+RIGHT</v>
      </c>
      <c r="AF13" s="358" t="str">
        <f t="shared" si="28"/>
        <v>A21.+Control+Arms%2C+FRONT+-+UPPER+"U"+WISHBONE%2C+RIGHT</v>
      </c>
      <c r="AG13" s="358" t="str">
        <f t="shared" si="29"/>
        <v>A21.+Control+Arms%2C+FRONT+-+UPPER+"U"+WISHBONE%2C+RIGHT</v>
      </c>
      <c r="AH13" s="358" t="str">
        <f t="shared" si="30"/>
        <v>A21.+Control+Arms%2C+FRONT+-+UPPER+"U"+WISHBONE%2C+RIGHT</v>
      </c>
      <c r="AI13" s="358" t="str">
        <f t="shared" si="31"/>
        <v>A21.+Control+Arms%2C+FRONT+-+UPPER+"U"+WISHBONE%2C+RIGHT</v>
      </c>
      <c r="AJ13" s="358" t="str">
        <f t="shared" si="32"/>
        <v>A21.+Control+Arms%2C+FRONT+-+UPPER+"U"+WISHBONE%2C+RIGHT</v>
      </c>
      <c r="AK13" s="358" t="str">
        <f t="shared" si="33"/>
        <v>A21.+Control+Arms%2C+FRONT+-+UPPER+"U"+WISHBONE%2C+RIGHT</v>
      </c>
      <c r="AL13" s="358" t="str">
        <f t="shared" si="2"/>
        <v>A21.+Control+Arms%2C+FRONT+-+UPPER+"U"+WISHBONE%2C+RIGHT</v>
      </c>
      <c r="AM13" s="358" t="str">
        <f t="shared" si="34"/>
        <v>A21.+Control+Arms%2C+FRONT+-+UPPER+"U"+WISHBONE%2C+RIGHT</v>
      </c>
      <c r="AN13" s="358" t="str">
        <f t="shared" si="35"/>
        <v>A21.+Control+Arms%2C+FRONT+-+UPPER+U+WISHBONE%2C+RIGHT</v>
      </c>
      <c r="AO13" s="359" t="s">
        <v>1999</v>
      </c>
      <c r="AP13" s="359" t="s">
        <v>2000</v>
      </c>
      <c r="AQ13" s="359" t="s">
        <v>2001</v>
      </c>
      <c r="AR13" s="359" t="s">
        <v>2002</v>
      </c>
      <c r="AS13" s="359" t="s">
        <v>2003</v>
      </c>
      <c r="AT13" s="359" t="s">
        <v>2004</v>
      </c>
      <c r="AU13" s="359" t="s">
        <v>2005</v>
      </c>
      <c r="AV13" s="359" t="s">
        <v>2006</v>
      </c>
      <c r="AW13" s="359" t="s">
        <v>2007</v>
      </c>
      <c r="AX13" s="359" t="s">
        <v>2008</v>
      </c>
      <c r="AY13" s="359" t="s">
        <v>2009</v>
      </c>
      <c r="AZ13" s="359" t="s">
        <v>2010</v>
      </c>
      <c r="BA13" s="359" t="s">
        <v>2011</v>
      </c>
      <c r="BB13" s="359" t="s">
        <v>2012</v>
      </c>
      <c r="BC13" s="359" t="s">
        <v>2013</v>
      </c>
      <c r="BD13" s="359" t="s">
        <v>2014</v>
      </c>
      <c r="BE13" s="359" t="s">
        <v>2015</v>
      </c>
      <c r="BF13" s="359" t="s">
        <v>2016</v>
      </c>
      <c r="BG13" s="359" t="s">
        <v>2017</v>
      </c>
      <c r="BH13" s="359" t="s">
        <v>2018</v>
      </c>
      <c r="BI13" s="359" t="s">
        <v>2019</v>
      </c>
      <c r="BJ13" s="359" t="s">
        <v>2020</v>
      </c>
      <c r="BK13" s="359" t="s">
        <v>2021</v>
      </c>
      <c r="BL13" s="359" t="s">
        <v>2022</v>
      </c>
      <c r="BM13" s="359" t="s">
        <v>2023</v>
      </c>
      <c r="BN13" s="359" t="s">
        <v>2024</v>
      </c>
      <c r="BO13" s="147" t="str">
        <f t="shared" si="3"/>
        <v>Pic Example</v>
      </c>
    </row>
    <row r="14" spans="2:67" x14ac:dyDescent="0.25">
      <c r="B14" t="s">
        <v>266</v>
      </c>
      <c r="C14" s="358" t="str">
        <f t="shared" si="36"/>
        <v>https://viking-pictures.s3.us-west-1.amazonaws.com/AA1155/A22.+Airbag%2C+ROOF+-+LEFT+(DRIVER)+(1).JPG|https://viking-pictures.s3.us-west-1.amazonaws.com/AA1155/A22.+Airbag%2C+ROOF+-+LEFT+(DRIVER)+(2).JPG|https://viking-pictures.s3.us-west-1.amazonaws.com/AA1155/A22.+Airbag%2C+ROOF+-+LEFT+(DRIVER)+(3).JPG|https://viking-pictures.s3.us-west-1.amazonaws.com/AA1155/A22.+Airbag%2C+ROOF+-+LEFT+(DRIVER)+(4).JPG</v>
      </c>
      <c r="D14" s="358">
        <f>VLOOKUP(B14,'3. Keep &amp; Toss Items'!$O$9:$T$749,6,FALSE)</f>
        <v>5</v>
      </c>
      <c r="E14" s="358" t="str">
        <f t="shared" si="0"/>
        <v>https://viking-pictures.s3.us-west-1.amazonaws.com/AA1155/A22.+Airbag%2C+ROOF+-+LEFT+(DRIVER)+(1).JPG</v>
      </c>
      <c r="F14" s="358" t="str">
        <f t="shared" si="4"/>
        <v>https://viking-pictures.s3.us-west-1.amazonaws.com/AA1155/A22.+Airbag%2C+ROOF+-+LEFT+(DRIVER)+(2).JPG</v>
      </c>
      <c r="G14" s="358" t="str">
        <f t="shared" si="5"/>
        <v>https://viking-pictures.s3.us-west-1.amazonaws.com/AA1155/A22.+Airbag%2C+ROOF+-+LEFT+(DRIVER)+(3).JPG</v>
      </c>
      <c r="H14" s="358" t="str">
        <f t="shared" si="6"/>
        <v>https://viking-pictures.s3.us-west-1.amazonaws.com/AA1155/A22.+Airbag%2C+ROOF+-+LEFT+(DRIVER)+(4).JPG</v>
      </c>
      <c r="I14" s="358" t="str">
        <f t="shared" si="7"/>
        <v/>
      </c>
      <c r="J14" s="358" t="str">
        <f t="shared" si="8"/>
        <v/>
      </c>
      <c r="K14" s="358" t="str">
        <f t="shared" si="9"/>
        <v/>
      </c>
      <c r="L14" s="358" t="str">
        <f t="shared" si="10"/>
        <v/>
      </c>
      <c r="M14" s="358" t="str">
        <f t="shared" si="11"/>
        <v/>
      </c>
      <c r="N14" s="358" t="str">
        <f t="shared" si="12"/>
        <v/>
      </c>
      <c r="O14" s="358" t="str">
        <f t="shared" si="13"/>
        <v/>
      </c>
      <c r="P14" s="358" t="str">
        <f t="shared" si="14"/>
        <v/>
      </c>
      <c r="Q14" s="358" t="str">
        <f t="shared" si="15"/>
        <v/>
      </c>
      <c r="R14" s="358" t="str">
        <f t="shared" si="16"/>
        <v/>
      </c>
      <c r="S14" s="358" t="str">
        <f t="shared" si="17"/>
        <v/>
      </c>
      <c r="T14" s="358" t="str">
        <f t="shared" si="18"/>
        <v/>
      </c>
      <c r="U14" s="358" t="str">
        <f t="shared" si="19"/>
        <v/>
      </c>
      <c r="V14" s="358" t="str">
        <f t="shared" si="20"/>
        <v/>
      </c>
      <c r="W14" s="358" t="str">
        <f t="shared" si="21"/>
        <v/>
      </c>
      <c r="X14" s="358" t="str">
        <f t="shared" si="22"/>
        <v/>
      </c>
      <c r="Y14" s="358" t="str">
        <f t="shared" si="23"/>
        <v/>
      </c>
      <c r="Z14" s="358" t="str">
        <f t="shared" si="24"/>
        <v/>
      </c>
      <c r="AA14" s="111" t="s">
        <v>1998</v>
      </c>
      <c r="AB14" s="358" t="str">
        <f t="shared" si="25"/>
        <v>A22.+Airbag%2C+ROOF+-+LEFT+(DRIVER)</v>
      </c>
      <c r="AC14" s="358" t="str">
        <f>VLOOKUP(B14,'3. Keep &amp; Toss Items'!$O$9:$R$749,4,FALSE)</f>
        <v>A22. Airbag, ROOF - LEFT (DRIVER)</v>
      </c>
      <c r="AD14" s="358" t="str">
        <f t="shared" si="26"/>
        <v>A22. Airbag, ROOF - LEFT (DRIVER)</v>
      </c>
      <c r="AE14" s="358" t="str">
        <f t="shared" si="27"/>
        <v>A22.+Airbag,+ROOF+-+LEFT+(DRIVER)</v>
      </c>
      <c r="AF14" s="358" t="str">
        <f t="shared" si="28"/>
        <v>A22.+Airbag%2C+ROOF+-+LEFT+(DRIVER)</v>
      </c>
      <c r="AG14" s="358" t="str">
        <f t="shared" si="29"/>
        <v>A22.+Airbag%2C+ROOF+-+LEFT+(DRIVER)</v>
      </c>
      <c r="AH14" s="358" t="str">
        <f t="shared" si="30"/>
        <v>A22.+Airbag%2C+ROOF+-+LEFT+(DRIVER)</v>
      </c>
      <c r="AI14" s="358" t="str">
        <f t="shared" si="31"/>
        <v>A22.+Airbag%2C+ROOF+-+LEFT+(DRIVER)</v>
      </c>
      <c r="AJ14" s="358" t="str">
        <f t="shared" si="32"/>
        <v>A22.+Airbag%2C+ROOF+-+LEFT+(DRIVER)</v>
      </c>
      <c r="AK14" s="358" t="str">
        <f t="shared" si="33"/>
        <v>A22.+Airbag%2C+ROOF+-+LEFT+(DRIVER)</v>
      </c>
      <c r="AL14" s="358" t="str">
        <f t="shared" si="2"/>
        <v>A22.+Airbag%2C+ROOF+-+LEFT+(DRIVER)</v>
      </c>
      <c r="AM14" s="358" t="str">
        <f t="shared" si="34"/>
        <v>A22.+Airbag%2C+ROOF+-+LEFT+(DRIVER)</v>
      </c>
      <c r="AN14" s="358" t="str">
        <f t="shared" si="35"/>
        <v>A22.+Airbag%2C+ROOF+-+LEFT+(DRIVER)</v>
      </c>
      <c r="AO14" s="359" t="s">
        <v>1999</v>
      </c>
      <c r="AP14" s="359" t="s">
        <v>2000</v>
      </c>
      <c r="AQ14" s="359" t="s">
        <v>2001</v>
      </c>
      <c r="AR14" s="359" t="s">
        <v>2002</v>
      </c>
      <c r="AS14" s="359" t="s">
        <v>2003</v>
      </c>
      <c r="AT14" s="359" t="s">
        <v>2004</v>
      </c>
      <c r="AU14" s="359" t="s">
        <v>2005</v>
      </c>
      <c r="AV14" s="359" t="s">
        <v>2006</v>
      </c>
      <c r="AW14" s="359" t="s">
        <v>2007</v>
      </c>
      <c r="AX14" s="359" t="s">
        <v>2008</v>
      </c>
      <c r="AY14" s="359" t="s">
        <v>2009</v>
      </c>
      <c r="AZ14" s="359" t="s">
        <v>2010</v>
      </c>
      <c r="BA14" s="359" t="s">
        <v>2011</v>
      </c>
      <c r="BB14" s="359" t="s">
        <v>2012</v>
      </c>
      <c r="BC14" s="359" t="s">
        <v>2013</v>
      </c>
      <c r="BD14" s="359" t="s">
        <v>2014</v>
      </c>
      <c r="BE14" s="359" t="s">
        <v>2015</v>
      </c>
      <c r="BF14" s="359" t="s">
        <v>2016</v>
      </c>
      <c r="BG14" s="359" t="s">
        <v>2017</v>
      </c>
      <c r="BH14" s="359" t="s">
        <v>2018</v>
      </c>
      <c r="BI14" s="359" t="s">
        <v>2019</v>
      </c>
      <c r="BJ14" s="359" t="s">
        <v>2020</v>
      </c>
      <c r="BK14" s="359" t="s">
        <v>2021</v>
      </c>
      <c r="BL14" s="359" t="s">
        <v>2022</v>
      </c>
      <c r="BM14" s="359" t="s">
        <v>2023</v>
      </c>
      <c r="BN14" s="359" t="s">
        <v>2024</v>
      </c>
      <c r="BO14" s="147" t="str">
        <f t="shared" si="3"/>
        <v>Pic Example</v>
      </c>
    </row>
    <row r="15" spans="2:67" x14ac:dyDescent="0.25">
      <c r="B15" t="s">
        <v>267</v>
      </c>
      <c r="C15" s="358" t="str">
        <f t="shared" si="36"/>
        <v>https://viking-pictures.s3.us-west-1.amazonaws.com/AA1155/A23.+PDC+SET4+With+Harness%2C+REAR+(1).JPG|https://viking-pictures.s3.us-west-1.amazonaws.com/AA1155/A23.+PDC+SET4+With+Harness%2C+REAR+(2).JPG|https://viking-pictures.s3.us-west-1.amazonaws.com/AA1155/A23.+PDC+SET4+With+Harness%2C+REAR+(3).JPG|https://viking-pictures.s3.us-west-1.amazonaws.com/AA1155/A23.+PDC+SET4+With+Harness%2C+REAR+(4).JPG</v>
      </c>
      <c r="D15" s="358">
        <f>VLOOKUP(B15,'3. Keep &amp; Toss Items'!$O$9:$T$749,6,FALSE)</f>
        <v>5</v>
      </c>
      <c r="E15" s="358" t="str">
        <f t="shared" si="0"/>
        <v>https://viking-pictures.s3.us-west-1.amazonaws.com/AA1155/A23.+PDC+SET4+With+Harness%2C+REAR+(1).JPG</v>
      </c>
      <c r="F15" s="358" t="str">
        <f t="shared" si="4"/>
        <v>https://viking-pictures.s3.us-west-1.amazonaws.com/AA1155/A23.+PDC+SET4+With+Harness%2C+REAR+(2).JPG</v>
      </c>
      <c r="G15" s="358" t="str">
        <f t="shared" si="5"/>
        <v>https://viking-pictures.s3.us-west-1.amazonaws.com/AA1155/A23.+PDC+SET4+With+Harness%2C+REAR+(3).JPG</v>
      </c>
      <c r="H15" s="358" t="str">
        <f t="shared" si="6"/>
        <v>https://viking-pictures.s3.us-west-1.amazonaws.com/AA1155/A23.+PDC+SET4+With+Harness%2C+REAR+(4).JPG</v>
      </c>
      <c r="I15" s="358" t="str">
        <f t="shared" si="7"/>
        <v/>
      </c>
      <c r="J15" s="358" t="str">
        <f t="shared" si="8"/>
        <v/>
      </c>
      <c r="K15" s="358" t="str">
        <f t="shared" si="9"/>
        <v/>
      </c>
      <c r="L15" s="358" t="str">
        <f t="shared" si="10"/>
        <v/>
      </c>
      <c r="M15" s="358" t="str">
        <f t="shared" si="11"/>
        <v/>
      </c>
      <c r="N15" s="358" t="str">
        <f t="shared" si="12"/>
        <v/>
      </c>
      <c r="O15" s="358" t="str">
        <f t="shared" si="13"/>
        <v/>
      </c>
      <c r="P15" s="358" t="str">
        <f t="shared" si="14"/>
        <v/>
      </c>
      <c r="Q15" s="358" t="str">
        <f t="shared" si="15"/>
        <v/>
      </c>
      <c r="R15" s="358" t="str">
        <f t="shared" si="16"/>
        <v/>
      </c>
      <c r="S15" s="358" t="str">
        <f t="shared" si="17"/>
        <v/>
      </c>
      <c r="T15" s="358" t="str">
        <f t="shared" si="18"/>
        <v/>
      </c>
      <c r="U15" s="358" t="str">
        <f t="shared" si="19"/>
        <v/>
      </c>
      <c r="V15" s="358" t="str">
        <f t="shared" si="20"/>
        <v/>
      </c>
      <c r="W15" s="358" t="str">
        <f t="shared" si="21"/>
        <v/>
      </c>
      <c r="X15" s="358" t="str">
        <f t="shared" si="22"/>
        <v/>
      </c>
      <c r="Y15" s="358" t="str">
        <f t="shared" si="23"/>
        <v/>
      </c>
      <c r="Z15" s="358" t="str">
        <f t="shared" si="24"/>
        <v/>
      </c>
      <c r="AA15" s="111" t="s">
        <v>1998</v>
      </c>
      <c r="AB15" s="358" t="str">
        <f t="shared" si="25"/>
        <v>A23.+PDC+SET4+With+Harness%2C+REAR</v>
      </c>
      <c r="AC15" s="358" t="str">
        <f>VLOOKUP(B15,'3. Keep &amp; Toss Items'!$O$9:$R$749,4,FALSE)</f>
        <v>A23. PDC SET4 With Harness, REAR</v>
      </c>
      <c r="AD15" s="358" t="str">
        <f t="shared" si="26"/>
        <v>A23. PDC SET4 With Harness, REAR</v>
      </c>
      <c r="AE15" s="358" t="str">
        <f t="shared" si="27"/>
        <v>A23.+PDC+SET4+With+Harness,+REAR</v>
      </c>
      <c r="AF15" s="358" t="str">
        <f t="shared" si="28"/>
        <v>A23.+PDC+SET4+With+Harness%2C+REAR</v>
      </c>
      <c r="AG15" s="358" t="str">
        <f t="shared" si="29"/>
        <v>A23.+PDC+SET4+With+Harness%2C+REAR</v>
      </c>
      <c r="AH15" s="358" t="str">
        <f t="shared" si="30"/>
        <v>A23.+PDC+SET4+With+Harness%2C+REAR</v>
      </c>
      <c r="AI15" s="358" t="str">
        <f t="shared" si="31"/>
        <v>A23.+PDC+SET4+With+Harness%2C+REAR</v>
      </c>
      <c r="AJ15" s="358" t="str">
        <f t="shared" si="32"/>
        <v>A23.+PDC+SET4+With+Harness%2C+REAR</v>
      </c>
      <c r="AK15" s="358" t="str">
        <f t="shared" si="33"/>
        <v>A23.+PDC+SET4+With+Harness%2C+REAR</v>
      </c>
      <c r="AL15" s="358" t="str">
        <f t="shared" si="2"/>
        <v>A23.+PDC+SET4+With+Harness%2C+REAR</v>
      </c>
      <c r="AM15" s="358" t="str">
        <f t="shared" si="34"/>
        <v>A23.+PDC+SET4+With+Harness%2C+REAR</v>
      </c>
      <c r="AN15" s="358" t="str">
        <f t="shared" si="35"/>
        <v>A23.+PDC+SET4+With+Harness%2C+REAR</v>
      </c>
      <c r="AO15" s="359" t="s">
        <v>1999</v>
      </c>
      <c r="AP15" s="359" t="s">
        <v>2000</v>
      </c>
      <c r="AQ15" s="359" t="s">
        <v>2001</v>
      </c>
      <c r="AR15" s="359" t="s">
        <v>2002</v>
      </c>
      <c r="AS15" s="359" t="s">
        <v>2003</v>
      </c>
      <c r="AT15" s="359" t="s">
        <v>2004</v>
      </c>
      <c r="AU15" s="359" t="s">
        <v>2005</v>
      </c>
      <c r="AV15" s="359" t="s">
        <v>2006</v>
      </c>
      <c r="AW15" s="359" t="s">
        <v>2007</v>
      </c>
      <c r="AX15" s="359" t="s">
        <v>2008</v>
      </c>
      <c r="AY15" s="359" t="s">
        <v>2009</v>
      </c>
      <c r="AZ15" s="359" t="s">
        <v>2010</v>
      </c>
      <c r="BA15" s="359" t="s">
        <v>2011</v>
      </c>
      <c r="BB15" s="359" t="s">
        <v>2012</v>
      </c>
      <c r="BC15" s="359" t="s">
        <v>2013</v>
      </c>
      <c r="BD15" s="359" t="s">
        <v>2014</v>
      </c>
      <c r="BE15" s="359" t="s">
        <v>2015</v>
      </c>
      <c r="BF15" s="359" t="s">
        <v>2016</v>
      </c>
      <c r="BG15" s="359" t="s">
        <v>2017</v>
      </c>
      <c r="BH15" s="359" t="s">
        <v>2018</v>
      </c>
      <c r="BI15" s="359" t="s">
        <v>2019</v>
      </c>
      <c r="BJ15" s="359" t="s">
        <v>2020</v>
      </c>
      <c r="BK15" s="359" t="s">
        <v>2021</v>
      </c>
      <c r="BL15" s="359" t="s">
        <v>2022</v>
      </c>
      <c r="BM15" s="359" t="s">
        <v>2023</v>
      </c>
      <c r="BN15" s="359" t="s">
        <v>2024</v>
      </c>
      <c r="BO15" s="147" t="str">
        <f t="shared" si="3"/>
        <v>Pic Example</v>
      </c>
    </row>
    <row r="16" spans="2:67" x14ac:dyDescent="0.25">
      <c r="B16" t="s">
        <v>268</v>
      </c>
      <c r="C16" s="358" t="str">
        <f t="shared" si="36"/>
        <v>https://viking-pictures.s3.us-west-1.amazonaws.com/AA1155/A24.+TPMS+Tire+Pressure+Sensor+SET4+(1).JPG|https://viking-pictures.s3.us-west-1.amazonaws.com/AA1155/A24.+TPMS+Tire+Pressure+Sensor+SET4+(2).JPG|https://viking-pictures.s3.us-west-1.amazonaws.com/AA1155/A24.+TPMS+Tire+Pressure+Sensor+SET4+(3).JPG</v>
      </c>
      <c r="D16" s="358">
        <f>VLOOKUP(B16,'3. Keep &amp; Toss Items'!$O$9:$T$749,6,FALSE)</f>
        <v>3</v>
      </c>
      <c r="E16" s="358" t="str">
        <f t="shared" si="0"/>
        <v>https://viking-pictures.s3.us-west-1.amazonaws.com/AA1155/A24.+TPMS+Tire+Pressure+Sensor+SET4+(1).JPG</v>
      </c>
      <c r="F16" s="358" t="str">
        <f t="shared" si="4"/>
        <v>https://viking-pictures.s3.us-west-1.amazonaws.com/AA1155/A24.+TPMS+Tire+Pressure+Sensor+SET4+(2).JPG</v>
      </c>
      <c r="G16" s="358" t="str">
        <f t="shared" si="5"/>
        <v>https://viking-pictures.s3.us-west-1.amazonaws.com/AA1155/A24.+TPMS+Tire+Pressure+Sensor+SET4+(3).JPG</v>
      </c>
      <c r="H16" s="358" t="str">
        <f t="shared" si="6"/>
        <v/>
      </c>
      <c r="I16" s="358" t="str">
        <f t="shared" si="7"/>
        <v/>
      </c>
      <c r="J16" s="358" t="str">
        <f t="shared" si="8"/>
        <v/>
      </c>
      <c r="K16" s="358" t="str">
        <f t="shared" si="9"/>
        <v/>
      </c>
      <c r="L16" s="358" t="str">
        <f t="shared" si="10"/>
        <v/>
      </c>
      <c r="M16" s="358" t="str">
        <f t="shared" si="11"/>
        <v/>
      </c>
      <c r="N16" s="358" t="str">
        <f t="shared" si="12"/>
        <v/>
      </c>
      <c r="O16" s="358" t="str">
        <f t="shared" si="13"/>
        <v/>
      </c>
      <c r="P16" s="358" t="str">
        <f t="shared" si="14"/>
        <v/>
      </c>
      <c r="Q16" s="358" t="str">
        <f t="shared" si="15"/>
        <v/>
      </c>
      <c r="R16" s="358" t="str">
        <f t="shared" si="16"/>
        <v/>
      </c>
      <c r="S16" s="358" t="str">
        <f t="shared" si="17"/>
        <v/>
      </c>
      <c r="T16" s="358" t="str">
        <f t="shared" si="18"/>
        <v/>
      </c>
      <c r="U16" s="358" t="str">
        <f t="shared" si="19"/>
        <v/>
      </c>
      <c r="V16" s="358" t="str">
        <f t="shared" si="20"/>
        <v/>
      </c>
      <c r="W16" s="358" t="str">
        <f t="shared" si="21"/>
        <v/>
      </c>
      <c r="X16" s="358" t="str">
        <f t="shared" si="22"/>
        <v/>
      </c>
      <c r="Y16" s="358" t="str">
        <f t="shared" si="23"/>
        <v/>
      </c>
      <c r="Z16" s="358" t="str">
        <f t="shared" si="24"/>
        <v/>
      </c>
      <c r="AA16" s="111" t="s">
        <v>1998</v>
      </c>
      <c r="AB16" s="358" t="str">
        <f t="shared" si="25"/>
        <v>A24.+TPMS+Tire+Pressure+Sensor+SET4</v>
      </c>
      <c r="AC16" s="358" t="str">
        <f>VLOOKUP(B16,'3. Keep &amp; Toss Items'!$O$9:$R$749,4,FALSE)</f>
        <v>A24. TPMS Tire Pressure Sensor SET4</v>
      </c>
      <c r="AD16" s="358" t="str">
        <f t="shared" si="26"/>
        <v>A24. TPMS Tire Pressure Sensor SET4</v>
      </c>
      <c r="AE16" s="358" t="str">
        <f t="shared" si="27"/>
        <v>A24.+TPMS+Tire+Pressure+Sensor+SET4</v>
      </c>
      <c r="AF16" s="358" t="str">
        <f t="shared" si="28"/>
        <v>A24.+TPMS+Tire+Pressure+Sensor+SET4</v>
      </c>
      <c r="AG16" s="358" t="str">
        <f t="shared" si="29"/>
        <v>A24.+TPMS+Tire+Pressure+Sensor+SET4</v>
      </c>
      <c r="AH16" s="358" t="str">
        <f t="shared" si="30"/>
        <v>A24.+TPMS+Tire+Pressure+Sensor+SET4</v>
      </c>
      <c r="AI16" s="358" t="str">
        <f t="shared" si="31"/>
        <v>A24.+TPMS+Tire+Pressure+Sensor+SET4</v>
      </c>
      <c r="AJ16" s="358" t="str">
        <f t="shared" si="32"/>
        <v>A24.+TPMS+Tire+Pressure+Sensor+SET4</v>
      </c>
      <c r="AK16" s="358" t="str">
        <f t="shared" si="33"/>
        <v>A24.+TPMS+Tire+Pressure+Sensor+SET4</v>
      </c>
      <c r="AL16" s="358" t="str">
        <f t="shared" si="2"/>
        <v>A24.+TPMS+Tire+Pressure+Sensor+SET4</v>
      </c>
      <c r="AM16" s="358" t="str">
        <f t="shared" si="34"/>
        <v>A24.+TPMS+Tire+Pressure+Sensor+SET4</v>
      </c>
      <c r="AN16" s="358" t="str">
        <f t="shared" si="35"/>
        <v>A24.+TPMS+Tire+Pressure+Sensor+SET4</v>
      </c>
      <c r="AO16" s="359" t="s">
        <v>1999</v>
      </c>
      <c r="AP16" s="359" t="s">
        <v>2000</v>
      </c>
      <c r="AQ16" s="359" t="s">
        <v>2001</v>
      </c>
      <c r="AR16" s="359" t="s">
        <v>2002</v>
      </c>
      <c r="AS16" s="359" t="s">
        <v>2003</v>
      </c>
      <c r="AT16" s="359" t="s">
        <v>2004</v>
      </c>
      <c r="AU16" s="359" t="s">
        <v>2005</v>
      </c>
      <c r="AV16" s="359" t="s">
        <v>2006</v>
      </c>
      <c r="AW16" s="359" t="s">
        <v>2007</v>
      </c>
      <c r="AX16" s="359" t="s">
        <v>2008</v>
      </c>
      <c r="AY16" s="359" t="s">
        <v>2009</v>
      </c>
      <c r="AZ16" s="359" t="s">
        <v>2010</v>
      </c>
      <c r="BA16" s="359" t="s">
        <v>2011</v>
      </c>
      <c r="BB16" s="359" t="s">
        <v>2012</v>
      </c>
      <c r="BC16" s="359" t="s">
        <v>2013</v>
      </c>
      <c r="BD16" s="359" t="s">
        <v>2014</v>
      </c>
      <c r="BE16" s="359" t="s">
        <v>2015</v>
      </c>
      <c r="BF16" s="359" t="s">
        <v>2016</v>
      </c>
      <c r="BG16" s="359" t="s">
        <v>2017</v>
      </c>
      <c r="BH16" s="359" t="s">
        <v>2018</v>
      </c>
      <c r="BI16" s="359" t="s">
        <v>2019</v>
      </c>
      <c r="BJ16" s="359" t="s">
        <v>2020</v>
      </c>
      <c r="BK16" s="359" t="s">
        <v>2021</v>
      </c>
      <c r="BL16" s="359" t="s">
        <v>2022</v>
      </c>
      <c r="BM16" s="359" t="s">
        <v>2023</v>
      </c>
      <c r="BN16" s="359" t="s">
        <v>2024</v>
      </c>
      <c r="BO16" s="147" t="str">
        <f t="shared" si="3"/>
        <v>Pic Example</v>
      </c>
    </row>
    <row r="17" spans="2:67" x14ac:dyDescent="0.25">
      <c r="B17" t="s">
        <v>269</v>
      </c>
      <c r="C17" s="358" t="str">
        <f t="shared" si="36"/>
        <v>https://viking-pictures.s3.us-west-1.amazonaws.com/AA1155/A25.+Steering+Column+Lower+U-Joint+Shaft+(1).JPG|https://viking-pictures.s3.us-west-1.amazonaws.com/AA1155/A25.+Steering+Column+Lower+U-Joint+Shaft+(2).JPG|https://viking-pictures.s3.us-west-1.amazonaws.com/AA1155/A25.+Steering+Column+Lower+U-Joint+Shaft+(3).JPG|https://viking-pictures.s3.us-west-1.amazonaws.com/AA1155/A25.+Steering+Column+Lower+U-Joint+Shaft+(4).JPG</v>
      </c>
      <c r="D17" s="358">
        <f>VLOOKUP(B17,'3. Keep &amp; Toss Items'!$O$9:$T$749,6,FALSE)</f>
        <v>4</v>
      </c>
      <c r="E17" s="358" t="str">
        <f t="shared" si="0"/>
        <v>https://viking-pictures.s3.us-west-1.amazonaws.com/AA1155/A25.+Steering+Column+Lower+U-Joint+Shaft+(1).JPG</v>
      </c>
      <c r="F17" s="358" t="str">
        <f t="shared" si="4"/>
        <v>https://viking-pictures.s3.us-west-1.amazonaws.com/AA1155/A25.+Steering+Column+Lower+U-Joint+Shaft+(2).JPG</v>
      </c>
      <c r="G17" s="358" t="str">
        <f t="shared" si="5"/>
        <v>https://viking-pictures.s3.us-west-1.amazonaws.com/AA1155/A25.+Steering+Column+Lower+U-Joint+Shaft+(3).JPG</v>
      </c>
      <c r="H17" s="358" t="str">
        <f t="shared" si="6"/>
        <v>https://viking-pictures.s3.us-west-1.amazonaws.com/AA1155/A25.+Steering+Column+Lower+U-Joint+Shaft+(4).JPG</v>
      </c>
      <c r="I17" s="358" t="str">
        <f t="shared" si="7"/>
        <v/>
      </c>
      <c r="J17" s="358" t="str">
        <f t="shared" si="8"/>
        <v/>
      </c>
      <c r="K17" s="358" t="str">
        <f t="shared" si="9"/>
        <v/>
      </c>
      <c r="L17" s="358" t="str">
        <f t="shared" si="10"/>
        <v/>
      </c>
      <c r="M17" s="358" t="str">
        <f t="shared" si="11"/>
        <v/>
      </c>
      <c r="N17" s="358" t="str">
        <f t="shared" si="12"/>
        <v/>
      </c>
      <c r="O17" s="358" t="str">
        <f t="shared" si="13"/>
        <v/>
      </c>
      <c r="P17" s="358" t="str">
        <f t="shared" si="14"/>
        <v/>
      </c>
      <c r="Q17" s="358" t="str">
        <f t="shared" si="15"/>
        <v/>
      </c>
      <c r="R17" s="358" t="str">
        <f t="shared" si="16"/>
        <v/>
      </c>
      <c r="S17" s="358" t="str">
        <f t="shared" si="17"/>
        <v/>
      </c>
      <c r="T17" s="358" t="str">
        <f t="shared" si="18"/>
        <v/>
      </c>
      <c r="U17" s="358" t="str">
        <f t="shared" si="19"/>
        <v/>
      </c>
      <c r="V17" s="358" t="str">
        <f t="shared" si="20"/>
        <v/>
      </c>
      <c r="W17" s="358" t="str">
        <f t="shared" si="21"/>
        <v/>
      </c>
      <c r="X17" s="358" t="str">
        <f t="shared" si="22"/>
        <v/>
      </c>
      <c r="Y17" s="358" t="str">
        <f t="shared" si="23"/>
        <v/>
      </c>
      <c r="Z17" s="358" t="str">
        <f t="shared" si="24"/>
        <v/>
      </c>
      <c r="AA17" s="111" t="s">
        <v>1998</v>
      </c>
      <c r="AB17" s="358" t="str">
        <f t="shared" si="25"/>
        <v>A25.+Steering+Column+Lower+U-Joint+Shaft</v>
      </c>
      <c r="AC17" s="358" t="str">
        <f>VLOOKUP(B17,'3. Keep &amp; Toss Items'!$O$9:$R$749,4,FALSE)</f>
        <v>A25. Steering Column Lower U-Joint Shaft</v>
      </c>
      <c r="AD17" s="358" t="str">
        <f t="shared" si="26"/>
        <v>A25. Steering Column Lower U-Joint Shaft</v>
      </c>
      <c r="AE17" s="358" t="str">
        <f t="shared" si="27"/>
        <v>A25.+Steering+Column+Lower+U-Joint+Shaft</v>
      </c>
      <c r="AF17" s="358" t="str">
        <f t="shared" si="28"/>
        <v>A25.+Steering+Column+Lower+U-Joint+Shaft</v>
      </c>
      <c r="AG17" s="358" t="str">
        <f t="shared" si="29"/>
        <v>A25.+Steering+Column+Lower+U-Joint+Shaft</v>
      </c>
      <c r="AH17" s="358" t="str">
        <f t="shared" si="30"/>
        <v>A25.+Steering+Column+Lower+U-Joint+Shaft</v>
      </c>
      <c r="AI17" s="358" t="str">
        <f t="shared" si="31"/>
        <v>A25.+Steering+Column+Lower+U-Joint+Shaft</v>
      </c>
      <c r="AJ17" s="358" t="str">
        <f t="shared" si="32"/>
        <v>A25.+Steering+Column+Lower+U-Joint+Shaft</v>
      </c>
      <c r="AK17" s="358" t="str">
        <f t="shared" si="33"/>
        <v>A25.+Steering+Column+Lower+U-Joint+Shaft</v>
      </c>
      <c r="AL17" s="358" t="str">
        <f t="shared" si="2"/>
        <v>A25.+Steering+Column+Lower+U-Joint+Shaft</v>
      </c>
      <c r="AM17" s="358" t="str">
        <f t="shared" si="34"/>
        <v>A25.+Steering+Column+Lower+U-Joint+Shaft</v>
      </c>
      <c r="AN17" s="358" t="str">
        <f t="shared" si="35"/>
        <v>A25.+Steering+Column+Lower+U-Joint+Shaft</v>
      </c>
      <c r="AO17" s="359" t="s">
        <v>1999</v>
      </c>
      <c r="AP17" s="359" t="s">
        <v>2000</v>
      </c>
      <c r="AQ17" s="359" t="s">
        <v>2001</v>
      </c>
      <c r="AR17" s="359" t="s">
        <v>2002</v>
      </c>
      <c r="AS17" s="359" t="s">
        <v>2003</v>
      </c>
      <c r="AT17" s="359" t="s">
        <v>2004</v>
      </c>
      <c r="AU17" s="359" t="s">
        <v>2005</v>
      </c>
      <c r="AV17" s="359" t="s">
        <v>2006</v>
      </c>
      <c r="AW17" s="359" t="s">
        <v>2007</v>
      </c>
      <c r="AX17" s="359" t="s">
        <v>2008</v>
      </c>
      <c r="AY17" s="359" t="s">
        <v>2009</v>
      </c>
      <c r="AZ17" s="359" t="s">
        <v>2010</v>
      </c>
      <c r="BA17" s="359" t="s">
        <v>2011</v>
      </c>
      <c r="BB17" s="359" t="s">
        <v>2012</v>
      </c>
      <c r="BC17" s="359" t="s">
        <v>2013</v>
      </c>
      <c r="BD17" s="359" t="s">
        <v>2014</v>
      </c>
      <c r="BE17" s="359" t="s">
        <v>2015</v>
      </c>
      <c r="BF17" s="359" t="s">
        <v>2016</v>
      </c>
      <c r="BG17" s="359" t="s">
        <v>2017</v>
      </c>
      <c r="BH17" s="359" t="s">
        <v>2018</v>
      </c>
      <c r="BI17" s="359" t="s">
        <v>2019</v>
      </c>
      <c r="BJ17" s="359" t="s">
        <v>2020</v>
      </c>
      <c r="BK17" s="359" t="s">
        <v>2021</v>
      </c>
      <c r="BL17" s="359" t="s">
        <v>2022</v>
      </c>
      <c r="BM17" s="359" t="s">
        <v>2023</v>
      </c>
      <c r="BN17" s="359" t="s">
        <v>2024</v>
      </c>
      <c r="BO17" s="147" t="str">
        <f t="shared" si="3"/>
        <v>Pic Example</v>
      </c>
    </row>
    <row r="18" spans="2:67" x14ac:dyDescent="0.25">
      <c r="B18" t="s">
        <v>270</v>
      </c>
      <c r="C18" s="358" t="str">
        <f t="shared" si="36"/>
        <v>https://viking-pictures.s3.us-west-1.amazonaws.com/AA1155/A26.+Wiper+Arms%2C+FRONT+SET2+(1).JPG|https://viking-pictures.s3.us-west-1.amazonaws.com/AA1155/A26.+Wiper+Arms%2C+FRONT+SET2+(2).JPG|https://viking-pictures.s3.us-west-1.amazonaws.com/AA1155/A26.+Wiper+Arms%2C+FRONT+SET2+(3).JPG|https://viking-pictures.s3.us-west-1.amazonaws.com/AA1155/A26.+Wiper+Arms%2C+FRONT+SET2+(4).JPG</v>
      </c>
      <c r="D18" s="358">
        <f>VLOOKUP(B18,'3. Keep &amp; Toss Items'!$O$9:$T$749,6,FALSE)</f>
        <v>5</v>
      </c>
      <c r="E18" s="358" t="str">
        <f t="shared" si="0"/>
        <v>https://viking-pictures.s3.us-west-1.amazonaws.com/AA1155/A26.+Wiper+Arms%2C+FRONT+SET2+(1).JPG</v>
      </c>
      <c r="F18" s="358" t="str">
        <f t="shared" si="4"/>
        <v>https://viking-pictures.s3.us-west-1.amazonaws.com/AA1155/A26.+Wiper+Arms%2C+FRONT+SET2+(2).JPG</v>
      </c>
      <c r="G18" s="358" t="str">
        <f t="shared" si="5"/>
        <v>https://viking-pictures.s3.us-west-1.amazonaws.com/AA1155/A26.+Wiper+Arms%2C+FRONT+SET2+(3).JPG</v>
      </c>
      <c r="H18" s="358" t="str">
        <f t="shared" si="6"/>
        <v>https://viking-pictures.s3.us-west-1.amazonaws.com/AA1155/A26.+Wiper+Arms%2C+FRONT+SET2+(4).JPG</v>
      </c>
      <c r="I18" s="358" t="str">
        <f t="shared" si="7"/>
        <v/>
      </c>
      <c r="J18" s="358" t="str">
        <f t="shared" si="8"/>
        <v/>
      </c>
      <c r="K18" s="358" t="str">
        <f t="shared" si="9"/>
        <v/>
      </c>
      <c r="L18" s="358" t="str">
        <f t="shared" si="10"/>
        <v/>
      </c>
      <c r="M18" s="358" t="str">
        <f t="shared" si="11"/>
        <v/>
      </c>
      <c r="N18" s="358" t="str">
        <f t="shared" si="12"/>
        <v/>
      </c>
      <c r="O18" s="358" t="str">
        <f t="shared" si="13"/>
        <v/>
      </c>
      <c r="P18" s="358" t="str">
        <f t="shared" si="14"/>
        <v/>
      </c>
      <c r="Q18" s="358" t="str">
        <f t="shared" si="15"/>
        <v/>
      </c>
      <c r="R18" s="358" t="str">
        <f t="shared" si="16"/>
        <v/>
      </c>
      <c r="S18" s="358" t="str">
        <f t="shared" si="17"/>
        <v/>
      </c>
      <c r="T18" s="358" t="str">
        <f t="shared" si="18"/>
        <v/>
      </c>
      <c r="U18" s="358" t="str">
        <f t="shared" si="19"/>
        <v/>
      </c>
      <c r="V18" s="358" t="str">
        <f t="shared" si="20"/>
        <v/>
      </c>
      <c r="W18" s="358" t="str">
        <f t="shared" si="21"/>
        <v/>
      </c>
      <c r="X18" s="358" t="str">
        <f t="shared" si="22"/>
        <v/>
      </c>
      <c r="Y18" s="358" t="str">
        <f t="shared" si="23"/>
        <v/>
      </c>
      <c r="Z18" s="358" t="str">
        <f t="shared" si="24"/>
        <v/>
      </c>
      <c r="AA18" s="111" t="s">
        <v>1998</v>
      </c>
      <c r="AB18" s="358" t="str">
        <f t="shared" si="25"/>
        <v>A26.+Wiper+Arms%2C+FRONT+SET2</v>
      </c>
      <c r="AC18" s="358" t="str">
        <f>VLOOKUP(B18,'3. Keep &amp; Toss Items'!$O$9:$R$749,4,FALSE)</f>
        <v>A26. Wiper Arms, FRONT SET2</v>
      </c>
      <c r="AD18" s="358" t="str">
        <f t="shared" si="26"/>
        <v>A26. Wiper Arms, FRONT SET2</v>
      </c>
      <c r="AE18" s="358" t="str">
        <f t="shared" si="27"/>
        <v>A26.+Wiper+Arms,+FRONT+SET2</v>
      </c>
      <c r="AF18" s="358" t="str">
        <f t="shared" si="28"/>
        <v>A26.+Wiper+Arms%2C+FRONT+SET2</v>
      </c>
      <c r="AG18" s="358" t="str">
        <f t="shared" si="29"/>
        <v>A26.+Wiper+Arms%2C+FRONT+SET2</v>
      </c>
      <c r="AH18" s="358" t="str">
        <f t="shared" si="30"/>
        <v>A26.+Wiper+Arms%2C+FRONT+SET2</v>
      </c>
      <c r="AI18" s="358" t="str">
        <f t="shared" si="31"/>
        <v>A26.+Wiper+Arms%2C+FRONT+SET2</v>
      </c>
      <c r="AJ18" s="358" t="str">
        <f t="shared" si="32"/>
        <v>A26.+Wiper+Arms%2C+FRONT+SET2</v>
      </c>
      <c r="AK18" s="358" t="str">
        <f t="shared" si="33"/>
        <v>A26.+Wiper+Arms%2C+FRONT+SET2</v>
      </c>
      <c r="AL18" s="358" t="str">
        <f t="shared" si="2"/>
        <v>A26.+Wiper+Arms%2C+FRONT+SET2</v>
      </c>
      <c r="AM18" s="358" t="str">
        <f t="shared" si="34"/>
        <v>A26.+Wiper+Arms%2C+FRONT+SET2</v>
      </c>
      <c r="AN18" s="358" t="str">
        <f t="shared" si="35"/>
        <v>A26.+Wiper+Arms%2C+FRONT+SET2</v>
      </c>
      <c r="AO18" s="359" t="s">
        <v>1999</v>
      </c>
      <c r="AP18" s="359" t="s">
        <v>2000</v>
      </c>
      <c r="AQ18" s="359" t="s">
        <v>2001</v>
      </c>
      <c r="AR18" s="359" t="s">
        <v>2002</v>
      </c>
      <c r="AS18" s="359" t="s">
        <v>2003</v>
      </c>
      <c r="AT18" s="359" t="s">
        <v>2004</v>
      </c>
      <c r="AU18" s="359" t="s">
        <v>2005</v>
      </c>
      <c r="AV18" s="359" t="s">
        <v>2006</v>
      </c>
      <c r="AW18" s="359" t="s">
        <v>2007</v>
      </c>
      <c r="AX18" s="359" t="s">
        <v>2008</v>
      </c>
      <c r="AY18" s="359" t="s">
        <v>2009</v>
      </c>
      <c r="AZ18" s="359" t="s">
        <v>2010</v>
      </c>
      <c r="BA18" s="359" t="s">
        <v>2011</v>
      </c>
      <c r="BB18" s="359" t="s">
        <v>2012</v>
      </c>
      <c r="BC18" s="359" t="s">
        <v>2013</v>
      </c>
      <c r="BD18" s="359" t="s">
        <v>2014</v>
      </c>
      <c r="BE18" s="359" t="s">
        <v>2015</v>
      </c>
      <c r="BF18" s="359" t="s">
        <v>2016</v>
      </c>
      <c r="BG18" s="359" t="s">
        <v>2017</v>
      </c>
      <c r="BH18" s="359" t="s">
        <v>2018</v>
      </c>
      <c r="BI18" s="359" t="s">
        <v>2019</v>
      </c>
      <c r="BJ18" s="359" t="s">
        <v>2020</v>
      </c>
      <c r="BK18" s="359" t="s">
        <v>2021</v>
      </c>
      <c r="BL18" s="359" t="s">
        <v>2022</v>
      </c>
      <c r="BM18" s="359" t="s">
        <v>2023</v>
      </c>
      <c r="BN18" s="359" t="s">
        <v>2024</v>
      </c>
      <c r="BO18" s="147" t="str">
        <f t="shared" si="3"/>
        <v>Pic Example</v>
      </c>
    </row>
    <row r="19" spans="2:67" x14ac:dyDescent="0.25">
      <c r="B19" t="s">
        <v>271</v>
      </c>
      <c r="C19" s="358" t="str">
        <f t="shared" si="36"/>
        <v>https://viking-pictures.s3.us-west-1.amazonaws.com/AA1155/A27.+Door+Latch%2C+REAR+-+RIGHT+Soft+Close+WITH+Actuator+SET2+(1).JPG|https://viking-pictures.s3.us-west-1.amazonaws.com/AA1155/A27.+Door+Latch%2C+REAR+-+RIGHT+Soft+Close+WITH+Actuator+SET2+(2).JPG|https://viking-pictures.s3.us-west-1.amazonaws.com/AA1155/A27.+Door+Latch%2C+REAR+-+RIGHT+Soft+Close+WITH+Actuator+SET2+(3).JPG|https://viking-pictures.s3.us-west-1.amazonaws.com/AA1155/A27.+Door+Latch%2C+REAR+-+RIGHT+Soft+Close+WITH+Actuator+SET2+(4).JPG|https://viking-pictures.s3.us-west-1.amazonaws.com/AA1155/A27.+Door+Latch%2C+REAR+-+RIGHT+Soft+Close+WITH+Actuator+SET2+(6).JPG</v>
      </c>
      <c r="D19" s="358">
        <f>VLOOKUP(B19,'3. Keep &amp; Toss Items'!$O$9:$T$749,6,FALSE)</f>
        <v>6</v>
      </c>
      <c r="E19" s="358" t="str">
        <f t="shared" si="0"/>
        <v>https://viking-pictures.s3.us-west-1.amazonaws.com/AA1155/A27.+Door+Latch%2C+REAR+-+RIGHT+Soft+Close+WITH+Actuator+SET2+(1).JPG</v>
      </c>
      <c r="F19" s="358" t="str">
        <f t="shared" si="4"/>
        <v>https://viking-pictures.s3.us-west-1.amazonaws.com/AA1155/A27.+Door+Latch%2C+REAR+-+RIGHT+Soft+Close+WITH+Actuator+SET2+(2).JPG</v>
      </c>
      <c r="G19" s="358" t="str">
        <f t="shared" si="5"/>
        <v>https://viking-pictures.s3.us-west-1.amazonaws.com/AA1155/A27.+Door+Latch%2C+REAR+-+RIGHT+Soft+Close+WITH+Actuator+SET2+(3).JPG</v>
      </c>
      <c r="H19" s="358" t="str">
        <f t="shared" si="6"/>
        <v>https://viking-pictures.s3.us-west-1.amazonaws.com/AA1155/A27.+Door+Latch%2C+REAR+-+RIGHT+Soft+Close+WITH+Actuator+SET2+(4).JPG</v>
      </c>
      <c r="I19" s="358" t="str">
        <f t="shared" si="7"/>
        <v>https://viking-pictures.s3.us-west-1.amazonaws.com/AA1155/A27.+Door+Latch%2C+REAR+-+RIGHT+Soft+Close+WITH+Actuator+SET2+(6).JPG</v>
      </c>
      <c r="J19" s="358" t="str">
        <f t="shared" si="8"/>
        <v/>
      </c>
      <c r="K19" s="358" t="str">
        <f t="shared" si="9"/>
        <v/>
      </c>
      <c r="L19" s="358" t="str">
        <f t="shared" si="10"/>
        <v/>
      </c>
      <c r="M19" s="358" t="str">
        <f t="shared" si="11"/>
        <v/>
      </c>
      <c r="N19" s="358" t="str">
        <f t="shared" si="12"/>
        <v/>
      </c>
      <c r="O19" s="358" t="str">
        <f t="shared" si="13"/>
        <v/>
      </c>
      <c r="P19" s="358" t="str">
        <f t="shared" si="14"/>
        <v/>
      </c>
      <c r="Q19" s="358" t="str">
        <f t="shared" si="15"/>
        <v/>
      </c>
      <c r="R19" s="358" t="str">
        <f t="shared" si="16"/>
        <v/>
      </c>
      <c r="S19" s="358" t="str">
        <f t="shared" si="17"/>
        <v/>
      </c>
      <c r="T19" s="358" t="str">
        <f t="shared" si="18"/>
        <v/>
      </c>
      <c r="U19" s="358" t="str">
        <f t="shared" si="19"/>
        <v/>
      </c>
      <c r="V19" s="358" t="str">
        <f t="shared" si="20"/>
        <v/>
      </c>
      <c r="W19" s="358" t="str">
        <f t="shared" si="21"/>
        <v/>
      </c>
      <c r="X19" s="358" t="str">
        <f t="shared" si="22"/>
        <v/>
      </c>
      <c r="Y19" s="358" t="str">
        <f t="shared" si="23"/>
        <v/>
      </c>
      <c r="Z19" s="358" t="str">
        <f t="shared" si="24"/>
        <v/>
      </c>
      <c r="AA19" s="111" t="s">
        <v>1998</v>
      </c>
      <c r="AB19" s="358" t="str">
        <f t="shared" si="25"/>
        <v>A27.+Door+Latch%2C+REAR+-+RIGHT+Soft+Close+WITH+Actuator+SET2</v>
      </c>
      <c r="AC19" s="358" t="str">
        <f>VLOOKUP(B19,'3. Keep &amp; Toss Items'!$O$9:$R$749,4,FALSE)</f>
        <v>A27. Door Latch, REAR - RIGHT Soft Close WITH Actuator SET2</v>
      </c>
      <c r="AD19" s="358" t="str">
        <f t="shared" si="26"/>
        <v>A27. Door Latch, REAR - RIGHT Soft Close WITH Actuator SET2</v>
      </c>
      <c r="AE19" s="358" t="str">
        <f t="shared" si="27"/>
        <v>A27.+Door+Latch,+REAR+-+RIGHT+Soft+Close+WITH+Actuator+SET2</v>
      </c>
      <c r="AF19" s="358" t="str">
        <f t="shared" si="28"/>
        <v>A27.+Door+Latch%2C+REAR+-+RIGHT+Soft+Close+WITH+Actuator+SET2</v>
      </c>
      <c r="AG19" s="358" t="str">
        <f t="shared" si="29"/>
        <v>A27.+Door+Latch%2C+REAR+-+RIGHT+Soft+Close+WITH+Actuator+SET2</v>
      </c>
      <c r="AH19" s="358" t="str">
        <f t="shared" si="30"/>
        <v>A27.+Door+Latch%2C+REAR+-+RIGHT+Soft+Close+WITH+Actuator+SET2</v>
      </c>
      <c r="AI19" s="358" t="str">
        <f t="shared" si="31"/>
        <v>A27.+Door+Latch%2C+REAR+-+RIGHT+Soft+Close+WITH+Actuator+SET2</v>
      </c>
      <c r="AJ19" s="358" t="str">
        <f t="shared" si="32"/>
        <v>A27.+Door+Latch%2C+REAR+-+RIGHT+Soft+Close+WITH+Actuator+SET2</v>
      </c>
      <c r="AK19" s="358" t="str">
        <f t="shared" si="33"/>
        <v>A27.+Door+Latch%2C+REAR+-+RIGHT+Soft+Close+WITH+Actuator+SET2</v>
      </c>
      <c r="AL19" s="358" t="str">
        <f t="shared" si="2"/>
        <v>A27.+Door+Latch%2C+REAR+-+RIGHT+Soft+Close+WITH+Actuator+SET2</v>
      </c>
      <c r="AM19" s="358" t="str">
        <f t="shared" si="34"/>
        <v>A27.+Door+Latch%2C+REAR+-+RIGHT+Soft+Close+WITH+Actuator+SET2</v>
      </c>
      <c r="AN19" s="358" t="str">
        <f t="shared" si="35"/>
        <v>A27.+Door+Latch%2C+REAR+-+RIGHT+Soft+Close+WITH+Actuator+SET2</v>
      </c>
      <c r="AO19" s="359" t="s">
        <v>1999</v>
      </c>
      <c r="AP19" s="359" t="s">
        <v>2000</v>
      </c>
      <c r="AQ19" s="359" t="s">
        <v>2001</v>
      </c>
      <c r="AR19" s="359" t="s">
        <v>2002</v>
      </c>
      <c r="AS19" s="359" t="s">
        <v>2003</v>
      </c>
      <c r="AT19" s="359" t="s">
        <v>2004</v>
      </c>
      <c r="AU19" s="359" t="s">
        <v>2005</v>
      </c>
      <c r="AV19" s="359" t="s">
        <v>2006</v>
      </c>
      <c r="AW19" s="359" t="s">
        <v>2007</v>
      </c>
      <c r="AX19" s="359" t="s">
        <v>2008</v>
      </c>
      <c r="AY19" s="359" t="s">
        <v>2009</v>
      </c>
      <c r="AZ19" s="359" t="s">
        <v>2010</v>
      </c>
      <c r="BA19" s="359" t="s">
        <v>2011</v>
      </c>
      <c r="BB19" s="359" t="s">
        <v>2012</v>
      </c>
      <c r="BC19" s="359" t="s">
        <v>2013</v>
      </c>
      <c r="BD19" s="359" t="s">
        <v>2014</v>
      </c>
      <c r="BE19" s="359" t="s">
        <v>2015</v>
      </c>
      <c r="BF19" s="359" t="s">
        <v>2016</v>
      </c>
      <c r="BG19" s="359" t="s">
        <v>2017</v>
      </c>
      <c r="BH19" s="359" t="s">
        <v>2018</v>
      </c>
      <c r="BI19" s="359" t="s">
        <v>2019</v>
      </c>
      <c r="BJ19" s="359" t="s">
        <v>2020</v>
      </c>
      <c r="BK19" s="359" t="s">
        <v>2021</v>
      </c>
      <c r="BL19" s="359" t="s">
        <v>2022</v>
      </c>
      <c r="BM19" s="359" t="s">
        <v>2023</v>
      </c>
      <c r="BN19" s="359" t="s">
        <v>2024</v>
      </c>
      <c r="BO19" s="147" t="str">
        <f t="shared" si="3"/>
        <v>Pic Example</v>
      </c>
    </row>
    <row r="20" spans="2:67" x14ac:dyDescent="0.25">
      <c r="B20" t="s">
        <v>272</v>
      </c>
      <c r="C20" s="358" t="str">
        <f t="shared" si="36"/>
        <v>https://viking-pictures.s3.us-west-1.amazonaws.com/AA1155/A28.+Door+Latch%2C+REAR+-+LEFT+Soft+Close+WITH+Actuator+SET2+(1).JPG|https://viking-pictures.s3.us-west-1.amazonaws.com/AA1155/A28.+Door+Latch%2C+REAR+-+LEFT+Soft+Close+WITH+Actuator+SET2+(2).JPG|https://viking-pictures.s3.us-west-1.amazonaws.com/AA1155/A28.+Door+Latch%2C+REAR+-+LEFT+Soft+Close+WITH+Actuator+SET2+(3).JPG|https://viking-pictures.s3.us-west-1.amazonaws.com/AA1155/A28.+Door+Latch%2C+REAR+-+LEFT+Soft+Close+WITH+Actuator+SET2+(4).JPG</v>
      </c>
      <c r="D20" s="358">
        <f>VLOOKUP(B20,'3. Keep &amp; Toss Items'!$O$9:$T$749,6,FALSE)</f>
        <v>5</v>
      </c>
      <c r="E20" s="358" t="str">
        <f t="shared" si="0"/>
        <v>https://viking-pictures.s3.us-west-1.amazonaws.com/AA1155/A28.+Door+Latch%2C+REAR+-+LEFT+Soft+Close+WITH+Actuator+SET2+(1).JPG</v>
      </c>
      <c r="F20" s="358" t="str">
        <f t="shared" si="4"/>
        <v>https://viking-pictures.s3.us-west-1.amazonaws.com/AA1155/A28.+Door+Latch%2C+REAR+-+LEFT+Soft+Close+WITH+Actuator+SET2+(2).JPG</v>
      </c>
      <c r="G20" s="358" t="str">
        <f t="shared" si="5"/>
        <v>https://viking-pictures.s3.us-west-1.amazonaws.com/AA1155/A28.+Door+Latch%2C+REAR+-+LEFT+Soft+Close+WITH+Actuator+SET2+(3).JPG</v>
      </c>
      <c r="H20" s="358" t="str">
        <f t="shared" si="6"/>
        <v>https://viking-pictures.s3.us-west-1.amazonaws.com/AA1155/A28.+Door+Latch%2C+REAR+-+LEFT+Soft+Close+WITH+Actuator+SET2+(4).JPG</v>
      </c>
      <c r="I20" s="358" t="str">
        <f t="shared" si="7"/>
        <v/>
      </c>
      <c r="J20" s="358" t="str">
        <f t="shared" si="8"/>
        <v/>
      </c>
      <c r="K20" s="358" t="str">
        <f t="shared" si="9"/>
        <v/>
      </c>
      <c r="L20" s="358" t="str">
        <f t="shared" si="10"/>
        <v/>
      </c>
      <c r="M20" s="358" t="str">
        <f t="shared" si="11"/>
        <v/>
      </c>
      <c r="N20" s="358" t="str">
        <f t="shared" si="12"/>
        <v/>
      </c>
      <c r="O20" s="358" t="str">
        <f t="shared" si="13"/>
        <v/>
      </c>
      <c r="P20" s="358" t="str">
        <f t="shared" si="14"/>
        <v/>
      </c>
      <c r="Q20" s="358" t="str">
        <f t="shared" si="15"/>
        <v/>
      </c>
      <c r="R20" s="358" t="str">
        <f t="shared" si="16"/>
        <v/>
      </c>
      <c r="S20" s="358" t="str">
        <f t="shared" si="17"/>
        <v/>
      </c>
      <c r="T20" s="358" t="str">
        <f t="shared" si="18"/>
        <v/>
      </c>
      <c r="U20" s="358" t="str">
        <f t="shared" si="19"/>
        <v/>
      </c>
      <c r="V20" s="358" t="str">
        <f t="shared" si="20"/>
        <v/>
      </c>
      <c r="W20" s="358" t="str">
        <f t="shared" si="21"/>
        <v/>
      </c>
      <c r="X20" s="358" t="str">
        <f t="shared" si="22"/>
        <v/>
      </c>
      <c r="Y20" s="358" t="str">
        <f t="shared" si="23"/>
        <v/>
      </c>
      <c r="Z20" s="358" t="str">
        <f t="shared" si="24"/>
        <v/>
      </c>
      <c r="AA20" s="111" t="s">
        <v>1998</v>
      </c>
      <c r="AB20" s="358" t="str">
        <f t="shared" si="25"/>
        <v>A28.+Door+Latch%2C+REAR+-+LEFT+Soft+Close+WITH+Actuator+SET2</v>
      </c>
      <c r="AC20" s="358" t="str">
        <f>VLOOKUP(B20,'3. Keep &amp; Toss Items'!$O$9:$R$749,4,FALSE)</f>
        <v>A28. Door Latch, REAR - LEFT Soft Close WITH Actuator SET2</v>
      </c>
      <c r="AD20" s="358" t="str">
        <f t="shared" si="26"/>
        <v>A28. Door Latch, REAR - LEFT Soft Close WITH Actuator SET2</v>
      </c>
      <c r="AE20" s="358" t="str">
        <f t="shared" si="27"/>
        <v>A28.+Door+Latch,+REAR+-+LEFT+Soft+Close+WITH+Actuator+SET2</v>
      </c>
      <c r="AF20" s="358" t="str">
        <f t="shared" si="28"/>
        <v>A28.+Door+Latch%2C+REAR+-+LEFT+Soft+Close+WITH+Actuator+SET2</v>
      </c>
      <c r="AG20" s="358" t="str">
        <f t="shared" si="29"/>
        <v>A28.+Door+Latch%2C+REAR+-+LEFT+Soft+Close+WITH+Actuator+SET2</v>
      </c>
      <c r="AH20" s="358" t="str">
        <f t="shared" si="30"/>
        <v>A28.+Door+Latch%2C+REAR+-+LEFT+Soft+Close+WITH+Actuator+SET2</v>
      </c>
      <c r="AI20" s="358" t="str">
        <f t="shared" si="31"/>
        <v>A28.+Door+Latch%2C+REAR+-+LEFT+Soft+Close+WITH+Actuator+SET2</v>
      </c>
      <c r="AJ20" s="358" t="str">
        <f t="shared" si="32"/>
        <v>A28.+Door+Latch%2C+REAR+-+LEFT+Soft+Close+WITH+Actuator+SET2</v>
      </c>
      <c r="AK20" s="358" t="str">
        <f t="shared" si="33"/>
        <v>A28.+Door+Latch%2C+REAR+-+LEFT+Soft+Close+WITH+Actuator+SET2</v>
      </c>
      <c r="AL20" s="358" t="str">
        <f t="shared" si="2"/>
        <v>A28.+Door+Latch%2C+REAR+-+LEFT+Soft+Close+WITH+Actuator+SET2</v>
      </c>
      <c r="AM20" s="358" t="str">
        <f t="shared" si="34"/>
        <v>A28.+Door+Latch%2C+REAR+-+LEFT+Soft+Close+WITH+Actuator+SET2</v>
      </c>
      <c r="AN20" s="358" t="str">
        <f t="shared" si="35"/>
        <v>A28.+Door+Latch%2C+REAR+-+LEFT+Soft+Close+WITH+Actuator+SET2</v>
      </c>
      <c r="AO20" s="359" t="s">
        <v>1999</v>
      </c>
      <c r="AP20" s="359" t="s">
        <v>2000</v>
      </c>
      <c r="AQ20" s="359" t="s">
        <v>2001</v>
      </c>
      <c r="AR20" s="359" t="s">
        <v>2002</v>
      </c>
      <c r="AS20" s="359" t="s">
        <v>2003</v>
      </c>
      <c r="AT20" s="359" t="s">
        <v>2004</v>
      </c>
      <c r="AU20" s="359" t="s">
        <v>2005</v>
      </c>
      <c r="AV20" s="359" t="s">
        <v>2006</v>
      </c>
      <c r="AW20" s="359" t="s">
        <v>2007</v>
      </c>
      <c r="AX20" s="359" t="s">
        <v>2008</v>
      </c>
      <c r="AY20" s="359" t="s">
        <v>2009</v>
      </c>
      <c r="AZ20" s="359" t="s">
        <v>2010</v>
      </c>
      <c r="BA20" s="359" t="s">
        <v>2011</v>
      </c>
      <c r="BB20" s="359" t="s">
        <v>2012</v>
      </c>
      <c r="BC20" s="359" t="s">
        <v>2013</v>
      </c>
      <c r="BD20" s="359" t="s">
        <v>2014</v>
      </c>
      <c r="BE20" s="359" t="s">
        <v>2015</v>
      </c>
      <c r="BF20" s="359" t="s">
        <v>2016</v>
      </c>
      <c r="BG20" s="359" t="s">
        <v>2017</v>
      </c>
      <c r="BH20" s="359" t="s">
        <v>2018</v>
      </c>
      <c r="BI20" s="359" t="s">
        <v>2019</v>
      </c>
      <c r="BJ20" s="359" t="s">
        <v>2020</v>
      </c>
      <c r="BK20" s="359" t="s">
        <v>2021</v>
      </c>
      <c r="BL20" s="359" t="s">
        <v>2022</v>
      </c>
      <c r="BM20" s="359" t="s">
        <v>2023</v>
      </c>
      <c r="BN20" s="359" t="s">
        <v>2024</v>
      </c>
      <c r="BO20" s="147" t="str">
        <f t="shared" si="3"/>
        <v>Pic Example</v>
      </c>
    </row>
    <row r="21" spans="2:67" x14ac:dyDescent="0.25">
      <c r="B21" t="s">
        <v>273</v>
      </c>
      <c r="C21" s="358" t="str">
        <f t="shared" si="36"/>
        <v>https://viking-pictures.s3.us-west-1.amazonaws.com/AA1155/A29.+Door+Latch%2C+FRONT+-+RIGHT+Soft+Close+WITH+Actuator+SET2+(1).JPG|https://viking-pictures.s3.us-west-1.amazonaws.com/AA1155/A29.+Door+Latch%2C+FRONT+-+RIGHT+Soft+Close+WITH+Actuator+SET2+(2).JPG|https://viking-pictures.s3.us-west-1.amazonaws.com/AA1155/A29.+Door+Latch%2C+FRONT+-+RIGHT+Soft+Close+WITH+Actuator+SET2+(3).JPG|https://viking-pictures.s3.us-west-1.amazonaws.com/AA1155/A29.+Door+Latch%2C+FRONT+-+RIGHT+Soft+Close+WITH+Actuator+SET2+(4).JPG|https://viking-pictures.s3.us-west-1.amazonaws.com/AA1155/A29.+Door+Latch%2C+FRONT+-+RIGHT+Soft+Close+WITH+Actuator+SET2+(6).JPG</v>
      </c>
      <c r="D21" s="358">
        <f>VLOOKUP(B21,'3. Keep &amp; Toss Items'!$O$9:$T$749,6,FALSE)</f>
        <v>7</v>
      </c>
      <c r="E21" s="358" t="str">
        <f t="shared" si="0"/>
        <v>https://viking-pictures.s3.us-west-1.amazonaws.com/AA1155/A29.+Door+Latch%2C+FRONT+-+RIGHT+Soft+Close+WITH+Actuator+SET2+(1).JPG</v>
      </c>
      <c r="F21" s="358" t="str">
        <f t="shared" si="4"/>
        <v>https://viking-pictures.s3.us-west-1.amazonaws.com/AA1155/A29.+Door+Latch%2C+FRONT+-+RIGHT+Soft+Close+WITH+Actuator+SET2+(2).JPG</v>
      </c>
      <c r="G21" s="358" t="str">
        <f t="shared" si="5"/>
        <v>https://viking-pictures.s3.us-west-1.amazonaws.com/AA1155/A29.+Door+Latch%2C+FRONT+-+RIGHT+Soft+Close+WITH+Actuator+SET2+(3).JPG</v>
      </c>
      <c r="H21" s="358" t="str">
        <f t="shared" si="6"/>
        <v>https://viking-pictures.s3.us-west-1.amazonaws.com/AA1155/A29.+Door+Latch%2C+FRONT+-+RIGHT+Soft+Close+WITH+Actuator+SET2+(4).JPG</v>
      </c>
      <c r="I21" s="358" t="str">
        <f t="shared" si="7"/>
        <v>https://viking-pictures.s3.us-west-1.amazonaws.com/AA1155/A29.+Door+Latch%2C+FRONT+-+RIGHT+Soft+Close+WITH+Actuator+SET2+(6).JPG</v>
      </c>
      <c r="J21" s="358" t="str">
        <f t="shared" si="8"/>
        <v/>
      </c>
      <c r="K21" s="358" t="str">
        <f t="shared" si="9"/>
        <v/>
      </c>
      <c r="L21" s="358" t="str">
        <f t="shared" si="10"/>
        <v/>
      </c>
      <c r="M21" s="358" t="str">
        <f t="shared" si="11"/>
        <v/>
      </c>
      <c r="N21" s="358" t="str">
        <f t="shared" si="12"/>
        <v/>
      </c>
      <c r="O21" s="358" t="str">
        <f t="shared" si="13"/>
        <v/>
      </c>
      <c r="P21" s="358" t="str">
        <f t="shared" si="14"/>
        <v/>
      </c>
      <c r="Q21" s="358" t="str">
        <f t="shared" si="15"/>
        <v/>
      </c>
      <c r="R21" s="358" t="str">
        <f t="shared" si="16"/>
        <v/>
      </c>
      <c r="S21" s="358" t="str">
        <f t="shared" si="17"/>
        <v/>
      </c>
      <c r="T21" s="358" t="str">
        <f t="shared" si="18"/>
        <v/>
      </c>
      <c r="U21" s="358" t="str">
        <f t="shared" si="19"/>
        <v/>
      </c>
      <c r="V21" s="358" t="str">
        <f t="shared" si="20"/>
        <v/>
      </c>
      <c r="W21" s="358" t="str">
        <f t="shared" si="21"/>
        <v/>
      </c>
      <c r="X21" s="358" t="str">
        <f t="shared" si="22"/>
        <v/>
      </c>
      <c r="Y21" s="358" t="str">
        <f t="shared" si="23"/>
        <v/>
      </c>
      <c r="Z21" s="358" t="str">
        <f t="shared" si="24"/>
        <v/>
      </c>
      <c r="AA21" s="111" t="s">
        <v>1998</v>
      </c>
      <c r="AB21" s="358" t="str">
        <f t="shared" si="25"/>
        <v>A29.+Door+Latch%2C+FRONT+-+RIGHT+Soft+Close+WITH+Actuator+SET2</v>
      </c>
      <c r="AC21" s="358" t="str">
        <f>VLOOKUP(B21,'3. Keep &amp; Toss Items'!$O$9:$R$749,4,FALSE)</f>
        <v>A29. Door Latch, FRONT - RIGHT Soft Close WITH Actuator SET2</v>
      </c>
      <c r="AD21" s="358" t="str">
        <f t="shared" si="26"/>
        <v>A29. Door Latch, FRONT - RIGHT Soft Close WITH Actuator SET2</v>
      </c>
      <c r="AE21" s="358" t="str">
        <f t="shared" si="27"/>
        <v>A29.+Door+Latch,+FRONT+-+RIGHT+Soft+Close+WITH+Actuator+SET2</v>
      </c>
      <c r="AF21" s="358" t="str">
        <f t="shared" si="28"/>
        <v>A29.+Door+Latch%2C+FRONT+-+RIGHT+Soft+Close+WITH+Actuator+SET2</v>
      </c>
      <c r="AG21" s="358" t="str">
        <f t="shared" si="29"/>
        <v>A29.+Door+Latch%2C+FRONT+-+RIGHT+Soft+Close+WITH+Actuator+SET2</v>
      </c>
      <c r="AH21" s="358" t="str">
        <f t="shared" si="30"/>
        <v>A29.+Door+Latch%2C+FRONT+-+RIGHT+Soft+Close+WITH+Actuator+SET2</v>
      </c>
      <c r="AI21" s="358" t="str">
        <f t="shared" si="31"/>
        <v>A29.+Door+Latch%2C+FRONT+-+RIGHT+Soft+Close+WITH+Actuator+SET2</v>
      </c>
      <c r="AJ21" s="358" t="str">
        <f t="shared" si="32"/>
        <v>A29.+Door+Latch%2C+FRONT+-+RIGHT+Soft+Close+WITH+Actuator+SET2</v>
      </c>
      <c r="AK21" s="358" t="str">
        <f t="shared" si="33"/>
        <v>A29.+Door+Latch%2C+FRONT+-+RIGHT+Soft+Close+WITH+Actuator+SET2</v>
      </c>
      <c r="AL21" s="358" t="str">
        <f t="shared" si="2"/>
        <v>A29.+Door+Latch%2C+FRONT+-+RIGHT+Soft+Close+WITH+Actuator+SET2</v>
      </c>
      <c r="AM21" s="358" t="str">
        <f t="shared" si="34"/>
        <v>A29.+Door+Latch%2C+FRONT+-+RIGHT+Soft+Close+WITH+Actuator+SET2</v>
      </c>
      <c r="AN21" s="358" t="str">
        <f t="shared" si="35"/>
        <v>A29.+Door+Latch%2C+FRONT+-+RIGHT+Soft+Close+WITH+Actuator+SET2</v>
      </c>
      <c r="AO21" s="359" t="s">
        <v>1999</v>
      </c>
      <c r="AP21" s="359" t="s">
        <v>2000</v>
      </c>
      <c r="AQ21" s="359" t="s">
        <v>2001</v>
      </c>
      <c r="AR21" s="359" t="s">
        <v>2002</v>
      </c>
      <c r="AS21" s="359" t="s">
        <v>2003</v>
      </c>
      <c r="AT21" s="359" t="s">
        <v>2004</v>
      </c>
      <c r="AU21" s="359" t="s">
        <v>2005</v>
      </c>
      <c r="AV21" s="359" t="s">
        <v>2006</v>
      </c>
      <c r="AW21" s="359" t="s">
        <v>2007</v>
      </c>
      <c r="AX21" s="359" t="s">
        <v>2008</v>
      </c>
      <c r="AY21" s="359" t="s">
        <v>2009</v>
      </c>
      <c r="AZ21" s="359" t="s">
        <v>2010</v>
      </c>
      <c r="BA21" s="359" t="s">
        <v>2011</v>
      </c>
      <c r="BB21" s="359" t="s">
        <v>2012</v>
      </c>
      <c r="BC21" s="359" t="s">
        <v>2013</v>
      </c>
      <c r="BD21" s="359" t="s">
        <v>2014</v>
      </c>
      <c r="BE21" s="359" t="s">
        <v>2015</v>
      </c>
      <c r="BF21" s="359" t="s">
        <v>2016</v>
      </c>
      <c r="BG21" s="359" t="s">
        <v>2017</v>
      </c>
      <c r="BH21" s="359" t="s">
        <v>2018</v>
      </c>
      <c r="BI21" s="359" t="s">
        <v>2019</v>
      </c>
      <c r="BJ21" s="359" t="s">
        <v>2020</v>
      </c>
      <c r="BK21" s="359" t="s">
        <v>2021</v>
      </c>
      <c r="BL21" s="359" t="s">
        <v>2022</v>
      </c>
      <c r="BM21" s="359" t="s">
        <v>2023</v>
      </c>
      <c r="BN21" s="359" t="s">
        <v>2024</v>
      </c>
      <c r="BO21" s="147" t="str">
        <f t="shared" si="3"/>
        <v>Pic Example</v>
      </c>
    </row>
    <row r="22" spans="2:67" x14ac:dyDescent="0.25">
      <c r="B22" t="s">
        <v>274</v>
      </c>
      <c r="C22" s="358" t="str">
        <f t="shared" si="36"/>
        <v>https://viking-pictures.s3.us-west-1.amazonaws.com/AA1155/A30.+Door+Latch%2C+FRONT+-+LEFT+Soft+Close+WITH+Actuator+SET2+(1).JPG|https://viking-pictures.s3.us-west-1.amazonaws.com/AA1155/A30.+Door+Latch%2C+FRONT+-+LEFT+Soft+Close+WITH+Actuator+SET2+(2).JPG|https://viking-pictures.s3.us-west-1.amazonaws.com/AA1155/A30.+Door+Latch%2C+FRONT+-+LEFT+Soft+Close+WITH+Actuator+SET2+(3).JPG|https://viking-pictures.s3.us-west-1.amazonaws.com/AA1155/A30.+Door+Latch%2C+FRONT+-+LEFT+Soft+Close+WITH+Actuator+SET2+(4).JPG|https://viking-pictures.s3.us-west-1.amazonaws.com/AA1155/A30.+Door+Latch%2C+FRONT+-+LEFT+Soft+Close+WITH+Actuator+SET2+(6).JPG</v>
      </c>
      <c r="D22" s="358">
        <f>VLOOKUP(B22,'3. Keep &amp; Toss Items'!$O$9:$T$749,6,FALSE)</f>
        <v>6</v>
      </c>
      <c r="E22" s="358" t="str">
        <f t="shared" si="0"/>
        <v>https://viking-pictures.s3.us-west-1.amazonaws.com/AA1155/A30.+Door+Latch%2C+FRONT+-+LEFT+Soft+Close+WITH+Actuator+SET2+(1).JPG</v>
      </c>
      <c r="F22" s="358" t="str">
        <f t="shared" si="4"/>
        <v>https://viking-pictures.s3.us-west-1.amazonaws.com/AA1155/A30.+Door+Latch%2C+FRONT+-+LEFT+Soft+Close+WITH+Actuator+SET2+(2).JPG</v>
      </c>
      <c r="G22" s="358" t="str">
        <f t="shared" si="5"/>
        <v>https://viking-pictures.s3.us-west-1.amazonaws.com/AA1155/A30.+Door+Latch%2C+FRONT+-+LEFT+Soft+Close+WITH+Actuator+SET2+(3).JPG</v>
      </c>
      <c r="H22" s="358" t="str">
        <f t="shared" si="6"/>
        <v>https://viking-pictures.s3.us-west-1.amazonaws.com/AA1155/A30.+Door+Latch%2C+FRONT+-+LEFT+Soft+Close+WITH+Actuator+SET2+(4).JPG</v>
      </c>
      <c r="I22" s="358" t="str">
        <f t="shared" si="7"/>
        <v>https://viking-pictures.s3.us-west-1.amazonaws.com/AA1155/A30.+Door+Latch%2C+FRONT+-+LEFT+Soft+Close+WITH+Actuator+SET2+(6).JPG</v>
      </c>
      <c r="J22" s="358" t="str">
        <f t="shared" si="8"/>
        <v/>
      </c>
      <c r="K22" s="358" t="str">
        <f t="shared" si="9"/>
        <v/>
      </c>
      <c r="L22" s="358" t="str">
        <f t="shared" si="10"/>
        <v/>
      </c>
      <c r="M22" s="358" t="str">
        <f t="shared" si="11"/>
        <v/>
      </c>
      <c r="N22" s="358" t="str">
        <f t="shared" si="12"/>
        <v/>
      </c>
      <c r="O22" s="358" t="str">
        <f t="shared" si="13"/>
        <v/>
      </c>
      <c r="P22" s="358" t="str">
        <f t="shared" si="14"/>
        <v/>
      </c>
      <c r="Q22" s="358" t="str">
        <f t="shared" si="15"/>
        <v/>
      </c>
      <c r="R22" s="358" t="str">
        <f t="shared" si="16"/>
        <v/>
      </c>
      <c r="S22" s="358" t="str">
        <f t="shared" si="17"/>
        <v/>
      </c>
      <c r="T22" s="358" t="str">
        <f t="shared" si="18"/>
        <v/>
      </c>
      <c r="U22" s="358" t="str">
        <f t="shared" si="19"/>
        <v/>
      </c>
      <c r="V22" s="358" t="str">
        <f t="shared" si="20"/>
        <v/>
      </c>
      <c r="W22" s="358" t="str">
        <f t="shared" si="21"/>
        <v/>
      </c>
      <c r="X22" s="358" t="str">
        <f t="shared" si="22"/>
        <v/>
      </c>
      <c r="Y22" s="358" t="str">
        <f t="shared" si="23"/>
        <v/>
      </c>
      <c r="Z22" s="358" t="str">
        <f t="shared" si="24"/>
        <v/>
      </c>
      <c r="AA22" s="111" t="s">
        <v>1998</v>
      </c>
      <c r="AB22" s="358" t="str">
        <f t="shared" si="25"/>
        <v>A30.+Door+Latch%2C+FRONT+-+LEFT+Soft+Close+WITH+Actuator+SET2</v>
      </c>
      <c r="AC22" s="358" t="str">
        <f>VLOOKUP(B22,'3. Keep &amp; Toss Items'!$O$9:$R$749,4,FALSE)</f>
        <v>A30. Door Latch, FRONT - LEFT Soft Close WITH Actuator SET2</v>
      </c>
      <c r="AD22" s="358" t="str">
        <f t="shared" si="26"/>
        <v>A30. Door Latch, FRONT - LEFT Soft Close WITH Actuator SET2</v>
      </c>
      <c r="AE22" s="358" t="str">
        <f t="shared" si="27"/>
        <v>A30.+Door+Latch,+FRONT+-+LEFT+Soft+Close+WITH+Actuator+SET2</v>
      </c>
      <c r="AF22" s="358" t="str">
        <f t="shared" si="28"/>
        <v>A30.+Door+Latch%2C+FRONT+-+LEFT+Soft+Close+WITH+Actuator+SET2</v>
      </c>
      <c r="AG22" s="358" t="str">
        <f t="shared" si="29"/>
        <v>A30.+Door+Latch%2C+FRONT+-+LEFT+Soft+Close+WITH+Actuator+SET2</v>
      </c>
      <c r="AH22" s="358" t="str">
        <f t="shared" si="30"/>
        <v>A30.+Door+Latch%2C+FRONT+-+LEFT+Soft+Close+WITH+Actuator+SET2</v>
      </c>
      <c r="AI22" s="358" t="str">
        <f t="shared" si="31"/>
        <v>A30.+Door+Latch%2C+FRONT+-+LEFT+Soft+Close+WITH+Actuator+SET2</v>
      </c>
      <c r="AJ22" s="358" t="str">
        <f t="shared" si="32"/>
        <v>A30.+Door+Latch%2C+FRONT+-+LEFT+Soft+Close+WITH+Actuator+SET2</v>
      </c>
      <c r="AK22" s="358" t="str">
        <f t="shared" si="33"/>
        <v>A30.+Door+Latch%2C+FRONT+-+LEFT+Soft+Close+WITH+Actuator+SET2</v>
      </c>
      <c r="AL22" s="358" t="str">
        <f t="shared" si="2"/>
        <v>A30.+Door+Latch%2C+FRONT+-+LEFT+Soft+Close+WITH+Actuator+SET2</v>
      </c>
      <c r="AM22" s="358" t="str">
        <f t="shared" si="34"/>
        <v>A30.+Door+Latch%2C+FRONT+-+LEFT+Soft+Close+WITH+Actuator+SET2</v>
      </c>
      <c r="AN22" s="358" t="str">
        <f t="shared" si="35"/>
        <v>A30.+Door+Latch%2C+FRONT+-+LEFT+Soft+Close+WITH+Actuator+SET2</v>
      </c>
      <c r="AO22" s="359" t="s">
        <v>1999</v>
      </c>
      <c r="AP22" s="359" t="s">
        <v>2000</v>
      </c>
      <c r="AQ22" s="359" t="s">
        <v>2001</v>
      </c>
      <c r="AR22" s="359" t="s">
        <v>2002</v>
      </c>
      <c r="AS22" s="359" t="s">
        <v>2003</v>
      </c>
      <c r="AT22" s="359" t="s">
        <v>2004</v>
      </c>
      <c r="AU22" s="359" t="s">
        <v>2005</v>
      </c>
      <c r="AV22" s="359" t="s">
        <v>2006</v>
      </c>
      <c r="AW22" s="359" t="s">
        <v>2007</v>
      </c>
      <c r="AX22" s="359" t="s">
        <v>2008</v>
      </c>
      <c r="AY22" s="359" t="s">
        <v>2009</v>
      </c>
      <c r="AZ22" s="359" t="s">
        <v>2010</v>
      </c>
      <c r="BA22" s="359" t="s">
        <v>2011</v>
      </c>
      <c r="BB22" s="359" t="s">
        <v>2012</v>
      </c>
      <c r="BC22" s="359" t="s">
        <v>2013</v>
      </c>
      <c r="BD22" s="359" t="s">
        <v>2014</v>
      </c>
      <c r="BE22" s="359" t="s">
        <v>2015</v>
      </c>
      <c r="BF22" s="359" t="s">
        <v>2016</v>
      </c>
      <c r="BG22" s="359" t="s">
        <v>2017</v>
      </c>
      <c r="BH22" s="359" t="s">
        <v>2018</v>
      </c>
      <c r="BI22" s="359" t="s">
        <v>2019</v>
      </c>
      <c r="BJ22" s="359" t="s">
        <v>2020</v>
      </c>
      <c r="BK22" s="359" t="s">
        <v>2021</v>
      </c>
      <c r="BL22" s="359" t="s">
        <v>2022</v>
      </c>
      <c r="BM22" s="359" t="s">
        <v>2023</v>
      </c>
      <c r="BN22" s="359" t="s">
        <v>2024</v>
      </c>
      <c r="BO22" s="147" t="str">
        <f t="shared" si="3"/>
        <v>Pic Example</v>
      </c>
    </row>
    <row r="23" spans="2:67" x14ac:dyDescent="0.25">
      <c r="B23" t="s">
        <v>275</v>
      </c>
      <c r="C23" s="358" t="str">
        <f t="shared" si="36"/>
        <v>https://viking-pictures.s3.us-west-1.amazonaws.com/AA1155/A31.+Battery+Cable%2C+NEGATIVE+With+IBS+Module+ON+(1).JPG|https://viking-pictures.s3.us-west-1.amazonaws.com/AA1155/A31.+Battery+Cable%2C+NEGATIVE+With+IBS+Module+ON+(2).JPG|https://viking-pictures.s3.us-west-1.amazonaws.com/AA1155/A31.+Battery+Cable%2C+NEGATIVE+With+IBS+Module+ON+(3).JPG|https://viking-pictures.s3.us-west-1.amazonaws.com/AA1155/A31.+Battery+Cable%2C+NEGATIVE+With+IBS+Module+ON+(4).JPG</v>
      </c>
      <c r="D23" s="358">
        <f>VLOOKUP(B23,'3. Keep &amp; Toss Items'!$O$9:$T$749,6,FALSE)</f>
        <v>4</v>
      </c>
      <c r="E23" s="358" t="str">
        <f t="shared" si="0"/>
        <v>https://viking-pictures.s3.us-west-1.amazonaws.com/AA1155/A31.+Battery+Cable%2C+NEGATIVE+With+IBS+Module+ON+(1).JPG</v>
      </c>
      <c r="F23" s="358" t="str">
        <f t="shared" si="4"/>
        <v>https://viking-pictures.s3.us-west-1.amazonaws.com/AA1155/A31.+Battery+Cable%2C+NEGATIVE+With+IBS+Module+ON+(2).JPG</v>
      </c>
      <c r="G23" s="358" t="str">
        <f t="shared" si="5"/>
        <v>https://viking-pictures.s3.us-west-1.amazonaws.com/AA1155/A31.+Battery+Cable%2C+NEGATIVE+With+IBS+Module+ON+(3).JPG</v>
      </c>
      <c r="H23" s="358" t="str">
        <f t="shared" si="6"/>
        <v>https://viking-pictures.s3.us-west-1.amazonaws.com/AA1155/A31.+Battery+Cable%2C+NEGATIVE+With+IBS+Module+ON+(4).JPG</v>
      </c>
      <c r="I23" s="358" t="str">
        <f t="shared" si="7"/>
        <v/>
      </c>
      <c r="J23" s="358" t="str">
        <f t="shared" si="8"/>
        <v/>
      </c>
      <c r="K23" s="358" t="str">
        <f t="shared" si="9"/>
        <v/>
      </c>
      <c r="L23" s="358" t="str">
        <f t="shared" si="10"/>
        <v/>
      </c>
      <c r="M23" s="358" t="str">
        <f t="shared" si="11"/>
        <v/>
      </c>
      <c r="N23" s="358" t="str">
        <f t="shared" si="12"/>
        <v/>
      </c>
      <c r="O23" s="358" t="str">
        <f t="shared" si="13"/>
        <v/>
      </c>
      <c r="P23" s="358" t="str">
        <f t="shared" si="14"/>
        <v/>
      </c>
      <c r="Q23" s="358" t="str">
        <f t="shared" si="15"/>
        <v/>
      </c>
      <c r="R23" s="358" t="str">
        <f t="shared" si="16"/>
        <v/>
      </c>
      <c r="S23" s="358" t="str">
        <f t="shared" si="17"/>
        <v/>
      </c>
      <c r="T23" s="358" t="str">
        <f t="shared" si="18"/>
        <v/>
      </c>
      <c r="U23" s="358" t="str">
        <f t="shared" si="19"/>
        <v/>
      </c>
      <c r="V23" s="358" t="str">
        <f t="shared" si="20"/>
        <v/>
      </c>
      <c r="W23" s="358" t="str">
        <f t="shared" si="21"/>
        <v/>
      </c>
      <c r="X23" s="358" t="str">
        <f t="shared" si="22"/>
        <v/>
      </c>
      <c r="Y23" s="358" t="str">
        <f t="shared" si="23"/>
        <v/>
      </c>
      <c r="Z23" s="358" t="str">
        <f t="shared" si="24"/>
        <v/>
      </c>
      <c r="AA23" s="111" t="s">
        <v>1998</v>
      </c>
      <c r="AB23" s="358" t="str">
        <f t="shared" si="25"/>
        <v>A31.+Battery+Cable%2C+NEGATIVE+With+IBS+Module+ON</v>
      </c>
      <c r="AC23" s="358" t="str">
        <f>VLOOKUP(B23,'3. Keep &amp; Toss Items'!$O$9:$R$749,4,FALSE)</f>
        <v>A31. Battery Cable, NEGATIVE With IBS Module ON</v>
      </c>
      <c r="AD23" s="358" t="str">
        <f t="shared" si="26"/>
        <v>A31. Battery Cable, NEGATIVE With IBS Module ON</v>
      </c>
      <c r="AE23" s="358" t="str">
        <f t="shared" si="27"/>
        <v>A31.+Battery+Cable,+NEGATIVE+With+IBS+Module+ON</v>
      </c>
      <c r="AF23" s="358" t="str">
        <f t="shared" si="28"/>
        <v>A31.+Battery+Cable%2C+NEGATIVE+With+IBS+Module+ON</v>
      </c>
      <c r="AG23" s="358" t="str">
        <f t="shared" si="29"/>
        <v>A31.+Battery+Cable%2C+NEGATIVE+With+IBS+Module+ON</v>
      </c>
      <c r="AH23" s="358" t="str">
        <f t="shared" si="30"/>
        <v>A31.+Battery+Cable%2C+NEGATIVE+With+IBS+Module+ON</v>
      </c>
      <c r="AI23" s="358" t="str">
        <f t="shared" si="31"/>
        <v>A31.+Battery+Cable%2C+NEGATIVE+With+IBS+Module+ON</v>
      </c>
      <c r="AJ23" s="358" t="str">
        <f t="shared" si="32"/>
        <v>A31.+Battery+Cable%2C+NEGATIVE+With+IBS+Module+ON</v>
      </c>
      <c r="AK23" s="358" t="str">
        <f t="shared" si="33"/>
        <v>A31.+Battery+Cable%2C+NEGATIVE+With+IBS+Module+ON</v>
      </c>
      <c r="AL23" s="358" t="str">
        <f t="shared" si="2"/>
        <v>A31.+Battery+Cable%2C+NEGATIVE+With+IBS+Module+ON</v>
      </c>
      <c r="AM23" s="358" t="str">
        <f t="shared" si="34"/>
        <v>A31.+Battery+Cable%2C+NEGATIVE+With+IBS+Module+ON</v>
      </c>
      <c r="AN23" s="358" t="str">
        <f t="shared" si="35"/>
        <v>A31.+Battery+Cable%2C+NEGATIVE+With+IBS+Module+ON</v>
      </c>
      <c r="AO23" s="359" t="s">
        <v>1999</v>
      </c>
      <c r="AP23" s="359" t="s">
        <v>2000</v>
      </c>
      <c r="AQ23" s="359" t="s">
        <v>2001</v>
      </c>
      <c r="AR23" s="359" t="s">
        <v>2002</v>
      </c>
      <c r="AS23" s="359" t="s">
        <v>2003</v>
      </c>
      <c r="AT23" s="359" t="s">
        <v>2004</v>
      </c>
      <c r="AU23" s="359" t="s">
        <v>2005</v>
      </c>
      <c r="AV23" s="359" t="s">
        <v>2006</v>
      </c>
      <c r="AW23" s="359" t="s">
        <v>2007</v>
      </c>
      <c r="AX23" s="359" t="s">
        <v>2008</v>
      </c>
      <c r="AY23" s="359" t="s">
        <v>2009</v>
      </c>
      <c r="AZ23" s="359" t="s">
        <v>2010</v>
      </c>
      <c r="BA23" s="359" t="s">
        <v>2011</v>
      </c>
      <c r="BB23" s="359" t="s">
        <v>2012</v>
      </c>
      <c r="BC23" s="359" t="s">
        <v>2013</v>
      </c>
      <c r="BD23" s="359" t="s">
        <v>2014</v>
      </c>
      <c r="BE23" s="359" t="s">
        <v>2015</v>
      </c>
      <c r="BF23" s="359" t="s">
        <v>2016</v>
      </c>
      <c r="BG23" s="359" t="s">
        <v>2017</v>
      </c>
      <c r="BH23" s="359" t="s">
        <v>2018</v>
      </c>
      <c r="BI23" s="359" t="s">
        <v>2019</v>
      </c>
      <c r="BJ23" s="359" t="s">
        <v>2020</v>
      </c>
      <c r="BK23" s="359" t="s">
        <v>2021</v>
      </c>
      <c r="BL23" s="359" t="s">
        <v>2022</v>
      </c>
      <c r="BM23" s="359" t="s">
        <v>2023</v>
      </c>
      <c r="BN23" s="359" t="s">
        <v>2024</v>
      </c>
      <c r="BO23" s="147" t="str">
        <f t="shared" si="3"/>
        <v>Pic Example</v>
      </c>
    </row>
    <row r="24" spans="2:67" x14ac:dyDescent="0.25">
      <c r="B24" t="s">
        <v>276</v>
      </c>
      <c r="C24" s="358" t="str">
        <f t="shared" si="36"/>
        <v>https://viking-pictures.s3.us-west-1.amazonaws.com/AA1155/A32.+Battery+Cable%2C+POSITIVE+%26+Attached+Terminal+Bracket%2C+THE+BIG+PRIMARY+ONE+(1).JPG|https://viking-pictures.s3.us-west-1.amazonaws.com/AA1155/A32.+Battery+Cable%2C+POSITIVE+%26+Attached+Terminal+Bracket%2C+THE+BIG+PRIMARY+ONE+(2).JPG|https://viking-pictures.s3.us-west-1.amazonaws.com/AA1155/A32.+Battery+Cable%2C+POSITIVE+%26+Attached+Terminal+Bracket%2C+THE+BIG+PRIMARY+ONE+(3).JPG|https://viking-pictures.s3.us-west-1.amazonaws.com/AA1155/A32.+Battery+Cable%2C+POSITIVE+%26+Attached+Terminal+Bracket%2C+THE+BIG+PRIMARY+ONE+(4).JPG</v>
      </c>
      <c r="D24" s="358">
        <f>VLOOKUP(B24,'3. Keep &amp; Toss Items'!$O$9:$T$749,6,FALSE)</f>
        <v>4</v>
      </c>
      <c r="E24" s="358" t="str">
        <f t="shared" si="0"/>
        <v>https://viking-pictures.s3.us-west-1.amazonaws.com/AA1155/A32.+Battery+Cable%2C+POSITIVE+%26+Attached+Terminal+Bracket%2C+THE+BIG+PRIMARY+ONE+(1).JPG</v>
      </c>
      <c r="F24" s="358" t="str">
        <f t="shared" si="4"/>
        <v>https://viking-pictures.s3.us-west-1.amazonaws.com/AA1155/A32.+Battery+Cable%2C+POSITIVE+%26+Attached+Terminal+Bracket%2C+THE+BIG+PRIMARY+ONE+(2).JPG</v>
      </c>
      <c r="G24" s="358" t="str">
        <f t="shared" si="5"/>
        <v>https://viking-pictures.s3.us-west-1.amazonaws.com/AA1155/A32.+Battery+Cable%2C+POSITIVE+%26+Attached+Terminal+Bracket%2C+THE+BIG+PRIMARY+ONE+(3).JPG</v>
      </c>
      <c r="H24" s="358" t="str">
        <f t="shared" si="6"/>
        <v>https://viking-pictures.s3.us-west-1.amazonaws.com/AA1155/A32.+Battery+Cable%2C+POSITIVE+%26+Attached+Terminal+Bracket%2C+THE+BIG+PRIMARY+ONE+(4).JPG</v>
      </c>
      <c r="I24" s="358" t="str">
        <f t="shared" si="7"/>
        <v/>
      </c>
      <c r="J24" s="358" t="str">
        <f t="shared" si="8"/>
        <v/>
      </c>
      <c r="K24" s="358" t="str">
        <f t="shared" si="9"/>
        <v/>
      </c>
      <c r="L24" s="358" t="str">
        <f t="shared" si="10"/>
        <v/>
      </c>
      <c r="M24" s="358" t="str">
        <f t="shared" si="11"/>
        <v/>
      </c>
      <c r="N24" s="358" t="str">
        <f t="shared" si="12"/>
        <v/>
      </c>
      <c r="O24" s="358" t="str">
        <f t="shared" si="13"/>
        <v/>
      </c>
      <c r="P24" s="358" t="str">
        <f t="shared" si="14"/>
        <v/>
      </c>
      <c r="Q24" s="358" t="str">
        <f t="shared" si="15"/>
        <v/>
      </c>
      <c r="R24" s="358" t="str">
        <f t="shared" si="16"/>
        <v/>
      </c>
      <c r="S24" s="358" t="str">
        <f t="shared" si="17"/>
        <v/>
      </c>
      <c r="T24" s="358" t="str">
        <f t="shared" si="18"/>
        <v/>
      </c>
      <c r="U24" s="358" t="str">
        <f t="shared" si="19"/>
        <v/>
      </c>
      <c r="V24" s="358" t="str">
        <f t="shared" si="20"/>
        <v/>
      </c>
      <c r="W24" s="358" t="str">
        <f t="shared" si="21"/>
        <v/>
      </c>
      <c r="X24" s="358" t="str">
        <f t="shared" si="22"/>
        <v/>
      </c>
      <c r="Y24" s="358" t="str">
        <f t="shared" si="23"/>
        <v/>
      </c>
      <c r="Z24" s="358" t="str">
        <f t="shared" si="24"/>
        <v/>
      </c>
      <c r="AA24" s="111" t="s">
        <v>1998</v>
      </c>
      <c r="AB24" s="358" t="str">
        <f t="shared" si="25"/>
        <v>A32.+Battery+Cable%2C+POSITIVE+%26+Attached+Terminal+Bracket%2C+THE+BIG+PRIMARY+ONE</v>
      </c>
      <c r="AC24" s="358" t="str">
        <f>VLOOKUP(B24,'3. Keep &amp; Toss Items'!$O$9:$R$749,4,FALSE)</f>
        <v>A32. Battery Cable, POSITIVE &amp; Attached Terminal Bracket, THE BIG PRIMARY ONE</v>
      </c>
      <c r="AD24" s="358" t="str">
        <f t="shared" si="26"/>
        <v>A32. Battery Cable, POSITIVE &amp; Attached Terminal Bracket, THE BIG PRIMARY ONE</v>
      </c>
      <c r="AE24" s="358" t="str">
        <f t="shared" si="27"/>
        <v>A32.+Battery+Cable,+POSITIVE+&amp;+Attached+Terminal+Bracket,+THE+BIG+PRIMARY+ONE</v>
      </c>
      <c r="AF24" s="358" t="str">
        <f t="shared" si="28"/>
        <v>A32.+Battery+Cable%2C+POSITIVE+&amp;+Attached+Terminal+Bracket%2C+THE+BIG+PRIMARY+ONE</v>
      </c>
      <c r="AG24" s="358" t="str">
        <f t="shared" si="29"/>
        <v>A32.+Battery+Cable%2C+POSITIVE+&amp;+Attached+Terminal+Bracket%2C+THE+BIG+PRIMARY+ONE</v>
      </c>
      <c r="AH24" s="358" t="str">
        <f t="shared" si="30"/>
        <v>A32.+Battery+Cable%2C+POSITIVE+&amp;+Attached+Terminal+Bracket%2C+THE+BIG+PRIMARY+ONE</v>
      </c>
      <c r="AI24" s="358" t="str">
        <f t="shared" si="31"/>
        <v>A32.+Battery+Cable%2C+POSITIVE+&amp;+Attached+Terminal+Bracket%2C+THE+BIG+PRIMARY+ONE</v>
      </c>
      <c r="AJ24" s="358" t="str">
        <f t="shared" si="32"/>
        <v>A32.+Battery+Cable%2C+POSITIVE+%26+Attached+Terminal+Bracket%2C+THE+BIG+PRIMARY+ONE</v>
      </c>
      <c r="AK24" s="358" t="str">
        <f t="shared" si="33"/>
        <v>A32.+Battery+Cable%2C+POSITIVE+%26+Attached+Terminal+Bracket%2C+THE+BIG+PRIMARY+ONE</v>
      </c>
      <c r="AL24" s="358" t="str">
        <f t="shared" si="2"/>
        <v>A32.+Battery+Cable%2C+POSITIVE+%26+Attached+Terminal+Bracket%2C+THE+BIG+PRIMARY+ONE</v>
      </c>
      <c r="AM24" s="358" t="str">
        <f t="shared" si="34"/>
        <v>A32.+Battery+Cable%2C+POSITIVE+%26+Attached+Terminal+Bracket%2C+THE+BIG+PRIMARY+ONE</v>
      </c>
      <c r="AN24" s="358" t="str">
        <f t="shared" si="35"/>
        <v>A32.+Battery+Cable%2C+POSITIVE+%26+Attached+Terminal+Bracket%2C+THE+BIG+PRIMARY+ONE</v>
      </c>
      <c r="AO24" s="359" t="s">
        <v>1999</v>
      </c>
      <c r="AP24" s="359" t="s">
        <v>2000</v>
      </c>
      <c r="AQ24" s="359" t="s">
        <v>2001</v>
      </c>
      <c r="AR24" s="359" t="s">
        <v>2002</v>
      </c>
      <c r="AS24" s="359" t="s">
        <v>2003</v>
      </c>
      <c r="AT24" s="359" t="s">
        <v>2004</v>
      </c>
      <c r="AU24" s="359" t="s">
        <v>2005</v>
      </c>
      <c r="AV24" s="359" t="s">
        <v>2006</v>
      </c>
      <c r="AW24" s="359" t="s">
        <v>2007</v>
      </c>
      <c r="AX24" s="359" t="s">
        <v>2008</v>
      </c>
      <c r="AY24" s="359" t="s">
        <v>2009</v>
      </c>
      <c r="AZ24" s="359" t="s">
        <v>2010</v>
      </c>
      <c r="BA24" s="359" t="s">
        <v>2011</v>
      </c>
      <c r="BB24" s="359" t="s">
        <v>2012</v>
      </c>
      <c r="BC24" s="359" t="s">
        <v>2013</v>
      </c>
      <c r="BD24" s="359" t="s">
        <v>2014</v>
      </c>
      <c r="BE24" s="359" t="s">
        <v>2015</v>
      </c>
      <c r="BF24" s="359" t="s">
        <v>2016</v>
      </c>
      <c r="BG24" s="359" t="s">
        <v>2017</v>
      </c>
      <c r="BH24" s="359" t="s">
        <v>2018</v>
      </c>
      <c r="BI24" s="359" t="s">
        <v>2019</v>
      </c>
      <c r="BJ24" s="359" t="s">
        <v>2020</v>
      </c>
      <c r="BK24" s="359" t="s">
        <v>2021</v>
      </c>
      <c r="BL24" s="359" t="s">
        <v>2022</v>
      </c>
      <c r="BM24" s="359" t="s">
        <v>2023</v>
      </c>
      <c r="BN24" s="359" t="s">
        <v>2024</v>
      </c>
      <c r="BO24" s="147" t="str">
        <f t="shared" si="3"/>
        <v>Pic Example</v>
      </c>
    </row>
    <row r="25" spans="2:67" x14ac:dyDescent="0.25">
      <c r="B25" t="s">
        <v>277</v>
      </c>
      <c r="C25" s="358" t="str">
        <f t="shared" si="36"/>
        <v>https://viking-pictures.s3.us-west-1.amazonaws.com/AA1155/A33.+Hood+Upper+Release+Lever+%26+Cable+%26+Strikers+as+SET+(1).JPG|https://viking-pictures.s3.us-west-1.amazonaws.com/AA1155/A33.+Hood+Upper+Release+Lever+%26+Cable+%26+Strikers+as+SET+(2).JPG|https://viking-pictures.s3.us-west-1.amazonaws.com/AA1155/A33.+Hood+Upper+Release+Lever+%26+Cable+%26+Strikers+as+SET+(3).JPG|https://viking-pictures.s3.us-west-1.amazonaws.com/AA1155/A33.+Hood+Upper+Release+Lever+%26+Cable+%26+Strikers+as+SET+(4).JPG|https://viking-pictures.s3.us-west-1.amazonaws.com/AA1155/A33.+Hood+Upper+Release+Lever+%26+Cable+%26+Strikers+as+SET+(6).JPG|https://viking-pictures.s3.us-west-1.amazonaws.com/AA1155/A33.+Hood+Upper+Release+Lever+%26+Cable+%26+Strikers+as+SET+(8).JPG|https://viking-pictures.s3.us-west-1.amazonaws.com/AA1155/A33.+Hood+Upper+Release+Lever+%26+Cable+%26+Strikers+as+SET+(9).JPG</v>
      </c>
      <c r="D25" s="358">
        <f>VLOOKUP(B25,'3. Keep &amp; Toss Items'!$O$9:$T$749,6,FALSE)</f>
        <v>9</v>
      </c>
      <c r="E25" s="358" t="str">
        <f t="shared" si="0"/>
        <v>https://viking-pictures.s3.us-west-1.amazonaws.com/AA1155/A33.+Hood+Upper+Release+Lever+%26+Cable+%26+Strikers+as+SET+(1).JPG</v>
      </c>
      <c r="F25" s="358" t="str">
        <f t="shared" si="4"/>
        <v>https://viking-pictures.s3.us-west-1.amazonaws.com/AA1155/A33.+Hood+Upper+Release+Lever+%26+Cable+%26+Strikers+as+SET+(2).JPG</v>
      </c>
      <c r="G25" s="358" t="str">
        <f t="shared" si="5"/>
        <v>https://viking-pictures.s3.us-west-1.amazonaws.com/AA1155/A33.+Hood+Upper+Release+Lever+%26+Cable+%26+Strikers+as+SET+(3).JPG</v>
      </c>
      <c r="H25" s="358" t="str">
        <f t="shared" si="6"/>
        <v>https://viking-pictures.s3.us-west-1.amazonaws.com/AA1155/A33.+Hood+Upper+Release+Lever+%26+Cable+%26+Strikers+as+SET+(4).JPG</v>
      </c>
      <c r="I25" s="358" t="str">
        <f t="shared" si="7"/>
        <v>https://viking-pictures.s3.us-west-1.amazonaws.com/AA1155/A33.+Hood+Upper+Release+Lever+%26+Cable+%26+Strikers+as+SET+(6).JPG</v>
      </c>
      <c r="J25" s="358" t="str">
        <f t="shared" si="8"/>
        <v>https://viking-pictures.s3.us-west-1.amazonaws.com/AA1155/A33.+Hood+Upper+Release+Lever+%26+Cable+%26+Strikers+as+SET+(8).JPG</v>
      </c>
      <c r="K25" s="358" t="str">
        <f t="shared" si="9"/>
        <v>https://viking-pictures.s3.us-west-1.amazonaws.com/AA1155/A33.+Hood+Upper+Release+Lever+%26+Cable+%26+Strikers+as+SET+(9).JPG</v>
      </c>
      <c r="L25" s="358" t="str">
        <f t="shared" si="10"/>
        <v/>
      </c>
      <c r="M25" s="358" t="str">
        <f t="shared" si="11"/>
        <v/>
      </c>
      <c r="N25" s="358" t="str">
        <f t="shared" si="12"/>
        <v/>
      </c>
      <c r="O25" s="358" t="str">
        <f t="shared" si="13"/>
        <v/>
      </c>
      <c r="P25" s="358" t="str">
        <f t="shared" si="14"/>
        <v/>
      </c>
      <c r="Q25" s="358" t="str">
        <f t="shared" si="15"/>
        <v/>
      </c>
      <c r="R25" s="358" t="str">
        <f t="shared" si="16"/>
        <v/>
      </c>
      <c r="S25" s="358" t="str">
        <f t="shared" si="17"/>
        <v/>
      </c>
      <c r="T25" s="358" t="str">
        <f t="shared" si="18"/>
        <v/>
      </c>
      <c r="U25" s="358" t="str">
        <f t="shared" si="19"/>
        <v/>
      </c>
      <c r="V25" s="358" t="str">
        <f t="shared" si="20"/>
        <v/>
      </c>
      <c r="W25" s="358" t="str">
        <f t="shared" si="21"/>
        <v/>
      </c>
      <c r="X25" s="358" t="str">
        <f t="shared" si="22"/>
        <v/>
      </c>
      <c r="Y25" s="358" t="str">
        <f t="shared" si="23"/>
        <v/>
      </c>
      <c r="Z25" s="358" t="str">
        <f t="shared" si="24"/>
        <v/>
      </c>
      <c r="AA25" s="111" t="s">
        <v>1998</v>
      </c>
      <c r="AB25" s="358" t="str">
        <f t="shared" si="25"/>
        <v>A33.+Hood+Upper+Release+Lever+%26+Cable+%26+Strikers+as+SET</v>
      </c>
      <c r="AC25" s="358" t="str">
        <f>VLOOKUP(B25,'3. Keep &amp; Toss Items'!$O$9:$R$749,4,FALSE)</f>
        <v>A33. Hood Upper Release Lever &amp; Cable &amp; Strikers as SET</v>
      </c>
      <c r="AD25" s="358" t="str">
        <f t="shared" si="26"/>
        <v>A33. Hood Upper Release Lever &amp; Cable &amp; Strikers as SET</v>
      </c>
      <c r="AE25" s="358" t="str">
        <f t="shared" si="27"/>
        <v>A33.+Hood+Upper+Release+Lever+&amp;+Cable+&amp;+Strikers+as+SET</v>
      </c>
      <c r="AF25" s="358" t="str">
        <f t="shared" si="28"/>
        <v>A33.+Hood+Upper+Release+Lever+&amp;+Cable+&amp;+Strikers+as+SET</v>
      </c>
      <c r="AG25" s="358" t="str">
        <f t="shared" si="29"/>
        <v>A33.+Hood+Upper+Release+Lever+&amp;+Cable+&amp;+Strikers+as+SET</v>
      </c>
      <c r="AH25" s="358" t="str">
        <f t="shared" si="30"/>
        <v>A33.+Hood+Upper+Release+Lever+&amp;+Cable+&amp;+Strikers+as+SET</v>
      </c>
      <c r="AI25" s="358" t="str">
        <f t="shared" si="31"/>
        <v>A33.+Hood+Upper+Release+Lever+&amp;+Cable+&amp;+Strikers+as+SET</v>
      </c>
      <c r="AJ25" s="358" t="str">
        <f t="shared" si="32"/>
        <v>A33.+Hood+Upper+Release+Lever+%26+Cable+%26+Strikers+as+SET</v>
      </c>
      <c r="AK25" s="358" t="str">
        <f t="shared" si="33"/>
        <v>A33.+Hood+Upper+Release+Lever+%26+Cable+%26+Strikers+as+SET</v>
      </c>
      <c r="AL25" s="358" t="str">
        <f t="shared" si="2"/>
        <v>A33.+Hood+Upper+Release+Lever+%26+Cable+%26+Strikers+as+SET</v>
      </c>
      <c r="AM25" s="358" t="str">
        <f t="shared" si="34"/>
        <v>A33.+Hood+Upper+Release+Lever+%26+Cable+%26+Strikers+as+SET</v>
      </c>
      <c r="AN25" s="358" t="str">
        <f t="shared" si="35"/>
        <v>A33.+Hood+Upper+Release+Lever+%26+Cable+%26+Strikers+as+SET</v>
      </c>
      <c r="AO25" s="359" t="s">
        <v>1999</v>
      </c>
      <c r="AP25" s="359" t="s">
        <v>2000</v>
      </c>
      <c r="AQ25" s="359" t="s">
        <v>2001</v>
      </c>
      <c r="AR25" s="359" t="s">
        <v>2002</v>
      </c>
      <c r="AS25" s="359" t="s">
        <v>2003</v>
      </c>
      <c r="AT25" s="359" t="s">
        <v>2004</v>
      </c>
      <c r="AU25" s="359" t="s">
        <v>2005</v>
      </c>
      <c r="AV25" s="359" t="s">
        <v>2006</v>
      </c>
      <c r="AW25" s="359" t="s">
        <v>2007</v>
      </c>
      <c r="AX25" s="359" t="s">
        <v>2008</v>
      </c>
      <c r="AY25" s="359" t="s">
        <v>2009</v>
      </c>
      <c r="AZ25" s="359" t="s">
        <v>2010</v>
      </c>
      <c r="BA25" s="359" t="s">
        <v>2011</v>
      </c>
      <c r="BB25" s="359" t="s">
        <v>2012</v>
      </c>
      <c r="BC25" s="359" t="s">
        <v>2013</v>
      </c>
      <c r="BD25" s="359" t="s">
        <v>2014</v>
      </c>
      <c r="BE25" s="359" t="s">
        <v>2015</v>
      </c>
      <c r="BF25" s="359" t="s">
        <v>2016</v>
      </c>
      <c r="BG25" s="359" t="s">
        <v>2017</v>
      </c>
      <c r="BH25" s="359" t="s">
        <v>2018</v>
      </c>
      <c r="BI25" s="359" t="s">
        <v>2019</v>
      </c>
      <c r="BJ25" s="359" t="s">
        <v>2020</v>
      </c>
      <c r="BK25" s="359" t="s">
        <v>2021</v>
      </c>
      <c r="BL25" s="359" t="s">
        <v>2022</v>
      </c>
      <c r="BM25" s="359" t="s">
        <v>2023</v>
      </c>
      <c r="BN25" s="359" t="s">
        <v>2024</v>
      </c>
      <c r="BO25" s="147" t="str">
        <f t="shared" si="3"/>
        <v>Pic Example</v>
      </c>
    </row>
    <row r="26" spans="2:67" x14ac:dyDescent="0.25">
      <c r="B26" t="s">
        <v>278</v>
      </c>
      <c r="C26" s="358" t="str">
        <f t="shared" si="36"/>
        <v>https://viking-pictures.s3.us-west-1.amazonaws.com/AA1155/A34.+Wiper+Motor%2C+Trunk+(1).JPG|https://viking-pictures.s3.us-west-1.amazonaws.com/AA1155/A34.+Wiper+Motor%2C+Trunk+(2).JPG|https://viking-pictures.s3.us-west-1.amazonaws.com/AA1155/A34.+Wiper+Motor%2C+Trunk+(3).JPG|https://viking-pictures.s3.us-west-1.amazonaws.com/AA1155/A34.+Wiper+Motor%2C+Trunk+(4).JPG</v>
      </c>
      <c r="D26" s="358">
        <f>VLOOKUP(B26,'3. Keep &amp; Toss Items'!$O$9:$T$749,6,FALSE)</f>
        <v>4</v>
      </c>
      <c r="E26" s="358" t="str">
        <f t="shared" si="0"/>
        <v>https://viking-pictures.s3.us-west-1.amazonaws.com/AA1155/A34.+Wiper+Motor%2C+Trunk+(1).JPG</v>
      </c>
      <c r="F26" s="358" t="str">
        <f t="shared" si="4"/>
        <v>https://viking-pictures.s3.us-west-1.amazonaws.com/AA1155/A34.+Wiper+Motor%2C+Trunk+(2).JPG</v>
      </c>
      <c r="G26" s="358" t="str">
        <f t="shared" si="5"/>
        <v>https://viking-pictures.s3.us-west-1.amazonaws.com/AA1155/A34.+Wiper+Motor%2C+Trunk+(3).JPG</v>
      </c>
      <c r="H26" s="358" t="str">
        <f t="shared" si="6"/>
        <v>https://viking-pictures.s3.us-west-1.amazonaws.com/AA1155/A34.+Wiper+Motor%2C+Trunk+(4).JPG</v>
      </c>
      <c r="I26" s="358" t="str">
        <f t="shared" si="7"/>
        <v/>
      </c>
      <c r="J26" s="358" t="str">
        <f t="shared" si="8"/>
        <v/>
      </c>
      <c r="K26" s="358" t="str">
        <f t="shared" si="9"/>
        <v/>
      </c>
      <c r="L26" s="358" t="str">
        <f t="shared" si="10"/>
        <v/>
      </c>
      <c r="M26" s="358" t="str">
        <f t="shared" si="11"/>
        <v/>
      </c>
      <c r="N26" s="358" t="str">
        <f t="shared" si="12"/>
        <v/>
      </c>
      <c r="O26" s="358" t="str">
        <f t="shared" si="13"/>
        <v/>
      </c>
      <c r="P26" s="358" t="str">
        <f t="shared" si="14"/>
        <v/>
      </c>
      <c r="Q26" s="358" t="str">
        <f t="shared" si="15"/>
        <v/>
      </c>
      <c r="R26" s="358" t="str">
        <f t="shared" si="16"/>
        <v/>
      </c>
      <c r="S26" s="358" t="str">
        <f t="shared" si="17"/>
        <v/>
      </c>
      <c r="T26" s="358" t="str">
        <f t="shared" si="18"/>
        <v/>
      </c>
      <c r="U26" s="358" t="str">
        <f t="shared" si="19"/>
        <v/>
      </c>
      <c r="V26" s="358" t="str">
        <f t="shared" si="20"/>
        <v/>
      </c>
      <c r="W26" s="358" t="str">
        <f t="shared" si="21"/>
        <v/>
      </c>
      <c r="X26" s="358" t="str">
        <f t="shared" si="22"/>
        <v/>
      </c>
      <c r="Y26" s="358" t="str">
        <f t="shared" si="23"/>
        <v/>
      </c>
      <c r="Z26" s="358" t="str">
        <f t="shared" si="24"/>
        <v/>
      </c>
      <c r="AA26" s="111" t="s">
        <v>1998</v>
      </c>
      <c r="AB26" s="358" t="str">
        <f t="shared" si="25"/>
        <v>A34.+Wiper+Motor%2C+Trunk</v>
      </c>
      <c r="AC26" s="358" t="str">
        <f>VLOOKUP(B26,'3. Keep &amp; Toss Items'!$O$9:$R$749,4,FALSE)</f>
        <v>A34. Wiper Motor, Trunk</v>
      </c>
      <c r="AD26" s="358" t="str">
        <f t="shared" si="26"/>
        <v>A34. Wiper Motor, Trunk</v>
      </c>
      <c r="AE26" s="358" t="str">
        <f t="shared" si="27"/>
        <v>A34.+Wiper+Motor,+Trunk</v>
      </c>
      <c r="AF26" s="358" t="str">
        <f t="shared" si="28"/>
        <v>A34.+Wiper+Motor%2C+Trunk</v>
      </c>
      <c r="AG26" s="358" t="str">
        <f t="shared" si="29"/>
        <v>A34.+Wiper+Motor%2C+Trunk</v>
      </c>
      <c r="AH26" s="358" t="str">
        <f t="shared" si="30"/>
        <v>A34.+Wiper+Motor%2C+Trunk</v>
      </c>
      <c r="AI26" s="358" t="str">
        <f t="shared" si="31"/>
        <v>A34.+Wiper+Motor%2C+Trunk</v>
      </c>
      <c r="AJ26" s="358" t="str">
        <f t="shared" si="32"/>
        <v>A34.+Wiper+Motor%2C+Trunk</v>
      </c>
      <c r="AK26" s="358" t="str">
        <f t="shared" si="33"/>
        <v>A34.+Wiper+Motor%2C+Trunk</v>
      </c>
      <c r="AL26" s="358" t="str">
        <f t="shared" si="2"/>
        <v>A34.+Wiper+Motor%2C+Trunk</v>
      </c>
      <c r="AM26" s="358" t="str">
        <f t="shared" si="34"/>
        <v>A34.+Wiper+Motor%2C+Trunk</v>
      </c>
      <c r="AN26" s="358" t="str">
        <f t="shared" si="35"/>
        <v>A34.+Wiper+Motor%2C+Trunk</v>
      </c>
      <c r="AO26" s="359" t="s">
        <v>1999</v>
      </c>
      <c r="AP26" s="359" t="s">
        <v>2000</v>
      </c>
      <c r="AQ26" s="359" t="s">
        <v>2001</v>
      </c>
      <c r="AR26" s="359" t="s">
        <v>2002</v>
      </c>
      <c r="AS26" s="359" t="s">
        <v>2003</v>
      </c>
      <c r="AT26" s="359" t="s">
        <v>2004</v>
      </c>
      <c r="AU26" s="359" t="s">
        <v>2005</v>
      </c>
      <c r="AV26" s="359" t="s">
        <v>2006</v>
      </c>
      <c r="AW26" s="359" t="s">
        <v>2007</v>
      </c>
      <c r="AX26" s="359" t="s">
        <v>2008</v>
      </c>
      <c r="AY26" s="359" t="s">
        <v>2009</v>
      </c>
      <c r="AZ26" s="359" t="s">
        <v>2010</v>
      </c>
      <c r="BA26" s="359" t="s">
        <v>2011</v>
      </c>
      <c r="BB26" s="359" t="s">
        <v>2012</v>
      </c>
      <c r="BC26" s="359" t="s">
        <v>2013</v>
      </c>
      <c r="BD26" s="359" t="s">
        <v>2014</v>
      </c>
      <c r="BE26" s="359" t="s">
        <v>2015</v>
      </c>
      <c r="BF26" s="359" t="s">
        <v>2016</v>
      </c>
      <c r="BG26" s="359" t="s">
        <v>2017</v>
      </c>
      <c r="BH26" s="359" t="s">
        <v>2018</v>
      </c>
      <c r="BI26" s="359" t="s">
        <v>2019</v>
      </c>
      <c r="BJ26" s="359" t="s">
        <v>2020</v>
      </c>
      <c r="BK26" s="359" t="s">
        <v>2021</v>
      </c>
      <c r="BL26" s="359" t="s">
        <v>2022</v>
      </c>
      <c r="BM26" s="359" t="s">
        <v>2023</v>
      </c>
      <c r="BN26" s="359" t="s">
        <v>2024</v>
      </c>
      <c r="BO26" s="147" t="str">
        <f t="shared" si="3"/>
        <v>Pic Example</v>
      </c>
    </row>
    <row r="27" spans="2:67" x14ac:dyDescent="0.25">
      <c r="B27" t="s">
        <v>279</v>
      </c>
      <c r="C27" s="358" t="str">
        <f t="shared" si="36"/>
        <v>https://viking-pictures.s3.us-west-1.amazonaws.com/AA1155/A35.+Hood+Latches+SET+2+WITH+Cables+(1).JPG|https://viking-pictures.s3.us-west-1.amazonaws.com/AA1155/A35.+Hood+Latches+SET+2+WITH+Cables+(2).JPG|https://viking-pictures.s3.us-west-1.amazonaws.com/AA1155/A35.+Hood+Latches+SET+2+WITH+Cables+(3).JPG|https://viking-pictures.s3.us-west-1.amazonaws.com/AA1155/A35.+Hood+Latches+SET+2+WITH+Cables+(4).JPG</v>
      </c>
      <c r="D27" s="358">
        <f>VLOOKUP(B27,'3. Keep &amp; Toss Items'!$O$9:$T$749,6,FALSE)</f>
        <v>5</v>
      </c>
      <c r="E27" s="358" t="str">
        <f t="shared" si="0"/>
        <v>https://viking-pictures.s3.us-west-1.amazonaws.com/AA1155/A35.+Hood+Latches+SET+2+WITH+Cables+(1).JPG</v>
      </c>
      <c r="F27" s="358" t="str">
        <f t="shared" si="4"/>
        <v>https://viking-pictures.s3.us-west-1.amazonaws.com/AA1155/A35.+Hood+Latches+SET+2+WITH+Cables+(2).JPG</v>
      </c>
      <c r="G27" s="358" t="str">
        <f t="shared" si="5"/>
        <v>https://viking-pictures.s3.us-west-1.amazonaws.com/AA1155/A35.+Hood+Latches+SET+2+WITH+Cables+(3).JPG</v>
      </c>
      <c r="H27" s="358" t="str">
        <f t="shared" si="6"/>
        <v>https://viking-pictures.s3.us-west-1.amazonaws.com/AA1155/A35.+Hood+Latches+SET+2+WITH+Cables+(4).JPG</v>
      </c>
      <c r="I27" s="358" t="str">
        <f t="shared" si="7"/>
        <v/>
      </c>
      <c r="J27" s="358" t="str">
        <f t="shared" si="8"/>
        <v/>
      </c>
      <c r="K27" s="358" t="str">
        <f t="shared" si="9"/>
        <v/>
      </c>
      <c r="L27" s="358" t="str">
        <f t="shared" si="10"/>
        <v/>
      </c>
      <c r="M27" s="358" t="str">
        <f t="shared" si="11"/>
        <v/>
      </c>
      <c r="N27" s="358" t="str">
        <f t="shared" si="12"/>
        <v/>
      </c>
      <c r="O27" s="358" t="str">
        <f t="shared" si="13"/>
        <v/>
      </c>
      <c r="P27" s="358" t="str">
        <f t="shared" si="14"/>
        <v/>
      </c>
      <c r="Q27" s="358" t="str">
        <f t="shared" si="15"/>
        <v/>
      </c>
      <c r="R27" s="358" t="str">
        <f t="shared" si="16"/>
        <v/>
      </c>
      <c r="S27" s="358" t="str">
        <f t="shared" si="17"/>
        <v/>
      </c>
      <c r="T27" s="358" t="str">
        <f t="shared" si="18"/>
        <v/>
      </c>
      <c r="U27" s="358" t="str">
        <f t="shared" si="19"/>
        <v/>
      </c>
      <c r="V27" s="358" t="str">
        <f t="shared" si="20"/>
        <v/>
      </c>
      <c r="W27" s="358" t="str">
        <f t="shared" si="21"/>
        <v/>
      </c>
      <c r="X27" s="358" t="str">
        <f t="shared" si="22"/>
        <v/>
      </c>
      <c r="Y27" s="358" t="str">
        <f t="shared" si="23"/>
        <v/>
      </c>
      <c r="Z27" s="358" t="str">
        <f t="shared" si="24"/>
        <v/>
      </c>
      <c r="AA27" s="111" t="s">
        <v>1998</v>
      </c>
      <c r="AB27" s="358" t="str">
        <f t="shared" si="25"/>
        <v>A35.+Hood+Latches+SET+2+WITH+Cables</v>
      </c>
      <c r="AC27" s="358" t="str">
        <f>VLOOKUP(B27,'3. Keep &amp; Toss Items'!$O$9:$R$749,4,FALSE)</f>
        <v>A35. Hood Latches SET 2 WITH Cables</v>
      </c>
      <c r="AD27" s="358" t="str">
        <f t="shared" si="26"/>
        <v>A35. Hood Latches SET 2 WITH Cables</v>
      </c>
      <c r="AE27" s="358" t="str">
        <f t="shared" si="27"/>
        <v>A35.+Hood+Latches+SET+2+WITH+Cables</v>
      </c>
      <c r="AF27" s="358" t="str">
        <f t="shared" si="28"/>
        <v>A35.+Hood+Latches+SET+2+WITH+Cables</v>
      </c>
      <c r="AG27" s="358" t="str">
        <f t="shared" si="29"/>
        <v>A35.+Hood+Latches+SET+2+WITH+Cables</v>
      </c>
      <c r="AH27" s="358" t="str">
        <f t="shared" si="30"/>
        <v>A35.+Hood+Latches+SET+2+WITH+Cables</v>
      </c>
      <c r="AI27" s="358" t="str">
        <f t="shared" si="31"/>
        <v>A35.+Hood+Latches+SET+2+WITH+Cables</v>
      </c>
      <c r="AJ27" s="358" t="str">
        <f t="shared" si="32"/>
        <v>A35.+Hood+Latches+SET+2+WITH+Cables</v>
      </c>
      <c r="AK27" s="358" t="str">
        <f t="shared" si="33"/>
        <v>A35.+Hood+Latches+SET+2+WITH+Cables</v>
      </c>
      <c r="AL27" s="358" t="str">
        <f t="shared" si="2"/>
        <v>A35.+Hood+Latches+SET+2+WITH+Cables</v>
      </c>
      <c r="AM27" s="358" t="str">
        <f t="shared" si="34"/>
        <v>A35.+Hood+Latches+SET+2+WITH+Cables</v>
      </c>
      <c r="AN27" s="358" t="str">
        <f t="shared" si="35"/>
        <v>A35.+Hood+Latches+SET+2+WITH+Cables</v>
      </c>
      <c r="AO27" s="359" t="s">
        <v>1999</v>
      </c>
      <c r="AP27" s="359" t="s">
        <v>2000</v>
      </c>
      <c r="AQ27" s="359" t="s">
        <v>2001</v>
      </c>
      <c r="AR27" s="359" t="s">
        <v>2002</v>
      </c>
      <c r="AS27" s="359" t="s">
        <v>2003</v>
      </c>
      <c r="AT27" s="359" t="s">
        <v>2004</v>
      </c>
      <c r="AU27" s="359" t="s">
        <v>2005</v>
      </c>
      <c r="AV27" s="359" t="s">
        <v>2006</v>
      </c>
      <c r="AW27" s="359" t="s">
        <v>2007</v>
      </c>
      <c r="AX27" s="359" t="s">
        <v>2008</v>
      </c>
      <c r="AY27" s="359" t="s">
        <v>2009</v>
      </c>
      <c r="AZ27" s="359" t="s">
        <v>2010</v>
      </c>
      <c r="BA27" s="359" t="s">
        <v>2011</v>
      </c>
      <c r="BB27" s="359" t="s">
        <v>2012</v>
      </c>
      <c r="BC27" s="359" t="s">
        <v>2013</v>
      </c>
      <c r="BD27" s="359" t="s">
        <v>2014</v>
      </c>
      <c r="BE27" s="359" t="s">
        <v>2015</v>
      </c>
      <c r="BF27" s="359" t="s">
        <v>2016</v>
      </c>
      <c r="BG27" s="359" t="s">
        <v>2017</v>
      </c>
      <c r="BH27" s="359" t="s">
        <v>2018</v>
      </c>
      <c r="BI27" s="359" t="s">
        <v>2019</v>
      </c>
      <c r="BJ27" s="359" t="s">
        <v>2020</v>
      </c>
      <c r="BK27" s="359" t="s">
        <v>2021</v>
      </c>
      <c r="BL27" s="359" t="s">
        <v>2022</v>
      </c>
      <c r="BM27" s="359" t="s">
        <v>2023</v>
      </c>
      <c r="BN27" s="359" t="s">
        <v>2024</v>
      </c>
      <c r="BO27" s="147" t="str">
        <f t="shared" si="3"/>
        <v>Pic Example</v>
      </c>
    </row>
    <row r="28" spans="2:67" x14ac:dyDescent="0.25">
      <c r="B28" t="s">
        <v>280</v>
      </c>
      <c r="C28" s="358" t="str">
        <f t="shared" si="36"/>
        <v>https://viking-pictures.s3.us-west-1.amazonaws.com/AA1155/A36.+Center+Console+Cell+Phone+Cradle+(1).JPG|https://viking-pictures.s3.us-west-1.amazonaws.com/AA1155/A36.+Center+Console+Cell+Phone+Cradle+(2).JPG|https://viking-pictures.s3.us-west-1.amazonaws.com/AA1155/A36.+Center+Console+Cell+Phone+Cradle+(3).JPG|https://viking-pictures.s3.us-west-1.amazonaws.com/AA1155/A36.+Center+Console+Cell+Phone+Cradle+(4).JPG</v>
      </c>
      <c r="D28" s="358">
        <f>VLOOKUP(B28,'3. Keep &amp; Toss Items'!$O$9:$T$749,6,FALSE)</f>
        <v>4</v>
      </c>
      <c r="E28" s="358" t="str">
        <f t="shared" si="0"/>
        <v>https://viking-pictures.s3.us-west-1.amazonaws.com/AA1155/A36.+Center+Console+Cell+Phone+Cradle+(1).JPG</v>
      </c>
      <c r="F28" s="358" t="str">
        <f t="shared" si="4"/>
        <v>https://viking-pictures.s3.us-west-1.amazonaws.com/AA1155/A36.+Center+Console+Cell+Phone+Cradle+(2).JPG</v>
      </c>
      <c r="G28" s="358" t="str">
        <f t="shared" si="5"/>
        <v>https://viking-pictures.s3.us-west-1.amazonaws.com/AA1155/A36.+Center+Console+Cell+Phone+Cradle+(3).JPG</v>
      </c>
      <c r="H28" s="358" t="str">
        <f t="shared" si="6"/>
        <v>https://viking-pictures.s3.us-west-1.amazonaws.com/AA1155/A36.+Center+Console+Cell+Phone+Cradle+(4).JPG</v>
      </c>
      <c r="I28" s="358" t="str">
        <f t="shared" si="7"/>
        <v/>
      </c>
      <c r="J28" s="358" t="str">
        <f t="shared" si="8"/>
        <v/>
      </c>
      <c r="K28" s="358" t="str">
        <f t="shared" si="9"/>
        <v/>
      </c>
      <c r="L28" s="358" t="str">
        <f t="shared" si="10"/>
        <v/>
      </c>
      <c r="M28" s="358" t="str">
        <f t="shared" si="11"/>
        <v/>
      </c>
      <c r="N28" s="358" t="str">
        <f t="shared" si="12"/>
        <v/>
      </c>
      <c r="O28" s="358" t="str">
        <f t="shared" si="13"/>
        <v/>
      </c>
      <c r="P28" s="358" t="str">
        <f t="shared" si="14"/>
        <v/>
      </c>
      <c r="Q28" s="358" t="str">
        <f t="shared" si="15"/>
        <v/>
      </c>
      <c r="R28" s="358" t="str">
        <f t="shared" si="16"/>
        <v/>
      </c>
      <c r="S28" s="358" t="str">
        <f t="shared" si="17"/>
        <v/>
      </c>
      <c r="T28" s="358" t="str">
        <f t="shared" si="18"/>
        <v/>
      </c>
      <c r="U28" s="358" t="str">
        <f t="shared" si="19"/>
        <v/>
      </c>
      <c r="V28" s="358" t="str">
        <f t="shared" si="20"/>
        <v/>
      </c>
      <c r="W28" s="358" t="str">
        <f t="shared" si="21"/>
        <v/>
      </c>
      <c r="X28" s="358" t="str">
        <f t="shared" si="22"/>
        <v/>
      </c>
      <c r="Y28" s="358" t="str">
        <f t="shared" si="23"/>
        <v/>
      </c>
      <c r="Z28" s="358" t="str">
        <f t="shared" si="24"/>
        <v/>
      </c>
      <c r="AA28" s="111" t="s">
        <v>1998</v>
      </c>
      <c r="AB28" s="358" t="str">
        <f t="shared" si="25"/>
        <v>A36.+Center+Console+Cell+Phone+Cradle</v>
      </c>
      <c r="AC28" s="358" t="str">
        <f>VLOOKUP(B28,'3. Keep &amp; Toss Items'!$O$9:$R$749,4,FALSE)</f>
        <v>A36. Center Console Cell Phone Cradle</v>
      </c>
      <c r="AD28" s="358" t="str">
        <f t="shared" si="26"/>
        <v>A36. Center Console Cell Phone Cradle</v>
      </c>
      <c r="AE28" s="358" t="str">
        <f t="shared" si="27"/>
        <v>A36.+Center+Console+Cell+Phone+Cradle</v>
      </c>
      <c r="AF28" s="358" t="str">
        <f t="shared" si="28"/>
        <v>A36.+Center+Console+Cell+Phone+Cradle</v>
      </c>
      <c r="AG28" s="358" t="str">
        <f t="shared" si="29"/>
        <v>A36.+Center+Console+Cell+Phone+Cradle</v>
      </c>
      <c r="AH28" s="358" t="str">
        <f t="shared" si="30"/>
        <v>A36.+Center+Console+Cell+Phone+Cradle</v>
      </c>
      <c r="AI28" s="358" t="str">
        <f t="shared" si="31"/>
        <v>A36.+Center+Console+Cell+Phone+Cradle</v>
      </c>
      <c r="AJ28" s="358" t="str">
        <f t="shared" si="32"/>
        <v>A36.+Center+Console+Cell+Phone+Cradle</v>
      </c>
      <c r="AK28" s="358" t="str">
        <f t="shared" si="33"/>
        <v>A36.+Center+Console+Cell+Phone+Cradle</v>
      </c>
      <c r="AL28" s="358" t="str">
        <f t="shared" si="2"/>
        <v>A36.+Center+Console+Cell+Phone+Cradle</v>
      </c>
      <c r="AM28" s="358" t="str">
        <f t="shared" si="34"/>
        <v>A36.+Center+Console+Cell+Phone+Cradle</v>
      </c>
      <c r="AN28" s="358" t="str">
        <f t="shared" si="35"/>
        <v>A36.+Center+Console+Cell+Phone+Cradle</v>
      </c>
      <c r="AO28" s="359" t="s">
        <v>1999</v>
      </c>
      <c r="AP28" s="359" t="s">
        <v>2000</v>
      </c>
      <c r="AQ28" s="359" t="s">
        <v>2001</v>
      </c>
      <c r="AR28" s="359" t="s">
        <v>2002</v>
      </c>
      <c r="AS28" s="359" t="s">
        <v>2003</v>
      </c>
      <c r="AT28" s="359" t="s">
        <v>2004</v>
      </c>
      <c r="AU28" s="359" t="s">
        <v>2005</v>
      </c>
      <c r="AV28" s="359" t="s">
        <v>2006</v>
      </c>
      <c r="AW28" s="359" t="s">
        <v>2007</v>
      </c>
      <c r="AX28" s="359" t="s">
        <v>2008</v>
      </c>
      <c r="AY28" s="359" t="s">
        <v>2009</v>
      </c>
      <c r="AZ28" s="359" t="s">
        <v>2010</v>
      </c>
      <c r="BA28" s="359" t="s">
        <v>2011</v>
      </c>
      <c r="BB28" s="359" t="s">
        <v>2012</v>
      </c>
      <c r="BC28" s="359" t="s">
        <v>2013</v>
      </c>
      <c r="BD28" s="359" t="s">
        <v>2014</v>
      </c>
      <c r="BE28" s="359" t="s">
        <v>2015</v>
      </c>
      <c r="BF28" s="359" t="s">
        <v>2016</v>
      </c>
      <c r="BG28" s="359" t="s">
        <v>2017</v>
      </c>
      <c r="BH28" s="359" t="s">
        <v>2018</v>
      </c>
      <c r="BI28" s="359" t="s">
        <v>2019</v>
      </c>
      <c r="BJ28" s="359" t="s">
        <v>2020</v>
      </c>
      <c r="BK28" s="359" t="s">
        <v>2021</v>
      </c>
      <c r="BL28" s="359" t="s">
        <v>2022</v>
      </c>
      <c r="BM28" s="359" t="s">
        <v>2023</v>
      </c>
      <c r="BN28" s="359" t="s">
        <v>2024</v>
      </c>
      <c r="BO28" s="147" t="str">
        <f t="shared" si="3"/>
        <v>Pic Example</v>
      </c>
    </row>
    <row r="29" spans="2:67" x14ac:dyDescent="0.25">
      <c r="B29" t="s">
        <v>281</v>
      </c>
      <c r="C29" s="358" t="str">
        <f t="shared" si="36"/>
        <v>https://viking-pictures.s3.us-west-1.amazonaws.com/AA1155/A37.+Sunroof%2C+Motor+(1).JPG|https://viking-pictures.s3.us-west-1.amazonaws.com/AA1155/A37.+Sunroof%2C+Motor+(2).JPG|https://viking-pictures.s3.us-west-1.amazonaws.com/AA1155/A37.+Sunroof%2C+Motor+(3).JPG|https://viking-pictures.s3.us-west-1.amazonaws.com/AA1155/A37.+Sunroof%2C+Motor+(4).JPG</v>
      </c>
      <c r="D29" s="358">
        <f>VLOOKUP(B29,'3. Keep &amp; Toss Items'!$O$9:$T$749,6,FALSE)</f>
        <v>4</v>
      </c>
      <c r="E29" s="358" t="str">
        <f t="shared" si="0"/>
        <v>https://viking-pictures.s3.us-west-1.amazonaws.com/AA1155/A37.+Sunroof%2C+Motor+(1).JPG</v>
      </c>
      <c r="F29" s="358" t="str">
        <f t="shared" si="4"/>
        <v>https://viking-pictures.s3.us-west-1.amazonaws.com/AA1155/A37.+Sunroof%2C+Motor+(2).JPG</v>
      </c>
      <c r="G29" s="358" t="str">
        <f t="shared" si="5"/>
        <v>https://viking-pictures.s3.us-west-1.amazonaws.com/AA1155/A37.+Sunroof%2C+Motor+(3).JPG</v>
      </c>
      <c r="H29" s="358" t="str">
        <f t="shared" si="6"/>
        <v>https://viking-pictures.s3.us-west-1.amazonaws.com/AA1155/A37.+Sunroof%2C+Motor+(4).JPG</v>
      </c>
      <c r="I29" s="358" t="str">
        <f t="shared" si="7"/>
        <v/>
      </c>
      <c r="J29" s="358" t="str">
        <f t="shared" si="8"/>
        <v/>
      </c>
      <c r="K29" s="358" t="str">
        <f t="shared" si="9"/>
        <v/>
      </c>
      <c r="L29" s="358" t="str">
        <f t="shared" si="10"/>
        <v/>
      </c>
      <c r="M29" s="358" t="str">
        <f t="shared" si="11"/>
        <v/>
      </c>
      <c r="N29" s="358" t="str">
        <f t="shared" si="12"/>
        <v/>
      </c>
      <c r="O29" s="358" t="str">
        <f t="shared" si="13"/>
        <v/>
      </c>
      <c r="P29" s="358" t="str">
        <f t="shared" si="14"/>
        <v/>
      </c>
      <c r="Q29" s="358" t="str">
        <f t="shared" si="15"/>
        <v/>
      </c>
      <c r="R29" s="358" t="str">
        <f t="shared" si="16"/>
        <v/>
      </c>
      <c r="S29" s="358" t="str">
        <f t="shared" si="17"/>
        <v/>
      </c>
      <c r="T29" s="358" t="str">
        <f t="shared" si="18"/>
        <v/>
      </c>
      <c r="U29" s="358" t="str">
        <f t="shared" si="19"/>
        <v/>
      </c>
      <c r="V29" s="358" t="str">
        <f t="shared" si="20"/>
        <v/>
      </c>
      <c r="W29" s="358" t="str">
        <f t="shared" si="21"/>
        <v/>
      </c>
      <c r="X29" s="358" t="str">
        <f t="shared" si="22"/>
        <v/>
      </c>
      <c r="Y29" s="358" t="str">
        <f t="shared" si="23"/>
        <v/>
      </c>
      <c r="Z29" s="358" t="str">
        <f t="shared" si="24"/>
        <v/>
      </c>
      <c r="AA29" s="111" t="s">
        <v>1998</v>
      </c>
      <c r="AB29" s="358" t="str">
        <f t="shared" si="25"/>
        <v>A37.+Sunroof%2C+Motor</v>
      </c>
      <c r="AC29" s="358" t="str">
        <f>VLOOKUP(B29,'3. Keep &amp; Toss Items'!$O$9:$R$749,4,FALSE)</f>
        <v>A37. Sunroof, Motor</v>
      </c>
      <c r="AD29" s="358" t="str">
        <f t="shared" si="26"/>
        <v>A37. Sunroof, Motor</v>
      </c>
      <c r="AE29" s="358" t="str">
        <f t="shared" si="27"/>
        <v>A37.+Sunroof,+Motor</v>
      </c>
      <c r="AF29" s="358" t="str">
        <f t="shared" si="28"/>
        <v>A37.+Sunroof%2C+Motor</v>
      </c>
      <c r="AG29" s="358" t="str">
        <f t="shared" si="29"/>
        <v>A37.+Sunroof%2C+Motor</v>
      </c>
      <c r="AH29" s="358" t="str">
        <f t="shared" si="30"/>
        <v>A37.+Sunroof%2C+Motor</v>
      </c>
      <c r="AI29" s="358" t="str">
        <f t="shared" si="31"/>
        <v>A37.+Sunroof%2C+Motor</v>
      </c>
      <c r="AJ29" s="358" t="str">
        <f t="shared" si="32"/>
        <v>A37.+Sunroof%2C+Motor</v>
      </c>
      <c r="AK29" s="358" t="str">
        <f t="shared" si="33"/>
        <v>A37.+Sunroof%2C+Motor</v>
      </c>
      <c r="AL29" s="358" t="str">
        <f t="shared" si="2"/>
        <v>A37.+Sunroof%2C+Motor</v>
      </c>
      <c r="AM29" s="358" t="str">
        <f t="shared" si="34"/>
        <v>A37.+Sunroof%2C+Motor</v>
      </c>
      <c r="AN29" s="358" t="str">
        <f t="shared" si="35"/>
        <v>A37.+Sunroof%2C+Motor</v>
      </c>
      <c r="AO29" s="359" t="s">
        <v>1999</v>
      </c>
      <c r="AP29" s="359" t="s">
        <v>2000</v>
      </c>
      <c r="AQ29" s="359" t="s">
        <v>2001</v>
      </c>
      <c r="AR29" s="359" t="s">
        <v>2002</v>
      </c>
      <c r="AS29" s="359" t="s">
        <v>2003</v>
      </c>
      <c r="AT29" s="359" t="s">
        <v>2004</v>
      </c>
      <c r="AU29" s="359" t="s">
        <v>2005</v>
      </c>
      <c r="AV29" s="359" t="s">
        <v>2006</v>
      </c>
      <c r="AW29" s="359" t="s">
        <v>2007</v>
      </c>
      <c r="AX29" s="359" t="s">
        <v>2008</v>
      </c>
      <c r="AY29" s="359" t="s">
        <v>2009</v>
      </c>
      <c r="AZ29" s="359" t="s">
        <v>2010</v>
      </c>
      <c r="BA29" s="359" t="s">
        <v>2011</v>
      </c>
      <c r="BB29" s="359" t="s">
        <v>2012</v>
      </c>
      <c r="BC29" s="359" t="s">
        <v>2013</v>
      </c>
      <c r="BD29" s="359" t="s">
        <v>2014</v>
      </c>
      <c r="BE29" s="359" t="s">
        <v>2015</v>
      </c>
      <c r="BF29" s="359" t="s">
        <v>2016</v>
      </c>
      <c r="BG29" s="359" t="s">
        <v>2017</v>
      </c>
      <c r="BH29" s="359" t="s">
        <v>2018</v>
      </c>
      <c r="BI29" s="359" t="s">
        <v>2019</v>
      </c>
      <c r="BJ29" s="359" t="s">
        <v>2020</v>
      </c>
      <c r="BK29" s="359" t="s">
        <v>2021</v>
      </c>
      <c r="BL29" s="359" t="s">
        <v>2022</v>
      </c>
      <c r="BM29" s="359" t="s">
        <v>2023</v>
      </c>
      <c r="BN29" s="359" t="s">
        <v>2024</v>
      </c>
      <c r="BO29" s="147" t="str">
        <f t="shared" si="3"/>
        <v>Pic Example</v>
      </c>
    </row>
    <row r="30" spans="2:67" x14ac:dyDescent="0.25">
      <c r="B30" t="s">
        <v>282</v>
      </c>
      <c r="C30" s="358" t="str">
        <f t="shared" si="36"/>
        <v>https://viking-pictures.s3.us-west-1.amazonaws.com/AA1155/A38.+Sunroof%2C+Motor+(1).JPG|https://viking-pictures.s3.us-west-1.amazonaws.com/AA1155/A38.+Sunroof%2C+Motor+(2).JPG|https://viking-pictures.s3.us-west-1.amazonaws.com/AA1155/A38.+Sunroof%2C+Motor+(3).JPG|https://viking-pictures.s3.us-west-1.amazonaws.com/AA1155/A38.+Sunroof%2C+Motor+(4).JPG</v>
      </c>
      <c r="D30" s="358">
        <f>VLOOKUP(B30,'3. Keep &amp; Toss Items'!$O$9:$T$749,6,FALSE)</f>
        <v>4</v>
      </c>
      <c r="E30" s="358" t="str">
        <f t="shared" si="0"/>
        <v>https://viking-pictures.s3.us-west-1.amazonaws.com/AA1155/A38.+Sunroof%2C+Motor+(1).JPG</v>
      </c>
      <c r="F30" s="358" t="str">
        <f t="shared" si="4"/>
        <v>https://viking-pictures.s3.us-west-1.amazonaws.com/AA1155/A38.+Sunroof%2C+Motor+(2).JPG</v>
      </c>
      <c r="G30" s="358" t="str">
        <f t="shared" si="5"/>
        <v>https://viking-pictures.s3.us-west-1.amazonaws.com/AA1155/A38.+Sunroof%2C+Motor+(3).JPG</v>
      </c>
      <c r="H30" s="358" t="str">
        <f t="shared" si="6"/>
        <v>https://viking-pictures.s3.us-west-1.amazonaws.com/AA1155/A38.+Sunroof%2C+Motor+(4).JPG</v>
      </c>
      <c r="I30" s="358" t="str">
        <f t="shared" si="7"/>
        <v/>
      </c>
      <c r="J30" s="358" t="str">
        <f t="shared" si="8"/>
        <v/>
      </c>
      <c r="K30" s="358" t="str">
        <f t="shared" si="9"/>
        <v/>
      </c>
      <c r="L30" s="358" t="str">
        <f t="shared" si="10"/>
        <v/>
      </c>
      <c r="M30" s="358" t="str">
        <f t="shared" si="11"/>
        <v/>
      </c>
      <c r="N30" s="358" t="str">
        <f t="shared" si="12"/>
        <v/>
      </c>
      <c r="O30" s="358" t="str">
        <f t="shared" si="13"/>
        <v/>
      </c>
      <c r="P30" s="358" t="str">
        <f t="shared" si="14"/>
        <v/>
      </c>
      <c r="Q30" s="358" t="str">
        <f t="shared" si="15"/>
        <v/>
      </c>
      <c r="R30" s="358" t="str">
        <f t="shared" si="16"/>
        <v/>
      </c>
      <c r="S30" s="358" t="str">
        <f t="shared" si="17"/>
        <v/>
      </c>
      <c r="T30" s="358" t="str">
        <f t="shared" si="18"/>
        <v/>
      </c>
      <c r="U30" s="358" t="str">
        <f t="shared" si="19"/>
        <v/>
      </c>
      <c r="V30" s="358" t="str">
        <f t="shared" si="20"/>
        <v/>
      </c>
      <c r="W30" s="358" t="str">
        <f t="shared" si="21"/>
        <v/>
      </c>
      <c r="X30" s="358" t="str">
        <f t="shared" si="22"/>
        <v/>
      </c>
      <c r="Y30" s="358" t="str">
        <f t="shared" si="23"/>
        <v/>
      </c>
      <c r="Z30" s="358" t="str">
        <f t="shared" si="24"/>
        <v/>
      </c>
      <c r="AA30" s="111" t="s">
        <v>1998</v>
      </c>
      <c r="AB30" s="358" t="str">
        <f t="shared" si="25"/>
        <v>A38.+Sunroof%2C+Motor</v>
      </c>
      <c r="AC30" s="358" t="str">
        <f>VLOOKUP(B30,'3. Keep &amp; Toss Items'!$O$9:$R$749,4,FALSE)</f>
        <v>A38. Sunroof, Motor</v>
      </c>
      <c r="AD30" s="358" t="str">
        <f t="shared" si="26"/>
        <v>A38. Sunroof, Motor</v>
      </c>
      <c r="AE30" s="358" t="str">
        <f t="shared" si="27"/>
        <v>A38.+Sunroof,+Motor</v>
      </c>
      <c r="AF30" s="358" t="str">
        <f t="shared" si="28"/>
        <v>A38.+Sunroof%2C+Motor</v>
      </c>
      <c r="AG30" s="358" t="str">
        <f t="shared" si="29"/>
        <v>A38.+Sunroof%2C+Motor</v>
      </c>
      <c r="AH30" s="358" t="str">
        <f t="shared" si="30"/>
        <v>A38.+Sunroof%2C+Motor</v>
      </c>
      <c r="AI30" s="358" t="str">
        <f t="shared" si="31"/>
        <v>A38.+Sunroof%2C+Motor</v>
      </c>
      <c r="AJ30" s="358" t="str">
        <f t="shared" si="32"/>
        <v>A38.+Sunroof%2C+Motor</v>
      </c>
      <c r="AK30" s="358" t="str">
        <f t="shared" si="33"/>
        <v>A38.+Sunroof%2C+Motor</v>
      </c>
      <c r="AL30" s="358" t="str">
        <f t="shared" si="2"/>
        <v>A38.+Sunroof%2C+Motor</v>
      </c>
      <c r="AM30" s="358" t="str">
        <f t="shared" si="34"/>
        <v>A38.+Sunroof%2C+Motor</v>
      </c>
      <c r="AN30" s="358" t="str">
        <f t="shared" si="35"/>
        <v>A38.+Sunroof%2C+Motor</v>
      </c>
      <c r="AO30" s="359" t="s">
        <v>1999</v>
      </c>
      <c r="AP30" s="359" t="s">
        <v>2000</v>
      </c>
      <c r="AQ30" s="359" t="s">
        <v>2001</v>
      </c>
      <c r="AR30" s="359" t="s">
        <v>2002</v>
      </c>
      <c r="AS30" s="359" t="s">
        <v>2003</v>
      </c>
      <c r="AT30" s="359" t="s">
        <v>2004</v>
      </c>
      <c r="AU30" s="359" t="s">
        <v>2005</v>
      </c>
      <c r="AV30" s="359" t="s">
        <v>2006</v>
      </c>
      <c r="AW30" s="359" t="s">
        <v>2007</v>
      </c>
      <c r="AX30" s="359" t="s">
        <v>2008</v>
      </c>
      <c r="AY30" s="359" t="s">
        <v>2009</v>
      </c>
      <c r="AZ30" s="359" t="s">
        <v>2010</v>
      </c>
      <c r="BA30" s="359" t="s">
        <v>2011</v>
      </c>
      <c r="BB30" s="359" t="s">
        <v>2012</v>
      </c>
      <c r="BC30" s="359" t="s">
        <v>2013</v>
      </c>
      <c r="BD30" s="359" t="s">
        <v>2014</v>
      </c>
      <c r="BE30" s="359" t="s">
        <v>2015</v>
      </c>
      <c r="BF30" s="359" t="s">
        <v>2016</v>
      </c>
      <c r="BG30" s="359" t="s">
        <v>2017</v>
      </c>
      <c r="BH30" s="359" t="s">
        <v>2018</v>
      </c>
      <c r="BI30" s="359" t="s">
        <v>2019</v>
      </c>
      <c r="BJ30" s="359" t="s">
        <v>2020</v>
      </c>
      <c r="BK30" s="359" t="s">
        <v>2021</v>
      </c>
      <c r="BL30" s="359" t="s">
        <v>2022</v>
      </c>
      <c r="BM30" s="359" t="s">
        <v>2023</v>
      </c>
      <c r="BN30" s="359" t="s">
        <v>2024</v>
      </c>
      <c r="BO30" s="147" t="str">
        <f t="shared" si="3"/>
        <v>Pic Example</v>
      </c>
    </row>
    <row r="31" spans="2:67" x14ac:dyDescent="0.25">
      <c r="B31" t="s">
        <v>283</v>
      </c>
      <c r="C31" s="358" t="str">
        <f t="shared" si="36"/>
        <v>https://viking-pictures.s3.us-west-1.amazonaws.com/AA1155/A39.+Trunk+Latch+WITH+Soft+Close+Actuator+Motor+%26+Cables+(1).JPG|https://viking-pictures.s3.us-west-1.amazonaws.com/AA1155/A39.+Trunk+Latch+WITH+Soft+Close+Actuator+Motor+%26+Cables+(2).JPG|https://viking-pictures.s3.us-west-1.amazonaws.com/AA1155/A39.+Trunk+Latch+WITH+Soft+Close+Actuator+Motor+%26+Cables+(3).JPG|https://viking-pictures.s3.us-west-1.amazonaws.com/AA1155/A39.+Trunk+Latch+WITH+Soft+Close+Actuator+Motor+%26+Cables+(4).JPG|https://viking-pictures.s3.us-west-1.amazonaws.com/AA1155/A39.+Trunk+Latch+WITH+Soft+Close+Actuator+Motor+%26+Cables+(6).JPG</v>
      </c>
      <c r="D31" s="358">
        <f>VLOOKUP(B31,'3. Keep &amp; Toss Items'!$O$9:$T$749,6,FALSE)</f>
        <v>7</v>
      </c>
      <c r="E31" s="358" t="str">
        <f t="shared" si="0"/>
        <v>https://viking-pictures.s3.us-west-1.amazonaws.com/AA1155/A39.+Trunk+Latch+WITH+Soft+Close+Actuator+Motor+%26+Cables+(1).JPG</v>
      </c>
      <c r="F31" s="358" t="str">
        <f t="shared" si="4"/>
        <v>https://viking-pictures.s3.us-west-1.amazonaws.com/AA1155/A39.+Trunk+Latch+WITH+Soft+Close+Actuator+Motor+%26+Cables+(2).JPG</v>
      </c>
      <c r="G31" s="358" t="str">
        <f t="shared" si="5"/>
        <v>https://viking-pictures.s3.us-west-1.amazonaws.com/AA1155/A39.+Trunk+Latch+WITH+Soft+Close+Actuator+Motor+%26+Cables+(3).JPG</v>
      </c>
      <c r="H31" s="358" t="str">
        <f t="shared" si="6"/>
        <v>https://viking-pictures.s3.us-west-1.amazonaws.com/AA1155/A39.+Trunk+Latch+WITH+Soft+Close+Actuator+Motor+%26+Cables+(4).JPG</v>
      </c>
      <c r="I31" s="358" t="str">
        <f t="shared" si="7"/>
        <v>https://viking-pictures.s3.us-west-1.amazonaws.com/AA1155/A39.+Trunk+Latch+WITH+Soft+Close+Actuator+Motor+%26+Cables+(6).JPG</v>
      </c>
      <c r="J31" s="358" t="str">
        <f t="shared" si="8"/>
        <v/>
      </c>
      <c r="K31" s="358" t="str">
        <f t="shared" si="9"/>
        <v/>
      </c>
      <c r="L31" s="358" t="str">
        <f t="shared" si="10"/>
        <v/>
      </c>
      <c r="M31" s="358" t="str">
        <f t="shared" si="11"/>
        <v/>
      </c>
      <c r="N31" s="358" t="str">
        <f t="shared" si="12"/>
        <v/>
      </c>
      <c r="O31" s="358" t="str">
        <f t="shared" si="13"/>
        <v/>
      </c>
      <c r="P31" s="358" t="str">
        <f t="shared" si="14"/>
        <v/>
      </c>
      <c r="Q31" s="358" t="str">
        <f t="shared" si="15"/>
        <v/>
      </c>
      <c r="R31" s="358" t="str">
        <f t="shared" si="16"/>
        <v/>
      </c>
      <c r="S31" s="358" t="str">
        <f t="shared" si="17"/>
        <v/>
      </c>
      <c r="T31" s="358" t="str">
        <f t="shared" si="18"/>
        <v/>
      </c>
      <c r="U31" s="358" t="str">
        <f t="shared" si="19"/>
        <v/>
      </c>
      <c r="V31" s="358" t="str">
        <f t="shared" si="20"/>
        <v/>
      </c>
      <c r="W31" s="358" t="str">
        <f t="shared" si="21"/>
        <v/>
      </c>
      <c r="X31" s="358" t="str">
        <f t="shared" si="22"/>
        <v/>
      </c>
      <c r="Y31" s="358" t="str">
        <f t="shared" si="23"/>
        <v/>
      </c>
      <c r="Z31" s="358" t="str">
        <f t="shared" si="24"/>
        <v/>
      </c>
      <c r="AA31" s="111" t="s">
        <v>1998</v>
      </c>
      <c r="AB31" s="358" t="str">
        <f t="shared" si="25"/>
        <v>A39.+Trunk+Latch+WITH+Soft+Close+Actuator+Motor+%26+Cables</v>
      </c>
      <c r="AC31" s="358" t="str">
        <f>VLOOKUP(B31,'3. Keep &amp; Toss Items'!$O$9:$R$749,4,FALSE)</f>
        <v>A39. Trunk Latch WITH Soft Close Actuator Motor &amp; Cables</v>
      </c>
      <c r="AD31" s="358" t="str">
        <f t="shared" si="26"/>
        <v>A39. Trunk Latch WITH Soft Close Actuator Motor &amp; Cables</v>
      </c>
      <c r="AE31" s="358" t="str">
        <f t="shared" si="27"/>
        <v>A39.+Trunk+Latch+WITH+Soft+Close+Actuator+Motor+&amp;+Cables</v>
      </c>
      <c r="AF31" s="358" t="str">
        <f t="shared" si="28"/>
        <v>A39.+Trunk+Latch+WITH+Soft+Close+Actuator+Motor+&amp;+Cables</v>
      </c>
      <c r="AG31" s="358" t="str">
        <f t="shared" si="29"/>
        <v>A39.+Trunk+Latch+WITH+Soft+Close+Actuator+Motor+&amp;+Cables</v>
      </c>
      <c r="AH31" s="358" t="str">
        <f t="shared" si="30"/>
        <v>A39.+Trunk+Latch+WITH+Soft+Close+Actuator+Motor+&amp;+Cables</v>
      </c>
      <c r="AI31" s="358" t="str">
        <f t="shared" si="31"/>
        <v>A39.+Trunk+Latch+WITH+Soft+Close+Actuator+Motor+&amp;+Cables</v>
      </c>
      <c r="AJ31" s="358" t="str">
        <f t="shared" si="32"/>
        <v>A39.+Trunk+Latch+WITH+Soft+Close+Actuator+Motor+%26+Cables</v>
      </c>
      <c r="AK31" s="358" t="str">
        <f t="shared" si="33"/>
        <v>A39.+Trunk+Latch+WITH+Soft+Close+Actuator+Motor+%26+Cables</v>
      </c>
      <c r="AL31" s="358" t="str">
        <f t="shared" si="2"/>
        <v>A39.+Trunk+Latch+WITH+Soft+Close+Actuator+Motor+%26+Cables</v>
      </c>
      <c r="AM31" s="358" t="str">
        <f t="shared" si="34"/>
        <v>A39.+Trunk+Latch+WITH+Soft+Close+Actuator+Motor+%26+Cables</v>
      </c>
      <c r="AN31" s="358" t="str">
        <f t="shared" si="35"/>
        <v>A39.+Trunk+Latch+WITH+Soft+Close+Actuator+Motor+%26+Cables</v>
      </c>
      <c r="AO31" s="359" t="s">
        <v>1999</v>
      </c>
      <c r="AP31" s="359" t="s">
        <v>2000</v>
      </c>
      <c r="AQ31" s="359" t="s">
        <v>2001</v>
      </c>
      <c r="AR31" s="359" t="s">
        <v>2002</v>
      </c>
      <c r="AS31" s="359" t="s">
        <v>2003</v>
      </c>
      <c r="AT31" s="359" t="s">
        <v>2004</v>
      </c>
      <c r="AU31" s="359" t="s">
        <v>2005</v>
      </c>
      <c r="AV31" s="359" t="s">
        <v>2006</v>
      </c>
      <c r="AW31" s="359" t="s">
        <v>2007</v>
      </c>
      <c r="AX31" s="359" t="s">
        <v>2008</v>
      </c>
      <c r="AY31" s="359" t="s">
        <v>2009</v>
      </c>
      <c r="AZ31" s="359" t="s">
        <v>2010</v>
      </c>
      <c r="BA31" s="359" t="s">
        <v>2011</v>
      </c>
      <c r="BB31" s="359" t="s">
        <v>2012</v>
      </c>
      <c r="BC31" s="359" t="s">
        <v>2013</v>
      </c>
      <c r="BD31" s="359" t="s">
        <v>2014</v>
      </c>
      <c r="BE31" s="359" t="s">
        <v>2015</v>
      </c>
      <c r="BF31" s="359" t="s">
        <v>2016</v>
      </c>
      <c r="BG31" s="359" t="s">
        <v>2017</v>
      </c>
      <c r="BH31" s="359" t="s">
        <v>2018</v>
      </c>
      <c r="BI31" s="359" t="s">
        <v>2019</v>
      </c>
      <c r="BJ31" s="359" t="s">
        <v>2020</v>
      </c>
      <c r="BK31" s="359" t="s">
        <v>2021</v>
      </c>
      <c r="BL31" s="359" t="s">
        <v>2022</v>
      </c>
      <c r="BM31" s="359" t="s">
        <v>2023</v>
      </c>
      <c r="BN31" s="359" t="s">
        <v>2024</v>
      </c>
      <c r="BO31" s="147" t="str">
        <f t="shared" si="3"/>
        <v>Pic Example</v>
      </c>
    </row>
    <row r="32" spans="2:67" x14ac:dyDescent="0.25">
      <c r="B32" t="s">
        <v>284</v>
      </c>
      <c r="C32" s="358" t="str">
        <f t="shared" si="36"/>
        <v>https://viking-pictures.s3.us-west-1.amazonaws.com/AA1155/A40.+Height+Level+Sensors%2C+FRONT+-+LEFT+(1).JPG|https://viking-pictures.s3.us-west-1.amazonaws.com/AA1155/A40.+Height+Level+Sensors%2C+FRONT+-+LEFT+(2).JPG|https://viking-pictures.s3.us-west-1.amazonaws.com/AA1155/A40.+Height+Level+Sensors%2C+FRONT+-+LEFT+(3).JPG</v>
      </c>
      <c r="D32" s="358">
        <f>VLOOKUP(B32,'3. Keep &amp; Toss Items'!$O$9:$T$749,6,FALSE)</f>
        <v>3</v>
      </c>
      <c r="E32" s="358" t="str">
        <f t="shared" si="0"/>
        <v>https://viking-pictures.s3.us-west-1.amazonaws.com/AA1155/A40.+Height+Level+Sensors%2C+FRONT+-+LEFT+(1).JPG</v>
      </c>
      <c r="F32" s="358" t="str">
        <f t="shared" si="4"/>
        <v>https://viking-pictures.s3.us-west-1.amazonaws.com/AA1155/A40.+Height+Level+Sensors%2C+FRONT+-+LEFT+(2).JPG</v>
      </c>
      <c r="G32" s="358" t="str">
        <f t="shared" si="5"/>
        <v>https://viking-pictures.s3.us-west-1.amazonaws.com/AA1155/A40.+Height+Level+Sensors%2C+FRONT+-+LEFT+(3).JPG</v>
      </c>
      <c r="H32" s="358" t="str">
        <f t="shared" si="6"/>
        <v/>
      </c>
      <c r="I32" s="358" t="str">
        <f t="shared" si="7"/>
        <v/>
      </c>
      <c r="J32" s="358" t="str">
        <f t="shared" si="8"/>
        <v/>
      </c>
      <c r="K32" s="358" t="str">
        <f t="shared" si="9"/>
        <v/>
      </c>
      <c r="L32" s="358" t="str">
        <f t="shared" si="10"/>
        <v/>
      </c>
      <c r="M32" s="358" t="str">
        <f t="shared" si="11"/>
        <v/>
      </c>
      <c r="N32" s="358" t="str">
        <f t="shared" si="12"/>
        <v/>
      </c>
      <c r="O32" s="358" t="str">
        <f t="shared" si="13"/>
        <v/>
      </c>
      <c r="P32" s="358" t="str">
        <f t="shared" si="14"/>
        <v/>
      </c>
      <c r="Q32" s="358" t="str">
        <f t="shared" si="15"/>
        <v/>
      </c>
      <c r="R32" s="358" t="str">
        <f t="shared" si="16"/>
        <v/>
      </c>
      <c r="S32" s="358" t="str">
        <f t="shared" si="17"/>
        <v/>
      </c>
      <c r="T32" s="358" t="str">
        <f t="shared" si="18"/>
        <v/>
      </c>
      <c r="U32" s="358" t="str">
        <f t="shared" si="19"/>
        <v/>
      </c>
      <c r="V32" s="358" t="str">
        <f t="shared" si="20"/>
        <v/>
      </c>
      <c r="W32" s="358" t="str">
        <f t="shared" si="21"/>
        <v/>
      </c>
      <c r="X32" s="358" t="str">
        <f t="shared" si="22"/>
        <v/>
      </c>
      <c r="Y32" s="358" t="str">
        <f t="shared" si="23"/>
        <v/>
      </c>
      <c r="Z32" s="358" t="str">
        <f t="shared" si="24"/>
        <v/>
      </c>
      <c r="AA32" s="111" t="s">
        <v>1998</v>
      </c>
      <c r="AB32" s="358" t="str">
        <f t="shared" si="25"/>
        <v>A40.+Height+Level+Sensors%2C+FRONT+-+LEFT</v>
      </c>
      <c r="AC32" s="358" t="str">
        <f>VLOOKUP(B32,'3. Keep &amp; Toss Items'!$O$9:$R$749,4,FALSE)</f>
        <v>A40. Height Level Sensors, FRONT - LEFT</v>
      </c>
      <c r="AD32" s="358" t="str">
        <f t="shared" si="26"/>
        <v>A40. Height Level Sensors, FRONT - LEFT</v>
      </c>
      <c r="AE32" s="358" t="str">
        <f t="shared" si="27"/>
        <v>A40.+Height+Level+Sensors,+FRONT+-+LEFT</v>
      </c>
      <c r="AF32" s="358" t="str">
        <f t="shared" si="28"/>
        <v>A40.+Height+Level+Sensors%2C+FRONT+-+LEFT</v>
      </c>
      <c r="AG32" s="358" t="str">
        <f t="shared" si="29"/>
        <v>A40.+Height+Level+Sensors%2C+FRONT+-+LEFT</v>
      </c>
      <c r="AH32" s="358" t="str">
        <f t="shared" si="30"/>
        <v>A40.+Height+Level+Sensors%2C+FRONT+-+LEFT</v>
      </c>
      <c r="AI32" s="358" t="str">
        <f t="shared" si="31"/>
        <v>A40.+Height+Level+Sensors%2C+FRONT+-+LEFT</v>
      </c>
      <c r="AJ32" s="358" t="str">
        <f t="shared" si="32"/>
        <v>A40.+Height+Level+Sensors%2C+FRONT+-+LEFT</v>
      </c>
      <c r="AK32" s="358" t="str">
        <f t="shared" si="33"/>
        <v>A40.+Height+Level+Sensors%2C+FRONT+-+LEFT</v>
      </c>
      <c r="AL32" s="358" t="str">
        <f t="shared" si="2"/>
        <v>A40.+Height+Level+Sensors%2C+FRONT+-+LEFT</v>
      </c>
      <c r="AM32" s="358" t="str">
        <f t="shared" si="34"/>
        <v>A40.+Height+Level+Sensors%2C+FRONT+-+LEFT</v>
      </c>
      <c r="AN32" s="358" t="str">
        <f t="shared" si="35"/>
        <v>A40.+Height+Level+Sensors%2C+FRONT+-+LEFT</v>
      </c>
      <c r="AO32" s="359" t="s">
        <v>1999</v>
      </c>
      <c r="AP32" s="359" t="s">
        <v>2000</v>
      </c>
      <c r="AQ32" s="359" t="s">
        <v>2001</v>
      </c>
      <c r="AR32" s="359" t="s">
        <v>2002</v>
      </c>
      <c r="AS32" s="359" t="s">
        <v>2003</v>
      </c>
      <c r="AT32" s="359" t="s">
        <v>2004</v>
      </c>
      <c r="AU32" s="359" t="s">
        <v>2005</v>
      </c>
      <c r="AV32" s="359" t="s">
        <v>2006</v>
      </c>
      <c r="AW32" s="359" t="s">
        <v>2007</v>
      </c>
      <c r="AX32" s="359" t="s">
        <v>2008</v>
      </c>
      <c r="AY32" s="359" t="s">
        <v>2009</v>
      </c>
      <c r="AZ32" s="359" t="s">
        <v>2010</v>
      </c>
      <c r="BA32" s="359" t="s">
        <v>2011</v>
      </c>
      <c r="BB32" s="359" t="s">
        <v>2012</v>
      </c>
      <c r="BC32" s="359" t="s">
        <v>2013</v>
      </c>
      <c r="BD32" s="359" t="s">
        <v>2014</v>
      </c>
      <c r="BE32" s="359" t="s">
        <v>2015</v>
      </c>
      <c r="BF32" s="359" t="s">
        <v>2016</v>
      </c>
      <c r="BG32" s="359" t="s">
        <v>2017</v>
      </c>
      <c r="BH32" s="359" t="s">
        <v>2018</v>
      </c>
      <c r="BI32" s="359" t="s">
        <v>2019</v>
      </c>
      <c r="BJ32" s="359" t="s">
        <v>2020</v>
      </c>
      <c r="BK32" s="359" t="s">
        <v>2021</v>
      </c>
      <c r="BL32" s="359" t="s">
        <v>2022</v>
      </c>
      <c r="BM32" s="359" t="s">
        <v>2023</v>
      </c>
      <c r="BN32" s="359" t="s">
        <v>2024</v>
      </c>
      <c r="BO32" s="147" t="str">
        <f t="shared" si="3"/>
        <v>Pic Example</v>
      </c>
    </row>
    <row r="33" spans="2:67" x14ac:dyDescent="0.25">
      <c r="B33" t="s">
        <v>285</v>
      </c>
      <c r="C33" s="358" t="str">
        <f t="shared" si="36"/>
        <v>https://viking-pictures.s3.us-west-1.amazonaws.com/AA1155/A41.+Height+Level+Sensors%2C+REAR+-+LEFT+(1).JPG|https://viking-pictures.s3.us-west-1.amazonaws.com/AA1155/A41.+Height+Level+Sensors%2C+REAR+-+LEFT+(2).JPG|https://viking-pictures.s3.us-west-1.amazonaws.com/AA1155/A41.+Height+Level+Sensors%2C+REAR+-+LEFT+(3).JPG|https://viking-pictures.s3.us-west-1.amazonaws.com/AA1155/A41.+Height+Level+Sensors%2C+REAR+-+LEFT+(4).JPG</v>
      </c>
      <c r="D33" s="358">
        <f>VLOOKUP(B33,'3. Keep &amp; Toss Items'!$O$9:$T$749,6,FALSE)</f>
        <v>4</v>
      </c>
      <c r="E33" s="358" t="str">
        <f t="shared" si="0"/>
        <v>https://viking-pictures.s3.us-west-1.amazonaws.com/AA1155/A41.+Height+Level+Sensors%2C+REAR+-+LEFT+(1).JPG</v>
      </c>
      <c r="F33" s="358" t="str">
        <f t="shared" si="4"/>
        <v>https://viking-pictures.s3.us-west-1.amazonaws.com/AA1155/A41.+Height+Level+Sensors%2C+REAR+-+LEFT+(2).JPG</v>
      </c>
      <c r="G33" s="358" t="str">
        <f t="shared" si="5"/>
        <v>https://viking-pictures.s3.us-west-1.amazonaws.com/AA1155/A41.+Height+Level+Sensors%2C+REAR+-+LEFT+(3).JPG</v>
      </c>
      <c r="H33" s="358" t="str">
        <f t="shared" si="6"/>
        <v>https://viking-pictures.s3.us-west-1.amazonaws.com/AA1155/A41.+Height+Level+Sensors%2C+REAR+-+LEFT+(4).JPG</v>
      </c>
      <c r="I33" s="358" t="str">
        <f t="shared" si="7"/>
        <v/>
      </c>
      <c r="J33" s="358" t="str">
        <f t="shared" si="8"/>
        <v/>
      </c>
      <c r="K33" s="358" t="str">
        <f t="shared" si="9"/>
        <v/>
      </c>
      <c r="L33" s="358" t="str">
        <f t="shared" si="10"/>
        <v/>
      </c>
      <c r="M33" s="358" t="str">
        <f t="shared" si="11"/>
        <v/>
      </c>
      <c r="N33" s="358" t="str">
        <f t="shared" si="12"/>
        <v/>
      </c>
      <c r="O33" s="358" t="str">
        <f t="shared" si="13"/>
        <v/>
      </c>
      <c r="P33" s="358" t="str">
        <f t="shared" si="14"/>
        <v/>
      </c>
      <c r="Q33" s="358" t="str">
        <f t="shared" si="15"/>
        <v/>
      </c>
      <c r="R33" s="358" t="str">
        <f t="shared" si="16"/>
        <v/>
      </c>
      <c r="S33" s="358" t="str">
        <f t="shared" si="17"/>
        <v/>
      </c>
      <c r="T33" s="358" t="str">
        <f t="shared" si="18"/>
        <v/>
      </c>
      <c r="U33" s="358" t="str">
        <f t="shared" si="19"/>
        <v/>
      </c>
      <c r="V33" s="358" t="str">
        <f t="shared" si="20"/>
        <v/>
      </c>
      <c r="W33" s="358" t="str">
        <f t="shared" si="21"/>
        <v/>
      </c>
      <c r="X33" s="358" t="str">
        <f t="shared" si="22"/>
        <v/>
      </c>
      <c r="Y33" s="358" t="str">
        <f t="shared" si="23"/>
        <v/>
      </c>
      <c r="Z33" s="358" t="str">
        <f t="shared" si="24"/>
        <v/>
      </c>
      <c r="AA33" s="111" t="s">
        <v>1998</v>
      </c>
      <c r="AB33" s="358" t="str">
        <f t="shared" si="25"/>
        <v>A41.+Height+Level+Sensors%2C+REAR+-+LEFT</v>
      </c>
      <c r="AC33" s="358" t="str">
        <f>VLOOKUP(B33,'3. Keep &amp; Toss Items'!$O$9:$R$749,4,FALSE)</f>
        <v>A41. Height Level Sensors, REAR - LEFT</v>
      </c>
      <c r="AD33" s="358" t="str">
        <f t="shared" si="26"/>
        <v>A41. Height Level Sensors, REAR - LEFT</v>
      </c>
      <c r="AE33" s="358" t="str">
        <f t="shared" si="27"/>
        <v>A41.+Height+Level+Sensors,+REAR+-+LEFT</v>
      </c>
      <c r="AF33" s="358" t="str">
        <f t="shared" si="28"/>
        <v>A41.+Height+Level+Sensors%2C+REAR+-+LEFT</v>
      </c>
      <c r="AG33" s="358" t="str">
        <f t="shared" si="29"/>
        <v>A41.+Height+Level+Sensors%2C+REAR+-+LEFT</v>
      </c>
      <c r="AH33" s="358" t="str">
        <f t="shared" si="30"/>
        <v>A41.+Height+Level+Sensors%2C+REAR+-+LEFT</v>
      </c>
      <c r="AI33" s="358" t="str">
        <f t="shared" si="31"/>
        <v>A41.+Height+Level+Sensors%2C+REAR+-+LEFT</v>
      </c>
      <c r="AJ33" s="358" t="str">
        <f t="shared" si="32"/>
        <v>A41.+Height+Level+Sensors%2C+REAR+-+LEFT</v>
      </c>
      <c r="AK33" s="358" t="str">
        <f t="shared" si="33"/>
        <v>A41.+Height+Level+Sensors%2C+REAR+-+LEFT</v>
      </c>
      <c r="AL33" s="358" t="str">
        <f t="shared" si="2"/>
        <v>A41.+Height+Level+Sensors%2C+REAR+-+LEFT</v>
      </c>
      <c r="AM33" s="358" t="str">
        <f t="shared" si="34"/>
        <v>A41.+Height+Level+Sensors%2C+REAR+-+LEFT</v>
      </c>
      <c r="AN33" s="358" t="str">
        <f t="shared" si="35"/>
        <v>A41.+Height+Level+Sensors%2C+REAR+-+LEFT</v>
      </c>
      <c r="AO33" s="359" t="s">
        <v>1999</v>
      </c>
      <c r="AP33" s="359" t="s">
        <v>2000</v>
      </c>
      <c r="AQ33" s="359" t="s">
        <v>2001</v>
      </c>
      <c r="AR33" s="359" t="s">
        <v>2002</v>
      </c>
      <c r="AS33" s="359" t="s">
        <v>2003</v>
      </c>
      <c r="AT33" s="359" t="s">
        <v>2004</v>
      </c>
      <c r="AU33" s="359" t="s">
        <v>2005</v>
      </c>
      <c r="AV33" s="359" t="s">
        <v>2006</v>
      </c>
      <c r="AW33" s="359" t="s">
        <v>2007</v>
      </c>
      <c r="AX33" s="359" t="s">
        <v>2008</v>
      </c>
      <c r="AY33" s="359" t="s">
        <v>2009</v>
      </c>
      <c r="AZ33" s="359" t="s">
        <v>2010</v>
      </c>
      <c r="BA33" s="359" t="s">
        <v>2011</v>
      </c>
      <c r="BB33" s="359" t="s">
        <v>2012</v>
      </c>
      <c r="BC33" s="359" t="s">
        <v>2013</v>
      </c>
      <c r="BD33" s="359" t="s">
        <v>2014</v>
      </c>
      <c r="BE33" s="359" t="s">
        <v>2015</v>
      </c>
      <c r="BF33" s="359" t="s">
        <v>2016</v>
      </c>
      <c r="BG33" s="359" t="s">
        <v>2017</v>
      </c>
      <c r="BH33" s="359" t="s">
        <v>2018</v>
      </c>
      <c r="BI33" s="359" t="s">
        <v>2019</v>
      </c>
      <c r="BJ33" s="359" t="s">
        <v>2020</v>
      </c>
      <c r="BK33" s="359" t="s">
        <v>2021</v>
      </c>
      <c r="BL33" s="359" t="s">
        <v>2022</v>
      </c>
      <c r="BM33" s="359" t="s">
        <v>2023</v>
      </c>
      <c r="BN33" s="359" t="s">
        <v>2024</v>
      </c>
      <c r="BO33" s="147" t="str">
        <f t="shared" si="3"/>
        <v>Pic Example</v>
      </c>
    </row>
    <row r="34" spans="2:67" x14ac:dyDescent="0.25">
      <c r="B34" t="s">
        <v>286</v>
      </c>
      <c r="C34" s="358" t="str">
        <f t="shared" si="36"/>
        <v>https://viking-pictures.s3.us-west-1.amazonaws.com/AA1155/A42.+Windshield+Washer+Spray+Nozzles+%26+Rubber+Hose+(1).JPG|https://viking-pictures.s3.us-west-1.amazonaws.com/AA1155/A42.+Windshield+Washer+Spray+Nozzles+%26+Rubber+Hose+(2).JPG|https://viking-pictures.s3.us-west-1.amazonaws.com/AA1155/A42.+Windshield+Washer+Spray+Nozzles+%26+Rubber+Hose+(3).JPG|https://viking-pictures.s3.us-west-1.amazonaws.com/AA1155/A42.+Windshield+Washer+Spray+Nozzles+%26+Rubber+Hose+(4).JPG</v>
      </c>
      <c r="D34" s="358">
        <f>VLOOKUP(B34,'3. Keep &amp; Toss Items'!$O$9:$T$749,6,FALSE)</f>
        <v>4</v>
      </c>
      <c r="E34" s="358" t="str">
        <f t="shared" si="0"/>
        <v>https://viking-pictures.s3.us-west-1.amazonaws.com/AA1155/A42.+Windshield+Washer+Spray+Nozzles+%26+Rubber+Hose+(1).JPG</v>
      </c>
      <c r="F34" s="358" t="str">
        <f t="shared" si="4"/>
        <v>https://viking-pictures.s3.us-west-1.amazonaws.com/AA1155/A42.+Windshield+Washer+Spray+Nozzles+%26+Rubber+Hose+(2).JPG</v>
      </c>
      <c r="G34" s="358" t="str">
        <f t="shared" si="5"/>
        <v>https://viking-pictures.s3.us-west-1.amazonaws.com/AA1155/A42.+Windshield+Washer+Spray+Nozzles+%26+Rubber+Hose+(3).JPG</v>
      </c>
      <c r="H34" s="358" t="str">
        <f t="shared" si="6"/>
        <v>https://viking-pictures.s3.us-west-1.amazonaws.com/AA1155/A42.+Windshield+Washer+Spray+Nozzles+%26+Rubber+Hose+(4).JPG</v>
      </c>
      <c r="I34" s="358" t="str">
        <f t="shared" si="7"/>
        <v/>
      </c>
      <c r="J34" s="358" t="str">
        <f t="shared" si="8"/>
        <v/>
      </c>
      <c r="K34" s="358" t="str">
        <f t="shared" si="9"/>
        <v/>
      </c>
      <c r="L34" s="358" t="str">
        <f t="shared" si="10"/>
        <v/>
      </c>
      <c r="M34" s="358" t="str">
        <f t="shared" si="11"/>
        <v/>
      </c>
      <c r="N34" s="358" t="str">
        <f t="shared" si="12"/>
        <v/>
      </c>
      <c r="O34" s="358" t="str">
        <f t="shared" si="13"/>
        <v/>
      </c>
      <c r="P34" s="358" t="str">
        <f t="shared" si="14"/>
        <v/>
      </c>
      <c r="Q34" s="358" t="str">
        <f t="shared" si="15"/>
        <v/>
      </c>
      <c r="R34" s="358" t="str">
        <f t="shared" si="16"/>
        <v/>
      </c>
      <c r="S34" s="358" t="str">
        <f t="shared" si="17"/>
        <v/>
      </c>
      <c r="T34" s="358" t="str">
        <f t="shared" si="18"/>
        <v/>
      </c>
      <c r="U34" s="358" t="str">
        <f t="shared" si="19"/>
        <v/>
      </c>
      <c r="V34" s="358" t="str">
        <f t="shared" si="20"/>
        <v/>
      </c>
      <c r="W34" s="358" t="str">
        <f t="shared" si="21"/>
        <v/>
      </c>
      <c r="X34" s="358" t="str">
        <f t="shared" si="22"/>
        <v/>
      </c>
      <c r="Y34" s="358" t="str">
        <f t="shared" si="23"/>
        <v/>
      </c>
      <c r="Z34" s="358" t="str">
        <f t="shared" si="24"/>
        <v/>
      </c>
      <c r="AA34" s="111" t="s">
        <v>1998</v>
      </c>
      <c r="AB34" s="358" t="str">
        <f t="shared" si="25"/>
        <v>A42.+Windshield+Washer+Spray+Nozzles+%26+Rubber+Hose</v>
      </c>
      <c r="AC34" s="358" t="str">
        <f>VLOOKUP(B34,'3. Keep &amp; Toss Items'!$O$9:$R$749,4,FALSE)</f>
        <v>A42. Windshield Washer Spray Nozzles &amp; Rubber Hose</v>
      </c>
      <c r="AD34" s="358" t="str">
        <f t="shared" si="26"/>
        <v>A42. Windshield Washer Spray Nozzles &amp; Rubber Hose</v>
      </c>
      <c r="AE34" s="358" t="str">
        <f t="shared" si="27"/>
        <v>A42.+Windshield+Washer+Spray+Nozzles+&amp;+Rubber+Hose</v>
      </c>
      <c r="AF34" s="358" t="str">
        <f t="shared" si="28"/>
        <v>A42.+Windshield+Washer+Spray+Nozzles+&amp;+Rubber+Hose</v>
      </c>
      <c r="AG34" s="358" t="str">
        <f t="shared" si="29"/>
        <v>A42.+Windshield+Washer+Spray+Nozzles+&amp;+Rubber+Hose</v>
      </c>
      <c r="AH34" s="358" t="str">
        <f t="shared" si="30"/>
        <v>A42.+Windshield+Washer+Spray+Nozzles+&amp;+Rubber+Hose</v>
      </c>
      <c r="AI34" s="358" t="str">
        <f t="shared" si="31"/>
        <v>A42.+Windshield+Washer+Spray+Nozzles+&amp;+Rubber+Hose</v>
      </c>
      <c r="AJ34" s="358" t="str">
        <f t="shared" si="32"/>
        <v>A42.+Windshield+Washer+Spray+Nozzles+%26+Rubber+Hose</v>
      </c>
      <c r="AK34" s="358" t="str">
        <f t="shared" si="33"/>
        <v>A42.+Windshield+Washer+Spray+Nozzles+%26+Rubber+Hose</v>
      </c>
      <c r="AL34" s="358" t="str">
        <f t="shared" si="2"/>
        <v>A42.+Windshield+Washer+Spray+Nozzles+%26+Rubber+Hose</v>
      </c>
      <c r="AM34" s="358" t="str">
        <f t="shared" si="34"/>
        <v>A42.+Windshield+Washer+Spray+Nozzles+%26+Rubber+Hose</v>
      </c>
      <c r="AN34" s="358" t="str">
        <f t="shared" si="35"/>
        <v>A42.+Windshield+Washer+Spray+Nozzles+%26+Rubber+Hose</v>
      </c>
      <c r="AO34" s="359" t="s">
        <v>1999</v>
      </c>
      <c r="AP34" s="359" t="s">
        <v>2000</v>
      </c>
      <c r="AQ34" s="359" t="s">
        <v>2001</v>
      </c>
      <c r="AR34" s="359" t="s">
        <v>2002</v>
      </c>
      <c r="AS34" s="359" t="s">
        <v>2003</v>
      </c>
      <c r="AT34" s="359" t="s">
        <v>2004</v>
      </c>
      <c r="AU34" s="359" t="s">
        <v>2005</v>
      </c>
      <c r="AV34" s="359" t="s">
        <v>2006</v>
      </c>
      <c r="AW34" s="359" t="s">
        <v>2007</v>
      </c>
      <c r="AX34" s="359" t="s">
        <v>2008</v>
      </c>
      <c r="AY34" s="359" t="s">
        <v>2009</v>
      </c>
      <c r="AZ34" s="359" t="s">
        <v>2010</v>
      </c>
      <c r="BA34" s="359" t="s">
        <v>2011</v>
      </c>
      <c r="BB34" s="359" t="s">
        <v>2012</v>
      </c>
      <c r="BC34" s="359" t="s">
        <v>2013</v>
      </c>
      <c r="BD34" s="359" t="s">
        <v>2014</v>
      </c>
      <c r="BE34" s="359" t="s">
        <v>2015</v>
      </c>
      <c r="BF34" s="359" t="s">
        <v>2016</v>
      </c>
      <c r="BG34" s="359" t="s">
        <v>2017</v>
      </c>
      <c r="BH34" s="359" t="s">
        <v>2018</v>
      </c>
      <c r="BI34" s="359" t="s">
        <v>2019</v>
      </c>
      <c r="BJ34" s="359" t="s">
        <v>2020</v>
      </c>
      <c r="BK34" s="359" t="s">
        <v>2021</v>
      </c>
      <c r="BL34" s="359" t="s">
        <v>2022</v>
      </c>
      <c r="BM34" s="359" t="s">
        <v>2023</v>
      </c>
      <c r="BN34" s="359" t="s">
        <v>2024</v>
      </c>
      <c r="BO34" s="147" t="str">
        <f t="shared" si="3"/>
        <v>Pic Example</v>
      </c>
    </row>
    <row r="35" spans="2:67" x14ac:dyDescent="0.25">
      <c r="B35" t="s">
        <v>287</v>
      </c>
      <c r="C35" s="358" t="str">
        <f t="shared" si="36"/>
        <v>https://viking-pictures.s3.us-west-1.amazonaws.com/AA1155/A43.+Transmission+Oil+Cooler+(1).JPG|https://viking-pictures.s3.us-west-1.amazonaws.com/AA1155/A43.+Transmission+Oil+Cooler+(2).JPG|https://viking-pictures.s3.us-west-1.amazonaws.com/AA1155/A43.+Transmission+Oil+Cooler+(3).JPG|https://viking-pictures.s3.us-west-1.amazonaws.com/AA1155/A43.+Transmission+Oil+Cooler+(4).JPG</v>
      </c>
      <c r="D35" s="358">
        <f>VLOOKUP(B35,'3. Keep &amp; Toss Items'!$O$9:$T$749,6,FALSE)</f>
        <v>5</v>
      </c>
      <c r="E35" s="358" t="str">
        <f t="shared" ref="E35:E66" si="37">IF($D35&gt;=E$1,CONCATENATE($AA35,$AB35,$AO35,AP35,$BN35),"")</f>
        <v>https://viking-pictures.s3.us-west-1.amazonaws.com/AA1155/A43.+Transmission+Oil+Cooler+(1).JPG</v>
      </c>
      <c r="F35" s="358" t="str">
        <f t="shared" si="4"/>
        <v>https://viking-pictures.s3.us-west-1.amazonaws.com/AA1155/A43.+Transmission+Oil+Cooler+(2).JPG</v>
      </c>
      <c r="G35" s="358" t="str">
        <f t="shared" si="5"/>
        <v>https://viking-pictures.s3.us-west-1.amazonaws.com/AA1155/A43.+Transmission+Oil+Cooler+(3).JPG</v>
      </c>
      <c r="H35" s="358" t="str">
        <f t="shared" si="6"/>
        <v>https://viking-pictures.s3.us-west-1.amazonaws.com/AA1155/A43.+Transmission+Oil+Cooler+(4).JPG</v>
      </c>
      <c r="I35" s="358" t="str">
        <f t="shared" si="7"/>
        <v/>
      </c>
      <c r="J35" s="358" t="str">
        <f t="shared" si="8"/>
        <v/>
      </c>
      <c r="K35" s="358" t="str">
        <f t="shared" si="9"/>
        <v/>
      </c>
      <c r="L35" s="358" t="str">
        <f t="shared" si="10"/>
        <v/>
      </c>
      <c r="M35" s="358" t="str">
        <f t="shared" si="11"/>
        <v/>
      </c>
      <c r="N35" s="358" t="str">
        <f t="shared" si="12"/>
        <v/>
      </c>
      <c r="O35" s="358" t="str">
        <f t="shared" si="13"/>
        <v/>
      </c>
      <c r="P35" s="358" t="str">
        <f t="shared" si="14"/>
        <v/>
      </c>
      <c r="Q35" s="358" t="str">
        <f t="shared" si="15"/>
        <v/>
      </c>
      <c r="R35" s="358" t="str">
        <f t="shared" si="16"/>
        <v/>
      </c>
      <c r="S35" s="358" t="str">
        <f t="shared" si="17"/>
        <v/>
      </c>
      <c r="T35" s="358" t="str">
        <f t="shared" si="18"/>
        <v/>
      </c>
      <c r="U35" s="358" t="str">
        <f t="shared" si="19"/>
        <v/>
      </c>
      <c r="V35" s="358" t="str">
        <f t="shared" si="20"/>
        <v/>
      </c>
      <c r="W35" s="358" t="str">
        <f t="shared" si="21"/>
        <v/>
      </c>
      <c r="X35" s="358" t="str">
        <f t="shared" si="22"/>
        <v/>
      </c>
      <c r="Y35" s="358" t="str">
        <f t="shared" si="23"/>
        <v/>
      </c>
      <c r="Z35" s="358" t="str">
        <f t="shared" si="24"/>
        <v/>
      </c>
      <c r="AA35" s="111" t="s">
        <v>1998</v>
      </c>
      <c r="AB35" s="358" t="str">
        <f t="shared" si="25"/>
        <v>A43.+Transmission+Oil+Cooler</v>
      </c>
      <c r="AC35" s="358" t="str">
        <f>VLOOKUP(B35,'3. Keep &amp; Toss Items'!$O$9:$R$749,4,FALSE)</f>
        <v>A43. Transmission Oil Cooler</v>
      </c>
      <c r="AD35" s="358" t="str">
        <f t="shared" si="26"/>
        <v>A43. Transmission Oil Cooler</v>
      </c>
      <c r="AE35" s="358" t="str">
        <f t="shared" si="27"/>
        <v>A43.+Transmission+Oil+Cooler</v>
      </c>
      <c r="AF35" s="358" t="str">
        <f t="shared" si="28"/>
        <v>A43.+Transmission+Oil+Cooler</v>
      </c>
      <c r="AG35" s="358" t="str">
        <f t="shared" si="29"/>
        <v>A43.+Transmission+Oil+Cooler</v>
      </c>
      <c r="AH35" s="358" t="str">
        <f t="shared" si="30"/>
        <v>A43.+Transmission+Oil+Cooler</v>
      </c>
      <c r="AI35" s="358" t="str">
        <f t="shared" si="31"/>
        <v>A43.+Transmission+Oil+Cooler</v>
      </c>
      <c r="AJ35" s="358" t="str">
        <f t="shared" si="32"/>
        <v>A43.+Transmission+Oil+Cooler</v>
      </c>
      <c r="AK35" s="358" t="str">
        <f t="shared" si="33"/>
        <v>A43.+Transmission+Oil+Cooler</v>
      </c>
      <c r="AL35" s="358" t="str">
        <f t="shared" ref="AL35:AL66" si="38">SUBSTITUTE(AK35,"?","%3F")</f>
        <v>A43.+Transmission+Oil+Cooler</v>
      </c>
      <c r="AM35" s="358" t="str">
        <f t="shared" si="34"/>
        <v>A43.+Transmission+Oil+Cooler</v>
      </c>
      <c r="AN35" s="358" t="str">
        <f t="shared" si="35"/>
        <v>A43.+Transmission+Oil+Cooler</v>
      </c>
      <c r="AO35" s="359" t="s">
        <v>1999</v>
      </c>
      <c r="AP35" s="359" t="s">
        <v>2000</v>
      </c>
      <c r="AQ35" s="359" t="s">
        <v>2001</v>
      </c>
      <c r="AR35" s="359" t="s">
        <v>2002</v>
      </c>
      <c r="AS35" s="359" t="s">
        <v>2003</v>
      </c>
      <c r="AT35" s="359" t="s">
        <v>2004</v>
      </c>
      <c r="AU35" s="359" t="s">
        <v>2005</v>
      </c>
      <c r="AV35" s="359" t="s">
        <v>2006</v>
      </c>
      <c r="AW35" s="359" t="s">
        <v>2007</v>
      </c>
      <c r="AX35" s="359" t="s">
        <v>2008</v>
      </c>
      <c r="AY35" s="359" t="s">
        <v>2009</v>
      </c>
      <c r="AZ35" s="359" t="s">
        <v>2010</v>
      </c>
      <c r="BA35" s="359" t="s">
        <v>2011</v>
      </c>
      <c r="BB35" s="359" t="s">
        <v>2012</v>
      </c>
      <c r="BC35" s="359" t="s">
        <v>2013</v>
      </c>
      <c r="BD35" s="359" t="s">
        <v>2014</v>
      </c>
      <c r="BE35" s="359" t="s">
        <v>2015</v>
      </c>
      <c r="BF35" s="359" t="s">
        <v>2016</v>
      </c>
      <c r="BG35" s="359" t="s">
        <v>2017</v>
      </c>
      <c r="BH35" s="359" t="s">
        <v>2018</v>
      </c>
      <c r="BI35" s="359" t="s">
        <v>2019</v>
      </c>
      <c r="BJ35" s="359" t="s">
        <v>2020</v>
      </c>
      <c r="BK35" s="359" t="s">
        <v>2021</v>
      </c>
      <c r="BL35" s="359" t="s">
        <v>2022</v>
      </c>
      <c r="BM35" s="359" t="s">
        <v>2023</v>
      </c>
      <c r="BN35" s="359" t="s">
        <v>2024</v>
      </c>
      <c r="BO35" s="147" t="str">
        <f t="shared" ref="BO35:BO66" si="39">HYPERLINK(E35,"Pic Example")</f>
        <v>Pic Example</v>
      </c>
    </row>
    <row r="36" spans="2:67" x14ac:dyDescent="0.25">
      <c r="B36" t="s">
        <v>288</v>
      </c>
      <c r="C36" s="358" t="str">
        <f t="shared" si="36"/>
        <v>https://viking-pictures.s3.us-west-1.amazonaws.com/AA1155/A44.+Oxygen+Sensor+SET2+(1).JPG|https://viking-pictures.s3.us-west-1.amazonaws.com/AA1155/A44.+Oxygen+Sensor+SET2+(2).JPG|https://viking-pictures.s3.us-west-1.amazonaws.com/AA1155/A44.+Oxygen+Sensor+SET2+(3).JPG|https://viking-pictures.s3.us-west-1.amazonaws.com/AA1155/A44.+Oxygen+Sensor+SET2+(4).JPG</v>
      </c>
      <c r="D36" s="358">
        <f>VLOOKUP(B36,'3. Keep &amp; Toss Items'!$O$9:$T$749,6,FALSE)</f>
        <v>5</v>
      </c>
      <c r="E36" s="358" t="str">
        <f t="shared" si="37"/>
        <v>https://viking-pictures.s3.us-west-1.amazonaws.com/AA1155/A44.+Oxygen+Sensor+SET2+(1).JPG</v>
      </c>
      <c r="F36" s="358" t="str">
        <f t="shared" ref="F36:F67" si="40">IF($D36&gt;=F$1,CONCATENATE($AA36,$AB36,$AO36,AQ36,$BN36),"")</f>
        <v>https://viking-pictures.s3.us-west-1.amazonaws.com/AA1155/A44.+Oxygen+Sensor+SET2+(2).JPG</v>
      </c>
      <c r="G36" s="358" t="str">
        <f t="shared" ref="G36:G67" si="41">IF($D36&gt;=G$1,CONCATENATE($AA36,$AB36,$AO36,AR36,$BN36),"")</f>
        <v>https://viking-pictures.s3.us-west-1.amazonaws.com/AA1155/A44.+Oxygen+Sensor+SET2+(3).JPG</v>
      </c>
      <c r="H36" s="358" t="str">
        <f t="shared" ref="H36:H67" si="42">IF($D36&gt;=H$1,CONCATENATE($AA36,$AB36,$AO36,AS36,$BN36),"")</f>
        <v>https://viking-pictures.s3.us-west-1.amazonaws.com/AA1155/A44.+Oxygen+Sensor+SET2+(4).JPG</v>
      </c>
      <c r="I36" s="358" t="str">
        <f t="shared" ref="I36:I67" si="43">IF($D36&gt;=I$1,CONCATENATE($AA36,$AB36,$AO36,AU36,$BN36),"")</f>
        <v/>
      </c>
      <c r="J36" s="358" t="str">
        <f t="shared" ref="J36:J67" si="44">IF($D36&gt;=J$1,CONCATENATE($AA36,$AB36,$AO36,AW36,$BN36),"")</f>
        <v/>
      </c>
      <c r="K36" s="358" t="str">
        <f t="shared" ref="K36:K67" si="45">IF($D36&gt;=K$1,CONCATENATE($AA36,$AB36,$AO36,AX36,$BN36),"")</f>
        <v/>
      </c>
      <c r="L36" s="358" t="str">
        <f t="shared" ref="L36:L67" si="46">IF($D36&gt;=L$1,CONCATENATE($AA36,$AB36,$AO36,AY36,$BN36),"")</f>
        <v/>
      </c>
      <c r="M36" s="358" t="str">
        <f t="shared" ref="M36:M67" si="47">IF($D36&gt;=M$1,CONCATENATE($AA36,$AB36,$AO36,AZ36,$BN36),"")</f>
        <v/>
      </c>
      <c r="N36" s="358" t="str">
        <f t="shared" ref="N36:N67" si="48">IF($D36&gt;=N$1,CONCATENATE($AA36,$AB36,$AO36,BA36,$BN36),"")</f>
        <v/>
      </c>
      <c r="O36" s="358" t="str">
        <f t="shared" ref="O36:O67" si="49">IF($D36&gt;=O$1,CONCATENATE($AA36,$AB36,$AO36,BB36,$BN36),"")</f>
        <v/>
      </c>
      <c r="P36" s="358" t="str">
        <f t="shared" ref="P36:P67" si="50">IF($D36&gt;=P$1,CONCATENATE($AA36,$AB36,$AO36,BC36,$BN36),"")</f>
        <v/>
      </c>
      <c r="Q36" s="358" t="str">
        <f t="shared" ref="Q36:Q67" si="51">IF($D36&gt;=Q$1,CONCATENATE($AA36,$AB36,$AO36,BD36,$BN36),"")</f>
        <v/>
      </c>
      <c r="R36" s="358" t="str">
        <f t="shared" ref="R36:R67" si="52">IF($D36&gt;=R$1,CONCATENATE($AA36,$AB36,$AO36,BE36,$BN36),"")</f>
        <v/>
      </c>
      <c r="S36" s="358" t="str">
        <f t="shared" ref="S36:S67" si="53">IF($D36&gt;=S$1,CONCATENATE($AA36,$AB36,$AO36,BF36,$BN36),"")</f>
        <v/>
      </c>
      <c r="T36" s="358" t="str">
        <f t="shared" ref="T36:T67" si="54">IF($D36&gt;=T$1,CONCATENATE($AA36,$AB36,$AO36,BG36,$BN36),"")</f>
        <v/>
      </c>
      <c r="U36" s="358" t="str">
        <f t="shared" ref="U36:U67" si="55">IF($D36&gt;=U$1,CONCATENATE($AA36,$AB36,$AO36,BH36,$BN36),"")</f>
        <v/>
      </c>
      <c r="V36" s="358" t="str">
        <f t="shared" ref="V36:V67" si="56">IF($D36&gt;=V$1,CONCATENATE($AA36,$AB36,$AO36,BI36,$BN36),"")</f>
        <v/>
      </c>
      <c r="W36" s="358" t="str">
        <f t="shared" ref="W36:W67" si="57">IF($D36&gt;=W$1,CONCATENATE($AA36,$AB36,$AO36,BJ36,$BN36),"")</f>
        <v/>
      </c>
      <c r="X36" s="358" t="str">
        <f t="shared" ref="X36:X67" si="58">IF($D36&gt;=X$1,CONCATENATE($AA36,$AB36,$AO36,BK36,$BN36),"")</f>
        <v/>
      </c>
      <c r="Y36" s="358" t="str">
        <f t="shared" ref="Y36:Y67" si="59">IF($D36&gt;=Y$1,CONCATENATE($AA36,$AB36,$AO36,BL36,$BN36),"")</f>
        <v/>
      </c>
      <c r="Z36" s="358" t="str">
        <f t="shared" ref="Z36:Z67" si="60">IF($D36&gt;=Z$1,CONCATENATE($AA36,$AB36,$AO36,BM36,$BN36),"")</f>
        <v/>
      </c>
      <c r="AA36" s="111" t="s">
        <v>1998</v>
      </c>
      <c r="AB36" s="358" t="str">
        <f t="shared" si="25"/>
        <v>A44.+Oxygen+Sensor+SET2</v>
      </c>
      <c r="AC36" s="358" t="str">
        <f>VLOOKUP(B36,'3. Keep &amp; Toss Items'!$O$9:$R$749,4,FALSE)</f>
        <v>A44. Oxygen Sensor SET2</v>
      </c>
      <c r="AD36" s="358" t="str">
        <f t="shared" si="26"/>
        <v>A44. Oxygen Sensor SET2</v>
      </c>
      <c r="AE36" s="358" t="str">
        <f t="shared" si="27"/>
        <v>A44.+Oxygen+Sensor+SET2</v>
      </c>
      <c r="AF36" s="358" t="str">
        <f t="shared" si="28"/>
        <v>A44.+Oxygen+Sensor+SET2</v>
      </c>
      <c r="AG36" s="358" t="str">
        <f t="shared" si="29"/>
        <v>A44.+Oxygen+Sensor+SET2</v>
      </c>
      <c r="AH36" s="358" t="str">
        <f t="shared" si="30"/>
        <v>A44.+Oxygen+Sensor+SET2</v>
      </c>
      <c r="AI36" s="358" t="str">
        <f t="shared" si="31"/>
        <v>A44.+Oxygen+Sensor+SET2</v>
      </c>
      <c r="AJ36" s="358" t="str">
        <f t="shared" si="32"/>
        <v>A44.+Oxygen+Sensor+SET2</v>
      </c>
      <c r="AK36" s="358" t="str">
        <f t="shared" si="33"/>
        <v>A44.+Oxygen+Sensor+SET2</v>
      </c>
      <c r="AL36" s="358" t="str">
        <f t="shared" si="38"/>
        <v>A44.+Oxygen+Sensor+SET2</v>
      </c>
      <c r="AM36" s="358" t="str">
        <f t="shared" si="34"/>
        <v>A44.+Oxygen+Sensor+SET2</v>
      </c>
      <c r="AN36" s="358" t="str">
        <f t="shared" si="35"/>
        <v>A44.+Oxygen+Sensor+SET2</v>
      </c>
      <c r="AO36" s="359" t="s">
        <v>1999</v>
      </c>
      <c r="AP36" s="359" t="s">
        <v>2000</v>
      </c>
      <c r="AQ36" s="359" t="s">
        <v>2001</v>
      </c>
      <c r="AR36" s="359" t="s">
        <v>2002</v>
      </c>
      <c r="AS36" s="359" t="s">
        <v>2003</v>
      </c>
      <c r="AT36" s="359" t="s">
        <v>2004</v>
      </c>
      <c r="AU36" s="359" t="s">
        <v>2005</v>
      </c>
      <c r="AV36" s="359" t="s">
        <v>2006</v>
      </c>
      <c r="AW36" s="359" t="s">
        <v>2007</v>
      </c>
      <c r="AX36" s="359" t="s">
        <v>2008</v>
      </c>
      <c r="AY36" s="359" t="s">
        <v>2009</v>
      </c>
      <c r="AZ36" s="359" t="s">
        <v>2010</v>
      </c>
      <c r="BA36" s="359" t="s">
        <v>2011</v>
      </c>
      <c r="BB36" s="359" t="s">
        <v>2012</v>
      </c>
      <c r="BC36" s="359" t="s">
        <v>2013</v>
      </c>
      <c r="BD36" s="359" t="s">
        <v>2014</v>
      </c>
      <c r="BE36" s="359" t="s">
        <v>2015</v>
      </c>
      <c r="BF36" s="359" t="s">
        <v>2016</v>
      </c>
      <c r="BG36" s="359" t="s">
        <v>2017</v>
      </c>
      <c r="BH36" s="359" t="s">
        <v>2018</v>
      </c>
      <c r="BI36" s="359" t="s">
        <v>2019</v>
      </c>
      <c r="BJ36" s="359" t="s">
        <v>2020</v>
      </c>
      <c r="BK36" s="359" t="s">
        <v>2021</v>
      </c>
      <c r="BL36" s="359" t="s">
        <v>2022</v>
      </c>
      <c r="BM36" s="359" t="s">
        <v>2023</v>
      </c>
      <c r="BN36" s="359" t="s">
        <v>2024</v>
      </c>
      <c r="BO36" s="147" t="str">
        <f t="shared" si="39"/>
        <v>Pic Example</v>
      </c>
    </row>
    <row r="37" spans="2:67" x14ac:dyDescent="0.25">
      <c r="B37" t="s">
        <v>289</v>
      </c>
      <c r="C37" s="358" t="str">
        <f t="shared" si="36"/>
        <v>https://viking-pictures.s3.us-west-1.amazonaws.com/AA1155/A45.+Rear+Arm+Rest+%26+Cup+Holder+(1).JPG|https://viking-pictures.s3.us-west-1.amazonaws.com/AA1155/A45.+Rear+Arm+Rest+%26+Cup+Holder+(2).JPG|https://viking-pictures.s3.us-west-1.amazonaws.com/AA1155/A45.+Rear+Arm+Rest+%26+Cup+Holder+(3).JPG|https://viking-pictures.s3.us-west-1.amazonaws.com/AA1155/A45.+Rear+Arm+Rest+%26+Cup+Holder+(4).JPG</v>
      </c>
      <c r="D37" s="358">
        <f>VLOOKUP(B37,'3. Keep &amp; Toss Items'!$O$9:$T$749,6,FALSE)</f>
        <v>5</v>
      </c>
      <c r="E37" s="358" t="str">
        <f t="shared" si="37"/>
        <v>https://viking-pictures.s3.us-west-1.amazonaws.com/AA1155/A45.+Rear+Arm+Rest+%26+Cup+Holder+(1).JPG</v>
      </c>
      <c r="F37" s="358" t="str">
        <f t="shared" si="40"/>
        <v>https://viking-pictures.s3.us-west-1.amazonaws.com/AA1155/A45.+Rear+Arm+Rest+%26+Cup+Holder+(2).JPG</v>
      </c>
      <c r="G37" s="358" t="str">
        <f t="shared" si="41"/>
        <v>https://viking-pictures.s3.us-west-1.amazonaws.com/AA1155/A45.+Rear+Arm+Rest+%26+Cup+Holder+(3).JPG</v>
      </c>
      <c r="H37" s="358" t="str">
        <f t="shared" si="42"/>
        <v>https://viking-pictures.s3.us-west-1.amazonaws.com/AA1155/A45.+Rear+Arm+Rest+%26+Cup+Holder+(4).JPG</v>
      </c>
      <c r="I37" s="358" t="str">
        <f t="shared" si="43"/>
        <v/>
      </c>
      <c r="J37" s="358" t="str">
        <f t="shared" si="44"/>
        <v/>
      </c>
      <c r="K37" s="358" t="str">
        <f t="shared" si="45"/>
        <v/>
      </c>
      <c r="L37" s="358" t="str">
        <f t="shared" si="46"/>
        <v/>
      </c>
      <c r="M37" s="358" t="str">
        <f t="shared" si="47"/>
        <v/>
      </c>
      <c r="N37" s="358" t="str">
        <f t="shared" si="48"/>
        <v/>
      </c>
      <c r="O37" s="358" t="str">
        <f t="shared" si="49"/>
        <v/>
      </c>
      <c r="P37" s="358" t="str">
        <f t="shared" si="50"/>
        <v/>
      </c>
      <c r="Q37" s="358" t="str">
        <f t="shared" si="51"/>
        <v/>
      </c>
      <c r="R37" s="358" t="str">
        <f t="shared" si="52"/>
        <v/>
      </c>
      <c r="S37" s="358" t="str">
        <f t="shared" si="53"/>
        <v/>
      </c>
      <c r="T37" s="358" t="str">
        <f t="shared" si="54"/>
        <v/>
      </c>
      <c r="U37" s="358" t="str">
        <f t="shared" si="55"/>
        <v/>
      </c>
      <c r="V37" s="358" t="str">
        <f t="shared" si="56"/>
        <v/>
      </c>
      <c r="W37" s="358" t="str">
        <f t="shared" si="57"/>
        <v/>
      </c>
      <c r="X37" s="358" t="str">
        <f t="shared" si="58"/>
        <v/>
      </c>
      <c r="Y37" s="358" t="str">
        <f t="shared" si="59"/>
        <v/>
      </c>
      <c r="Z37" s="358" t="str">
        <f t="shared" si="60"/>
        <v/>
      </c>
      <c r="AA37" s="111" t="s">
        <v>1998</v>
      </c>
      <c r="AB37" s="358" t="str">
        <f t="shared" si="25"/>
        <v>A45.+Rear+Arm+Rest+%26+Cup+Holder</v>
      </c>
      <c r="AC37" s="358" t="str">
        <f>VLOOKUP(B37,'3. Keep &amp; Toss Items'!$O$9:$R$749,4,FALSE)</f>
        <v>A45. Rear Arm Rest &amp; Cup Holder</v>
      </c>
      <c r="AD37" s="358" t="str">
        <f t="shared" si="26"/>
        <v>A45. Rear Arm Rest &amp; Cup Holder</v>
      </c>
      <c r="AE37" s="358" t="str">
        <f t="shared" si="27"/>
        <v>A45.+Rear+Arm+Rest+&amp;+Cup+Holder</v>
      </c>
      <c r="AF37" s="358" t="str">
        <f t="shared" si="28"/>
        <v>A45.+Rear+Arm+Rest+&amp;+Cup+Holder</v>
      </c>
      <c r="AG37" s="358" t="str">
        <f t="shared" si="29"/>
        <v>A45.+Rear+Arm+Rest+&amp;+Cup+Holder</v>
      </c>
      <c r="AH37" s="358" t="str">
        <f t="shared" si="30"/>
        <v>A45.+Rear+Arm+Rest+&amp;+Cup+Holder</v>
      </c>
      <c r="AI37" s="358" t="str">
        <f t="shared" si="31"/>
        <v>A45.+Rear+Arm+Rest+&amp;+Cup+Holder</v>
      </c>
      <c r="AJ37" s="358" t="str">
        <f t="shared" si="32"/>
        <v>A45.+Rear+Arm+Rest+%26+Cup+Holder</v>
      </c>
      <c r="AK37" s="358" t="str">
        <f t="shared" si="33"/>
        <v>A45.+Rear+Arm+Rest+%26+Cup+Holder</v>
      </c>
      <c r="AL37" s="358" t="str">
        <f t="shared" si="38"/>
        <v>A45.+Rear+Arm+Rest+%26+Cup+Holder</v>
      </c>
      <c r="AM37" s="358" t="str">
        <f t="shared" si="34"/>
        <v>A45.+Rear+Arm+Rest+%26+Cup+Holder</v>
      </c>
      <c r="AN37" s="358" t="str">
        <f t="shared" si="35"/>
        <v>A45.+Rear+Arm+Rest+%26+Cup+Holder</v>
      </c>
      <c r="AO37" s="359" t="s">
        <v>1999</v>
      </c>
      <c r="AP37" s="359" t="s">
        <v>2000</v>
      </c>
      <c r="AQ37" s="359" t="s">
        <v>2001</v>
      </c>
      <c r="AR37" s="359" t="s">
        <v>2002</v>
      </c>
      <c r="AS37" s="359" t="s">
        <v>2003</v>
      </c>
      <c r="AT37" s="359" t="s">
        <v>2004</v>
      </c>
      <c r="AU37" s="359" t="s">
        <v>2005</v>
      </c>
      <c r="AV37" s="359" t="s">
        <v>2006</v>
      </c>
      <c r="AW37" s="359" t="s">
        <v>2007</v>
      </c>
      <c r="AX37" s="359" t="s">
        <v>2008</v>
      </c>
      <c r="AY37" s="359" t="s">
        <v>2009</v>
      </c>
      <c r="AZ37" s="359" t="s">
        <v>2010</v>
      </c>
      <c r="BA37" s="359" t="s">
        <v>2011</v>
      </c>
      <c r="BB37" s="359" t="s">
        <v>2012</v>
      </c>
      <c r="BC37" s="359" t="s">
        <v>2013</v>
      </c>
      <c r="BD37" s="359" t="s">
        <v>2014</v>
      </c>
      <c r="BE37" s="359" t="s">
        <v>2015</v>
      </c>
      <c r="BF37" s="359" t="s">
        <v>2016</v>
      </c>
      <c r="BG37" s="359" t="s">
        <v>2017</v>
      </c>
      <c r="BH37" s="359" t="s">
        <v>2018</v>
      </c>
      <c r="BI37" s="359" t="s">
        <v>2019</v>
      </c>
      <c r="BJ37" s="359" t="s">
        <v>2020</v>
      </c>
      <c r="BK37" s="359" t="s">
        <v>2021</v>
      </c>
      <c r="BL37" s="359" t="s">
        <v>2022</v>
      </c>
      <c r="BM37" s="359" t="s">
        <v>2023</v>
      </c>
      <c r="BN37" s="359" t="s">
        <v>2024</v>
      </c>
      <c r="BO37" s="147" t="str">
        <f t="shared" si="39"/>
        <v>Pic Example</v>
      </c>
    </row>
    <row r="38" spans="2:67" x14ac:dyDescent="0.25">
      <c r="B38" t="s">
        <v>290</v>
      </c>
      <c r="C38" s="358" t="str">
        <f t="shared" si="36"/>
        <v>https://viking-pictures.s3.us-west-1.amazonaws.com/AA1155/A46.+Vent%2C+DASH+-+FRONT+CENTER+with+Hazard+Button+(1).JPG|https://viking-pictures.s3.us-west-1.amazonaws.com/AA1155/A46.+Vent%2C+DASH+-+FRONT+CENTER+with+Hazard+Button+(2).JPG|https://viking-pictures.s3.us-west-1.amazonaws.com/AA1155/A46.+Vent%2C+DASH+-+FRONT+CENTER+with+Hazard+Button+(3).JPG|https://viking-pictures.s3.us-west-1.amazonaws.com/AA1155/A46.+Vent%2C+DASH+-+FRONT+CENTER+with+Hazard+Button+(4).JPG</v>
      </c>
      <c r="D38" s="358">
        <f>VLOOKUP(B38,'3. Keep &amp; Toss Items'!$O$9:$T$749,6,FALSE)</f>
        <v>5</v>
      </c>
      <c r="E38" s="358" t="str">
        <f t="shared" si="37"/>
        <v>https://viking-pictures.s3.us-west-1.amazonaws.com/AA1155/A46.+Vent%2C+DASH+-+FRONT+CENTER+with+Hazard+Button+(1).JPG</v>
      </c>
      <c r="F38" s="358" t="str">
        <f t="shared" si="40"/>
        <v>https://viking-pictures.s3.us-west-1.amazonaws.com/AA1155/A46.+Vent%2C+DASH+-+FRONT+CENTER+with+Hazard+Button+(2).JPG</v>
      </c>
      <c r="G38" s="358" t="str">
        <f t="shared" si="41"/>
        <v>https://viking-pictures.s3.us-west-1.amazonaws.com/AA1155/A46.+Vent%2C+DASH+-+FRONT+CENTER+with+Hazard+Button+(3).JPG</v>
      </c>
      <c r="H38" s="358" t="str">
        <f t="shared" si="42"/>
        <v>https://viking-pictures.s3.us-west-1.amazonaws.com/AA1155/A46.+Vent%2C+DASH+-+FRONT+CENTER+with+Hazard+Button+(4).JPG</v>
      </c>
      <c r="I38" s="358" t="str">
        <f t="shared" si="43"/>
        <v/>
      </c>
      <c r="J38" s="358" t="str">
        <f t="shared" si="44"/>
        <v/>
      </c>
      <c r="K38" s="358" t="str">
        <f t="shared" si="45"/>
        <v/>
      </c>
      <c r="L38" s="358" t="str">
        <f t="shared" si="46"/>
        <v/>
      </c>
      <c r="M38" s="358" t="str">
        <f t="shared" si="47"/>
        <v/>
      </c>
      <c r="N38" s="358" t="str">
        <f t="shared" si="48"/>
        <v/>
      </c>
      <c r="O38" s="358" t="str">
        <f t="shared" si="49"/>
        <v/>
      </c>
      <c r="P38" s="358" t="str">
        <f t="shared" si="50"/>
        <v/>
      </c>
      <c r="Q38" s="358" t="str">
        <f t="shared" si="51"/>
        <v/>
      </c>
      <c r="R38" s="358" t="str">
        <f t="shared" si="52"/>
        <v/>
      </c>
      <c r="S38" s="358" t="str">
        <f t="shared" si="53"/>
        <v/>
      </c>
      <c r="T38" s="358" t="str">
        <f t="shared" si="54"/>
        <v/>
      </c>
      <c r="U38" s="358" t="str">
        <f t="shared" si="55"/>
        <v/>
      </c>
      <c r="V38" s="358" t="str">
        <f t="shared" si="56"/>
        <v/>
      </c>
      <c r="W38" s="358" t="str">
        <f t="shared" si="57"/>
        <v/>
      </c>
      <c r="X38" s="358" t="str">
        <f t="shared" si="58"/>
        <v/>
      </c>
      <c r="Y38" s="358" t="str">
        <f t="shared" si="59"/>
        <v/>
      </c>
      <c r="Z38" s="358" t="str">
        <f t="shared" si="60"/>
        <v/>
      </c>
      <c r="AA38" s="111" t="s">
        <v>1998</v>
      </c>
      <c r="AB38" s="358" t="str">
        <f t="shared" si="25"/>
        <v>A46.+Vent%2C+DASH+-+FRONT+CENTER+with+Hazard+Button</v>
      </c>
      <c r="AC38" s="358" t="str">
        <f>VLOOKUP(B38,'3. Keep &amp; Toss Items'!$O$9:$R$749,4,FALSE)</f>
        <v>A46. Vent, DASH - FRONT CENTER with Hazard Button</v>
      </c>
      <c r="AD38" s="358" t="str">
        <f t="shared" si="26"/>
        <v>A46. Vent, DASH - FRONT CENTER with Hazard Button</v>
      </c>
      <c r="AE38" s="358" t="str">
        <f t="shared" si="27"/>
        <v>A46.+Vent,+DASH+-+FRONT+CENTER+with+Hazard+Button</v>
      </c>
      <c r="AF38" s="358" t="str">
        <f t="shared" si="28"/>
        <v>A46.+Vent%2C+DASH+-+FRONT+CENTER+with+Hazard+Button</v>
      </c>
      <c r="AG38" s="358" t="str">
        <f t="shared" si="29"/>
        <v>A46.+Vent%2C+DASH+-+FRONT+CENTER+with+Hazard+Button</v>
      </c>
      <c r="AH38" s="358" t="str">
        <f t="shared" si="30"/>
        <v>A46.+Vent%2C+DASH+-+FRONT+CENTER+with+Hazard+Button</v>
      </c>
      <c r="AI38" s="358" t="str">
        <f t="shared" si="31"/>
        <v>A46.+Vent%2C+DASH+-+FRONT+CENTER+with+Hazard+Button</v>
      </c>
      <c r="AJ38" s="358" t="str">
        <f t="shared" si="32"/>
        <v>A46.+Vent%2C+DASH+-+FRONT+CENTER+with+Hazard+Button</v>
      </c>
      <c r="AK38" s="358" t="str">
        <f t="shared" si="33"/>
        <v>A46.+Vent%2C+DASH+-+FRONT+CENTER+with+Hazard+Button</v>
      </c>
      <c r="AL38" s="358" t="str">
        <f t="shared" si="38"/>
        <v>A46.+Vent%2C+DASH+-+FRONT+CENTER+with+Hazard+Button</v>
      </c>
      <c r="AM38" s="358" t="str">
        <f t="shared" si="34"/>
        <v>A46.+Vent%2C+DASH+-+FRONT+CENTER+with+Hazard+Button</v>
      </c>
      <c r="AN38" s="358" t="str">
        <f t="shared" si="35"/>
        <v>A46.+Vent%2C+DASH+-+FRONT+CENTER+with+Hazard+Button</v>
      </c>
      <c r="AO38" s="359" t="s">
        <v>1999</v>
      </c>
      <c r="AP38" s="359" t="s">
        <v>2000</v>
      </c>
      <c r="AQ38" s="359" t="s">
        <v>2001</v>
      </c>
      <c r="AR38" s="359" t="s">
        <v>2002</v>
      </c>
      <c r="AS38" s="359" t="s">
        <v>2003</v>
      </c>
      <c r="AT38" s="359" t="s">
        <v>2004</v>
      </c>
      <c r="AU38" s="359" t="s">
        <v>2005</v>
      </c>
      <c r="AV38" s="359" t="s">
        <v>2006</v>
      </c>
      <c r="AW38" s="359" t="s">
        <v>2007</v>
      </c>
      <c r="AX38" s="359" t="s">
        <v>2008</v>
      </c>
      <c r="AY38" s="359" t="s">
        <v>2009</v>
      </c>
      <c r="AZ38" s="359" t="s">
        <v>2010</v>
      </c>
      <c r="BA38" s="359" t="s">
        <v>2011</v>
      </c>
      <c r="BB38" s="359" t="s">
        <v>2012</v>
      </c>
      <c r="BC38" s="359" t="s">
        <v>2013</v>
      </c>
      <c r="BD38" s="359" t="s">
        <v>2014</v>
      </c>
      <c r="BE38" s="359" t="s">
        <v>2015</v>
      </c>
      <c r="BF38" s="359" t="s">
        <v>2016</v>
      </c>
      <c r="BG38" s="359" t="s">
        <v>2017</v>
      </c>
      <c r="BH38" s="359" t="s">
        <v>2018</v>
      </c>
      <c r="BI38" s="359" t="s">
        <v>2019</v>
      </c>
      <c r="BJ38" s="359" t="s">
        <v>2020</v>
      </c>
      <c r="BK38" s="359" t="s">
        <v>2021</v>
      </c>
      <c r="BL38" s="359" t="s">
        <v>2022</v>
      </c>
      <c r="BM38" s="359" t="s">
        <v>2023</v>
      </c>
      <c r="BN38" s="359" t="s">
        <v>2024</v>
      </c>
      <c r="BO38" s="147" t="str">
        <f t="shared" si="39"/>
        <v>Pic Example</v>
      </c>
    </row>
    <row r="39" spans="2:67" x14ac:dyDescent="0.25">
      <c r="B39" t="s">
        <v>291</v>
      </c>
      <c r="C39" s="358" t="str">
        <f t="shared" si="36"/>
        <v>https://viking-pictures.s3.us-west-1.amazonaws.com/AA1155/A47.+Door+Handle%2C+Exterior+-+FRONT+-+LEFT+(1).JPG|https://viking-pictures.s3.us-west-1.amazonaws.com/AA1155/A47.+Door+Handle%2C+Exterior+-+FRONT+-+LEFT+(2).JPG|https://viking-pictures.s3.us-west-1.amazonaws.com/AA1155/A47.+Door+Handle%2C+Exterior+-+FRONT+-+LEFT+(3).JPG|https://viking-pictures.s3.us-west-1.amazonaws.com/AA1155/A47.+Door+Handle%2C+Exterior+-+FRONT+-+LEFT+(4).JPG</v>
      </c>
      <c r="D39" s="358">
        <f>VLOOKUP(B39,'3. Keep &amp; Toss Items'!$O$9:$T$749,6,FALSE)</f>
        <v>5</v>
      </c>
      <c r="E39" s="358" t="str">
        <f t="shared" si="37"/>
        <v>https://viking-pictures.s3.us-west-1.amazonaws.com/AA1155/A47.+Door+Handle%2C+Exterior+-+FRONT+-+LEFT+(1).JPG</v>
      </c>
      <c r="F39" s="358" t="str">
        <f t="shared" si="40"/>
        <v>https://viking-pictures.s3.us-west-1.amazonaws.com/AA1155/A47.+Door+Handle%2C+Exterior+-+FRONT+-+LEFT+(2).JPG</v>
      </c>
      <c r="G39" s="358" t="str">
        <f t="shared" si="41"/>
        <v>https://viking-pictures.s3.us-west-1.amazonaws.com/AA1155/A47.+Door+Handle%2C+Exterior+-+FRONT+-+LEFT+(3).JPG</v>
      </c>
      <c r="H39" s="358" t="str">
        <f t="shared" si="42"/>
        <v>https://viking-pictures.s3.us-west-1.amazonaws.com/AA1155/A47.+Door+Handle%2C+Exterior+-+FRONT+-+LEFT+(4).JPG</v>
      </c>
      <c r="I39" s="358" t="str">
        <f t="shared" si="43"/>
        <v/>
      </c>
      <c r="J39" s="358" t="str">
        <f t="shared" si="44"/>
        <v/>
      </c>
      <c r="K39" s="358" t="str">
        <f t="shared" si="45"/>
        <v/>
      </c>
      <c r="L39" s="358" t="str">
        <f t="shared" si="46"/>
        <v/>
      </c>
      <c r="M39" s="358" t="str">
        <f t="shared" si="47"/>
        <v/>
      </c>
      <c r="N39" s="358" t="str">
        <f t="shared" si="48"/>
        <v/>
      </c>
      <c r="O39" s="358" t="str">
        <f t="shared" si="49"/>
        <v/>
      </c>
      <c r="P39" s="358" t="str">
        <f t="shared" si="50"/>
        <v/>
      </c>
      <c r="Q39" s="358" t="str">
        <f t="shared" si="51"/>
        <v/>
      </c>
      <c r="R39" s="358" t="str">
        <f t="shared" si="52"/>
        <v/>
      </c>
      <c r="S39" s="358" t="str">
        <f t="shared" si="53"/>
        <v/>
      </c>
      <c r="T39" s="358" t="str">
        <f t="shared" si="54"/>
        <v/>
      </c>
      <c r="U39" s="358" t="str">
        <f t="shared" si="55"/>
        <v/>
      </c>
      <c r="V39" s="358" t="str">
        <f t="shared" si="56"/>
        <v/>
      </c>
      <c r="W39" s="358" t="str">
        <f t="shared" si="57"/>
        <v/>
      </c>
      <c r="X39" s="358" t="str">
        <f t="shared" si="58"/>
        <v/>
      </c>
      <c r="Y39" s="358" t="str">
        <f t="shared" si="59"/>
        <v/>
      </c>
      <c r="Z39" s="358" t="str">
        <f t="shared" si="60"/>
        <v/>
      </c>
      <c r="AA39" s="111" t="s">
        <v>1998</v>
      </c>
      <c r="AB39" s="358" t="str">
        <f t="shared" si="25"/>
        <v>A47.+Door+Handle%2C+Exterior+-+FRONT+-+LEFT</v>
      </c>
      <c r="AC39" s="358" t="str">
        <f>VLOOKUP(B39,'3. Keep &amp; Toss Items'!$O$9:$R$749,4,FALSE)</f>
        <v>A47. Door Handle, Exterior - FRONT - LEFT</v>
      </c>
      <c r="AD39" s="358" t="str">
        <f t="shared" si="26"/>
        <v>A47. Door Handle, Exterior - FRONT - LEFT</v>
      </c>
      <c r="AE39" s="358" t="str">
        <f t="shared" si="27"/>
        <v>A47.+Door+Handle,+Exterior+-+FRONT+-+LEFT</v>
      </c>
      <c r="AF39" s="358" t="str">
        <f t="shared" si="28"/>
        <v>A47.+Door+Handle%2C+Exterior+-+FRONT+-+LEFT</v>
      </c>
      <c r="AG39" s="358" t="str">
        <f t="shared" si="29"/>
        <v>A47.+Door+Handle%2C+Exterior+-+FRONT+-+LEFT</v>
      </c>
      <c r="AH39" s="358" t="str">
        <f t="shared" si="30"/>
        <v>A47.+Door+Handle%2C+Exterior+-+FRONT+-+LEFT</v>
      </c>
      <c r="AI39" s="358" t="str">
        <f t="shared" si="31"/>
        <v>A47.+Door+Handle%2C+Exterior+-+FRONT+-+LEFT</v>
      </c>
      <c r="AJ39" s="358" t="str">
        <f t="shared" si="32"/>
        <v>A47.+Door+Handle%2C+Exterior+-+FRONT+-+LEFT</v>
      </c>
      <c r="AK39" s="358" t="str">
        <f t="shared" si="33"/>
        <v>A47.+Door+Handle%2C+Exterior+-+FRONT+-+LEFT</v>
      </c>
      <c r="AL39" s="358" t="str">
        <f t="shared" si="38"/>
        <v>A47.+Door+Handle%2C+Exterior+-+FRONT+-+LEFT</v>
      </c>
      <c r="AM39" s="358" t="str">
        <f t="shared" si="34"/>
        <v>A47.+Door+Handle%2C+Exterior+-+FRONT+-+LEFT</v>
      </c>
      <c r="AN39" s="358" t="str">
        <f t="shared" si="35"/>
        <v>A47.+Door+Handle%2C+Exterior+-+FRONT+-+LEFT</v>
      </c>
      <c r="AO39" s="359" t="s">
        <v>1999</v>
      </c>
      <c r="AP39" s="359" t="s">
        <v>2000</v>
      </c>
      <c r="AQ39" s="359" t="s">
        <v>2001</v>
      </c>
      <c r="AR39" s="359" t="s">
        <v>2002</v>
      </c>
      <c r="AS39" s="359" t="s">
        <v>2003</v>
      </c>
      <c r="AT39" s="359" t="s">
        <v>2004</v>
      </c>
      <c r="AU39" s="359" t="s">
        <v>2005</v>
      </c>
      <c r="AV39" s="359" t="s">
        <v>2006</v>
      </c>
      <c r="AW39" s="359" t="s">
        <v>2007</v>
      </c>
      <c r="AX39" s="359" t="s">
        <v>2008</v>
      </c>
      <c r="AY39" s="359" t="s">
        <v>2009</v>
      </c>
      <c r="AZ39" s="359" t="s">
        <v>2010</v>
      </c>
      <c r="BA39" s="359" t="s">
        <v>2011</v>
      </c>
      <c r="BB39" s="359" t="s">
        <v>2012</v>
      </c>
      <c r="BC39" s="359" t="s">
        <v>2013</v>
      </c>
      <c r="BD39" s="359" t="s">
        <v>2014</v>
      </c>
      <c r="BE39" s="359" t="s">
        <v>2015</v>
      </c>
      <c r="BF39" s="359" t="s">
        <v>2016</v>
      </c>
      <c r="BG39" s="359" t="s">
        <v>2017</v>
      </c>
      <c r="BH39" s="359" t="s">
        <v>2018</v>
      </c>
      <c r="BI39" s="359" t="s">
        <v>2019</v>
      </c>
      <c r="BJ39" s="359" t="s">
        <v>2020</v>
      </c>
      <c r="BK39" s="359" t="s">
        <v>2021</v>
      </c>
      <c r="BL39" s="359" t="s">
        <v>2022</v>
      </c>
      <c r="BM39" s="359" t="s">
        <v>2023</v>
      </c>
      <c r="BN39" s="359" t="s">
        <v>2024</v>
      </c>
      <c r="BO39" s="147" t="str">
        <f t="shared" si="39"/>
        <v>Pic Example</v>
      </c>
    </row>
    <row r="40" spans="2:67" x14ac:dyDescent="0.25">
      <c r="B40" t="s">
        <v>292</v>
      </c>
      <c r="C40" s="358" t="str">
        <f t="shared" si="36"/>
        <v>https://viking-pictures.s3.us-west-1.amazonaws.com/AA1155/A48.+Navigation+Display+Screen+(1).JPG|https://viking-pictures.s3.us-west-1.amazonaws.com/AA1155/A48.+Navigation+Display+Screen+(2).JPG|https://viking-pictures.s3.us-west-1.amazonaws.com/AA1155/A48.+Navigation+Display+Screen+(3).JPG|https://viking-pictures.s3.us-west-1.amazonaws.com/AA1155/A48.+Navigation+Display+Screen+(4).JPG</v>
      </c>
      <c r="D40" s="358">
        <f>VLOOKUP(B40,'3. Keep &amp; Toss Items'!$O$9:$T$749,6,FALSE)</f>
        <v>5</v>
      </c>
      <c r="E40" s="358" t="str">
        <f t="shared" si="37"/>
        <v>https://viking-pictures.s3.us-west-1.amazonaws.com/AA1155/A48.+Navigation+Display+Screen+(1).JPG</v>
      </c>
      <c r="F40" s="358" t="str">
        <f t="shared" si="40"/>
        <v>https://viking-pictures.s3.us-west-1.amazonaws.com/AA1155/A48.+Navigation+Display+Screen+(2).JPG</v>
      </c>
      <c r="G40" s="358" t="str">
        <f t="shared" si="41"/>
        <v>https://viking-pictures.s3.us-west-1.amazonaws.com/AA1155/A48.+Navigation+Display+Screen+(3).JPG</v>
      </c>
      <c r="H40" s="358" t="str">
        <f t="shared" si="42"/>
        <v>https://viking-pictures.s3.us-west-1.amazonaws.com/AA1155/A48.+Navigation+Display+Screen+(4).JPG</v>
      </c>
      <c r="I40" s="358" t="str">
        <f t="shared" si="43"/>
        <v/>
      </c>
      <c r="J40" s="358" t="str">
        <f t="shared" si="44"/>
        <v/>
      </c>
      <c r="K40" s="358" t="str">
        <f t="shared" si="45"/>
        <v/>
      </c>
      <c r="L40" s="358" t="str">
        <f t="shared" si="46"/>
        <v/>
      </c>
      <c r="M40" s="358" t="str">
        <f t="shared" si="47"/>
        <v/>
      </c>
      <c r="N40" s="358" t="str">
        <f t="shared" si="48"/>
        <v/>
      </c>
      <c r="O40" s="358" t="str">
        <f t="shared" si="49"/>
        <v/>
      </c>
      <c r="P40" s="358" t="str">
        <f t="shared" si="50"/>
        <v/>
      </c>
      <c r="Q40" s="358" t="str">
        <f t="shared" si="51"/>
        <v/>
      </c>
      <c r="R40" s="358" t="str">
        <f t="shared" si="52"/>
        <v/>
      </c>
      <c r="S40" s="358" t="str">
        <f t="shared" si="53"/>
        <v/>
      </c>
      <c r="T40" s="358" t="str">
        <f t="shared" si="54"/>
        <v/>
      </c>
      <c r="U40" s="358" t="str">
        <f t="shared" si="55"/>
        <v/>
      </c>
      <c r="V40" s="358" t="str">
        <f t="shared" si="56"/>
        <v/>
      </c>
      <c r="W40" s="358" t="str">
        <f t="shared" si="57"/>
        <v/>
      </c>
      <c r="X40" s="358" t="str">
        <f t="shared" si="58"/>
        <v/>
      </c>
      <c r="Y40" s="358" t="str">
        <f t="shared" si="59"/>
        <v/>
      </c>
      <c r="Z40" s="358" t="str">
        <f t="shared" si="60"/>
        <v/>
      </c>
      <c r="AA40" s="111" t="s">
        <v>1998</v>
      </c>
      <c r="AB40" s="358" t="str">
        <f t="shared" si="25"/>
        <v>A48.+Navigation+Display+Screen</v>
      </c>
      <c r="AC40" s="358" t="str">
        <f>VLOOKUP(B40,'3. Keep &amp; Toss Items'!$O$9:$R$749,4,FALSE)</f>
        <v>A48. Navigation Display Screen</v>
      </c>
      <c r="AD40" s="358" t="str">
        <f t="shared" si="26"/>
        <v>A48. Navigation Display Screen</v>
      </c>
      <c r="AE40" s="358" t="str">
        <f t="shared" si="27"/>
        <v>A48.+Navigation+Display+Screen</v>
      </c>
      <c r="AF40" s="358" t="str">
        <f t="shared" si="28"/>
        <v>A48.+Navigation+Display+Screen</v>
      </c>
      <c r="AG40" s="358" t="str">
        <f t="shared" si="29"/>
        <v>A48.+Navigation+Display+Screen</v>
      </c>
      <c r="AH40" s="358" t="str">
        <f t="shared" si="30"/>
        <v>A48.+Navigation+Display+Screen</v>
      </c>
      <c r="AI40" s="358" t="str">
        <f t="shared" si="31"/>
        <v>A48.+Navigation+Display+Screen</v>
      </c>
      <c r="AJ40" s="358" t="str">
        <f t="shared" si="32"/>
        <v>A48.+Navigation+Display+Screen</v>
      </c>
      <c r="AK40" s="358" t="str">
        <f t="shared" si="33"/>
        <v>A48.+Navigation+Display+Screen</v>
      </c>
      <c r="AL40" s="358" t="str">
        <f t="shared" si="38"/>
        <v>A48.+Navigation+Display+Screen</v>
      </c>
      <c r="AM40" s="358" t="str">
        <f t="shared" si="34"/>
        <v>A48.+Navigation+Display+Screen</v>
      </c>
      <c r="AN40" s="358" t="str">
        <f t="shared" si="35"/>
        <v>A48.+Navigation+Display+Screen</v>
      </c>
      <c r="AO40" s="359" t="s">
        <v>1999</v>
      </c>
      <c r="AP40" s="359" t="s">
        <v>2000</v>
      </c>
      <c r="AQ40" s="359" t="s">
        <v>2001</v>
      </c>
      <c r="AR40" s="359" t="s">
        <v>2002</v>
      </c>
      <c r="AS40" s="359" t="s">
        <v>2003</v>
      </c>
      <c r="AT40" s="359" t="s">
        <v>2004</v>
      </c>
      <c r="AU40" s="359" t="s">
        <v>2005</v>
      </c>
      <c r="AV40" s="359" t="s">
        <v>2006</v>
      </c>
      <c r="AW40" s="359" t="s">
        <v>2007</v>
      </c>
      <c r="AX40" s="359" t="s">
        <v>2008</v>
      </c>
      <c r="AY40" s="359" t="s">
        <v>2009</v>
      </c>
      <c r="AZ40" s="359" t="s">
        <v>2010</v>
      </c>
      <c r="BA40" s="359" t="s">
        <v>2011</v>
      </c>
      <c r="BB40" s="359" t="s">
        <v>2012</v>
      </c>
      <c r="BC40" s="359" t="s">
        <v>2013</v>
      </c>
      <c r="BD40" s="359" t="s">
        <v>2014</v>
      </c>
      <c r="BE40" s="359" t="s">
        <v>2015</v>
      </c>
      <c r="BF40" s="359" t="s">
        <v>2016</v>
      </c>
      <c r="BG40" s="359" t="s">
        <v>2017</v>
      </c>
      <c r="BH40" s="359" t="s">
        <v>2018</v>
      </c>
      <c r="BI40" s="359" t="s">
        <v>2019</v>
      </c>
      <c r="BJ40" s="359" t="s">
        <v>2020</v>
      </c>
      <c r="BK40" s="359" t="s">
        <v>2021</v>
      </c>
      <c r="BL40" s="359" t="s">
        <v>2022</v>
      </c>
      <c r="BM40" s="359" t="s">
        <v>2023</v>
      </c>
      <c r="BN40" s="359" t="s">
        <v>2024</v>
      </c>
      <c r="BO40" s="147" t="str">
        <f t="shared" si="39"/>
        <v>Pic Example</v>
      </c>
    </row>
    <row r="41" spans="2:67" x14ac:dyDescent="0.25">
      <c r="B41" t="s">
        <v>293</v>
      </c>
      <c r="C41" s="358" t="str">
        <f t="shared" si="36"/>
        <v>https://viking-pictures.s3.us-west-1.amazonaws.com/AA1155/A49.+Door+Handle%2C+Exterior+-+REAR+-+LEFT+(1).JPG|https://viking-pictures.s3.us-west-1.amazonaws.com/AA1155/A49.+Door+Handle%2C+Exterior+-+REAR+-+LEFT+(2).JPG|https://viking-pictures.s3.us-west-1.amazonaws.com/AA1155/A49.+Door+Handle%2C+Exterior+-+REAR+-+LEFT+(3).JPG|https://viking-pictures.s3.us-west-1.amazonaws.com/AA1155/A49.+Door+Handle%2C+Exterior+-+REAR+-+LEFT+(4).JPG</v>
      </c>
      <c r="D41" s="358">
        <f>VLOOKUP(B41,'3. Keep &amp; Toss Items'!$O$9:$T$749,6,FALSE)</f>
        <v>5</v>
      </c>
      <c r="E41" s="358" t="str">
        <f t="shared" si="37"/>
        <v>https://viking-pictures.s3.us-west-1.amazonaws.com/AA1155/A49.+Door+Handle%2C+Exterior+-+REAR+-+LEFT+(1).JPG</v>
      </c>
      <c r="F41" s="358" t="str">
        <f t="shared" si="40"/>
        <v>https://viking-pictures.s3.us-west-1.amazonaws.com/AA1155/A49.+Door+Handle%2C+Exterior+-+REAR+-+LEFT+(2).JPG</v>
      </c>
      <c r="G41" s="358" t="str">
        <f t="shared" si="41"/>
        <v>https://viking-pictures.s3.us-west-1.amazonaws.com/AA1155/A49.+Door+Handle%2C+Exterior+-+REAR+-+LEFT+(3).JPG</v>
      </c>
      <c r="H41" s="358" t="str">
        <f t="shared" si="42"/>
        <v>https://viking-pictures.s3.us-west-1.amazonaws.com/AA1155/A49.+Door+Handle%2C+Exterior+-+REAR+-+LEFT+(4).JPG</v>
      </c>
      <c r="I41" s="358" t="str">
        <f t="shared" si="43"/>
        <v/>
      </c>
      <c r="J41" s="358" t="str">
        <f t="shared" si="44"/>
        <v/>
      </c>
      <c r="K41" s="358" t="str">
        <f t="shared" si="45"/>
        <v/>
      </c>
      <c r="L41" s="358" t="str">
        <f t="shared" si="46"/>
        <v/>
      </c>
      <c r="M41" s="358" t="str">
        <f t="shared" si="47"/>
        <v/>
      </c>
      <c r="N41" s="358" t="str">
        <f t="shared" si="48"/>
        <v/>
      </c>
      <c r="O41" s="358" t="str">
        <f t="shared" si="49"/>
        <v/>
      </c>
      <c r="P41" s="358" t="str">
        <f t="shared" si="50"/>
        <v/>
      </c>
      <c r="Q41" s="358" t="str">
        <f t="shared" si="51"/>
        <v/>
      </c>
      <c r="R41" s="358" t="str">
        <f t="shared" si="52"/>
        <v/>
      </c>
      <c r="S41" s="358" t="str">
        <f t="shared" si="53"/>
        <v/>
      </c>
      <c r="T41" s="358" t="str">
        <f t="shared" si="54"/>
        <v/>
      </c>
      <c r="U41" s="358" t="str">
        <f t="shared" si="55"/>
        <v/>
      </c>
      <c r="V41" s="358" t="str">
        <f t="shared" si="56"/>
        <v/>
      </c>
      <c r="W41" s="358" t="str">
        <f t="shared" si="57"/>
        <v/>
      </c>
      <c r="X41" s="358" t="str">
        <f t="shared" si="58"/>
        <v/>
      </c>
      <c r="Y41" s="358" t="str">
        <f t="shared" si="59"/>
        <v/>
      </c>
      <c r="Z41" s="358" t="str">
        <f t="shared" si="60"/>
        <v/>
      </c>
      <c r="AA41" s="111" t="s">
        <v>1998</v>
      </c>
      <c r="AB41" s="358" t="str">
        <f t="shared" si="25"/>
        <v>A49.+Door+Handle%2C+Exterior+-+REAR+-+LEFT</v>
      </c>
      <c r="AC41" s="358" t="str">
        <f>VLOOKUP(B41,'3. Keep &amp; Toss Items'!$O$9:$R$749,4,FALSE)</f>
        <v>A49. Door Handle, Exterior - REAR - LEFT</v>
      </c>
      <c r="AD41" s="358" t="str">
        <f t="shared" si="26"/>
        <v>A49. Door Handle, Exterior - REAR - LEFT</v>
      </c>
      <c r="AE41" s="358" t="str">
        <f t="shared" si="27"/>
        <v>A49.+Door+Handle,+Exterior+-+REAR+-+LEFT</v>
      </c>
      <c r="AF41" s="358" t="str">
        <f t="shared" si="28"/>
        <v>A49.+Door+Handle%2C+Exterior+-+REAR+-+LEFT</v>
      </c>
      <c r="AG41" s="358" t="str">
        <f t="shared" si="29"/>
        <v>A49.+Door+Handle%2C+Exterior+-+REAR+-+LEFT</v>
      </c>
      <c r="AH41" s="358" t="str">
        <f t="shared" si="30"/>
        <v>A49.+Door+Handle%2C+Exterior+-+REAR+-+LEFT</v>
      </c>
      <c r="AI41" s="358" t="str">
        <f t="shared" si="31"/>
        <v>A49.+Door+Handle%2C+Exterior+-+REAR+-+LEFT</v>
      </c>
      <c r="AJ41" s="358" t="str">
        <f t="shared" si="32"/>
        <v>A49.+Door+Handle%2C+Exterior+-+REAR+-+LEFT</v>
      </c>
      <c r="AK41" s="358" t="str">
        <f t="shared" si="33"/>
        <v>A49.+Door+Handle%2C+Exterior+-+REAR+-+LEFT</v>
      </c>
      <c r="AL41" s="358" t="str">
        <f t="shared" si="38"/>
        <v>A49.+Door+Handle%2C+Exterior+-+REAR+-+LEFT</v>
      </c>
      <c r="AM41" s="358" t="str">
        <f t="shared" si="34"/>
        <v>A49.+Door+Handle%2C+Exterior+-+REAR+-+LEFT</v>
      </c>
      <c r="AN41" s="358" t="str">
        <f t="shared" si="35"/>
        <v>A49.+Door+Handle%2C+Exterior+-+REAR+-+LEFT</v>
      </c>
      <c r="AO41" s="359" t="s">
        <v>1999</v>
      </c>
      <c r="AP41" s="359" t="s">
        <v>2000</v>
      </c>
      <c r="AQ41" s="359" t="s">
        <v>2001</v>
      </c>
      <c r="AR41" s="359" t="s">
        <v>2002</v>
      </c>
      <c r="AS41" s="359" t="s">
        <v>2003</v>
      </c>
      <c r="AT41" s="359" t="s">
        <v>2004</v>
      </c>
      <c r="AU41" s="359" t="s">
        <v>2005</v>
      </c>
      <c r="AV41" s="359" t="s">
        <v>2006</v>
      </c>
      <c r="AW41" s="359" t="s">
        <v>2007</v>
      </c>
      <c r="AX41" s="359" t="s">
        <v>2008</v>
      </c>
      <c r="AY41" s="359" t="s">
        <v>2009</v>
      </c>
      <c r="AZ41" s="359" t="s">
        <v>2010</v>
      </c>
      <c r="BA41" s="359" t="s">
        <v>2011</v>
      </c>
      <c r="BB41" s="359" t="s">
        <v>2012</v>
      </c>
      <c r="BC41" s="359" t="s">
        <v>2013</v>
      </c>
      <c r="BD41" s="359" t="s">
        <v>2014</v>
      </c>
      <c r="BE41" s="359" t="s">
        <v>2015</v>
      </c>
      <c r="BF41" s="359" t="s">
        <v>2016</v>
      </c>
      <c r="BG41" s="359" t="s">
        <v>2017</v>
      </c>
      <c r="BH41" s="359" t="s">
        <v>2018</v>
      </c>
      <c r="BI41" s="359" t="s">
        <v>2019</v>
      </c>
      <c r="BJ41" s="359" t="s">
        <v>2020</v>
      </c>
      <c r="BK41" s="359" t="s">
        <v>2021</v>
      </c>
      <c r="BL41" s="359" t="s">
        <v>2022</v>
      </c>
      <c r="BM41" s="359" t="s">
        <v>2023</v>
      </c>
      <c r="BN41" s="359" t="s">
        <v>2024</v>
      </c>
      <c r="BO41" s="147" t="str">
        <f t="shared" si="39"/>
        <v>Pic Example</v>
      </c>
    </row>
    <row r="42" spans="2:67" x14ac:dyDescent="0.25">
      <c r="B42" t="s">
        <v>294</v>
      </c>
      <c r="C42" s="358" t="str">
        <f t="shared" si="36"/>
        <v>https://viking-pictures.s3.us-west-1.amazonaws.com/AA1155/A50.+Seatbelt+Retractor%2C+FRONT+-+LEFT+(1).JPG|https://viking-pictures.s3.us-west-1.amazonaws.com/AA1155/A50.+Seatbelt+Retractor%2C+FRONT+-+LEFT+(2).JPG|https://viking-pictures.s3.us-west-1.amazonaws.com/AA1155/A50.+Seatbelt+Retractor%2C+FRONT+-+LEFT+(3).JPG|https://viking-pictures.s3.us-west-1.amazonaws.com/AA1155/A50.+Seatbelt+Retractor%2C+FRONT+-+LEFT+(4).JPG</v>
      </c>
      <c r="D42" s="358">
        <f>VLOOKUP(B42,'3. Keep &amp; Toss Items'!$O$9:$T$749,6,FALSE)</f>
        <v>4</v>
      </c>
      <c r="E42" s="358" t="str">
        <f t="shared" si="37"/>
        <v>https://viking-pictures.s3.us-west-1.amazonaws.com/AA1155/A50.+Seatbelt+Retractor%2C+FRONT+-+LEFT+(1).JPG</v>
      </c>
      <c r="F42" s="358" t="str">
        <f t="shared" si="40"/>
        <v>https://viking-pictures.s3.us-west-1.amazonaws.com/AA1155/A50.+Seatbelt+Retractor%2C+FRONT+-+LEFT+(2).JPG</v>
      </c>
      <c r="G42" s="358" t="str">
        <f t="shared" si="41"/>
        <v>https://viking-pictures.s3.us-west-1.amazonaws.com/AA1155/A50.+Seatbelt+Retractor%2C+FRONT+-+LEFT+(3).JPG</v>
      </c>
      <c r="H42" s="358" t="str">
        <f t="shared" si="42"/>
        <v>https://viking-pictures.s3.us-west-1.amazonaws.com/AA1155/A50.+Seatbelt+Retractor%2C+FRONT+-+LEFT+(4).JPG</v>
      </c>
      <c r="I42" s="358" t="str">
        <f t="shared" si="43"/>
        <v/>
      </c>
      <c r="J42" s="358" t="str">
        <f t="shared" si="44"/>
        <v/>
      </c>
      <c r="K42" s="358" t="str">
        <f t="shared" si="45"/>
        <v/>
      </c>
      <c r="L42" s="358" t="str">
        <f t="shared" si="46"/>
        <v/>
      </c>
      <c r="M42" s="358" t="str">
        <f t="shared" si="47"/>
        <v/>
      </c>
      <c r="N42" s="358" t="str">
        <f t="shared" si="48"/>
        <v/>
      </c>
      <c r="O42" s="358" t="str">
        <f t="shared" si="49"/>
        <v/>
      </c>
      <c r="P42" s="358" t="str">
        <f t="shared" si="50"/>
        <v/>
      </c>
      <c r="Q42" s="358" t="str">
        <f t="shared" si="51"/>
        <v/>
      </c>
      <c r="R42" s="358" t="str">
        <f t="shared" si="52"/>
        <v/>
      </c>
      <c r="S42" s="358" t="str">
        <f t="shared" si="53"/>
        <v/>
      </c>
      <c r="T42" s="358" t="str">
        <f t="shared" si="54"/>
        <v/>
      </c>
      <c r="U42" s="358" t="str">
        <f t="shared" si="55"/>
        <v/>
      </c>
      <c r="V42" s="358" t="str">
        <f t="shared" si="56"/>
        <v/>
      </c>
      <c r="W42" s="358" t="str">
        <f t="shared" si="57"/>
        <v/>
      </c>
      <c r="X42" s="358" t="str">
        <f t="shared" si="58"/>
        <v/>
      </c>
      <c r="Y42" s="358" t="str">
        <f t="shared" si="59"/>
        <v/>
      </c>
      <c r="Z42" s="358" t="str">
        <f t="shared" si="60"/>
        <v/>
      </c>
      <c r="AA42" s="111" t="s">
        <v>1998</v>
      </c>
      <c r="AB42" s="358" t="str">
        <f t="shared" si="25"/>
        <v>A50.+Seatbelt+Retractor%2C+FRONT+-+LEFT</v>
      </c>
      <c r="AC42" s="358" t="str">
        <f>VLOOKUP(B42,'3. Keep &amp; Toss Items'!$O$9:$R$749,4,FALSE)</f>
        <v>A50. Seatbelt Retractor, FRONT - LEFT</v>
      </c>
      <c r="AD42" s="358" t="str">
        <f t="shared" si="26"/>
        <v>A50. Seatbelt Retractor, FRONT - LEFT</v>
      </c>
      <c r="AE42" s="358" t="str">
        <f t="shared" si="27"/>
        <v>A50.+Seatbelt+Retractor,+FRONT+-+LEFT</v>
      </c>
      <c r="AF42" s="358" t="str">
        <f t="shared" si="28"/>
        <v>A50.+Seatbelt+Retractor%2C+FRONT+-+LEFT</v>
      </c>
      <c r="AG42" s="358" t="str">
        <f t="shared" si="29"/>
        <v>A50.+Seatbelt+Retractor%2C+FRONT+-+LEFT</v>
      </c>
      <c r="AH42" s="358" t="str">
        <f t="shared" si="30"/>
        <v>A50.+Seatbelt+Retractor%2C+FRONT+-+LEFT</v>
      </c>
      <c r="AI42" s="358" t="str">
        <f t="shared" si="31"/>
        <v>A50.+Seatbelt+Retractor%2C+FRONT+-+LEFT</v>
      </c>
      <c r="AJ42" s="358" t="str">
        <f t="shared" si="32"/>
        <v>A50.+Seatbelt+Retractor%2C+FRONT+-+LEFT</v>
      </c>
      <c r="AK42" s="358" t="str">
        <f t="shared" si="33"/>
        <v>A50.+Seatbelt+Retractor%2C+FRONT+-+LEFT</v>
      </c>
      <c r="AL42" s="358" t="str">
        <f t="shared" si="38"/>
        <v>A50.+Seatbelt+Retractor%2C+FRONT+-+LEFT</v>
      </c>
      <c r="AM42" s="358" t="str">
        <f t="shared" si="34"/>
        <v>A50.+Seatbelt+Retractor%2C+FRONT+-+LEFT</v>
      </c>
      <c r="AN42" s="358" t="str">
        <f t="shared" si="35"/>
        <v>A50.+Seatbelt+Retractor%2C+FRONT+-+LEFT</v>
      </c>
      <c r="AO42" s="359" t="s">
        <v>1999</v>
      </c>
      <c r="AP42" s="359" t="s">
        <v>2000</v>
      </c>
      <c r="AQ42" s="359" t="s">
        <v>2001</v>
      </c>
      <c r="AR42" s="359" t="s">
        <v>2002</v>
      </c>
      <c r="AS42" s="359" t="s">
        <v>2003</v>
      </c>
      <c r="AT42" s="359" t="s">
        <v>2004</v>
      </c>
      <c r="AU42" s="359" t="s">
        <v>2005</v>
      </c>
      <c r="AV42" s="359" t="s">
        <v>2006</v>
      </c>
      <c r="AW42" s="359" t="s">
        <v>2007</v>
      </c>
      <c r="AX42" s="359" t="s">
        <v>2008</v>
      </c>
      <c r="AY42" s="359" t="s">
        <v>2009</v>
      </c>
      <c r="AZ42" s="359" t="s">
        <v>2010</v>
      </c>
      <c r="BA42" s="359" t="s">
        <v>2011</v>
      </c>
      <c r="BB42" s="359" t="s">
        <v>2012</v>
      </c>
      <c r="BC42" s="359" t="s">
        <v>2013</v>
      </c>
      <c r="BD42" s="359" t="s">
        <v>2014</v>
      </c>
      <c r="BE42" s="359" t="s">
        <v>2015</v>
      </c>
      <c r="BF42" s="359" t="s">
        <v>2016</v>
      </c>
      <c r="BG42" s="359" t="s">
        <v>2017</v>
      </c>
      <c r="BH42" s="359" t="s">
        <v>2018</v>
      </c>
      <c r="BI42" s="359" t="s">
        <v>2019</v>
      </c>
      <c r="BJ42" s="359" t="s">
        <v>2020</v>
      </c>
      <c r="BK42" s="359" t="s">
        <v>2021</v>
      </c>
      <c r="BL42" s="359" t="s">
        <v>2022</v>
      </c>
      <c r="BM42" s="359" t="s">
        <v>2023</v>
      </c>
      <c r="BN42" s="359" t="s">
        <v>2024</v>
      </c>
      <c r="BO42" s="147" t="str">
        <f t="shared" si="39"/>
        <v>Pic Example</v>
      </c>
    </row>
    <row r="43" spans="2:67" x14ac:dyDescent="0.25">
      <c r="B43" t="s">
        <v>295</v>
      </c>
      <c r="C43" s="358" t="str">
        <f t="shared" si="36"/>
        <v>https://viking-pictures.s3.us-west-1.amazonaws.com/AA1155/A51.+Combination+Switch+Assembly+(1).JPG|https://viking-pictures.s3.us-west-1.amazonaws.com/AA1155/A51.+Combination+Switch+Assembly+(2).JPG|https://viking-pictures.s3.us-west-1.amazonaws.com/AA1155/A51.+Combination+Switch+Assembly+(3).JPG|https://viking-pictures.s3.us-west-1.amazonaws.com/AA1155/A51.+Combination+Switch+Assembly+(4).JPG|https://viking-pictures.s3.us-west-1.amazonaws.com/AA1155/A51.+Combination+Switch+Assembly+(6).JPG</v>
      </c>
      <c r="D43" s="358">
        <f>VLOOKUP(B43,'3. Keep &amp; Toss Items'!$O$9:$T$749,6,FALSE)</f>
        <v>6</v>
      </c>
      <c r="E43" s="358" t="str">
        <f t="shared" si="37"/>
        <v>https://viking-pictures.s3.us-west-1.amazonaws.com/AA1155/A51.+Combination+Switch+Assembly+(1).JPG</v>
      </c>
      <c r="F43" s="358" t="str">
        <f t="shared" si="40"/>
        <v>https://viking-pictures.s3.us-west-1.amazonaws.com/AA1155/A51.+Combination+Switch+Assembly+(2).JPG</v>
      </c>
      <c r="G43" s="358" t="str">
        <f t="shared" si="41"/>
        <v>https://viking-pictures.s3.us-west-1.amazonaws.com/AA1155/A51.+Combination+Switch+Assembly+(3).JPG</v>
      </c>
      <c r="H43" s="358" t="str">
        <f t="shared" si="42"/>
        <v>https://viking-pictures.s3.us-west-1.amazonaws.com/AA1155/A51.+Combination+Switch+Assembly+(4).JPG</v>
      </c>
      <c r="I43" s="358" t="str">
        <f t="shared" si="43"/>
        <v>https://viking-pictures.s3.us-west-1.amazonaws.com/AA1155/A51.+Combination+Switch+Assembly+(6).JPG</v>
      </c>
      <c r="J43" s="358" t="str">
        <f t="shared" si="44"/>
        <v/>
      </c>
      <c r="K43" s="358" t="str">
        <f t="shared" si="45"/>
        <v/>
      </c>
      <c r="L43" s="358" t="str">
        <f t="shared" si="46"/>
        <v/>
      </c>
      <c r="M43" s="358" t="str">
        <f t="shared" si="47"/>
        <v/>
      </c>
      <c r="N43" s="358" t="str">
        <f t="shared" si="48"/>
        <v/>
      </c>
      <c r="O43" s="358" t="str">
        <f t="shared" si="49"/>
        <v/>
      </c>
      <c r="P43" s="358" t="str">
        <f t="shared" si="50"/>
        <v/>
      </c>
      <c r="Q43" s="358" t="str">
        <f t="shared" si="51"/>
        <v/>
      </c>
      <c r="R43" s="358" t="str">
        <f t="shared" si="52"/>
        <v/>
      </c>
      <c r="S43" s="358" t="str">
        <f t="shared" si="53"/>
        <v/>
      </c>
      <c r="T43" s="358" t="str">
        <f t="shared" si="54"/>
        <v/>
      </c>
      <c r="U43" s="358" t="str">
        <f t="shared" si="55"/>
        <v/>
      </c>
      <c r="V43" s="358" t="str">
        <f t="shared" si="56"/>
        <v/>
      </c>
      <c r="W43" s="358" t="str">
        <f t="shared" si="57"/>
        <v/>
      </c>
      <c r="X43" s="358" t="str">
        <f t="shared" si="58"/>
        <v/>
      </c>
      <c r="Y43" s="358" t="str">
        <f t="shared" si="59"/>
        <v/>
      </c>
      <c r="Z43" s="358" t="str">
        <f t="shared" si="60"/>
        <v/>
      </c>
      <c r="AA43" s="111" t="s">
        <v>1998</v>
      </c>
      <c r="AB43" s="358" t="str">
        <f t="shared" si="25"/>
        <v>A51.+Combination+Switch+Assembly</v>
      </c>
      <c r="AC43" s="358" t="str">
        <f>VLOOKUP(B43,'3. Keep &amp; Toss Items'!$O$9:$R$749,4,FALSE)</f>
        <v>A51. Combination Switch Assembly</v>
      </c>
      <c r="AD43" s="358" t="str">
        <f t="shared" si="26"/>
        <v>A51. Combination Switch Assembly</v>
      </c>
      <c r="AE43" s="358" t="str">
        <f t="shared" si="27"/>
        <v>A51.+Combination+Switch+Assembly</v>
      </c>
      <c r="AF43" s="358" t="str">
        <f t="shared" si="28"/>
        <v>A51.+Combination+Switch+Assembly</v>
      </c>
      <c r="AG43" s="358" t="str">
        <f t="shared" si="29"/>
        <v>A51.+Combination+Switch+Assembly</v>
      </c>
      <c r="AH43" s="358" t="str">
        <f t="shared" si="30"/>
        <v>A51.+Combination+Switch+Assembly</v>
      </c>
      <c r="AI43" s="358" t="str">
        <f t="shared" si="31"/>
        <v>A51.+Combination+Switch+Assembly</v>
      </c>
      <c r="AJ43" s="358" t="str">
        <f t="shared" si="32"/>
        <v>A51.+Combination+Switch+Assembly</v>
      </c>
      <c r="AK43" s="358" t="str">
        <f t="shared" si="33"/>
        <v>A51.+Combination+Switch+Assembly</v>
      </c>
      <c r="AL43" s="358" t="str">
        <f t="shared" si="38"/>
        <v>A51.+Combination+Switch+Assembly</v>
      </c>
      <c r="AM43" s="358" t="str">
        <f t="shared" si="34"/>
        <v>A51.+Combination+Switch+Assembly</v>
      </c>
      <c r="AN43" s="358" t="str">
        <f t="shared" si="35"/>
        <v>A51.+Combination+Switch+Assembly</v>
      </c>
      <c r="AO43" s="359" t="s">
        <v>1999</v>
      </c>
      <c r="AP43" s="359" t="s">
        <v>2000</v>
      </c>
      <c r="AQ43" s="359" t="s">
        <v>2001</v>
      </c>
      <c r="AR43" s="359" t="s">
        <v>2002</v>
      </c>
      <c r="AS43" s="359" t="s">
        <v>2003</v>
      </c>
      <c r="AT43" s="359" t="s">
        <v>2004</v>
      </c>
      <c r="AU43" s="359" t="s">
        <v>2005</v>
      </c>
      <c r="AV43" s="359" t="s">
        <v>2006</v>
      </c>
      <c r="AW43" s="359" t="s">
        <v>2007</v>
      </c>
      <c r="AX43" s="359" t="s">
        <v>2008</v>
      </c>
      <c r="AY43" s="359" t="s">
        <v>2009</v>
      </c>
      <c r="AZ43" s="359" t="s">
        <v>2010</v>
      </c>
      <c r="BA43" s="359" t="s">
        <v>2011</v>
      </c>
      <c r="BB43" s="359" t="s">
        <v>2012</v>
      </c>
      <c r="BC43" s="359" t="s">
        <v>2013</v>
      </c>
      <c r="BD43" s="359" t="s">
        <v>2014</v>
      </c>
      <c r="BE43" s="359" t="s">
        <v>2015</v>
      </c>
      <c r="BF43" s="359" t="s">
        <v>2016</v>
      </c>
      <c r="BG43" s="359" t="s">
        <v>2017</v>
      </c>
      <c r="BH43" s="359" t="s">
        <v>2018</v>
      </c>
      <c r="BI43" s="359" t="s">
        <v>2019</v>
      </c>
      <c r="BJ43" s="359" t="s">
        <v>2020</v>
      </c>
      <c r="BK43" s="359" t="s">
        <v>2021</v>
      </c>
      <c r="BL43" s="359" t="s">
        <v>2022</v>
      </c>
      <c r="BM43" s="359" t="s">
        <v>2023</v>
      </c>
      <c r="BN43" s="359" t="s">
        <v>2024</v>
      </c>
      <c r="BO43" s="147" t="str">
        <f t="shared" si="39"/>
        <v>Pic Example</v>
      </c>
    </row>
    <row r="44" spans="2:67" x14ac:dyDescent="0.25">
      <c r="B44" t="s">
        <v>296</v>
      </c>
      <c r="C44" s="358" t="str">
        <f t="shared" si="36"/>
        <v>https://viking-pictures.s3.us-west-1.amazonaws.com/AA1155/A52.+Door+Handle%2C+Exterior+-+REAR+-+RIGHT+(1).JPG|https://viking-pictures.s3.us-west-1.amazonaws.com/AA1155/A52.+Door+Handle%2C+Exterior+-+REAR+-+RIGHT+(2).JPG|https://viking-pictures.s3.us-west-1.amazonaws.com/AA1155/A52.+Door+Handle%2C+Exterior+-+REAR+-+RIGHT+(3).JPG|https://viking-pictures.s3.us-west-1.amazonaws.com/AA1155/A52.+Door+Handle%2C+Exterior+-+REAR+-+RIGHT+(4).JPG</v>
      </c>
      <c r="D44" s="358">
        <f>VLOOKUP(B44,'3. Keep &amp; Toss Items'!$O$9:$T$749,6,FALSE)</f>
        <v>5</v>
      </c>
      <c r="E44" s="358" t="str">
        <f t="shared" si="37"/>
        <v>https://viking-pictures.s3.us-west-1.amazonaws.com/AA1155/A52.+Door+Handle%2C+Exterior+-+REAR+-+RIGHT+(1).JPG</v>
      </c>
      <c r="F44" s="358" t="str">
        <f t="shared" si="40"/>
        <v>https://viking-pictures.s3.us-west-1.amazonaws.com/AA1155/A52.+Door+Handle%2C+Exterior+-+REAR+-+RIGHT+(2).JPG</v>
      </c>
      <c r="G44" s="358" t="str">
        <f t="shared" si="41"/>
        <v>https://viking-pictures.s3.us-west-1.amazonaws.com/AA1155/A52.+Door+Handle%2C+Exterior+-+REAR+-+RIGHT+(3).JPG</v>
      </c>
      <c r="H44" s="358" t="str">
        <f t="shared" si="42"/>
        <v>https://viking-pictures.s3.us-west-1.amazonaws.com/AA1155/A52.+Door+Handle%2C+Exterior+-+REAR+-+RIGHT+(4).JPG</v>
      </c>
      <c r="I44" s="358" t="str">
        <f t="shared" si="43"/>
        <v/>
      </c>
      <c r="J44" s="358" t="str">
        <f t="shared" si="44"/>
        <v/>
      </c>
      <c r="K44" s="358" t="str">
        <f t="shared" si="45"/>
        <v/>
      </c>
      <c r="L44" s="358" t="str">
        <f t="shared" si="46"/>
        <v/>
      </c>
      <c r="M44" s="358" t="str">
        <f t="shared" si="47"/>
        <v/>
      </c>
      <c r="N44" s="358" t="str">
        <f t="shared" si="48"/>
        <v/>
      </c>
      <c r="O44" s="358" t="str">
        <f t="shared" si="49"/>
        <v/>
      </c>
      <c r="P44" s="358" t="str">
        <f t="shared" si="50"/>
        <v/>
      </c>
      <c r="Q44" s="358" t="str">
        <f t="shared" si="51"/>
        <v/>
      </c>
      <c r="R44" s="358" t="str">
        <f t="shared" si="52"/>
        <v/>
      </c>
      <c r="S44" s="358" t="str">
        <f t="shared" si="53"/>
        <v/>
      </c>
      <c r="T44" s="358" t="str">
        <f t="shared" si="54"/>
        <v/>
      </c>
      <c r="U44" s="358" t="str">
        <f t="shared" si="55"/>
        <v/>
      </c>
      <c r="V44" s="358" t="str">
        <f t="shared" si="56"/>
        <v/>
      </c>
      <c r="W44" s="358" t="str">
        <f t="shared" si="57"/>
        <v/>
      </c>
      <c r="X44" s="358" t="str">
        <f t="shared" si="58"/>
        <v/>
      </c>
      <c r="Y44" s="358" t="str">
        <f t="shared" si="59"/>
        <v/>
      </c>
      <c r="Z44" s="358" t="str">
        <f t="shared" si="60"/>
        <v/>
      </c>
      <c r="AA44" s="111" t="s">
        <v>1998</v>
      </c>
      <c r="AB44" s="358" t="str">
        <f t="shared" si="25"/>
        <v>A52.+Door+Handle%2C+Exterior+-+REAR+-+RIGHT</v>
      </c>
      <c r="AC44" s="358" t="str">
        <f>VLOOKUP(B44,'3. Keep &amp; Toss Items'!$O$9:$R$749,4,FALSE)</f>
        <v>A52. Door Handle, Exterior - REAR - RIGHT</v>
      </c>
      <c r="AD44" s="358" t="str">
        <f t="shared" si="26"/>
        <v>A52. Door Handle, Exterior - REAR - RIGHT</v>
      </c>
      <c r="AE44" s="358" t="str">
        <f t="shared" si="27"/>
        <v>A52.+Door+Handle,+Exterior+-+REAR+-+RIGHT</v>
      </c>
      <c r="AF44" s="358" t="str">
        <f t="shared" si="28"/>
        <v>A52.+Door+Handle%2C+Exterior+-+REAR+-+RIGHT</v>
      </c>
      <c r="AG44" s="358" t="str">
        <f t="shared" si="29"/>
        <v>A52.+Door+Handle%2C+Exterior+-+REAR+-+RIGHT</v>
      </c>
      <c r="AH44" s="358" t="str">
        <f t="shared" si="30"/>
        <v>A52.+Door+Handle%2C+Exterior+-+REAR+-+RIGHT</v>
      </c>
      <c r="AI44" s="358" t="str">
        <f t="shared" si="31"/>
        <v>A52.+Door+Handle%2C+Exterior+-+REAR+-+RIGHT</v>
      </c>
      <c r="AJ44" s="358" t="str">
        <f t="shared" si="32"/>
        <v>A52.+Door+Handle%2C+Exterior+-+REAR+-+RIGHT</v>
      </c>
      <c r="AK44" s="358" t="str">
        <f t="shared" si="33"/>
        <v>A52.+Door+Handle%2C+Exterior+-+REAR+-+RIGHT</v>
      </c>
      <c r="AL44" s="358" t="str">
        <f t="shared" si="38"/>
        <v>A52.+Door+Handle%2C+Exterior+-+REAR+-+RIGHT</v>
      </c>
      <c r="AM44" s="358" t="str">
        <f t="shared" si="34"/>
        <v>A52.+Door+Handle%2C+Exterior+-+REAR+-+RIGHT</v>
      </c>
      <c r="AN44" s="358" t="str">
        <f t="shared" si="35"/>
        <v>A52.+Door+Handle%2C+Exterior+-+REAR+-+RIGHT</v>
      </c>
      <c r="AO44" s="359" t="s">
        <v>1999</v>
      </c>
      <c r="AP44" s="359" t="s">
        <v>2000</v>
      </c>
      <c r="AQ44" s="359" t="s">
        <v>2001</v>
      </c>
      <c r="AR44" s="359" t="s">
        <v>2002</v>
      </c>
      <c r="AS44" s="359" t="s">
        <v>2003</v>
      </c>
      <c r="AT44" s="359" t="s">
        <v>2004</v>
      </c>
      <c r="AU44" s="359" t="s">
        <v>2005</v>
      </c>
      <c r="AV44" s="359" t="s">
        <v>2006</v>
      </c>
      <c r="AW44" s="359" t="s">
        <v>2007</v>
      </c>
      <c r="AX44" s="359" t="s">
        <v>2008</v>
      </c>
      <c r="AY44" s="359" t="s">
        <v>2009</v>
      </c>
      <c r="AZ44" s="359" t="s">
        <v>2010</v>
      </c>
      <c r="BA44" s="359" t="s">
        <v>2011</v>
      </c>
      <c r="BB44" s="359" t="s">
        <v>2012</v>
      </c>
      <c r="BC44" s="359" t="s">
        <v>2013</v>
      </c>
      <c r="BD44" s="359" t="s">
        <v>2014</v>
      </c>
      <c r="BE44" s="359" t="s">
        <v>2015</v>
      </c>
      <c r="BF44" s="359" t="s">
        <v>2016</v>
      </c>
      <c r="BG44" s="359" t="s">
        <v>2017</v>
      </c>
      <c r="BH44" s="359" t="s">
        <v>2018</v>
      </c>
      <c r="BI44" s="359" t="s">
        <v>2019</v>
      </c>
      <c r="BJ44" s="359" t="s">
        <v>2020</v>
      </c>
      <c r="BK44" s="359" t="s">
        <v>2021</v>
      </c>
      <c r="BL44" s="359" t="s">
        <v>2022</v>
      </c>
      <c r="BM44" s="359" t="s">
        <v>2023</v>
      </c>
      <c r="BN44" s="359" t="s">
        <v>2024</v>
      </c>
      <c r="BO44" s="147" t="str">
        <f t="shared" si="39"/>
        <v>Pic Example</v>
      </c>
    </row>
    <row r="45" spans="2:67" x14ac:dyDescent="0.25">
      <c r="B45" t="s">
        <v>297</v>
      </c>
      <c r="C45" s="358" t="str">
        <f t="shared" si="36"/>
        <v>https://viking-pictures.s3.us-west-1.amazonaws.com/AA1155/A53.+Trunk+Emblem+(1).JPG|https://viking-pictures.s3.us-west-1.amazonaws.com/AA1155/A53.+Trunk+Emblem+(2).JPG|https://viking-pictures.s3.us-west-1.amazonaws.com/AA1155/A53.+Trunk+Emblem+(3).JPG|https://viking-pictures.s3.us-west-1.amazonaws.com/AA1155/A53.+Trunk+Emblem+(4).JPG</v>
      </c>
      <c r="D45" s="358">
        <f>VLOOKUP(B45,'3. Keep &amp; Toss Items'!$O$9:$T$749,6,FALSE)</f>
        <v>4</v>
      </c>
      <c r="E45" s="358" t="str">
        <f t="shared" si="37"/>
        <v>https://viking-pictures.s3.us-west-1.amazonaws.com/AA1155/A53.+Trunk+Emblem+(1).JPG</v>
      </c>
      <c r="F45" s="358" t="str">
        <f t="shared" si="40"/>
        <v>https://viking-pictures.s3.us-west-1.amazonaws.com/AA1155/A53.+Trunk+Emblem+(2).JPG</v>
      </c>
      <c r="G45" s="358" t="str">
        <f t="shared" si="41"/>
        <v>https://viking-pictures.s3.us-west-1.amazonaws.com/AA1155/A53.+Trunk+Emblem+(3).JPG</v>
      </c>
      <c r="H45" s="358" t="str">
        <f t="shared" si="42"/>
        <v>https://viking-pictures.s3.us-west-1.amazonaws.com/AA1155/A53.+Trunk+Emblem+(4).JPG</v>
      </c>
      <c r="I45" s="358" t="str">
        <f t="shared" si="43"/>
        <v/>
      </c>
      <c r="J45" s="358" t="str">
        <f t="shared" si="44"/>
        <v/>
      </c>
      <c r="K45" s="358" t="str">
        <f t="shared" si="45"/>
        <v/>
      </c>
      <c r="L45" s="358" t="str">
        <f t="shared" si="46"/>
        <v/>
      </c>
      <c r="M45" s="358" t="str">
        <f t="shared" si="47"/>
        <v/>
      </c>
      <c r="N45" s="358" t="str">
        <f t="shared" si="48"/>
        <v/>
      </c>
      <c r="O45" s="358" t="str">
        <f t="shared" si="49"/>
        <v/>
      </c>
      <c r="P45" s="358" t="str">
        <f t="shared" si="50"/>
        <v/>
      </c>
      <c r="Q45" s="358" t="str">
        <f t="shared" si="51"/>
        <v/>
      </c>
      <c r="R45" s="358" t="str">
        <f t="shared" si="52"/>
        <v/>
      </c>
      <c r="S45" s="358" t="str">
        <f t="shared" si="53"/>
        <v/>
      </c>
      <c r="T45" s="358" t="str">
        <f t="shared" si="54"/>
        <v/>
      </c>
      <c r="U45" s="358" t="str">
        <f t="shared" si="55"/>
        <v/>
      </c>
      <c r="V45" s="358" t="str">
        <f t="shared" si="56"/>
        <v/>
      </c>
      <c r="W45" s="358" t="str">
        <f t="shared" si="57"/>
        <v/>
      </c>
      <c r="X45" s="358" t="str">
        <f t="shared" si="58"/>
        <v/>
      </c>
      <c r="Y45" s="358" t="str">
        <f t="shared" si="59"/>
        <v/>
      </c>
      <c r="Z45" s="358" t="str">
        <f t="shared" si="60"/>
        <v/>
      </c>
      <c r="AA45" s="111" t="s">
        <v>1998</v>
      </c>
      <c r="AB45" s="358" t="str">
        <f t="shared" si="25"/>
        <v>A53.+Trunk+Emblem</v>
      </c>
      <c r="AC45" s="358" t="str">
        <f>VLOOKUP(B45,'3. Keep &amp; Toss Items'!$O$9:$R$749,4,FALSE)</f>
        <v>A53. Trunk Emblem</v>
      </c>
      <c r="AD45" s="358" t="str">
        <f t="shared" si="26"/>
        <v>A53. Trunk Emblem</v>
      </c>
      <c r="AE45" s="358" t="str">
        <f t="shared" si="27"/>
        <v>A53.+Trunk+Emblem</v>
      </c>
      <c r="AF45" s="358" t="str">
        <f t="shared" si="28"/>
        <v>A53.+Trunk+Emblem</v>
      </c>
      <c r="AG45" s="358" t="str">
        <f t="shared" si="29"/>
        <v>A53.+Trunk+Emblem</v>
      </c>
      <c r="AH45" s="358" t="str">
        <f t="shared" si="30"/>
        <v>A53.+Trunk+Emblem</v>
      </c>
      <c r="AI45" s="358" t="str">
        <f t="shared" si="31"/>
        <v>A53.+Trunk+Emblem</v>
      </c>
      <c r="AJ45" s="358" t="str">
        <f t="shared" si="32"/>
        <v>A53.+Trunk+Emblem</v>
      </c>
      <c r="AK45" s="358" t="str">
        <f t="shared" si="33"/>
        <v>A53.+Trunk+Emblem</v>
      </c>
      <c r="AL45" s="358" t="str">
        <f t="shared" si="38"/>
        <v>A53.+Trunk+Emblem</v>
      </c>
      <c r="AM45" s="358" t="str">
        <f t="shared" si="34"/>
        <v>A53.+Trunk+Emblem</v>
      </c>
      <c r="AN45" s="358" t="str">
        <f t="shared" si="35"/>
        <v>A53.+Trunk+Emblem</v>
      </c>
      <c r="AO45" s="359" t="s">
        <v>1999</v>
      </c>
      <c r="AP45" s="359" t="s">
        <v>2000</v>
      </c>
      <c r="AQ45" s="359" t="s">
        <v>2001</v>
      </c>
      <c r="AR45" s="359" t="s">
        <v>2002</v>
      </c>
      <c r="AS45" s="359" t="s">
        <v>2003</v>
      </c>
      <c r="AT45" s="359" t="s">
        <v>2004</v>
      </c>
      <c r="AU45" s="359" t="s">
        <v>2005</v>
      </c>
      <c r="AV45" s="359" t="s">
        <v>2006</v>
      </c>
      <c r="AW45" s="359" t="s">
        <v>2007</v>
      </c>
      <c r="AX45" s="359" t="s">
        <v>2008</v>
      </c>
      <c r="AY45" s="359" t="s">
        <v>2009</v>
      </c>
      <c r="AZ45" s="359" t="s">
        <v>2010</v>
      </c>
      <c r="BA45" s="359" t="s">
        <v>2011</v>
      </c>
      <c r="BB45" s="359" t="s">
        <v>2012</v>
      </c>
      <c r="BC45" s="359" t="s">
        <v>2013</v>
      </c>
      <c r="BD45" s="359" t="s">
        <v>2014</v>
      </c>
      <c r="BE45" s="359" t="s">
        <v>2015</v>
      </c>
      <c r="BF45" s="359" t="s">
        <v>2016</v>
      </c>
      <c r="BG45" s="359" t="s">
        <v>2017</v>
      </c>
      <c r="BH45" s="359" t="s">
        <v>2018</v>
      </c>
      <c r="BI45" s="359" t="s">
        <v>2019</v>
      </c>
      <c r="BJ45" s="359" t="s">
        <v>2020</v>
      </c>
      <c r="BK45" s="359" t="s">
        <v>2021</v>
      </c>
      <c r="BL45" s="359" t="s">
        <v>2022</v>
      </c>
      <c r="BM45" s="359" t="s">
        <v>2023</v>
      </c>
      <c r="BN45" s="359" t="s">
        <v>2024</v>
      </c>
      <c r="BO45" s="147" t="str">
        <f t="shared" si="39"/>
        <v>Pic Example</v>
      </c>
    </row>
    <row r="46" spans="2:67" x14ac:dyDescent="0.25">
      <c r="B46" t="s">
        <v>298</v>
      </c>
      <c r="C46" s="358" t="str">
        <f t="shared" si="36"/>
        <v>https://viking-pictures.s3.us-west-1.amazonaws.com/AA1155/A54.+Seat+Adjust+Switch%2C+FRONT+-+RIGHT+(1).JPG|https://viking-pictures.s3.us-west-1.amazonaws.com/AA1155/A54.+Seat+Adjust+Switch%2C+FRONT+-+RIGHT+(2).JPG|https://viking-pictures.s3.us-west-1.amazonaws.com/AA1155/A54.+Seat+Adjust+Switch%2C+FRONT+-+RIGHT+(3).JPG|https://viking-pictures.s3.us-west-1.amazonaws.com/AA1155/A54.+Seat+Adjust+Switch%2C+FRONT+-+RIGHT+(4).JPG</v>
      </c>
      <c r="D46" s="358">
        <f>VLOOKUP(B46,'3. Keep &amp; Toss Items'!$O$9:$T$749,6,FALSE)</f>
        <v>4</v>
      </c>
      <c r="E46" s="358" t="str">
        <f t="shared" si="37"/>
        <v>https://viking-pictures.s3.us-west-1.amazonaws.com/AA1155/A54.+Seat+Adjust+Switch%2C+FRONT+-+RIGHT+(1).JPG</v>
      </c>
      <c r="F46" s="358" t="str">
        <f t="shared" si="40"/>
        <v>https://viking-pictures.s3.us-west-1.amazonaws.com/AA1155/A54.+Seat+Adjust+Switch%2C+FRONT+-+RIGHT+(2).JPG</v>
      </c>
      <c r="G46" s="358" t="str">
        <f t="shared" si="41"/>
        <v>https://viking-pictures.s3.us-west-1.amazonaws.com/AA1155/A54.+Seat+Adjust+Switch%2C+FRONT+-+RIGHT+(3).JPG</v>
      </c>
      <c r="H46" s="358" t="str">
        <f t="shared" si="42"/>
        <v>https://viking-pictures.s3.us-west-1.amazonaws.com/AA1155/A54.+Seat+Adjust+Switch%2C+FRONT+-+RIGHT+(4).JPG</v>
      </c>
      <c r="I46" s="358" t="str">
        <f t="shared" si="43"/>
        <v/>
      </c>
      <c r="J46" s="358" t="str">
        <f t="shared" si="44"/>
        <v/>
      </c>
      <c r="K46" s="358" t="str">
        <f t="shared" si="45"/>
        <v/>
      </c>
      <c r="L46" s="358" t="str">
        <f t="shared" si="46"/>
        <v/>
      </c>
      <c r="M46" s="358" t="str">
        <f t="shared" si="47"/>
        <v/>
      </c>
      <c r="N46" s="358" t="str">
        <f t="shared" si="48"/>
        <v/>
      </c>
      <c r="O46" s="358" t="str">
        <f t="shared" si="49"/>
        <v/>
      </c>
      <c r="P46" s="358" t="str">
        <f t="shared" si="50"/>
        <v/>
      </c>
      <c r="Q46" s="358" t="str">
        <f t="shared" si="51"/>
        <v/>
      </c>
      <c r="R46" s="358" t="str">
        <f t="shared" si="52"/>
        <v/>
      </c>
      <c r="S46" s="358" t="str">
        <f t="shared" si="53"/>
        <v/>
      </c>
      <c r="T46" s="358" t="str">
        <f t="shared" si="54"/>
        <v/>
      </c>
      <c r="U46" s="358" t="str">
        <f t="shared" si="55"/>
        <v/>
      </c>
      <c r="V46" s="358" t="str">
        <f t="shared" si="56"/>
        <v/>
      </c>
      <c r="W46" s="358" t="str">
        <f t="shared" si="57"/>
        <v/>
      </c>
      <c r="X46" s="358" t="str">
        <f t="shared" si="58"/>
        <v/>
      </c>
      <c r="Y46" s="358" t="str">
        <f t="shared" si="59"/>
        <v/>
      </c>
      <c r="Z46" s="358" t="str">
        <f t="shared" si="60"/>
        <v/>
      </c>
      <c r="AA46" s="111" t="s">
        <v>1998</v>
      </c>
      <c r="AB46" s="358" t="str">
        <f t="shared" si="25"/>
        <v>A54.+Seat+Adjust+Switch%2C+FRONT+-+RIGHT</v>
      </c>
      <c r="AC46" s="358" t="str">
        <f>VLOOKUP(B46,'3. Keep &amp; Toss Items'!$O$9:$R$749,4,FALSE)</f>
        <v>A54. Seat Adjust Switch, FRONT - RIGHT</v>
      </c>
      <c r="AD46" s="358" t="str">
        <f t="shared" si="26"/>
        <v>A54. Seat Adjust Switch, FRONT - RIGHT</v>
      </c>
      <c r="AE46" s="358" t="str">
        <f t="shared" si="27"/>
        <v>A54.+Seat+Adjust+Switch,+FRONT+-+RIGHT</v>
      </c>
      <c r="AF46" s="358" t="str">
        <f t="shared" si="28"/>
        <v>A54.+Seat+Adjust+Switch%2C+FRONT+-+RIGHT</v>
      </c>
      <c r="AG46" s="358" t="str">
        <f t="shared" si="29"/>
        <v>A54.+Seat+Adjust+Switch%2C+FRONT+-+RIGHT</v>
      </c>
      <c r="AH46" s="358" t="str">
        <f t="shared" si="30"/>
        <v>A54.+Seat+Adjust+Switch%2C+FRONT+-+RIGHT</v>
      </c>
      <c r="AI46" s="358" t="str">
        <f t="shared" si="31"/>
        <v>A54.+Seat+Adjust+Switch%2C+FRONT+-+RIGHT</v>
      </c>
      <c r="AJ46" s="358" t="str">
        <f t="shared" si="32"/>
        <v>A54.+Seat+Adjust+Switch%2C+FRONT+-+RIGHT</v>
      </c>
      <c r="AK46" s="358" t="str">
        <f t="shared" si="33"/>
        <v>A54.+Seat+Adjust+Switch%2C+FRONT+-+RIGHT</v>
      </c>
      <c r="AL46" s="358" t="str">
        <f t="shared" si="38"/>
        <v>A54.+Seat+Adjust+Switch%2C+FRONT+-+RIGHT</v>
      </c>
      <c r="AM46" s="358" t="str">
        <f t="shared" si="34"/>
        <v>A54.+Seat+Adjust+Switch%2C+FRONT+-+RIGHT</v>
      </c>
      <c r="AN46" s="358" t="str">
        <f t="shared" si="35"/>
        <v>A54.+Seat+Adjust+Switch%2C+FRONT+-+RIGHT</v>
      </c>
      <c r="AO46" s="359" t="s">
        <v>1999</v>
      </c>
      <c r="AP46" s="359" t="s">
        <v>2000</v>
      </c>
      <c r="AQ46" s="359" t="s">
        <v>2001</v>
      </c>
      <c r="AR46" s="359" t="s">
        <v>2002</v>
      </c>
      <c r="AS46" s="359" t="s">
        <v>2003</v>
      </c>
      <c r="AT46" s="359" t="s">
        <v>2004</v>
      </c>
      <c r="AU46" s="359" t="s">
        <v>2005</v>
      </c>
      <c r="AV46" s="359" t="s">
        <v>2006</v>
      </c>
      <c r="AW46" s="359" t="s">
        <v>2007</v>
      </c>
      <c r="AX46" s="359" t="s">
        <v>2008</v>
      </c>
      <c r="AY46" s="359" t="s">
        <v>2009</v>
      </c>
      <c r="AZ46" s="359" t="s">
        <v>2010</v>
      </c>
      <c r="BA46" s="359" t="s">
        <v>2011</v>
      </c>
      <c r="BB46" s="359" t="s">
        <v>2012</v>
      </c>
      <c r="BC46" s="359" t="s">
        <v>2013</v>
      </c>
      <c r="BD46" s="359" t="s">
        <v>2014</v>
      </c>
      <c r="BE46" s="359" t="s">
        <v>2015</v>
      </c>
      <c r="BF46" s="359" t="s">
        <v>2016</v>
      </c>
      <c r="BG46" s="359" t="s">
        <v>2017</v>
      </c>
      <c r="BH46" s="359" t="s">
        <v>2018</v>
      </c>
      <c r="BI46" s="359" t="s">
        <v>2019</v>
      </c>
      <c r="BJ46" s="359" t="s">
        <v>2020</v>
      </c>
      <c r="BK46" s="359" t="s">
        <v>2021</v>
      </c>
      <c r="BL46" s="359" t="s">
        <v>2022</v>
      </c>
      <c r="BM46" s="359" t="s">
        <v>2023</v>
      </c>
      <c r="BN46" s="359" t="s">
        <v>2024</v>
      </c>
      <c r="BO46" s="147" t="str">
        <f t="shared" si="39"/>
        <v>Pic Example</v>
      </c>
    </row>
    <row r="47" spans="2:67" x14ac:dyDescent="0.25">
      <c r="B47" t="s">
        <v>299</v>
      </c>
      <c r="C47" s="358" t="str">
        <f t="shared" si="36"/>
        <v>https://viking-pictures.s3.us-west-1.amazonaws.com/AA1155/A55.+Traction+Control+Switch+Panel+(1).JPG|https://viking-pictures.s3.us-west-1.amazonaws.com/AA1155/A55.+Traction+Control+Switch+Panel+(2).JPG|https://viking-pictures.s3.us-west-1.amazonaws.com/AA1155/A55.+Traction+Control+Switch+Panel+(3).JPG|https://viking-pictures.s3.us-west-1.amazonaws.com/AA1155/A55.+Traction+Control+Switch+Panel+(4).JPG</v>
      </c>
      <c r="D47" s="358">
        <f>VLOOKUP(B47,'3. Keep &amp; Toss Items'!$O$9:$T$749,6,FALSE)</f>
        <v>5</v>
      </c>
      <c r="E47" s="358" t="str">
        <f t="shared" si="37"/>
        <v>https://viking-pictures.s3.us-west-1.amazonaws.com/AA1155/A55.+Traction+Control+Switch+Panel+(1).JPG</v>
      </c>
      <c r="F47" s="358" t="str">
        <f t="shared" si="40"/>
        <v>https://viking-pictures.s3.us-west-1.amazonaws.com/AA1155/A55.+Traction+Control+Switch+Panel+(2).JPG</v>
      </c>
      <c r="G47" s="358" t="str">
        <f t="shared" si="41"/>
        <v>https://viking-pictures.s3.us-west-1.amazonaws.com/AA1155/A55.+Traction+Control+Switch+Panel+(3).JPG</v>
      </c>
      <c r="H47" s="358" t="str">
        <f t="shared" si="42"/>
        <v>https://viking-pictures.s3.us-west-1.amazonaws.com/AA1155/A55.+Traction+Control+Switch+Panel+(4).JPG</v>
      </c>
      <c r="I47" s="358" t="str">
        <f t="shared" si="43"/>
        <v/>
      </c>
      <c r="J47" s="358" t="str">
        <f t="shared" si="44"/>
        <v/>
      </c>
      <c r="K47" s="358" t="str">
        <f t="shared" si="45"/>
        <v/>
      </c>
      <c r="L47" s="358" t="str">
        <f t="shared" si="46"/>
        <v/>
      </c>
      <c r="M47" s="358" t="str">
        <f t="shared" si="47"/>
        <v/>
      </c>
      <c r="N47" s="358" t="str">
        <f t="shared" si="48"/>
        <v/>
      </c>
      <c r="O47" s="358" t="str">
        <f t="shared" si="49"/>
        <v/>
      </c>
      <c r="P47" s="358" t="str">
        <f t="shared" si="50"/>
        <v/>
      </c>
      <c r="Q47" s="358" t="str">
        <f t="shared" si="51"/>
        <v/>
      </c>
      <c r="R47" s="358" t="str">
        <f t="shared" si="52"/>
        <v/>
      </c>
      <c r="S47" s="358" t="str">
        <f t="shared" si="53"/>
        <v/>
      </c>
      <c r="T47" s="358" t="str">
        <f t="shared" si="54"/>
        <v/>
      </c>
      <c r="U47" s="358" t="str">
        <f t="shared" si="55"/>
        <v/>
      </c>
      <c r="V47" s="358" t="str">
        <f t="shared" si="56"/>
        <v/>
      </c>
      <c r="W47" s="358" t="str">
        <f t="shared" si="57"/>
        <v/>
      </c>
      <c r="X47" s="358" t="str">
        <f t="shared" si="58"/>
        <v/>
      </c>
      <c r="Y47" s="358" t="str">
        <f t="shared" si="59"/>
        <v/>
      </c>
      <c r="Z47" s="358" t="str">
        <f t="shared" si="60"/>
        <v/>
      </c>
      <c r="AA47" s="111" t="s">
        <v>1998</v>
      </c>
      <c r="AB47" s="358" t="str">
        <f t="shared" si="25"/>
        <v>A55.+Traction+Control+Switch+Panel</v>
      </c>
      <c r="AC47" s="358" t="str">
        <f>VLOOKUP(B47,'3. Keep &amp; Toss Items'!$O$9:$R$749,4,FALSE)</f>
        <v>A55. Traction Control Switch Panel</v>
      </c>
      <c r="AD47" s="358" t="str">
        <f t="shared" si="26"/>
        <v>A55. Traction Control Switch Panel</v>
      </c>
      <c r="AE47" s="358" t="str">
        <f t="shared" si="27"/>
        <v>A55.+Traction+Control+Switch+Panel</v>
      </c>
      <c r="AF47" s="358" t="str">
        <f t="shared" si="28"/>
        <v>A55.+Traction+Control+Switch+Panel</v>
      </c>
      <c r="AG47" s="358" t="str">
        <f t="shared" si="29"/>
        <v>A55.+Traction+Control+Switch+Panel</v>
      </c>
      <c r="AH47" s="358" t="str">
        <f t="shared" si="30"/>
        <v>A55.+Traction+Control+Switch+Panel</v>
      </c>
      <c r="AI47" s="358" t="str">
        <f t="shared" si="31"/>
        <v>A55.+Traction+Control+Switch+Panel</v>
      </c>
      <c r="AJ47" s="358" t="str">
        <f t="shared" si="32"/>
        <v>A55.+Traction+Control+Switch+Panel</v>
      </c>
      <c r="AK47" s="358" t="str">
        <f t="shared" si="33"/>
        <v>A55.+Traction+Control+Switch+Panel</v>
      </c>
      <c r="AL47" s="358" t="str">
        <f t="shared" si="38"/>
        <v>A55.+Traction+Control+Switch+Panel</v>
      </c>
      <c r="AM47" s="358" t="str">
        <f t="shared" si="34"/>
        <v>A55.+Traction+Control+Switch+Panel</v>
      </c>
      <c r="AN47" s="358" t="str">
        <f t="shared" si="35"/>
        <v>A55.+Traction+Control+Switch+Panel</v>
      </c>
      <c r="AO47" s="359" t="s">
        <v>1999</v>
      </c>
      <c r="AP47" s="359" t="s">
        <v>2000</v>
      </c>
      <c r="AQ47" s="359" t="s">
        <v>2001</v>
      </c>
      <c r="AR47" s="359" t="s">
        <v>2002</v>
      </c>
      <c r="AS47" s="359" t="s">
        <v>2003</v>
      </c>
      <c r="AT47" s="359" t="s">
        <v>2004</v>
      </c>
      <c r="AU47" s="359" t="s">
        <v>2005</v>
      </c>
      <c r="AV47" s="359" t="s">
        <v>2006</v>
      </c>
      <c r="AW47" s="359" t="s">
        <v>2007</v>
      </c>
      <c r="AX47" s="359" t="s">
        <v>2008</v>
      </c>
      <c r="AY47" s="359" t="s">
        <v>2009</v>
      </c>
      <c r="AZ47" s="359" t="s">
        <v>2010</v>
      </c>
      <c r="BA47" s="359" t="s">
        <v>2011</v>
      </c>
      <c r="BB47" s="359" t="s">
        <v>2012</v>
      </c>
      <c r="BC47" s="359" t="s">
        <v>2013</v>
      </c>
      <c r="BD47" s="359" t="s">
        <v>2014</v>
      </c>
      <c r="BE47" s="359" t="s">
        <v>2015</v>
      </c>
      <c r="BF47" s="359" t="s">
        <v>2016</v>
      </c>
      <c r="BG47" s="359" t="s">
        <v>2017</v>
      </c>
      <c r="BH47" s="359" t="s">
        <v>2018</v>
      </c>
      <c r="BI47" s="359" t="s">
        <v>2019</v>
      </c>
      <c r="BJ47" s="359" t="s">
        <v>2020</v>
      </c>
      <c r="BK47" s="359" t="s">
        <v>2021</v>
      </c>
      <c r="BL47" s="359" t="s">
        <v>2022</v>
      </c>
      <c r="BM47" s="359" t="s">
        <v>2023</v>
      </c>
      <c r="BN47" s="359" t="s">
        <v>2024</v>
      </c>
      <c r="BO47" s="147" t="str">
        <f t="shared" si="39"/>
        <v>Pic Example</v>
      </c>
    </row>
    <row r="48" spans="2:67" x14ac:dyDescent="0.25">
      <c r="B48" t="s">
        <v>300</v>
      </c>
      <c r="C48" s="358" t="str">
        <f t="shared" si="36"/>
        <v>https://viking-pictures.s3.us-west-1.amazonaws.com/AA1155/A56.+Steering+Wheel+Adjust+Switch+With+Steering+Wheel+Heater+(1).JPG|https://viking-pictures.s3.us-west-1.amazonaws.com/AA1155/A56.+Steering+Wheel+Adjust+Switch+With+Steering+Wheel+Heater+(2).JPG|https://viking-pictures.s3.us-west-1.amazonaws.com/AA1155/A56.+Steering+Wheel+Adjust+Switch+With+Steering+Wheel+Heater+(3).JPG|https://viking-pictures.s3.us-west-1.amazonaws.com/AA1155/A56.+Steering+Wheel+Adjust+Switch+With+Steering+Wheel+Heater+(4).JPG</v>
      </c>
      <c r="D48" s="358">
        <f>VLOOKUP(B48,'3. Keep &amp; Toss Items'!$O$9:$T$749,6,FALSE)</f>
        <v>5</v>
      </c>
      <c r="E48" s="358" t="str">
        <f t="shared" si="37"/>
        <v>https://viking-pictures.s3.us-west-1.amazonaws.com/AA1155/A56.+Steering+Wheel+Adjust+Switch+With+Steering+Wheel+Heater+(1).JPG</v>
      </c>
      <c r="F48" s="358" t="str">
        <f t="shared" si="40"/>
        <v>https://viking-pictures.s3.us-west-1.amazonaws.com/AA1155/A56.+Steering+Wheel+Adjust+Switch+With+Steering+Wheel+Heater+(2).JPG</v>
      </c>
      <c r="G48" s="358" t="str">
        <f t="shared" si="41"/>
        <v>https://viking-pictures.s3.us-west-1.amazonaws.com/AA1155/A56.+Steering+Wheel+Adjust+Switch+With+Steering+Wheel+Heater+(3).JPG</v>
      </c>
      <c r="H48" s="358" t="str">
        <f t="shared" si="42"/>
        <v>https://viking-pictures.s3.us-west-1.amazonaws.com/AA1155/A56.+Steering+Wheel+Adjust+Switch+With+Steering+Wheel+Heater+(4).JPG</v>
      </c>
      <c r="I48" s="358" t="str">
        <f t="shared" si="43"/>
        <v/>
      </c>
      <c r="J48" s="358" t="str">
        <f t="shared" si="44"/>
        <v/>
      </c>
      <c r="K48" s="358" t="str">
        <f t="shared" si="45"/>
        <v/>
      </c>
      <c r="L48" s="358" t="str">
        <f t="shared" si="46"/>
        <v/>
      </c>
      <c r="M48" s="358" t="str">
        <f t="shared" si="47"/>
        <v/>
      </c>
      <c r="N48" s="358" t="str">
        <f t="shared" si="48"/>
        <v/>
      </c>
      <c r="O48" s="358" t="str">
        <f t="shared" si="49"/>
        <v/>
      </c>
      <c r="P48" s="358" t="str">
        <f t="shared" si="50"/>
        <v/>
      </c>
      <c r="Q48" s="358" t="str">
        <f t="shared" si="51"/>
        <v/>
      </c>
      <c r="R48" s="358" t="str">
        <f t="shared" si="52"/>
        <v/>
      </c>
      <c r="S48" s="358" t="str">
        <f t="shared" si="53"/>
        <v/>
      </c>
      <c r="T48" s="358" t="str">
        <f t="shared" si="54"/>
        <v/>
      </c>
      <c r="U48" s="358" t="str">
        <f t="shared" si="55"/>
        <v/>
      </c>
      <c r="V48" s="358" t="str">
        <f t="shared" si="56"/>
        <v/>
      </c>
      <c r="W48" s="358" t="str">
        <f t="shared" si="57"/>
        <v/>
      </c>
      <c r="X48" s="358" t="str">
        <f t="shared" si="58"/>
        <v/>
      </c>
      <c r="Y48" s="358" t="str">
        <f t="shared" si="59"/>
        <v/>
      </c>
      <c r="Z48" s="358" t="str">
        <f t="shared" si="60"/>
        <v/>
      </c>
      <c r="AA48" s="111" t="s">
        <v>1998</v>
      </c>
      <c r="AB48" s="358" t="str">
        <f t="shared" si="25"/>
        <v>A56.+Steering+Wheel+Adjust+Switch+With+Steering+Wheel+Heater</v>
      </c>
      <c r="AC48" s="358" t="str">
        <f>VLOOKUP(B48,'3. Keep &amp; Toss Items'!$O$9:$R$749,4,FALSE)</f>
        <v>A56. Steering Wheel Adjust Switch With Steering Wheel Heater</v>
      </c>
      <c r="AD48" s="358" t="str">
        <f t="shared" si="26"/>
        <v>A56. Steering Wheel Adjust Switch With Steering Wheel Heater</v>
      </c>
      <c r="AE48" s="358" t="str">
        <f t="shared" si="27"/>
        <v>A56.+Steering+Wheel+Adjust+Switch+With+Steering+Wheel+Heater</v>
      </c>
      <c r="AF48" s="358" t="str">
        <f t="shared" si="28"/>
        <v>A56.+Steering+Wheel+Adjust+Switch+With+Steering+Wheel+Heater</v>
      </c>
      <c r="AG48" s="358" t="str">
        <f t="shared" si="29"/>
        <v>A56.+Steering+Wheel+Adjust+Switch+With+Steering+Wheel+Heater</v>
      </c>
      <c r="AH48" s="358" t="str">
        <f t="shared" si="30"/>
        <v>A56.+Steering+Wheel+Adjust+Switch+With+Steering+Wheel+Heater</v>
      </c>
      <c r="AI48" s="358" t="str">
        <f t="shared" si="31"/>
        <v>A56.+Steering+Wheel+Adjust+Switch+With+Steering+Wheel+Heater</v>
      </c>
      <c r="AJ48" s="358" t="str">
        <f t="shared" si="32"/>
        <v>A56.+Steering+Wheel+Adjust+Switch+With+Steering+Wheel+Heater</v>
      </c>
      <c r="AK48" s="358" t="str">
        <f t="shared" si="33"/>
        <v>A56.+Steering+Wheel+Adjust+Switch+With+Steering+Wheel+Heater</v>
      </c>
      <c r="AL48" s="358" t="str">
        <f t="shared" si="38"/>
        <v>A56.+Steering+Wheel+Adjust+Switch+With+Steering+Wheel+Heater</v>
      </c>
      <c r="AM48" s="358" t="str">
        <f t="shared" si="34"/>
        <v>A56.+Steering+Wheel+Adjust+Switch+With+Steering+Wheel+Heater</v>
      </c>
      <c r="AN48" s="358" t="str">
        <f t="shared" si="35"/>
        <v>A56.+Steering+Wheel+Adjust+Switch+With+Steering+Wheel+Heater</v>
      </c>
      <c r="AO48" s="359" t="s">
        <v>1999</v>
      </c>
      <c r="AP48" s="359" t="s">
        <v>2000</v>
      </c>
      <c r="AQ48" s="359" t="s">
        <v>2001</v>
      </c>
      <c r="AR48" s="359" t="s">
        <v>2002</v>
      </c>
      <c r="AS48" s="359" t="s">
        <v>2003</v>
      </c>
      <c r="AT48" s="359" t="s">
        <v>2004</v>
      </c>
      <c r="AU48" s="359" t="s">
        <v>2005</v>
      </c>
      <c r="AV48" s="359" t="s">
        <v>2006</v>
      </c>
      <c r="AW48" s="359" t="s">
        <v>2007</v>
      </c>
      <c r="AX48" s="359" t="s">
        <v>2008</v>
      </c>
      <c r="AY48" s="359" t="s">
        <v>2009</v>
      </c>
      <c r="AZ48" s="359" t="s">
        <v>2010</v>
      </c>
      <c r="BA48" s="359" t="s">
        <v>2011</v>
      </c>
      <c r="BB48" s="359" t="s">
        <v>2012</v>
      </c>
      <c r="BC48" s="359" t="s">
        <v>2013</v>
      </c>
      <c r="BD48" s="359" t="s">
        <v>2014</v>
      </c>
      <c r="BE48" s="359" t="s">
        <v>2015</v>
      </c>
      <c r="BF48" s="359" t="s">
        <v>2016</v>
      </c>
      <c r="BG48" s="359" t="s">
        <v>2017</v>
      </c>
      <c r="BH48" s="359" t="s">
        <v>2018</v>
      </c>
      <c r="BI48" s="359" t="s">
        <v>2019</v>
      </c>
      <c r="BJ48" s="359" t="s">
        <v>2020</v>
      </c>
      <c r="BK48" s="359" t="s">
        <v>2021</v>
      </c>
      <c r="BL48" s="359" t="s">
        <v>2022</v>
      </c>
      <c r="BM48" s="359" t="s">
        <v>2023</v>
      </c>
      <c r="BN48" s="359" t="s">
        <v>2024</v>
      </c>
      <c r="BO48" s="147" t="str">
        <f t="shared" si="39"/>
        <v>Pic Example</v>
      </c>
    </row>
    <row r="49" spans="2:67" x14ac:dyDescent="0.25">
      <c r="B49" t="s">
        <v>301</v>
      </c>
      <c r="C49" s="358" t="str">
        <f t="shared" si="36"/>
        <v>https://viking-pictures.s3.us-west-1.amazonaws.com/AA1155/A57.+Seat+Adjust+Switch%2C+FRONT+-+LEFT+(1).JPG|https://viking-pictures.s3.us-west-1.amazonaws.com/AA1155/A57.+Seat+Adjust+Switch%2C+FRONT+-+LEFT+(2).JPG|https://viking-pictures.s3.us-west-1.amazonaws.com/AA1155/A57.+Seat+Adjust+Switch%2C+FRONT+-+LEFT+(3).JPG|https://viking-pictures.s3.us-west-1.amazonaws.com/AA1155/A57.+Seat+Adjust+Switch%2C+FRONT+-+LEFT+(4).JPG</v>
      </c>
      <c r="D49" s="358">
        <f>VLOOKUP(B49,'3. Keep &amp; Toss Items'!$O$9:$T$749,6,FALSE)</f>
        <v>4</v>
      </c>
      <c r="E49" s="358" t="str">
        <f t="shared" si="37"/>
        <v>https://viking-pictures.s3.us-west-1.amazonaws.com/AA1155/A57.+Seat+Adjust+Switch%2C+FRONT+-+LEFT+(1).JPG</v>
      </c>
      <c r="F49" s="358" t="str">
        <f t="shared" si="40"/>
        <v>https://viking-pictures.s3.us-west-1.amazonaws.com/AA1155/A57.+Seat+Adjust+Switch%2C+FRONT+-+LEFT+(2).JPG</v>
      </c>
      <c r="G49" s="358" t="str">
        <f t="shared" si="41"/>
        <v>https://viking-pictures.s3.us-west-1.amazonaws.com/AA1155/A57.+Seat+Adjust+Switch%2C+FRONT+-+LEFT+(3).JPG</v>
      </c>
      <c r="H49" s="358" t="str">
        <f t="shared" si="42"/>
        <v>https://viking-pictures.s3.us-west-1.amazonaws.com/AA1155/A57.+Seat+Adjust+Switch%2C+FRONT+-+LEFT+(4).JPG</v>
      </c>
      <c r="I49" s="358" t="str">
        <f t="shared" si="43"/>
        <v/>
      </c>
      <c r="J49" s="358" t="str">
        <f t="shared" si="44"/>
        <v/>
      </c>
      <c r="K49" s="358" t="str">
        <f t="shared" si="45"/>
        <v/>
      </c>
      <c r="L49" s="358" t="str">
        <f t="shared" si="46"/>
        <v/>
      </c>
      <c r="M49" s="358" t="str">
        <f t="shared" si="47"/>
        <v/>
      </c>
      <c r="N49" s="358" t="str">
        <f t="shared" si="48"/>
        <v/>
      </c>
      <c r="O49" s="358" t="str">
        <f t="shared" si="49"/>
        <v/>
      </c>
      <c r="P49" s="358" t="str">
        <f t="shared" si="50"/>
        <v/>
      </c>
      <c r="Q49" s="358" t="str">
        <f t="shared" si="51"/>
        <v/>
      </c>
      <c r="R49" s="358" t="str">
        <f t="shared" si="52"/>
        <v/>
      </c>
      <c r="S49" s="358" t="str">
        <f t="shared" si="53"/>
        <v/>
      </c>
      <c r="T49" s="358" t="str">
        <f t="shared" si="54"/>
        <v/>
      </c>
      <c r="U49" s="358" t="str">
        <f t="shared" si="55"/>
        <v/>
      </c>
      <c r="V49" s="358" t="str">
        <f t="shared" si="56"/>
        <v/>
      </c>
      <c r="W49" s="358" t="str">
        <f t="shared" si="57"/>
        <v/>
      </c>
      <c r="X49" s="358" t="str">
        <f t="shared" si="58"/>
        <v/>
      </c>
      <c r="Y49" s="358" t="str">
        <f t="shared" si="59"/>
        <v/>
      </c>
      <c r="Z49" s="358" t="str">
        <f t="shared" si="60"/>
        <v/>
      </c>
      <c r="AA49" s="111" t="s">
        <v>1998</v>
      </c>
      <c r="AB49" s="358" t="str">
        <f t="shared" si="25"/>
        <v>A57.+Seat+Adjust+Switch%2C+FRONT+-+LEFT</v>
      </c>
      <c r="AC49" s="358" t="str">
        <f>VLOOKUP(B49,'3. Keep &amp; Toss Items'!$O$9:$R$749,4,FALSE)</f>
        <v>A57. Seat Adjust Switch, FRONT - LEFT</v>
      </c>
      <c r="AD49" s="358" t="str">
        <f t="shared" si="26"/>
        <v>A57. Seat Adjust Switch, FRONT - LEFT</v>
      </c>
      <c r="AE49" s="358" t="str">
        <f t="shared" si="27"/>
        <v>A57.+Seat+Adjust+Switch,+FRONT+-+LEFT</v>
      </c>
      <c r="AF49" s="358" t="str">
        <f t="shared" si="28"/>
        <v>A57.+Seat+Adjust+Switch%2C+FRONT+-+LEFT</v>
      </c>
      <c r="AG49" s="358" t="str">
        <f t="shared" si="29"/>
        <v>A57.+Seat+Adjust+Switch%2C+FRONT+-+LEFT</v>
      </c>
      <c r="AH49" s="358" t="str">
        <f t="shared" si="30"/>
        <v>A57.+Seat+Adjust+Switch%2C+FRONT+-+LEFT</v>
      </c>
      <c r="AI49" s="358" t="str">
        <f t="shared" si="31"/>
        <v>A57.+Seat+Adjust+Switch%2C+FRONT+-+LEFT</v>
      </c>
      <c r="AJ49" s="358" t="str">
        <f t="shared" si="32"/>
        <v>A57.+Seat+Adjust+Switch%2C+FRONT+-+LEFT</v>
      </c>
      <c r="AK49" s="358" t="str">
        <f t="shared" si="33"/>
        <v>A57.+Seat+Adjust+Switch%2C+FRONT+-+LEFT</v>
      </c>
      <c r="AL49" s="358" t="str">
        <f t="shared" si="38"/>
        <v>A57.+Seat+Adjust+Switch%2C+FRONT+-+LEFT</v>
      </c>
      <c r="AM49" s="358" t="str">
        <f t="shared" si="34"/>
        <v>A57.+Seat+Adjust+Switch%2C+FRONT+-+LEFT</v>
      </c>
      <c r="AN49" s="358" t="str">
        <f t="shared" si="35"/>
        <v>A57.+Seat+Adjust+Switch%2C+FRONT+-+LEFT</v>
      </c>
      <c r="AO49" s="359" t="s">
        <v>1999</v>
      </c>
      <c r="AP49" s="359" t="s">
        <v>2000</v>
      </c>
      <c r="AQ49" s="359" t="s">
        <v>2001</v>
      </c>
      <c r="AR49" s="359" t="s">
        <v>2002</v>
      </c>
      <c r="AS49" s="359" t="s">
        <v>2003</v>
      </c>
      <c r="AT49" s="359" t="s">
        <v>2004</v>
      </c>
      <c r="AU49" s="359" t="s">
        <v>2005</v>
      </c>
      <c r="AV49" s="359" t="s">
        <v>2006</v>
      </c>
      <c r="AW49" s="359" t="s">
        <v>2007</v>
      </c>
      <c r="AX49" s="359" t="s">
        <v>2008</v>
      </c>
      <c r="AY49" s="359" t="s">
        <v>2009</v>
      </c>
      <c r="AZ49" s="359" t="s">
        <v>2010</v>
      </c>
      <c r="BA49" s="359" t="s">
        <v>2011</v>
      </c>
      <c r="BB49" s="359" t="s">
        <v>2012</v>
      </c>
      <c r="BC49" s="359" t="s">
        <v>2013</v>
      </c>
      <c r="BD49" s="359" t="s">
        <v>2014</v>
      </c>
      <c r="BE49" s="359" t="s">
        <v>2015</v>
      </c>
      <c r="BF49" s="359" t="s">
        <v>2016</v>
      </c>
      <c r="BG49" s="359" t="s">
        <v>2017</v>
      </c>
      <c r="BH49" s="359" t="s">
        <v>2018</v>
      </c>
      <c r="BI49" s="359" t="s">
        <v>2019</v>
      </c>
      <c r="BJ49" s="359" t="s">
        <v>2020</v>
      </c>
      <c r="BK49" s="359" t="s">
        <v>2021</v>
      </c>
      <c r="BL49" s="359" t="s">
        <v>2022</v>
      </c>
      <c r="BM49" s="359" t="s">
        <v>2023</v>
      </c>
      <c r="BN49" s="359" t="s">
        <v>2024</v>
      </c>
      <c r="BO49" s="147" t="str">
        <f t="shared" si="39"/>
        <v>Pic Example</v>
      </c>
    </row>
    <row r="50" spans="2:67" x14ac:dyDescent="0.25">
      <c r="B50" t="s">
        <v>302</v>
      </c>
      <c r="C50" s="358" t="str">
        <f t="shared" si="36"/>
        <v>https://viking-pictures.s3.us-west-1.amazonaws.com/AA1155/A58.+Switch%2C+Window+Master+(1).JPG|https://viking-pictures.s3.us-west-1.amazonaws.com/AA1155/A58.+Switch%2C+Window+Master+(2).JPG|https://viking-pictures.s3.us-west-1.amazonaws.com/AA1155/A58.+Switch%2C+Window+Master+(3).JPG|https://viking-pictures.s3.us-west-1.amazonaws.com/AA1155/A58.+Switch%2C+Window+Master+(4).JPG</v>
      </c>
      <c r="D50" s="358">
        <f>VLOOKUP(B50,'3. Keep &amp; Toss Items'!$O$9:$T$749,6,FALSE)</f>
        <v>5</v>
      </c>
      <c r="E50" s="358" t="str">
        <f t="shared" si="37"/>
        <v>https://viking-pictures.s3.us-west-1.amazonaws.com/AA1155/A58.+Switch%2C+Window+Master+(1).JPG</v>
      </c>
      <c r="F50" s="358" t="str">
        <f t="shared" si="40"/>
        <v>https://viking-pictures.s3.us-west-1.amazonaws.com/AA1155/A58.+Switch%2C+Window+Master+(2).JPG</v>
      </c>
      <c r="G50" s="358" t="str">
        <f t="shared" si="41"/>
        <v>https://viking-pictures.s3.us-west-1.amazonaws.com/AA1155/A58.+Switch%2C+Window+Master+(3).JPG</v>
      </c>
      <c r="H50" s="358" t="str">
        <f t="shared" si="42"/>
        <v>https://viking-pictures.s3.us-west-1.amazonaws.com/AA1155/A58.+Switch%2C+Window+Master+(4).JPG</v>
      </c>
      <c r="I50" s="358" t="str">
        <f t="shared" si="43"/>
        <v/>
      </c>
      <c r="J50" s="358" t="str">
        <f t="shared" si="44"/>
        <v/>
      </c>
      <c r="K50" s="358" t="str">
        <f t="shared" si="45"/>
        <v/>
      </c>
      <c r="L50" s="358" t="str">
        <f t="shared" si="46"/>
        <v/>
      </c>
      <c r="M50" s="358" t="str">
        <f t="shared" si="47"/>
        <v/>
      </c>
      <c r="N50" s="358" t="str">
        <f t="shared" si="48"/>
        <v/>
      </c>
      <c r="O50" s="358" t="str">
        <f t="shared" si="49"/>
        <v/>
      </c>
      <c r="P50" s="358" t="str">
        <f t="shared" si="50"/>
        <v/>
      </c>
      <c r="Q50" s="358" t="str">
        <f t="shared" si="51"/>
        <v/>
      </c>
      <c r="R50" s="358" t="str">
        <f t="shared" si="52"/>
        <v/>
      </c>
      <c r="S50" s="358" t="str">
        <f t="shared" si="53"/>
        <v/>
      </c>
      <c r="T50" s="358" t="str">
        <f t="shared" si="54"/>
        <v/>
      </c>
      <c r="U50" s="358" t="str">
        <f t="shared" si="55"/>
        <v/>
      </c>
      <c r="V50" s="358" t="str">
        <f t="shared" si="56"/>
        <v/>
      </c>
      <c r="W50" s="358" t="str">
        <f t="shared" si="57"/>
        <v/>
      </c>
      <c r="X50" s="358" t="str">
        <f t="shared" si="58"/>
        <v/>
      </c>
      <c r="Y50" s="358" t="str">
        <f t="shared" si="59"/>
        <v/>
      </c>
      <c r="Z50" s="358" t="str">
        <f t="shared" si="60"/>
        <v/>
      </c>
      <c r="AA50" s="111" t="s">
        <v>1998</v>
      </c>
      <c r="AB50" s="358" t="str">
        <f t="shared" si="25"/>
        <v>A58.+Switch%2C+Window+Master</v>
      </c>
      <c r="AC50" s="358" t="str">
        <f>VLOOKUP(B50,'3. Keep &amp; Toss Items'!$O$9:$R$749,4,FALSE)</f>
        <v>A58. Switch, Window Master</v>
      </c>
      <c r="AD50" s="358" t="str">
        <f t="shared" si="26"/>
        <v>A58. Switch, Window Master</v>
      </c>
      <c r="AE50" s="358" t="str">
        <f t="shared" si="27"/>
        <v>A58.+Switch,+Window+Master</v>
      </c>
      <c r="AF50" s="358" t="str">
        <f t="shared" si="28"/>
        <v>A58.+Switch%2C+Window+Master</v>
      </c>
      <c r="AG50" s="358" t="str">
        <f t="shared" si="29"/>
        <v>A58.+Switch%2C+Window+Master</v>
      </c>
      <c r="AH50" s="358" t="str">
        <f t="shared" si="30"/>
        <v>A58.+Switch%2C+Window+Master</v>
      </c>
      <c r="AI50" s="358" t="str">
        <f t="shared" si="31"/>
        <v>A58.+Switch%2C+Window+Master</v>
      </c>
      <c r="AJ50" s="358" t="str">
        <f t="shared" si="32"/>
        <v>A58.+Switch%2C+Window+Master</v>
      </c>
      <c r="AK50" s="358" t="str">
        <f t="shared" si="33"/>
        <v>A58.+Switch%2C+Window+Master</v>
      </c>
      <c r="AL50" s="358" t="str">
        <f t="shared" si="38"/>
        <v>A58.+Switch%2C+Window+Master</v>
      </c>
      <c r="AM50" s="358" t="str">
        <f t="shared" si="34"/>
        <v>A58.+Switch%2C+Window+Master</v>
      </c>
      <c r="AN50" s="358" t="str">
        <f t="shared" si="35"/>
        <v>A58.+Switch%2C+Window+Master</v>
      </c>
      <c r="AO50" s="359" t="s">
        <v>1999</v>
      </c>
      <c r="AP50" s="359" t="s">
        <v>2000</v>
      </c>
      <c r="AQ50" s="359" t="s">
        <v>2001</v>
      </c>
      <c r="AR50" s="359" t="s">
        <v>2002</v>
      </c>
      <c r="AS50" s="359" t="s">
        <v>2003</v>
      </c>
      <c r="AT50" s="359" t="s">
        <v>2004</v>
      </c>
      <c r="AU50" s="359" t="s">
        <v>2005</v>
      </c>
      <c r="AV50" s="359" t="s">
        <v>2006</v>
      </c>
      <c r="AW50" s="359" t="s">
        <v>2007</v>
      </c>
      <c r="AX50" s="359" t="s">
        <v>2008</v>
      </c>
      <c r="AY50" s="359" t="s">
        <v>2009</v>
      </c>
      <c r="AZ50" s="359" t="s">
        <v>2010</v>
      </c>
      <c r="BA50" s="359" t="s">
        <v>2011</v>
      </c>
      <c r="BB50" s="359" t="s">
        <v>2012</v>
      </c>
      <c r="BC50" s="359" t="s">
        <v>2013</v>
      </c>
      <c r="BD50" s="359" t="s">
        <v>2014</v>
      </c>
      <c r="BE50" s="359" t="s">
        <v>2015</v>
      </c>
      <c r="BF50" s="359" t="s">
        <v>2016</v>
      </c>
      <c r="BG50" s="359" t="s">
        <v>2017</v>
      </c>
      <c r="BH50" s="359" t="s">
        <v>2018</v>
      </c>
      <c r="BI50" s="359" t="s">
        <v>2019</v>
      </c>
      <c r="BJ50" s="359" t="s">
        <v>2020</v>
      </c>
      <c r="BK50" s="359" t="s">
        <v>2021</v>
      </c>
      <c r="BL50" s="359" t="s">
        <v>2022</v>
      </c>
      <c r="BM50" s="359" t="s">
        <v>2023</v>
      </c>
      <c r="BN50" s="359" t="s">
        <v>2024</v>
      </c>
      <c r="BO50" s="147" t="str">
        <f t="shared" si="39"/>
        <v>Pic Example</v>
      </c>
    </row>
    <row r="51" spans="2:67" x14ac:dyDescent="0.25">
      <c r="B51" t="s">
        <v>303</v>
      </c>
      <c r="C51" s="358" t="str">
        <f t="shared" si="36"/>
        <v>https://viking-pictures.s3.us-west-1.amazonaws.com/AA1155/A59.+Vent%2C+DASH+-+FRONT+LEFT+(1).JPG|https://viking-pictures.s3.us-west-1.amazonaws.com/AA1155/A59.+Vent%2C+DASH+-+FRONT+LEFT+(2).JPG|https://viking-pictures.s3.us-west-1.amazonaws.com/AA1155/A59.+Vent%2C+DASH+-+FRONT+LEFT+(3).JPG|https://viking-pictures.s3.us-west-1.amazonaws.com/AA1155/A59.+Vent%2C+DASH+-+FRONT+LEFT+(4).JPG</v>
      </c>
      <c r="D51" s="358">
        <f>VLOOKUP(B51,'3. Keep &amp; Toss Items'!$O$9:$T$749,6,FALSE)</f>
        <v>4</v>
      </c>
      <c r="E51" s="358" t="str">
        <f t="shared" si="37"/>
        <v>https://viking-pictures.s3.us-west-1.amazonaws.com/AA1155/A59.+Vent%2C+DASH+-+FRONT+LEFT+(1).JPG</v>
      </c>
      <c r="F51" s="358" t="str">
        <f t="shared" si="40"/>
        <v>https://viking-pictures.s3.us-west-1.amazonaws.com/AA1155/A59.+Vent%2C+DASH+-+FRONT+LEFT+(2).JPG</v>
      </c>
      <c r="G51" s="358" t="str">
        <f t="shared" si="41"/>
        <v>https://viking-pictures.s3.us-west-1.amazonaws.com/AA1155/A59.+Vent%2C+DASH+-+FRONT+LEFT+(3).JPG</v>
      </c>
      <c r="H51" s="358" t="str">
        <f t="shared" si="42"/>
        <v>https://viking-pictures.s3.us-west-1.amazonaws.com/AA1155/A59.+Vent%2C+DASH+-+FRONT+LEFT+(4).JPG</v>
      </c>
      <c r="I51" s="358" t="str">
        <f t="shared" si="43"/>
        <v/>
      </c>
      <c r="J51" s="358" t="str">
        <f t="shared" si="44"/>
        <v/>
      </c>
      <c r="K51" s="358" t="str">
        <f t="shared" si="45"/>
        <v/>
      </c>
      <c r="L51" s="358" t="str">
        <f t="shared" si="46"/>
        <v/>
      </c>
      <c r="M51" s="358" t="str">
        <f t="shared" si="47"/>
        <v/>
      </c>
      <c r="N51" s="358" t="str">
        <f t="shared" si="48"/>
        <v/>
      </c>
      <c r="O51" s="358" t="str">
        <f t="shared" si="49"/>
        <v/>
      </c>
      <c r="P51" s="358" t="str">
        <f t="shared" si="50"/>
        <v/>
      </c>
      <c r="Q51" s="358" t="str">
        <f t="shared" si="51"/>
        <v/>
      </c>
      <c r="R51" s="358" t="str">
        <f t="shared" si="52"/>
        <v/>
      </c>
      <c r="S51" s="358" t="str">
        <f t="shared" si="53"/>
        <v/>
      </c>
      <c r="T51" s="358" t="str">
        <f t="shared" si="54"/>
        <v/>
      </c>
      <c r="U51" s="358" t="str">
        <f t="shared" si="55"/>
        <v/>
      </c>
      <c r="V51" s="358" t="str">
        <f t="shared" si="56"/>
        <v/>
      </c>
      <c r="W51" s="358" t="str">
        <f t="shared" si="57"/>
        <v/>
      </c>
      <c r="X51" s="358" t="str">
        <f t="shared" si="58"/>
        <v/>
      </c>
      <c r="Y51" s="358" t="str">
        <f t="shared" si="59"/>
        <v/>
      </c>
      <c r="Z51" s="358" t="str">
        <f t="shared" si="60"/>
        <v/>
      </c>
      <c r="AA51" s="111" t="s">
        <v>1998</v>
      </c>
      <c r="AB51" s="358" t="str">
        <f t="shared" si="25"/>
        <v>A59.+Vent%2C+DASH+-+FRONT+LEFT</v>
      </c>
      <c r="AC51" s="358" t="str">
        <f>VLOOKUP(B51,'3. Keep &amp; Toss Items'!$O$9:$R$749,4,FALSE)</f>
        <v>A59. Vent, DASH - FRONT LEFT</v>
      </c>
      <c r="AD51" s="358" t="str">
        <f t="shared" si="26"/>
        <v>A59. Vent, DASH - FRONT LEFT</v>
      </c>
      <c r="AE51" s="358" t="str">
        <f t="shared" si="27"/>
        <v>A59.+Vent,+DASH+-+FRONT+LEFT</v>
      </c>
      <c r="AF51" s="358" t="str">
        <f t="shared" si="28"/>
        <v>A59.+Vent%2C+DASH+-+FRONT+LEFT</v>
      </c>
      <c r="AG51" s="358" t="str">
        <f t="shared" si="29"/>
        <v>A59.+Vent%2C+DASH+-+FRONT+LEFT</v>
      </c>
      <c r="AH51" s="358" t="str">
        <f t="shared" si="30"/>
        <v>A59.+Vent%2C+DASH+-+FRONT+LEFT</v>
      </c>
      <c r="AI51" s="358" t="str">
        <f t="shared" si="31"/>
        <v>A59.+Vent%2C+DASH+-+FRONT+LEFT</v>
      </c>
      <c r="AJ51" s="358" t="str">
        <f t="shared" si="32"/>
        <v>A59.+Vent%2C+DASH+-+FRONT+LEFT</v>
      </c>
      <c r="AK51" s="358" t="str">
        <f t="shared" si="33"/>
        <v>A59.+Vent%2C+DASH+-+FRONT+LEFT</v>
      </c>
      <c r="AL51" s="358" t="str">
        <f t="shared" si="38"/>
        <v>A59.+Vent%2C+DASH+-+FRONT+LEFT</v>
      </c>
      <c r="AM51" s="358" t="str">
        <f t="shared" si="34"/>
        <v>A59.+Vent%2C+DASH+-+FRONT+LEFT</v>
      </c>
      <c r="AN51" s="358" t="str">
        <f t="shared" si="35"/>
        <v>A59.+Vent%2C+DASH+-+FRONT+LEFT</v>
      </c>
      <c r="AO51" s="359" t="s">
        <v>1999</v>
      </c>
      <c r="AP51" s="359" t="s">
        <v>2000</v>
      </c>
      <c r="AQ51" s="359" t="s">
        <v>2001</v>
      </c>
      <c r="AR51" s="359" t="s">
        <v>2002</v>
      </c>
      <c r="AS51" s="359" t="s">
        <v>2003</v>
      </c>
      <c r="AT51" s="359" t="s">
        <v>2004</v>
      </c>
      <c r="AU51" s="359" t="s">
        <v>2005</v>
      </c>
      <c r="AV51" s="359" t="s">
        <v>2006</v>
      </c>
      <c r="AW51" s="359" t="s">
        <v>2007</v>
      </c>
      <c r="AX51" s="359" t="s">
        <v>2008</v>
      </c>
      <c r="AY51" s="359" t="s">
        <v>2009</v>
      </c>
      <c r="AZ51" s="359" t="s">
        <v>2010</v>
      </c>
      <c r="BA51" s="359" t="s">
        <v>2011</v>
      </c>
      <c r="BB51" s="359" t="s">
        <v>2012</v>
      </c>
      <c r="BC51" s="359" t="s">
        <v>2013</v>
      </c>
      <c r="BD51" s="359" t="s">
        <v>2014</v>
      </c>
      <c r="BE51" s="359" t="s">
        <v>2015</v>
      </c>
      <c r="BF51" s="359" t="s">
        <v>2016</v>
      </c>
      <c r="BG51" s="359" t="s">
        <v>2017</v>
      </c>
      <c r="BH51" s="359" t="s">
        <v>2018</v>
      </c>
      <c r="BI51" s="359" t="s">
        <v>2019</v>
      </c>
      <c r="BJ51" s="359" t="s">
        <v>2020</v>
      </c>
      <c r="BK51" s="359" t="s">
        <v>2021</v>
      </c>
      <c r="BL51" s="359" t="s">
        <v>2022</v>
      </c>
      <c r="BM51" s="359" t="s">
        <v>2023</v>
      </c>
      <c r="BN51" s="359" t="s">
        <v>2024</v>
      </c>
      <c r="BO51" s="147" t="str">
        <f t="shared" si="39"/>
        <v>Pic Example</v>
      </c>
    </row>
    <row r="52" spans="2:67" x14ac:dyDescent="0.25">
      <c r="B52" t="s">
        <v>304</v>
      </c>
      <c r="C52" s="358" t="str">
        <f t="shared" si="36"/>
        <v>https://viking-pictures.s3.us-west-1.amazonaws.com/AA1155/A60.+Seatbelt+Buckle%2C+FRONT+-+RIGHT+(1).JPG|https://viking-pictures.s3.us-west-1.amazonaws.com/AA1155/A60.+Seatbelt+Buckle%2C+FRONT+-+RIGHT+(2).JPG|https://viking-pictures.s3.us-west-1.amazonaws.com/AA1155/A60.+Seatbelt+Buckle%2C+FRONT+-+RIGHT+(3).JPG|https://viking-pictures.s3.us-west-1.amazonaws.com/AA1155/A60.+Seatbelt+Buckle%2C+FRONT+-+RIGHT+(4).JPG</v>
      </c>
      <c r="D52" s="358">
        <f>VLOOKUP(B52,'3. Keep &amp; Toss Items'!$O$9:$T$749,6,FALSE)</f>
        <v>4</v>
      </c>
      <c r="E52" s="358" t="str">
        <f t="shared" si="37"/>
        <v>https://viking-pictures.s3.us-west-1.amazonaws.com/AA1155/A60.+Seatbelt+Buckle%2C+FRONT+-+RIGHT+(1).JPG</v>
      </c>
      <c r="F52" s="358" t="str">
        <f t="shared" si="40"/>
        <v>https://viking-pictures.s3.us-west-1.amazonaws.com/AA1155/A60.+Seatbelt+Buckle%2C+FRONT+-+RIGHT+(2).JPG</v>
      </c>
      <c r="G52" s="358" t="str">
        <f t="shared" si="41"/>
        <v>https://viking-pictures.s3.us-west-1.amazonaws.com/AA1155/A60.+Seatbelt+Buckle%2C+FRONT+-+RIGHT+(3).JPG</v>
      </c>
      <c r="H52" s="358" t="str">
        <f t="shared" si="42"/>
        <v>https://viking-pictures.s3.us-west-1.amazonaws.com/AA1155/A60.+Seatbelt+Buckle%2C+FRONT+-+RIGHT+(4).JPG</v>
      </c>
      <c r="I52" s="358" t="str">
        <f t="shared" si="43"/>
        <v/>
      </c>
      <c r="J52" s="358" t="str">
        <f t="shared" si="44"/>
        <v/>
      </c>
      <c r="K52" s="358" t="str">
        <f t="shared" si="45"/>
        <v/>
      </c>
      <c r="L52" s="358" t="str">
        <f t="shared" si="46"/>
        <v/>
      </c>
      <c r="M52" s="358" t="str">
        <f t="shared" si="47"/>
        <v/>
      </c>
      <c r="N52" s="358" t="str">
        <f t="shared" si="48"/>
        <v/>
      </c>
      <c r="O52" s="358" t="str">
        <f t="shared" si="49"/>
        <v/>
      </c>
      <c r="P52" s="358" t="str">
        <f t="shared" si="50"/>
        <v/>
      </c>
      <c r="Q52" s="358" t="str">
        <f t="shared" si="51"/>
        <v/>
      </c>
      <c r="R52" s="358" t="str">
        <f t="shared" si="52"/>
        <v/>
      </c>
      <c r="S52" s="358" t="str">
        <f t="shared" si="53"/>
        <v/>
      </c>
      <c r="T52" s="358" t="str">
        <f t="shared" si="54"/>
        <v/>
      </c>
      <c r="U52" s="358" t="str">
        <f t="shared" si="55"/>
        <v/>
      </c>
      <c r="V52" s="358" t="str">
        <f t="shared" si="56"/>
        <v/>
      </c>
      <c r="W52" s="358" t="str">
        <f t="shared" si="57"/>
        <v/>
      </c>
      <c r="X52" s="358" t="str">
        <f t="shared" si="58"/>
        <v/>
      </c>
      <c r="Y52" s="358" t="str">
        <f t="shared" si="59"/>
        <v/>
      </c>
      <c r="Z52" s="358" t="str">
        <f t="shared" si="60"/>
        <v/>
      </c>
      <c r="AA52" s="111" t="s">
        <v>1998</v>
      </c>
      <c r="AB52" s="358" t="str">
        <f t="shared" si="25"/>
        <v>A60.+Seatbelt+Buckle%2C+FRONT+-+RIGHT</v>
      </c>
      <c r="AC52" s="358" t="str">
        <f>VLOOKUP(B52,'3. Keep &amp; Toss Items'!$O$9:$R$749,4,FALSE)</f>
        <v>A60. Seatbelt Buckle, FRONT - RIGHT</v>
      </c>
      <c r="AD52" s="358" t="str">
        <f t="shared" si="26"/>
        <v>A60. Seatbelt Buckle, FRONT - RIGHT</v>
      </c>
      <c r="AE52" s="358" t="str">
        <f t="shared" si="27"/>
        <v>A60.+Seatbelt+Buckle,+FRONT+-+RIGHT</v>
      </c>
      <c r="AF52" s="358" t="str">
        <f t="shared" si="28"/>
        <v>A60.+Seatbelt+Buckle%2C+FRONT+-+RIGHT</v>
      </c>
      <c r="AG52" s="358" t="str">
        <f t="shared" si="29"/>
        <v>A60.+Seatbelt+Buckle%2C+FRONT+-+RIGHT</v>
      </c>
      <c r="AH52" s="358" t="str">
        <f t="shared" si="30"/>
        <v>A60.+Seatbelt+Buckle%2C+FRONT+-+RIGHT</v>
      </c>
      <c r="AI52" s="358" t="str">
        <f t="shared" si="31"/>
        <v>A60.+Seatbelt+Buckle%2C+FRONT+-+RIGHT</v>
      </c>
      <c r="AJ52" s="358" t="str">
        <f t="shared" si="32"/>
        <v>A60.+Seatbelt+Buckle%2C+FRONT+-+RIGHT</v>
      </c>
      <c r="AK52" s="358" t="str">
        <f t="shared" si="33"/>
        <v>A60.+Seatbelt+Buckle%2C+FRONT+-+RIGHT</v>
      </c>
      <c r="AL52" s="358" t="str">
        <f t="shared" si="38"/>
        <v>A60.+Seatbelt+Buckle%2C+FRONT+-+RIGHT</v>
      </c>
      <c r="AM52" s="358" t="str">
        <f t="shared" si="34"/>
        <v>A60.+Seatbelt+Buckle%2C+FRONT+-+RIGHT</v>
      </c>
      <c r="AN52" s="358" t="str">
        <f t="shared" si="35"/>
        <v>A60.+Seatbelt+Buckle%2C+FRONT+-+RIGHT</v>
      </c>
      <c r="AO52" s="359" t="s">
        <v>1999</v>
      </c>
      <c r="AP52" s="359" t="s">
        <v>2000</v>
      </c>
      <c r="AQ52" s="359" t="s">
        <v>2001</v>
      </c>
      <c r="AR52" s="359" t="s">
        <v>2002</v>
      </c>
      <c r="AS52" s="359" t="s">
        <v>2003</v>
      </c>
      <c r="AT52" s="359" t="s">
        <v>2004</v>
      </c>
      <c r="AU52" s="359" t="s">
        <v>2005</v>
      </c>
      <c r="AV52" s="359" t="s">
        <v>2006</v>
      </c>
      <c r="AW52" s="359" t="s">
        <v>2007</v>
      </c>
      <c r="AX52" s="359" t="s">
        <v>2008</v>
      </c>
      <c r="AY52" s="359" t="s">
        <v>2009</v>
      </c>
      <c r="AZ52" s="359" t="s">
        <v>2010</v>
      </c>
      <c r="BA52" s="359" t="s">
        <v>2011</v>
      </c>
      <c r="BB52" s="359" t="s">
        <v>2012</v>
      </c>
      <c r="BC52" s="359" t="s">
        <v>2013</v>
      </c>
      <c r="BD52" s="359" t="s">
        <v>2014</v>
      </c>
      <c r="BE52" s="359" t="s">
        <v>2015</v>
      </c>
      <c r="BF52" s="359" t="s">
        <v>2016</v>
      </c>
      <c r="BG52" s="359" t="s">
        <v>2017</v>
      </c>
      <c r="BH52" s="359" t="s">
        <v>2018</v>
      </c>
      <c r="BI52" s="359" t="s">
        <v>2019</v>
      </c>
      <c r="BJ52" s="359" t="s">
        <v>2020</v>
      </c>
      <c r="BK52" s="359" t="s">
        <v>2021</v>
      </c>
      <c r="BL52" s="359" t="s">
        <v>2022</v>
      </c>
      <c r="BM52" s="359" t="s">
        <v>2023</v>
      </c>
      <c r="BN52" s="359" t="s">
        <v>2024</v>
      </c>
      <c r="BO52" s="147" t="str">
        <f t="shared" si="39"/>
        <v>Pic Example</v>
      </c>
    </row>
    <row r="53" spans="2:67" x14ac:dyDescent="0.25">
      <c r="B53" t="s">
        <v>305</v>
      </c>
      <c r="C53" s="358" t="str">
        <f t="shared" si="36"/>
        <v>https://viking-pictures.s3.us-west-1.amazonaws.com/AA1155/A61.+Dome+Light%2C+FRONT+PRIMARY+ONE+(1).JPG|https://viking-pictures.s3.us-west-1.amazonaws.com/AA1155/A61.+Dome+Light%2C+FRONT+PRIMARY+ONE+(2).JPG|https://viking-pictures.s3.us-west-1.amazonaws.com/AA1155/A61.+Dome+Light%2C+FRONT+PRIMARY+ONE+(3).JPG|https://viking-pictures.s3.us-west-1.amazonaws.com/AA1155/A61.+Dome+Light%2C+FRONT+PRIMARY+ONE+(4).JPG</v>
      </c>
      <c r="D53" s="358">
        <f>VLOOKUP(B53,'3. Keep &amp; Toss Items'!$O$9:$T$749,6,FALSE)</f>
        <v>5</v>
      </c>
      <c r="E53" s="358" t="str">
        <f t="shared" si="37"/>
        <v>https://viking-pictures.s3.us-west-1.amazonaws.com/AA1155/A61.+Dome+Light%2C+FRONT+PRIMARY+ONE+(1).JPG</v>
      </c>
      <c r="F53" s="358" t="str">
        <f t="shared" si="40"/>
        <v>https://viking-pictures.s3.us-west-1.amazonaws.com/AA1155/A61.+Dome+Light%2C+FRONT+PRIMARY+ONE+(2).JPG</v>
      </c>
      <c r="G53" s="358" t="str">
        <f t="shared" si="41"/>
        <v>https://viking-pictures.s3.us-west-1.amazonaws.com/AA1155/A61.+Dome+Light%2C+FRONT+PRIMARY+ONE+(3).JPG</v>
      </c>
      <c r="H53" s="358" t="str">
        <f t="shared" si="42"/>
        <v>https://viking-pictures.s3.us-west-1.amazonaws.com/AA1155/A61.+Dome+Light%2C+FRONT+PRIMARY+ONE+(4).JPG</v>
      </c>
      <c r="I53" s="358" t="str">
        <f t="shared" si="43"/>
        <v/>
      </c>
      <c r="J53" s="358" t="str">
        <f t="shared" si="44"/>
        <v/>
      </c>
      <c r="K53" s="358" t="str">
        <f t="shared" si="45"/>
        <v/>
      </c>
      <c r="L53" s="358" t="str">
        <f t="shared" si="46"/>
        <v/>
      </c>
      <c r="M53" s="358" t="str">
        <f t="shared" si="47"/>
        <v/>
      </c>
      <c r="N53" s="358" t="str">
        <f t="shared" si="48"/>
        <v/>
      </c>
      <c r="O53" s="358" t="str">
        <f t="shared" si="49"/>
        <v/>
      </c>
      <c r="P53" s="358" t="str">
        <f t="shared" si="50"/>
        <v/>
      </c>
      <c r="Q53" s="358" t="str">
        <f t="shared" si="51"/>
        <v/>
      </c>
      <c r="R53" s="358" t="str">
        <f t="shared" si="52"/>
        <v/>
      </c>
      <c r="S53" s="358" t="str">
        <f t="shared" si="53"/>
        <v/>
      </c>
      <c r="T53" s="358" t="str">
        <f t="shared" si="54"/>
        <v/>
      </c>
      <c r="U53" s="358" t="str">
        <f t="shared" si="55"/>
        <v/>
      </c>
      <c r="V53" s="358" t="str">
        <f t="shared" si="56"/>
        <v/>
      </c>
      <c r="W53" s="358" t="str">
        <f t="shared" si="57"/>
        <v/>
      </c>
      <c r="X53" s="358" t="str">
        <f t="shared" si="58"/>
        <v/>
      </c>
      <c r="Y53" s="358" t="str">
        <f t="shared" si="59"/>
        <v/>
      </c>
      <c r="Z53" s="358" t="str">
        <f t="shared" si="60"/>
        <v/>
      </c>
      <c r="AA53" s="111" t="s">
        <v>1998</v>
      </c>
      <c r="AB53" s="358" t="str">
        <f t="shared" si="25"/>
        <v>A61.+Dome+Light%2C+FRONT+PRIMARY+ONE</v>
      </c>
      <c r="AC53" s="358" t="str">
        <f>VLOOKUP(B53,'3. Keep &amp; Toss Items'!$O$9:$R$749,4,FALSE)</f>
        <v>A61. Dome Light, FRONT PRIMARY ONE</v>
      </c>
      <c r="AD53" s="358" t="str">
        <f t="shared" si="26"/>
        <v>A61. Dome Light, FRONT PRIMARY ONE</v>
      </c>
      <c r="AE53" s="358" t="str">
        <f t="shared" si="27"/>
        <v>A61.+Dome+Light,+FRONT+PRIMARY+ONE</v>
      </c>
      <c r="AF53" s="358" t="str">
        <f t="shared" si="28"/>
        <v>A61.+Dome+Light%2C+FRONT+PRIMARY+ONE</v>
      </c>
      <c r="AG53" s="358" t="str">
        <f t="shared" si="29"/>
        <v>A61.+Dome+Light%2C+FRONT+PRIMARY+ONE</v>
      </c>
      <c r="AH53" s="358" t="str">
        <f t="shared" si="30"/>
        <v>A61.+Dome+Light%2C+FRONT+PRIMARY+ONE</v>
      </c>
      <c r="AI53" s="358" t="str">
        <f t="shared" si="31"/>
        <v>A61.+Dome+Light%2C+FRONT+PRIMARY+ONE</v>
      </c>
      <c r="AJ53" s="358" t="str">
        <f t="shared" si="32"/>
        <v>A61.+Dome+Light%2C+FRONT+PRIMARY+ONE</v>
      </c>
      <c r="AK53" s="358" t="str">
        <f t="shared" si="33"/>
        <v>A61.+Dome+Light%2C+FRONT+PRIMARY+ONE</v>
      </c>
      <c r="AL53" s="358" t="str">
        <f t="shared" si="38"/>
        <v>A61.+Dome+Light%2C+FRONT+PRIMARY+ONE</v>
      </c>
      <c r="AM53" s="358" t="str">
        <f t="shared" si="34"/>
        <v>A61.+Dome+Light%2C+FRONT+PRIMARY+ONE</v>
      </c>
      <c r="AN53" s="358" t="str">
        <f t="shared" si="35"/>
        <v>A61.+Dome+Light%2C+FRONT+PRIMARY+ONE</v>
      </c>
      <c r="AO53" s="359" t="s">
        <v>1999</v>
      </c>
      <c r="AP53" s="359" t="s">
        <v>2000</v>
      </c>
      <c r="AQ53" s="359" t="s">
        <v>2001</v>
      </c>
      <c r="AR53" s="359" t="s">
        <v>2002</v>
      </c>
      <c r="AS53" s="359" t="s">
        <v>2003</v>
      </c>
      <c r="AT53" s="359" t="s">
        <v>2004</v>
      </c>
      <c r="AU53" s="359" t="s">
        <v>2005</v>
      </c>
      <c r="AV53" s="359" t="s">
        <v>2006</v>
      </c>
      <c r="AW53" s="359" t="s">
        <v>2007</v>
      </c>
      <c r="AX53" s="359" t="s">
        <v>2008</v>
      </c>
      <c r="AY53" s="359" t="s">
        <v>2009</v>
      </c>
      <c r="AZ53" s="359" t="s">
        <v>2010</v>
      </c>
      <c r="BA53" s="359" t="s">
        <v>2011</v>
      </c>
      <c r="BB53" s="359" t="s">
        <v>2012</v>
      </c>
      <c r="BC53" s="359" t="s">
        <v>2013</v>
      </c>
      <c r="BD53" s="359" t="s">
        <v>2014</v>
      </c>
      <c r="BE53" s="359" t="s">
        <v>2015</v>
      </c>
      <c r="BF53" s="359" t="s">
        <v>2016</v>
      </c>
      <c r="BG53" s="359" t="s">
        <v>2017</v>
      </c>
      <c r="BH53" s="359" t="s">
        <v>2018</v>
      </c>
      <c r="BI53" s="359" t="s">
        <v>2019</v>
      </c>
      <c r="BJ53" s="359" t="s">
        <v>2020</v>
      </c>
      <c r="BK53" s="359" t="s">
        <v>2021</v>
      </c>
      <c r="BL53" s="359" t="s">
        <v>2022</v>
      </c>
      <c r="BM53" s="359" t="s">
        <v>2023</v>
      </c>
      <c r="BN53" s="359" t="s">
        <v>2024</v>
      </c>
      <c r="BO53" s="147" t="str">
        <f t="shared" si="39"/>
        <v>Pic Example</v>
      </c>
    </row>
    <row r="54" spans="2:67" x14ac:dyDescent="0.25">
      <c r="B54" t="s">
        <v>306</v>
      </c>
      <c r="C54" s="358" t="str">
        <f t="shared" si="36"/>
        <v>https://viking-pictures.s3.us-west-1.amazonaws.com/AA1155/A62.+Airbag%2C+STEERING+WHEEL+(1).JPG|https://viking-pictures.s3.us-west-1.amazonaws.com/AA1155/A62.+Airbag%2C+STEERING+WHEEL+(2).JPG|https://viking-pictures.s3.us-west-1.amazonaws.com/AA1155/A62.+Airbag%2C+STEERING+WHEEL+(3).JPG|https://viking-pictures.s3.us-west-1.amazonaws.com/AA1155/A62.+Airbag%2C+STEERING+WHEEL+(4).JPG</v>
      </c>
      <c r="D54" s="358">
        <f>VLOOKUP(B54,'3. Keep &amp; Toss Items'!$O$9:$T$749,6,FALSE)</f>
        <v>4</v>
      </c>
      <c r="E54" s="358" t="str">
        <f t="shared" si="37"/>
        <v>https://viking-pictures.s3.us-west-1.amazonaws.com/AA1155/A62.+Airbag%2C+STEERING+WHEEL+(1).JPG</v>
      </c>
      <c r="F54" s="358" t="str">
        <f t="shared" si="40"/>
        <v>https://viking-pictures.s3.us-west-1.amazonaws.com/AA1155/A62.+Airbag%2C+STEERING+WHEEL+(2).JPG</v>
      </c>
      <c r="G54" s="358" t="str">
        <f t="shared" si="41"/>
        <v>https://viking-pictures.s3.us-west-1.amazonaws.com/AA1155/A62.+Airbag%2C+STEERING+WHEEL+(3).JPG</v>
      </c>
      <c r="H54" s="358" t="str">
        <f t="shared" si="42"/>
        <v>https://viking-pictures.s3.us-west-1.amazonaws.com/AA1155/A62.+Airbag%2C+STEERING+WHEEL+(4).JPG</v>
      </c>
      <c r="I54" s="358" t="str">
        <f t="shared" si="43"/>
        <v/>
      </c>
      <c r="J54" s="358" t="str">
        <f t="shared" si="44"/>
        <v/>
      </c>
      <c r="K54" s="358" t="str">
        <f t="shared" si="45"/>
        <v/>
      </c>
      <c r="L54" s="358" t="str">
        <f t="shared" si="46"/>
        <v/>
      </c>
      <c r="M54" s="358" t="str">
        <f t="shared" si="47"/>
        <v/>
      </c>
      <c r="N54" s="358" t="str">
        <f t="shared" si="48"/>
        <v/>
      </c>
      <c r="O54" s="358" t="str">
        <f t="shared" si="49"/>
        <v/>
      </c>
      <c r="P54" s="358" t="str">
        <f t="shared" si="50"/>
        <v/>
      </c>
      <c r="Q54" s="358" t="str">
        <f t="shared" si="51"/>
        <v/>
      </c>
      <c r="R54" s="358" t="str">
        <f t="shared" si="52"/>
        <v/>
      </c>
      <c r="S54" s="358" t="str">
        <f t="shared" si="53"/>
        <v/>
      </c>
      <c r="T54" s="358" t="str">
        <f t="shared" si="54"/>
        <v/>
      </c>
      <c r="U54" s="358" t="str">
        <f t="shared" si="55"/>
        <v/>
      </c>
      <c r="V54" s="358" t="str">
        <f t="shared" si="56"/>
        <v/>
      </c>
      <c r="W54" s="358" t="str">
        <f t="shared" si="57"/>
        <v/>
      </c>
      <c r="X54" s="358" t="str">
        <f t="shared" si="58"/>
        <v/>
      </c>
      <c r="Y54" s="358" t="str">
        <f t="shared" si="59"/>
        <v/>
      </c>
      <c r="Z54" s="358" t="str">
        <f t="shared" si="60"/>
        <v/>
      </c>
      <c r="AA54" s="111" t="s">
        <v>1998</v>
      </c>
      <c r="AB54" s="358" t="str">
        <f t="shared" si="25"/>
        <v>A62.+Airbag%2C+STEERING+WHEEL</v>
      </c>
      <c r="AC54" s="358" t="str">
        <f>VLOOKUP(B54,'3. Keep &amp; Toss Items'!$O$9:$R$749,4,FALSE)</f>
        <v>A62. Airbag, STEERING WHEEL</v>
      </c>
      <c r="AD54" s="358" t="str">
        <f t="shared" si="26"/>
        <v>A62. Airbag, STEERING WHEEL</v>
      </c>
      <c r="AE54" s="358" t="str">
        <f t="shared" si="27"/>
        <v>A62.+Airbag,+STEERING+WHEEL</v>
      </c>
      <c r="AF54" s="358" t="str">
        <f t="shared" si="28"/>
        <v>A62.+Airbag%2C+STEERING+WHEEL</v>
      </c>
      <c r="AG54" s="358" t="str">
        <f t="shared" si="29"/>
        <v>A62.+Airbag%2C+STEERING+WHEEL</v>
      </c>
      <c r="AH54" s="358" t="str">
        <f t="shared" si="30"/>
        <v>A62.+Airbag%2C+STEERING+WHEEL</v>
      </c>
      <c r="AI54" s="358" t="str">
        <f t="shared" si="31"/>
        <v>A62.+Airbag%2C+STEERING+WHEEL</v>
      </c>
      <c r="AJ54" s="358" t="str">
        <f t="shared" si="32"/>
        <v>A62.+Airbag%2C+STEERING+WHEEL</v>
      </c>
      <c r="AK54" s="358" t="str">
        <f t="shared" si="33"/>
        <v>A62.+Airbag%2C+STEERING+WHEEL</v>
      </c>
      <c r="AL54" s="358" t="str">
        <f t="shared" si="38"/>
        <v>A62.+Airbag%2C+STEERING+WHEEL</v>
      </c>
      <c r="AM54" s="358" t="str">
        <f t="shared" si="34"/>
        <v>A62.+Airbag%2C+STEERING+WHEEL</v>
      </c>
      <c r="AN54" s="358" t="str">
        <f t="shared" si="35"/>
        <v>A62.+Airbag%2C+STEERING+WHEEL</v>
      </c>
      <c r="AO54" s="359" t="s">
        <v>1999</v>
      </c>
      <c r="AP54" s="359" t="s">
        <v>2000</v>
      </c>
      <c r="AQ54" s="359" t="s">
        <v>2001</v>
      </c>
      <c r="AR54" s="359" t="s">
        <v>2002</v>
      </c>
      <c r="AS54" s="359" t="s">
        <v>2003</v>
      </c>
      <c r="AT54" s="359" t="s">
        <v>2004</v>
      </c>
      <c r="AU54" s="359" t="s">
        <v>2005</v>
      </c>
      <c r="AV54" s="359" t="s">
        <v>2006</v>
      </c>
      <c r="AW54" s="359" t="s">
        <v>2007</v>
      </c>
      <c r="AX54" s="359" t="s">
        <v>2008</v>
      </c>
      <c r="AY54" s="359" t="s">
        <v>2009</v>
      </c>
      <c r="AZ54" s="359" t="s">
        <v>2010</v>
      </c>
      <c r="BA54" s="359" t="s">
        <v>2011</v>
      </c>
      <c r="BB54" s="359" t="s">
        <v>2012</v>
      </c>
      <c r="BC54" s="359" t="s">
        <v>2013</v>
      </c>
      <c r="BD54" s="359" t="s">
        <v>2014</v>
      </c>
      <c r="BE54" s="359" t="s">
        <v>2015</v>
      </c>
      <c r="BF54" s="359" t="s">
        <v>2016</v>
      </c>
      <c r="BG54" s="359" t="s">
        <v>2017</v>
      </c>
      <c r="BH54" s="359" t="s">
        <v>2018</v>
      </c>
      <c r="BI54" s="359" t="s">
        <v>2019</v>
      </c>
      <c r="BJ54" s="359" t="s">
        <v>2020</v>
      </c>
      <c r="BK54" s="359" t="s">
        <v>2021</v>
      </c>
      <c r="BL54" s="359" t="s">
        <v>2022</v>
      </c>
      <c r="BM54" s="359" t="s">
        <v>2023</v>
      </c>
      <c r="BN54" s="359" t="s">
        <v>2024</v>
      </c>
      <c r="BO54" s="147" t="str">
        <f t="shared" si="39"/>
        <v>Pic Example</v>
      </c>
    </row>
    <row r="55" spans="2:67" x14ac:dyDescent="0.25">
      <c r="B55" t="s">
        <v>307</v>
      </c>
      <c r="C55" s="358" t="str">
        <f t="shared" si="36"/>
        <v>https://viking-pictures.s3.us-west-1.amazonaws.com/AA1155/A63.+Seatbelt+Retractor%2C+FRONT+-+RIGHT+(1).JPG|https://viking-pictures.s3.us-west-1.amazonaws.com/AA1155/A63.+Seatbelt+Retractor%2C+FRONT+-+RIGHT+(2).JPG|https://viking-pictures.s3.us-west-1.amazonaws.com/AA1155/A63.+Seatbelt+Retractor%2C+FRONT+-+RIGHT+(3).JPG|https://viking-pictures.s3.us-west-1.amazonaws.com/AA1155/A63.+Seatbelt+Retractor%2C+FRONT+-+RIGHT+(4).JPG</v>
      </c>
      <c r="D55" s="358">
        <f>VLOOKUP(B55,'3. Keep &amp; Toss Items'!$O$9:$T$749,6,FALSE)</f>
        <v>4</v>
      </c>
      <c r="E55" s="358" t="str">
        <f t="shared" si="37"/>
        <v>https://viking-pictures.s3.us-west-1.amazonaws.com/AA1155/A63.+Seatbelt+Retractor%2C+FRONT+-+RIGHT+(1).JPG</v>
      </c>
      <c r="F55" s="358" t="str">
        <f t="shared" si="40"/>
        <v>https://viking-pictures.s3.us-west-1.amazonaws.com/AA1155/A63.+Seatbelt+Retractor%2C+FRONT+-+RIGHT+(2).JPG</v>
      </c>
      <c r="G55" s="358" t="str">
        <f t="shared" si="41"/>
        <v>https://viking-pictures.s3.us-west-1.amazonaws.com/AA1155/A63.+Seatbelt+Retractor%2C+FRONT+-+RIGHT+(3).JPG</v>
      </c>
      <c r="H55" s="358" t="str">
        <f t="shared" si="42"/>
        <v>https://viking-pictures.s3.us-west-1.amazonaws.com/AA1155/A63.+Seatbelt+Retractor%2C+FRONT+-+RIGHT+(4).JPG</v>
      </c>
      <c r="I55" s="358" t="str">
        <f t="shared" si="43"/>
        <v/>
      </c>
      <c r="J55" s="358" t="str">
        <f t="shared" si="44"/>
        <v/>
      </c>
      <c r="K55" s="358" t="str">
        <f t="shared" si="45"/>
        <v/>
      </c>
      <c r="L55" s="358" t="str">
        <f t="shared" si="46"/>
        <v/>
      </c>
      <c r="M55" s="358" t="str">
        <f t="shared" si="47"/>
        <v/>
      </c>
      <c r="N55" s="358" t="str">
        <f t="shared" si="48"/>
        <v/>
      </c>
      <c r="O55" s="358" t="str">
        <f t="shared" si="49"/>
        <v/>
      </c>
      <c r="P55" s="358" t="str">
        <f t="shared" si="50"/>
        <v/>
      </c>
      <c r="Q55" s="358" t="str">
        <f t="shared" si="51"/>
        <v/>
      </c>
      <c r="R55" s="358" t="str">
        <f t="shared" si="52"/>
        <v/>
      </c>
      <c r="S55" s="358" t="str">
        <f t="shared" si="53"/>
        <v/>
      </c>
      <c r="T55" s="358" t="str">
        <f t="shared" si="54"/>
        <v/>
      </c>
      <c r="U55" s="358" t="str">
        <f t="shared" si="55"/>
        <v/>
      </c>
      <c r="V55" s="358" t="str">
        <f t="shared" si="56"/>
        <v/>
      </c>
      <c r="W55" s="358" t="str">
        <f t="shared" si="57"/>
        <v/>
      </c>
      <c r="X55" s="358" t="str">
        <f t="shared" si="58"/>
        <v/>
      </c>
      <c r="Y55" s="358" t="str">
        <f t="shared" si="59"/>
        <v/>
      </c>
      <c r="Z55" s="358" t="str">
        <f t="shared" si="60"/>
        <v/>
      </c>
      <c r="AA55" s="111" t="s">
        <v>1998</v>
      </c>
      <c r="AB55" s="358" t="str">
        <f t="shared" si="25"/>
        <v>A63.+Seatbelt+Retractor%2C+FRONT+-+RIGHT</v>
      </c>
      <c r="AC55" s="358" t="str">
        <f>VLOOKUP(B55,'3. Keep &amp; Toss Items'!$O$9:$R$749,4,FALSE)</f>
        <v>A63. Seatbelt Retractor, FRONT - RIGHT</v>
      </c>
      <c r="AD55" s="358" t="str">
        <f t="shared" si="26"/>
        <v>A63. Seatbelt Retractor, FRONT - RIGHT</v>
      </c>
      <c r="AE55" s="358" t="str">
        <f t="shared" si="27"/>
        <v>A63.+Seatbelt+Retractor,+FRONT+-+RIGHT</v>
      </c>
      <c r="AF55" s="358" t="str">
        <f t="shared" si="28"/>
        <v>A63.+Seatbelt+Retractor%2C+FRONT+-+RIGHT</v>
      </c>
      <c r="AG55" s="358" t="str">
        <f t="shared" si="29"/>
        <v>A63.+Seatbelt+Retractor%2C+FRONT+-+RIGHT</v>
      </c>
      <c r="AH55" s="358" t="str">
        <f t="shared" si="30"/>
        <v>A63.+Seatbelt+Retractor%2C+FRONT+-+RIGHT</v>
      </c>
      <c r="AI55" s="358" t="str">
        <f t="shared" si="31"/>
        <v>A63.+Seatbelt+Retractor%2C+FRONT+-+RIGHT</v>
      </c>
      <c r="AJ55" s="358" t="str">
        <f t="shared" si="32"/>
        <v>A63.+Seatbelt+Retractor%2C+FRONT+-+RIGHT</v>
      </c>
      <c r="AK55" s="358" t="str">
        <f t="shared" si="33"/>
        <v>A63.+Seatbelt+Retractor%2C+FRONT+-+RIGHT</v>
      </c>
      <c r="AL55" s="358" t="str">
        <f t="shared" si="38"/>
        <v>A63.+Seatbelt+Retractor%2C+FRONT+-+RIGHT</v>
      </c>
      <c r="AM55" s="358" t="str">
        <f t="shared" si="34"/>
        <v>A63.+Seatbelt+Retractor%2C+FRONT+-+RIGHT</v>
      </c>
      <c r="AN55" s="358" t="str">
        <f t="shared" si="35"/>
        <v>A63.+Seatbelt+Retractor%2C+FRONT+-+RIGHT</v>
      </c>
      <c r="AO55" s="359" t="s">
        <v>1999</v>
      </c>
      <c r="AP55" s="359" t="s">
        <v>2000</v>
      </c>
      <c r="AQ55" s="359" t="s">
        <v>2001</v>
      </c>
      <c r="AR55" s="359" t="s">
        <v>2002</v>
      </c>
      <c r="AS55" s="359" t="s">
        <v>2003</v>
      </c>
      <c r="AT55" s="359" t="s">
        <v>2004</v>
      </c>
      <c r="AU55" s="359" t="s">
        <v>2005</v>
      </c>
      <c r="AV55" s="359" t="s">
        <v>2006</v>
      </c>
      <c r="AW55" s="359" t="s">
        <v>2007</v>
      </c>
      <c r="AX55" s="359" t="s">
        <v>2008</v>
      </c>
      <c r="AY55" s="359" t="s">
        <v>2009</v>
      </c>
      <c r="AZ55" s="359" t="s">
        <v>2010</v>
      </c>
      <c r="BA55" s="359" t="s">
        <v>2011</v>
      </c>
      <c r="BB55" s="359" t="s">
        <v>2012</v>
      </c>
      <c r="BC55" s="359" t="s">
        <v>2013</v>
      </c>
      <c r="BD55" s="359" t="s">
        <v>2014</v>
      </c>
      <c r="BE55" s="359" t="s">
        <v>2015</v>
      </c>
      <c r="BF55" s="359" t="s">
        <v>2016</v>
      </c>
      <c r="BG55" s="359" t="s">
        <v>2017</v>
      </c>
      <c r="BH55" s="359" t="s">
        <v>2018</v>
      </c>
      <c r="BI55" s="359" t="s">
        <v>2019</v>
      </c>
      <c r="BJ55" s="359" t="s">
        <v>2020</v>
      </c>
      <c r="BK55" s="359" t="s">
        <v>2021</v>
      </c>
      <c r="BL55" s="359" t="s">
        <v>2022</v>
      </c>
      <c r="BM55" s="359" t="s">
        <v>2023</v>
      </c>
      <c r="BN55" s="359" t="s">
        <v>2024</v>
      </c>
      <c r="BO55" s="147" t="str">
        <f t="shared" si="39"/>
        <v>Pic Example</v>
      </c>
    </row>
    <row r="56" spans="2:67" x14ac:dyDescent="0.25">
      <c r="B56" t="s">
        <v>308</v>
      </c>
      <c r="C56" s="358" t="str">
        <f t="shared" si="36"/>
        <v>https://viking-pictures.s3.us-west-1.amazonaws.com/AA1155/A64.+Mirror%2C+REARVIEW+(1).JPG|https://viking-pictures.s3.us-west-1.amazonaws.com/AA1155/A64.+Mirror%2C+REARVIEW+(2).JPG|https://viking-pictures.s3.us-west-1.amazonaws.com/AA1155/A64.+Mirror%2C+REARVIEW+(3).JPG|https://viking-pictures.s3.us-west-1.amazonaws.com/AA1155/A64.+Mirror%2C+REARVIEW+(4).JPG|https://viking-pictures.s3.us-west-1.amazonaws.com/AA1155/A64.+Mirror%2C+REARVIEW+(6).JPG</v>
      </c>
      <c r="D56" s="358">
        <f>VLOOKUP(B56,'3. Keep &amp; Toss Items'!$O$9:$T$749,6,FALSE)</f>
        <v>6</v>
      </c>
      <c r="E56" s="358" t="str">
        <f t="shared" si="37"/>
        <v>https://viking-pictures.s3.us-west-1.amazonaws.com/AA1155/A64.+Mirror%2C+REARVIEW+(1).JPG</v>
      </c>
      <c r="F56" s="358" t="str">
        <f t="shared" si="40"/>
        <v>https://viking-pictures.s3.us-west-1.amazonaws.com/AA1155/A64.+Mirror%2C+REARVIEW+(2).JPG</v>
      </c>
      <c r="G56" s="358" t="str">
        <f t="shared" si="41"/>
        <v>https://viking-pictures.s3.us-west-1.amazonaws.com/AA1155/A64.+Mirror%2C+REARVIEW+(3).JPG</v>
      </c>
      <c r="H56" s="358" t="str">
        <f t="shared" si="42"/>
        <v>https://viking-pictures.s3.us-west-1.amazonaws.com/AA1155/A64.+Mirror%2C+REARVIEW+(4).JPG</v>
      </c>
      <c r="I56" s="358" t="str">
        <f t="shared" si="43"/>
        <v>https://viking-pictures.s3.us-west-1.amazonaws.com/AA1155/A64.+Mirror%2C+REARVIEW+(6).JPG</v>
      </c>
      <c r="J56" s="358" t="str">
        <f t="shared" si="44"/>
        <v/>
      </c>
      <c r="K56" s="358" t="str">
        <f t="shared" si="45"/>
        <v/>
      </c>
      <c r="L56" s="358" t="str">
        <f t="shared" si="46"/>
        <v/>
      </c>
      <c r="M56" s="358" t="str">
        <f t="shared" si="47"/>
        <v/>
      </c>
      <c r="N56" s="358" t="str">
        <f t="shared" si="48"/>
        <v/>
      </c>
      <c r="O56" s="358" t="str">
        <f t="shared" si="49"/>
        <v/>
      </c>
      <c r="P56" s="358" t="str">
        <f t="shared" si="50"/>
        <v/>
      </c>
      <c r="Q56" s="358" t="str">
        <f t="shared" si="51"/>
        <v/>
      </c>
      <c r="R56" s="358" t="str">
        <f t="shared" si="52"/>
        <v/>
      </c>
      <c r="S56" s="358" t="str">
        <f t="shared" si="53"/>
        <v/>
      </c>
      <c r="T56" s="358" t="str">
        <f t="shared" si="54"/>
        <v/>
      </c>
      <c r="U56" s="358" t="str">
        <f t="shared" si="55"/>
        <v/>
      </c>
      <c r="V56" s="358" t="str">
        <f t="shared" si="56"/>
        <v/>
      </c>
      <c r="W56" s="358" t="str">
        <f t="shared" si="57"/>
        <v/>
      </c>
      <c r="X56" s="358" t="str">
        <f t="shared" si="58"/>
        <v/>
      </c>
      <c r="Y56" s="358" t="str">
        <f t="shared" si="59"/>
        <v/>
      </c>
      <c r="Z56" s="358" t="str">
        <f t="shared" si="60"/>
        <v/>
      </c>
      <c r="AA56" s="111" t="s">
        <v>1998</v>
      </c>
      <c r="AB56" s="358" t="str">
        <f t="shared" si="25"/>
        <v>A64.+Mirror%2C+REARVIEW</v>
      </c>
      <c r="AC56" s="358" t="str">
        <f>VLOOKUP(B56,'3. Keep &amp; Toss Items'!$O$9:$R$749,4,FALSE)</f>
        <v>A64. Mirror, REARVIEW</v>
      </c>
      <c r="AD56" s="358" t="str">
        <f t="shared" si="26"/>
        <v>A64. Mirror, REARVIEW</v>
      </c>
      <c r="AE56" s="358" t="str">
        <f t="shared" si="27"/>
        <v>A64.+Mirror,+REARVIEW</v>
      </c>
      <c r="AF56" s="358" t="str">
        <f t="shared" si="28"/>
        <v>A64.+Mirror%2C+REARVIEW</v>
      </c>
      <c r="AG56" s="358" t="str">
        <f t="shared" si="29"/>
        <v>A64.+Mirror%2C+REARVIEW</v>
      </c>
      <c r="AH56" s="358" t="str">
        <f t="shared" si="30"/>
        <v>A64.+Mirror%2C+REARVIEW</v>
      </c>
      <c r="AI56" s="358" t="str">
        <f t="shared" si="31"/>
        <v>A64.+Mirror%2C+REARVIEW</v>
      </c>
      <c r="AJ56" s="358" t="str">
        <f t="shared" si="32"/>
        <v>A64.+Mirror%2C+REARVIEW</v>
      </c>
      <c r="AK56" s="358" t="str">
        <f t="shared" si="33"/>
        <v>A64.+Mirror%2C+REARVIEW</v>
      </c>
      <c r="AL56" s="358" t="str">
        <f t="shared" si="38"/>
        <v>A64.+Mirror%2C+REARVIEW</v>
      </c>
      <c r="AM56" s="358" t="str">
        <f t="shared" si="34"/>
        <v>A64.+Mirror%2C+REARVIEW</v>
      </c>
      <c r="AN56" s="358" t="str">
        <f t="shared" si="35"/>
        <v>A64.+Mirror%2C+REARVIEW</v>
      </c>
      <c r="AO56" s="359" t="s">
        <v>1999</v>
      </c>
      <c r="AP56" s="359" t="s">
        <v>2000</v>
      </c>
      <c r="AQ56" s="359" t="s">
        <v>2001</v>
      </c>
      <c r="AR56" s="359" t="s">
        <v>2002</v>
      </c>
      <c r="AS56" s="359" t="s">
        <v>2003</v>
      </c>
      <c r="AT56" s="359" t="s">
        <v>2004</v>
      </c>
      <c r="AU56" s="359" t="s">
        <v>2005</v>
      </c>
      <c r="AV56" s="359" t="s">
        <v>2006</v>
      </c>
      <c r="AW56" s="359" t="s">
        <v>2007</v>
      </c>
      <c r="AX56" s="359" t="s">
        <v>2008</v>
      </c>
      <c r="AY56" s="359" t="s">
        <v>2009</v>
      </c>
      <c r="AZ56" s="359" t="s">
        <v>2010</v>
      </c>
      <c r="BA56" s="359" t="s">
        <v>2011</v>
      </c>
      <c r="BB56" s="359" t="s">
        <v>2012</v>
      </c>
      <c r="BC56" s="359" t="s">
        <v>2013</v>
      </c>
      <c r="BD56" s="359" t="s">
        <v>2014</v>
      </c>
      <c r="BE56" s="359" t="s">
        <v>2015</v>
      </c>
      <c r="BF56" s="359" t="s">
        <v>2016</v>
      </c>
      <c r="BG56" s="359" t="s">
        <v>2017</v>
      </c>
      <c r="BH56" s="359" t="s">
        <v>2018</v>
      </c>
      <c r="BI56" s="359" t="s">
        <v>2019</v>
      </c>
      <c r="BJ56" s="359" t="s">
        <v>2020</v>
      </c>
      <c r="BK56" s="359" t="s">
        <v>2021</v>
      </c>
      <c r="BL56" s="359" t="s">
        <v>2022</v>
      </c>
      <c r="BM56" s="359" t="s">
        <v>2023</v>
      </c>
      <c r="BN56" s="359" t="s">
        <v>2024</v>
      </c>
      <c r="BO56" s="147" t="str">
        <f t="shared" si="39"/>
        <v>Pic Example</v>
      </c>
    </row>
    <row r="57" spans="2:67" x14ac:dyDescent="0.25">
      <c r="B57" t="s">
        <v>309</v>
      </c>
      <c r="C57" s="358" t="str">
        <f t="shared" si="36"/>
        <v>https://viking-pictures.s3.us-west-1.amazonaws.com/AA1155/A65.+Vent%2C+DASH+-+FRONT+RIGHT+(1).JPG|https://viking-pictures.s3.us-west-1.amazonaws.com/AA1155/A65.+Vent%2C+DASH+-+FRONT+RIGHT+(2).JPG|https://viking-pictures.s3.us-west-1.amazonaws.com/AA1155/A65.+Vent%2C+DASH+-+FRONT+RIGHT+(3).JPG|https://viking-pictures.s3.us-west-1.amazonaws.com/AA1155/A65.+Vent%2C+DASH+-+FRONT+RIGHT+(4).JPG</v>
      </c>
      <c r="D57" s="358">
        <f>VLOOKUP(B57,'3. Keep &amp; Toss Items'!$O$9:$T$749,6,FALSE)</f>
        <v>4</v>
      </c>
      <c r="E57" s="358" t="str">
        <f t="shared" si="37"/>
        <v>https://viking-pictures.s3.us-west-1.amazonaws.com/AA1155/A65.+Vent%2C+DASH+-+FRONT+RIGHT+(1).JPG</v>
      </c>
      <c r="F57" s="358" t="str">
        <f t="shared" si="40"/>
        <v>https://viking-pictures.s3.us-west-1.amazonaws.com/AA1155/A65.+Vent%2C+DASH+-+FRONT+RIGHT+(2).JPG</v>
      </c>
      <c r="G57" s="358" t="str">
        <f t="shared" si="41"/>
        <v>https://viking-pictures.s3.us-west-1.amazonaws.com/AA1155/A65.+Vent%2C+DASH+-+FRONT+RIGHT+(3).JPG</v>
      </c>
      <c r="H57" s="358" t="str">
        <f t="shared" si="42"/>
        <v>https://viking-pictures.s3.us-west-1.amazonaws.com/AA1155/A65.+Vent%2C+DASH+-+FRONT+RIGHT+(4).JPG</v>
      </c>
      <c r="I57" s="358" t="str">
        <f t="shared" si="43"/>
        <v/>
      </c>
      <c r="J57" s="358" t="str">
        <f t="shared" si="44"/>
        <v/>
      </c>
      <c r="K57" s="358" t="str">
        <f t="shared" si="45"/>
        <v/>
      </c>
      <c r="L57" s="358" t="str">
        <f t="shared" si="46"/>
        <v/>
      </c>
      <c r="M57" s="358" t="str">
        <f t="shared" si="47"/>
        <v/>
      </c>
      <c r="N57" s="358" t="str">
        <f t="shared" si="48"/>
        <v/>
      </c>
      <c r="O57" s="358" t="str">
        <f t="shared" si="49"/>
        <v/>
      </c>
      <c r="P57" s="358" t="str">
        <f t="shared" si="50"/>
        <v/>
      </c>
      <c r="Q57" s="358" t="str">
        <f t="shared" si="51"/>
        <v/>
      </c>
      <c r="R57" s="358" t="str">
        <f t="shared" si="52"/>
        <v/>
      </c>
      <c r="S57" s="358" t="str">
        <f t="shared" si="53"/>
        <v/>
      </c>
      <c r="T57" s="358" t="str">
        <f t="shared" si="54"/>
        <v/>
      </c>
      <c r="U57" s="358" t="str">
        <f t="shared" si="55"/>
        <v/>
      </c>
      <c r="V57" s="358" t="str">
        <f t="shared" si="56"/>
        <v/>
      </c>
      <c r="W57" s="358" t="str">
        <f t="shared" si="57"/>
        <v/>
      </c>
      <c r="X57" s="358" t="str">
        <f t="shared" si="58"/>
        <v/>
      </c>
      <c r="Y57" s="358" t="str">
        <f t="shared" si="59"/>
        <v/>
      </c>
      <c r="Z57" s="358" t="str">
        <f t="shared" si="60"/>
        <v/>
      </c>
      <c r="AA57" s="111" t="s">
        <v>1998</v>
      </c>
      <c r="AB57" s="358" t="str">
        <f t="shared" si="25"/>
        <v>A65.+Vent%2C+DASH+-+FRONT+RIGHT</v>
      </c>
      <c r="AC57" s="358" t="str">
        <f>VLOOKUP(B57,'3. Keep &amp; Toss Items'!$O$9:$R$749,4,FALSE)</f>
        <v>A65. Vent, DASH - FRONT RIGHT</v>
      </c>
      <c r="AD57" s="358" t="str">
        <f t="shared" si="26"/>
        <v>A65. Vent, DASH - FRONT RIGHT</v>
      </c>
      <c r="AE57" s="358" t="str">
        <f t="shared" si="27"/>
        <v>A65.+Vent,+DASH+-+FRONT+RIGHT</v>
      </c>
      <c r="AF57" s="358" t="str">
        <f t="shared" si="28"/>
        <v>A65.+Vent%2C+DASH+-+FRONT+RIGHT</v>
      </c>
      <c r="AG57" s="358" t="str">
        <f t="shared" si="29"/>
        <v>A65.+Vent%2C+DASH+-+FRONT+RIGHT</v>
      </c>
      <c r="AH57" s="358" t="str">
        <f t="shared" si="30"/>
        <v>A65.+Vent%2C+DASH+-+FRONT+RIGHT</v>
      </c>
      <c r="AI57" s="358" t="str">
        <f t="shared" si="31"/>
        <v>A65.+Vent%2C+DASH+-+FRONT+RIGHT</v>
      </c>
      <c r="AJ57" s="358" t="str">
        <f t="shared" si="32"/>
        <v>A65.+Vent%2C+DASH+-+FRONT+RIGHT</v>
      </c>
      <c r="AK57" s="358" t="str">
        <f t="shared" si="33"/>
        <v>A65.+Vent%2C+DASH+-+FRONT+RIGHT</v>
      </c>
      <c r="AL57" s="358" t="str">
        <f t="shared" si="38"/>
        <v>A65.+Vent%2C+DASH+-+FRONT+RIGHT</v>
      </c>
      <c r="AM57" s="358" t="str">
        <f t="shared" si="34"/>
        <v>A65.+Vent%2C+DASH+-+FRONT+RIGHT</v>
      </c>
      <c r="AN57" s="358" t="str">
        <f t="shared" si="35"/>
        <v>A65.+Vent%2C+DASH+-+FRONT+RIGHT</v>
      </c>
      <c r="AO57" s="359" t="s">
        <v>1999</v>
      </c>
      <c r="AP57" s="359" t="s">
        <v>2000</v>
      </c>
      <c r="AQ57" s="359" t="s">
        <v>2001</v>
      </c>
      <c r="AR57" s="359" t="s">
        <v>2002</v>
      </c>
      <c r="AS57" s="359" t="s">
        <v>2003</v>
      </c>
      <c r="AT57" s="359" t="s">
        <v>2004</v>
      </c>
      <c r="AU57" s="359" t="s">
        <v>2005</v>
      </c>
      <c r="AV57" s="359" t="s">
        <v>2006</v>
      </c>
      <c r="AW57" s="359" t="s">
        <v>2007</v>
      </c>
      <c r="AX57" s="359" t="s">
        <v>2008</v>
      </c>
      <c r="AY57" s="359" t="s">
        <v>2009</v>
      </c>
      <c r="AZ57" s="359" t="s">
        <v>2010</v>
      </c>
      <c r="BA57" s="359" t="s">
        <v>2011</v>
      </c>
      <c r="BB57" s="359" t="s">
        <v>2012</v>
      </c>
      <c r="BC57" s="359" t="s">
        <v>2013</v>
      </c>
      <c r="BD57" s="359" t="s">
        <v>2014</v>
      </c>
      <c r="BE57" s="359" t="s">
        <v>2015</v>
      </c>
      <c r="BF57" s="359" t="s">
        <v>2016</v>
      </c>
      <c r="BG57" s="359" t="s">
        <v>2017</v>
      </c>
      <c r="BH57" s="359" t="s">
        <v>2018</v>
      </c>
      <c r="BI57" s="359" t="s">
        <v>2019</v>
      </c>
      <c r="BJ57" s="359" t="s">
        <v>2020</v>
      </c>
      <c r="BK57" s="359" t="s">
        <v>2021</v>
      </c>
      <c r="BL57" s="359" t="s">
        <v>2022</v>
      </c>
      <c r="BM57" s="359" t="s">
        <v>2023</v>
      </c>
      <c r="BN57" s="359" t="s">
        <v>2024</v>
      </c>
      <c r="BO57" s="147" t="str">
        <f t="shared" si="39"/>
        <v>Pic Example</v>
      </c>
    </row>
    <row r="58" spans="2:67" x14ac:dyDescent="0.25">
      <c r="B58" t="s">
        <v>310</v>
      </c>
      <c r="C58" s="358" t="str">
        <f t="shared" si="36"/>
        <v>https://viking-pictures.s3.us-west-1.amazonaws.com/AA1155/A66.+Seatbelt+Buckle%2C+FRONT+-+LEFT+(1).JPG|https://viking-pictures.s3.us-west-1.amazonaws.com/AA1155/A66.+Seatbelt+Buckle%2C+FRONT+-+LEFT+(2).JPG|https://viking-pictures.s3.us-west-1.amazonaws.com/AA1155/A66.+Seatbelt+Buckle%2C+FRONT+-+LEFT+(3).JPG|https://viking-pictures.s3.us-west-1.amazonaws.com/AA1155/A66.+Seatbelt+Buckle%2C+FRONT+-+LEFT+(4).JPG</v>
      </c>
      <c r="D58" s="358">
        <f>VLOOKUP(B58,'3. Keep &amp; Toss Items'!$O$9:$T$749,6,FALSE)</f>
        <v>4</v>
      </c>
      <c r="E58" s="358" t="str">
        <f t="shared" si="37"/>
        <v>https://viking-pictures.s3.us-west-1.amazonaws.com/AA1155/A66.+Seatbelt+Buckle%2C+FRONT+-+LEFT+(1).JPG</v>
      </c>
      <c r="F58" s="358" t="str">
        <f t="shared" si="40"/>
        <v>https://viking-pictures.s3.us-west-1.amazonaws.com/AA1155/A66.+Seatbelt+Buckle%2C+FRONT+-+LEFT+(2).JPG</v>
      </c>
      <c r="G58" s="358" t="str">
        <f t="shared" si="41"/>
        <v>https://viking-pictures.s3.us-west-1.amazonaws.com/AA1155/A66.+Seatbelt+Buckle%2C+FRONT+-+LEFT+(3).JPG</v>
      </c>
      <c r="H58" s="358" t="str">
        <f t="shared" si="42"/>
        <v>https://viking-pictures.s3.us-west-1.amazonaws.com/AA1155/A66.+Seatbelt+Buckle%2C+FRONT+-+LEFT+(4).JPG</v>
      </c>
      <c r="I58" s="358" t="str">
        <f t="shared" si="43"/>
        <v/>
      </c>
      <c r="J58" s="358" t="str">
        <f t="shared" si="44"/>
        <v/>
      </c>
      <c r="K58" s="358" t="str">
        <f t="shared" si="45"/>
        <v/>
      </c>
      <c r="L58" s="358" t="str">
        <f t="shared" si="46"/>
        <v/>
      </c>
      <c r="M58" s="358" t="str">
        <f t="shared" si="47"/>
        <v/>
      </c>
      <c r="N58" s="358" t="str">
        <f t="shared" si="48"/>
        <v/>
      </c>
      <c r="O58" s="358" t="str">
        <f t="shared" si="49"/>
        <v/>
      </c>
      <c r="P58" s="358" t="str">
        <f t="shared" si="50"/>
        <v/>
      </c>
      <c r="Q58" s="358" t="str">
        <f t="shared" si="51"/>
        <v/>
      </c>
      <c r="R58" s="358" t="str">
        <f t="shared" si="52"/>
        <v/>
      </c>
      <c r="S58" s="358" t="str">
        <f t="shared" si="53"/>
        <v/>
      </c>
      <c r="T58" s="358" t="str">
        <f t="shared" si="54"/>
        <v/>
      </c>
      <c r="U58" s="358" t="str">
        <f t="shared" si="55"/>
        <v/>
      </c>
      <c r="V58" s="358" t="str">
        <f t="shared" si="56"/>
        <v/>
      </c>
      <c r="W58" s="358" t="str">
        <f t="shared" si="57"/>
        <v/>
      </c>
      <c r="X58" s="358" t="str">
        <f t="shared" si="58"/>
        <v/>
      </c>
      <c r="Y58" s="358" t="str">
        <f t="shared" si="59"/>
        <v/>
      </c>
      <c r="Z58" s="358" t="str">
        <f t="shared" si="60"/>
        <v/>
      </c>
      <c r="AA58" s="111" t="s">
        <v>1998</v>
      </c>
      <c r="AB58" s="358" t="str">
        <f t="shared" si="25"/>
        <v>A66.+Seatbelt+Buckle%2C+FRONT+-+LEFT</v>
      </c>
      <c r="AC58" s="358" t="str">
        <f>VLOOKUP(B58,'3. Keep &amp; Toss Items'!$O$9:$R$749,4,FALSE)</f>
        <v>A66. Seatbelt Buckle, FRONT - LEFT</v>
      </c>
      <c r="AD58" s="358" t="str">
        <f t="shared" si="26"/>
        <v>A66. Seatbelt Buckle, FRONT - LEFT</v>
      </c>
      <c r="AE58" s="358" t="str">
        <f t="shared" si="27"/>
        <v>A66.+Seatbelt+Buckle,+FRONT+-+LEFT</v>
      </c>
      <c r="AF58" s="358" t="str">
        <f t="shared" si="28"/>
        <v>A66.+Seatbelt+Buckle%2C+FRONT+-+LEFT</v>
      </c>
      <c r="AG58" s="358" t="str">
        <f t="shared" si="29"/>
        <v>A66.+Seatbelt+Buckle%2C+FRONT+-+LEFT</v>
      </c>
      <c r="AH58" s="358" t="str">
        <f t="shared" si="30"/>
        <v>A66.+Seatbelt+Buckle%2C+FRONT+-+LEFT</v>
      </c>
      <c r="AI58" s="358" t="str">
        <f t="shared" si="31"/>
        <v>A66.+Seatbelt+Buckle%2C+FRONT+-+LEFT</v>
      </c>
      <c r="AJ58" s="358" t="str">
        <f t="shared" si="32"/>
        <v>A66.+Seatbelt+Buckle%2C+FRONT+-+LEFT</v>
      </c>
      <c r="AK58" s="358" t="str">
        <f t="shared" si="33"/>
        <v>A66.+Seatbelt+Buckle%2C+FRONT+-+LEFT</v>
      </c>
      <c r="AL58" s="358" t="str">
        <f t="shared" si="38"/>
        <v>A66.+Seatbelt+Buckle%2C+FRONT+-+LEFT</v>
      </c>
      <c r="AM58" s="358" t="str">
        <f t="shared" si="34"/>
        <v>A66.+Seatbelt+Buckle%2C+FRONT+-+LEFT</v>
      </c>
      <c r="AN58" s="358" t="str">
        <f t="shared" si="35"/>
        <v>A66.+Seatbelt+Buckle%2C+FRONT+-+LEFT</v>
      </c>
      <c r="AO58" s="359" t="s">
        <v>1999</v>
      </c>
      <c r="AP58" s="359" t="s">
        <v>2000</v>
      </c>
      <c r="AQ58" s="359" t="s">
        <v>2001</v>
      </c>
      <c r="AR58" s="359" t="s">
        <v>2002</v>
      </c>
      <c r="AS58" s="359" t="s">
        <v>2003</v>
      </c>
      <c r="AT58" s="359" t="s">
        <v>2004</v>
      </c>
      <c r="AU58" s="359" t="s">
        <v>2005</v>
      </c>
      <c r="AV58" s="359" t="s">
        <v>2006</v>
      </c>
      <c r="AW58" s="359" t="s">
        <v>2007</v>
      </c>
      <c r="AX58" s="359" t="s">
        <v>2008</v>
      </c>
      <c r="AY58" s="359" t="s">
        <v>2009</v>
      </c>
      <c r="AZ58" s="359" t="s">
        <v>2010</v>
      </c>
      <c r="BA58" s="359" t="s">
        <v>2011</v>
      </c>
      <c r="BB58" s="359" t="s">
        <v>2012</v>
      </c>
      <c r="BC58" s="359" t="s">
        <v>2013</v>
      </c>
      <c r="BD58" s="359" t="s">
        <v>2014</v>
      </c>
      <c r="BE58" s="359" t="s">
        <v>2015</v>
      </c>
      <c r="BF58" s="359" t="s">
        <v>2016</v>
      </c>
      <c r="BG58" s="359" t="s">
        <v>2017</v>
      </c>
      <c r="BH58" s="359" t="s">
        <v>2018</v>
      </c>
      <c r="BI58" s="359" t="s">
        <v>2019</v>
      </c>
      <c r="BJ58" s="359" t="s">
        <v>2020</v>
      </c>
      <c r="BK58" s="359" t="s">
        <v>2021</v>
      </c>
      <c r="BL58" s="359" t="s">
        <v>2022</v>
      </c>
      <c r="BM58" s="359" t="s">
        <v>2023</v>
      </c>
      <c r="BN58" s="359" t="s">
        <v>2024</v>
      </c>
      <c r="BO58" s="147" t="str">
        <f t="shared" si="39"/>
        <v>Pic Example</v>
      </c>
    </row>
    <row r="59" spans="2:67" x14ac:dyDescent="0.25">
      <c r="B59" t="s">
        <v>311</v>
      </c>
      <c r="C59" s="358" t="str">
        <f t="shared" si="36"/>
        <v>https://viking-pictures.s3.us-west-1.amazonaws.com/AA1155/A67.+Headlight+Switch+(1).JPG|https://viking-pictures.s3.us-west-1.amazonaws.com/AA1155/A67.+Headlight+Switch+(2).JPG|https://viking-pictures.s3.us-west-1.amazonaws.com/AA1155/A67.+Headlight+Switch+(3).JPG|https://viking-pictures.s3.us-west-1.amazonaws.com/AA1155/A67.+Headlight+Switch+(4).JPG</v>
      </c>
      <c r="D59" s="358">
        <f>VLOOKUP(B59,'3. Keep &amp; Toss Items'!$O$9:$T$749,6,FALSE)</f>
        <v>4</v>
      </c>
      <c r="E59" s="358" t="str">
        <f t="shared" si="37"/>
        <v>https://viking-pictures.s3.us-west-1.amazonaws.com/AA1155/A67.+Headlight+Switch+(1).JPG</v>
      </c>
      <c r="F59" s="358" t="str">
        <f t="shared" si="40"/>
        <v>https://viking-pictures.s3.us-west-1.amazonaws.com/AA1155/A67.+Headlight+Switch+(2).JPG</v>
      </c>
      <c r="G59" s="358" t="str">
        <f t="shared" si="41"/>
        <v>https://viking-pictures.s3.us-west-1.amazonaws.com/AA1155/A67.+Headlight+Switch+(3).JPG</v>
      </c>
      <c r="H59" s="358" t="str">
        <f t="shared" si="42"/>
        <v>https://viking-pictures.s3.us-west-1.amazonaws.com/AA1155/A67.+Headlight+Switch+(4).JPG</v>
      </c>
      <c r="I59" s="358" t="str">
        <f t="shared" si="43"/>
        <v/>
      </c>
      <c r="J59" s="358" t="str">
        <f t="shared" si="44"/>
        <v/>
      </c>
      <c r="K59" s="358" t="str">
        <f t="shared" si="45"/>
        <v/>
      </c>
      <c r="L59" s="358" t="str">
        <f t="shared" si="46"/>
        <v/>
      </c>
      <c r="M59" s="358" t="str">
        <f t="shared" si="47"/>
        <v/>
      </c>
      <c r="N59" s="358" t="str">
        <f t="shared" si="48"/>
        <v/>
      </c>
      <c r="O59" s="358" t="str">
        <f t="shared" si="49"/>
        <v/>
      </c>
      <c r="P59" s="358" t="str">
        <f t="shared" si="50"/>
        <v/>
      </c>
      <c r="Q59" s="358" t="str">
        <f t="shared" si="51"/>
        <v/>
      </c>
      <c r="R59" s="358" t="str">
        <f t="shared" si="52"/>
        <v/>
      </c>
      <c r="S59" s="358" t="str">
        <f t="shared" si="53"/>
        <v/>
      </c>
      <c r="T59" s="358" t="str">
        <f t="shared" si="54"/>
        <v/>
      </c>
      <c r="U59" s="358" t="str">
        <f t="shared" si="55"/>
        <v/>
      </c>
      <c r="V59" s="358" t="str">
        <f t="shared" si="56"/>
        <v/>
      </c>
      <c r="W59" s="358" t="str">
        <f t="shared" si="57"/>
        <v/>
      </c>
      <c r="X59" s="358" t="str">
        <f t="shared" si="58"/>
        <v/>
      </c>
      <c r="Y59" s="358" t="str">
        <f t="shared" si="59"/>
        <v/>
      </c>
      <c r="Z59" s="358" t="str">
        <f t="shared" si="60"/>
        <v/>
      </c>
      <c r="AA59" s="111" t="s">
        <v>1998</v>
      </c>
      <c r="AB59" s="358" t="str">
        <f t="shared" si="25"/>
        <v>A67.+Headlight+Switch</v>
      </c>
      <c r="AC59" s="358" t="str">
        <f>VLOOKUP(B59,'3. Keep &amp; Toss Items'!$O$9:$R$749,4,FALSE)</f>
        <v>A67. Headlight Switch</v>
      </c>
      <c r="AD59" s="358" t="str">
        <f t="shared" si="26"/>
        <v>A67. Headlight Switch</v>
      </c>
      <c r="AE59" s="358" t="str">
        <f t="shared" si="27"/>
        <v>A67.+Headlight+Switch</v>
      </c>
      <c r="AF59" s="358" t="str">
        <f t="shared" si="28"/>
        <v>A67.+Headlight+Switch</v>
      </c>
      <c r="AG59" s="358" t="str">
        <f t="shared" si="29"/>
        <v>A67.+Headlight+Switch</v>
      </c>
      <c r="AH59" s="358" t="str">
        <f t="shared" si="30"/>
        <v>A67.+Headlight+Switch</v>
      </c>
      <c r="AI59" s="358" t="str">
        <f t="shared" si="31"/>
        <v>A67.+Headlight+Switch</v>
      </c>
      <c r="AJ59" s="358" t="str">
        <f t="shared" si="32"/>
        <v>A67.+Headlight+Switch</v>
      </c>
      <c r="AK59" s="358" t="str">
        <f t="shared" si="33"/>
        <v>A67.+Headlight+Switch</v>
      </c>
      <c r="AL59" s="358" t="str">
        <f t="shared" si="38"/>
        <v>A67.+Headlight+Switch</v>
      </c>
      <c r="AM59" s="358" t="str">
        <f t="shared" si="34"/>
        <v>A67.+Headlight+Switch</v>
      </c>
      <c r="AN59" s="358" t="str">
        <f t="shared" si="35"/>
        <v>A67.+Headlight+Switch</v>
      </c>
      <c r="AO59" s="359" t="s">
        <v>1999</v>
      </c>
      <c r="AP59" s="359" t="s">
        <v>2000</v>
      </c>
      <c r="AQ59" s="359" t="s">
        <v>2001</v>
      </c>
      <c r="AR59" s="359" t="s">
        <v>2002</v>
      </c>
      <c r="AS59" s="359" t="s">
        <v>2003</v>
      </c>
      <c r="AT59" s="359" t="s">
        <v>2004</v>
      </c>
      <c r="AU59" s="359" t="s">
        <v>2005</v>
      </c>
      <c r="AV59" s="359" t="s">
        <v>2006</v>
      </c>
      <c r="AW59" s="359" t="s">
        <v>2007</v>
      </c>
      <c r="AX59" s="359" t="s">
        <v>2008</v>
      </c>
      <c r="AY59" s="359" t="s">
        <v>2009</v>
      </c>
      <c r="AZ59" s="359" t="s">
        <v>2010</v>
      </c>
      <c r="BA59" s="359" t="s">
        <v>2011</v>
      </c>
      <c r="BB59" s="359" t="s">
        <v>2012</v>
      </c>
      <c r="BC59" s="359" t="s">
        <v>2013</v>
      </c>
      <c r="BD59" s="359" t="s">
        <v>2014</v>
      </c>
      <c r="BE59" s="359" t="s">
        <v>2015</v>
      </c>
      <c r="BF59" s="359" t="s">
        <v>2016</v>
      </c>
      <c r="BG59" s="359" t="s">
        <v>2017</v>
      </c>
      <c r="BH59" s="359" t="s">
        <v>2018</v>
      </c>
      <c r="BI59" s="359" t="s">
        <v>2019</v>
      </c>
      <c r="BJ59" s="359" t="s">
        <v>2020</v>
      </c>
      <c r="BK59" s="359" t="s">
        <v>2021</v>
      </c>
      <c r="BL59" s="359" t="s">
        <v>2022</v>
      </c>
      <c r="BM59" s="359" t="s">
        <v>2023</v>
      </c>
      <c r="BN59" s="359" t="s">
        <v>2024</v>
      </c>
      <c r="BO59" s="147" t="str">
        <f t="shared" si="39"/>
        <v>Pic Example</v>
      </c>
    </row>
    <row r="60" spans="2:67" x14ac:dyDescent="0.25">
      <c r="B60" t="s">
        <v>312</v>
      </c>
      <c r="C60" s="358" t="str">
        <f t="shared" si="36"/>
        <v>https://viking-pictures.s3.us-west-1.amazonaws.com/AA1155/A68.+Seatbelt%2C+Retractors+REAR+2nd+ROW+-+LEFT+%26+RIGHT+SET2+(1).JPG|https://viking-pictures.s3.us-west-1.amazonaws.com/AA1155/A68.+Seatbelt%2C+Retractors+REAR+2nd+ROW+-+LEFT+%26+RIGHT+SET2+(2).JPG|https://viking-pictures.s3.us-west-1.amazonaws.com/AA1155/A68.+Seatbelt%2C+Retractors+REAR+2nd+ROW+-+LEFT+%26+RIGHT+SET2+(3).JPG</v>
      </c>
      <c r="D60" s="358">
        <f>VLOOKUP(B60,'3. Keep &amp; Toss Items'!$O$9:$T$749,6,FALSE)</f>
        <v>3</v>
      </c>
      <c r="E60" s="358" t="str">
        <f t="shared" si="37"/>
        <v>https://viking-pictures.s3.us-west-1.amazonaws.com/AA1155/A68.+Seatbelt%2C+Retractors+REAR+2nd+ROW+-+LEFT+%26+RIGHT+SET2+(1).JPG</v>
      </c>
      <c r="F60" s="358" t="str">
        <f t="shared" si="40"/>
        <v>https://viking-pictures.s3.us-west-1.amazonaws.com/AA1155/A68.+Seatbelt%2C+Retractors+REAR+2nd+ROW+-+LEFT+%26+RIGHT+SET2+(2).JPG</v>
      </c>
      <c r="G60" s="358" t="str">
        <f t="shared" si="41"/>
        <v>https://viking-pictures.s3.us-west-1.amazonaws.com/AA1155/A68.+Seatbelt%2C+Retractors+REAR+2nd+ROW+-+LEFT+%26+RIGHT+SET2+(3).JPG</v>
      </c>
      <c r="H60" s="358" t="str">
        <f t="shared" si="42"/>
        <v/>
      </c>
      <c r="I60" s="358" t="str">
        <f t="shared" si="43"/>
        <v/>
      </c>
      <c r="J60" s="358" t="str">
        <f t="shared" si="44"/>
        <v/>
      </c>
      <c r="K60" s="358" t="str">
        <f t="shared" si="45"/>
        <v/>
      </c>
      <c r="L60" s="358" t="str">
        <f t="shared" si="46"/>
        <v/>
      </c>
      <c r="M60" s="358" t="str">
        <f t="shared" si="47"/>
        <v/>
      </c>
      <c r="N60" s="358" t="str">
        <f t="shared" si="48"/>
        <v/>
      </c>
      <c r="O60" s="358" t="str">
        <f t="shared" si="49"/>
        <v/>
      </c>
      <c r="P60" s="358" t="str">
        <f t="shared" si="50"/>
        <v/>
      </c>
      <c r="Q60" s="358" t="str">
        <f t="shared" si="51"/>
        <v/>
      </c>
      <c r="R60" s="358" t="str">
        <f t="shared" si="52"/>
        <v/>
      </c>
      <c r="S60" s="358" t="str">
        <f t="shared" si="53"/>
        <v/>
      </c>
      <c r="T60" s="358" t="str">
        <f t="shared" si="54"/>
        <v/>
      </c>
      <c r="U60" s="358" t="str">
        <f t="shared" si="55"/>
        <v/>
      </c>
      <c r="V60" s="358" t="str">
        <f t="shared" si="56"/>
        <v/>
      </c>
      <c r="W60" s="358" t="str">
        <f t="shared" si="57"/>
        <v/>
      </c>
      <c r="X60" s="358" t="str">
        <f t="shared" si="58"/>
        <v/>
      </c>
      <c r="Y60" s="358" t="str">
        <f t="shared" si="59"/>
        <v/>
      </c>
      <c r="Z60" s="358" t="str">
        <f t="shared" si="60"/>
        <v/>
      </c>
      <c r="AA60" s="111" t="s">
        <v>1998</v>
      </c>
      <c r="AB60" s="358" t="str">
        <f t="shared" si="25"/>
        <v>A68.+Seatbelt%2C+Retractors+REAR+2nd+ROW+-+LEFT+%26+RIGHT+SET2</v>
      </c>
      <c r="AC60" s="358" t="str">
        <f>VLOOKUP(B60,'3. Keep &amp; Toss Items'!$O$9:$R$749,4,FALSE)</f>
        <v>A68. Seatbelt, Retractors REAR 2nd ROW - LEFT &amp; RIGHT SET2</v>
      </c>
      <c r="AD60" s="358" t="str">
        <f t="shared" si="26"/>
        <v>A68. Seatbelt, Retractors REAR 2nd ROW - LEFT &amp; RIGHT SET2</v>
      </c>
      <c r="AE60" s="358" t="str">
        <f t="shared" si="27"/>
        <v>A68.+Seatbelt,+Retractors+REAR+2nd+ROW+-+LEFT+&amp;+RIGHT+SET2</v>
      </c>
      <c r="AF60" s="358" t="str">
        <f t="shared" si="28"/>
        <v>A68.+Seatbelt%2C+Retractors+REAR+2nd+ROW+-+LEFT+&amp;+RIGHT+SET2</v>
      </c>
      <c r="AG60" s="358" t="str">
        <f t="shared" si="29"/>
        <v>A68.+Seatbelt%2C+Retractors+REAR+2nd+ROW+-+LEFT+&amp;+RIGHT+SET2</v>
      </c>
      <c r="AH60" s="358" t="str">
        <f t="shared" si="30"/>
        <v>A68.+Seatbelt%2C+Retractors+REAR+2nd+ROW+-+LEFT+&amp;+RIGHT+SET2</v>
      </c>
      <c r="AI60" s="358" t="str">
        <f t="shared" si="31"/>
        <v>A68.+Seatbelt%2C+Retractors+REAR+2nd+ROW+-+LEFT+&amp;+RIGHT+SET2</v>
      </c>
      <c r="AJ60" s="358" t="str">
        <f t="shared" si="32"/>
        <v>A68.+Seatbelt%2C+Retractors+REAR+2nd+ROW+-+LEFT+%26+RIGHT+SET2</v>
      </c>
      <c r="AK60" s="358" t="str">
        <f t="shared" si="33"/>
        <v>A68.+Seatbelt%2C+Retractors+REAR+2nd+ROW+-+LEFT+%26+RIGHT+SET2</v>
      </c>
      <c r="AL60" s="358" t="str">
        <f t="shared" si="38"/>
        <v>A68.+Seatbelt%2C+Retractors+REAR+2nd+ROW+-+LEFT+%26+RIGHT+SET2</v>
      </c>
      <c r="AM60" s="358" t="str">
        <f t="shared" si="34"/>
        <v>A68.+Seatbelt%2C+Retractors+REAR+2nd+ROW+-+LEFT+%26+RIGHT+SET2</v>
      </c>
      <c r="AN60" s="358" t="str">
        <f t="shared" si="35"/>
        <v>A68.+Seatbelt%2C+Retractors+REAR+2nd+ROW+-+LEFT+%26+RIGHT+SET2</v>
      </c>
      <c r="AO60" s="359" t="s">
        <v>1999</v>
      </c>
      <c r="AP60" s="359" t="s">
        <v>2000</v>
      </c>
      <c r="AQ60" s="359" t="s">
        <v>2001</v>
      </c>
      <c r="AR60" s="359" t="s">
        <v>2002</v>
      </c>
      <c r="AS60" s="359" t="s">
        <v>2003</v>
      </c>
      <c r="AT60" s="359" t="s">
        <v>2004</v>
      </c>
      <c r="AU60" s="359" t="s">
        <v>2005</v>
      </c>
      <c r="AV60" s="359" t="s">
        <v>2006</v>
      </c>
      <c r="AW60" s="359" t="s">
        <v>2007</v>
      </c>
      <c r="AX60" s="359" t="s">
        <v>2008</v>
      </c>
      <c r="AY60" s="359" t="s">
        <v>2009</v>
      </c>
      <c r="AZ60" s="359" t="s">
        <v>2010</v>
      </c>
      <c r="BA60" s="359" t="s">
        <v>2011</v>
      </c>
      <c r="BB60" s="359" t="s">
        <v>2012</v>
      </c>
      <c r="BC60" s="359" t="s">
        <v>2013</v>
      </c>
      <c r="BD60" s="359" t="s">
        <v>2014</v>
      </c>
      <c r="BE60" s="359" t="s">
        <v>2015</v>
      </c>
      <c r="BF60" s="359" t="s">
        <v>2016</v>
      </c>
      <c r="BG60" s="359" t="s">
        <v>2017</v>
      </c>
      <c r="BH60" s="359" t="s">
        <v>2018</v>
      </c>
      <c r="BI60" s="359" t="s">
        <v>2019</v>
      </c>
      <c r="BJ60" s="359" t="s">
        <v>2020</v>
      </c>
      <c r="BK60" s="359" t="s">
        <v>2021</v>
      </c>
      <c r="BL60" s="359" t="s">
        <v>2022</v>
      </c>
      <c r="BM60" s="359" t="s">
        <v>2023</v>
      </c>
      <c r="BN60" s="359" t="s">
        <v>2024</v>
      </c>
      <c r="BO60" s="147" t="str">
        <f t="shared" si="39"/>
        <v>Pic Example</v>
      </c>
    </row>
    <row r="61" spans="2:67" x14ac:dyDescent="0.25">
      <c r="B61" t="s">
        <v>313</v>
      </c>
      <c r="C61" s="358" t="str">
        <f t="shared" si="36"/>
        <v>https://viking-pictures.s3.us-west-1.amazonaws.com/AA1155/A69.+I-Drive+Navigation+Radio+Control+Knob+(1).JPG|https://viking-pictures.s3.us-west-1.amazonaws.com/AA1155/A69.+I-Drive+Navigation+Radio+Control+Knob+(2).JPG|https://viking-pictures.s3.us-west-1.amazonaws.com/AA1155/A69.+I-Drive+Navigation+Radio+Control+Knob+(3).JPG|https://viking-pictures.s3.us-west-1.amazonaws.com/AA1155/A69.+I-Drive+Navigation+Radio+Control+Knob+(4).JPG</v>
      </c>
      <c r="D61" s="358">
        <f>VLOOKUP(B61,'3. Keep &amp; Toss Items'!$O$9:$T$749,6,FALSE)</f>
        <v>4</v>
      </c>
      <c r="E61" s="358" t="str">
        <f t="shared" si="37"/>
        <v>https://viking-pictures.s3.us-west-1.amazonaws.com/AA1155/A69.+I-Drive+Navigation+Radio+Control+Knob+(1).JPG</v>
      </c>
      <c r="F61" s="358" t="str">
        <f t="shared" si="40"/>
        <v>https://viking-pictures.s3.us-west-1.amazonaws.com/AA1155/A69.+I-Drive+Navigation+Radio+Control+Knob+(2).JPG</v>
      </c>
      <c r="G61" s="358" t="str">
        <f t="shared" si="41"/>
        <v>https://viking-pictures.s3.us-west-1.amazonaws.com/AA1155/A69.+I-Drive+Navigation+Radio+Control+Knob+(3).JPG</v>
      </c>
      <c r="H61" s="358" t="str">
        <f t="shared" si="42"/>
        <v>https://viking-pictures.s3.us-west-1.amazonaws.com/AA1155/A69.+I-Drive+Navigation+Radio+Control+Knob+(4).JPG</v>
      </c>
      <c r="I61" s="358" t="str">
        <f t="shared" si="43"/>
        <v/>
      </c>
      <c r="J61" s="358" t="str">
        <f t="shared" si="44"/>
        <v/>
      </c>
      <c r="K61" s="358" t="str">
        <f t="shared" si="45"/>
        <v/>
      </c>
      <c r="L61" s="358" t="str">
        <f t="shared" si="46"/>
        <v/>
      </c>
      <c r="M61" s="358" t="str">
        <f t="shared" si="47"/>
        <v/>
      </c>
      <c r="N61" s="358" t="str">
        <f t="shared" si="48"/>
        <v/>
      </c>
      <c r="O61" s="358" t="str">
        <f t="shared" si="49"/>
        <v/>
      </c>
      <c r="P61" s="358" t="str">
        <f t="shared" si="50"/>
        <v/>
      </c>
      <c r="Q61" s="358" t="str">
        <f t="shared" si="51"/>
        <v/>
      </c>
      <c r="R61" s="358" t="str">
        <f t="shared" si="52"/>
        <v/>
      </c>
      <c r="S61" s="358" t="str">
        <f t="shared" si="53"/>
        <v/>
      </c>
      <c r="T61" s="358" t="str">
        <f t="shared" si="54"/>
        <v/>
      </c>
      <c r="U61" s="358" t="str">
        <f t="shared" si="55"/>
        <v/>
      </c>
      <c r="V61" s="358" t="str">
        <f t="shared" si="56"/>
        <v/>
      </c>
      <c r="W61" s="358" t="str">
        <f t="shared" si="57"/>
        <v/>
      </c>
      <c r="X61" s="358" t="str">
        <f t="shared" si="58"/>
        <v/>
      </c>
      <c r="Y61" s="358" t="str">
        <f t="shared" si="59"/>
        <v/>
      </c>
      <c r="Z61" s="358" t="str">
        <f t="shared" si="60"/>
        <v/>
      </c>
      <c r="AA61" s="111" t="s">
        <v>1998</v>
      </c>
      <c r="AB61" s="358" t="str">
        <f t="shared" si="25"/>
        <v>A69.+I-Drive+Navigation+Radio+Control+Knob</v>
      </c>
      <c r="AC61" s="358" t="str">
        <f>VLOOKUP(B61,'3. Keep &amp; Toss Items'!$O$9:$R$749,4,FALSE)</f>
        <v>A69. I-Drive Navigation Radio Control Knob</v>
      </c>
      <c r="AD61" s="358" t="str">
        <f t="shared" si="26"/>
        <v>A69. I-Drive Navigation Radio Control Knob</v>
      </c>
      <c r="AE61" s="358" t="str">
        <f t="shared" si="27"/>
        <v>A69.+I-Drive+Navigation+Radio+Control+Knob</v>
      </c>
      <c r="AF61" s="358" t="str">
        <f t="shared" si="28"/>
        <v>A69.+I-Drive+Navigation+Radio+Control+Knob</v>
      </c>
      <c r="AG61" s="358" t="str">
        <f t="shared" si="29"/>
        <v>A69.+I-Drive+Navigation+Radio+Control+Knob</v>
      </c>
      <c r="AH61" s="358" t="str">
        <f t="shared" si="30"/>
        <v>A69.+I-Drive+Navigation+Radio+Control+Knob</v>
      </c>
      <c r="AI61" s="358" t="str">
        <f t="shared" si="31"/>
        <v>A69.+I-Drive+Navigation+Radio+Control+Knob</v>
      </c>
      <c r="AJ61" s="358" t="str">
        <f t="shared" si="32"/>
        <v>A69.+I-Drive+Navigation+Radio+Control+Knob</v>
      </c>
      <c r="AK61" s="358" t="str">
        <f t="shared" si="33"/>
        <v>A69.+I-Drive+Navigation+Radio+Control+Knob</v>
      </c>
      <c r="AL61" s="358" t="str">
        <f t="shared" si="38"/>
        <v>A69.+I-Drive+Navigation+Radio+Control+Knob</v>
      </c>
      <c r="AM61" s="358" t="str">
        <f t="shared" si="34"/>
        <v>A69.+I-Drive+Navigation+Radio+Control+Knob</v>
      </c>
      <c r="AN61" s="358" t="str">
        <f t="shared" si="35"/>
        <v>A69.+I-Drive+Navigation+Radio+Control+Knob</v>
      </c>
      <c r="AO61" s="359" t="s">
        <v>1999</v>
      </c>
      <c r="AP61" s="359" t="s">
        <v>2000</v>
      </c>
      <c r="AQ61" s="359" t="s">
        <v>2001</v>
      </c>
      <c r="AR61" s="359" t="s">
        <v>2002</v>
      </c>
      <c r="AS61" s="359" t="s">
        <v>2003</v>
      </c>
      <c r="AT61" s="359" t="s">
        <v>2004</v>
      </c>
      <c r="AU61" s="359" t="s">
        <v>2005</v>
      </c>
      <c r="AV61" s="359" t="s">
        <v>2006</v>
      </c>
      <c r="AW61" s="359" t="s">
        <v>2007</v>
      </c>
      <c r="AX61" s="359" t="s">
        <v>2008</v>
      </c>
      <c r="AY61" s="359" t="s">
        <v>2009</v>
      </c>
      <c r="AZ61" s="359" t="s">
        <v>2010</v>
      </c>
      <c r="BA61" s="359" t="s">
        <v>2011</v>
      </c>
      <c r="BB61" s="359" t="s">
        <v>2012</v>
      </c>
      <c r="BC61" s="359" t="s">
        <v>2013</v>
      </c>
      <c r="BD61" s="359" t="s">
        <v>2014</v>
      </c>
      <c r="BE61" s="359" t="s">
        <v>2015</v>
      </c>
      <c r="BF61" s="359" t="s">
        <v>2016</v>
      </c>
      <c r="BG61" s="359" t="s">
        <v>2017</v>
      </c>
      <c r="BH61" s="359" t="s">
        <v>2018</v>
      </c>
      <c r="BI61" s="359" t="s">
        <v>2019</v>
      </c>
      <c r="BJ61" s="359" t="s">
        <v>2020</v>
      </c>
      <c r="BK61" s="359" t="s">
        <v>2021</v>
      </c>
      <c r="BL61" s="359" t="s">
        <v>2022</v>
      </c>
      <c r="BM61" s="359" t="s">
        <v>2023</v>
      </c>
      <c r="BN61" s="359" t="s">
        <v>2024</v>
      </c>
      <c r="BO61" s="147" t="str">
        <f t="shared" si="39"/>
        <v>Pic Example</v>
      </c>
    </row>
    <row r="62" spans="2:67" x14ac:dyDescent="0.25">
      <c r="B62" t="s">
        <v>314</v>
      </c>
      <c r="C62" s="358" t="str">
        <f t="shared" si="36"/>
        <v>https://viking-pictures.s3.us-west-1.amazonaws.com/AA1155/A70.+Seatbelt%2C+Buckles+REAR+2ND+ROW+-+SET+3+(1).JPG|https://viking-pictures.s3.us-west-1.amazonaws.com/AA1155/A70.+Seatbelt%2C+Buckles+REAR+2ND+ROW+-+SET+3+(2).JPG|https://viking-pictures.s3.us-west-1.amazonaws.com/AA1155/A70.+Seatbelt%2C+Buckles+REAR+2ND+ROW+-+SET+3+(3).JPG</v>
      </c>
      <c r="D62" s="358">
        <f>VLOOKUP(B62,'3. Keep &amp; Toss Items'!$O$9:$T$749,6,FALSE)</f>
        <v>3</v>
      </c>
      <c r="E62" s="358" t="str">
        <f t="shared" si="37"/>
        <v>https://viking-pictures.s3.us-west-1.amazonaws.com/AA1155/A70.+Seatbelt%2C+Buckles+REAR+2ND+ROW+-+SET+3+(1).JPG</v>
      </c>
      <c r="F62" s="358" t="str">
        <f t="shared" si="40"/>
        <v>https://viking-pictures.s3.us-west-1.amazonaws.com/AA1155/A70.+Seatbelt%2C+Buckles+REAR+2ND+ROW+-+SET+3+(2).JPG</v>
      </c>
      <c r="G62" s="358" t="str">
        <f t="shared" si="41"/>
        <v>https://viking-pictures.s3.us-west-1.amazonaws.com/AA1155/A70.+Seatbelt%2C+Buckles+REAR+2ND+ROW+-+SET+3+(3).JPG</v>
      </c>
      <c r="H62" s="358" t="str">
        <f t="shared" si="42"/>
        <v/>
      </c>
      <c r="I62" s="358" t="str">
        <f t="shared" si="43"/>
        <v/>
      </c>
      <c r="J62" s="358" t="str">
        <f t="shared" si="44"/>
        <v/>
      </c>
      <c r="K62" s="358" t="str">
        <f t="shared" si="45"/>
        <v/>
      </c>
      <c r="L62" s="358" t="str">
        <f t="shared" si="46"/>
        <v/>
      </c>
      <c r="M62" s="358" t="str">
        <f t="shared" si="47"/>
        <v/>
      </c>
      <c r="N62" s="358" t="str">
        <f t="shared" si="48"/>
        <v/>
      </c>
      <c r="O62" s="358" t="str">
        <f t="shared" si="49"/>
        <v/>
      </c>
      <c r="P62" s="358" t="str">
        <f t="shared" si="50"/>
        <v/>
      </c>
      <c r="Q62" s="358" t="str">
        <f t="shared" si="51"/>
        <v/>
      </c>
      <c r="R62" s="358" t="str">
        <f t="shared" si="52"/>
        <v/>
      </c>
      <c r="S62" s="358" t="str">
        <f t="shared" si="53"/>
        <v/>
      </c>
      <c r="T62" s="358" t="str">
        <f t="shared" si="54"/>
        <v/>
      </c>
      <c r="U62" s="358" t="str">
        <f t="shared" si="55"/>
        <v/>
      </c>
      <c r="V62" s="358" t="str">
        <f t="shared" si="56"/>
        <v/>
      </c>
      <c r="W62" s="358" t="str">
        <f t="shared" si="57"/>
        <v/>
      </c>
      <c r="X62" s="358" t="str">
        <f t="shared" si="58"/>
        <v/>
      </c>
      <c r="Y62" s="358" t="str">
        <f t="shared" si="59"/>
        <v/>
      </c>
      <c r="Z62" s="358" t="str">
        <f t="shared" si="60"/>
        <v/>
      </c>
      <c r="AA62" s="111" t="s">
        <v>1998</v>
      </c>
      <c r="AB62" s="358" t="str">
        <f t="shared" si="25"/>
        <v>A70.+Seatbelt%2C+Buckles+REAR+2ND+ROW+-+SET+3</v>
      </c>
      <c r="AC62" s="358" t="str">
        <f>VLOOKUP(B62,'3. Keep &amp; Toss Items'!$O$9:$R$749,4,FALSE)</f>
        <v>A70. Seatbelt, Buckles REAR 2ND ROW - SET 3</v>
      </c>
      <c r="AD62" s="358" t="str">
        <f t="shared" si="26"/>
        <v>A70. Seatbelt, Buckles REAR 2ND ROW - SET 3</v>
      </c>
      <c r="AE62" s="358" t="str">
        <f t="shared" si="27"/>
        <v>A70.+Seatbelt,+Buckles+REAR+2ND+ROW+-+SET+3</v>
      </c>
      <c r="AF62" s="358" t="str">
        <f t="shared" si="28"/>
        <v>A70.+Seatbelt%2C+Buckles+REAR+2ND+ROW+-+SET+3</v>
      </c>
      <c r="AG62" s="358" t="str">
        <f t="shared" si="29"/>
        <v>A70.+Seatbelt%2C+Buckles+REAR+2ND+ROW+-+SET+3</v>
      </c>
      <c r="AH62" s="358" t="str">
        <f t="shared" si="30"/>
        <v>A70.+Seatbelt%2C+Buckles+REAR+2ND+ROW+-+SET+3</v>
      </c>
      <c r="AI62" s="358" t="str">
        <f t="shared" si="31"/>
        <v>A70.+Seatbelt%2C+Buckles+REAR+2ND+ROW+-+SET+3</v>
      </c>
      <c r="AJ62" s="358" t="str">
        <f t="shared" si="32"/>
        <v>A70.+Seatbelt%2C+Buckles+REAR+2ND+ROW+-+SET+3</v>
      </c>
      <c r="AK62" s="358" t="str">
        <f t="shared" si="33"/>
        <v>A70.+Seatbelt%2C+Buckles+REAR+2ND+ROW+-+SET+3</v>
      </c>
      <c r="AL62" s="358" t="str">
        <f t="shared" si="38"/>
        <v>A70.+Seatbelt%2C+Buckles+REAR+2ND+ROW+-+SET+3</v>
      </c>
      <c r="AM62" s="358" t="str">
        <f t="shared" si="34"/>
        <v>A70.+Seatbelt%2C+Buckles+REAR+2ND+ROW+-+SET+3</v>
      </c>
      <c r="AN62" s="358" t="str">
        <f t="shared" si="35"/>
        <v>A70.+Seatbelt%2C+Buckles+REAR+2ND+ROW+-+SET+3</v>
      </c>
      <c r="AO62" s="359" t="s">
        <v>1999</v>
      </c>
      <c r="AP62" s="359" t="s">
        <v>2000</v>
      </c>
      <c r="AQ62" s="359" t="s">
        <v>2001</v>
      </c>
      <c r="AR62" s="359" t="s">
        <v>2002</v>
      </c>
      <c r="AS62" s="359" t="s">
        <v>2003</v>
      </c>
      <c r="AT62" s="359" t="s">
        <v>2004</v>
      </c>
      <c r="AU62" s="359" t="s">
        <v>2005</v>
      </c>
      <c r="AV62" s="359" t="s">
        <v>2006</v>
      </c>
      <c r="AW62" s="359" t="s">
        <v>2007</v>
      </c>
      <c r="AX62" s="359" t="s">
        <v>2008</v>
      </c>
      <c r="AY62" s="359" t="s">
        <v>2009</v>
      </c>
      <c r="AZ62" s="359" t="s">
        <v>2010</v>
      </c>
      <c r="BA62" s="359" t="s">
        <v>2011</v>
      </c>
      <c r="BB62" s="359" t="s">
        <v>2012</v>
      </c>
      <c r="BC62" s="359" t="s">
        <v>2013</v>
      </c>
      <c r="BD62" s="359" t="s">
        <v>2014</v>
      </c>
      <c r="BE62" s="359" t="s">
        <v>2015</v>
      </c>
      <c r="BF62" s="359" t="s">
        <v>2016</v>
      </c>
      <c r="BG62" s="359" t="s">
        <v>2017</v>
      </c>
      <c r="BH62" s="359" t="s">
        <v>2018</v>
      </c>
      <c r="BI62" s="359" t="s">
        <v>2019</v>
      </c>
      <c r="BJ62" s="359" t="s">
        <v>2020</v>
      </c>
      <c r="BK62" s="359" t="s">
        <v>2021</v>
      </c>
      <c r="BL62" s="359" t="s">
        <v>2022</v>
      </c>
      <c r="BM62" s="359" t="s">
        <v>2023</v>
      </c>
      <c r="BN62" s="359" t="s">
        <v>2024</v>
      </c>
      <c r="BO62" s="147" t="str">
        <f t="shared" si="39"/>
        <v>Pic Example</v>
      </c>
    </row>
    <row r="63" spans="2:67" x14ac:dyDescent="0.25">
      <c r="B63" t="s">
        <v>315</v>
      </c>
      <c r="C63" s="358" t="str">
        <f t="shared" si="36"/>
        <v>https://viking-pictures.s3.us-west-1.amazonaws.com/AA1155/A71.+Module+%26+Key+SET+A+(ECM+%2B+BCM+%2B+Keyless+Mod+%2B+FOB+%2B+LF+Lock+Cyl+%2B+Immobilizer+Ring)+(1).JPG|https://viking-pictures.s3.us-west-1.amazonaws.com/AA1155/A71.+Module+%26+Key+SET+A+(ECM+%2B+BCM+%2B+Keyless+Mod+%2B+FOB+%2B+LF+Lock+Cyl+%2B+Immobilizer+Ring)+(2).JPG|https://viking-pictures.s3.us-west-1.amazonaws.com/AA1155/A71.+Module+%26+Key+SET+A+(ECM+%2B+BCM+%2B+Keyless+Mod+%2B+FOB+%2B+LF+Lock+Cyl+%2B+Immobilizer+Ring)+(3).JPG|https://viking-pictures.s3.us-west-1.amazonaws.com/AA1155/A71.+Module+%26+Key+SET+A+(ECM+%2B+BCM+%2B+Keyless+Mod+%2B+FOB+%2B+LF+Lock+Cyl+%2B+Immobilizer+Ring)+(4).JPG|https://viking-pictures.s3.us-west-1.amazonaws.com/AA1155/A71.+Module+%26+Key+SET+A+(ECM+%2B+BCM+%2B+Keyless+Mod+%2B+FOB+%2B+LF+Lock+Cyl+%2B+Immobilizer+Ring)+(6).JPG|https://viking-pictures.s3.us-west-1.amazonaws.com/AA1155/A71.+Module+%26+Key+SET+A+(ECM+%2B+BCM+%2B+Keyless+Mod+%2B+FOB+%2B+LF+Lock+Cyl+%2B+Immobilizer+Ring)+(8).JPG|https://viking-pictures.s3.us-west-1.amazonaws.com/AA1155/A71.+Module+%26+Key+SET+A+(ECM+%2B+BCM+%2B+Keyless+Mod+%2B+FOB+%2B+LF+Lock+Cyl+%2B+Immobilizer+Ring)+(9).JPG</v>
      </c>
      <c r="D63" s="358">
        <f>VLOOKUP(B63,'3. Keep &amp; Toss Items'!$O$9:$T$749,6,FALSE)</f>
        <v>9</v>
      </c>
      <c r="E63" s="358" t="str">
        <f t="shared" si="37"/>
        <v>https://viking-pictures.s3.us-west-1.amazonaws.com/AA1155/A71.+Module+%26+Key+SET+A+(ECM+%2B+BCM+%2B+Keyless+Mod+%2B+FOB+%2B+LF+Lock+Cyl+%2B+Immobilizer+Ring)+(1).JPG</v>
      </c>
      <c r="F63" s="358" t="str">
        <f t="shared" si="40"/>
        <v>https://viking-pictures.s3.us-west-1.amazonaws.com/AA1155/A71.+Module+%26+Key+SET+A+(ECM+%2B+BCM+%2B+Keyless+Mod+%2B+FOB+%2B+LF+Lock+Cyl+%2B+Immobilizer+Ring)+(2).JPG</v>
      </c>
      <c r="G63" s="358" t="str">
        <f t="shared" si="41"/>
        <v>https://viking-pictures.s3.us-west-1.amazonaws.com/AA1155/A71.+Module+%26+Key+SET+A+(ECM+%2B+BCM+%2B+Keyless+Mod+%2B+FOB+%2B+LF+Lock+Cyl+%2B+Immobilizer+Ring)+(3).JPG</v>
      </c>
      <c r="H63" s="358" t="str">
        <f t="shared" si="42"/>
        <v>https://viking-pictures.s3.us-west-1.amazonaws.com/AA1155/A71.+Module+%26+Key+SET+A+(ECM+%2B+BCM+%2B+Keyless+Mod+%2B+FOB+%2B+LF+Lock+Cyl+%2B+Immobilizer+Ring)+(4).JPG</v>
      </c>
      <c r="I63" s="358" t="str">
        <f t="shared" si="43"/>
        <v>https://viking-pictures.s3.us-west-1.amazonaws.com/AA1155/A71.+Module+%26+Key+SET+A+(ECM+%2B+BCM+%2B+Keyless+Mod+%2B+FOB+%2B+LF+Lock+Cyl+%2B+Immobilizer+Ring)+(6).JPG</v>
      </c>
      <c r="J63" s="358" t="str">
        <f t="shared" si="44"/>
        <v>https://viking-pictures.s3.us-west-1.amazonaws.com/AA1155/A71.+Module+%26+Key+SET+A+(ECM+%2B+BCM+%2B+Keyless+Mod+%2B+FOB+%2B+LF+Lock+Cyl+%2B+Immobilizer+Ring)+(8).JPG</v>
      </c>
      <c r="K63" s="358" t="str">
        <f t="shared" si="45"/>
        <v>https://viking-pictures.s3.us-west-1.amazonaws.com/AA1155/A71.+Module+%26+Key+SET+A+(ECM+%2B+BCM+%2B+Keyless+Mod+%2B+FOB+%2B+LF+Lock+Cyl+%2B+Immobilizer+Ring)+(9).JPG</v>
      </c>
      <c r="L63" s="358" t="str">
        <f t="shared" si="46"/>
        <v/>
      </c>
      <c r="M63" s="358" t="str">
        <f t="shared" si="47"/>
        <v/>
      </c>
      <c r="N63" s="358" t="str">
        <f t="shared" si="48"/>
        <v/>
      </c>
      <c r="O63" s="358" t="str">
        <f t="shared" si="49"/>
        <v/>
      </c>
      <c r="P63" s="358" t="str">
        <f t="shared" si="50"/>
        <v/>
      </c>
      <c r="Q63" s="358" t="str">
        <f t="shared" si="51"/>
        <v/>
      </c>
      <c r="R63" s="358" t="str">
        <f t="shared" si="52"/>
        <v/>
      </c>
      <c r="S63" s="358" t="str">
        <f t="shared" si="53"/>
        <v/>
      </c>
      <c r="T63" s="358" t="str">
        <f t="shared" si="54"/>
        <v/>
      </c>
      <c r="U63" s="358" t="str">
        <f t="shared" si="55"/>
        <v/>
      </c>
      <c r="V63" s="358" t="str">
        <f t="shared" si="56"/>
        <v/>
      </c>
      <c r="W63" s="358" t="str">
        <f t="shared" si="57"/>
        <v/>
      </c>
      <c r="X63" s="358" t="str">
        <f t="shared" si="58"/>
        <v/>
      </c>
      <c r="Y63" s="358" t="str">
        <f t="shared" si="59"/>
        <v/>
      </c>
      <c r="Z63" s="358" t="str">
        <f t="shared" si="60"/>
        <v/>
      </c>
      <c r="AA63" s="111" t="s">
        <v>1998</v>
      </c>
      <c r="AB63" s="358" t="str">
        <f t="shared" si="25"/>
        <v>A71.+Module+%26+Key+SET+A+(ECM+%2B+BCM+%2B+Keyless+Mod+%2B+FOB+%2B+LF+Lock+Cyl+%2B+Immobilizer+Ring)</v>
      </c>
      <c r="AC63" s="358" t="str">
        <f>VLOOKUP(B63,'3. Keep &amp; Toss Items'!$O$9:$R$749,4,FALSE)</f>
        <v>A71. Module &amp; Key SET A (ECM + BCM + Keyless Mod + FOB + LF Lock Cyl + Immobilizer Ring)</v>
      </c>
      <c r="AD63" s="358" t="str">
        <f t="shared" si="26"/>
        <v>A71. Module &amp; Key SET A (ECM %2B BCM %2B Keyless Mod %2B FOB %2B LF Lock Cyl %2B Immobilizer Ring)</v>
      </c>
      <c r="AE63" s="358" t="str">
        <f t="shared" si="27"/>
        <v>A71.+Module+&amp;+Key+SET+A+(ECM+%2B+BCM+%2B+Keyless+Mod+%2B+FOB+%2B+LF+Lock+Cyl+%2B+Immobilizer+Ring)</v>
      </c>
      <c r="AF63" s="358" t="str">
        <f t="shared" si="28"/>
        <v>A71.+Module+&amp;+Key+SET+A+(ECM+%2B+BCM+%2B+Keyless+Mod+%2B+FOB+%2B+LF+Lock+Cyl+%2B+Immobilizer+Ring)</v>
      </c>
      <c r="AG63" s="358" t="str">
        <f t="shared" si="29"/>
        <v>A71.+Module+&amp;+Key+SET+A+(ECM+%2B+BCM+%2B+Keyless+Mod+%2B+FOB+%2B+LF+Lock+Cyl+%2B+Immobilizer+Ring)</v>
      </c>
      <c r="AH63" s="358" t="str">
        <f t="shared" si="30"/>
        <v>A71.+Module+&amp;+Key+SET+A+(ECM+%2B+BCM+%2B+Keyless+Mod+%2B+FOB+%2B+LF+Lock+Cyl+%2B+Immobilizer+Ring)</v>
      </c>
      <c r="AI63" s="358" t="str">
        <f t="shared" si="31"/>
        <v>A71.+Module+&amp;+Key+SET+A+(ECM+%2B+BCM+%2B+Keyless+Mod+%2B+FOB+%2B+LF+Lock+Cyl+%2B+Immobilizer+Ring)</v>
      </c>
      <c r="AJ63" s="358" t="str">
        <f t="shared" si="32"/>
        <v>A71.+Module+%26+Key+SET+A+(ECM+%2B+BCM+%2B+Keyless+Mod+%2B+FOB+%2B+LF+Lock+Cyl+%2B+Immobilizer+Ring)</v>
      </c>
      <c r="AK63" s="358" t="str">
        <f t="shared" si="33"/>
        <v>A71.+Module+%26+Key+SET+A+(ECM+%2B+BCM+%2B+Keyless+Mod+%2B+FOB+%2B+LF+Lock+Cyl+%2B+Immobilizer+Ring)</v>
      </c>
      <c r="AL63" s="358" t="str">
        <f t="shared" si="38"/>
        <v>A71.+Module+%26+Key+SET+A+(ECM+%2B+BCM+%2B+Keyless+Mod+%2B+FOB+%2B+LF+Lock+Cyl+%2B+Immobilizer+Ring)</v>
      </c>
      <c r="AM63" s="358" t="str">
        <f t="shared" si="34"/>
        <v>A71.+Module+%26+Key+SET+A+(ECM+%2B+BCM+%2B+Keyless+Mod+%2B+FOB+%2B+LF+Lock+Cyl+%2B+Immobilizer+Ring)</v>
      </c>
      <c r="AN63" s="358" t="str">
        <f t="shared" si="35"/>
        <v>A71.+Module+%26+Key+SET+A+(ECM+%2B+BCM+%2B+Keyless+Mod+%2B+FOB+%2B+LF+Lock+Cyl+%2B+Immobilizer+Ring)</v>
      </c>
      <c r="AO63" s="359" t="s">
        <v>1999</v>
      </c>
      <c r="AP63" s="359" t="s">
        <v>2000</v>
      </c>
      <c r="AQ63" s="359" t="s">
        <v>2001</v>
      </c>
      <c r="AR63" s="359" t="s">
        <v>2002</v>
      </c>
      <c r="AS63" s="359" t="s">
        <v>2003</v>
      </c>
      <c r="AT63" s="359" t="s">
        <v>2004</v>
      </c>
      <c r="AU63" s="359" t="s">
        <v>2005</v>
      </c>
      <c r="AV63" s="359" t="s">
        <v>2006</v>
      </c>
      <c r="AW63" s="359" t="s">
        <v>2007</v>
      </c>
      <c r="AX63" s="359" t="s">
        <v>2008</v>
      </c>
      <c r="AY63" s="359" t="s">
        <v>2009</v>
      </c>
      <c r="AZ63" s="359" t="s">
        <v>2010</v>
      </c>
      <c r="BA63" s="359" t="s">
        <v>2011</v>
      </c>
      <c r="BB63" s="359" t="s">
        <v>2012</v>
      </c>
      <c r="BC63" s="359" t="s">
        <v>2013</v>
      </c>
      <c r="BD63" s="359" t="s">
        <v>2014</v>
      </c>
      <c r="BE63" s="359" t="s">
        <v>2015</v>
      </c>
      <c r="BF63" s="359" t="s">
        <v>2016</v>
      </c>
      <c r="BG63" s="359" t="s">
        <v>2017</v>
      </c>
      <c r="BH63" s="359" t="s">
        <v>2018</v>
      </c>
      <c r="BI63" s="359" t="s">
        <v>2019</v>
      </c>
      <c r="BJ63" s="359" t="s">
        <v>2020</v>
      </c>
      <c r="BK63" s="359" t="s">
        <v>2021</v>
      </c>
      <c r="BL63" s="359" t="s">
        <v>2022</v>
      </c>
      <c r="BM63" s="359" t="s">
        <v>2023</v>
      </c>
      <c r="BN63" s="359" t="s">
        <v>2024</v>
      </c>
      <c r="BO63" s="147" t="str">
        <f t="shared" si="39"/>
        <v>Pic Example</v>
      </c>
    </row>
    <row r="64" spans="2:67" x14ac:dyDescent="0.25">
      <c r="B64" t="s">
        <v>316</v>
      </c>
      <c r="C64" s="358" t="str">
        <f t="shared" si="36"/>
        <v>https://viking-pictures.s3.us-west-1.amazonaws.com/AA1155/A72.+Radio+Receiver+Unit+(1).JPG|https://viking-pictures.s3.us-west-1.amazonaws.com/AA1155/A72.+Radio+Receiver+Unit+(2).JPG|https://viking-pictures.s3.us-west-1.amazonaws.com/AA1155/A72.+Radio+Receiver+Unit+(3).JPG|https://viking-pictures.s3.us-west-1.amazonaws.com/AA1155/A72.+Radio+Receiver+Unit+(4).JPG</v>
      </c>
      <c r="D64" s="358">
        <f>VLOOKUP(B64,'3. Keep &amp; Toss Items'!$O$9:$T$749,6,FALSE)</f>
        <v>5</v>
      </c>
      <c r="E64" s="358" t="str">
        <f t="shared" si="37"/>
        <v>https://viking-pictures.s3.us-west-1.amazonaws.com/AA1155/A72.+Radio+Receiver+Unit+(1).JPG</v>
      </c>
      <c r="F64" s="358" t="str">
        <f t="shared" si="40"/>
        <v>https://viking-pictures.s3.us-west-1.amazonaws.com/AA1155/A72.+Radio+Receiver+Unit+(2).JPG</v>
      </c>
      <c r="G64" s="358" t="str">
        <f t="shared" si="41"/>
        <v>https://viking-pictures.s3.us-west-1.amazonaws.com/AA1155/A72.+Radio+Receiver+Unit+(3).JPG</v>
      </c>
      <c r="H64" s="358" t="str">
        <f t="shared" si="42"/>
        <v>https://viking-pictures.s3.us-west-1.amazonaws.com/AA1155/A72.+Radio+Receiver+Unit+(4).JPG</v>
      </c>
      <c r="I64" s="358" t="str">
        <f t="shared" si="43"/>
        <v/>
      </c>
      <c r="J64" s="358" t="str">
        <f t="shared" si="44"/>
        <v/>
      </c>
      <c r="K64" s="358" t="str">
        <f t="shared" si="45"/>
        <v/>
      </c>
      <c r="L64" s="358" t="str">
        <f t="shared" si="46"/>
        <v/>
      </c>
      <c r="M64" s="358" t="str">
        <f t="shared" si="47"/>
        <v/>
      </c>
      <c r="N64" s="358" t="str">
        <f t="shared" si="48"/>
        <v/>
      </c>
      <c r="O64" s="358" t="str">
        <f t="shared" si="49"/>
        <v/>
      </c>
      <c r="P64" s="358" t="str">
        <f t="shared" si="50"/>
        <v/>
      </c>
      <c r="Q64" s="358" t="str">
        <f t="shared" si="51"/>
        <v/>
      </c>
      <c r="R64" s="358" t="str">
        <f t="shared" si="52"/>
        <v/>
      </c>
      <c r="S64" s="358" t="str">
        <f t="shared" si="53"/>
        <v/>
      </c>
      <c r="T64" s="358" t="str">
        <f t="shared" si="54"/>
        <v/>
      </c>
      <c r="U64" s="358" t="str">
        <f t="shared" si="55"/>
        <v/>
      </c>
      <c r="V64" s="358" t="str">
        <f t="shared" si="56"/>
        <v/>
      </c>
      <c r="W64" s="358" t="str">
        <f t="shared" si="57"/>
        <v/>
      </c>
      <c r="X64" s="358" t="str">
        <f t="shared" si="58"/>
        <v/>
      </c>
      <c r="Y64" s="358" t="str">
        <f t="shared" si="59"/>
        <v/>
      </c>
      <c r="Z64" s="358" t="str">
        <f t="shared" si="60"/>
        <v/>
      </c>
      <c r="AA64" s="111" t="s">
        <v>1998</v>
      </c>
      <c r="AB64" s="358" t="str">
        <f t="shared" si="25"/>
        <v>A72.+Radio+Receiver+Unit</v>
      </c>
      <c r="AC64" s="358" t="str">
        <f>VLOOKUP(B64,'3. Keep &amp; Toss Items'!$O$9:$R$749,4,FALSE)</f>
        <v>A72. Radio Receiver Unit</v>
      </c>
      <c r="AD64" s="358" t="str">
        <f t="shared" si="26"/>
        <v>A72. Radio Receiver Unit</v>
      </c>
      <c r="AE64" s="358" t="str">
        <f t="shared" si="27"/>
        <v>A72.+Radio+Receiver+Unit</v>
      </c>
      <c r="AF64" s="358" t="str">
        <f t="shared" si="28"/>
        <v>A72.+Radio+Receiver+Unit</v>
      </c>
      <c r="AG64" s="358" t="str">
        <f t="shared" si="29"/>
        <v>A72.+Radio+Receiver+Unit</v>
      </c>
      <c r="AH64" s="358" t="str">
        <f t="shared" si="30"/>
        <v>A72.+Radio+Receiver+Unit</v>
      </c>
      <c r="AI64" s="358" t="str">
        <f t="shared" si="31"/>
        <v>A72.+Radio+Receiver+Unit</v>
      </c>
      <c r="AJ64" s="358" t="str">
        <f t="shared" si="32"/>
        <v>A72.+Radio+Receiver+Unit</v>
      </c>
      <c r="AK64" s="358" t="str">
        <f t="shared" si="33"/>
        <v>A72.+Radio+Receiver+Unit</v>
      </c>
      <c r="AL64" s="358" t="str">
        <f t="shared" si="38"/>
        <v>A72.+Radio+Receiver+Unit</v>
      </c>
      <c r="AM64" s="358" t="str">
        <f t="shared" si="34"/>
        <v>A72.+Radio+Receiver+Unit</v>
      </c>
      <c r="AN64" s="358" t="str">
        <f t="shared" si="35"/>
        <v>A72.+Radio+Receiver+Unit</v>
      </c>
      <c r="AO64" s="359" t="s">
        <v>1999</v>
      </c>
      <c r="AP64" s="359" t="s">
        <v>2000</v>
      </c>
      <c r="AQ64" s="359" t="s">
        <v>2001</v>
      </c>
      <c r="AR64" s="359" t="s">
        <v>2002</v>
      </c>
      <c r="AS64" s="359" t="s">
        <v>2003</v>
      </c>
      <c r="AT64" s="359" t="s">
        <v>2004</v>
      </c>
      <c r="AU64" s="359" t="s">
        <v>2005</v>
      </c>
      <c r="AV64" s="359" t="s">
        <v>2006</v>
      </c>
      <c r="AW64" s="359" t="s">
        <v>2007</v>
      </c>
      <c r="AX64" s="359" t="s">
        <v>2008</v>
      </c>
      <c r="AY64" s="359" t="s">
        <v>2009</v>
      </c>
      <c r="AZ64" s="359" t="s">
        <v>2010</v>
      </c>
      <c r="BA64" s="359" t="s">
        <v>2011</v>
      </c>
      <c r="BB64" s="359" t="s">
        <v>2012</v>
      </c>
      <c r="BC64" s="359" t="s">
        <v>2013</v>
      </c>
      <c r="BD64" s="359" t="s">
        <v>2014</v>
      </c>
      <c r="BE64" s="359" t="s">
        <v>2015</v>
      </c>
      <c r="BF64" s="359" t="s">
        <v>2016</v>
      </c>
      <c r="BG64" s="359" t="s">
        <v>2017</v>
      </c>
      <c r="BH64" s="359" t="s">
        <v>2018</v>
      </c>
      <c r="BI64" s="359" t="s">
        <v>2019</v>
      </c>
      <c r="BJ64" s="359" t="s">
        <v>2020</v>
      </c>
      <c r="BK64" s="359" t="s">
        <v>2021</v>
      </c>
      <c r="BL64" s="359" t="s">
        <v>2022</v>
      </c>
      <c r="BM64" s="359" t="s">
        <v>2023</v>
      </c>
      <c r="BN64" s="359" t="s">
        <v>2024</v>
      </c>
      <c r="BO64" s="147" t="str">
        <f t="shared" si="39"/>
        <v>Pic Example</v>
      </c>
    </row>
    <row r="65" spans="2:67" x14ac:dyDescent="0.25">
      <c r="B65" t="s">
        <v>317</v>
      </c>
      <c r="C65" s="358" t="str">
        <f t="shared" si="36"/>
        <v>https://viking-pictures.s3.us-west-1.amazonaws.com/AA1155/A73.+Amplifier%2C+HiFi+(1).JPG|https://viking-pictures.s3.us-west-1.amazonaws.com/AA1155/A73.+Amplifier%2C+HiFi+(2).JPG|https://viking-pictures.s3.us-west-1.amazonaws.com/AA1155/A73.+Amplifier%2C+HiFi+(3).JPG|https://viking-pictures.s3.us-west-1.amazonaws.com/AA1155/A73.+Amplifier%2C+HiFi+(4).JPG</v>
      </c>
      <c r="D65" s="358">
        <f>VLOOKUP(B65,'3. Keep &amp; Toss Items'!$O$9:$T$749,6,FALSE)</f>
        <v>4</v>
      </c>
      <c r="E65" s="358" t="str">
        <f t="shared" si="37"/>
        <v>https://viking-pictures.s3.us-west-1.amazonaws.com/AA1155/A73.+Amplifier%2C+HiFi+(1).JPG</v>
      </c>
      <c r="F65" s="358" t="str">
        <f t="shared" si="40"/>
        <v>https://viking-pictures.s3.us-west-1.amazonaws.com/AA1155/A73.+Amplifier%2C+HiFi+(2).JPG</v>
      </c>
      <c r="G65" s="358" t="str">
        <f t="shared" si="41"/>
        <v>https://viking-pictures.s3.us-west-1.amazonaws.com/AA1155/A73.+Amplifier%2C+HiFi+(3).JPG</v>
      </c>
      <c r="H65" s="358" t="str">
        <f t="shared" si="42"/>
        <v>https://viking-pictures.s3.us-west-1.amazonaws.com/AA1155/A73.+Amplifier%2C+HiFi+(4).JPG</v>
      </c>
      <c r="I65" s="358" t="str">
        <f t="shared" si="43"/>
        <v/>
      </c>
      <c r="J65" s="358" t="str">
        <f t="shared" si="44"/>
        <v/>
      </c>
      <c r="K65" s="358" t="str">
        <f t="shared" si="45"/>
        <v/>
      </c>
      <c r="L65" s="358" t="str">
        <f t="shared" si="46"/>
        <v/>
      </c>
      <c r="M65" s="358" t="str">
        <f t="shared" si="47"/>
        <v/>
      </c>
      <c r="N65" s="358" t="str">
        <f t="shared" si="48"/>
        <v/>
      </c>
      <c r="O65" s="358" t="str">
        <f t="shared" si="49"/>
        <v/>
      </c>
      <c r="P65" s="358" t="str">
        <f t="shared" si="50"/>
        <v/>
      </c>
      <c r="Q65" s="358" t="str">
        <f t="shared" si="51"/>
        <v/>
      </c>
      <c r="R65" s="358" t="str">
        <f t="shared" si="52"/>
        <v/>
      </c>
      <c r="S65" s="358" t="str">
        <f t="shared" si="53"/>
        <v/>
      </c>
      <c r="T65" s="358" t="str">
        <f t="shared" si="54"/>
        <v/>
      </c>
      <c r="U65" s="358" t="str">
        <f t="shared" si="55"/>
        <v/>
      </c>
      <c r="V65" s="358" t="str">
        <f t="shared" si="56"/>
        <v/>
      </c>
      <c r="W65" s="358" t="str">
        <f t="shared" si="57"/>
        <v/>
      </c>
      <c r="X65" s="358" t="str">
        <f t="shared" si="58"/>
        <v/>
      </c>
      <c r="Y65" s="358" t="str">
        <f t="shared" si="59"/>
        <v/>
      </c>
      <c r="Z65" s="358" t="str">
        <f t="shared" si="60"/>
        <v/>
      </c>
      <c r="AA65" s="111" t="s">
        <v>1998</v>
      </c>
      <c r="AB65" s="358" t="str">
        <f t="shared" si="25"/>
        <v>A73.+Amplifier%2C+HiFi</v>
      </c>
      <c r="AC65" s="358" t="str">
        <f>VLOOKUP(B65,'3. Keep &amp; Toss Items'!$O$9:$R$749,4,FALSE)</f>
        <v>A73. Amplifier, HiFi</v>
      </c>
      <c r="AD65" s="358" t="str">
        <f t="shared" si="26"/>
        <v>A73. Amplifier, HiFi</v>
      </c>
      <c r="AE65" s="358" t="str">
        <f t="shared" si="27"/>
        <v>A73.+Amplifier,+HiFi</v>
      </c>
      <c r="AF65" s="358" t="str">
        <f t="shared" si="28"/>
        <v>A73.+Amplifier%2C+HiFi</v>
      </c>
      <c r="AG65" s="358" t="str">
        <f t="shared" si="29"/>
        <v>A73.+Amplifier%2C+HiFi</v>
      </c>
      <c r="AH65" s="358" t="str">
        <f t="shared" si="30"/>
        <v>A73.+Amplifier%2C+HiFi</v>
      </c>
      <c r="AI65" s="358" t="str">
        <f t="shared" si="31"/>
        <v>A73.+Amplifier%2C+HiFi</v>
      </c>
      <c r="AJ65" s="358" t="str">
        <f t="shared" si="32"/>
        <v>A73.+Amplifier%2C+HiFi</v>
      </c>
      <c r="AK65" s="358" t="str">
        <f t="shared" si="33"/>
        <v>A73.+Amplifier%2C+HiFi</v>
      </c>
      <c r="AL65" s="358" t="str">
        <f t="shared" si="38"/>
        <v>A73.+Amplifier%2C+HiFi</v>
      </c>
      <c r="AM65" s="358" t="str">
        <f t="shared" si="34"/>
        <v>A73.+Amplifier%2C+HiFi</v>
      </c>
      <c r="AN65" s="358" t="str">
        <f t="shared" si="35"/>
        <v>A73.+Amplifier%2C+HiFi</v>
      </c>
      <c r="AO65" s="359" t="s">
        <v>1999</v>
      </c>
      <c r="AP65" s="359" t="s">
        <v>2000</v>
      </c>
      <c r="AQ65" s="359" t="s">
        <v>2001</v>
      </c>
      <c r="AR65" s="359" t="s">
        <v>2002</v>
      </c>
      <c r="AS65" s="359" t="s">
        <v>2003</v>
      </c>
      <c r="AT65" s="359" t="s">
        <v>2004</v>
      </c>
      <c r="AU65" s="359" t="s">
        <v>2005</v>
      </c>
      <c r="AV65" s="359" t="s">
        <v>2006</v>
      </c>
      <c r="AW65" s="359" t="s">
        <v>2007</v>
      </c>
      <c r="AX65" s="359" t="s">
        <v>2008</v>
      </c>
      <c r="AY65" s="359" t="s">
        <v>2009</v>
      </c>
      <c r="AZ65" s="359" t="s">
        <v>2010</v>
      </c>
      <c r="BA65" s="359" t="s">
        <v>2011</v>
      </c>
      <c r="BB65" s="359" t="s">
        <v>2012</v>
      </c>
      <c r="BC65" s="359" t="s">
        <v>2013</v>
      </c>
      <c r="BD65" s="359" t="s">
        <v>2014</v>
      </c>
      <c r="BE65" s="359" t="s">
        <v>2015</v>
      </c>
      <c r="BF65" s="359" t="s">
        <v>2016</v>
      </c>
      <c r="BG65" s="359" t="s">
        <v>2017</v>
      </c>
      <c r="BH65" s="359" t="s">
        <v>2018</v>
      </c>
      <c r="BI65" s="359" t="s">
        <v>2019</v>
      </c>
      <c r="BJ65" s="359" t="s">
        <v>2020</v>
      </c>
      <c r="BK65" s="359" t="s">
        <v>2021</v>
      </c>
      <c r="BL65" s="359" t="s">
        <v>2022</v>
      </c>
      <c r="BM65" s="359" t="s">
        <v>2023</v>
      </c>
      <c r="BN65" s="359" t="s">
        <v>2024</v>
      </c>
      <c r="BO65" s="147" t="str">
        <f t="shared" si="39"/>
        <v>Pic Example</v>
      </c>
    </row>
    <row r="66" spans="2:67" x14ac:dyDescent="0.25">
      <c r="B66" t="s">
        <v>318</v>
      </c>
      <c r="C66" s="358" t="str">
        <f t="shared" si="36"/>
        <v>https://viking-pictures.s3.us-west-1.amazonaws.com/AA1155/A74.+ABS+ICM+Integrated+Chassis+Management+SRS+Control+Module+(1).JPG|https://viking-pictures.s3.us-west-1.amazonaws.com/AA1155/A74.+ABS+ICM+Integrated+Chassis+Management+SRS+Control+Module+(2).JPG|https://viking-pictures.s3.us-west-1.amazonaws.com/AA1155/A74.+ABS+ICM+Integrated+Chassis+Management+SRS+Control+Module+(3).JPG|https://viking-pictures.s3.us-west-1.amazonaws.com/AA1155/A74.+ABS+ICM+Integrated+Chassis+Management+SRS+Control+Module+(4).JPG</v>
      </c>
      <c r="D66" s="358">
        <f>VLOOKUP(B66,'3. Keep &amp; Toss Items'!$O$9:$T$749,6,FALSE)</f>
        <v>4</v>
      </c>
      <c r="E66" s="358" t="str">
        <f t="shared" si="37"/>
        <v>https://viking-pictures.s3.us-west-1.amazonaws.com/AA1155/A74.+ABS+ICM+Integrated+Chassis+Management+SRS+Control+Module+(1).JPG</v>
      </c>
      <c r="F66" s="358" t="str">
        <f t="shared" si="40"/>
        <v>https://viking-pictures.s3.us-west-1.amazonaws.com/AA1155/A74.+ABS+ICM+Integrated+Chassis+Management+SRS+Control+Module+(2).JPG</v>
      </c>
      <c r="G66" s="358" t="str">
        <f t="shared" si="41"/>
        <v>https://viking-pictures.s3.us-west-1.amazonaws.com/AA1155/A74.+ABS+ICM+Integrated+Chassis+Management+SRS+Control+Module+(3).JPG</v>
      </c>
      <c r="H66" s="358" t="str">
        <f t="shared" si="42"/>
        <v>https://viking-pictures.s3.us-west-1.amazonaws.com/AA1155/A74.+ABS+ICM+Integrated+Chassis+Management+SRS+Control+Module+(4).JPG</v>
      </c>
      <c r="I66" s="358" t="str">
        <f t="shared" si="43"/>
        <v/>
      </c>
      <c r="J66" s="358" t="str">
        <f t="shared" si="44"/>
        <v/>
      </c>
      <c r="K66" s="358" t="str">
        <f t="shared" si="45"/>
        <v/>
      </c>
      <c r="L66" s="358" t="str">
        <f t="shared" si="46"/>
        <v/>
      </c>
      <c r="M66" s="358" t="str">
        <f t="shared" si="47"/>
        <v/>
      </c>
      <c r="N66" s="358" t="str">
        <f t="shared" si="48"/>
        <v/>
      </c>
      <c r="O66" s="358" t="str">
        <f t="shared" si="49"/>
        <v/>
      </c>
      <c r="P66" s="358" t="str">
        <f t="shared" si="50"/>
        <v/>
      </c>
      <c r="Q66" s="358" t="str">
        <f t="shared" si="51"/>
        <v/>
      </c>
      <c r="R66" s="358" t="str">
        <f t="shared" si="52"/>
        <v/>
      </c>
      <c r="S66" s="358" t="str">
        <f t="shared" si="53"/>
        <v/>
      </c>
      <c r="T66" s="358" t="str">
        <f t="shared" si="54"/>
        <v/>
      </c>
      <c r="U66" s="358" t="str">
        <f t="shared" si="55"/>
        <v/>
      </c>
      <c r="V66" s="358" t="str">
        <f t="shared" si="56"/>
        <v/>
      </c>
      <c r="W66" s="358" t="str">
        <f t="shared" si="57"/>
        <v/>
      </c>
      <c r="X66" s="358" t="str">
        <f t="shared" si="58"/>
        <v/>
      </c>
      <c r="Y66" s="358" t="str">
        <f t="shared" si="59"/>
        <v/>
      </c>
      <c r="Z66" s="358" t="str">
        <f t="shared" si="60"/>
        <v/>
      </c>
      <c r="AA66" s="111" t="s">
        <v>1998</v>
      </c>
      <c r="AB66" s="358" t="str">
        <f t="shared" si="25"/>
        <v>A74.+ABS+ICM+Integrated+Chassis+Management+SRS+Control+Module</v>
      </c>
      <c r="AC66" s="358" t="str">
        <f>VLOOKUP(B66,'3. Keep &amp; Toss Items'!$O$9:$R$749,4,FALSE)</f>
        <v>A74. ABS ICM Integrated Chassis Management SRS Control Module</v>
      </c>
      <c r="AD66" s="358" t="str">
        <f t="shared" si="26"/>
        <v>A74. ABS ICM Integrated Chassis Management SRS Control Module</v>
      </c>
      <c r="AE66" s="358" t="str">
        <f t="shared" si="27"/>
        <v>A74.+ABS+ICM+Integrated+Chassis+Management+SRS+Control+Module</v>
      </c>
      <c r="AF66" s="358" t="str">
        <f t="shared" si="28"/>
        <v>A74.+ABS+ICM+Integrated+Chassis+Management+SRS+Control+Module</v>
      </c>
      <c r="AG66" s="358" t="str">
        <f t="shared" si="29"/>
        <v>A74.+ABS+ICM+Integrated+Chassis+Management+SRS+Control+Module</v>
      </c>
      <c r="AH66" s="358" t="str">
        <f t="shared" si="30"/>
        <v>A74.+ABS+ICM+Integrated+Chassis+Management+SRS+Control+Module</v>
      </c>
      <c r="AI66" s="358" t="str">
        <f t="shared" si="31"/>
        <v>A74.+ABS+ICM+Integrated+Chassis+Management+SRS+Control+Module</v>
      </c>
      <c r="AJ66" s="358" t="str">
        <f t="shared" si="32"/>
        <v>A74.+ABS+ICM+Integrated+Chassis+Management+SRS+Control+Module</v>
      </c>
      <c r="AK66" s="358" t="str">
        <f t="shared" si="33"/>
        <v>A74.+ABS+ICM+Integrated+Chassis+Management+SRS+Control+Module</v>
      </c>
      <c r="AL66" s="358" t="str">
        <f t="shared" si="38"/>
        <v>A74.+ABS+ICM+Integrated+Chassis+Management+SRS+Control+Module</v>
      </c>
      <c r="AM66" s="358" t="str">
        <f t="shared" si="34"/>
        <v>A74.+ABS+ICM+Integrated+Chassis+Management+SRS+Control+Module</v>
      </c>
      <c r="AN66" s="358" t="str">
        <f t="shared" si="35"/>
        <v>A74.+ABS+ICM+Integrated+Chassis+Management+SRS+Control+Module</v>
      </c>
      <c r="AO66" s="359" t="s">
        <v>1999</v>
      </c>
      <c r="AP66" s="359" t="s">
        <v>2000</v>
      </c>
      <c r="AQ66" s="359" t="s">
        <v>2001</v>
      </c>
      <c r="AR66" s="359" t="s">
        <v>2002</v>
      </c>
      <c r="AS66" s="359" t="s">
        <v>2003</v>
      </c>
      <c r="AT66" s="359" t="s">
        <v>2004</v>
      </c>
      <c r="AU66" s="359" t="s">
        <v>2005</v>
      </c>
      <c r="AV66" s="359" t="s">
        <v>2006</v>
      </c>
      <c r="AW66" s="359" t="s">
        <v>2007</v>
      </c>
      <c r="AX66" s="359" t="s">
        <v>2008</v>
      </c>
      <c r="AY66" s="359" t="s">
        <v>2009</v>
      </c>
      <c r="AZ66" s="359" t="s">
        <v>2010</v>
      </c>
      <c r="BA66" s="359" t="s">
        <v>2011</v>
      </c>
      <c r="BB66" s="359" t="s">
        <v>2012</v>
      </c>
      <c r="BC66" s="359" t="s">
        <v>2013</v>
      </c>
      <c r="BD66" s="359" t="s">
        <v>2014</v>
      </c>
      <c r="BE66" s="359" t="s">
        <v>2015</v>
      </c>
      <c r="BF66" s="359" t="s">
        <v>2016</v>
      </c>
      <c r="BG66" s="359" t="s">
        <v>2017</v>
      </c>
      <c r="BH66" s="359" t="s">
        <v>2018</v>
      </c>
      <c r="BI66" s="359" t="s">
        <v>2019</v>
      </c>
      <c r="BJ66" s="359" t="s">
        <v>2020</v>
      </c>
      <c r="BK66" s="359" t="s">
        <v>2021</v>
      </c>
      <c r="BL66" s="359" t="s">
        <v>2022</v>
      </c>
      <c r="BM66" s="359" t="s">
        <v>2023</v>
      </c>
      <c r="BN66" s="359" t="s">
        <v>2024</v>
      </c>
      <c r="BO66" s="147" t="str">
        <f t="shared" si="39"/>
        <v>Pic Example</v>
      </c>
    </row>
    <row r="67" spans="2:67" x14ac:dyDescent="0.25">
      <c r="B67" t="s">
        <v>319</v>
      </c>
      <c r="C67" s="358" t="str">
        <f t="shared" si="36"/>
        <v>https://viking-pictures.s3.us-west-1.amazonaws.com/AA1155/A75.+Voltage+Converter+Control+Module+(1).JPG|https://viking-pictures.s3.us-west-1.amazonaws.com/AA1155/A75.+Voltage+Converter+Control+Module+(2).JPG|https://viking-pictures.s3.us-west-1.amazonaws.com/AA1155/A75.+Voltage+Converter+Control+Module+(3).JPG|https://viking-pictures.s3.us-west-1.amazonaws.com/AA1155/A75.+Voltage+Converter+Control+Module+(4).JPG</v>
      </c>
      <c r="D67" s="358">
        <f>VLOOKUP(B67,'3. Keep &amp; Toss Items'!$O$9:$T$749,6,FALSE)</f>
        <v>4</v>
      </c>
      <c r="E67" s="358" t="str">
        <f t="shared" ref="E67:E98" si="61">IF($D67&gt;=E$1,CONCATENATE($AA67,$AB67,$AO67,AP67,$BN67),"")</f>
        <v>https://viking-pictures.s3.us-west-1.amazonaws.com/AA1155/A75.+Voltage+Converter+Control+Module+(1).JPG</v>
      </c>
      <c r="F67" s="358" t="str">
        <f t="shared" si="40"/>
        <v>https://viking-pictures.s3.us-west-1.amazonaws.com/AA1155/A75.+Voltage+Converter+Control+Module+(2).JPG</v>
      </c>
      <c r="G67" s="358" t="str">
        <f t="shared" si="41"/>
        <v>https://viking-pictures.s3.us-west-1.amazonaws.com/AA1155/A75.+Voltage+Converter+Control+Module+(3).JPG</v>
      </c>
      <c r="H67" s="358" t="str">
        <f t="shared" si="42"/>
        <v>https://viking-pictures.s3.us-west-1.amazonaws.com/AA1155/A75.+Voltage+Converter+Control+Module+(4).JPG</v>
      </c>
      <c r="I67" s="358" t="str">
        <f t="shared" si="43"/>
        <v/>
      </c>
      <c r="J67" s="358" t="str">
        <f t="shared" si="44"/>
        <v/>
      </c>
      <c r="K67" s="358" t="str">
        <f t="shared" si="45"/>
        <v/>
      </c>
      <c r="L67" s="358" t="str">
        <f t="shared" si="46"/>
        <v/>
      </c>
      <c r="M67" s="358" t="str">
        <f t="shared" si="47"/>
        <v/>
      </c>
      <c r="N67" s="358" t="str">
        <f t="shared" si="48"/>
        <v/>
      </c>
      <c r="O67" s="358" t="str">
        <f t="shared" si="49"/>
        <v/>
      </c>
      <c r="P67" s="358" t="str">
        <f t="shared" si="50"/>
        <v/>
      </c>
      <c r="Q67" s="358" t="str">
        <f t="shared" si="51"/>
        <v/>
      </c>
      <c r="R67" s="358" t="str">
        <f t="shared" si="52"/>
        <v/>
      </c>
      <c r="S67" s="358" t="str">
        <f t="shared" si="53"/>
        <v/>
      </c>
      <c r="T67" s="358" t="str">
        <f t="shared" si="54"/>
        <v/>
      </c>
      <c r="U67" s="358" t="str">
        <f t="shared" si="55"/>
        <v/>
      </c>
      <c r="V67" s="358" t="str">
        <f t="shared" si="56"/>
        <v/>
      </c>
      <c r="W67" s="358" t="str">
        <f t="shared" si="57"/>
        <v/>
      </c>
      <c r="X67" s="358" t="str">
        <f t="shared" si="58"/>
        <v/>
      </c>
      <c r="Y67" s="358" t="str">
        <f t="shared" si="59"/>
        <v/>
      </c>
      <c r="Z67" s="358" t="str">
        <f t="shared" si="60"/>
        <v/>
      </c>
      <c r="AA67" s="111" t="s">
        <v>1998</v>
      </c>
      <c r="AB67" s="358" t="str">
        <f t="shared" si="25"/>
        <v>A75.+Voltage+Converter+Control+Module</v>
      </c>
      <c r="AC67" s="358" t="str">
        <f>VLOOKUP(B67,'3. Keep &amp; Toss Items'!$O$9:$R$749,4,FALSE)</f>
        <v>A75. Voltage Converter Control Module</v>
      </c>
      <c r="AD67" s="358" t="str">
        <f t="shared" si="26"/>
        <v>A75. Voltage Converter Control Module</v>
      </c>
      <c r="AE67" s="358" t="str">
        <f t="shared" si="27"/>
        <v>A75.+Voltage+Converter+Control+Module</v>
      </c>
      <c r="AF67" s="358" t="str">
        <f t="shared" si="28"/>
        <v>A75.+Voltage+Converter+Control+Module</v>
      </c>
      <c r="AG67" s="358" t="str">
        <f t="shared" si="29"/>
        <v>A75.+Voltage+Converter+Control+Module</v>
      </c>
      <c r="AH67" s="358" t="str">
        <f t="shared" si="30"/>
        <v>A75.+Voltage+Converter+Control+Module</v>
      </c>
      <c r="AI67" s="358" t="str">
        <f t="shared" si="31"/>
        <v>A75.+Voltage+Converter+Control+Module</v>
      </c>
      <c r="AJ67" s="358" t="str">
        <f t="shared" si="32"/>
        <v>A75.+Voltage+Converter+Control+Module</v>
      </c>
      <c r="AK67" s="358" t="str">
        <f t="shared" si="33"/>
        <v>A75.+Voltage+Converter+Control+Module</v>
      </c>
      <c r="AL67" s="358" t="str">
        <f t="shared" ref="AL67:AL98" si="62">SUBSTITUTE(AK67,"?","%3F")</f>
        <v>A75.+Voltage+Converter+Control+Module</v>
      </c>
      <c r="AM67" s="358" t="str">
        <f t="shared" si="34"/>
        <v>A75.+Voltage+Converter+Control+Module</v>
      </c>
      <c r="AN67" s="358" t="str">
        <f t="shared" si="35"/>
        <v>A75.+Voltage+Converter+Control+Module</v>
      </c>
      <c r="AO67" s="359" t="s">
        <v>1999</v>
      </c>
      <c r="AP67" s="359" t="s">
        <v>2000</v>
      </c>
      <c r="AQ67" s="359" t="s">
        <v>2001</v>
      </c>
      <c r="AR67" s="359" t="s">
        <v>2002</v>
      </c>
      <c r="AS67" s="359" t="s">
        <v>2003</v>
      </c>
      <c r="AT67" s="359" t="s">
        <v>2004</v>
      </c>
      <c r="AU67" s="359" t="s">
        <v>2005</v>
      </c>
      <c r="AV67" s="359" t="s">
        <v>2006</v>
      </c>
      <c r="AW67" s="359" t="s">
        <v>2007</v>
      </c>
      <c r="AX67" s="359" t="s">
        <v>2008</v>
      </c>
      <c r="AY67" s="359" t="s">
        <v>2009</v>
      </c>
      <c r="AZ67" s="359" t="s">
        <v>2010</v>
      </c>
      <c r="BA67" s="359" t="s">
        <v>2011</v>
      </c>
      <c r="BB67" s="359" t="s">
        <v>2012</v>
      </c>
      <c r="BC67" s="359" t="s">
        <v>2013</v>
      </c>
      <c r="BD67" s="359" t="s">
        <v>2014</v>
      </c>
      <c r="BE67" s="359" t="s">
        <v>2015</v>
      </c>
      <c r="BF67" s="359" t="s">
        <v>2016</v>
      </c>
      <c r="BG67" s="359" t="s">
        <v>2017</v>
      </c>
      <c r="BH67" s="359" t="s">
        <v>2018</v>
      </c>
      <c r="BI67" s="359" t="s">
        <v>2019</v>
      </c>
      <c r="BJ67" s="359" t="s">
        <v>2020</v>
      </c>
      <c r="BK67" s="359" t="s">
        <v>2021</v>
      </c>
      <c r="BL67" s="359" t="s">
        <v>2022</v>
      </c>
      <c r="BM67" s="359" t="s">
        <v>2023</v>
      </c>
      <c r="BN67" s="359" t="s">
        <v>2024</v>
      </c>
      <c r="BO67" s="147" t="str">
        <f t="shared" ref="BO67:BO98" si="63">HYPERLINK(E67,"Pic Example")</f>
        <v>Pic Example</v>
      </c>
    </row>
    <row r="68" spans="2:67" x14ac:dyDescent="0.25">
      <c r="B68" t="s">
        <v>320</v>
      </c>
      <c r="C68" s="358" t="str">
        <f t="shared" si="36"/>
        <v>https://viking-pictures.s3.us-west-1.amazonaws.com/AA1155/A76.+Camera%2C+REAR+Backup+Camera+(1).JPG|https://viking-pictures.s3.us-west-1.amazonaws.com/AA1155/A76.+Camera%2C+REAR+Backup+Camera+(2).JPG|https://viking-pictures.s3.us-west-1.amazonaws.com/AA1155/A76.+Camera%2C+REAR+Backup+Camera+(3).JPG|https://viking-pictures.s3.us-west-1.amazonaws.com/AA1155/A76.+Camera%2C+REAR+Backup+Camera+(4).JPG</v>
      </c>
      <c r="D68" s="358">
        <f>VLOOKUP(B68,'3. Keep &amp; Toss Items'!$O$9:$T$749,6,FALSE)</f>
        <v>4</v>
      </c>
      <c r="E68" s="358" t="str">
        <f t="shared" si="61"/>
        <v>https://viking-pictures.s3.us-west-1.amazonaws.com/AA1155/A76.+Camera%2C+REAR+Backup+Camera+(1).JPG</v>
      </c>
      <c r="F68" s="358" t="str">
        <f t="shared" ref="F68:F99" si="64">IF($D68&gt;=F$1,CONCATENATE($AA68,$AB68,$AO68,AQ68,$BN68),"")</f>
        <v>https://viking-pictures.s3.us-west-1.amazonaws.com/AA1155/A76.+Camera%2C+REAR+Backup+Camera+(2).JPG</v>
      </c>
      <c r="G68" s="358" t="str">
        <f t="shared" ref="G68:G99" si="65">IF($D68&gt;=G$1,CONCATENATE($AA68,$AB68,$AO68,AR68,$BN68),"")</f>
        <v>https://viking-pictures.s3.us-west-1.amazonaws.com/AA1155/A76.+Camera%2C+REAR+Backup+Camera+(3).JPG</v>
      </c>
      <c r="H68" s="358" t="str">
        <f t="shared" ref="H68:H99" si="66">IF($D68&gt;=H$1,CONCATENATE($AA68,$AB68,$AO68,AS68,$BN68),"")</f>
        <v>https://viking-pictures.s3.us-west-1.amazonaws.com/AA1155/A76.+Camera%2C+REAR+Backup+Camera+(4).JPG</v>
      </c>
      <c r="I68" s="358" t="str">
        <f t="shared" ref="I68:I99" si="67">IF($D68&gt;=I$1,CONCATENATE($AA68,$AB68,$AO68,AU68,$BN68),"")</f>
        <v/>
      </c>
      <c r="J68" s="358" t="str">
        <f t="shared" ref="J68:J99" si="68">IF($D68&gt;=J$1,CONCATENATE($AA68,$AB68,$AO68,AW68,$BN68),"")</f>
        <v/>
      </c>
      <c r="K68" s="358" t="str">
        <f t="shared" ref="K68:K99" si="69">IF($D68&gt;=K$1,CONCATENATE($AA68,$AB68,$AO68,AX68,$BN68),"")</f>
        <v/>
      </c>
      <c r="L68" s="358" t="str">
        <f t="shared" ref="L68:L99" si="70">IF($D68&gt;=L$1,CONCATENATE($AA68,$AB68,$AO68,AY68,$BN68),"")</f>
        <v/>
      </c>
      <c r="M68" s="358" t="str">
        <f t="shared" ref="M68:M99" si="71">IF($D68&gt;=M$1,CONCATENATE($AA68,$AB68,$AO68,AZ68,$BN68),"")</f>
        <v/>
      </c>
      <c r="N68" s="358" t="str">
        <f t="shared" ref="N68:N99" si="72">IF($D68&gt;=N$1,CONCATENATE($AA68,$AB68,$AO68,BA68,$BN68),"")</f>
        <v/>
      </c>
      <c r="O68" s="358" t="str">
        <f t="shared" ref="O68:O99" si="73">IF($D68&gt;=O$1,CONCATENATE($AA68,$AB68,$AO68,BB68,$BN68),"")</f>
        <v/>
      </c>
      <c r="P68" s="358" t="str">
        <f t="shared" ref="P68:P99" si="74">IF($D68&gt;=P$1,CONCATENATE($AA68,$AB68,$AO68,BC68,$BN68),"")</f>
        <v/>
      </c>
      <c r="Q68" s="358" t="str">
        <f t="shared" ref="Q68:Q99" si="75">IF($D68&gt;=Q$1,CONCATENATE($AA68,$AB68,$AO68,BD68,$BN68),"")</f>
        <v/>
      </c>
      <c r="R68" s="358" t="str">
        <f t="shared" ref="R68:R99" si="76">IF($D68&gt;=R$1,CONCATENATE($AA68,$AB68,$AO68,BE68,$BN68),"")</f>
        <v/>
      </c>
      <c r="S68" s="358" t="str">
        <f t="shared" ref="S68:S99" si="77">IF($D68&gt;=S$1,CONCATENATE($AA68,$AB68,$AO68,BF68,$BN68),"")</f>
        <v/>
      </c>
      <c r="T68" s="358" t="str">
        <f t="shared" ref="T68:T99" si="78">IF($D68&gt;=T$1,CONCATENATE($AA68,$AB68,$AO68,BG68,$BN68),"")</f>
        <v/>
      </c>
      <c r="U68" s="358" t="str">
        <f t="shared" ref="U68:U99" si="79">IF($D68&gt;=U$1,CONCATENATE($AA68,$AB68,$AO68,BH68,$BN68),"")</f>
        <v/>
      </c>
      <c r="V68" s="358" t="str">
        <f t="shared" ref="V68:V99" si="80">IF($D68&gt;=V$1,CONCATENATE($AA68,$AB68,$AO68,BI68,$BN68),"")</f>
        <v/>
      </c>
      <c r="W68" s="358" t="str">
        <f t="shared" ref="W68:W99" si="81">IF($D68&gt;=W$1,CONCATENATE($AA68,$AB68,$AO68,BJ68,$BN68),"")</f>
        <v/>
      </c>
      <c r="X68" s="358" t="str">
        <f t="shared" ref="X68:X99" si="82">IF($D68&gt;=X$1,CONCATENATE($AA68,$AB68,$AO68,BK68,$BN68),"")</f>
        <v/>
      </c>
      <c r="Y68" s="358" t="str">
        <f t="shared" ref="Y68:Y99" si="83">IF($D68&gt;=Y$1,CONCATENATE($AA68,$AB68,$AO68,BL68,$BN68),"")</f>
        <v/>
      </c>
      <c r="Z68" s="358" t="str">
        <f t="shared" ref="Z68:Z99" si="84">IF($D68&gt;=Z$1,CONCATENATE($AA68,$AB68,$AO68,BM68,$BN68),"")</f>
        <v/>
      </c>
      <c r="AA68" s="111" t="s">
        <v>1998</v>
      </c>
      <c r="AB68" s="358" t="str">
        <f t="shared" ref="AB68:AB114" si="85">AN68</f>
        <v>A76.+Camera%2C+REAR+Backup+Camera</v>
      </c>
      <c r="AC68" s="358" t="str">
        <f>VLOOKUP(B68,'3. Keep &amp; Toss Items'!$O$9:$R$749,4,FALSE)</f>
        <v>A76. Camera, REAR Backup Camera</v>
      </c>
      <c r="AD68" s="358" t="str">
        <f t="shared" ref="AD68:AD114" si="86">SUBSTITUTE(AC68,"+","%2B")</f>
        <v>A76. Camera, REAR Backup Camera</v>
      </c>
      <c r="AE68" s="358" t="str">
        <f t="shared" ref="AE68:AE114" si="87">SUBSTITUTE(AD68," ","+")</f>
        <v>A76.+Camera,+REAR+Backup+Camera</v>
      </c>
      <c r="AF68" s="358" t="str">
        <f t="shared" ref="AF68:AF114" si="88">SUBSTITUTE(AE68,",","%2C")</f>
        <v>A76.+Camera%2C+REAR+Backup+Camera</v>
      </c>
      <c r="AG68" s="358" t="str">
        <f t="shared" ref="AG68:AG114" si="89">SUBSTITUTE(AF68,";","%3B")</f>
        <v>A76.+Camera%2C+REAR+Backup+Camera</v>
      </c>
      <c r="AH68" s="358" t="str">
        <f t="shared" ref="AH68:AH114" si="90">SUBSTITUTE(AG68,":","%3A")</f>
        <v>A76.+Camera%2C+REAR+Backup+Camera</v>
      </c>
      <c r="AI68" s="358" t="str">
        <f t="shared" ref="AI68:AI114" si="91">SUBSTITUTE(AH68,"@","40%")</f>
        <v>A76.+Camera%2C+REAR+Backup+Camera</v>
      </c>
      <c r="AJ68" s="358" t="str">
        <f t="shared" ref="AJ68:AJ114" si="92">SUBSTITUTE(AI68,"&amp;","%26")</f>
        <v>A76.+Camera%2C+REAR+Backup+Camera</v>
      </c>
      <c r="AK68" s="358" t="str">
        <f t="shared" ref="AK68:AK114" si="93">SUBSTITUTE(AJ68,"=","%3D")</f>
        <v>A76.+Camera%2C+REAR+Backup+Camera</v>
      </c>
      <c r="AL68" s="358" t="str">
        <f t="shared" si="62"/>
        <v>A76.+Camera%2C+REAR+Backup+Camera</v>
      </c>
      <c r="AM68" s="358" t="str">
        <f t="shared" ref="AM68:AM114" si="94">SUBSTITUTE(AL68,"/","%2F")</f>
        <v>A76.+Camera%2C+REAR+Backup+Camera</v>
      </c>
      <c r="AN68" s="358" t="str">
        <f t="shared" ref="AN68:AN114" si="95">SUBSTITUTE(AM68,"""","")</f>
        <v>A76.+Camera%2C+REAR+Backup+Camera</v>
      </c>
      <c r="AO68" s="359" t="s">
        <v>1999</v>
      </c>
      <c r="AP68" s="359" t="s">
        <v>2000</v>
      </c>
      <c r="AQ68" s="359" t="s">
        <v>2001</v>
      </c>
      <c r="AR68" s="359" t="s">
        <v>2002</v>
      </c>
      <c r="AS68" s="359" t="s">
        <v>2003</v>
      </c>
      <c r="AT68" s="359" t="s">
        <v>2004</v>
      </c>
      <c r="AU68" s="359" t="s">
        <v>2005</v>
      </c>
      <c r="AV68" s="359" t="s">
        <v>2006</v>
      </c>
      <c r="AW68" s="359" t="s">
        <v>2007</v>
      </c>
      <c r="AX68" s="359" t="s">
        <v>2008</v>
      </c>
      <c r="AY68" s="359" t="s">
        <v>2009</v>
      </c>
      <c r="AZ68" s="359" t="s">
        <v>2010</v>
      </c>
      <c r="BA68" s="359" t="s">
        <v>2011</v>
      </c>
      <c r="BB68" s="359" t="s">
        <v>2012</v>
      </c>
      <c r="BC68" s="359" t="s">
        <v>2013</v>
      </c>
      <c r="BD68" s="359" t="s">
        <v>2014</v>
      </c>
      <c r="BE68" s="359" t="s">
        <v>2015</v>
      </c>
      <c r="BF68" s="359" t="s">
        <v>2016</v>
      </c>
      <c r="BG68" s="359" t="s">
        <v>2017</v>
      </c>
      <c r="BH68" s="359" t="s">
        <v>2018</v>
      </c>
      <c r="BI68" s="359" t="s">
        <v>2019</v>
      </c>
      <c r="BJ68" s="359" t="s">
        <v>2020</v>
      </c>
      <c r="BK68" s="359" t="s">
        <v>2021</v>
      </c>
      <c r="BL68" s="359" t="s">
        <v>2022</v>
      </c>
      <c r="BM68" s="359" t="s">
        <v>2023</v>
      </c>
      <c r="BN68" s="359" t="s">
        <v>2024</v>
      </c>
      <c r="BO68" s="147" t="str">
        <f t="shared" si="63"/>
        <v>Pic Example</v>
      </c>
    </row>
    <row r="69" spans="2:67" x14ac:dyDescent="0.25">
      <c r="B69" t="s">
        <v>321</v>
      </c>
      <c r="C69" s="358" t="str">
        <f t="shared" ref="C69:C115" si="96">_xlfn.TEXTJOIN("|",TRUE,E69:Z69)</f>
        <v>https://viking-pictures.s3.us-west-1.amazonaws.com/AA1155/A77.+Tailgate+Trunk+Control+Module+(1).JPG|https://viking-pictures.s3.us-west-1.amazonaws.com/AA1155/A77.+Tailgate+Trunk+Control+Module+(2).JPG|https://viking-pictures.s3.us-west-1.amazonaws.com/AA1155/A77.+Tailgate+Trunk+Control+Module+(3).JPG</v>
      </c>
      <c r="D69" s="358">
        <f>VLOOKUP(B69,'3. Keep &amp; Toss Items'!$O$9:$T$749,6,FALSE)</f>
        <v>3</v>
      </c>
      <c r="E69" s="358" t="str">
        <f t="shared" si="61"/>
        <v>https://viking-pictures.s3.us-west-1.amazonaws.com/AA1155/A77.+Tailgate+Trunk+Control+Module+(1).JPG</v>
      </c>
      <c r="F69" s="358" t="str">
        <f t="shared" si="64"/>
        <v>https://viking-pictures.s3.us-west-1.amazonaws.com/AA1155/A77.+Tailgate+Trunk+Control+Module+(2).JPG</v>
      </c>
      <c r="G69" s="358" t="str">
        <f t="shared" si="65"/>
        <v>https://viking-pictures.s3.us-west-1.amazonaws.com/AA1155/A77.+Tailgate+Trunk+Control+Module+(3).JPG</v>
      </c>
      <c r="H69" s="358" t="str">
        <f t="shared" si="66"/>
        <v/>
      </c>
      <c r="I69" s="358" t="str">
        <f t="shared" si="67"/>
        <v/>
      </c>
      <c r="J69" s="358" t="str">
        <f t="shared" si="68"/>
        <v/>
      </c>
      <c r="K69" s="358" t="str">
        <f t="shared" si="69"/>
        <v/>
      </c>
      <c r="L69" s="358" t="str">
        <f t="shared" si="70"/>
        <v/>
      </c>
      <c r="M69" s="358" t="str">
        <f t="shared" si="71"/>
        <v/>
      </c>
      <c r="N69" s="358" t="str">
        <f t="shared" si="72"/>
        <v/>
      </c>
      <c r="O69" s="358" t="str">
        <f t="shared" si="73"/>
        <v/>
      </c>
      <c r="P69" s="358" t="str">
        <f t="shared" si="74"/>
        <v/>
      </c>
      <c r="Q69" s="358" t="str">
        <f t="shared" si="75"/>
        <v/>
      </c>
      <c r="R69" s="358" t="str">
        <f t="shared" si="76"/>
        <v/>
      </c>
      <c r="S69" s="358" t="str">
        <f t="shared" si="77"/>
        <v/>
      </c>
      <c r="T69" s="358" t="str">
        <f t="shared" si="78"/>
        <v/>
      </c>
      <c r="U69" s="358" t="str">
        <f t="shared" si="79"/>
        <v/>
      </c>
      <c r="V69" s="358" t="str">
        <f t="shared" si="80"/>
        <v/>
      </c>
      <c r="W69" s="358" t="str">
        <f t="shared" si="81"/>
        <v/>
      </c>
      <c r="X69" s="358" t="str">
        <f t="shared" si="82"/>
        <v/>
      </c>
      <c r="Y69" s="358" t="str">
        <f t="shared" si="83"/>
        <v/>
      </c>
      <c r="Z69" s="358" t="str">
        <f t="shared" si="84"/>
        <v/>
      </c>
      <c r="AA69" s="111" t="s">
        <v>1998</v>
      </c>
      <c r="AB69" s="358" t="str">
        <f t="shared" si="85"/>
        <v>A77.+Tailgate+Trunk+Control+Module</v>
      </c>
      <c r="AC69" s="358" t="str">
        <f>VLOOKUP(B69,'3. Keep &amp; Toss Items'!$O$9:$R$749,4,FALSE)</f>
        <v>A77. Tailgate Trunk Control Module</v>
      </c>
      <c r="AD69" s="358" t="str">
        <f t="shared" si="86"/>
        <v>A77. Tailgate Trunk Control Module</v>
      </c>
      <c r="AE69" s="358" t="str">
        <f t="shared" si="87"/>
        <v>A77.+Tailgate+Trunk+Control+Module</v>
      </c>
      <c r="AF69" s="358" t="str">
        <f t="shared" si="88"/>
        <v>A77.+Tailgate+Trunk+Control+Module</v>
      </c>
      <c r="AG69" s="358" t="str">
        <f t="shared" si="89"/>
        <v>A77.+Tailgate+Trunk+Control+Module</v>
      </c>
      <c r="AH69" s="358" t="str">
        <f t="shared" si="90"/>
        <v>A77.+Tailgate+Trunk+Control+Module</v>
      </c>
      <c r="AI69" s="358" t="str">
        <f t="shared" si="91"/>
        <v>A77.+Tailgate+Trunk+Control+Module</v>
      </c>
      <c r="AJ69" s="358" t="str">
        <f t="shared" si="92"/>
        <v>A77.+Tailgate+Trunk+Control+Module</v>
      </c>
      <c r="AK69" s="358" t="str">
        <f t="shared" si="93"/>
        <v>A77.+Tailgate+Trunk+Control+Module</v>
      </c>
      <c r="AL69" s="358" t="str">
        <f t="shared" si="62"/>
        <v>A77.+Tailgate+Trunk+Control+Module</v>
      </c>
      <c r="AM69" s="358" t="str">
        <f t="shared" si="94"/>
        <v>A77.+Tailgate+Trunk+Control+Module</v>
      </c>
      <c r="AN69" s="358" t="str">
        <f t="shared" si="95"/>
        <v>A77.+Tailgate+Trunk+Control+Module</v>
      </c>
      <c r="AO69" s="359" t="s">
        <v>1999</v>
      </c>
      <c r="AP69" s="359" t="s">
        <v>2000</v>
      </c>
      <c r="AQ69" s="359" t="s">
        <v>2001</v>
      </c>
      <c r="AR69" s="359" t="s">
        <v>2002</v>
      </c>
      <c r="AS69" s="359" t="s">
        <v>2003</v>
      </c>
      <c r="AT69" s="359" t="s">
        <v>2004</v>
      </c>
      <c r="AU69" s="359" t="s">
        <v>2005</v>
      </c>
      <c r="AV69" s="359" t="s">
        <v>2006</v>
      </c>
      <c r="AW69" s="359" t="s">
        <v>2007</v>
      </c>
      <c r="AX69" s="359" t="s">
        <v>2008</v>
      </c>
      <c r="AY69" s="359" t="s">
        <v>2009</v>
      </c>
      <c r="AZ69" s="359" t="s">
        <v>2010</v>
      </c>
      <c r="BA69" s="359" t="s">
        <v>2011</v>
      </c>
      <c r="BB69" s="359" t="s">
        <v>2012</v>
      </c>
      <c r="BC69" s="359" t="s">
        <v>2013</v>
      </c>
      <c r="BD69" s="359" t="s">
        <v>2014</v>
      </c>
      <c r="BE69" s="359" t="s">
        <v>2015</v>
      </c>
      <c r="BF69" s="359" t="s">
        <v>2016</v>
      </c>
      <c r="BG69" s="359" t="s">
        <v>2017</v>
      </c>
      <c r="BH69" s="359" t="s">
        <v>2018</v>
      </c>
      <c r="BI69" s="359" t="s">
        <v>2019</v>
      </c>
      <c r="BJ69" s="359" t="s">
        <v>2020</v>
      </c>
      <c r="BK69" s="359" t="s">
        <v>2021</v>
      </c>
      <c r="BL69" s="359" t="s">
        <v>2022</v>
      </c>
      <c r="BM69" s="359" t="s">
        <v>2023</v>
      </c>
      <c r="BN69" s="359" t="s">
        <v>2024</v>
      </c>
      <c r="BO69" s="147" t="str">
        <f t="shared" si="63"/>
        <v>Pic Example</v>
      </c>
    </row>
    <row r="70" spans="2:67" x14ac:dyDescent="0.25">
      <c r="B70" t="s">
        <v>322</v>
      </c>
      <c r="C70" s="358" t="str">
        <f t="shared" si="96"/>
        <v>https://viking-pictures.s3.us-west-1.amazonaws.com/AA1155/A78.+Park+Assist+Control+Module+PDC+(1).JPG|https://viking-pictures.s3.us-west-1.amazonaws.com/AA1155/A78.+Park+Assist+Control+Module+PDC+(2).JPG|https://viking-pictures.s3.us-west-1.amazonaws.com/AA1155/A78.+Park+Assist+Control+Module+PDC+(3).JPG</v>
      </c>
      <c r="D70" s="358">
        <f>VLOOKUP(B70,'3. Keep &amp; Toss Items'!$O$9:$T$749,6,FALSE)</f>
        <v>3</v>
      </c>
      <c r="E70" s="358" t="str">
        <f t="shared" si="61"/>
        <v>https://viking-pictures.s3.us-west-1.amazonaws.com/AA1155/A78.+Park+Assist+Control+Module+PDC+(1).JPG</v>
      </c>
      <c r="F70" s="358" t="str">
        <f t="shared" si="64"/>
        <v>https://viking-pictures.s3.us-west-1.amazonaws.com/AA1155/A78.+Park+Assist+Control+Module+PDC+(2).JPG</v>
      </c>
      <c r="G70" s="358" t="str">
        <f t="shared" si="65"/>
        <v>https://viking-pictures.s3.us-west-1.amazonaws.com/AA1155/A78.+Park+Assist+Control+Module+PDC+(3).JPG</v>
      </c>
      <c r="H70" s="358" t="str">
        <f t="shared" si="66"/>
        <v/>
      </c>
      <c r="I70" s="358" t="str">
        <f t="shared" si="67"/>
        <v/>
      </c>
      <c r="J70" s="358" t="str">
        <f t="shared" si="68"/>
        <v/>
      </c>
      <c r="K70" s="358" t="str">
        <f t="shared" si="69"/>
        <v/>
      </c>
      <c r="L70" s="358" t="str">
        <f t="shared" si="70"/>
        <v/>
      </c>
      <c r="M70" s="358" t="str">
        <f t="shared" si="71"/>
        <v/>
      </c>
      <c r="N70" s="358" t="str">
        <f t="shared" si="72"/>
        <v/>
      </c>
      <c r="O70" s="358" t="str">
        <f t="shared" si="73"/>
        <v/>
      </c>
      <c r="P70" s="358" t="str">
        <f t="shared" si="74"/>
        <v/>
      </c>
      <c r="Q70" s="358" t="str">
        <f t="shared" si="75"/>
        <v/>
      </c>
      <c r="R70" s="358" t="str">
        <f t="shared" si="76"/>
        <v/>
      </c>
      <c r="S70" s="358" t="str">
        <f t="shared" si="77"/>
        <v/>
      </c>
      <c r="T70" s="358" t="str">
        <f t="shared" si="78"/>
        <v/>
      </c>
      <c r="U70" s="358" t="str">
        <f t="shared" si="79"/>
        <v/>
      </c>
      <c r="V70" s="358" t="str">
        <f t="shared" si="80"/>
        <v/>
      </c>
      <c r="W70" s="358" t="str">
        <f t="shared" si="81"/>
        <v/>
      </c>
      <c r="X70" s="358" t="str">
        <f t="shared" si="82"/>
        <v/>
      </c>
      <c r="Y70" s="358" t="str">
        <f t="shared" si="83"/>
        <v/>
      </c>
      <c r="Z70" s="358" t="str">
        <f t="shared" si="84"/>
        <v/>
      </c>
      <c r="AA70" s="111" t="s">
        <v>1998</v>
      </c>
      <c r="AB70" s="358" t="str">
        <f t="shared" si="85"/>
        <v>A78.+Park+Assist+Control+Module+PDC</v>
      </c>
      <c r="AC70" s="358" t="str">
        <f>VLOOKUP(B70,'3. Keep &amp; Toss Items'!$O$9:$R$749,4,FALSE)</f>
        <v>A78. Park Assist Control Module PDC</v>
      </c>
      <c r="AD70" s="358" t="str">
        <f t="shared" si="86"/>
        <v>A78. Park Assist Control Module PDC</v>
      </c>
      <c r="AE70" s="358" t="str">
        <f t="shared" si="87"/>
        <v>A78.+Park+Assist+Control+Module+PDC</v>
      </c>
      <c r="AF70" s="358" t="str">
        <f t="shared" si="88"/>
        <v>A78.+Park+Assist+Control+Module+PDC</v>
      </c>
      <c r="AG70" s="358" t="str">
        <f t="shared" si="89"/>
        <v>A78.+Park+Assist+Control+Module+PDC</v>
      </c>
      <c r="AH70" s="358" t="str">
        <f t="shared" si="90"/>
        <v>A78.+Park+Assist+Control+Module+PDC</v>
      </c>
      <c r="AI70" s="358" t="str">
        <f t="shared" si="91"/>
        <v>A78.+Park+Assist+Control+Module+PDC</v>
      </c>
      <c r="AJ70" s="358" t="str">
        <f t="shared" si="92"/>
        <v>A78.+Park+Assist+Control+Module+PDC</v>
      </c>
      <c r="AK70" s="358" t="str">
        <f t="shared" si="93"/>
        <v>A78.+Park+Assist+Control+Module+PDC</v>
      </c>
      <c r="AL70" s="358" t="str">
        <f t="shared" si="62"/>
        <v>A78.+Park+Assist+Control+Module+PDC</v>
      </c>
      <c r="AM70" s="358" t="str">
        <f t="shared" si="94"/>
        <v>A78.+Park+Assist+Control+Module+PDC</v>
      </c>
      <c r="AN70" s="358" t="str">
        <f t="shared" si="95"/>
        <v>A78.+Park+Assist+Control+Module+PDC</v>
      </c>
      <c r="AO70" s="359" t="s">
        <v>1999</v>
      </c>
      <c r="AP70" s="359" t="s">
        <v>2000</v>
      </c>
      <c r="AQ70" s="359" t="s">
        <v>2001</v>
      </c>
      <c r="AR70" s="359" t="s">
        <v>2002</v>
      </c>
      <c r="AS70" s="359" t="s">
        <v>2003</v>
      </c>
      <c r="AT70" s="359" t="s">
        <v>2004</v>
      </c>
      <c r="AU70" s="359" t="s">
        <v>2005</v>
      </c>
      <c r="AV70" s="359" t="s">
        <v>2006</v>
      </c>
      <c r="AW70" s="359" t="s">
        <v>2007</v>
      </c>
      <c r="AX70" s="359" t="s">
        <v>2008</v>
      </c>
      <c r="AY70" s="359" t="s">
        <v>2009</v>
      </c>
      <c r="AZ70" s="359" t="s">
        <v>2010</v>
      </c>
      <c r="BA70" s="359" t="s">
        <v>2011</v>
      </c>
      <c r="BB70" s="359" t="s">
        <v>2012</v>
      </c>
      <c r="BC70" s="359" t="s">
        <v>2013</v>
      </c>
      <c r="BD70" s="359" t="s">
        <v>2014</v>
      </c>
      <c r="BE70" s="359" t="s">
        <v>2015</v>
      </c>
      <c r="BF70" s="359" t="s">
        <v>2016</v>
      </c>
      <c r="BG70" s="359" t="s">
        <v>2017</v>
      </c>
      <c r="BH70" s="359" t="s">
        <v>2018</v>
      </c>
      <c r="BI70" s="359" t="s">
        <v>2019</v>
      </c>
      <c r="BJ70" s="359" t="s">
        <v>2020</v>
      </c>
      <c r="BK70" s="359" t="s">
        <v>2021</v>
      </c>
      <c r="BL70" s="359" t="s">
        <v>2022</v>
      </c>
      <c r="BM70" s="359" t="s">
        <v>2023</v>
      </c>
      <c r="BN70" s="359" t="s">
        <v>2024</v>
      </c>
      <c r="BO70" s="147" t="str">
        <f t="shared" si="63"/>
        <v>Pic Example</v>
      </c>
    </row>
    <row r="71" spans="2:67" x14ac:dyDescent="0.25">
      <c r="B71" t="s">
        <v>323</v>
      </c>
      <c r="C71" s="358" t="str">
        <f t="shared" si="96"/>
        <v>https://viking-pictures.s3.us-west-1.amazonaws.com/AA1155/A79.+Speedometer+(1).JPG|https://viking-pictures.s3.us-west-1.amazonaws.com/AA1155/A79.+Speedometer+(2).JPG|https://viking-pictures.s3.us-west-1.amazonaws.com/AA1155/A79.+Speedometer+(3).JPG|https://viking-pictures.s3.us-west-1.amazonaws.com/AA1155/A79.+Speedometer+(4).JPG|https://viking-pictures.s3.us-west-1.amazonaws.com/AA1155/A79.+Speedometer+(6).JPG</v>
      </c>
      <c r="D71" s="358">
        <f>VLOOKUP(B71,'3. Keep &amp; Toss Items'!$O$9:$T$749,6,FALSE)</f>
        <v>6</v>
      </c>
      <c r="E71" s="358" t="str">
        <f t="shared" si="61"/>
        <v>https://viking-pictures.s3.us-west-1.amazonaws.com/AA1155/A79.+Speedometer+(1).JPG</v>
      </c>
      <c r="F71" s="358" t="str">
        <f t="shared" si="64"/>
        <v>https://viking-pictures.s3.us-west-1.amazonaws.com/AA1155/A79.+Speedometer+(2).JPG</v>
      </c>
      <c r="G71" s="358" t="str">
        <f t="shared" si="65"/>
        <v>https://viking-pictures.s3.us-west-1.amazonaws.com/AA1155/A79.+Speedometer+(3).JPG</v>
      </c>
      <c r="H71" s="358" t="str">
        <f t="shared" si="66"/>
        <v>https://viking-pictures.s3.us-west-1.amazonaws.com/AA1155/A79.+Speedometer+(4).JPG</v>
      </c>
      <c r="I71" s="358" t="str">
        <f t="shared" si="67"/>
        <v>https://viking-pictures.s3.us-west-1.amazonaws.com/AA1155/A79.+Speedometer+(6).JPG</v>
      </c>
      <c r="J71" s="358" t="str">
        <f t="shared" si="68"/>
        <v/>
      </c>
      <c r="K71" s="358" t="str">
        <f t="shared" si="69"/>
        <v/>
      </c>
      <c r="L71" s="358" t="str">
        <f t="shared" si="70"/>
        <v/>
      </c>
      <c r="M71" s="358" t="str">
        <f t="shared" si="71"/>
        <v/>
      </c>
      <c r="N71" s="358" t="str">
        <f t="shared" si="72"/>
        <v/>
      </c>
      <c r="O71" s="358" t="str">
        <f t="shared" si="73"/>
        <v/>
      </c>
      <c r="P71" s="358" t="str">
        <f t="shared" si="74"/>
        <v/>
      </c>
      <c r="Q71" s="358" t="str">
        <f t="shared" si="75"/>
        <v/>
      </c>
      <c r="R71" s="358" t="str">
        <f t="shared" si="76"/>
        <v/>
      </c>
      <c r="S71" s="358" t="str">
        <f t="shared" si="77"/>
        <v/>
      </c>
      <c r="T71" s="358" t="str">
        <f t="shared" si="78"/>
        <v/>
      </c>
      <c r="U71" s="358" t="str">
        <f t="shared" si="79"/>
        <v/>
      </c>
      <c r="V71" s="358" t="str">
        <f t="shared" si="80"/>
        <v/>
      </c>
      <c r="W71" s="358" t="str">
        <f t="shared" si="81"/>
        <v/>
      </c>
      <c r="X71" s="358" t="str">
        <f t="shared" si="82"/>
        <v/>
      </c>
      <c r="Y71" s="358" t="str">
        <f t="shared" si="83"/>
        <v/>
      </c>
      <c r="Z71" s="358" t="str">
        <f t="shared" si="84"/>
        <v/>
      </c>
      <c r="AA71" s="111" t="s">
        <v>1998</v>
      </c>
      <c r="AB71" s="358" t="str">
        <f t="shared" si="85"/>
        <v>A79.+Speedometer</v>
      </c>
      <c r="AC71" s="358" t="str">
        <f>VLOOKUP(B71,'3. Keep &amp; Toss Items'!$O$9:$R$749,4,FALSE)</f>
        <v>A79. Speedometer</v>
      </c>
      <c r="AD71" s="358" t="str">
        <f t="shared" si="86"/>
        <v>A79. Speedometer</v>
      </c>
      <c r="AE71" s="358" t="str">
        <f t="shared" si="87"/>
        <v>A79.+Speedometer</v>
      </c>
      <c r="AF71" s="358" t="str">
        <f t="shared" si="88"/>
        <v>A79.+Speedometer</v>
      </c>
      <c r="AG71" s="358" t="str">
        <f t="shared" si="89"/>
        <v>A79.+Speedometer</v>
      </c>
      <c r="AH71" s="358" t="str">
        <f t="shared" si="90"/>
        <v>A79.+Speedometer</v>
      </c>
      <c r="AI71" s="358" t="str">
        <f t="shared" si="91"/>
        <v>A79.+Speedometer</v>
      </c>
      <c r="AJ71" s="358" t="str">
        <f t="shared" si="92"/>
        <v>A79.+Speedometer</v>
      </c>
      <c r="AK71" s="358" t="str">
        <f t="shared" si="93"/>
        <v>A79.+Speedometer</v>
      </c>
      <c r="AL71" s="358" t="str">
        <f t="shared" si="62"/>
        <v>A79.+Speedometer</v>
      </c>
      <c r="AM71" s="358" t="str">
        <f t="shared" si="94"/>
        <v>A79.+Speedometer</v>
      </c>
      <c r="AN71" s="358" t="str">
        <f t="shared" si="95"/>
        <v>A79.+Speedometer</v>
      </c>
      <c r="AO71" s="359" t="s">
        <v>1999</v>
      </c>
      <c r="AP71" s="359" t="s">
        <v>2000</v>
      </c>
      <c r="AQ71" s="359" t="s">
        <v>2001</v>
      </c>
      <c r="AR71" s="359" t="s">
        <v>2002</v>
      </c>
      <c r="AS71" s="359" t="s">
        <v>2003</v>
      </c>
      <c r="AT71" s="359" t="s">
        <v>2004</v>
      </c>
      <c r="AU71" s="359" t="s">
        <v>2005</v>
      </c>
      <c r="AV71" s="359" t="s">
        <v>2006</v>
      </c>
      <c r="AW71" s="359" t="s">
        <v>2007</v>
      </c>
      <c r="AX71" s="359" t="s">
        <v>2008</v>
      </c>
      <c r="AY71" s="359" t="s">
        <v>2009</v>
      </c>
      <c r="AZ71" s="359" t="s">
        <v>2010</v>
      </c>
      <c r="BA71" s="359" t="s">
        <v>2011</v>
      </c>
      <c r="BB71" s="359" t="s">
        <v>2012</v>
      </c>
      <c r="BC71" s="359" t="s">
        <v>2013</v>
      </c>
      <c r="BD71" s="359" t="s">
        <v>2014</v>
      </c>
      <c r="BE71" s="359" t="s">
        <v>2015</v>
      </c>
      <c r="BF71" s="359" t="s">
        <v>2016</v>
      </c>
      <c r="BG71" s="359" t="s">
        <v>2017</v>
      </c>
      <c r="BH71" s="359" t="s">
        <v>2018</v>
      </c>
      <c r="BI71" s="359" t="s">
        <v>2019</v>
      </c>
      <c r="BJ71" s="359" t="s">
        <v>2020</v>
      </c>
      <c r="BK71" s="359" t="s">
        <v>2021</v>
      </c>
      <c r="BL71" s="359" t="s">
        <v>2022</v>
      </c>
      <c r="BM71" s="359" t="s">
        <v>2023</v>
      </c>
      <c r="BN71" s="359" t="s">
        <v>2024</v>
      </c>
      <c r="BO71" s="147" t="str">
        <f t="shared" si="63"/>
        <v>Pic Example</v>
      </c>
    </row>
    <row r="72" spans="2:67" x14ac:dyDescent="0.25">
      <c r="B72" t="s">
        <v>324</v>
      </c>
      <c r="C72" s="358" t="str">
        <f t="shared" si="96"/>
        <v>https://viking-pictures.s3.us-west-1.amazonaws.com/AA1155/A80.+Headrest%2C+FRONT+-+RIGHT+(ACTIVE)+(1).JPG|https://viking-pictures.s3.us-west-1.amazonaws.com/AA1155/A80.+Headrest%2C+FRONT+-+RIGHT+(ACTIVE)+(2).JPG|https://viking-pictures.s3.us-west-1.amazonaws.com/AA1155/A80.+Headrest%2C+FRONT+-+RIGHT+(ACTIVE)+(3).JPG|https://viking-pictures.s3.us-west-1.amazonaws.com/AA1155/A80.+Headrest%2C+FRONT+-+RIGHT+(ACTIVE)+(4).JPG|https://viking-pictures.s3.us-west-1.amazonaws.com/AA1155/A80.+Headrest%2C+FRONT+-+RIGHT+(ACTIVE)+(6).JPG</v>
      </c>
      <c r="D72" s="358">
        <f>VLOOKUP(B72,'3. Keep &amp; Toss Items'!$O$9:$T$749,6,FALSE)</f>
        <v>6</v>
      </c>
      <c r="E72" s="358" t="str">
        <f t="shared" si="61"/>
        <v>https://viking-pictures.s3.us-west-1.amazonaws.com/AA1155/A80.+Headrest%2C+FRONT+-+RIGHT+(ACTIVE)+(1).JPG</v>
      </c>
      <c r="F72" s="358" t="str">
        <f t="shared" si="64"/>
        <v>https://viking-pictures.s3.us-west-1.amazonaws.com/AA1155/A80.+Headrest%2C+FRONT+-+RIGHT+(ACTIVE)+(2).JPG</v>
      </c>
      <c r="G72" s="358" t="str">
        <f t="shared" si="65"/>
        <v>https://viking-pictures.s3.us-west-1.amazonaws.com/AA1155/A80.+Headrest%2C+FRONT+-+RIGHT+(ACTIVE)+(3).JPG</v>
      </c>
      <c r="H72" s="358" t="str">
        <f t="shared" si="66"/>
        <v>https://viking-pictures.s3.us-west-1.amazonaws.com/AA1155/A80.+Headrest%2C+FRONT+-+RIGHT+(ACTIVE)+(4).JPG</v>
      </c>
      <c r="I72" s="358" t="str">
        <f t="shared" si="67"/>
        <v>https://viking-pictures.s3.us-west-1.amazonaws.com/AA1155/A80.+Headrest%2C+FRONT+-+RIGHT+(ACTIVE)+(6).JPG</v>
      </c>
      <c r="J72" s="358" t="str">
        <f t="shared" si="68"/>
        <v/>
      </c>
      <c r="K72" s="358" t="str">
        <f t="shared" si="69"/>
        <v/>
      </c>
      <c r="L72" s="358" t="str">
        <f t="shared" si="70"/>
        <v/>
      </c>
      <c r="M72" s="358" t="str">
        <f t="shared" si="71"/>
        <v/>
      </c>
      <c r="N72" s="358" t="str">
        <f t="shared" si="72"/>
        <v/>
      </c>
      <c r="O72" s="358" t="str">
        <f t="shared" si="73"/>
        <v/>
      </c>
      <c r="P72" s="358" t="str">
        <f t="shared" si="74"/>
        <v/>
      </c>
      <c r="Q72" s="358" t="str">
        <f t="shared" si="75"/>
        <v/>
      </c>
      <c r="R72" s="358" t="str">
        <f t="shared" si="76"/>
        <v/>
      </c>
      <c r="S72" s="358" t="str">
        <f t="shared" si="77"/>
        <v/>
      </c>
      <c r="T72" s="358" t="str">
        <f t="shared" si="78"/>
        <v/>
      </c>
      <c r="U72" s="358" t="str">
        <f t="shared" si="79"/>
        <v/>
      </c>
      <c r="V72" s="358" t="str">
        <f t="shared" si="80"/>
        <v/>
      </c>
      <c r="W72" s="358" t="str">
        <f t="shared" si="81"/>
        <v/>
      </c>
      <c r="X72" s="358" t="str">
        <f t="shared" si="82"/>
        <v/>
      </c>
      <c r="Y72" s="358" t="str">
        <f t="shared" si="83"/>
        <v/>
      </c>
      <c r="Z72" s="358" t="str">
        <f t="shared" si="84"/>
        <v/>
      </c>
      <c r="AA72" s="111" t="s">
        <v>1998</v>
      </c>
      <c r="AB72" s="358" t="str">
        <f t="shared" si="85"/>
        <v>A80.+Headrest%2C+FRONT+-+RIGHT+(ACTIVE)</v>
      </c>
      <c r="AC72" s="358" t="str">
        <f>VLOOKUP(B72,'3. Keep &amp; Toss Items'!$O$9:$R$749,4,FALSE)</f>
        <v>A80. Headrest, FRONT - RIGHT (ACTIVE)</v>
      </c>
      <c r="AD72" s="358" t="str">
        <f t="shared" si="86"/>
        <v>A80. Headrest, FRONT - RIGHT (ACTIVE)</v>
      </c>
      <c r="AE72" s="358" t="str">
        <f t="shared" si="87"/>
        <v>A80.+Headrest,+FRONT+-+RIGHT+(ACTIVE)</v>
      </c>
      <c r="AF72" s="358" t="str">
        <f t="shared" si="88"/>
        <v>A80.+Headrest%2C+FRONT+-+RIGHT+(ACTIVE)</v>
      </c>
      <c r="AG72" s="358" t="str">
        <f t="shared" si="89"/>
        <v>A80.+Headrest%2C+FRONT+-+RIGHT+(ACTIVE)</v>
      </c>
      <c r="AH72" s="358" t="str">
        <f t="shared" si="90"/>
        <v>A80.+Headrest%2C+FRONT+-+RIGHT+(ACTIVE)</v>
      </c>
      <c r="AI72" s="358" t="str">
        <f t="shared" si="91"/>
        <v>A80.+Headrest%2C+FRONT+-+RIGHT+(ACTIVE)</v>
      </c>
      <c r="AJ72" s="358" t="str">
        <f t="shared" si="92"/>
        <v>A80.+Headrest%2C+FRONT+-+RIGHT+(ACTIVE)</v>
      </c>
      <c r="AK72" s="358" t="str">
        <f t="shared" si="93"/>
        <v>A80.+Headrest%2C+FRONT+-+RIGHT+(ACTIVE)</v>
      </c>
      <c r="AL72" s="358" t="str">
        <f t="shared" si="62"/>
        <v>A80.+Headrest%2C+FRONT+-+RIGHT+(ACTIVE)</v>
      </c>
      <c r="AM72" s="358" t="str">
        <f t="shared" si="94"/>
        <v>A80.+Headrest%2C+FRONT+-+RIGHT+(ACTIVE)</v>
      </c>
      <c r="AN72" s="358" t="str">
        <f t="shared" si="95"/>
        <v>A80.+Headrest%2C+FRONT+-+RIGHT+(ACTIVE)</v>
      </c>
      <c r="AO72" s="359" t="s">
        <v>1999</v>
      </c>
      <c r="AP72" s="359" t="s">
        <v>2000</v>
      </c>
      <c r="AQ72" s="359" t="s">
        <v>2001</v>
      </c>
      <c r="AR72" s="359" t="s">
        <v>2002</v>
      </c>
      <c r="AS72" s="359" t="s">
        <v>2003</v>
      </c>
      <c r="AT72" s="359" t="s">
        <v>2004</v>
      </c>
      <c r="AU72" s="359" t="s">
        <v>2005</v>
      </c>
      <c r="AV72" s="359" t="s">
        <v>2006</v>
      </c>
      <c r="AW72" s="359" t="s">
        <v>2007</v>
      </c>
      <c r="AX72" s="359" t="s">
        <v>2008</v>
      </c>
      <c r="AY72" s="359" t="s">
        <v>2009</v>
      </c>
      <c r="AZ72" s="359" t="s">
        <v>2010</v>
      </c>
      <c r="BA72" s="359" t="s">
        <v>2011</v>
      </c>
      <c r="BB72" s="359" t="s">
        <v>2012</v>
      </c>
      <c r="BC72" s="359" t="s">
        <v>2013</v>
      </c>
      <c r="BD72" s="359" t="s">
        <v>2014</v>
      </c>
      <c r="BE72" s="359" t="s">
        <v>2015</v>
      </c>
      <c r="BF72" s="359" t="s">
        <v>2016</v>
      </c>
      <c r="BG72" s="359" t="s">
        <v>2017</v>
      </c>
      <c r="BH72" s="359" t="s">
        <v>2018</v>
      </c>
      <c r="BI72" s="359" t="s">
        <v>2019</v>
      </c>
      <c r="BJ72" s="359" t="s">
        <v>2020</v>
      </c>
      <c r="BK72" s="359" t="s">
        <v>2021</v>
      </c>
      <c r="BL72" s="359" t="s">
        <v>2022</v>
      </c>
      <c r="BM72" s="359" t="s">
        <v>2023</v>
      </c>
      <c r="BN72" s="359" t="s">
        <v>2024</v>
      </c>
      <c r="BO72" s="147" t="str">
        <f t="shared" si="63"/>
        <v>Pic Example</v>
      </c>
    </row>
    <row r="73" spans="2:67" x14ac:dyDescent="0.25">
      <c r="B73" t="s">
        <v>325</v>
      </c>
      <c r="C73" s="358" t="str">
        <f t="shared" si="96"/>
        <v>https://viking-pictures.s3.us-west-1.amazonaws.com/AA1155/A81.+Headrests%2C+REAR+2nd+ROW+SET+3+(1).JPG|https://viking-pictures.s3.us-west-1.amazonaws.com/AA1155/A81.+Headrests%2C+REAR+2nd+ROW+SET+3+(2).JPG|https://viking-pictures.s3.us-west-1.amazonaws.com/AA1155/A81.+Headrests%2C+REAR+2nd+ROW+SET+3+(3).JPG|https://viking-pictures.s3.us-west-1.amazonaws.com/AA1155/A81.+Headrests%2C+REAR+2nd+ROW+SET+3+(4).JPG</v>
      </c>
      <c r="D73" s="358">
        <f>VLOOKUP(B73,'3. Keep &amp; Toss Items'!$O$9:$T$749,6,FALSE)</f>
        <v>5</v>
      </c>
      <c r="E73" s="358" t="str">
        <f t="shared" si="61"/>
        <v>https://viking-pictures.s3.us-west-1.amazonaws.com/AA1155/A81.+Headrests%2C+REAR+2nd+ROW+SET+3+(1).JPG</v>
      </c>
      <c r="F73" s="358" t="str">
        <f t="shared" si="64"/>
        <v>https://viking-pictures.s3.us-west-1.amazonaws.com/AA1155/A81.+Headrests%2C+REAR+2nd+ROW+SET+3+(2).JPG</v>
      </c>
      <c r="G73" s="358" t="str">
        <f t="shared" si="65"/>
        <v>https://viking-pictures.s3.us-west-1.amazonaws.com/AA1155/A81.+Headrests%2C+REAR+2nd+ROW+SET+3+(3).JPG</v>
      </c>
      <c r="H73" s="358" t="str">
        <f t="shared" si="66"/>
        <v>https://viking-pictures.s3.us-west-1.amazonaws.com/AA1155/A81.+Headrests%2C+REAR+2nd+ROW+SET+3+(4).JPG</v>
      </c>
      <c r="I73" s="358" t="str">
        <f t="shared" si="67"/>
        <v/>
      </c>
      <c r="J73" s="358" t="str">
        <f t="shared" si="68"/>
        <v/>
      </c>
      <c r="K73" s="358" t="str">
        <f t="shared" si="69"/>
        <v/>
      </c>
      <c r="L73" s="358" t="str">
        <f t="shared" si="70"/>
        <v/>
      </c>
      <c r="M73" s="358" t="str">
        <f t="shared" si="71"/>
        <v/>
      </c>
      <c r="N73" s="358" t="str">
        <f t="shared" si="72"/>
        <v/>
      </c>
      <c r="O73" s="358" t="str">
        <f t="shared" si="73"/>
        <v/>
      </c>
      <c r="P73" s="358" t="str">
        <f t="shared" si="74"/>
        <v/>
      </c>
      <c r="Q73" s="358" t="str">
        <f t="shared" si="75"/>
        <v/>
      </c>
      <c r="R73" s="358" t="str">
        <f t="shared" si="76"/>
        <v/>
      </c>
      <c r="S73" s="358" t="str">
        <f t="shared" si="77"/>
        <v/>
      </c>
      <c r="T73" s="358" t="str">
        <f t="shared" si="78"/>
        <v/>
      </c>
      <c r="U73" s="358" t="str">
        <f t="shared" si="79"/>
        <v/>
      </c>
      <c r="V73" s="358" t="str">
        <f t="shared" si="80"/>
        <v/>
      </c>
      <c r="W73" s="358" t="str">
        <f t="shared" si="81"/>
        <v/>
      </c>
      <c r="X73" s="358" t="str">
        <f t="shared" si="82"/>
        <v/>
      </c>
      <c r="Y73" s="358" t="str">
        <f t="shared" si="83"/>
        <v/>
      </c>
      <c r="Z73" s="358" t="str">
        <f t="shared" si="84"/>
        <v/>
      </c>
      <c r="AA73" s="111" t="s">
        <v>1998</v>
      </c>
      <c r="AB73" s="358" t="str">
        <f t="shared" si="85"/>
        <v>A81.+Headrests%2C+REAR+2nd+ROW+SET+3</v>
      </c>
      <c r="AC73" s="358" t="str">
        <f>VLOOKUP(B73,'3. Keep &amp; Toss Items'!$O$9:$R$749,4,FALSE)</f>
        <v>A81. Headrests, REAR 2nd ROW SET 3</v>
      </c>
      <c r="AD73" s="358" t="str">
        <f t="shared" si="86"/>
        <v>A81. Headrests, REAR 2nd ROW SET 3</v>
      </c>
      <c r="AE73" s="358" t="str">
        <f t="shared" si="87"/>
        <v>A81.+Headrests,+REAR+2nd+ROW+SET+3</v>
      </c>
      <c r="AF73" s="358" t="str">
        <f t="shared" si="88"/>
        <v>A81.+Headrests%2C+REAR+2nd+ROW+SET+3</v>
      </c>
      <c r="AG73" s="358" t="str">
        <f t="shared" si="89"/>
        <v>A81.+Headrests%2C+REAR+2nd+ROW+SET+3</v>
      </c>
      <c r="AH73" s="358" t="str">
        <f t="shared" si="90"/>
        <v>A81.+Headrests%2C+REAR+2nd+ROW+SET+3</v>
      </c>
      <c r="AI73" s="358" t="str">
        <f t="shared" si="91"/>
        <v>A81.+Headrests%2C+REAR+2nd+ROW+SET+3</v>
      </c>
      <c r="AJ73" s="358" t="str">
        <f t="shared" si="92"/>
        <v>A81.+Headrests%2C+REAR+2nd+ROW+SET+3</v>
      </c>
      <c r="AK73" s="358" t="str">
        <f t="shared" si="93"/>
        <v>A81.+Headrests%2C+REAR+2nd+ROW+SET+3</v>
      </c>
      <c r="AL73" s="358" t="str">
        <f t="shared" si="62"/>
        <v>A81.+Headrests%2C+REAR+2nd+ROW+SET+3</v>
      </c>
      <c r="AM73" s="358" t="str">
        <f t="shared" si="94"/>
        <v>A81.+Headrests%2C+REAR+2nd+ROW+SET+3</v>
      </c>
      <c r="AN73" s="358" t="str">
        <f t="shared" si="95"/>
        <v>A81.+Headrests%2C+REAR+2nd+ROW+SET+3</v>
      </c>
      <c r="AO73" s="359" t="s">
        <v>1999</v>
      </c>
      <c r="AP73" s="359" t="s">
        <v>2000</v>
      </c>
      <c r="AQ73" s="359" t="s">
        <v>2001</v>
      </c>
      <c r="AR73" s="359" t="s">
        <v>2002</v>
      </c>
      <c r="AS73" s="359" t="s">
        <v>2003</v>
      </c>
      <c r="AT73" s="359" t="s">
        <v>2004</v>
      </c>
      <c r="AU73" s="359" t="s">
        <v>2005</v>
      </c>
      <c r="AV73" s="359" t="s">
        <v>2006</v>
      </c>
      <c r="AW73" s="359" t="s">
        <v>2007</v>
      </c>
      <c r="AX73" s="359" t="s">
        <v>2008</v>
      </c>
      <c r="AY73" s="359" t="s">
        <v>2009</v>
      </c>
      <c r="AZ73" s="359" t="s">
        <v>2010</v>
      </c>
      <c r="BA73" s="359" t="s">
        <v>2011</v>
      </c>
      <c r="BB73" s="359" t="s">
        <v>2012</v>
      </c>
      <c r="BC73" s="359" t="s">
        <v>2013</v>
      </c>
      <c r="BD73" s="359" t="s">
        <v>2014</v>
      </c>
      <c r="BE73" s="359" t="s">
        <v>2015</v>
      </c>
      <c r="BF73" s="359" t="s">
        <v>2016</v>
      </c>
      <c r="BG73" s="359" t="s">
        <v>2017</v>
      </c>
      <c r="BH73" s="359" t="s">
        <v>2018</v>
      </c>
      <c r="BI73" s="359" t="s">
        <v>2019</v>
      </c>
      <c r="BJ73" s="359" t="s">
        <v>2020</v>
      </c>
      <c r="BK73" s="359" t="s">
        <v>2021</v>
      </c>
      <c r="BL73" s="359" t="s">
        <v>2022</v>
      </c>
      <c r="BM73" s="359" t="s">
        <v>2023</v>
      </c>
      <c r="BN73" s="359" t="s">
        <v>2024</v>
      </c>
      <c r="BO73" s="147" t="str">
        <f t="shared" si="63"/>
        <v>Pic Example</v>
      </c>
    </row>
    <row r="74" spans="2:67" x14ac:dyDescent="0.25">
      <c r="B74" t="s">
        <v>326</v>
      </c>
      <c r="C74" s="358" t="str">
        <f t="shared" si="96"/>
        <v>https://viking-pictures.s3.us-west-1.amazonaws.com/AA1155/A82.+Headrest%2C+FRONT+-+LEFT+(ACTIVE)+(1).JPG|https://viking-pictures.s3.us-west-1.amazonaws.com/AA1155/A82.+Headrest%2C+FRONT+-+LEFT+(ACTIVE)+(2).JPG|https://viking-pictures.s3.us-west-1.amazonaws.com/AA1155/A82.+Headrest%2C+FRONT+-+LEFT+(ACTIVE)+(3).JPG|https://viking-pictures.s3.us-west-1.amazonaws.com/AA1155/A82.+Headrest%2C+FRONT+-+LEFT+(ACTIVE)+(4).JPG|https://viking-pictures.s3.us-west-1.amazonaws.com/AA1155/A82.+Headrest%2C+FRONT+-+LEFT+(ACTIVE)+(6).JPG</v>
      </c>
      <c r="D74" s="358">
        <f>VLOOKUP(B74,'3. Keep &amp; Toss Items'!$O$9:$T$749,6,FALSE)</f>
        <v>6</v>
      </c>
      <c r="E74" s="358" t="str">
        <f t="shared" si="61"/>
        <v>https://viking-pictures.s3.us-west-1.amazonaws.com/AA1155/A82.+Headrest%2C+FRONT+-+LEFT+(ACTIVE)+(1).JPG</v>
      </c>
      <c r="F74" s="358" t="str">
        <f t="shared" si="64"/>
        <v>https://viking-pictures.s3.us-west-1.amazonaws.com/AA1155/A82.+Headrest%2C+FRONT+-+LEFT+(ACTIVE)+(2).JPG</v>
      </c>
      <c r="G74" s="358" t="str">
        <f t="shared" si="65"/>
        <v>https://viking-pictures.s3.us-west-1.amazonaws.com/AA1155/A82.+Headrest%2C+FRONT+-+LEFT+(ACTIVE)+(3).JPG</v>
      </c>
      <c r="H74" s="358" t="str">
        <f t="shared" si="66"/>
        <v>https://viking-pictures.s3.us-west-1.amazonaws.com/AA1155/A82.+Headrest%2C+FRONT+-+LEFT+(ACTIVE)+(4).JPG</v>
      </c>
      <c r="I74" s="358" t="str">
        <f t="shared" si="67"/>
        <v>https://viking-pictures.s3.us-west-1.amazonaws.com/AA1155/A82.+Headrest%2C+FRONT+-+LEFT+(ACTIVE)+(6).JPG</v>
      </c>
      <c r="J74" s="358" t="str">
        <f t="shared" si="68"/>
        <v/>
      </c>
      <c r="K74" s="358" t="str">
        <f t="shared" si="69"/>
        <v/>
      </c>
      <c r="L74" s="358" t="str">
        <f t="shared" si="70"/>
        <v/>
      </c>
      <c r="M74" s="358" t="str">
        <f t="shared" si="71"/>
        <v/>
      </c>
      <c r="N74" s="358" t="str">
        <f t="shared" si="72"/>
        <v/>
      </c>
      <c r="O74" s="358" t="str">
        <f t="shared" si="73"/>
        <v/>
      </c>
      <c r="P74" s="358" t="str">
        <f t="shared" si="74"/>
        <v/>
      </c>
      <c r="Q74" s="358" t="str">
        <f t="shared" si="75"/>
        <v/>
      </c>
      <c r="R74" s="358" t="str">
        <f t="shared" si="76"/>
        <v/>
      </c>
      <c r="S74" s="358" t="str">
        <f t="shared" si="77"/>
        <v/>
      </c>
      <c r="T74" s="358" t="str">
        <f t="shared" si="78"/>
        <v/>
      </c>
      <c r="U74" s="358" t="str">
        <f t="shared" si="79"/>
        <v/>
      </c>
      <c r="V74" s="358" t="str">
        <f t="shared" si="80"/>
        <v/>
      </c>
      <c r="W74" s="358" t="str">
        <f t="shared" si="81"/>
        <v/>
      </c>
      <c r="X74" s="358" t="str">
        <f t="shared" si="82"/>
        <v/>
      </c>
      <c r="Y74" s="358" t="str">
        <f t="shared" si="83"/>
        <v/>
      </c>
      <c r="Z74" s="358" t="str">
        <f t="shared" si="84"/>
        <v/>
      </c>
      <c r="AA74" s="111" t="s">
        <v>1998</v>
      </c>
      <c r="AB74" s="358" t="str">
        <f t="shared" si="85"/>
        <v>A82.+Headrest%2C+FRONT+-+LEFT+(ACTIVE)</v>
      </c>
      <c r="AC74" s="358" t="str">
        <f>VLOOKUP(B74,'3. Keep &amp; Toss Items'!$O$9:$R$749,4,FALSE)</f>
        <v>A82. Headrest, FRONT - LEFT (ACTIVE)</v>
      </c>
      <c r="AD74" s="358" t="str">
        <f t="shared" si="86"/>
        <v>A82. Headrest, FRONT - LEFT (ACTIVE)</v>
      </c>
      <c r="AE74" s="358" t="str">
        <f t="shared" si="87"/>
        <v>A82.+Headrest,+FRONT+-+LEFT+(ACTIVE)</v>
      </c>
      <c r="AF74" s="358" t="str">
        <f t="shared" si="88"/>
        <v>A82.+Headrest%2C+FRONT+-+LEFT+(ACTIVE)</v>
      </c>
      <c r="AG74" s="358" t="str">
        <f t="shared" si="89"/>
        <v>A82.+Headrest%2C+FRONT+-+LEFT+(ACTIVE)</v>
      </c>
      <c r="AH74" s="358" t="str">
        <f t="shared" si="90"/>
        <v>A82.+Headrest%2C+FRONT+-+LEFT+(ACTIVE)</v>
      </c>
      <c r="AI74" s="358" t="str">
        <f t="shared" si="91"/>
        <v>A82.+Headrest%2C+FRONT+-+LEFT+(ACTIVE)</v>
      </c>
      <c r="AJ74" s="358" t="str">
        <f t="shared" si="92"/>
        <v>A82.+Headrest%2C+FRONT+-+LEFT+(ACTIVE)</v>
      </c>
      <c r="AK74" s="358" t="str">
        <f t="shared" si="93"/>
        <v>A82.+Headrest%2C+FRONT+-+LEFT+(ACTIVE)</v>
      </c>
      <c r="AL74" s="358" t="str">
        <f t="shared" si="62"/>
        <v>A82.+Headrest%2C+FRONT+-+LEFT+(ACTIVE)</v>
      </c>
      <c r="AM74" s="358" t="str">
        <f t="shared" si="94"/>
        <v>A82.+Headrest%2C+FRONT+-+LEFT+(ACTIVE)</v>
      </c>
      <c r="AN74" s="358" t="str">
        <f t="shared" si="95"/>
        <v>A82.+Headrest%2C+FRONT+-+LEFT+(ACTIVE)</v>
      </c>
      <c r="AO74" s="359" t="s">
        <v>1999</v>
      </c>
      <c r="AP74" s="359" t="s">
        <v>2000</v>
      </c>
      <c r="AQ74" s="359" t="s">
        <v>2001</v>
      </c>
      <c r="AR74" s="359" t="s">
        <v>2002</v>
      </c>
      <c r="AS74" s="359" t="s">
        <v>2003</v>
      </c>
      <c r="AT74" s="359" t="s">
        <v>2004</v>
      </c>
      <c r="AU74" s="359" t="s">
        <v>2005</v>
      </c>
      <c r="AV74" s="359" t="s">
        <v>2006</v>
      </c>
      <c r="AW74" s="359" t="s">
        <v>2007</v>
      </c>
      <c r="AX74" s="359" t="s">
        <v>2008</v>
      </c>
      <c r="AY74" s="359" t="s">
        <v>2009</v>
      </c>
      <c r="AZ74" s="359" t="s">
        <v>2010</v>
      </c>
      <c r="BA74" s="359" t="s">
        <v>2011</v>
      </c>
      <c r="BB74" s="359" t="s">
        <v>2012</v>
      </c>
      <c r="BC74" s="359" t="s">
        <v>2013</v>
      </c>
      <c r="BD74" s="359" t="s">
        <v>2014</v>
      </c>
      <c r="BE74" s="359" t="s">
        <v>2015</v>
      </c>
      <c r="BF74" s="359" t="s">
        <v>2016</v>
      </c>
      <c r="BG74" s="359" t="s">
        <v>2017</v>
      </c>
      <c r="BH74" s="359" t="s">
        <v>2018</v>
      </c>
      <c r="BI74" s="359" t="s">
        <v>2019</v>
      </c>
      <c r="BJ74" s="359" t="s">
        <v>2020</v>
      </c>
      <c r="BK74" s="359" t="s">
        <v>2021</v>
      </c>
      <c r="BL74" s="359" t="s">
        <v>2022</v>
      </c>
      <c r="BM74" s="359" t="s">
        <v>2023</v>
      </c>
      <c r="BN74" s="359" t="s">
        <v>2024</v>
      </c>
      <c r="BO74" s="147" t="str">
        <f t="shared" si="63"/>
        <v>Pic Example</v>
      </c>
    </row>
    <row r="75" spans="2:67" x14ac:dyDescent="0.25">
      <c r="B75" t="s">
        <v>327</v>
      </c>
      <c r="C75" s="358" t="str">
        <f t="shared" si="96"/>
        <v>https://viking-pictures.s3.us-west-1.amazonaws.com/AA1155/A83.+Headlight%2C+FRONT+-+LEFT+(1).JPG|https://viking-pictures.s3.us-west-1.amazonaws.com/AA1155/A83.+Headlight%2C+FRONT+-+LEFT+(2).JPG|https://viking-pictures.s3.us-west-1.amazonaws.com/AA1155/A83.+Headlight%2C+FRONT+-+LEFT+(3).JPG|https://viking-pictures.s3.us-west-1.amazonaws.com/AA1155/A83.+Headlight%2C+FRONT+-+LEFT+(4).JPG</v>
      </c>
      <c r="D75" s="358">
        <f>VLOOKUP(B75,'3. Keep &amp; Toss Items'!$O$9:$T$749,6,FALSE)</f>
        <v>5</v>
      </c>
      <c r="E75" s="358" t="str">
        <f t="shared" si="61"/>
        <v>https://viking-pictures.s3.us-west-1.amazonaws.com/AA1155/A83.+Headlight%2C+FRONT+-+LEFT+(1).JPG</v>
      </c>
      <c r="F75" s="358" t="str">
        <f t="shared" si="64"/>
        <v>https://viking-pictures.s3.us-west-1.amazonaws.com/AA1155/A83.+Headlight%2C+FRONT+-+LEFT+(2).JPG</v>
      </c>
      <c r="G75" s="358" t="str">
        <f t="shared" si="65"/>
        <v>https://viking-pictures.s3.us-west-1.amazonaws.com/AA1155/A83.+Headlight%2C+FRONT+-+LEFT+(3).JPG</v>
      </c>
      <c r="H75" s="358" t="str">
        <f t="shared" si="66"/>
        <v>https://viking-pictures.s3.us-west-1.amazonaws.com/AA1155/A83.+Headlight%2C+FRONT+-+LEFT+(4).JPG</v>
      </c>
      <c r="I75" s="358" t="str">
        <f t="shared" si="67"/>
        <v/>
      </c>
      <c r="J75" s="358" t="str">
        <f t="shared" si="68"/>
        <v/>
      </c>
      <c r="K75" s="358" t="str">
        <f t="shared" si="69"/>
        <v/>
      </c>
      <c r="L75" s="358" t="str">
        <f t="shared" si="70"/>
        <v/>
      </c>
      <c r="M75" s="358" t="str">
        <f t="shared" si="71"/>
        <v/>
      </c>
      <c r="N75" s="358" t="str">
        <f t="shared" si="72"/>
        <v/>
      </c>
      <c r="O75" s="358" t="str">
        <f t="shared" si="73"/>
        <v/>
      </c>
      <c r="P75" s="358" t="str">
        <f t="shared" si="74"/>
        <v/>
      </c>
      <c r="Q75" s="358" t="str">
        <f t="shared" si="75"/>
        <v/>
      </c>
      <c r="R75" s="358" t="str">
        <f t="shared" si="76"/>
        <v/>
      </c>
      <c r="S75" s="358" t="str">
        <f t="shared" si="77"/>
        <v/>
      </c>
      <c r="T75" s="358" t="str">
        <f t="shared" si="78"/>
        <v/>
      </c>
      <c r="U75" s="358" t="str">
        <f t="shared" si="79"/>
        <v/>
      </c>
      <c r="V75" s="358" t="str">
        <f t="shared" si="80"/>
        <v/>
      </c>
      <c r="W75" s="358" t="str">
        <f t="shared" si="81"/>
        <v/>
      </c>
      <c r="X75" s="358" t="str">
        <f t="shared" si="82"/>
        <v/>
      </c>
      <c r="Y75" s="358" t="str">
        <f t="shared" si="83"/>
        <v/>
      </c>
      <c r="Z75" s="358" t="str">
        <f t="shared" si="84"/>
        <v/>
      </c>
      <c r="AA75" s="111" t="s">
        <v>1998</v>
      </c>
      <c r="AB75" s="358" t="str">
        <f t="shared" si="85"/>
        <v>A83.+Headlight%2C+FRONT+-+LEFT</v>
      </c>
      <c r="AC75" s="358" t="str">
        <f>VLOOKUP(B75,'3. Keep &amp; Toss Items'!$O$9:$R$749,4,FALSE)</f>
        <v>A83. Headlight, FRONT - LEFT</v>
      </c>
      <c r="AD75" s="358" t="str">
        <f t="shared" si="86"/>
        <v>A83. Headlight, FRONT - LEFT</v>
      </c>
      <c r="AE75" s="358" t="str">
        <f t="shared" si="87"/>
        <v>A83.+Headlight,+FRONT+-+LEFT</v>
      </c>
      <c r="AF75" s="358" t="str">
        <f t="shared" si="88"/>
        <v>A83.+Headlight%2C+FRONT+-+LEFT</v>
      </c>
      <c r="AG75" s="358" t="str">
        <f t="shared" si="89"/>
        <v>A83.+Headlight%2C+FRONT+-+LEFT</v>
      </c>
      <c r="AH75" s="358" t="str">
        <f t="shared" si="90"/>
        <v>A83.+Headlight%2C+FRONT+-+LEFT</v>
      </c>
      <c r="AI75" s="358" t="str">
        <f t="shared" si="91"/>
        <v>A83.+Headlight%2C+FRONT+-+LEFT</v>
      </c>
      <c r="AJ75" s="358" t="str">
        <f t="shared" si="92"/>
        <v>A83.+Headlight%2C+FRONT+-+LEFT</v>
      </c>
      <c r="AK75" s="358" t="str">
        <f t="shared" si="93"/>
        <v>A83.+Headlight%2C+FRONT+-+LEFT</v>
      </c>
      <c r="AL75" s="358" t="str">
        <f t="shared" si="62"/>
        <v>A83.+Headlight%2C+FRONT+-+LEFT</v>
      </c>
      <c r="AM75" s="358" t="str">
        <f t="shared" si="94"/>
        <v>A83.+Headlight%2C+FRONT+-+LEFT</v>
      </c>
      <c r="AN75" s="358" t="str">
        <f t="shared" si="95"/>
        <v>A83.+Headlight%2C+FRONT+-+LEFT</v>
      </c>
      <c r="AO75" s="359" t="s">
        <v>1999</v>
      </c>
      <c r="AP75" s="359" t="s">
        <v>2000</v>
      </c>
      <c r="AQ75" s="359" t="s">
        <v>2001</v>
      </c>
      <c r="AR75" s="359" t="s">
        <v>2002</v>
      </c>
      <c r="AS75" s="359" t="s">
        <v>2003</v>
      </c>
      <c r="AT75" s="359" t="s">
        <v>2004</v>
      </c>
      <c r="AU75" s="359" t="s">
        <v>2005</v>
      </c>
      <c r="AV75" s="359" t="s">
        <v>2006</v>
      </c>
      <c r="AW75" s="359" t="s">
        <v>2007</v>
      </c>
      <c r="AX75" s="359" t="s">
        <v>2008</v>
      </c>
      <c r="AY75" s="359" t="s">
        <v>2009</v>
      </c>
      <c r="AZ75" s="359" t="s">
        <v>2010</v>
      </c>
      <c r="BA75" s="359" t="s">
        <v>2011</v>
      </c>
      <c r="BB75" s="359" t="s">
        <v>2012</v>
      </c>
      <c r="BC75" s="359" t="s">
        <v>2013</v>
      </c>
      <c r="BD75" s="359" t="s">
        <v>2014</v>
      </c>
      <c r="BE75" s="359" t="s">
        <v>2015</v>
      </c>
      <c r="BF75" s="359" t="s">
        <v>2016</v>
      </c>
      <c r="BG75" s="359" t="s">
        <v>2017</v>
      </c>
      <c r="BH75" s="359" t="s">
        <v>2018</v>
      </c>
      <c r="BI75" s="359" t="s">
        <v>2019</v>
      </c>
      <c r="BJ75" s="359" t="s">
        <v>2020</v>
      </c>
      <c r="BK75" s="359" t="s">
        <v>2021</v>
      </c>
      <c r="BL75" s="359" t="s">
        <v>2022</v>
      </c>
      <c r="BM75" s="359" t="s">
        <v>2023</v>
      </c>
      <c r="BN75" s="359" t="s">
        <v>2024</v>
      </c>
      <c r="BO75" s="147" t="str">
        <f t="shared" si="63"/>
        <v>Pic Example</v>
      </c>
    </row>
    <row r="76" spans="2:67" x14ac:dyDescent="0.25">
      <c r="B76" t="s">
        <v>328</v>
      </c>
      <c r="C76" s="358" t="str">
        <f t="shared" si="96"/>
        <v>https://viking-pictures.s3.us-west-1.amazonaws.com/AA1155/A84.+Headlight%2C+FRONT+-+RIGHT+(FLAW)+(1).JPG|https://viking-pictures.s3.us-west-1.amazonaws.com/AA1155/A84.+Headlight%2C+FRONT+-+RIGHT+(FLAW)+(2).JPG|https://viking-pictures.s3.us-west-1.amazonaws.com/AA1155/A84.+Headlight%2C+FRONT+-+RIGHT+(FLAW)+(3).JPG|https://viking-pictures.s3.us-west-1.amazonaws.com/AA1155/A84.+Headlight%2C+FRONT+-+RIGHT+(FLAW)+(4).JPG|https://viking-pictures.s3.us-west-1.amazonaws.com/AA1155/A84.+Headlight%2C+FRONT+-+RIGHT+(FLAW)+(6).JPG</v>
      </c>
      <c r="D76" s="358">
        <f>VLOOKUP(B76,'3. Keep &amp; Toss Items'!$O$9:$T$749,6,FALSE)</f>
        <v>6</v>
      </c>
      <c r="E76" s="358" t="str">
        <f t="shared" si="61"/>
        <v>https://viking-pictures.s3.us-west-1.amazonaws.com/AA1155/A84.+Headlight%2C+FRONT+-+RIGHT+(FLAW)+(1).JPG</v>
      </c>
      <c r="F76" s="358" t="str">
        <f t="shared" si="64"/>
        <v>https://viking-pictures.s3.us-west-1.amazonaws.com/AA1155/A84.+Headlight%2C+FRONT+-+RIGHT+(FLAW)+(2).JPG</v>
      </c>
      <c r="G76" s="358" t="str">
        <f t="shared" si="65"/>
        <v>https://viking-pictures.s3.us-west-1.amazonaws.com/AA1155/A84.+Headlight%2C+FRONT+-+RIGHT+(FLAW)+(3).JPG</v>
      </c>
      <c r="H76" s="358" t="str">
        <f t="shared" si="66"/>
        <v>https://viking-pictures.s3.us-west-1.amazonaws.com/AA1155/A84.+Headlight%2C+FRONT+-+RIGHT+(FLAW)+(4).JPG</v>
      </c>
      <c r="I76" s="358" t="str">
        <f t="shared" si="67"/>
        <v>https://viking-pictures.s3.us-west-1.amazonaws.com/AA1155/A84.+Headlight%2C+FRONT+-+RIGHT+(FLAW)+(6).JPG</v>
      </c>
      <c r="J76" s="358" t="str">
        <f t="shared" si="68"/>
        <v/>
      </c>
      <c r="K76" s="358" t="str">
        <f t="shared" si="69"/>
        <v/>
      </c>
      <c r="L76" s="358" t="str">
        <f t="shared" si="70"/>
        <v/>
      </c>
      <c r="M76" s="358" t="str">
        <f t="shared" si="71"/>
        <v/>
      </c>
      <c r="N76" s="358" t="str">
        <f t="shared" si="72"/>
        <v/>
      </c>
      <c r="O76" s="358" t="str">
        <f t="shared" si="73"/>
        <v/>
      </c>
      <c r="P76" s="358" t="str">
        <f t="shared" si="74"/>
        <v/>
      </c>
      <c r="Q76" s="358" t="str">
        <f t="shared" si="75"/>
        <v/>
      </c>
      <c r="R76" s="358" t="str">
        <f t="shared" si="76"/>
        <v/>
      </c>
      <c r="S76" s="358" t="str">
        <f t="shared" si="77"/>
        <v/>
      </c>
      <c r="T76" s="358" t="str">
        <f t="shared" si="78"/>
        <v/>
      </c>
      <c r="U76" s="358" t="str">
        <f t="shared" si="79"/>
        <v/>
      </c>
      <c r="V76" s="358" t="str">
        <f t="shared" si="80"/>
        <v/>
      </c>
      <c r="W76" s="358" t="str">
        <f t="shared" si="81"/>
        <v/>
      </c>
      <c r="X76" s="358" t="str">
        <f t="shared" si="82"/>
        <v/>
      </c>
      <c r="Y76" s="358" t="str">
        <f t="shared" si="83"/>
        <v/>
      </c>
      <c r="Z76" s="358" t="str">
        <f t="shared" si="84"/>
        <v/>
      </c>
      <c r="AA76" s="111" t="s">
        <v>1998</v>
      </c>
      <c r="AB76" s="358" t="str">
        <f t="shared" si="85"/>
        <v>A84.+Headlight%2C+FRONT+-+RIGHT+(FLAW)</v>
      </c>
      <c r="AC76" s="358" t="str">
        <f>VLOOKUP(B76,'3. Keep &amp; Toss Items'!$O$9:$R$749,4,FALSE)</f>
        <v>A84. Headlight, FRONT - RIGHT (FLAW)</v>
      </c>
      <c r="AD76" s="358" t="str">
        <f t="shared" si="86"/>
        <v>A84. Headlight, FRONT - RIGHT (FLAW)</v>
      </c>
      <c r="AE76" s="358" t="str">
        <f t="shared" si="87"/>
        <v>A84.+Headlight,+FRONT+-+RIGHT+(FLAW)</v>
      </c>
      <c r="AF76" s="358" t="str">
        <f t="shared" si="88"/>
        <v>A84.+Headlight%2C+FRONT+-+RIGHT+(FLAW)</v>
      </c>
      <c r="AG76" s="358" t="str">
        <f t="shared" si="89"/>
        <v>A84.+Headlight%2C+FRONT+-+RIGHT+(FLAW)</v>
      </c>
      <c r="AH76" s="358" t="str">
        <f t="shared" si="90"/>
        <v>A84.+Headlight%2C+FRONT+-+RIGHT+(FLAW)</v>
      </c>
      <c r="AI76" s="358" t="str">
        <f t="shared" si="91"/>
        <v>A84.+Headlight%2C+FRONT+-+RIGHT+(FLAW)</v>
      </c>
      <c r="AJ76" s="358" t="str">
        <f t="shared" si="92"/>
        <v>A84.+Headlight%2C+FRONT+-+RIGHT+(FLAW)</v>
      </c>
      <c r="AK76" s="358" t="str">
        <f t="shared" si="93"/>
        <v>A84.+Headlight%2C+FRONT+-+RIGHT+(FLAW)</v>
      </c>
      <c r="AL76" s="358" t="str">
        <f t="shared" si="62"/>
        <v>A84.+Headlight%2C+FRONT+-+RIGHT+(FLAW)</v>
      </c>
      <c r="AM76" s="358" t="str">
        <f t="shared" si="94"/>
        <v>A84.+Headlight%2C+FRONT+-+RIGHT+(FLAW)</v>
      </c>
      <c r="AN76" s="358" t="str">
        <f t="shared" si="95"/>
        <v>A84.+Headlight%2C+FRONT+-+RIGHT+(FLAW)</v>
      </c>
      <c r="AO76" s="359" t="s">
        <v>1999</v>
      </c>
      <c r="AP76" s="359" t="s">
        <v>2000</v>
      </c>
      <c r="AQ76" s="359" t="s">
        <v>2001</v>
      </c>
      <c r="AR76" s="359" t="s">
        <v>2002</v>
      </c>
      <c r="AS76" s="359" t="s">
        <v>2003</v>
      </c>
      <c r="AT76" s="359" t="s">
        <v>2004</v>
      </c>
      <c r="AU76" s="359" t="s">
        <v>2005</v>
      </c>
      <c r="AV76" s="359" t="s">
        <v>2006</v>
      </c>
      <c r="AW76" s="359" t="s">
        <v>2007</v>
      </c>
      <c r="AX76" s="359" t="s">
        <v>2008</v>
      </c>
      <c r="AY76" s="359" t="s">
        <v>2009</v>
      </c>
      <c r="AZ76" s="359" t="s">
        <v>2010</v>
      </c>
      <c r="BA76" s="359" t="s">
        <v>2011</v>
      </c>
      <c r="BB76" s="359" t="s">
        <v>2012</v>
      </c>
      <c r="BC76" s="359" t="s">
        <v>2013</v>
      </c>
      <c r="BD76" s="359" t="s">
        <v>2014</v>
      </c>
      <c r="BE76" s="359" t="s">
        <v>2015</v>
      </c>
      <c r="BF76" s="359" t="s">
        <v>2016</v>
      </c>
      <c r="BG76" s="359" t="s">
        <v>2017</v>
      </c>
      <c r="BH76" s="359" t="s">
        <v>2018</v>
      </c>
      <c r="BI76" s="359" t="s">
        <v>2019</v>
      </c>
      <c r="BJ76" s="359" t="s">
        <v>2020</v>
      </c>
      <c r="BK76" s="359" t="s">
        <v>2021</v>
      </c>
      <c r="BL76" s="359" t="s">
        <v>2022</v>
      </c>
      <c r="BM76" s="359" t="s">
        <v>2023</v>
      </c>
      <c r="BN76" s="359" t="s">
        <v>2024</v>
      </c>
      <c r="BO76" s="147" t="str">
        <f t="shared" si="63"/>
        <v>Pic Example</v>
      </c>
    </row>
    <row r="77" spans="2:67" x14ac:dyDescent="0.25">
      <c r="B77" t="s">
        <v>329</v>
      </c>
      <c r="C77" s="358" t="str">
        <f t="shared" si="96"/>
        <v>https://viking-pictures.s3.us-west-1.amazonaws.com/AA1155/A85.+Glove+Box+Assembly+WITH+Handle%2C+FRONT+RIGHT+PRIMARY+(1).JPG|https://viking-pictures.s3.us-west-1.amazonaws.com/AA1155/A85.+Glove+Box+Assembly+WITH+Handle%2C+FRONT+RIGHT+PRIMARY+(2).JPG|https://viking-pictures.s3.us-west-1.amazonaws.com/AA1155/A85.+Glove+Box+Assembly+WITH+Handle%2C+FRONT+RIGHT+PRIMARY+(3).JPG|https://viking-pictures.s3.us-west-1.amazonaws.com/AA1155/A85.+Glove+Box+Assembly+WITH+Handle%2C+FRONT+RIGHT+PRIMARY+(4).JPG</v>
      </c>
      <c r="D77" s="358">
        <f>VLOOKUP(B77,'3. Keep &amp; Toss Items'!$O$9:$T$749,6,FALSE)</f>
        <v>5</v>
      </c>
      <c r="E77" s="358" t="str">
        <f t="shared" si="61"/>
        <v>https://viking-pictures.s3.us-west-1.amazonaws.com/AA1155/A85.+Glove+Box+Assembly+WITH+Handle%2C+FRONT+RIGHT+PRIMARY+(1).JPG</v>
      </c>
      <c r="F77" s="358" t="str">
        <f t="shared" si="64"/>
        <v>https://viking-pictures.s3.us-west-1.amazonaws.com/AA1155/A85.+Glove+Box+Assembly+WITH+Handle%2C+FRONT+RIGHT+PRIMARY+(2).JPG</v>
      </c>
      <c r="G77" s="358" t="str">
        <f t="shared" si="65"/>
        <v>https://viking-pictures.s3.us-west-1.amazonaws.com/AA1155/A85.+Glove+Box+Assembly+WITH+Handle%2C+FRONT+RIGHT+PRIMARY+(3).JPG</v>
      </c>
      <c r="H77" s="358" t="str">
        <f t="shared" si="66"/>
        <v>https://viking-pictures.s3.us-west-1.amazonaws.com/AA1155/A85.+Glove+Box+Assembly+WITH+Handle%2C+FRONT+RIGHT+PRIMARY+(4).JPG</v>
      </c>
      <c r="I77" s="358" t="str">
        <f t="shared" si="67"/>
        <v/>
      </c>
      <c r="J77" s="358" t="str">
        <f t="shared" si="68"/>
        <v/>
      </c>
      <c r="K77" s="358" t="str">
        <f t="shared" si="69"/>
        <v/>
      </c>
      <c r="L77" s="358" t="str">
        <f t="shared" si="70"/>
        <v/>
      </c>
      <c r="M77" s="358" t="str">
        <f t="shared" si="71"/>
        <v/>
      </c>
      <c r="N77" s="358" t="str">
        <f t="shared" si="72"/>
        <v/>
      </c>
      <c r="O77" s="358" t="str">
        <f t="shared" si="73"/>
        <v/>
      </c>
      <c r="P77" s="358" t="str">
        <f t="shared" si="74"/>
        <v/>
      </c>
      <c r="Q77" s="358" t="str">
        <f t="shared" si="75"/>
        <v/>
      </c>
      <c r="R77" s="358" t="str">
        <f t="shared" si="76"/>
        <v/>
      </c>
      <c r="S77" s="358" t="str">
        <f t="shared" si="77"/>
        <v/>
      </c>
      <c r="T77" s="358" t="str">
        <f t="shared" si="78"/>
        <v/>
      </c>
      <c r="U77" s="358" t="str">
        <f t="shared" si="79"/>
        <v/>
      </c>
      <c r="V77" s="358" t="str">
        <f t="shared" si="80"/>
        <v/>
      </c>
      <c r="W77" s="358" t="str">
        <f t="shared" si="81"/>
        <v/>
      </c>
      <c r="X77" s="358" t="str">
        <f t="shared" si="82"/>
        <v/>
      </c>
      <c r="Y77" s="358" t="str">
        <f t="shared" si="83"/>
        <v/>
      </c>
      <c r="Z77" s="358" t="str">
        <f t="shared" si="84"/>
        <v/>
      </c>
      <c r="AA77" s="111" t="s">
        <v>1998</v>
      </c>
      <c r="AB77" s="358" t="str">
        <f t="shared" si="85"/>
        <v>A85.+Glove+Box+Assembly+WITH+Handle%2C+FRONT+RIGHT+PRIMARY</v>
      </c>
      <c r="AC77" s="358" t="str">
        <f>VLOOKUP(B77,'3. Keep &amp; Toss Items'!$O$9:$R$749,4,FALSE)</f>
        <v>A85. Glove Box Assembly WITH Handle, FRONT RIGHT PRIMARY</v>
      </c>
      <c r="AD77" s="358" t="str">
        <f t="shared" si="86"/>
        <v>A85. Glove Box Assembly WITH Handle, FRONT RIGHT PRIMARY</v>
      </c>
      <c r="AE77" s="358" t="str">
        <f t="shared" si="87"/>
        <v>A85.+Glove+Box+Assembly+WITH+Handle,+FRONT+RIGHT+PRIMARY</v>
      </c>
      <c r="AF77" s="358" t="str">
        <f t="shared" si="88"/>
        <v>A85.+Glove+Box+Assembly+WITH+Handle%2C+FRONT+RIGHT+PRIMARY</v>
      </c>
      <c r="AG77" s="358" t="str">
        <f t="shared" si="89"/>
        <v>A85.+Glove+Box+Assembly+WITH+Handle%2C+FRONT+RIGHT+PRIMARY</v>
      </c>
      <c r="AH77" s="358" t="str">
        <f t="shared" si="90"/>
        <v>A85.+Glove+Box+Assembly+WITH+Handle%2C+FRONT+RIGHT+PRIMARY</v>
      </c>
      <c r="AI77" s="358" t="str">
        <f t="shared" si="91"/>
        <v>A85.+Glove+Box+Assembly+WITH+Handle%2C+FRONT+RIGHT+PRIMARY</v>
      </c>
      <c r="AJ77" s="358" t="str">
        <f t="shared" si="92"/>
        <v>A85.+Glove+Box+Assembly+WITH+Handle%2C+FRONT+RIGHT+PRIMARY</v>
      </c>
      <c r="AK77" s="358" t="str">
        <f t="shared" si="93"/>
        <v>A85.+Glove+Box+Assembly+WITH+Handle%2C+FRONT+RIGHT+PRIMARY</v>
      </c>
      <c r="AL77" s="358" t="str">
        <f t="shared" si="62"/>
        <v>A85.+Glove+Box+Assembly+WITH+Handle%2C+FRONT+RIGHT+PRIMARY</v>
      </c>
      <c r="AM77" s="358" t="str">
        <f t="shared" si="94"/>
        <v>A85.+Glove+Box+Assembly+WITH+Handle%2C+FRONT+RIGHT+PRIMARY</v>
      </c>
      <c r="AN77" s="358" t="str">
        <f t="shared" si="95"/>
        <v>A85.+Glove+Box+Assembly+WITH+Handle%2C+FRONT+RIGHT+PRIMARY</v>
      </c>
      <c r="AO77" s="359" t="s">
        <v>1999</v>
      </c>
      <c r="AP77" s="359" t="s">
        <v>2000</v>
      </c>
      <c r="AQ77" s="359" t="s">
        <v>2001</v>
      </c>
      <c r="AR77" s="359" t="s">
        <v>2002</v>
      </c>
      <c r="AS77" s="359" t="s">
        <v>2003</v>
      </c>
      <c r="AT77" s="359" t="s">
        <v>2004</v>
      </c>
      <c r="AU77" s="359" t="s">
        <v>2005</v>
      </c>
      <c r="AV77" s="359" t="s">
        <v>2006</v>
      </c>
      <c r="AW77" s="359" t="s">
        <v>2007</v>
      </c>
      <c r="AX77" s="359" t="s">
        <v>2008</v>
      </c>
      <c r="AY77" s="359" t="s">
        <v>2009</v>
      </c>
      <c r="AZ77" s="359" t="s">
        <v>2010</v>
      </c>
      <c r="BA77" s="359" t="s">
        <v>2011</v>
      </c>
      <c r="BB77" s="359" t="s">
        <v>2012</v>
      </c>
      <c r="BC77" s="359" t="s">
        <v>2013</v>
      </c>
      <c r="BD77" s="359" t="s">
        <v>2014</v>
      </c>
      <c r="BE77" s="359" t="s">
        <v>2015</v>
      </c>
      <c r="BF77" s="359" t="s">
        <v>2016</v>
      </c>
      <c r="BG77" s="359" t="s">
        <v>2017</v>
      </c>
      <c r="BH77" s="359" t="s">
        <v>2018</v>
      </c>
      <c r="BI77" s="359" t="s">
        <v>2019</v>
      </c>
      <c r="BJ77" s="359" t="s">
        <v>2020</v>
      </c>
      <c r="BK77" s="359" t="s">
        <v>2021</v>
      </c>
      <c r="BL77" s="359" t="s">
        <v>2022</v>
      </c>
      <c r="BM77" s="359" t="s">
        <v>2023</v>
      </c>
      <c r="BN77" s="359" t="s">
        <v>2024</v>
      </c>
      <c r="BO77" s="147" t="str">
        <f t="shared" si="63"/>
        <v>Pic Example</v>
      </c>
    </row>
    <row r="78" spans="2:67" x14ac:dyDescent="0.25">
      <c r="B78" t="s">
        <v>330</v>
      </c>
      <c r="C78" s="358" t="str">
        <f t="shared" si="96"/>
        <v>https://viking-pictures.s3.us-west-1.amazonaws.com/AA1155/A86.+Seat+Cushions%2C+FRONT+RIGHT+-+UPPER+(1).JPG|https://viking-pictures.s3.us-west-1.amazonaws.com/AA1155/A86.+Seat+Cushions%2C+FRONT+RIGHT+-+UPPER+(2).JPG|https://viking-pictures.s3.us-west-1.amazonaws.com/AA1155/A86.+Seat+Cushions%2C+FRONT+RIGHT+-+UPPER+(3).JPG|https://viking-pictures.s3.us-west-1.amazonaws.com/AA1155/A86.+Seat+Cushions%2C+FRONT+RIGHT+-+UPPER+(4).JPG|https://viking-pictures.s3.us-west-1.amazonaws.com/AA1155/A86.+Seat+Cushions%2C+FRONT+RIGHT+-+UPPER+(6).JPG</v>
      </c>
      <c r="D78" s="358">
        <f>VLOOKUP(B78,'3. Keep &amp; Toss Items'!$O$9:$T$749,6,FALSE)</f>
        <v>6</v>
      </c>
      <c r="E78" s="358" t="str">
        <f t="shared" si="61"/>
        <v>https://viking-pictures.s3.us-west-1.amazonaws.com/AA1155/A86.+Seat+Cushions%2C+FRONT+RIGHT+-+UPPER+(1).JPG</v>
      </c>
      <c r="F78" s="358" t="str">
        <f t="shared" si="64"/>
        <v>https://viking-pictures.s3.us-west-1.amazonaws.com/AA1155/A86.+Seat+Cushions%2C+FRONT+RIGHT+-+UPPER+(2).JPG</v>
      </c>
      <c r="G78" s="358" t="str">
        <f t="shared" si="65"/>
        <v>https://viking-pictures.s3.us-west-1.amazonaws.com/AA1155/A86.+Seat+Cushions%2C+FRONT+RIGHT+-+UPPER+(3).JPG</v>
      </c>
      <c r="H78" s="358" t="str">
        <f t="shared" si="66"/>
        <v>https://viking-pictures.s3.us-west-1.amazonaws.com/AA1155/A86.+Seat+Cushions%2C+FRONT+RIGHT+-+UPPER+(4).JPG</v>
      </c>
      <c r="I78" s="358" t="str">
        <f t="shared" si="67"/>
        <v>https://viking-pictures.s3.us-west-1.amazonaws.com/AA1155/A86.+Seat+Cushions%2C+FRONT+RIGHT+-+UPPER+(6).JPG</v>
      </c>
      <c r="J78" s="358" t="str">
        <f t="shared" si="68"/>
        <v/>
      </c>
      <c r="K78" s="358" t="str">
        <f t="shared" si="69"/>
        <v/>
      </c>
      <c r="L78" s="358" t="str">
        <f t="shared" si="70"/>
        <v/>
      </c>
      <c r="M78" s="358" t="str">
        <f t="shared" si="71"/>
        <v/>
      </c>
      <c r="N78" s="358" t="str">
        <f t="shared" si="72"/>
        <v/>
      </c>
      <c r="O78" s="358" t="str">
        <f t="shared" si="73"/>
        <v/>
      </c>
      <c r="P78" s="358" t="str">
        <f t="shared" si="74"/>
        <v/>
      </c>
      <c r="Q78" s="358" t="str">
        <f t="shared" si="75"/>
        <v/>
      </c>
      <c r="R78" s="358" t="str">
        <f t="shared" si="76"/>
        <v/>
      </c>
      <c r="S78" s="358" t="str">
        <f t="shared" si="77"/>
        <v/>
      </c>
      <c r="T78" s="358" t="str">
        <f t="shared" si="78"/>
        <v/>
      </c>
      <c r="U78" s="358" t="str">
        <f t="shared" si="79"/>
        <v/>
      </c>
      <c r="V78" s="358" t="str">
        <f t="shared" si="80"/>
        <v/>
      </c>
      <c r="W78" s="358" t="str">
        <f t="shared" si="81"/>
        <v/>
      </c>
      <c r="X78" s="358" t="str">
        <f t="shared" si="82"/>
        <v/>
      </c>
      <c r="Y78" s="358" t="str">
        <f t="shared" si="83"/>
        <v/>
      </c>
      <c r="Z78" s="358" t="str">
        <f t="shared" si="84"/>
        <v/>
      </c>
      <c r="AA78" s="111" t="s">
        <v>1998</v>
      </c>
      <c r="AB78" s="358" t="str">
        <f t="shared" si="85"/>
        <v>A86.+Seat+Cushions%2C+FRONT+RIGHT+-+UPPER</v>
      </c>
      <c r="AC78" s="358" t="str">
        <f>VLOOKUP(B78,'3. Keep &amp; Toss Items'!$O$9:$R$749,4,FALSE)</f>
        <v>A86. Seat Cushions, FRONT RIGHT - UPPER</v>
      </c>
      <c r="AD78" s="358" t="str">
        <f t="shared" si="86"/>
        <v>A86. Seat Cushions, FRONT RIGHT - UPPER</v>
      </c>
      <c r="AE78" s="358" t="str">
        <f t="shared" si="87"/>
        <v>A86.+Seat+Cushions,+FRONT+RIGHT+-+UPPER</v>
      </c>
      <c r="AF78" s="358" t="str">
        <f t="shared" si="88"/>
        <v>A86.+Seat+Cushions%2C+FRONT+RIGHT+-+UPPER</v>
      </c>
      <c r="AG78" s="358" t="str">
        <f t="shared" si="89"/>
        <v>A86.+Seat+Cushions%2C+FRONT+RIGHT+-+UPPER</v>
      </c>
      <c r="AH78" s="358" t="str">
        <f t="shared" si="90"/>
        <v>A86.+Seat+Cushions%2C+FRONT+RIGHT+-+UPPER</v>
      </c>
      <c r="AI78" s="358" t="str">
        <f t="shared" si="91"/>
        <v>A86.+Seat+Cushions%2C+FRONT+RIGHT+-+UPPER</v>
      </c>
      <c r="AJ78" s="358" t="str">
        <f t="shared" si="92"/>
        <v>A86.+Seat+Cushions%2C+FRONT+RIGHT+-+UPPER</v>
      </c>
      <c r="AK78" s="358" t="str">
        <f t="shared" si="93"/>
        <v>A86.+Seat+Cushions%2C+FRONT+RIGHT+-+UPPER</v>
      </c>
      <c r="AL78" s="358" t="str">
        <f t="shared" si="62"/>
        <v>A86.+Seat+Cushions%2C+FRONT+RIGHT+-+UPPER</v>
      </c>
      <c r="AM78" s="358" t="str">
        <f t="shared" si="94"/>
        <v>A86.+Seat+Cushions%2C+FRONT+RIGHT+-+UPPER</v>
      </c>
      <c r="AN78" s="358" t="str">
        <f t="shared" si="95"/>
        <v>A86.+Seat+Cushions%2C+FRONT+RIGHT+-+UPPER</v>
      </c>
      <c r="AO78" s="359" t="s">
        <v>1999</v>
      </c>
      <c r="AP78" s="359" t="s">
        <v>2000</v>
      </c>
      <c r="AQ78" s="359" t="s">
        <v>2001</v>
      </c>
      <c r="AR78" s="359" t="s">
        <v>2002</v>
      </c>
      <c r="AS78" s="359" t="s">
        <v>2003</v>
      </c>
      <c r="AT78" s="359" t="s">
        <v>2004</v>
      </c>
      <c r="AU78" s="359" t="s">
        <v>2005</v>
      </c>
      <c r="AV78" s="359" t="s">
        <v>2006</v>
      </c>
      <c r="AW78" s="359" t="s">
        <v>2007</v>
      </c>
      <c r="AX78" s="359" t="s">
        <v>2008</v>
      </c>
      <c r="AY78" s="359" t="s">
        <v>2009</v>
      </c>
      <c r="AZ78" s="359" t="s">
        <v>2010</v>
      </c>
      <c r="BA78" s="359" t="s">
        <v>2011</v>
      </c>
      <c r="BB78" s="359" t="s">
        <v>2012</v>
      </c>
      <c r="BC78" s="359" t="s">
        <v>2013</v>
      </c>
      <c r="BD78" s="359" t="s">
        <v>2014</v>
      </c>
      <c r="BE78" s="359" t="s">
        <v>2015</v>
      </c>
      <c r="BF78" s="359" t="s">
        <v>2016</v>
      </c>
      <c r="BG78" s="359" t="s">
        <v>2017</v>
      </c>
      <c r="BH78" s="359" t="s">
        <v>2018</v>
      </c>
      <c r="BI78" s="359" t="s">
        <v>2019</v>
      </c>
      <c r="BJ78" s="359" t="s">
        <v>2020</v>
      </c>
      <c r="BK78" s="359" t="s">
        <v>2021</v>
      </c>
      <c r="BL78" s="359" t="s">
        <v>2022</v>
      </c>
      <c r="BM78" s="359" t="s">
        <v>2023</v>
      </c>
      <c r="BN78" s="359" t="s">
        <v>2024</v>
      </c>
      <c r="BO78" s="147" t="str">
        <f t="shared" si="63"/>
        <v>Pic Example</v>
      </c>
    </row>
    <row r="79" spans="2:67" x14ac:dyDescent="0.25">
      <c r="B79" t="s">
        <v>331</v>
      </c>
      <c r="C79" s="358" t="str">
        <f t="shared" si="96"/>
        <v>https://viking-pictures.s3.us-west-1.amazonaws.com/AA1155/A87.+Wheel%2C+FRONT+LEFT+or+RIGHT+(marked+2)+(1).JPG|https://viking-pictures.s3.us-west-1.amazonaws.com/AA1155/A87.+Wheel%2C+FRONT+LEFT+or+RIGHT+(marked+2)+(2).JPG|https://viking-pictures.s3.us-west-1.amazonaws.com/AA1155/A87.+Wheel%2C+FRONT+LEFT+or+RIGHT+(marked+2)+(3).JPG|https://viking-pictures.s3.us-west-1.amazonaws.com/AA1155/A87.+Wheel%2C+FRONT+LEFT+or+RIGHT+(marked+2)+(4).JPG|https://viking-pictures.s3.us-west-1.amazonaws.com/AA1155/A87.+Wheel%2C+FRONT+LEFT+or+RIGHT+(marked+2)+(6).JPG|https://viking-pictures.s3.us-west-1.amazonaws.com/AA1155/A87.+Wheel%2C+FRONT+LEFT+or+RIGHT+(marked+2)+(8).JPG|https://viking-pictures.s3.us-west-1.amazonaws.com/AA1155/A87.+Wheel%2C+FRONT+LEFT+or+RIGHT+(marked+2)+(9).JPG</v>
      </c>
      <c r="D79" s="358">
        <f>VLOOKUP(B79,'3. Keep &amp; Toss Items'!$O$9:$T$749,6,FALSE)</f>
        <v>9</v>
      </c>
      <c r="E79" s="358" t="str">
        <f t="shared" si="61"/>
        <v>https://viking-pictures.s3.us-west-1.amazonaws.com/AA1155/A87.+Wheel%2C+FRONT+LEFT+or+RIGHT+(marked+2)+(1).JPG</v>
      </c>
      <c r="F79" s="358" t="str">
        <f t="shared" si="64"/>
        <v>https://viking-pictures.s3.us-west-1.amazonaws.com/AA1155/A87.+Wheel%2C+FRONT+LEFT+or+RIGHT+(marked+2)+(2).JPG</v>
      </c>
      <c r="G79" s="358" t="str">
        <f t="shared" si="65"/>
        <v>https://viking-pictures.s3.us-west-1.amazonaws.com/AA1155/A87.+Wheel%2C+FRONT+LEFT+or+RIGHT+(marked+2)+(3).JPG</v>
      </c>
      <c r="H79" s="358" t="str">
        <f t="shared" si="66"/>
        <v>https://viking-pictures.s3.us-west-1.amazonaws.com/AA1155/A87.+Wheel%2C+FRONT+LEFT+or+RIGHT+(marked+2)+(4).JPG</v>
      </c>
      <c r="I79" s="358" t="str">
        <f t="shared" si="67"/>
        <v>https://viking-pictures.s3.us-west-1.amazonaws.com/AA1155/A87.+Wheel%2C+FRONT+LEFT+or+RIGHT+(marked+2)+(6).JPG</v>
      </c>
      <c r="J79" s="358" t="str">
        <f t="shared" si="68"/>
        <v>https://viking-pictures.s3.us-west-1.amazonaws.com/AA1155/A87.+Wheel%2C+FRONT+LEFT+or+RIGHT+(marked+2)+(8).JPG</v>
      </c>
      <c r="K79" s="358" t="str">
        <f t="shared" si="69"/>
        <v>https://viking-pictures.s3.us-west-1.amazonaws.com/AA1155/A87.+Wheel%2C+FRONT+LEFT+or+RIGHT+(marked+2)+(9).JPG</v>
      </c>
      <c r="L79" s="358" t="str">
        <f t="shared" si="70"/>
        <v/>
      </c>
      <c r="M79" s="358" t="str">
        <f t="shared" si="71"/>
        <v/>
      </c>
      <c r="N79" s="358" t="str">
        <f t="shared" si="72"/>
        <v/>
      </c>
      <c r="O79" s="358" t="str">
        <f t="shared" si="73"/>
        <v/>
      </c>
      <c r="P79" s="358" t="str">
        <f t="shared" si="74"/>
        <v/>
      </c>
      <c r="Q79" s="358" t="str">
        <f t="shared" si="75"/>
        <v/>
      </c>
      <c r="R79" s="358" t="str">
        <f t="shared" si="76"/>
        <v/>
      </c>
      <c r="S79" s="358" t="str">
        <f t="shared" si="77"/>
        <v/>
      </c>
      <c r="T79" s="358" t="str">
        <f t="shared" si="78"/>
        <v/>
      </c>
      <c r="U79" s="358" t="str">
        <f t="shared" si="79"/>
        <v/>
      </c>
      <c r="V79" s="358" t="str">
        <f t="shared" si="80"/>
        <v/>
      </c>
      <c r="W79" s="358" t="str">
        <f t="shared" si="81"/>
        <v/>
      </c>
      <c r="X79" s="358" t="str">
        <f t="shared" si="82"/>
        <v/>
      </c>
      <c r="Y79" s="358" t="str">
        <f t="shared" si="83"/>
        <v/>
      </c>
      <c r="Z79" s="358" t="str">
        <f t="shared" si="84"/>
        <v/>
      </c>
      <c r="AA79" s="111" t="s">
        <v>1998</v>
      </c>
      <c r="AB79" s="358" t="str">
        <f t="shared" si="85"/>
        <v>A87.+Wheel%2C+FRONT+LEFT+or+RIGHT+(marked+2)</v>
      </c>
      <c r="AC79" s="358" t="str">
        <f>VLOOKUP(B79,'3. Keep &amp; Toss Items'!$O$9:$R$749,4,FALSE)</f>
        <v>A87. Wheel, FRONT LEFT or RIGHT (marked 2)</v>
      </c>
      <c r="AD79" s="358" t="str">
        <f t="shared" si="86"/>
        <v>A87. Wheel, FRONT LEFT or RIGHT (marked 2)</v>
      </c>
      <c r="AE79" s="358" t="str">
        <f t="shared" si="87"/>
        <v>A87.+Wheel,+FRONT+LEFT+or+RIGHT+(marked+2)</v>
      </c>
      <c r="AF79" s="358" t="str">
        <f t="shared" si="88"/>
        <v>A87.+Wheel%2C+FRONT+LEFT+or+RIGHT+(marked+2)</v>
      </c>
      <c r="AG79" s="358" t="str">
        <f t="shared" si="89"/>
        <v>A87.+Wheel%2C+FRONT+LEFT+or+RIGHT+(marked+2)</v>
      </c>
      <c r="AH79" s="358" t="str">
        <f t="shared" si="90"/>
        <v>A87.+Wheel%2C+FRONT+LEFT+or+RIGHT+(marked+2)</v>
      </c>
      <c r="AI79" s="358" t="str">
        <f t="shared" si="91"/>
        <v>A87.+Wheel%2C+FRONT+LEFT+or+RIGHT+(marked+2)</v>
      </c>
      <c r="AJ79" s="358" t="str">
        <f t="shared" si="92"/>
        <v>A87.+Wheel%2C+FRONT+LEFT+or+RIGHT+(marked+2)</v>
      </c>
      <c r="AK79" s="358" t="str">
        <f t="shared" si="93"/>
        <v>A87.+Wheel%2C+FRONT+LEFT+or+RIGHT+(marked+2)</v>
      </c>
      <c r="AL79" s="358" t="str">
        <f t="shared" si="62"/>
        <v>A87.+Wheel%2C+FRONT+LEFT+or+RIGHT+(marked+2)</v>
      </c>
      <c r="AM79" s="358" t="str">
        <f t="shared" si="94"/>
        <v>A87.+Wheel%2C+FRONT+LEFT+or+RIGHT+(marked+2)</v>
      </c>
      <c r="AN79" s="358" t="str">
        <f t="shared" si="95"/>
        <v>A87.+Wheel%2C+FRONT+LEFT+or+RIGHT+(marked+2)</v>
      </c>
      <c r="AO79" s="359" t="s">
        <v>1999</v>
      </c>
      <c r="AP79" s="359" t="s">
        <v>2000</v>
      </c>
      <c r="AQ79" s="359" t="s">
        <v>2001</v>
      </c>
      <c r="AR79" s="359" t="s">
        <v>2002</v>
      </c>
      <c r="AS79" s="359" t="s">
        <v>2003</v>
      </c>
      <c r="AT79" s="359" t="s">
        <v>2004</v>
      </c>
      <c r="AU79" s="359" t="s">
        <v>2005</v>
      </c>
      <c r="AV79" s="359" t="s">
        <v>2006</v>
      </c>
      <c r="AW79" s="359" t="s">
        <v>2007</v>
      </c>
      <c r="AX79" s="359" t="s">
        <v>2008</v>
      </c>
      <c r="AY79" s="359" t="s">
        <v>2009</v>
      </c>
      <c r="AZ79" s="359" t="s">
        <v>2010</v>
      </c>
      <c r="BA79" s="359" t="s">
        <v>2011</v>
      </c>
      <c r="BB79" s="359" t="s">
        <v>2012</v>
      </c>
      <c r="BC79" s="359" t="s">
        <v>2013</v>
      </c>
      <c r="BD79" s="359" t="s">
        <v>2014</v>
      </c>
      <c r="BE79" s="359" t="s">
        <v>2015</v>
      </c>
      <c r="BF79" s="359" t="s">
        <v>2016</v>
      </c>
      <c r="BG79" s="359" t="s">
        <v>2017</v>
      </c>
      <c r="BH79" s="359" t="s">
        <v>2018</v>
      </c>
      <c r="BI79" s="359" t="s">
        <v>2019</v>
      </c>
      <c r="BJ79" s="359" t="s">
        <v>2020</v>
      </c>
      <c r="BK79" s="359" t="s">
        <v>2021</v>
      </c>
      <c r="BL79" s="359" t="s">
        <v>2022</v>
      </c>
      <c r="BM79" s="359" t="s">
        <v>2023</v>
      </c>
      <c r="BN79" s="359" t="s">
        <v>2024</v>
      </c>
      <c r="BO79" s="147" t="str">
        <f t="shared" si="63"/>
        <v>Pic Example</v>
      </c>
    </row>
    <row r="80" spans="2:67" x14ac:dyDescent="0.25">
      <c r="B80" t="s">
        <v>332</v>
      </c>
      <c r="C80" s="358" t="str">
        <f t="shared" si="96"/>
        <v>https://viking-pictures.s3.us-west-1.amazonaws.com/AA1155/A88.+Wheel%2C+FRONT+LEFT+or+RIGHT+(marked+3)+(1).JPG|https://viking-pictures.s3.us-west-1.amazonaws.com/AA1155/A88.+Wheel%2C+FRONT+LEFT+or+RIGHT+(marked+3)+(2).JPG|https://viking-pictures.s3.us-west-1.amazonaws.com/AA1155/A88.+Wheel%2C+FRONT+LEFT+or+RIGHT+(marked+3)+(3).JPG|https://viking-pictures.s3.us-west-1.amazonaws.com/AA1155/A88.+Wheel%2C+FRONT+LEFT+or+RIGHT+(marked+3)+(4).JPG|https://viking-pictures.s3.us-west-1.amazonaws.com/AA1155/A88.+Wheel%2C+FRONT+LEFT+or+RIGHT+(marked+3)+(6).JPG|https://viking-pictures.s3.us-west-1.amazonaws.com/AA1155/A88.+Wheel%2C+FRONT+LEFT+or+RIGHT+(marked+3)+(8).JPG|https://viking-pictures.s3.us-west-1.amazonaws.com/AA1155/A88.+Wheel%2C+FRONT+LEFT+or+RIGHT+(marked+3)+(9).JPG</v>
      </c>
      <c r="D80" s="358">
        <f>VLOOKUP(B80,'3. Keep &amp; Toss Items'!$O$9:$T$749,6,FALSE)</f>
        <v>9</v>
      </c>
      <c r="E80" s="358" t="str">
        <f t="shared" si="61"/>
        <v>https://viking-pictures.s3.us-west-1.amazonaws.com/AA1155/A88.+Wheel%2C+FRONT+LEFT+or+RIGHT+(marked+3)+(1).JPG</v>
      </c>
      <c r="F80" s="358" t="str">
        <f t="shared" si="64"/>
        <v>https://viking-pictures.s3.us-west-1.amazonaws.com/AA1155/A88.+Wheel%2C+FRONT+LEFT+or+RIGHT+(marked+3)+(2).JPG</v>
      </c>
      <c r="G80" s="358" t="str">
        <f t="shared" si="65"/>
        <v>https://viking-pictures.s3.us-west-1.amazonaws.com/AA1155/A88.+Wheel%2C+FRONT+LEFT+or+RIGHT+(marked+3)+(3).JPG</v>
      </c>
      <c r="H80" s="358" t="str">
        <f t="shared" si="66"/>
        <v>https://viking-pictures.s3.us-west-1.amazonaws.com/AA1155/A88.+Wheel%2C+FRONT+LEFT+or+RIGHT+(marked+3)+(4).JPG</v>
      </c>
      <c r="I80" s="358" t="str">
        <f t="shared" si="67"/>
        <v>https://viking-pictures.s3.us-west-1.amazonaws.com/AA1155/A88.+Wheel%2C+FRONT+LEFT+or+RIGHT+(marked+3)+(6).JPG</v>
      </c>
      <c r="J80" s="358" t="str">
        <f t="shared" si="68"/>
        <v>https://viking-pictures.s3.us-west-1.amazonaws.com/AA1155/A88.+Wheel%2C+FRONT+LEFT+or+RIGHT+(marked+3)+(8).JPG</v>
      </c>
      <c r="K80" s="358" t="str">
        <f t="shared" si="69"/>
        <v>https://viking-pictures.s3.us-west-1.amazonaws.com/AA1155/A88.+Wheel%2C+FRONT+LEFT+or+RIGHT+(marked+3)+(9).JPG</v>
      </c>
      <c r="L80" s="358" t="str">
        <f t="shared" si="70"/>
        <v/>
      </c>
      <c r="M80" s="358" t="str">
        <f t="shared" si="71"/>
        <v/>
      </c>
      <c r="N80" s="358" t="str">
        <f t="shared" si="72"/>
        <v/>
      </c>
      <c r="O80" s="358" t="str">
        <f t="shared" si="73"/>
        <v/>
      </c>
      <c r="P80" s="358" t="str">
        <f t="shared" si="74"/>
        <v/>
      </c>
      <c r="Q80" s="358" t="str">
        <f t="shared" si="75"/>
        <v/>
      </c>
      <c r="R80" s="358" t="str">
        <f t="shared" si="76"/>
        <v/>
      </c>
      <c r="S80" s="358" t="str">
        <f t="shared" si="77"/>
        <v/>
      </c>
      <c r="T80" s="358" t="str">
        <f t="shared" si="78"/>
        <v/>
      </c>
      <c r="U80" s="358" t="str">
        <f t="shared" si="79"/>
        <v/>
      </c>
      <c r="V80" s="358" t="str">
        <f t="shared" si="80"/>
        <v/>
      </c>
      <c r="W80" s="358" t="str">
        <f t="shared" si="81"/>
        <v/>
      </c>
      <c r="X80" s="358" t="str">
        <f t="shared" si="82"/>
        <v/>
      </c>
      <c r="Y80" s="358" t="str">
        <f t="shared" si="83"/>
        <v/>
      </c>
      <c r="Z80" s="358" t="str">
        <f t="shared" si="84"/>
        <v/>
      </c>
      <c r="AA80" s="111" t="s">
        <v>1998</v>
      </c>
      <c r="AB80" s="358" t="str">
        <f t="shared" si="85"/>
        <v>A88.+Wheel%2C+FRONT+LEFT+or+RIGHT+(marked+3)</v>
      </c>
      <c r="AC80" s="358" t="str">
        <f>VLOOKUP(B80,'3. Keep &amp; Toss Items'!$O$9:$R$749,4,FALSE)</f>
        <v>A88. Wheel, FRONT LEFT or RIGHT (marked 3)</v>
      </c>
      <c r="AD80" s="358" t="str">
        <f t="shared" si="86"/>
        <v>A88. Wheel, FRONT LEFT or RIGHT (marked 3)</v>
      </c>
      <c r="AE80" s="358" t="str">
        <f t="shared" si="87"/>
        <v>A88.+Wheel,+FRONT+LEFT+or+RIGHT+(marked+3)</v>
      </c>
      <c r="AF80" s="358" t="str">
        <f t="shared" si="88"/>
        <v>A88.+Wheel%2C+FRONT+LEFT+or+RIGHT+(marked+3)</v>
      </c>
      <c r="AG80" s="358" t="str">
        <f t="shared" si="89"/>
        <v>A88.+Wheel%2C+FRONT+LEFT+or+RIGHT+(marked+3)</v>
      </c>
      <c r="AH80" s="358" t="str">
        <f t="shared" si="90"/>
        <v>A88.+Wheel%2C+FRONT+LEFT+or+RIGHT+(marked+3)</v>
      </c>
      <c r="AI80" s="358" t="str">
        <f t="shared" si="91"/>
        <v>A88.+Wheel%2C+FRONT+LEFT+or+RIGHT+(marked+3)</v>
      </c>
      <c r="AJ80" s="358" t="str">
        <f t="shared" si="92"/>
        <v>A88.+Wheel%2C+FRONT+LEFT+or+RIGHT+(marked+3)</v>
      </c>
      <c r="AK80" s="358" t="str">
        <f t="shared" si="93"/>
        <v>A88.+Wheel%2C+FRONT+LEFT+or+RIGHT+(marked+3)</v>
      </c>
      <c r="AL80" s="358" t="str">
        <f t="shared" si="62"/>
        <v>A88.+Wheel%2C+FRONT+LEFT+or+RIGHT+(marked+3)</v>
      </c>
      <c r="AM80" s="358" t="str">
        <f t="shared" si="94"/>
        <v>A88.+Wheel%2C+FRONT+LEFT+or+RIGHT+(marked+3)</v>
      </c>
      <c r="AN80" s="358" t="str">
        <f t="shared" si="95"/>
        <v>A88.+Wheel%2C+FRONT+LEFT+or+RIGHT+(marked+3)</v>
      </c>
      <c r="AO80" s="359" t="s">
        <v>1999</v>
      </c>
      <c r="AP80" s="359" t="s">
        <v>2000</v>
      </c>
      <c r="AQ80" s="359" t="s">
        <v>2001</v>
      </c>
      <c r="AR80" s="359" t="s">
        <v>2002</v>
      </c>
      <c r="AS80" s="359" t="s">
        <v>2003</v>
      </c>
      <c r="AT80" s="359" t="s">
        <v>2004</v>
      </c>
      <c r="AU80" s="359" t="s">
        <v>2005</v>
      </c>
      <c r="AV80" s="359" t="s">
        <v>2006</v>
      </c>
      <c r="AW80" s="359" t="s">
        <v>2007</v>
      </c>
      <c r="AX80" s="359" t="s">
        <v>2008</v>
      </c>
      <c r="AY80" s="359" t="s">
        <v>2009</v>
      </c>
      <c r="AZ80" s="359" t="s">
        <v>2010</v>
      </c>
      <c r="BA80" s="359" t="s">
        <v>2011</v>
      </c>
      <c r="BB80" s="359" t="s">
        <v>2012</v>
      </c>
      <c r="BC80" s="359" t="s">
        <v>2013</v>
      </c>
      <c r="BD80" s="359" t="s">
        <v>2014</v>
      </c>
      <c r="BE80" s="359" t="s">
        <v>2015</v>
      </c>
      <c r="BF80" s="359" t="s">
        <v>2016</v>
      </c>
      <c r="BG80" s="359" t="s">
        <v>2017</v>
      </c>
      <c r="BH80" s="359" t="s">
        <v>2018</v>
      </c>
      <c r="BI80" s="359" t="s">
        <v>2019</v>
      </c>
      <c r="BJ80" s="359" t="s">
        <v>2020</v>
      </c>
      <c r="BK80" s="359" t="s">
        <v>2021</v>
      </c>
      <c r="BL80" s="359" t="s">
        <v>2022</v>
      </c>
      <c r="BM80" s="359" t="s">
        <v>2023</v>
      </c>
      <c r="BN80" s="359" t="s">
        <v>2024</v>
      </c>
      <c r="BO80" s="147" t="str">
        <f t="shared" si="63"/>
        <v>Pic Example</v>
      </c>
    </row>
    <row r="81" spans="2:67" x14ac:dyDescent="0.25">
      <c r="B81" t="s">
        <v>333</v>
      </c>
      <c r="C81" s="358" t="str">
        <f t="shared" si="96"/>
        <v>https://viking-pictures.s3.us-west-1.amazonaws.com/AA1155/A89.+Wheel%2C+REAR+LEFT+or+RIGHT+(marked+1)+(1).JPG|https://viking-pictures.s3.us-west-1.amazonaws.com/AA1155/A89.+Wheel%2C+REAR+LEFT+or+RIGHT+(marked+1)+(2).JPG|https://viking-pictures.s3.us-west-1.amazonaws.com/AA1155/A89.+Wheel%2C+REAR+LEFT+or+RIGHT+(marked+1)+(3).JPG|https://viking-pictures.s3.us-west-1.amazonaws.com/AA1155/A89.+Wheel%2C+REAR+LEFT+or+RIGHT+(marked+1)+(4).JPG|https://viking-pictures.s3.us-west-1.amazonaws.com/AA1155/A89.+Wheel%2C+REAR+LEFT+or+RIGHT+(marked+1)+(6).JPG|https://viking-pictures.s3.us-west-1.amazonaws.com/AA1155/A89.+Wheel%2C+REAR+LEFT+or+RIGHT+(marked+1)+(8).JPG|https://viking-pictures.s3.us-west-1.amazonaws.com/AA1155/A89.+Wheel%2C+REAR+LEFT+or+RIGHT+(marked+1)+(9).JPG</v>
      </c>
      <c r="D81" s="358">
        <f>VLOOKUP(B81,'3. Keep &amp; Toss Items'!$O$9:$T$749,6,FALSE)</f>
        <v>9</v>
      </c>
      <c r="E81" s="358" t="str">
        <f t="shared" si="61"/>
        <v>https://viking-pictures.s3.us-west-1.amazonaws.com/AA1155/A89.+Wheel%2C+REAR+LEFT+or+RIGHT+(marked+1)+(1).JPG</v>
      </c>
      <c r="F81" s="358" t="str">
        <f t="shared" si="64"/>
        <v>https://viking-pictures.s3.us-west-1.amazonaws.com/AA1155/A89.+Wheel%2C+REAR+LEFT+or+RIGHT+(marked+1)+(2).JPG</v>
      </c>
      <c r="G81" s="358" t="str">
        <f t="shared" si="65"/>
        <v>https://viking-pictures.s3.us-west-1.amazonaws.com/AA1155/A89.+Wheel%2C+REAR+LEFT+or+RIGHT+(marked+1)+(3).JPG</v>
      </c>
      <c r="H81" s="358" t="str">
        <f t="shared" si="66"/>
        <v>https://viking-pictures.s3.us-west-1.amazonaws.com/AA1155/A89.+Wheel%2C+REAR+LEFT+or+RIGHT+(marked+1)+(4).JPG</v>
      </c>
      <c r="I81" s="358" t="str">
        <f t="shared" si="67"/>
        <v>https://viking-pictures.s3.us-west-1.amazonaws.com/AA1155/A89.+Wheel%2C+REAR+LEFT+or+RIGHT+(marked+1)+(6).JPG</v>
      </c>
      <c r="J81" s="358" t="str">
        <f t="shared" si="68"/>
        <v>https://viking-pictures.s3.us-west-1.amazonaws.com/AA1155/A89.+Wheel%2C+REAR+LEFT+or+RIGHT+(marked+1)+(8).JPG</v>
      </c>
      <c r="K81" s="358" t="str">
        <f t="shared" si="69"/>
        <v>https://viking-pictures.s3.us-west-1.amazonaws.com/AA1155/A89.+Wheel%2C+REAR+LEFT+or+RIGHT+(marked+1)+(9).JPG</v>
      </c>
      <c r="L81" s="358" t="str">
        <f t="shared" si="70"/>
        <v/>
      </c>
      <c r="M81" s="358" t="str">
        <f t="shared" si="71"/>
        <v/>
      </c>
      <c r="N81" s="358" t="str">
        <f t="shared" si="72"/>
        <v/>
      </c>
      <c r="O81" s="358" t="str">
        <f t="shared" si="73"/>
        <v/>
      </c>
      <c r="P81" s="358" t="str">
        <f t="shared" si="74"/>
        <v/>
      </c>
      <c r="Q81" s="358" t="str">
        <f t="shared" si="75"/>
        <v/>
      </c>
      <c r="R81" s="358" t="str">
        <f t="shared" si="76"/>
        <v/>
      </c>
      <c r="S81" s="358" t="str">
        <f t="shared" si="77"/>
        <v/>
      </c>
      <c r="T81" s="358" t="str">
        <f t="shared" si="78"/>
        <v/>
      </c>
      <c r="U81" s="358" t="str">
        <f t="shared" si="79"/>
        <v/>
      </c>
      <c r="V81" s="358" t="str">
        <f t="shared" si="80"/>
        <v/>
      </c>
      <c r="W81" s="358" t="str">
        <f t="shared" si="81"/>
        <v/>
      </c>
      <c r="X81" s="358" t="str">
        <f t="shared" si="82"/>
        <v/>
      </c>
      <c r="Y81" s="358" t="str">
        <f t="shared" si="83"/>
        <v/>
      </c>
      <c r="Z81" s="358" t="str">
        <f t="shared" si="84"/>
        <v/>
      </c>
      <c r="AA81" s="111" t="s">
        <v>1998</v>
      </c>
      <c r="AB81" s="358" t="str">
        <f t="shared" si="85"/>
        <v>A89.+Wheel%2C+REAR+LEFT+or+RIGHT+(marked+1)</v>
      </c>
      <c r="AC81" s="358" t="str">
        <f>VLOOKUP(B81,'3. Keep &amp; Toss Items'!$O$9:$R$749,4,FALSE)</f>
        <v>A89. Wheel, REAR LEFT or RIGHT (marked 1)</v>
      </c>
      <c r="AD81" s="358" t="str">
        <f t="shared" si="86"/>
        <v>A89. Wheel, REAR LEFT or RIGHT (marked 1)</v>
      </c>
      <c r="AE81" s="358" t="str">
        <f t="shared" si="87"/>
        <v>A89.+Wheel,+REAR+LEFT+or+RIGHT+(marked+1)</v>
      </c>
      <c r="AF81" s="358" t="str">
        <f t="shared" si="88"/>
        <v>A89.+Wheel%2C+REAR+LEFT+or+RIGHT+(marked+1)</v>
      </c>
      <c r="AG81" s="358" t="str">
        <f t="shared" si="89"/>
        <v>A89.+Wheel%2C+REAR+LEFT+or+RIGHT+(marked+1)</v>
      </c>
      <c r="AH81" s="358" t="str">
        <f t="shared" si="90"/>
        <v>A89.+Wheel%2C+REAR+LEFT+or+RIGHT+(marked+1)</v>
      </c>
      <c r="AI81" s="358" t="str">
        <f t="shared" si="91"/>
        <v>A89.+Wheel%2C+REAR+LEFT+or+RIGHT+(marked+1)</v>
      </c>
      <c r="AJ81" s="358" t="str">
        <f t="shared" si="92"/>
        <v>A89.+Wheel%2C+REAR+LEFT+or+RIGHT+(marked+1)</v>
      </c>
      <c r="AK81" s="358" t="str">
        <f t="shared" si="93"/>
        <v>A89.+Wheel%2C+REAR+LEFT+or+RIGHT+(marked+1)</v>
      </c>
      <c r="AL81" s="358" t="str">
        <f t="shared" si="62"/>
        <v>A89.+Wheel%2C+REAR+LEFT+or+RIGHT+(marked+1)</v>
      </c>
      <c r="AM81" s="358" t="str">
        <f t="shared" si="94"/>
        <v>A89.+Wheel%2C+REAR+LEFT+or+RIGHT+(marked+1)</v>
      </c>
      <c r="AN81" s="358" t="str">
        <f t="shared" si="95"/>
        <v>A89.+Wheel%2C+REAR+LEFT+or+RIGHT+(marked+1)</v>
      </c>
      <c r="AO81" s="359" t="s">
        <v>1999</v>
      </c>
      <c r="AP81" s="359" t="s">
        <v>2000</v>
      </c>
      <c r="AQ81" s="359" t="s">
        <v>2001</v>
      </c>
      <c r="AR81" s="359" t="s">
        <v>2002</v>
      </c>
      <c r="AS81" s="359" t="s">
        <v>2003</v>
      </c>
      <c r="AT81" s="359" t="s">
        <v>2004</v>
      </c>
      <c r="AU81" s="359" t="s">
        <v>2005</v>
      </c>
      <c r="AV81" s="359" t="s">
        <v>2006</v>
      </c>
      <c r="AW81" s="359" t="s">
        <v>2007</v>
      </c>
      <c r="AX81" s="359" t="s">
        <v>2008</v>
      </c>
      <c r="AY81" s="359" t="s">
        <v>2009</v>
      </c>
      <c r="AZ81" s="359" t="s">
        <v>2010</v>
      </c>
      <c r="BA81" s="359" t="s">
        <v>2011</v>
      </c>
      <c r="BB81" s="359" t="s">
        <v>2012</v>
      </c>
      <c r="BC81" s="359" t="s">
        <v>2013</v>
      </c>
      <c r="BD81" s="359" t="s">
        <v>2014</v>
      </c>
      <c r="BE81" s="359" t="s">
        <v>2015</v>
      </c>
      <c r="BF81" s="359" t="s">
        <v>2016</v>
      </c>
      <c r="BG81" s="359" t="s">
        <v>2017</v>
      </c>
      <c r="BH81" s="359" t="s">
        <v>2018</v>
      </c>
      <c r="BI81" s="359" t="s">
        <v>2019</v>
      </c>
      <c r="BJ81" s="359" t="s">
        <v>2020</v>
      </c>
      <c r="BK81" s="359" t="s">
        <v>2021</v>
      </c>
      <c r="BL81" s="359" t="s">
        <v>2022</v>
      </c>
      <c r="BM81" s="359" t="s">
        <v>2023</v>
      </c>
      <c r="BN81" s="359" t="s">
        <v>2024</v>
      </c>
      <c r="BO81" s="147" t="str">
        <f t="shared" si="63"/>
        <v>Pic Example</v>
      </c>
    </row>
    <row r="82" spans="2:67" x14ac:dyDescent="0.25">
      <c r="B82" t="s">
        <v>334</v>
      </c>
      <c r="C82" s="358" t="str">
        <f t="shared" si="96"/>
        <v>https://viking-pictures.s3.us-west-1.amazonaws.com/AA1155/A90.+Radiator+Fan+%26+Shroud+Assembly+(1).JPG|https://viking-pictures.s3.us-west-1.amazonaws.com/AA1155/A90.+Radiator+Fan+%26+Shroud+Assembly+(2).JPG|https://viking-pictures.s3.us-west-1.amazonaws.com/AA1155/A90.+Radiator+Fan+%26+Shroud+Assembly+(3).JPG|https://viking-pictures.s3.us-west-1.amazonaws.com/AA1155/A90.+Radiator+Fan+%26+Shroud+Assembly+(4).JPG|https://viking-pictures.s3.us-west-1.amazonaws.com/AA1155/A90.+Radiator+Fan+%26+Shroud+Assembly+(6).JPG|https://viking-pictures.s3.us-west-1.amazonaws.com/AA1155/A90.+Radiator+Fan+%26+Shroud+Assembly+(8).JPG</v>
      </c>
      <c r="D82" s="358">
        <f>VLOOKUP(B82,'3. Keep &amp; Toss Items'!$O$9:$T$749,6,FALSE)</f>
        <v>8</v>
      </c>
      <c r="E82" s="358" t="str">
        <f t="shared" si="61"/>
        <v>https://viking-pictures.s3.us-west-1.amazonaws.com/AA1155/A90.+Radiator+Fan+%26+Shroud+Assembly+(1).JPG</v>
      </c>
      <c r="F82" s="358" t="str">
        <f t="shared" si="64"/>
        <v>https://viking-pictures.s3.us-west-1.amazonaws.com/AA1155/A90.+Radiator+Fan+%26+Shroud+Assembly+(2).JPG</v>
      </c>
      <c r="G82" s="358" t="str">
        <f t="shared" si="65"/>
        <v>https://viking-pictures.s3.us-west-1.amazonaws.com/AA1155/A90.+Radiator+Fan+%26+Shroud+Assembly+(3).JPG</v>
      </c>
      <c r="H82" s="358" t="str">
        <f t="shared" si="66"/>
        <v>https://viking-pictures.s3.us-west-1.amazonaws.com/AA1155/A90.+Radiator+Fan+%26+Shroud+Assembly+(4).JPG</v>
      </c>
      <c r="I82" s="358" t="str">
        <f t="shared" si="67"/>
        <v>https://viking-pictures.s3.us-west-1.amazonaws.com/AA1155/A90.+Radiator+Fan+%26+Shroud+Assembly+(6).JPG</v>
      </c>
      <c r="J82" s="358" t="str">
        <f t="shared" si="68"/>
        <v>https://viking-pictures.s3.us-west-1.amazonaws.com/AA1155/A90.+Radiator+Fan+%26+Shroud+Assembly+(8).JPG</v>
      </c>
      <c r="K82" s="358" t="str">
        <f t="shared" si="69"/>
        <v/>
      </c>
      <c r="L82" s="358" t="str">
        <f t="shared" si="70"/>
        <v/>
      </c>
      <c r="M82" s="358" t="str">
        <f t="shared" si="71"/>
        <v/>
      </c>
      <c r="N82" s="358" t="str">
        <f t="shared" si="72"/>
        <v/>
      </c>
      <c r="O82" s="358" t="str">
        <f t="shared" si="73"/>
        <v/>
      </c>
      <c r="P82" s="358" t="str">
        <f t="shared" si="74"/>
        <v/>
      </c>
      <c r="Q82" s="358" t="str">
        <f t="shared" si="75"/>
        <v/>
      </c>
      <c r="R82" s="358" t="str">
        <f t="shared" si="76"/>
        <v/>
      </c>
      <c r="S82" s="358" t="str">
        <f t="shared" si="77"/>
        <v/>
      </c>
      <c r="T82" s="358" t="str">
        <f t="shared" si="78"/>
        <v/>
      </c>
      <c r="U82" s="358" t="str">
        <f t="shared" si="79"/>
        <v/>
      </c>
      <c r="V82" s="358" t="str">
        <f t="shared" si="80"/>
        <v/>
      </c>
      <c r="W82" s="358" t="str">
        <f t="shared" si="81"/>
        <v/>
      </c>
      <c r="X82" s="358" t="str">
        <f t="shared" si="82"/>
        <v/>
      </c>
      <c r="Y82" s="358" t="str">
        <f t="shared" si="83"/>
        <v/>
      </c>
      <c r="Z82" s="358" t="str">
        <f t="shared" si="84"/>
        <v/>
      </c>
      <c r="AA82" s="111" t="s">
        <v>1998</v>
      </c>
      <c r="AB82" s="358" t="str">
        <f t="shared" si="85"/>
        <v>A90.+Radiator+Fan+%26+Shroud+Assembly</v>
      </c>
      <c r="AC82" s="358" t="str">
        <f>VLOOKUP(B82,'3. Keep &amp; Toss Items'!$O$9:$R$749,4,FALSE)</f>
        <v>A90. Radiator Fan &amp; Shroud Assembly</v>
      </c>
      <c r="AD82" s="358" t="str">
        <f t="shared" si="86"/>
        <v>A90. Radiator Fan &amp; Shroud Assembly</v>
      </c>
      <c r="AE82" s="358" t="str">
        <f t="shared" si="87"/>
        <v>A90.+Radiator+Fan+&amp;+Shroud+Assembly</v>
      </c>
      <c r="AF82" s="358" t="str">
        <f t="shared" si="88"/>
        <v>A90.+Radiator+Fan+&amp;+Shroud+Assembly</v>
      </c>
      <c r="AG82" s="358" t="str">
        <f t="shared" si="89"/>
        <v>A90.+Radiator+Fan+&amp;+Shroud+Assembly</v>
      </c>
      <c r="AH82" s="358" t="str">
        <f t="shared" si="90"/>
        <v>A90.+Radiator+Fan+&amp;+Shroud+Assembly</v>
      </c>
      <c r="AI82" s="358" t="str">
        <f t="shared" si="91"/>
        <v>A90.+Radiator+Fan+&amp;+Shroud+Assembly</v>
      </c>
      <c r="AJ82" s="358" t="str">
        <f t="shared" si="92"/>
        <v>A90.+Radiator+Fan+%26+Shroud+Assembly</v>
      </c>
      <c r="AK82" s="358" t="str">
        <f t="shared" si="93"/>
        <v>A90.+Radiator+Fan+%26+Shroud+Assembly</v>
      </c>
      <c r="AL82" s="358" t="str">
        <f t="shared" si="62"/>
        <v>A90.+Radiator+Fan+%26+Shroud+Assembly</v>
      </c>
      <c r="AM82" s="358" t="str">
        <f t="shared" si="94"/>
        <v>A90.+Radiator+Fan+%26+Shroud+Assembly</v>
      </c>
      <c r="AN82" s="358" t="str">
        <f t="shared" si="95"/>
        <v>A90.+Radiator+Fan+%26+Shroud+Assembly</v>
      </c>
      <c r="AO82" s="359" t="s">
        <v>1999</v>
      </c>
      <c r="AP82" s="359" t="s">
        <v>2000</v>
      </c>
      <c r="AQ82" s="359" t="s">
        <v>2001</v>
      </c>
      <c r="AR82" s="359" t="s">
        <v>2002</v>
      </c>
      <c r="AS82" s="359" t="s">
        <v>2003</v>
      </c>
      <c r="AT82" s="359" t="s">
        <v>2004</v>
      </c>
      <c r="AU82" s="359" t="s">
        <v>2005</v>
      </c>
      <c r="AV82" s="359" t="s">
        <v>2006</v>
      </c>
      <c r="AW82" s="359" t="s">
        <v>2007</v>
      </c>
      <c r="AX82" s="359" t="s">
        <v>2008</v>
      </c>
      <c r="AY82" s="359" t="s">
        <v>2009</v>
      </c>
      <c r="AZ82" s="359" t="s">
        <v>2010</v>
      </c>
      <c r="BA82" s="359" t="s">
        <v>2011</v>
      </c>
      <c r="BB82" s="359" t="s">
        <v>2012</v>
      </c>
      <c r="BC82" s="359" t="s">
        <v>2013</v>
      </c>
      <c r="BD82" s="359" t="s">
        <v>2014</v>
      </c>
      <c r="BE82" s="359" t="s">
        <v>2015</v>
      </c>
      <c r="BF82" s="359" t="s">
        <v>2016</v>
      </c>
      <c r="BG82" s="359" t="s">
        <v>2017</v>
      </c>
      <c r="BH82" s="359" t="s">
        <v>2018</v>
      </c>
      <c r="BI82" s="359" t="s">
        <v>2019</v>
      </c>
      <c r="BJ82" s="359" t="s">
        <v>2020</v>
      </c>
      <c r="BK82" s="359" t="s">
        <v>2021</v>
      </c>
      <c r="BL82" s="359" t="s">
        <v>2022</v>
      </c>
      <c r="BM82" s="359" t="s">
        <v>2023</v>
      </c>
      <c r="BN82" s="359" t="s">
        <v>2024</v>
      </c>
      <c r="BO82" s="147" t="str">
        <f t="shared" si="63"/>
        <v>Pic Example</v>
      </c>
    </row>
    <row r="83" spans="2:67" x14ac:dyDescent="0.25">
      <c r="B83" t="s">
        <v>335</v>
      </c>
      <c r="C83" s="358" t="str">
        <f t="shared" si="96"/>
        <v>https://viking-pictures.s3.us-west-1.amazonaws.com/AA1155/A91.+Spoiler+with+3rd+Brake+Light+IN+(1).JPG|https://viking-pictures.s3.us-west-1.amazonaws.com/AA1155/A91.+Spoiler+with+3rd+Brake+Light+IN+(2).JPG|https://viking-pictures.s3.us-west-1.amazonaws.com/AA1155/A91.+Spoiler+with+3rd+Brake+Light+IN+(3).JPG|https://viking-pictures.s3.us-west-1.amazonaws.com/AA1155/A91.+Spoiler+with+3rd+Brake+Light+IN+(4).JPG|https://viking-pictures.s3.us-west-1.amazonaws.com/AA1155/A91.+Spoiler+with+3rd+Brake+Light+IN+(6).JPG</v>
      </c>
      <c r="D83" s="358">
        <f>VLOOKUP(B83,'3. Keep &amp; Toss Items'!$O$9:$T$749,6,FALSE)</f>
        <v>7</v>
      </c>
      <c r="E83" s="358" t="str">
        <f t="shared" si="61"/>
        <v>https://viking-pictures.s3.us-west-1.amazonaws.com/AA1155/A91.+Spoiler+with+3rd+Brake+Light+IN+(1).JPG</v>
      </c>
      <c r="F83" s="358" t="str">
        <f t="shared" si="64"/>
        <v>https://viking-pictures.s3.us-west-1.amazonaws.com/AA1155/A91.+Spoiler+with+3rd+Brake+Light+IN+(2).JPG</v>
      </c>
      <c r="G83" s="358" t="str">
        <f t="shared" si="65"/>
        <v>https://viking-pictures.s3.us-west-1.amazonaws.com/AA1155/A91.+Spoiler+with+3rd+Brake+Light+IN+(3).JPG</v>
      </c>
      <c r="H83" s="358" t="str">
        <f t="shared" si="66"/>
        <v>https://viking-pictures.s3.us-west-1.amazonaws.com/AA1155/A91.+Spoiler+with+3rd+Brake+Light+IN+(4).JPG</v>
      </c>
      <c r="I83" s="358" t="str">
        <f t="shared" si="67"/>
        <v>https://viking-pictures.s3.us-west-1.amazonaws.com/AA1155/A91.+Spoiler+with+3rd+Brake+Light+IN+(6).JPG</v>
      </c>
      <c r="J83" s="358" t="str">
        <f t="shared" si="68"/>
        <v/>
      </c>
      <c r="K83" s="358" t="str">
        <f t="shared" si="69"/>
        <v/>
      </c>
      <c r="L83" s="358" t="str">
        <f t="shared" si="70"/>
        <v/>
      </c>
      <c r="M83" s="358" t="str">
        <f t="shared" si="71"/>
        <v/>
      </c>
      <c r="N83" s="358" t="str">
        <f t="shared" si="72"/>
        <v/>
      </c>
      <c r="O83" s="358" t="str">
        <f t="shared" si="73"/>
        <v/>
      </c>
      <c r="P83" s="358" t="str">
        <f t="shared" si="74"/>
        <v/>
      </c>
      <c r="Q83" s="358" t="str">
        <f t="shared" si="75"/>
        <v/>
      </c>
      <c r="R83" s="358" t="str">
        <f t="shared" si="76"/>
        <v/>
      </c>
      <c r="S83" s="358" t="str">
        <f t="shared" si="77"/>
        <v/>
      </c>
      <c r="T83" s="358" t="str">
        <f t="shared" si="78"/>
        <v/>
      </c>
      <c r="U83" s="358" t="str">
        <f t="shared" si="79"/>
        <v/>
      </c>
      <c r="V83" s="358" t="str">
        <f t="shared" si="80"/>
        <v/>
      </c>
      <c r="W83" s="358" t="str">
        <f t="shared" si="81"/>
        <v/>
      </c>
      <c r="X83" s="358" t="str">
        <f t="shared" si="82"/>
        <v/>
      </c>
      <c r="Y83" s="358" t="str">
        <f t="shared" si="83"/>
        <v/>
      </c>
      <c r="Z83" s="358" t="str">
        <f t="shared" si="84"/>
        <v/>
      </c>
      <c r="AA83" s="111" t="s">
        <v>1998</v>
      </c>
      <c r="AB83" s="358" t="str">
        <f t="shared" si="85"/>
        <v>A91.+Spoiler+with+3rd+Brake+Light+IN</v>
      </c>
      <c r="AC83" s="358" t="str">
        <f>VLOOKUP(B83,'3. Keep &amp; Toss Items'!$O$9:$R$749,4,FALSE)</f>
        <v>A91. Spoiler with 3rd Brake Light IN</v>
      </c>
      <c r="AD83" s="358" t="str">
        <f t="shared" si="86"/>
        <v>A91. Spoiler with 3rd Brake Light IN</v>
      </c>
      <c r="AE83" s="358" t="str">
        <f t="shared" si="87"/>
        <v>A91.+Spoiler+with+3rd+Brake+Light+IN</v>
      </c>
      <c r="AF83" s="358" t="str">
        <f t="shared" si="88"/>
        <v>A91.+Spoiler+with+3rd+Brake+Light+IN</v>
      </c>
      <c r="AG83" s="358" t="str">
        <f t="shared" si="89"/>
        <v>A91.+Spoiler+with+3rd+Brake+Light+IN</v>
      </c>
      <c r="AH83" s="358" t="str">
        <f t="shared" si="90"/>
        <v>A91.+Spoiler+with+3rd+Brake+Light+IN</v>
      </c>
      <c r="AI83" s="358" t="str">
        <f t="shared" si="91"/>
        <v>A91.+Spoiler+with+3rd+Brake+Light+IN</v>
      </c>
      <c r="AJ83" s="358" t="str">
        <f t="shared" si="92"/>
        <v>A91.+Spoiler+with+3rd+Brake+Light+IN</v>
      </c>
      <c r="AK83" s="358" t="str">
        <f t="shared" si="93"/>
        <v>A91.+Spoiler+with+3rd+Brake+Light+IN</v>
      </c>
      <c r="AL83" s="358" t="str">
        <f t="shared" si="62"/>
        <v>A91.+Spoiler+with+3rd+Brake+Light+IN</v>
      </c>
      <c r="AM83" s="358" t="str">
        <f t="shared" si="94"/>
        <v>A91.+Spoiler+with+3rd+Brake+Light+IN</v>
      </c>
      <c r="AN83" s="358" t="str">
        <f t="shared" si="95"/>
        <v>A91.+Spoiler+with+3rd+Brake+Light+IN</v>
      </c>
      <c r="AO83" s="359" t="s">
        <v>1999</v>
      </c>
      <c r="AP83" s="359" t="s">
        <v>2000</v>
      </c>
      <c r="AQ83" s="359" t="s">
        <v>2001</v>
      </c>
      <c r="AR83" s="359" t="s">
        <v>2002</v>
      </c>
      <c r="AS83" s="359" t="s">
        <v>2003</v>
      </c>
      <c r="AT83" s="359" t="s">
        <v>2004</v>
      </c>
      <c r="AU83" s="359" t="s">
        <v>2005</v>
      </c>
      <c r="AV83" s="359" t="s">
        <v>2006</v>
      </c>
      <c r="AW83" s="359" t="s">
        <v>2007</v>
      </c>
      <c r="AX83" s="359" t="s">
        <v>2008</v>
      </c>
      <c r="AY83" s="359" t="s">
        <v>2009</v>
      </c>
      <c r="AZ83" s="359" t="s">
        <v>2010</v>
      </c>
      <c r="BA83" s="359" t="s">
        <v>2011</v>
      </c>
      <c r="BB83" s="359" t="s">
        <v>2012</v>
      </c>
      <c r="BC83" s="359" t="s">
        <v>2013</v>
      </c>
      <c r="BD83" s="359" t="s">
        <v>2014</v>
      </c>
      <c r="BE83" s="359" t="s">
        <v>2015</v>
      </c>
      <c r="BF83" s="359" t="s">
        <v>2016</v>
      </c>
      <c r="BG83" s="359" t="s">
        <v>2017</v>
      </c>
      <c r="BH83" s="359" t="s">
        <v>2018</v>
      </c>
      <c r="BI83" s="359" t="s">
        <v>2019</v>
      </c>
      <c r="BJ83" s="359" t="s">
        <v>2020</v>
      </c>
      <c r="BK83" s="359" t="s">
        <v>2021</v>
      </c>
      <c r="BL83" s="359" t="s">
        <v>2022</v>
      </c>
      <c r="BM83" s="359" t="s">
        <v>2023</v>
      </c>
      <c r="BN83" s="359" t="s">
        <v>2024</v>
      </c>
      <c r="BO83" s="147" t="str">
        <f t="shared" si="63"/>
        <v>Pic Example</v>
      </c>
    </row>
    <row r="84" spans="2:67" x14ac:dyDescent="0.25">
      <c r="B84" t="s">
        <v>336</v>
      </c>
      <c r="C84" s="358" t="str">
        <f t="shared" si="96"/>
        <v>https://viking-pictures.s3.us-west-1.amazonaws.com/AA1155/A92.+Torque+Converter+(1).JPG|https://viking-pictures.s3.us-west-1.amazonaws.com/AA1155/A92.+Torque+Converter+(2).JPG|https://viking-pictures.s3.us-west-1.amazonaws.com/AA1155/A92.+Torque+Converter+(3).JPG|https://viking-pictures.s3.us-west-1.amazonaws.com/AA1155/A92.+Torque+Converter+(4).JPG</v>
      </c>
      <c r="D84" s="358">
        <f>VLOOKUP(B84,'3. Keep &amp; Toss Items'!$O$9:$T$749,6,FALSE)</f>
        <v>4</v>
      </c>
      <c r="E84" s="358" t="str">
        <f t="shared" si="61"/>
        <v>https://viking-pictures.s3.us-west-1.amazonaws.com/AA1155/A92.+Torque+Converter+(1).JPG</v>
      </c>
      <c r="F84" s="358" t="str">
        <f t="shared" si="64"/>
        <v>https://viking-pictures.s3.us-west-1.amazonaws.com/AA1155/A92.+Torque+Converter+(2).JPG</v>
      </c>
      <c r="G84" s="358" t="str">
        <f t="shared" si="65"/>
        <v>https://viking-pictures.s3.us-west-1.amazonaws.com/AA1155/A92.+Torque+Converter+(3).JPG</v>
      </c>
      <c r="H84" s="358" t="str">
        <f t="shared" si="66"/>
        <v>https://viking-pictures.s3.us-west-1.amazonaws.com/AA1155/A92.+Torque+Converter+(4).JPG</v>
      </c>
      <c r="I84" s="358" t="str">
        <f t="shared" si="67"/>
        <v/>
      </c>
      <c r="J84" s="358" t="str">
        <f t="shared" si="68"/>
        <v/>
      </c>
      <c r="K84" s="358" t="str">
        <f t="shared" si="69"/>
        <v/>
      </c>
      <c r="L84" s="358" t="str">
        <f t="shared" si="70"/>
        <v/>
      </c>
      <c r="M84" s="358" t="str">
        <f t="shared" si="71"/>
        <v/>
      </c>
      <c r="N84" s="358" t="str">
        <f t="shared" si="72"/>
        <v/>
      </c>
      <c r="O84" s="358" t="str">
        <f t="shared" si="73"/>
        <v/>
      </c>
      <c r="P84" s="358" t="str">
        <f t="shared" si="74"/>
        <v/>
      </c>
      <c r="Q84" s="358" t="str">
        <f t="shared" si="75"/>
        <v/>
      </c>
      <c r="R84" s="358" t="str">
        <f t="shared" si="76"/>
        <v/>
      </c>
      <c r="S84" s="358" t="str">
        <f t="shared" si="77"/>
        <v/>
      </c>
      <c r="T84" s="358" t="str">
        <f t="shared" si="78"/>
        <v/>
      </c>
      <c r="U84" s="358" t="str">
        <f t="shared" si="79"/>
        <v/>
      </c>
      <c r="V84" s="358" t="str">
        <f t="shared" si="80"/>
        <v/>
      </c>
      <c r="W84" s="358" t="str">
        <f t="shared" si="81"/>
        <v/>
      </c>
      <c r="X84" s="358" t="str">
        <f t="shared" si="82"/>
        <v/>
      </c>
      <c r="Y84" s="358" t="str">
        <f t="shared" si="83"/>
        <v/>
      </c>
      <c r="Z84" s="358" t="str">
        <f t="shared" si="84"/>
        <v/>
      </c>
      <c r="AA84" s="111" t="s">
        <v>1998</v>
      </c>
      <c r="AB84" s="358" t="str">
        <f t="shared" si="85"/>
        <v>A92.+Torque+Converter</v>
      </c>
      <c r="AC84" s="358" t="str">
        <f>VLOOKUP(B84,'3. Keep &amp; Toss Items'!$O$9:$R$749,4,FALSE)</f>
        <v>A92. Torque Converter</v>
      </c>
      <c r="AD84" s="358" t="str">
        <f t="shared" si="86"/>
        <v>A92. Torque Converter</v>
      </c>
      <c r="AE84" s="358" t="str">
        <f t="shared" si="87"/>
        <v>A92.+Torque+Converter</v>
      </c>
      <c r="AF84" s="358" t="str">
        <f t="shared" si="88"/>
        <v>A92.+Torque+Converter</v>
      </c>
      <c r="AG84" s="358" t="str">
        <f t="shared" si="89"/>
        <v>A92.+Torque+Converter</v>
      </c>
      <c r="AH84" s="358" t="str">
        <f t="shared" si="90"/>
        <v>A92.+Torque+Converter</v>
      </c>
      <c r="AI84" s="358" t="str">
        <f t="shared" si="91"/>
        <v>A92.+Torque+Converter</v>
      </c>
      <c r="AJ84" s="358" t="str">
        <f t="shared" si="92"/>
        <v>A92.+Torque+Converter</v>
      </c>
      <c r="AK84" s="358" t="str">
        <f t="shared" si="93"/>
        <v>A92.+Torque+Converter</v>
      </c>
      <c r="AL84" s="358" t="str">
        <f t="shared" si="62"/>
        <v>A92.+Torque+Converter</v>
      </c>
      <c r="AM84" s="358" t="str">
        <f t="shared" si="94"/>
        <v>A92.+Torque+Converter</v>
      </c>
      <c r="AN84" s="358" t="str">
        <f t="shared" si="95"/>
        <v>A92.+Torque+Converter</v>
      </c>
      <c r="AO84" s="359" t="s">
        <v>1999</v>
      </c>
      <c r="AP84" s="359" t="s">
        <v>2000</v>
      </c>
      <c r="AQ84" s="359" t="s">
        <v>2001</v>
      </c>
      <c r="AR84" s="359" t="s">
        <v>2002</v>
      </c>
      <c r="AS84" s="359" t="s">
        <v>2003</v>
      </c>
      <c r="AT84" s="359" t="s">
        <v>2004</v>
      </c>
      <c r="AU84" s="359" t="s">
        <v>2005</v>
      </c>
      <c r="AV84" s="359" t="s">
        <v>2006</v>
      </c>
      <c r="AW84" s="359" t="s">
        <v>2007</v>
      </c>
      <c r="AX84" s="359" t="s">
        <v>2008</v>
      </c>
      <c r="AY84" s="359" t="s">
        <v>2009</v>
      </c>
      <c r="AZ84" s="359" t="s">
        <v>2010</v>
      </c>
      <c r="BA84" s="359" t="s">
        <v>2011</v>
      </c>
      <c r="BB84" s="359" t="s">
        <v>2012</v>
      </c>
      <c r="BC84" s="359" t="s">
        <v>2013</v>
      </c>
      <c r="BD84" s="359" t="s">
        <v>2014</v>
      </c>
      <c r="BE84" s="359" t="s">
        <v>2015</v>
      </c>
      <c r="BF84" s="359" t="s">
        <v>2016</v>
      </c>
      <c r="BG84" s="359" t="s">
        <v>2017</v>
      </c>
      <c r="BH84" s="359" t="s">
        <v>2018</v>
      </c>
      <c r="BI84" s="359" t="s">
        <v>2019</v>
      </c>
      <c r="BJ84" s="359" t="s">
        <v>2020</v>
      </c>
      <c r="BK84" s="359" t="s">
        <v>2021</v>
      </c>
      <c r="BL84" s="359" t="s">
        <v>2022</v>
      </c>
      <c r="BM84" s="359" t="s">
        <v>2023</v>
      </c>
      <c r="BN84" s="359" t="s">
        <v>2024</v>
      </c>
      <c r="BO84" s="147" t="str">
        <f t="shared" si="63"/>
        <v>Pic Example</v>
      </c>
    </row>
    <row r="85" spans="2:67" x14ac:dyDescent="0.25">
      <c r="B85" t="s">
        <v>337</v>
      </c>
      <c r="C85" s="358" t="str">
        <f t="shared" si="96"/>
        <v>https://viking-pictures.s3.us-west-1.amazonaws.com/AA1155/A93.+Steering+Gear+Rack+%26+Pinion+(1).JPG|https://viking-pictures.s3.us-west-1.amazonaws.com/AA1155/A93.+Steering+Gear+Rack+%26+Pinion+(2).JPG|https://viking-pictures.s3.us-west-1.amazonaws.com/AA1155/A93.+Steering+Gear+Rack+%26+Pinion+(3).JPG|https://viking-pictures.s3.us-west-1.amazonaws.com/AA1155/A93.+Steering+Gear+Rack+%26+Pinion+(4).JPG|https://viking-pictures.s3.us-west-1.amazonaws.com/AA1155/A93.+Steering+Gear+Rack+%26+Pinion+(6).JPG</v>
      </c>
      <c r="D85" s="358">
        <f>VLOOKUP(B85,'3. Keep &amp; Toss Items'!$O$9:$T$749,6,FALSE)</f>
        <v>7</v>
      </c>
      <c r="E85" s="358" t="str">
        <f t="shared" si="61"/>
        <v>https://viking-pictures.s3.us-west-1.amazonaws.com/AA1155/A93.+Steering+Gear+Rack+%26+Pinion+(1).JPG</v>
      </c>
      <c r="F85" s="358" t="str">
        <f t="shared" si="64"/>
        <v>https://viking-pictures.s3.us-west-1.amazonaws.com/AA1155/A93.+Steering+Gear+Rack+%26+Pinion+(2).JPG</v>
      </c>
      <c r="G85" s="358" t="str">
        <f t="shared" si="65"/>
        <v>https://viking-pictures.s3.us-west-1.amazonaws.com/AA1155/A93.+Steering+Gear+Rack+%26+Pinion+(3).JPG</v>
      </c>
      <c r="H85" s="358" t="str">
        <f t="shared" si="66"/>
        <v>https://viking-pictures.s3.us-west-1.amazonaws.com/AA1155/A93.+Steering+Gear+Rack+%26+Pinion+(4).JPG</v>
      </c>
      <c r="I85" s="358" t="str">
        <f t="shared" si="67"/>
        <v>https://viking-pictures.s3.us-west-1.amazonaws.com/AA1155/A93.+Steering+Gear+Rack+%26+Pinion+(6).JPG</v>
      </c>
      <c r="J85" s="358" t="str">
        <f t="shared" si="68"/>
        <v/>
      </c>
      <c r="K85" s="358" t="str">
        <f t="shared" si="69"/>
        <v/>
      </c>
      <c r="L85" s="358" t="str">
        <f t="shared" si="70"/>
        <v/>
      </c>
      <c r="M85" s="358" t="str">
        <f t="shared" si="71"/>
        <v/>
      </c>
      <c r="N85" s="358" t="str">
        <f t="shared" si="72"/>
        <v/>
      </c>
      <c r="O85" s="358" t="str">
        <f t="shared" si="73"/>
        <v/>
      </c>
      <c r="P85" s="358" t="str">
        <f t="shared" si="74"/>
        <v/>
      </c>
      <c r="Q85" s="358" t="str">
        <f t="shared" si="75"/>
        <v/>
      </c>
      <c r="R85" s="358" t="str">
        <f t="shared" si="76"/>
        <v/>
      </c>
      <c r="S85" s="358" t="str">
        <f t="shared" si="77"/>
        <v/>
      </c>
      <c r="T85" s="358" t="str">
        <f t="shared" si="78"/>
        <v/>
      </c>
      <c r="U85" s="358" t="str">
        <f t="shared" si="79"/>
        <v/>
      </c>
      <c r="V85" s="358" t="str">
        <f t="shared" si="80"/>
        <v/>
      </c>
      <c r="W85" s="358" t="str">
        <f t="shared" si="81"/>
        <v/>
      </c>
      <c r="X85" s="358" t="str">
        <f t="shared" si="82"/>
        <v/>
      </c>
      <c r="Y85" s="358" t="str">
        <f t="shared" si="83"/>
        <v/>
      </c>
      <c r="Z85" s="358" t="str">
        <f t="shared" si="84"/>
        <v/>
      </c>
      <c r="AA85" s="111" t="s">
        <v>1998</v>
      </c>
      <c r="AB85" s="358" t="str">
        <f t="shared" si="85"/>
        <v>A93.+Steering+Gear+Rack+%26+Pinion</v>
      </c>
      <c r="AC85" s="358" t="str">
        <f>VLOOKUP(B85,'3. Keep &amp; Toss Items'!$O$9:$R$749,4,FALSE)</f>
        <v>A93. Steering Gear Rack &amp; Pinion</v>
      </c>
      <c r="AD85" s="358" t="str">
        <f t="shared" si="86"/>
        <v>A93. Steering Gear Rack &amp; Pinion</v>
      </c>
      <c r="AE85" s="358" t="str">
        <f t="shared" si="87"/>
        <v>A93.+Steering+Gear+Rack+&amp;+Pinion</v>
      </c>
      <c r="AF85" s="358" t="str">
        <f t="shared" si="88"/>
        <v>A93.+Steering+Gear+Rack+&amp;+Pinion</v>
      </c>
      <c r="AG85" s="358" t="str">
        <f t="shared" si="89"/>
        <v>A93.+Steering+Gear+Rack+&amp;+Pinion</v>
      </c>
      <c r="AH85" s="358" t="str">
        <f t="shared" si="90"/>
        <v>A93.+Steering+Gear+Rack+&amp;+Pinion</v>
      </c>
      <c r="AI85" s="358" t="str">
        <f t="shared" si="91"/>
        <v>A93.+Steering+Gear+Rack+&amp;+Pinion</v>
      </c>
      <c r="AJ85" s="358" t="str">
        <f t="shared" si="92"/>
        <v>A93.+Steering+Gear+Rack+%26+Pinion</v>
      </c>
      <c r="AK85" s="358" t="str">
        <f t="shared" si="93"/>
        <v>A93.+Steering+Gear+Rack+%26+Pinion</v>
      </c>
      <c r="AL85" s="358" t="str">
        <f t="shared" si="62"/>
        <v>A93.+Steering+Gear+Rack+%26+Pinion</v>
      </c>
      <c r="AM85" s="358" t="str">
        <f t="shared" si="94"/>
        <v>A93.+Steering+Gear+Rack+%26+Pinion</v>
      </c>
      <c r="AN85" s="358" t="str">
        <f t="shared" si="95"/>
        <v>A93.+Steering+Gear+Rack+%26+Pinion</v>
      </c>
      <c r="AO85" s="359" t="s">
        <v>1999</v>
      </c>
      <c r="AP85" s="359" t="s">
        <v>2000</v>
      </c>
      <c r="AQ85" s="359" t="s">
        <v>2001</v>
      </c>
      <c r="AR85" s="359" t="s">
        <v>2002</v>
      </c>
      <c r="AS85" s="359" t="s">
        <v>2003</v>
      </c>
      <c r="AT85" s="359" t="s">
        <v>2004</v>
      </c>
      <c r="AU85" s="359" t="s">
        <v>2005</v>
      </c>
      <c r="AV85" s="359" t="s">
        <v>2006</v>
      </c>
      <c r="AW85" s="359" t="s">
        <v>2007</v>
      </c>
      <c r="AX85" s="359" t="s">
        <v>2008</v>
      </c>
      <c r="AY85" s="359" t="s">
        <v>2009</v>
      </c>
      <c r="AZ85" s="359" t="s">
        <v>2010</v>
      </c>
      <c r="BA85" s="359" t="s">
        <v>2011</v>
      </c>
      <c r="BB85" s="359" t="s">
        <v>2012</v>
      </c>
      <c r="BC85" s="359" t="s">
        <v>2013</v>
      </c>
      <c r="BD85" s="359" t="s">
        <v>2014</v>
      </c>
      <c r="BE85" s="359" t="s">
        <v>2015</v>
      </c>
      <c r="BF85" s="359" t="s">
        <v>2016</v>
      </c>
      <c r="BG85" s="359" t="s">
        <v>2017</v>
      </c>
      <c r="BH85" s="359" t="s">
        <v>2018</v>
      </c>
      <c r="BI85" s="359" t="s">
        <v>2019</v>
      </c>
      <c r="BJ85" s="359" t="s">
        <v>2020</v>
      </c>
      <c r="BK85" s="359" t="s">
        <v>2021</v>
      </c>
      <c r="BL85" s="359" t="s">
        <v>2022</v>
      </c>
      <c r="BM85" s="359" t="s">
        <v>2023</v>
      </c>
      <c r="BN85" s="359" t="s">
        <v>2024</v>
      </c>
      <c r="BO85" s="147" t="str">
        <f t="shared" si="63"/>
        <v>Pic Example</v>
      </c>
    </row>
    <row r="86" spans="2:67" x14ac:dyDescent="0.25">
      <c r="B86" t="s">
        <v>338</v>
      </c>
      <c r="C86" s="358" t="str">
        <f t="shared" si="96"/>
        <v>https://viking-pictures.s3.us-west-1.amazonaws.com/AA1155/A94.+Driveshaft%2C+REAR%2C+RWD+(1).JPG|https://viking-pictures.s3.us-west-1.amazonaws.com/AA1155/A94.+Driveshaft%2C+REAR%2C+RWD+(2).JPG|https://viking-pictures.s3.us-west-1.amazonaws.com/AA1155/A94.+Driveshaft%2C+REAR%2C+RWD+(3).JPG|https://viking-pictures.s3.us-west-1.amazonaws.com/AA1155/A94.+Driveshaft%2C+REAR%2C+RWD+(4).JPG</v>
      </c>
      <c r="D86" s="358">
        <f>VLOOKUP(B86,'3. Keep &amp; Toss Items'!$O$9:$T$749,6,FALSE)</f>
        <v>5</v>
      </c>
      <c r="E86" s="358" t="str">
        <f t="shared" si="61"/>
        <v>https://viking-pictures.s3.us-west-1.amazonaws.com/AA1155/A94.+Driveshaft%2C+REAR%2C+RWD+(1).JPG</v>
      </c>
      <c r="F86" s="358" t="str">
        <f t="shared" si="64"/>
        <v>https://viking-pictures.s3.us-west-1.amazonaws.com/AA1155/A94.+Driveshaft%2C+REAR%2C+RWD+(2).JPG</v>
      </c>
      <c r="G86" s="358" t="str">
        <f t="shared" si="65"/>
        <v>https://viking-pictures.s3.us-west-1.amazonaws.com/AA1155/A94.+Driveshaft%2C+REAR%2C+RWD+(3).JPG</v>
      </c>
      <c r="H86" s="358" t="str">
        <f t="shared" si="66"/>
        <v>https://viking-pictures.s3.us-west-1.amazonaws.com/AA1155/A94.+Driveshaft%2C+REAR%2C+RWD+(4).JPG</v>
      </c>
      <c r="I86" s="358" t="str">
        <f t="shared" si="67"/>
        <v/>
      </c>
      <c r="J86" s="358" t="str">
        <f t="shared" si="68"/>
        <v/>
      </c>
      <c r="K86" s="358" t="str">
        <f t="shared" si="69"/>
        <v/>
      </c>
      <c r="L86" s="358" t="str">
        <f t="shared" si="70"/>
        <v/>
      </c>
      <c r="M86" s="358" t="str">
        <f t="shared" si="71"/>
        <v/>
      </c>
      <c r="N86" s="358" t="str">
        <f t="shared" si="72"/>
        <v/>
      </c>
      <c r="O86" s="358" t="str">
        <f t="shared" si="73"/>
        <v/>
      </c>
      <c r="P86" s="358" t="str">
        <f t="shared" si="74"/>
        <v/>
      </c>
      <c r="Q86" s="358" t="str">
        <f t="shared" si="75"/>
        <v/>
      </c>
      <c r="R86" s="358" t="str">
        <f t="shared" si="76"/>
        <v/>
      </c>
      <c r="S86" s="358" t="str">
        <f t="shared" si="77"/>
        <v/>
      </c>
      <c r="T86" s="358" t="str">
        <f t="shared" si="78"/>
        <v/>
      </c>
      <c r="U86" s="358" t="str">
        <f t="shared" si="79"/>
        <v/>
      </c>
      <c r="V86" s="358" t="str">
        <f t="shared" si="80"/>
        <v/>
      </c>
      <c r="W86" s="358" t="str">
        <f t="shared" si="81"/>
        <v/>
      </c>
      <c r="X86" s="358" t="str">
        <f t="shared" si="82"/>
        <v/>
      </c>
      <c r="Y86" s="358" t="str">
        <f t="shared" si="83"/>
        <v/>
      </c>
      <c r="Z86" s="358" t="str">
        <f t="shared" si="84"/>
        <v/>
      </c>
      <c r="AA86" s="111" t="s">
        <v>1998</v>
      </c>
      <c r="AB86" s="358" t="str">
        <f t="shared" si="85"/>
        <v>A94.+Driveshaft%2C+REAR%2C+RWD</v>
      </c>
      <c r="AC86" s="358" t="str">
        <f>VLOOKUP(B86,'3. Keep &amp; Toss Items'!$O$9:$R$749,4,FALSE)</f>
        <v>A94. Driveshaft, REAR, RWD</v>
      </c>
      <c r="AD86" s="358" t="str">
        <f t="shared" si="86"/>
        <v>A94. Driveshaft, REAR, RWD</v>
      </c>
      <c r="AE86" s="358" t="str">
        <f t="shared" si="87"/>
        <v>A94.+Driveshaft,+REAR,+RWD</v>
      </c>
      <c r="AF86" s="358" t="str">
        <f t="shared" si="88"/>
        <v>A94.+Driveshaft%2C+REAR%2C+RWD</v>
      </c>
      <c r="AG86" s="358" t="str">
        <f t="shared" si="89"/>
        <v>A94.+Driveshaft%2C+REAR%2C+RWD</v>
      </c>
      <c r="AH86" s="358" t="str">
        <f t="shared" si="90"/>
        <v>A94.+Driveshaft%2C+REAR%2C+RWD</v>
      </c>
      <c r="AI86" s="358" t="str">
        <f t="shared" si="91"/>
        <v>A94.+Driveshaft%2C+REAR%2C+RWD</v>
      </c>
      <c r="AJ86" s="358" t="str">
        <f t="shared" si="92"/>
        <v>A94.+Driveshaft%2C+REAR%2C+RWD</v>
      </c>
      <c r="AK86" s="358" t="str">
        <f t="shared" si="93"/>
        <v>A94.+Driveshaft%2C+REAR%2C+RWD</v>
      </c>
      <c r="AL86" s="358" t="str">
        <f t="shared" si="62"/>
        <v>A94.+Driveshaft%2C+REAR%2C+RWD</v>
      </c>
      <c r="AM86" s="358" t="str">
        <f t="shared" si="94"/>
        <v>A94.+Driveshaft%2C+REAR%2C+RWD</v>
      </c>
      <c r="AN86" s="358" t="str">
        <f t="shared" si="95"/>
        <v>A94.+Driveshaft%2C+REAR%2C+RWD</v>
      </c>
      <c r="AO86" s="359" t="s">
        <v>1999</v>
      </c>
      <c r="AP86" s="359" t="s">
        <v>2000</v>
      </c>
      <c r="AQ86" s="359" t="s">
        <v>2001</v>
      </c>
      <c r="AR86" s="359" t="s">
        <v>2002</v>
      </c>
      <c r="AS86" s="359" t="s">
        <v>2003</v>
      </c>
      <c r="AT86" s="359" t="s">
        <v>2004</v>
      </c>
      <c r="AU86" s="359" t="s">
        <v>2005</v>
      </c>
      <c r="AV86" s="359" t="s">
        <v>2006</v>
      </c>
      <c r="AW86" s="359" t="s">
        <v>2007</v>
      </c>
      <c r="AX86" s="359" t="s">
        <v>2008</v>
      </c>
      <c r="AY86" s="359" t="s">
        <v>2009</v>
      </c>
      <c r="AZ86" s="359" t="s">
        <v>2010</v>
      </c>
      <c r="BA86" s="359" t="s">
        <v>2011</v>
      </c>
      <c r="BB86" s="359" t="s">
        <v>2012</v>
      </c>
      <c r="BC86" s="359" t="s">
        <v>2013</v>
      </c>
      <c r="BD86" s="359" t="s">
        <v>2014</v>
      </c>
      <c r="BE86" s="359" t="s">
        <v>2015</v>
      </c>
      <c r="BF86" s="359" t="s">
        <v>2016</v>
      </c>
      <c r="BG86" s="359" t="s">
        <v>2017</v>
      </c>
      <c r="BH86" s="359" t="s">
        <v>2018</v>
      </c>
      <c r="BI86" s="359" t="s">
        <v>2019</v>
      </c>
      <c r="BJ86" s="359" t="s">
        <v>2020</v>
      </c>
      <c r="BK86" s="359" t="s">
        <v>2021</v>
      </c>
      <c r="BL86" s="359" t="s">
        <v>2022</v>
      </c>
      <c r="BM86" s="359" t="s">
        <v>2023</v>
      </c>
      <c r="BN86" s="359" t="s">
        <v>2024</v>
      </c>
      <c r="BO86" s="147" t="str">
        <f t="shared" si="63"/>
        <v>Pic Example</v>
      </c>
    </row>
    <row r="87" spans="2:67" x14ac:dyDescent="0.25">
      <c r="B87" t="s">
        <v>339</v>
      </c>
      <c r="C87" s="358" t="str">
        <f t="shared" si="96"/>
        <v>https://viking-pictures.s3.us-west-1.amazonaws.com/AA1155/A95.+Transmission+Oil+Pump+(1).JPG|https://viking-pictures.s3.us-west-1.amazonaws.com/AA1155/A95.+Transmission+Oil+Pump+(2).JPG|https://viking-pictures.s3.us-west-1.amazonaws.com/AA1155/A95.+Transmission+Oil+Pump+(3).JPG|https://viking-pictures.s3.us-west-1.amazonaws.com/AA1155/A95.+Transmission+Oil+Pump+(4).JPG|https://viking-pictures.s3.us-west-1.amazonaws.com/AA1155/A95.+Transmission+Oil+Pump+(6).JPG</v>
      </c>
      <c r="D87" s="358">
        <f>VLOOKUP(B87,'3. Keep &amp; Toss Items'!$O$9:$T$749,6,FALSE)</f>
        <v>6</v>
      </c>
      <c r="E87" s="358" t="str">
        <f t="shared" si="61"/>
        <v>https://viking-pictures.s3.us-west-1.amazonaws.com/AA1155/A95.+Transmission+Oil+Pump+(1).JPG</v>
      </c>
      <c r="F87" s="358" t="str">
        <f t="shared" si="64"/>
        <v>https://viking-pictures.s3.us-west-1.amazonaws.com/AA1155/A95.+Transmission+Oil+Pump+(2).JPG</v>
      </c>
      <c r="G87" s="358" t="str">
        <f t="shared" si="65"/>
        <v>https://viking-pictures.s3.us-west-1.amazonaws.com/AA1155/A95.+Transmission+Oil+Pump+(3).JPG</v>
      </c>
      <c r="H87" s="358" t="str">
        <f t="shared" si="66"/>
        <v>https://viking-pictures.s3.us-west-1.amazonaws.com/AA1155/A95.+Transmission+Oil+Pump+(4).JPG</v>
      </c>
      <c r="I87" s="358" t="str">
        <f t="shared" si="67"/>
        <v>https://viking-pictures.s3.us-west-1.amazonaws.com/AA1155/A95.+Transmission+Oil+Pump+(6).JPG</v>
      </c>
      <c r="J87" s="358" t="str">
        <f t="shared" si="68"/>
        <v/>
      </c>
      <c r="K87" s="358" t="str">
        <f t="shared" si="69"/>
        <v/>
      </c>
      <c r="L87" s="358" t="str">
        <f t="shared" si="70"/>
        <v/>
      </c>
      <c r="M87" s="358" t="str">
        <f t="shared" si="71"/>
        <v/>
      </c>
      <c r="N87" s="358" t="str">
        <f t="shared" si="72"/>
        <v/>
      </c>
      <c r="O87" s="358" t="str">
        <f t="shared" si="73"/>
        <v/>
      </c>
      <c r="P87" s="358" t="str">
        <f t="shared" si="74"/>
        <v/>
      </c>
      <c r="Q87" s="358" t="str">
        <f t="shared" si="75"/>
        <v/>
      </c>
      <c r="R87" s="358" t="str">
        <f t="shared" si="76"/>
        <v/>
      </c>
      <c r="S87" s="358" t="str">
        <f t="shared" si="77"/>
        <v/>
      </c>
      <c r="T87" s="358" t="str">
        <f t="shared" si="78"/>
        <v/>
      </c>
      <c r="U87" s="358" t="str">
        <f t="shared" si="79"/>
        <v/>
      </c>
      <c r="V87" s="358" t="str">
        <f t="shared" si="80"/>
        <v/>
      </c>
      <c r="W87" s="358" t="str">
        <f t="shared" si="81"/>
        <v/>
      </c>
      <c r="X87" s="358" t="str">
        <f t="shared" si="82"/>
        <v/>
      </c>
      <c r="Y87" s="358" t="str">
        <f t="shared" si="83"/>
        <v/>
      </c>
      <c r="Z87" s="358" t="str">
        <f t="shared" si="84"/>
        <v/>
      </c>
      <c r="AA87" s="111" t="s">
        <v>1998</v>
      </c>
      <c r="AB87" s="358" t="str">
        <f t="shared" si="85"/>
        <v>A95.+Transmission+Oil+Pump</v>
      </c>
      <c r="AC87" s="358" t="str">
        <f>VLOOKUP(B87,'3. Keep &amp; Toss Items'!$O$9:$R$749,4,FALSE)</f>
        <v>A95. Transmission Oil Pump</v>
      </c>
      <c r="AD87" s="358" t="str">
        <f t="shared" si="86"/>
        <v>A95. Transmission Oil Pump</v>
      </c>
      <c r="AE87" s="358" t="str">
        <f t="shared" si="87"/>
        <v>A95.+Transmission+Oil+Pump</v>
      </c>
      <c r="AF87" s="358" t="str">
        <f t="shared" si="88"/>
        <v>A95.+Transmission+Oil+Pump</v>
      </c>
      <c r="AG87" s="358" t="str">
        <f t="shared" si="89"/>
        <v>A95.+Transmission+Oil+Pump</v>
      </c>
      <c r="AH87" s="358" t="str">
        <f t="shared" si="90"/>
        <v>A95.+Transmission+Oil+Pump</v>
      </c>
      <c r="AI87" s="358" t="str">
        <f t="shared" si="91"/>
        <v>A95.+Transmission+Oil+Pump</v>
      </c>
      <c r="AJ87" s="358" t="str">
        <f t="shared" si="92"/>
        <v>A95.+Transmission+Oil+Pump</v>
      </c>
      <c r="AK87" s="358" t="str">
        <f t="shared" si="93"/>
        <v>A95.+Transmission+Oil+Pump</v>
      </c>
      <c r="AL87" s="358" t="str">
        <f t="shared" si="62"/>
        <v>A95.+Transmission+Oil+Pump</v>
      </c>
      <c r="AM87" s="358" t="str">
        <f t="shared" si="94"/>
        <v>A95.+Transmission+Oil+Pump</v>
      </c>
      <c r="AN87" s="358" t="str">
        <f t="shared" si="95"/>
        <v>A95.+Transmission+Oil+Pump</v>
      </c>
      <c r="AO87" s="359" t="s">
        <v>1999</v>
      </c>
      <c r="AP87" s="359" t="s">
        <v>2000</v>
      </c>
      <c r="AQ87" s="359" t="s">
        <v>2001</v>
      </c>
      <c r="AR87" s="359" t="s">
        <v>2002</v>
      </c>
      <c r="AS87" s="359" t="s">
        <v>2003</v>
      </c>
      <c r="AT87" s="359" t="s">
        <v>2004</v>
      </c>
      <c r="AU87" s="359" t="s">
        <v>2005</v>
      </c>
      <c r="AV87" s="359" t="s">
        <v>2006</v>
      </c>
      <c r="AW87" s="359" t="s">
        <v>2007</v>
      </c>
      <c r="AX87" s="359" t="s">
        <v>2008</v>
      </c>
      <c r="AY87" s="359" t="s">
        <v>2009</v>
      </c>
      <c r="AZ87" s="359" t="s">
        <v>2010</v>
      </c>
      <c r="BA87" s="359" t="s">
        <v>2011</v>
      </c>
      <c r="BB87" s="359" t="s">
        <v>2012</v>
      </c>
      <c r="BC87" s="359" t="s">
        <v>2013</v>
      </c>
      <c r="BD87" s="359" t="s">
        <v>2014</v>
      </c>
      <c r="BE87" s="359" t="s">
        <v>2015</v>
      </c>
      <c r="BF87" s="359" t="s">
        <v>2016</v>
      </c>
      <c r="BG87" s="359" t="s">
        <v>2017</v>
      </c>
      <c r="BH87" s="359" t="s">
        <v>2018</v>
      </c>
      <c r="BI87" s="359" t="s">
        <v>2019</v>
      </c>
      <c r="BJ87" s="359" t="s">
        <v>2020</v>
      </c>
      <c r="BK87" s="359" t="s">
        <v>2021</v>
      </c>
      <c r="BL87" s="359" t="s">
        <v>2022</v>
      </c>
      <c r="BM87" s="359" t="s">
        <v>2023</v>
      </c>
      <c r="BN87" s="359" t="s">
        <v>2024</v>
      </c>
      <c r="BO87" s="147" t="str">
        <f t="shared" si="63"/>
        <v>Pic Example</v>
      </c>
    </row>
    <row r="88" spans="2:67" x14ac:dyDescent="0.25">
      <c r="B88" t="s">
        <v>340</v>
      </c>
      <c r="C88" s="358" t="str">
        <f t="shared" si="96"/>
        <v>https://viking-pictures.s3.us-west-1.amazonaws.com/AA1155/A96.+Valve+Body+(1).JPG|https://viking-pictures.s3.us-west-1.amazonaws.com/AA1155/A96.+Valve+Body+(2).JPG|https://viking-pictures.s3.us-west-1.amazonaws.com/AA1155/A96.+Valve+Body+(3).JPG|https://viking-pictures.s3.us-west-1.amazonaws.com/AA1155/A96.+Valve+Body+(4).JPG|https://viking-pictures.s3.us-west-1.amazonaws.com/AA1155/A96.+Valve+Body+(6).JPG</v>
      </c>
      <c r="D88" s="358">
        <f>VLOOKUP(B88,'3. Keep &amp; Toss Items'!$O$9:$T$749,6,FALSE)</f>
        <v>6</v>
      </c>
      <c r="E88" s="358" t="str">
        <f t="shared" si="61"/>
        <v>https://viking-pictures.s3.us-west-1.amazonaws.com/AA1155/A96.+Valve+Body+(1).JPG</v>
      </c>
      <c r="F88" s="358" t="str">
        <f t="shared" si="64"/>
        <v>https://viking-pictures.s3.us-west-1.amazonaws.com/AA1155/A96.+Valve+Body+(2).JPG</v>
      </c>
      <c r="G88" s="358" t="str">
        <f t="shared" si="65"/>
        <v>https://viking-pictures.s3.us-west-1.amazonaws.com/AA1155/A96.+Valve+Body+(3).JPG</v>
      </c>
      <c r="H88" s="358" t="str">
        <f t="shared" si="66"/>
        <v>https://viking-pictures.s3.us-west-1.amazonaws.com/AA1155/A96.+Valve+Body+(4).JPG</v>
      </c>
      <c r="I88" s="358" t="str">
        <f t="shared" si="67"/>
        <v>https://viking-pictures.s3.us-west-1.amazonaws.com/AA1155/A96.+Valve+Body+(6).JPG</v>
      </c>
      <c r="J88" s="358" t="str">
        <f t="shared" si="68"/>
        <v/>
      </c>
      <c r="K88" s="358" t="str">
        <f t="shared" si="69"/>
        <v/>
      </c>
      <c r="L88" s="358" t="str">
        <f t="shared" si="70"/>
        <v/>
      </c>
      <c r="M88" s="358" t="str">
        <f t="shared" si="71"/>
        <v/>
      </c>
      <c r="N88" s="358" t="str">
        <f t="shared" si="72"/>
        <v/>
      </c>
      <c r="O88" s="358" t="str">
        <f t="shared" si="73"/>
        <v/>
      </c>
      <c r="P88" s="358" t="str">
        <f t="shared" si="74"/>
        <v/>
      </c>
      <c r="Q88" s="358" t="str">
        <f t="shared" si="75"/>
        <v/>
      </c>
      <c r="R88" s="358" t="str">
        <f t="shared" si="76"/>
        <v/>
      </c>
      <c r="S88" s="358" t="str">
        <f t="shared" si="77"/>
        <v/>
      </c>
      <c r="T88" s="358" t="str">
        <f t="shared" si="78"/>
        <v/>
      </c>
      <c r="U88" s="358" t="str">
        <f t="shared" si="79"/>
        <v/>
      </c>
      <c r="V88" s="358" t="str">
        <f t="shared" si="80"/>
        <v/>
      </c>
      <c r="W88" s="358" t="str">
        <f t="shared" si="81"/>
        <v/>
      </c>
      <c r="X88" s="358" t="str">
        <f t="shared" si="82"/>
        <v/>
      </c>
      <c r="Y88" s="358" t="str">
        <f t="shared" si="83"/>
        <v/>
      </c>
      <c r="Z88" s="358" t="str">
        <f t="shared" si="84"/>
        <v/>
      </c>
      <c r="AA88" s="111" t="s">
        <v>1998</v>
      </c>
      <c r="AB88" s="358" t="str">
        <f t="shared" si="85"/>
        <v>A96.+Valve+Body</v>
      </c>
      <c r="AC88" s="358" t="str">
        <f>VLOOKUP(B88,'3. Keep &amp; Toss Items'!$O$9:$R$749,4,FALSE)</f>
        <v>A96. Valve Body</v>
      </c>
      <c r="AD88" s="358" t="str">
        <f t="shared" si="86"/>
        <v>A96. Valve Body</v>
      </c>
      <c r="AE88" s="358" t="str">
        <f t="shared" si="87"/>
        <v>A96.+Valve+Body</v>
      </c>
      <c r="AF88" s="358" t="str">
        <f t="shared" si="88"/>
        <v>A96.+Valve+Body</v>
      </c>
      <c r="AG88" s="358" t="str">
        <f t="shared" si="89"/>
        <v>A96.+Valve+Body</v>
      </c>
      <c r="AH88" s="358" t="str">
        <f t="shared" si="90"/>
        <v>A96.+Valve+Body</v>
      </c>
      <c r="AI88" s="358" t="str">
        <f t="shared" si="91"/>
        <v>A96.+Valve+Body</v>
      </c>
      <c r="AJ88" s="358" t="str">
        <f t="shared" si="92"/>
        <v>A96.+Valve+Body</v>
      </c>
      <c r="AK88" s="358" t="str">
        <f t="shared" si="93"/>
        <v>A96.+Valve+Body</v>
      </c>
      <c r="AL88" s="358" t="str">
        <f t="shared" si="62"/>
        <v>A96.+Valve+Body</v>
      </c>
      <c r="AM88" s="358" t="str">
        <f t="shared" si="94"/>
        <v>A96.+Valve+Body</v>
      </c>
      <c r="AN88" s="358" t="str">
        <f t="shared" si="95"/>
        <v>A96.+Valve+Body</v>
      </c>
      <c r="AO88" s="359" t="s">
        <v>1999</v>
      </c>
      <c r="AP88" s="359" t="s">
        <v>2000</v>
      </c>
      <c r="AQ88" s="359" t="s">
        <v>2001</v>
      </c>
      <c r="AR88" s="359" t="s">
        <v>2002</v>
      </c>
      <c r="AS88" s="359" t="s">
        <v>2003</v>
      </c>
      <c r="AT88" s="359" t="s">
        <v>2004</v>
      </c>
      <c r="AU88" s="359" t="s">
        <v>2005</v>
      </c>
      <c r="AV88" s="359" t="s">
        <v>2006</v>
      </c>
      <c r="AW88" s="359" t="s">
        <v>2007</v>
      </c>
      <c r="AX88" s="359" t="s">
        <v>2008</v>
      </c>
      <c r="AY88" s="359" t="s">
        <v>2009</v>
      </c>
      <c r="AZ88" s="359" t="s">
        <v>2010</v>
      </c>
      <c r="BA88" s="359" t="s">
        <v>2011</v>
      </c>
      <c r="BB88" s="359" t="s">
        <v>2012</v>
      </c>
      <c r="BC88" s="359" t="s">
        <v>2013</v>
      </c>
      <c r="BD88" s="359" t="s">
        <v>2014</v>
      </c>
      <c r="BE88" s="359" t="s">
        <v>2015</v>
      </c>
      <c r="BF88" s="359" t="s">
        <v>2016</v>
      </c>
      <c r="BG88" s="359" t="s">
        <v>2017</v>
      </c>
      <c r="BH88" s="359" t="s">
        <v>2018</v>
      </c>
      <c r="BI88" s="359" t="s">
        <v>2019</v>
      </c>
      <c r="BJ88" s="359" t="s">
        <v>2020</v>
      </c>
      <c r="BK88" s="359" t="s">
        <v>2021</v>
      </c>
      <c r="BL88" s="359" t="s">
        <v>2022</v>
      </c>
      <c r="BM88" s="359" t="s">
        <v>2023</v>
      </c>
      <c r="BN88" s="359" t="s">
        <v>2024</v>
      </c>
      <c r="BO88" s="147" t="str">
        <f t="shared" si="63"/>
        <v>Pic Example</v>
      </c>
    </row>
    <row r="89" spans="2:67" x14ac:dyDescent="0.25">
      <c r="B89" t="s">
        <v>341</v>
      </c>
      <c r="C89" s="358" t="str">
        <f t="shared" si="96"/>
        <v>https://viking-pictures.s3.us-west-1.amazonaws.com/AA1155/A97.+Sunroof%2C+Glass+-+PANORAMIC%2C+FRONT+(1).JPG|https://viking-pictures.s3.us-west-1.amazonaws.com/AA1155/A97.+Sunroof%2C+Glass+-+PANORAMIC%2C+FRONT+(2).JPG|https://viking-pictures.s3.us-west-1.amazonaws.com/AA1155/A97.+Sunroof%2C+Glass+-+PANORAMIC%2C+FRONT+(3).JPG|https://viking-pictures.s3.us-west-1.amazonaws.com/AA1155/A97.+Sunroof%2C+Glass+-+PANORAMIC%2C+FRONT+(4).JPG|https://viking-pictures.s3.us-west-1.amazonaws.com/AA1155/A97.+Sunroof%2C+Glass+-+PANORAMIC%2C+FRONT+(6).JPG</v>
      </c>
      <c r="D89" s="358">
        <f>VLOOKUP(B89,'3. Keep &amp; Toss Items'!$O$9:$T$749,6,FALSE)</f>
        <v>6</v>
      </c>
      <c r="E89" s="358" t="str">
        <f t="shared" si="61"/>
        <v>https://viking-pictures.s3.us-west-1.amazonaws.com/AA1155/A97.+Sunroof%2C+Glass+-+PANORAMIC%2C+FRONT+(1).JPG</v>
      </c>
      <c r="F89" s="358" t="str">
        <f t="shared" si="64"/>
        <v>https://viking-pictures.s3.us-west-1.amazonaws.com/AA1155/A97.+Sunroof%2C+Glass+-+PANORAMIC%2C+FRONT+(2).JPG</v>
      </c>
      <c r="G89" s="358" t="str">
        <f t="shared" si="65"/>
        <v>https://viking-pictures.s3.us-west-1.amazonaws.com/AA1155/A97.+Sunroof%2C+Glass+-+PANORAMIC%2C+FRONT+(3).JPG</v>
      </c>
      <c r="H89" s="358" t="str">
        <f t="shared" si="66"/>
        <v>https://viking-pictures.s3.us-west-1.amazonaws.com/AA1155/A97.+Sunroof%2C+Glass+-+PANORAMIC%2C+FRONT+(4).JPG</v>
      </c>
      <c r="I89" s="358" t="str">
        <f t="shared" si="67"/>
        <v>https://viking-pictures.s3.us-west-1.amazonaws.com/AA1155/A97.+Sunroof%2C+Glass+-+PANORAMIC%2C+FRONT+(6).JPG</v>
      </c>
      <c r="J89" s="358" t="str">
        <f t="shared" si="68"/>
        <v/>
      </c>
      <c r="K89" s="358" t="str">
        <f t="shared" si="69"/>
        <v/>
      </c>
      <c r="L89" s="358" t="str">
        <f t="shared" si="70"/>
        <v/>
      </c>
      <c r="M89" s="358" t="str">
        <f t="shared" si="71"/>
        <v/>
      </c>
      <c r="N89" s="358" t="str">
        <f t="shared" si="72"/>
        <v/>
      </c>
      <c r="O89" s="358" t="str">
        <f t="shared" si="73"/>
        <v/>
      </c>
      <c r="P89" s="358" t="str">
        <f t="shared" si="74"/>
        <v/>
      </c>
      <c r="Q89" s="358" t="str">
        <f t="shared" si="75"/>
        <v/>
      </c>
      <c r="R89" s="358" t="str">
        <f t="shared" si="76"/>
        <v/>
      </c>
      <c r="S89" s="358" t="str">
        <f t="shared" si="77"/>
        <v/>
      </c>
      <c r="T89" s="358" t="str">
        <f t="shared" si="78"/>
        <v/>
      </c>
      <c r="U89" s="358" t="str">
        <f t="shared" si="79"/>
        <v/>
      </c>
      <c r="V89" s="358" t="str">
        <f t="shared" si="80"/>
        <v/>
      </c>
      <c r="W89" s="358" t="str">
        <f t="shared" si="81"/>
        <v/>
      </c>
      <c r="X89" s="358" t="str">
        <f t="shared" si="82"/>
        <v/>
      </c>
      <c r="Y89" s="358" t="str">
        <f t="shared" si="83"/>
        <v/>
      </c>
      <c r="Z89" s="358" t="str">
        <f t="shared" si="84"/>
        <v/>
      </c>
      <c r="AA89" s="111" t="s">
        <v>1998</v>
      </c>
      <c r="AB89" s="358" t="str">
        <f t="shared" si="85"/>
        <v>A97.+Sunroof%2C+Glass+-+PANORAMIC%2C+FRONT</v>
      </c>
      <c r="AC89" s="358" t="str">
        <f>VLOOKUP(B89,'3. Keep &amp; Toss Items'!$O$9:$R$749,4,FALSE)</f>
        <v>A97. Sunroof, Glass - PANORAMIC, FRONT</v>
      </c>
      <c r="AD89" s="358" t="str">
        <f t="shared" si="86"/>
        <v>A97. Sunroof, Glass - PANORAMIC, FRONT</v>
      </c>
      <c r="AE89" s="358" t="str">
        <f t="shared" si="87"/>
        <v>A97.+Sunroof,+Glass+-+PANORAMIC,+FRONT</v>
      </c>
      <c r="AF89" s="358" t="str">
        <f t="shared" si="88"/>
        <v>A97.+Sunroof%2C+Glass+-+PANORAMIC%2C+FRONT</v>
      </c>
      <c r="AG89" s="358" t="str">
        <f t="shared" si="89"/>
        <v>A97.+Sunroof%2C+Glass+-+PANORAMIC%2C+FRONT</v>
      </c>
      <c r="AH89" s="358" t="str">
        <f t="shared" si="90"/>
        <v>A97.+Sunroof%2C+Glass+-+PANORAMIC%2C+FRONT</v>
      </c>
      <c r="AI89" s="358" t="str">
        <f t="shared" si="91"/>
        <v>A97.+Sunroof%2C+Glass+-+PANORAMIC%2C+FRONT</v>
      </c>
      <c r="AJ89" s="358" t="str">
        <f t="shared" si="92"/>
        <v>A97.+Sunroof%2C+Glass+-+PANORAMIC%2C+FRONT</v>
      </c>
      <c r="AK89" s="358" t="str">
        <f t="shared" si="93"/>
        <v>A97.+Sunroof%2C+Glass+-+PANORAMIC%2C+FRONT</v>
      </c>
      <c r="AL89" s="358" t="str">
        <f t="shared" si="62"/>
        <v>A97.+Sunroof%2C+Glass+-+PANORAMIC%2C+FRONT</v>
      </c>
      <c r="AM89" s="358" t="str">
        <f t="shared" si="94"/>
        <v>A97.+Sunroof%2C+Glass+-+PANORAMIC%2C+FRONT</v>
      </c>
      <c r="AN89" s="358" t="str">
        <f t="shared" si="95"/>
        <v>A97.+Sunroof%2C+Glass+-+PANORAMIC%2C+FRONT</v>
      </c>
      <c r="AO89" s="359" t="s">
        <v>1999</v>
      </c>
      <c r="AP89" s="359" t="s">
        <v>2000</v>
      </c>
      <c r="AQ89" s="359" t="s">
        <v>2001</v>
      </c>
      <c r="AR89" s="359" t="s">
        <v>2002</v>
      </c>
      <c r="AS89" s="359" t="s">
        <v>2003</v>
      </c>
      <c r="AT89" s="359" t="s">
        <v>2004</v>
      </c>
      <c r="AU89" s="359" t="s">
        <v>2005</v>
      </c>
      <c r="AV89" s="359" t="s">
        <v>2006</v>
      </c>
      <c r="AW89" s="359" t="s">
        <v>2007</v>
      </c>
      <c r="AX89" s="359" t="s">
        <v>2008</v>
      </c>
      <c r="AY89" s="359" t="s">
        <v>2009</v>
      </c>
      <c r="AZ89" s="359" t="s">
        <v>2010</v>
      </c>
      <c r="BA89" s="359" t="s">
        <v>2011</v>
      </c>
      <c r="BB89" s="359" t="s">
        <v>2012</v>
      </c>
      <c r="BC89" s="359" t="s">
        <v>2013</v>
      </c>
      <c r="BD89" s="359" t="s">
        <v>2014</v>
      </c>
      <c r="BE89" s="359" t="s">
        <v>2015</v>
      </c>
      <c r="BF89" s="359" t="s">
        <v>2016</v>
      </c>
      <c r="BG89" s="359" t="s">
        <v>2017</v>
      </c>
      <c r="BH89" s="359" t="s">
        <v>2018</v>
      </c>
      <c r="BI89" s="359" t="s">
        <v>2019</v>
      </c>
      <c r="BJ89" s="359" t="s">
        <v>2020</v>
      </c>
      <c r="BK89" s="359" t="s">
        <v>2021</v>
      </c>
      <c r="BL89" s="359" t="s">
        <v>2022</v>
      </c>
      <c r="BM89" s="359" t="s">
        <v>2023</v>
      </c>
      <c r="BN89" s="359" t="s">
        <v>2024</v>
      </c>
      <c r="BO89" s="147" t="str">
        <f t="shared" si="63"/>
        <v>Pic Example</v>
      </c>
    </row>
    <row r="90" spans="2:67" x14ac:dyDescent="0.25">
      <c r="B90" t="s">
        <v>342</v>
      </c>
      <c r="C90" s="358" t="str">
        <f t="shared" si="96"/>
        <v>https://viking-pictures.s3.us-west-1.amazonaws.com/AA1155/A98.+Sunroof%2C+Glass+-+PANORAMIC%2C+REAR+(1).JPG|https://viking-pictures.s3.us-west-1.amazonaws.com/AA1155/A98.+Sunroof%2C+Glass+-+PANORAMIC%2C+REAR+(2).JPG|https://viking-pictures.s3.us-west-1.amazonaws.com/AA1155/A98.+Sunroof%2C+Glass+-+PANORAMIC%2C+REAR+(3).JPG|https://viking-pictures.s3.us-west-1.amazonaws.com/AA1155/A98.+Sunroof%2C+Glass+-+PANORAMIC%2C+REAR+(4).JPG|https://viking-pictures.s3.us-west-1.amazonaws.com/AA1155/A98.+Sunroof%2C+Glass+-+PANORAMIC%2C+REAR+(6).JPG</v>
      </c>
      <c r="D90" s="358">
        <f>VLOOKUP(B90,'3. Keep &amp; Toss Items'!$O$9:$T$749,6,FALSE)</f>
        <v>6</v>
      </c>
      <c r="E90" s="358" t="str">
        <f t="shared" si="61"/>
        <v>https://viking-pictures.s3.us-west-1.amazonaws.com/AA1155/A98.+Sunroof%2C+Glass+-+PANORAMIC%2C+REAR+(1).JPG</v>
      </c>
      <c r="F90" s="358" t="str">
        <f t="shared" si="64"/>
        <v>https://viking-pictures.s3.us-west-1.amazonaws.com/AA1155/A98.+Sunroof%2C+Glass+-+PANORAMIC%2C+REAR+(2).JPG</v>
      </c>
      <c r="G90" s="358" t="str">
        <f t="shared" si="65"/>
        <v>https://viking-pictures.s3.us-west-1.amazonaws.com/AA1155/A98.+Sunroof%2C+Glass+-+PANORAMIC%2C+REAR+(3).JPG</v>
      </c>
      <c r="H90" s="358" t="str">
        <f t="shared" si="66"/>
        <v>https://viking-pictures.s3.us-west-1.amazonaws.com/AA1155/A98.+Sunroof%2C+Glass+-+PANORAMIC%2C+REAR+(4).JPG</v>
      </c>
      <c r="I90" s="358" t="str">
        <f t="shared" si="67"/>
        <v>https://viking-pictures.s3.us-west-1.amazonaws.com/AA1155/A98.+Sunroof%2C+Glass+-+PANORAMIC%2C+REAR+(6).JPG</v>
      </c>
      <c r="J90" s="358" t="str">
        <f t="shared" si="68"/>
        <v/>
      </c>
      <c r="K90" s="358" t="str">
        <f t="shared" si="69"/>
        <v/>
      </c>
      <c r="L90" s="358" t="str">
        <f t="shared" si="70"/>
        <v/>
      </c>
      <c r="M90" s="358" t="str">
        <f t="shared" si="71"/>
        <v/>
      </c>
      <c r="N90" s="358" t="str">
        <f t="shared" si="72"/>
        <v/>
      </c>
      <c r="O90" s="358" t="str">
        <f t="shared" si="73"/>
        <v/>
      </c>
      <c r="P90" s="358" t="str">
        <f t="shared" si="74"/>
        <v/>
      </c>
      <c r="Q90" s="358" t="str">
        <f t="shared" si="75"/>
        <v/>
      </c>
      <c r="R90" s="358" t="str">
        <f t="shared" si="76"/>
        <v/>
      </c>
      <c r="S90" s="358" t="str">
        <f t="shared" si="77"/>
        <v/>
      </c>
      <c r="T90" s="358" t="str">
        <f t="shared" si="78"/>
        <v/>
      </c>
      <c r="U90" s="358" t="str">
        <f t="shared" si="79"/>
        <v/>
      </c>
      <c r="V90" s="358" t="str">
        <f t="shared" si="80"/>
        <v/>
      </c>
      <c r="W90" s="358" t="str">
        <f t="shared" si="81"/>
        <v/>
      </c>
      <c r="X90" s="358" t="str">
        <f t="shared" si="82"/>
        <v/>
      </c>
      <c r="Y90" s="358" t="str">
        <f t="shared" si="83"/>
        <v/>
      </c>
      <c r="Z90" s="358" t="str">
        <f t="shared" si="84"/>
        <v/>
      </c>
      <c r="AA90" s="111" t="s">
        <v>1998</v>
      </c>
      <c r="AB90" s="358" t="str">
        <f t="shared" si="85"/>
        <v>A98.+Sunroof%2C+Glass+-+PANORAMIC%2C+REAR</v>
      </c>
      <c r="AC90" s="358" t="str">
        <f>VLOOKUP(B90,'3. Keep &amp; Toss Items'!$O$9:$R$749,4,FALSE)</f>
        <v>A98. Sunroof, Glass - PANORAMIC, REAR</v>
      </c>
      <c r="AD90" s="358" t="str">
        <f t="shared" si="86"/>
        <v>A98. Sunroof, Glass - PANORAMIC, REAR</v>
      </c>
      <c r="AE90" s="358" t="str">
        <f t="shared" si="87"/>
        <v>A98.+Sunroof,+Glass+-+PANORAMIC,+REAR</v>
      </c>
      <c r="AF90" s="358" t="str">
        <f t="shared" si="88"/>
        <v>A98.+Sunroof%2C+Glass+-+PANORAMIC%2C+REAR</v>
      </c>
      <c r="AG90" s="358" t="str">
        <f t="shared" si="89"/>
        <v>A98.+Sunroof%2C+Glass+-+PANORAMIC%2C+REAR</v>
      </c>
      <c r="AH90" s="358" t="str">
        <f t="shared" si="90"/>
        <v>A98.+Sunroof%2C+Glass+-+PANORAMIC%2C+REAR</v>
      </c>
      <c r="AI90" s="358" t="str">
        <f t="shared" si="91"/>
        <v>A98.+Sunroof%2C+Glass+-+PANORAMIC%2C+REAR</v>
      </c>
      <c r="AJ90" s="358" t="str">
        <f t="shared" si="92"/>
        <v>A98.+Sunroof%2C+Glass+-+PANORAMIC%2C+REAR</v>
      </c>
      <c r="AK90" s="358" t="str">
        <f t="shared" si="93"/>
        <v>A98.+Sunroof%2C+Glass+-+PANORAMIC%2C+REAR</v>
      </c>
      <c r="AL90" s="358" t="str">
        <f t="shared" si="62"/>
        <v>A98.+Sunroof%2C+Glass+-+PANORAMIC%2C+REAR</v>
      </c>
      <c r="AM90" s="358" t="str">
        <f t="shared" si="94"/>
        <v>A98.+Sunroof%2C+Glass+-+PANORAMIC%2C+REAR</v>
      </c>
      <c r="AN90" s="358" t="str">
        <f t="shared" si="95"/>
        <v>A98.+Sunroof%2C+Glass+-+PANORAMIC%2C+REAR</v>
      </c>
      <c r="AO90" s="359" t="s">
        <v>1999</v>
      </c>
      <c r="AP90" s="359" t="s">
        <v>2000</v>
      </c>
      <c r="AQ90" s="359" t="s">
        <v>2001</v>
      </c>
      <c r="AR90" s="359" t="s">
        <v>2002</v>
      </c>
      <c r="AS90" s="359" t="s">
        <v>2003</v>
      </c>
      <c r="AT90" s="359" t="s">
        <v>2004</v>
      </c>
      <c r="AU90" s="359" t="s">
        <v>2005</v>
      </c>
      <c r="AV90" s="359" t="s">
        <v>2006</v>
      </c>
      <c r="AW90" s="359" t="s">
        <v>2007</v>
      </c>
      <c r="AX90" s="359" t="s">
        <v>2008</v>
      </c>
      <c r="AY90" s="359" t="s">
        <v>2009</v>
      </c>
      <c r="AZ90" s="359" t="s">
        <v>2010</v>
      </c>
      <c r="BA90" s="359" t="s">
        <v>2011</v>
      </c>
      <c r="BB90" s="359" t="s">
        <v>2012</v>
      </c>
      <c r="BC90" s="359" t="s">
        <v>2013</v>
      </c>
      <c r="BD90" s="359" t="s">
        <v>2014</v>
      </c>
      <c r="BE90" s="359" t="s">
        <v>2015</v>
      </c>
      <c r="BF90" s="359" t="s">
        <v>2016</v>
      </c>
      <c r="BG90" s="359" t="s">
        <v>2017</v>
      </c>
      <c r="BH90" s="359" t="s">
        <v>2018</v>
      </c>
      <c r="BI90" s="359" t="s">
        <v>2019</v>
      </c>
      <c r="BJ90" s="359" t="s">
        <v>2020</v>
      </c>
      <c r="BK90" s="359" t="s">
        <v>2021</v>
      </c>
      <c r="BL90" s="359" t="s">
        <v>2022</v>
      </c>
      <c r="BM90" s="359" t="s">
        <v>2023</v>
      </c>
      <c r="BN90" s="359" t="s">
        <v>2024</v>
      </c>
      <c r="BO90" s="147" t="str">
        <f t="shared" si="63"/>
        <v>Pic Example</v>
      </c>
    </row>
    <row r="91" spans="2:67" x14ac:dyDescent="0.25">
      <c r="B91" t="s">
        <v>343</v>
      </c>
      <c r="C91" s="358" t="str">
        <f t="shared" si="96"/>
        <v>https://viking-pictures.s3.us-west-1.amazonaws.com/AA1155/A99.+Control+Arms%2C+REAR+-+LEFT+Large+Control+Arm+(1).JPG|https://viking-pictures.s3.us-west-1.amazonaws.com/AA1155/A99.+Control+Arms%2C+REAR+-+LEFT+Large+Control+Arm+(2).JPG|https://viking-pictures.s3.us-west-1.amazonaws.com/AA1155/A99.+Control+Arms%2C+REAR+-+LEFT+Large+Control+Arm+(3).JPG|https://viking-pictures.s3.us-west-1.amazonaws.com/AA1155/A99.+Control+Arms%2C+REAR+-+LEFT+Large+Control+Arm+(4).JPG</v>
      </c>
      <c r="D91" s="358">
        <f>VLOOKUP(B91,'3. Keep &amp; Toss Items'!$O$9:$T$749,6,FALSE)</f>
        <v>5</v>
      </c>
      <c r="E91" s="358" t="str">
        <f t="shared" si="61"/>
        <v>https://viking-pictures.s3.us-west-1.amazonaws.com/AA1155/A99.+Control+Arms%2C+REAR+-+LEFT+Large+Control+Arm+(1).JPG</v>
      </c>
      <c r="F91" s="358" t="str">
        <f t="shared" si="64"/>
        <v>https://viking-pictures.s3.us-west-1.amazonaws.com/AA1155/A99.+Control+Arms%2C+REAR+-+LEFT+Large+Control+Arm+(2).JPG</v>
      </c>
      <c r="G91" s="358" t="str">
        <f t="shared" si="65"/>
        <v>https://viking-pictures.s3.us-west-1.amazonaws.com/AA1155/A99.+Control+Arms%2C+REAR+-+LEFT+Large+Control+Arm+(3).JPG</v>
      </c>
      <c r="H91" s="358" t="str">
        <f t="shared" si="66"/>
        <v>https://viking-pictures.s3.us-west-1.amazonaws.com/AA1155/A99.+Control+Arms%2C+REAR+-+LEFT+Large+Control+Arm+(4).JPG</v>
      </c>
      <c r="I91" s="358" t="str">
        <f t="shared" si="67"/>
        <v/>
      </c>
      <c r="J91" s="358" t="str">
        <f t="shared" si="68"/>
        <v/>
      </c>
      <c r="K91" s="358" t="str">
        <f t="shared" si="69"/>
        <v/>
      </c>
      <c r="L91" s="358" t="str">
        <f t="shared" si="70"/>
        <v/>
      </c>
      <c r="M91" s="358" t="str">
        <f t="shared" si="71"/>
        <v/>
      </c>
      <c r="N91" s="358" t="str">
        <f t="shared" si="72"/>
        <v/>
      </c>
      <c r="O91" s="358" t="str">
        <f t="shared" si="73"/>
        <v/>
      </c>
      <c r="P91" s="358" t="str">
        <f t="shared" si="74"/>
        <v/>
      </c>
      <c r="Q91" s="358" t="str">
        <f t="shared" si="75"/>
        <v/>
      </c>
      <c r="R91" s="358" t="str">
        <f t="shared" si="76"/>
        <v/>
      </c>
      <c r="S91" s="358" t="str">
        <f t="shared" si="77"/>
        <v/>
      </c>
      <c r="T91" s="358" t="str">
        <f t="shared" si="78"/>
        <v/>
      </c>
      <c r="U91" s="358" t="str">
        <f t="shared" si="79"/>
        <v/>
      </c>
      <c r="V91" s="358" t="str">
        <f t="shared" si="80"/>
        <v/>
      </c>
      <c r="W91" s="358" t="str">
        <f t="shared" si="81"/>
        <v/>
      </c>
      <c r="X91" s="358" t="str">
        <f t="shared" si="82"/>
        <v/>
      </c>
      <c r="Y91" s="358" t="str">
        <f t="shared" si="83"/>
        <v/>
      </c>
      <c r="Z91" s="358" t="str">
        <f t="shared" si="84"/>
        <v/>
      </c>
      <c r="AA91" s="111" t="s">
        <v>1998</v>
      </c>
      <c r="AB91" s="358" t="str">
        <f t="shared" si="85"/>
        <v>A99.+Control+Arms%2C+REAR+-+LEFT+Large+Control+Arm</v>
      </c>
      <c r="AC91" s="358" t="str">
        <f>VLOOKUP(B91,'3. Keep &amp; Toss Items'!$O$9:$R$749,4,FALSE)</f>
        <v>A99. Control Arms, REAR - LEFT Large Control Arm</v>
      </c>
      <c r="AD91" s="358" t="str">
        <f t="shared" si="86"/>
        <v>A99. Control Arms, REAR - LEFT Large Control Arm</v>
      </c>
      <c r="AE91" s="358" t="str">
        <f t="shared" si="87"/>
        <v>A99.+Control+Arms,+REAR+-+LEFT+Large+Control+Arm</v>
      </c>
      <c r="AF91" s="358" t="str">
        <f t="shared" si="88"/>
        <v>A99.+Control+Arms%2C+REAR+-+LEFT+Large+Control+Arm</v>
      </c>
      <c r="AG91" s="358" t="str">
        <f t="shared" si="89"/>
        <v>A99.+Control+Arms%2C+REAR+-+LEFT+Large+Control+Arm</v>
      </c>
      <c r="AH91" s="358" t="str">
        <f t="shared" si="90"/>
        <v>A99.+Control+Arms%2C+REAR+-+LEFT+Large+Control+Arm</v>
      </c>
      <c r="AI91" s="358" t="str">
        <f t="shared" si="91"/>
        <v>A99.+Control+Arms%2C+REAR+-+LEFT+Large+Control+Arm</v>
      </c>
      <c r="AJ91" s="358" t="str">
        <f t="shared" si="92"/>
        <v>A99.+Control+Arms%2C+REAR+-+LEFT+Large+Control+Arm</v>
      </c>
      <c r="AK91" s="358" t="str">
        <f t="shared" si="93"/>
        <v>A99.+Control+Arms%2C+REAR+-+LEFT+Large+Control+Arm</v>
      </c>
      <c r="AL91" s="358" t="str">
        <f t="shared" si="62"/>
        <v>A99.+Control+Arms%2C+REAR+-+LEFT+Large+Control+Arm</v>
      </c>
      <c r="AM91" s="358" t="str">
        <f t="shared" si="94"/>
        <v>A99.+Control+Arms%2C+REAR+-+LEFT+Large+Control+Arm</v>
      </c>
      <c r="AN91" s="358" t="str">
        <f t="shared" si="95"/>
        <v>A99.+Control+Arms%2C+REAR+-+LEFT+Large+Control+Arm</v>
      </c>
      <c r="AO91" s="359" t="s">
        <v>1999</v>
      </c>
      <c r="AP91" s="359" t="s">
        <v>2000</v>
      </c>
      <c r="AQ91" s="359" t="s">
        <v>2001</v>
      </c>
      <c r="AR91" s="359" t="s">
        <v>2002</v>
      </c>
      <c r="AS91" s="359" t="s">
        <v>2003</v>
      </c>
      <c r="AT91" s="359" t="s">
        <v>2004</v>
      </c>
      <c r="AU91" s="359" t="s">
        <v>2005</v>
      </c>
      <c r="AV91" s="359" t="s">
        <v>2006</v>
      </c>
      <c r="AW91" s="359" t="s">
        <v>2007</v>
      </c>
      <c r="AX91" s="359" t="s">
        <v>2008</v>
      </c>
      <c r="AY91" s="359" t="s">
        <v>2009</v>
      </c>
      <c r="AZ91" s="359" t="s">
        <v>2010</v>
      </c>
      <c r="BA91" s="359" t="s">
        <v>2011</v>
      </c>
      <c r="BB91" s="359" t="s">
        <v>2012</v>
      </c>
      <c r="BC91" s="359" t="s">
        <v>2013</v>
      </c>
      <c r="BD91" s="359" t="s">
        <v>2014</v>
      </c>
      <c r="BE91" s="359" t="s">
        <v>2015</v>
      </c>
      <c r="BF91" s="359" t="s">
        <v>2016</v>
      </c>
      <c r="BG91" s="359" t="s">
        <v>2017</v>
      </c>
      <c r="BH91" s="359" t="s">
        <v>2018</v>
      </c>
      <c r="BI91" s="359" t="s">
        <v>2019</v>
      </c>
      <c r="BJ91" s="359" t="s">
        <v>2020</v>
      </c>
      <c r="BK91" s="359" t="s">
        <v>2021</v>
      </c>
      <c r="BL91" s="359" t="s">
        <v>2022</v>
      </c>
      <c r="BM91" s="359" t="s">
        <v>2023</v>
      </c>
      <c r="BN91" s="359" t="s">
        <v>2024</v>
      </c>
      <c r="BO91" s="147" t="str">
        <f t="shared" si="63"/>
        <v>Pic Example</v>
      </c>
    </row>
    <row r="92" spans="2:67" x14ac:dyDescent="0.25">
      <c r="B92" t="s">
        <v>344</v>
      </c>
      <c r="C92" s="358" t="str">
        <f t="shared" si="96"/>
        <v>https://viking-pictures.s3.us-west-1.amazonaws.com/AA1155/A100.+Control+Arms%2C+REAR+-+RIGHT+Large+Control+Arm+(1).JPG|https://viking-pictures.s3.us-west-1.amazonaws.com/AA1155/A100.+Control+Arms%2C+REAR+-+RIGHT+Large+Control+Arm+(2).JPG|https://viking-pictures.s3.us-west-1.amazonaws.com/AA1155/A100.+Control+Arms%2C+REAR+-+RIGHT+Large+Control+Arm+(3).JPG|https://viking-pictures.s3.us-west-1.amazonaws.com/AA1155/A100.+Control+Arms%2C+REAR+-+RIGHT+Large+Control+Arm+(4).JPG</v>
      </c>
      <c r="D92" s="358">
        <f>VLOOKUP(B92,'3. Keep &amp; Toss Items'!$O$9:$T$749,6,FALSE)</f>
        <v>5</v>
      </c>
      <c r="E92" s="358" t="str">
        <f t="shared" si="61"/>
        <v>https://viking-pictures.s3.us-west-1.amazonaws.com/AA1155/A100.+Control+Arms%2C+REAR+-+RIGHT+Large+Control+Arm+(1).JPG</v>
      </c>
      <c r="F92" s="358" t="str">
        <f t="shared" si="64"/>
        <v>https://viking-pictures.s3.us-west-1.amazonaws.com/AA1155/A100.+Control+Arms%2C+REAR+-+RIGHT+Large+Control+Arm+(2).JPG</v>
      </c>
      <c r="G92" s="358" t="str">
        <f t="shared" si="65"/>
        <v>https://viking-pictures.s3.us-west-1.amazonaws.com/AA1155/A100.+Control+Arms%2C+REAR+-+RIGHT+Large+Control+Arm+(3).JPG</v>
      </c>
      <c r="H92" s="358" t="str">
        <f t="shared" si="66"/>
        <v>https://viking-pictures.s3.us-west-1.amazonaws.com/AA1155/A100.+Control+Arms%2C+REAR+-+RIGHT+Large+Control+Arm+(4).JPG</v>
      </c>
      <c r="I92" s="358" t="str">
        <f t="shared" si="67"/>
        <v/>
      </c>
      <c r="J92" s="358" t="str">
        <f t="shared" si="68"/>
        <v/>
      </c>
      <c r="K92" s="358" t="str">
        <f t="shared" si="69"/>
        <v/>
      </c>
      <c r="L92" s="358" t="str">
        <f t="shared" si="70"/>
        <v/>
      </c>
      <c r="M92" s="358" t="str">
        <f t="shared" si="71"/>
        <v/>
      </c>
      <c r="N92" s="358" t="str">
        <f t="shared" si="72"/>
        <v/>
      </c>
      <c r="O92" s="358" t="str">
        <f t="shared" si="73"/>
        <v/>
      </c>
      <c r="P92" s="358" t="str">
        <f t="shared" si="74"/>
        <v/>
      </c>
      <c r="Q92" s="358" t="str">
        <f t="shared" si="75"/>
        <v/>
      </c>
      <c r="R92" s="358" t="str">
        <f t="shared" si="76"/>
        <v/>
      </c>
      <c r="S92" s="358" t="str">
        <f t="shared" si="77"/>
        <v/>
      </c>
      <c r="T92" s="358" t="str">
        <f t="shared" si="78"/>
        <v/>
      </c>
      <c r="U92" s="358" t="str">
        <f t="shared" si="79"/>
        <v/>
      </c>
      <c r="V92" s="358" t="str">
        <f t="shared" si="80"/>
        <v/>
      </c>
      <c r="W92" s="358" t="str">
        <f t="shared" si="81"/>
        <v/>
      </c>
      <c r="X92" s="358" t="str">
        <f t="shared" si="82"/>
        <v/>
      </c>
      <c r="Y92" s="358" t="str">
        <f t="shared" si="83"/>
        <v/>
      </c>
      <c r="Z92" s="358" t="str">
        <f t="shared" si="84"/>
        <v/>
      </c>
      <c r="AA92" s="111" t="s">
        <v>1998</v>
      </c>
      <c r="AB92" s="358" t="str">
        <f t="shared" si="85"/>
        <v>A100.+Control+Arms%2C+REAR+-+RIGHT+Large+Control+Arm</v>
      </c>
      <c r="AC92" s="358" t="str">
        <f>VLOOKUP(B92,'3. Keep &amp; Toss Items'!$O$9:$R$749,4,FALSE)</f>
        <v>A100. Control Arms, REAR - RIGHT Large Control Arm</v>
      </c>
      <c r="AD92" s="358" t="str">
        <f t="shared" si="86"/>
        <v>A100. Control Arms, REAR - RIGHT Large Control Arm</v>
      </c>
      <c r="AE92" s="358" t="str">
        <f t="shared" si="87"/>
        <v>A100.+Control+Arms,+REAR+-+RIGHT+Large+Control+Arm</v>
      </c>
      <c r="AF92" s="358" t="str">
        <f t="shared" si="88"/>
        <v>A100.+Control+Arms%2C+REAR+-+RIGHT+Large+Control+Arm</v>
      </c>
      <c r="AG92" s="358" t="str">
        <f t="shared" si="89"/>
        <v>A100.+Control+Arms%2C+REAR+-+RIGHT+Large+Control+Arm</v>
      </c>
      <c r="AH92" s="358" t="str">
        <f t="shared" si="90"/>
        <v>A100.+Control+Arms%2C+REAR+-+RIGHT+Large+Control+Arm</v>
      </c>
      <c r="AI92" s="358" t="str">
        <f t="shared" si="91"/>
        <v>A100.+Control+Arms%2C+REAR+-+RIGHT+Large+Control+Arm</v>
      </c>
      <c r="AJ92" s="358" t="str">
        <f t="shared" si="92"/>
        <v>A100.+Control+Arms%2C+REAR+-+RIGHT+Large+Control+Arm</v>
      </c>
      <c r="AK92" s="358" t="str">
        <f t="shared" si="93"/>
        <v>A100.+Control+Arms%2C+REAR+-+RIGHT+Large+Control+Arm</v>
      </c>
      <c r="AL92" s="358" t="str">
        <f t="shared" si="62"/>
        <v>A100.+Control+Arms%2C+REAR+-+RIGHT+Large+Control+Arm</v>
      </c>
      <c r="AM92" s="358" t="str">
        <f t="shared" si="94"/>
        <v>A100.+Control+Arms%2C+REAR+-+RIGHT+Large+Control+Arm</v>
      </c>
      <c r="AN92" s="358" t="str">
        <f t="shared" si="95"/>
        <v>A100.+Control+Arms%2C+REAR+-+RIGHT+Large+Control+Arm</v>
      </c>
      <c r="AO92" s="359" t="s">
        <v>1999</v>
      </c>
      <c r="AP92" s="359" t="s">
        <v>2000</v>
      </c>
      <c r="AQ92" s="359" t="s">
        <v>2001</v>
      </c>
      <c r="AR92" s="359" t="s">
        <v>2002</v>
      </c>
      <c r="AS92" s="359" t="s">
        <v>2003</v>
      </c>
      <c r="AT92" s="359" t="s">
        <v>2004</v>
      </c>
      <c r="AU92" s="359" t="s">
        <v>2005</v>
      </c>
      <c r="AV92" s="359" t="s">
        <v>2006</v>
      </c>
      <c r="AW92" s="359" t="s">
        <v>2007</v>
      </c>
      <c r="AX92" s="359" t="s">
        <v>2008</v>
      </c>
      <c r="AY92" s="359" t="s">
        <v>2009</v>
      </c>
      <c r="AZ92" s="359" t="s">
        <v>2010</v>
      </c>
      <c r="BA92" s="359" t="s">
        <v>2011</v>
      </c>
      <c r="BB92" s="359" t="s">
        <v>2012</v>
      </c>
      <c r="BC92" s="359" t="s">
        <v>2013</v>
      </c>
      <c r="BD92" s="359" t="s">
        <v>2014</v>
      </c>
      <c r="BE92" s="359" t="s">
        <v>2015</v>
      </c>
      <c r="BF92" s="359" t="s">
        <v>2016</v>
      </c>
      <c r="BG92" s="359" t="s">
        <v>2017</v>
      </c>
      <c r="BH92" s="359" t="s">
        <v>2018</v>
      </c>
      <c r="BI92" s="359" t="s">
        <v>2019</v>
      </c>
      <c r="BJ92" s="359" t="s">
        <v>2020</v>
      </c>
      <c r="BK92" s="359" t="s">
        <v>2021</v>
      </c>
      <c r="BL92" s="359" t="s">
        <v>2022</v>
      </c>
      <c r="BM92" s="359" t="s">
        <v>2023</v>
      </c>
      <c r="BN92" s="359" t="s">
        <v>2024</v>
      </c>
      <c r="BO92" s="147" t="str">
        <f t="shared" si="63"/>
        <v>Pic Example</v>
      </c>
    </row>
    <row r="93" spans="2:67" x14ac:dyDescent="0.25">
      <c r="B93" t="s">
        <v>345</v>
      </c>
      <c r="C93" s="358" t="str">
        <f t="shared" si="96"/>
        <v>https://viking-pictures.s3.us-west-1.amazonaws.com/AA1155/A101.+Springs%2C+REAR+Shock+Springs+as+SET2+WITH+Gromets+(1).JPG|https://viking-pictures.s3.us-west-1.amazonaws.com/AA1155/A101.+Springs%2C+REAR+Shock+Springs+as+SET2+WITH+Gromets+(2).JPG|https://viking-pictures.s3.us-west-1.amazonaws.com/AA1155/A101.+Springs%2C+REAR+Shock+Springs+as+SET2+WITH+Gromets+(3).JPG|https://viking-pictures.s3.us-west-1.amazonaws.com/AA1155/A101.+Springs%2C+REAR+Shock+Springs+as+SET2+WITH+Gromets+(4).JPG</v>
      </c>
      <c r="D93" s="358">
        <f>VLOOKUP(B93,'3. Keep &amp; Toss Items'!$O$9:$T$749,6,FALSE)</f>
        <v>5</v>
      </c>
      <c r="E93" s="358" t="str">
        <f t="shared" si="61"/>
        <v>https://viking-pictures.s3.us-west-1.amazonaws.com/AA1155/A101.+Springs%2C+REAR+Shock+Springs+as+SET2+WITH+Gromets+(1).JPG</v>
      </c>
      <c r="F93" s="358" t="str">
        <f t="shared" si="64"/>
        <v>https://viking-pictures.s3.us-west-1.amazonaws.com/AA1155/A101.+Springs%2C+REAR+Shock+Springs+as+SET2+WITH+Gromets+(2).JPG</v>
      </c>
      <c r="G93" s="358" t="str">
        <f t="shared" si="65"/>
        <v>https://viking-pictures.s3.us-west-1.amazonaws.com/AA1155/A101.+Springs%2C+REAR+Shock+Springs+as+SET2+WITH+Gromets+(3).JPG</v>
      </c>
      <c r="H93" s="358" t="str">
        <f t="shared" si="66"/>
        <v>https://viking-pictures.s3.us-west-1.amazonaws.com/AA1155/A101.+Springs%2C+REAR+Shock+Springs+as+SET2+WITH+Gromets+(4).JPG</v>
      </c>
      <c r="I93" s="358" t="str">
        <f t="shared" si="67"/>
        <v/>
      </c>
      <c r="J93" s="358" t="str">
        <f t="shared" si="68"/>
        <v/>
      </c>
      <c r="K93" s="358" t="str">
        <f t="shared" si="69"/>
        <v/>
      </c>
      <c r="L93" s="358" t="str">
        <f t="shared" si="70"/>
        <v/>
      </c>
      <c r="M93" s="358" t="str">
        <f t="shared" si="71"/>
        <v/>
      </c>
      <c r="N93" s="358" t="str">
        <f t="shared" si="72"/>
        <v/>
      </c>
      <c r="O93" s="358" t="str">
        <f t="shared" si="73"/>
        <v/>
      </c>
      <c r="P93" s="358" t="str">
        <f t="shared" si="74"/>
        <v/>
      </c>
      <c r="Q93" s="358" t="str">
        <f t="shared" si="75"/>
        <v/>
      </c>
      <c r="R93" s="358" t="str">
        <f t="shared" si="76"/>
        <v/>
      </c>
      <c r="S93" s="358" t="str">
        <f t="shared" si="77"/>
        <v/>
      </c>
      <c r="T93" s="358" t="str">
        <f t="shared" si="78"/>
        <v/>
      </c>
      <c r="U93" s="358" t="str">
        <f t="shared" si="79"/>
        <v/>
      </c>
      <c r="V93" s="358" t="str">
        <f t="shared" si="80"/>
        <v/>
      </c>
      <c r="W93" s="358" t="str">
        <f t="shared" si="81"/>
        <v/>
      </c>
      <c r="X93" s="358" t="str">
        <f t="shared" si="82"/>
        <v/>
      </c>
      <c r="Y93" s="358" t="str">
        <f t="shared" si="83"/>
        <v/>
      </c>
      <c r="Z93" s="358" t="str">
        <f t="shared" si="84"/>
        <v/>
      </c>
      <c r="AA93" s="111" t="s">
        <v>1998</v>
      </c>
      <c r="AB93" s="358" t="str">
        <f t="shared" si="85"/>
        <v>A101.+Springs%2C+REAR+Shock+Springs+as+SET2+WITH+Gromets</v>
      </c>
      <c r="AC93" s="358" t="str">
        <f>VLOOKUP(B93,'3. Keep &amp; Toss Items'!$O$9:$R$749,4,FALSE)</f>
        <v>A101. Springs, REAR Shock Springs as SET2 WITH Gromets</v>
      </c>
      <c r="AD93" s="358" t="str">
        <f t="shared" si="86"/>
        <v>A101. Springs, REAR Shock Springs as SET2 WITH Gromets</v>
      </c>
      <c r="AE93" s="358" t="str">
        <f t="shared" si="87"/>
        <v>A101.+Springs,+REAR+Shock+Springs+as+SET2+WITH+Gromets</v>
      </c>
      <c r="AF93" s="358" t="str">
        <f t="shared" si="88"/>
        <v>A101.+Springs%2C+REAR+Shock+Springs+as+SET2+WITH+Gromets</v>
      </c>
      <c r="AG93" s="358" t="str">
        <f t="shared" si="89"/>
        <v>A101.+Springs%2C+REAR+Shock+Springs+as+SET2+WITH+Gromets</v>
      </c>
      <c r="AH93" s="358" t="str">
        <f t="shared" si="90"/>
        <v>A101.+Springs%2C+REAR+Shock+Springs+as+SET2+WITH+Gromets</v>
      </c>
      <c r="AI93" s="358" t="str">
        <f t="shared" si="91"/>
        <v>A101.+Springs%2C+REAR+Shock+Springs+as+SET2+WITH+Gromets</v>
      </c>
      <c r="AJ93" s="358" t="str">
        <f t="shared" si="92"/>
        <v>A101.+Springs%2C+REAR+Shock+Springs+as+SET2+WITH+Gromets</v>
      </c>
      <c r="AK93" s="358" t="str">
        <f t="shared" si="93"/>
        <v>A101.+Springs%2C+REAR+Shock+Springs+as+SET2+WITH+Gromets</v>
      </c>
      <c r="AL93" s="358" t="str">
        <f t="shared" si="62"/>
        <v>A101.+Springs%2C+REAR+Shock+Springs+as+SET2+WITH+Gromets</v>
      </c>
      <c r="AM93" s="358" t="str">
        <f t="shared" si="94"/>
        <v>A101.+Springs%2C+REAR+Shock+Springs+as+SET2+WITH+Gromets</v>
      </c>
      <c r="AN93" s="358" t="str">
        <f t="shared" si="95"/>
        <v>A101.+Springs%2C+REAR+Shock+Springs+as+SET2+WITH+Gromets</v>
      </c>
      <c r="AO93" s="359" t="s">
        <v>1999</v>
      </c>
      <c r="AP93" s="359" t="s">
        <v>2000</v>
      </c>
      <c r="AQ93" s="359" t="s">
        <v>2001</v>
      </c>
      <c r="AR93" s="359" t="s">
        <v>2002</v>
      </c>
      <c r="AS93" s="359" t="s">
        <v>2003</v>
      </c>
      <c r="AT93" s="359" t="s">
        <v>2004</v>
      </c>
      <c r="AU93" s="359" t="s">
        <v>2005</v>
      </c>
      <c r="AV93" s="359" t="s">
        <v>2006</v>
      </c>
      <c r="AW93" s="359" t="s">
        <v>2007</v>
      </c>
      <c r="AX93" s="359" t="s">
        <v>2008</v>
      </c>
      <c r="AY93" s="359" t="s">
        <v>2009</v>
      </c>
      <c r="AZ93" s="359" t="s">
        <v>2010</v>
      </c>
      <c r="BA93" s="359" t="s">
        <v>2011</v>
      </c>
      <c r="BB93" s="359" t="s">
        <v>2012</v>
      </c>
      <c r="BC93" s="359" t="s">
        <v>2013</v>
      </c>
      <c r="BD93" s="359" t="s">
        <v>2014</v>
      </c>
      <c r="BE93" s="359" t="s">
        <v>2015</v>
      </c>
      <c r="BF93" s="359" t="s">
        <v>2016</v>
      </c>
      <c r="BG93" s="359" t="s">
        <v>2017</v>
      </c>
      <c r="BH93" s="359" t="s">
        <v>2018</v>
      </c>
      <c r="BI93" s="359" t="s">
        <v>2019</v>
      </c>
      <c r="BJ93" s="359" t="s">
        <v>2020</v>
      </c>
      <c r="BK93" s="359" t="s">
        <v>2021</v>
      </c>
      <c r="BL93" s="359" t="s">
        <v>2022</v>
      </c>
      <c r="BM93" s="359" t="s">
        <v>2023</v>
      </c>
      <c r="BN93" s="359" t="s">
        <v>2024</v>
      </c>
      <c r="BO93" s="147" t="str">
        <f t="shared" si="63"/>
        <v>Pic Example</v>
      </c>
    </row>
    <row r="94" spans="2:67" x14ac:dyDescent="0.25">
      <c r="B94" t="s">
        <v>346</v>
      </c>
      <c r="C94" s="358" t="str">
        <f t="shared" si="96"/>
        <v>https://viking-pictures.s3.us-west-1.amazonaws.com/AA1155/A102.+Emergency+Parking+Brake+Actuator+(1).JPG|https://viking-pictures.s3.us-west-1.amazonaws.com/AA1155/A102.+Emergency+Parking+Brake+Actuator+(2).JPG|https://viking-pictures.s3.us-west-1.amazonaws.com/AA1155/A102.+Emergency+Parking+Brake+Actuator+(3).JPG|https://viking-pictures.s3.us-west-1.amazonaws.com/AA1155/A102.+Emergency+Parking+Brake+Actuator+(4).JPG</v>
      </c>
      <c r="D94" s="358">
        <f>VLOOKUP(B94,'3. Keep &amp; Toss Items'!$O$9:$T$749,6,FALSE)</f>
        <v>5</v>
      </c>
      <c r="E94" s="358" t="str">
        <f t="shared" si="61"/>
        <v>https://viking-pictures.s3.us-west-1.amazonaws.com/AA1155/A102.+Emergency+Parking+Brake+Actuator+(1).JPG</v>
      </c>
      <c r="F94" s="358" t="str">
        <f t="shared" si="64"/>
        <v>https://viking-pictures.s3.us-west-1.amazonaws.com/AA1155/A102.+Emergency+Parking+Brake+Actuator+(2).JPG</v>
      </c>
      <c r="G94" s="358" t="str">
        <f t="shared" si="65"/>
        <v>https://viking-pictures.s3.us-west-1.amazonaws.com/AA1155/A102.+Emergency+Parking+Brake+Actuator+(3).JPG</v>
      </c>
      <c r="H94" s="358" t="str">
        <f t="shared" si="66"/>
        <v>https://viking-pictures.s3.us-west-1.amazonaws.com/AA1155/A102.+Emergency+Parking+Brake+Actuator+(4).JPG</v>
      </c>
      <c r="I94" s="358" t="str">
        <f t="shared" si="67"/>
        <v/>
      </c>
      <c r="J94" s="358" t="str">
        <f t="shared" si="68"/>
        <v/>
      </c>
      <c r="K94" s="358" t="str">
        <f t="shared" si="69"/>
        <v/>
      </c>
      <c r="L94" s="358" t="str">
        <f t="shared" si="70"/>
        <v/>
      </c>
      <c r="M94" s="358" t="str">
        <f t="shared" si="71"/>
        <v/>
      </c>
      <c r="N94" s="358" t="str">
        <f t="shared" si="72"/>
        <v/>
      </c>
      <c r="O94" s="358" t="str">
        <f t="shared" si="73"/>
        <v/>
      </c>
      <c r="P94" s="358" t="str">
        <f t="shared" si="74"/>
        <v/>
      </c>
      <c r="Q94" s="358" t="str">
        <f t="shared" si="75"/>
        <v/>
      </c>
      <c r="R94" s="358" t="str">
        <f t="shared" si="76"/>
        <v/>
      </c>
      <c r="S94" s="358" t="str">
        <f t="shared" si="77"/>
        <v/>
      </c>
      <c r="T94" s="358" t="str">
        <f t="shared" si="78"/>
        <v/>
      </c>
      <c r="U94" s="358" t="str">
        <f t="shared" si="79"/>
        <v/>
      </c>
      <c r="V94" s="358" t="str">
        <f t="shared" si="80"/>
        <v/>
      </c>
      <c r="W94" s="358" t="str">
        <f t="shared" si="81"/>
        <v/>
      </c>
      <c r="X94" s="358" t="str">
        <f t="shared" si="82"/>
        <v/>
      </c>
      <c r="Y94" s="358" t="str">
        <f t="shared" si="83"/>
        <v/>
      </c>
      <c r="Z94" s="358" t="str">
        <f t="shared" si="84"/>
        <v/>
      </c>
      <c r="AA94" s="111" t="s">
        <v>1998</v>
      </c>
      <c r="AB94" s="358" t="str">
        <f t="shared" si="85"/>
        <v>A102.+Emergency+Parking+Brake+Actuator</v>
      </c>
      <c r="AC94" s="358" t="str">
        <f>VLOOKUP(B94,'3. Keep &amp; Toss Items'!$O$9:$R$749,4,FALSE)</f>
        <v>A102. Emergency Parking Brake Actuator</v>
      </c>
      <c r="AD94" s="358" t="str">
        <f t="shared" si="86"/>
        <v>A102. Emergency Parking Brake Actuator</v>
      </c>
      <c r="AE94" s="358" t="str">
        <f t="shared" si="87"/>
        <v>A102.+Emergency+Parking+Brake+Actuator</v>
      </c>
      <c r="AF94" s="358" t="str">
        <f t="shared" si="88"/>
        <v>A102.+Emergency+Parking+Brake+Actuator</v>
      </c>
      <c r="AG94" s="358" t="str">
        <f t="shared" si="89"/>
        <v>A102.+Emergency+Parking+Brake+Actuator</v>
      </c>
      <c r="AH94" s="358" t="str">
        <f t="shared" si="90"/>
        <v>A102.+Emergency+Parking+Brake+Actuator</v>
      </c>
      <c r="AI94" s="358" t="str">
        <f t="shared" si="91"/>
        <v>A102.+Emergency+Parking+Brake+Actuator</v>
      </c>
      <c r="AJ94" s="358" t="str">
        <f t="shared" si="92"/>
        <v>A102.+Emergency+Parking+Brake+Actuator</v>
      </c>
      <c r="AK94" s="358" t="str">
        <f t="shared" si="93"/>
        <v>A102.+Emergency+Parking+Brake+Actuator</v>
      </c>
      <c r="AL94" s="358" t="str">
        <f t="shared" si="62"/>
        <v>A102.+Emergency+Parking+Brake+Actuator</v>
      </c>
      <c r="AM94" s="358" t="str">
        <f t="shared" si="94"/>
        <v>A102.+Emergency+Parking+Brake+Actuator</v>
      </c>
      <c r="AN94" s="358" t="str">
        <f t="shared" si="95"/>
        <v>A102.+Emergency+Parking+Brake+Actuator</v>
      </c>
      <c r="AO94" s="359" t="s">
        <v>1999</v>
      </c>
      <c r="AP94" s="359" t="s">
        <v>2000</v>
      </c>
      <c r="AQ94" s="359" t="s">
        <v>2001</v>
      </c>
      <c r="AR94" s="359" t="s">
        <v>2002</v>
      </c>
      <c r="AS94" s="359" t="s">
        <v>2003</v>
      </c>
      <c r="AT94" s="359" t="s">
        <v>2004</v>
      </c>
      <c r="AU94" s="359" t="s">
        <v>2005</v>
      </c>
      <c r="AV94" s="359" t="s">
        <v>2006</v>
      </c>
      <c r="AW94" s="359" t="s">
        <v>2007</v>
      </c>
      <c r="AX94" s="359" t="s">
        <v>2008</v>
      </c>
      <c r="AY94" s="359" t="s">
        <v>2009</v>
      </c>
      <c r="AZ94" s="359" t="s">
        <v>2010</v>
      </c>
      <c r="BA94" s="359" t="s">
        <v>2011</v>
      </c>
      <c r="BB94" s="359" t="s">
        <v>2012</v>
      </c>
      <c r="BC94" s="359" t="s">
        <v>2013</v>
      </c>
      <c r="BD94" s="359" t="s">
        <v>2014</v>
      </c>
      <c r="BE94" s="359" t="s">
        <v>2015</v>
      </c>
      <c r="BF94" s="359" t="s">
        <v>2016</v>
      </c>
      <c r="BG94" s="359" t="s">
        <v>2017</v>
      </c>
      <c r="BH94" s="359" t="s">
        <v>2018</v>
      </c>
      <c r="BI94" s="359" t="s">
        <v>2019</v>
      </c>
      <c r="BJ94" s="359" t="s">
        <v>2020</v>
      </c>
      <c r="BK94" s="359" t="s">
        <v>2021</v>
      </c>
      <c r="BL94" s="359" t="s">
        <v>2022</v>
      </c>
      <c r="BM94" s="359" t="s">
        <v>2023</v>
      </c>
      <c r="BN94" s="359" t="s">
        <v>2024</v>
      </c>
      <c r="BO94" s="147" t="str">
        <f t="shared" si="63"/>
        <v>Pic Example</v>
      </c>
    </row>
    <row r="95" spans="2:67" x14ac:dyDescent="0.25">
      <c r="B95" t="s">
        <v>347</v>
      </c>
      <c r="C95" s="358" t="str">
        <f t="shared" si="96"/>
        <v>https://viking-pictures.s3.us-west-1.amazonaws.com/AA1155/A103.+Power+Brake+Booster+%2B+Master+Cylinder+%2B+Reservoir+%2B+Cap+(1).JPG|https://viking-pictures.s3.us-west-1.amazonaws.com/AA1155/A103.+Power+Brake+Booster+%2B+Master+Cylinder+%2B+Reservoir+%2B+Cap+(2).JPG|https://viking-pictures.s3.us-west-1.amazonaws.com/AA1155/A103.+Power+Brake+Booster+%2B+Master+Cylinder+%2B+Reservoir+%2B+Cap+(3).JPG|https://viking-pictures.s3.us-west-1.amazonaws.com/AA1155/A103.+Power+Brake+Booster+%2B+Master+Cylinder+%2B+Reservoir+%2B+Cap+(4).JPG</v>
      </c>
      <c r="D95" s="358">
        <f>VLOOKUP(B95,'3. Keep &amp; Toss Items'!$O$9:$T$749,6,FALSE)</f>
        <v>5</v>
      </c>
      <c r="E95" s="358" t="str">
        <f t="shared" si="61"/>
        <v>https://viking-pictures.s3.us-west-1.amazonaws.com/AA1155/A103.+Power+Brake+Booster+%2B+Master+Cylinder+%2B+Reservoir+%2B+Cap+(1).JPG</v>
      </c>
      <c r="F95" s="358" t="str">
        <f t="shared" si="64"/>
        <v>https://viking-pictures.s3.us-west-1.amazonaws.com/AA1155/A103.+Power+Brake+Booster+%2B+Master+Cylinder+%2B+Reservoir+%2B+Cap+(2).JPG</v>
      </c>
      <c r="G95" s="358" t="str">
        <f t="shared" si="65"/>
        <v>https://viking-pictures.s3.us-west-1.amazonaws.com/AA1155/A103.+Power+Brake+Booster+%2B+Master+Cylinder+%2B+Reservoir+%2B+Cap+(3).JPG</v>
      </c>
      <c r="H95" s="358" t="str">
        <f t="shared" si="66"/>
        <v>https://viking-pictures.s3.us-west-1.amazonaws.com/AA1155/A103.+Power+Brake+Booster+%2B+Master+Cylinder+%2B+Reservoir+%2B+Cap+(4).JPG</v>
      </c>
      <c r="I95" s="358" t="str">
        <f t="shared" si="67"/>
        <v/>
      </c>
      <c r="J95" s="358" t="str">
        <f t="shared" si="68"/>
        <v/>
      </c>
      <c r="K95" s="358" t="str">
        <f t="shared" si="69"/>
        <v/>
      </c>
      <c r="L95" s="358" t="str">
        <f t="shared" si="70"/>
        <v/>
      </c>
      <c r="M95" s="358" t="str">
        <f t="shared" si="71"/>
        <v/>
      </c>
      <c r="N95" s="358" t="str">
        <f t="shared" si="72"/>
        <v/>
      </c>
      <c r="O95" s="358" t="str">
        <f t="shared" si="73"/>
        <v/>
      </c>
      <c r="P95" s="358" t="str">
        <f t="shared" si="74"/>
        <v/>
      </c>
      <c r="Q95" s="358" t="str">
        <f t="shared" si="75"/>
        <v/>
      </c>
      <c r="R95" s="358" t="str">
        <f t="shared" si="76"/>
        <v/>
      </c>
      <c r="S95" s="358" t="str">
        <f t="shared" si="77"/>
        <v/>
      </c>
      <c r="T95" s="358" t="str">
        <f t="shared" si="78"/>
        <v/>
      </c>
      <c r="U95" s="358" t="str">
        <f t="shared" si="79"/>
        <v/>
      </c>
      <c r="V95" s="358" t="str">
        <f t="shared" si="80"/>
        <v/>
      </c>
      <c r="W95" s="358" t="str">
        <f t="shared" si="81"/>
        <v/>
      </c>
      <c r="X95" s="358" t="str">
        <f t="shared" si="82"/>
        <v/>
      </c>
      <c r="Y95" s="358" t="str">
        <f t="shared" si="83"/>
        <v/>
      </c>
      <c r="Z95" s="358" t="str">
        <f t="shared" si="84"/>
        <v/>
      </c>
      <c r="AA95" s="111" t="s">
        <v>1998</v>
      </c>
      <c r="AB95" s="358" t="str">
        <f t="shared" si="85"/>
        <v>A103.+Power+Brake+Booster+%2B+Master+Cylinder+%2B+Reservoir+%2B+Cap</v>
      </c>
      <c r="AC95" s="358" t="str">
        <f>VLOOKUP(B95,'3. Keep &amp; Toss Items'!$O$9:$R$749,4,FALSE)</f>
        <v>A103. Power Brake Booster + Master Cylinder + Reservoir + Cap</v>
      </c>
      <c r="AD95" s="358" t="str">
        <f t="shared" si="86"/>
        <v>A103. Power Brake Booster %2B Master Cylinder %2B Reservoir %2B Cap</v>
      </c>
      <c r="AE95" s="358" t="str">
        <f t="shared" si="87"/>
        <v>A103.+Power+Brake+Booster+%2B+Master+Cylinder+%2B+Reservoir+%2B+Cap</v>
      </c>
      <c r="AF95" s="358" t="str">
        <f t="shared" si="88"/>
        <v>A103.+Power+Brake+Booster+%2B+Master+Cylinder+%2B+Reservoir+%2B+Cap</v>
      </c>
      <c r="AG95" s="358" t="str">
        <f t="shared" si="89"/>
        <v>A103.+Power+Brake+Booster+%2B+Master+Cylinder+%2B+Reservoir+%2B+Cap</v>
      </c>
      <c r="AH95" s="358" t="str">
        <f t="shared" si="90"/>
        <v>A103.+Power+Brake+Booster+%2B+Master+Cylinder+%2B+Reservoir+%2B+Cap</v>
      </c>
      <c r="AI95" s="358" t="str">
        <f t="shared" si="91"/>
        <v>A103.+Power+Brake+Booster+%2B+Master+Cylinder+%2B+Reservoir+%2B+Cap</v>
      </c>
      <c r="AJ95" s="358" t="str">
        <f t="shared" si="92"/>
        <v>A103.+Power+Brake+Booster+%2B+Master+Cylinder+%2B+Reservoir+%2B+Cap</v>
      </c>
      <c r="AK95" s="358" t="str">
        <f t="shared" si="93"/>
        <v>A103.+Power+Brake+Booster+%2B+Master+Cylinder+%2B+Reservoir+%2B+Cap</v>
      </c>
      <c r="AL95" s="358" t="str">
        <f t="shared" si="62"/>
        <v>A103.+Power+Brake+Booster+%2B+Master+Cylinder+%2B+Reservoir+%2B+Cap</v>
      </c>
      <c r="AM95" s="358" t="str">
        <f t="shared" si="94"/>
        <v>A103.+Power+Brake+Booster+%2B+Master+Cylinder+%2B+Reservoir+%2B+Cap</v>
      </c>
      <c r="AN95" s="358" t="str">
        <f t="shared" si="95"/>
        <v>A103.+Power+Brake+Booster+%2B+Master+Cylinder+%2B+Reservoir+%2B+Cap</v>
      </c>
      <c r="AO95" s="359" t="s">
        <v>1999</v>
      </c>
      <c r="AP95" s="359" t="s">
        <v>2000</v>
      </c>
      <c r="AQ95" s="359" t="s">
        <v>2001</v>
      </c>
      <c r="AR95" s="359" t="s">
        <v>2002</v>
      </c>
      <c r="AS95" s="359" t="s">
        <v>2003</v>
      </c>
      <c r="AT95" s="359" t="s">
        <v>2004</v>
      </c>
      <c r="AU95" s="359" t="s">
        <v>2005</v>
      </c>
      <c r="AV95" s="359" t="s">
        <v>2006</v>
      </c>
      <c r="AW95" s="359" t="s">
        <v>2007</v>
      </c>
      <c r="AX95" s="359" t="s">
        <v>2008</v>
      </c>
      <c r="AY95" s="359" t="s">
        <v>2009</v>
      </c>
      <c r="AZ95" s="359" t="s">
        <v>2010</v>
      </c>
      <c r="BA95" s="359" t="s">
        <v>2011</v>
      </c>
      <c r="BB95" s="359" t="s">
        <v>2012</v>
      </c>
      <c r="BC95" s="359" t="s">
        <v>2013</v>
      </c>
      <c r="BD95" s="359" t="s">
        <v>2014</v>
      </c>
      <c r="BE95" s="359" t="s">
        <v>2015</v>
      </c>
      <c r="BF95" s="359" t="s">
        <v>2016</v>
      </c>
      <c r="BG95" s="359" t="s">
        <v>2017</v>
      </c>
      <c r="BH95" s="359" t="s">
        <v>2018</v>
      </c>
      <c r="BI95" s="359" t="s">
        <v>2019</v>
      </c>
      <c r="BJ95" s="359" t="s">
        <v>2020</v>
      </c>
      <c r="BK95" s="359" t="s">
        <v>2021</v>
      </c>
      <c r="BL95" s="359" t="s">
        <v>2022</v>
      </c>
      <c r="BM95" s="359" t="s">
        <v>2023</v>
      </c>
      <c r="BN95" s="359" t="s">
        <v>2024</v>
      </c>
      <c r="BO95" s="147" t="str">
        <f t="shared" si="63"/>
        <v>Pic Example</v>
      </c>
    </row>
    <row r="96" spans="2:67" x14ac:dyDescent="0.25">
      <c r="B96" t="s">
        <v>348</v>
      </c>
      <c r="C96" s="358" t="str">
        <f t="shared" si="96"/>
        <v>https://viking-pictures.s3.us-west-1.amazonaws.com/AA1155/A104.+Intercooler+(1).JPG|https://viking-pictures.s3.us-west-1.amazonaws.com/AA1155/A104.+Intercooler+(2).JPG|https://viking-pictures.s3.us-west-1.amazonaws.com/AA1155/A104.+Intercooler+(3).JPG|https://viking-pictures.s3.us-west-1.amazonaws.com/AA1155/A104.+Intercooler+(4).JPG</v>
      </c>
      <c r="D96" s="358">
        <f>VLOOKUP(B96,'3. Keep &amp; Toss Items'!$O$9:$T$749,6,FALSE)</f>
        <v>5</v>
      </c>
      <c r="E96" s="358" t="str">
        <f t="shared" si="61"/>
        <v>https://viking-pictures.s3.us-west-1.amazonaws.com/AA1155/A104.+Intercooler+(1).JPG</v>
      </c>
      <c r="F96" s="358" t="str">
        <f t="shared" si="64"/>
        <v>https://viking-pictures.s3.us-west-1.amazonaws.com/AA1155/A104.+Intercooler+(2).JPG</v>
      </c>
      <c r="G96" s="358" t="str">
        <f t="shared" si="65"/>
        <v>https://viking-pictures.s3.us-west-1.amazonaws.com/AA1155/A104.+Intercooler+(3).JPG</v>
      </c>
      <c r="H96" s="358" t="str">
        <f t="shared" si="66"/>
        <v>https://viking-pictures.s3.us-west-1.amazonaws.com/AA1155/A104.+Intercooler+(4).JPG</v>
      </c>
      <c r="I96" s="358" t="str">
        <f t="shared" si="67"/>
        <v/>
      </c>
      <c r="J96" s="358" t="str">
        <f t="shared" si="68"/>
        <v/>
      </c>
      <c r="K96" s="358" t="str">
        <f t="shared" si="69"/>
        <v/>
      </c>
      <c r="L96" s="358" t="str">
        <f t="shared" si="70"/>
        <v/>
      </c>
      <c r="M96" s="358" t="str">
        <f t="shared" si="71"/>
        <v/>
      </c>
      <c r="N96" s="358" t="str">
        <f t="shared" si="72"/>
        <v/>
      </c>
      <c r="O96" s="358" t="str">
        <f t="shared" si="73"/>
        <v/>
      </c>
      <c r="P96" s="358" t="str">
        <f t="shared" si="74"/>
        <v/>
      </c>
      <c r="Q96" s="358" t="str">
        <f t="shared" si="75"/>
        <v/>
      </c>
      <c r="R96" s="358" t="str">
        <f t="shared" si="76"/>
        <v/>
      </c>
      <c r="S96" s="358" t="str">
        <f t="shared" si="77"/>
        <v/>
      </c>
      <c r="T96" s="358" t="str">
        <f t="shared" si="78"/>
        <v/>
      </c>
      <c r="U96" s="358" t="str">
        <f t="shared" si="79"/>
        <v/>
      </c>
      <c r="V96" s="358" t="str">
        <f t="shared" si="80"/>
        <v/>
      </c>
      <c r="W96" s="358" t="str">
        <f t="shared" si="81"/>
        <v/>
      </c>
      <c r="X96" s="358" t="str">
        <f t="shared" si="82"/>
        <v/>
      </c>
      <c r="Y96" s="358" t="str">
        <f t="shared" si="83"/>
        <v/>
      </c>
      <c r="Z96" s="358" t="str">
        <f t="shared" si="84"/>
        <v/>
      </c>
      <c r="AA96" s="111" t="s">
        <v>1998</v>
      </c>
      <c r="AB96" s="358" t="str">
        <f t="shared" si="85"/>
        <v>A104.+Intercooler</v>
      </c>
      <c r="AC96" s="358" t="str">
        <f>VLOOKUP(B96,'3. Keep &amp; Toss Items'!$O$9:$R$749,4,FALSE)</f>
        <v>A104. Intercooler</v>
      </c>
      <c r="AD96" s="358" t="str">
        <f t="shared" si="86"/>
        <v>A104. Intercooler</v>
      </c>
      <c r="AE96" s="358" t="str">
        <f t="shared" si="87"/>
        <v>A104.+Intercooler</v>
      </c>
      <c r="AF96" s="358" t="str">
        <f t="shared" si="88"/>
        <v>A104.+Intercooler</v>
      </c>
      <c r="AG96" s="358" t="str">
        <f t="shared" si="89"/>
        <v>A104.+Intercooler</v>
      </c>
      <c r="AH96" s="358" t="str">
        <f t="shared" si="90"/>
        <v>A104.+Intercooler</v>
      </c>
      <c r="AI96" s="358" t="str">
        <f t="shared" si="91"/>
        <v>A104.+Intercooler</v>
      </c>
      <c r="AJ96" s="358" t="str">
        <f t="shared" si="92"/>
        <v>A104.+Intercooler</v>
      </c>
      <c r="AK96" s="358" t="str">
        <f t="shared" si="93"/>
        <v>A104.+Intercooler</v>
      </c>
      <c r="AL96" s="358" t="str">
        <f t="shared" si="62"/>
        <v>A104.+Intercooler</v>
      </c>
      <c r="AM96" s="358" t="str">
        <f t="shared" si="94"/>
        <v>A104.+Intercooler</v>
      </c>
      <c r="AN96" s="358" t="str">
        <f t="shared" si="95"/>
        <v>A104.+Intercooler</v>
      </c>
      <c r="AO96" s="359" t="s">
        <v>1999</v>
      </c>
      <c r="AP96" s="359" t="s">
        <v>2000</v>
      </c>
      <c r="AQ96" s="359" t="s">
        <v>2001</v>
      </c>
      <c r="AR96" s="359" t="s">
        <v>2002</v>
      </c>
      <c r="AS96" s="359" t="s">
        <v>2003</v>
      </c>
      <c r="AT96" s="359" t="s">
        <v>2004</v>
      </c>
      <c r="AU96" s="359" t="s">
        <v>2005</v>
      </c>
      <c r="AV96" s="359" t="s">
        <v>2006</v>
      </c>
      <c r="AW96" s="359" t="s">
        <v>2007</v>
      </c>
      <c r="AX96" s="359" t="s">
        <v>2008</v>
      </c>
      <c r="AY96" s="359" t="s">
        <v>2009</v>
      </c>
      <c r="AZ96" s="359" t="s">
        <v>2010</v>
      </c>
      <c r="BA96" s="359" t="s">
        <v>2011</v>
      </c>
      <c r="BB96" s="359" t="s">
        <v>2012</v>
      </c>
      <c r="BC96" s="359" t="s">
        <v>2013</v>
      </c>
      <c r="BD96" s="359" t="s">
        <v>2014</v>
      </c>
      <c r="BE96" s="359" t="s">
        <v>2015</v>
      </c>
      <c r="BF96" s="359" t="s">
        <v>2016</v>
      </c>
      <c r="BG96" s="359" t="s">
        <v>2017</v>
      </c>
      <c r="BH96" s="359" t="s">
        <v>2018</v>
      </c>
      <c r="BI96" s="359" t="s">
        <v>2019</v>
      </c>
      <c r="BJ96" s="359" t="s">
        <v>2020</v>
      </c>
      <c r="BK96" s="359" t="s">
        <v>2021</v>
      </c>
      <c r="BL96" s="359" t="s">
        <v>2022</v>
      </c>
      <c r="BM96" s="359" t="s">
        <v>2023</v>
      </c>
      <c r="BN96" s="359" t="s">
        <v>2024</v>
      </c>
      <c r="BO96" s="147" t="str">
        <f t="shared" si="63"/>
        <v>Pic Example</v>
      </c>
    </row>
    <row r="97" spans="2:67" x14ac:dyDescent="0.25">
      <c r="B97" t="s">
        <v>349</v>
      </c>
      <c r="C97" s="358" t="str">
        <f t="shared" si="96"/>
        <v>https://viking-pictures.s3.us-west-1.amazonaws.com/AA1155/A105.+Seat+Track+WITH+Motors%2C+FRONT+RIGHT+(1).JPG|https://viking-pictures.s3.us-west-1.amazonaws.com/AA1155/A105.+Seat+Track+WITH+Motors%2C+FRONT+RIGHT+(2).JPG|https://viking-pictures.s3.us-west-1.amazonaws.com/AA1155/A105.+Seat+Track+WITH+Motors%2C+FRONT+RIGHT+(3).JPG|https://viking-pictures.s3.us-west-1.amazonaws.com/AA1155/A105.+Seat+Track+WITH+Motors%2C+FRONT+RIGHT+(4).JPG|https://viking-pictures.s3.us-west-1.amazonaws.com/AA1155/A105.+Seat+Track+WITH+Motors%2C+FRONT+RIGHT+(6).JPG|https://viking-pictures.s3.us-west-1.amazonaws.com/AA1155/A105.+Seat+Track+WITH+Motors%2C+FRONT+RIGHT+(8).JPG</v>
      </c>
      <c r="D97" s="358">
        <f>VLOOKUP(B97,'3. Keep &amp; Toss Items'!$O$9:$T$749,6,FALSE)</f>
        <v>8</v>
      </c>
      <c r="E97" s="358" t="str">
        <f t="shared" si="61"/>
        <v>https://viking-pictures.s3.us-west-1.amazonaws.com/AA1155/A105.+Seat+Track+WITH+Motors%2C+FRONT+RIGHT+(1).JPG</v>
      </c>
      <c r="F97" s="358" t="str">
        <f t="shared" si="64"/>
        <v>https://viking-pictures.s3.us-west-1.amazonaws.com/AA1155/A105.+Seat+Track+WITH+Motors%2C+FRONT+RIGHT+(2).JPG</v>
      </c>
      <c r="G97" s="358" t="str">
        <f t="shared" si="65"/>
        <v>https://viking-pictures.s3.us-west-1.amazonaws.com/AA1155/A105.+Seat+Track+WITH+Motors%2C+FRONT+RIGHT+(3).JPG</v>
      </c>
      <c r="H97" s="358" t="str">
        <f t="shared" si="66"/>
        <v>https://viking-pictures.s3.us-west-1.amazonaws.com/AA1155/A105.+Seat+Track+WITH+Motors%2C+FRONT+RIGHT+(4).JPG</v>
      </c>
      <c r="I97" s="358" t="str">
        <f t="shared" si="67"/>
        <v>https://viking-pictures.s3.us-west-1.amazonaws.com/AA1155/A105.+Seat+Track+WITH+Motors%2C+FRONT+RIGHT+(6).JPG</v>
      </c>
      <c r="J97" s="358" t="str">
        <f t="shared" si="68"/>
        <v>https://viking-pictures.s3.us-west-1.amazonaws.com/AA1155/A105.+Seat+Track+WITH+Motors%2C+FRONT+RIGHT+(8).JPG</v>
      </c>
      <c r="K97" s="358" t="str">
        <f t="shared" si="69"/>
        <v/>
      </c>
      <c r="L97" s="358" t="str">
        <f t="shared" si="70"/>
        <v/>
      </c>
      <c r="M97" s="358" t="str">
        <f t="shared" si="71"/>
        <v/>
      </c>
      <c r="N97" s="358" t="str">
        <f t="shared" si="72"/>
        <v/>
      </c>
      <c r="O97" s="358" t="str">
        <f t="shared" si="73"/>
        <v/>
      </c>
      <c r="P97" s="358" t="str">
        <f t="shared" si="74"/>
        <v/>
      </c>
      <c r="Q97" s="358" t="str">
        <f t="shared" si="75"/>
        <v/>
      </c>
      <c r="R97" s="358" t="str">
        <f t="shared" si="76"/>
        <v/>
      </c>
      <c r="S97" s="358" t="str">
        <f t="shared" si="77"/>
        <v/>
      </c>
      <c r="T97" s="358" t="str">
        <f t="shared" si="78"/>
        <v/>
      </c>
      <c r="U97" s="358" t="str">
        <f t="shared" si="79"/>
        <v/>
      </c>
      <c r="V97" s="358" t="str">
        <f t="shared" si="80"/>
        <v/>
      </c>
      <c r="W97" s="358" t="str">
        <f t="shared" si="81"/>
        <v/>
      </c>
      <c r="X97" s="358" t="str">
        <f t="shared" si="82"/>
        <v/>
      </c>
      <c r="Y97" s="358" t="str">
        <f t="shared" si="83"/>
        <v/>
      </c>
      <c r="Z97" s="358" t="str">
        <f t="shared" si="84"/>
        <v/>
      </c>
      <c r="AA97" s="111" t="s">
        <v>1998</v>
      </c>
      <c r="AB97" s="358" t="str">
        <f t="shared" si="85"/>
        <v>A105.+Seat+Track+WITH+Motors%2C+FRONT+RIGHT</v>
      </c>
      <c r="AC97" s="358" t="str">
        <f>VLOOKUP(B97,'3. Keep &amp; Toss Items'!$O$9:$R$749,4,FALSE)</f>
        <v>A105. Seat Track WITH Motors, FRONT RIGHT</v>
      </c>
      <c r="AD97" s="358" t="str">
        <f t="shared" si="86"/>
        <v>A105. Seat Track WITH Motors, FRONT RIGHT</v>
      </c>
      <c r="AE97" s="358" t="str">
        <f t="shared" si="87"/>
        <v>A105.+Seat+Track+WITH+Motors,+FRONT+RIGHT</v>
      </c>
      <c r="AF97" s="358" t="str">
        <f t="shared" si="88"/>
        <v>A105.+Seat+Track+WITH+Motors%2C+FRONT+RIGHT</v>
      </c>
      <c r="AG97" s="358" t="str">
        <f t="shared" si="89"/>
        <v>A105.+Seat+Track+WITH+Motors%2C+FRONT+RIGHT</v>
      </c>
      <c r="AH97" s="358" t="str">
        <f t="shared" si="90"/>
        <v>A105.+Seat+Track+WITH+Motors%2C+FRONT+RIGHT</v>
      </c>
      <c r="AI97" s="358" t="str">
        <f t="shared" si="91"/>
        <v>A105.+Seat+Track+WITH+Motors%2C+FRONT+RIGHT</v>
      </c>
      <c r="AJ97" s="358" t="str">
        <f t="shared" si="92"/>
        <v>A105.+Seat+Track+WITH+Motors%2C+FRONT+RIGHT</v>
      </c>
      <c r="AK97" s="358" t="str">
        <f t="shared" si="93"/>
        <v>A105.+Seat+Track+WITH+Motors%2C+FRONT+RIGHT</v>
      </c>
      <c r="AL97" s="358" t="str">
        <f t="shared" si="62"/>
        <v>A105.+Seat+Track+WITH+Motors%2C+FRONT+RIGHT</v>
      </c>
      <c r="AM97" s="358" t="str">
        <f t="shared" si="94"/>
        <v>A105.+Seat+Track+WITH+Motors%2C+FRONT+RIGHT</v>
      </c>
      <c r="AN97" s="358" t="str">
        <f t="shared" si="95"/>
        <v>A105.+Seat+Track+WITH+Motors%2C+FRONT+RIGHT</v>
      </c>
      <c r="AO97" s="359" t="s">
        <v>1999</v>
      </c>
      <c r="AP97" s="359" t="s">
        <v>2000</v>
      </c>
      <c r="AQ97" s="359" t="s">
        <v>2001</v>
      </c>
      <c r="AR97" s="359" t="s">
        <v>2002</v>
      </c>
      <c r="AS97" s="359" t="s">
        <v>2003</v>
      </c>
      <c r="AT97" s="359" t="s">
        <v>2004</v>
      </c>
      <c r="AU97" s="359" t="s">
        <v>2005</v>
      </c>
      <c r="AV97" s="359" t="s">
        <v>2006</v>
      </c>
      <c r="AW97" s="359" t="s">
        <v>2007</v>
      </c>
      <c r="AX97" s="359" t="s">
        <v>2008</v>
      </c>
      <c r="AY97" s="359" t="s">
        <v>2009</v>
      </c>
      <c r="AZ97" s="359" t="s">
        <v>2010</v>
      </c>
      <c r="BA97" s="359" t="s">
        <v>2011</v>
      </c>
      <c r="BB97" s="359" t="s">
        <v>2012</v>
      </c>
      <c r="BC97" s="359" t="s">
        <v>2013</v>
      </c>
      <c r="BD97" s="359" t="s">
        <v>2014</v>
      </c>
      <c r="BE97" s="359" t="s">
        <v>2015</v>
      </c>
      <c r="BF97" s="359" t="s">
        <v>2016</v>
      </c>
      <c r="BG97" s="359" t="s">
        <v>2017</v>
      </c>
      <c r="BH97" s="359" t="s">
        <v>2018</v>
      </c>
      <c r="BI97" s="359" t="s">
        <v>2019</v>
      </c>
      <c r="BJ97" s="359" t="s">
        <v>2020</v>
      </c>
      <c r="BK97" s="359" t="s">
        <v>2021</v>
      </c>
      <c r="BL97" s="359" t="s">
        <v>2022</v>
      </c>
      <c r="BM97" s="359" t="s">
        <v>2023</v>
      </c>
      <c r="BN97" s="359" t="s">
        <v>2024</v>
      </c>
      <c r="BO97" s="147" t="str">
        <f t="shared" si="63"/>
        <v>Pic Example</v>
      </c>
    </row>
    <row r="98" spans="2:67" x14ac:dyDescent="0.25">
      <c r="B98" t="s">
        <v>350</v>
      </c>
      <c r="C98" s="358" t="str">
        <f t="shared" si="96"/>
        <v>https://viking-pictures.s3.us-west-1.amazonaws.com/AA1155/A106.+Seat+Track+WITH+Motors%2C+FRONT+LEFT+(1).JPG|https://viking-pictures.s3.us-west-1.amazonaws.com/AA1155/A106.+Seat+Track+WITH+Motors%2C+FRONT+LEFT+(2).JPG|https://viking-pictures.s3.us-west-1.amazonaws.com/AA1155/A106.+Seat+Track+WITH+Motors%2C+FRONT+LEFT+(3).JPG|https://viking-pictures.s3.us-west-1.amazonaws.com/AA1155/A106.+Seat+Track+WITH+Motors%2C+FRONT+LEFT+(4).JPG|https://viking-pictures.s3.us-west-1.amazonaws.com/AA1155/A106.+Seat+Track+WITH+Motors%2C+FRONT+LEFT+(6).JPG|https://viking-pictures.s3.us-west-1.amazonaws.com/AA1155/A106.+Seat+Track+WITH+Motors%2C+FRONT+LEFT+(8).JPG|https://viking-pictures.s3.us-west-1.amazonaws.com/AA1155/A106.+Seat+Track+WITH+Motors%2C+FRONT+LEFT+(9).JPG</v>
      </c>
      <c r="D98" s="358">
        <f>VLOOKUP(B98,'3. Keep &amp; Toss Items'!$O$9:$T$749,6,FALSE)</f>
        <v>9</v>
      </c>
      <c r="E98" s="358" t="str">
        <f t="shared" si="61"/>
        <v>https://viking-pictures.s3.us-west-1.amazonaws.com/AA1155/A106.+Seat+Track+WITH+Motors%2C+FRONT+LEFT+(1).JPG</v>
      </c>
      <c r="F98" s="358" t="str">
        <f t="shared" si="64"/>
        <v>https://viking-pictures.s3.us-west-1.amazonaws.com/AA1155/A106.+Seat+Track+WITH+Motors%2C+FRONT+LEFT+(2).JPG</v>
      </c>
      <c r="G98" s="358" t="str">
        <f t="shared" si="65"/>
        <v>https://viking-pictures.s3.us-west-1.amazonaws.com/AA1155/A106.+Seat+Track+WITH+Motors%2C+FRONT+LEFT+(3).JPG</v>
      </c>
      <c r="H98" s="358" t="str">
        <f t="shared" si="66"/>
        <v>https://viking-pictures.s3.us-west-1.amazonaws.com/AA1155/A106.+Seat+Track+WITH+Motors%2C+FRONT+LEFT+(4).JPG</v>
      </c>
      <c r="I98" s="358" t="str">
        <f t="shared" si="67"/>
        <v>https://viking-pictures.s3.us-west-1.amazonaws.com/AA1155/A106.+Seat+Track+WITH+Motors%2C+FRONT+LEFT+(6).JPG</v>
      </c>
      <c r="J98" s="358" t="str">
        <f t="shared" si="68"/>
        <v>https://viking-pictures.s3.us-west-1.amazonaws.com/AA1155/A106.+Seat+Track+WITH+Motors%2C+FRONT+LEFT+(8).JPG</v>
      </c>
      <c r="K98" s="358" t="str">
        <f t="shared" si="69"/>
        <v>https://viking-pictures.s3.us-west-1.amazonaws.com/AA1155/A106.+Seat+Track+WITH+Motors%2C+FRONT+LEFT+(9).JPG</v>
      </c>
      <c r="L98" s="358" t="str">
        <f t="shared" si="70"/>
        <v/>
      </c>
      <c r="M98" s="358" t="str">
        <f t="shared" si="71"/>
        <v/>
      </c>
      <c r="N98" s="358" t="str">
        <f t="shared" si="72"/>
        <v/>
      </c>
      <c r="O98" s="358" t="str">
        <f t="shared" si="73"/>
        <v/>
      </c>
      <c r="P98" s="358" t="str">
        <f t="shared" si="74"/>
        <v/>
      </c>
      <c r="Q98" s="358" t="str">
        <f t="shared" si="75"/>
        <v/>
      </c>
      <c r="R98" s="358" t="str">
        <f t="shared" si="76"/>
        <v/>
      </c>
      <c r="S98" s="358" t="str">
        <f t="shared" si="77"/>
        <v/>
      </c>
      <c r="T98" s="358" t="str">
        <f t="shared" si="78"/>
        <v/>
      </c>
      <c r="U98" s="358" t="str">
        <f t="shared" si="79"/>
        <v/>
      </c>
      <c r="V98" s="358" t="str">
        <f t="shared" si="80"/>
        <v/>
      </c>
      <c r="W98" s="358" t="str">
        <f t="shared" si="81"/>
        <v/>
      </c>
      <c r="X98" s="358" t="str">
        <f t="shared" si="82"/>
        <v/>
      </c>
      <c r="Y98" s="358" t="str">
        <f t="shared" si="83"/>
        <v/>
      </c>
      <c r="Z98" s="358" t="str">
        <f t="shared" si="84"/>
        <v/>
      </c>
      <c r="AA98" s="111" t="s">
        <v>1998</v>
      </c>
      <c r="AB98" s="358" t="str">
        <f t="shared" si="85"/>
        <v>A106.+Seat+Track+WITH+Motors%2C+FRONT+LEFT</v>
      </c>
      <c r="AC98" s="358" t="str">
        <f>VLOOKUP(B98,'3. Keep &amp; Toss Items'!$O$9:$R$749,4,FALSE)</f>
        <v>A106. Seat Track WITH Motors, FRONT LEFT</v>
      </c>
      <c r="AD98" s="358" t="str">
        <f t="shared" si="86"/>
        <v>A106. Seat Track WITH Motors, FRONT LEFT</v>
      </c>
      <c r="AE98" s="358" t="str">
        <f t="shared" si="87"/>
        <v>A106.+Seat+Track+WITH+Motors,+FRONT+LEFT</v>
      </c>
      <c r="AF98" s="358" t="str">
        <f t="shared" si="88"/>
        <v>A106.+Seat+Track+WITH+Motors%2C+FRONT+LEFT</v>
      </c>
      <c r="AG98" s="358" t="str">
        <f t="shared" si="89"/>
        <v>A106.+Seat+Track+WITH+Motors%2C+FRONT+LEFT</v>
      </c>
      <c r="AH98" s="358" t="str">
        <f t="shared" si="90"/>
        <v>A106.+Seat+Track+WITH+Motors%2C+FRONT+LEFT</v>
      </c>
      <c r="AI98" s="358" t="str">
        <f t="shared" si="91"/>
        <v>A106.+Seat+Track+WITH+Motors%2C+FRONT+LEFT</v>
      </c>
      <c r="AJ98" s="358" t="str">
        <f t="shared" si="92"/>
        <v>A106.+Seat+Track+WITH+Motors%2C+FRONT+LEFT</v>
      </c>
      <c r="AK98" s="358" t="str">
        <f t="shared" si="93"/>
        <v>A106.+Seat+Track+WITH+Motors%2C+FRONT+LEFT</v>
      </c>
      <c r="AL98" s="358" t="str">
        <f t="shared" si="62"/>
        <v>A106.+Seat+Track+WITH+Motors%2C+FRONT+LEFT</v>
      </c>
      <c r="AM98" s="358" t="str">
        <f t="shared" si="94"/>
        <v>A106.+Seat+Track+WITH+Motors%2C+FRONT+LEFT</v>
      </c>
      <c r="AN98" s="358" t="str">
        <f t="shared" si="95"/>
        <v>A106.+Seat+Track+WITH+Motors%2C+FRONT+LEFT</v>
      </c>
      <c r="AO98" s="359" t="s">
        <v>1999</v>
      </c>
      <c r="AP98" s="359" t="s">
        <v>2000</v>
      </c>
      <c r="AQ98" s="359" t="s">
        <v>2001</v>
      </c>
      <c r="AR98" s="359" t="s">
        <v>2002</v>
      </c>
      <c r="AS98" s="359" t="s">
        <v>2003</v>
      </c>
      <c r="AT98" s="359" t="s">
        <v>2004</v>
      </c>
      <c r="AU98" s="359" t="s">
        <v>2005</v>
      </c>
      <c r="AV98" s="359" t="s">
        <v>2006</v>
      </c>
      <c r="AW98" s="359" t="s">
        <v>2007</v>
      </c>
      <c r="AX98" s="359" t="s">
        <v>2008</v>
      </c>
      <c r="AY98" s="359" t="s">
        <v>2009</v>
      </c>
      <c r="AZ98" s="359" t="s">
        <v>2010</v>
      </c>
      <c r="BA98" s="359" t="s">
        <v>2011</v>
      </c>
      <c r="BB98" s="359" t="s">
        <v>2012</v>
      </c>
      <c r="BC98" s="359" t="s">
        <v>2013</v>
      </c>
      <c r="BD98" s="359" t="s">
        <v>2014</v>
      </c>
      <c r="BE98" s="359" t="s">
        <v>2015</v>
      </c>
      <c r="BF98" s="359" t="s">
        <v>2016</v>
      </c>
      <c r="BG98" s="359" t="s">
        <v>2017</v>
      </c>
      <c r="BH98" s="359" t="s">
        <v>2018</v>
      </c>
      <c r="BI98" s="359" t="s">
        <v>2019</v>
      </c>
      <c r="BJ98" s="359" t="s">
        <v>2020</v>
      </c>
      <c r="BK98" s="359" t="s">
        <v>2021</v>
      </c>
      <c r="BL98" s="359" t="s">
        <v>2022</v>
      </c>
      <c r="BM98" s="359" t="s">
        <v>2023</v>
      </c>
      <c r="BN98" s="359" t="s">
        <v>2024</v>
      </c>
      <c r="BO98" s="147" t="str">
        <f t="shared" si="63"/>
        <v>Pic Example</v>
      </c>
    </row>
    <row r="99" spans="2:67" x14ac:dyDescent="0.25">
      <c r="B99" t="s">
        <v>351</v>
      </c>
      <c r="C99" s="358" t="str">
        <f t="shared" si="96"/>
        <v>https://viking-pictures.s3.us-west-1.amazonaws.com/AA1155/A107.+Trunk+Assembly+-+LOWER+TAILGATE+(1).JPG|https://viking-pictures.s3.us-west-1.amazonaws.com/AA1155/A107.+Trunk+Assembly+-+LOWER+TAILGATE+(2).JPG|https://viking-pictures.s3.us-west-1.amazonaws.com/AA1155/A107.+Trunk+Assembly+-+LOWER+TAILGATE+(3).JPG|https://viking-pictures.s3.us-west-1.amazonaws.com/AA1155/A107.+Trunk+Assembly+-+LOWER+TAILGATE+(4).JPG|https://viking-pictures.s3.us-west-1.amazonaws.com/AA1155/A107.+Trunk+Assembly+-+LOWER+TAILGATE+(6).JPG|https://viking-pictures.s3.us-west-1.amazonaws.com/AA1155/A107.+Trunk+Assembly+-+LOWER+TAILGATE+(8).JPG</v>
      </c>
      <c r="D99" s="358">
        <f>VLOOKUP(B99,'3. Keep &amp; Toss Items'!$O$9:$T$749,6,FALSE)</f>
        <v>8</v>
      </c>
      <c r="E99" s="358" t="str">
        <f t="shared" ref="E99:E114" si="97">IF($D99&gt;=E$1,CONCATENATE($AA99,$AB99,$AO99,AP99,$BN99),"")</f>
        <v>https://viking-pictures.s3.us-west-1.amazonaws.com/AA1155/A107.+Trunk+Assembly+-+LOWER+TAILGATE+(1).JPG</v>
      </c>
      <c r="F99" s="358" t="str">
        <f t="shared" si="64"/>
        <v>https://viking-pictures.s3.us-west-1.amazonaws.com/AA1155/A107.+Trunk+Assembly+-+LOWER+TAILGATE+(2).JPG</v>
      </c>
      <c r="G99" s="358" t="str">
        <f t="shared" si="65"/>
        <v>https://viking-pictures.s3.us-west-1.amazonaws.com/AA1155/A107.+Trunk+Assembly+-+LOWER+TAILGATE+(3).JPG</v>
      </c>
      <c r="H99" s="358" t="str">
        <f t="shared" si="66"/>
        <v>https://viking-pictures.s3.us-west-1.amazonaws.com/AA1155/A107.+Trunk+Assembly+-+LOWER+TAILGATE+(4).JPG</v>
      </c>
      <c r="I99" s="358" t="str">
        <f t="shared" si="67"/>
        <v>https://viking-pictures.s3.us-west-1.amazonaws.com/AA1155/A107.+Trunk+Assembly+-+LOWER+TAILGATE+(6).JPG</v>
      </c>
      <c r="J99" s="358" t="str">
        <f t="shared" si="68"/>
        <v>https://viking-pictures.s3.us-west-1.amazonaws.com/AA1155/A107.+Trunk+Assembly+-+LOWER+TAILGATE+(8).JPG</v>
      </c>
      <c r="K99" s="358" t="str">
        <f t="shared" si="69"/>
        <v/>
      </c>
      <c r="L99" s="358" t="str">
        <f t="shared" si="70"/>
        <v/>
      </c>
      <c r="M99" s="358" t="str">
        <f t="shared" si="71"/>
        <v/>
      </c>
      <c r="N99" s="358" t="str">
        <f t="shared" si="72"/>
        <v/>
      </c>
      <c r="O99" s="358" t="str">
        <f t="shared" si="73"/>
        <v/>
      </c>
      <c r="P99" s="358" t="str">
        <f t="shared" si="74"/>
        <v/>
      </c>
      <c r="Q99" s="358" t="str">
        <f t="shared" si="75"/>
        <v/>
      </c>
      <c r="R99" s="358" t="str">
        <f t="shared" si="76"/>
        <v/>
      </c>
      <c r="S99" s="358" t="str">
        <f t="shared" si="77"/>
        <v/>
      </c>
      <c r="T99" s="358" t="str">
        <f t="shared" si="78"/>
        <v/>
      </c>
      <c r="U99" s="358" t="str">
        <f t="shared" si="79"/>
        <v/>
      </c>
      <c r="V99" s="358" t="str">
        <f t="shared" si="80"/>
        <v/>
      </c>
      <c r="W99" s="358" t="str">
        <f t="shared" si="81"/>
        <v/>
      </c>
      <c r="X99" s="358" t="str">
        <f t="shared" si="82"/>
        <v/>
      </c>
      <c r="Y99" s="358" t="str">
        <f t="shared" si="83"/>
        <v/>
      </c>
      <c r="Z99" s="358" t="str">
        <f t="shared" si="84"/>
        <v/>
      </c>
      <c r="AA99" s="111" t="s">
        <v>1998</v>
      </c>
      <c r="AB99" s="358" t="str">
        <f t="shared" si="85"/>
        <v>A107.+Trunk+Assembly+-+LOWER+TAILGATE</v>
      </c>
      <c r="AC99" s="358" t="str">
        <f>VLOOKUP(B99,'3. Keep &amp; Toss Items'!$O$9:$R$749,4,FALSE)</f>
        <v>A107. Trunk Assembly - LOWER TAILGATE</v>
      </c>
      <c r="AD99" s="358" t="str">
        <f t="shared" si="86"/>
        <v>A107. Trunk Assembly - LOWER TAILGATE</v>
      </c>
      <c r="AE99" s="358" t="str">
        <f t="shared" si="87"/>
        <v>A107.+Trunk+Assembly+-+LOWER+TAILGATE</v>
      </c>
      <c r="AF99" s="358" t="str">
        <f t="shared" si="88"/>
        <v>A107.+Trunk+Assembly+-+LOWER+TAILGATE</v>
      </c>
      <c r="AG99" s="358" t="str">
        <f t="shared" si="89"/>
        <v>A107.+Trunk+Assembly+-+LOWER+TAILGATE</v>
      </c>
      <c r="AH99" s="358" t="str">
        <f t="shared" si="90"/>
        <v>A107.+Trunk+Assembly+-+LOWER+TAILGATE</v>
      </c>
      <c r="AI99" s="358" t="str">
        <f t="shared" si="91"/>
        <v>A107.+Trunk+Assembly+-+LOWER+TAILGATE</v>
      </c>
      <c r="AJ99" s="358" t="str">
        <f t="shared" si="92"/>
        <v>A107.+Trunk+Assembly+-+LOWER+TAILGATE</v>
      </c>
      <c r="AK99" s="358" t="str">
        <f t="shared" si="93"/>
        <v>A107.+Trunk+Assembly+-+LOWER+TAILGATE</v>
      </c>
      <c r="AL99" s="358" t="str">
        <f t="shared" ref="AL99:AL114" si="98">SUBSTITUTE(AK99,"?","%3F")</f>
        <v>A107.+Trunk+Assembly+-+LOWER+TAILGATE</v>
      </c>
      <c r="AM99" s="358" t="str">
        <f t="shared" si="94"/>
        <v>A107.+Trunk+Assembly+-+LOWER+TAILGATE</v>
      </c>
      <c r="AN99" s="358" t="str">
        <f t="shared" si="95"/>
        <v>A107.+Trunk+Assembly+-+LOWER+TAILGATE</v>
      </c>
      <c r="AO99" s="359" t="s">
        <v>1999</v>
      </c>
      <c r="AP99" s="359" t="s">
        <v>2000</v>
      </c>
      <c r="AQ99" s="359" t="s">
        <v>2001</v>
      </c>
      <c r="AR99" s="359" t="s">
        <v>2002</v>
      </c>
      <c r="AS99" s="359" t="s">
        <v>2003</v>
      </c>
      <c r="AT99" s="359" t="s">
        <v>2004</v>
      </c>
      <c r="AU99" s="359" t="s">
        <v>2005</v>
      </c>
      <c r="AV99" s="359" t="s">
        <v>2006</v>
      </c>
      <c r="AW99" s="359" t="s">
        <v>2007</v>
      </c>
      <c r="AX99" s="359" t="s">
        <v>2008</v>
      </c>
      <c r="AY99" s="359" t="s">
        <v>2009</v>
      </c>
      <c r="AZ99" s="359" t="s">
        <v>2010</v>
      </c>
      <c r="BA99" s="359" t="s">
        <v>2011</v>
      </c>
      <c r="BB99" s="359" t="s">
        <v>2012</v>
      </c>
      <c r="BC99" s="359" t="s">
        <v>2013</v>
      </c>
      <c r="BD99" s="359" t="s">
        <v>2014</v>
      </c>
      <c r="BE99" s="359" t="s">
        <v>2015</v>
      </c>
      <c r="BF99" s="359" t="s">
        <v>2016</v>
      </c>
      <c r="BG99" s="359" t="s">
        <v>2017</v>
      </c>
      <c r="BH99" s="359" t="s">
        <v>2018</v>
      </c>
      <c r="BI99" s="359" t="s">
        <v>2019</v>
      </c>
      <c r="BJ99" s="359" t="s">
        <v>2020</v>
      </c>
      <c r="BK99" s="359" t="s">
        <v>2021</v>
      </c>
      <c r="BL99" s="359" t="s">
        <v>2022</v>
      </c>
      <c r="BM99" s="359" t="s">
        <v>2023</v>
      </c>
      <c r="BN99" s="359" t="s">
        <v>2024</v>
      </c>
      <c r="BO99" s="147" t="str">
        <f t="shared" ref="BO99:BO114" si="99">HYPERLINK(E99,"Pic Example")</f>
        <v>Pic Example</v>
      </c>
    </row>
    <row r="100" spans="2:67" x14ac:dyDescent="0.25">
      <c r="B100" t="s">
        <v>352</v>
      </c>
      <c r="C100" s="358" t="str">
        <f t="shared" si="96"/>
        <v>https://viking-pictures.s3.us-west-1.amazonaws.com/AA1155/A108.+Differential%2C+REAR+(1).JPG|https://viking-pictures.s3.us-west-1.amazonaws.com/AA1155/A108.+Differential%2C+REAR+(2).JPG|https://viking-pictures.s3.us-west-1.amazonaws.com/AA1155/A108.+Differential%2C+REAR+(3).JPG|https://viking-pictures.s3.us-west-1.amazonaws.com/AA1155/A108.+Differential%2C+REAR+(4).JPG|https://viking-pictures.s3.us-west-1.amazonaws.com/AA1155/A108.+Differential%2C+REAR+(6).JPG</v>
      </c>
      <c r="D100" s="358">
        <f>VLOOKUP(B100,'3. Keep &amp; Toss Items'!$O$9:$T$749,6,FALSE)</f>
        <v>6</v>
      </c>
      <c r="E100" s="358" t="str">
        <f t="shared" si="97"/>
        <v>https://viking-pictures.s3.us-west-1.amazonaws.com/AA1155/A108.+Differential%2C+REAR+(1).JPG</v>
      </c>
      <c r="F100" s="358" t="str">
        <f t="shared" ref="F100:F114" si="100">IF($D100&gt;=F$1,CONCATENATE($AA100,$AB100,$AO100,AQ100,$BN100),"")</f>
        <v>https://viking-pictures.s3.us-west-1.amazonaws.com/AA1155/A108.+Differential%2C+REAR+(2).JPG</v>
      </c>
      <c r="G100" s="358" t="str">
        <f t="shared" ref="G100:G114" si="101">IF($D100&gt;=G$1,CONCATENATE($AA100,$AB100,$AO100,AR100,$BN100),"")</f>
        <v>https://viking-pictures.s3.us-west-1.amazonaws.com/AA1155/A108.+Differential%2C+REAR+(3).JPG</v>
      </c>
      <c r="H100" s="358" t="str">
        <f t="shared" ref="H100:H114" si="102">IF($D100&gt;=H$1,CONCATENATE($AA100,$AB100,$AO100,AS100,$BN100),"")</f>
        <v>https://viking-pictures.s3.us-west-1.amazonaws.com/AA1155/A108.+Differential%2C+REAR+(4).JPG</v>
      </c>
      <c r="I100" s="358" t="str">
        <f t="shared" ref="I100:I114" si="103">IF($D100&gt;=I$1,CONCATENATE($AA100,$AB100,$AO100,AU100,$BN100),"")</f>
        <v>https://viking-pictures.s3.us-west-1.amazonaws.com/AA1155/A108.+Differential%2C+REAR+(6).JPG</v>
      </c>
      <c r="J100" s="358" t="str">
        <f t="shared" ref="J100:J114" si="104">IF($D100&gt;=J$1,CONCATENATE($AA100,$AB100,$AO100,AW100,$BN100),"")</f>
        <v/>
      </c>
      <c r="K100" s="358" t="str">
        <f t="shared" ref="K100:K114" si="105">IF($D100&gt;=K$1,CONCATENATE($AA100,$AB100,$AO100,AX100,$BN100),"")</f>
        <v/>
      </c>
      <c r="L100" s="358" t="str">
        <f t="shared" ref="L100:L114" si="106">IF($D100&gt;=L$1,CONCATENATE($AA100,$AB100,$AO100,AY100,$BN100),"")</f>
        <v/>
      </c>
      <c r="M100" s="358" t="str">
        <f t="shared" ref="M100:M114" si="107">IF($D100&gt;=M$1,CONCATENATE($AA100,$AB100,$AO100,AZ100,$BN100),"")</f>
        <v/>
      </c>
      <c r="N100" s="358" t="str">
        <f t="shared" ref="N100:N114" si="108">IF($D100&gt;=N$1,CONCATENATE($AA100,$AB100,$AO100,BA100,$BN100),"")</f>
        <v/>
      </c>
      <c r="O100" s="358" t="str">
        <f t="shared" ref="O100:O114" si="109">IF($D100&gt;=O$1,CONCATENATE($AA100,$AB100,$AO100,BB100,$BN100),"")</f>
        <v/>
      </c>
      <c r="P100" s="358" t="str">
        <f t="shared" ref="P100:P114" si="110">IF($D100&gt;=P$1,CONCATENATE($AA100,$AB100,$AO100,BC100,$BN100),"")</f>
        <v/>
      </c>
      <c r="Q100" s="358" t="str">
        <f t="shared" ref="Q100:Q114" si="111">IF($D100&gt;=Q$1,CONCATENATE($AA100,$AB100,$AO100,BD100,$BN100),"")</f>
        <v/>
      </c>
      <c r="R100" s="358" t="str">
        <f t="shared" ref="R100:R114" si="112">IF($D100&gt;=R$1,CONCATENATE($AA100,$AB100,$AO100,BE100,$BN100),"")</f>
        <v/>
      </c>
      <c r="S100" s="358" t="str">
        <f t="shared" ref="S100:S114" si="113">IF($D100&gt;=S$1,CONCATENATE($AA100,$AB100,$AO100,BF100,$BN100),"")</f>
        <v/>
      </c>
      <c r="T100" s="358" t="str">
        <f t="shared" ref="T100:T114" si="114">IF($D100&gt;=T$1,CONCATENATE($AA100,$AB100,$AO100,BG100,$BN100),"")</f>
        <v/>
      </c>
      <c r="U100" s="358" t="str">
        <f t="shared" ref="U100:U114" si="115">IF($D100&gt;=U$1,CONCATENATE($AA100,$AB100,$AO100,BH100,$BN100),"")</f>
        <v/>
      </c>
      <c r="V100" s="358" t="str">
        <f t="shared" ref="V100:V114" si="116">IF($D100&gt;=V$1,CONCATENATE($AA100,$AB100,$AO100,BI100,$BN100),"")</f>
        <v/>
      </c>
      <c r="W100" s="358" t="str">
        <f t="shared" ref="W100:W114" si="117">IF($D100&gt;=W$1,CONCATENATE($AA100,$AB100,$AO100,BJ100,$BN100),"")</f>
        <v/>
      </c>
      <c r="X100" s="358" t="str">
        <f t="shared" ref="X100:X114" si="118">IF($D100&gt;=X$1,CONCATENATE($AA100,$AB100,$AO100,BK100,$BN100),"")</f>
        <v/>
      </c>
      <c r="Y100" s="358" t="str">
        <f t="shared" ref="Y100:Y114" si="119">IF($D100&gt;=Y$1,CONCATENATE($AA100,$AB100,$AO100,BL100,$BN100),"")</f>
        <v/>
      </c>
      <c r="Z100" s="358" t="str">
        <f t="shared" ref="Z100:Z114" si="120">IF($D100&gt;=Z$1,CONCATENATE($AA100,$AB100,$AO100,BM100,$BN100),"")</f>
        <v/>
      </c>
      <c r="AA100" s="111" t="s">
        <v>1998</v>
      </c>
      <c r="AB100" s="358" t="str">
        <f t="shared" si="85"/>
        <v>A108.+Differential%2C+REAR</v>
      </c>
      <c r="AC100" s="358" t="str">
        <f>VLOOKUP(B100,'3. Keep &amp; Toss Items'!$O$9:$R$749,4,FALSE)</f>
        <v>A108. Differential, REAR</v>
      </c>
      <c r="AD100" s="358" t="str">
        <f t="shared" si="86"/>
        <v>A108. Differential, REAR</v>
      </c>
      <c r="AE100" s="358" t="str">
        <f t="shared" si="87"/>
        <v>A108.+Differential,+REAR</v>
      </c>
      <c r="AF100" s="358" t="str">
        <f t="shared" si="88"/>
        <v>A108.+Differential%2C+REAR</v>
      </c>
      <c r="AG100" s="358" t="str">
        <f t="shared" si="89"/>
        <v>A108.+Differential%2C+REAR</v>
      </c>
      <c r="AH100" s="358" t="str">
        <f t="shared" si="90"/>
        <v>A108.+Differential%2C+REAR</v>
      </c>
      <c r="AI100" s="358" t="str">
        <f t="shared" si="91"/>
        <v>A108.+Differential%2C+REAR</v>
      </c>
      <c r="AJ100" s="358" t="str">
        <f t="shared" si="92"/>
        <v>A108.+Differential%2C+REAR</v>
      </c>
      <c r="AK100" s="358" t="str">
        <f t="shared" si="93"/>
        <v>A108.+Differential%2C+REAR</v>
      </c>
      <c r="AL100" s="358" t="str">
        <f t="shared" si="98"/>
        <v>A108.+Differential%2C+REAR</v>
      </c>
      <c r="AM100" s="358" t="str">
        <f t="shared" si="94"/>
        <v>A108.+Differential%2C+REAR</v>
      </c>
      <c r="AN100" s="358" t="str">
        <f t="shared" si="95"/>
        <v>A108.+Differential%2C+REAR</v>
      </c>
      <c r="AO100" s="359" t="s">
        <v>1999</v>
      </c>
      <c r="AP100" s="359" t="s">
        <v>2000</v>
      </c>
      <c r="AQ100" s="359" t="s">
        <v>2001</v>
      </c>
      <c r="AR100" s="359" t="s">
        <v>2002</v>
      </c>
      <c r="AS100" s="359" t="s">
        <v>2003</v>
      </c>
      <c r="AT100" s="359" t="s">
        <v>2004</v>
      </c>
      <c r="AU100" s="359" t="s">
        <v>2005</v>
      </c>
      <c r="AV100" s="359" t="s">
        <v>2006</v>
      </c>
      <c r="AW100" s="359" t="s">
        <v>2007</v>
      </c>
      <c r="AX100" s="359" t="s">
        <v>2008</v>
      </c>
      <c r="AY100" s="359" t="s">
        <v>2009</v>
      </c>
      <c r="AZ100" s="359" t="s">
        <v>2010</v>
      </c>
      <c r="BA100" s="359" t="s">
        <v>2011</v>
      </c>
      <c r="BB100" s="359" t="s">
        <v>2012</v>
      </c>
      <c r="BC100" s="359" t="s">
        <v>2013</v>
      </c>
      <c r="BD100" s="359" t="s">
        <v>2014</v>
      </c>
      <c r="BE100" s="359" t="s">
        <v>2015</v>
      </c>
      <c r="BF100" s="359" t="s">
        <v>2016</v>
      </c>
      <c r="BG100" s="359" t="s">
        <v>2017</v>
      </c>
      <c r="BH100" s="359" t="s">
        <v>2018</v>
      </c>
      <c r="BI100" s="359" t="s">
        <v>2019</v>
      </c>
      <c r="BJ100" s="359" t="s">
        <v>2020</v>
      </c>
      <c r="BK100" s="359" t="s">
        <v>2021</v>
      </c>
      <c r="BL100" s="359" t="s">
        <v>2022</v>
      </c>
      <c r="BM100" s="359" t="s">
        <v>2023</v>
      </c>
      <c r="BN100" s="359" t="s">
        <v>2024</v>
      </c>
      <c r="BO100" s="147" t="str">
        <f t="shared" si="99"/>
        <v>Pic Example</v>
      </c>
    </row>
    <row r="101" spans="2:67" x14ac:dyDescent="0.25">
      <c r="B101" t="s">
        <v>353</v>
      </c>
      <c r="C101" s="358" t="str">
        <f t="shared" si="96"/>
        <v>https://viking-pictures.s3.us-west-1.amazonaws.com/AA1155/A109.+Engine+Assembly+as+FULL+ASSEMBLY+(1).JPG|https://viking-pictures.s3.us-west-1.amazonaws.com/AA1155/A109.+Engine+Assembly+as+FULL+ASSEMBLY+(2).JPG|https://viking-pictures.s3.us-west-1.amazonaws.com/AA1155/A109.+Engine+Assembly+as+FULL+ASSEMBLY+(3).JPG|https://viking-pictures.s3.us-west-1.amazonaws.com/AA1155/A109.+Engine+Assembly+as+FULL+ASSEMBLY+(4).JPG|https://viking-pictures.s3.us-west-1.amazonaws.com/AA1155/A109.+Engine+Assembly+as+FULL+ASSEMBLY+(6).JPG|https://viking-pictures.s3.us-west-1.amazonaws.com/AA1155/A109.+Engine+Assembly+as+FULL+ASSEMBLY+(8).JPG|https://viking-pictures.s3.us-west-1.amazonaws.com/AA1155/A109.+Engine+Assembly+as+FULL+ASSEMBLY+(9).JPG|https://viking-pictures.s3.us-west-1.amazonaws.com/AA1155/A109.+Engine+Assembly+as+FULL+ASSEMBLY+(10).JPG|https://viking-pictures.s3.us-west-1.amazonaws.com/AA1155/A109.+Engine+Assembly+as+FULL+ASSEMBLY+(11).JPG|https://viking-pictures.s3.us-west-1.amazonaws.com/AA1155/A109.+Engine+Assembly+as+FULL+ASSEMBLY+(12).JPG|https://viking-pictures.s3.us-west-1.amazonaws.com/AA1155/A109.+Engine+Assembly+as+FULL+ASSEMBLY+(13).JPG|https://viking-pictures.s3.us-west-1.amazonaws.com/AA1155/A109.+Engine+Assembly+as+FULL+ASSEMBLY+(14).JPG</v>
      </c>
      <c r="D101" s="358">
        <f>VLOOKUP(B101,'3. Keep &amp; Toss Items'!$O$9:$T$749,6,FALSE)</f>
        <v>14</v>
      </c>
      <c r="E101" s="358" t="str">
        <f t="shared" si="97"/>
        <v>https://viking-pictures.s3.us-west-1.amazonaws.com/AA1155/A109.+Engine+Assembly+as+FULL+ASSEMBLY+(1).JPG</v>
      </c>
      <c r="F101" s="358" t="str">
        <f t="shared" si="100"/>
        <v>https://viking-pictures.s3.us-west-1.amazonaws.com/AA1155/A109.+Engine+Assembly+as+FULL+ASSEMBLY+(2).JPG</v>
      </c>
      <c r="G101" s="358" t="str">
        <f t="shared" si="101"/>
        <v>https://viking-pictures.s3.us-west-1.amazonaws.com/AA1155/A109.+Engine+Assembly+as+FULL+ASSEMBLY+(3).JPG</v>
      </c>
      <c r="H101" s="358" t="str">
        <f t="shared" si="102"/>
        <v>https://viking-pictures.s3.us-west-1.amazonaws.com/AA1155/A109.+Engine+Assembly+as+FULL+ASSEMBLY+(4).JPG</v>
      </c>
      <c r="I101" s="358" t="str">
        <f t="shared" si="103"/>
        <v>https://viking-pictures.s3.us-west-1.amazonaws.com/AA1155/A109.+Engine+Assembly+as+FULL+ASSEMBLY+(6).JPG</v>
      </c>
      <c r="J101" s="358" t="str">
        <f t="shared" si="104"/>
        <v>https://viking-pictures.s3.us-west-1.amazonaws.com/AA1155/A109.+Engine+Assembly+as+FULL+ASSEMBLY+(8).JPG</v>
      </c>
      <c r="K101" s="358" t="str">
        <f t="shared" si="105"/>
        <v>https://viking-pictures.s3.us-west-1.amazonaws.com/AA1155/A109.+Engine+Assembly+as+FULL+ASSEMBLY+(9).JPG</v>
      </c>
      <c r="L101" s="358" t="str">
        <f t="shared" si="106"/>
        <v>https://viking-pictures.s3.us-west-1.amazonaws.com/AA1155/A109.+Engine+Assembly+as+FULL+ASSEMBLY+(10).JPG</v>
      </c>
      <c r="M101" s="358" t="str">
        <f t="shared" si="107"/>
        <v>https://viking-pictures.s3.us-west-1.amazonaws.com/AA1155/A109.+Engine+Assembly+as+FULL+ASSEMBLY+(11).JPG</v>
      </c>
      <c r="N101" s="358" t="str">
        <f t="shared" si="108"/>
        <v>https://viking-pictures.s3.us-west-1.amazonaws.com/AA1155/A109.+Engine+Assembly+as+FULL+ASSEMBLY+(12).JPG</v>
      </c>
      <c r="O101" s="358" t="str">
        <f t="shared" si="109"/>
        <v>https://viking-pictures.s3.us-west-1.amazonaws.com/AA1155/A109.+Engine+Assembly+as+FULL+ASSEMBLY+(13).JPG</v>
      </c>
      <c r="P101" s="358" t="str">
        <f t="shared" si="110"/>
        <v>https://viking-pictures.s3.us-west-1.amazonaws.com/AA1155/A109.+Engine+Assembly+as+FULL+ASSEMBLY+(14).JPG</v>
      </c>
      <c r="Q101" s="358" t="str">
        <f t="shared" si="111"/>
        <v/>
      </c>
      <c r="R101" s="358" t="str">
        <f t="shared" si="112"/>
        <v/>
      </c>
      <c r="S101" s="358" t="str">
        <f t="shared" si="113"/>
        <v/>
      </c>
      <c r="T101" s="358" t="str">
        <f t="shared" si="114"/>
        <v/>
      </c>
      <c r="U101" s="358" t="str">
        <f t="shared" si="115"/>
        <v/>
      </c>
      <c r="V101" s="358" t="str">
        <f t="shared" si="116"/>
        <v/>
      </c>
      <c r="W101" s="358" t="str">
        <f t="shared" si="117"/>
        <v/>
      </c>
      <c r="X101" s="358" t="str">
        <f t="shared" si="118"/>
        <v/>
      </c>
      <c r="Y101" s="358" t="str">
        <f t="shared" si="119"/>
        <v/>
      </c>
      <c r="Z101" s="358" t="str">
        <f t="shared" si="120"/>
        <v/>
      </c>
      <c r="AA101" s="111" t="s">
        <v>1998</v>
      </c>
      <c r="AB101" s="358" t="str">
        <f t="shared" si="85"/>
        <v>A109.+Engine+Assembly+as+FULL+ASSEMBLY</v>
      </c>
      <c r="AC101" s="358" t="str">
        <f>VLOOKUP(B101,'3. Keep &amp; Toss Items'!$O$9:$R$749,4,FALSE)</f>
        <v>A109. Engine Assembly as FULL ASSEMBLY</v>
      </c>
      <c r="AD101" s="358" t="str">
        <f t="shared" si="86"/>
        <v>A109. Engine Assembly as FULL ASSEMBLY</v>
      </c>
      <c r="AE101" s="358" t="str">
        <f t="shared" si="87"/>
        <v>A109.+Engine+Assembly+as+FULL+ASSEMBLY</v>
      </c>
      <c r="AF101" s="358" t="str">
        <f t="shared" si="88"/>
        <v>A109.+Engine+Assembly+as+FULL+ASSEMBLY</v>
      </c>
      <c r="AG101" s="358" t="str">
        <f t="shared" si="89"/>
        <v>A109.+Engine+Assembly+as+FULL+ASSEMBLY</v>
      </c>
      <c r="AH101" s="358" t="str">
        <f t="shared" si="90"/>
        <v>A109.+Engine+Assembly+as+FULL+ASSEMBLY</v>
      </c>
      <c r="AI101" s="358" t="str">
        <f t="shared" si="91"/>
        <v>A109.+Engine+Assembly+as+FULL+ASSEMBLY</v>
      </c>
      <c r="AJ101" s="358" t="str">
        <f t="shared" si="92"/>
        <v>A109.+Engine+Assembly+as+FULL+ASSEMBLY</v>
      </c>
      <c r="AK101" s="358" t="str">
        <f t="shared" si="93"/>
        <v>A109.+Engine+Assembly+as+FULL+ASSEMBLY</v>
      </c>
      <c r="AL101" s="358" t="str">
        <f t="shared" si="98"/>
        <v>A109.+Engine+Assembly+as+FULL+ASSEMBLY</v>
      </c>
      <c r="AM101" s="358" t="str">
        <f t="shared" si="94"/>
        <v>A109.+Engine+Assembly+as+FULL+ASSEMBLY</v>
      </c>
      <c r="AN101" s="358" t="str">
        <f t="shared" si="95"/>
        <v>A109.+Engine+Assembly+as+FULL+ASSEMBLY</v>
      </c>
      <c r="AO101" s="359" t="s">
        <v>1999</v>
      </c>
      <c r="AP101" s="359" t="s">
        <v>2000</v>
      </c>
      <c r="AQ101" s="359" t="s">
        <v>2001</v>
      </c>
      <c r="AR101" s="359" t="s">
        <v>2002</v>
      </c>
      <c r="AS101" s="359" t="s">
        <v>2003</v>
      </c>
      <c r="AT101" s="359" t="s">
        <v>2004</v>
      </c>
      <c r="AU101" s="359" t="s">
        <v>2005</v>
      </c>
      <c r="AV101" s="359" t="s">
        <v>2006</v>
      </c>
      <c r="AW101" s="359" t="s">
        <v>2007</v>
      </c>
      <c r="AX101" s="359" t="s">
        <v>2008</v>
      </c>
      <c r="AY101" s="359" t="s">
        <v>2009</v>
      </c>
      <c r="AZ101" s="359" t="s">
        <v>2010</v>
      </c>
      <c r="BA101" s="359" t="s">
        <v>2011</v>
      </c>
      <c r="BB101" s="359" t="s">
        <v>2012</v>
      </c>
      <c r="BC101" s="359" t="s">
        <v>2013</v>
      </c>
      <c r="BD101" s="359" t="s">
        <v>2014</v>
      </c>
      <c r="BE101" s="359" t="s">
        <v>2015</v>
      </c>
      <c r="BF101" s="359" t="s">
        <v>2016</v>
      </c>
      <c r="BG101" s="359" t="s">
        <v>2017</v>
      </c>
      <c r="BH101" s="359" t="s">
        <v>2018</v>
      </c>
      <c r="BI101" s="359" t="s">
        <v>2019</v>
      </c>
      <c r="BJ101" s="359" t="s">
        <v>2020</v>
      </c>
      <c r="BK101" s="359" t="s">
        <v>2021</v>
      </c>
      <c r="BL101" s="359" t="s">
        <v>2022</v>
      </c>
      <c r="BM101" s="359" t="s">
        <v>2023</v>
      </c>
      <c r="BN101" s="359" t="s">
        <v>2024</v>
      </c>
      <c r="BO101" s="147" t="str">
        <f t="shared" si="99"/>
        <v>Pic Example</v>
      </c>
    </row>
    <row r="102" spans="2:67" x14ac:dyDescent="0.25">
      <c r="B102" t="s">
        <v>354</v>
      </c>
      <c r="C102" s="358" t="str">
        <f t="shared" si="96"/>
        <v>https://viking-pictures.s3.us-west-1.amazonaws.com/AA1155/A110.+Trim+Set%2C+Entire+Vehicle+(1).JPG|https://viking-pictures.s3.us-west-1.amazonaws.com/AA1155/A110.+Trim+Set%2C+Entire+Vehicle+(2).JPG|https://viking-pictures.s3.us-west-1.amazonaws.com/AA1155/A110.+Trim+Set%2C+Entire+Vehicle+(3).JPG|https://viking-pictures.s3.us-west-1.amazonaws.com/AA1155/A110.+Trim+Set%2C+Entire+Vehicle+(4).JPG|https://viking-pictures.s3.us-west-1.amazonaws.com/AA1155/A110.+Trim+Set%2C+Entire+Vehicle+(6).JPG|https://viking-pictures.s3.us-west-1.amazonaws.com/AA1155/A110.+Trim+Set%2C+Entire+Vehicle+(8).JPG|https://viking-pictures.s3.us-west-1.amazonaws.com/AA1155/A110.+Trim+Set%2C+Entire+Vehicle+(9).JPG|https://viking-pictures.s3.us-west-1.amazonaws.com/AA1155/A110.+Trim+Set%2C+Entire+Vehicle+(10).JPG|https://viking-pictures.s3.us-west-1.amazonaws.com/AA1155/A110.+Trim+Set%2C+Entire+Vehicle+(11).JPG|https://viking-pictures.s3.us-west-1.amazonaws.com/AA1155/A110.+Trim+Set%2C+Entire+Vehicle+(12).JPG|https://viking-pictures.s3.us-west-1.amazonaws.com/AA1155/A110.+Trim+Set%2C+Entire+Vehicle+(13).JPG|https://viking-pictures.s3.us-west-1.amazonaws.com/AA1155/A110.+Trim+Set%2C+Entire+Vehicle+(14).JPG|https://viking-pictures.s3.us-west-1.amazonaws.com/AA1155/A110.+Trim+Set%2C+Entire+Vehicle+(15).JPG|https://viking-pictures.s3.us-west-1.amazonaws.com/AA1155/A110.+Trim+Set%2C+Entire+Vehicle+(16).JPG|https://viking-pictures.s3.us-west-1.amazonaws.com/AA1155/A110.+Trim+Set%2C+Entire+Vehicle+(17).JPG|https://viking-pictures.s3.us-west-1.amazonaws.com/AA1155/A110.+Trim+Set%2C+Entire+Vehicle+(18).JPG|https://viking-pictures.s3.us-west-1.amazonaws.com/AA1155/A110.+Trim+Set%2C+Entire+Vehicle+(19).JPG|https://viking-pictures.s3.us-west-1.amazonaws.com/AA1155/A110.+Trim+Set%2C+Entire+Vehicle+(20).JPG</v>
      </c>
      <c r="D102" s="358">
        <f>VLOOKUP(B102,'3. Keep &amp; Toss Items'!$O$9:$T$749,6,FALSE)</f>
        <v>20</v>
      </c>
      <c r="E102" s="358" t="str">
        <f t="shared" si="97"/>
        <v>https://viking-pictures.s3.us-west-1.amazonaws.com/AA1155/A110.+Trim+Set%2C+Entire+Vehicle+(1).JPG</v>
      </c>
      <c r="F102" s="358" t="str">
        <f t="shared" si="100"/>
        <v>https://viking-pictures.s3.us-west-1.amazonaws.com/AA1155/A110.+Trim+Set%2C+Entire+Vehicle+(2).JPG</v>
      </c>
      <c r="G102" s="358" t="str">
        <f t="shared" si="101"/>
        <v>https://viking-pictures.s3.us-west-1.amazonaws.com/AA1155/A110.+Trim+Set%2C+Entire+Vehicle+(3).JPG</v>
      </c>
      <c r="H102" s="358" t="str">
        <f t="shared" si="102"/>
        <v>https://viking-pictures.s3.us-west-1.amazonaws.com/AA1155/A110.+Trim+Set%2C+Entire+Vehicle+(4).JPG</v>
      </c>
      <c r="I102" s="358" t="str">
        <f t="shared" si="103"/>
        <v>https://viking-pictures.s3.us-west-1.amazonaws.com/AA1155/A110.+Trim+Set%2C+Entire+Vehicle+(6).JPG</v>
      </c>
      <c r="J102" s="358" t="str">
        <f t="shared" si="104"/>
        <v>https://viking-pictures.s3.us-west-1.amazonaws.com/AA1155/A110.+Trim+Set%2C+Entire+Vehicle+(8).JPG</v>
      </c>
      <c r="K102" s="358" t="str">
        <f t="shared" si="105"/>
        <v>https://viking-pictures.s3.us-west-1.amazonaws.com/AA1155/A110.+Trim+Set%2C+Entire+Vehicle+(9).JPG</v>
      </c>
      <c r="L102" s="358" t="str">
        <f t="shared" si="106"/>
        <v>https://viking-pictures.s3.us-west-1.amazonaws.com/AA1155/A110.+Trim+Set%2C+Entire+Vehicle+(10).JPG</v>
      </c>
      <c r="M102" s="358" t="str">
        <f t="shared" si="107"/>
        <v>https://viking-pictures.s3.us-west-1.amazonaws.com/AA1155/A110.+Trim+Set%2C+Entire+Vehicle+(11).JPG</v>
      </c>
      <c r="N102" s="358" t="str">
        <f t="shared" si="108"/>
        <v>https://viking-pictures.s3.us-west-1.amazonaws.com/AA1155/A110.+Trim+Set%2C+Entire+Vehicle+(12).JPG</v>
      </c>
      <c r="O102" s="358" t="str">
        <f t="shared" si="109"/>
        <v>https://viking-pictures.s3.us-west-1.amazonaws.com/AA1155/A110.+Trim+Set%2C+Entire+Vehicle+(13).JPG</v>
      </c>
      <c r="P102" s="358" t="str">
        <f t="shared" si="110"/>
        <v>https://viking-pictures.s3.us-west-1.amazonaws.com/AA1155/A110.+Trim+Set%2C+Entire+Vehicle+(14).JPG</v>
      </c>
      <c r="Q102" s="358" t="str">
        <f t="shared" si="111"/>
        <v>https://viking-pictures.s3.us-west-1.amazonaws.com/AA1155/A110.+Trim+Set%2C+Entire+Vehicle+(15).JPG</v>
      </c>
      <c r="R102" s="358" t="str">
        <f t="shared" si="112"/>
        <v>https://viking-pictures.s3.us-west-1.amazonaws.com/AA1155/A110.+Trim+Set%2C+Entire+Vehicle+(16).JPG</v>
      </c>
      <c r="S102" s="358" t="str">
        <f t="shared" si="113"/>
        <v>https://viking-pictures.s3.us-west-1.amazonaws.com/AA1155/A110.+Trim+Set%2C+Entire+Vehicle+(17).JPG</v>
      </c>
      <c r="T102" s="358" t="str">
        <f t="shared" si="114"/>
        <v>https://viking-pictures.s3.us-west-1.amazonaws.com/AA1155/A110.+Trim+Set%2C+Entire+Vehicle+(18).JPG</v>
      </c>
      <c r="U102" s="358" t="str">
        <f t="shared" si="115"/>
        <v>https://viking-pictures.s3.us-west-1.amazonaws.com/AA1155/A110.+Trim+Set%2C+Entire+Vehicle+(19).JPG</v>
      </c>
      <c r="V102" s="358" t="str">
        <f t="shared" si="116"/>
        <v>https://viking-pictures.s3.us-west-1.amazonaws.com/AA1155/A110.+Trim+Set%2C+Entire+Vehicle+(20).JPG</v>
      </c>
      <c r="W102" s="358" t="str">
        <f t="shared" si="117"/>
        <v/>
      </c>
      <c r="X102" s="358" t="str">
        <f t="shared" si="118"/>
        <v/>
      </c>
      <c r="Y102" s="358" t="str">
        <f t="shared" si="119"/>
        <v/>
      </c>
      <c r="Z102" s="358" t="str">
        <f t="shared" si="120"/>
        <v/>
      </c>
      <c r="AA102" s="111" t="s">
        <v>1998</v>
      </c>
      <c r="AB102" s="358" t="str">
        <f t="shared" si="85"/>
        <v>A110.+Trim+Set%2C+Entire+Vehicle</v>
      </c>
      <c r="AC102" s="358" t="str">
        <f>VLOOKUP(B102,'3. Keep &amp; Toss Items'!$O$9:$R$749,4,FALSE)</f>
        <v>A110. Trim Set, Entire Vehicle</v>
      </c>
      <c r="AD102" s="358" t="str">
        <f t="shared" si="86"/>
        <v>A110. Trim Set, Entire Vehicle</v>
      </c>
      <c r="AE102" s="358" t="str">
        <f t="shared" si="87"/>
        <v>A110.+Trim+Set,+Entire+Vehicle</v>
      </c>
      <c r="AF102" s="358" t="str">
        <f t="shared" si="88"/>
        <v>A110.+Trim+Set%2C+Entire+Vehicle</v>
      </c>
      <c r="AG102" s="358" t="str">
        <f t="shared" si="89"/>
        <v>A110.+Trim+Set%2C+Entire+Vehicle</v>
      </c>
      <c r="AH102" s="358" t="str">
        <f t="shared" si="90"/>
        <v>A110.+Trim+Set%2C+Entire+Vehicle</v>
      </c>
      <c r="AI102" s="358" t="str">
        <f t="shared" si="91"/>
        <v>A110.+Trim+Set%2C+Entire+Vehicle</v>
      </c>
      <c r="AJ102" s="358" t="str">
        <f t="shared" si="92"/>
        <v>A110.+Trim+Set%2C+Entire+Vehicle</v>
      </c>
      <c r="AK102" s="358" t="str">
        <f t="shared" si="93"/>
        <v>A110.+Trim+Set%2C+Entire+Vehicle</v>
      </c>
      <c r="AL102" s="358" t="str">
        <f t="shared" si="98"/>
        <v>A110.+Trim+Set%2C+Entire+Vehicle</v>
      </c>
      <c r="AM102" s="358" t="str">
        <f t="shared" si="94"/>
        <v>A110.+Trim+Set%2C+Entire+Vehicle</v>
      </c>
      <c r="AN102" s="358" t="str">
        <f t="shared" si="95"/>
        <v>A110.+Trim+Set%2C+Entire+Vehicle</v>
      </c>
      <c r="AO102" s="359" t="s">
        <v>1999</v>
      </c>
      <c r="AP102" s="359" t="s">
        <v>2000</v>
      </c>
      <c r="AQ102" s="359" t="s">
        <v>2001</v>
      </c>
      <c r="AR102" s="359" t="s">
        <v>2002</v>
      </c>
      <c r="AS102" s="359" t="s">
        <v>2003</v>
      </c>
      <c r="AT102" s="359" t="s">
        <v>2004</v>
      </c>
      <c r="AU102" s="359" t="s">
        <v>2005</v>
      </c>
      <c r="AV102" s="359" t="s">
        <v>2006</v>
      </c>
      <c r="AW102" s="359" t="s">
        <v>2007</v>
      </c>
      <c r="AX102" s="359" t="s">
        <v>2008</v>
      </c>
      <c r="AY102" s="359" t="s">
        <v>2009</v>
      </c>
      <c r="AZ102" s="359" t="s">
        <v>2010</v>
      </c>
      <c r="BA102" s="359" t="s">
        <v>2011</v>
      </c>
      <c r="BB102" s="359" t="s">
        <v>2012</v>
      </c>
      <c r="BC102" s="359" t="s">
        <v>2013</v>
      </c>
      <c r="BD102" s="359" t="s">
        <v>2014</v>
      </c>
      <c r="BE102" s="359" t="s">
        <v>2015</v>
      </c>
      <c r="BF102" s="359" t="s">
        <v>2016</v>
      </c>
      <c r="BG102" s="359" t="s">
        <v>2017</v>
      </c>
      <c r="BH102" s="359" t="s">
        <v>2018</v>
      </c>
      <c r="BI102" s="359" t="s">
        <v>2019</v>
      </c>
      <c r="BJ102" s="359" t="s">
        <v>2020</v>
      </c>
      <c r="BK102" s="359" t="s">
        <v>2021</v>
      </c>
      <c r="BL102" s="359" t="s">
        <v>2022</v>
      </c>
      <c r="BM102" s="359" t="s">
        <v>2023</v>
      </c>
      <c r="BN102" s="359" t="s">
        <v>2024</v>
      </c>
      <c r="BO102" s="147" t="str">
        <f t="shared" si="99"/>
        <v>Pic Example</v>
      </c>
    </row>
    <row r="103" spans="2:67" x14ac:dyDescent="0.25">
      <c r="B103" t="s">
        <v>355</v>
      </c>
      <c r="C103" s="358" t="str">
        <f t="shared" si="96"/>
        <v>https://viking-pictures.s3.us-west-1.amazonaws.com/AA1155/A111.+Mirror%2C+Door+-+FRONT+RIGHT+(1).JPG|https://viking-pictures.s3.us-west-1.amazonaws.com/AA1155/A111.+Mirror%2C+Door+-+FRONT+RIGHT+(2).JPG|https://viking-pictures.s3.us-west-1.amazonaws.com/AA1155/A111.+Mirror%2C+Door+-+FRONT+RIGHT+(3).JPG|https://viking-pictures.s3.us-west-1.amazonaws.com/AA1155/A111.+Mirror%2C+Door+-+FRONT+RIGHT+(4).JPG|https://viking-pictures.s3.us-west-1.amazonaws.com/AA1155/A111.+Mirror%2C+Door+-+FRONT+RIGHT+(6).JPG</v>
      </c>
      <c r="D103" s="358">
        <f>VLOOKUP(B103,'3. Keep &amp; Toss Items'!$O$9:$T$749,6,FALSE)</f>
        <v>7</v>
      </c>
      <c r="E103" s="358" t="str">
        <f t="shared" si="97"/>
        <v>https://viking-pictures.s3.us-west-1.amazonaws.com/AA1155/A111.+Mirror%2C+Door+-+FRONT+RIGHT+(1).JPG</v>
      </c>
      <c r="F103" s="358" t="str">
        <f t="shared" si="100"/>
        <v>https://viking-pictures.s3.us-west-1.amazonaws.com/AA1155/A111.+Mirror%2C+Door+-+FRONT+RIGHT+(2).JPG</v>
      </c>
      <c r="G103" s="358" t="str">
        <f t="shared" si="101"/>
        <v>https://viking-pictures.s3.us-west-1.amazonaws.com/AA1155/A111.+Mirror%2C+Door+-+FRONT+RIGHT+(3).JPG</v>
      </c>
      <c r="H103" s="358" t="str">
        <f t="shared" si="102"/>
        <v>https://viking-pictures.s3.us-west-1.amazonaws.com/AA1155/A111.+Mirror%2C+Door+-+FRONT+RIGHT+(4).JPG</v>
      </c>
      <c r="I103" s="358" t="str">
        <f t="shared" si="103"/>
        <v>https://viking-pictures.s3.us-west-1.amazonaws.com/AA1155/A111.+Mirror%2C+Door+-+FRONT+RIGHT+(6).JPG</v>
      </c>
      <c r="J103" s="358" t="str">
        <f t="shared" si="104"/>
        <v/>
      </c>
      <c r="K103" s="358" t="str">
        <f t="shared" si="105"/>
        <v/>
      </c>
      <c r="L103" s="358" t="str">
        <f t="shared" si="106"/>
        <v/>
      </c>
      <c r="M103" s="358" t="str">
        <f t="shared" si="107"/>
        <v/>
      </c>
      <c r="N103" s="358" t="str">
        <f t="shared" si="108"/>
        <v/>
      </c>
      <c r="O103" s="358" t="str">
        <f t="shared" si="109"/>
        <v/>
      </c>
      <c r="P103" s="358" t="str">
        <f t="shared" si="110"/>
        <v/>
      </c>
      <c r="Q103" s="358" t="str">
        <f t="shared" si="111"/>
        <v/>
      </c>
      <c r="R103" s="358" t="str">
        <f t="shared" si="112"/>
        <v/>
      </c>
      <c r="S103" s="358" t="str">
        <f t="shared" si="113"/>
        <v/>
      </c>
      <c r="T103" s="358" t="str">
        <f t="shared" si="114"/>
        <v/>
      </c>
      <c r="U103" s="358" t="str">
        <f t="shared" si="115"/>
        <v/>
      </c>
      <c r="V103" s="358" t="str">
        <f t="shared" si="116"/>
        <v/>
      </c>
      <c r="W103" s="358" t="str">
        <f t="shared" si="117"/>
        <v/>
      </c>
      <c r="X103" s="358" t="str">
        <f t="shared" si="118"/>
        <v/>
      </c>
      <c r="Y103" s="358" t="str">
        <f t="shared" si="119"/>
        <v/>
      </c>
      <c r="Z103" s="358" t="str">
        <f t="shared" si="120"/>
        <v/>
      </c>
      <c r="AA103" s="111" t="s">
        <v>1998</v>
      </c>
      <c r="AB103" s="358" t="str">
        <f t="shared" si="85"/>
        <v>A111.+Mirror%2C+Door+-+FRONT+RIGHT</v>
      </c>
      <c r="AC103" s="358" t="str">
        <f>VLOOKUP(B103,'3. Keep &amp; Toss Items'!$O$9:$R$749,4,FALSE)</f>
        <v>A111. Mirror, Door - FRONT RIGHT</v>
      </c>
      <c r="AD103" s="358" t="str">
        <f t="shared" si="86"/>
        <v>A111. Mirror, Door - FRONT RIGHT</v>
      </c>
      <c r="AE103" s="358" t="str">
        <f t="shared" si="87"/>
        <v>A111.+Mirror,+Door+-+FRONT+RIGHT</v>
      </c>
      <c r="AF103" s="358" t="str">
        <f t="shared" si="88"/>
        <v>A111.+Mirror%2C+Door+-+FRONT+RIGHT</v>
      </c>
      <c r="AG103" s="358" t="str">
        <f t="shared" si="89"/>
        <v>A111.+Mirror%2C+Door+-+FRONT+RIGHT</v>
      </c>
      <c r="AH103" s="358" t="str">
        <f t="shared" si="90"/>
        <v>A111.+Mirror%2C+Door+-+FRONT+RIGHT</v>
      </c>
      <c r="AI103" s="358" t="str">
        <f t="shared" si="91"/>
        <v>A111.+Mirror%2C+Door+-+FRONT+RIGHT</v>
      </c>
      <c r="AJ103" s="358" t="str">
        <f t="shared" si="92"/>
        <v>A111.+Mirror%2C+Door+-+FRONT+RIGHT</v>
      </c>
      <c r="AK103" s="358" t="str">
        <f t="shared" si="93"/>
        <v>A111.+Mirror%2C+Door+-+FRONT+RIGHT</v>
      </c>
      <c r="AL103" s="358" t="str">
        <f t="shared" si="98"/>
        <v>A111.+Mirror%2C+Door+-+FRONT+RIGHT</v>
      </c>
      <c r="AM103" s="358" t="str">
        <f t="shared" si="94"/>
        <v>A111.+Mirror%2C+Door+-+FRONT+RIGHT</v>
      </c>
      <c r="AN103" s="358" t="str">
        <f t="shared" si="95"/>
        <v>A111.+Mirror%2C+Door+-+FRONT+RIGHT</v>
      </c>
      <c r="AO103" s="359" t="s">
        <v>1999</v>
      </c>
      <c r="AP103" s="359" t="s">
        <v>2000</v>
      </c>
      <c r="AQ103" s="359" t="s">
        <v>2001</v>
      </c>
      <c r="AR103" s="359" t="s">
        <v>2002</v>
      </c>
      <c r="AS103" s="359" t="s">
        <v>2003</v>
      </c>
      <c r="AT103" s="359" t="s">
        <v>2004</v>
      </c>
      <c r="AU103" s="359" t="s">
        <v>2005</v>
      </c>
      <c r="AV103" s="359" t="s">
        <v>2006</v>
      </c>
      <c r="AW103" s="359" t="s">
        <v>2007</v>
      </c>
      <c r="AX103" s="359" t="s">
        <v>2008</v>
      </c>
      <c r="AY103" s="359" t="s">
        <v>2009</v>
      </c>
      <c r="AZ103" s="359" t="s">
        <v>2010</v>
      </c>
      <c r="BA103" s="359" t="s">
        <v>2011</v>
      </c>
      <c r="BB103" s="359" t="s">
        <v>2012</v>
      </c>
      <c r="BC103" s="359" t="s">
        <v>2013</v>
      </c>
      <c r="BD103" s="359" t="s">
        <v>2014</v>
      </c>
      <c r="BE103" s="359" t="s">
        <v>2015</v>
      </c>
      <c r="BF103" s="359" t="s">
        <v>2016</v>
      </c>
      <c r="BG103" s="359" t="s">
        <v>2017</v>
      </c>
      <c r="BH103" s="359" t="s">
        <v>2018</v>
      </c>
      <c r="BI103" s="359" t="s">
        <v>2019</v>
      </c>
      <c r="BJ103" s="359" t="s">
        <v>2020</v>
      </c>
      <c r="BK103" s="359" t="s">
        <v>2021</v>
      </c>
      <c r="BL103" s="359" t="s">
        <v>2022</v>
      </c>
      <c r="BM103" s="359" t="s">
        <v>2023</v>
      </c>
      <c r="BN103" s="359" t="s">
        <v>2024</v>
      </c>
      <c r="BO103" s="147" t="str">
        <f t="shared" si="99"/>
        <v>Pic Example</v>
      </c>
    </row>
    <row r="104" spans="2:67" x14ac:dyDescent="0.25">
      <c r="B104" t="s">
        <v>356</v>
      </c>
      <c r="C104" s="358" t="str">
        <f t="shared" si="96"/>
        <v>https://viking-pictures.s3.us-west-1.amazonaws.com/AA1155/A112.+Taillight%2C+QUARTER+PANEL+MOUNTED+-+LEFT+(1).JPG|https://viking-pictures.s3.us-west-1.amazonaws.com/AA1155/A112.+Taillight%2C+QUARTER+PANEL+MOUNTED+-+LEFT+(2).JPG|https://viking-pictures.s3.us-west-1.amazonaws.com/AA1155/A112.+Taillight%2C+QUARTER+PANEL+MOUNTED+-+LEFT+(3).JPG|https://viking-pictures.s3.us-west-1.amazonaws.com/AA1155/A112.+Taillight%2C+QUARTER+PANEL+MOUNTED+-+LEFT+(4).JPG|https://viking-pictures.s3.us-west-1.amazonaws.com/AA1155/A112.+Taillight%2C+QUARTER+PANEL+MOUNTED+-+LEFT+(6).JPG</v>
      </c>
      <c r="D104" s="358">
        <f>VLOOKUP(B104,'3. Keep &amp; Toss Items'!$O$9:$T$749,6,FALSE)</f>
        <v>7</v>
      </c>
      <c r="E104" s="358" t="str">
        <f t="shared" si="97"/>
        <v>https://viking-pictures.s3.us-west-1.amazonaws.com/AA1155/A112.+Taillight%2C+QUARTER+PANEL+MOUNTED+-+LEFT+(1).JPG</v>
      </c>
      <c r="F104" s="358" t="str">
        <f t="shared" si="100"/>
        <v>https://viking-pictures.s3.us-west-1.amazonaws.com/AA1155/A112.+Taillight%2C+QUARTER+PANEL+MOUNTED+-+LEFT+(2).JPG</v>
      </c>
      <c r="G104" s="358" t="str">
        <f t="shared" si="101"/>
        <v>https://viking-pictures.s3.us-west-1.amazonaws.com/AA1155/A112.+Taillight%2C+QUARTER+PANEL+MOUNTED+-+LEFT+(3).JPG</v>
      </c>
      <c r="H104" s="358" t="str">
        <f t="shared" si="102"/>
        <v>https://viking-pictures.s3.us-west-1.amazonaws.com/AA1155/A112.+Taillight%2C+QUARTER+PANEL+MOUNTED+-+LEFT+(4).JPG</v>
      </c>
      <c r="I104" s="358" t="str">
        <f t="shared" si="103"/>
        <v>https://viking-pictures.s3.us-west-1.amazonaws.com/AA1155/A112.+Taillight%2C+QUARTER+PANEL+MOUNTED+-+LEFT+(6).JPG</v>
      </c>
      <c r="J104" s="358" t="str">
        <f t="shared" si="104"/>
        <v/>
      </c>
      <c r="K104" s="358" t="str">
        <f t="shared" si="105"/>
        <v/>
      </c>
      <c r="L104" s="358" t="str">
        <f t="shared" si="106"/>
        <v/>
      </c>
      <c r="M104" s="358" t="str">
        <f t="shared" si="107"/>
        <v/>
      </c>
      <c r="N104" s="358" t="str">
        <f t="shared" si="108"/>
        <v/>
      </c>
      <c r="O104" s="358" t="str">
        <f t="shared" si="109"/>
        <v/>
      </c>
      <c r="P104" s="358" t="str">
        <f t="shared" si="110"/>
        <v/>
      </c>
      <c r="Q104" s="358" t="str">
        <f t="shared" si="111"/>
        <v/>
      </c>
      <c r="R104" s="358" t="str">
        <f t="shared" si="112"/>
        <v/>
      </c>
      <c r="S104" s="358" t="str">
        <f t="shared" si="113"/>
        <v/>
      </c>
      <c r="T104" s="358" t="str">
        <f t="shared" si="114"/>
        <v/>
      </c>
      <c r="U104" s="358" t="str">
        <f t="shared" si="115"/>
        <v/>
      </c>
      <c r="V104" s="358" t="str">
        <f t="shared" si="116"/>
        <v/>
      </c>
      <c r="W104" s="358" t="str">
        <f t="shared" si="117"/>
        <v/>
      </c>
      <c r="X104" s="358" t="str">
        <f t="shared" si="118"/>
        <v/>
      </c>
      <c r="Y104" s="358" t="str">
        <f t="shared" si="119"/>
        <v/>
      </c>
      <c r="Z104" s="358" t="str">
        <f t="shared" si="120"/>
        <v/>
      </c>
      <c r="AA104" s="111" t="s">
        <v>1998</v>
      </c>
      <c r="AB104" s="358" t="str">
        <f t="shared" si="85"/>
        <v>A112.+Taillight%2C+QUARTER+PANEL+MOUNTED+-+LEFT</v>
      </c>
      <c r="AC104" s="358" t="str">
        <f>VLOOKUP(B104,'3. Keep &amp; Toss Items'!$O$9:$R$749,4,FALSE)</f>
        <v>A112. Taillight, QUARTER PANEL MOUNTED - LEFT</v>
      </c>
      <c r="AD104" s="358" t="str">
        <f t="shared" si="86"/>
        <v>A112. Taillight, QUARTER PANEL MOUNTED - LEFT</v>
      </c>
      <c r="AE104" s="358" t="str">
        <f t="shared" si="87"/>
        <v>A112.+Taillight,+QUARTER+PANEL+MOUNTED+-+LEFT</v>
      </c>
      <c r="AF104" s="358" t="str">
        <f t="shared" si="88"/>
        <v>A112.+Taillight%2C+QUARTER+PANEL+MOUNTED+-+LEFT</v>
      </c>
      <c r="AG104" s="358" t="str">
        <f t="shared" si="89"/>
        <v>A112.+Taillight%2C+QUARTER+PANEL+MOUNTED+-+LEFT</v>
      </c>
      <c r="AH104" s="358" t="str">
        <f t="shared" si="90"/>
        <v>A112.+Taillight%2C+QUARTER+PANEL+MOUNTED+-+LEFT</v>
      </c>
      <c r="AI104" s="358" t="str">
        <f t="shared" si="91"/>
        <v>A112.+Taillight%2C+QUARTER+PANEL+MOUNTED+-+LEFT</v>
      </c>
      <c r="AJ104" s="358" t="str">
        <f t="shared" si="92"/>
        <v>A112.+Taillight%2C+QUARTER+PANEL+MOUNTED+-+LEFT</v>
      </c>
      <c r="AK104" s="358" t="str">
        <f t="shared" si="93"/>
        <v>A112.+Taillight%2C+QUARTER+PANEL+MOUNTED+-+LEFT</v>
      </c>
      <c r="AL104" s="358" t="str">
        <f t="shared" si="98"/>
        <v>A112.+Taillight%2C+QUARTER+PANEL+MOUNTED+-+LEFT</v>
      </c>
      <c r="AM104" s="358" t="str">
        <f t="shared" si="94"/>
        <v>A112.+Taillight%2C+QUARTER+PANEL+MOUNTED+-+LEFT</v>
      </c>
      <c r="AN104" s="358" t="str">
        <f t="shared" si="95"/>
        <v>A112.+Taillight%2C+QUARTER+PANEL+MOUNTED+-+LEFT</v>
      </c>
      <c r="AO104" s="359" t="s">
        <v>1999</v>
      </c>
      <c r="AP104" s="359" t="s">
        <v>2000</v>
      </c>
      <c r="AQ104" s="359" t="s">
        <v>2001</v>
      </c>
      <c r="AR104" s="359" t="s">
        <v>2002</v>
      </c>
      <c r="AS104" s="359" t="s">
        <v>2003</v>
      </c>
      <c r="AT104" s="359" t="s">
        <v>2004</v>
      </c>
      <c r="AU104" s="359" t="s">
        <v>2005</v>
      </c>
      <c r="AV104" s="359" t="s">
        <v>2006</v>
      </c>
      <c r="AW104" s="359" t="s">
        <v>2007</v>
      </c>
      <c r="AX104" s="359" t="s">
        <v>2008</v>
      </c>
      <c r="AY104" s="359" t="s">
        <v>2009</v>
      </c>
      <c r="AZ104" s="359" t="s">
        <v>2010</v>
      </c>
      <c r="BA104" s="359" t="s">
        <v>2011</v>
      </c>
      <c r="BB104" s="359" t="s">
        <v>2012</v>
      </c>
      <c r="BC104" s="359" t="s">
        <v>2013</v>
      </c>
      <c r="BD104" s="359" t="s">
        <v>2014</v>
      </c>
      <c r="BE104" s="359" t="s">
        <v>2015</v>
      </c>
      <c r="BF104" s="359" t="s">
        <v>2016</v>
      </c>
      <c r="BG104" s="359" t="s">
        <v>2017</v>
      </c>
      <c r="BH104" s="359" t="s">
        <v>2018</v>
      </c>
      <c r="BI104" s="359" t="s">
        <v>2019</v>
      </c>
      <c r="BJ104" s="359" t="s">
        <v>2020</v>
      </c>
      <c r="BK104" s="359" t="s">
        <v>2021</v>
      </c>
      <c r="BL104" s="359" t="s">
        <v>2022</v>
      </c>
      <c r="BM104" s="359" t="s">
        <v>2023</v>
      </c>
      <c r="BN104" s="359" t="s">
        <v>2024</v>
      </c>
      <c r="BO104" s="147" t="str">
        <f t="shared" si="99"/>
        <v>Pic Example</v>
      </c>
    </row>
    <row r="105" spans="2:67" x14ac:dyDescent="0.25">
      <c r="B105" t="s">
        <v>357</v>
      </c>
      <c r="C105" s="358" t="str">
        <f t="shared" si="96"/>
        <v>https://viking-pictures.s3.us-west-1.amazonaws.com/AA1155/A113.+Taillight%2C+TRUNK+MOUNTED+-+LEFT+(1).JPG|https://viking-pictures.s3.us-west-1.amazonaws.com/AA1155/A113.+Taillight%2C+TRUNK+MOUNTED+-+LEFT+(2).JPG|https://viking-pictures.s3.us-west-1.amazonaws.com/AA1155/A113.+Taillight%2C+TRUNK+MOUNTED+-+LEFT+(3).JPG|https://viking-pictures.s3.us-west-1.amazonaws.com/AA1155/A113.+Taillight%2C+TRUNK+MOUNTED+-+LEFT+(4).JPG|https://viking-pictures.s3.us-west-1.amazonaws.com/AA1155/A113.+Taillight%2C+TRUNK+MOUNTED+-+LEFT+(6).JPG</v>
      </c>
      <c r="D105" s="358">
        <f>VLOOKUP(B105,'3. Keep &amp; Toss Items'!$O$9:$T$749,6,FALSE)</f>
        <v>6</v>
      </c>
      <c r="E105" s="358" t="str">
        <f t="shared" si="97"/>
        <v>https://viking-pictures.s3.us-west-1.amazonaws.com/AA1155/A113.+Taillight%2C+TRUNK+MOUNTED+-+LEFT+(1).JPG</v>
      </c>
      <c r="F105" s="358" t="str">
        <f t="shared" si="100"/>
        <v>https://viking-pictures.s3.us-west-1.amazonaws.com/AA1155/A113.+Taillight%2C+TRUNK+MOUNTED+-+LEFT+(2).JPG</v>
      </c>
      <c r="G105" s="358" t="str">
        <f t="shared" si="101"/>
        <v>https://viking-pictures.s3.us-west-1.amazonaws.com/AA1155/A113.+Taillight%2C+TRUNK+MOUNTED+-+LEFT+(3).JPG</v>
      </c>
      <c r="H105" s="358" t="str">
        <f t="shared" si="102"/>
        <v>https://viking-pictures.s3.us-west-1.amazonaws.com/AA1155/A113.+Taillight%2C+TRUNK+MOUNTED+-+LEFT+(4).JPG</v>
      </c>
      <c r="I105" s="358" t="str">
        <f t="shared" si="103"/>
        <v>https://viking-pictures.s3.us-west-1.amazonaws.com/AA1155/A113.+Taillight%2C+TRUNK+MOUNTED+-+LEFT+(6).JPG</v>
      </c>
      <c r="J105" s="358" t="str">
        <f t="shared" si="104"/>
        <v/>
      </c>
      <c r="K105" s="358" t="str">
        <f t="shared" si="105"/>
        <v/>
      </c>
      <c r="L105" s="358" t="str">
        <f t="shared" si="106"/>
        <v/>
      </c>
      <c r="M105" s="358" t="str">
        <f t="shared" si="107"/>
        <v/>
      </c>
      <c r="N105" s="358" t="str">
        <f t="shared" si="108"/>
        <v/>
      </c>
      <c r="O105" s="358" t="str">
        <f t="shared" si="109"/>
        <v/>
      </c>
      <c r="P105" s="358" t="str">
        <f t="shared" si="110"/>
        <v/>
      </c>
      <c r="Q105" s="358" t="str">
        <f t="shared" si="111"/>
        <v/>
      </c>
      <c r="R105" s="358" t="str">
        <f t="shared" si="112"/>
        <v/>
      </c>
      <c r="S105" s="358" t="str">
        <f t="shared" si="113"/>
        <v/>
      </c>
      <c r="T105" s="358" t="str">
        <f t="shared" si="114"/>
        <v/>
      </c>
      <c r="U105" s="358" t="str">
        <f t="shared" si="115"/>
        <v/>
      </c>
      <c r="V105" s="358" t="str">
        <f t="shared" si="116"/>
        <v/>
      </c>
      <c r="W105" s="358" t="str">
        <f t="shared" si="117"/>
        <v/>
      </c>
      <c r="X105" s="358" t="str">
        <f t="shared" si="118"/>
        <v/>
      </c>
      <c r="Y105" s="358" t="str">
        <f t="shared" si="119"/>
        <v/>
      </c>
      <c r="Z105" s="358" t="str">
        <f t="shared" si="120"/>
        <v/>
      </c>
      <c r="AA105" s="111" t="s">
        <v>1998</v>
      </c>
      <c r="AB105" s="358" t="str">
        <f t="shared" si="85"/>
        <v>A113.+Taillight%2C+TRUNK+MOUNTED+-+LEFT</v>
      </c>
      <c r="AC105" s="358" t="str">
        <f>VLOOKUP(B105,'3. Keep &amp; Toss Items'!$O$9:$R$749,4,FALSE)</f>
        <v>A113. Taillight, TRUNK MOUNTED - LEFT</v>
      </c>
      <c r="AD105" s="358" t="str">
        <f t="shared" si="86"/>
        <v>A113. Taillight, TRUNK MOUNTED - LEFT</v>
      </c>
      <c r="AE105" s="358" t="str">
        <f t="shared" si="87"/>
        <v>A113.+Taillight,+TRUNK+MOUNTED+-+LEFT</v>
      </c>
      <c r="AF105" s="358" t="str">
        <f t="shared" si="88"/>
        <v>A113.+Taillight%2C+TRUNK+MOUNTED+-+LEFT</v>
      </c>
      <c r="AG105" s="358" t="str">
        <f t="shared" si="89"/>
        <v>A113.+Taillight%2C+TRUNK+MOUNTED+-+LEFT</v>
      </c>
      <c r="AH105" s="358" t="str">
        <f t="shared" si="90"/>
        <v>A113.+Taillight%2C+TRUNK+MOUNTED+-+LEFT</v>
      </c>
      <c r="AI105" s="358" t="str">
        <f t="shared" si="91"/>
        <v>A113.+Taillight%2C+TRUNK+MOUNTED+-+LEFT</v>
      </c>
      <c r="AJ105" s="358" t="str">
        <f t="shared" si="92"/>
        <v>A113.+Taillight%2C+TRUNK+MOUNTED+-+LEFT</v>
      </c>
      <c r="AK105" s="358" t="str">
        <f t="shared" si="93"/>
        <v>A113.+Taillight%2C+TRUNK+MOUNTED+-+LEFT</v>
      </c>
      <c r="AL105" s="358" t="str">
        <f t="shared" si="98"/>
        <v>A113.+Taillight%2C+TRUNK+MOUNTED+-+LEFT</v>
      </c>
      <c r="AM105" s="358" t="str">
        <f t="shared" si="94"/>
        <v>A113.+Taillight%2C+TRUNK+MOUNTED+-+LEFT</v>
      </c>
      <c r="AN105" s="358" t="str">
        <f t="shared" si="95"/>
        <v>A113.+Taillight%2C+TRUNK+MOUNTED+-+LEFT</v>
      </c>
      <c r="AO105" s="359" t="s">
        <v>1999</v>
      </c>
      <c r="AP105" s="359" t="s">
        <v>2000</v>
      </c>
      <c r="AQ105" s="359" t="s">
        <v>2001</v>
      </c>
      <c r="AR105" s="359" t="s">
        <v>2002</v>
      </c>
      <c r="AS105" s="359" t="s">
        <v>2003</v>
      </c>
      <c r="AT105" s="359" t="s">
        <v>2004</v>
      </c>
      <c r="AU105" s="359" t="s">
        <v>2005</v>
      </c>
      <c r="AV105" s="359" t="s">
        <v>2006</v>
      </c>
      <c r="AW105" s="359" t="s">
        <v>2007</v>
      </c>
      <c r="AX105" s="359" t="s">
        <v>2008</v>
      </c>
      <c r="AY105" s="359" t="s">
        <v>2009</v>
      </c>
      <c r="AZ105" s="359" t="s">
        <v>2010</v>
      </c>
      <c r="BA105" s="359" t="s">
        <v>2011</v>
      </c>
      <c r="BB105" s="359" t="s">
        <v>2012</v>
      </c>
      <c r="BC105" s="359" t="s">
        <v>2013</v>
      </c>
      <c r="BD105" s="359" t="s">
        <v>2014</v>
      </c>
      <c r="BE105" s="359" t="s">
        <v>2015</v>
      </c>
      <c r="BF105" s="359" t="s">
        <v>2016</v>
      </c>
      <c r="BG105" s="359" t="s">
        <v>2017</v>
      </c>
      <c r="BH105" s="359" t="s">
        <v>2018</v>
      </c>
      <c r="BI105" s="359" t="s">
        <v>2019</v>
      </c>
      <c r="BJ105" s="359" t="s">
        <v>2020</v>
      </c>
      <c r="BK105" s="359" t="s">
        <v>2021</v>
      </c>
      <c r="BL105" s="359" t="s">
        <v>2022</v>
      </c>
      <c r="BM105" s="359" t="s">
        <v>2023</v>
      </c>
      <c r="BN105" s="359" t="s">
        <v>2024</v>
      </c>
      <c r="BO105" s="147" t="str">
        <f t="shared" si="99"/>
        <v>Pic Example</v>
      </c>
    </row>
    <row r="106" spans="2:67" x14ac:dyDescent="0.25">
      <c r="B106" t="s">
        <v>358</v>
      </c>
      <c r="C106" s="358" t="str">
        <f t="shared" si="96"/>
        <v>https://viking-pictures.s3.us-west-1.amazonaws.com/AA1155/A114.+Taillight%2C+QUARTER+PANEL+MOUNTED+-+RIGHT+(FLAWED)+(1).JPG|https://viking-pictures.s3.us-west-1.amazonaws.com/AA1155/A114.+Taillight%2C+QUARTER+PANEL+MOUNTED+-+RIGHT+(FLAWED)+(2).JPG|https://viking-pictures.s3.us-west-1.amazonaws.com/AA1155/A114.+Taillight%2C+QUARTER+PANEL+MOUNTED+-+RIGHT+(FLAWED)+(3).JPG|https://viking-pictures.s3.us-west-1.amazonaws.com/AA1155/A114.+Taillight%2C+QUARTER+PANEL+MOUNTED+-+RIGHT+(FLAWED)+(4).JPG|https://viking-pictures.s3.us-west-1.amazonaws.com/AA1155/A114.+Taillight%2C+QUARTER+PANEL+MOUNTED+-+RIGHT+(FLAWED)+(6).JPG</v>
      </c>
      <c r="D106" s="358">
        <f>VLOOKUP(B106,'3. Keep &amp; Toss Items'!$O$9:$T$749,6,FALSE)</f>
        <v>6</v>
      </c>
      <c r="E106" s="358" t="str">
        <f t="shared" si="97"/>
        <v>https://viking-pictures.s3.us-west-1.amazonaws.com/AA1155/A114.+Taillight%2C+QUARTER+PANEL+MOUNTED+-+RIGHT+(FLAWED)+(1).JPG</v>
      </c>
      <c r="F106" s="358" t="str">
        <f t="shared" si="100"/>
        <v>https://viking-pictures.s3.us-west-1.amazonaws.com/AA1155/A114.+Taillight%2C+QUARTER+PANEL+MOUNTED+-+RIGHT+(FLAWED)+(2).JPG</v>
      </c>
      <c r="G106" s="358" t="str">
        <f t="shared" si="101"/>
        <v>https://viking-pictures.s3.us-west-1.amazonaws.com/AA1155/A114.+Taillight%2C+QUARTER+PANEL+MOUNTED+-+RIGHT+(FLAWED)+(3).JPG</v>
      </c>
      <c r="H106" s="358" t="str">
        <f t="shared" si="102"/>
        <v>https://viking-pictures.s3.us-west-1.amazonaws.com/AA1155/A114.+Taillight%2C+QUARTER+PANEL+MOUNTED+-+RIGHT+(FLAWED)+(4).JPG</v>
      </c>
      <c r="I106" s="358" t="str">
        <f t="shared" si="103"/>
        <v>https://viking-pictures.s3.us-west-1.amazonaws.com/AA1155/A114.+Taillight%2C+QUARTER+PANEL+MOUNTED+-+RIGHT+(FLAWED)+(6).JPG</v>
      </c>
      <c r="J106" s="358" t="str">
        <f t="shared" si="104"/>
        <v/>
      </c>
      <c r="K106" s="358" t="str">
        <f t="shared" si="105"/>
        <v/>
      </c>
      <c r="L106" s="358" t="str">
        <f t="shared" si="106"/>
        <v/>
      </c>
      <c r="M106" s="358" t="str">
        <f t="shared" si="107"/>
        <v/>
      </c>
      <c r="N106" s="358" t="str">
        <f t="shared" si="108"/>
        <v/>
      </c>
      <c r="O106" s="358" t="str">
        <f t="shared" si="109"/>
        <v/>
      </c>
      <c r="P106" s="358" t="str">
        <f t="shared" si="110"/>
        <v/>
      </c>
      <c r="Q106" s="358" t="str">
        <f t="shared" si="111"/>
        <v/>
      </c>
      <c r="R106" s="358" t="str">
        <f t="shared" si="112"/>
        <v/>
      </c>
      <c r="S106" s="358" t="str">
        <f t="shared" si="113"/>
        <v/>
      </c>
      <c r="T106" s="358" t="str">
        <f t="shared" si="114"/>
        <v/>
      </c>
      <c r="U106" s="358" t="str">
        <f t="shared" si="115"/>
        <v/>
      </c>
      <c r="V106" s="358" t="str">
        <f t="shared" si="116"/>
        <v/>
      </c>
      <c r="W106" s="358" t="str">
        <f t="shared" si="117"/>
        <v/>
      </c>
      <c r="X106" s="358" t="str">
        <f t="shared" si="118"/>
        <v/>
      </c>
      <c r="Y106" s="358" t="str">
        <f t="shared" si="119"/>
        <v/>
      </c>
      <c r="Z106" s="358" t="str">
        <f t="shared" si="120"/>
        <v/>
      </c>
      <c r="AA106" s="111" t="s">
        <v>1998</v>
      </c>
      <c r="AB106" s="358" t="str">
        <f t="shared" si="85"/>
        <v>A114.+Taillight%2C+QUARTER+PANEL+MOUNTED+-+RIGHT+(FLAWED)</v>
      </c>
      <c r="AC106" s="358" t="str">
        <f>VLOOKUP(B106,'3. Keep &amp; Toss Items'!$O$9:$R$749,4,FALSE)</f>
        <v>A114. Taillight, QUARTER PANEL MOUNTED - RIGHT (FLAWED)</v>
      </c>
      <c r="AD106" s="358" t="str">
        <f t="shared" si="86"/>
        <v>A114. Taillight, QUARTER PANEL MOUNTED - RIGHT (FLAWED)</v>
      </c>
      <c r="AE106" s="358" t="str">
        <f t="shared" si="87"/>
        <v>A114.+Taillight,+QUARTER+PANEL+MOUNTED+-+RIGHT+(FLAWED)</v>
      </c>
      <c r="AF106" s="358" t="str">
        <f t="shared" si="88"/>
        <v>A114.+Taillight%2C+QUARTER+PANEL+MOUNTED+-+RIGHT+(FLAWED)</v>
      </c>
      <c r="AG106" s="358" t="str">
        <f t="shared" si="89"/>
        <v>A114.+Taillight%2C+QUARTER+PANEL+MOUNTED+-+RIGHT+(FLAWED)</v>
      </c>
      <c r="AH106" s="358" t="str">
        <f t="shared" si="90"/>
        <v>A114.+Taillight%2C+QUARTER+PANEL+MOUNTED+-+RIGHT+(FLAWED)</v>
      </c>
      <c r="AI106" s="358" t="str">
        <f t="shared" si="91"/>
        <v>A114.+Taillight%2C+QUARTER+PANEL+MOUNTED+-+RIGHT+(FLAWED)</v>
      </c>
      <c r="AJ106" s="358" t="str">
        <f t="shared" si="92"/>
        <v>A114.+Taillight%2C+QUARTER+PANEL+MOUNTED+-+RIGHT+(FLAWED)</v>
      </c>
      <c r="AK106" s="358" t="str">
        <f t="shared" si="93"/>
        <v>A114.+Taillight%2C+QUARTER+PANEL+MOUNTED+-+RIGHT+(FLAWED)</v>
      </c>
      <c r="AL106" s="358" t="str">
        <f t="shared" si="98"/>
        <v>A114.+Taillight%2C+QUARTER+PANEL+MOUNTED+-+RIGHT+(FLAWED)</v>
      </c>
      <c r="AM106" s="358" t="str">
        <f t="shared" si="94"/>
        <v>A114.+Taillight%2C+QUARTER+PANEL+MOUNTED+-+RIGHT+(FLAWED)</v>
      </c>
      <c r="AN106" s="358" t="str">
        <f t="shared" si="95"/>
        <v>A114.+Taillight%2C+QUARTER+PANEL+MOUNTED+-+RIGHT+(FLAWED)</v>
      </c>
      <c r="AO106" s="359" t="s">
        <v>1999</v>
      </c>
      <c r="AP106" s="359" t="s">
        <v>2000</v>
      </c>
      <c r="AQ106" s="359" t="s">
        <v>2001</v>
      </c>
      <c r="AR106" s="359" t="s">
        <v>2002</v>
      </c>
      <c r="AS106" s="359" t="s">
        <v>2003</v>
      </c>
      <c r="AT106" s="359" t="s">
        <v>2004</v>
      </c>
      <c r="AU106" s="359" t="s">
        <v>2005</v>
      </c>
      <c r="AV106" s="359" t="s">
        <v>2006</v>
      </c>
      <c r="AW106" s="359" t="s">
        <v>2007</v>
      </c>
      <c r="AX106" s="359" t="s">
        <v>2008</v>
      </c>
      <c r="AY106" s="359" t="s">
        <v>2009</v>
      </c>
      <c r="AZ106" s="359" t="s">
        <v>2010</v>
      </c>
      <c r="BA106" s="359" t="s">
        <v>2011</v>
      </c>
      <c r="BB106" s="359" t="s">
        <v>2012</v>
      </c>
      <c r="BC106" s="359" t="s">
        <v>2013</v>
      </c>
      <c r="BD106" s="359" t="s">
        <v>2014</v>
      </c>
      <c r="BE106" s="359" t="s">
        <v>2015</v>
      </c>
      <c r="BF106" s="359" t="s">
        <v>2016</v>
      </c>
      <c r="BG106" s="359" t="s">
        <v>2017</v>
      </c>
      <c r="BH106" s="359" t="s">
        <v>2018</v>
      </c>
      <c r="BI106" s="359" t="s">
        <v>2019</v>
      </c>
      <c r="BJ106" s="359" t="s">
        <v>2020</v>
      </c>
      <c r="BK106" s="359" t="s">
        <v>2021</v>
      </c>
      <c r="BL106" s="359" t="s">
        <v>2022</v>
      </c>
      <c r="BM106" s="359" t="s">
        <v>2023</v>
      </c>
      <c r="BN106" s="359" t="s">
        <v>2024</v>
      </c>
      <c r="BO106" s="147" t="str">
        <f t="shared" si="99"/>
        <v>Pic Example</v>
      </c>
    </row>
    <row r="107" spans="2:67" x14ac:dyDescent="0.25">
      <c r="B107" t="s">
        <v>359</v>
      </c>
      <c r="C107" s="358" t="str">
        <f t="shared" si="96"/>
        <v>https://viking-pictures.s3.us-west-1.amazonaws.com/AA1155/A115.+Taillight%2C+TRUNK+MOUNTED+-+RIGHT+(1).JPG|https://viking-pictures.s3.us-west-1.amazonaws.com/AA1155/A115.+Taillight%2C+TRUNK+MOUNTED+-+RIGHT+(2).JPG|https://viking-pictures.s3.us-west-1.amazonaws.com/AA1155/A115.+Taillight%2C+TRUNK+MOUNTED+-+RIGHT+(3).JPG|https://viking-pictures.s3.us-west-1.amazonaws.com/AA1155/A115.+Taillight%2C+TRUNK+MOUNTED+-+RIGHT+(4).JPG</v>
      </c>
      <c r="D107" s="358">
        <f>VLOOKUP(B107,'3. Keep &amp; Toss Items'!$O$9:$T$749,6,FALSE)</f>
        <v>5</v>
      </c>
      <c r="E107" s="358" t="str">
        <f t="shared" si="97"/>
        <v>https://viking-pictures.s3.us-west-1.amazonaws.com/AA1155/A115.+Taillight%2C+TRUNK+MOUNTED+-+RIGHT+(1).JPG</v>
      </c>
      <c r="F107" s="358" t="str">
        <f t="shared" si="100"/>
        <v>https://viking-pictures.s3.us-west-1.amazonaws.com/AA1155/A115.+Taillight%2C+TRUNK+MOUNTED+-+RIGHT+(2).JPG</v>
      </c>
      <c r="G107" s="358" t="str">
        <f t="shared" si="101"/>
        <v>https://viking-pictures.s3.us-west-1.amazonaws.com/AA1155/A115.+Taillight%2C+TRUNK+MOUNTED+-+RIGHT+(3).JPG</v>
      </c>
      <c r="H107" s="358" t="str">
        <f t="shared" si="102"/>
        <v>https://viking-pictures.s3.us-west-1.amazonaws.com/AA1155/A115.+Taillight%2C+TRUNK+MOUNTED+-+RIGHT+(4).JPG</v>
      </c>
      <c r="I107" s="358" t="str">
        <f t="shared" si="103"/>
        <v/>
      </c>
      <c r="J107" s="358" t="str">
        <f t="shared" si="104"/>
        <v/>
      </c>
      <c r="K107" s="358" t="str">
        <f t="shared" si="105"/>
        <v/>
      </c>
      <c r="L107" s="358" t="str">
        <f t="shared" si="106"/>
        <v/>
      </c>
      <c r="M107" s="358" t="str">
        <f t="shared" si="107"/>
        <v/>
      </c>
      <c r="N107" s="358" t="str">
        <f t="shared" si="108"/>
        <v/>
      </c>
      <c r="O107" s="358" t="str">
        <f t="shared" si="109"/>
        <v/>
      </c>
      <c r="P107" s="358" t="str">
        <f t="shared" si="110"/>
        <v/>
      </c>
      <c r="Q107" s="358" t="str">
        <f t="shared" si="111"/>
        <v/>
      </c>
      <c r="R107" s="358" t="str">
        <f t="shared" si="112"/>
        <v/>
      </c>
      <c r="S107" s="358" t="str">
        <f t="shared" si="113"/>
        <v/>
      </c>
      <c r="T107" s="358" t="str">
        <f t="shared" si="114"/>
        <v/>
      </c>
      <c r="U107" s="358" t="str">
        <f t="shared" si="115"/>
        <v/>
      </c>
      <c r="V107" s="358" t="str">
        <f t="shared" si="116"/>
        <v/>
      </c>
      <c r="W107" s="358" t="str">
        <f t="shared" si="117"/>
        <v/>
      </c>
      <c r="X107" s="358" t="str">
        <f t="shared" si="118"/>
        <v/>
      </c>
      <c r="Y107" s="358" t="str">
        <f t="shared" si="119"/>
        <v/>
      </c>
      <c r="Z107" s="358" t="str">
        <f t="shared" si="120"/>
        <v/>
      </c>
      <c r="AA107" s="111" t="s">
        <v>1998</v>
      </c>
      <c r="AB107" s="358" t="str">
        <f t="shared" si="85"/>
        <v>A115.+Taillight%2C+TRUNK+MOUNTED+-+RIGHT</v>
      </c>
      <c r="AC107" s="358" t="str">
        <f>VLOOKUP(B107,'3. Keep &amp; Toss Items'!$O$9:$R$749,4,FALSE)</f>
        <v>A115. Taillight, TRUNK MOUNTED - RIGHT</v>
      </c>
      <c r="AD107" s="358" t="str">
        <f t="shared" si="86"/>
        <v>A115. Taillight, TRUNK MOUNTED - RIGHT</v>
      </c>
      <c r="AE107" s="358" t="str">
        <f t="shared" si="87"/>
        <v>A115.+Taillight,+TRUNK+MOUNTED+-+RIGHT</v>
      </c>
      <c r="AF107" s="358" t="str">
        <f t="shared" si="88"/>
        <v>A115.+Taillight%2C+TRUNK+MOUNTED+-+RIGHT</v>
      </c>
      <c r="AG107" s="358" t="str">
        <f t="shared" si="89"/>
        <v>A115.+Taillight%2C+TRUNK+MOUNTED+-+RIGHT</v>
      </c>
      <c r="AH107" s="358" t="str">
        <f t="shared" si="90"/>
        <v>A115.+Taillight%2C+TRUNK+MOUNTED+-+RIGHT</v>
      </c>
      <c r="AI107" s="358" t="str">
        <f t="shared" si="91"/>
        <v>A115.+Taillight%2C+TRUNK+MOUNTED+-+RIGHT</v>
      </c>
      <c r="AJ107" s="358" t="str">
        <f t="shared" si="92"/>
        <v>A115.+Taillight%2C+TRUNK+MOUNTED+-+RIGHT</v>
      </c>
      <c r="AK107" s="358" t="str">
        <f t="shared" si="93"/>
        <v>A115.+Taillight%2C+TRUNK+MOUNTED+-+RIGHT</v>
      </c>
      <c r="AL107" s="358" t="str">
        <f t="shared" si="98"/>
        <v>A115.+Taillight%2C+TRUNK+MOUNTED+-+RIGHT</v>
      </c>
      <c r="AM107" s="358" t="str">
        <f t="shared" si="94"/>
        <v>A115.+Taillight%2C+TRUNK+MOUNTED+-+RIGHT</v>
      </c>
      <c r="AN107" s="358" t="str">
        <f t="shared" si="95"/>
        <v>A115.+Taillight%2C+TRUNK+MOUNTED+-+RIGHT</v>
      </c>
      <c r="AO107" s="359" t="s">
        <v>1999</v>
      </c>
      <c r="AP107" s="359" t="s">
        <v>2000</v>
      </c>
      <c r="AQ107" s="359" t="s">
        <v>2001</v>
      </c>
      <c r="AR107" s="359" t="s">
        <v>2002</v>
      </c>
      <c r="AS107" s="359" t="s">
        <v>2003</v>
      </c>
      <c r="AT107" s="359" t="s">
        <v>2004</v>
      </c>
      <c r="AU107" s="359" t="s">
        <v>2005</v>
      </c>
      <c r="AV107" s="359" t="s">
        <v>2006</v>
      </c>
      <c r="AW107" s="359" t="s">
        <v>2007</v>
      </c>
      <c r="AX107" s="359" t="s">
        <v>2008</v>
      </c>
      <c r="AY107" s="359" t="s">
        <v>2009</v>
      </c>
      <c r="AZ107" s="359" t="s">
        <v>2010</v>
      </c>
      <c r="BA107" s="359" t="s">
        <v>2011</v>
      </c>
      <c r="BB107" s="359" t="s">
        <v>2012</v>
      </c>
      <c r="BC107" s="359" t="s">
        <v>2013</v>
      </c>
      <c r="BD107" s="359" t="s">
        <v>2014</v>
      </c>
      <c r="BE107" s="359" t="s">
        <v>2015</v>
      </c>
      <c r="BF107" s="359" t="s">
        <v>2016</v>
      </c>
      <c r="BG107" s="359" t="s">
        <v>2017</v>
      </c>
      <c r="BH107" s="359" t="s">
        <v>2018</v>
      </c>
      <c r="BI107" s="359" t="s">
        <v>2019</v>
      </c>
      <c r="BJ107" s="359" t="s">
        <v>2020</v>
      </c>
      <c r="BK107" s="359" t="s">
        <v>2021</v>
      </c>
      <c r="BL107" s="359" t="s">
        <v>2022</v>
      </c>
      <c r="BM107" s="359" t="s">
        <v>2023</v>
      </c>
      <c r="BN107" s="359" t="s">
        <v>2024</v>
      </c>
      <c r="BO107" s="147" t="str">
        <f t="shared" si="99"/>
        <v>Pic Example</v>
      </c>
    </row>
    <row r="108" spans="2:67" x14ac:dyDescent="0.25">
      <c r="B108" t="s">
        <v>360</v>
      </c>
      <c r="C108" s="358" t="str">
        <f t="shared" si="96"/>
        <v>https://viking-pictures.s3.us-west-1.amazonaws.com/AA1155/A116.+Mirror%2C+Door+-+FRONT+LEFT+(1).JPG|https://viking-pictures.s3.us-west-1.amazonaws.com/AA1155/A116.+Mirror%2C+Door+-+FRONT+LEFT+(2).JPG|https://viking-pictures.s3.us-west-1.amazonaws.com/AA1155/A116.+Mirror%2C+Door+-+FRONT+LEFT+(3).JPG|https://viking-pictures.s3.us-west-1.amazonaws.com/AA1155/A116.+Mirror%2C+Door+-+FRONT+LEFT+(4).JPG|https://viking-pictures.s3.us-west-1.amazonaws.com/AA1155/A116.+Mirror%2C+Door+-+FRONT+LEFT+(6).JPG</v>
      </c>
      <c r="D108" s="358">
        <f>VLOOKUP(B108,'3. Keep &amp; Toss Items'!$O$9:$T$749,6,FALSE)</f>
        <v>6</v>
      </c>
      <c r="E108" s="358" t="str">
        <f t="shared" si="97"/>
        <v>https://viking-pictures.s3.us-west-1.amazonaws.com/AA1155/A116.+Mirror%2C+Door+-+FRONT+LEFT+(1).JPG</v>
      </c>
      <c r="F108" s="358" t="str">
        <f t="shared" si="100"/>
        <v>https://viking-pictures.s3.us-west-1.amazonaws.com/AA1155/A116.+Mirror%2C+Door+-+FRONT+LEFT+(2).JPG</v>
      </c>
      <c r="G108" s="358" t="str">
        <f t="shared" si="101"/>
        <v>https://viking-pictures.s3.us-west-1.amazonaws.com/AA1155/A116.+Mirror%2C+Door+-+FRONT+LEFT+(3).JPG</v>
      </c>
      <c r="H108" s="358" t="str">
        <f t="shared" si="102"/>
        <v>https://viking-pictures.s3.us-west-1.amazonaws.com/AA1155/A116.+Mirror%2C+Door+-+FRONT+LEFT+(4).JPG</v>
      </c>
      <c r="I108" s="358" t="str">
        <f t="shared" si="103"/>
        <v>https://viking-pictures.s3.us-west-1.amazonaws.com/AA1155/A116.+Mirror%2C+Door+-+FRONT+LEFT+(6).JPG</v>
      </c>
      <c r="J108" s="358" t="str">
        <f t="shared" si="104"/>
        <v/>
      </c>
      <c r="K108" s="358" t="str">
        <f t="shared" si="105"/>
        <v/>
      </c>
      <c r="L108" s="358" t="str">
        <f t="shared" si="106"/>
        <v/>
      </c>
      <c r="M108" s="358" t="str">
        <f t="shared" si="107"/>
        <v/>
      </c>
      <c r="N108" s="358" t="str">
        <f t="shared" si="108"/>
        <v/>
      </c>
      <c r="O108" s="358" t="str">
        <f t="shared" si="109"/>
        <v/>
      </c>
      <c r="P108" s="358" t="str">
        <f t="shared" si="110"/>
        <v/>
      </c>
      <c r="Q108" s="358" t="str">
        <f t="shared" si="111"/>
        <v/>
      </c>
      <c r="R108" s="358" t="str">
        <f t="shared" si="112"/>
        <v/>
      </c>
      <c r="S108" s="358" t="str">
        <f t="shared" si="113"/>
        <v/>
      </c>
      <c r="T108" s="358" t="str">
        <f t="shared" si="114"/>
        <v/>
      </c>
      <c r="U108" s="358" t="str">
        <f t="shared" si="115"/>
        <v/>
      </c>
      <c r="V108" s="358" t="str">
        <f t="shared" si="116"/>
        <v/>
      </c>
      <c r="W108" s="358" t="str">
        <f t="shared" si="117"/>
        <v/>
      </c>
      <c r="X108" s="358" t="str">
        <f t="shared" si="118"/>
        <v/>
      </c>
      <c r="Y108" s="358" t="str">
        <f t="shared" si="119"/>
        <v/>
      </c>
      <c r="Z108" s="358" t="str">
        <f t="shared" si="120"/>
        <v/>
      </c>
      <c r="AA108" s="111" t="s">
        <v>1998</v>
      </c>
      <c r="AB108" s="358" t="str">
        <f t="shared" si="85"/>
        <v>A116.+Mirror%2C+Door+-+FRONT+LEFT</v>
      </c>
      <c r="AC108" s="358" t="str">
        <f>VLOOKUP(B108,'3. Keep &amp; Toss Items'!$O$9:$R$749,4,FALSE)</f>
        <v>A116. Mirror, Door - FRONT LEFT</v>
      </c>
      <c r="AD108" s="358" t="str">
        <f t="shared" si="86"/>
        <v>A116. Mirror, Door - FRONT LEFT</v>
      </c>
      <c r="AE108" s="358" t="str">
        <f t="shared" si="87"/>
        <v>A116.+Mirror,+Door+-+FRONT+LEFT</v>
      </c>
      <c r="AF108" s="358" t="str">
        <f t="shared" si="88"/>
        <v>A116.+Mirror%2C+Door+-+FRONT+LEFT</v>
      </c>
      <c r="AG108" s="358" t="str">
        <f t="shared" si="89"/>
        <v>A116.+Mirror%2C+Door+-+FRONT+LEFT</v>
      </c>
      <c r="AH108" s="358" t="str">
        <f t="shared" si="90"/>
        <v>A116.+Mirror%2C+Door+-+FRONT+LEFT</v>
      </c>
      <c r="AI108" s="358" t="str">
        <f t="shared" si="91"/>
        <v>A116.+Mirror%2C+Door+-+FRONT+LEFT</v>
      </c>
      <c r="AJ108" s="358" t="str">
        <f t="shared" si="92"/>
        <v>A116.+Mirror%2C+Door+-+FRONT+LEFT</v>
      </c>
      <c r="AK108" s="358" t="str">
        <f t="shared" si="93"/>
        <v>A116.+Mirror%2C+Door+-+FRONT+LEFT</v>
      </c>
      <c r="AL108" s="358" t="str">
        <f t="shared" si="98"/>
        <v>A116.+Mirror%2C+Door+-+FRONT+LEFT</v>
      </c>
      <c r="AM108" s="358" t="str">
        <f t="shared" si="94"/>
        <v>A116.+Mirror%2C+Door+-+FRONT+LEFT</v>
      </c>
      <c r="AN108" s="358" t="str">
        <f t="shared" si="95"/>
        <v>A116.+Mirror%2C+Door+-+FRONT+LEFT</v>
      </c>
      <c r="AO108" s="359" t="s">
        <v>1999</v>
      </c>
      <c r="AP108" s="359" t="s">
        <v>2000</v>
      </c>
      <c r="AQ108" s="359" t="s">
        <v>2001</v>
      </c>
      <c r="AR108" s="359" t="s">
        <v>2002</v>
      </c>
      <c r="AS108" s="359" t="s">
        <v>2003</v>
      </c>
      <c r="AT108" s="359" t="s">
        <v>2004</v>
      </c>
      <c r="AU108" s="359" t="s">
        <v>2005</v>
      </c>
      <c r="AV108" s="359" t="s">
        <v>2006</v>
      </c>
      <c r="AW108" s="359" t="s">
        <v>2007</v>
      </c>
      <c r="AX108" s="359" t="s">
        <v>2008</v>
      </c>
      <c r="AY108" s="359" t="s">
        <v>2009</v>
      </c>
      <c r="AZ108" s="359" t="s">
        <v>2010</v>
      </c>
      <c r="BA108" s="359" t="s">
        <v>2011</v>
      </c>
      <c r="BB108" s="359" t="s">
        <v>2012</v>
      </c>
      <c r="BC108" s="359" t="s">
        <v>2013</v>
      </c>
      <c r="BD108" s="359" t="s">
        <v>2014</v>
      </c>
      <c r="BE108" s="359" t="s">
        <v>2015</v>
      </c>
      <c r="BF108" s="359" t="s">
        <v>2016</v>
      </c>
      <c r="BG108" s="359" t="s">
        <v>2017</v>
      </c>
      <c r="BH108" s="359" t="s">
        <v>2018</v>
      </c>
      <c r="BI108" s="359" t="s">
        <v>2019</v>
      </c>
      <c r="BJ108" s="359" t="s">
        <v>2020</v>
      </c>
      <c r="BK108" s="359" t="s">
        <v>2021</v>
      </c>
      <c r="BL108" s="359" t="s">
        <v>2022</v>
      </c>
      <c r="BM108" s="359" t="s">
        <v>2023</v>
      </c>
      <c r="BN108" s="359" t="s">
        <v>2024</v>
      </c>
      <c r="BO108" s="147" t="str">
        <f t="shared" si="99"/>
        <v>Pic Example</v>
      </c>
    </row>
    <row r="109" spans="2:67" x14ac:dyDescent="0.25">
      <c r="B109" t="s">
        <v>361</v>
      </c>
      <c r="C109" s="358" t="str">
        <f t="shared" si="96"/>
        <v>https://viking-pictures.s3.us-west-1.amazonaws.com/AA1155/A117.+Steering+Wheel+(1).JPG|https://viking-pictures.s3.us-west-1.amazonaws.com/AA1155/A117.+Steering+Wheel+(2).JPG|https://viking-pictures.s3.us-west-1.amazonaws.com/AA1155/A117.+Steering+Wheel+(3).JPG|https://viking-pictures.s3.us-west-1.amazonaws.com/AA1155/A117.+Steering+Wheel+(4).JPG|https://viking-pictures.s3.us-west-1.amazonaws.com/AA1155/A117.+Steering+Wheel+(6).JPG</v>
      </c>
      <c r="D109" s="358">
        <f>VLOOKUP(B109,'3. Keep &amp; Toss Items'!$O$9:$T$749,6,FALSE)</f>
        <v>6</v>
      </c>
      <c r="E109" s="358" t="str">
        <f t="shared" si="97"/>
        <v>https://viking-pictures.s3.us-west-1.amazonaws.com/AA1155/A117.+Steering+Wheel+(1).JPG</v>
      </c>
      <c r="F109" s="358" t="str">
        <f t="shared" si="100"/>
        <v>https://viking-pictures.s3.us-west-1.amazonaws.com/AA1155/A117.+Steering+Wheel+(2).JPG</v>
      </c>
      <c r="G109" s="358" t="str">
        <f t="shared" si="101"/>
        <v>https://viking-pictures.s3.us-west-1.amazonaws.com/AA1155/A117.+Steering+Wheel+(3).JPG</v>
      </c>
      <c r="H109" s="358" t="str">
        <f t="shared" si="102"/>
        <v>https://viking-pictures.s3.us-west-1.amazonaws.com/AA1155/A117.+Steering+Wheel+(4).JPG</v>
      </c>
      <c r="I109" s="358" t="str">
        <f t="shared" si="103"/>
        <v>https://viking-pictures.s3.us-west-1.amazonaws.com/AA1155/A117.+Steering+Wheel+(6).JPG</v>
      </c>
      <c r="J109" s="358" t="str">
        <f t="shared" si="104"/>
        <v/>
      </c>
      <c r="K109" s="358" t="str">
        <f t="shared" si="105"/>
        <v/>
      </c>
      <c r="L109" s="358" t="str">
        <f t="shared" si="106"/>
        <v/>
      </c>
      <c r="M109" s="358" t="str">
        <f t="shared" si="107"/>
        <v/>
      </c>
      <c r="N109" s="358" t="str">
        <f t="shared" si="108"/>
        <v/>
      </c>
      <c r="O109" s="358" t="str">
        <f t="shared" si="109"/>
        <v/>
      </c>
      <c r="P109" s="358" t="str">
        <f t="shared" si="110"/>
        <v/>
      </c>
      <c r="Q109" s="358" t="str">
        <f t="shared" si="111"/>
        <v/>
      </c>
      <c r="R109" s="358" t="str">
        <f t="shared" si="112"/>
        <v/>
      </c>
      <c r="S109" s="358" t="str">
        <f t="shared" si="113"/>
        <v/>
      </c>
      <c r="T109" s="358" t="str">
        <f t="shared" si="114"/>
        <v/>
      </c>
      <c r="U109" s="358" t="str">
        <f t="shared" si="115"/>
        <v/>
      </c>
      <c r="V109" s="358" t="str">
        <f t="shared" si="116"/>
        <v/>
      </c>
      <c r="W109" s="358" t="str">
        <f t="shared" si="117"/>
        <v/>
      </c>
      <c r="X109" s="358" t="str">
        <f t="shared" si="118"/>
        <v/>
      </c>
      <c r="Y109" s="358" t="str">
        <f t="shared" si="119"/>
        <v/>
      </c>
      <c r="Z109" s="358" t="str">
        <f t="shared" si="120"/>
        <v/>
      </c>
      <c r="AA109" s="111" t="s">
        <v>1998</v>
      </c>
      <c r="AB109" s="358" t="str">
        <f t="shared" si="85"/>
        <v>A117.+Steering+Wheel</v>
      </c>
      <c r="AC109" s="358" t="str">
        <f>VLOOKUP(B109,'3. Keep &amp; Toss Items'!$O$9:$R$749,4,FALSE)</f>
        <v>A117. Steering Wheel</v>
      </c>
      <c r="AD109" s="358" t="str">
        <f t="shared" si="86"/>
        <v>A117. Steering Wheel</v>
      </c>
      <c r="AE109" s="358" t="str">
        <f t="shared" si="87"/>
        <v>A117.+Steering+Wheel</v>
      </c>
      <c r="AF109" s="358" t="str">
        <f t="shared" si="88"/>
        <v>A117.+Steering+Wheel</v>
      </c>
      <c r="AG109" s="358" t="str">
        <f t="shared" si="89"/>
        <v>A117.+Steering+Wheel</v>
      </c>
      <c r="AH109" s="358" t="str">
        <f t="shared" si="90"/>
        <v>A117.+Steering+Wheel</v>
      </c>
      <c r="AI109" s="358" t="str">
        <f t="shared" si="91"/>
        <v>A117.+Steering+Wheel</v>
      </c>
      <c r="AJ109" s="358" t="str">
        <f t="shared" si="92"/>
        <v>A117.+Steering+Wheel</v>
      </c>
      <c r="AK109" s="358" t="str">
        <f t="shared" si="93"/>
        <v>A117.+Steering+Wheel</v>
      </c>
      <c r="AL109" s="358" t="str">
        <f t="shared" si="98"/>
        <v>A117.+Steering+Wheel</v>
      </c>
      <c r="AM109" s="358" t="str">
        <f t="shared" si="94"/>
        <v>A117.+Steering+Wheel</v>
      </c>
      <c r="AN109" s="358" t="str">
        <f t="shared" si="95"/>
        <v>A117.+Steering+Wheel</v>
      </c>
      <c r="AO109" s="359" t="s">
        <v>1999</v>
      </c>
      <c r="AP109" s="359" t="s">
        <v>2000</v>
      </c>
      <c r="AQ109" s="359" t="s">
        <v>2001</v>
      </c>
      <c r="AR109" s="359" t="s">
        <v>2002</v>
      </c>
      <c r="AS109" s="359" t="s">
        <v>2003</v>
      </c>
      <c r="AT109" s="359" t="s">
        <v>2004</v>
      </c>
      <c r="AU109" s="359" t="s">
        <v>2005</v>
      </c>
      <c r="AV109" s="359" t="s">
        <v>2006</v>
      </c>
      <c r="AW109" s="359" t="s">
        <v>2007</v>
      </c>
      <c r="AX109" s="359" t="s">
        <v>2008</v>
      </c>
      <c r="AY109" s="359" t="s">
        <v>2009</v>
      </c>
      <c r="AZ109" s="359" t="s">
        <v>2010</v>
      </c>
      <c r="BA109" s="359" t="s">
        <v>2011</v>
      </c>
      <c r="BB109" s="359" t="s">
        <v>2012</v>
      </c>
      <c r="BC109" s="359" t="s">
        <v>2013</v>
      </c>
      <c r="BD109" s="359" t="s">
        <v>2014</v>
      </c>
      <c r="BE109" s="359" t="s">
        <v>2015</v>
      </c>
      <c r="BF109" s="359" t="s">
        <v>2016</v>
      </c>
      <c r="BG109" s="359" t="s">
        <v>2017</v>
      </c>
      <c r="BH109" s="359" t="s">
        <v>2018</v>
      </c>
      <c r="BI109" s="359" t="s">
        <v>2019</v>
      </c>
      <c r="BJ109" s="359" t="s">
        <v>2020</v>
      </c>
      <c r="BK109" s="359" t="s">
        <v>2021</v>
      </c>
      <c r="BL109" s="359" t="s">
        <v>2022</v>
      </c>
      <c r="BM109" s="359" t="s">
        <v>2023</v>
      </c>
      <c r="BN109" s="359" t="s">
        <v>2024</v>
      </c>
      <c r="BO109" s="147" t="str">
        <f t="shared" si="99"/>
        <v>Pic Example</v>
      </c>
    </row>
    <row r="110" spans="2:67" x14ac:dyDescent="0.25">
      <c r="B110" t="s">
        <v>362</v>
      </c>
      <c r="C110" s="358" t="str">
        <f t="shared" si="96"/>
        <v>https://viking-pictures.s3.us-west-1.amazonaws.com/AA1155/A118.+Door+Handle%2C+Exterior+-+FRONT+-+RIGHT+(1).JPG|https://viking-pictures.s3.us-west-1.amazonaws.com/AA1155/A118.+Door+Handle%2C+Exterior+-+FRONT+-+RIGHT+(2).JPG|https://viking-pictures.s3.us-west-1.amazonaws.com/AA1155/A118.+Door+Handle%2C+Exterior+-+FRONT+-+RIGHT+(3).JPG|https://viking-pictures.s3.us-west-1.amazonaws.com/AA1155/A118.+Door+Handle%2C+Exterior+-+FRONT+-+RIGHT+(4).JPG|https://viking-pictures.s3.us-west-1.amazonaws.com/AA1155/A118.+Door+Handle%2C+Exterior+-+FRONT+-+RIGHT+(6).JPG</v>
      </c>
      <c r="D110" s="358">
        <f>VLOOKUP(B110,'3. Keep &amp; Toss Items'!$O$9:$T$749,6,FALSE)</f>
        <v>6</v>
      </c>
      <c r="E110" s="358" t="str">
        <f t="shared" si="97"/>
        <v>https://viking-pictures.s3.us-west-1.amazonaws.com/AA1155/A118.+Door+Handle%2C+Exterior+-+FRONT+-+RIGHT+(1).JPG</v>
      </c>
      <c r="F110" s="358" t="str">
        <f t="shared" si="100"/>
        <v>https://viking-pictures.s3.us-west-1.amazonaws.com/AA1155/A118.+Door+Handle%2C+Exterior+-+FRONT+-+RIGHT+(2).JPG</v>
      </c>
      <c r="G110" s="358" t="str">
        <f t="shared" si="101"/>
        <v>https://viking-pictures.s3.us-west-1.amazonaws.com/AA1155/A118.+Door+Handle%2C+Exterior+-+FRONT+-+RIGHT+(3).JPG</v>
      </c>
      <c r="H110" s="358" t="str">
        <f t="shared" si="102"/>
        <v>https://viking-pictures.s3.us-west-1.amazonaws.com/AA1155/A118.+Door+Handle%2C+Exterior+-+FRONT+-+RIGHT+(4).JPG</v>
      </c>
      <c r="I110" s="358" t="str">
        <f t="shared" si="103"/>
        <v>https://viking-pictures.s3.us-west-1.amazonaws.com/AA1155/A118.+Door+Handle%2C+Exterior+-+FRONT+-+RIGHT+(6).JPG</v>
      </c>
      <c r="J110" s="358" t="str">
        <f t="shared" si="104"/>
        <v/>
      </c>
      <c r="K110" s="358" t="str">
        <f t="shared" si="105"/>
        <v/>
      </c>
      <c r="L110" s="358" t="str">
        <f t="shared" si="106"/>
        <v/>
      </c>
      <c r="M110" s="358" t="str">
        <f t="shared" si="107"/>
        <v/>
      </c>
      <c r="N110" s="358" t="str">
        <f t="shared" si="108"/>
        <v/>
      </c>
      <c r="O110" s="358" t="str">
        <f t="shared" si="109"/>
        <v/>
      </c>
      <c r="P110" s="358" t="str">
        <f t="shared" si="110"/>
        <v/>
      </c>
      <c r="Q110" s="358" t="str">
        <f t="shared" si="111"/>
        <v/>
      </c>
      <c r="R110" s="358" t="str">
        <f t="shared" si="112"/>
        <v/>
      </c>
      <c r="S110" s="358" t="str">
        <f t="shared" si="113"/>
        <v/>
      </c>
      <c r="T110" s="358" t="str">
        <f t="shared" si="114"/>
        <v/>
      </c>
      <c r="U110" s="358" t="str">
        <f t="shared" si="115"/>
        <v/>
      </c>
      <c r="V110" s="358" t="str">
        <f t="shared" si="116"/>
        <v/>
      </c>
      <c r="W110" s="358" t="str">
        <f t="shared" si="117"/>
        <v/>
      </c>
      <c r="X110" s="358" t="str">
        <f t="shared" si="118"/>
        <v/>
      </c>
      <c r="Y110" s="358" t="str">
        <f t="shared" si="119"/>
        <v/>
      </c>
      <c r="Z110" s="358" t="str">
        <f t="shared" si="120"/>
        <v/>
      </c>
      <c r="AA110" s="111" t="s">
        <v>1998</v>
      </c>
      <c r="AB110" s="358" t="str">
        <f t="shared" si="85"/>
        <v>A118.+Door+Handle%2C+Exterior+-+FRONT+-+RIGHT</v>
      </c>
      <c r="AC110" s="358" t="str">
        <f>VLOOKUP(B110,'3. Keep &amp; Toss Items'!$O$9:$R$749,4,FALSE)</f>
        <v>A118. Door Handle, Exterior - FRONT - RIGHT</v>
      </c>
      <c r="AD110" s="358" t="str">
        <f t="shared" si="86"/>
        <v>A118. Door Handle, Exterior - FRONT - RIGHT</v>
      </c>
      <c r="AE110" s="358" t="str">
        <f t="shared" si="87"/>
        <v>A118.+Door+Handle,+Exterior+-+FRONT+-+RIGHT</v>
      </c>
      <c r="AF110" s="358" t="str">
        <f t="shared" si="88"/>
        <v>A118.+Door+Handle%2C+Exterior+-+FRONT+-+RIGHT</v>
      </c>
      <c r="AG110" s="358" t="str">
        <f t="shared" si="89"/>
        <v>A118.+Door+Handle%2C+Exterior+-+FRONT+-+RIGHT</v>
      </c>
      <c r="AH110" s="358" t="str">
        <f t="shared" si="90"/>
        <v>A118.+Door+Handle%2C+Exterior+-+FRONT+-+RIGHT</v>
      </c>
      <c r="AI110" s="358" t="str">
        <f t="shared" si="91"/>
        <v>A118.+Door+Handle%2C+Exterior+-+FRONT+-+RIGHT</v>
      </c>
      <c r="AJ110" s="358" t="str">
        <f t="shared" si="92"/>
        <v>A118.+Door+Handle%2C+Exterior+-+FRONT+-+RIGHT</v>
      </c>
      <c r="AK110" s="358" t="str">
        <f t="shared" si="93"/>
        <v>A118.+Door+Handle%2C+Exterior+-+FRONT+-+RIGHT</v>
      </c>
      <c r="AL110" s="358" t="str">
        <f t="shared" si="98"/>
        <v>A118.+Door+Handle%2C+Exterior+-+FRONT+-+RIGHT</v>
      </c>
      <c r="AM110" s="358" t="str">
        <f t="shared" si="94"/>
        <v>A118.+Door+Handle%2C+Exterior+-+FRONT+-+RIGHT</v>
      </c>
      <c r="AN110" s="358" t="str">
        <f t="shared" si="95"/>
        <v>A118.+Door+Handle%2C+Exterior+-+FRONT+-+RIGHT</v>
      </c>
      <c r="AO110" s="359" t="s">
        <v>1999</v>
      </c>
      <c r="AP110" s="359" t="s">
        <v>2000</v>
      </c>
      <c r="AQ110" s="359" t="s">
        <v>2001</v>
      </c>
      <c r="AR110" s="359" t="s">
        <v>2002</v>
      </c>
      <c r="AS110" s="359" t="s">
        <v>2003</v>
      </c>
      <c r="AT110" s="359" t="s">
        <v>2004</v>
      </c>
      <c r="AU110" s="359" t="s">
        <v>2005</v>
      </c>
      <c r="AV110" s="359" t="s">
        <v>2006</v>
      </c>
      <c r="AW110" s="359" t="s">
        <v>2007</v>
      </c>
      <c r="AX110" s="359" t="s">
        <v>2008</v>
      </c>
      <c r="AY110" s="359" t="s">
        <v>2009</v>
      </c>
      <c r="AZ110" s="359" t="s">
        <v>2010</v>
      </c>
      <c r="BA110" s="359" t="s">
        <v>2011</v>
      </c>
      <c r="BB110" s="359" t="s">
        <v>2012</v>
      </c>
      <c r="BC110" s="359" t="s">
        <v>2013</v>
      </c>
      <c r="BD110" s="359" t="s">
        <v>2014</v>
      </c>
      <c r="BE110" s="359" t="s">
        <v>2015</v>
      </c>
      <c r="BF110" s="359" t="s">
        <v>2016</v>
      </c>
      <c r="BG110" s="359" t="s">
        <v>2017</v>
      </c>
      <c r="BH110" s="359" t="s">
        <v>2018</v>
      </c>
      <c r="BI110" s="359" t="s">
        <v>2019</v>
      </c>
      <c r="BJ110" s="359" t="s">
        <v>2020</v>
      </c>
      <c r="BK110" s="359" t="s">
        <v>2021</v>
      </c>
      <c r="BL110" s="359" t="s">
        <v>2022</v>
      </c>
      <c r="BM110" s="359" t="s">
        <v>2023</v>
      </c>
      <c r="BN110" s="359" t="s">
        <v>2024</v>
      </c>
      <c r="BO110" s="147" t="str">
        <f t="shared" si="99"/>
        <v>Pic Example</v>
      </c>
    </row>
    <row r="111" spans="2:67" x14ac:dyDescent="0.25">
      <c r="B111" t="s">
        <v>363</v>
      </c>
      <c r="C111" s="358" t="str">
        <f t="shared" si="96"/>
        <v>https://viking-pictures.s3.us-west-1.amazonaws.com/AA1155/A119.+Fuel+Tank+Door+(1).JPG|https://viking-pictures.s3.us-west-1.amazonaws.com/AA1155/A119.+Fuel+Tank+Door+(2).JPG|https://viking-pictures.s3.us-west-1.amazonaws.com/AA1155/A119.+Fuel+Tank+Door+(3).JPG|https://viking-pictures.s3.us-west-1.amazonaws.com/AA1155/A119.+Fuel+Tank+Door+(4).JPG</v>
      </c>
      <c r="D111" s="358">
        <f>VLOOKUP(B111,'3. Keep &amp; Toss Items'!$O$9:$T$749,6,FALSE)</f>
        <v>4</v>
      </c>
      <c r="E111" s="358" t="str">
        <f t="shared" si="97"/>
        <v>https://viking-pictures.s3.us-west-1.amazonaws.com/AA1155/A119.+Fuel+Tank+Door+(1).JPG</v>
      </c>
      <c r="F111" s="358" t="str">
        <f t="shared" si="100"/>
        <v>https://viking-pictures.s3.us-west-1.amazonaws.com/AA1155/A119.+Fuel+Tank+Door+(2).JPG</v>
      </c>
      <c r="G111" s="358" t="str">
        <f t="shared" si="101"/>
        <v>https://viking-pictures.s3.us-west-1.amazonaws.com/AA1155/A119.+Fuel+Tank+Door+(3).JPG</v>
      </c>
      <c r="H111" s="358" t="str">
        <f t="shared" si="102"/>
        <v>https://viking-pictures.s3.us-west-1.amazonaws.com/AA1155/A119.+Fuel+Tank+Door+(4).JPG</v>
      </c>
      <c r="I111" s="358" t="str">
        <f t="shared" si="103"/>
        <v/>
      </c>
      <c r="J111" s="358" t="str">
        <f t="shared" si="104"/>
        <v/>
      </c>
      <c r="K111" s="358" t="str">
        <f t="shared" si="105"/>
        <v/>
      </c>
      <c r="L111" s="358" t="str">
        <f t="shared" si="106"/>
        <v/>
      </c>
      <c r="M111" s="358" t="str">
        <f t="shared" si="107"/>
        <v/>
      </c>
      <c r="N111" s="358" t="str">
        <f t="shared" si="108"/>
        <v/>
      </c>
      <c r="O111" s="358" t="str">
        <f t="shared" si="109"/>
        <v/>
      </c>
      <c r="P111" s="358" t="str">
        <f t="shared" si="110"/>
        <v/>
      </c>
      <c r="Q111" s="358" t="str">
        <f t="shared" si="111"/>
        <v/>
      </c>
      <c r="R111" s="358" t="str">
        <f t="shared" si="112"/>
        <v/>
      </c>
      <c r="S111" s="358" t="str">
        <f t="shared" si="113"/>
        <v/>
      </c>
      <c r="T111" s="358" t="str">
        <f t="shared" si="114"/>
        <v/>
      </c>
      <c r="U111" s="358" t="str">
        <f t="shared" si="115"/>
        <v/>
      </c>
      <c r="V111" s="358" t="str">
        <f t="shared" si="116"/>
        <v/>
      </c>
      <c r="W111" s="358" t="str">
        <f t="shared" si="117"/>
        <v/>
      </c>
      <c r="X111" s="358" t="str">
        <f t="shared" si="118"/>
        <v/>
      </c>
      <c r="Y111" s="358" t="str">
        <f t="shared" si="119"/>
        <v/>
      </c>
      <c r="Z111" s="358" t="str">
        <f t="shared" si="120"/>
        <v/>
      </c>
      <c r="AA111" s="111" t="s">
        <v>1998</v>
      </c>
      <c r="AB111" s="358" t="str">
        <f t="shared" si="85"/>
        <v>A119.+Fuel+Tank+Door</v>
      </c>
      <c r="AC111" s="358" t="str">
        <f>VLOOKUP(B111,'3. Keep &amp; Toss Items'!$O$9:$R$749,4,FALSE)</f>
        <v>A119. Fuel Tank Door</v>
      </c>
      <c r="AD111" s="358" t="str">
        <f t="shared" si="86"/>
        <v>A119. Fuel Tank Door</v>
      </c>
      <c r="AE111" s="358" t="str">
        <f t="shared" si="87"/>
        <v>A119.+Fuel+Tank+Door</v>
      </c>
      <c r="AF111" s="358" t="str">
        <f t="shared" si="88"/>
        <v>A119.+Fuel+Tank+Door</v>
      </c>
      <c r="AG111" s="358" t="str">
        <f t="shared" si="89"/>
        <v>A119.+Fuel+Tank+Door</v>
      </c>
      <c r="AH111" s="358" t="str">
        <f t="shared" si="90"/>
        <v>A119.+Fuel+Tank+Door</v>
      </c>
      <c r="AI111" s="358" t="str">
        <f t="shared" si="91"/>
        <v>A119.+Fuel+Tank+Door</v>
      </c>
      <c r="AJ111" s="358" t="str">
        <f t="shared" si="92"/>
        <v>A119.+Fuel+Tank+Door</v>
      </c>
      <c r="AK111" s="358" t="str">
        <f t="shared" si="93"/>
        <v>A119.+Fuel+Tank+Door</v>
      </c>
      <c r="AL111" s="358" t="str">
        <f t="shared" si="98"/>
        <v>A119.+Fuel+Tank+Door</v>
      </c>
      <c r="AM111" s="358" t="str">
        <f t="shared" si="94"/>
        <v>A119.+Fuel+Tank+Door</v>
      </c>
      <c r="AN111" s="358" t="str">
        <f t="shared" si="95"/>
        <v>A119.+Fuel+Tank+Door</v>
      </c>
      <c r="AO111" s="359" t="s">
        <v>1999</v>
      </c>
      <c r="AP111" s="359" t="s">
        <v>2000</v>
      </c>
      <c r="AQ111" s="359" t="s">
        <v>2001</v>
      </c>
      <c r="AR111" s="359" t="s">
        <v>2002</v>
      </c>
      <c r="AS111" s="359" t="s">
        <v>2003</v>
      </c>
      <c r="AT111" s="359" t="s">
        <v>2004</v>
      </c>
      <c r="AU111" s="359" t="s">
        <v>2005</v>
      </c>
      <c r="AV111" s="359" t="s">
        <v>2006</v>
      </c>
      <c r="AW111" s="359" t="s">
        <v>2007</v>
      </c>
      <c r="AX111" s="359" t="s">
        <v>2008</v>
      </c>
      <c r="AY111" s="359" t="s">
        <v>2009</v>
      </c>
      <c r="AZ111" s="359" t="s">
        <v>2010</v>
      </c>
      <c r="BA111" s="359" t="s">
        <v>2011</v>
      </c>
      <c r="BB111" s="359" t="s">
        <v>2012</v>
      </c>
      <c r="BC111" s="359" t="s">
        <v>2013</v>
      </c>
      <c r="BD111" s="359" t="s">
        <v>2014</v>
      </c>
      <c r="BE111" s="359" t="s">
        <v>2015</v>
      </c>
      <c r="BF111" s="359" t="s">
        <v>2016</v>
      </c>
      <c r="BG111" s="359" t="s">
        <v>2017</v>
      </c>
      <c r="BH111" s="359" t="s">
        <v>2018</v>
      </c>
      <c r="BI111" s="359" t="s">
        <v>2019</v>
      </c>
      <c r="BJ111" s="359" t="s">
        <v>2020</v>
      </c>
      <c r="BK111" s="359" t="s">
        <v>2021</v>
      </c>
      <c r="BL111" s="359" t="s">
        <v>2022</v>
      </c>
      <c r="BM111" s="359" t="s">
        <v>2023</v>
      </c>
      <c r="BN111" s="359" t="s">
        <v>2024</v>
      </c>
      <c r="BO111" s="147" t="str">
        <f t="shared" si="99"/>
        <v>Pic Example</v>
      </c>
    </row>
    <row r="112" spans="2:67" x14ac:dyDescent="0.25">
      <c r="B112" t="s">
        <v>364</v>
      </c>
      <c r="C112" s="358" t="str">
        <f t="shared" si="96"/>
        <v>https://viking-pictures.s3.us-west-1.amazonaws.com/AA1155/A120.+Shifter+(FLAW)+(1).JPG|https://viking-pictures.s3.us-west-1.amazonaws.com/AA1155/A120.+Shifter+(FLAW)+(2).JPG|https://viking-pictures.s3.us-west-1.amazonaws.com/AA1155/A120.+Shifter+(FLAW)+(3).JPG|https://viking-pictures.s3.us-west-1.amazonaws.com/AA1155/A120.+Shifter+(FLAW)+(4).JPG|https://viking-pictures.s3.us-west-1.amazonaws.com/AA1155/A120.+Shifter+(FLAW)+(6).JPG</v>
      </c>
      <c r="D112" s="358">
        <f>VLOOKUP(B112,'3. Keep &amp; Toss Items'!$O$9:$T$749,6,FALSE)</f>
        <v>7</v>
      </c>
      <c r="E112" s="358" t="str">
        <f t="shared" si="97"/>
        <v>https://viking-pictures.s3.us-west-1.amazonaws.com/AA1155/A120.+Shifter+(FLAW)+(1).JPG</v>
      </c>
      <c r="F112" s="358" t="str">
        <f t="shared" si="100"/>
        <v>https://viking-pictures.s3.us-west-1.amazonaws.com/AA1155/A120.+Shifter+(FLAW)+(2).JPG</v>
      </c>
      <c r="G112" s="358" t="str">
        <f t="shared" si="101"/>
        <v>https://viking-pictures.s3.us-west-1.amazonaws.com/AA1155/A120.+Shifter+(FLAW)+(3).JPG</v>
      </c>
      <c r="H112" s="358" t="str">
        <f t="shared" si="102"/>
        <v>https://viking-pictures.s3.us-west-1.amazonaws.com/AA1155/A120.+Shifter+(FLAW)+(4).JPG</v>
      </c>
      <c r="I112" s="358" t="str">
        <f t="shared" si="103"/>
        <v>https://viking-pictures.s3.us-west-1.amazonaws.com/AA1155/A120.+Shifter+(FLAW)+(6).JPG</v>
      </c>
      <c r="J112" s="358" t="str">
        <f t="shared" si="104"/>
        <v/>
      </c>
      <c r="K112" s="358" t="str">
        <f t="shared" si="105"/>
        <v/>
      </c>
      <c r="L112" s="358" t="str">
        <f t="shared" si="106"/>
        <v/>
      </c>
      <c r="M112" s="358" t="str">
        <f t="shared" si="107"/>
        <v/>
      </c>
      <c r="N112" s="358" t="str">
        <f t="shared" si="108"/>
        <v/>
      </c>
      <c r="O112" s="358" t="str">
        <f t="shared" si="109"/>
        <v/>
      </c>
      <c r="P112" s="358" t="str">
        <f t="shared" si="110"/>
        <v/>
      </c>
      <c r="Q112" s="358" t="str">
        <f t="shared" si="111"/>
        <v/>
      </c>
      <c r="R112" s="358" t="str">
        <f t="shared" si="112"/>
        <v/>
      </c>
      <c r="S112" s="358" t="str">
        <f t="shared" si="113"/>
        <v/>
      </c>
      <c r="T112" s="358" t="str">
        <f t="shared" si="114"/>
        <v/>
      </c>
      <c r="U112" s="358" t="str">
        <f t="shared" si="115"/>
        <v/>
      </c>
      <c r="V112" s="358" t="str">
        <f t="shared" si="116"/>
        <v/>
      </c>
      <c r="W112" s="358" t="str">
        <f t="shared" si="117"/>
        <v/>
      </c>
      <c r="X112" s="358" t="str">
        <f t="shared" si="118"/>
        <v/>
      </c>
      <c r="Y112" s="358" t="str">
        <f t="shared" si="119"/>
        <v/>
      </c>
      <c r="Z112" s="358" t="str">
        <f t="shared" si="120"/>
        <v/>
      </c>
      <c r="AA112" s="111" t="s">
        <v>1998</v>
      </c>
      <c r="AB112" s="358" t="str">
        <f t="shared" si="85"/>
        <v>A120.+Shifter+(FLAW)</v>
      </c>
      <c r="AC112" s="358" t="str">
        <f>VLOOKUP(B112,'3. Keep &amp; Toss Items'!$O$9:$R$749,4,FALSE)</f>
        <v>A120. Shifter (FLAW)</v>
      </c>
      <c r="AD112" s="358" t="str">
        <f t="shared" si="86"/>
        <v>A120. Shifter (FLAW)</v>
      </c>
      <c r="AE112" s="358" t="str">
        <f t="shared" si="87"/>
        <v>A120.+Shifter+(FLAW)</v>
      </c>
      <c r="AF112" s="358" t="str">
        <f t="shared" si="88"/>
        <v>A120.+Shifter+(FLAW)</v>
      </c>
      <c r="AG112" s="358" t="str">
        <f t="shared" si="89"/>
        <v>A120.+Shifter+(FLAW)</v>
      </c>
      <c r="AH112" s="358" t="str">
        <f t="shared" si="90"/>
        <v>A120.+Shifter+(FLAW)</v>
      </c>
      <c r="AI112" s="358" t="str">
        <f t="shared" si="91"/>
        <v>A120.+Shifter+(FLAW)</v>
      </c>
      <c r="AJ112" s="358" t="str">
        <f t="shared" si="92"/>
        <v>A120.+Shifter+(FLAW)</v>
      </c>
      <c r="AK112" s="358" t="str">
        <f t="shared" si="93"/>
        <v>A120.+Shifter+(FLAW)</v>
      </c>
      <c r="AL112" s="358" t="str">
        <f t="shared" si="98"/>
        <v>A120.+Shifter+(FLAW)</v>
      </c>
      <c r="AM112" s="358" t="str">
        <f t="shared" si="94"/>
        <v>A120.+Shifter+(FLAW)</v>
      </c>
      <c r="AN112" s="358" t="str">
        <f t="shared" si="95"/>
        <v>A120.+Shifter+(FLAW)</v>
      </c>
      <c r="AO112" s="359" t="s">
        <v>1999</v>
      </c>
      <c r="AP112" s="359" t="s">
        <v>2000</v>
      </c>
      <c r="AQ112" s="359" t="s">
        <v>2001</v>
      </c>
      <c r="AR112" s="359" t="s">
        <v>2002</v>
      </c>
      <c r="AS112" s="359" t="s">
        <v>2003</v>
      </c>
      <c r="AT112" s="359" t="s">
        <v>2004</v>
      </c>
      <c r="AU112" s="359" t="s">
        <v>2005</v>
      </c>
      <c r="AV112" s="359" t="s">
        <v>2006</v>
      </c>
      <c r="AW112" s="359" t="s">
        <v>2007</v>
      </c>
      <c r="AX112" s="359" t="s">
        <v>2008</v>
      </c>
      <c r="AY112" s="359" t="s">
        <v>2009</v>
      </c>
      <c r="AZ112" s="359" t="s">
        <v>2010</v>
      </c>
      <c r="BA112" s="359" t="s">
        <v>2011</v>
      </c>
      <c r="BB112" s="359" t="s">
        <v>2012</v>
      </c>
      <c r="BC112" s="359" t="s">
        <v>2013</v>
      </c>
      <c r="BD112" s="359" t="s">
        <v>2014</v>
      </c>
      <c r="BE112" s="359" t="s">
        <v>2015</v>
      </c>
      <c r="BF112" s="359" t="s">
        <v>2016</v>
      </c>
      <c r="BG112" s="359" t="s">
        <v>2017</v>
      </c>
      <c r="BH112" s="359" t="s">
        <v>2018</v>
      </c>
      <c r="BI112" s="359" t="s">
        <v>2019</v>
      </c>
      <c r="BJ112" s="359" t="s">
        <v>2020</v>
      </c>
      <c r="BK112" s="359" t="s">
        <v>2021</v>
      </c>
      <c r="BL112" s="359" t="s">
        <v>2022</v>
      </c>
      <c r="BM112" s="359" t="s">
        <v>2023</v>
      </c>
      <c r="BN112" s="359" t="s">
        <v>2024</v>
      </c>
      <c r="BO112" s="147" t="str">
        <f t="shared" si="99"/>
        <v>Pic Example</v>
      </c>
    </row>
    <row r="113" spans="2:67" x14ac:dyDescent="0.25">
      <c r="B113" t="s">
        <v>365</v>
      </c>
      <c r="C113" s="358" t="str">
        <f t="shared" si="96"/>
        <v>https://viking-pictures.s3.us-west-1.amazonaws.com/AA1155/A121.+Climate+Control+Panel%2C+Radio+Control+Panel%2C+and+Trim%2C+FRONT+(1).JPG|https://viking-pictures.s3.us-west-1.amazonaws.com/AA1155/A121.+Climate+Control+Panel%2C+Radio+Control+Panel%2C+and+Trim%2C+FRONT+(2).JPG|https://viking-pictures.s3.us-west-1.amazonaws.com/AA1155/A121.+Climate+Control+Panel%2C+Radio+Control+Panel%2C+and+Trim%2C+FRONT+(3).JPG|https://viking-pictures.s3.us-west-1.amazonaws.com/AA1155/A121.+Climate+Control+Panel%2C+Radio+Control+Panel%2C+and+Trim%2C+FRONT+(4).JPG|https://viking-pictures.s3.us-west-1.amazonaws.com/AA1155/A121.+Climate+Control+Panel%2C+Radio+Control+Panel%2C+and+Trim%2C+FRONT+(6).JPG|https://viking-pictures.s3.us-west-1.amazonaws.com/AA1155/A121.+Climate+Control+Panel%2C+Radio+Control+Panel%2C+and+Trim%2C+FRONT+(8).JPG</v>
      </c>
      <c r="D113" s="358">
        <f>VLOOKUP(B113,'3. Keep &amp; Toss Items'!$O$9:$T$749,6,FALSE)</f>
        <v>8</v>
      </c>
      <c r="E113" s="358" t="str">
        <f t="shared" si="97"/>
        <v>https://viking-pictures.s3.us-west-1.amazonaws.com/AA1155/A121.+Climate+Control+Panel%2C+Radio+Control+Panel%2C+and+Trim%2C+FRONT+(1).JPG</v>
      </c>
      <c r="F113" s="358" t="str">
        <f t="shared" si="100"/>
        <v>https://viking-pictures.s3.us-west-1.amazonaws.com/AA1155/A121.+Climate+Control+Panel%2C+Radio+Control+Panel%2C+and+Trim%2C+FRONT+(2).JPG</v>
      </c>
      <c r="G113" s="358" t="str">
        <f t="shared" si="101"/>
        <v>https://viking-pictures.s3.us-west-1.amazonaws.com/AA1155/A121.+Climate+Control+Panel%2C+Radio+Control+Panel%2C+and+Trim%2C+FRONT+(3).JPG</v>
      </c>
      <c r="H113" s="358" t="str">
        <f t="shared" si="102"/>
        <v>https://viking-pictures.s3.us-west-1.amazonaws.com/AA1155/A121.+Climate+Control+Panel%2C+Radio+Control+Panel%2C+and+Trim%2C+FRONT+(4).JPG</v>
      </c>
      <c r="I113" s="358" t="str">
        <f t="shared" si="103"/>
        <v>https://viking-pictures.s3.us-west-1.amazonaws.com/AA1155/A121.+Climate+Control+Panel%2C+Radio+Control+Panel%2C+and+Trim%2C+FRONT+(6).JPG</v>
      </c>
      <c r="J113" s="358" t="str">
        <f t="shared" si="104"/>
        <v>https://viking-pictures.s3.us-west-1.amazonaws.com/AA1155/A121.+Climate+Control+Panel%2C+Radio+Control+Panel%2C+and+Trim%2C+FRONT+(8).JPG</v>
      </c>
      <c r="K113" s="358" t="str">
        <f t="shared" si="105"/>
        <v/>
      </c>
      <c r="L113" s="358" t="str">
        <f t="shared" si="106"/>
        <v/>
      </c>
      <c r="M113" s="358" t="str">
        <f t="shared" si="107"/>
        <v/>
      </c>
      <c r="N113" s="358" t="str">
        <f t="shared" si="108"/>
        <v/>
      </c>
      <c r="O113" s="358" t="str">
        <f t="shared" si="109"/>
        <v/>
      </c>
      <c r="P113" s="358" t="str">
        <f t="shared" si="110"/>
        <v/>
      </c>
      <c r="Q113" s="358" t="str">
        <f t="shared" si="111"/>
        <v/>
      </c>
      <c r="R113" s="358" t="str">
        <f t="shared" si="112"/>
        <v/>
      </c>
      <c r="S113" s="358" t="str">
        <f t="shared" si="113"/>
        <v/>
      </c>
      <c r="T113" s="358" t="str">
        <f t="shared" si="114"/>
        <v/>
      </c>
      <c r="U113" s="358" t="str">
        <f t="shared" si="115"/>
        <v/>
      </c>
      <c r="V113" s="358" t="str">
        <f t="shared" si="116"/>
        <v/>
      </c>
      <c r="W113" s="358" t="str">
        <f t="shared" si="117"/>
        <v/>
      </c>
      <c r="X113" s="358" t="str">
        <f t="shared" si="118"/>
        <v/>
      </c>
      <c r="Y113" s="358" t="str">
        <f t="shared" si="119"/>
        <v/>
      </c>
      <c r="Z113" s="358" t="str">
        <f t="shared" si="120"/>
        <v/>
      </c>
      <c r="AA113" s="111" t="s">
        <v>1998</v>
      </c>
      <c r="AB113" s="358" t="str">
        <f t="shared" si="85"/>
        <v>A121.+Climate+Control+Panel%2C+Radio+Control+Panel%2C+and+Trim%2C+FRONT</v>
      </c>
      <c r="AC113" s="358" t="str">
        <f>VLOOKUP(B113,'3. Keep &amp; Toss Items'!$O$9:$R$749,4,FALSE)</f>
        <v>A121. Climate Control Panel, Radio Control Panel, and Trim, FRONT</v>
      </c>
      <c r="AD113" s="358" t="str">
        <f t="shared" si="86"/>
        <v>A121. Climate Control Panel, Radio Control Panel, and Trim, FRONT</v>
      </c>
      <c r="AE113" s="358" t="str">
        <f t="shared" si="87"/>
        <v>A121.+Climate+Control+Panel,+Radio+Control+Panel,+and+Trim,+FRONT</v>
      </c>
      <c r="AF113" s="358" t="str">
        <f t="shared" si="88"/>
        <v>A121.+Climate+Control+Panel%2C+Radio+Control+Panel%2C+and+Trim%2C+FRONT</v>
      </c>
      <c r="AG113" s="358" t="str">
        <f t="shared" si="89"/>
        <v>A121.+Climate+Control+Panel%2C+Radio+Control+Panel%2C+and+Trim%2C+FRONT</v>
      </c>
      <c r="AH113" s="358" t="str">
        <f t="shared" si="90"/>
        <v>A121.+Climate+Control+Panel%2C+Radio+Control+Panel%2C+and+Trim%2C+FRONT</v>
      </c>
      <c r="AI113" s="358" t="str">
        <f t="shared" si="91"/>
        <v>A121.+Climate+Control+Panel%2C+Radio+Control+Panel%2C+and+Trim%2C+FRONT</v>
      </c>
      <c r="AJ113" s="358" t="str">
        <f t="shared" si="92"/>
        <v>A121.+Climate+Control+Panel%2C+Radio+Control+Panel%2C+and+Trim%2C+FRONT</v>
      </c>
      <c r="AK113" s="358" t="str">
        <f t="shared" si="93"/>
        <v>A121.+Climate+Control+Panel%2C+Radio+Control+Panel%2C+and+Trim%2C+FRONT</v>
      </c>
      <c r="AL113" s="358" t="str">
        <f t="shared" si="98"/>
        <v>A121.+Climate+Control+Panel%2C+Radio+Control+Panel%2C+and+Trim%2C+FRONT</v>
      </c>
      <c r="AM113" s="358" t="str">
        <f t="shared" si="94"/>
        <v>A121.+Climate+Control+Panel%2C+Radio+Control+Panel%2C+and+Trim%2C+FRONT</v>
      </c>
      <c r="AN113" s="358" t="str">
        <f t="shared" si="95"/>
        <v>A121.+Climate+Control+Panel%2C+Radio+Control+Panel%2C+and+Trim%2C+FRONT</v>
      </c>
      <c r="AO113" s="359" t="s">
        <v>1999</v>
      </c>
      <c r="AP113" s="359" t="s">
        <v>2000</v>
      </c>
      <c r="AQ113" s="359" t="s">
        <v>2001</v>
      </c>
      <c r="AR113" s="359" t="s">
        <v>2002</v>
      </c>
      <c r="AS113" s="359" t="s">
        <v>2003</v>
      </c>
      <c r="AT113" s="359" t="s">
        <v>2004</v>
      </c>
      <c r="AU113" s="359" t="s">
        <v>2005</v>
      </c>
      <c r="AV113" s="359" t="s">
        <v>2006</v>
      </c>
      <c r="AW113" s="359" t="s">
        <v>2007</v>
      </c>
      <c r="AX113" s="359" t="s">
        <v>2008</v>
      </c>
      <c r="AY113" s="359" t="s">
        <v>2009</v>
      </c>
      <c r="AZ113" s="359" t="s">
        <v>2010</v>
      </c>
      <c r="BA113" s="359" t="s">
        <v>2011</v>
      </c>
      <c r="BB113" s="359" t="s">
        <v>2012</v>
      </c>
      <c r="BC113" s="359" t="s">
        <v>2013</v>
      </c>
      <c r="BD113" s="359" t="s">
        <v>2014</v>
      </c>
      <c r="BE113" s="359" t="s">
        <v>2015</v>
      </c>
      <c r="BF113" s="359" t="s">
        <v>2016</v>
      </c>
      <c r="BG113" s="359" t="s">
        <v>2017</v>
      </c>
      <c r="BH113" s="359" t="s">
        <v>2018</v>
      </c>
      <c r="BI113" s="359" t="s">
        <v>2019</v>
      </c>
      <c r="BJ113" s="359" t="s">
        <v>2020</v>
      </c>
      <c r="BK113" s="359" t="s">
        <v>2021</v>
      </c>
      <c r="BL113" s="359" t="s">
        <v>2022</v>
      </c>
      <c r="BM113" s="359" t="s">
        <v>2023</v>
      </c>
      <c r="BN113" s="359" t="s">
        <v>2024</v>
      </c>
      <c r="BO113" s="147" t="str">
        <f t="shared" si="99"/>
        <v>Pic Example</v>
      </c>
    </row>
    <row r="114" spans="2:67" x14ac:dyDescent="0.25">
      <c r="B114" t="s">
        <v>366</v>
      </c>
      <c r="C114" s="358" t="str">
        <f t="shared" si="96"/>
        <v>https://viking-pictures.s3.us-west-1.amazonaws.com/AA1155/A122.+Cargo+Cover%2C+Large+Retractable+(1).JPG|https://viking-pictures.s3.us-west-1.amazonaws.com/AA1155/A122.+Cargo+Cover%2C+Large+Retractable+(2).JPG|https://viking-pictures.s3.us-west-1.amazonaws.com/AA1155/A122.+Cargo+Cover%2C+Large+Retractable+(3).JPG|https://viking-pictures.s3.us-west-1.amazonaws.com/AA1155/A122.+Cargo+Cover%2C+Large+Retractable+(4).JPG|https://viking-pictures.s3.us-west-1.amazonaws.com/AA1155/A122.+Cargo+Cover%2C+Large+Retractable+(6).JPG|https://viking-pictures.s3.us-west-1.amazonaws.com/AA1155/A122.+Cargo+Cover%2C+Large+Retractable+(8).JPG</v>
      </c>
      <c r="D114" s="358">
        <f>VLOOKUP(B114,'3. Keep &amp; Toss Items'!$O$9:$T$749,6,FALSE)</f>
        <v>8</v>
      </c>
      <c r="E114" s="358" t="str">
        <f t="shared" si="97"/>
        <v>https://viking-pictures.s3.us-west-1.amazonaws.com/AA1155/A122.+Cargo+Cover%2C+Large+Retractable+(1).JPG</v>
      </c>
      <c r="F114" s="358" t="str">
        <f t="shared" si="100"/>
        <v>https://viking-pictures.s3.us-west-1.amazonaws.com/AA1155/A122.+Cargo+Cover%2C+Large+Retractable+(2).JPG</v>
      </c>
      <c r="G114" s="358" t="str">
        <f t="shared" si="101"/>
        <v>https://viking-pictures.s3.us-west-1.amazonaws.com/AA1155/A122.+Cargo+Cover%2C+Large+Retractable+(3).JPG</v>
      </c>
      <c r="H114" s="358" t="str">
        <f t="shared" si="102"/>
        <v>https://viking-pictures.s3.us-west-1.amazonaws.com/AA1155/A122.+Cargo+Cover%2C+Large+Retractable+(4).JPG</v>
      </c>
      <c r="I114" s="358" t="str">
        <f t="shared" si="103"/>
        <v>https://viking-pictures.s3.us-west-1.amazonaws.com/AA1155/A122.+Cargo+Cover%2C+Large+Retractable+(6).JPG</v>
      </c>
      <c r="J114" s="358" t="str">
        <f t="shared" si="104"/>
        <v>https://viking-pictures.s3.us-west-1.amazonaws.com/AA1155/A122.+Cargo+Cover%2C+Large+Retractable+(8).JPG</v>
      </c>
      <c r="K114" s="358" t="str">
        <f t="shared" si="105"/>
        <v/>
      </c>
      <c r="L114" s="358" t="str">
        <f t="shared" si="106"/>
        <v/>
      </c>
      <c r="M114" s="358" t="str">
        <f t="shared" si="107"/>
        <v/>
      </c>
      <c r="N114" s="358" t="str">
        <f t="shared" si="108"/>
        <v/>
      </c>
      <c r="O114" s="358" t="str">
        <f t="shared" si="109"/>
        <v/>
      </c>
      <c r="P114" s="358" t="str">
        <f t="shared" si="110"/>
        <v/>
      </c>
      <c r="Q114" s="358" t="str">
        <f t="shared" si="111"/>
        <v/>
      </c>
      <c r="R114" s="358" t="str">
        <f t="shared" si="112"/>
        <v/>
      </c>
      <c r="S114" s="358" t="str">
        <f t="shared" si="113"/>
        <v/>
      </c>
      <c r="T114" s="358" t="str">
        <f t="shared" si="114"/>
        <v/>
      </c>
      <c r="U114" s="358" t="str">
        <f t="shared" si="115"/>
        <v/>
      </c>
      <c r="V114" s="358" t="str">
        <f t="shared" si="116"/>
        <v/>
      </c>
      <c r="W114" s="358" t="str">
        <f t="shared" si="117"/>
        <v/>
      </c>
      <c r="X114" s="358" t="str">
        <f t="shared" si="118"/>
        <v/>
      </c>
      <c r="Y114" s="358" t="str">
        <f t="shared" si="119"/>
        <v/>
      </c>
      <c r="Z114" s="358" t="str">
        <f t="shared" si="120"/>
        <v/>
      </c>
      <c r="AA114" s="111" t="s">
        <v>1998</v>
      </c>
      <c r="AB114" s="358" t="str">
        <f t="shared" si="85"/>
        <v>A122.+Cargo+Cover%2C+Large+Retractable</v>
      </c>
      <c r="AC114" s="358" t="str">
        <f>VLOOKUP(B114,'3. Keep &amp; Toss Items'!$O$9:$R$749,4,FALSE)</f>
        <v>A122. Cargo Cover, Large Retractable</v>
      </c>
      <c r="AD114" s="358" t="str">
        <f t="shared" si="86"/>
        <v>A122. Cargo Cover, Large Retractable</v>
      </c>
      <c r="AE114" s="358" t="str">
        <f t="shared" si="87"/>
        <v>A122.+Cargo+Cover,+Large+Retractable</v>
      </c>
      <c r="AF114" s="358" t="str">
        <f t="shared" si="88"/>
        <v>A122.+Cargo+Cover%2C+Large+Retractable</v>
      </c>
      <c r="AG114" s="358" t="str">
        <f t="shared" si="89"/>
        <v>A122.+Cargo+Cover%2C+Large+Retractable</v>
      </c>
      <c r="AH114" s="358" t="str">
        <f t="shared" si="90"/>
        <v>A122.+Cargo+Cover%2C+Large+Retractable</v>
      </c>
      <c r="AI114" s="358" t="str">
        <f t="shared" si="91"/>
        <v>A122.+Cargo+Cover%2C+Large+Retractable</v>
      </c>
      <c r="AJ114" s="358" t="str">
        <f t="shared" si="92"/>
        <v>A122.+Cargo+Cover%2C+Large+Retractable</v>
      </c>
      <c r="AK114" s="358" t="str">
        <f t="shared" si="93"/>
        <v>A122.+Cargo+Cover%2C+Large+Retractable</v>
      </c>
      <c r="AL114" s="358" t="str">
        <f t="shared" si="98"/>
        <v>A122.+Cargo+Cover%2C+Large+Retractable</v>
      </c>
      <c r="AM114" s="358" t="str">
        <f t="shared" si="94"/>
        <v>A122.+Cargo+Cover%2C+Large+Retractable</v>
      </c>
      <c r="AN114" s="358" t="str">
        <f t="shared" si="95"/>
        <v>A122.+Cargo+Cover%2C+Large+Retractable</v>
      </c>
      <c r="AO114" s="359" t="s">
        <v>1999</v>
      </c>
      <c r="AP114" s="359" t="s">
        <v>2000</v>
      </c>
      <c r="AQ114" s="359" t="s">
        <v>2001</v>
      </c>
      <c r="AR114" s="359" t="s">
        <v>2002</v>
      </c>
      <c r="AS114" s="359" t="s">
        <v>2003</v>
      </c>
      <c r="AT114" s="359" t="s">
        <v>2004</v>
      </c>
      <c r="AU114" s="359" t="s">
        <v>2005</v>
      </c>
      <c r="AV114" s="359" t="s">
        <v>2006</v>
      </c>
      <c r="AW114" s="359" t="s">
        <v>2007</v>
      </c>
      <c r="AX114" s="359" t="s">
        <v>2008</v>
      </c>
      <c r="AY114" s="359" t="s">
        <v>2009</v>
      </c>
      <c r="AZ114" s="359" t="s">
        <v>2010</v>
      </c>
      <c r="BA114" s="359" t="s">
        <v>2011</v>
      </c>
      <c r="BB114" s="359" t="s">
        <v>2012</v>
      </c>
      <c r="BC114" s="359" t="s">
        <v>2013</v>
      </c>
      <c r="BD114" s="359" t="s">
        <v>2014</v>
      </c>
      <c r="BE114" s="359" t="s">
        <v>2015</v>
      </c>
      <c r="BF114" s="359" t="s">
        <v>2016</v>
      </c>
      <c r="BG114" s="359" t="s">
        <v>2017</v>
      </c>
      <c r="BH114" s="359" t="s">
        <v>2018</v>
      </c>
      <c r="BI114" s="359" t="s">
        <v>2019</v>
      </c>
      <c r="BJ114" s="359" t="s">
        <v>2020</v>
      </c>
      <c r="BK114" s="359" t="s">
        <v>2021</v>
      </c>
      <c r="BL114" s="359" t="s">
        <v>2022</v>
      </c>
      <c r="BM114" s="359" t="s">
        <v>2023</v>
      </c>
      <c r="BN114" s="359" t="s">
        <v>2024</v>
      </c>
      <c r="BO114" s="147" t="str">
        <f t="shared" si="99"/>
        <v>Pic Example</v>
      </c>
    </row>
    <row r="115" spans="2:67" x14ac:dyDescent="0.25">
      <c r="B115" t="s">
        <v>367</v>
      </c>
      <c r="C115" s="358" t="str">
        <f t="shared" si="96"/>
        <v>https://viking-pictures.s3.us-west-1.amazonaws.com/AA1155/A123.+Integrated+Power+Module+(1).JPG|https://viking-pictures.s3.us-west-1.amazonaws.com/AA1155/A123.+Integrated+Power+Module+(2).JPG|https://viking-pictures.s3.us-west-1.amazonaws.com/AA1155/A123.+Integrated+Power+Module+(3).JPG</v>
      </c>
      <c r="D115" s="358">
        <f>VLOOKUP(B115,'3. Keep &amp; Toss Items'!$O$9:$T$749,6,FALSE)</f>
        <v>3</v>
      </c>
      <c r="E115" s="358" t="str">
        <f t="shared" ref="E115" si="121">IF($D115&gt;=E$1,CONCATENATE($AA115,$AB115,$AO115,AP115,$BN115),"")</f>
        <v>https://viking-pictures.s3.us-west-1.amazonaws.com/AA1155/A123.+Integrated+Power+Module+(1).JPG</v>
      </c>
      <c r="F115" s="358" t="str">
        <f t="shared" ref="F115" si="122">IF($D115&gt;=F$1,CONCATENATE($AA115,$AB115,$AO115,AQ115,$BN115),"")</f>
        <v>https://viking-pictures.s3.us-west-1.amazonaws.com/AA1155/A123.+Integrated+Power+Module+(2).JPG</v>
      </c>
      <c r="G115" s="358" t="str">
        <f t="shared" ref="G115" si="123">IF($D115&gt;=G$1,CONCATENATE($AA115,$AB115,$AO115,AR115,$BN115),"")</f>
        <v>https://viking-pictures.s3.us-west-1.amazonaws.com/AA1155/A123.+Integrated+Power+Module+(3).JPG</v>
      </c>
      <c r="H115" s="358" t="str">
        <f t="shared" ref="H115" si="124">IF($D115&gt;=H$1,CONCATENATE($AA115,$AB115,$AO115,AS115,$BN115),"")</f>
        <v/>
      </c>
      <c r="I115" s="358" t="str">
        <f t="shared" ref="I115" si="125">IF($D115&gt;=I$1,CONCATENATE($AA115,$AB115,$AO115,AU115,$BN115),"")</f>
        <v/>
      </c>
      <c r="J115" s="358" t="str">
        <f t="shared" ref="J115" si="126">IF($D115&gt;=J$1,CONCATENATE($AA115,$AB115,$AO115,AW115,$BN115),"")</f>
        <v/>
      </c>
      <c r="K115" s="358" t="str">
        <f t="shared" ref="K115" si="127">IF($D115&gt;=K$1,CONCATENATE($AA115,$AB115,$AO115,AX115,$BN115),"")</f>
        <v/>
      </c>
      <c r="L115" s="358" t="str">
        <f t="shared" ref="L115" si="128">IF($D115&gt;=L$1,CONCATENATE($AA115,$AB115,$AO115,AY115,$BN115),"")</f>
        <v/>
      </c>
      <c r="M115" s="358" t="str">
        <f t="shared" ref="M115" si="129">IF($D115&gt;=M$1,CONCATENATE($AA115,$AB115,$AO115,AZ115,$BN115),"")</f>
        <v/>
      </c>
      <c r="N115" s="358" t="str">
        <f t="shared" ref="N115" si="130">IF($D115&gt;=N$1,CONCATENATE($AA115,$AB115,$AO115,BA115,$BN115),"")</f>
        <v/>
      </c>
      <c r="O115" s="358" t="str">
        <f t="shared" ref="O115" si="131">IF($D115&gt;=O$1,CONCATENATE($AA115,$AB115,$AO115,BB115,$BN115),"")</f>
        <v/>
      </c>
      <c r="P115" s="358" t="str">
        <f t="shared" ref="P115" si="132">IF($D115&gt;=P$1,CONCATENATE($AA115,$AB115,$AO115,BC115,$BN115),"")</f>
        <v/>
      </c>
      <c r="Q115" s="358" t="str">
        <f t="shared" ref="Q115" si="133">IF($D115&gt;=Q$1,CONCATENATE($AA115,$AB115,$AO115,BD115,$BN115),"")</f>
        <v/>
      </c>
      <c r="R115" s="358" t="str">
        <f t="shared" ref="R115" si="134">IF($D115&gt;=R$1,CONCATENATE($AA115,$AB115,$AO115,BE115,$BN115),"")</f>
        <v/>
      </c>
      <c r="S115" s="358" t="str">
        <f t="shared" ref="S115" si="135">IF($D115&gt;=S$1,CONCATENATE($AA115,$AB115,$AO115,BF115,$BN115),"")</f>
        <v/>
      </c>
      <c r="T115" s="358" t="str">
        <f t="shared" ref="T115" si="136">IF($D115&gt;=T$1,CONCATENATE($AA115,$AB115,$AO115,BG115,$BN115),"")</f>
        <v/>
      </c>
      <c r="U115" s="358" t="str">
        <f t="shared" ref="U115" si="137">IF($D115&gt;=U$1,CONCATENATE($AA115,$AB115,$AO115,BH115,$BN115),"")</f>
        <v/>
      </c>
      <c r="V115" s="358" t="str">
        <f t="shared" ref="V115" si="138">IF($D115&gt;=V$1,CONCATENATE($AA115,$AB115,$AO115,BI115,$BN115),"")</f>
        <v/>
      </c>
      <c r="W115" s="358" t="str">
        <f t="shared" ref="W115" si="139">IF($D115&gt;=W$1,CONCATENATE($AA115,$AB115,$AO115,BJ115,$BN115),"")</f>
        <v/>
      </c>
      <c r="X115" s="358" t="str">
        <f t="shared" ref="X115" si="140">IF($D115&gt;=X$1,CONCATENATE($AA115,$AB115,$AO115,BK115,$BN115),"")</f>
        <v/>
      </c>
      <c r="Y115" s="358" t="str">
        <f t="shared" ref="Y115" si="141">IF($D115&gt;=Y$1,CONCATENATE($AA115,$AB115,$AO115,BL115,$BN115),"")</f>
        <v/>
      </c>
      <c r="Z115" s="358" t="str">
        <f t="shared" ref="Z115" si="142">IF($D115&gt;=Z$1,CONCATENATE($AA115,$AB115,$AO115,BM115,$BN115),"")</f>
        <v/>
      </c>
      <c r="AA115" s="111" t="s">
        <v>1998</v>
      </c>
      <c r="AB115" s="358" t="str">
        <f t="shared" ref="AB115" si="143">AN115</f>
        <v>A123.+Integrated+Power+Module</v>
      </c>
      <c r="AC115" s="358" t="str">
        <f>VLOOKUP(B115,'3. Keep &amp; Toss Items'!$O$9:$R$749,4,FALSE)</f>
        <v>A123. Integrated Power Module</v>
      </c>
      <c r="AD115" s="358" t="str">
        <f t="shared" ref="AD115" si="144">SUBSTITUTE(AC115,"+","%2B")</f>
        <v>A123. Integrated Power Module</v>
      </c>
      <c r="AE115" s="358" t="str">
        <f t="shared" ref="AE115" si="145">SUBSTITUTE(AD115," ","+")</f>
        <v>A123.+Integrated+Power+Module</v>
      </c>
      <c r="AF115" s="358" t="str">
        <f t="shared" ref="AF115" si="146">SUBSTITUTE(AE115,",","%2C")</f>
        <v>A123.+Integrated+Power+Module</v>
      </c>
      <c r="AG115" s="358" t="str">
        <f t="shared" ref="AG115" si="147">SUBSTITUTE(AF115,";","%3B")</f>
        <v>A123.+Integrated+Power+Module</v>
      </c>
      <c r="AH115" s="358" t="str">
        <f t="shared" ref="AH115" si="148">SUBSTITUTE(AG115,":","%3A")</f>
        <v>A123.+Integrated+Power+Module</v>
      </c>
      <c r="AI115" s="358" t="str">
        <f t="shared" ref="AI115" si="149">SUBSTITUTE(AH115,"@","40%")</f>
        <v>A123.+Integrated+Power+Module</v>
      </c>
      <c r="AJ115" s="358" t="str">
        <f t="shared" ref="AJ115" si="150">SUBSTITUTE(AI115,"&amp;","%26")</f>
        <v>A123.+Integrated+Power+Module</v>
      </c>
      <c r="AK115" s="358" t="str">
        <f t="shared" ref="AK115" si="151">SUBSTITUTE(AJ115,"=","%3D")</f>
        <v>A123.+Integrated+Power+Module</v>
      </c>
      <c r="AL115" s="358" t="str">
        <f t="shared" ref="AL115" si="152">SUBSTITUTE(AK115,"?","%3F")</f>
        <v>A123.+Integrated+Power+Module</v>
      </c>
      <c r="AM115" s="358" t="str">
        <f t="shared" ref="AM115" si="153">SUBSTITUTE(AL115,"/","%2F")</f>
        <v>A123.+Integrated+Power+Module</v>
      </c>
      <c r="AN115" s="358" t="str">
        <f t="shared" ref="AN115" si="154">SUBSTITUTE(AM115,"""","")</f>
        <v>A123.+Integrated+Power+Module</v>
      </c>
      <c r="AO115" s="359" t="s">
        <v>1999</v>
      </c>
      <c r="AP115" s="359" t="s">
        <v>2000</v>
      </c>
      <c r="AQ115" s="359" t="s">
        <v>2001</v>
      </c>
      <c r="AR115" s="359" t="s">
        <v>2002</v>
      </c>
      <c r="AS115" s="359" t="s">
        <v>2003</v>
      </c>
      <c r="AT115" s="359" t="s">
        <v>2004</v>
      </c>
      <c r="AU115" s="359" t="s">
        <v>2005</v>
      </c>
      <c r="AV115" s="359" t="s">
        <v>2006</v>
      </c>
      <c r="AW115" s="359" t="s">
        <v>2007</v>
      </c>
      <c r="AX115" s="359" t="s">
        <v>2008</v>
      </c>
      <c r="AY115" s="359" t="s">
        <v>2009</v>
      </c>
      <c r="AZ115" s="359" t="s">
        <v>2010</v>
      </c>
      <c r="BA115" s="359" t="s">
        <v>2011</v>
      </c>
      <c r="BB115" s="359" t="s">
        <v>2012</v>
      </c>
      <c r="BC115" s="359" t="s">
        <v>2013</v>
      </c>
      <c r="BD115" s="359" t="s">
        <v>2014</v>
      </c>
      <c r="BE115" s="359" t="s">
        <v>2015</v>
      </c>
      <c r="BF115" s="359" t="s">
        <v>2016</v>
      </c>
      <c r="BG115" s="359" t="s">
        <v>2017</v>
      </c>
      <c r="BH115" s="359" t="s">
        <v>2018</v>
      </c>
      <c r="BI115" s="359" t="s">
        <v>2019</v>
      </c>
      <c r="BJ115" s="359" t="s">
        <v>2020</v>
      </c>
      <c r="BK115" s="359" t="s">
        <v>2021</v>
      </c>
      <c r="BL115" s="359" t="s">
        <v>2022</v>
      </c>
      <c r="BM115" s="359" t="s">
        <v>2023</v>
      </c>
      <c r="BN115" s="359" t="s">
        <v>2024</v>
      </c>
      <c r="BO115" s="147" t="str">
        <f t="shared" ref="BO115" si="155">HYPERLINK(E115,"Pic Example")</f>
        <v>Pic Example</v>
      </c>
    </row>
  </sheetData>
  <hyperlinks>
    <hyperlink ref="BO3" r:id="rId1" display="https://viking-pictures.s3.us-west-1.amazonaws.com/AA1155/A11.+Trunk+Electric+Shock+SET2+(1).JPG" xr:uid="{22B8A949-61F7-42FA-8860-1F46728A59B0}"/>
    <hyperlink ref="BO4:BO114" r:id="rId2" display="https://viking-pictures.s3.us-west-1.amazonaws.com/AA1155/A11.+Trunk+Electric+Shock+SET2+(1).JPG" xr:uid="{6FC0F69C-F455-4209-B41F-F96D6908F8D1}"/>
    <hyperlink ref="BO115" r:id="rId3" display="https://viking-pictures.s3.us-west-1.amazonaws.com/AA1155/A11.+Trunk+Electric+Shock+SET2+(1).JPG" xr:uid="{3FC7A99C-0C8C-4AA6-929F-D809F5FECDA4}"/>
  </hyperlinks>
  <pageMargins left="0.7" right="0.7" top="0.75" bottom="0.75" header="0.3" footer="0.3"/>
  <pageSetup paperSize="256" orientation="portrait" horizontalDpi="203" verticalDpi="203"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D3388-36C2-4876-B94B-8CFF982D2DBE}">
  <sheetPr codeName="Sheet18"/>
  <dimension ref="B3:B43"/>
  <sheetViews>
    <sheetView workbookViewId="0">
      <selection activeCell="B44" sqref="B44"/>
    </sheetView>
  </sheetViews>
  <sheetFormatPr defaultRowHeight="15" x14ac:dyDescent="0.25"/>
  <sheetData>
    <row r="3" spans="2:2" x14ac:dyDescent="0.25">
      <c r="B3" t="s">
        <v>2025</v>
      </c>
    </row>
    <row r="4" spans="2:2" x14ac:dyDescent="0.25">
      <c r="B4" s="147" t="s">
        <v>2026</v>
      </c>
    </row>
    <row r="10" spans="2:2" x14ac:dyDescent="0.25">
      <c r="B10" s="147" t="s">
        <v>2026</v>
      </c>
    </row>
    <row r="15" spans="2:2" x14ac:dyDescent="0.25">
      <c r="B15" s="147" t="s">
        <v>2027</v>
      </c>
    </row>
    <row r="16" spans="2:2" x14ac:dyDescent="0.25">
      <c r="B16" t="s">
        <v>2028</v>
      </c>
    </row>
    <row r="17" spans="2:2" x14ac:dyDescent="0.25">
      <c r="B17" s="147" t="s">
        <v>2027</v>
      </c>
    </row>
    <row r="22" spans="2:2" x14ac:dyDescent="0.25">
      <c r="B22" s="147" t="s">
        <v>2029</v>
      </c>
    </row>
    <row r="23" spans="2:2" x14ac:dyDescent="0.25">
      <c r="B23" t="s">
        <v>2030</v>
      </c>
    </row>
    <row r="27" spans="2:2" x14ac:dyDescent="0.25">
      <c r="B27" s="147" t="s">
        <v>2031</v>
      </c>
    </row>
    <row r="31" spans="2:2" x14ac:dyDescent="0.25">
      <c r="B31" s="147" t="s">
        <v>2032</v>
      </c>
    </row>
    <row r="32" spans="2:2" x14ac:dyDescent="0.25">
      <c r="B32" s="147"/>
    </row>
    <row r="33" spans="2:2" x14ac:dyDescent="0.25">
      <c r="B33" t="s">
        <v>2032</v>
      </c>
    </row>
    <row r="38" spans="2:2" x14ac:dyDescent="0.25">
      <c r="B38" s="147" t="s">
        <v>2033</v>
      </c>
    </row>
    <row r="39" spans="2:2" x14ac:dyDescent="0.25">
      <c r="B39" s="147" t="s">
        <v>2033</v>
      </c>
    </row>
    <row r="43" spans="2:2" x14ac:dyDescent="0.25">
      <c r="B43" s="147" t="s">
        <v>2034</v>
      </c>
    </row>
  </sheetData>
  <hyperlinks>
    <hyperlink ref="B4" r:id="rId1" xr:uid="{AAE703A3-3337-464C-9FA8-EB69A90F5CAC}"/>
    <hyperlink ref="B10" r:id="rId2" xr:uid="{AD618312-7854-42ED-9F81-6D59DC11B35C}"/>
    <hyperlink ref="B15" r:id="rId3" xr:uid="{188A08CC-9607-4A0D-8248-EBA9299B84A6}"/>
    <hyperlink ref="B17" r:id="rId4" xr:uid="{997DA4C1-E2B6-438E-92A7-3020BFE56D66}"/>
    <hyperlink ref="B22" r:id="rId5" xr:uid="{28D63D87-AB14-4DEE-9499-11174079AE37}"/>
    <hyperlink ref="B27" r:id="rId6" xr:uid="{7831247E-EB4D-4373-B726-AE26604BA357}"/>
    <hyperlink ref="B31" r:id="rId7" xr:uid="{EA2C04D2-6265-4466-B29E-417C60A683B0}"/>
    <hyperlink ref="B38" r:id="rId8" xr:uid="{FC0A2F9B-D659-4010-B8A5-36DDBE2DE090}"/>
    <hyperlink ref="B39" r:id="rId9" xr:uid="{0D228193-CADB-4DEB-ABFC-14C30AC28AC3}"/>
    <hyperlink ref="B43" r:id="rId10" xr:uid="{45EEF46A-F6E2-4253-9F90-3418BE74AEE6}"/>
  </hyperlinks>
  <pageMargins left="0.7" right="0.7" top="0.75" bottom="0.75" header="0.3" footer="0.3"/>
  <pageSetup paperSize="256" orientation="portrait" horizontalDpi="203" verticalDpi="203" r:id="rId1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A40F6-4758-42C7-A312-F469A6D6E194}">
  <sheetPr codeName="Sheet17"/>
  <dimension ref="A1:C624"/>
  <sheetViews>
    <sheetView workbookViewId="0">
      <selection activeCell="E32" sqref="E32"/>
    </sheetView>
  </sheetViews>
  <sheetFormatPr defaultRowHeight="15" x14ac:dyDescent="0.25"/>
  <cols>
    <col min="1" max="1" width="26.5703125" bestFit="1" customWidth="1"/>
  </cols>
  <sheetData>
    <row r="1" spans="1:3" x14ac:dyDescent="0.25">
      <c r="A1" t="s">
        <v>2035</v>
      </c>
    </row>
    <row r="3" spans="1:3" x14ac:dyDescent="0.25">
      <c r="A3" t="s">
        <v>2036</v>
      </c>
    </row>
    <row r="5" spans="1:3" x14ac:dyDescent="0.25">
      <c r="A5" t="s">
        <v>2037</v>
      </c>
      <c r="B5" s="360">
        <f>SUM('3D. Pictures'!D3:D1466)</f>
        <v>617</v>
      </c>
    </row>
    <row r="6" spans="1:3" x14ac:dyDescent="0.25">
      <c r="A6" t="s">
        <v>2038</v>
      </c>
      <c r="B6">
        <f>COUNTA(A10:A624)</f>
        <v>615</v>
      </c>
    </row>
    <row r="7" spans="1:3" ht="15.75" thickBot="1" x14ac:dyDescent="0.3">
      <c r="A7" t="s">
        <v>2039</v>
      </c>
      <c r="B7" s="361">
        <f>B5-B6</f>
        <v>2</v>
      </c>
      <c r="C7" t="s">
        <v>2040</v>
      </c>
    </row>
    <row r="8" spans="1:3" ht="15.75" thickTop="1" x14ac:dyDescent="0.25"/>
    <row r="10" spans="1:3" x14ac:dyDescent="0.25">
      <c r="A10" t="s">
        <v>2041</v>
      </c>
    </row>
    <row r="11" spans="1:3" x14ac:dyDescent="0.25">
      <c r="A11" t="s">
        <v>2042</v>
      </c>
    </row>
    <row r="12" spans="1:3" x14ac:dyDescent="0.25">
      <c r="A12" t="s">
        <v>2043</v>
      </c>
    </row>
    <row r="13" spans="1:3" x14ac:dyDescent="0.25">
      <c r="A13" t="s">
        <v>2044</v>
      </c>
    </row>
    <row r="14" spans="1:3" x14ac:dyDescent="0.25">
      <c r="A14" t="s">
        <v>2045</v>
      </c>
    </row>
    <row r="15" spans="1:3" x14ac:dyDescent="0.25">
      <c r="A15" t="s">
        <v>2046</v>
      </c>
    </row>
    <row r="16" spans="1:3" x14ac:dyDescent="0.25">
      <c r="A16" t="s">
        <v>2047</v>
      </c>
    </row>
    <row r="17" spans="1:1" x14ac:dyDescent="0.25">
      <c r="A17" t="s">
        <v>2048</v>
      </c>
    </row>
    <row r="18" spans="1:1" x14ac:dyDescent="0.25">
      <c r="A18" t="s">
        <v>2049</v>
      </c>
    </row>
    <row r="19" spans="1:1" x14ac:dyDescent="0.25">
      <c r="A19" t="s">
        <v>2050</v>
      </c>
    </row>
    <row r="20" spans="1:1" x14ac:dyDescent="0.25">
      <c r="A20" t="s">
        <v>2051</v>
      </c>
    </row>
    <row r="21" spans="1:1" x14ac:dyDescent="0.25">
      <c r="A21" t="s">
        <v>2052</v>
      </c>
    </row>
    <row r="22" spans="1:1" x14ac:dyDescent="0.25">
      <c r="A22" t="s">
        <v>2053</v>
      </c>
    </row>
    <row r="23" spans="1:1" x14ac:dyDescent="0.25">
      <c r="A23" t="s">
        <v>2054</v>
      </c>
    </row>
    <row r="24" spans="1:1" x14ac:dyDescent="0.25">
      <c r="A24" t="s">
        <v>2055</v>
      </c>
    </row>
    <row r="25" spans="1:1" x14ac:dyDescent="0.25">
      <c r="A25" t="s">
        <v>2056</v>
      </c>
    </row>
    <row r="26" spans="1:1" x14ac:dyDescent="0.25">
      <c r="A26" t="s">
        <v>2057</v>
      </c>
    </row>
    <row r="27" spans="1:1" x14ac:dyDescent="0.25">
      <c r="A27" t="s">
        <v>2058</v>
      </c>
    </row>
    <row r="28" spans="1:1" x14ac:dyDescent="0.25">
      <c r="A28" t="s">
        <v>2059</v>
      </c>
    </row>
    <row r="29" spans="1:1" x14ac:dyDescent="0.25">
      <c r="A29" t="s">
        <v>2060</v>
      </c>
    </row>
    <row r="30" spans="1:1" x14ac:dyDescent="0.25">
      <c r="A30" t="s">
        <v>2061</v>
      </c>
    </row>
    <row r="31" spans="1:1" x14ac:dyDescent="0.25">
      <c r="A31" t="s">
        <v>2062</v>
      </c>
    </row>
    <row r="32" spans="1:1" x14ac:dyDescent="0.25">
      <c r="A32" t="s">
        <v>2063</v>
      </c>
    </row>
    <row r="33" spans="1:1" x14ac:dyDescent="0.25">
      <c r="A33" t="s">
        <v>2064</v>
      </c>
    </row>
    <row r="34" spans="1:1" x14ac:dyDescent="0.25">
      <c r="A34" t="s">
        <v>2065</v>
      </c>
    </row>
    <row r="35" spans="1:1" x14ac:dyDescent="0.25">
      <c r="A35" t="s">
        <v>2066</v>
      </c>
    </row>
    <row r="36" spans="1:1" x14ac:dyDescent="0.25">
      <c r="A36" t="s">
        <v>2067</v>
      </c>
    </row>
    <row r="37" spans="1:1" x14ac:dyDescent="0.25">
      <c r="A37" t="s">
        <v>2068</v>
      </c>
    </row>
    <row r="38" spans="1:1" x14ac:dyDescent="0.25">
      <c r="A38" t="s">
        <v>2069</v>
      </c>
    </row>
    <row r="39" spans="1:1" x14ac:dyDescent="0.25">
      <c r="A39" t="s">
        <v>2070</v>
      </c>
    </row>
    <row r="40" spans="1:1" x14ac:dyDescent="0.25">
      <c r="A40" t="s">
        <v>2071</v>
      </c>
    </row>
    <row r="41" spans="1:1" x14ac:dyDescent="0.25">
      <c r="A41" t="s">
        <v>2072</v>
      </c>
    </row>
    <row r="42" spans="1:1" x14ac:dyDescent="0.25">
      <c r="A42" t="s">
        <v>2073</v>
      </c>
    </row>
    <row r="43" spans="1:1" x14ac:dyDescent="0.25">
      <c r="A43" t="s">
        <v>2074</v>
      </c>
    </row>
    <row r="44" spans="1:1" x14ac:dyDescent="0.25">
      <c r="A44" t="s">
        <v>2075</v>
      </c>
    </row>
    <row r="45" spans="1:1" x14ac:dyDescent="0.25">
      <c r="A45" t="s">
        <v>2076</v>
      </c>
    </row>
    <row r="46" spans="1:1" x14ac:dyDescent="0.25">
      <c r="A46" t="s">
        <v>2077</v>
      </c>
    </row>
    <row r="47" spans="1:1" x14ac:dyDescent="0.25">
      <c r="A47" t="s">
        <v>2078</v>
      </c>
    </row>
    <row r="48" spans="1:1" x14ac:dyDescent="0.25">
      <c r="A48" t="s">
        <v>2079</v>
      </c>
    </row>
    <row r="49" spans="1:1" x14ac:dyDescent="0.25">
      <c r="A49" t="s">
        <v>2080</v>
      </c>
    </row>
    <row r="50" spans="1:1" x14ac:dyDescent="0.25">
      <c r="A50" t="s">
        <v>2081</v>
      </c>
    </row>
    <row r="51" spans="1:1" x14ac:dyDescent="0.25">
      <c r="A51" t="s">
        <v>2082</v>
      </c>
    </row>
    <row r="52" spans="1:1" x14ac:dyDescent="0.25">
      <c r="A52" t="s">
        <v>2083</v>
      </c>
    </row>
    <row r="53" spans="1:1" x14ac:dyDescent="0.25">
      <c r="A53" t="s">
        <v>2084</v>
      </c>
    </row>
    <row r="54" spans="1:1" x14ac:dyDescent="0.25">
      <c r="A54" t="s">
        <v>2085</v>
      </c>
    </row>
    <row r="55" spans="1:1" x14ac:dyDescent="0.25">
      <c r="A55" t="s">
        <v>2086</v>
      </c>
    </row>
    <row r="56" spans="1:1" x14ac:dyDescent="0.25">
      <c r="A56" t="s">
        <v>2087</v>
      </c>
    </row>
    <row r="57" spans="1:1" x14ac:dyDescent="0.25">
      <c r="A57" t="s">
        <v>2088</v>
      </c>
    </row>
    <row r="58" spans="1:1" x14ac:dyDescent="0.25">
      <c r="A58" t="s">
        <v>2089</v>
      </c>
    </row>
    <row r="59" spans="1:1" x14ac:dyDescent="0.25">
      <c r="A59" t="s">
        <v>2090</v>
      </c>
    </row>
    <row r="60" spans="1:1" x14ac:dyDescent="0.25">
      <c r="A60" t="s">
        <v>2091</v>
      </c>
    </row>
    <row r="61" spans="1:1" x14ac:dyDescent="0.25">
      <c r="A61" t="s">
        <v>2092</v>
      </c>
    </row>
    <row r="62" spans="1:1" x14ac:dyDescent="0.25">
      <c r="A62" t="s">
        <v>2093</v>
      </c>
    </row>
    <row r="63" spans="1:1" x14ac:dyDescent="0.25">
      <c r="A63" t="s">
        <v>2094</v>
      </c>
    </row>
    <row r="64" spans="1:1" x14ac:dyDescent="0.25">
      <c r="A64" t="s">
        <v>2095</v>
      </c>
    </row>
    <row r="65" spans="1:1" x14ac:dyDescent="0.25">
      <c r="A65" t="s">
        <v>2096</v>
      </c>
    </row>
    <row r="66" spans="1:1" x14ac:dyDescent="0.25">
      <c r="A66" t="s">
        <v>2097</v>
      </c>
    </row>
    <row r="67" spans="1:1" x14ac:dyDescent="0.25">
      <c r="A67" t="s">
        <v>2098</v>
      </c>
    </row>
    <row r="68" spans="1:1" x14ac:dyDescent="0.25">
      <c r="A68" t="s">
        <v>2099</v>
      </c>
    </row>
    <row r="69" spans="1:1" x14ac:dyDescent="0.25">
      <c r="A69" t="s">
        <v>2100</v>
      </c>
    </row>
    <row r="70" spans="1:1" x14ac:dyDescent="0.25">
      <c r="A70" t="s">
        <v>2101</v>
      </c>
    </row>
    <row r="71" spans="1:1" x14ac:dyDescent="0.25">
      <c r="A71" t="s">
        <v>2102</v>
      </c>
    </row>
    <row r="72" spans="1:1" x14ac:dyDescent="0.25">
      <c r="A72" t="s">
        <v>2103</v>
      </c>
    </row>
    <row r="73" spans="1:1" x14ac:dyDescent="0.25">
      <c r="A73" t="s">
        <v>2104</v>
      </c>
    </row>
    <row r="74" spans="1:1" x14ac:dyDescent="0.25">
      <c r="A74" t="s">
        <v>2105</v>
      </c>
    </row>
    <row r="75" spans="1:1" x14ac:dyDescent="0.25">
      <c r="A75" t="s">
        <v>2106</v>
      </c>
    </row>
    <row r="76" spans="1:1" x14ac:dyDescent="0.25">
      <c r="A76" t="s">
        <v>2107</v>
      </c>
    </row>
    <row r="77" spans="1:1" x14ac:dyDescent="0.25">
      <c r="A77" t="s">
        <v>2108</v>
      </c>
    </row>
    <row r="78" spans="1:1" x14ac:dyDescent="0.25">
      <c r="A78" t="s">
        <v>2109</v>
      </c>
    </row>
    <row r="79" spans="1:1" x14ac:dyDescent="0.25">
      <c r="A79" t="s">
        <v>2110</v>
      </c>
    </row>
    <row r="80" spans="1:1" x14ac:dyDescent="0.25">
      <c r="A80" t="s">
        <v>2111</v>
      </c>
    </row>
    <row r="81" spans="1:1" x14ac:dyDescent="0.25">
      <c r="A81" t="s">
        <v>2112</v>
      </c>
    </row>
    <row r="82" spans="1:1" x14ac:dyDescent="0.25">
      <c r="A82" t="s">
        <v>2113</v>
      </c>
    </row>
    <row r="83" spans="1:1" x14ac:dyDescent="0.25">
      <c r="A83" t="s">
        <v>2114</v>
      </c>
    </row>
    <row r="84" spans="1:1" x14ac:dyDescent="0.25">
      <c r="A84" t="s">
        <v>2115</v>
      </c>
    </row>
    <row r="85" spans="1:1" x14ac:dyDescent="0.25">
      <c r="A85" t="s">
        <v>2116</v>
      </c>
    </row>
    <row r="86" spans="1:1" x14ac:dyDescent="0.25">
      <c r="A86" t="s">
        <v>2117</v>
      </c>
    </row>
    <row r="87" spans="1:1" x14ac:dyDescent="0.25">
      <c r="A87" t="s">
        <v>2118</v>
      </c>
    </row>
    <row r="88" spans="1:1" x14ac:dyDescent="0.25">
      <c r="A88" t="s">
        <v>2119</v>
      </c>
    </row>
    <row r="89" spans="1:1" x14ac:dyDescent="0.25">
      <c r="A89" t="s">
        <v>2120</v>
      </c>
    </row>
    <row r="90" spans="1:1" x14ac:dyDescent="0.25">
      <c r="A90" t="s">
        <v>2121</v>
      </c>
    </row>
    <row r="91" spans="1:1" x14ac:dyDescent="0.25">
      <c r="A91" t="s">
        <v>2122</v>
      </c>
    </row>
    <row r="92" spans="1:1" x14ac:dyDescent="0.25">
      <c r="A92" t="s">
        <v>2123</v>
      </c>
    </row>
    <row r="93" spans="1:1" x14ac:dyDescent="0.25">
      <c r="A93" t="s">
        <v>2124</v>
      </c>
    </row>
    <row r="94" spans="1:1" x14ac:dyDescent="0.25">
      <c r="A94" t="s">
        <v>2125</v>
      </c>
    </row>
    <row r="95" spans="1:1" x14ac:dyDescent="0.25">
      <c r="A95" t="s">
        <v>2126</v>
      </c>
    </row>
    <row r="96" spans="1:1" x14ac:dyDescent="0.25">
      <c r="A96" t="s">
        <v>2127</v>
      </c>
    </row>
    <row r="97" spans="1:1" x14ac:dyDescent="0.25">
      <c r="A97" t="s">
        <v>2128</v>
      </c>
    </row>
    <row r="98" spans="1:1" x14ac:dyDescent="0.25">
      <c r="A98" t="s">
        <v>2129</v>
      </c>
    </row>
    <row r="99" spans="1:1" x14ac:dyDescent="0.25">
      <c r="A99" t="s">
        <v>2130</v>
      </c>
    </row>
    <row r="100" spans="1:1" x14ac:dyDescent="0.25">
      <c r="A100" t="s">
        <v>2131</v>
      </c>
    </row>
    <row r="101" spans="1:1" x14ac:dyDescent="0.25">
      <c r="A101" t="s">
        <v>2132</v>
      </c>
    </row>
    <row r="102" spans="1:1" x14ac:dyDescent="0.25">
      <c r="A102" t="s">
        <v>2133</v>
      </c>
    </row>
    <row r="103" spans="1:1" x14ac:dyDescent="0.25">
      <c r="A103" t="s">
        <v>2134</v>
      </c>
    </row>
    <row r="104" spans="1:1" x14ac:dyDescent="0.25">
      <c r="A104" t="s">
        <v>2135</v>
      </c>
    </row>
    <row r="105" spans="1:1" x14ac:dyDescent="0.25">
      <c r="A105" t="s">
        <v>2136</v>
      </c>
    </row>
    <row r="106" spans="1:1" x14ac:dyDescent="0.25">
      <c r="A106" t="s">
        <v>2137</v>
      </c>
    </row>
    <row r="107" spans="1:1" x14ac:dyDescent="0.25">
      <c r="A107" t="s">
        <v>2138</v>
      </c>
    </row>
    <row r="108" spans="1:1" x14ac:dyDescent="0.25">
      <c r="A108" t="s">
        <v>2139</v>
      </c>
    </row>
    <row r="109" spans="1:1" x14ac:dyDescent="0.25">
      <c r="A109" t="s">
        <v>2140</v>
      </c>
    </row>
    <row r="110" spans="1:1" x14ac:dyDescent="0.25">
      <c r="A110" t="s">
        <v>2141</v>
      </c>
    </row>
    <row r="111" spans="1:1" x14ac:dyDescent="0.25">
      <c r="A111" t="s">
        <v>2142</v>
      </c>
    </row>
    <row r="112" spans="1:1" x14ac:dyDescent="0.25">
      <c r="A112" t="s">
        <v>2143</v>
      </c>
    </row>
    <row r="113" spans="1:1" x14ac:dyDescent="0.25">
      <c r="A113" t="s">
        <v>2144</v>
      </c>
    </row>
    <row r="114" spans="1:1" x14ac:dyDescent="0.25">
      <c r="A114" t="s">
        <v>2145</v>
      </c>
    </row>
    <row r="115" spans="1:1" x14ac:dyDescent="0.25">
      <c r="A115" t="s">
        <v>2146</v>
      </c>
    </row>
    <row r="116" spans="1:1" x14ac:dyDescent="0.25">
      <c r="A116" t="s">
        <v>2147</v>
      </c>
    </row>
    <row r="117" spans="1:1" x14ac:dyDescent="0.25">
      <c r="A117" t="s">
        <v>2148</v>
      </c>
    </row>
    <row r="118" spans="1:1" x14ac:dyDescent="0.25">
      <c r="A118" t="s">
        <v>2149</v>
      </c>
    </row>
    <row r="119" spans="1:1" x14ac:dyDescent="0.25">
      <c r="A119" t="s">
        <v>2150</v>
      </c>
    </row>
    <row r="120" spans="1:1" x14ac:dyDescent="0.25">
      <c r="A120" t="s">
        <v>2151</v>
      </c>
    </row>
    <row r="121" spans="1:1" x14ac:dyDescent="0.25">
      <c r="A121" t="s">
        <v>2152</v>
      </c>
    </row>
    <row r="122" spans="1:1" x14ac:dyDescent="0.25">
      <c r="A122" t="s">
        <v>2153</v>
      </c>
    </row>
    <row r="123" spans="1:1" x14ac:dyDescent="0.25">
      <c r="A123" t="s">
        <v>2154</v>
      </c>
    </row>
    <row r="124" spans="1:1" x14ac:dyDescent="0.25">
      <c r="A124" t="s">
        <v>2155</v>
      </c>
    </row>
    <row r="125" spans="1:1" x14ac:dyDescent="0.25">
      <c r="A125" t="s">
        <v>2156</v>
      </c>
    </row>
    <row r="126" spans="1:1" x14ac:dyDescent="0.25">
      <c r="A126" t="s">
        <v>2157</v>
      </c>
    </row>
    <row r="127" spans="1:1" x14ac:dyDescent="0.25">
      <c r="A127" t="s">
        <v>2158</v>
      </c>
    </row>
    <row r="128" spans="1:1" x14ac:dyDescent="0.25">
      <c r="A128" t="s">
        <v>2159</v>
      </c>
    </row>
    <row r="129" spans="1:1" x14ac:dyDescent="0.25">
      <c r="A129" t="s">
        <v>2160</v>
      </c>
    </row>
    <row r="130" spans="1:1" x14ac:dyDescent="0.25">
      <c r="A130" t="s">
        <v>2161</v>
      </c>
    </row>
    <row r="131" spans="1:1" x14ac:dyDescent="0.25">
      <c r="A131" t="s">
        <v>2162</v>
      </c>
    </row>
    <row r="132" spans="1:1" x14ac:dyDescent="0.25">
      <c r="A132" t="s">
        <v>2163</v>
      </c>
    </row>
    <row r="133" spans="1:1" x14ac:dyDescent="0.25">
      <c r="A133" t="s">
        <v>2164</v>
      </c>
    </row>
    <row r="134" spans="1:1" x14ac:dyDescent="0.25">
      <c r="A134" t="s">
        <v>2165</v>
      </c>
    </row>
    <row r="135" spans="1:1" x14ac:dyDescent="0.25">
      <c r="A135" t="s">
        <v>2166</v>
      </c>
    </row>
    <row r="136" spans="1:1" x14ac:dyDescent="0.25">
      <c r="A136" t="s">
        <v>2167</v>
      </c>
    </row>
    <row r="137" spans="1:1" x14ac:dyDescent="0.25">
      <c r="A137" t="s">
        <v>2168</v>
      </c>
    </row>
    <row r="138" spans="1:1" x14ac:dyDescent="0.25">
      <c r="A138" t="s">
        <v>2169</v>
      </c>
    </row>
    <row r="139" spans="1:1" x14ac:dyDescent="0.25">
      <c r="A139" t="s">
        <v>2170</v>
      </c>
    </row>
    <row r="140" spans="1:1" x14ac:dyDescent="0.25">
      <c r="A140" t="s">
        <v>2171</v>
      </c>
    </row>
    <row r="141" spans="1:1" x14ac:dyDescent="0.25">
      <c r="A141" t="s">
        <v>2172</v>
      </c>
    </row>
    <row r="142" spans="1:1" x14ac:dyDescent="0.25">
      <c r="A142" t="s">
        <v>2173</v>
      </c>
    </row>
    <row r="143" spans="1:1" x14ac:dyDescent="0.25">
      <c r="A143" t="s">
        <v>2174</v>
      </c>
    </row>
    <row r="144" spans="1:1" x14ac:dyDescent="0.25">
      <c r="A144" t="s">
        <v>2175</v>
      </c>
    </row>
    <row r="145" spans="1:1" x14ac:dyDescent="0.25">
      <c r="A145" t="s">
        <v>2176</v>
      </c>
    </row>
    <row r="146" spans="1:1" x14ac:dyDescent="0.25">
      <c r="A146" t="s">
        <v>2177</v>
      </c>
    </row>
    <row r="147" spans="1:1" x14ac:dyDescent="0.25">
      <c r="A147" t="s">
        <v>2178</v>
      </c>
    </row>
    <row r="148" spans="1:1" x14ac:dyDescent="0.25">
      <c r="A148" t="s">
        <v>2179</v>
      </c>
    </row>
    <row r="149" spans="1:1" x14ac:dyDescent="0.25">
      <c r="A149" t="s">
        <v>2180</v>
      </c>
    </row>
    <row r="150" spans="1:1" x14ac:dyDescent="0.25">
      <c r="A150" t="s">
        <v>2181</v>
      </c>
    </row>
    <row r="151" spans="1:1" x14ac:dyDescent="0.25">
      <c r="A151" t="s">
        <v>2182</v>
      </c>
    </row>
    <row r="152" spans="1:1" x14ac:dyDescent="0.25">
      <c r="A152" t="s">
        <v>2183</v>
      </c>
    </row>
    <row r="153" spans="1:1" x14ac:dyDescent="0.25">
      <c r="A153" t="s">
        <v>2184</v>
      </c>
    </row>
    <row r="154" spans="1:1" x14ac:dyDescent="0.25">
      <c r="A154" t="s">
        <v>2185</v>
      </c>
    </row>
    <row r="155" spans="1:1" x14ac:dyDescent="0.25">
      <c r="A155" t="s">
        <v>2186</v>
      </c>
    </row>
    <row r="156" spans="1:1" x14ac:dyDescent="0.25">
      <c r="A156" t="s">
        <v>2187</v>
      </c>
    </row>
    <row r="157" spans="1:1" x14ac:dyDescent="0.25">
      <c r="A157" t="s">
        <v>2188</v>
      </c>
    </row>
    <row r="158" spans="1:1" x14ac:dyDescent="0.25">
      <c r="A158" t="s">
        <v>2189</v>
      </c>
    </row>
    <row r="159" spans="1:1" x14ac:dyDescent="0.25">
      <c r="A159" t="s">
        <v>2190</v>
      </c>
    </row>
    <row r="160" spans="1:1" x14ac:dyDescent="0.25">
      <c r="A160" t="s">
        <v>2191</v>
      </c>
    </row>
    <row r="161" spans="1:1" x14ac:dyDescent="0.25">
      <c r="A161" t="s">
        <v>2192</v>
      </c>
    </row>
    <row r="162" spans="1:1" x14ac:dyDescent="0.25">
      <c r="A162" t="s">
        <v>2193</v>
      </c>
    </row>
    <row r="163" spans="1:1" x14ac:dyDescent="0.25">
      <c r="A163" t="s">
        <v>2194</v>
      </c>
    </row>
    <row r="164" spans="1:1" x14ac:dyDescent="0.25">
      <c r="A164" t="s">
        <v>2195</v>
      </c>
    </row>
    <row r="165" spans="1:1" x14ac:dyDescent="0.25">
      <c r="A165" t="s">
        <v>2196</v>
      </c>
    </row>
    <row r="166" spans="1:1" x14ac:dyDescent="0.25">
      <c r="A166" t="s">
        <v>2197</v>
      </c>
    </row>
    <row r="167" spans="1:1" x14ac:dyDescent="0.25">
      <c r="A167" t="s">
        <v>2198</v>
      </c>
    </row>
    <row r="168" spans="1:1" x14ac:dyDescent="0.25">
      <c r="A168" t="s">
        <v>2199</v>
      </c>
    </row>
    <row r="169" spans="1:1" x14ac:dyDescent="0.25">
      <c r="A169" t="s">
        <v>2200</v>
      </c>
    </row>
    <row r="170" spans="1:1" x14ac:dyDescent="0.25">
      <c r="A170" t="s">
        <v>2201</v>
      </c>
    </row>
    <row r="171" spans="1:1" x14ac:dyDescent="0.25">
      <c r="A171" t="s">
        <v>2202</v>
      </c>
    </row>
    <row r="172" spans="1:1" x14ac:dyDescent="0.25">
      <c r="A172" t="s">
        <v>2203</v>
      </c>
    </row>
    <row r="173" spans="1:1" x14ac:dyDescent="0.25">
      <c r="A173" t="s">
        <v>2204</v>
      </c>
    </row>
    <row r="174" spans="1:1" x14ac:dyDescent="0.25">
      <c r="A174" t="s">
        <v>2205</v>
      </c>
    </row>
    <row r="175" spans="1:1" x14ac:dyDescent="0.25">
      <c r="A175" t="s">
        <v>2206</v>
      </c>
    </row>
    <row r="176" spans="1:1" x14ac:dyDescent="0.25">
      <c r="A176" t="s">
        <v>2207</v>
      </c>
    </row>
    <row r="177" spans="1:1" x14ac:dyDescent="0.25">
      <c r="A177" t="s">
        <v>2208</v>
      </c>
    </row>
    <row r="178" spans="1:1" x14ac:dyDescent="0.25">
      <c r="A178" t="s">
        <v>2209</v>
      </c>
    </row>
    <row r="179" spans="1:1" x14ac:dyDescent="0.25">
      <c r="A179" t="s">
        <v>2210</v>
      </c>
    </row>
    <row r="180" spans="1:1" x14ac:dyDescent="0.25">
      <c r="A180" t="s">
        <v>2211</v>
      </c>
    </row>
    <row r="181" spans="1:1" x14ac:dyDescent="0.25">
      <c r="A181" t="s">
        <v>2212</v>
      </c>
    </row>
    <row r="182" spans="1:1" x14ac:dyDescent="0.25">
      <c r="A182" t="s">
        <v>2213</v>
      </c>
    </row>
    <row r="183" spans="1:1" x14ac:dyDescent="0.25">
      <c r="A183" t="s">
        <v>2214</v>
      </c>
    </row>
    <row r="184" spans="1:1" x14ac:dyDescent="0.25">
      <c r="A184" t="s">
        <v>2215</v>
      </c>
    </row>
    <row r="185" spans="1:1" x14ac:dyDescent="0.25">
      <c r="A185" t="s">
        <v>2216</v>
      </c>
    </row>
    <row r="186" spans="1:1" x14ac:dyDescent="0.25">
      <c r="A186" t="s">
        <v>2217</v>
      </c>
    </row>
    <row r="187" spans="1:1" x14ac:dyDescent="0.25">
      <c r="A187" t="s">
        <v>2218</v>
      </c>
    </row>
    <row r="188" spans="1:1" x14ac:dyDescent="0.25">
      <c r="A188" t="s">
        <v>2219</v>
      </c>
    </row>
    <row r="189" spans="1:1" x14ac:dyDescent="0.25">
      <c r="A189" t="s">
        <v>2220</v>
      </c>
    </row>
    <row r="190" spans="1:1" x14ac:dyDescent="0.25">
      <c r="A190" t="s">
        <v>2221</v>
      </c>
    </row>
    <row r="191" spans="1:1" x14ac:dyDescent="0.25">
      <c r="A191" t="s">
        <v>2222</v>
      </c>
    </row>
    <row r="192" spans="1:1" x14ac:dyDescent="0.25">
      <c r="A192" t="s">
        <v>2223</v>
      </c>
    </row>
    <row r="193" spans="1:1" x14ac:dyDescent="0.25">
      <c r="A193" t="s">
        <v>2224</v>
      </c>
    </row>
    <row r="194" spans="1:1" x14ac:dyDescent="0.25">
      <c r="A194" t="s">
        <v>2225</v>
      </c>
    </row>
    <row r="195" spans="1:1" x14ac:dyDescent="0.25">
      <c r="A195" t="s">
        <v>2226</v>
      </c>
    </row>
    <row r="196" spans="1:1" x14ac:dyDescent="0.25">
      <c r="A196" t="s">
        <v>2227</v>
      </c>
    </row>
    <row r="197" spans="1:1" x14ac:dyDescent="0.25">
      <c r="A197" t="s">
        <v>2228</v>
      </c>
    </row>
    <row r="198" spans="1:1" x14ac:dyDescent="0.25">
      <c r="A198" t="s">
        <v>2229</v>
      </c>
    </row>
    <row r="199" spans="1:1" x14ac:dyDescent="0.25">
      <c r="A199" t="s">
        <v>2230</v>
      </c>
    </row>
    <row r="200" spans="1:1" x14ac:dyDescent="0.25">
      <c r="A200" t="s">
        <v>2231</v>
      </c>
    </row>
    <row r="201" spans="1:1" x14ac:dyDescent="0.25">
      <c r="A201" t="s">
        <v>2232</v>
      </c>
    </row>
    <row r="202" spans="1:1" x14ac:dyDescent="0.25">
      <c r="A202" t="s">
        <v>2233</v>
      </c>
    </row>
    <row r="203" spans="1:1" x14ac:dyDescent="0.25">
      <c r="A203" t="s">
        <v>2234</v>
      </c>
    </row>
    <row r="204" spans="1:1" x14ac:dyDescent="0.25">
      <c r="A204" t="s">
        <v>2235</v>
      </c>
    </row>
    <row r="205" spans="1:1" x14ac:dyDescent="0.25">
      <c r="A205" t="s">
        <v>2236</v>
      </c>
    </row>
    <row r="206" spans="1:1" x14ac:dyDescent="0.25">
      <c r="A206" t="s">
        <v>2237</v>
      </c>
    </row>
    <row r="207" spans="1:1" x14ac:dyDescent="0.25">
      <c r="A207" t="s">
        <v>2238</v>
      </c>
    </row>
    <row r="208" spans="1:1" x14ac:dyDescent="0.25">
      <c r="A208" t="s">
        <v>2239</v>
      </c>
    </row>
    <row r="209" spans="1:1" x14ac:dyDescent="0.25">
      <c r="A209" t="s">
        <v>2240</v>
      </c>
    </row>
    <row r="210" spans="1:1" x14ac:dyDescent="0.25">
      <c r="A210" t="s">
        <v>2241</v>
      </c>
    </row>
    <row r="211" spans="1:1" x14ac:dyDescent="0.25">
      <c r="A211" t="s">
        <v>2242</v>
      </c>
    </row>
    <row r="212" spans="1:1" x14ac:dyDescent="0.25">
      <c r="A212" t="s">
        <v>2243</v>
      </c>
    </row>
    <row r="213" spans="1:1" x14ac:dyDescent="0.25">
      <c r="A213" t="s">
        <v>2244</v>
      </c>
    </row>
    <row r="214" spans="1:1" x14ac:dyDescent="0.25">
      <c r="A214" t="s">
        <v>2245</v>
      </c>
    </row>
    <row r="215" spans="1:1" x14ac:dyDescent="0.25">
      <c r="A215" t="s">
        <v>2246</v>
      </c>
    </row>
    <row r="216" spans="1:1" x14ac:dyDescent="0.25">
      <c r="A216" t="s">
        <v>2247</v>
      </c>
    </row>
    <row r="217" spans="1:1" x14ac:dyDescent="0.25">
      <c r="A217" t="s">
        <v>2248</v>
      </c>
    </row>
    <row r="218" spans="1:1" x14ac:dyDescent="0.25">
      <c r="A218" t="s">
        <v>2249</v>
      </c>
    </row>
    <row r="219" spans="1:1" x14ac:dyDescent="0.25">
      <c r="A219" t="s">
        <v>2250</v>
      </c>
    </row>
    <row r="220" spans="1:1" x14ac:dyDescent="0.25">
      <c r="A220" t="s">
        <v>2251</v>
      </c>
    </row>
    <row r="221" spans="1:1" x14ac:dyDescent="0.25">
      <c r="A221" t="s">
        <v>2252</v>
      </c>
    </row>
    <row r="222" spans="1:1" x14ac:dyDescent="0.25">
      <c r="A222" t="s">
        <v>2253</v>
      </c>
    </row>
    <row r="223" spans="1:1" x14ac:dyDescent="0.25">
      <c r="A223" t="s">
        <v>2254</v>
      </c>
    </row>
    <row r="224" spans="1:1" x14ac:dyDescent="0.25">
      <c r="A224" t="s">
        <v>2255</v>
      </c>
    </row>
    <row r="225" spans="1:1" x14ac:dyDescent="0.25">
      <c r="A225" t="s">
        <v>2256</v>
      </c>
    </row>
    <row r="226" spans="1:1" x14ac:dyDescent="0.25">
      <c r="A226" t="s">
        <v>2257</v>
      </c>
    </row>
    <row r="227" spans="1:1" x14ac:dyDescent="0.25">
      <c r="A227" t="s">
        <v>2258</v>
      </c>
    </row>
    <row r="228" spans="1:1" x14ac:dyDescent="0.25">
      <c r="A228" t="s">
        <v>2259</v>
      </c>
    </row>
    <row r="229" spans="1:1" x14ac:dyDescent="0.25">
      <c r="A229" t="s">
        <v>2260</v>
      </c>
    </row>
    <row r="230" spans="1:1" x14ac:dyDescent="0.25">
      <c r="A230" t="s">
        <v>2261</v>
      </c>
    </row>
    <row r="231" spans="1:1" x14ac:dyDescent="0.25">
      <c r="A231" t="s">
        <v>2262</v>
      </c>
    </row>
    <row r="232" spans="1:1" x14ac:dyDescent="0.25">
      <c r="A232" t="s">
        <v>2263</v>
      </c>
    </row>
    <row r="233" spans="1:1" x14ac:dyDescent="0.25">
      <c r="A233" t="s">
        <v>2264</v>
      </c>
    </row>
    <row r="234" spans="1:1" x14ac:dyDescent="0.25">
      <c r="A234" t="s">
        <v>2265</v>
      </c>
    </row>
    <row r="235" spans="1:1" x14ac:dyDescent="0.25">
      <c r="A235" t="s">
        <v>2266</v>
      </c>
    </row>
    <row r="236" spans="1:1" x14ac:dyDescent="0.25">
      <c r="A236" t="s">
        <v>2267</v>
      </c>
    </row>
    <row r="237" spans="1:1" x14ac:dyDescent="0.25">
      <c r="A237" t="s">
        <v>2268</v>
      </c>
    </row>
    <row r="238" spans="1:1" x14ac:dyDescent="0.25">
      <c r="A238" t="s">
        <v>2269</v>
      </c>
    </row>
    <row r="239" spans="1:1" x14ac:dyDescent="0.25">
      <c r="A239" t="s">
        <v>2270</v>
      </c>
    </row>
    <row r="240" spans="1:1" x14ac:dyDescent="0.25">
      <c r="A240" t="s">
        <v>2271</v>
      </c>
    </row>
    <row r="241" spans="1:1" x14ac:dyDescent="0.25">
      <c r="A241" t="s">
        <v>2272</v>
      </c>
    </row>
    <row r="242" spans="1:1" x14ac:dyDescent="0.25">
      <c r="A242" t="s">
        <v>2273</v>
      </c>
    </row>
    <row r="243" spans="1:1" x14ac:dyDescent="0.25">
      <c r="A243" t="s">
        <v>2274</v>
      </c>
    </row>
    <row r="244" spans="1:1" x14ac:dyDescent="0.25">
      <c r="A244" t="s">
        <v>2275</v>
      </c>
    </row>
    <row r="245" spans="1:1" x14ac:dyDescent="0.25">
      <c r="A245" t="s">
        <v>2276</v>
      </c>
    </row>
    <row r="246" spans="1:1" x14ac:dyDescent="0.25">
      <c r="A246" t="s">
        <v>2277</v>
      </c>
    </row>
    <row r="247" spans="1:1" x14ac:dyDescent="0.25">
      <c r="A247" t="s">
        <v>2278</v>
      </c>
    </row>
    <row r="248" spans="1:1" x14ac:dyDescent="0.25">
      <c r="A248" t="s">
        <v>2279</v>
      </c>
    </row>
    <row r="249" spans="1:1" x14ac:dyDescent="0.25">
      <c r="A249" t="s">
        <v>2280</v>
      </c>
    </row>
    <row r="250" spans="1:1" x14ac:dyDescent="0.25">
      <c r="A250" t="s">
        <v>2281</v>
      </c>
    </row>
    <row r="251" spans="1:1" x14ac:dyDescent="0.25">
      <c r="A251" t="s">
        <v>2282</v>
      </c>
    </row>
    <row r="252" spans="1:1" x14ac:dyDescent="0.25">
      <c r="A252" t="s">
        <v>2283</v>
      </c>
    </row>
    <row r="253" spans="1:1" x14ac:dyDescent="0.25">
      <c r="A253" t="s">
        <v>2284</v>
      </c>
    </row>
    <row r="254" spans="1:1" x14ac:dyDescent="0.25">
      <c r="A254" t="s">
        <v>2285</v>
      </c>
    </row>
    <row r="255" spans="1:1" x14ac:dyDescent="0.25">
      <c r="A255" t="s">
        <v>2286</v>
      </c>
    </row>
    <row r="256" spans="1:1" x14ac:dyDescent="0.25">
      <c r="A256" t="s">
        <v>2287</v>
      </c>
    </row>
    <row r="257" spans="1:1" x14ac:dyDescent="0.25">
      <c r="A257" t="s">
        <v>2288</v>
      </c>
    </row>
    <row r="258" spans="1:1" x14ac:dyDescent="0.25">
      <c r="A258" t="s">
        <v>2289</v>
      </c>
    </row>
    <row r="259" spans="1:1" x14ac:dyDescent="0.25">
      <c r="A259" t="s">
        <v>2290</v>
      </c>
    </row>
    <row r="260" spans="1:1" x14ac:dyDescent="0.25">
      <c r="A260" t="s">
        <v>2291</v>
      </c>
    </row>
    <row r="261" spans="1:1" x14ac:dyDescent="0.25">
      <c r="A261" t="s">
        <v>2292</v>
      </c>
    </row>
    <row r="262" spans="1:1" x14ac:dyDescent="0.25">
      <c r="A262" t="s">
        <v>2293</v>
      </c>
    </row>
    <row r="263" spans="1:1" x14ac:dyDescent="0.25">
      <c r="A263" t="s">
        <v>2294</v>
      </c>
    </row>
    <row r="264" spans="1:1" x14ac:dyDescent="0.25">
      <c r="A264" t="s">
        <v>2295</v>
      </c>
    </row>
    <row r="265" spans="1:1" x14ac:dyDescent="0.25">
      <c r="A265" t="s">
        <v>2296</v>
      </c>
    </row>
    <row r="266" spans="1:1" x14ac:dyDescent="0.25">
      <c r="A266" t="s">
        <v>2297</v>
      </c>
    </row>
    <row r="267" spans="1:1" x14ac:dyDescent="0.25">
      <c r="A267" t="s">
        <v>2298</v>
      </c>
    </row>
    <row r="268" spans="1:1" x14ac:dyDescent="0.25">
      <c r="A268" t="s">
        <v>2299</v>
      </c>
    </row>
    <row r="269" spans="1:1" x14ac:dyDescent="0.25">
      <c r="A269" t="s">
        <v>2300</v>
      </c>
    </row>
    <row r="270" spans="1:1" x14ac:dyDescent="0.25">
      <c r="A270" t="s">
        <v>2301</v>
      </c>
    </row>
    <row r="271" spans="1:1" x14ac:dyDescent="0.25">
      <c r="A271" t="s">
        <v>2302</v>
      </c>
    </row>
    <row r="272" spans="1:1" x14ac:dyDescent="0.25">
      <c r="A272" t="s">
        <v>2303</v>
      </c>
    </row>
    <row r="273" spans="1:1" x14ac:dyDescent="0.25">
      <c r="A273" t="s">
        <v>2304</v>
      </c>
    </row>
    <row r="274" spans="1:1" x14ac:dyDescent="0.25">
      <c r="A274" t="s">
        <v>2305</v>
      </c>
    </row>
    <row r="275" spans="1:1" x14ac:dyDescent="0.25">
      <c r="A275" t="s">
        <v>2306</v>
      </c>
    </row>
    <row r="276" spans="1:1" x14ac:dyDescent="0.25">
      <c r="A276" t="s">
        <v>2307</v>
      </c>
    </row>
    <row r="277" spans="1:1" x14ac:dyDescent="0.25">
      <c r="A277" t="s">
        <v>2308</v>
      </c>
    </row>
    <row r="278" spans="1:1" x14ac:dyDescent="0.25">
      <c r="A278" t="s">
        <v>2309</v>
      </c>
    </row>
    <row r="279" spans="1:1" x14ac:dyDescent="0.25">
      <c r="A279" t="s">
        <v>2310</v>
      </c>
    </row>
    <row r="280" spans="1:1" x14ac:dyDescent="0.25">
      <c r="A280" t="s">
        <v>2311</v>
      </c>
    </row>
    <row r="281" spans="1:1" x14ac:dyDescent="0.25">
      <c r="A281" t="s">
        <v>2312</v>
      </c>
    </row>
    <row r="282" spans="1:1" x14ac:dyDescent="0.25">
      <c r="A282" t="s">
        <v>2313</v>
      </c>
    </row>
    <row r="283" spans="1:1" x14ac:dyDescent="0.25">
      <c r="A283" t="s">
        <v>2314</v>
      </c>
    </row>
    <row r="284" spans="1:1" x14ac:dyDescent="0.25">
      <c r="A284" t="s">
        <v>2315</v>
      </c>
    </row>
    <row r="285" spans="1:1" x14ac:dyDescent="0.25">
      <c r="A285" t="s">
        <v>2316</v>
      </c>
    </row>
    <row r="286" spans="1:1" x14ac:dyDescent="0.25">
      <c r="A286" t="s">
        <v>2317</v>
      </c>
    </row>
    <row r="287" spans="1:1" x14ac:dyDescent="0.25">
      <c r="A287" t="s">
        <v>2318</v>
      </c>
    </row>
    <row r="288" spans="1:1" x14ac:dyDescent="0.25">
      <c r="A288" t="s">
        <v>2319</v>
      </c>
    </row>
    <row r="289" spans="1:1" x14ac:dyDescent="0.25">
      <c r="A289" t="s">
        <v>2320</v>
      </c>
    </row>
    <row r="290" spans="1:1" x14ac:dyDescent="0.25">
      <c r="A290" t="s">
        <v>2321</v>
      </c>
    </row>
    <row r="291" spans="1:1" x14ac:dyDescent="0.25">
      <c r="A291" t="s">
        <v>2322</v>
      </c>
    </row>
    <row r="292" spans="1:1" x14ac:dyDescent="0.25">
      <c r="A292" t="s">
        <v>2323</v>
      </c>
    </row>
    <row r="293" spans="1:1" x14ac:dyDescent="0.25">
      <c r="A293" t="s">
        <v>2324</v>
      </c>
    </row>
    <row r="294" spans="1:1" x14ac:dyDescent="0.25">
      <c r="A294" t="s">
        <v>2325</v>
      </c>
    </row>
    <row r="295" spans="1:1" x14ac:dyDescent="0.25">
      <c r="A295" t="s">
        <v>2326</v>
      </c>
    </row>
    <row r="296" spans="1:1" x14ac:dyDescent="0.25">
      <c r="A296" t="s">
        <v>2327</v>
      </c>
    </row>
    <row r="297" spans="1:1" x14ac:dyDescent="0.25">
      <c r="A297" t="s">
        <v>2328</v>
      </c>
    </row>
    <row r="298" spans="1:1" x14ac:dyDescent="0.25">
      <c r="A298" t="s">
        <v>2329</v>
      </c>
    </row>
    <row r="299" spans="1:1" x14ac:dyDescent="0.25">
      <c r="A299" t="s">
        <v>2330</v>
      </c>
    </row>
    <row r="300" spans="1:1" x14ac:dyDescent="0.25">
      <c r="A300" t="s">
        <v>2331</v>
      </c>
    </row>
    <row r="301" spans="1:1" x14ac:dyDescent="0.25">
      <c r="A301" t="s">
        <v>2332</v>
      </c>
    </row>
    <row r="302" spans="1:1" x14ac:dyDescent="0.25">
      <c r="A302" t="s">
        <v>2333</v>
      </c>
    </row>
    <row r="303" spans="1:1" x14ac:dyDescent="0.25">
      <c r="A303" t="s">
        <v>2334</v>
      </c>
    </row>
    <row r="304" spans="1:1" x14ac:dyDescent="0.25">
      <c r="A304" t="s">
        <v>2335</v>
      </c>
    </row>
    <row r="305" spans="1:1" x14ac:dyDescent="0.25">
      <c r="A305" t="s">
        <v>2336</v>
      </c>
    </row>
    <row r="306" spans="1:1" x14ac:dyDescent="0.25">
      <c r="A306" t="s">
        <v>2337</v>
      </c>
    </row>
    <row r="307" spans="1:1" x14ac:dyDescent="0.25">
      <c r="A307" t="s">
        <v>2338</v>
      </c>
    </row>
    <row r="308" spans="1:1" x14ac:dyDescent="0.25">
      <c r="A308" t="s">
        <v>2339</v>
      </c>
    </row>
    <row r="309" spans="1:1" x14ac:dyDescent="0.25">
      <c r="A309" t="s">
        <v>2340</v>
      </c>
    </row>
    <row r="310" spans="1:1" x14ac:dyDescent="0.25">
      <c r="A310" t="s">
        <v>2341</v>
      </c>
    </row>
    <row r="311" spans="1:1" x14ac:dyDescent="0.25">
      <c r="A311" t="s">
        <v>2342</v>
      </c>
    </row>
    <row r="312" spans="1:1" x14ac:dyDescent="0.25">
      <c r="A312" t="s">
        <v>2343</v>
      </c>
    </row>
    <row r="313" spans="1:1" x14ac:dyDescent="0.25">
      <c r="A313" t="s">
        <v>2344</v>
      </c>
    </row>
    <row r="314" spans="1:1" x14ac:dyDescent="0.25">
      <c r="A314" t="s">
        <v>2345</v>
      </c>
    </row>
    <row r="315" spans="1:1" x14ac:dyDescent="0.25">
      <c r="A315" t="s">
        <v>2346</v>
      </c>
    </row>
    <row r="316" spans="1:1" x14ac:dyDescent="0.25">
      <c r="A316" t="s">
        <v>2347</v>
      </c>
    </row>
    <row r="317" spans="1:1" x14ac:dyDescent="0.25">
      <c r="A317" t="s">
        <v>2348</v>
      </c>
    </row>
    <row r="318" spans="1:1" x14ac:dyDescent="0.25">
      <c r="A318" t="s">
        <v>2349</v>
      </c>
    </row>
    <row r="319" spans="1:1" x14ac:dyDescent="0.25">
      <c r="A319" t="s">
        <v>2350</v>
      </c>
    </row>
    <row r="320" spans="1:1" x14ac:dyDescent="0.25">
      <c r="A320" t="s">
        <v>2351</v>
      </c>
    </row>
    <row r="321" spans="1:1" x14ac:dyDescent="0.25">
      <c r="A321" t="s">
        <v>2352</v>
      </c>
    </row>
    <row r="322" spans="1:1" x14ac:dyDescent="0.25">
      <c r="A322" t="s">
        <v>2353</v>
      </c>
    </row>
    <row r="323" spans="1:1" x14ac:dyDescent="0.25">
      <c r="A323" t="s">
        <v>2354</v>
      </c>
    </row>
    <row r="324" spans="1:1" x14ac:dyDescent="0.25">
      <c r="A324" t="s">
        <v>2355</v>
      </c>
    </row>
    <row r="325" spans="1:1" x14ac:dyDescent="0.25">
      <c r="A325" t="s">
        <v>2356</v>
      </c>
    </row>
    <row r="326" spans="1:1" x14ac:dyDescent="0.25">
      <c r="A326" t="s">
        <v>2357</v>
      </c>
    </row>
    <row r="327" spans="1:1" x14ac:dyDescent="0.25">
      <c r="A327" t="s">
        <v>2358</v>
      </c>
    </row>
    <row r="328" spans="1:1" x14ac:dyDescent="0.25">
      <c r="A328" t="s">
        <v>2359</v>
      </c>
    </row>
    <row r="329" spans="1:1" x14ac:dyDescent="0.25">
      <c r="A329" t="s">
        <v>2360</v>
      </c>
    </row>
    <row r="330" spans="1:1" x14ac:dyDescent="0.25">
      <c r="A330" t="s">
        <v>2361</v>
      </c>
    </row>
    <row r="331" spans="1:1" x14ac:dyDescent="0.25">
      <c r="A331" t="s">
        <v>2362</v>
      </c>
    </row>
    <row r="332" spans="1:1" x14ac:dyDescent="0.25">
      <c r="A332" t="s">
        <v>2363</v>
      </c>
    </row>
    <row r="333" spans="1:1" x14ac:dyDescent="0.25">
      <c r="A333" t="s">
        <v>2364</v>
      </c>
    </row>
    <row r="334" spans="1:1" x14ac:dyDescent="0.25">
      <c r="A334" t="s">
        <v>2365</v>
      </c>
    </row>
    <row r="335" spans="1:1" x14ac:dyDescent="0.25">
      <c r="A335" t="s">
        <v>2366</v>
      </c>
    </row>
    <row r="336" spans="1:1" x14ac:dyDescent="0.25">
      <c r="A336" t="s">
        <v>2367</v>
      </c>
    </row>
    <row r="337" spans="1:1" x14ac:dyDescent="0.25">
      <c r="A337" t="s">
        <v>2368</v>
      </c>
    </row>
    <row r="338" spans="1:1" x14ac:dyDescent="0.25">
      <c r="A338" t="s">
        <v>2369</v>
      </c>
    </row>
    <row r="339" spans="1:1" x14ac:dyDescent="0.25">
      <c r="A339" t="s">
        <v>2370</v>
      </c>
    </row>
    <row r="340" spans="1:1" x14ac:dyDescent="0.25">
      <c r="A340" t="s">
        <v>2371</v>
      </c>
    </row>
    <row r="341" spans="1:1" x14ac:dyDescent="0.25">
      <c r="A341" t="s">
        <v>2372</v>
      </c>
    </row>
    <row r="342" spans="1:1" x14ac:dyDescent="0.25">
      <c r="A342" t="s">
        <v>2373</v>
      </c>
    </row>
    <row r="343" spans="1:1" x14ac:dyDescent="0.25">
      <c r="A343" t="s">
        <v>2374</v>
      </c>
    </row>
    <row r="344" spans="1:1" x14ac:dyDescent="0.25">
      <c r="A344" t="s">
        <v>2375</v>
      </c>
    </row>
    <row r="345" spans="1:1" x14ac:dyDescent="0.25">
      <c r="A345" t="s">
        <v>2376</v>
      </c>
    </row>
    <row r="346" spans="1:1" x14ac:dyDescent="0.25">
      <c r="A346" t="s">
        <v>2377</v>
      </c>
    </row>
    <row r="347" spans="1:1" x14ac:dyDescent="0.25">
      <c r="A347" t="s">
        <v>2378</v>
      </c>
    </row>
    <row r="348" spans="1:1" x14ac:dyDescent="0.25">
      <c r="A348" t="s">
        <v>2379</v>
      </c>
    </row>
    <row r="349" spans="1:1" x14ac:dyDescent="0.25">
      <c r="A349" t="s">
        <v>2380</v>
      </c>
    </row>
    <row r="350" spans="1:1" x14ac:dyDescent="0.25">
      <c r="A350" t="s">
        <v>2381</v>
      </c>
    </row>
    <row r="351" spans="1:1" x14ac:dyDescent="0.25">
      <c r="A351" t="s">
        <v>2382</v>
      </c>
    </row>
    <row r="352" spans="1:1" x14ac:dyDescent="0.25">
      <c r="A352" t="s">
        <v>2383</v>
      </c>
    </row>
    <row r="353" spans="1:1" x14ac:dyDescent="0.25">
      <c r="A353" t="s">
        <v>2384</v>
      </c>
    </row>
    <row r="354" spans="1:1" x14ac:dyDescent="0.25">
      <c r="A354" t="s">
        <v>2385</v>
      </c>
    </row>
    <row r="355" spans="1:1" x14ac:dyDescent="0.25">
      <c r="A355" t="s">
        <v>2386</v>
      </c>
    </row>
    <row r="356" spans="1:1" x14ac:dyDescent="0.25">
      <c r="A356" t="s">
        <v>2387</v>
      </c>
    </row>
    <row r="357" spans="1:1" x14ac:dyDescent="0.25">
      <c r="A357" t="s">
        <v>2388</v>
      </c>
    </row>
    <row r="358" spans="1:1" x14ac:dyDescent="0.25">
      <c r="A358" t="s">
        <v>2389</v>
      </c>
    </row>
    <row r="359" spans="1:1" x14ac:dyDescent="0.25">
      <c r="A359" t="s">
        <v>2390</v>
      </c>
    </row>
    <row r="360" spans="1:1" x14ac:dyDescent="0.25">
      <c r="A360" t="s">
        <v>2391</v>
      </c>
    </row>
    <row r="361" spans="1:1" x14ac:dyDescent="0.25">
      <c r="A361" t="s">
        <v>2392</v>
      </c>
    </row>
    <row r="362" spans="1:1" x14ac:dyDescent="0.25">
      <c r="A362" t="s">
        <v>2393</v>
      </c>
    </row>
    <row r="363" spans="1:1" x14ac:dyDescent="0.25">
      <c r="A363" t="s">
        <v>2394</v>
      </c>
    </row>
    <row r="364" spans="1:1" x14ac:dyDescent="0.25">
      <c r="A364" t="s">
        <v>2395</v>
      </c>
    </row>
    <row r="365" spans="1:1" x14ac:dyDescent="0.25">
      <c r="A365" t="s">
        <v>2396</v>
      </c>
    </row>
    <row r="366" spans="1:1" x14ac:dyDescent="0.25">
      <c r="A366" t="s">
        <v>2397</v>
      </c>
    </row>
    <row r="367" spans="1:1" x14ac:dyDescent="0.25">
      <c r="A367" t="s">
        <v>2398</v>
      </c>
    </row>
    <row r="368" spans="1:1" x14ac:dyDescent="0.25">
      <c r="A368" t="s">
        <v>2399</v>
      </c>
    </row>
    <row r="369" spans="1:1" x14ac:dyDescent="0.25">
      <c r="A369" t="s">
        <v>2400</v>
      </c>
    </row>
    <row r="370" spans="1:1" x14ac:dyDescent="0.25">
      <c r="A370" t="s">
        <v>2401</v>
      </c>
    </row>
    <row r="371" spans="1:1" x14ac:dyDescent="0.25">
      <c r="A371" t="s">
        <v>2402</v>
      </c>
    </row>
    <row r="372" spans="1:1" x14ac:dyDescent="0.25">
      <c r="A372" t="s">
        <v>2403</v>
      </c>
    </row>
    <row r="373" spans="1:1" x14ac:dyDescent="0.25">
      <c r="A373" t="s">
        <v>2404</v>
      </c>
    </row>
    <row r="374" spans="1:1" x14ac:dyDescent="0.25">
      <c r="A374" t="s">
        <v>2405</v>
      </c>
    </row>
    <row r="375" spans="1:1" x14ac:dyDescent="0.25">
      <c r="A375" t="s">
        <v>2406</v>
      </c>
    </row>
    <row r="376" spans="1:1" x14ac:dyDescent="0.25">
      <c r="A376" t="s">
        <v>2407</v>
      </c>
    </row>
    <row r="377" spans="1:1" x14ac:dyDescent="0.25">
      <c r="A377" t="s">
        <v>2408</v>
      </c>
    </row>
    <row r="378" spans="1:1" x14ac:dyDescent="0.25">
      <c r="A378" t="s">
        <v>2409</v>
      </c>
    </row>
    <row r="379" spans="1:1" x14ac:dyDescent="0.25">
      <c r="A379" t="s">
        <v>2410</v>
      </c>
    </row>
    <row r="380" spans="1:1" x14ac:dyDescent="0.25">
      <c r="A380" t="s">
        <v>2411</v>
      </c>
    </row>
    <row r="381" spans="1:1" x14ac:dyDescent="0.25">
      <c r="A381" t="s">
        <v>2412</v>
      </c>
    </row>
    <row r="382" spans="1:1" x14ac:dyDescent="0.25">
      <c r="A382" t="s">
        <v>2413</v>
      </c>
    </row>
    <row r="383" spans="1:1" x14ac:dyDescent="0.25">
      <c r="A383" t="s">
        <v>2414</v>
      </c>
    </row>
    <row r="384" spans="1:1" x14ac:dyDescent="0.25">
      <c r="A384" t="s">
        <v>2415</v>
      </c>
    </row>
    <row r="385" spans="1:1" x14ac:dyDescent="0.25">
      <c r="A385" t="s">
        <v>2416</v>
      </c>
    </row>
    <row r="386" spans="1:1" x14ac:dyDescent="0.25">
      <c r="A386" t="s">
        <v>2417</v>
      </c>
    </row>
    <row r="387" spans="1:1" x14ac:dyDescent="0.25">
      <c r="A387" t="s">
        <v>2418</v>
      </c>
    </row>
    <row r="388" spans="1:1" x14ac:dyDescent="0.25">
      <c r="A388" t="s">
        <v>2419</v>
      </c>
    </row>
    <row r="389" spans="1:1" x14ac:dyDescent="0.25">
      <c r="A389" t="s">
        <v>2420</v>
      </c>
    </row>
    <row r="390" spans="1:1" x14ac:dyDescent="0.25">
      <c r="A390" t="s">
        <v>2421</v>
      </c>
    </row>
    <row r="391" spans="1:1" x14ac:dyDescent="0.25">
      <c r="A391" t="s">
        <v>2422</v>
      </c>
    </row>
    <row r="392" spans="1:1" x14ac:dyDescent="0.25">
      <c r="A392" t="s">
        <v>2423</v>
      </c>
    </row>
    <row r="393" spans="1:1" x14ac:dyDescent="0.25">
      <c r="A393" t="s">
        <v>2424</v>
      </c>
    </row>
    <row r="394" spans="1:1" x14ac:dyDescent="0.25">
      <c r="A394" t="s">
        <v>2425</v>
      </c>
    </row>
    <row r="395" spans="1:1" x14ac:dyDescent="0.25">
      <c r="A395" t="s">
        <v>2426</v>
      </c>
    </row>
    <row r="396" spans="1:1" x14ac:dyDescent="0.25">
      <c r="A396" t="s">
        <v>2427</v>
      </c>
    </row>
    <row r="397" spans="1:1" x14ac:dyDescent="0.25">
      <c r="A397" t="s">
        <v>2428</v>
      </c>
    </row>
    <row r="398" spans="1:1" x14ac:dyDescent="0.25">
      <c r="A398" t="s">
        <v>2429</v>
      </c>
    </row>
    <row r="399" spans="1:1" x14ac:dyDescent="0.25">
      <c r="A399" t="s">
        <v>2430</v>
      </c>
    </row>
    <row r="400" spans="1:1" x14ac:dyDescent="0.25">
      <c r="A400" t="s">
        <v>2431</v>
      </c>
    </row>
    <row r="401" spans="1:1" x14ac:dyDescent="0.25">
      <c r="A401" t="s">
        <v>2432</v>
      </c>
    </row>
    <row r="402" spans="1:1" x14ac:dyDescent="0.25">
      <c r="A402" t="s">
        <v>2433</v>
      </c>
    </row>
    <row r="403" spans="1:1" x14ac:dyDescent="0.25">
      <c r="A403" t="s">
        <v>2434</v>
      </c>
    </row>
    <row r="404" spans="1:1" x14ac:dyDescent="0.25">
      <c r="A404" t="s">
        <v>2435</v>
      </c>
    </row>
    <row r="405" spans="1:1" x14ac:dyDescent="0.25">
      <c r="A405" t="s">
        <v>2436</v>
      </c>
    </row>
    <row r="406" spans="1:1" x14ac:dyDescent="0.25">
      <c r="A406" t="s">
        <v>2437</v>
      </c>
    </row>
    <row r="407" spans="1:1" x14ac:dyDescent="0.25">
      <c r="A407" t="s">
        <v>2438</v>
      </c>
    </row>
    <row r="408" spans="1:1" x14ac:dyDescent="0.25">
      <c r="A408" t="s">
        <v>2439</v>
      </c>
    </row>
    <row r="409" spans="1:1" x14ac:dyDescent="0.25">
      <c r="A409" t="s">
        <v>2440</v>
      </c>
    </row>
    <row r="410" spans="1:1" x14ac:dyDescent="0.25">
      <c r="A410" t="s">
        <v>2441</v>
      </c>
    </row>
    <row r="411" spans="1:1" x14ac:dyDescent="0.25">
      <c r="A411" t="s">
        <v>2442</v>
      </c>
    </row>
    <row r="412" spans="1:1" x14ac:dyDescent="0.25">
      <c r="A412" t="s">
        <v>2443</v>
      </c>
    </row>
    <row r="413" spans="1:1" x14ac:dyDescent="0.25">
      <c r="A413" t="s">
        <v>2444</v>
      </c>
    </row>
    <row r="414" spans="1:1" x14ac:dyDescent="0.25">
      <c r="A414" t="s">
        <v>2445</v>
      </c>
    </row>
    <row r="415" spans="1:1" x14ac:dyDescent="0.25">
      <c r="A415" t="s">
        <v>2446</v>
      </c>
    </row>
    <row r="416" spans="1:1" x14ac:dyDescent="0.25">
      <c r="A416" t="s">
        <v>2447</v>
      </c>
    </row>
    <row r="417" spans="1:1" x14ac:dyDescent="0.25">
      <c r="A417" t="s">
        <v>2448</v>
      </c>
    </row>
    <row r="418" spans="1:1" x14ac:dyDescent="0.25">
      <c r="A418" t="s">
        <v>2449</v>
      </c>
    </row>
    <row r="419" spans="1:1" x14ac:dyDescent="0.25">
      <c r="A419" t="s">
        <v>2450</v>
      </c>
    </row>
    <row r="420" spans="1:1" x14ac:dyDescent="0.25">
      <c r="A420" t="s">
        <v>2451</v>
      </c>
    </row>
    <row r="421" spans="1:1" x14ac:dyDescent="0.25">
      <c r="A421" t="s">
        <v>2452</v>
      </c>
    </row>
    <row r="422" spans="1:1" x14ac:dyDescent="0.25">
      <c r="A422" t="s">
        <v>2453</v>
      </c>
    </row>
    <row r="423" spans="1:1" x14ac:dyDescent="0.25">
      <c r="A423" t="s">
        <v>2454</v>
      </c>
    </row>
    <row r="424" spans="1:1" x14ac:dyDescent="0.25">
      <c r="A424" t="s">
        <v>2455</v>
      </c>
    </row>
    <row r="425" spans="1:1" x14ac:dyDescent="0.25">
      <c r="A425" t="s">
        <v>2456</v>
      </c>
    </row>
    <row r="426" spans="1:1" x14ac:dyDescent="0.25">
      <c r="A426" t="s">
        <v>2457</v>
      </c>
    </row>
    <row r="427" spans="1:1" x14ac:dyDescent="0.25">
      <c r="A427" t="s">
        <v>2458</v>
      </c>
    </row>
    <row r="428" spans="1:1" x14ac:dyDescent="0.25">
      <c r="A428" t="s">
        <v>2459</v>
      </c>
    </row>
    <row r="429" spans="1:1" x14ac:dyDescent="0.25">
      <c r="A429" t="s">
        <v>2460</v>
      </c>
    </row>
    <row r="430" spans="1:1" x14ac:dyDescent="0.25">
      <c r="A430" t="s">
        <v>2461</v>
      </c>
    </row>
    <row r="431" spans="1:1" x14ac:dyDescent="0.25">
      <c r="A431" t="s">
        <v>2462</v>
      </c>
    </row>
    <row r="432" spans="1:1" x14ac:dyDescent="0.25">
      <c r="A432" t="s">
        <v>2463</v>
      </c>
    </row>
    <row r="433" spans="1:1" x14ac:dyDescent="0.25">
      <c r="A433" t="s">
        <v>2464</v>
      </c>
    </row>
    <row r="434" spans="1:1" x14ac:dyDescent="0.25">
      <c r="A434" t="s">
        <v>2465</v>
      </c>
    </row>
    <row r="435" spans="1:1" x14ac:dyDescent="0.25">
      <c r="A435" t="s">
        <v>2466</v>
      </c>
    </row>
    <row r="436" spans="1:1" x14ac:dyDescent="0.25">
      <c r="A436" t="s">
        <v>2467</v>
      </c>
    </row>
    <row r="437" spans="1:1" x14ac:dyDescent="0.25">
      <c r="A437" t="s">
        <v>2468</v>
      </c>
    </row>
    <row r="438" spans="1:1" x14ac:dyDescent="0.25">
      <c r="A438" t="s">
        <v>2469</v>
      </c>
    </row>
    <row r="439" spans="1:1" x14ac:dyDescent="0.25">
      <c r="A439" t="s">
        <v>2470</v>
      </c>
    </row>
    <row r="440" spans="1:1" x14ac:dyDescent="0.25">
      <c r="A440" t="s">
        <v>2471</v>
      </c>
    </row>
    <row r="441" spans="1:1" x14ac:dyDescent="0.25">
      <c r="A441" t="s">
        <v>2472</v>
      </c>
    </row>
    <row r="442" spans="1:1" x14ac:dyDescent="0.25">
      <c r="A442" t="s">
        <v>2473</v>
      </c>
    </row>
    <row r="443" spans="1:1" x14ac:dyDescent="0.25">
      <c r="A443" t="s">
        <v>2474</v>
      </c>
    </row>
    <row r="444" spans="1:1" x14ac:dyDescent="0.25">
      <c r="A444" t="s">
        <v>2475</v>
      </c>
    </row>
    <row r="445" spans="1:1" x14ac:dyDescent="0.25">
      <c r="A445" t="s">
        <v>2476</v>
      </c>
    </row>
    <row r="446" spans="1:1" x14ac:dyDescent="0.25">
      <c r="A446" t="s">
        <v>2477</v>
      </c>
    </row>
    <row r="447" spans="1:1" x14ac:dyDescent="0.25">
      <c r="A447" t="s">
        <v>2478</v>
      </c>
    </row>
    <row r="448" spans="1:1" x14ac:dyDescent="0.25">
      <c r="A448" t="s">
        <v>2479</v>
      </c>
    </row>
    <row r="449" spans="1:1" x14ac:dyDescent="0.25">
      <c r="A449" t="s">
        <v>2480</v>
      </c>
    </row>
    <row r="450" spans="1:1" x14ac:dyDescent="0.25">
      <c r="A450" t="s">
        <v>2481</v>
      </c>
    </row>
    <row r="451" spans="1:1" x14ac:dyDescent="0.25">
      <c r="A451" t="s">
        <v>2482</v>
      </c>
    </row>
    <row r="452" spans="1:1" x14ac:dyDescent="0.25">
      <c r="A452" t="s">
        <v>2483</v>
      </c>
    </row>
    <row r="453" spans="1:1" x14ac:dyDescent="0.25">
      <c r="A453" t="s">
        <v>2484</v>
      </c>
    </row>
    <row r="454" spans="1:1" x14ac:dyDescent="0.25">
      <c r="A454" t="s">
        <v>2485</v>
      </c>
    </row>
    <row r="455" spans="1:1" x14ac:dyDescent="0.25">
      <c r="A455" t="s">
        <v>2486</v>
      </c>
    </row>
    <row r="456" spans="1:1" x14ac:dyDescent="0.25">
      <c r="A456" t="s">
        <v>2487</v>
      </c>
    </row>
    <row r="457" spans="1:1" x14ac:dyDescent="0.25">
      <c r="A457" t="s">
        <v>2488</v>
      </c>
    </row>
    <row r="458" spans="1:1" x14ac:dyDescent="0.25">
      <c r="A458" t="s">
        <v>2489</v>
      </c>
    </row>
    <row r="459" spans="1:1" x14ac:dyDescent="0.25">
      <c r="A459" t="s">
        <v>2490</v>
      </c>
    </row>
    <row r="460" spans="1:1" x14ac:dyDescent="0.25">
      <c r="A460" t="s">
        <v>2491</v>
      </c>
    </row>
    <row r="461" spans="1:1" x14ac:dyDescent="0.25">
      <c r="A461" t="s">
        <v>2492</v>
      </c>
    </row>
    <row r="462" spans="1:1" x14ac:dyDescent="0.25">
      <c r="A462" t="s">
        <v>2493</v>
      </c>
    </row>
    <row r="463" spans="1:1" x14ac:dyDescent="0.25">
      <c r="A463" t="s">
        <v>2494</v>
      </c>
    </row>
    <row r="464" spans="1:1" x14ac:dyDescent="0.25">
      <c r="A464" t="s">
        <v>2495</v>
      </c>
    </row>
    <row r="465" spans="1:1" x14ac:dyDescent="0.25">
      <c r="A465" t="s">
        <v>2496</v>
      </c>
    </row>
    <row r="466" spans="1:1" x14ac:dyDescent="0.25">
      <c r="A466" t="s">
        <v>2497</v>
      </c>
    </row>
    <row r="467" spans="1:1" x14ac:dyDescent="0.25">
      <c r="A467" t="s">
        <v>2498</v>
      </c>
    </row>
    <row r="468" spans="1:1" x14ac:dyDescent="0.25">
      <c r="A468" t="s">
        <v>2499</v>
      </c>
    </row>
    <row r="469" spans="1:1" x14ac:dyDescent="0.25">
      <c r="A469" t="s">
        <v>2500</v>
      </c>
    </row>
    <row r="470" spans="1:1" x14ac:dyDescent="0.25">
      <c r="A470" t="s">
        <v>2501</v>
      </c>
    </row>
    <row r="471" spans="1:1" x14ac:dyDescent="0.25">
      <c r="A471" t="s">
        <v>2502</v>
      </c>
    </row>
    <row r="472" spans="1:1" x14ac:dyDescent="0.25">
      <c r="A472" t="s">
        <v>2503</v>
      </c>
    </row>
    <row r="473" spans="1:1" x14ac:dyDescent="0.25">
      <c r="A473" t="s">
        <v>2504</v>
      </c>
    </row>
    <row r="474" spans="1:1" x14ac:dyDescent="0.25">
      <c r="A474" t="s">
        <v>2505</v>
      </c>
    </row>
    <row r="475" spans="1:1" x14ac:dyDescent="0.25">
      <c r="A475" t="s">
        <v>2506</v>
      </c>
    </row>
    <row r="476" spans="1:1" x14ac:dyDescent="0.25">
      <c r="A476" t="s">
        <v>2507</v>
      </c>
    </row>
    <row r="477" spans="1:1" x14ac:dyDescent="0.25">
      <c r="A477" t="s">
        <v>2508</v>
      </c>
    </row>
    <row r="478" spans="1:1" x14ac:dyDescent="0.25">
      <c r="A478" t="s">
        <v>2509</v>
      </c>
    </row>
    <row r="479" spans="1:1" x14ac:dyDescent="0.25">
      <c r="A479" t="s">
        <v>2510</v>
      </c>
    </row>
    <row r="480" spans="1:1" x14ac:dyDescent="0.25">
      <c r="A480" t="s">
        <v>2511</v>
      </c>
    </row>
    <row r="481" spans="1:1" x14ac:dyDescent="0.25">
      <c r="A481" t="s">
        <v>2512</v>
      </c>
    </row>
    <row r="482" spans="1:1" x14ac:dyDescent="0.25">
      <c r="A482" t="s">
        <v>2513</v>
      </c>
    </row>
    <row r="483" spans="1:1" x14ac:dyDescent="0.25">
      <c r="A483" t="s">
        <v>2514</v>
      </c>
    </row>
    <row r="484" spans="1:1" x14ac:dyDescent="0.25">
      <c r="A484" t="s">
        <v>2515</v>
      </c>
    </row>
    <row r="485" spans="1:1" x14ac:dyDescent="0.25">
      <c r="A485" t="s">
        <v>2516</v>
      </c>
    </row>
    <row r="486" spans="1:1" x14ac:dyDescent="0.25">
      <c r="A486" t="s">
        <v>2517</v>
      </c>
    </row>
    <row r="487" spans="1:1" x14ac:dyDescent="0.25">
      <c r="A487" t="s">
        <v>2518</v>
      </c>
    </row>
    <row r="488" spans="1:1" x14ac:dyDescent="0.25">
      <c r="A488" t="s">
        <v>2519</v>
      </c>
    </row>
    <row r="489" spans="1:1" x14ac:dyDescent="0.25">
      <c r="A489" t="s">
        <v>2520</v>
      </c>
    </row>
    <row r="490" spans="1:1" x14ac:dyDescent="0.25">
      <c r="A490" t="s">
        <v>2521</v>
      </c>
    </row>
    <row r="491" spans="1:1" x14ac:dyDescent="0.25">
      <c r="A491" t="s">
        <v>2522</v>
      </c>
    </row>
    <row r="492" spans="1:1" x14ac:dyDescent="0.25">
      <c r="A492" t="s">
        <v>2523</v>
      </c>
    </row>
    <row r="493" spans="1:1" x14ac:dyDescent="0.25">
      <c r="A493" t="s">
        <v>2524</v>
      </c>
    </row>
    <row r="494" spans="1:1" x14ac:dyDescent="0.25">
      <c r="A494" t="s">
        <v>2525</v>
      </c>
    </row>
    <row r="495" spans="1:1" x14ac:dyDescent="0.25">
      <c r="A495" t="s">
        <v>2526</v>
      </c>
    </row>
    <row r="496" spans="1:1" x14ac:dyDescent="0.25">
      <c r="A496" t="s">
        <v>2527</v>
      </c>
    </row>
    <row r="497" spans="1:1" x14ac:dyDescent="0.25">
      <c r="A497" t="s">
        <v>2528</v>
      </c>
    </row>
    <row r="498" spans="1:1" x14ac:dyDescent="0.25">
      <c r="A498" t="s">
        <v>2529</v>
      </c>
    </row>
    <row r="499" spans="1:1" x14ac:dyDescent="0.25">
      <c r="A499" t="s">
        <v>2530</v>
      </c>
    </row>
    <row r="500" spans="1:1" x14ac:dyDescent="0.25">
      <c r="A500" t="s">
        <v>2531</v>
      </c>
    </row>
    <row r="501" spans="1:1" x14ac:dyDescent="0.25">
      <c r="A501" t="s">
        <v>2532</v>
      </c>
    </row>
    <row r="502" spans="1:1" x14ac:dyDescent="0.25">
      <c r="A502" t="s">
        <v>2533</v>
      </c>
    </row>
    <row r="503" spans="1:1" x14ac:dyDescent="0.25">
      <c r="A503" t="s">
        <v>2534</v>
      </c>
    </row>
    <row r="504" spans="1:1" x14ac:dyDescent="0.25">
      <c r="A504" t="s">
        <v>2535</v>
      </c>
    </row>
    <row r="505" spans="1:1" x14ac:dyDescent="0.25">
      <c r="A505" t="s">
        <v>2536</v>
      </c>
    </row>
    <row r="506" spans="1:1" x14ac:dyDescent="0.25">
      <c r="A506" t="s">
        <v>2537</v>
      </c>
    </row>
    <row r="507" spans="1:1" x14ac:dyDescent="0.25">
      <c r="A507" t="s">
        <v>2538</v>
      </c>
    </row>
    <row r="508" spans="1:1" x14ac:dyDescent="0.25">
      <c r="A508" t="s">
        <v>2539</v>
      </c>
    </row>
    <row r="509" spans="1:1" x14ac:dyDescent="0.25">
      <c r="A509" t="s">
        <v>2540</v>
      </c>
    </row>
    <row r="510" spans="1:1" x14ac:dyDescent="0.25">
      <c r="A510" t="s">
        <v>2541</v>
      </c>
    </row>
    <row r="511" spans="1:1" x14ac:dyDescent="0.25">
      <c r="A511" t="s">
        <v>2542</v>
      </c>
    </row>
    <row r="512" spans="1:1" x14ac:dyDescent="0.25">
      <c r="A512" t="s">
        <v>2543</v>
      </c>
    </row>
    <row r="513" spans="1:1" x14ac:dyDescent="0.25">
      <c r="A513" t="s">
        <v>2544</v>
      </c>
    </row>
    <row r="514" spans="1:1" x14ac:dyDescent="0.25">
      <c r="A514" t="s">
        <v>2545</v>
      </c>
    </row>
    <row r="515" spans="1:1" x14ac:dyDescent="0.25">
      <c r="A515" t="s">
        <v>2546</v>
      </c>
    </row>
    <row r="516" spans="1:1" x14ac:dyDescent="0.25">
      <c r="A516" t="s">
        <v>2547</v>
      </c>
    </row>
    <row r="517" spans="1:1" x14ac:dyDescent="0.25">
      <c r="A517" t="s">
        <v>2548</v>
      </c>
    </row>
    <row r="518" spans="1:1" x14ac:dyDescent="0.25">
      <c r="A518" t="s">
        <v>2549</v>
      </c>
    </row>
    <row r="519" spans="1:1" x14ac:dyDescent="0.25">
      <c r="A519" t="s">
        <v>2550</v>
      </c>
    </row>
    <row r="520" spans="1:1" x14ac:dyDescent="0.25">
      <c r="A520" t="s">
        <v>2551</v>
      </c>
    </row>
    <row r="521" spans="1:1" x14ac:dyDescent="0.25">
      <c r="A521" t="s">
        <v>2552</v>
      </c>
    </row>
    <row r="522" spans="1:1" x14ac:dyDescent="0.25">
      <c r="A522" t="s">
        <v>2553</v>
      </c>
    </row>
    <row r="523" spans="1:1" x14ac:dyDescent="0.25">
      <c r="A523" t="s">
        <v>2554</v>
      </c>
    </row>
    <row r="524" spans="1:1" x14ac:dyDescent="0.25">
      <c r="A524" t="s">
        <v>2555</v>
      </c>
    </row>
    <row r="525" spans="1:1" x14ac:dyDescent="0.25">
      <c r="A525" t="s">
        <v>2556</v>
      </c>
    </row>
    <row r="526" spans="1:1" x14ac:dyDescent="0.25">
      <c r="A526" t="s">
        <v>2557</v>
      </c>
    </row>
    <row r="527" spans="1:1" x14ac:dyDescent="0.25">
      <c r="A527" t="s">
        <v>2558</v>
      </c>
    </row>
    <row r="528" spans="1:1" x14ac:dyDescent="0.25">
      <c r="A528" t="s">
        <v>2559</v>
      </c>
    </row>
    <row r="529" spans="1:1" x14ac:dyDescent="0.25">
      <c r="A529" t="s">
        <v>2560</v>
      </c>
    </row>
    <row r="530" spans="1:1" x14ac:dyDescent="0.25">
      <c r="A530" t="s">
        <v>2561</v>
      </c>
    </row>
    <row r="531" spans="1:1" x14ac:dyDescent="0.25">
      <c r="A531" t="s">
        <v>2562</v>
      </c>
    </row>
    <row r="532" spans="1:1" x14ac:dyDescent="0.25">
      <c r="A532" t="s">
        <v>2563</v>
      </c>
    </row>
    <row r="533" spans="1:1" x14ac:dyDescent="0.25">
      <c r="A533" t="s">
        <v>2564</v>
      </c>
    </row>
    <row r="534" spans="1:1" x14ac:dyDescent="0.25">
      <c r="A534" t="s">
        <v>2565</v>
      </c>
    </row>
    <row r="535" spans="1:1" x14ac:dyDescent="0.25">
      <c r="A535" t="s">
        <v>2566</v>
      </c>
    </row>
    <row r="536" spans="1:1" x14ac:dyDescent="0.25">
      <c r="A536" t="s">
        <v>2567</v>
      </c>
    </row>
    <row r="537" spans="1:1" x14ac:dyDescent="0.25">
      <c r="A537" t="s">
        <v>2568</v>
      </c>
    </row>
    <row r="538" spans="1:1" x14ac:dyDescent="0.25">
      <c r="A538" t="s">
        <v>2569</v>
      </c>
    </row>
    <row r="539" spans="1:1" x14ac:dyDescent="0.25">
      <c r="A539" t="s">
        <v>2570</v>
      </c>
    </row>
    <row r="540" spans="1:1" x14ac:dyDescent="0.25">
      <c r="A540" t="s">
        <v>2571</v>
      </c>
    </row>
    <row r="541" spans="1:1" x14ac:dyDescent="0.25">
      <c r="A541" t="s">
        <v>2572</v>
      </c>
    </row>
    <row r="542" spans="1:1" x14ac:dyDescent="0.25">
      <c r="A542" t="s">
        <v>2573</v>
      </c>
    </row>
    <row r="543" spans="1:1" x14ac:dyDescent="0.25">
      <c r="A543" t="s">
        <v>2574</v>
      </c>
    </row>
    <row r="544" spans="1:1" x14ac:dyDescent="0.25">
      <c r="A544" t="s">
        <v>2575</v>
      </c>
    </row>
    <row r="545" spans="1:1" x14ac:dyDescent="0.25">
      <c r="A545" t="s">
        <v>2576</v>
      </c>
    </row>
    <row r="546" spans="1:1" x14ac:dyDescent="0.25">
      <c r="A546" t="s">
        <v>2577</v>
      </c>
    </row>
    <row r="547" spans="1:1" x14ac:dyDescent="0.25">
      <c r="A547" t="s">
        <v>2578</v>
      </c>
    </row>
    <row r="548" spans="1:1" x14ac:dyDescent="0.25">
      <c r="A548" t="s">
        <v>2579</v>
      </c>
    </row>
    <row r="549" spans="1:1" x14ac:dyDescent="0.25">
      <c r="A549" t="s">
        <v>2580</v>
      </c>
    </row>
    <row r="550" spans="1:1" x14ac:dyDescent="0.25">
      <c r="A550" t="s">
        <v>2581</v>
      </c>
    </row>
    <row r="551" spans="1:1" x14ac:dyDescent="0.25">
      <c r="A551" t="s">
        <v>2582</v>
      </c>
    </row>
    <row r="552" spans="1:1" x14ac:dyDescent="0.25">
      <c r="A552" t="s">
        <v>2583</v>
      </c>
    </row>
    <row r="553" spans="1:1" x14ac:dyDescent="0.25">
      <c r="A553" t="s">
        <v>2584</v>
      </c>
    </row>
    <row r="554" spans="1:1" x14ac:dyDescent="0.25">
      <c r="A554" t="s">
        <v>2585</v>
      </c>
    </row>
    <row r="555" spans="1:1" x14ac:dyDescent="0.25">
      <c r="A555" t="s">
        <v>2586</v>
      </c>
    </row>
    <row r="556" spans="1:1" x14ac:dyDescent="0.25">
      <c r="A556" t="s">
        <v>2587</v>
      </c>
    </row>
    <row r="557" spans="1:1" x14ac:dyDescent="0.25">
      <c r="A557" t="s">
        <v>2588</v>
      </c>
    </row>
    <row r="558" spans="1:1" x14ac:dyDescent="0.25">
      <c r="A558" t="s">
        <v>2589</v>
      </c>
    </row>
    <row r="559" spans="1:1" x14ac:dyDescent="0.25">
      <c r="A559" t="s">
        <v>2590</v>
      </c>
    </row>
    <row r="560" spans="1:1" x14ac:dyDescent="0.25">
      <c r="A560" t="s">
        <v>2591</v>
      </c>
    </row>
    <row r="561" spans="1:1" x14ac:dyDescent="0.25">
      <c r="A561" t="s">
        <v>2592</v>
      </c>
    </row>
    <row r="562" spans="1:1" x14ac:dyDescent="0.25">
      <c r="A562" t="s">
        <v>2593</v>
      </c>
    </row>
    <row r="563" spans="1:1" x14ac:dyDescent="0.25">
      <c r="A563" t="s">
        <v>2594</v>
      </c>
    </row>
    <row r="564" spans="1:1" x14ac:dyDescent="0.25">
      <c r="A564" t="s">
        <v>2595</v>
      </c>
    </row>
    <row r="565" spans="1:1" x14ac:dyDescent="0.25">
      <c r="A565" t="s">
        <v>2596</v>
      </c>
    </row>
    <row r="566" spans="1:1" x14ac:dyDescent="0.25">
      <c r="A566" t="s">
        <v>2597</v>
      </c>
    </row>
    <row r="567" spans="1:1" x14ac:dyDescent="0.25">
      <c r="A567" t="s">
        <v>2598</v>
      </c>
    </row>
    <row r="568" spans="1:1" x14ac:dyDescent="0.25">
      <c r="A568" t="s">
        <v>2599</v>
      </c>
    </row>
    <row r="569" spans="1:1" x14ac:dyDescent="0.25">
      <c r="A569" t="s">
        <v>2600</v>
      </c>
    </row>
    <row r="570" spans="1:1" x14ac:dyDescent="0.25">
      <c r="A570" t="s">
        <v>2601</v>
      </c>
    </row>
    <row r="571" spans="1:1" x14ac:dyDescent="0.25">
      <c r="A571" t="s">
        <v>2602</v>
      </c>
    </row>
    <row r="572" spans="1:1" x14ac:dyDescent="0.25">
      <c r="A572" t="s">
        <v>2603</v>
      </c>
    </row>
    <row r="573" spans="1:1" x14ac:dyDescent="0.25">
      <c r="A573" t="s">
        <v>2604</v>
      </c>
    </row>
    <row r="574" spans="1:1" x14ac:dyDescent="0.25">
      <c r="A574" t="s">
        <v>2605</v>
      </c>
    </row>
    <row r="575" spans="1:1" x14ac:dyDescent="0.25">
      <c r="A575" t="s">
        <v>2606</v>
      </c>
    </row>
    <row r="576" spans="1:1" x14ac:dyDescent="0.25">
      <c r="A576" t="s">
        <v>2607</v>
      </c>
    </row>
    <row r="577" spans="1:1" x14ac:dyDescent="0.25">
      <c r="A577" t="s">
        <v>2608</v>
      </c>
    </row>
    <row r="578" spans="1:1" x14ac:dyDescent="0.25">
      <c r="A578" t="s">
        <v>2609</v>
      </c>
    </row>
    <row r="579" spans="1:1" x14ac:dyDescent="0.25">
      <c r="A579" t="s">
        <v>2610</v>
      </c>
    </row>
    <row r="580" spans="1:1" x14ac:dyDescent="0.25">
      <c r="A580" t="s">
        <v>2611</v>
      </c>
    </row>
    <row r="581" spans="1:1" x14ac:dyDescent="0.25">
      <c r="A581" t="s">
        <v>2612</v>
      </c>
    </row>
    <row r="582" spans="1:1" x14ac:dyDescent="0.25">
      <c r="A582" t="s">
        <v>2613</v>
      </c>
    </row>
    <row r="583" spans="1:1" x14ac:dyDescent="0.25">
      <c r="A583" t="s">
        <v>2614</v>
      </c>
    </row>
    <row r="584" spans="1:1" x14ac:dyDescent="0.25">
      <c r="A584" t="s">
        <v>2615</v>
      </c>
    </row>
    <row r="585" spans="1:1" x14ac:dyDescent="0.25">
      <c r="A585" t="s">
        <v>2616</v>
      </c>
    </row>
    <row r="586" spans="1:1" x14ac:dyDescent="0.25">
      <c r="A586" t="s">
        <v>2617</v>
      </c>
    </row>
    <row r="587" spans="1:1" x14ac:dyDescent="0.25">
      <c r="A587" t="s">
        <v>2618</v>
      </c>
    </row>
    <row r="588" spans="1:1" x14ac:dyDescent="0.25">
      <c r="A588" t="s">
        <v>2619</v>
      </c>
    </row>
    <row r="589" spans="1:1" x14ac:dyDescent="0.25">
      <c r="A589" t="s">
        <v>2620</v>
      </c>
    </row>
    <row r="590" spans="1:1" x14ac:dyDescent="0.25">
      <c r="A590" t="s">
        <v>2621</v>
      </c>
    </row>
    <row r="591" spans="1:1" x14ac:dyDescent="0.25">
      <c r="A591" t="s">
        <v>2622</v>
      </c>
    </row>
    <row r="592" spans="1:1" x14ac:dyDescent="0.25">
      <c r="A592" t="s">
        <v>2623</v>
      </c>
    </row>
    <row r="593" spans="1:1" x14ac:dyDescent="0.25">
      <c r="A593" t="s">
        <v>2624</v>
      </c>
    </row>
    <row r="594" spans="1:1" x14ac:dyDescent="0.25">
      <c r="A594" t="s">
        <v>2625</v>
      </c>
    </row>
    <row r="595" spans="1:1" x14ac:dyDescent="0.25">
      <c r="A595" t="s">
        <v>2626</v>
      </c>
    </row>
    <row r="596" spans="1:1" x14ac:dyDescent="0.25">
      <c r="A596" t="s">
        <v>2627</v>
      </c>
    </row>
    <row r="597" spans="1:1" x14ac:dyDescent="0.25">
      <c r="A597" t="s">
        <v>2628</v>
      </c>
    </row>
    <row r="598" spans="1:1" x14ac:dyDescent="0.25">
      <c r="A598" t="s">
        <v>2629</v>
      </c>
    </row>
    <row r="599" spans="1:1" x14ac:dyDescent="0.25">
      <c r="A599" t="s">
        <v>2630</v>
      </c>
    </row>
    <row r="600" spans="1:1" x14ac:dyDescent="0.25">
      <c r="A600" t="s">
        <v>2631</v>
      </c>
    </row>
    <row r="601" spans="1:1" x14ac:dyDescent="0.25">
      <c r="A601" t="s">
        <v>2632</v>
      </c>
    </row>
    <row r="602" spans="1:1" x14ac:dyDescent="0.25">
      <c r="A602" t="s">
        <v>2633</v>
      </c>
    </row>
    <row r="603" spans="1:1" x14ac:dyDescent="0.25">
      <c r="A603" t="s">
        <v>2634</v>
      </c>
    </row>
    <row r="604" spans="1:1" x14ac:dyDescent="0.25">
      <c r="A604" t="s">
        <v>2635</v>
      </c>
    </row>
    <row r="605" spans="1:1" x14ac:dyDescent="0.25">
      <c r="A605" t="s">
        <v>2636</v>
      </c>
    </row>
    <row r="606" spans="1:1" x14ac:dyDescent="0.25">
      <c r="A606" t="s">
        <v>2637</v>
      </c>
    </row>
    <row r="607" spans="1:1" x14ac:dyDescent="0.25">
      <c r="A607" t="s">
        <v>2638</v>
      </c>
    </row>
    <row r="608" spans="1:1" x14ac:dyDescent="0.25">
      <c r="A608" t="s">
        <v>2639</v>
      </c>
    </row>
    <row r="609" spans="1:1" x14ac:dyDescent="0.25">
      <c r="A609" t="s">
        <v>2640</v>
      </c>
    </row>
    <row r="610" spans="1:1" x14ac:dyDescent="0.25">
      <c r="A610" t="s">
        <v>2641</v>
      </c>
    </row>
    <row r="611" spans="1:1" x14ac:dyDescent="0.25">
      <c r="A611" t="s">
        <v>2642</v>
      </c>
    </row>
    <row r="612" spans="1:1" x14ac:dyDescent="0.25">
      <c r="A612" t="s">
        <v>2643</v>
      </c>
    </row>
    <row r="613" spans="1:1" x14ac:dyDescent="0.25">
      <c r="A613" t="s">
        <v>2644</v>
      </c>
    </row>
    <row r="614" spans="1:1" x14ac:dyDescent="0.25">
      <c r="A614" t="s">
        <v>2645</v>
      </c>
    </row>
    <row r="615" spans="1:1" x14ac:dyDescent="0.25">
      <c r="A615" t="s">
        <v>2646</v>
      </c>
    </row>
    <row r="616" spans="1:1" x14ac:dyDescent="0.25">
      <c r="A616" t="s">
        <v>2647</v>
      </c>
    </row>
    <row r="617" spans="1:1" x14ac:dyDescent="0.25">
      <c r="A617" t="s">
        <v>2648</v>
      </c>
    </row>
    <row r="618" spans="1:1" x14ac:dyDescent="0.25">
      <c r="A618" t="s">
        <v>2649</v>
      </c>
    </row>
    <row r="619" spans="1:1" x14ac:dyDescent="0.25">
      <c r="A619" t="s">
        <v>2650</v>
      </c>
    </row>
    <row r="620" spans="1:1" x14ac:dyDescent="0.25">
      <c r="A620" t="s">
        <v>2651</v>
      </c>
    </row>
    <row r="621" spans="1:1" x14ac:dyDescent="0.25">
      <c r="A621" t="s">
        <v>2652</v>
      </c>
    </row>
    <row r="622" spans="1:1" x14ac:dyDescent="0.25">
      <c r="A622" t="s">
        <v>2653</v>
      </c>
    </row>
    <row r="623" spans="1:1" x14ac:dyDescent="0.25">
      <c r="A623" t="s">
        <v>2654</v>
      </c>
    </row>
    <row r="624" spans="1:1" x14ac:dyDescent="0.25">
      <c r="A624" t="s">
        <v>2655</v>
      </c>
    </row>
  </sheetData>
  <pageMargins left="0.7" right="0.7" top="0.75" bottom="0.75" header="0.3" footer="0.3"/>
  <pageSetup paperSize="256" orientation="portrait" horizontalDpi="203" verticalDpi="203"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B1:C192"/>
  <sheetViews>
    <sheetView showGridLines="0" topLeftCell="B1" workbookViewId="0">
      <selection activeCell="C38" sqref="C38"/>
    </sheetView>
  </sheetViews>
  <sheetFormatPr defaultRowHeight="15" x14ac:dyDescent="0.25"/>
  <cols>
    <col min="2" max="2" width="95" bestFit="1" customWidth="1"/>
    <col min="3" max="3" width="96.28515625" customWidth="1"/>
  </cols>
  <sheetData>
    <row r="1" spans="2:3" ht="15.75" thickBot="1" x14ac:dyDescent="0.3"/>
    <row r="2" spans="2:3" ht="15.75" thickBot="1" x14ac:dyDescent="0.3">
      <c r="B2" s="372" t="s">
        <v>2656</v>
      </c>
      <c r="C2" s="373"/>
    </row>
    <row r="3" spans="2:3" ht="15.75" thickBot="1" x14ac:dyDescent="0.3">
      <c r="B3" s="61" t="s">
        <v>2657</v>
      </c>
      <c r="C3" s="65" t="str">
        <f>'2. Items to Test'!C2</f>
        <v>1240. 14 BMW X5 (F15) 3.0T (N55) Auto RWD (Brown) (00793)</v>
      </c>
    </row>
    <row r="4" spans="2:3" ht="15.75" thickBot="1" x14ac:dyDescent="0.3">
      <c r="B4" s="61" t="s">
        <v>2658</v>
      </c>
      <c r="C4" s="62" t="s">
        <v>2659</v>
      </c>
    </row>
    <row r="5" spans="2:3" ht="15.75" thickBot="1" x14ac:dyDescent="0.3">
      <c r="B5" s="61" t="s">
        <v>2660</v>
      </c>
      <c r="C5" s="62" t="s">
        <v>2661</v>
      </c>
    </row>
    <row r="6" spans="2:3" ht="15.75" thickBot="1" x14ac:dyDescent="0.3">
      <c r="B6" s="61" t="s">
        <v>2662</v>
      </c>
      <c r="C6" s="65" t="str">
        <f>'2. Items to Test'!C7</f>
        <v>5UXKR2C54E0C00793</v>
      </c>
    </row>
    <row r="7" spans="2:3" ht="15.75" thickBot="1" x14ac:dyDescent="0.3">
      <c r="B7" s="61" t="s">
        <v>2663</v>
      </c>
      <c r="C7" s="62" t="s">
        <v>2664</v>
      </c>
    </row>
    <row r="8" spans="2:3" ht="15.75" thickBot="1" x14ac:dyDescent="0.3">
      <c r="B8" s="61" t="s">
        <v>2665</v>
      </c>
      <c r="C8" s="62" t="s">
        <v>2666</v>
      </c>
    </row>
    <row r="9" spans="2:3" ht="15.75" thickBot="1" x14ac:dyDescent="0.3">
      <c r="B9" s="61" t="s">
        <v>2975</v>
      </c>
      <c r="C9" s="384">
        <v>2014</v>
      </c>
    </row>
    <row r="10" spans="2:3" ht="15.75" thickBot="1" x14ac:dyDescent="0.3">
      <c r="B10" s="61" t="s">
        <v>2981</v>
      </c>
      <c r="C10" s="384" t="s">
        <v>2982</v>
      </c>
    </row>
    <row r="11" spans="2:3" ht="15.75" thickBot="1" x14ac:dyDescent="0.3">
      <c r="B11" s="61" t="s">
        <v>1846</v>
      </c>
      <c r="C11" s="384" t="s">
        <v>2692</v>
      </c>
    </row>
    <row r="12" spans="2:3" ht="15.75" thickBot="1" x14ac:dyDescent="0.3">
      <c r="B12" s="58"/>
    </row>
    <row r="13" spans="2:3" ht="15.75" thickBot="1" x14ac:dyDescent="0.3">
      <c r="B13" s="63" t="s">
        <v>2667</v>
      </c>
      <c r="C13" s="64" t="s">
        <v>2668</v>
      </c>
    </row>
    <row r="14" spans="2:3" ht="15.75" thickBot="1" x14ac:dyDescent="0.3">
      <c r="B14" s="61" t="s">
        <v>2669</v>
      </c>
      <c r="C14" s="60" t="s">
        <v>2670</v>
      </c>
    </row>
    <row r="15" spans="2:3" ht="15.75" thickBot="1" x14ac:dyDescent="0.3">
      <c r="B15" s="366" t="s">
        <v>418</v>
      </c>
      <c r="C15" s="367" t="s">
        <v>2671</v>
      </c>
    </row>
    <row r="16" spans="2:3" ht="15.75" thickBot="1" x14ac:dyDescent="0.3">
      <c r="B16" s="366" t="s">
        <v>419</v>
      </c>
      <c r="C16" s="60" t="s">
        <v>2672</v>
      </c>
    </row>
    <row r="17" spans="2:3" ht="15.75" thickBot="1" x14ac:dyDescent="0.3">
      <c r="B17" s="366" t="s">
        <v>420</v>
      </c>
      <c r="C17" s="60" t="s">
        <v>2673</v>
      </c>
    </row>
    <row r="18" spans="2:3" ht="15.75" thickBot="1" x14ac:dyDescent="0.3">
      <c r="B18" s="366" t="s">
        <v>421</v>
      </c>
      <c r="C18" s="60" t="s">
        <v>2674</v>
      </c>
    </row>
    <row r="19" spans="2:3" ht="15.75" thickBot="1" x14ac:dyDescent="0.3">
      <c r="B19" s="61" t="s">
        <v>2675</v>
      </c>
      <c r="C19" s="59" t="s">
        <v>2676</v>
      </c>
    </row>
    <row r="20" spans="2:3" ht="15.75" thickBot="1" x14ac:dyDescent="0.3">
      <c r="B20" s="366" t="s">
        <v>422</v>
      </c>
      <c r="C20" s="60" t="s">
        <v>2677</v>
      </c>
    </row>
    <row r="21" spans="2:3" ht="15.75" thickBot="1" x14ac:dyDescent="0.3">
      <c r="B21" s="366" t="s">
        <v>423</v>
      </c>
      <c r="C21" s="60" t="s">
        <v>1062</v>
      </c>
    </row>
    <row r="22" spans="2:3" ht="15.75" thickBot="1" x14ac:dyDescent="0.3">
      <c r="B22" s="366" t="s">
        <v>424</v>
      </c>
      <c r="C22" s="60" t="s">
        <v>2676</v>
      </c>
    </row>
    <row r="23" spans="2:3" ht="15.75" thickBot="1" x14ac:dyDescent="0.3">
      <c r="B23" s="366" t="s">
        <v>425</v>
      </c>
      <c r="C23" s="60" t="s">
        <v>2678</v>
      </c>
    </row>
    <row r="24" spans="2:3" ht="15.75" thickBot="1" x14ac:dyDescent="0.3">
      <c r="B24" s="61" t="s">
        <v>2679</v>
      </c>
      <c r="C24" s="59" t="s">
        <v>1062</v>
      </c>
    </row>
    <row r="25" spans="2:3" ht="15.75" thickBot="1" x14ac:dyDescent="0.3">
      <c r="B25" s="61" t="s">
        <v>2680</v>
      </c>
      <c r="C25" s="59" t="s">
        <v>1062</v>
      </c>
    </row>
    <row r="26" spans="2:3" ht="15.75" thickBot="1" x14ac:dyDescent="0.3">
      <c r="B26" s="61" t="s">
        <v>2681</v>
      </c>
      <c r="C26" s="59" t="s">
        <v>1062</v>
      </c>
    </row>
    <row r="27" spans="2:3" ht="15.75" thickBot="1" x14ac:dyDescent="0.3">
      <c r="B27" s="61" t="s">
        <v>2976</v>
      </c>
      <c r="C27" s="59" t="s">
        <v>1062</v>
      </c>
    </row>
    <row r="28" spans="2:3" ht="15.75" thickBot="1" x14ac:dyDescent="0.3">
      <c r="B28" s="61" t="s">
        <v>2977</v>
      </c>
      <c r="C28" s="59" t="s">
        <v>2980</v>
      </c>
    </row>
    <row r="29" spans="2:3" ht="15.75" thickBot="1" x14ac:dyDescent="0.3">
      <c r="B29" s="61" t="s">
        <v>2978</v>
      </c>
      <c r="C29" s="59" t="s">
        <v>1062</v>
      </c>
    </row>
    <row r="30" spans="2:3" ht="15.75" thickBot="1" x14ac:dyDescent="0.3">
      <c r="B30" s="61" t="s">
        <v>2979</v>
      </c>
      <c r="C30" s="59" t="s">
        <v>1062</v>
      </c>
    </row>
    <row r="31" spans="2:3" ht="15.75" thickBot="1" x14ac:dyDescent="0.3">
      <c r="B31" s="61" t="s">
        <v>2682</v>
      </c>
      <c r="C31" s="59" t="s">
        <v>2683</v>
      </c>
    </row>
    <row r="32" spans="2:3" ht="15.75" thickBot="1" x14ac:dyDescent="0.3">
      <c r="B32" s="61" t="s">
        <v>2973</v>
      </c>
      <c r="C32" s="59" t="s">
        <v>2974</v>
      </c>
    </row>
    <row r="33" spans="2:3" ht="15.75" thickBot="1" x14ac:dyDescent="0.3">
      <c r="B33" s="58"/>
    </row>
    <row r="34" spans="2:3" ht="15.75" thickBot="1" x14ac:dyDescent="0.3">
      <c r="B34" s="63" t="s">
        <v>2684</v>
      </c>
      <c r="C34" s="64"/>
    </row>
    <row r="35" spans="2:3" ht="15.75" thickBot="1" x14ac:dyDescent="0.3">
      <c r="B35" s="61" t="s">
        <v>2685</v>
      </c>
      <c r="C35" s="59"/>
    </row>
    <row r="37" spans="2:3" x14ac:dyDescent="0.25">
      <c r="B37" s="57" t="s">
        <v>2686</v>
      </c>
    </row>
    <row r="38" spans="2:3" x14ac:dyDescent="0.25">
      <c r="B38" s="58"/>
    </row>
    <row r="39" spans="2:3" ht="15.75" x14ac:dyDescent="0.25">
      <c r="B39" s="311" t="s">
        <v>2687</v>
      </c>
    </row>
    <row r="40" spans="2:3" ht="15.75" thickBot="1" x14ac:dyDescent="0.3">
      <c r="B40" s="312"/>
    </row>
    <row r="41" spans="2:3" ht="15.75" thickBot="1" x14ac:dyDescent="0.3">
      <c r="B41" s="313" t="s">
        <v>2688</v>
      </c>
      <c r="C41" s="314" t="s">
        <v>66</v>
      </c>
    </row>
    <row r="42" spans="2:3" ht="15.75" thickBot="1" x14ac:dyDescent="0.3">
      <c r="B42" s="313" t="s">
        <v>2689</v>
      </c>
      <c r="C42" s="334">
        <v>41558</v>
      </c>
    </row>
    <row r="43" spans="2:3" ht="15.75" thickBot="1" x14ac:dyDescent="0.3">
      <c r="B43" s="313" t="s">
        <v>1846</v>
      </c>
      <c r="C43" s="314" t="s">
        <v>2690</v>
      </c>
    </row>
    <row r="44" spans="2:3" ht="15.75" thickBot="1" x14ac:dyDescent="0.3">
      <c r="B44" s="313" t="s">
        <v>2691</v>
      </c>
      <c r="C44" s="314" t="s">
        <v>2692</v>
      </c>
    </row>
    <row r="45" spans="2:3" ht="15.75" thickBot="1" x14ac:dyDescent="0.3">
      <c r="B45" s="313" t="s">
        <v>2693</v>
      </c>
      <c r="C45" s="314" t="s">
        <v>661</v>
      </c>
    </row>
    <row r="46" spans="2:3" ht="15.75" thickBot="1" x14ac:dyDescent="0.3">
      <c r="B46" s="313" t="s">
        <v>2694</v>
      </c>
      <c r="C46" s="314" t="s">
        <v>2695</v>
      </c>
    </row>
    <row r="47" spans="2:3" ht="15.75" thickBot="1" x14ac:dyDescent="0.3">
      <c r="B47" s="313" t="s">
        <v>2696</v>
      </c>
      <c r="C47" s="314" t="s">
        <v>2697</v>
      </c>
    </row>
    <row r="48" spans="2:3" ht="15.75" thickBot="1" x14ac:dyDescent="0.3">
      <c r="B48" s="313" t="s">
        <v>2698</v>
      </c>
      <c r="C48" s="314" t="s">
        <v>2699</v>
      </c>
    </row>
    <row r="49" spans="2:3" ht="15.75" thickBot="1" x14ac:dyDescent="0.3">
      <c r="B49" s="313" t="s">
        <v>2700</v>
      </c>
      <c r="C49" s="314">
        <v>225</v>
      </c>
    </row>
    <row r="50" spans="2:3" ht="15.75" thickBot="1" x14ac:dyDescent="0.3">
      <c r="B50" s="313" t="s">
        <v>2701</v>
      </c>
      <c r="C50" s="314" t="s">
        <v>411</v>
      </c>
    </row>
    <row r="51" spans="2:3" ht="15.75" thickBot="1" x14ac:dyDescent="0.3">
      <c r="B51" s="313" t="s">
        <v>2702</v>
      </c>
      <c r="C51" s="314">
        <v>3</v>
      </c>
    </row>
    <row r="52" spans="2:3" ht="15.75" thickBot="1" x14ac:dyDescent="0.3">
      <c r="B52" s="313" t="s">
        <v>2703</v>
      </c>
      <c r="C52" s="314" t="s">
        <v>2704</v>
      </c>
    </row>
    <row r="53" spans="2:3" ht="15.75" thickBot="1" x14ac:dyDescent="0.3">
      <c r="B53" s="313" t="s">
        <v>2705</v>
      </c>
      <c r="C53" s="314" t="s">
        <v>2706</v>
      </c>
    </row>
    <row r="54" spans="2:3" ht="15.75" thickBot="1" x14ac:dyDescent="0.3">
      <c r="B54" s="313" t="s">
        <v>2707</v>
      </c>
      <c r="C54" s="314" t="s">
        <v>2708</v>
      </c>
    </row>
    <row r="55" spans="2:3" ht="15.75" thickBot="1" x14ac:dyDescent="0.3">
      <c r="B55" s="313" t="s">
        <v>2709</v>
      </c>
      <c r="C55" s="314" t="s">
        <v>2710</v>
      </c>
    </row>
    <row r="56" spans="2:3" ht="15.75" thickBot="1" x14ac:dyDescent="0.3">
      <c r="B56" s="313" t="s">
        <v>239</v>
      </c>
      <c r="C56" s="314" t="s">
        <v>2711</v>
      </c>
    </row>
    <row r="57" spans="2:3" x14ac:dyDescent="0.25">
      <c r="B57" s="313" t="s">
        <v>2712</v>
      </c>
      <c r="C57" s="314" t="s">
        <v>411</v>
      </c>
    </row>
    <row r="58" spans="2:3" ht="15.75" x14ac:dyDescent="0.25">
      <c r="B58" s="315" t="s">
        <v>2713</v>
      </c>
    </row>
    <row r="59" spans="2:3" ht="15.75" thickBot="1" x14ac:dyDescent="0.3">
      <c r="B59" s="316"/>
    </row>
    <row r="60" spans="2:3" ht="15.75" thickBot="1" x14ac:dyDescent="0.3">
      <c r="B60" s="317" t="s">
        <v>2714</v>
      </c>
      <c r="C60" s="318" t="s">
        <v>413</v>
      </c>
    </row>
    <row r="61" spans="2:3" ht="16.5" thickTop="1" thickBot="1" x14ac:dyDescent="0.3">
      <c r="B61" s="313" t="s">
        <v>2715</v>
      </c>
      <c r="C61" s="314" t="s">
        <v>2716</v>
      </c>
    </row>
    <row r="62" spans="2:3" ht="15.75" thickBot="1" x14ac:dyDescent="0.3">
      <c r="B62" s="313" t="s">
        <v>2717</v>
      </c>
      <c r="C62" s="314" t="s">
        <v>2718</v>
      </c>
    </row>
    <row r="63" spans="2:3" ht="15.75" thickBot="1" x14ac:dyDescent="0.3">
      <c r="B63" s="313" t="s">
        <v>2719</v>
      </c>
      <c r="C63" s="314" t="s">
        <v>2720</v>
      </c>
    </row>
    <row r="64" spans="2:3" ht="15.75" thickBot="1" x14ac:dyDescent="0.3">
      <c r="B64" s="313" t="s">
        <v>2721</v>
      </c>
      <c r="C64" s="314" t="s">
        <v>2722</v>
      </c>
    </row>
    <row r="65" spans="2:3" ht="15.75" thickBot="1" x14ac:dyDescent="0.3">
      <c r="B65" s="313" t="s">
        <v>2723</v>
      </c>
      <c r="C65" s="314" t="s">
        <v>2724</v>
      </c>
    </row>
    <row r="66" spans="2:3" ht="15.75" thickBot="1" x14ac:dyDescent="0.3">
      <c r="B66" s="313" t="s">
        <v>2725</v>
      </c>
      <c r="C66" s="314" t="s">
        <v>2726</v>
      </c>
    </row>
    <row r="67" spans="2:3" ht="15.75" thickBot="1" x14ac:dyDescent="0.3">
      <c r="B67" s="313" t="s">
        <v>2727</v>
      </c>
      <c r="C67" s="314" t="s">
        <v>2728</v>
      </c>
    </row>
    <row r="68" spans="2:3" ht="15.75" thickBot="1" x14ac:dyDescent="0.3">
      <c r="B68" s="313" t="s">
        <v>2729</v>
      </c>
      <c r="C68" s="314" t="s">
        <v>2730</v>
      </c>
    </row>
    <row r="69" spans="2:3" ht="15.75" thickBot="1" x14ac:dyDescent="0.3">
      <c r="B69" s="313" t="s">
        <v>2731</v>
      </c>
      <c r="C69" s="314" t="s">
        <v>2732</v>
      </c>
    </row>
    <row r="70" spans="2:3" ht="15.75" thickBot="1" x14ac:dyDescent="0.3">
      <c r="B70" s="313" t="s">
        <v>2733</v>
      </c>
      <c r="C70" s="314" t="s">
        <v>2734</v>
      </c>
    </row>
    <row r="71" spans="2:3" ht="15.75" thickBot="1" x14ac:dyDescent="0.3">
      <c r="B71" s="313" t="s">
        <v>2735</v>
      </c>
      <c r="C71" s="314" t="s">
        <v>2736</v>
      </c>
    </row>
    <row r="72" spans="2:3" ht="15.75" thickBot="1" x14ac:dyDescent="0.3">
      <c r="B72" s="313" t="s">
        <v>2737</v>
      </c>
      <c r="C72" s="314" t="s">
        <v>2738</v>
      </c>
    </row>
    <row r="73" spans="2:3" ht="15.75" thickBot="1" x14ac:dyDescent="0.3">
      <c r="B73" s="313" t="s">
        <v>2739</v>
      </c>
      <c r="C73" s="314" t="s">
        <v>2740</v>
      </c>
    </row>
    <row r="74" spans="2:3" ht="15.75" thickBot="1" x14ac:dyDescent="0.3">
      <c r="B74" s="313" t="s">
        <v>2741</v>
      </c>
      <c r="C74" s="314" t="s">
        <v>2742</v>
      </c>
    </row>
    <row r="75" spans="2:3" ht="15.75" thickBot="1" x14ac:dyDescent="0.3">
      <c r="B75" s="313" t="s">
        <v>2743</v>
      </c>
      <c r="C75" s="314" t="s">
        <v>2744</v>
      </c>
    </row>
    <row r="76" spans="2:3" ht="15.75" thickBot="1" x14ac:dyDescent="0.3">
      <c r="B76" s="313" t="s">
        <v>2745</v>
      </c>
      <c r="C76" s="314" t="s">
        <v>2746</v>
      </c>
    </row>
    <row r="77" spans="2:3" ht="15.75" thickBot="1" x14ac:dyDescent="0.3">
      <c r="B77" s="313" t="s">
        <v>2747</v>
      </c>
      <c r="C77" s="314" t="s">
        <v>2748</v>
      </c>
    </row>
    <row r="78" spans="2:3" ht="15.75" thickBot="1" x14ac:dyDescent="0.3">
      <c r="B78" s="313" t="s">
        <v>2749</v>
      </c>
      <c r="C78" s="314" t="s">
        <v>2750</v>
      </c>
    </row>
    <row r="79" spans="2:3" ht="15.75" thickBot="1" x14ac:dyDescent="0.3">
      <c r="B79" s="313" t="s">
        <v>2751</v>
      </c>
      <c r="C79" s="314" t="s">
        <v>2752</v>
      </c>
    </row>
    <row r="80" spans="2:3" ht="15.75" thickBot="1" x14ac:dyDescent="0.3">
      <c r="B80" s="313" t="s">
        <v>2753</v>
      </c>
      <c r="C80" s="314" t="s">
        <v>2754</v>
      </c>
    </row>
    <row r="81" spans="2:3" ht="15.75" thickBot="1" x14ac:dyDescent="0.3">
      <c r="B81" s="313" t="s">
        <v>2755</v>
      </c>
      <c r="C81" s="314" t="s">
        <v>2756</v>
      </c>
    </row>
    <row r="82" spans="2:3" ht="15.75" thickBot="1" x14ac:dyDescent="0.3">
      <c r="B82" s="313" t="s">
        <v>2757</v>
      </c>
      <c r="C82" s="314" t="s">
        <v>2758</v>
      </c>
    </row>
    <row r="83" spans="2:3" ht="15.75" thickBot="1" x14ac:dyDescent="0.3">
      <c r="B83" s="313" t="s">
        <v>2759</v>
      </c>
      <c r="C83" s="314" t="s">
        <v>2760</v>
      </c>
    </row>
    <row r="84" spans="2:3" ht="15.75" thickBot="1" x14ac:dyDescent="0.3">
      <c r="B84" s="313" t="s">
        <v>2761</v>
      </c>
      <c r="C84" s="314" t="s">
        <v>2762</v>
      </c>
    </row>
    <row r="85" spans="2:3" ht="15.75" thickBot="1" x14ac:dyDescent="0.3">
      <c r="B85" s="313" t="s">
        <v>2763</v>
      </c>
      <c r="C85" s="314" t="s">
        <v>2764</v>
      </c>
    </row>
    <row r="86" spans="2:3" ht="15.75" thickBot="1" x14ac:dyDescent="0.3">
      <c r="B86" s="313" t="s">
        <v>2765</v>
      </c>
      <c r="C86" s="314" t="s">
        <v>2766</v>
      </c>
    </row>
    <row r="87" spans="2:3" ht="15.75" thickBot="1" x14ac:dyDescent="0.3">
      <c r="B87" s="313" t="s">
        <v>2767</v>
      </c>
      <c r="C87" s="314" t="s">
        <v>2768</v>
      </c>
    </row>
    <row r="88" spans="2:3" ht="15.75" thickBot="1" x14ac:dyDescent="0.3">
      <c r="B88" s="313" t="s">
        <v>2769</v>
      </c>
      <c r="C88" s="314" t="s">
        <v>2770</v>
      </c>
    </row>
    <row r="89" spans="2:3" ht="15.75" thickBot="1" x14ac:dyDescent="0.3">
      <c r="B89" s="313" t="s">
        <v>2771</v>
      </c>
      <c r="C89" s="314" t="s">
        <v>2772</v>
      </c>
    </row>
    <row r="90" spans="2:3" ht="15.75" thickBot="1" x14ac:dyDescent="0.3">
      <c r="B90" s="313" t="s">
        <v>2773</v>
      </c>
      <c r="C90" s="314" t="s">
        <v>2774</v>
      </c>
    </row>
    <row r="91" spans="2:3" ht="15.75" thickBot="1" x14ac:dyDescent="0.3">
      <c r="B91" s="313" t="s">
        <v>2775</v>
      </c>
      <c r="C91" s="314" t="s">
        <v>2776</v>
      </c>
    </row>
    <row r="92" spans="2:3" ht="15.75" thickBot="1" x14ac:dyDescent="0.3">
      <c r="B92" s="313" t="s">
        <v>2777</v>
      </c>
      <c r="C92" s="314" t="s">
        <v>2778</v>
      </c>
    </row>
    <row r="93" spans="2:3" ht="15.75" thickBot="1" x14ac:dyDescent="0.3">
      <c r="B93" s="313" t="s">
        <v>2779</v>
      </c>
      <c r="C93" s="314" t="s">
        <v>2780</v>
      </c>
    </row>
    <row r="94" spans="2:3" ht="15.75" thickBot="1" x14ac:dyDescent="0.3">
      <c r="B94" s="313" t="s">
        <v>2781</v>
      </c>
      <c r="C94" s="314" t="s">
        <v>2782</v>
      </c>
    </row>
    <row r="95" spans="2:3" ht="15.75" thickBot="1" x14ac:dyDescent="0.3">
      <c r="B95" s="313" t="s">
        <v>2783</v>
      </c>
      <c r="C95" s="314" t="s">
        <v>2784</v>
      </c>
    </row>
    <row r="96" spans="2:3" ht="15.75" thickBot="1" x14ac:dyDescent="0.3">
      <c r="B96" s="313" t="s">
        <v>2785</v>
      </c>
      <c r="C96" s="314" t="s">
        <v>2786</v>
      </c>
    </row>
    <row r="97" spans="2:3" ht="15.75" thickBot="1" x14ac:dyDescent="0.3">
      <c r="B97" s="313" t="s">
        <v>2787</v>
      </c>
      <c r="C97" s="314" t="s">
        <v>2788</v>
      </c>
    </row>
    <row r="98" spans="2:3" ht="15.75" thickBot="1" x14ac:dyDescent="0.3">
      <c r="B98" s="313" t="s">
        <v>2789</v>
      </c>
      <c r="C98" s="314" t="s">
        <v>2790</v>
      </c>
    </row>
    <row r="99" spans="2:3" ht="15.75" thickBot="1" x14ac:dyDescent="0.3">
      <c r="B99" s="313" t="s">
        <v>2791</v>
      </c>
      <c r="C99" s="314" t="s">
        <v>2792</v>
      </c>
    </row>
    <row r="100" spans="2:3" ht="15.75" thickBot="1" x14ac:dyDescent="0.3">
      <c r="B100" s="313" t="s">
        <v>2793</v>
      </c>
      <c r="C100" s="314" t="s">
        <v>2794</v>
      </c>
    </row>
    <row r="101" spans="2:3" ht="15.75" thickBot="1" x14ac:dyDescent="0.3">
      <c r="B101" s="313" t="s">
        <v>2795</v>
      </c>
      <c r="C101" s="314" t="s">
        <v>2796</v>
      </c>
    </row>
    <row r="102" spans="2:3" ht="15.75" thickBot="1" x14ac:dyDescent="0.3">
      <c r="B102" s="313" t="s">
        <v>2797</v>
      </c>
      <c r="C102" s="314" t="s">
        <v>2798</v>
      </c>
    </row>
    <row r="103" spans="2:3" ht="15.75" thickBot="1" x14ac:dyDescent="0.3">
      <c r="B103" s="313" t="s">
        <v>2799</v>
      </c>
      <c r="C103" s="314" t="s">
        <v>2800</v>
      </c>
    </row>
    <row r="104" spans="2:3" ht="15.75" thickBot="1" x14ac:dyDescent="0.3">
      <c r="B104" s="313" t="s">
        <v>2801</v>
      </c>
      <c r="C104" s="314" t="s">
        <v>2802</v>
      </c>
    </row>
    <row r="105" spans="2:3" ht="15.75" thickBot="1" x14ac:dyDescent="0.3">
      <c r="B105" s="313" t="s">
        <v>2803</v>
      </c>
      <c r="C105" s="314" t="s">
        <v>2804</v>
      </c>
    </row>
    <row r="106" spans="2:3" ht="15.75" thickBot="1" x14ac:dyDescent="0.3">
      <c r="B106" s="313" t="s">
        <v>2805</v>
      </c>
      <c r="C106" s="314" t="s">
        <v>2806</v>
      </c>
    </row>
    <row r="107" spans="2:3" ht="15.75" thickBot="1" x14ac:dyDescent="0.3">
      <c r="B107" s="313" t="s">
        <v>2807</v>
      </c>
      <c r="C107" s="314" t="s">
        <v>2808</v>
      </c>
    </row>
    <row r="108" spans="2:3" ht="15.75" thickBot="1" x14ac:dyDescent="0.3">
      <c r="B108" s="313" t="s">
        <v>2809</v>
      </c>
      <c r="C108" s="314" t="s">
        <v>2810</v>
      </c>
    </row>
    <row r="109" spans="2:3" ht="15.75" thickBot="1" x14ac:dyDescent="0.3">
      <c r="B109" s="313" t="s">
        <v>2811</v>
      </c>
      <c r="C109" s="314" t="s">
        <v>2812</v>
      </c>
    </row>
    <row r="110" spans="2:3" ht="15.75" thickBot="1" x14ac:dyDescent="0.3">
      <c r="B110" s="313" t="s">
        <v>2813</v>
      </c>
      <c r="C110" s="314" t="s">
        <v>2814</v>
      </c>
    </row>
    <row r="111" spans="2:3" ht="15.75" thickBot="1" x14ac:dyDescent="0.3">
      <c r="B111" s="313" t="s">
        <v>2815</v>
      </c>
      <c r="C111" s="314" t="s">
        <v>2816</v>
      </c>
    </row>
    <row r="112" spans="2:3" ht="15.75" thickBot="1" x14ac:dyDescent="0.3">
      <c r="B112" s="313" t="s">
        <v>2817</v>
      </c>
      <c r="C112" s="314" t="s">
        <v>2818</v>
      </c>
    </row>
    <row r="113" spans="2:3" ht="15.75" thickBot="1" x14ac:dyDescent="0.3">
      <c r="B113" s="313" t="s">
        <v>2819</v>
      </c>
      <c r="C113" s="314" t="s">
        <v>2820</v>
      </c>
    </row>
    <row r="114" spans="2:3" ht="15.75" thickBot="1" x14ac:dyDescent="0.3">
      <c r="B114" s="313" t="s">
        <v>2821</v>
      </c>
      <c r="C114" s="314" t="s">
        <v>2822</v>
      </c>
    </row>
    <row r="115" spans="2:3" ht="15.75" thickBot="1" x14ac:dyDescent="0.3">
      <c r="B115" s="313" t="s">
        <v>2823</v>
      </c>
      <c r="C115" s="314" t="s">
        <v>2824</v>
      </c>
    </row>
    <row r="116" spans="2:3" x14ac:dyDescent="0.25">
      <c r="B116" s="313" t="s">
        <v>2825</v>
      </c>
      <c r="C116" s="314" t="s">
        <v>2826</v>
      </c>
    </row>
    <row r="117" spans="2:3" x14ac:dyDescent="0.25">
      <c r="B117" s="29"/>
    </row>
    <row r="118" spans="2:3" x14ac:dyDescent="0.25">
      <c r="B118" s="29"/>
    </row>
    <row r="119" spans="2:3" x14ac:dyDescent="0.25">
      <c r="B119" s="29"/>
    </row>
    <row r="120" spans="2:3" x14ac:dyDescent="0.25">
      <c r="B120" s="29"/>
    </row>
    <row r="121" spans="2:3" x14ac:dyDescent="0.25">
      <c r="B121" s="29"/>
    </row>
    <row r="122" spans="2:3" x14ac:dyDescent="0.25">
      <c r="B122" s="29"/>
    </row>
    <row r="123" spans="2:3" x14ac:dyDescent="0.25">
      <c r="B123" s="29"/>
    </row>
    <row r="124" spans="2:3" x14ac:dyDescent="0.25">
      <c r="B124" s="29"/>
    </row>
    <row r="125" spans="2:3" x14ac:dyDescent="0.25">
      <c r="B125" s="29"/>
    </row>
    <row r="126" spans="2:3" x14ac:dyDescent="0.25">
      <c r="B126" s="29"/>
    </row>
    <row r="127" spans="2:3" x14ac:dyDescent="0.25">
      <c r="B127" s="29"/>
    </row>
    <row r="128" spans="2:3" x14ac:dyDescent="0.25">
      <c r="B128" s="29"/>
    </row>
    <row r="129" spans="2:2" x14ac:dyDescent="0.25">
      <c r="B129" s="29"/>
    </row>
    <row r="130" spans="2:2" x14ac:dyDescent="0.25">
      <c r="B130" s="29"/>
    </row>
    <row r="131" spans="2:2" x14ac:dyDescent="0.25">
      <c r="B131" s="29"/>
    </row>
    <row r="132" spans="2:2" x14ac:dyDescent="0.25">
      <c r="B132" s="29"/>
    </row>
    <row r="133" spans="2:2" x14ac:dyDescent="0.25">
      <c r="B133" s="29"/>
    </row>
    <row r="134" spans="2:2" x14ac:dyDescent="0.25">
      <c r="B134" s="29"/>
    </row>
    <row r="135" spans="2:2" x14ac:dyDescent="0.25">
      <c r="B135" s="29"/>
    </row>
    <row r="136" spans="2:2" x14ac:dyDescent="0.25">
      <c r="B136" s="29"/>
    </row>
    <row r="137" spans="2:2" x14ac:dyDescent="0.25">
      <c r="B137" s="29"/>
    </row>
    <row r="138" spans="2:2" x14ac:dyDescent="0.25">
      <c r="B138" s="29"/>
    </row>
    <row r="139" spans="2:2" x14ac:dyDescent="0.25">
      <c r="B139" s="29"/>
    </row>
    <row r="140" spans="2:2" x14ac:dyDescent="0.25">
      <c r="B140" s="29"/>
    </row>
    <row r="141" spans="2:2" x14ac:dyDescent="0.25">
      <c r="B141" s="29"/>
    </row>
    <row r="142" spans="2:2" x14ac:dyDescent="0.25">
      <c r="B142" s="29"/>
    </row>
    <row r="143" spans="2:2" x14ac:dyDescent="0.25">
      <c r="B143" s="29"/>
    </row>
    <row r="144" spans="2:2" x14ac:dyDescent="0.25">
      <c r="B144" s="29"/>
    </row>
    <row r="145" spans="2:2" x14ac:dyDescent="0.25">
      <c r="B145" s="29"/>
    </row>
    <row r="146" spans="2:2" x14ac:dyDescent="0.25">
      <c r="B146" s="29"/>
    </row>
    <row r="147" spans="2:2" x14ac:dyDescent="0.25">
      <c r="B147" s="29"/>
    </row>
    <row r="148" spans="2:2" x14ac:dyDescent="0.25">
      <c r="B148" s="29"/>
    </row>
    <row r="149" spans="2:2" x14ac:dyDescent="0.25">
      <c r="B149" s="29"/>
    </row>
    <row r="150" spans="2:2" x14ac:dyDescent="0.25">
      <c r="B150" s="29"/>
    </row>
    <row r="151" spans="2:2" x14ac:dyDescent="0.25">
      <c r="B151" s="29"/>
    </row>
    <row r="152" spans="2:2" x14ac:dyDescent="0.25">
      <c r="B152" s="29"/>
    </row>
    <row r="153" spans="2:2" x14ac:dyDescent="0.25">
      <c r="B153" s="29"/>
    </row>
    <row r="154" spans="2:2" x14ac:dyDescent="0.25">
      <c r="B154" s="29"/>
    </row>
    <row r="155" spans="2:2" x14ac:dyDescent="0.25">
      <c r="B155" s="29"/>
    </row>
    <row r="156" spans="2:2" x14ac:dyDescent="0.25">
      <c r="B156" s="29"/>
    </row>
    <row r="157" spans="2:2" x14ac:dyDescent="0.25">
      <c r="B157" s="29"/>
    </row>
    <row r="158" spans="2:2" x14ac:dyDescent="0.25">
      <c r="B158" s="29"/>
    </row>
    <row r="159" spans="2:2" x14ac:dyDescent="0.25">
      <c r="B159" s="29"/>
    </row>
    <row r="160" spans="2:2" x14ac:dyDescent="0.25">
      <c r="B160" s="29"/>
    </row>
    <row r="161" spans="2:2" x14ac:dyDescent="0.25">
      <c r="B161" s="29"/>
    </row>
    <row r="162" spans="2:2" x14ac:dyDescent="0.25">
      <c r="B162" s="29"/>
    </row>
    <row r="163" spans="2:2" x14ac:dyDescent="0.25">
      <c r="B163" s="29"/>
    </row>
    <row r="164" spans="2:2" x14ac:dyDescent="0.25">
      <c r="B164" s="29"/>
    </row>
    <row r="165" spans="2:2" x14ac:dyDescent="0.25">
      <c r="B165" s="29"/>
    </row>
    <row r="166" spans="2:2" x14ac:dyDescent="0.25">
      <c r="B166" s="29"/>
    </row>
    <row r="167" spans="2:2" x14ac:dyDescent="0.25">
      <c r="B167" s="29"/>
    </row>
    <row r="168" spans="2:2" x14ac:dyDescent="0.25">
      <c r="B168" s="29"/>
    </row>
    <row r="169" spans="2:2" x14ac:dyDescent="0.25">
      <c r="B169" s="29"/>
    </row>
    <row r="170" spans="2:2" x14ac:dyDescent="0.25">
      <c r="B170" s="29"/>
    </row>
    <row r="171" spans="2:2" x14ac:dyDescent="0.25">
      <c r="B171" s="29"/>
    </row>
    <row r="172" spans="2:2" x14ac:dyDescent="0.25">
      <c r="B172" s="29"/>
    </row>
    <row r="173" spans="2:2" x14ac:dyDescent="0.25">
      <c r="B173" s="29"/>
    </row>
    <row r="174" spans="2:2" x14ac:dyDescent="0.25">
      <c r="B174" s="29"/>
    </row>
    <row r="175" spans="2:2" x14ac:dyDescent="0.25">
      <c r="B175" s="29"/>
    </row>
    <row r="176" spans="2:2" x14ac:dyDescent="0.25">
      <c r="B176" s="29"/>
    </row>
    <row r="177" spans="2:2" x14ac:dyDescent="0.25">
      <c r="B177" s="29"/>
    </row>
    <row r="178" spans="2:2" x14ac:dyDescent="0.25">
      <c r="B178" s="29"/>
    </row>
    <row r="179" spans="2:2" x14ac:dyDescent="0.25">
      <c r="B179" s="29"/>
    </row>
    <row r="180" spans="2:2" x14ac:dyDescent="0.25">
      <c r="B180" s="29"/>
    </row>
    <row r="181" spans="2:2" x14ac:dyDescent="0.25">
      <c r="B181" s="29"/>
    </row>
    <row r="182" spans="2:2" x14ac:dyDescent="0.25">
      <c r="B182" s="29"/>
    </row>
    <row r="183" spans="2:2" x14ac:dyDescent="0.25">
      <c r="B183" s="29"/>
    </row>
    <row r="184" spans="2:2" x14ac:dyDescent="0.25">
      <c r="B184" s="29"/>
    </row>
    <row r="185" spans="2:2" x14ac:dyDescent="0.25">
      <c r="B185" s="29"/>
    </row>
    <row r="186" spans="2:2" x14ac:dyDescent="0.25">
      <c r="B186" s="29"/>
    </row>
    <row r="187" spans="2:2" x14ac:dyDescent="0.25">
      <c r="B187" s="29"/>
    </row>
    <row r="188" spans="2:2" x14ac:dyDescent="0.25">
      <c r="B188" s="29"/>
    </row>
    <row r="189" spans="2:2" x14ac:dyDescent="0.25">
      <c r="B189" s="29"/>
    </row>
    <row r="190" spans="2:2" x14ac:dyDescent="0.25">
      <c r="B190" s="29"/>
    </row>
    <row r="191" spans="2:2" x14ac:dyDescent="0.25">
      <c r="B191" s="29"/>
    </row>
    <row r="192" spans="2:2" x14ac:dyDescent="0.25">
      <c r="B192" s="29"/>
    </row>
  </sheetData>
  <pageMargins left="0.7" right="0.7" top="0.75" bottom="0.75" header="0.3" footer="0.3"/>
  <pageSetup paperSize="256" orientation="portrait" horizontalDpi="203" verticalDpi="203"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P8"/>
  <sheetViews>
    <sheetView workbookViewId="0">
      <selection activeCell="B2" sqref="B2:F2"/>
    </sheetView>
  </sheetViews>
  <sheetFormatPr defaultRowHeight="15" x14ac:dyDescent="0.25"/>
  <cols>
    <col min="1" max="1" width="2" customWidth="1"/>
    <col min="2" max="2" width="16.42578125" bestFit="1" customWidth="1"/>
    <col min="3" max="3" width="16.7109375" customWidth="1"/>
    <col min="4" max="4" width="27.140625" customWidth="1"/>
    <col min="5" max="5" width="28.42578125" customWidth="1"/>
    <col min="6" max="6" width="72.42578125" bestFit="1" customWidth="1"/>
    <col min="7" max="7" width="50.5703125" customWidth="1"/>
    <col min="8" max="11" width="12.85546875" customWidth="1"/>
    <col min="13" max="13" width="14.5703125" bestFit="1" customWidth="1"/>
    <col min="14" max="14" width="15.5703125" bestFit="1" customWidth="1"/>
    <col min="16" max="16" width="16.7109375" bestFit="1" customWidth="1"/>
  </cols>
  <sheetData>
    <row r="1" spans="2:16" ht="15.75" thickBot="1" x14ac:dyDescent="0.3">
      <c r="B1" s="23" t="s">
        <v>368</v>
      </c>
      <c r="C1" s="406" t="str">
        <f>'1. Template Stats'!C2</f>
        <v>65A. BMW X5 (F15) 14-18 (1) SUV (2) 14-18 N55 (3) Auto (4) RWD/AWD</v>
      </c>
      <c r="D1" s="407"/>
      <c r="E1" s="407"/>
      <c r="F1" s="408"/>
      <c r="G1" s="56"/>
      <c r="H1" s="11"/>
      <c r="I1" s="56"/>
      <c r="J1" s="3"/>
      <c r="L1" s="69"/>
    </row>
    <row r="2" spans="2:16" s="1" customFormat="1" ht="15.75" thickBot="1" x14ac:dyDescent="0.3">
      <c r="B2" s="406" t="str">
        <f>'2. Items to Test'!C2</f>
        <v>1240. 14 BMW X5 (F15) 3.0T (N55) Auto RWD (Brown) (00793)</v>
      </c>
      <c r="C2" s="407"/>
      <c r="D2" s="407"/>
      <c r="E2" s="407"/>
      <c r="F2" s="408"/>
      <c r="G2" s="11"/>
      <c r="H2" s="11"/>
      <c r="I2" s="56"/>
      <c r="J2" s="3"/>
      <c r="K2"/>
      <c r="L2" s="69"/>
      <c r="M2"/>
    </row>
    <row r="3" spans="2:16" ht="15.75" thickBot="1" x14ac:dyDescent="0.3">
      <c r="B3" s="2" t="s">
        <v>384</v>
      </c>
      <c r="C3" s="9" t="s">
        <v>82</v>
      </c>
      <c r="D3" s="9" t="s">
        <v>385</v>
      </c>
      <c r="E3" s="9" t="s">
        <v>386</v>
      </c>
      <c r="F3" s="9" t="s">
        <v>79</v>
      </c>
      <c r="G3" s="9" t="s">
        <v>82</v>
      </c>
      <c r="H3" s="17" t="s">
        <v>2827</v>
      </c>
      <c r="I3" s="17" t="s">
        <v>404</v>
      </c>
      <c r="J3" s="17" t="s">
        <v>2828</v>
      </c>
      <c r="K3" s="1" t="s">
        <v>376</v>
      </c>
      <c r="L3" s="55" t="s">
        <v>405</v>
      </c>
      <c r="M3" s="4" t="s">
        <v>406</v>
      </c>
      <c r="N3" s="99" t="s">
        <v>407</v>
      </c>
      <c r="O3" s="69" t="s">
        <v>408</v>
      </c>
      <c r="P3" s="55" t="s">
        <v>2829</v>
      </c>
    </row>
    <row r="4" spans="2:16" x14ac:dyDescent="0.25">
      <c r="B4" s="19"/>
      <c r="C4" s="16"/>
      <c r="D4" s="16"/>
      <c r="E4" s="16"/>
      <c r="F4" s="16"/>
      <c r="G4" s="16"/>
      <c r="H4" s="16"/>
      <c r="I4" s="98"/>
      <c r="J4" s="98"/>
      <c r="K4" s="11"/>
      <c r="L4" s="56"/>
      <c r="M4" s="3"/>
      <c r="O4" s="69"/>
    </row>
    <row r="5" spans="2:16" x14ac:dyDescent="0.25">
      <c r="B5" s="19"/>
      <c r="C5" s="16"/>
      <c r="D5" s="16"/>
      <c r="E5" s="16"/>
      <c r="F5" s="16"/>
      <c r="G5" s="16"/>
      <c r="H5" s="16"/>
      <c r="I5" s="18"/>
      <c r="J5" s="18"/>
      <c r="K5" s="11"/>
      <c r="L5" s="56"/>
      <c r="M5" s="3"/>
      <c r="O5" s="69"/>
    </row>
    <row r="6" spans="2:16" x14ac:dyDescent="0.25">
      <c r="B6" s="19"/>
      <c r="C6" s="16"/>
      <c r="D6" s="16"/>
      <c r="E6" s="16"/>
      <c r="F6" s="16"/>
      <c r="G6" s="16"/>
      <c r="H6" s="16"/>
      <c r="I6" s="16"/>
      <c r="J6" s="16"/>
      <c r="K6" s="11"/>
      <c r="L6" s="56"/>
      <c r="M6" s="3"/>
      <c r="O6" s="69"/>
    </row>
    <row r="7" spans="2:16" x14ac:dyDescent="0.25">
      <c r="B7" s="19"/>
      <c r="C7" s="16"/>
      <c r="D7" s="16"/>
      <c r="E7" s="16"/>
      <c r="F7" s="16"/>
      <c r="G7" s="16"/>
      <c r="H7" s="16"/>
      <c r="I7" s="16"/>
      <c r="J7" s="16"/>
      <c r="K7" s="11"/>
      <c r="L7" s="56"/>
      <c r="M7" s="3"/>
      <c r="O7" s="69"/>
    </row>
    <row r="8" spans="2:16" x14ac:dyDescent="0.25">
      <c r="B8" s="19"/>
      <c r="C8" s="16"/>
      <c r="D8" s="16"/>
      <c r="E8" s="16"/>
      <c r="F8" s="16"/>
      <c r="G8" s="16"/>
      <c r="H8" s="16"/>
      <c r="I8" s="16"/>
      <c r="J8" s="16"/>
      <c r="K8" s="11"/>
      <c r="L8" s="56"/>
      <c r="M8" s="3"/>
      <c r="O8" s="69"/>
    </row>
  </sheetData>
  <mergeCells count="2">
    <mergeCell ref="C1:F1"/>
    <mergeCell ref="B2:F2"/>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B1:D45"/>
  <sheetViews>
    <sheetView showGridLines="0" workbookViewId="0">
      <selection activeCell="B1" sqref="A1:XFD1"/>
    </sheetView>
  </sheetViews>
  <sheetFormatPr defaultRowHeight="15" x14ac:dyDescent="0.25"/>
  <cols>
    <col min="2" max="2" width="45" bestFit="1" customWidth="1"/>
    <col min="3" max="3" width="53.5703125" customWidth="1"/>
  </cols>
  <sheetData>
    <row r="1" spans="2:4" ht="15.75" thickBot="1" x14ac:dyDescent="0.3">
      <c r="B1" s="8" t="s">
        <v>2830</v>
      </c>
    </row>
    <row r="2" spans="2:4" ht="15.75" thickBot="1" x14ac:dyDescent="0.3">
      <c r="B2" s="382"/>
      <c r="C2" s="383"/>
    </row>
    <row r="3" spans="2:4" ht="15.75" thickBot="1" x14ac:dyDescent="0.3">
      <c r="B3" s="32" t="s">
        <v>2831</v>
      </c>
      <c r="C3" s="33"/>
    </row>
    <row r="4" spans="2:4" ht="15.75" thickBot="1" x14ac:dyDescent="0.3">
      <c r="B4" s="6" t="s">
        <v>2832</v>
      </c>
      <c r="C4" s="7" t="s">
        <v>2833</v>
      </c>
    </row>
    <row r="5" spans="2:4" ht="15.75" thickBot="1" x14ac:dyDescent="0.3">
      <c r="B5" s="6" t="s">
        <v>2834</v>
      </c>
      <c r="C5" s="7"/>
    </row>
    <row r="6" spans="2:4" ht="15.75" thickBot="1" x14ac:dyDescent="0.3">
      <c r="B6" s="32" t="s">
        <v>2835</v>
      </c>
      <c r="C6" s="54"/>
    </row>
    <row r="7" spans="2:4" ht="15.75" thickBot="1" x14ac:dyDescent="0.3">
      <c r="B7" s="6" t="s">
        <v>2836</v>
      </c>
      <c r="C7" s="7" t="s">
        <v>2833</v>
      </c>
      <c r="D7" t="s">
        <v>2837</v>
      </c>
    </row>
    <row r="8" spans="2:4" ht="15.75" thickBot="1" x14ac:dyDescent="0.3">
      <c r="B8" s="6" t="s">
        <v>2838</v>
      </c>
      <c r="C8" s="7" t="s">
        <v>2833</v>
      </c>
    </row>
    <row r="9" spans="2:4" ht="15.75" thickBot="1" x14ac:dyDescent="0.3">
      <c r="B9" s="32" t="s">
        <v>2839</v>
      </c>
      <c r="C9" s="54"/>
    </row>
    <row r="10" spans="2:4" ht="15.75" thickBot="1" x14ac:dyDescent="0.3">
      <c r="B10" s="6" t="s">
        <v>2840</v>
      </c>
      <c r="C10" s="7" t="s">
        <v>2833</v>
      </c>
    </row>
    <row r="11" spans="2:4" ht="15.75" thickBot="1" x14ac:dyDescent="0.3">
      <c r="B11" s="6" t="s">
        <v>2841</v>
      </c>
      <c r="C11" s="7" t="s">
        <v>2833</v>
      </c>
    </row>
    <row r="12" spans="2:4" ht="15.75" thickBot="1" x14ac:dyDescent="0.3">
      <c r="B12" s="6" t="s">
        <v>2842</v>
      </c>
      <c r="C12" s="7" t="s">
        <v>2833</v>
      </c>
    </row>
    <row r="13" spans="2:4" ht="15.75" thickBot="1" x14ac:dyDescent="0.3">
      <c r="B13" s="6" t="s">
        <v>2843</v>
      </c>
      <c r="C13" s="7" t="s">
        <v>2833</v>
      </c>
    </row>
    <row r="14" spans="2:4" ht="15.75" thickBot="1" x14ac:dyDescent="0.3">
      <c r="B14" s="6" t="s">
        <v>2844</v>
      </c>
      <c r="C14" s="7" t="s">
        <v>2845</v>
      </c>
    </row>
    <row r="15" spans="2:4" s="12" customFormat="1" ht="17.25" customHeight="1" thickBot="1" x14ac:dyDescent="0.3">
      <c r="B15" s="148" t="s">
        <v>2846</v>
      </c>
      <c r="C15" s="7" t="s">
        <v>2833</v>
      </c>
    </row>
    <row r="16" spans="2:4" s="12" customFormat="1" ht="17.25" customHeight="1" thickBot="1" x14ac:dyDescent="0.3">
      <c r="B16" s="148" t="s">
        <v>2847</v>
      </c>
      <c r="C16" s="7" t="s">
        <v>2845</v>
      </c>
    </row>
    <row r="17" spans="2:3" ht="15.75" thickBot="1" x14ac:dyDescent="0.3">
      <c r="B17" s="32" t="s">
        <v>2848</v>
      </c>
      <c r="C17" s="54"/>
    </row>
    <row r="18" spans="2:3" ht="15.75" thickBot="1" x14ac:dyDescent="0.3">
      <c r="B18" s="6" t="s">
        <v>2849</v>
      </c>
      <c r="C18" s="7" t="s">
        <v>2845</v>
      </c>
    </row>
    <row r="19" spans="2:3" ht="15.75" thickBot="1" x14ac:dyDescent="0.3">
      <c r="B19" s="6" t="s">
        <v>2850</v>
      </c>
      <c r="C19" s="7" t="s">
        <v>2833</v>
      </c>
    </row>
    <row r="20" spans="2:3" ht="15.75" thickBot="1" x14ac:dyDescent="0.3">
      <c r="B20" s="6" t="s">
        <v>2851</v>
      </c>
      <c r="C20" s="7" t="s">
        <v>2833</v>
      </c>
    </row>
    <row r="21" spans="2:3" ht="15.75" thickBot="1" x14ac:dyDescent="0.3">
      <c r="B21" s="32" t="s">
        <v>2852</v>
      </c>
      <c r="C21" s="54"/>
    </row>
    <row r="22" spans="2:3" ht="15.75" thickBot="1" x14ac:dyDescent="0.3">
      <c r="B22" s="6" t="s">
        <v>2853</v>
      </c>
      <c r="C22" s="7" t="s">
        <v>2854</v>
      </c>
    </row>
    <row r="23" spans="2:3" ht="15.75" thickBot="1" x14ac:dyDescent="0.3">
      <c r="B23" s="6" t="s">
        <v>2855</v>
      </c>
      <c r="C23" s="7" t="s">
        <v>2856</v>
      </c>
    </row>
    <row r="24" spans="2:3" ht="15.75" thickBot="1" x14ac:dyDescent="0.3">
      <c r="B24" s="32" t="s">
        <v>2857</v>
      </c>
      <c r="C24" s="54"/>
    </row>
    <row r="25" spans="2:3" ht="15.75" thickBot="1" x14ac:dyDescent="0.3">
      <c r="B25" s="6" t="s">
        <v>2858</v>
      </c>
      <c r="C25" s="73"/>
    </row>
    <row r="26" spans="2:3" ht="15.75" thickBot="1" x14ac:dyDescent="0.3"/>
    <row r="27" spans="2:3" ht="15.75" thickBot="1" x14ac:dyDescent="0.3">
      <c r="B27" s="380" t="s">
        <v>2859</v>
      </c>
      <c r="C27" s="381"/>
    </row>
    <row r="28" spans="2:3" ht="15" customHeight="1" x14ac:dyDescent="0.25">
      <c r="B28" s="374" t="s">
        <v>2860</v>
      </c>
      <c r="C28" s="375"/>
    </row>
    <row r="29" spans="2:3" x14ac:dyDescent="0.25">
      <c r="B29" s="376"/>
      <c r="C29" s="377"/>
    </row>
    <row r="30" spans="2:3" x14ac:dyDescent="0.25">
      <c r="B30" s="376"/>
      <c r="C30" s="377"/>
    </row>
    <row r="31" spans="2:3" x14ac:dyDescent="0.25">
      <c r="B31" s="376"/>
      <c r="C31" s="377"/>
    </row>
    <row r="32" spans="2:3" x14ac:dyDescent="0.25">
      <c r="B32" s="376"/>
      <c r="C32" s="377"/>
    </row>
    <row r="33" spans="2:3" x14ac:dyDescent="0.25">
      <c r="B33" s="376"/>
      <c r="C33" s="377"/>
    </row>
    <row r="34" spans="2:3" x14ac:dyDescent="0.25">
      <c r="B34" s="376"/>
      <c r="C34" s="377"/>
    </row>
    <row r="35" spans="2:3" ht="15.75" thickBot="1" x14ac:dyDescent="0.3">
      <c r="B35" s="378"/>
      <c r="C35" s="379"/>
    </row>
    <row r="36" spans="2:3" ht="15.75" thickBot="1" x14ac:dyDescent="0.3"/>
    <row r="37" spans="2:3" ht="15.75" thickBot="1" x14ac:dyDescent="0.3">
      <c r="B37" s="29" t="s">
        <v>2861</v>
      </c>
      <c r="C37" s="30" t="s">
        <v>2862</v>
      </c>
    </row>
    <row r="38" spans="2:3" ht="15.75" thickBot="1" x14ac:dyDescent="0.3">
      <c r="B38" s="29" t="s">
        <v>2863</v>
      </c>
      <c r="C38" s="30" t="s">
        <v>2862</v>
      </c>
    </row>
    <row r="39" spans="2:3" ht="15.75" thickBot="1" x14ac:dyDescent="0.3">
      <c r="B39" s="29" t="s">
        <v>2864</v>
      </c>
      <c r="C39" s="70"/>
    </row>
    <row r="40" spans="2:3" ht="15.75" thickBot="1" x14ac:dyDescent="0.3">
      <c r="B40" s="29" t="s">
        <v>369</v>
      </c>
      <c r="C40" s="70" t="s">
        <v>2865</v>
      </c>
    </row>
    <row r="41" spans="2:3" ht="15.75" thickBot="1" x14ac:dyDescent="0.3">
      <c r="B41" s="29"/>
      <c r="C41" s="53"/>
    </row>
    <row r="42" spans="2:3" ht="15.75" thickBot="1" x14ac:dyDescent="0.3">
      <c r="B42" s="29" t="s">
        <v>2866</v>
      </c>
      <c r="C42" s="31" t="s">
        <v>515</v>
      </c>
    </row>
    <row r="43" spans="2:3" ht="15.75" thickBot="1" x14ac:dyDescent="0.3">
      <c r="B43" s="29" t="s">
        <v>2867</v>
      </c>
      <c r="C43" s="30" t="s">
        <v>2862</v>
      </c>
    </row>
    <row r="44" spans="2:3" ht="15.75" thickBot="1" x14ac:dyDescent="0.3"/>
    <row r="45" spans="2:3" ht="15.75" thickBot="1" x14ac:dyDescent="0.3">
      <c r="B45" s="29" t="s">
        <v>2868</v>
      </c>
      <c r="C45" s="30" t="s">
        <v>2862</v>
      </c>
    </row>
  </sheetData>
  <pageMargins left="0.7" right="0.7" top="0.75" bottom="0.75" header="0.3" footer="0.3"/>
  <pageSetup paperSize="256" orientation="portrait" horizontalDpi="203" verticalDpi="20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1DE91-C5EF-46CE-A195-B562FC0D7ACE}">
  <sheetPr codeName="Sheet6">
    <pageSetUpPr fitToPage="1"/>
  </sheetPr>
  <dimension ref="A1:F63"/>
  <sheetViews>
    <sheetView showGridLines="0" workbookViewId="0">
      <selection activeCell="H4" sqref="H4"/>
    </sheetView>
  </sheetViews>
  <sheetFormatPr defaultColWidth="9.140625" defaultRowHeight="15" x14ac:dyDescent="0.25"/>
  <cols>
    <col min="1" max="1" width="9.140625" style="46"/>
    <col min="2" max="2" width="49.140625" style="46" customWidth="1"/>
    <col min="3" max="3" width="74" style="46" customWidth="1"/>
    <col min="4" max="4" width="13.42578125" style="46" customWidth="1"/>
    <col min="5" max="5" width="55.5703125" style="46" customWidth="1"/>
    <col min="6" max="6" width="43.140625" style="46" customWidth="1"/>
    <col min="7" max="16384" width="9.140625" style="46"/>
  </cols>
  <sheetData>
    <row r="1" spans="2:6" ht="15.75" thickBot="1" x14ac:dyDescent="0.3">
      <c r="B1" s="121" t="s">
        <v>2869</v>
      </c>
      <c r="C1" s="122"/>
    </row>
    <row r="2" spans="2:6" ht="15.75" thickBot="1" x14ac:dyDescent="0.3">
      <c r="B2" s="412" t="str">
        <f>'2. Items to Test'!C2</f>
        <v>1240. 14 BMW X5 (F15) 3.0T (N55) Auto RWD (Brown) (00793)</v>
      </c>
      <c r="C2" s="413"/>
    </row>
    <row r="3" spans="2:6" ht="15.75" thickBot="1" x14ac:dyDescent="0.3">
      <c r="B3" s="123" t="s">
        <v>2684</v>
      </c>
      <c r="C3" s="124"/>
      <c r="E3" s="414" t="s">
        <v>2870</v>
      </c>
      <c r="F3" s="415"/>
    </row>
    <row r="4" spans="2:6" ht="15.75" thickBot="1" x14ac:dyDescent="0.3">
      <c r="B4" s="125" t="s">
        <v>2871</v>
      </c>
      <c r="C4" s="144"/>
      <c r="E4" s="430" t="s">
        <v>2872</v>
      </c>
      <c r="F4" s="431"/>
    </row>
    <row r="5" spans="2:6" ht="15.75" thickBot="1" x14ac:dyDescent="0.3">
      <c r="B5" s="125" t="s">
        <v>2873</v>
      </c>
      <c r="C5" s="145"/>
      <c r="E5" s="226"/>
      <c r="F5" s="228"/>
    </row>
    <row r="6" spans="2:6" ht="15.75" thickBot="1" x14ac:dyDescent="0.3">
      <c r="E6" s="226"/>
      <c r="F6" s="227"/>
    </row>
    <row r="7" spans="2:6" ht="15.75" thickBot="1" x14ac:dyDescent="0.3">
      <c r="B7" s="400" t="s">
        <v>2874</v>
      </c>
      <c r="C7" s="402"/>
      <c r="E7" s="226"/>
      <c r="F7" s="227"/>
    </row>
    <row r="8" spans="2:6" ht="15" customHeight="1" thickBot="1" x14ac:dyDescent="0.3">
      <c r="B8" s="416"/>
      <c r="C8" s="417"/>
      <c r="E8" s="430" t="s">
        <v>2875</v>
      </c>
      <c r="F8" s="431"/>
    </row>
    <row r="9" spans="2:6" ht="15" customHeight="1" thickBot="1" x14ac:dyDescent="0.3">
      <c r="B9" s="418"/>
      <c r="C9" s="419"/>
      <c r="E9" s="226"/>
      <c r="F9" s="227"/>
    </row>
    <row r="10" spans="2:6" ht="15" customHeight="1" thickBot="1" x14ac:dyDescent="0.3">
      <c r="B10" s="418"/>
      <c r="C10" s="419"/>
      <c r="E10" s="226"/>
      <c r="F10" s="227"/>
    </row>
    <row r="11" spans="2:6" ht="15.75" customHeight="1" thickBot="1" x14ac:dyDescent="0.3">
      <c r="B11" s="420"/>
      <c r="C11" s="421"/>
      <c r="E11" s="226"/>
      <c r="F11" s="227"/>
    </row>
    <row r="12" spans="2:6" ht="15.75" thickBot="1" x14ac:dyDescent="0.3"/>
    <row r="13" spans="2:6" ht="15.75" thickBot="1" x14ac:dyDescent="0.3">
      <c r="B13" s="126" t="s">
        <v>2876</v>
      </c>
      <c r="E13" s="422" t="s">
        <v>2877</v>
      </c>
      <c r="F13" s="423"/>
    </row>
    <row r="14" spans="2:6" ht="20.100000000000001" customHeight="1" thickBot="1" x14ac:dyDescent="0.3">
      <c r="B14" s="127" t="s">
        <v>2878</v>
      </c>
      <c r="C14" s="124"/>
      <c r="E14" s="125" t="s">
        <v>2879</v>
      </c>
      <c r="F14" s="124"/>
    </row>
    <row r="15" spans="2:6" ht="20.100000000000001" customHeight="1" thickBot="1" x14ac:dyDescent="0.3">
      <c r="B15" s="104" t="s">
        <v>2880</v>
      </c>
      <c r="C15" s="124"/>
      <c r="E15" s="125" t="s">
        <v>2881</v>
      </c>
      <c r="F15" s="124"/>
    </row>
    <row r="16" spans="2:6" ht="20.100000000000001" customHeight="1" thickBot="1" x14ac:dyDescent="0.3">
      <c r="B16" s="104" t="s">
        <v>2882</v>
      </c>
      <c r="C16" s="124"/>
      <c r="E16" s="125" t="s">
        <v>2883</v>
      </c>
      <c r="F16" s="124"/>
    </row>
    <row r="17" spans="2:6" ht="20.100000000000001" customHeight="1" thickBot="1" x14ac:dyDescent="0.3">
      <c r="B17" s="104" t="s">
        <v>2884</v>
      </c>
      <c r="C17" s="124"/>
      <c r="E17" s="125" t="s">
        <v>2885</v>
      </c>
      <c r="F17" s="124"/>
    </row>
    <row r="18" spans="2:6" ht="20.100000000000001" customHeight="1" thickBot="1" x14ac:dyDescent="0.3">
      <c r="B18" s="105" t="s">
        <v>2886</v>
      </c>
      <c r="C18" s="128"/>
      <c r="E18" s="125" t="s">
        <v>2887</v>
      </c>
      <c r="F18" s="129"/>
    </row>
    <row r="19" spans="2:6" ht="15.75" thickBot="1" x14ac:dyDescent="0.3">
      <c r="B19" s="29"/>
    </row>
    <row r="20" spans="2:6" ht="15.75" thickBot="1" x14ac:dyDescent="0.3">
      <c r="B20" s="126" t="s">
        <v>2888</v>
      </c>
    </row>
    <row r="21" spans="2:6" ht="15.75" thickBot="1" x14ac:dyDescent="0.3">
      <c r="B21" s="121" t="s">
        <v>2889</v>
      </c>
      <c r="C21" s="130" t="s">
        <v>2890</v>
      </c>
      <c r="D21" s="130" t="s">
        <v>2891</v>
      </c>
      <c r="E21" s="130" t="s">
        <v>2892</v>
      </c>
      <c r="F21" s="109" t="s">
        <v>2893</v>
      </c>
    </row>
    <row r="22" spans="2:6" ht="18" customHeight="1" thickBot="1" x14ac:dyDescent="0.3">
      <c r="B22" s="124"/>
      <c r="C22" s="124"/>
      <c r="D22" s="124"/>
      <c r="E22" s="124"/>
      <c r="F22" s="124"/>
    </row>
    <row r="23" spans="2:6" ht="18" customHeight="1" thickBot="1" x14ac:dyDescent="0.3">
      <c r="B23" s="124"/>
      <c r="C23" s="124"/>
      <c r="D23" s="124"/>
      <c r="E23" s="124"/>
      <c r="F23" s="124"/>
    </row>
    <row r="24" spans="2:6" ht="18" customHeight="1" thickBot="1" x14ac:dyDescent="0.3">
      <c r="B24" s="124"/>
      <c r="C24" s="124"/>
      <c r="D24" s="124"/>
      <c r="E24" s="124"/>
      <c r="F24" s="124"/>
    </row>
    <row r="25" spans="2:6" ht="18" customHeight="1" thickBot="1" x14ac:dyDescent="0.3">
      <c r="B25" s="124"/>
      <c r="C25" s="124"/>
      <c r="D25" s="124"/>
      <c r="E25" s="124"/>
      <c r="F25" s="124"/>
    </row>
    <row r="26" spans="2:6" ht="15.75" thickBot="1" x14ac:dyDescent="0.3"/>
    <row r="27" spans="2:6" ht="15.75" thickBot="1" x14ac:dyDescent="0.3">
      <c r="B27" s="126" t="s">
        <v>2894</v>
      </c>
    </row>
    <row r="28" spans="2:6" ht="15.75" thickBot="1" x14ac:dyDescent="0.3">
      <c r="B28" s="131" t="s">
        <v>2889</v>
      </c>
      <c r="C28" s="132" t="s">
        <v>2890</v>
      </c>
      <c r="D28" s="132" t="s">
        <v>2891</v>
      </c>
      <c r="E28" s="132" t="s">
        <v>2892</v>
      </c>
      <c r="F28" s="122" t="s">
        <v>2895</v>
      </c>
    </row>
    <row r="29" spans="2:6" ht="18" customHeight="1" thickBot="1" x14ac:dyDescent="0.3">
      <c r="B29" s="124"/>
      <c r="C29" s="124"/>
      <c r="D29" s="124"/>
      <c r="E29" s="124"/>
      <c r="F29" s="124"/>
    </row>
    <row r="30" spans="2:6" ht="18" customHeight="1" thickBot="1" x14ac:dyDescent="0.3">
      <c r="B30" s="124"/>
      <c r="C30" s="124"/>
      <c r="D30" s="124"/>
      <c r="E30" s="124"/>
      <c r="F30" s="124"/>
    </row>
    <row r="31" spans="2:6" ht="18" customHeight="1" thickBot="1" x14ac:dyDescent="0.3">
      <c r="B31" s="124"/>
      <c r="C31" s="124"/>
      <c r="D31" s="124"/>
      <c r="E31" s="124"/>
      <c r="F31" s="124"/>
    </row>
    <row r="32" spans="2:6" ht="18" customHeight="1" thickBot="1" x14ac:dyDescent="0.3">
      <c r="B32" s="124"/>
      <c r="C32" s="124"/>
      <c r="D32" s="124"/>
      <c r="E32" s="124"/>
      <c r="F32" s="124"/>
    </row>
    <row r="33" spans="1:6" ht="15.75" thickBot="1" x14ac:dyDescent="0.3"/>
    <row r="34" spans="1:6" ht="15.75" thickBot="1" x14ac:dyDescent="0.3">
      <c r="B34" s="424" t="s">
        <v>2896</v>
      </c>
      <c r="C34" s="425"/>
      <c r="D34" s="122"/>
    </row>
    <row r="35" spans="1:6" ht="15.75" thickBot="1" x14ac:dyDescent="0.3">
      <c r="B35" s="133" t="s">
        <v>2897</v>
      </c>
      <c r="C35" s="134" t="s">
        <v>2898</v>
      </c>
      <c r="D35" s="426" t="s">
        <v>2899</v>
      </c>
      <c r="E35" s="426"/>
      <c r="F35" s="135"/>
    </row>
    <row r="36" spans="1:6" ht="17.100000000000001" customHeight="1" x14ac:dyDescent="0.25">
      <c r="A36" s="136">
        <v>1</v>
      </c>
      <c r="B36" s="137"/>
      <c r="C36" s="138"/>
      <c r="D36" s="427"/>
      <c r="E36" s="428"/>
      <c r="F36" s="429"/>
    </row>
    <row r="37" spans="1:6" ht="17.100000000000001" customHeight="1" x14ac:dyDescent="0.25">
      <c r="A37" s="136">
        <v>2</v>
      </c>
      <c r="B37" s="139"/>
      <c r="C37" s="140"/>
      <c r="D37" s="409"/>
      <c r="E37" s="410"/>
      <c r="F37" s="411"/>
    </row>
    <row r="38" spans="1:6" ht="17.100000000000001" customHeight="1" x14ac:dyDescent="0.25">
      <c r="A38" s="136">
        <v>3</v>
      </c>
      <c r="B38" s="139"/>
      <c r="C38" s="140"/>
      <c r="D38" s="409"/>
      <c r="E38" s="410"/>
      <c r="F38" s="411"/>
    </row>
    <row r="39" spans="1:6" ht="17.100000000000001" customHeight="1" x14ac:dyDescent="0.25">
      <c r="A39" s="136">
        <v>4</v>
      </c>
      <c r="B39" s="139"/>
      <c r="C39" s="140"/>
      <c r="D39" s="409"/>
      <c r="E39" s="410"/>
      <c r="F39" s="411"/>
    </row>
    <row r="40" spans="1:6" ht="17.100000000000001" customHeight="1" x14ac:dyDescent="0.25">
      <c r="A40" s="136">
        <v>5</v>
      </c>
      <c r="B40" s="139"/>
      <c r="C40" s="140"/>
      <c r="D40" s="409"/>
      <c r="E40" s="410"/>
      <c r="F40" s="411"/>
    </row>
    <row r="41" spans="1:6" ht="17.100000000000001" customHeight="1" x14ac:dyDescent="0.25">
      <c r="A41" s="136">
        <v>6</v>
      </c>
      <c r="B41" s="139"/>
      <c r="C41" s="140"/>
      <c r="D41" s="409"/>
      <c r="E41" s="410"/>
      <c r="F41" s="411"/>
    </row>
    <row r="42" spans="1:6" ht="17.100000000000001" customHeight="1" x14ac:dyDescent="0.25">
      <c r="A42" s="136">
        <v>7</v>
      </c>
      <c r="B42" s="139"/>
      <c r="C42" s="140"/>
      <c r="D42" s="409"/>
      <c r="E42" s="410"/>
      <c r="F42" s="411"/>
    </row>
    <row r="43" spans="1:6" ht="17.100000000000001" customHeight="1" x14ac:dyDescent="0.25">
      <c r="A43" s="136">
        <v>8</v>
      </c>
      <c r="B43" s="139"/>
      <c r="C43" s="140"/>
      <c r="D43" s="409"/>
      <c r="E43" s="410"/>
      <c r="F43" s="411"/>
    </row>
    <row r="44" spans="1:6" ht="17.100000000000001" customHeight="1" x14ac:dyDescent="0.25">
      <c r="A44" s="136">
        <v>9</v>
      </c>
      <c r="B44" s="139"/>
      <c r="C44" s="140"/>
      <c r="D44" s="409"/>
      <c r="E44" s="410"/>
      <c r="F44" s="411"/>
    </row>
    <row r="45" spans="1:6" ht="17.100000000000001" customHeight="1" x14ac:dyDescent="0.25">
      <c r="A45" s="136">
        <v>10</v>
      </c>
      <c r="B45" s="139"/>
      <c r="C45" s="140"/>
      <c r="D45" s="409"/>
      <c r="E45" s="410"/>
      <c r="F45" s="411"/>
    </row>
    <row r="46" spans="1:6" ht="15.75" thickBot="1" x14ac:dyDescent="0.3"/>
    <row r="47" spans="1:6" ht="15.75" thickBot="1" x14ac:dyDescent="0.3">
      <c r="B47" s="121" t="s">
        <v>2900</v>
      </c>
      <c r="C47" s="130"/>
      <c r="D47" s="122"/>
    </row>
    <row r="48" spans="1:6" ht="15.75" thickBot="1" x14ac:dyDescent="0.3">
      <c r="B48" s="133" t="s">
        <v>79</v>
      </c>
      <c r="C48" s="141" t="s">
        <v>2901</v>
      </c>
      <c r="D48" s="134" t="s">
        <v>2902</v>
      </c>
      <c r="E48" s="134" t="s">
        <v>2903</v>
      </c>
      <c r="F48" s="135" t="s">
        <v>2904</v>
      </c>
    </row>
    <row r="49" spans="1:6" ht="18.75" x14ac:dyDescent="0.3">
      <c r="A49" s="136">
        <v>1</v>
      </c>
      <c r="B49" s="168"/>
      <c r="C49" s="168"/>
      <c r="D49" s="142"/>
      <c r="E49" s="139"/>
      <c r="F49" s="139"/>
    </row>
    <row r="50" spans="1:6" ht="18.75" x14ac:dyDescent="0.3">
      <c r="A50" s="136">
        <v>2</v>
      </c>
      <c r="B50" s="168"/>
      <c r="C50" s="168"/>
      <c r="D50" s="143"/>
      <c r="E50" s="139"/>
      <c r="F50" s="139"/>
    </row>
    <row r="51" spans="1:6" ht="18.75" x14ac:dyDescent="0.3">
      <c r="A51" s="136">
        <v>3</v>
      </c>
      <c r="B51" s="168"/>
      <c r="C51" s="168"/>
      <c r="D51" s="143"/>
      <c r="E51" s="139"/>
      <c r="F51" s="139"/>
    </row>
    <row r="52" spans="1:6" ht="18.75" x14ac:dyDescent="0.3">
      <c r="A52" s="136">
        <v>4</v>
      </c>
      <c r="B52" s="168"/>
      <c r="C52" s="168"/>
      <c r="D52" s="143"/>
      <c r="E52" s="139"/>
      <c r="F52" s="139"/>
    </row>
    <row r="53" spans="1:6" ht="18.75" x14ac:dyDescent="0.3">
      <c r="A53" s="136">
        <v>5</v>
      </c>
      <c r="B53" s="168"/>
      <c r="C53" s="168"/>
      <c r="D53" s="143"/>
      <c r="E53" s="139"/>
      <c r="F53" s="139"/>
    </row>
    <row r="54" spans="1:6" ht="18.75" x14ac:dyDescent="0.3">
      <c r="A54" s="136">
        <v>6</v>
      </c>
      <c r="B54" s="168"/>
      <c r="C54" s="168"/>
      <c r="D54" s="142"/>
      <c r="E54" s="139"/>
      <c r="F54" s="139"/>
    </row>
    <row r="55" spans="1:6" ht="18.75" x14ac:dyDescent="0.3">
      <c r="A55" s="136">
        <v>7</v>
      </c>
      <c r="B55" s="168"/>
      <c r="C55" s="168"/>
      <c r="D55" s="143"/>
      <c r="E55" s="139"/>
      <c r="F55" s="139"/>
    </row>
    <row r="56" spans="1:6" ht="18.75" x14ac:dyDescent="0.3">
      <c r="A56" s="136">
        <v>8</v>
      </c>
      <c r="B56" s="168"/>
      <c r="C56" s="168"/>
      <c r="D56" s="143"/>
      <c r="E56" s="139"/>
      <c r="F56" s="139"/>
    </row>
    <row r="57" spans="1:6" ht="18.75" x14ac:dyDescent="0.3">
      <c r="A57" s="136">
        <v>9</v>
      </c>
      <c r="B57" s="166"/>
      <c r="C57" s="166"/>
      <c r="D57" s="143"/>
      <c r="E57" s="139"/>
      <c r="F57" s="139"/>
    </row>
    <row r="58" spans="1:6" ht="18.75" x14ac:dyDescent="0.3">
      <c r="A58" s="136">
        <v>10</v>
      </c>
      <c r="B58" s="168"/>
      <c r="C58" s="168"/>
      <c r="D58" s="143"/>
      <c r="E58" s="139"/>
      <c r="F58" s="139"/>
    </row>
    <row r="59" spans="1:6" ht="18.75" x14ac:dyDescent="0.3">
      <c r="A59" s="136">
        <v>11</v>
      </c>
      <c r="B59" s="166"/>
      <c r="C59" s="166"/>
      <c r="D59" s="143"/>
      <c r="E59" s="139"/>
      <c r="F59" s="139"/>
    </row>
    <row r="60" spans="1:6" ht="17.100000000000001" customHeight="1" x14ac:dyDescent="0.25"/>
    <row r="61" spans="1:6" ht="17.100000000000001" customHeight="1" x14ac:dyDescent="0.25"/>
    <row r="62" spans="1:6" ht="17.100000000000001" customHeight="1" x14ac:dyDescent="0.25"/>
    <row r="63" spans="1:6" ht="17.100000000000001" customHeight="1" x14ac:dyDescent="0.25"/>
  </sheetData>
  <mergeCells count="19">
    <mergeCell ref="D40:F40"/>
    <mergeCell ref="B2:C2"/>
    <mergeCell ref="E3:F3"/>
    <mergeCell ref="B7:C7"/>
    <mergeCell ref="B8:C11"/>
    <mergeCell ref="E13:F13"/>
    <mergeCell ref="B34:C34"/>
    <mergeCell ref="D35:E35"/>
    <mergeCell ref="D36:F36"/>
    <mergeCell ref="D37:F37"/>
    <mergeCell ref="D38:F38"/>
    <mergeCell ref="D39:F39"/>
    <mergeCell ref="E4:F4"/>
    <mergeCell ref="E8:F8"/>
    <mergeCell ref="D41:F41"/>
    <mergeCell ref="D42:F42"/>
    <mergeCell ref="D43:F43"/>
    <mergeCell ref="D44:F44"/>
    <mergeCell ref="D45:F45"/>
  </mergeCells>
  <conditionalFormatting sqref="B36:F45">
    <cfRule type="expression" dxfId="2" priority="3">
      <formula>MOD(ROW(),2)</formula>
    </cfRule>
  </conditionalFormatting>
  <conditionalFormatting sqref="B49:F59">
    <cfRule type="expression" dxfId="1" priority="4">
      <formula>MOD(ROW(),2)</formula>
    </cfRule>
  </conditionalFormatting>
  <pageMargins left="0.7" right="0.7" top="0.75" bottom="0.75" header="0.3" footer="0.3"/>
  <pageSetup scale="10" orientation="landscape" horizontalDpi="4294967293"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B1:F20"/>
  <sheetViews>
    <sheetView zoomScale="80" zoomScaleNormal="80" workbookViewId="0">
      <selection activeCell="F29" sqref="F29:F30"/>
    </sheetView>
  </sheetViews>
  <sheetFormatPr defaultColWidth="9.140625" defaultRowHeight="15" x14ac:dyDescent="0.25"/>
  <cols>
    <col min="1" max="1" width="2" customWidth="1"/>
    <col min="2" max="2" width="19" customWidth="1"/>
    <col min="3" max="3" width="17.42578125" customWidth="1"/>
    <col min="4" max="4" width="72.42578125" bestFit="1" customWidth="1"/>
    <col min="5" max="5" width="10.5703125" bestFit="1" customWidth="1"/>
    <col min="6" max="6" width="67.42578125" customWidth="1"/>
  </cols>
  <sheetData>
    <row r="1" spans="2:6" ht="19.5" thickBot="1" x14ac:dyDescent="0.35">
      <c r="B1" s="432" t="s">
        <v>2905</v>
      </c>
      <c r="C1" s="433"/>
      <c r="D1" s="434"/>
      <c r="E1" s="157"/>
      <c r="F1" s="157"/>
    </row>
    <row r="2" spans="2:6" ht="19.5" thickBot="1" x14ac:dyDescent="0.35">
      <c r="B2" s="435" t="str">
        <f>'2. Items to Test'!C2</f>
        <v>1240. 14 BMW X5 (F15) 3.0T (N55) Auto RWD (Brown) (00793)</v>
      </c>
      <c r="C2" s="436"/>
      <c r="D2" s="436"/>
      <c r="E2" s="437"/>
      <c r="F2" s="158"/>
    </row>
    <row r="3" spans="2:6" ht="18.75" x14ac:dyDescent="0.3">
      <c r="B3" s="159" t="s">
        <v>2906</v>
      </c>
      <c r="C3" s="160" t="s">
        <v>386</v>
      </c>
      <c r="D3" s="160" t="s">
        <v>79</v>
      </c>
      <c r="E3" s="161" t="s">
        <v>1855</v>
      </c>
      <c r="F3" s="161" t="s">
        <v>2901</v>
      </c>
    </row>
    <row r="4" spans="2:6" ht="18.75" x14ac:dyDescent="0.3">
      <c r="B4" s="162"/>
      <c r="C4" s="163"/>
      <c r="D4" s="163"/>
      <c r="E4" s="164"/>
      <c r="F4" s="163"/>
    </row>
    <row r="5" spans="2:6" ht="18.75" x14ac:dyDescent="0.3">
      <c r="B5" s="162"/>
      <c r="C5" s="163"/>
      <c r="D5" s="163"/>
      <c r="E5" s="163"/>
      <c r="F5" s="163"/>
    </row>
    <row r="6" spans="2:6" ht="18.75" x14ac:dyDescent="0.3">
      <c r="B6" s="162"/>
      <c r="C6" s="163"/>
      <c r="D6" s="163"/>
      <c r="E6" s="163"/>
      <c r="F6" s="163"/>
    </row>
    <row r="7" spans="2:6" ht="18.75" x14ac:dyDescent="0.3">
      <c r="B7" s="162"/>
      <c r="C7" s="163"/>
      <c r="D7" s="163"/>
      <c r="E7" s="163"/>
      <c r="F7" s="163"/>
    </row>
    <row r="8" spans="2:6" ht="18.75" x14ac:dyDescent="0.3">
      <c r="B8" s="167"/>
      <c r="C8" s="168"/>
      <c r="D8" s="168"/>
      <c r="E8" s="169"/>
      <c r="F8" s="168"/>
    </row>
    <row r="9" spans="2:6" ht="18.75" x14ac:dyDescent="0.3">
      <c r="B9" s="167"/>
      <c r="C9" s="168"/>
      <c r="D9" s="168"/>
      <c r="E9" s="170"/>
      <c r="F9" s="168"/>
    </row>
    <row r="10" spans="2:6" ht="18.75" x14ac:dyDescent="0.3">
      <c r="B10" s="167"/>
      <c r="C10" s="168"/>
      <c r="D10" s="168"/>
      <c r="E10" s="169"/>
      <c r="F10" s="168"/>
    </row>
    <row r="11" spans="2:6" ht="18.75" x14ac:dyDescent="0.3">
      <c r="B11" s="167"/>
      <c r="C11" s="168"/>
      <c r="D11" s="168"/>
      <c r="E11" s="170"/>
      <c r="F11" s="168"/>
    </row>
    <row r="12" spans="2:6" ht="18.75" x14ac:dyDescent="0.3">
      <c r="B12" s="167"/>
      <c r="C12" s="168"/>
      <c r="D12" s="168"/>
      <c r="E12" s="168"/>
      <c r="F12" s="168"/>
    </row>
    <row r="13" spans="2:6" ht="18.75" x14ac:dyDescent="0.3">
      <c r="B13" s="167"/>
      <c r="C13" s="168"/>
      <c r="D13" s="168"/>
      <c r="E13" s="168"/>
      <c r="F13" s="168"/>
    </row>
    <row r="14" spans="2:6" ht="18.75" x14ac:dyDescent="0.3">
      <c r="B14" s="167"/>
      <c r="C14" s="168"/>
      <c r="D14" s="168"/>
      <c r="E14" s="168"/>
      <c r="F14" s="168"/>
    </row>
    <row r="15" spans="2:6" ht="18.75" x14ac:dyDescent="0.3">
      <c r="B15" s="167"/>
      <c r="C15" s="168"/>
      <c r="D15" s="168"/>
      <c r="E15" s="170"/>
      <c r="F15" s="168"/>
    </row>
    <row r="16" spans="2:6" ht="18.75" x14ac:dyDescent="0.3">
      <c r="B16" s="162"/>
      <c r="C16" s="163"/>
      <c r="D16" s="163"/>
      <c r="E16" s="164"/>
      <c r="F16" s="163"/>
    </row>
    <row r="17" spans="2:6" ht="18.75" x14ac:dyDescent="0.3">
      <c r="B17" s="167"/>
      <c r="C17" s="168"/>
      <c r="D17" s="168"/>
      <c r="E17" s="170"/>
      <c r="F17" s="168"/>
    </row>
    <row r="18" spans="2:6" ht="18.75" x14ac:dyDescent="0.3">
      <c r="B18" s="165"/>
      <c r="C18" s="166"/>
      <c r="D18" s="166"/>
      <c r="E18" s="166"/>
      <c r="F18" s="166"/>
    </row>
    <row r="19" spans="2:6" ht="18.75" x14ac:dyDescent="0.3">
      <c r="B19" s="162"/>
      <c r="C19" s="163"/>
      <c r="D19" s="163"/>
      <c r="E19" s="163"/>
      <c r="F19" s="163"/>
    </row>
    <row r="20" spans="2:6" ht="18.75" x14ac:dyDescent="0.3">
      <c r="B20" s="167"/>
      <c r="C20" s="168"/>
      <c r="D20" s="168"/>
      <c r="E20" s="168"/>
      <c r="F20" s="168"/>
    </row>
  </sheetData>
  <autoFilter ref="B3:N20" xr:uid="{00000000-0001-0000-0800-000000000000}"/>
  <mergeCells count="2">
    <mergeCell ref="B1:D1"/>
    <mergeCell ref="B2:E2"/>
  </mergeCells>
  <conditionalFormatting sqref="B4:F20">
    <cfRule type="expression" dxfId="0" priority="1">
      <formula>MOD(ROW(),2)=0</formula>
    </cfRule>
  </conditionalFormatting>
  <pageMargins left="0.7" right="0.7" top="0.75" bottom="0.75" header="0.3" footer="0.3"/>
  <pageSetup scale="10" orientation="landscape" horizontalDpi="4294967293"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B1:D19"/>
  <sheetViews>
    <sheetView showGridLines="0" workbookViewId="0">
      <selection activeCell="C21" sqref="C21"/>
    </sheetView>
  </sheetViews>
  <sheetFormatPr defaultRowHeight="15" x14ac:dyDescent="0.25"/>
  <cols>
    <col min="2" max="2" width="46.42578125" customWidth="1"/>
    <col min="3" max="3" width="74.28515625" customWidth="1"/>
    <col min="4" max="4" width="20.140625" customWidth="1"/>
  </cols>
  <sheetData>
    <row r="1" spans="2:4" ht="15.75" thickBot="1" x14ac:dyDescent="0.3"/>
    <row r="2" spans="2:4" ht="15.75" thickBot="1" x14ac:dyDescent="0.3">
      <c r="B2" s="21" t="s">
        <v>2907</v>
      </c>
      <c r="C2" s="22"/>
    </row>
    <row r="3" spans="2:4" ht="15.75" thickBot="1" x14ac:dyDescent="0.3">
      <c r="B3" s="23" t="s">
        <v>2908</v>
      </c>
      <c r="C3" s="68" t="s">
        <v>2909</v>
      </c>
    </row>
    <row r="4" spans="2:4" ht="15.75" thickBot="1" x14ac:dyDescent="0.3">
      <c r="B4" s="23" t="s">
        <v>2910</v>
      </c>
      <c r="C4" s="25">
        <v>14.5038</v>
      </c>
      <c r="D4" s="26"/>
    </row>
    <row r="5" spans="2:4" ht="15.75" thickBot="1" x14ac:dyDescent="0.3">
      <c r="B5" s="23"/>
      <c r="C5" s="51" t="s">
        <v>2911</v>
      </c>
      <c r="D5" s="52" t="s">
        <v>2912</v>
      </c>
    </row>
    <row r="6" spans="2:4" ht="15.75" thickBot="1" x14ac:dyDescent="0.3">
      <c r="B6" s="149" t="s">
        <v>2913</v>
      </c>
      <c r="C6" s="27">
        <v>10</v>
      </c>
      <c r="D6" s="150">
        <f>C6*C4</f>
        <v>145.03800000000001</v>
      </c>
    </row>
    <row r="7" spans="2:4" ht="15.75" thickBot="1" x14ac:dyDescent="0.3">
      <c r="B7" s="149" t="s">
        <v>2914</v>
      </c>
      <c r="C7" s="27">
        <v>16</v>
      </c>
      <c r="D7" s="150">
        <f>C7*C4</f>
        <v>232.0608</v>
      </c>
    </row>
    <row r="8" spans="2:4" ht="15.75" thickBot="1" x14ac:dyDescent="0.3">
      <c r="B8" s="149" t="s">
        <v>2915</v>
      </c>
      <c r="C8" s="27" t="s">
        <v>2916</v>
      </c>
      <c r="D8" s="150" t="s">
        <v>2917</v>
      </c>
    </row>
    <row r="9" spans="2:4" ht="15.75" thickBot="1" x14ac:dyDescent="0.3">
      <c r="B9" s="149" t="s">
        <v>2918</v>
      </c>
      <c r="C9" s="27">
        <v>2</v>
      </c>
      <c r="D9" s="150">
        <f>C9*C4</f>
        <v>29.0076</v>
      </c>
    </row>
    <row r="10" spans="2:4" ht="15.75" thickBot="1" x14ac:dyDescent="0.3">
      <c r="B10" s="1"/>
      <c r="C10" s="28"/>
    </row>
    <row r="11" spans="2:4" ht="15.75" thickBot="1" x14ac:dyDescent="0.3">
      <c r="B11" s="113" t="s">
        <v>2919</v>
      </c>
      <c r="C11" s="114" t="s">
        <v>2920</v>
      </c>
      <c r="D11" s="52" t="s">
        <v>2921</v>
      </c>
    </row>
    <row r="12" spans="2:4" x14ac:dyDescent="0.25">
      <c r="B12" s="115">
        <v>1</v>
      </c>
      <c r="C12" s="116"/>
      <c r="D12" s="117"/>
    </row>
    <row r="13" spans="2:4" x14ac:dyDescent="0.25">
      <c r="B13" s="110">
        <v>2</v>
      </c>
      <c r="C13" s="10"/>
      <c r="D13" s="118"/>
    </row>
    <row r="14" spans="2:4" x14ac:dyDescent="0.25">
      <c r="B14" s="110">
        <v>3</v>
      </c>
      <c r="C14" s="10"/>
      <c r="D14" s="118"/>
    </row>
    <row r="15" spans="2:4" x14ac:dyDescent="0.25">
      <c r="B15" s="119">
        <v>4</v>
      </c>
      <c r="C15" s="10"/>
      <c r="D15" s="118"/>
    </row>
    <row r="16" spans="2:4" x14ac:dyDescent="0.25">
      <c r="B16" s="110">
        <v>5</v>
      </c>
      <c r="C16" s="10"/>
      <c r="D16" s="118"/>
    </row>
    <row r="17" spans="2:4" x14ac:dyDescent="0.25">
      <c r="B17" s="110">
        <v>6</v>
      </c>
      <c r="C17" s="10"/>
      <c r="D17" s="118"/>
    </row>
    <row r="19" spans="2:4" x14ac:dyDescent="0.25">
      <c r="B19" t="s">
        <v>2922</v>
      </c>
    </row>
  </sheetData>
  <pageMargins left="0.7" right="0.7" top="0.75" bottom="0.75" header="0.3" footer="0.3"/>
  <pageSetup scale="81" orientation="landscape" horizontalDpi="4294967293"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1">
    <pageSetUpPr fitToPage="1"/>
  </sheetPr>
  <dimension ref="A2:B60"/>
  <sheetViews>
    <sheetView showGridLines="0" topLeftCell="A17" workbookViewId="0">
      <selection activeCell="C20" sqref="C20"/>
    </sheetView>
  </sheetViews>
  <sheetFormatPr defaultRowHeight="15" x14ac:dyDescent="0.25"/>
  <cols>
    <col min="1" max="1" width="12.42578125" style="5" bestFit="1" customWidth="1"/>
    <col min="2" max="2" width="104.28515625" customWidth="1"/>
  </cols>
  <sheetData>
    <row r="2" spans="1:2" s="12" customFormat="1" ht="75" x14ac:dyDescent="0.25">
      <c r="A2" s="14" t="s">
        <v>2923</v>
      </c>
      <c r="B2" s="13" t="s">
        <v>2924</v>
      </c>
    </row>
    <row r="4" spans="1:2" s="12" customFormat="1" ht="30" x14ac:dyDescent="0.25">
      <c r="A4" s="14" t="s">
        <v>2925</v>
      </c>
      <c r="B4" s="13" t="s">
        <v>2926</v>
      </c>
    </row>
    <row r="6" spans="1:2" s="12" customFormat="1" x14ac:dyDescent="0.25">
      <c r="A6" s="14" t="s">
        <v>2927</v>
      </c>
      <c r="B6" s="13" t="s">
        <v>2928</v>
      </c>
    </row>
    <row r="8" spans="1:2" s="12" customFormat="1" ht="45" x14ac:dyDescent="0.25">
      <c r="A8" s="14" t="s">
        <v>2929</v>
      </c>
      <c r="B8" s="13" t="s">
        <v>2930</v>
      </c>
    </row>
    <row r="10" spans="1:2" s="12" customFormat="1" ht="30" x14ac:dyDescent="0.25">
      <c r="A10" s="14" t="s">
        <v>2931</v>
      </c>
      <c r="B10" s="13" t="s">
        <v>2932</v>
      </c>
    </row>
    <row r="12" spans="1:2" s="12" customFormat="1" ht="154.5" customHeight="1" x14ac:dyDescent="0.25">
      <c r="A12" s="14" t="s">
        <v>2933</v>
      </c>
      <c r="B12" s="13" t="s">
        <v>2934</v>
      </c>
    </row>
    <row r="13" spans="1:2" s="12" customFormat="1" ht="69" customHeight="1" x14ac:dyDescent="0.25">
      <c r="A13" s="14" t="s">
        <v>2935</v>
      </c>
      <c r="B13" s="13" t="s">
        <v>2936</v>
      </c>
    </row>
    <row r="14" spans="1:2" s="12" customFormat="1" ht="79.5" customHeight="1" x14ac:dyDescent="0.25">
      <c r="A14" s="14" t="s">
        <v>2937</v>
      </c>
      <c r="B14" s="13" t="s">
        <v>2938</v>
      </c>
    </row>
    <row r="15" spans="1:2" s="12" customFormat="1" ht="53.25" customHeight="1" x14ac:dyDescent="0.25">
      <c r="A15" s="14" t="s">
        <v>2939</v>
      </c>
      <c r="B15" s="13" t="s">
        <v>2940</v>
      </c>
    </row>
    <row r="16" spans="1:2" s="12" customFormat="1" ht="53.25" customHeight="1" x14ac:dyDescent="0.25">
      <c r="A16" s="14" t="s">
        <v>2941</v>
      </c>
      <c r="B16" s="13" t="s">
        <v>2942</v>
      </c>
    </row>
    <row r="17" spans="1:2" s="12" customFormat="1" ht="58.5" customHeight="1" x14ac:dyDescent="0.25">
      <c r="A17" s="14" t="s">
        <v>2943</v>
      </c>
      <c r="B17" s="13" t="s">
        <v>2944</v>
      </c>
    </row>
    <row r="18" spans="1:2" s="12" customFormat="1" ht="114" customHeight="1" x14ac:dyDescent="0.25">
      <c r="A18" s="14" t="s">
        <v>2945</v>
      </c>
      <c r="B18" s="13" t="s">
        <v>2946</v>
      </c>
    </row>
    <row r="19" spans="1:2" s="12" customFormat="1" ht="80.25" customHeight="1" x14ac:dyDescent="0.25">
      <c r="A19" s="14" t="s">
        <v>2947</v>
      </c>
      <c r="B19" s="13" t="s">
        <v>2948</v>
      </c>
    </row>
    <row r="20" spans="1:2" s="12" customFormat="1" ht="132.75" customHeight="1" x14ac:dyDescent="0.25">
      <c r="A20" s="14" t="s">
        <v>2949</v>
      </c>
      <c r="B20" s="13" t="s">
        <v>2950</v>
      </c>
    </row>
    <row r="22" spans="1:2" s="12" customFormat="1" ht="30" x14ac:dyDescent="0.25">
      <c r="A22" s="14" t="s">
        <v>648</v>
      </c>
      <c r="B22" s="13" t="s">
        <v>2951</v>
      </c>
    </row>
    <row r="24" spans="1:2" s="12" customFormat="1" x14ac:dyDescent="0.25">
      <c r="A24" s="14" t="s">
        <v>2952</v>
      </c>
      <c r="B24" s="13"/>
    </row>
    <row r="26" spans="1:2" x14ac:dyDescent="0.25">
      <c r="A26" s="14" t="s">
        <v>2953</v>
      </c>
      <c r="B26" s="13"/>
    </row>
    <row r="28" spans="1:2" x14ac:dyDescent="0.25">
      <c r="A28" s="14" t="s">
        <v>2954</v>
      </c>
      <c r="B28" s="13"/>
    </row>
    <row r="30" spans="1:2" x14ac:dyDescent="0.25">
      <c r="A30" s="14" t="s">
        <v>2955</v>
      </c>
      <c r="B30" s="13"/>
    </row>
    <row r="32" spans="1:2" x14ac:dyDescent="0.25">
      <c r="A32" s="14" t="s">
        <v>2956</v>
      </c>
      <c r="B32" s="13"/>
    </row>
    <row r="34" spans="1:2" x14ac:dyDescent="0.25">
      <c r="A34" s="14" t="s">
        <v>2957</v>
      </c>
      <c r="B34" s="13"/>
    </row>
    <row r="36" spans="1:2" ht="30" x14ac:dyDescent="0.25">
      <c r="A36" s="14" t="s">
        <v>786</v>
      </c>
      <c r="B36" s="13" t="s">
        <v>2958</v>
      </c>
    </row>
    <row r="38" spans="1:2" x14ac:dyDescent="0.25">
      <c r="A38" s="14" t="s">
        <v>2959</v>
      </c>
      <c r="B38" s="13"/>
    </row>
    <row r="40" spans="1:2" x14ac:dyDescent="0.25">
      <c r="A40" s="14" t="s">
        <v>2960</v>
      </c>
      <c r="B40" s="13"/>
    </row>
    <row r="42" spans="1:2" x14ac:dyDescent="0.25">
      <c r="A42" s="14" t="s">
        <v>434</v>
      </c>
      <c r="B42" s="13"/>
    </row>
    <row r="44" spans="1:2" x14ac:dyDescent="0.25">
      <c r="A44" s="14" t="s">
        <v>2961</v>
      </c>
      <c r="B44" s="13"/>
    </row>
    <row r="46" spans="1:2" x14ac:dyDescent="0.25">
      <c r="A46" s="14" t="s">
        <v>2962</v>
      </c>
      <c r="B46" s="13"/>
    </row>
    <row r="48" spans="1:2" x14ac:dyDescent="0.25">
      <c r="A48" s="14" t="s">
        <v>2963</v>
      </c>
      <c r="B48" s="13"/>
    </row>
    <row r="50" spans="1:2" x14ac:dyDescent="0.25">
      <c r="A50" s="14" t="s">
        <v>2964</v>
      </c>
      <c r="B50" s="13"/>
    </row>
    <row r="52" spans="1:2" x14ac:dyDescent="0.25">
      <c r="A52" s="14" t="s">
        <v>2965</v>
      </c>
      <c r="B52" s="13"/>
    </row>
    <row r="54" spans="1:2" x14ac:dyDescent="0.25">
      <c r="A54" s="14" t="s">
        <v>2966</v>
      </c>
      <c r="B54" s="13"/>
    </row>
    <row r="56" spans="1:2" x14ac:dyDescent="0.25">
      <c r="A56" s="14" t="s">
        <v>2967</v>
      </c>
      <c r="B56" s="13"/>
    </row>
    <row r="58" spans="1:2" x14ac:dyDescent="0.25">
      <c r="A58" s="14" t="s">
        <v>2968</v>
      </c>
      <c r="B58" s="13"/>
    </row>
    <row r="60" spans="1:2" ht="30" x14ac:dyDescent="0.25">
      <c r="A60" s="14" t="s">
        <v>2969</v>
      </c>
      <c r="B60" s="13" t="s">
        <v>2970</v>
      </c>
    </row>
  </sheetData>
  <pageMargins left="0.7" right="0.7" top="0.75" bottom="0.75" header="0.3" footer="0.3"/>
  <pageSetup scale="37"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vt:i4>
      </vt:variant>
    </vt:vector>
  </HeadingPairs>
  <TitlesOfParts>
    <vt:vector size="20" baseType="lpstr">
      <vt:lpstr>1. Template Stats</vt:lpstr>
      <vt:lpstr>2. Items to Test</vt:lpstr>
      <vt:lpstr>Item# &amp; Tag#</vt:lpstr>
      <vt:lpstr>3. Keep &amp; Toss Items</vt:lpstr>
      <vt:lpstr>3A. Print Tags View</vt:lpstr>
      <vt:lpstr>3B. Pusher View</vt:lpstr>
      <vt:lpstr>3C. Check for Part #</vt:lpstr>
      <vt:lpstr>3D. Pictures</vt:lpstr>
      <vt:lpstr>Sheet1</vt:lpstr>
      <vt:lpstr>3D-1. Picture Count Check</vt:lpstr>
      <vt:lpstr>8. Option Codes Decrypted</vt:lpstr>
      <vt:lpstr>4. FLAWs &amp; PERMANENT NOTES</vt:lpstr>
      <vt:lpstr>5. Review &amp; Tester Info to Get</vt:lpstr>
      <vt:lpstr>6A. Dismantler Info &amp; Time</vt:lpstr>
      <vt:lpstr>6B. BAD or INSPECT</vt:lpstr>
      <vt:lpstr>6C. Engine Compression Results</vt:lpstr>
      <vt:lpstr>Tickmarks</vt:lpstr>
      <vt:lpstr>'2. Items to Test'!Print_Area</vt:lpstr>
      <vt:lpstr>'3. Keep &amp; Toss Items'!Print_Area</vt:lpstr>
      <vt:lpstr>'3. Keep &amp; Toss Items'!Print_Titles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2015-06-05T18:17:20Z</dcterms:created>
  <dcterms:modified xsi:type="dcterms:W3CDTF">2024-03-06T03:57:50Z</dcterms:modified>
  <cp:category/>
  <cp:contentStatus/>
</cp:coreProperties>
</file>