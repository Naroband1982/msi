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filterPrivacy="1" codeName="ThisWorkbook"/>
  <xr:revisionPtr revIDLastSave="0" documentId="13_ncr:1_{D98388C5-17CD-4FDA-9098-3692D69108EC}" xr6:coauthVersionLast="47" xr6:coauthVersionMax="47" xr10:uidLastSave="{00000000-0000-0000-0000-000000000000}"/>
  <bookViews>
    <workbookView xWindow="-38520" yWindow="-120" windowWidth="38640" windowHeight="21120" tabRatio="751" activeTab="6" xr2:uid="{00000000-000D-0000-FFFF-FFFF00000000}"/>
  </bookViews>
  <sheets>
    <sheet name="1. Template Stats" sheetId="18" r:id="rId1"/>
    <sheet name="2. Items to Test" sheetId="19" r:id="rId2"/>
    <sheet name="3. Keep &amp; Toss Items" sheetId="1" r:id="rId3"/>
    <sheet name="3A" sheetId="30" r:id="rId4"/>
    <sheet name="Sheet2" sheetId="31" r:id="rId5"/>
    <sheet name="Item# &amp; Tag#" sheetId="24" r:id="rId6"/>
    <sheet name="3C. Check for Part #" sheetId="26" r:id="rId7"/>
    <sheet name="3D. Pictures" sheetId="28" r:id="rId8"/>
    <sheet name="3D-1. Picture Count Check" sheetId="29" r:id="rId9"/>
    <sheet name="8. Option Codes Decrypted" sheetId="17" r:id="rId10"/>
    <sheet name="4. FLAWs &amp; PERMANENT NOTES" sheetId="2" r:id="rId11"/>
    <sheet name="5. Review &amp; Tester Info to Get" sheetId="4" r:id="rId12"/>
    <sheet name="6A. Dismantler Info &amp; Time" sheetId="22" r:id="rId13"/>
    <sheet name="6B. BAD or INSPECT" sheetId="12" r:id="rId14"/>
    <sheet name="6C. Engine Compression Results" sheetId="11" r:id="rId15"/>
    <sheet name="Tickmarks" sheetId="7" r:id="rId16"/>
  </sheets>
  <functionGroups builtInGroupCount="19"/>
  <externalReferences>
    <externalReference r:id="rId17"/>
  </externalReferences>
  <definedNames>
    <definedName name="_xlnm._FilterDatabase" localSheetId="2" hidden="1">'3. Keep &amp; Toss Items'!$A$8:$AY$1026</definedName>
    <definedName name="_xlnm._FilterDatabase" localSheetId="6" hidden="1">'3C. Check for Part #'!$B$1:$E$1</definedName>
    <definedName name="_xlnm._FilterDatabase" localSheetId="10" hidden="1">'4. FLAWs &amp; PERMANENT NOTES'!$B$2:$G$2</definedName>
    <definedName name="_xlnm._FilterDatabase" localSheetId="13" hidden="1">'6B. BAD or INSPECT'!$B$3:$N$20</definedName>
    <definedName name="_xlnm.Print_Area" localSheetId="1">'2. Items to Test'!$B$1:$G$171</definedName>
    <definedName name="_xlnm.Print_Area" localSheetId="2">'3. Keep &amp; Toss Items'!$H$1:$AH$511</definedName>
    <definedName name="_xlnm.Print_Titles" localSheetId="2">'3. Keep &amp; Toss Items'!$8:$8</definedName>
  </definedNames>
  <calcPr calcId="191029"/>
  <pivotCaches>
    <pivotCache cacheId="1" r:id="rId1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377" i="30" l="1"/>
  <c r="S377" i="30" s="1"/>
  <c r="A377" i="30"/>
  <c r="AX376" i="30"/>
  <c r="AI376" i="30"/>
  <c r="AC376" i="30"/>
  <c r="T376" i="30"/>
  <c r="S376" i="30" s="1"/>
  <c r="Q376" i="30"/>
  <c r="E376" i="30"/>
  <c r="B376" i="30"/>
  <c r="A376" i="30"/>
  <c r="AX375" i="30"/>
  <c r="AI375" i="30"/>
  <c r="AC375" i="30"/>
  <c r="T375" i="30"/>
  <c r="S375" i="30" s="1"/>
  <c r="Q375" i="30"/>
  <c r="B375" i="30"/>
  <c r="E375" i="30" s="1"/>
  <c r="A375" i="30"/>
  <c r="AX374" i="30"/>
  <c r="AI374" i="30"/>
  <c r="AC374" i="30"/>
  <c r="T374" i="30"/>
  <c r="S374" i="30" s="1"/>
  <c r="Q374" i="30"/>
  <c r="B374" i="30"/>
  <c r="E356" i="30" s="1"/>
  <c r="A374" i="30"/>
  <c r="AV373" i="30"/>
  <c r="AX373" i="30" s="1"/>
  <c r="AI373" i="30"/>
  <c r="AC373" i="30"/>
  <c r="Q373" i="30"/>
  <c r="B373" i="30"/>
  <c r="E373" i="30" s="1"/>
  <c r="A373" i="30"/>
  <c r="AX372" i="30"/>
  <c r="AQ372" i="30"/>
  <c r="AI372" i="30"/>
  <c r="AC372" i="30"/>
  <c r="Q372" i="30"/>
  <c r="B372" i="30"/>
  <c r="A372" i="30"/>
  <c r="AX371" i="30"/>
  <c r="AQ371" i="30"/>
  <c r="AI371" i="30"/>
  <c r="AC371" i="30"/>
  <c r="Q371" i="30"/>
  <c r="B371" i="30"/>
  <c r="E371" i="30" s="1"/>
  <c r="A371" i="30"/>
  <c r="AX370" i="30"/>
  <c r="AQ370" i="30"/>
  <c r="AI370" i="30"/>
  <c r="AC370" i="30"/>
  <c r="T370" i="30"/>
  <c r="S370" i="30" s="1"/>
  <c r="Q370" i="30"/>
  <c r="B370" i="30"/>
  <c r="E370" i="30" s="1"/>
  <c r="A370" i="30"/>
  <c r="AX369" i="30"/>
  <c r="AI369" i="30"/>
  <c r="AC369" i="30"/>
  <c r="T369" i="30"/>
  <c r="S369" i="30" s="1"/>
  <c r="Q369" i="30"/>
  <c r="B369" i="30"/>
  <c r="E369" i="30" s="1"/>
  <c r="A369" i="30"/>
  <c r="AX368" i="30"/>
  <c r="AI368" i="30"/>
  <c r="AC368" i="30"/>
  <c r="T368" i="30"/>
  <c r="S368" i="30" s="1"/>
  <c r="Q368" i="30"/>
  <c r="B368" i="30"/>
  <c r="E368" i="30" s="1"/>
  <c r="A368" i="30"/>
  <c r="AX367" i="30"/>
  <c r="AI367" i="30"/>
  <c r="AC367" i="30"/>
  <c r="T367" i="30"/>
  <c r="S367" i="30" s="1"/>
  <c r="Q367" i="30"/>
  <c r="B367" i="30"/>
  <c r="E367" i="30" s="1"/>
  <c r="A367" i="30"/>
  <c r="AX366" i="30"/>
  <c r="AI366" i="30"/>
  <c r="AC366" i="30"/>
  <c r="T366" i="30"/>
  <c r="S366" i="30" s="1"/>
  <c r="Q366" i="30"/>
  <c r="B366" i="30"/>
  <c r="E366" i="30" s="1"/>
  <c r="A366" i="30"/>
  <c r="AX365" i="30"/>
  <c r="AI365" i="30"/>
  <c r="AC365" i="30"/>
  <c r="T365" i="30"/>
  <c r="S365" i="30" s="1"/>
  <c r="Q365" i="30"/>
  <c r="B365" i="30"/>
  <c r="E365" i="30" s="1"/>
  <c r="A365" i="30"/>
  <c r="AX364" i="30"/>
  <c r="AI364" i="30"/>
  <c r="AC364" i="30"/>
  <c r="T364" i="30"/>
  <c r="S364" i="30"/>
  <c r="Q364" i="30"/>
  <c r="B364" i="30"/>
  <c r="E364" i="30" s="1"/>
  <c r="A364" i="30"/>
  <c r="AX363" i="30"/>
  <c r="AI363" i="30"/>
  <c r="AC363" i="30"/>
  <c r="T363" i="30"/>
  <c r="S363" i="30" s="1"/>
  <c r="Q363" i="30"/>
  <c r="B363" i="30"/>
  <c r="E363" i="30" s="1"/>
  <c r="A363" i="30"/>
  <c r="AX362" i="30"/>
  <c r="AI362" i="30"/>
  <c r="AC362" i="30"/>
  <c r="T362" i="30"/>
  <c r="S362" i="30" s="1"/>
  <c r="Q362" i="30"/>
  <c r="B362" i="30"/>
  <c r="E362" i="30" s="1"/>
  <c r="A362" i="30"/>
  <c r="AX361" i="30"/>
  <c r="AI361" i="30"/>
  <c r="AC361" i="30"/>
  <c r="T361" i="30"/>
  <c r="S361" i="30" s="1"/>
  <c r="Q361" i="30"/>
  <c r="B361" i="30"/>
  <c r="E361" i="30" s="1"/>
  <c r="A361" i="30"/>
  <c r="AX360" i="30"/>
  <c r="AI360" i="30"/>
  <c r="AC360" i="30"/>
  <c r="T360" i="30"/>
  <c r="S360" i="30" s="1"/>
  <c r="Q360" i="30"/>
  <c r="B360" i="30"/>
  <c r="E360" i="30" s="1"/>
  <c r="A360" i="30"/>
  <c r="AX359" i="30"/>
  <c r="AQ359" i="30"/>
  <c r="AI359" i="30"/>
  <c r="AC359" i="30"/>
  <c r="Q359" i="30"/>
  <c r="B359" i="30"/>
  <c r="A359" i="30"/>
  <c r="AV358" i="30"/>
  <c r="AX358" i="30" s="1"/>
  <c r="AI358" i="30"/>
  <c r="AC358" i="30"/>
  <c r="Q358" i="30"/>
  <c r="B358" i="30"/>
  <c r="E358" i="30" s="1"/>
  <c r="A358" i="30"/>
  <c r="AV357" i="30"/>
  <c r="AX357" i="30" s="1"/>
  <c r="AI357" i="30"/>
  <c r="AC357" i="30"/>
  <c r="Q357" i="30"/>
  <c r="E357" i="30"/>
  <c r="B357" i="30"/>
  <c r="A357" i="30"/>
  <c r="AX356" i="30"/>
  <c r="AQ356" i="30"/>
  <c r="AI356" i="30"/>
  <c r="AC356" i="30"/>
  <c r="Q356" i="30"/>
  <c r="B356" i="30"/>
  <c r="A356" i="30"/>
  <c r="AV355" i="30"/>
  <c r="AX355" i="30" s="1"/>
  <c r="AI355" i="30"/>
  <c r="AC355" i="30"/>
  <c r="Q355" i="30"/>
  <c r="B355" i="30"/>
  <c r="E355" i="30" s="1"/>
  <c r="A355" i="30"/>
  <c r="AX354" i="30"/>
  <c r="AQ354" i="30"/>
  <c r="AI354" i="30"/>
  <c r="AC354" i="30"/>
  <c r="Q354" i="30"/>
  <c r="B354" i="30"/>
  <c r="A354" i="30"/>
  <c r="AV353" i="30"/>
  <c r="AX353" i="30" s="1"/>
  <c r="AI353" i="30"/>
  <c r="AC353" i="30"/>
  <c r="Q353" i="30"/>
  <c r="B353" i="30"/>
  <c r="E353" i="30" s="1"/>
  <c r="A353" i="30"/>
  <c r="AV352" i="30"/>
  <c r="AX352" i="30" s="1"/>
  <c r="AI352" i="30"/>
  <c r="AC352" i="30"/>
  <c r="T352" i="30"/>
  <c r="S352" i="30"/>
  <c r="Q352" i="30"/>
  <c r="B352" i="30"/>
  <c r="E352" i="30" s="1"/>
  <c r="A352" i="30"/>
  <c r="AV351" i="30"/>
  <c r="AX351" i="30" s="1"/>
  <c r="AI351" i="30"/>
  <c r="AC351" i="30"/>
  <c r="Q351" i="30"/>
  <c r="B351" i="30"/>
  <c r="E351" i="30" s="1"/>
  <c r="A351" i="30"/>
  <c r="AX350" i="30"/>
  <c r="AI350" i="30"/>
  <c r="AC350" i="30"/>
  <c r="T350" i="30"/>
  <c r="S350" i="30" s="1"/>
  <c r="Q350" i="30"/>
  <c r="B350" i="30"/>
  <c r="E350" i="30" s="1"/>
  <c r="A350" i="30"/>
  <c r="AX349" i="30"/>
  <c r="AI349" i="30"/>
  <c r="AC349" i="30"/>
  <c r="T349" i="30"/>
  <c r="S349" i="30" s="1"/>
  <c r="Q349" i="30"/>
  <c r="B349" i="30"/>
  <c r="E349" i="30" s="1"/>
  <c r="A349" i="30"/>
  <c r="AV348" i="30"/>
  <c r="AX348" i="30" s="1"/>
  <c r="AI348" i="30"/>
  <c r="AC348" i="30"/>
  <c r="Q348" i="30"/>
  <c r="B348" i="30"/>
  <c r="E348" i="30" s="1"/>
  <c r="A348" i="30"/>
  <c r="AX347" i="30"/>
  <c r="AI347" i="30"/>
  <c r="AC347" i="30"/>
  <c r="T347" i="30"/>
  <c r="S347" i="30" s="1"/>
  <c r="Q347" i="30"/>
  <c r="B347" i="30"/>
  <c r="E347" i="30" s="1"/>
  <c r="A347" i="30"/>
  <c r="AX346" i="30"/>
  <c r="AI346" i="30"/>
  <c r="AC346" i="30"/>
  <c r="T346" i="30"/>
  <c r="S346" i="30" s="1"/>
  <c r="Q346" i="30"/>
  <c r="B346" i="30"/>
  <c r="E346" i="30" s="1"/>
  <c r="A346" i="30"/>
  <c r="AX345" i="30"/>
  <c r="AI345" i="30"/>
  <c r="AC345" i="30"/>
  <c r="T345" i="30"/>
  <c r="S345" i="30" s="1"/>
  <c r="Q345" i="30"/>
  <c r="B345" i="30"/>
  <c r="A345" i="30"/>
  <c r="AX344" i="30"/>
  <c r="AI344" i="30"/>
  <c r="AC344" i="30"/>
  <c r="T344" i="30"/>
  <c r="S344" i="30" s="1"/>
  <c r="Q344" i="30"/>
  <c r="B344" i="30"/>
  <c r="E344" i="30" s="1"/>
  <c r="A344" i="30"/>
  <c r="AX343" i="30"/>
  <c r="AQ343" i="30"/>
  <c r="AI343" i="30"/>
  <c r="AC343" i="30"/>
  <c r="T343" i="30"/>
  <c r="S343" i="30" s="1"/>
  <c r="Q343" i="30"/>
  <c r="B343" i="30"/>
  <c r="A343" i="30"/>
  <c r="AV342" i="30"/>
  <c r="AX342" i="30" s="1"/>
  <c r="AI342" i="30"/>
  <c r="AC342" i="30"/>
  <c r="Q342" i="30"/>
  <c r="B342" i="30"/>
  <c r="E342" i="30" s="1"/>
  <c r="A342" i="30"/>
  <c r="AV341" i="30"/>
  <c r="AX341" i="30" s="1"/>
  <c r="AI341" i="30"/>
  <c r="AC341" i="30"/>
  <c r="Q341" i="30"/>
  <c r="E341" i="30"/>
  <c r="B341" i="30"/>
  <c r="A341" i="30"/>
  <c r="AX340" i="30"/>
  <c r="AQ340" i="30"/>
  <c r="AI340" i="30"/>
  <c r="AC340" i="30"/>
  <c r="Q340" i="30"/>
  <c r="B340" i="30"/>
  <c r="A340" i="30"/>
  <c r="AX339" i="30"/>
  <c r="AQ339" i="30"/>
  <c r="AI339" i="30"/>
  <c r="AC339" i="30"/>
  <c r="T339" i="30"/>
  <c r="S339" i="30" s="1"/>
  <c r="Q339" i="30"/>
  <c r="B339" i="30"/>
  <c r="E339" i="30" s="1"/>
  <c r="A339" i="30"/>
  <c r="AX338" i="30"/>
  <c r="AQ338" i="30"/>
  <c r="AI338" i="30"/>
  <c r="AC338" i="30"/>
  <c r="T338" i="30"/>
  <c r="S338" i="30" s="1"/>
  <c r="Q338" i="30"/>
  <c r="B338" i="30"/>
  <c r="A338" i="30"/>
  <c r="AX337" i="30"/>
  <c r="AQ337" i="30"/>
  <c r="AI337" i="30"/>
  <c r="AC337" i="30"/>
  <c r="T337" i="30"/>
  <c r="S337" i="30" s="1"/>
  <c r="Q337" i="30"/>
  <c r="B337" i="30"/>
  <c r="A337" i="30"/>
  <c r="AX336" i="30"/>
  <c r="AI336" i="30"/>
  <c r="AC336" i="30"/>
  <c r="T336" i="30"/>
  <c r="S336" i="30" s="1"/>
  <c r="Q336" i="30"/>
  <c r="B336" i="30"/>
  <c r="E336" i="30" s="1"/>
  <c r="A336" i="30"/>
  <c r="AX335" i="30"/>
  <c r="AI335" i="30"/>
  <c r="AC335" i="30"/>
  <c r="T335" i="30"/>
  <c r="S335" i="30"/>
  <c r="Q335" i="30"/>
  <c r="B335" i="30"/>
  <c r="E335" i="30" s="1"/>
  <c r="A335" i="30"/>
  <c r="AX334" i="30"/>
  <c r="AI334" i="30"/>
  <c r="AC334" i="30"/>
  <c r="T334" i="30"/>
  <c r="S334" i="30" s="1"/>
  <c r="Q334" i="30"/>
  <c r="B334" i="30"/>
  <c r="E334" i="30" s="1"/>
  <c r="A334" i="30"/>
  <c r="AX333" i="30"/>
  <c r="AI333" i="30"/>
  <c r="AC333" i="30"/>
  <c r="T333" i="30"/>
  <c r="S333" i="30" s="1"/>
  <c r="Q333" i="30"/>
  <c r="B333" i="30"/>
  <c r="E333" i="30" s="1"/>
  <c r="A333" i="30"/>
  <c r="AX332" i="30"/>
  <c r="AI332" i="30"/>
  <c r="AC332" i="30"/>
  <c r="T332" i="30"/>
  <c r="S332" i="30" s="1"/>
  <c r="Q332" i="30"/>
  <c r="B332" i="30"/>
  <c r="E332" i="30" s="1"/>
  <c r="A332" i="30"/>
  <c r="AX331" i="30"/>
  <c r="AI331" i="30"/>
  <c r="AC331" i="30"/>
  <c r="T331" i="30"/>
  <c r="S331" i="30" s="1"/>
  <c r="Q331" i="30"/>
  <c r="B331" i="30"/>
  <c r="E331" i="30" s="1"/>
  <c r="A331" i="30"/>
  <c r="AX330" i="30"/>
  <c r="AI330" i="30"/>
  <c r="AC330" i="30"/>
  <c r="T330" i="30"/>
  <c r="S330" i="30" s="1"/>
  <c r="Q330" i="30"/>
  <c r="B330" i="30"/>
  <c r="E330" i="30" s="1"/>
  <c r="A330" i="30"/>
  <c r="AX329" i="30"/>
  <c r="AI329" i="30"/>
  <c r="AC329" i="30"/>
  <c r="T329" i="30"/>
  <c r="S329" i="30"/>
  <c r="Q329" i="30"/>
  <c r="B329" i="30"/>
  <c r="E329" i="30" s="1"/>
  <c r="A329" i="30"/>
  <c r="AX328" i="30"/>
  <c r="AQ328" i="30"/>
  <c r="AI328" i="30"/>
  <c r="AC328" i="30"/>
  <c r="T328" i="30"/>
  <c r="S328" i="30" s="1"/>
  <c r="Q328" i="30"/>
  <c r="B328" i="30"/>
  <c r="A328" i="30"/>
  <c r="AX327" i="30"/>
  <c r="AI327" i="30"/>
  <c r="AC327" i="30"/>
  <c r="T327" i="30"/>
  <c r="S327" i="30"/>
  <c r="Q327" i="30"/>
  <c r="E327" i="30"/>
  <c r="A327" i="30"/>
  <c r="AV326" i="30"/>
  <c r="AX326" i="30" s="1"/>
  <c r="AI326" i="30"/>
  <c r="AC326" i="30"/>
  <c r="T326" i="30"/>
  <c r="S326" i="30" s="1"/>
  <c r="Q326" i="30"/>
  <c r="B326" i="30"/>
  <c r="E326" i="30" s="1"/>
  <c r="A326" i="30"/>
  <c r="AV325" i="30"/>
  <c r="AX325" i="30" s="1"/>
  <c r="AI325" i="30"/>
  <c r="AC325" i="30"/>
  <c r="T325" i="30"/>
  <c r="S325" i="30"/>
  <c r="Q325" i="30"/>
  <c r="B325" i="30"/>
  <c r="E325" i="30" s="1"/>
  <c r="A325" i="30"/>
  <c r="AV324" i="30"/>
  <c r="AX324" i="30" s="1"/>
  <c r="AI324" i="30"/>
  <c r="AC324" i="30"/>
  <c r="Q324" i="30"/>
  <c r="B324" i="30"/>
  <c r="E324" i="30" s="1"/>
  <c r="A324" i="30"/>
  <c r="AX323" i="30"/>
  <c r="AI323" i="30"/>
  <c r="AC323" i="30"/>
  <c r="T323" i="30"/>
  <c r="S323" i="30"/>
  <c r="Q323" i="30"/>
  <c r="B323" i="30"/>
  <c r="E323" i="30" s="1"/>
  <c r="A323" i="30"/>
  <c r="AX322" i="30"/>
  <c r="AI322" i="30"/>
  <c r="AC322" i="30"/>
  <c r="T322" i="30"/>
  <c r="S322" i="30"/>
  <c r="Q322" i="30"/>
  <c r="B322" i="30"/>
  <c r="E322" i="30" s="1"/>
  <c r="A322" i="30"/>
  <c r="AX321" i="30"/>
  <c r="AI321" i="30"/>
  <c r="AC321" i="30"/>
  <c r="T321" i="30"/>
  <c r="S321" i="30" s="1"/>
  <c r="Q321" i="30"/>
  <c r="B321" i="30"/>
  <c r="E321" i="30" s="1"/>
  <c r="A321" i="30"/>
  <c r="AX320" i="30"/>
  <c r="AQ320" i="30"/>
  <c r="AI320" i="30"/>
  <c r="AC320" i="30"/>
  <c r="T320" i="30"/>
  <c r="S320" i="30" s="1"/>
  <c r="Q320" i="30"/>
  <c r="B320" i="30"/>
  <c r="A320" i="30"/>
  <c r="AV319" i="30"/>
  <c r="AX319" i="30" s="1"/>
  <c r="AI319" i="30"/>
  <c r="AC319" i="30"/>
  <c r="Q319" i="30"/>
  <c r="B319" i="30"/>
  <c r="E319" i="30" s="1"/>
  <c r="A319" i="30"/>
  <c r="AV318" i="30"/>
  <c r="AX318" i="30" s="1"/>
  <c r="AI318" i="30"/>
  <c r="AC318" i="30"/>
  <c r="T318" i="30"/>
  <c r="S318" i="30" s="1"/>
  <c r="Q318" i="30"/>
  <c r="B318" i="30"/>
  <c r="E318" i="30" s="1"/>
  <c r="A318" i="30"/>
  <c r="AV317" i="30"/>
  <c r="AX317" i="30" s="1"/>
  <c r="AI317" i="30"/>
  <c r="AC317" i="30"/>
  <c r="Q317" i="30"/>
  <c r="B317" i="30"/>
  <c r="E317" i="30" s="1"/>
  <c r="A317" i="30"/>
  <c r="AV316" i="30"/>
  <c r="AX316" i="30" s="1"/>
  <c r="AI316" i="30"/>
  <c r="AC316" i="30"/>
  <c r="T316" i="30"/>
  <c r="S316" i="30" s="1"/>
  <c r="Q316" i="30"/>
  <c r="B316" i="30"/>
  <c r="E316" i="30" s="1"/>
  <c r="A316" i="30"/>
  <c r="AV315" i="30"/>
  <c r="AX315" i="30" s="1"/>
  <c r="AI315" i="30"/>
  <c r="AC315" i="30"/>
  <c r="Q315" i="30"/>
  <c r="E315" i="30"/>
  <c r="B315" i="30"/>
  <c r="A315" i="30"/>
  <c r="AV314" i="30"/>
  <c r="AX314" i="30" s="1"/>
  <c r="AI314" i="30"/>
  <c r="AC314" i="30"/>
  <c r="Q314" i="30"/>
  <c r="B314" i="30"/>
  <c r="E314" i="30" s="1"/>
  <c r="A314" i="30"/>
  <c r="AX313" i="30"/>
  <c r="AQ313" i="30"/>
  <c r="AI313" i="30"/>
  <c r="AC313" i="30"/>
  <c r="T313" i="30"/>
  <c r="S313" i="30"/>
  <c r="Q313" i="30"/>
  <c r="B313" i="30"/>
  <c r="A313" i="30"/>
  <c r="AX312" i="30"/>
  <c r="AQ312" i="30"/>
  <c r="AI312" i="30"/>
  <c r="AC312" i="30"/>
  <c r="T312" i="30"/>
  <c r="S312" i="30" s="1"/>
  <c r="Q312" i="30"/>
  <c r="B312" i="30"/>
  <c r="A312" i="30"/>
  <c r="AX311" i="30"/>
  <c r="AQ311" i="30"/>
  <c r="AI311" i="30"/>
  <c r="AC311" i="30"/>
  <c r="T311" i="30"/>
  <c r="S311" i="30" s="1"/>
  <c r="Q311" i="30"/>
  <c r="B311" i="30"/>
  <c r="A311" i="30"/>
  <c r="AX310" i="30"/>
  <c r="AQ310" i="30"/>
  <c r="AI310" i="30"/>
  <c r="AC310" i="30"/>
  <c r="T310" i="30"/>
  <c r="S310" i="30" s="1"/>
  <c r="Q310" i="30"/>
  <c r="B310" i="30"/>
  <c r="A310" i="30"/>
  <c r="AX309" i="30"/>
  <c r="AQ309" i="30"/>
  <c r="AI309" i="30"/>
  <c r="AC309" i="30"/>
  <c r="T309" i="30"/>
  <c r="S309" i="30"/>
  <c r="Q309" i="30"/>
  <c r="B309" i="30"/>
  <c r="A309" i="30"/>
  <c r="AX308" i="30"/>
  <c r="AQ308" i="30"/>
  <c r="AI308" i="30"/>
  <c r="AC308" i="30"/>
  <c r="T308" i="30"/>
  <c r="S308" i="30" s="1"/>
  <c r="Q308" i="30"/>
  <c r="B308" i="30"/>
  <c r="A308" i="30"/>
  <c r="AX307" i="30"/>
  <c r="AQ307" i="30"/>
  <c r="AI307" i="30"/>
  <c r="AC307" i="30"/>
  <c r="T307" i="30"/>
  <c r="S307" i="30"/>
  <c r="Q307" i="30"/>
  <c r="B307" i="30"/>
  <c r="A307" i="30"/>
  <c r="AX306" i="30"/>
  <c r="AQ306" i="30"/>
  <c r="AI306" i="30"/>
  <c r="AC306" i="30"/>
  <c r="T306" i="30"/>
  <c r="S306" i="30" s="1"/>
  <c r="Q306" i="30"/>
  <c r="B306" i="30"/>
  <c r="A306" i="30"/>
  <c r="AX305" i="30"/>
  <c r="AQ305" i="30"/>
  <c r="AI305" i="30"/>
  <c r="AC305" i="30"/>
  <c r="T305" i="30"/>
  <c r="S305" i="30" s="1"/>
  <c r="Q305" i="30"/>
  <c r="B305" i="30"/>
  <c r="A305" i="30"/>
  <c r="AX304" i="30"/>
  <c r="AQ304" i="30"/>
  <c r="AI304" i="30"/>
  <c r="AC304" i="30"/>
  <c r="T304" i="30"/>
  <c r="S304" i="30" s="1"/>
  <c r="Q304" i="30"/>
  <c r="B304" i="30"/>
  <c r="A304" i="30"/>
  <c r="AX303" i="30"/>
  <c r="AI303" i="30"/>
  <c r="AC303" i="30"/>
  <c r="T303" i="30"/>
  <c r="S303" i="30" s="1"/>
  <c r="Q303" i="30"/>
  <c r="B303" i="30"/>
  <c r="E303" i="30" s="1"/>
  <c r="A303" i="30"/>
  <c r="AX302" i="30"/>
  <c r="AI302" i="30"/>
  <c r="AC302" i="30"/>
  <c r="T302" i="30"/>
  <c r="S302" i="30" s="1"/>
  <c r="Q302" i="30"/>
  <c r="B302" i="30"/>
  <c r="E302" i="30" s="1"/>
  <c r="A302" i="30"/>
  <c r="AX301" i="30"/>
  <c r="AI301" i="30"/>
  <c r="AC301" i="30"/>
  <c r="T301" i="30"/>
  <c r="S301" i="30"/>
  <c r="Q301" i="30"/>
  <c r="B301" i="30"/>
  <c r="E301" i="30" s="1"/>
  <c r="A301" i="30"/>
  <c r="AX300" i="30"/>
  <c r="AQ300" i="30"/>
  <c r="AI300" i="30"/>
  <c r="AC300" i="30"/>
  <c r="T300" i="30"/>
  <c r="S300" i="30" s="1"/>
  <c r="Q300" i="30"/>
  <c r="B300" i="30"/>
  <c r="A300" i="30"/>
  <c r="AX299" i="30"/>
  <c r="AQ299" i="30"/>
  <c r="AI299" i="30"/>
  <c r="AC299" i="30"/>
  <c r="Q299" i="30"/>
  <c r="B299" i="30"/>
  <c r="A299" i="30"/>
  <c r="AV298" i="30"/>
  <c r="AX298" i="30" s="1"/>
  <c r="AI298" i="30"/>
  <c r="AC298" i="30"/>
  <c r="Q298" i="30"/>
  <c r="B298" i="30"/>
  <c r="E298" i="30" s="1"/>
  <c r="A298" i="30"/>
  <c r="AV297" i="30"/>
  <c r="AX297" i="30" s="1"/>
  <c r="AI297" i="30"/>
  <c r="AC297" i="30"/>
  <c r="Q297" i="30"/>
  <c r="B297" i="30"/>
  <c r="E297" i="30" s="1"/>
  <c r="A297" i="30"/>
  <c r="AV296" i="30"/>
  <c r="AX296" i="30" s="1"/>
  <c r="AI296" i="30"/>
  <c r="AC296" i="30"/>
  <c r="T296" i="30"/>
  <c r="S296" i="30" s="1"/>
  <c r="Q296" i="30"/>
  <c r="B296" i="30"/>
  <c r="E296" i="30" s="1"/>
  <c r="A296" i="30"/>
  <c r="AV295" i="30"/>
  <c r="AX295" i="30" s="1"/>
  <c r="AI295" i="30"/>
  <c r="AC295" i="30"/>
  <c r="Q295" i="30"/>
  <c r="B295" i="30"/>
  <c r="E295" i="30" s="1"/>
  <c r="A295" i="30"/>
  <c r="AV294" i="30"/>
  <c r="AX294" i="30" s="1"/>
  <c r="AI294" i="30"/>
  <c r="AC294" i="30"/>
  <c r="Q294" i="30"/>
  <c r="E294" i="30"/>
  <c r="B294" i="30"/>
  <c r="A294" i="30"/>
  <c r="AX293" i="30"/>
  <c r="AI293" i="30"/>
  <c r="AC293" i="30"/>
  <c r="T293" i="30"/>
  <c r="S293" i="30" s="1"/>
  <c r="Q293" i="30"/>
  <c r="B293" i="30"/>
  <c r="E293" i="30" s="1"/>
  <c r="A293" i="30"/>
  <c r="AV292" i="30"/>
  <c r="AX292" i="30" s="1"/>
  <c r="AI292" i="30"/>
  <c r="AC292" i="30"/>
  <c r="Q292" i="30"/>
  <c r="B292" i="30"/>
  <c r="E292" i="30" s="1"/>
  <c r="A292" i="30"/>
  <c r="AV291" i="30"/>
  <c r="AX291" i="30" s="1"/>
  <c r="AI291" i="30"/>
  <c r="AC291" i="30"/>
  <c r="Q291" i="30"/>
  <c r="B291" i="30"/>
  <c r="E291" i="30" s="1"/>
  <c r="A291" i="30"/>
  <c r="AV290" i="30"/>
  <c r="AX290" i="30" s="1"/>
  <c r="AI290" i="30"/>
  <c r="AC290" i="30"/>
  <c r="Q290" i="30"/>
  <c r="B290" i="30"/>
  <c r="A290" i="30"/>
  <c r="AV289" i="30"/>
  <c r="AX289" i="30" s="1"/>
  <c r="AI289" i="30"/>
  <c r="AC289" i="30"/>
  <c r="T289" i="30"/>
  <c r="S289" i="30" s="1"/>
  <c r="Q289" i="30"/>
  <c r="E289" i="30"/>
  <c r="B289" i="30"/>
  <c r="A289" i="30"/>
  <c r="AV288" i="30"/>
  <c r="AX288" i="30" s="1"/>
  <c r="AI288" i="30"/>
  <c r="AC288" i="30"/>
  <c r="T288" i="30"/>
  <c r="S288" i="30" s="1"/>
  <c r="Q288" i="30"/>
  <c r="B288" i="30"/>
  <c r="E288" i="30" s="1"/>
  <c r="A288" i="30"/>
  <c r="AV287" i="30"/>
  <c r="AX287" i="30" s="1"/>
  <c r="AI287" i="30"/>
  <c r="AC287" i="30"/>
  <c r="Q287" i="30"/>
  <c r="B287" i="30"/>
  <c r="E287" i="30" s="1"/>
  <c r="A287" i="30"/>
  <c r="AV286" i="30"/>
  <c r="AX286" i="30" s="1"/>
  <c r="AI286" i="30"/>
  <c r="AC286" i="30"/>
  <c r="Q286" i="30"/>
  <c r="B286" i="30"/>
  <c r="E286" i="30" s="1"/>
  <c r="A286" i="30"/>
  <c r="AX285" i="30"/>
  <c r="AQ285" i="30"/>
  <c r="AI285" i="30"/>
  <c r="AC285" i="30"/>
  <c r="T285" i="30"/>
  <c r="S285" i="30" s="1"/>
  <c r="Q285" i="30"/>
  <c r="B285" i="30"/>
  <c r="A285" i="30"/>
  <c r="AX284" i="30"/>
  <c r="AQ284" i="30"/>
  <c r="AI284" i="30"/>
  <c r="AC284" i="30"/>
  <c r="Q284" i="30"/>
  <c r="B284" i="30"/>
  <c r="A284" i="30"/>
  <c r="AV283" i="30"/>
  <c r="AX283" i="30" s="1"/>
  <c r="AI283" i="30"/>
  <c r="AC283" i="30"/>
  <c r="Q283" i="30"/>
  <c r="B283" i="30"/>
  <c r="E283" i="30" s="1"/>
  <c r="A283" i="30"/>
  <c r="AV282" i="30"/>
  <c r="AX282" i="30" s="1"/>
  <c r="AI282" i="30"/>
  <c r="AC282" i="30"/>
  <c r="Q282" i="30"/>
  <c r="B282" i="30"/>
  <c r="E282" i="30" s="1"/>
  <c r="A282" i="30"/>
  <c r="AX281" i="30"/>
  <c r="AQ281" i="30"/>
  <c r="AI281" i="30"/>
  <c r="AC281" i="30"/>
  <c r="T281" i="30"/>
  <c r="S281" i="30" s="1"/>
  <c r="Q281" i="30"/>
  <c r="B281" i="30"/>
  <c r="A281" i="30"/>
  <c r="AX280" i="30"/>
  <c r="AQ280" i="30"/>
  <c r="AI280" i="30"/>
  <c r="AC280" i="30"/>
  <c r="Q280" i="30"/>
  <c r="B280" i="30"/>
  <c r="A280" i="30"/>
  <c r="AX279" i="30"/>
  <c r="AI279" i="30"/>
  <c r="AC279" i="30"/>
  <c r="T279" i="30"/>
  <c r="S279" i="30" s="1"/>
  <c r="Q279" i="30"/>
  <c r="B279" i="30"/>
  <c r="E279" i="30" s="1"/>
  <c r="A279" i="30"/>
  <c r="AV278" i="30"/>
  <c r="AX278" i="30" s="1"/>
  <c r="AI278" i="30"/>
  <c r="AC278" i="30"/>
  <c r="Q278" i="30"/>
  <c r="B278" i="30"/>
  <c r="E278" i="30" s="1"/>
  <c r="A278" i="30"/>
  <c r="AX277" i="30"/>
  <c r="AI277" i="30"/>
  <c r="AC277" i="30"/>
  <c r="T277" i="30"/>
  <c r="S277" i="30" s="1"/>
  <c r="Q277" i="30"/>
  <c r="B277" i="30"/>
  <c r="E277" i="30" s="1"/>
  <c r="A277" i="30"/>
  <c r="AX276" i="30"/>
  <c r="AI276" i="30"/>
  <c r="AC276" i="30"/>
  <c r="T276" i="30"/>
  <c r="S276" i="30" s="1"/>
  <c r="Q276" i="30"/>
  <c r="B276" i="30"/>
  <c r="E276" i="30" s="1"/>
  <c r="A276" i="30"/>
  <c r="AX275" i="30"/>
  <c r="AI275" i="30"/>
  <c r="AC275" i="30"/>
  <c r="T275" i="30"/>
  <c r="S275" i="30" s="1"/>
  <c r="Q275" i="30"/>
  <c r="B275" i="30"/>
  <c r="E275" i="30" s="1"/>
  <c r="A275" i="30"/>
  <c r="AX274" i="30"/>
  <c r="AI274" i="30"/>
  <c r="AC274" i="30"/>
  <c r="T274" i="30"/>
  <c r="S274" i="30" s="1"/>
  <c r="Q274" i="30"/>
  <c r="B274" i="30"/>
  <c r="E274" i="30" s="1"/>
  <c r="A274" i="30"/>
  <c r="AX273" i="30"/>
  <c r="AI273" i="30"/>
  <c r="AC273" i="30"/>
  <c r="T273" i="30"/>
  <c r="S273" i="30" s="1"/>
  <c r="Q273" i="30"/>
  <c r="B273" i="30"/>
  <c r="E273" i="30" s="1"/>
  <c r="A273" i="30"/>
  <c r="AX272" i="30"/>
  <c r="AI272" i="30"/>
  <c r="AC272" i="30"/>
  <c r="T272" i="30"/>
  <c r="S272" i="30" s="1"/>
  <c r="Q272" i="30"/>
  <c r="B272" i="30"/>
  <c r="E272" i="30" s="1"/>
  <c r="A272" i="30"/>
  <c r="AX271" i="30"/>
  <c r="AI271" i="30"/>
  <c r="AC271" i="30"/>
  <c r="T271" i="30"/>
  <c r="S271" i="30" s="1"/>
  <c r="Q271" i="30"/>
  <c r="B271" i="30"/>
  <c r="E271" i="30" s="1"/>
  <c r="A271" i="30"/>
  <c r="AX270" i="30"/>
  <c r="AI270" i="30"/>
  <c r="AC270" i="30"/>
  <c r="T270" i="30"/>
  <c r="S270" i="30" s="1"/>
  <c r="Q270" i="30"/>
  <c r="B270" i="30"/>
  <c r="E270" i="30" s="1"/>
  <c r="A270" i="30"/>
  <c r="AX269" i="30"/>
  <c r="AI269" i="30"/>
  <c r="AC269" i="30"/>
  <c r="T269" i="30"/>
  <c r="S269" i="30" s="1"/>
  <c r="Q269" i="30"/>
  <c r="B269" i="30"/>
  <c r="E269" i="30" s="1"/>
  <c r="A269" i="30"/>
  <c r="AX268" i="30"/>
  <c r="AI268" i="30"/>
  <c r="AC268" i="30"/>
  <c r="T268" i="30"/>
  <c r="S268" i="30" s="1"/>
  <c r="Q268" i="30"/>
  <c r="B268" i="30"/>
  <c r="E268" i="30" s="1"/>
  <c r="A268" i="30"/>
  <c r="AX267" i="30"/>
  <c r="AI267" i="30"/>
  <c r="AC267" i="30"/>
  <c r="T267" i="30"/>
  <c r="S267" i="30" s="1"/>
  <c r="Q267" i="30"/>
  <c r="B267" i="30"/>
  <c r="E267" i="30" s="1"/>
  <c r="A267" i="30"/>
  <c r="AX266" i="30"/>
  <c r="AI266" i="30"/>
  <c r="AC266" i="30"/>
  <c r="T266" i="30"/>
  <c r="S266" i="30" s="1"/>
  <c r="Q266" i="30"/>
  <c r="B266" i="30"/>
  <c r="E266" i="30" s="1"/>
  <c r="A266" i="30"/>
  <c r="AX265" i="30"/>
  <c r="AI265" i="30"/>
  <c r="AC265" i="30"/>
  <c r="T265" i="30"/>
  <c r="S265" i="30" s="1"/>
  <c r="Q265" i="30"/>
  <c r="B265" i="30"/>
  <c r="E265" i="30" s="1"/>
  <c r="A265" i="30"/>
  <c r="AX264" i="30"/>
  <c r="AI264" i="30"/>
  <c r="AC264" i="30"/>
  <c r="T264" i="30"/>
  <c r="S264" i="30" s="1"/>
  <c r="Q264" i="30"/>
  <c r="B264" i="30"/>
  <c r="E264" i="30" s="1"/>
  <c r="A264" i="30"/>
  <c r="AX263" i="30"/>
  <c r="AI263" i="30"/>
  <c r="AC263" i="30"/>
  <c r="T263" i="30"/>
  <c r="S263" i="30"/>
  <c r="Q263" i="30"/>
  <c r="B263" i="30"/>
  <c r="E263" i="30" s="1"/>
  <c r="A263" i="30"/>
  <c r="AX262" i="30"/>
  <c r="AI262" i="30"/>
  <c r="AC262" i="30"/>
  <c r="T262" i="30"/>
  <c r="S262" i="30" s="1"/>
  <c r="Q262" i="30"/>
  <c r="B262" i="30"/>
  <c r="E262" i="30" s="1"/>
  <c r="A262" i="30"/>
  <c r="AX261" i="30"/>
  <c r="AI261" i="30"/>
  <c r="AC261" i="30"/>
  <c r="T261" i="30"/>
  <c r="S261" i="30" s="1"/>
  <c r="Q261" i="30"/>
  <c r="B261" i="30"/>
  <c r="E261" i="30" s="1"/>
  <c r="A261" i="30"/>
  <c r="AX260" i="30"/>
  <c r="AI260" i="30"/>
  <c r="AC260" i="30"/>
  <c r="T260" i="30"/>
  <c r="S260" i="30" s="1"/>
  <c r="Q260" i="30"/>
  <c r="B260" i="30"/>
  <c r="E260" i="30" s="1"/>
  <c r="A260" i="30"/>
  <c r="AX259" i="30"/>
  <c r="AQ259" i="30"/>
  <c r="AI259" i="30"/>
  <c r="AC259" i="30"/>
  <c r="Q259" i="30"/>
  <c r="B259" i="30"/>
  <c r="A259" i="30"/>
  <c r="AX258" i="30"/>
  <c r="AI258" i="30"/>
  <c r="AC258" i="30"/>
  <c r="T258" i="30"/>
  <c r="S258" i="30" s="1"/>
  <c r="Q258" i="30"/>
  <c r="B258" i="30"/>
  <c r="E258" i="30" s="1"/>
  <c r="A258" i="30"/>
  <c r="AX257" i="30"/>
  <c r="AQ257" i="30"/>
  <c r="AI257" i="30"/>
  <c r="AC257" i="30"/>
  <c r="T257" i="30"/>
  <c r="S257" i="30"/>
  <c r="Q257" i="30"/>
  <c r="B257" i="30"/>
  <c r="A257" i="30"/>
  <c r="AX256" i="30"/>
  <c r="AQ256" i="30"/>
  <c r="AI256" i="30"/>
  <c r="AC256" i="30"/>
  <c r="Q256" i="30"/>
  <c r="B256" i="30"/>
  <c r="A256" i="30"/>
  <c r="AX255" i="30"/>
  <c r="AQ255" i="30"/>
  <c r="AI255" i="30"/>
  <c r="AC255" i="30"/>
  <c r="T255" i="30"/>
  <c r="S255" i="30" s="1"/>
  <c r="Q255" i="30"/>
  <c r="B255" i="30"/>
  <c r="A255" i="30"/>
  <c r="AX254" i="30"/>
  <c r="AQ254" i="30"/>
  <c r="AI254" i="30"/>
  <c r="AC254" i="30"/>
  <c r="T254" i="30"/>
  <c r="S254" i="30"/>
  <c r="Q254" i="30"/>
  <c r="B254" i="30"/>
  <c r="A254" i="30"/>
  <c r="AX253" i="30"/>
  <c r="AQ253" i="30"/>
  <c r="AI253" i="30"/>
  <c r="AC253" i="30"/>
  <c r="T253" i="30"/>
  <c r="S253" i="30" s="1"/>
  <c r="Q253" i="30"/>
  <c r="B253" i="30"/>
  <c r="A253" i="30"/>
  <c r="AX252" i="30"/>
  <c r="AQ252" i="30"/>
  <c r="AI252" i="30"/>
  <c r="AC252" i="30"/>
  <c r="T252" i="30"/>
  <c r="S252" i="30" s="1"/>
  <c r="Q252" i="30"/>
  <c r="B252" i="30"/>
  <c r="A252" i="30"/>
  <c r="AX251" i="30"/>
  <c r="AQ251" i="30"/>
  <c r="AI251" i="30"/>
  <c r="AC251" i="30"/>
  <c r="T251" i="30"/>
  <c r="S251" i="30" s="1"/>
  <c r="Q251" i="30"/>
  <c r="B251" i="30"/>
  <c r="A251" i="30"/>
  <c r="AX250" i="30"/>
  <c r="AI250" i="30"/>
  <c r="AC250" i="30"/>
  <c r="T250" i="30"/>
  <c r="S250" i="30" s="1"/>
  <c r="Q250" i="30"/>
  <c r="B250" i="30"/>
  <c r="E250" i="30" s="1"/>
  <c r="A250" i="30"/>
  <c r="AX249" i="30"/>
  <c r="AI249" i="30"/>
  <c r="AC249" i="30"/>
  <c r="T249" i="30"/>
  <c r="S249" i="30" s="1"/>
  <c r="Q249" i="30"/>
  <c r="B249" i="30"/>
  <c r="E249" i="30" s="1"/>
  <c r="A249" i="30"/>
  <c r="AX248" i="30"/>
  <c r="AQ248" i="30"/>
  <c r="AI248" i="30"/>
  <c r="AC248" i="30"/>
  <c r="Q248" i="30"/>
  <c r="B248" i="30"/>
  <c r="A248" i="30"/>
  <c r="AX247" i="30"/>
  <c r="AQ247" i="30"/>
  <c r="AI247" i="30"/>
  <c r="AC247" i="30"/>
  <c r="Q247" i="30"/>
  <c r="B247" i="30"/>
  <c r="A247" i="30"/>
  <c r="AX246" i="30"/>
  <c r="AQ246" i="30"/>
  <c r="AI246" i="30"/>
  <c r="AC246" i="30"/>
  <c r="T246" i="30"/>
  <c r="S246" i="30" s="1"/>
  <c r="Q246" i="30"/>
  <c r="B246" i="30"/>
  <c r="A246" i="30"/>
  <c r="AX245" i="30"/>
  <c r="AQ245" i="30"/>
  <c r="AI245" i="30"/>
  <c r="AC245" i="30"/>
  <c r="T245" i="30"/>
  <c r="S245" i="30" s="1"/>
  <c r="Q245" i="30"/>
  <c r="B245" i="30"/>
  <c r="A245" i="30"/>
  <c r="AX244" i="30"/>
  <c r="AI244" i="30"/>
  <c r="AC244" i="30"/>
  <c r="T244" i="30"/>
  <c r="S244" i="30" s="1"/>
  <c r="Q244" i="30"/>
  <c r="B244" i="30"/>
  <c r="E244" i="30" s="1"/>
  <c r="A244" i="30"/>
  <c r="AX243" i="30"/>
  <c r="AI243" i="30"/>
  <c r="AC243" i="30"/>
  <c r="T243" i="30"/>
  <c r="S243" i="30"/>
  <c r="Q243" i="30"/>
  <c r="B243" i="30"/>
  <c r="E243" i="30" s="1"/>
  <c r="A243" i="30"/>
  <c r="AX242" i="30"/>
  <c r="AI242" i="30"/>
  <c r="AC242" i="30"/>
  <c r="T242" i="30"/>
  <c r="S242" i="30" s="1"/>
  <c r="Q242" i="30"/>
  <c r="B242" i="30"/>
  <c r="E242" i="30" s="1"/>
  <c r="A242" i="30"/>
  <c r="AV241" i="30"/>
  <c r="AX241" i="30" s="1"/>
  <c r="AI241" i="30"/>
  <c r="AC241" i="30"/>
  <c r="Q241" i="30"/>
  <c r="B241" i="30"/>
  <c r="E241" i="30" s="1"/>
  <c r="A241" i="30"/>
  <c r="AX240" i="30"/>
  <c r="AI240" i="30"/>
  <c r="AC240" i="30"/>
  <c r="T240" i="30"/>
  <c r="S240" i="30" s="1"/>
  <c r="Q240" i="30"/>
  <c r="B240" i="30"/>
  <c r="E240" i="30" s="1"/>
  <c r="A240" i="30"/>
  <c r="AX239" i="30"/>
  <c r="AQ239" i="30"/>
  <c r="AI239" i="30"/>
  <c r="AC239" i="30"/>
  <c r="T239" i="30"/>
  <c r="S239" i="30" s="1"/>
  <c r="Q239" i="30"/>
  <c r="B239" i="30"/>
  <c r="A239" i="30"/>
  <c r="AX238" i="30"/>
  <c r="AI238" i="30"/>
  <c r="AC238" i="30"/>
  <c r="T238" i="30"/>
  <c r="S238" i="30" s="1"/>
  <c r="Q238" i="30"/>
  <c r="B238" i="30"/>
  <c r="E238" i="30" s="1"/>
  <c r="A238" i="30"/>
  <c r="AX237" i="30"/>
  <c r="AQ237" i="30"/>
  <c r="AI237" i="30"/>
  <c r="AC237" i="30"/>
  <c r="T237" i="30"/>
  <c r="S237" i="30" s="1"/>
  <c r="Q237" i="30"/>
  <c r="B237" i="30"/>
  <c r="A237" i="30"/>
  <c r="AX236" i="30"/>
  <c r="AI236" i="30"/>
  <c r="AC236" i="30"/>
  <c r="T236" i="30"/>
  <c r="S236" i="30"/>
  <c r="Q236" i="30"/>
  <c r="B236" i="30"/>
  <c r="E236" i="30" s="1"/>
  <c r="A236" i="30"/>
  <c r="AX235" i="30"/>
  <c r="AI235" i="30"/>
  <c r="AC235" i="30"/>
  <c r="T235" i="30"/>
  <c r="S235" i="30" s="1"/>
  <c r="Q235" i="30"/>
  <c r="B235" i="30"/>
  <c r="E235" i="30" s="1"/>
  <c r="A235" i="30"/>
  <c r="AX234" i="30"/>
  <c r="AQ234" i="30"/>
  <c r="AI234" i="30"/>
  <c r="AC234" i="30"/>
  <c r="T234" i="30"/>
  <c r="S234" i="30" s="1"/>
  <c r="Q234" i="30"/>
  <c r="B234" i="30"/>
  <c r="A234" i="30"/>
  <c r="AX233" i="30"/>
  <c r="AQ233" i="30"/>
  <c r="AI233" i="30"/>
  <c r="AC233" i="30"/>
  <c r="T233" i="30"/>
  <c r="S233" i="30"/>
  <c r="Q233" i="30"/>
  <c r="B233" i="30"/>
  <c r="A233" i="30"/>
  <c r="AX232" i="30"/>
  <c r="AQ232" i="30"/>
  <c r="AI232" i="30"/>
  <c r="AC232" i="30"/>
  <c r="T232" i="30"/>
  <c r="S232" i="30" s="1"/>
  <c r="Q232" i="30"/>
  <c r="B232" i="30"/>
  <c r="A232" i="30"/>
  <c r="AX231" i="30"/>
  <c r="AQ231" i="30"/>
  <c r="AI231" i="30"/>
  <c r="AC231" i="30"/>
  <c r="Q231" i="30"/>
  <c r="B231" i="30"/>
  <c r="A231" i="30"/>
  <c r="AX230" i="30"/>
  <c r="AQ230" i="30"/>
  <c r="AI230" i="30"/>
  <c r="AC230" i="30"/>
  <c r="T230" i="30"/>
  <c r="S230" i="30" s="1"/>
  <c r="Q230" i="30"/>
  <c r="B230" i="30"/>
  <c r="A230" i="30"/>
  <c r="AX229" i="30"/>
  <c r="AQ229" i="30"/>
  <c r="AI229" i="30"/>
  <c r="AC229" i="30"/>
  <c r="T229" i="30"/>
  <c r="S229" i="30" s="1"/>
  <c r="Q229" i="30"/>
  <c r="B229" i="30"/>
  <c r="A229" i="30"/>
  <c r="AX228" i="30"/>
  <c r="AQ228" i="30"/>
  <c r="AI228" i="30"/>
  <c r="AC228" i="30"/>
  <c r="T228" i="30"/>
  <c r="S228" i="30" s="1"/>
  <c r="Q228" i="30"/>
  <c r="B228" i="30"/>
  <c r="A228" i="30"/>
  <c r="AX227" i="30"/>
  <c r="AI227" i="30"/>
  <c r="AC227" i="30"/>
  <c r="T227" i="30"/>
  <c r="S227" i="30" s="1"/>
  <c r="Q227" i="30"/>
  <c r="B227" i="30"/>
  <c r="E227" i="30" s="1"/>
  <c r="A227" i="30"/>
  <c r="AX226" i="30"/>
  <c r="AQ226" i="30"/>
  <c r="AI226" i="30"/>
  <c r="AC226" i="30"/>
  <c r="Q226" i="30"/>
  <c r="B226" i="30"/>
  <c r="A226" i="30"/>
  <c r="AX225" i="30"/>
  <c r="AQ225" i="30"/>
  <c r="AI225" i="30"/>
  <c r="AC225" i="30"/>
  <c r="Q225" i="30"/>
  <c r="B225" i="30"/>
  <c r="A225" i="30"/>
  <c r="AX224" i="30"/>
  <c r="AQ224" i="30"/>
  <c r="AI224" i="30"/>
  <c r="AC224" i="30"/>
  <c r="T224" i="30"/>
  <c r="S224" i="30" s="1"/>
  <c r="Q224" i="30"/>
  <c r="B224" i="30"/>
  <c r="A224" i="30"/>
  <c r="AX223" i="30"/>
  <c r="AQ223" i="30"/>
  <c r="AI223" i="30"/>
  <c r="AC223" i="30"/>
  <c r="Q223" i="30"/>
  <c r="B223" i="30"/>
  <c r="A223" i="30"/>
  <c r="AV222" i="30"/>
  <c r="AX222" i="30" s="1"/>
  <c r="AI222" i="30"/>
  <c r="AC222" i="30"/>
  <c r="T222" i="30"/>
  <c r="S222" i="30" s="1"/>
  <c r="Q222" i="30"/>
  <c r="B222" i="30"/>
  <c r="E222" i="30" s="1"/>
  <c r="A222" i="30"/>
  <c r="AX221" i="30"/>
  <c r="AQ221" i="30"/>
  <c r="AI221" i="30"/>
  <c r="AC221" i="30"/>
  <c r="T221" i="30"/>
  <c r="S221" i="30" s="1"/>
  <c r="Q221" i="30"/>
  <c r="B221" i="30"/>
  <c r="A221" i="30"/>
  <c r="AX220" i="30"/>
  <c r="AQ220" i="30"/>
  <c r="AI220" i="30"/>
  <c r="AC220" i="30"/>
  <c r="T220" i="30"/>
  <c r="S220" i="30"/>
  <c r="Q220" i="30"/>
  <c r="B220" i="30"/>
  <c r="A220" i="30"/>
  <c r="AX219" i="30"/>
  <c r="AQ219" i="30"/>
  <c r="AI219" i="30"/>
  <c r="AC219" i="30"/>
  <c r="T219" i="30"/>
  <c r="S219" i="30" s="1"/>
  <c r="Q219" i="30"/>
  <c r="B219" i="30"/>
  <c r="A219" i="30"/>
  <c r="AX218" i="30"/>
  <c r="AQ218" i="30"/>
  <c r="AI218" i="30"/>
  <c r="AC218" i="30"/>
  <c r="T218" i="30"/>
  <c r="S218" i="30" s="1"/>
  <c r="Q218" i="30"/>
  <c r="B218" i="30"/>
  <c r="A218" i="30"/>
  <c r="AX217" i="30"/>
  <c r="AI217" i="30"/>
  <c r="AC217" i="30"/>
  <c r="T217" i="30"/>
  <c r="S217" i="30" s="1"/>
  <c r="Q217" i="30"/>
  <c r="B217" i="30"/>
  <c r="E217" i="30" s="1"/>
  <c r="A217" i="30"/>
  <c r="AX216" i="30"/>
  <c r="AI216" i="30"/>
  <c r="AC216" i="30"/>
  <c r="T216" i="30"/>
  <c r="S216" i="30" s="1"/>
  <c r="Q216" i="30"/>
  <c r="B216" i="30"/>
  <c r="E216" i="30" s="1"/>
  <c r="A216" i="30"/>
  <c r="AX215" i="30"/>
  <c r="AQ215" i="30"/>
  <c r="AI215" i="30"/>
  <c r="AC215" i="30"/>
  <c r="T215" i="30"/>
  <c r="S215" i="30" s="1"/>
  <c r="Q215" i="30"/>
  <c r="B215" i="30"/>
  <c r="A215" i="30"/>
  <c r="AX214" i="30"/>
  <c r="AQ214" i="30"/>
  <c r="AI214" i="30"/>
  <c r="AC214" i="30"/>
  <c r="T214" i="30"/>
  <c r="S214" i="30"/>
  <c r="Q214" i="30"/>
  <c r="B214" i="30"/>
  <c r="A214" i="30"/>
  <c r="AX213" i="30"/>
  <c r="AI213" i="30"/>
  <c r="AC213" i="30"/>
  <c r="T213" i="30"/>
  <c r="S213" i="30" s="1"/>
  <c r="Q213" i="30"/>
  <c r="B213" i="30"/>
  <c r="E213" i="30" s="1"/>
  <c r="A213" i="30"/>
  <c r="AX212" i="30"/>
  <c r="AI212" i="30"/>
  <c r="AC212" i="30"/>
  <c r="T212" i="30"/>
  <c r="S212" i="30" s="1"/>
  <c r="Q212" i="30"/>
  <c r="B212" i="30"/>
  <c r="E212" i="30" s="1"/>
  <c r="A212" i="30"/>
  <c r="AX211" i="30"/>
  <c r="AQ211" i="30"/>
  <c r="AI211" i="30"/>
  <c r="AC211" i="30"/>
  <c r="Q211" i="30"/>
  <c r="D211" i="30"/>
  <c r="B211" i="30"/>
  <c r="A211" i="30"/>
  <c r="AX210" i="30"/>
  <c r="AQ210" i="30"/>
  <c r="AI210" i="30"/>
  <c r="AC210" i="30"/>
  <c r="Q210" i="30"/>
  <c r="B210" i="30"/>
  <c r="A210" i="30"/>
  <c r="AX209" i="30"/>
  <c r="AQ209" i="30"/>
  <c r="AI209" i="30"/>
  <c r="AC209" i="30"/>
  <c r="Q209" i="30"/>
  <c r="B209" i="30"/>
  <c r="A209" i="30"/>
  <c r="AX208" i="30"/>
  <c r="AI208" i="30"/>
  <c r="AC208" i="30"/>
  <c r="T208" i="30"/>
  <c r="S208" i="30"/>
  <c r="Q208" i="30"/>
  <c r="B208" i="30"/>
  <c r="E208" i="30" s="1"/>
  <c r="A208" i="30"/>
  <c r="AV207" i="30"/>
  <c r="AX207" i="30" s="1"/>
  <c r="AI207" i="30"/>
  <c r="AC207" i="30"/>
  <c r="T207" i="30"/>
  <c r="S207" i="30" s="1"/>
  <c r="Q207" i="30"/>
  <c r="B207" i="30"/>
  <c r="E207" i="30" s="1"/>
  <c r="A207" i="30"/>
  <c r="AV206" i="30"/>
  <c r="AX206" i="30" s="1"/>
  <c r="AI206" i="30"/>
  <c r="AC206" i="30"/>
  <c r="Q206" i="30"/>
  <c r="B206" i="30"/>
  <c r="E206" i="30" s="1"/>
  <c r="A206" i="30"/>
  <c r="AX205" i="30"/>
  <c r="AI205" i="30"/>
  <c r="AC205" i="30"/>
  <c r="T205" i="30"/>
  <c r="S205" i="30" s="1"/>
  <c r="Q205" i="30"/>
  <c r="B205" i="30"/>
  <c r="E205" i="30" s="1"/>
  <c r="A205" i="30"/>
  <c r="AX204" i="30"/>
  <c r="AI204" i="30"/>
  <c r="AC204" i="30"/>
  <c r="T204" i="30"/>
  <c r="S204" i="30" s="1"/>
  <c r="Q204" i="30"/>
  <c r="B204" i="30"/>
  <c r="E204" i="30" s="1"/>
  <c r="A204" i="30"/>
  <c r="AX203" i="30"/>
  <c r="AI203" i="30"/>
  <c r="AC203" i="30"/>
  <c r="T203" i="30"/>
  <c r="S203" i="30" s="1"/>
  <c r="Q203" i="30"/>
  <c r="B203" i="30"/>
  <c r="E203" i="30" s="1"/>
  <c r="A203" i="30"/>
  <c r="AX202" i="30"/>
  <c r="AI202" i="30"/>
  <c r="AC202" i="30"/>
  <c r="T202" i="30"/>
  <c r="S202" i="30" s="1"/>
  <c r="Q202" i="30"/>
  <c r="B202" i="30"/>
  <c r="E202" i="30" s="1"/>
  <c r="A202" i="30"/>
  <c r="AX201" i="30"/>
  <c r="AI201" i="30"/>
  <c r="AC201" i="30"/>
  <c r="T201" i="30"/>
  <c r="S201" i="30" s="1"/>
  <c r="Q201" i="30"/>
  <c r="B201" i="30"/>
  <c r="E201" i="30" s="1"/>
  <c r="A201" i="30"/>
  <c r="AX200" i="30"/>
  <c r="AI200" i="30"/>
  <c r="AC200" i="30"/>
  <c r="T200" i="30"/>
  <c r="S200" i="30" s="1"/>
  <c r="Q200" i="30"/>
  <c r="B200" i="30"/>
  <c r="E200" i="30" s="1"/>
  <c r="A200" i="30"/>
  <c r="AX199" i="30"/>
  <c r="AI199" i="30"/>
  <c r="AC199" i="30"/>
  <c r="T199" i="30"/>
  <c r="S199" i="30" s="1"/>
  <c r="Q199" i="30"/>
  <c r="B199" i="30"/>
  <c r="E199" i="30" s="1"/>
  <c r="A199" i="30"/>
  <c r="AX198" i="30"/>
  <c r="AI198" i="30"/>
  <c r="AC198" i="30"/>
  <c r="T198" i="30"/>
  <c r="S198" i="30" s="1"/>
  <c r="Q198" i="30"/>
  <c r="B198" i="30"/>
  <c r="E198" i="30" s="1"/>
  <c r="A198" i="30"/>
  <c r="AX197" i="30"/>
  <c r="AI197" i="30"/>
  <c r="AC197" i="30"/>
  <c r="T197" i="30"/>
  <c r="S197" i="30" s="1"/>
  <c r="Q197" i="30"/>
  <c r="B197" i="30"/>
  <c r="E197" i="30" s="1"/>
  <c r="A197" i="30"/>
  <c r="AX196" i="30"/>
  <c r="AI196" i="30"/>
  <c r="AC196" i="30"/>
  <c r="T196" i="30"/>
  <c r="S196" i="30" s="1"/>
  <c r="Q196" i="30"/>
  <c r="B196" i="30"/>
  <c r="E196" i="30" s="1"/>
  <c r="A196" i="30"/>
  <c r="AX195" i="30"/>
  <c r="AI195" i="30"/>
  <c r="AC195" i="30"/>
  <c r="T195" i="30"/>
  <c r="S195" i="30" s="1"/>
  <c r="Q195" i="30"/>
  <c r="B195" i="30"/>
  <c r="E195" i="30" s="1"/>
  <c r="A195" i="30"/>
  <c r="AX194" i="30"/>
  <c r="AQ194" i="30"/>
  <c r="AI194" i="30"/>
  <c r="AC194" i="30"/>
  <c r="T194" i="30"/>
  <c r="S194" i="30" s="1"/>
  <c r="Q194" i="30"/>
  <c r="B194" i="30"/>
  <c r="A194" i="30"/>
  <c r="AX193" i="30"/>
  <c r="AI193" i="30"/>
  <c r="AC193" i="30"/>
  <c r="T193" i="30"/>
  <c r="S193" i="30" s="1"/>
  <c r="Q193" i="30"/>
  <c r="B193" i="30"/>
  <c r="E193" i="30" s="1"/>
  <c r="A193" i="30"/>
  <c r="AV192" i="30"/>
  <c r="AX192" i="30" s="1"/>
  <c r="AI192" i="30"/>
  <c r="AC192" i="30"/>
  <c r="Q192" i="30"/>
  <c r="E192" i="30"/>
  <c r="B192" i="30"/>
  <c r="A192" i="30"/>
  <c r="AV191" i="30"/>
  <c r="AX191" i="30" s="1"/>
  <c r="AI191" i="30"/>
  <c r="AC191" i="30"/>
  <c r="Q191" i="30"/>
  <c r="B191" i="30"/>
  <c r="E191" i="30" s="1"/>
  <c r="A191" i="30"/>
  <c r="AV190" i="30"/>
  <c r="AX190" i="30" s="1"/>
  <c r="AI190" i="30"/>
  <c r="AC190" i="30"/>
  <c r="T190" i="30"/>
  <c r="S190" i="30" s="1"/>
  <c r="Q190" i="30"/>
  <c r="B190" i="30"/>
  <c r="E190" i="30" s="1"/>
  <c r="A190" i="30"/>
  <c r="AV189" i="30"/>
  <c r="AX189" i="30" s="1"/>
  <c r="AI189" i="30"/>
  <c r="AC189" i="30"/>
  <c r="Q189" i="30"/>
  <c r="B189" i="30"/>
  <c r="E189" i="30" s="1"/>
  <c r="A189" i="30"/>
  <c r="AX188" i="30"/>
  <c r="AI188" i="30"/>
  <c r="AC188" i="30"/>
  <c r="T188" i="30"/>
  <c r="S188" i="30" s="1"/>
  <c r="Q188" i="30"/>
  <c r="B188" i="30"/>
  <c r="E188" i="30" s="1"/>
  <c r="A188" i="30"/>
  <c r="AV187" i="30"/>
  <c r="AX187" i="30" s="1"/>
  <c r="AI187" i="30"/>
  <c r="AC187" i="30"/>
  <c r="Q187" i="30"/>
  <c r="B187" i="30"/>
  <c r="E187" i="30" s="1"/>
  <c r="A187" i="30"/>
  <c r="AX186" i="30"/>
  <c r="AI186" i="30"/>
  <c r="AC186" i="30"/>
  <c r="T186" i="30"/>
  <c r="S186" i="30" s="1"/>
  <c r="Q186" i="30"/>
  <c r="B186" i="30"/>
  <c r="E186" i="30" s="1"/>
  <c r="A186" i="30"/>
  <c r="AX185" i="30"/>
  <c r="AI185" i="30"/>
  <c r="AC185" i="30"/>
  <c r="T185" i="30"/>
  <c r="S185" i="30" s="1"/>
  <c r="Q185" i="30"/>
  <c r="B185" i="30"/>
  <c r="E185" i="30" s="1"/>
  <c r="A185" i="30"/>
  <c r="AX184" i="30"/>
  <c r="AQ184" i="30"/>
  <c r="AI184" i="30"/>
  <c r="AC184" i="30"/>
  <c r="T184" i="30"/>
  <c r="S184" i="30"/>
  <c r="Q184" i="30"/>
  <c r="B184" i="30"/>
  <c r="A184" i="30"/>
  <c r="AX183" i="30"/>
  <c r="AI183" i="30"/>
  <c r="AC183" i="30"/>
  <c r="T183" i="30"/>
  <c r="S183" i="30" s="1"/>
  <c r="Q183" i="30"/>
  <c r="B183" i="30"/>
  <c r="E183" i="30" s="1"/>
  <c r="A183" i="30"/>
  <c r="AV182" i="30"/>
  <c r="AX182" i="30" s="1"/>
  <c r="AI182" i="30"/>
  <c r="AC182" i="30"/>
  <c r="T182" i="30"/>
  <c r="S182" i="30" s="1"/>
  <c r="Q182" i="30"/>
  <c r="B182" i="30"/>
  <c r="E182" i="30" s="1"/>
  <c r="A182" i="30"/>
  <c r="AX181" i="30"/>
  <c r="AQ181" i="30"/>
  <c r="AI181" i="30"/>
  <c r="AC181" i="30"/>
  <c r="T181" i="30"/>
  <c r="S181" i="30" s="1"/>
  <c r="Q181" i="30"/>
  <c r="B181" i="30"/>
  <c r="A181" i="30"/>
  <c r="AX180" i="30"/>
  <c r="AQ180" i="30"/>
  <c r="AI180" i="30"/>
  <c r="AC180" i="30"/>
  <c r="T180" i="30"/>
  <c r="S180" i="30" s="1"/>
  <c r="Q180" i="30"/>
  <c r="B180" i="30"/>
  <c r="A180" i="30"/>
  <c r="AX179" i="30"/>
  <c r="AI179" i="30"/>
  <c r="AC179" i="30"/>
  <c r="T179" i="30"/>
  <c r="S179" i="30" s="1"/>
  <c r="Q179" i="30"/>
  <c r="B179" i="30"/>
  <c r="E179" i="30" s="1"/>
  <c r="A179" i="30"/>
  <c r="AX178" i="30"/>
  <c r="AQ178" i="30"/>
  <c r="AI178" i="30"/>
  <c r="AC178" i="30"/>
  <c r="Q178" i="30"/>
  <c r="B178" i="30"/>
  <c r="A178" i="30"/>
  <c r="AX177" i="30"/>
  <c r="AQ177" i="30"/>
  <c r="AI177" i="30"/>
  <c r="AC177" i="30"/>
  <c r="T177" i="30"/>
  <c r="S177" i="30" s="1"/>
  <c r="Q177" i="30"/>
  <c r="B177" i="30"/>
  <c r="A177" i="30"/>
  <c r="AX176" i="30"/>
  <c r="AI176" i="30"/>
  <c r="AC176" i="30"/>
  <c r="T176" i="30"/>
  <c r="S176" i="30" s="1"/>
  <c r="Q176" i="30"/>
  <c r="B176" i="30"/>
  <c r="E176" i="30" s="1"/>
  <c r="A176" i="30"/>
  <c r="AV175" i="30"/>
  <c r="AX175" i="30" s="1"/>
  <c r="AI175" i="30"/>
  <c r="AC175" i="30"/>
  <c r="T175" i="30"/>
  <c r="S175" i="30"/>
  <c r="Q175" i="30"/>
  <c r="B175" i="30"/>
  <c r="E175" i="30" s="1"/>
  <c r="A175" i="30"/>
  <c r="AV174" i="30"/>
  <c r="AX174" i="30" s="1"/>
  <c r="AI174" i="30"/>
  <c r="AC174" i="30"/>
  <c r="Q174" i="30"/>
  <c r="B174" i="30"/>
  <c r="E174" i="30" s="1"/>
  <c r="A174" i="30"/>
  <c r="AX173" i="30"/>
  <c r="AI173" i="30"/>
  <c r="AC173" i="30"/>
  <c r="T173" i="30"/>
  <c r="S173" i="30" s="1"/>
  <c r="Q173" i="30"/>
  <c r="B173" i="30"/>
  <c r="E173" i="30" s="1"/>
  <c r="A173" i="30"/>
  <c r="AX172" i="30"/>
  <c r="AQ172" i="30"/>
  <c r="AI172" i="30"/>
  <c r="AC172" i="30"/>
  <c r="T172" i="30"/>
  <c r="S172" i="30" s="1"/>
  <c r="Q172" i="30"/>
  <c r="B172" i="30"/>
  <c r="A172" i="30"/>
  <c r="AV171" i="30"/>
  <c r="AX171" i="30" s="1"/>
  <c r="AI171" i="30"/>
  <c r="AC171" i="30"/>
  <c r="Q171" i="30"/>
  <c r="B171" i="30"/>
  <c r="E171" i="30" s="1"/>
  <c r="A171" i="30"/>
  <c r="AX170" i="30"/>
  <c r="AQ170" i="30"/>
  <c r="AI170" i="30"/>
  <c r="AC170" i="30"/>
  <c r="T170" i="30"/>
  <c r="S170" i="30" s="1"/>
  <c r="Q170" i="30"/>
  <c r="B170" i="30"/>
  <c r="A170" i="30"/>
  <c r="AV169" i="30"/>
  <c r="AX169" i="30" s="1"/>
  <c r="AI169" i="30"/>
  <c r="AC169" i="30"/>
  <c r="Q169" i="30"/>
  <c r="B169" i="30"/>
  <c r="E169" i="30" s="1"/>
  <c r="A169" i="30"/>
  <c r="AX168" i="30"/>
  <c r="AI168" i="30"/>
  <c r="AC168" i="30"/>
  <c r="T168" i="30"/>
  <c r="S168" i="30" s="1"/>
  <c r="Q168" i="30"/>
  <c r="B168" i="30"/>
  <c r="E168" i="30" s="1"/>
  <c r="A168" i="30"/>
  <c r="AX167" i="30"/>
  <c r="AQ167" i="30"/>
  <c r="AI167" i="30"/>
  <c r="AC167" i="30"/>
  <c r="T167" i="30"/>
  <c r="S167" i="30" s="1"/>
  <c r="Q167" i="30"/>
  <c r="B167" i="30"/>
  <c r="A167" i="30"/>
  <c r="AV166" i="30"/>
  <c r="AX166" i="30" s="1"/>
  <c r="AI166" i="30"/>
  <c r="AC166" i="30"/>
  <c r="Q166" i="30"/>
  <c r="B166" i="30"/>
  <c r="E166" i="30" s="1"/>
  <c r="A166" i="30"/>
  <c r="AX165" i="30"/>
  <c r="AI165" i="30"/>
  <c r="AC165" i="30"/>
  <c r="T165" i="30"/>
  <c r="S165" i="30" s="1"/>
  <c r="Q165" i="30"/>
  <c r="B165" i="30"/>
  <c r="E165" i="30" s="1"/>
  <c r="A165" i="30"/>
  <c r="AX164" i="30"/>
  <c r="AQ164" i="30"/>
  <c r="AI164" i="30"/>
  <c r="AC164" i="30"/>
  <c r="Q164" i="30"/>
  <c r="B164" i="30"/>
  <c r="A164" i="30"/>
  <c r="AX163" i="30"/>
  <c r="AI163" i="30"/>
  <c r="AC163" i="30"/>
  <c r="T163" i="30"/>
  <c r="S163" i="30" s="1"/>
  <c r="Q163" i="30"/>
  <c r="B163" i="30"/>
  <c r="E163" i="30" s="1"/>
  <c r="A163" i="30"/>
  <c r="AX162" i="30"/>
  <c r="AQ162" i="30"/>
  <c r="AI162" i="30"/>
  <c r="AC162" i="30"/>
  <c r="T162" i="30"/>
  <c r="S162" i="30" s="1"/>
  <c r="Q162" i="30"/>
  <c r="B162" i="30"/>
  <c r="A162" i="30"/>
  <c r="AX161" i="30"/>
  <c r="AQ161" i="30"/>
  <c r="AI161" i="30"/>
  <c r="AC161" i="30"/>
  <c r="Q161" i="30"/>
  <c r="B161" i="30"/>
  <c r="A161" i="30"/>
  <c r="AX160" i="30"/>
  <c r="AQ160" i="30"/>
  <c r="AI160" i="30"/>
  <c r="AC160" i="30"/>
  <c r="Q160" i="30"/>
  <c r="B160" i="30"/>
  <c r="A160" i="30"/>
  <c r="AX159" i="30"/>
  <c r="AQ159" i="30"/>
  <c r="AI159" i="30"/>
  <c r="AC159" i="30"/>
  <c r="Q159" i="30"/>
  <c r="B159" i="30"/>
  <c r="A159" i="30"/>
  <c r="AX158" i="30"/>
  <c r="AQ158" i="30"/>
  <c r="AI158" i="30"/>
  <c r="AC158" i="30"/>
  <c r="Q158" i="30"/>
  <c r="B158" i="30"/>
  <c r="A158" i="30"/>
  <c r="AX157" i="30"/>
  <c r="AQ157" i="30"/>
  <c r="AI157" i="30"/>
  <c r="AC157" i="30"/>
  <c r="Q157" i="30"/>
  <c r="B157" i="30"/>
  <c r="A157" i="30"/>
  <c r="AX156" i="30"/>
  <c r="AQ156" i="30"/>
  <c r="AI156" i="30"/>
  <c r="AC156" i="30"/>
  <c r="T156" i="30"/>
  <c r="S156" i="30" s="1"/>
  <c r="Q156" i="30"/>
  <c r="B156" i="30"/>
  <c r="A156" i="30"/>
  <c r="AX155" i="30"/>
  <c r="AQ155" i="30"/>
  <c r="AI155" i="30"/>
  <c r="AC155" i="30"/>
  <c r="T155" i="30"/>
  <c r="S155" i="30" s="1"/>
  <c r="Q155" i="30"/>
  <c r="B155" i="30"/>
  <c r="A155" i="30"/>
  <c r="AX154" i="30"/>
  <c r="AI154" i="30"/>
  <c r="AC154" i="30"/>
  <c r="T154" i="30"/>
  <c r="S154" i="30" s="1"/>
  <c r="Q154" i="30"/>
  <c r="B154" i="30"/>
  <c r="E154" i="30" s="1"/>
  <c r="A154" i="30"/>
  <c r="AX153" i="30"/>
  <c r="AI153" i="30"/>
  <c r="AC153" i="30"/>
  <c r="T153" i="30"/>
  <c r="S153" i="30" s="1"/>
  <c r="Q153" i="30"/>
  <c r="B153" i="30"/>
  <c r="E153" i="30" s="1"/>
  <c r="A153" i="30"/>
  <c r="AX152" i="30"/>
  <c r="AI152" i="30"/>
  <c r="AC152" i="30"/>
  <c r="T152" i="30"/>
  <c r="S152" i="30" s="1"/>
  <c r="Q152" i="30"/>
  <c r="B152" i="30"/>
  <c r="E152" i="30" s="1"/>
  <c r="A152" i="30"/>
  <c r="AX151" i="30"/>
  <c r="AV151" i="30"/>
  <c r="AI151" i="30"/>
  <c r="AC151" i="30"/>
  <c r="Q151" i="30"/>
  <c r="B151" i="30"/>
  <c r="E151" i="30" s="1"/>
  <c r="A151" i="30"/>
  <c r="AV150" i="30"/>
  <c r="AX150" i="30" s="1"/>
  <c r="AI150" i="30"/>
  <c r="AC150" i="30"/>
  <c r="Q150" i="30"/>
  <c r="B150" i="30"/>
  <c r="E150" i="30" s="1"/>
  <c r="A150" i="30"/>
  <c r="AX149" i="30"/>
  <c r="AQ149" i="30"/>
  <c r="AI149" i="30"/>
  <c r="AC149" i="30"/>
  <c r="T149" i="30"/>
  <c r="S149" i="30" s="1"/>
  <c r="Q149" i="30"/>
  <c r="B149" i="30"/>
  <c r="A149" i="30"/>
  <c r="AX148" i="30"/>
  <c r="AI148" i="30"/>
  <c r="AC148" i="30"/>
  <c r="T148" i="30"/>
  <c r="S148" i="30"/>
  <c r="Q148" i="30"/>
  <c r="B148" i="30"/>
  <c r="E148" i="30" s="1"/>
  <c r="A148" i="30"/>
  <c r="AX147" i="30"/>
  <c r="AI147" i="30"/>
  <c r="AC147" i="30"/>
  <c r="T147" i="30"/>
  <c r="S147" i="30" s="1"/>
  <c r="Q147" i="30"/>
  <c r="B147" i="30"/>
  <c r="E147" i="30" s="1"/>
  <c r="A147" i="30"/>
  <c r="AX146" i="30"/>
  <c r="AI146" i="30"/>
  <c r="AC146" i="30"/>
  <c r="T146" i="30"/>
  <c r="S146" i="30" s="1"/>
  <c r="Q146" i="30"/>
  <c r="B146" i="30"/>
  <c r="E146" i="30" s="1"/>
  <c r="A146" i="30"/>
  <c r="AX145" i="30"/>
  <c r="AI145" i="30"/>
  <c r="AC145" i="30"/>
  <c r="T145" i="30"/>
  <c r="S145" i="30" s="1"/>
  <c r="Q145" i="30"/>
  <c r="B145" i="30"/>
  <c r="E145" i="30" s="1"/>
  <c r="A145" i="30"/>
  <c r="AX144" i="30"/>
  <c r="AI144" i="30"/>
  <c r="AC144" i="30"/>
  <c r="T144" i="30"/>
  <c r="S144" i="30"/>
  <c r="Q144" i="30"/>
  <c r="B144" i="30"/>
  <c r="E144" i="30" s="1"/>
  <c r="A144" i="30"/>
  <c r="AX143" i="30"/>
  <c r="AI143" i="30"/>
  <c r="AC143" i="30"/>
  <c r="T143" i="30"/>
  <c r="S143" i="30" s="1"/>
  <c r="Q143" i="30"/>
  <c r="B143" i="30"/>
  <c r="E143" i="30" s="1"/>
  <c r="A143" i="30"/>
  <c r="AX142" i="30"/>
  <c r="AI142" i="30"/>
  <c r="AC142" i="30"/>
  <c r="T142" i="30"/>
  <c r="S142" i="30" s="1"/>
  <c r="Q142" i="30"/>
  <c r="B142" i="30"/>
  <c r="E142" i="30" s="1"/>
  <c r="A142" i="30"/>
  <c r="AX141" i="30"/>
  <c r="AI141" i="30"/>
  <c r="AC141" i="30"/>
  <c r="T141" i="30"/>
  <c r="S141" i="30" s="1"/>
  <c r="Q141" i="30"/>
  <c r="B141" i="30"/>
  <c r="E141" i="30" s="1"/>
  <c r="A141" i="30"/>
  <c r="AX140" i="30"/>
  <c r="AI140" i="30"/>
  <c r="AC140" i="30"/>
  <c r="T140" i="30"/>
  <c r="S140" i="30" s="1"/>
  <c r="Q140" i="30"/>
  <c r="B140" i="30"/>
  <c r="E140" i="30" s="1"/>
  <c r="A140" i="30"/>
  <c r="AX139" i="30"/>
  <c r="AI139" i="30"/>
  <c r="AC139" i="30"/>
  <c r="T139" i="30"/>
  <c r="S139" i="30" s="1"/>
  <c r="Q139" i="30"/>
  <c r="B139" i="30"/>
  <c r="E139" i="30" s="1"/>
  <c r="A139" i="30"/>
  <c r="AX138" i="30"/>
  <c r="AQ138" i="30"/>
  <c r="AI138" i="30"/>
  <c r="AC138" i="30"/>
  <c r="Q138" i="30"/>
  <c r="B138" i="30"/>
  <c r="A138" i="30"/>
  <c r="AV137" i="30"/>
  <c r="AX137" i="30" s="1"/>
  <c r="AI137" i="30"/>
  <c r="AC137" i="30"/>
  <c r="T137" i="30"/>
  <c r="S137" i="30" s="1"/>
  <c r="Q137" i="30"/>
  <c r="E137" i="30"/>
  <c r="B137" i="30"/>
  <c r="A137" i="30"/>
  <c r="AV136" i="30"/>
  <c r="AX136" i="30" s="1"/>
  <c r="AI136" i="30"/>
  <c r="AC136" i="30"/>
  <c r="T136" i="30"/>
  <c r="S136" i="30" s="1"/>
  <c r="Q136" i="30"/>
  <c r="B136" i="30"/>
  <c r="E136" i="30" s="1"/>
  <c r="A136" i="30"/>
  <c r="AX135" i="30"/>
  <c r="AI135" i="30"/>
  <c r="AC135" i="30"/>
  <c r="T135" i="30"/>
  <c r="S135" i="30" s="1"/>
  <c r="Q135" i="30"/>
  <c r="B135" i="30"/>
  <c r="E135" i="30" s="1"/>
  <c r="A135" i="30"/>
  <c r="AV134" i="30"/>
  <c r="AX134" i="30" s="1"/>
  <c r="AI134" i="30"/>
  <c r="AC134" i="30"/>
  <c r="Q134" i="30"/>
  <c r="B134" i="30"/>
  <c r="E134" i="30" s="1"/>
  <c r="A134" i="30"/>
  <c r="AV133" i="30"/>
  <c r="AX133" i="30" s="1"/>
  <c r="AI133" i="30"/>
  <c r="AC133" i="30"/>
  <c r="T133" i="30"/>
  <c r="S133" i="30" s="1"/>
  <c r="Q133" i="30"/>
  <c r="B133" i="30"/>
  <c r="E133" i="30" s="1"/>
  <c r="A133" i="30"/>
  <c r="AX132" i="30"/>
  <c r="AI132" i="30"/>
  <c r="AC132" i="30"/>
  <c r="T132" i="30"/>
  <c r="S132" i="30" s="1"/>
  <c r="Q132" i="30"/>
  <c r="B132" i="30"/>
  <c r="A132" i="30"/>
  <c r="AX131" i="30"/>
  <c r="AQ131" i="30"/>
  <c r="AI131" i="30"/>
  <c r="AC131" i="30"/>
  <c r="Q131" i="30"/>
  <c r="B131" i="30"/>
  <c r="A131" i="30"/>
  <c r="AX130" i="30"/>
  <c r="AQ130" i="30"/>
  <c r="AI130" i="30"/>
  <c r="AC130" i="30"/>
  <c r="T130" i="30"/>
  <c r="S130" i="30" s="1"/>
  <c r="Q130" i="30"/>
  <c r="B130" i="30"/>
  <c r="A130" i="30"/>
  <c r="AX129" i="30"/>
  <c r="AQ129" i="30"/>
  <c r="AI129" i="30"/>
  <c r="AC129" i="30"/>
  <c r="T129" i="30"/>
  <c r="S129" i="30"/>
  <c r="Q129" i="30"/>
  <c r="B129" i="30"/>
  <c r="A129" i="30"/>
  <c r="AX128" i="30"/>
  <c r="AQ128" i="30"/>
  <c r="AI128" i="30"/>
  <c r="AC128" i="30"/>
  <c r="T128" i="30"/>
  <c r="S128" i="30" s="1"/>
  <c r="Q128" i="30"/>
  <c r="B128" i="30"/>
  <c r="A128" i="30"/>
  <c r="AX127" i="30"/>
  <c r="AQ127" i="30"/>
  <c r="AI127" i="30"/>
  <c r="AC127" i="30"/>
  <c r="T127" i="30"/>
  <c r="S127" i="30" s="1"/>
  <c r="Q127" i="30"/>
  <c r="B127" i="30"/>
  <c r="A127" i="30"/>
  <c r="AX126" i="30"/>
  <c r="AI126" i="30"/>
  <c r="AC126" i="30"/>
  <c r="T126" i="30"/>
  <c r="S126" i="30" s="1"/>
  <c r="Q126" i="30"/>
  <c r="B126" i="30"/>
  <c r="E126" i="30" s="1"/>
  <c r="A126" i="30"/>
  <c r="AV125" i="30"/>
  <c r="AX125" i="30" s="1"/>
  <c r="AI125" i="30"/>
  <c r="AC125" i="30"/>
  <c r="T125" i="30"/>
  <c r="S125" i="30"/>
  <c r="Q125" i="30"/>
  <c r="E125" i="30"/>
  <c r="B125" i="30"/>
  <c r="A125" i="30"/>
  <c r="AV124" i="30"/>
  <c r="AX124" i="30" s="1"/>
  <c r="AI124" i="30"/>
  <c r="AC124" i="30"/>
  <c r="T124" i="30"/>
  <c r="S124" i="30" s="1"/>
  <c r="Q124" i="30"/>
  <c r="E124" i="30"/>
  <c r="B124" i="30"/>
  <c r="A124" i="30"/>
  <c r="AX123" i="30"/>
  <c r="AI123" i="30"/>
  <c r="AC123" i="30"/>
  <c r="T123" i="30"/>
  <c r="S123" i="30" s="1"/>
  <c r="Q123" i="30"/>
  <c r="B123" i="30"/>
  <c r="E123" i="30" s="1"/>
  <c r="A123" i="30"/>
  <c r="AX122" i="30"/>
  <c r="AI122" i="30"/>
  <c r="AC122" i="30"/>
  <c r="T122" i="30"/>
  <c r="S122" i="30" s="1"/>
  <c r="Q122" i="30"/>
  <c r="B122" i="30"/>
  <c r="E122" i="30" s="1"/>
  <c r="A122" i="30"/>
  <c r="AX121" i="30"/>
  <c r="AI121" i="30"/>
  <c r="AC121" i="30"/>
  <c r="T121" i="30"/>
  <c r="S121" i="30" s="1"/>
  <c r="Q121" i="30"/>
  <c r="B121" i="30"/>
  <c r="E121" i="30" s="1"/>
  <c r="A121" i="30"/>
  <c r="AX120" i="30"/>
  <c r="AI120" i="30"/>
  <c r="AC120" i="30"/>
  <c r="T120" i="30"/>
  <c r="S120" i="30" s="1"/>
  <c r="Q120" i="30"/>
  <c r="E120" i="30"/>
  <c r="B120" i="30"/>
  <c r="A120" i="30"/>
  <c r="AX119" i="30"/>
  <c r="AI119" i="30"/>
  <c r="AC119" i="30"/>
  <c r="T119" i="30"/>
  <c r="S119" i="30" s="1"/>
  <c r="Q119" i="30"/>
  <c r="B119" i="30"/>
  <c r="A119" i="30"/>
  <c r="AX118" i="30"/>
  <c r="AI118" i="30"/>
  <c r="AC118" i="30"/>
  <c r="T118" i="30"/>
  <c r="S118" i="30" s="1"/>
  <c r="Q118" i="30"/>
  <c r="E118" i="30"/>
  <c r="B118" i="30"/>
  <c r="A118" i="30"/>
  <c r="AX117" i="30"/>
  <c r="AI117" i="30"/>
  <c r="AC117" i="30"/>
  <c r="T117" i="30"/>
  <c r="S117" i="30" s="1"/>
  <c r="Q117" i="30"/>
  <c r="B117" i="30"/>
  <c r="E117" i="30" s="1"/>
  <c r="A117" i="30"/>
  <c r="AX116" i="30"/>
  <c r="AQ116" i="30"/>
  <c r="AI116" i="30"/>
  <c r="AC116" i="30"/>
  <c r="Q116" i="30"/>
  <c r="B116" i="30"/>
  <c r="A116" i="30"/>
  <c r="AV115" i="30"/>
  <c r="AX115" i="30" s="1"/>
  <c r="AI115" i="30"/>
  <c r="AC115" i="30"/>
  <c r="Q115" i="30"/>
  <c r="B115" i="30"/>
  <c r="E115" i="30" s="1"/>
  <c r="A115" i="30"/>
  <c r="AX114" i="30"/>
  <c r="AQ114" i="30"/>
  <c r="AI114" i="30"/>
  <c r="AC114" i="30"/>
  <c r="T114" i="30"/>
  <c r="S114" i="30"/>
  <c r="Q114" i="30"/>
  <c r="B114" i="30"/>
  <c r="A114" i="30"/>
  <c r="AX113" i="30"/>
  <c r="AQ113" i="30"/>
  <c r="AI113" i="30"/>
  <c r="AC113" i="30"/>
  <c r="Q113" i="30"/>
  <c r="B113" i="30"/>
  <c r="A113" i="30"/>
  <c r="AX112" i="30"/>
  <c r="AQ112" i="30"/>
  <c r="AI112" i="30"/>
  <c r="AC112" i="30"/>
  <c r="Q112" i="30"/>
  <c r="B112" i="30"/>
  <c r="A112" i="30"/>
  <c r="AX111" i="30"/>
  <c r="AQ111" i="30"/>
  <c r="AI111" i="30"/>
  <c r="AC111" i="30"/>
  <c r="T111" i="30"/>
  <c r="S111" i="30" s="1"/>
  <c r="Q111" i="30"/>
  <c r="B111" i="30"/>
  <c r="A111" i="30"/>
  <c r="AX110" i="30"/>
  <c r="AQ110" i="30"/>
  <c r="AI110" i="30"/>
  <c r="AC110" i="30"/>
  <c r="T110" i="30"/>
  <c r="S110" i="30" s="1"/>
  <c r="Q110" i="30"/>
  <c r="B110" i="30"/>
  <c r="A110" i="30"/>
  <c r="AX109" i="30"/>
  <c r="AQ109" i="30"/>
  <c r="AI109" i="30"/>
  <c r="AC109" i="30"/>
  <c r="Q109" i="30"/>
  <c r="B109" i="30"/>
  <c r="A109" i="30"/>
  <c r="AX108" i="30"/>
  <c r="AQ108" i="30"/>
  <c r="AI108" i="30"/>
  <c r="AC108" i="30"/>
  <c r="T108" i="30"/>
  <c r="S108" i="30"/>
  <c r="Q108" i="30"/>
  <c r="B108" i="30"/>
  <c r="A108" i="30"/>
  <c r="AX107" i="30"/>
  <c r="AQ107" i="30"/>
  <c r="AI107" i="30"/>
  <c r="AC107" i="30"/>
  <c r="T107" i="30"/>
  <c r="S107" i="30" s="1"/>
  <c r="Q107" i="30"/>
  <c r="B107" i="30"/>
  <c r="A107" i="30"/>
  <c r="AX106" i="30"/>
  <c r="AQ106" i="30"/>
  <c r="AI106" i="30"/>
  <c r="AC106" i="30"/>
  <c r="T106" i="30"/>
  <c r="S106" i="30" s="1"/>
  <c r="Q106" i="30"/>
  <c r="B106" i="30"/>
  <c r="A106" i="30"/>
  <c r="AX105" i="30"/>
  <c r="AI105" i="30"/>
  <c r="AC105" i="30"/>
  <c r="T105" i="30"/>
  <c r="S105" i="30"/>
  <c r="Q105" i="30"/>
  <c r="B105" i="30"/>
  <c r="E105" i="30" s="1"/>
  <c r="A105" i="30"/>
  <c r="AX104" i="30"/>
  <c r="AI104" i="30"/>
  <c r="AC104" i="30"/>
  <c r="T104" i="30"/>
  <c r="S104" i="30" s="1"/>
  <c r="Q104" i="30"/>
  <c r="B104" i="30"/>
  <c r="E104" i="30" s="1"/>
  <c r="A104" i="30"/>
  <c r="AX103" i="30"/>
  <c r="AI103" i="30"/>
  <c r="AC103" i="30"/>
  <c r="T103" i="30"/>
  <c r="S103" i="30"/>
  <c r="Q103" i="30"/>
  <c r="B103" i="30"/>
  <c r="E103" i="30" s="1"/>
  <c r="A103" i="30"/>
  <c r="AX102" i="30"/>
  <c r="AI102" i="30"/>
  <c r="AC102" i="30"/>
  <c r="T102" i="30"/>
  <c r="S102" i="30" s="1"/>
  <c r="Q102" i="30"/>
  <c r="B102" i="30"/>
  <c r="E102" i="30" s="1"/>
  <c r="A102" i="30"/>
  <c r="AX101" i="30"/>
  <c r="AI101" i="30"/>
  <c r="AC101" i="30"/>
  <c r="T101" i="30"/>
  <c r="S101" i="30" s="1"/>
  <c r="Q101" i="30"/>
  <c r="B101" i="30"/>
  <c r="E101" i="30" s="1"/>
  <c r="A101" i="30"/>
  <c r="AX100" i="30"/>
  <c r="AI100" i="30"/>
  <c r="AC100" i="30"/>
  <c r="T100" i="30"/>
  <c r="S100" i="30" s="1"/>
  <c r="Q100" i="30"/>
  <c r="B100" i="30"/>
  <c r="E100" i="30" s="1"/>
  <c r="A100" i="30"/>
  <c r="AX99" i="30"/>
  <c r="AI99" i="30"/>
  <c r="AC99" i="30"/>
  <c r="T99" i="30"/>
  <c r="S99" i="30" s="1"/>
  <c r="Q99" i="30"/>
  <c r="B99" i="30"/>
  <c r="E99" i="30" s="1"/>
  <c r="A99" i="30"/>
  <c r="AX98" i="30"/>
  <c r="AI98" i="30"/>
  <c r="AC98" i="30"/>
  <c r="T98" i="30"/>
  <c r="S98" i="30" s="1"/>
  <c r="Q98" i="30"/>
  <c r="B98" i="30"/>
  <c r="E98" i="30" s="1"/>
  <c r="A98" i="30"/>
  <c r="AX97" i="30"/>
  <c r="AI97" i="30"/>
  <c r="AC97" i="30"/>
  <c r="T97" i="30"/>
  <c r="S97" i="30" s="1"/>
  <c r="Q97" i="30"/>
  <c r="E97" i="30"/>
  <c r="B97" i="30"/>
  <c r="A97" i="30"/>
  <c r="AX96" i="30"/>
  <c r="AI96" i="30"/>
  <c r="AC96" i="30"/>
  <c r="T96" i="30"/>
  <c r="S96" i="30" s="1"/>
  <c r="Q96" i="30"/>
  <c r="B96" i="30"/>
  <c r="E96" i="30" s="1"/>
  <c r="A96" i="30"/>
  <c r="AX95" i="30"/>
  <c r="AI95" i="30"/>
  <c r="AC95" i="30"/>
  <c r="T95" i="30"/>
  <c r="S95" i="30" s="1"/>
  <c r="Q95" i="30"/>
  <c r="B95" i="30"/>
  <c r="E95" i="30" s="1"/>
  <c r="A95" i="30"/>
  <c r="AV94" i="30"/>
  <c r="AX94" i="30" s="1"/>
  <c r="AI94" i="30"/>
  <c r="AC94" i="30"/>
  <c r="T94" i="30"/>
  <c r="S94" i="30" s="1"/>
  <c r="Q94" i="30"/>
  <c r="B94" i="30"/>
  <c r="E94" i="30" s="1"/>
  <c r="A94" i="30"/>
  <c r="AX93" i="30"/>
  <c r="AQ93" i="30"/>
  <c r="AI93" i="30"/>
  <c r="AC93" i="30"/>
  <c r="T93" i="30"/>
  <c r="S93" i="30" s="1"/>
  <c r="Q93" i="30"/>
  <c r="B93" i="30"/>
  <c r="A93" i="30"/>
  <c r="AX92" i="30"/>
  <c r="AI92" i="30"/>
  <c r="AC92" i="30"/>
  <c r="T92" i="30"/>
  <c r="S92" i="30" s="1"/>
  <c r="Q92" i="30"/>
  <c r="D92" i="30"/>
  <c r="B92" i="30"/>
  <c r="E92" i="30" s="1"/>
  <c r="A92" i="30"/>
  <c r="AX91" i="30"/>
  <c r="AI91" i="30"/>
  <c r="AC91" i="30"/>
  <c r="T91" i="30"/>
  <c r="S91" i="30" s="1"/>
  <c r="Q91" i="30"/>
  <c r="B91" i="30"/>
  <c r="E91" i="30" s="1"/>
  <c r="A91" i="30"/>
  <c r="AX90" i="30"/>
  <c r="AQ90" i="30"/>
  <c r="AI90" i="30"/>
  <c r="AC90" i="30"/>
  <c r="T90" i="30"/>
  <c r="S90" i="30" s="1"/>
  <c r="Q90" i="30"/>
  <c r="B90" i="30"/>
  <c r="A90" i="30"/>
  <c r="AX89" i="30"/>
  <c r="AQ89" i="30"/>
  <c r="AI89" i="30"/>
  <c r="AC89" i="30"/>
  <c r="T89" i="30"/>
  <c r="S89" i="30" s="1"/>
  <c r="Q89" i="30"/>
  <c r="B89" i="30"/>
  <c r="A89" i="30"/>
  <c r="AX88" i="30"/>
  <c r="AI88" i="30"/>
  <c r="AC88" i="30"/>
  <c r="T88" i="30"/>
  <c r="S88" i="30" s="1"/>
  <c r="Q88" i="30"/>
  <c r="B88" i="30"/>
  <c r="E88" i="30" s="1"/>
  <c r="A88" i="30"/>
  <c r="AX87" i="30"/>
  <c r="AI87" i="30"/>
  <c r="AC87" i="30"/>
  <c r="T87" i="30"/>
  <c r="S87" i="30" s="1"/>
  <c r="Q87" i="30"/>
  <c r="B87" i="30"/>
  <c r="E87" i="30" s="1"/>
  <c r="A87" i="30"/>
  <c r="AX86" i="30"/>
  <c r="AI86" i="30"/>
  <c r="AC86" i="30"/>
  <c r="T86" i="30"/>
  <c r="S86" i="30" s="1"/>
  <c r="Q86" i="30"/>
  <c r="B86" i="30"/>
  <c r="E86" i="30" s="1"/>
  <c r="A86" i="30"/>
  <c r="AX85" i="30"/>
  <c r="AI85" i="30"/>
  <c r="AC85" i="30"/>
  <c r="T85" i="30"/>
  <c r="S85" i="30" s="1"/>
  <c r="Q85" i="30"/>
  <c r="B85" i="30"/>
  <c r="E85" i="30" s="1"/>
  <c r="A85" i="30"/>
  <c r="AX84" i="30"/>
  <c r="AQ84" i="30"/>
  <c r="AI84" i="30"/>
  <c r="AC84" i="30"/>
  <c r="T84" i="30"/>
  <c r="S84" i="30" s="1"/>
  <c r="Q84" i="30"/>
  <c r="B84" i="30"/>
  <c r="A84" i="30"/>
  <c r="AX83" i="30"/>
  <c r="AQ83" i="30"/>
  <c r="AI83" i="30"/>
  <c r="AC83" i="30"/>
  <c r="T83" i="30"/>
  <c r="S83" i="30" s="1"/>
  <c r="Q83" i="30"/>
  <c r="B83" i="30"/>
  <c r="A83" i="30"/>
  <c r="AX82" i="30"/>
  <c r="AQ82" i="30"/>
  <c r="AI82" i="30"/>
  <c r="AC82" i="30"/>
  <c r="T82" i="30"/>
  <c r="S82" i="30" s="1"/>
  <c r="Q82" i="30"/>
  <c r="B82" i="30"/>
  <c r="A82" i="30"/>
  <c r="AX81" i="30"/>
  <c r="AQ81" i="30"/>
  <c r="AI81" i="30"/>
  <c r="AC81" i="30"/>
  <c r="T81" i="30"/>
  <c r="S81" i="30" s="1"/>
  <c r="Q81" i="30"/>
  <c r="B81" i="30"/>
  <c r="A81" i="30"/>
  <c r="AX80" i="30"/>
  <c r="AQ80" i="30"/>
  <c r="AI80" i="30"/>
  <c r="AC80" i="30"/>
  <c r="T80" i="30"/>
  <c r="S80" i="30"/>
  <c r="Q80" i="30"/>
  <c r="B80" i="30"/>
  <c r="A80" i="30"/>
  <c r="AX79" i="30"/>
  <c r="AQ79" i="30"/>
  <c r="AI79" i="30"/>
  <c r="AC79" i="30"/>
  <c r="T79" i="30"/>
  <c r="S79" i="30" s="1"/>
  <c r="Q79" i="30"/>
  <c r="B79" i="30"/>
  <c r="A79" i="30"/>
  <c r="AX78" i="30"/>
  <c r="AQ78" i="30"/>
  <c r="AI78" i="30"/>
  <c r="AC78" i="30"/>
  <c r="T78" i="30"/>
  <c r="S78" i="30" s="1"/>
  <c r="Q78" i="30"/>
  <c r="B78" i="30"/>
  <c r="A78" i="30"/>
  <c r="AX77" i="30"/>
  <c r="AQ77" i="30"/>
  <c r="AI77" i="30"/>
  <c r="AC77" i="30"/>
  <c r="T77" i="30"/>
  <c r="S77" i="30" s="1"/>
  <c r="Q77" i="30"/>
  <c r="B77" i="30"/>
  <c r="A77" i="30"/>
  <c r="AX76" i="30"/>
  <c r="AQ76" i="30"/>
  <c r="AI76" i="30"/>
  <c r="AC76" i="30"/>
  <c r="T76" i="30"/>
  <c r="S76" i="30" s="1"/>
  <c r="Q76" i="30"/>
  <c r="B76" i="30"/>
  <c r="A76" i="30"/>
  <c r="AV75" i="30"/>
  <c r="AX75" i="30" s="1"/>
  <c r="AI75" i="30"/>
  <c r="AC75" i="30"/>
  <c r="T75" i="30"/>
  <c r="S75" i="30" s="1"/>
  <c r="Q75" i="30"/>
  <c r="D75" i="30"/>
  <c r="B75" i="30"/>
  <c r="E75" i="30" s="1"/>
  <c r="A75" i="30"/>
  <c r="AV74" i="30"/>
  <c r="AX74" i="30" s="1"/>
  <c r="AI74" i="30"/>
  <c r="AC74" i="30"/>
  <c r="Q74" i="30"/>
  <c r="B74" i="30"/>
  <c r="E74" i="30" s="1"/>
  <c r="A74" i="30"/>
  <c r="AX73" i="30"/>
  <c r="AI73" i="30"/>
  <c r="AC73" i="30"/>
  <c r="T73" i="30"/>
  <c r="S73" i="30" s="1"/>
  <c r="Q73" i="30"/>
  <c r="B73" i="30"/>
  <c r="E73" i="30" s="1"/>
  <c r="A73" i="30"/>
  <c r="AX72" i="30"/>
  <c r="AI72" i="30"/>
  <c r="AC72" i="30"/>
  <c r="T72" i="30"/>
  <c r="S72" i="30" s="1"/>
  <c r="Q72" i="30"/>
  <c r="B72" i="30"/>
  <c r="E72" i="30" s="1"/>
  <c r="A72" i="30"/>
  <c r="AX71" i="30"/>
  <c r="AI71" i="30"/>
  <c r="AC71" i="30"/>
  <c r="T71" i="30"/>
  <c r="S71" i="30" s="1"/>
  <c r="Q71" i="30"/>
  <c r="B71" i="30"/>
  <c r="E71" i="30" s="1"/>
  <c r="A71" i="30"/>
  <c r="AX70" i="30"/>
  <c r="AQ70" i="30"/>
  <c r="AI70" i="30"/>
  <c r="AC70" i="30"/>
  <c r="T70" i="30"/>
  <c r="S70" i="30" s="1"/>
  <c r="Q70" i="30"/>
  <c r="D70" i="30"/>
  <c r="B70" i="30"/>
  <c r="A70" i="30"/>
  <c r="AX69" i="30"/>
  <c r="AQ69" i="30"/>
  <c r="AI69" i="30"/>
  <c r="AC69" i="30"/>
  <c r="T69" i="30"/>
  <c r="S69" i="30" s="1"/>
  <c r="Q69" i="30"/>
  <c r="B69" i="30"/>
  <c r="A69" i="30"/>
  <c r="AX68" i="30"/>
  <c r="AQ68" i="30"/>
  <c r="AI68" i="30"/>
  <c r="AC68" i="30"/>
  <c r="T68" i="30"/>
  <c r="S68" i="30" s="1"/>
  <c r="Q68" i="30"/>
  <c r="B68" i="30"/>
  <c r="A68" i="30"/>
  <c r="AX67" i="30"/>
  <c r="AQ67" i="30"/>
  <c r="AI67" i="30"/>
  <c r="AC67" i="30"/>
  <c r="T67" i="30"/>
  <c r="S67" i="30"/>
  <c r="Q67" i="30"/>
  <c r="B67" i="30"/>
  <c r="A67" i="30"/>
  <c r="AX66" i="30"/>
  <c r="AQ66" i="30"/>
  <c r="AI66" i="30"/>
  <c r="AC66" i="30"/>
  <c r="T66" i="30"/>
  <c r="S66" i="30" s="1"/>
  <c r="Q66" i="30"/>
  <c r="B66" i="30"/>
  <c r="A66" i="30"/>
  <c r="AX65" i="30"/>
  <c r="AQ65" i="30"/>
  <c r="AI65" i="30"/>
  <c r="AC65" i="30"/>
  <c r="T65" i="30"/>
  <c r="S65" i="30" s="1"/>
  <c r="Q65" i="30"/>
  <c r="B65" i="30"/>
  <c r="A65" i="30"/>
  <c r="AX64" i="30"/>
  <c r="AQ64" i="30"/>
  <c r="AI64" i="30"/>
  <c r="AC64" i="30"/>
  <c r="T64" i="30"/>
  <c r="S64" i="30" s="1"/>
  <c r="Q64" i="30"/>
  <c r="B64" i="30"/>
  <c r="A64" i="30"/>
  <c r="AX63" i="30"/>
  <c r="AQ63" i="30"/>
  <c r="AI63" i="30"/>
  <c r="AC63" i="30"/>
  <c r="T63" i="30"/>
  <c r="S63" i="30" s="1"/>
  <c r="Q63" i="30"/>
  <c r="B63" i="30"/>
  <c r="A63" i="30"/>
  <c r="AX62" i="30"/>
  <c r="AQ62" i="30"/>
  <c r="AI62" i="30"/>
  <c r="AC62" i="30"/>
  <c r="T62" i="30"/>
  <c r="S62" i="30"/>
  <c r="Q62" i="30"/>
  <c r="B62" i="30"/>
  <c r="A62" i="30"/>
  <c r="AX61" i="30"/>
  <c r="AQ61" i="30"/>
  <c r="AI61" i="30"/>
  <c r="AC61" i="30"/>
  <c r="T61" i="30"/>
  <c r="S61" i="30"/>
  <c r="Q61" i="30"/>
  <c r="B61" i="30"/>
  <c r="A61" i="30"/>
  <c r="AX60" i="30"/>
  <c r="AQ60" i="30"/>
  <c r="AI60" i="30"/>
  <c r="AC60" i="30"/>
  <c r="T60" i="30"/>
  <c r="S60" i="30" s="1"/>
  <c r="Q60" i="30"/>
  <c r="B60" i="30"/>
  <c r="A60" i="30"/>
  <c r="AX59" i="30"/>
  <c r="AQ59" i="30"/>
  <c r="AI59" i="30"/>
  <c r="AC59" i="30"/>
  <c r="T59" i="30"/>
  <c r="S59" i="30" s="1"/>
  <c r="Q59" i="30"/>
  <c r="B59" i="30"/>
  <c r="A59" i="30"/>
  <c r="AV58" i="30"/>
  <c r="AX58" i="30" s="1"/>
  <c r="AI58" i="30"/>
  <c r="AC58" i="30"/>
  <c r="T58" i="30"/>
  <c r="S58" i="30" s="1"/>
  <c r="Q58" i="30"/>
  <c r="E58" i="30"/>
  <c r="B58" i="30"/>
  <c r="A58" i="30"/>
  <c r="AV57" i="30"/>
  <c r="AX57" i="30" s="1"/>
  <c r="AI57" i="30"/>
  <c r="AC57" i="30"/>
  <c r="T57" i="30"/>
  <c r="S57" i="30" s="1"/>
  <c r="Q57" i="30"/>
  <c r="B57" i="30"/>
  <c r="E57" i="30" s="1"/>
  <c r="A57" i="30"/>
  <c r="AV56" i="30"/>
  <c r="AX56" i="30" s="1"/>
  <c r="AI56" i="30"/>
  <c r="AC56" i="30"/>
  <c r="T56" i="30"/>
  <c r="S56" i="30"/>
  <c r="Q56" i="30"/>
  <c r="E56" i="30"/>
  <c r="B56" i="30"/>
  <c r="A56" i="30"/>
  <c r="AX55" i="30"/>
  <c r="AQ55" i="30"/>
  <c r="AI55" i="30"/>
  <c r="AC55" i="30"/>
  <c r="T55" i="30"/>
  <c r="S55" i="30" s="1"/>
  <c r="Q55" i="30"/>
  <c r="D55" i="30"/>
  <c r="B55" i="30"/>
  <c r="A55" i="30"/>
  <c r="AX54" i="30"/>
  <c r="AQ54" i="30"/>
  <c r="AI54" i="30"/>
  <c r="AC54" i="30"/>
  <c r="T54" i="30"/>
  <c r="S54" i="30"/>
  <c r="Q54" i="30"/>
  <c r="D54" i="30"/>
  <c r="B54" i="30"/>
  <c r="A54" i="30"/>
  <c r="AX53" i="30"/>
  <c r="AQ53" i="30"/>
  <c r="AI53" i="30"/>
  <c r="AC53" i="30"/>
  <c r="T53" i="30"/>
  <c r="S53" i="30" s="1"/>
  <c r="Q53" i="30"/>
  <c r="B53" i="30"/>
  <c r="A53" i="30"/>
  <c r="AX52" i="30"/>
  <c r="AQ52" i="30"/>
  <c r="AI52" i="30"/>
  <c r="AC52" i="30"/>
  <c r="T52" i="30"/>
  <c r="S52" i="30" s="1"/>
  <c r="Q52" i="30"/>
  <c r="B52" i="30"/>
  <c r="A52" i="30"/>
  <c r="AV51" i="30"/>
  <c r="AX51" i="30" s="1"/>
  <c r="AI51" i="30"/>
  <c r="AC51" i="30"/>
  <c r="T51" i="30"/>
  <c r="S51" i="30" s="1"/>
  <c r="Q51" i="30"/>
  <c r="B51" i="30"/>
  <c r="E51" i="30" s="1"/>
  <c r="A51" i="30"/>
  <c r="AX50" i="30"/>
  <c r="AI50" i="30"/>
  <c r="AC50" i="30"/>
  <c r="T50" i="30"/>
  <c r="S50" i="30"/>
  <c r="Q50" i="30"/>
  <c r="B50" i="30"/>
  <c r="E50" i="30" s="1"/>
  <c r="A50" i="30"/>
  <c r="AX49" i="30"/>
  <c r="AI49" i="30"/>
  <c r="AC49" i="30"/>
  <c r="T49" i="30"/>
  <c r="S49" i="30" s="1"/>
  <c r="Q49" i="30"/>
  <c r="B49" i="30"/>
  <c r="E49" i="30" s="1"/>
  <c r="A49" i="30"/>
  <c r="AX48" i="30"/>
  <c r="AI48" i="30"/>
  <c r="AC48" i="30"/>
  <c r="T48" i="30"/>
  <c r="S48" i="30" s="1"/>
  <c r="Q48" i="30"/>
  <c r="B48" i="30"/>
  <c r="E48" i="30" s="1"/>
  <c r="A48" i="30"/>
  <c r="AX47" i="30"/>
  <c r="AQ47" i="30"/>
  <c r="AI47" i="30"/>
  <c r="AC47" i="30"/>
  <c r="Q47" i="30"/>
  <c r="B47" i="30"/>
  <c r="A47" i="30"/>
  <c r="AX46" i="30"/>
  <c r="AQ46" i="30"/>
  <c r="AI46" i="30"/>
  <c r="AC46" i="30"/>
  <c r="T46" i="30"/>
  <c r="S46" i="30" s="1"/>
  <c r="Q46" i="30"/>
  <c r="B46" i="30"/>
  <c r="A46" i="30"/>
  <c r="AX45" i="30"/>
  <c r="AI45" i="30"/>
  <c r="AC45" i="30"/>
  <c r="T45" i="30"/>
  <c r="S45" i="30" s="1"/>
  <c r="Q45" i="30"/>
  <c r="B45" i="30"/>
  <c r="E45" i="30" s="1"/>
  <c r="A45" i="30"/>
  <c r="AX44" i="30"/>
  <c r="AI44" i="30"/>
  <c r="AC44" i="30"/>
  <c r="T44" i="30"/>
  <c r="S44" i="30"/>
  <c r="Q44" i="30"/>
  <c r="B44" i="30"/>
  <c r="E44" i="30" s="1"/>
  <c r="A44" i="30"/>
  <c r="AX43" i="30"/>
  <c r="AI43" i="30"/>
  <c r="AC43" i="30"/>
  <c r="T43" i="30"/>
  <c r="S43" i="30"/>
  <c r="Q43" i="30"/>
  <c r="B43" i="30"/>
  <c r="E43" i="30" s="1"/>
  <c r="A43" i="30"/>
  <c r="AX42" i="30"/>
  <c r="AI42" i="30"/>
  <c r="AC42" i="30"/>
  <c r="T42" i="30"/>
  <c r="S42" i="30" s="1"/>
  <c r="Q42" i="30"/>
  <c r="E42" i="30"/>
  <c r="B42" i="30"/>
  <c r="A42" i="30"/>
  <c r="AX41" i="30"/>
  <c r="AQ41" i="30"/>
  <c r="AI41" i="30"/>
  <c r="AC41" i="30"/>
  <c r="T41" i="30"/>
  <c r="S41" i="30" s="1"/>
  <c r="Q41" i="30"/>
  <c r="B41" i="30"/>
  <c r="A41" i="30"/>
  <c r="AX40" i="30"/>
  <c r="AI40" i="30"/>
  <c r="AC40" i="30"/>
  <c r="T40" i="30"/>
  <c r="S40" i="30" s="1"/>
  <c r="Q40" i="30"/>
  <c r="B40" i="30"/>
  <c r="E40" i="30" s="1"/>
  <c r="A40" i="30"/>
  <c r="AX39" i="30"/>
  <c r="AI39" i="30"/>
  <c r="AC39" i="30"/>
  <c r="T39" i="30"/>
  <c r="S39" i="30" s="1"/>
  <c r="Q39" i="30"/>
  <c r="B39" i="30"/>
  <c r="E39" i="30" s="1"/>
  <c r="A39" i="30"/>
  <c r="AX38" i="30"/>
  <c r="AQ38" i="30"/>
  <c r="AI38" i="30"/>
  <c r="AC38" i="30"/>
  <c r="T38" i="30"/>
  <c r="S38" i="30" s="1"/>
  <c r="Q38" i="30"/>
  <c r="B38" i="30"/>
  <c r="A38" i="30"/>
  <c r="AX37" i="30"/>
  <c r="AI37" i="30"/>
  <c r="AC37" i="30"/>
  <c r="T37" i="30"/>
  <c r="S37" i="30"/>
  <c r="Q37" i="30"/>
  <c r="B37" i="30"/>
  <c r="E37" i="30" s="1"/>
  <c r="A37" i="30"/>
  <c r="AX36" i="30"/>
  <c r="AI36" i="30"/>
  <c r="AC36" i="30"/>
  <c r="T36" i="30"/>
  <c r="S36" i="30" s="1"/>
  <c r="Q36" i="30"/>
  <c r="B36" i="30"/>
  <c r="E36" i="30" s="1"/>
  <c r="A36" i="30"/>
  <c r="AX35" i="30"/>
  <c r="AI35" i="30"/>
  <c r="AC35" i="30"/>
  <c r="T35" i="30"/>
  <c r="S35" i="30" s="1"/>
  <c r="Q35" i="30"/>
  <c r="B35" i="30"/>
  <c r="E35" i="30" s="1"/>
  <c r="A35" i="30"/>
  <c r="AX34" i="30"/>
  <c r="AI34" i="30"/>
  <c r="AC34" i="30"/>
  <c r="T34" i="30"/>
  <c r="S34" i="30" s="1"/>
  <c r="Q34" i="30"/>
  <c r="B34" i="30"/>
  <c r="E34" i="30" s="1"/>
  <c r="A34" i="30"/>
  <c r="AX33" i="30"/>
  <c r="AQ33" i="30"/>
  <c r="AI33" i="30"/>
  <c r="AC33" i="30"/>
  <c r="T33" i="30"/>
  <c r="S33" i="30"/>
  <c r="Q33" i="30"/>
  <c r="B33" i="30"/>
  <c r="A33" i="30"/>
  <c r="AX32" i="30"/>
  <c r="AQ32" i="30"/>
  <c r="AI32" i="30"/>
  <c r="AC32" i="30"/>
  <c r="T32" i="30"/>
  <c r="S32" i="30"/>
  <c r="Q32" i="30"/>
  <c r="B32" i="30"/>
  <c r="A32" i="30"/>
  <c r="AX31" i="30"/>
  <c r="AQ31" i="30"/>
  <c r="AI31" i="30"/>
  <c r="AC31" i="30"/>
  <c r="Q31" i="30"/>
  <c r="B31" i="30"/>
  <c r="A31" i="30"/>
  <c r="AX30" i="30"/>
  <c r="AQ30" i="30"/>
  <c r="AI30" i="30"/>
  <c r="AC30" i="30"/>
  <c r="Q30" i="30"/>
  <c r="B30" i="30"/>
  <c r="A30" i="30"/>
  <c r="AX29" i="30"/>
  <c r="AI29" i="30"/>
  <c r="AC29" i="30"/>
  <c r="T29" i="30"/>
  <c r="S29" i="30" s="1"/>
  <c r="Q29" i="30"/>
  <c r="B29" i="30"/>
  <c r="E29" i="30" s="1"/>
  <c r="A29" i="30"/>
  <c r="AX28" i="30"/>
  <c r="AI28" i="30"/>
  <c r="AC28" i="30"/>
  <c r="T28" i="30"/>
  <c r="S28" i="30" s="1"/>
  <c r="Q28" i="30"/>
  <c r="E28" i="30"/>
  <c r="B28" i="30"/>
  <c r="A28" i="30"/>
  <c r="AX27" i="30"/>
  <c r="AI27" i="30"/>
  <c r="AC27" i="30"/>
  <c r="T27" i="30"/>
  <c r="S27" i="30" s="1"/>
  <c r="Q27" i="30"/>
  <c r="B27" i="30"/>
  <c r="E27" i="30" s="1"/>
  <c r="A27" i="30"/>
  <c r="AX26" i="30"/>
  <c r="AI26" i="30"/>
  <c r="AC26" i="30"/>
  <c r="T26" i="30"/>
  <c r="S26" i="30" s="1"/>
  <c r="Q26" i="30"/>
  <c r="E26" i="30"/>
  <c r="B26" i="30"/>
  <c r="A26" i="30"/>
  <c r="AX25" i="30"/>
  <c r="AQ25" i="30"/>
  <c r="AI25" i="30"/>
  <c r="AC25" i="30"/>
  <c r="T25" i="30"/>
  <c r="S25" i="30" s="1"/>
  <c r="Q25" i="30"/>
  <c r="B25" i="30"/>
  <c r="A25" i="30"/>
  <c r="AX24" i="30"/>
  <c r="AQ24" i="30"/>
  <c r="AI24" i="30"/>
  <c r="AC24" i="30"/>
  <c r="T24" i="30"/>
  <c r="S24" i="30" s="1"/>
  <c r="Q24" i="30"/>
  <c r="B24" i="30"/>
  <c r="A24" i="30"/>
  <c r="AX23" i="30"/>
  <c r="AQ23" i="30"/>
  <c r="AI23" i="30"/>
  <c r="AC23" i="30"/>
  <c r="Q23" i="30"/>
  <c r="B23" i="30"/>
  <c r="A23" i="30"/>
  <c r="AX22" i="30"/>
  <c r="AQ22" i="30"/>
  <c r="AI22" i="30"/>
  <c r="AC22" i="30"/>
  <c r="Q22" i="30"/>
  <c r="B22" i="30"/>
  <c r="A22" i="30"/>
  <c r="AX21" i="30"/>
  <c r="AI21" i="30"/>
  <c r="AC21" i="30"/>
  <c r="T21" i="30"/>
  <c r="S21" i="30" s="1"/>
  <c r="Q21" i="30"/>
  <c r="B21" i="30"/>
  <c r="E21" i="30" s="1"/>
  <c r="A21" i="30"/>
  <c r="AX20" i="30"/>
  <c r="AI20" i="30"/>
  <c r="AC20" i="30"/>
  <c r="T20" i="30"/>
  <c r="S20" i="30"/>
  <c r="Q20" i="30"/>
  <c r="B20" i="30"/>
  <c r="E20" i="30" s="1"/>
  <c r="A20" i="30"/>
  <c r="AX19" i="30"/>
  <c r="AI19" i="30"/>
  <c r="AC19" i="30"/>
  <c r="T19" i="30"/>
  <c r="S19" i="30"/>
  <c r="Q19" i="30"/>
  <c r="B19" i="30"/>
  <c r="E19" i="30" s="1"/>
  <c r="A19" i="30"/>
  <c r="AX18" i="30"/>
  <c r="AI18" i="30"/>
  <c r="AC18" i="30"/>
  <c r="T18" i="30"/>
  <c r="S18" i="30" s="1"/>
  <c r="Q18" i="30"/>
  <c r="B18" i="30"/>
  <c r="E18" i="30" s="1"/>
  <c r="A18" i="30"/>
  <c r="AX17" i="30"/>
  <c r="AQ17" i="30"/>
  <c r="AI17" i="30"/>
  <c r="AC17" i="30"/>
  <c r="T17" i="30"/>
  <c r="S17" i="30"/>
  <c r="Q17" i="30"/>
  <c r="B17" i="30"/>
  <c r="A17" i="30"/>
  <c r="AX16" i="30"/>
  <c r="AQ16" i="30"/>
  <c r="AI16" i="30"/>
  <c r="AC16" i="30"/>
  <c r="T16" i="30"/>
  <c r="S16" i="30" s="1"/>
  <c r="Q16" i="30"/>
  <c r="B16" i="30"/>
  <c r="A16" i="30"/>
  <c r="AX15" i="30"/>
  <c r="AQ15" i="30"/>
  <c r="AI15" i="30"/>
  <c r="AC15" i="30"/>
  <c r="Q15" i="30"/>
  <c r="B15" i="30"/>
  <c r="A15" i="30"/>
  <c r="AX14" i="30"/>
  <c r="AQ14" i="30"/>
  <c r="AI14" i="30"/>
  <c r="AC14" i="30"/>
  <c r="Q14" i="30"/>
  <c r="B14" i="30"/>
  <c r="A14" i="30"/>
  <c r="AX13" i="30"/>
  <c r="AI13" i="30"/>
  <c r="AC13" i="30"/>
  <c r="T13" i="30"/>
  <c r="S13" i="30" s="1"/>
  <c r="Q13" i="30"/>
  <c r="B13" i="30"/>
  <c r="E13" i="30" s="1"/>
  <c r="A13" i="30"/>
  <c r="AX12" i="30"/>
  <c r="AI12" i="30"/>
  <c r="AC12" i="30"/>
  <c r="T12" i="30"/>
  <c r="S12" i="30" s="1"/>
  <c r="Q12" i="30"/>
  <c r="E12" i="30"/>
  <c r="B12" i="30"/>
  <c r="A12" i="30"/>
  <c r="AX11" i="30"/>
  <c r="AI11" i="30"/>
  <c r="AC11" i="30"/>
  <c r="T11" i="30"/>
  <c r="S11" i="30" s="1"/>
  <c r="Q11" i="30"/>
  <c r="B11" i="30"/>
  <c r="E11" i="30" s="1"/>
  <c r="A11" i="30"/>
  <c r="AX10" i="30"/>
  <c r="AI10" i="30"/>
  <c r="AC10" i="30"/>
  <c r="T10" i="30"/>
  <c r="S10" i="30" s="1"/>
  <c r="Q10" i="30"/>
  <c r="B10" i="30"/>
  <c r="E10" i="30" s="1"/>
  <c r="A10" i="30"/>
  <c r="AX9" i="30"/>
  <c r="AI9" i="30"/>
  <c r="AC9" i="30"/>
  <c r="T9" i="30"/>
  <c r="S9" i="30" s="1"/>
  <c r="Q9" i="30"/>
  <c r="B9" i="30"/>
  <c r="E9" i="30" s="1"/>
  <c r="A9" i="30"/>
  <c r="AX8" i="30"/>
  <c r="AQ8" i="30"/>
  <c r="AI8" i="30"/>
  <c r="AC8" i="30"/>
  <c r="Q8" i="30"/>
  <c r="B8" i="30"/>
  <c r="A8" i="30"/>
  <c r="AX7" i="30"/>
  <c r="AQ7" i="30"/>
  <c r="AI7" i="30"/>
  <c r="AC7" i="30"/>
  <c r="T7" i="30"/>
  <c r="S7" i="30" s="1"/>
  <c r="Q7" i="30"/>
  <c r="B7" i="30"/>
  <c r="A7" i="30"/>
  <c r="AX6" i="30"/>
  <c r="AI6" i="30"/>
  <c r="AC6" i="30"/>
  <c r="T6" i="30"/>
  <c r="S6" i="30" s="1"/>
  <c r="Q6" i="30"/>
  <c r="E6" i="30"/>
  <c r="B6" i="30"/>
  <c r="A6" i="30"/>
  <c r="AX5" i="30"/>
  <c r="AQ5" i="30"/>
  <c r="AI5" i="30"/>
  <c r="AC5" i="30"/>
  <c r="T5" i="30"/>
  <c r="S5" i="30" s="1"/>
  <c r="Q5" i="30"/>
  <c r="B5" i="30"/>
  <c r="A5" i="30"/>
  <c r="AX4" i="30"/>
  <c r="AQ4" i="30"/>
  <c r="AI4" i="30"/>
  <c r="AC4" i="30"/>
  <c r="Q4" i="30"/>
  <c r="B4" i="30"/>
  <c r="A4" i="30"/>
  <c r="AX3" i="30"/>
  <c r="AQ3" i="30"/>
  <c r="AI3" i="30"/>
  <c r="AC3" i="30"/>
  <c r="Q3" i="30"/>
  <c r="B3" i="30"/>
  <c r="A3" i="30"/>
  <c r="AX2" i="30"/>
  <c r="AI2" i="30"/>
  <c r="AC2" i="30"/>
  <c r="T2" i="30"/>
  <c r="S2" i="30" s="1"/>
  <c r="Q2" i="30"/>
  <c r="B2" i="30"/>
  <c r="E2" i="30" s="1"/>
  <c r="A2" i="30"/>
  <c r="AI605" i="1"/>
  <c r="AI604" i="1"/>
  <c r="AI603" i="1"/>
  <c r="AI602" i="1"/>
  <c r="AI601" i="1"/>
  <c r="AI600" i="1"/>
  <c r="AI599" i="1"/>
  <c r="AI598" i="1"/>
  <c r="AI597" i="1"/>
  <c r="AI596" i="1"/>
  <c r="AI595" i="1"/>
  <c r="AI594" i="1"/>
  <c r="AI593" i="1"/>
  <c r="AI592" i="1"/>
  <c r="AI591" i="1"/>
  <c r="AI590" i="1"/>
  <c r="AI589" i="1"/>
  <c r="AI588" i="1"/>
  <c r="AI587" i="1"/>
  <c r="AI586" i="1"/>
  <c r="AI585" i="1"/>
  <c r="AI584" i="1"/>
  <c r="AI583" i="1"/>
  <c r="AI582" i="1"/>
  <c r="AI581" i="1"/>
  <c r="AI580" i="1"/>
  <c r="AI579" i="1"/>
  <c r="AI578" i="1"/>
  <c r="AI577" i="1"/>
  <c r="AI576" i="1"/>
  <c r="AI575" i="1"/>
  <c r="AI574" i="1"/>
  <c r="AI573" i="1"/>
  <c r="AI572" i="1"/>
  <c r="AI571" i="1"/>
  <c r="AI570" i="1"/>
  <c r="AI569" i="1"/>
  <c r="AI568" i="1"/>
  <c r="AI567" i="1"/>
  <c r="AI566" i="1"/>
  <c r="AI565" i="1"/>
  <c r="AI564" i="1"/>
  <c r="AI563" i="1"/>
  <c r="AI562" i="1"/>
  <c r="AI561" i="1"/>
  <c r="AI560" i="1"/>
  <c r="AI559" i="1"/>
  <c r="AI558" i="1"/>
  <c r="AI557" i="1"/>
  <c r="AI556" i="1"/>
  <c r="AI555" i="1"/>
  <c r="AI554" i="1"/>
  <c r="AI553" i="1"/>
  <c r="AI552" i="1"/>
  <c r="AI551" i="1"/>
  <c r="AI550" i="1"/>
  <c r="AI549" i="1"/>
  <c r="AI548" i="1"/>
  <c r="AI547" i="1"/>
  <c r="AI546" i="1"/>
  <c r="AI545" i="1"/>
  <c r="AI544" i="1"/>
  <c r="AI543" i="1"/>
  <c r="AI542" i="1"/>
  <c r="AI541" i="1"/>
  <c r="AI540" i="1"/>
  <c r="AI539" i="1"/>
  <c r="AI538" i="1"/>
  <c r="AI537" i="1"/>
  <c r="AI536" i="1"/>
  <c r="AI535" i="1"/>
  <c r="AI534" i="1"/>
  <c r="AI533" i="1"/>
  <c r="AI532" i="1"/>
  <c r="AI531" i="1"/>
  <c r="AI530" i="1"/>
  <c r="AI529" i="1"/>
  <c r="AI528" i="1"/>
  <c r="AI527" i="1"/>
  <c r="AI526" i="1"/>
  <c r="AI525" i="1"/>
  <c r="AI524" i="1"/>
  <c r="AI523" i="1"/>
  <c r="AI522" i="1"/>
  <c r="AI521" i="1"/>
  <c r="AI520" i="1"/>
  <c r="AI519" i="1"/>
  <c r="AI518" i="1"/>
  <c r="AI517" i="1"/>
  <c r="AI516" i="1"/>
  <c r="AI515" i="1"/>
  <c r="AI514" i="1"/>
  <c r="AI513" i="1"/>
  <c r="AI512" i="1"/>
  <c r="AI511" i="1"/>
  <c r="AI510" i="1"/>
  <c r="AI509" i="1"/>
  <c r="AI508" i="1"/>
  <c r="AI507" i="1"/>
  <c r="AI506" i="1"/>
  <c r="AI505" i="1"/>
  <c r="AI504" i="1"/>
  <c r="AI503" i="1"/>
  <c r="AI502" i="1"/>
  <c r="AI501" i="1"/>
  <c r="AI500" i="1"/>
  <c r="AI499" i="1"/>
  <c r="AI498" i="1"/>
  <c r="AI497" i="1"/>
  <c r="AI496" i="1"/>
  <c r="AI495" i="1"/>
  <c r="AI494" i="1"/>
  <c r="AI493" i="1"/>
  <c r="AI492" i="1"/>
  <c r="AI491" i="1"/>
  <c r="AI490" i="1"/>
  <c r="AI489" i="1"/>
  <c r="AI488" i="1"/>
  <c r="AI487" i="1"/>
  <c r="AI486" i="1"/>
  <c r="AI485" i="1"/>
  <c r="AI484" i="1"/>
  <c r="AI483" i="1"/>
  <c r="AI482" i="1"/>
  <c r="AI481" i="1"/>
  <c r="AI480" i="1"/>
  <c r="AI479" i="1"/>
  <c r="AI478" i="1"/>
  <c r="AI477" i="1"/>
  <c r="AI476" i="1"/>
  <c r="AI475" i="1"/>
  <c r="AI474" i="1"/>
  <c r="AI473" i="1"/>
  <c r="AI472" i="1"/>
  <c r="AI471" i="1"/>
  <c r="AI470" i="1"/>
  <c r="AI469" i="1"/>
  <c r="AI468" i="1"/>
  <c r="AI467" i="1"/>
  <c r="AI466" i="1"/>
  <c r="AI465" i="1"/>
  <c r="AI464" i="1"/>
  <c r="AI463" i="1"/>
  <c r="AI462" i="1"/>
  <c r="AI461" i="1"/>
  <c r="AI460" i="1"/>
  <c r="AI459" i="1"/>
  <c r="AI458" i="1"/>
  <c r="AI457" i="1"/>
  <c r="AI456" i="1"/>
  <c r="AI455" i="1"/>
  <c r="AI454" i="1"/>
  <c r="AI453" i="1"/>
  <c r="AI452" i="1"/>
  <c r="AI451" i="1"/>
  <c r="AI450" i="1"/>
  <c r="AI449" i="1"/>
  <c r="AI448" i="1"/>
  <c r="AI447" i="1"/>
  <c r="AI446" i="1"/>
  <c r="AI445" i="1"/>
  <c r="AI444" i="1"/>
  <c r="AI443" i="1"/>
  <c r="AI442" i="1"/>
  <c r="AI441" i="1"/>
  <c r="AI440" i="1"/>
  <c r="AI439" i="1"/>
  <c r="AI438" i="1"/>
  <c r="AI437" i="1"/>
  <c r="AI436" i="1"/>
  <c r="AI435" i="1"/>
  <c r="AI434" i="1"/>
  <c r="AI433" i="1"/>
  <c r="AI432" i="1"/>
  <c r="AI431" i="1"/>
  <c r="AI430" i="1"/>
  <c r="AI429" i="1"/>
  <c r="AI428" i="1"/>
  <c r="AI427" i="1"/>
  <c r="AI426" i="1"/>
  <c r="AI425" i="1"/>
  <c r="AI424" i="1"/>
  <c r="AI423" i="1"/>
  <c r="AI422" i="1"/>
  <c r="AI421" i="1"/>
  <c r="AI420" i="1"/>
  <c r="AI419" i="1"/>
  <c r="AI418" i="1"/>
  <c r="AI417" i="1"/>
  <c r="AI416" i="1"/>
  <c r="AI415" i="1"/>
  <c r="AI414" i="1"/>
  <c r="AI413" i="1"/>
  <c r="AI412" i="1"/>
  <c r="AI411" i="1"/>
  <c r="AI410" i="1"/>
  <c r="AI409" i="1"/>
  <c r="AI408" i="1"/>
  <c r="AI407" i="1"/>
  <c r="AI406" i="1"/>
  <c r="AI405" i="1"/>
  <c r="AI404" i="1"/>
  <c r="AI403" i="1"/>
  <c r="AI402" i="1"/>
  <c r="AI401" i="1"/>
  <c r="AI400" i="1"/>
  <c r="AI399" i="1"/>
  <c r="AI398" i="1"/>
  <c r="AI397" i="1"/>
  <c r="AI396" i="1"/>
  <c r="AI395" i="1"/>
  <c r="AI394" i="1"/>
  <c r="AI393" i="1"/>
  <c r="AI392" i="1"/>
  <c r="AI391" i="1"/>
  <c r="AI390" i="1"/>
  <c r="AI389" i="1"/>
  <c r="AI388" i="1"/>
  <c r="AI387" i="1"/>
  <c r="AI386" i="1"/>
  <c r="AI385" i="1"/>
  <c r="AI384" i="1"/>
  <c r="AI383" i="1"/>
  <c r="AI382" i="1"/>
  <c r="AI381" i="1"/>
  <c r="AI380" i="1"/>
  <c r="AI379" i="1"/>
  <c r="AI378" i="1"/>
  <c r="AI377" i="1"/>
  <c r="AI376" i="1"/>
  <c r="AI375" i="1"/>
  <c r="AI374" i="1"/>
  <c r="AI373" i="1"/>
  <c r="AI372" i="1"/>
  <c r="AI371" i="1"/>
  <c r="AI370" i="1"/>
  <c r="AI369" i="1"/>
  <c r="AI368" i="1"/>
  <c r="AI367" i="1"/>
  <c r="AI366" i="1"/>
  <c r="AI365" i="1"/>
  <c r="AI364" i="1"/>
  <c r="AI363" i="1"/>
  <c r="AI362" i="1"/>
  <c r="AI361" i="1"/>
  <c r="AI360" i="1"/>
  <c r="AI359" i="1"/>
  <c r="AI358" i="1"/>
  <c r="AI357" i="1"/>
  <c r="AI356" i="1"/>
  <c r="AI355" i="1"/>
  <c r="AI354" i="1"/>
  <c r="AI353" i="1"/>
  <c r="AI352" i="1"/>
  <c r="AI351" i="1"/>
  <c r="AI350" i="1"/>
  <c r="AI349" i="1"/>
  <c r="AI348" i="1"/>
  <c r="AI347" i="1"/>
  <c r="AI346" i="1"/>
  <c r="AI345" i="1"/>
  <c r="AI344" i="1"/>
  <c r="AI343" i="1"/>
  <c r="AI342" i="1"/>
  <c r="AI341" i="1"/>
  <c r="AI340" i="1"/>
  <c r="AI339" i="1"/>
  <c r="AI338" i="1"/>
  <c r="AI337" i="1"/>
  <c r="AI336" i="1"/>
  <c r="AI335" i="1"/>
  <c r="AI334" i="1"/>
  <c r="AI333" i="1"/>
  <c r="AI332" i="1"/>
  <c r="AI331" i="1"/>
  <c r="AI330" i="1"/>
  <c r="AI329" i="1"/>
  <c r="AI328" i="1"/>
  <c r="AI327" i="1"/>
  <c r="AI326" i="1"/>
  <c r="AI325" i="1"/>
  <c r="AI324" i="1"/>
  <c r="AI323" i="1"/>
  <c r="AI322" i="1"/>
  <c r="AI321" i="1"/>
  <c r="AI320" i="1"/>
  <c r="AI319" i="1"/>
  <c r="AI318" i="1"/>
  <c r="AI317" i="1"/>
  <c r="AI316" i="1"/>
  <c r="AI315" i="1"/>
  <c r="AI314" i="1"/>
  <c r="AI313" i="1"/>
  <c r="AI312" i="1"/>
  <c r="AI311" i="1"/>
  <c r="AI310" i="1"/>
  <c r="AI309" i="1"/>
  <c r="AI308" i="1"/>
  <c r="AI307" i="1"/>
  <c r="AI306" i="1"/>
  <c r="AI305" i="1"/>
  <c r="AI304" i="1"/>
  <c r="AI303" i="1"/>
  <c r="AI302" i="1"/>
  <c r="AI301" i="1"/>
  <c r="AI300" i="1"/>
  <c r="AI299" i="1"/>
  <c r="AI298" i="1"/>
  <c r="AI297" i="1"/>
  <c r="AI296" i="1"/>
  <c r="AI295" i="1"/>
  <c r="AI294" i="1"/>
  <c r="AI293" i="1"/>
  <c r="AI292" i="1"/>
  <c r="AI291" i="1"/>
  <c r="AI290" i="1"/>
  <c r="AI289" i="1"/>
  <c r="AI288" i="1"/>
  <c r="AI287" i="1"/>
  <c r="AI286" i="1"/>
  <c r="AI285" i="1"/>
  <c r="AI284" i="1"/>
  <c r="AI283" i="1"/>
  <c r="AI282" i="1"/>
  <c r="AI281" i="1"/>
  <c r="AI280" i="1"/>
  <c r="AI279" i="1"/>
  <c r="AI278" i="1"/>
  <c r="AI277" i="1"/>
  <c r="AI276" i="1"/>
  <c r="AI275" i="1"/>
  <c r="AI274" i="1"/>
  <c r="AI273" i="1"/>
  <c r="AI272" i="1"/>
  <c r="AI271" i="1"/>
  <c r="AI270" i="1"/>
  <c r="AI269" i="1"/>
  <c r="AI268" i="1"/>
  <c r="AI267" i="1"/>
  <c r="AI266" i="1"/>
  <c r="AI265" i="1"/>
  <c r="AI264" i="1"/>
  <c r="AI263" i="1"/>
  <c r="AI262" i="1"/>
  <c r="AI261" i="1"/>
  <c r="AI260" i="1"/>
  <c r="AI259" i="1"/>
  <c r="AI258" i="1"/>
  <c r="AI257" i="1"/>
  <c r="AI256" i="1"/>
  <c r="AI255" i="1"/>
  <c r="AI254" i="1"/>
  <c r="AI253" i="1"/>
  <c r="AI252" i="1"/>
  <c r="AI251" i="1"/>
  <c r="AI250" i="1"/>
  <c r="AI249" i="1"/>
  <c r="AI248" i="1"/>
  <c r="AI247" i="1"/>
  <c r="AI246" i="1"/>
  <c r="AI245" i="1"/>
  <c r="AI244" i="1"/>
  <c r="AI243" i="1"/>
  <c r="AI242" i="1"/>
  <c r="AI241" i="1"/>
  <c r="AI240" i="1"/>
  <c r="AI239" i="1"/>
  <c r="AI238" i="1"/>
  <c r="AI237" i="1"/>
  <c r="AI236" i="1"/>
  <c r="AI235" i="1"/>
  <c r="AI234" i="1"/>
  <c r="AI233" i="1"/>
  <c r="AI232" i="1"/>
  <c r="AI231" i="1"/>
  <c r="AI230" i="1"/>
  <c r="AI229" i="1"/>
  <c r="AI228" i="1"/>
  <c r="AI227" i="1"/>
  <c r="AI226" i="1"/>
  <c r="AI225" i="1"/>
  <c r="AI224" i="1"/>
  <c r="AI223" i="1"/>
  <c r="AI222" i="1"/>
  <c r="AI221" i="1"/>
  <c r="AI220" i="1"/>
  <c r="AI219" i="1"/>
  <c r="AI218" i="1"/>
  <c r="AI217" i="1"/>
  <c r="AI216" i="1"/>
  <c r="AI215" i="1"/>
  <c r="AI214" i="1"/>
  <c r="AI213" i="1"/>
  <c r="AI212" i="1"/>
  <c r="AI211" i="1"/>
  <c r="AI210" i="1"/>
  <c r="AI209" i="1"/>
  <c r="AI208" i="1"/>
  <c r="AI207" i="1"/>
  <c r="AI206" i="1"/>
  <c r="AI205" i="1"/>
  <c r="AI204" i="1"/>
  <c r="AI203" i="1"/>
  <c r="AI202" i="1"/>
  <c r="AI201" i="1"/>
  <c r="AI200" i="1"/>
  <c r="AI199" i="1"/>
  <c r="AI198" i="1"/>
  <c r="AI197" i="1"/>
  <c r="AI196" i="1"/>
  <c r="AI195" i="1"/>
  <c r="AI194" i="1"/>
  <c r="AI193" i="1"/>
  <c r="AI192" i="1"/>
  <c r="AI191" i="1"/>
  <c r="AI190" i="1"/>
  <c r="AI189" i="1"/>
  <c r="AI188" i="1"/>
  <c r="AI187" i="1"/>
  <c r="AI186" i="1"/>
  <c r="AI185" i="1"/>
  <c r="AI184" i="1"/>
  <c r="AI183" i="1"/>
  <c r="AI182" i="1"/>
  <c r="AI181" i="1"/>
  <c r="AI180" i="1"/>
  <c r="AI179" i="1"/>
  <c r="AI178" i="1"/>
  <c r="AI177" i="1"/>
  <c r="AI176" i="1"/>
  <c r="AI175" i="1"/>
  <c r="AI174" i="1"/>
  <c r="AI173" i="1"/>
  <c r="AI172" i="1"/>
  <c r="AI171" i="1"/>
  <c r="AI170" i="1"/>
  <c r="AI169" i="1"/>
  <c r="AI168" i="1"/>
  <c r="AI167" i="1"/>
  <c r="AI166" i="1"/>
  <c r="AI165" i="1"/>
  <c r="AI164" i="1"/>
  <c r="AI163" i="1"/>
  <c r="AI162" i="1"/>
  <c r="AI161" i="1"/>
  <c r="AI160" i="1"/>
  <c r="AI159" i="1"/>
  <c r="AI158" i="1"/>
  <c r="AI157" i="1"/>
  <c r="AI156" i="1"/>
  <c r="AI155" i="1"/>
  <c r="AI154" i="1"/>
  <c r="AI153" i="1"/>
  <c r="AI152" i="1"/>
  <c r="AI151" i="1"/>
  <c r="AI150" i="1"/>
  <c r="AI149" i="1"/>
  <c r="AI148" i="1"/>
  <c r="AI147" i="1"/>
  <c r="AI146" i="1"/>
  <c r="AI145" i="1"/>
  <c r="AI144" i="1"/>
  <c r="AI143" i="1"/>
  <c r="AI142" i="1"/>
  <c r="AI141" i="1"/>
  <c r="AI140" i="1"/>
  <c r="AI139" i="1"/>
  <c r="AI138" i="1"/>
  <c r="AI137" i="1"/>
  <c r="AI136" i="1"/>
  <c r="AI135" i="1"/>
  <c r="AI134" i="1"/>
  <c r="AI133" i="1"/>
  <c r="AI132" i="1"/>
  <c r="AI131" i="1"/>
  <c r="AI130" i="1"/>
  <c r="AI129" i="1"/>
  <c r="AI128" i="1"/>
  <c r="AI127" i="1"/>
  <c r="AI126" i="1"/>
  <c r="AI125" i="1"/>
  <c r="AI124" i="1"/>
  <c r="AI123" i="1"/>
  <c r="AI122" i="1"/>
  <c r="AI121" i="1"/>
  <c r="AI120" i="1"/>
  <c r="AI119" i="1"/>
  <c r="AI118" i="1"/>
  <c r="AI117" i="1"/>
  <c r="AI116" i="1"/>
  <c r="AI115" i="1"/>
  <c r="AI114" i="1"/>
  <c r="AI113" i="1"/>
  <c r="AI112" i="1"/>
  <c r="AI111" i="1"/>
  <c r="AI110" i="1"/>
  <c r="AI109" i="1"/>
  <c r="AI108" i="1"/>
  <c r="AI107" i="1"/>
  <c r="AI106" i="1"/>
  <c r="AI105" i="1"/>
  <c r="AI104" i="1"/>
  <c r="AI103" i="1"/>
  <c r="AI102" i="1"/>
  <c r="AI101" i="1"/>
  <c r="AI100" i="1"/>
  <c r="AI99" i="1"/>
  <c r="AI98" i="1"/>
  <c r="AI97" i="1"/>
  <c r="AI96" i="1"/>
  <c r="AI95" i="1"/>
  <c r="AI94" i="1"/>
  <c r="AI93" i="1"/>
  <c r="AI92" i="1"/>
  <c r="AI91" i="1"/>
  <c r="AI90" i="1"/>
  <c r="AI89" i="1"/>
  <c r="AI88" i="1"/>
  <c r="AI87" i="1"/>
  <c r="AI86" i="1"/>
  <c r="AI85" i="1"/>
  <c r="AI84" i="1"/>
  <c r="AI83" i="1"/>
  <c r="AI82" i="1"/>
  <c r="AI81" i="1"/>
  <c r="AI80" i="1"/>
  <c r="AI79" i="1"/>
  <c r="AI78" i="1"/>
  <c r="AI77" i="1"/>
  <c r="AI76" i="1"/>
  <c r="AI75" i="1"/>
  <c r="AI74" i="1"/>
  <c r="AI73" i="1"/>
  <c r="AI72" i="1"/>
  <c r="AI71" i="1"/>
  <c r="AI70" i="1"/>
  <c r="AI69" i="1"/>
  <c r="AI68" i="1"/>
  <c r="AI67" i="1"/>
  <c r="AI66" i="1"/>
  <c r="AI65" i="1"/>
  <c r="AI64" i="1"/>
  <c r="AI63" i="1"/>
  <c r="AI62" i="1"/>
  <c r="AI61" i="1"/>
  <c r="AI60" i="1"/>
  <c r="AI59" i="1"/>
  <c r="AI58" i="1"/>
  <c r="AI57" i="1"/>
  <c r="AI56" i="1"/>
  <c r="AI55" i="1"/>
  <c r="AI54" i="1"/>
  <c r="AI53" i="1"/>
  <c r="AI52" i="1"/>
  <c r="AI51" i="1"/>
  <c r="AI50" i="1"/>
  <c r="AI49" i="1"/>
  <c r="AI48" i="1"/>
  <c r="AI47" i="1"/>
  <c r="AI46" i="1"/>
  <c r="AI45" i="1"/>
  <c r="AI44" i="1"/>
  <c r="AI43" i="1"/>
  <c r="AI42" i="1"/>
  <c r="AI41" i="1"/>
  <c r="AI40" i="1"/>
  <c r="AI39" i="1"/>
  <c r="AI38" i="1"/>
  <c r="AI37" i="1"/>
  <c r="AI36" i="1"/>
  <c r="AI35" i="1"/>
  <c r="AI34" i="1"/>
  <c r="AI33" i="1"/>
  <c r="AI32" i="1"/>
  <c r="AI31" i="1"/>
  <c r="AI30" i="1"/>
  <c r="AI29" i="1"/>
  <c r="AI28" i="1"/>
  <c r="AI27" i="1"/>
  <c r="AI26" i="1"/>
  <c r="AI25" i="1"/>
  <c r="AI24" i="1"/>
  <c r="AI23" i="1"/>
  <c r="AI22" i="1"/>
  <c r="AI21" i="1"/>
  <c r="AI20" i="1"/>
  <c r="AI19" i="1"/>
  <c r="AI18" i="1"/>
  <c r="AI17" i="1"/>
  <c r="AI16" i="1"/>
  <c r="AI15" i="1"/>
  <c r="AI14" i="1"/>
  <c r="AI13" i="1"/>
  <c r="AI12" i="1"/>
  <c r="AI11" i="1"/>
  <c r="AI10" i="1"/>
  <c r="AI9" i="1"/>
  <c r="S495" i="1"/>
  <c r="S491" i="1"/>
  <c r="S149" i="1"/>
  <c r="S116" i="1"/>
  <c r="T988" i="1"/>
  <c r="T987" i="1"/>
  <c r="T986" i="1"/>
  <c r="T985" i="1"/>
  <c r="T984" i="1"/>
  <c r="T983" i="1"/>
  <c r="T982" i="1"/>
  <c r="T981" i="1"/>
  <c r="T980" i="1"/>
  <c r="T979" i="1"/>
  <c r="T978" i="1"/>
  <c r="T977" i="1"/>
  <c r="T976" i="1"/>
  <c r="T975" i="1"/>
  <c r="T974" i="1"/>
  <c r="T973" i="1"/>
  <c r="T972" i="1"/>
  <c r="T971" i="1"/>
  <c r="T970" i="1"/>
  <c r="T969" i="1"/>
  <c r="T968" i="1"/>
  <c r="T967" i="1"/>
  <c r="T966" i="1"/>
  <c r="T965" i="1"/>
  <c r="T964" i="1"/>
  <c r="T963" i="1"/>
  <c r="T962" i="1"/>
  <c r="T961" i="1"/>
  <c r="T960" i="1"/>
  <c r="T959" i="1"/>
  <c r="T958" i="1"/>
  <c r="T957" i="1"/>
  <c r="T956" i="1"/>
  <c r="T955" i="1"/>
  <c r="T954" i="1"/>
  <c r="T953" i="1"/>
  <c r="T952" i="1"/>
  <c r="T951" i="1"/>
  <c r="T950" i="1"/>
  <c r="T949" i="1"/>
  <c r="T948" i="1"/>
  <c r="T947" i="1"/>
  <c r="T946" i="1"/>
  <c r="T945" i="1"/>
  <c r="T944" i="1"/>
  <c r="T943" i="1"/>
  <c r="T942" i="1"/>
  <c r="T941" i="1"/>
  <c r="T940" i="1"/>
  <c r="T939" i="1"/>
  <c r="T938" i="1"/>
  <c r="T937" i="1"/>
  <c r="T936" i="1"/>
  <c r="T935" i="1"/>
  <c r="T934" i="1"/>
  <c r="T933" i="1"/>
  <c r="T932" i="1"/>
  <c r="T931" i="1"/>
  <c r="T930" i="1"/>
  <c r="T929" i="1"/>
  <c r="T928" i="1"/>
  <c r="T927" i="1"/>
  <c r="T926" i="1"/>
  <c r="T925" i="1"/>
  <c r="T924" i="1"/>
  <c r="T923" i="1"/>
  <c r="T922" i="1"/>
  <c r="T921" i="1"/>
  <c r="T920" i="1"/>
  <c r="T919" i="1"/>
  <c r="T918" i="1"/>
  <c r="T917" i="1"/>
  <c r="T916" i="1"/>
  <c r="T915" i="1"/>
  <c r="T914" i="1"/>
  <c r="T913" i="1"/>
  <c r="T912" i="1"/>
  <c r="T911" i="1"/>
  <c r="T910" i="1"/>
  <c r="T909" i="1"/>
  <c r="T908" i="1"/>
  <c r="T907" i="1"/>
  <c r="T906" i="1"/>
  <c r="T905" i="1"/>
  <c r="T904" i="1"/>
  <c r="T903" i="1"/>
  <c r="T902" i="1"/>
  <c r="T901" i="1"/>
  <c r="T900" i="1"/>
  <c r="T899" i="1"/>
  <c r="T898" i="1"/>
  <c r="T897" i="1"/>
  <c r="T896" i="1"/>
  <c r="T895" i="1"/>
  <c r="T894" i="1"/>
  <c r="T893" i="1"/>
  <c r="T892" i="1"/>
  <c r="T891" i="1"/>
  <c r="T890" i="1"/>
  <c r="T889" i="1"/>
  <c r="T888" i="1"/>
  <c r="T887" i="1"/>
  <c r="T886" i="1"/>
  <c r="T885" i="1"/>
  <c r="T884" i="1"/>
  <c r="T883" i="1"/>
  <c r="T882" i="1"/>
  <c r="T881" i="1"/>
  <c r="T880" i="1"/>
  <c r="T879" i="1"/>
  <c r="T878" i="1"/>
  <c r="T877" i="1"/>
  <c r="T876" i="1"/>
  <c r="T875" i="1"/>
  <c r="T874" i="1"/>
  <c r="T873" i="1"/>
  <c r="T872" i="1"/>
  <c r="T871" i="1"/>
  <c r="T870" i="1"/>
  <c r="T869" i="1"/>
  <c r="T868" i="1"/>
  <c r="T867" i="1"/>
  <c r="T866" i="1"/>
  <c r="T865" i="1"/>
  <c r="T864" i="1"/>
  <c r="T863" i="1"/>
  <c r="T862" i="1"/>
  <c r="T861" i="1"/>
  <c r="T860" i="1"/>
  <c r="T859" i="1"/>
  <c r="T858" i="1"/>
  <c r="T857" i="1"/>
  <c r="T856" i="1"/>
  <c r="T855" i="1"/>
  <c r="T854" i="1"/>
  <c r="T853" i="1"/>
  <c r="T852" i="1"/>
  <c r="T851" i="1"/>
  <c r="T850" i="1"/>
  <c r="T849" i="1"/>
  <c r="T848" i="1"/>
  <c r="T847" i="1"/>
  <c r="T846" i="1"/>
  <c r="T845" i="1"/>
  <c r="T844" i="1"/>
  <c r="T843" i="1"/>
  <c r="T842" i="1"/>
  <c r="T841" i="1"/>
  <c r="T840" i="1"/>
  <c r="T839" i="1"/>
  <c r="T838" i="1"/>
  <c r="T837" i="1"/>
  <c r="T836" i="1"/>
  <c r="T835" i="1"/>
  <c r="T834" i="1"/>
  <c r="T833" i="1"/>
  <c r="T832" i="1"/>
  <c r="T831" i="1"/>
  <c r="T830" i="1"/>
  <c r="T829" i="1"/>
  <c r="T828" i="1"/>
  <c r="T827" i="1"/>
  <c r="T826" i="1"/>
  <c r="T825" i="1"/>
  <c r="T824" i="1"/>
  <c r="T823" i="1"/>
  <c r="T822" i="1"/>
  <c r="T821" i="1"/>
  <c r="T820" i="1"/>
  <c r="T819" i="1"/>
  <c r="T818" i="1"/>
  <c r="T817" i="1"/>
  <c r="T816" i="1"/>
  <c r="T815" i="1"/>
  <c r="T814" i="1"/>
  <c r="T813" i="1"/>
  <c r="T812" i="1"/>
  <c r="T811" i="1"/>
  <c r="T810" i="1"/>
  <c r="T809" i="1"/>
  <c r="T808" i="1"/>
  <c r="T807" i="1"/>
  <c r="T806" i="1"/>
  <c r="T805" i="1"/>
  <c r="T804" i="1"/>
  <c r="T803" i="1"/>
  <c r="T802" i="1"/>
  <c r="T801" i="1"/>
  <c r="T800" i="1"/>
  <c r="T799" i="1"/>
  <c r="T798" i="1"/>
  <c r="T797" i="1"/>
  <c r="T796" i="1"/>
  <c r="T795" i="1"/>
  <c r="T794" i="1"/>
  <c r="T793" i="1"/>
  <c r="T792" i="1"/>
  <c r="T791" i="1"/>
  <c r="T790" i="1"/>
  <c r="T789" i="1"/>
  <c r="T788" i="1"/>
  <c r="T787" i="1"/>
  <c r="T786" i="1"/>
  <c r="T785" i="1"/>
  <c r="T784" i="1"/>
  <c r="T783" i="1"/>
  <c r="T782" i="1"/>
  <c r="T781" i="1"/>
  <c r="T780" i="1"/>
  <c r="T779" i="1"/>
  <c r="T778" i="1"/>
  <c r="T777" i="1"/>
  <c r="T776" i="1"/>
  <c r="T775" i="1"/>
  <c r="T774" i="1"/>
  <c r="T773" i="1"/>
  <c r="T772" i="1"/>
  <c r="T771" i="1"/>
  <c r="T770" i="1"/>
  <c r="T769" i="1"/>
  <c r="T768" i="1"/>
  <c r="T767" i="1"/>
  <c r="T766" i="1"/>
  <c r="T765" i="1"/>
  <c r="T764" i="1"/>
  <c r="T763" i="1"/>
  <c r="T762" i="1"/>
  <c r="T761" i="1"/>
  <c r="T760" i="1"/>
  <c r="T759" i="1"/>
  <c r="T758" i="1"/>
  <c r="T757" i="1"/>
  <c r="T756" i="1"/>
  <c r="T755" i="1"/>
  <c r="T754" i="1"/>
  <c r="T753" i="1"/>
  <c r="T752" i="1"/>
  <c r="T751" i="1"/>
  <c r="T750" i="1"/>
  <c r="T749" i="1"/>
  <c r="T748" i="1"/>
  <c r="T747" i="1"/>
  <c r="T746" i="1"/>
  <c r="T745" i="1"/>
  <c r="T744" i="1"/>
  <c r="T743" i="1"/>
  <c r="T742" i="1"/>
  <c r="T741" i="1"/>
  <c r="T740" i="1"/>
  <c r="T739" i="1"/>
  <c r="T738" i="1"/>
  <c r="T737" i="1"/>
  <c r="T736" i="1"/>
  <c r="T735" i="1"/>
  <c r="T734" i="1"/>
  <c r="T733" i="1"/>
  <c r="T732" i="1"/>
  <c r="T731" i="1"/>
  <c r="T730" i="1"/>
  <c r="T729" i="1"/>
  <c r="T728" i="1"/>
  <c r="T727" i="1"/>
  <c r="T726" i="1"/>
  <c r="T725" i="1"/>
  <c r="T724" i="1"/>
  <c r="T723" i="1"/>
  <c r="T722" i="1"/>
  <c r="T721" i="1"/>
  <c r="T720" i="1"/>
  <c r="T719" i="1"/>
  <c r="T718" i="1"/>
  <c r="T717" i="1"/>
  <c r="T716" i="1"/>
  <c r="T715" i="1"/>
  <c r="T714" i="1"/>
  <c r="T713" i="1"/>
  <c r="T712" i="1"/>
  <c r="T711" i="1"/>
  <c r="T710" i="1"/>
  <c r="T709" i="1"/>
  <c r="T708" i="1"/>
  <c r="T707" i="1"/>
  <c r="T706" i="1"/>
  <c r="S706" i="1" s="1"/>
  <c r="T705" i="1"/>
  <c r="S705" i="1" s="1"/>
  <c r="T704" i="1"/>
  <c r="S704" i="1" s="1"/>
  <c r="T703" i="1"/>
  <c r="S703" i="1" s="1"/>
  <c r="T702" i="1"/>
  <c r="S702" i="1" s="1"/>
  <c r="T701" i="1"/>
  <c r="S701" i="1" s="1"/>
  <c r="T700" i="1"/>
  <c r="S700" i="1" s="1"/>
  <c r="T699" i="1"/>
  <c r="S699" i="1" s="1"/>
  <c r="T698" i="1"/>
  <c r="S698" i="1" s="1"/>
  <c r="T697" i="1"/>
  <c r="S697" i="1" s="1"/>
  <c r="T696" i="1"/>
  <c r="S696" i="1" s="1"/>
  <c r="T695" i="1"/>
  <c r="S695" i="1" s="1"/>
  <c r="T694" i="1"/>
  <c r="S694" i="1" s="1"/>
  <c r="T693" i="1"/>
  <c r="S693" i="1" s="1"/>
  <c r="T692" i="1"/>
  <c r="S692" i="1" s="1"/>
  <c r="T691" i="1"/>
  <c r="S691" i="1" s="1"/>
  <c r="T690" i="1"/>
  <c r="S690" i="1" s="1"/>
  <c r="T689" i="1"/>
  <c r="S689" i="1" s="1"/>
  <c r="T688" i="1"/>
  <c r="S688" i="1" s="1"/>
  <c r="T687" i="1"/>
  <c r="S687" i="1" s="1"/>
  <c r="T686" i="1"/>
  <c r="S686" i="1" s="1"/>
  <c r="T685" i="1"/>
  <c r="S685" i="1" s="1"/>
  <c r="T684" i="1"/>
  <c r="S684" i="1" s="1"/>
  <c r="T683" i="1"/>
  <c r="S683" i="1" s="1"/>
  <c r="T682" i="1"/>
  <c r="S682" i="1" s="1"/>
  <c r="T681" i="1"/>
  <c r="S681" i="1" s="1"/>
  <c r="T680" i="1"/>
  <c r="S680" i="1" s="1"/>
  <c r="T679" i="1"/>
  <c r="S679" i="1" s="1"/>
  <c r="T678" i="1"/>
  <c r="S678" i="1" s="1"/>
  <c r="T677" i="1"/>
  <c r="S677" i="1" s="1"/>
  <c r="T676" i="1"/>
  <c r="S676" i="1" s="1"/>
  <c r="T675" i="1"/>
  <c r="S675" i="1" s="1"/>
  <c r="T674" i="1"/>
  <c r="S674" i="1" s="1"/>
  <c r="T673" i="1"/>
  <c r="S673" i="1" s="1"/>
  <c r="T672" i="1"/>
  <c r="S672" i="1" s="1"/>
  <c r="T671" i="1"/>
  <c r="S671" i="1" s="1"/>
  <c r="T670" i="1"/>
  <c r="S670" i="1" s="1"/>
  <c r="T669" i="1"/>
  <c r="S669" i="1" s="1"/>
  <c r="T668" i="1"/>
  <c r="S668" i="1" s="1"/>
  <c r="T667" i="1"/>
  <c r="S667" i="1" s="1"/>
  <c r="T666" i="1"/>
  <c r="S666" i="1" s="1"/>
  <c r="T665" i="1"/>
  <c r="S665" i="1" s="1"/>
  <c r="T664" i="1"/>
  <c r="S664" i="1" s="1"/>
  <c r="T663" i="1"/>
  <c r="S663" i="1" s="1"/>
  <c r="T662" i="1"/>
  <c r="S662" i="1" s="1"/>
  <c r="T661" i="1"/>
  <c r="S661" i="1" s="1"/>
  <c r="T660" i="1"/>
  <c r="S660" i="1" s="1"/>
  <c r="T659" i="1"/>
  <c r="S659" i="1" s="1"/>
  <c r="T658" i="1"/>
  <c r="S658" i="1" s="1"/>
  <c r="T657" i="1"/>
  <c r="S657" i="1" s="1"/>
  <c r="T656" i="1"/>
  <c r="S656" i="1" s="1"/>
  <c r="T655" i="1"/>
  <c r="S655" i="1" s="1"/>
  <c r="T654" i="1"/>
  <c r="S654" i="1" s="1"/>
  <c r="T653" i="1"/>
  <c r="S653" i="1" s="1"/>
  <c r="T652" i="1"/>
  <c r="S652" i="1" s="1"/>
  <c r="T651" i="1"/>
  <c r="S651" i="1" s="1"/>
  <c r="T650" i="1"/>
  <c r="S650" i="1" s="1"/>
  <c r="T649" i="1"/>
  <c r="S649" i="1" s="1"/>
  <c r="T648" i="1"/>
  <c r="S648" i="1" s="1"/>
  <c r="T647" i="1"/>
  <c r="S647" i="1" s="1"/>
  <c r="T646" i="1"/>
  <c r="S646" i="1" s="1"/>
  <c r="T645" i="1"/>
  <c r="S645" i="1" s="1"/>
  <c r="T644" i="1"/>
  <c r="S644" i="1" s="1"/>
  <c r="T643" i="1"/>
  <c r="S643" i="1" s="1"/>
  <c r="T642" i="1"/>
  <c r="S642" i="1" s="1"/>
  <c r="T641" i="1"/>
  <c r="S641" i="1" s="1"/>
  <c r="T640" i="1"/>
  <c r="S640" i="1" s="1"/>
  <c r="T639" i="1"/>
  <c r="S639" i="1" s="1"/>
  <c r="T638" i="1"/>
  <c r="S638" i="1" s="1"/>
  <c r="T637" i="1"/>
  <c r="S637" i="1" s="1"/>
  <c r="T636" i="1"/>
  <c r="S636" i="1" s="1"/>
  <c r="T635" i="1"/>
  <c r="S635" i="1" s="1"/>
  <c r="T634" i="1"/>
  <c r="S634" i="1" s="1"/>
  <c r="T633" i="1"/>
  <c r="S633" i="1" s="1"/>
  <c r="T632" i="1"/>
  <c r="S632" i="1" s="1"/>
  <c r="T631" i="1"/>
  <c r="S631" i="1" s="1"/>
  <c r="T630" i="1"/>
  <c r="S630" i="1" s="1"/>
  <c r="T629" i="1"/>
  <c r="S629" i="1" s="1"/>
  <c r="T628" i="1"/>
  <c r="S628" i="1" s="1"/>
  <c r="T627" i="1"/>
  <c r="S627" i="1" s="1"/>
  <c r="T626" i="1"/>
  <c r="S626" i="1" s="1"/>
  <c r="T625" i="1"/>
  <c r="S625" i="1" s="1"/>
  <c r="T624" i="1"/>
  <c r="S624" i="1" s="1"/>
  <c r="T623" i="1"/>
  <c r="S623" i="1" s="1"/>
  <c r="T622" i="1"/>
  <c r="S622" i="1" s="1"/>
  <c r="T621" i="1"/>
  <c r="S621" i="1" s="1"/>
  <c r="T620" i="1"/>
  <c r="S620" i="1" s="1"/>
  <c r="T619" i="1"/>
  <c r="S619" i="1" s="1"/>
  <c r="T618" i="1"/>
  <c r="S618" i="1" s="1"/>
  <c r="T617" i="1"/>
  <c r="S617" i="1" s="1"/>
  <c r="T616" i="1"/>
  <c r="S616" i="1" s="1"/>
  <c r="T615" i="1"/>
  <c r="S615" i="1" s="1"/>
  <c r="T614" i="1"/>
  <c r="S614" i="1" s="1"/>
  <c r="T613" i="1"/>
  <c r="S613" i="1" s="1"/>
  <c r="T612" i="1"/>
  <c r="S612" i="1" s="1"/>
  <c r="T611" i="1"/>
  <c r="S611" i="1" s="1"/>
  <c r="T610" i="1"/>
  <c r="S610" i="1" s="1"/>
  <c r="T609" i="1"/>
  <c r="S609" i="1" s="1"/>
  <c r="T608" i="1"/>
  <c r="S608" i="1" s="1"/>
  <c r="T607" i="1"/>
  <c r="S607" i="1" s="1"/>
  <c r="T606" i="1"/>
  <c r="S606" i="1" s="1"/>
  <c r="T605" i="1"/>
  <c r="S605" i="1" s="1"/>
  <c r="T604" i="1"/>
  <c r="S604" i="1" s="1"/>
  <c r="T603" i="1"/>
  <c r="S603" i="1" s="1"/>
  <c r="T601" i="1"/>
  <c r="S601" i="1" s="1"/>
  <c r="T597" i="1"/>
  <c r="S597" i="1" s="1"/>
  <c r="T596" i="1"/>
  <c r="S596" i="1" s="1"/>
  <c r="T595" i="1"/>
  <c r="S595" i="1" s="1"/>
  <c r="T594" i="1"/>
  <c r="S594" i="1" s="1"/>
  <c r="T593" i="1"/>
  <c r="S593" i="1" s="1"/>
  <c r="T592" i="1"/>
  <c r="S592" i="1" s="1"/>
  <c r="T591" i="1"/>
  <c r="S591" i="1" s="1"/>
  <c r="T590" i="1"/>
  <c r="S590" i="1" s="1"/>
  <c r="T589" i="1"/>
  <c r="S589" i="1" s="1"/>
  <c r="T588" i="1"/>
  <c r="S588" i="1" s="1"/>
  <c r="T587" i="1"/>
  <c r="S587" i="1" s="1"/>
  <c r="T584" i="1"/>
  <c r="S584" i="1" s="1"/>
  <c r="T583" i="1"/>
  <c r="S583" i="1" s="1"/>
  <c r="T577" i="1"/>
  <c r="S577" i="1" s="1"/>
  <c r="T575" i="1"/>
  <c r="S575" i="1" s="1"/>
  <c r="T574" i="1"/>
  <c r="S574" i="1" s="1"/>
  <c r="T572" i="1"/>
  <c r="S572" i="1" s="1"/>
  <c r="T571" i="1"/>
  <c r="S571" i="1" s="1"/>
  <c r="T570" i="1"/>
  <c r="S570" i="1" s="1"/>
  <c r="T569" i="1"/>
  <c r="S569" i="1" s="1"/>
  <c r="T568" i="1"/>
  <c r="S568" i="1" s="1"/>
  <c r="T566" i="1"/>
  <c r="S566" i="1" s="1"/>
  <c r="T565" i="1"/>
  <c r="S565" i="1" s="1"/>
  <c r="T564" i="1"/>
  <c r="S564" i="1" s="1"/>
  <c r="T563" i="1"/>
  <c r="S563" i="1" s="1"/>
  <c r="T562" i="1"/>
  <c r="S562" i="1" s="1"/>
  <c r="T558" i="1"/>
  <c r="S558" i="1" s="1"/>
  <c r="T557" i="1"/>
  <c r="S557" i="1" s="1"/>
  <c r="T556" i="1"/>
  <c r="S556" i="1" s="1"/>
  <c r="T555" i="1"/>
  <c r="S555" i="1" s="1"/>
  <c r="T553" i="1"/>
  <c r="S553" i="1" s="1"/>
  <c r="T552" i="1"/>
  <c r="S552" i="1" s="1"/>
  <c r="T551" i="1"/>
  <c r="S551" i="1" s="1"/>
  <c r="T550" i="1"/>
  <c r="S550" i="1" s="1"/>
  <c r="T549" i="1"/>
  <c r="S549" i="1" s="1"/>
  <c r="T548" i="1"/>
  <c r="S548" i="1" s="1"/>
  <c r="T547" i="1"/>
  <c r="S547" i="1" s="1"/>
  <c r="T546" i="1"/>
  <c r="S546" i="1" s="1"/>
  <c r="T545" i="1"/>
  <c r="S545" i="1" s="1"/>
  <c r="T543" i="1"/>
  <c r="S543" i="1" s="1"/>
  <c r="T542" i="1"/>
  <c r="S542" i="1" s="1"/>
  <c r="T541" i="1"/>
  <c r="S541" i="1" s="1"/>
  <c r="T540" i="1"/>
  <c r="S540" i="1" s="1"/>
  <c r="T539" i="1"/>
  <c r="S539" i="1" s="1"/>
  <c r="T537" i="1"/>
  <c r="S537" i="1" s="1"/>
  <c r="T536" i="1"/>
  <c r="S536" i="1" s="1"/>
  <c r="T535" i="1"/>
  <c r="S535" i="1" s="1"/>
  <c r="T534" i="1"/>
  <c r="S534" i="1" s="1"/>
  <c r="T533" i="1"/>
  <c r="S533" i="1" s="1"/>
  <c r="T532" i="1"/>
  <c r="S532" i="1" s="1"/>
  <c r="T531" i="1"/>
  <c r="S531" i="1" s="1"/>
  <c r="T530" i="1"/>
  <c r="S530" i="1" s="1"/>
  <c r="T529" i="1"/>
  <c r="S529" i="1" s="1"/>
  <c r="T528" i="1"/>
  <c r="S528" i="1" s="1"/>
  <c r="T527" i="1"/>
  <c r="S527" i="1" s="1"/>
  <c r="T526" i="1"/>
  <c r="S526" i="1" s="1"/>
  <c r="T525" i="1"/>
  <c r="S525" i="1" s="1"/>
  <c r="T524" i="1"/>
  <c r="S524" i="1" s="1"/>
  <c r="T523" i="1"/>
  <c r="S523" i="1" s="1"/>
  <c r="T522" i="1"/>
  <c r="S522" i="1" s="1"/>
  <c r="T521" i="1"/>
  <c r="S521" i="1" s="1"/>
  <c r="T520" i="1"/>
  <c r="S520" i="1" s="1"/>
  <c r="T519" i="1"/>
  <c r="S519" i="1" s="1"/>
  <c r="T518" i="1"/>
  <c r="S518" i="1" s="1"/>
  <c r="T517" i="1"/>
  <c r="S517" i="1" s="1"/>
  <c r="T515" i="1"/>
  <c r="S515" i="1" s="1"/>
  <c r="T513" i="1"/>
  <c r="S513" i="1" s="1"/>
  <c r="T510" i="1"/>
  <c r="S510" i="1" s="1"/>
  <c r="T508" i="1"/>
  <c r="S508" i="1" s="1"/>
  <c r="T507" i="1"/>
  <c r="S507" i="1" s="1"/>
  <c r="T506" i="1"/>
  <c r="S506" i="1" s="1"/>
  <c r="T505" i="1"/>
  <c r="S505" i="1" s="1"/>
  <c r="T503" i="1"/>
  <c r="S503" i="1" s="1"/>
  <c r="T501" i="1"/>
  <c r="S501" i="1" s="1"/>
  <c r="T498" i="1"/>
  <c r="S498" i="1" s="1"/>
  <c r="T497" i="1"/>
  <c r="S497" i="1" s="1"/>
  <c r="T496" i="1"/>
  <c r="S496" i="1" s="1"/>
  <c r="T495" i="1"/>
  <c r="T494" i="1"/>
  <c r="S494" i="1" s="1"/>
  <c r="T493" i="1"/>
  <c r="S493" i="1" s="1"/>
  <c r="T492" i="1"/>
  <c r="S492" i="1" s="1"/>
  <c r="T491" i="1"/>
  <c r="T490" i="1"/>
  <c r="S490" i="1" s="1"/>
  <c r="T489" i="1"/>
  <c r="S489" i="1" s="1"/>
  <c r="T488" i="1"/>
  <c r="S488" i="1" s="1"/>
  <c r="T487" i="1"/>
  <c r="S487" i="1" s="1"/>
  <c r="T486" i="1"/>
  <c r="S486" i="1" s="1"/>
  <c r="T485" i="1"/>
  <c r="S485" i="1" s="1"/>
  <c r="T484" i="1"/>
  <c r="S484" i="1" s="1"/>
  <c r="T480" i="1"/>
  <c r="S480" i="1" s="1"/>
  <c r="T478" i="1"/>
  <c r="S478" i="1" s="1"/>
  <c r="T476" i="1"/>
  <c r="S476" i="1" s="1"/>
  <c r="T474" i="1"/>
  <c r="S474" i="1" s="1"/>
  <c r="T473" i="1"/>
  <c r="S473" i="1" s="1"/>
  <c r="T472" i="1"/>
  <c r="S472" i="1" s="1"/>
  <c r="T469" i="1"/>
  <c r="S469" i="1" s="1"/>
  <c r="T468" i="1"/>
  <c r="S468" i="1" s="1"/>
  <c r="T466" i="1"/>
  <c r="S466" i="1" s="1"/>
  <c r="T463" i="1"/>
  <c r="S463" i="1" s="1"/>
  <c r="T458" i="1"/>
  <c r="S458" i="1" s="1"/>
  <c r="T456" i="1"/>
  <c r="S456" i="1" s="1"/>
  <c r="T454" i="1"/>
  <c r="S454" i="1" s="1"/>
  <c r="T453" i="1"/>
  <c r="S453" i="1" s="1"/>
  <c r="T452" i="1"/>
  <c r="S452" i="1" s="1"/>
  <c r="T451" i="1"/>
  <c r="S451" i="1" s="1"/>
  <c r="T450" i="1"/>
  <c r="S450" i="1" s="1"/>
  <c r="T449" i="1"/>
  <c r="S449" i="1" s="1"/>
  <c r="T448" i="1"/>
  <c r="S448" i="1" s="1"/>
  <c r="T447" i="1"/>
  <c r="S447" i="1" s="1"/>
  <c r="T446" i="1"/>
  <c r="S446" i="1" s="1"/>
  <c r="T445" i="1"/>
  <c r="S445" i="1" s="1"/>
  <c r="T444" i="1"/>
  <c r="S444" i="1" s="1"/>
  <c r="T443" i="1"/>
  <c r="S443" i="1" s="1"/>
  <c r="T442" i="1"/>
  <c r="S442" i="1" s="1"/>
  <c r="T441" i="1"/>
  <c r="S441" i="1" s="1"/>
  <c r="T440" i="1"/>
  <c r="S440" i="1" s="1"/>
  <c r="T439" i="1"/>
  <c r="S439" i="1" s="1"/>
  <c r="T438" i="1"/>
  <c r="S438" i="1" s="1"/>
  <c r="T437" i="1"/>
  <c r="S437" i="1" s="1"/>
  <c r="T435" i="1"/>
  <c r="S435" i="1" s="1"/>
  <c r="T434" i="1"/>
  <c r="S434" i="1" s="1"/>
  <c r="T432" i="1"/>
  <c r="S432" i="1" s="1"/>
  <c r="T431" i="1"/>
  <c r="S431" i="1" s="1"/>
  <c r="T430" i="1"/>
  <c r="S430" i="1" s="1"/>
  <c r="T429" i="1"/>
  <c r="S429" i="1" s="1"/>
  <c r="T428" i="1"/>
  <c r="S428" i="1" s="1"/>
  <c r="T427" i="1"/>
  <c r="S427" i="1" s="1"/>
  <c r="T426" i="1"/>
  <c r="S426" i="1" s="1"/>
  <c r="T423" i="1"/>
  <c r="S423" i="1" s="1"/>
  <c r="T422" i="1"/>
  <c r="S422" i="1" s="1"/>
  <c r="T421" i="1"/>
  <c r="S421" i="1" s="1"/>
  <c r="T420" i="1"/>
  <c r="S420" i="1" s="1"/>
  <c r="T419" i="1"/>
  <c r="S419" i="1" s="1"/>
  <c r="T418" i="1"/>
  <c r="S418" i="1" s="1"/>
  <c r="T416" i="1"/>
  <c r="S416" i="1" s="1"/>
  <c r="T415" i="1"/>
  <c r="S415" i="1" s="1"/>
  <c r="T414" i="1"/>
  <c r="S414" i="1" s="1"/>
  <c r="T413" i="1"/>
  <c r="S413" i="1" s="1"/>
  <c r="T412" i="1"/>
  <c r="S412" i="1" s="1"/>
  <c r="T411" i="1"/>
  <c r="S411" i="1" s="1"/>
  <c r="T410" i="1"/>
  <c r="S410" i="1" s="1"/>
  <c r="T409" i="1"/>
  <c r="S409" i="1" s="1"/>
  <c r="T408" i="1"/>
  <c r="S408" i="1" s="1"/>
  <c r="T406" i="1"/>
  <c r="S406" i="1" s="1"/>
  <c r="T405" i="1"/>
  <c r="S405" i="1" s="1"/>
  <c r="T404" i="1"/>
  <c r="S404" i="1" s="1"/>
  <c r="T402" i="1"/>
  <c r="S402" i="1" s="1"/>
  <c r="T401" i="1"/>
  <c r="S401" i="1" s="1"/>
  <c r="T400" i="1"/>
  <c r="S400" i="1" s="1"/>
  <c r="T397" i="1"/>
  <c r="S397" i="1" s="1"/>
  <c r="T395" i="1"/>
  <c r="S395" i="1" s="1"/>
  <c r="T394" i="1"/>
  <c r="S394" i="1" s="1"/>
  <c r="T393" i="1"/>
  <c r="S393" i="1" s="1"/>
  <c r="T392" i="1"/>
  <c r="S392" i="1" s="1"/>
  <c r="T390" i="1"/>
  <c r="S390" i="1" s="1"/>
  <c r="T389" i="1"/>
  <c r="S389" i="1" s="1"/>
  <c r="T388" i="1"/>
  <c r="S388" i="1" s="1"/>
  <c r="T387" i="1"/>
  <c r="S387" i="1" s="1"/>
  <c r="T386" i="1"/>
  <c r="S386" i="1" s="1"/>
  <c r="T385" i="1"/>
  <c r="S385" i="1" s="1"/>
  <c r="T384" i="1"/>
  <c r="S384" i="1" s="1"/>
  <c r="T383" i="1"/>
  <c r="S383" i="1" s="1"/>
  <c r="T382" i="1"/>
  <c r="S382" i="1" s="1"/>
  <c r="T381" i="1"/>
  <c r="S381" i="1" s="1"/>
  <c r="T380" i="1"/>
  <c r="S380" i="1" s="1"/>
  <c r="T379" i="1"/>
  <c r="S379" i="1" s="1"/>
  <c r="T374" i="1"/>
  <c r="S374" i="1" s="1"/>
  <c r="T373" i="1"/>
  <c r="S373" i="1" s="1"/>
  <c r="T371" i="1"/>
  <c r="S371" i="1" s="1"/>
  <c r="T370" i="1"/>
  <c r="S370" i="1" s="1"/>
  <c r="T369" i="1"/>
  <c r="S369" i="1" s="1"/>
  <c r="T368" i="1"/>
  <c r="S368" i="1" s="1"/>
  <c r="T367" i="1"/>
  <c r="S367" i="1" s="1"/>
  <c r="T366" i="1"/>
  <c r="S366" i="1" s="1"/>
  <c r="T365" i="1"/>
  <c r="S365" i="1" s="1"/>
  <c r="T364" i="1"/>
  <c r="S364" i="1" s="1"/>
  <c r="T363" i="1"/>
  <c r="S363" i="1" s="1"/>
  <c r="T362" i="1"/>
  <c r="S362" i="1" s="1"/>
  <c r="T361" i="1"/>
  <c r="S361" i="1" s="1"/>
  <c r="T360" i="1"/>
  <c r="S360" i="1" s="1"/>
  <c r="T359" i="1"/>
  <c r="S359" i="1" s="1"/>
  <c r="T356" i="1"/>
  <c r="S356" i="1" s="1"/>
  <c r="T354" i="1"/>
  <c r="S354" i="1" s="1"/>
  <c r="T352" i="1"/>
  <c r="S352" i="1" s="1"/>
  <c r="T351" i="1"/>
  <c r="S351" i="1" s="1"/>
  <c r="T350" i="1"/>
  <c r="S350" i="1" s="1"/>
  <c r="T349" i="1"/>
  <c r="S349" i="1" s="1"/>
  <c r="T348" i="1"/>
  <c r="S348" i="1" s="1"/>
  <c r="T347" i="1"/>
  <c r="S347" i="1" s="1"/>
  <c r="T346" i="1"/>
  <c r="S346" i="1" s="1"/>
  <c r="T345" i="1"/>
  <c r="S345" i="1" s="1"/>
  <c r="T344" i="1"/>
  <c r="S344" i="1" s="1"/>
  <c r="T343" i="1"/>
  <c r="S343" i="1" s="1"/>
  <c r="T342" i="1"/>
  <c r="S342" i="1" s="1"/>
  <c r="T341" i="1"/>
  <c r="S341" i="1" s="1"/>
  <c r="T339" i="1"/>
  <c r="S339" i="1" s="1"/>
  <c r="T338" i="1"/>
  <c r="S338" i="1" s="1"/>
  <c r="T337" i="1"/>
  <c r="S337" i="1" s="1"/>
  <c r="T336" i="1"/>
  <c r="S336" i="1" s="1"/>
  <c r="T334" i="1"/>
  <c r="S334" i="1" s="1"/>
  <c r="T333" i="1"/>
  <c r="S333" i="1" s="1"/>
  <c r="T332" i="1"/>
  <c r="S332" i="1" s="1"/>
  <c r="T331" i="1"/>
  <c r="S331" i="1" s="1"/>
  <c r="T330" i="1"/>
  <c r="S330" i="1" s="1"/>
  <c r="T329" i="1"/>
  <c r="S329" i="1" s="1"/>
  <c r="T328" i="1"/>
  <c r="S328" i="1" s="1"/>
  <c r="T327" i="1"/>
  <c r="S327" i="1" s="1"/>
  <c r="T326" i="1"/>
  <c r="S326" i="1" s="1"/>
  <c r="T325" i="1"/>
  <c r="S325" i="1" s="1"/>
  <c r="T323" i="1"/>
  <c r="S323" i="1" s="1"/>
  <c r="T322" i="1"/>
  <c r="S322" i="1" s="1"/>
  <c r="T320" i="1"/>
  <c r="S320" i="1" s="1"/>
  <c r="T319" i="1"/>
  <c r="S319" i="1" s="1"/>
  <c r="T318" i="1"/>
  <c r="S318" i="1" s="1"/>
  <c r="T317" i="1"/>
  <c r="S317" i="1" s="1"/>
  <c r="T315" i="1"/>
  <c r="S315" i="1" s="1"/>
  <c r="T314" i="1"/>
  <c r="S314" i="1" s="1"/>
  <c r="T312" i="1"/>
  <c r="S312" i="1" s="1"/>
  <c r="T311" i="1"/>
  <c r="S311" i="1" s="1"/>
  <c r="T309" i="1"/>
  <c r="S309" i="1" s="1"/>
  <c r="T307" i="1"/>
  <c r="S307" i="1" s="1"/>
  <c r="T306" i="1"/>
  <c r="S306" i="1" s="1"/>
  <c r="T304" i="1"/>
  <c r="S304" i="1" s="1"/>
  <c r="T303" i="1"/>
  <c r="S303" i="1" s="1"/>
  <c r="T302" i="1"/>
  <c r="S302" i="1" s="1"/>
  <c r="T301" i="1"/>
  <c r="S301" i="1" s="1"/>
  <c r="T299" i="1"/>
  <c r="S299" i="1" s="1"/>
  <c r="T298" i="1"/>
  <c r="S298" i="1" s="1"/>
  <c r="T297" i="1"/>
  <c r="S297" i="1" s="1"/>
  <c r="T295" i="1"/>
  <c r="S295" i="1" s="1"/>
  <c r="T293" i="1"/>
  <c r="S293" i="1" s="1"/>
  <c r="T291" i="1"/>
  <c r="S291" i="1" s="1"/>
  <c r="T289" i="1"/>
  <c r="S289" i="1" s="1"/>
  <c r="T288" i="1"/>
  <c r="S288" i="1" s="1"/>
  <c r="T287" i="1"/>
  <c r="S287" i="1" s="1"/>
  <c r="T286" i="1"/>
  <c r="S286" i="1" s="1"/>
  <c r="T280" i="1"/>
  <c r="S280" i="1" s="1"/>
  <c r="T279" i="1"/>
  <c r="S279" i="1" s="1"/>
  <c r="T278" i="1"/>
  <c r="S278" i="1" s="1"/>
  <c r="T277" i="1"/>
  <c r="S277" i="1" s="1"/>
  <c r="T275" i="1"/>
  <c r="S275" i="1" s="1"/>
  <c r="T274" i="1"/>
  <c r="S274" i="1" s="1"/>
  <c r="T273" i="1"/>
  <c r="S273" i="1" s="1"/>
  <c r="T272" i="1"/>
  <c r="S272" i="1" s="1"/>
  <c r="T270" i="1"/>
  <c r="S270" i="1" s="1"/>
  <c r="T268" i="1"/>
  <c r="S268" i="1" s="1"/>
  <c r="T267" i="1"/>
  <c r="S267" i="1" s="1"/>
  <c r="T266" i="1"/>
  <c r="S266" i="1" s="1"/>
  <c r="T265" i="1"/>
  <c r="S265" i="1" s="1"/>
  <c r="T264" i="1"/>
  <c r="S264" i="1" s="1"/>
  <c r="T263" i="1"/>
  <c r="S263" i="1" s="1"/>
  <c r="T262" i="1"/>
  <c r="S262" i="1" s="1"/>
  <c r="T261" i="1"/>
  <c r="S261" i="1" s="1"/>
  <c r="T260" i="1"/>
  <c r="S260" i="1" s="1"/>
  <c r="T259" i="1"/>
  <c r="S259" i="1" s="1"/>
  <c r="T258" i="1"/>
  <c r="S258" i="1" s="1"/>
  <c r="T257" i="1"/>
  <c r="S257" i="1" s="1"/>
  <c r="T256" i="1"/>
  <c r="S256" i="1" s="1"/>
  <c r="T254" i="1"/>
  <c r="S254" i="1" s="1"/>
  <c r="T253" i="1"/>
  <c r="S253" i="1" s="1"/>
  <c r="T252" i="1"/>
  <c r="S252" i="1" s="1"/>
  <c r="T251" i="1"/>
  <c r="S251" i="1" s="1"/>
  <c r="T250" i="1"/>
  <c r="S250" i="1" s="1"/>
  <c r="T248" i="1"/>
  <c r="S248" i="1" s="1"/>
  <c r="T247" i="1"/>
  <c r="S247" i="1" s="1"/>
  <c r="T246" i="1"/>
  <c r="S246" i="1" s="1"/>
  <c r="T245" i="1"/>
  <c r="S245" i="1" s="1"/>
  <c r="T243" i="1"/>
  <c r="S243" i="1" s="1"/>
  <c r="T242" i="1"/>
  <c r="S242" i="1" s="1"/>
  <c r="T241" i="1"/>
  <c r="S241" i="1" s="1"/>
  <c r="T240" i="1"/>
  <c r="S240" i="1" s="1"/>
  <c r="T239" i="1"/>
  <c r="S239" i="1" s="1"/>
  <c r="T238" i="1"/>
  <c r="S238" i="1" s="1"/>
  <c r="T237" i="1"/>
  <c r="S237" i="1" s="1"/>
  <c r="T236" i="1"/>
  <c r="S236" i="1" s="1"/>
  <c r="T235" i="1"/>
  <c r="S235" i="1" s="1"/>
  <c r="T234" i="1"/>
  <c r="S234" i="1" s="1"/>
  <c r="T233" i="1"/>
  <c r="S233" i="1" s="1"/>
  <c r="T232" i="1"/>
  <c r="S232" i="1" s="1"/>
  <c r="T231" i="1"/>
  <c r="S231" i="1" s="1"/>
  <c r="T230" i="1"/>
  <c r="S230" i="1" s="1"/>
  <c r="T229" i="1"/>
  <c r="S229" i="1" s="1"/>
  <c r="T228" i="1"/>
  <c r="S228" i="1" s="1"/>
  <c r="T227" i="1"/>
  <c r="S227" i="1" s="1"/>
  <c r="T226" i="1"/>
  <c r="S226" i="1" s="1"/>
  <c r="T225" i="1"/>
  <c r="S225" i="1" s="1"/>
  <c r="T224" i="1"/>
  <c r="S224" i="1" s="1"/>
  <c r="T223" i="1"/>
  <c r="S223" i="1" s="1"/>
  <c r="T222" i="1"/>
  <c r="S222" i="1" s="1"/>
  <c r="T221" i="1"/>
  <c r="S221" i="1" s="1"/>
  <c r="T220" i="1"/>
  <c r="S220" i="1" s="1"/>
  <c r="T219" i="1"/>
  <c r="S219" i="1" s="1"/>
  <c r="T218" i="1"/>
  <c r="S218" i="1" s="1"/>
  <c r="T217" i="1"/>
  <c r="S217" i="1" s="1"/>
  <c r="T216" i="1"/>
  <c r="S216" i="1" s="1"/>
  <c r="T215" i="1"/>
  <c r="S215" i="1" s="1"/>
  <c r="T214" i="1"/>
  <c r="S214" i="1" s="1"/>
  <c r="T213" i="1"/>
  <c r="S213" i="1" s="1"/>
  <c r="T212" i="1"/>
  <c r="S212" i="1" s="1"/>
  <c r="T211" i="1"/>
  <c r="S211" i="1" s="1"/>
  <c r="T210" i="1"/>
  <c r="S210" i="1" s="1"/>
  <c r="T209" i="1"/>
  <c r="S209" i="1" s="1"/>
  <c r="T208" i="1"/>
  <c r="S208" i="1" s="1"/>
  <c r="T207" i="1"/>
  <c r="S207" i="1" s="1"/>
  <c r="T206" i="1"/>
  <c r="S206" i="1" s="1"/>
  <c r="T205" i="1"/>
  <c r="S205" i="1" s="1"/>
  <c r="T204" i="1"/>
  <c r="S204" i="1" s="1"/>
  <c r="T203" i="1"/>
  <c r="S203" i="1" s="1"/>
  <c r="T202" i="1"/>
  <c r="S202" i="1" s="1"/>
  <c r="T201" i="1"/>
  <c r="S201" i="1" s="1"/>
  <c r="T200" i="1"/>
  <c r="S200" i="1" s="1"/>
  <c r="T199" i="1"/>
  <c r="S199" i="1" s="1"/>
  <c r="T198" i="1"/>
  <c r="S198" i="1" s="1"/>
  <c r="T197" i="1"/>
  <c r="S197" i="1" s="1"/>
  <c r="T196" i="1"/>
  <c r="S196" i="1" s="1"/>
  <c r="T195" i="1"/>
  <c r="S195" i="1" s="1"/>
  <c r="T194" i="1"/>
  <c r="S194" i="1" s="1"/>
  <c r="T193" i="1"/>
  <c r="S193" i="1" s="1"/>
  <c r="T192" i="1"/>
  <c r="S192" i="1" s="1"/>
  <c r="T191" i="1"/>
  <c r="S191" i="1" s="1"/>
  <c r="T190" i="1"/>
  <c r="S190" i="1" s="1"/>
  <c r="T189" i="1"/>
  <c r="S189" i="1" s="1"/>
  <c r="T188" i="1"/>
  <c r="S188" i="1" s="1"/>
  <c r="T187" i="1"/>
  <c r="S187" i="1" s="1"/>
  <c r="T186" i="1"/>
  <c r="S186" i="1" s="1"/>
  <c r="T185" i="1"/>
  <c r="S185" i="1" s="1"/>
  <c r="T182" i="1"/>
  <c r="S182" i="1" s="1"/>
  <c r="T181" i="1"/>
  <c r="S181" i="1" s="1"/>
  <c r="T180" i="1"/>
  <c r="S180" i="1" s="1"/>
  <c r="T179" i="1"/>
  <c r="S179" i="1" s="1"/>
  <c r="T176" i="1"/>
  <c r="S176" i="1" s="1"/>
  <c r="T175" i="1"/>
  <c r="S175" i="1" s="1"/>
  <c r="T173" i="1"/>
  <c r="S173" i="1" s="1"/>
  <c r="T171" i="1"/>
  <c r="S171" i="1" s="1"/>
  <c r="T170" i="1"/>
  <c r="S170" i="1" s="1"/>
  <c r="T169" i="1"/>
  <c r="S169" i="1" s="1"/>
  <c r="T168" i="1"/>
  <c r="S168" i="1" s="1"/>
  <c r="T167" i="1"/>
  <c r="S167" i="1" s="1"/>
  <c r="T166" i="1"/>
  <c r="S166" i="1" s="1"/>
  <c r="T165" i="1"/>
  <c r="S165" i="1" s="1"/>
  <c r="T164" i="1"/>
  <c r="S164" i="1" s="1"/>
  <c r="T163" i="1"/>
  <c r="S163" i="1" s="1"/>
  <c r="T162" i="1"/>
  <c r="S162" i="1" s="1"/>
  <c r="T161" i="1"/>
  <c r="S161" i="1" s="1"/>
  <c r="T160" i="1"/>
  <c r="S160" i="1" s="1"/>
  <c r="T159" i="1"/>
  <c r="S159" i="1" s="1"/>
  <c r="T158" i="1"/>
  <c r="S158" i="1" s="1"/>
  <c r="T157" i="1"/>
  <c r="S157" i="1" s="1"/>
  <c r="T156" i="1"/>
  <c r="S156" i="1" s="1"/>
  <c r="T155" i="1"/>
  <c r="S155" i="1" s="1"/>
  <c r="T154" i="1"/>
  <c r="S154" i="1" s="1"/>
  <c r="T153" i="1"/>
  <c r="S153" i="1" s="1"/>
  <c r="T152" i="1"/>
  <c r="S152" i="1" s="1"/>
  <c r="T151" i="1"/>
  <c r="S151" i="1" s="1"/>
  <c r="T150" i="1"/>
  <c r="S150" i="1" s="1"/>
  <c r="T149" i="1"/>
  <c r="T148" i="1"/>
  <c r="S148" i="1" s="1"/>
  <c r="T147" i="1"/>
  <c r="S147" i="1" s="1"/>
  <c r="T146" i="1"/>
  <c r="S146" i="1" s="1"/>
  <c r="T145" i="1"/>
  <c r="S145" i="1" s="1"/>
  <c r="T144" i="1"/>
  <c r="S144" i="1" s="1"/>
  <c r="T143" i="1"/>
  <c r="S143" i="1" s="1"/>
  <c r="T142" i="1"/>
  <c r="S142" i="1" s="1"/>
  <c r="T141" i="1"/>
  <c r="S141" i="1" s="1"/>
  <c r="T140" i="1"/>
  <c r="S140" i="1" s="1"/>
  <c r="T139" i="1"/>
  <c r="S139" i="1" s="1"/>
  <c r="T138" i="1"/>
  <c r="S138" i="1" s="1"/>
  <c r="T137" i="1"/>
  <c r="S137" i="1" s="1"/>
  <c r="T136" i="1"/>
  <c r="S136" i="1" s="1"/>
  <c r="T135" i="1"/>
  <c r="S135" i="1" s="1"/>
  <c r="T134" i="1"/>
  <c r="S134" i="1" s="1"/>
  <c r="T133" i="1"/>
  <c r="S133" i="1" s="1"/>
  <c r="T132" i="1"/>
  <c r="S132" i="1" s="1"/>
  <c r="T131" i="1"/>
  <c r="S131" i="1" s="1"/>
  <c r="T130" i="1"/>
  <c r="S130" i="1" s="1"/>
  <c r="T129" i="1"/>
  <c r="S129" i="1" s="1"/>
  <c r="T128" i="1"/>
  <c r="S128" i="1" s="1"/>
  <c r="T127" i="1"/>
  <c r="S127" i="1" s="1"/>
  <c r="T126" i="1"/>
  <c r="S126" i="1" s="1"/>
  <c r="T125" i="1"/>
  <c r="S125" i="1" s="1"/>
  <c r="T123" i="1"/>
  <c r="S123" i="1" s="1"/>
  <c r="T122" i="1"/>
  <c r="S122" i="1" s="1"/>
  <c r="T121" i="1"/>
  <c r="S121" i="1" s="1"/>
  <c r="T120" i="1"/>
  <c r="S120" i="1" s="1"/>
  <c r="T119" i="1"/>
  <c r="S119" i="1" s="1"/>
  <c r="T118" i="1"/>
  <c r="S118" i="1" s="1"/>
  <c r="T117" i="1"/>
  <c r="S117" i="1" s="1"/>
  <c r="T116" i="1"/>
  <c r="T115" i="1"/>
  <c r="S115" i="1" s="1"/>
  <c r="T114" i="1"/>
  <c r="S114" i="1" s="1"/>
  <c r="T113" i="1"/>
  <c r="S113" i="1" s="1"/>
  <c r="T112" i="1"/>
  <c r="S112" i="1" s="1"/>
  <c r="T111" i="1"/>
  <c r="S111" i="1" s="1"/>
  <c r="T110" i="1"/>
  <c r="S110" i="1" s="1"/>
  <c r="T109" i="1"/>
  <c r="S109" i="1" s="1"/>
  <c r="T108" i="1"/>
  <c r="S108" i="1" s="1"/>
  <c r="T107" i="1"/>
  <c r="S107" i="1" s="1"/>
  <c r="T106" i="1"/>
  <c r="S106" i="1" s="1"/>
  <c r="T105" i="1"/>
  <c r="S105" i="1" s="1"/>
  <c r="T104" i="1"/>
  <c r="S104" i="1" s="1"/>
  <c r="T103" i="1"/>
  <c r="S103" i="1" s="1"/>
  <c r="T102" i="1"/>
  <c r="S102" i="1" s="1"/>
  <c r="T101" i="1"/>
  <c r="S101" i="1" s="1"/>
  <c r="T100" i="1"/>
  <c r="S100" i="1" s="1"/>
  <c r="T99" i="1"/>
  <c r="S99" i="1" s="1"/>
  <c r="T98" i="1"/>
  <c r="S98" i="1" s="1"/>
  <c r="T97" i="1"/>
  <c r="S97" i="1" s="1"/>
  <c r="T96" i="1"/>
  <c r="S96" i="1" s="1"/>
  <c r="T95" i="1"/>
  <c r="S95" i="1" s="1"/>
  <c r="T94" i="1"/>
  <c r="S94" i="1" s="1"/>
  <c r="T93" i="1"/>
  <c r="S93" i="1" s="1"/>
  <c r="T92" i="1"/>
  <c r="S92" i="1" s="1"/>
  <c r="T91" i="1"/>
  <c r="S91" i="1" s="1"/>
  <c r="T90" i="1"/>
  <c r="S90" i="1" s="1"/>
  <c r="T89" i="1"/>
  <c r="S89" i="1" s="1"/>
  <c r="T88" i="1"/>
  <c r="S88" i="1" s="1"/>
  <c r="T87" i="1"/>
  <c r="S87" i="1" s="1"/>
  <c r="T86" i="1"/>
  <c r="S86" i="1" s="1"/>
  <c r="T85" i="1"/>
  <c r="S85" i="1" s="1"/>
  <c r="T84" i="1"/>
  <c r="S84" i="1" s="1"/>
  <c r="T83" i="1"/>
  <c r="S83" i="1" s="1"/>
  <c r="T82" i="1"/>
  <c r="S82" i="1" s="1"/>
  <c r="T80" i="1"/>
  <c r="S80" i="1" s="1"/>
  <c r="T79" i="1"/>
  <c r="S79" i="1" s="1"/>
  <c r="T78" i="1"/>
  <c r="S78" i="1" s="1"/>
  <c r="T77" i="1"/>
  <c r="S77" i="1" s="1"/>
  <c r="T76" i="1"/>
  <c r="S76" i="1" s="1"/>
  <c r="T75" i="1"/>
  <c r="S75" i="1" s="1"/>
  <c r="T74" i="1"/>
  <c r="S74" i="1" s="1"/>
  <c r="T73" i="1"/>
  <c r="S73" i="1" s="1"/>
  <c r="T72" i="1"/>
  <c r="S72" i="1" s="1"/>
  <c r="T71" i="1"/>
  <c r="S71" i="1" s="1"/>
  <c r="T70" i="1"/>
  <c r="S70" i="1" s="1"/>
  <c r="T69" i="1"/>
  <c r="S69" i="1" s="1"/>
  <c r="T68" i="1"/>
  <c r="S68" i="1" s="1"/>
  <c r="T67" i="1"/>
  <c r="S67" i="1" s="1"/>
  <c r="T66" i="1"/>
  <c r="S66" i="1" s="1"/>
  <c r="T65" i="1"/>
  <c r="S65" i="1" s="1"/>
  <c r="T64" i="1"/>
  <c r="S64" i="1" s="1"/>
  <c r="T63" i="1"/>
  <c r="S63" i="1" s="1"/>
  <c r="T61" i="1"/>
  <c r="S61" i="1" s="1"/>
  <c r="T59" i="1"/>
  <c r="S59" i="1" s="1"/>
  <c r="T58" i="1"/>
  <c r="S58" i="1" s="1"/>
  <c r="T57" i="1"/>
  <c r="S57" i="1" s="1"/>
  <c r="T56" i="1"/>
  <c r="S56" i="1" s="1"/>
  <c r="T55" i="1"/>
  <c r="S55" i="1" s="1"/>
  <c r="T54" i="1"/>
  <c r="S54" i="1" s="1"/>
  <c r="T52" i="1"/>
  <c r="S52" i="1" s="1"/>
  <c r="T51" i="1"/>
  <c r="S51" i="1" s="1"/>
  <c r="T50" i="1"/>
  <c r="S50" i="1" s="1"/>
  <c r="T49" i="1"/>
  <c r="S49" i="1" s="1"/>
  <c r="T48" i="1"/>
  <c r="S48" i="1" s="1"/>
  <c r="T47" i="1"/>
  <c r="S47" i="1" s="1"/>
  <c r="T46" i="1"/>
  <c r="S46" i="1" s="1"/>
  <c r="T45" i="1"/>
  <c r="S45" i="1" s="1"/>
  <c r="T43" i="1"/>
  <c r="S43" i="1" s="1"/>
  <c r="T41" i="1"/>
  <c r="S41" i="1" s="1"/>
  <c r="T40" i="1"/>
  <c r="S40" i="1" s="1"/>
  <c r="T39" i="1"/>
  <c r="S39" i="1" s="1"/>
  <c r="T38" i="1"/>
  <c r="S38" i="1" s="1"/>
  <c r="T37" i="1"/>
  <c r="S37" i="1" s="1"/>
  <c r="T36" i="1"/>
  <c r="S36" i="1" s="1"/>
  <c r="T34" i="1"/>
  <c r="S34" i="1" s="1"/>
  <c r="T32" i="1"/>
  <c r="S32" i="1" s="1"/>
  <c r="T31" i="1"/>
  <c r="S31" i="1" s="1"/>
  <c r="T30" i="1"/>
  <c r="S30" i="1" s="1"/>
  <c r="T29" i="1"/>
  <c r="S29" i="1" s="1"/>
  <c r="T28" i="1"/>
  <c r="S28" i="1" s="1"/>
  <c r="T27" i="1"/>
  <c r="S27" i="1" s="1"/>
  <c r="T25" i="1"/>
  <c r="S25" i="1" s="1"/>
  <c r="T24" i="1"/>
  <c r="S24" i="1" s="1"/>
  <c r="T22" i="1"/>
  <c r="S22" i="1" s="1"/>
  <c r="T21" i="1"/>
  <c r="S21" i="1" s="1"/>
  <c r="T20" i="1"/>
  <c r="S20" i="1" s="1"/>
  <c r="T19" i="1"/>
  <c r="S19" i="1" s="1"/>
  <c r="T18" i="1"/>
  <c r="S18" i="1" s="1"/>
  <c r="T17" i="1"/>
  <c r="S17" i="1" s="1"/>
  <c r="T16" i="1"/>
  <c r="S16" i="1" s="1"/>
  <c r="T15" i="1"/>
  <c r="S15" i="1" s="1"/>
  <c r="T14" i="1"/>
  <c r="S14" i="1" s="1"/>
  <c r="T12" i="1"/>
  <c r="S12" i="1" s="1"/>
  <c r="T10" i="1"/>
  <c r="S10" i="1" s="1"/>
  <c r="T9" i="1"/>
  <c r="S9" i="1" s="1"/>
  <c r="AE112" i="28"/>
  <c r="AE106" i="28"/>
  <c r="AE76" i="28"/>
  <c r="D3"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D10" i="28"/>
  <c r="D9" i="28"/>
  <c r="D8" i="28"/>
  <c r="D7" i="28"/>
  <c r="D6" i="28"/>
  <c r="D5" i="28"/>
  <c r="D4" i="28"/>
  <c r="Q11" i="1"/>
  <c r="AE39" i="28" s="1"/>
  <c r="Q12" i="1"/>
  <c r="Q13" i="1"/>
  <c r="AE22" i="28" s="1"/>
  <c r="Q9" i="1"/>
  <c r="Q10" i="1"/>
  <c r="Q14" i="1"/>
  <c r="Q15" i="1"/>
  <c r="Q16" i="1"/>
  <c r="Q17" i="1"/>
  <c r="Q18" i="1"/>
  <c r="Q19" i="1"/>
  <c r="Q20" i="1"/>
  <c r="Q21" i="1"/>
  <c r="Q22" i="1"/>
  <c r="Q23" i="1"/>
  <c r="AE108" i="28" s="1"/>
  <c r="Q24" i="1"/>
  <c r="Q25" i="1"/>
  <c r="Q26" i="1"/>
  <c r="AE50" i="28" s="1"/>
  <c r="Q27" i="1"/>
  <c r="Q28" i="1"/>
  <c r="Q29" i="1"/>
  <c r="Q30" i="1"/>
  <c r="Q31" i="1"/>
  <c r="Q32" i="1"/>
  <c r="Q33" i="1"/>
  <c r="AE41" i="28" s="1"/>
  <c r="Q34" i="1"/>
  <c r="Q35" i="1"/>
  <c r="AE20" i="28" s="1"/>
  <c r="Q36" i="1"/>
  <c r="Q37" i="1"/>
  <c r="Q38" i="1"/>
  <c r="Q39" i="1"/>
  <c r="Q40" i="1"/>
  <c r="Q41" i="1"/>
  <c r="Q42" i="1"/>
  <c r="AE110" i="28" s="1"/>
  <c r="Q43" i="1"/>
  <c r="Q44" i="1"/>
  <c r="AE21" i="28" s="1"/>
  <c r="Q45" i="1"/>
  <c r="Q46" i="1"/>
  <c r="Q47" i="1"/>
  <c r="Q48" i="1"/>
  <c r="Q49" i="1"/>
  <c r="Q50" i="1"/>
  <c r="Q51" i="1"/>
  <c r="Q52" i="1"/>
  <c r="Q53" i="1"/>
  <c r="AE103" i="28" s="1"/>
  <c r="Q54" i="1"/>
  <c r="Q55" i="1"/>
  <c r="Q56" i="1"/>
  <c r="Q57" i="1"/>
  <c r="Q58" i="1"/>
  <c r="Q59" i="1"/>
  <c r="Q60" i="1"/>
  <c r="AE44" i="28" s="1"/>
  <c r="Q61" i="1"/>
  <c r="Q62" i="1"/>
  <c r="AE19" i="28" s="1"/>
  <c r="Q63" i="1"/>
  <c r="Q64" i="1"/>
  <c r="Q65" i="1"/>
  <c r="Q66" i="1"/>
  <c r="Q67" i="1"/>
  <c r="Q68" i="1"/>
  <c r="Q69" i="1"/>
  <c r="Q70" i="1"/>
  <c r="Q71" i="1"/>
  <c r="Q72" i="1"/>
  <c r="Q73" i="1"/>
  <c r="Q74" i="1"/>
  <c r="Q75" i="1"/>
  <c r="Q76" i="1"/>
  <c r="Q77" i="1"/>
  <c r="Q78" i="1"/>
  <c r="Q79" i="1"/>
  <c r="Q80" i="1"/>
  <c r="Q81" i="1"/>
  <c r="AE101" i="28" s="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AE36" i="28" s="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AE8" i="28" s="1"/>
  <c r="Q173" i="1"/>
  <c r="Q174" i="1"/>
  <c r="AE96" i="28" s="1"/>
  <c r="Q175" i="1"/>
  <c r="Q176" i="1"/>
  <c r="Q177" i="1"/>
  <c r="AE95" i="28" s="1"/>
  <c r="Q178" i="1"/>
  <c r="AE82" i="28" s="1"/>
  <c r="Q179" i="1"/>
  <c r="Q180" i="1"/>
  <c r="Q181" i="1"/>
  <c r="Q182" i="1"/>
  <c r="Q183" i="1"/>
  <c r="AE34" i="28" s="1"/>
  <c r="Q184" i="1"/>
  <c r="AE18" i="28" s="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AE111" i="28" s="1"/>
  <c r="Q245" i="1"/>
  <c r="Q246" i="1"/>
  <c r="Q247" i="1"/>
  <c r="Q248" i="1"/>
  <c r="Q249" i="1"/>
  <c r="AE15" i="28" s="1"/>
  <c r="Q250" i="1"/>
  <c r="Q251" i="1"/>
  <c r="Q252" i="1"/>
  <c r="Q253" i="1"/>
  <c r="Q254" i="1"/>
  <c r="Q255" i="1"/>
  <c r="AE83" i="28" s="1"/>
  <c r="Q256" i="1"/>
  <c r="Q257" i="1"/>
  <c r="Q258" i="1"/>
  <c r="Q259" i="1"/>
  <c r="Q260" i="1"/>
  <c r="Q261" i="1"/>
  <c r="Q262" i="1"/>
  <c r="Q263" i="1"/>
  <c r="Q264" i="1"/>
  <c r="Q265" i="1"/>
  <c r="Q266" i="1"/>
  <c r="Q267" i="1"/>
  <c r="Q268" i="1"/>
  <c r="Q269" i="1"/>
  <c r="AE27" i="28" s="1"/>
  <c r="Q270" i="1"/>
  <c r="Q271" i="1"/>
  <c r="AE25" i="28" s="1"/>
  <c r="Q272" i="1"/>
  <c r="Q273" i="1"/>
  <c r="Q274" i="1"/>
  <c r="Q275" i="1"/>
  <c r="Q276" i="1"/>
  <c r="AE113" i="28" s="1"/>
  <c r="Q277" i="1"/>
  <c r="Q278" i="1"/>
  <c r="Q279" i="1"/>
  <c r="Q280" i="1"/>
  <c r="Q281" i="1"/>
  <c r="AE10" i="28" s="1"/>
  <c r="Q282" i="1"/>
  <c r="AE4" i="28" s="1"/>
  <c r="Q283" i="1"/>
  <c r="AE6" i="28" s="1"/>
  <c r="Q284" i="1"/>
  <c r="AE14" i="28" s="1"/>
  <c r="Q285" i="1"/>
  <c r="AE12" i="28" s="1"/>
  <c r="Q286" i="1"/>
  <c r="Q287" i="1"/>
  <c r="Q288" i="1"/>
  <c r="Q289" i="1"/>
  <c r="Q290" i="1"/>
  <c r="AE54" i="28" s="1"/>
  <c r="Q291" i="1"/>
  <c r="Q292" i="1"/>
  <c r="AE11" i="28" s="1"/>
  <c r="Q293" i="1"/>
  <c r="Q294" i="1"/>
  <c r="AE28" i="28" s="1"/>
  <c r="Q295" i="1"/>
  <c r="Q296" i="1"/>
  <c r="AE43" i="28" s="1"/>
  <c r="Q297" i="1"/>
  <c r="Q298" i="1"/>
  <c r="Q299" i="1"/>
  <c r="Q300" i="1"/>
  <c r="AE53" i="28" s="1"/>
  <c r="Q301" i="1"/>
  <c r="Q302" i="1"/>
  <c r="Q303" i="1"/>
  <c r="Q304" i="1"/>
  <c r="Q305" i="1"/>
  <c r="AE77" i="28" s="1"/>
  <c r="Q306" i="1"/>
  <c r="Q307" i="1"/>
  <c r="Q308" i="1"/>
  <c r="AE59" i="28" s="1"/>
  <c r="Q309" i="1"/>
  <c r="Q310" i="1"/>
  <c r="AE61" i="28" s="1"/>
  <c r="Q311" i="1"/>
  <c r="Q312" i="1"/>
  <c r="Q313" i="1"/>
  <c r="AE56" i="28" s="1"/>
  <c r="Q314" i="1"/>
  <c r="Q315" i="1"/>
  <c r="Q316" i="1"/>
  <c r="AE40" i="28" s="1"/>
  <c r="Q317" i="1"/>
  <c r="Q318" i="1"/>
  <c r="Q319" i="1"/>
  <c r="Q320" i="1"/>
  <c r="Q321" i="1"/>
  <c r="AE64" i="28" s="1"/>
  <c r="Q322" i="1"/>
  <c r="Q323" i="1"/>
  <c r="Q324" i="1"/>
  <c r="AE71" i="28" s="1"/>
  <c r="Q325" i="1"/>
  <c r="Q326" i="1"/>
  <c r="Q327" i="1"/>
  <c r="Q328" i="1"/>
  <c r="Q329" i="1"/>
  <c r="Q330" i="1"/>
  <c r="Q331" i="1"/>
  <c r="Q332" i="1"/>
  <c r="Q333" i="1"/>
  <c r="Q334" i="1"/>
  <c r="Q335" i="1"/>
  <c r="AE17" i="28" s="1"/>
  <c r="Q336" i="1"/>
  <c r="Q337" i="1"/>
  <c r="Q338" i="1"/>
  <c r="Q339" i="1"/>
  <c r="Q340" i="1"/>
  <c r="AE109" i="28" s="1"/>
  <c r="Q341" i="1"/>
  <c r="Q342" i="1"/>
  <c r="Q343" i="1"/>
  <c r="Q344" i="1"/>
  <c r="Q345" i="1"/>
  <c r="Q346" i="1"/>
  <c r="Q347" i="1"/>
  <c r="Q348" i="1"/>
  <c r="Q349" i="1"/>
  <c r="Q350" i="1"/>
  <c r="Q351" i="1"/>
  <c r="Q352" i="1"/>
  <c r="Q353" i="1"/>
  <c r="AE47" i="28" s="1"/>
  <c r="Q354" i="1"/>
  <c r="Q355" i="1"/>
  <c r="AE38" i="28" s="1"/>
  <c r="Q356" i="1"/>
  <c r="Q357" i="1"/>
  <c r="AE51" i="28" s="1"/>
  <c r="Q358" i="1"/>
  <c r="AE57" i="28" s="1"/>
  <c r="Q359" i="1"/>
  <c r="Q360" i="1"/>
  <c r="Q361" i="1"/>
  <c r="Q362" i="1"/>
  <c r="Q363" i="1"/>
  <c r="Q364" i="1"/>
  <c r="Q365" i="1"/>
  <c r="Q366" i="1"/>
  <c r="Q367" i="1"/>
  <c r="Q368" i="1"/>
  <c r="Q369" i="1"/>
  <c r="Q370" i="1"/>
  <c r="Q371" i="1"/>
  <c r="Q372" i="1"/>
  <c r="AE48" i="28" s="1"/>
  <c r="Q373" i="1"/>
  <c r="Q374" i="1"/>
  <c r="Q375" i="1"/>
  <c r="AE89" i="28" s="1"/>
  <c r="Q376" i="1"/>
  <c r="AE90" i="28" s="1"/>
  <c r="Q377" i="1"/>
  <c r="AE29" i="28" s="1"/>
  <c r="Q378" i="1"/>
  <c r="AE30" i="28" s="1"/>
  <c r="Q379" i="1"/>
  <c r="Q380" i="1"/>
  <c r="Q381" i="1"/>
  <c r="Q382" i="1"/>
  <c r="Q383" i="1"/>
  <c r="Q384" i="1"/>
  <c r="Q385" i="1"/>
  <c r="Q386" i="1"/>
  <c r="Q387" i="1"/>
  <c r="Q388" i="1"/>
  <c r="Q389" i="1"/>
  <c r="Q390" i="1"/>
  <c r="Q391" i="1"/>
  <c r="AE75" i="28" s="1"/>
  <c r="Q392" i="1"/>
  <c r="Q393" i="1"/>
  <c r="Q394" i="1"/>
  <c r="Q395" i="1"/>
  <c r="Q396" i="1"/>
  <c r="AE104" i="28" s="1"/>
  <c r="Q397" i="1"/>
  <c r="Q398" i="1"/>
  <c r="AE105" i="28" s="1"/>
  <c r="Q399" i="1"/>
  <c r="AE107" i="28" s="1"/>
  <c r="Q400" i="1"/>
  <c r="Q401" i="1"/>
  <c r="Q402" i="1"/>
  <c r="Q403" i="1"/>
  <c r="AE66" i="28" s="1"/>
  <c r="Q404" i="1"/>
  <c r="Q405" i="1"/>
  <c r="Q406" i="1"/>
  <c r="Q407" i="1"/>
  <c r="AE65" i="28" s="1"/>
  <c r="Q408" i="1"/>
  <c r="Q409" i="1"/>
  <c r="Q410" i="1"/>
  <c r="Q411" i="1"/>
  <c r="Q412" i="1"/>
  <c r="Q413" i="1"/>
  <c r="Q414" i="1"/>
  <c r="Q415" i="1"/>
  <c r="Q416" i="1"/>
  <c r="Q417" i="1"/>
  <c r="AE115" i="28" s="1"/>
  <c r="Q418" i="1"/>
  <c r="Q419" i="1"/>
  <c r="Q420" i="1"/>
  <c r="Q421" i="1"/>
  <c r="Q422" i="1"/>
  <c r="Q423" i="1"/>
  <c r="Q424" i="1"/>
  <c r="AE63" i="28" s="1"/>
  <c r="Q425" i="1"/>
  <c r="AE70" i="28" s="1"/>
  <c r="Q426" i="1"/>
  <c r="Q427" i="1"/>
  <c r="Q428" i="1"/>
  <c r="Q429" i="1"/>
  <c r="Q430" i="1"/>
  <c r="Q431" i="1"/>
  <c r="Q432" i="1"/>
  <c r="Q433" i="1"/>
  <c r="AE69" i="28" s="1"/>
  <c r="Q434" i="1"/>
  <c r="Q435" i="1"/>
  <c r="Q436" i="1"/>
  <c r="AE67" i="28" s="1"/>
  <c r="Q437" i="1"/>
  <c r="Q438" i="1"/>
  <c r="Q439" i="1"/>
  <c r="Q440" i="1"/>
  <c r="Q441" i="1"/>
  <c r="Q442" i="1"/>
  <c r="Q443" i="1"/>
  <c r="Q444" i="1"/>
  <c r="Q445" i="1"/>
  <c r="Q446" i="1"/>
  <c r="Q447" i="1"/>
  <c r="Q448" i="1"/>
  <c r="Q449" i="1"/>
  <c r="Q450" i="1"/>
  <c r="Q451" i="1"/>
  <c r="Q452" i="1"/>
  <c r="Q453" i="1"/>
  <c r="Q454" i="1"/>
  <c r="Q455" i="1"/>
  <c r="AE102" i="28" s="1"/>
  <c r="Q456" i="1"/>
  <c r="Q457" i="1"/>
  <c r="AE58" i="28" s="1"/>
  <c r="Q458" i="1"/>
  <c r="Q459" i="1"/>
  <c r="AE42" i="28" s="1"/>
  <c r="Q460" i="1"/>
  <c r="AE62" i="28" s="1"/>
  <c r="Q461" i="1"/>
  <c r="AE60" i="28" s="1"/>
  <c r="Q462" i="1"/>
  <c r="AE52" i="28" s="1"/>
  <c r="Q463" i="1"/>
  <c r="Q464" i="1"/>
  <c r="AE55" i="28" s="1"/>
  <c r="Q465" i="1"/>
  <c r="AE74" i="28" s="1"/>
  <c r="Q467" i="1"/>
  <c r="AE49" i="28" s="1"/>
  <c r="Q468" i="1"/>
  <c r="Q469" i="1"/>
  <c r="Q470" i="1"/>
  <c r="AE98" i="28" s="1"/>
  <c r="Q471" i="1"/>
  <c r="AE73" i="28" s="1"/>
  <c r="Q472" i="1"/>
  <c r="Q473" i="1"/>
  <c r="Q474" i="1"/>
  <c r="Q475" i="1"/>
  <c r="AE37" i="28" s="1"/>
  <c r="Q476" i="1"/>
  <c r="Q477" i="1"/>
  <c r="AE72" i="28" s="1"/>
  <c r="Q479" i="1"/>
  <c r="AE46" i="28" s="1"/>
  <c r="Q480" i="1"/>
  <c r="Q481" i="1"/>
  <c r="AE78" i="28" s="1"/>
  <c r="Q482" i="1"/>
  <c r="AE97" i="28" s="1"/>
  <c r="Q483" i="1"/>
  <c r="AE86" i="28" s="1"/>
  <c r="Q484" i="1"/>
  <c r="Q485" i="1"/>
  <c r="Q486" i="1"/>
  <c r="Q487" i="1"/>
  <c r="Q488" i="1"/>
  <c r="Q489" i="1"/>
  <c r="Q490" i="1"/>
  <c r="Q491" i="1"/>
  <c r="Q492" i="1"/>
  <c r="Q493" i="1"/>
  <c r="Q494" i="1"/>
  <c r="Q495" i="1"/>
  <c r="Q496" i="1"/>
  <c r="Q497" i="1"/>
  <c r="Q498" i="1"/>
  <c r="Q499" i="1"/>
  <c r="AE5" i="28" s="1"/>
  <c r="Q500" i="1"/>
  <c r="AE13" i="28" s="1"/>
  <c r="Q501" i="1"/>
  <c r="Q502" i="1"/>
  <c r="AE91" i="28" s="1"/>
  <c r="Q503" i="1"/>
  <c r="Q504" i="1"/>
  <c r="AE92" i="28" s="1"/>
  <c r="Q505" i="1"/>
  <c r="Q506" i="1"/>
  <c r="Q507" i="1"/>
  <c r="Q508" i="1"/>
  <c r="Q509" i="1"/>
  <c r="AE100" i="28" s="1"/>
  <c r="Q510" i="1"/>
  <c r="Q511" i="1"/>
  <c r="AE94" i="28" s="1"/>
  <c r="Q512" i="1"/>
  <c r="AE32" i="28" s="1"/>
  <c r="Q513" i="1"/>
  <c r="Q514" i="1"/>
  <c r="AE33" i="28" s="1"/>
  <c r="Q515" i="1"/>
  <c r="Q516" i="1"/>
  <c r="AE9" i="28" s="1"/>
  <c r="Q517" i="1"/>
  <c r="Q518" i="1"/>
  <c r="Q519" i="1"/>
  <c r="Q520" i="1"/>
  <c r="Q521" i="1"/>
  <c r="Q522" i="1"/>
  <c r="Q523" i="1"/>
  <c r="Q524" i="1"/>
  <c r="Q525" i="1"/>
  <c r="Q526" i="1"/>
  <c r="Q527" i="1"/>
  <c r="Q528" i="1"/>
  <c r="Q529" i="1"/>
  <c r="Q530" i="1"/>
  <c r="Q531" i="1"/>
  <c r="Q532" i="1"/>
  <c r="Q533" i="1"/>
  <c r="Q534" i="1"/>
  <c r="Q535" i="1"/>
  <c r="Q536" i="1"/>
  <c r="Q537" i="1"/>
  <c r="Q538" i="1"/>
  <c r="AE93" i="28" s="1"/>
  <c r="Q539" i="1"/>
  <c r="Q540" i="1"/>
  <c r="Q541" i="1"/>
  <c r="Q542" i="1"/>
  <c r="Q543" i="1"/>
  <c r="Q544" i="1"/>
  <c r="AE85" i="28" s="1"/>
  <c r="Q545" i="1"/>
  <c r="Q546" i="1"/>
  <c r="Q547" i="1"/>
  <c r="Q548" i="1"/>
  <c r="Q549" i="1"/>
  <c r="Q550" i="1"/>
  <c r="Q551" i="1"/>
  <c r="Q552" i="1"/>
  <c r="Q553" i="1"/>
  <c r="Q554" i="1"/>
  <c r="AE84" i="28" s="1"/>
  <c r="Q555" i="1"/>
  <c r="Q556" i="1"/>
  <c r="Q557" i="1"/>
  <c r="Q558" i="1"/>
  <c r="Q559" i="1"/>
  <c r="AE35" i="28" s="1"/>
  <c r="Q560" i="1"/>
  <c r="AE87" i="28" s="1"/>
  <c r="Q561" i="1"/>
  <c r="AE7" i="28" s="1"/>
  <c r="Q562" i="1"/>
  <c r="Q563" i="1"/>
  <c r="Q564" i="1"/>
  <c r="Q565" i="1"/>
  <c r="Q566" i="1"/>
  <c r="Q567" i="1"/>
  <c r="AE88" i="28" s="1"/>
  <c r="Q568" i="1"/>
  <c r="Q569" i="1"/>
  <c r="Q570" i="1"/>
  <c r="Q571" i="1"/>
  <c r="Q572" i="1"/>
  <c r="Q573" i="1"/>
  <c r="AE31" i="28" s="1"/>
  <c r="Q574" i="1"/>
  <c r="Q575" i="1"/>
  <c r="Q576" i="1"/>
  <c r="AE23" i="28" s="1"/>
  <c r="Q577" i="1"/>
  <c r="Q578" i="1"/>
  <c r="AE24" i="28" s="1"/>
  <c r="Q579" i="1"/>
  <c r="AE68" i="28" s="1"/>
  <c r="Q580" i="1"/>
  <c r="AE114" i="28" s="1"/>
  <c r="Q581" i="1"/>
  <c r="AE99" i="28" s="1"/>
  <c r="Q582" i="1"/>
  <c r="AE3" i="28" s="1"/>
  <c r="Q583" i="1"/>
  <c r="Q584" i="1"/>
  <c r="Q585" i="1"/>
  <c r="AE45" i="28" s="1"/>
  <c r="Q586" i="1"/>
  <c r="AE26" i="28" s="1"/>
  <c r="Q587" i="1"/>
  <c r="Q588" i="1"/>
  <c r="Q589" i="1"/>
  <c r="Q590" i="1"/>
  <c r="Q591" i="1"/>
  <c r="Q592" i="1"/>
  <c r="Q593" i="1"/>
  <c r="Q594" i="1"/>
  <c r="Q595" i="1"/>
  <c r="Q596" i="1"/>
  <c r="Q597" i="1"/>
  <c r="Q598" i="1"/>
  <c r="AE79" i="28" s="1"/>
  <c r="Q599" i="1"/>
  <c r="AE80" i="28" s="1"/>
  <c r="Q600" i="1"/>
  <c r="AE81" i="28" s="1"/>
  <c r="Q601" i="1"/>
  <c r="Q602" i="1"/>
  <c r="AE16" i="28" s="1"/>
  <c r="Q603" i="1"/>
  <c r="Q604" i="1"/>
  <c r="Q605" i="1"/>
  <c r="E310" i="30" l="1"/>
  <c r="E359" i="30"/>
  <c r="E374" i="30"/>
  <c r="E300" i="30"/>
  <c r="E354" i="30"/>
  <c r="E372" i="30"/>
  <c r="E337" i="30"/>
  <c r="E343" i="30"/>
  <c r="E338" i="30"/>
  <c r="E345" i="30"/>
  <c r="E340" i="30"/>
  <c r="E309" i="30"/>
  <c r="E307" i="30"/>
  <c r="E328" i="30"/>
  <c r="E313" i="30"/>
  <c r="E305" i="30"/>
  <c r="E308" i="30"/>
  <c r="E311" i="30"/>
  <c r="E306" i="30"/>
  <c r="E320" i="30"/>
  <c r="E304" i="30"/>
  <c r="E312" i="30"/>
  <c r="E284" i="30"/>
  <c r="E285" i="30"/>
  <c r="E299" i="30"/>
  <c r="E281" i="30"/>
  <c r="E290" i="30"/>
  <c r="E280" i="30"/>
  <c r="E256" i="30"/>
  <c r="E259" i="30"/>
  <c r="E233" i="30"/>
  <c r="E254" i="30"/>
  <c r="E257" i="30"/>
  <c r="E255" i="30"/>
  <c r="E251" i="30"/>
  <c r="E252" i="30"/>
  <c r="E253" i="30"/>
  <c r="E230" i="30"/>
  <c r="E231" i="30"/>
  <c r="E248" i="30"/>
  <c r="E247" i="30"/>
  <c r="E245" i="30"/>
  <c r="E246" i="30"/>
  <c r="E234" i="30"/>
  <c r="E237" i="30"/>
  <c r="E223" i="30"/>
  <c r="E226" i="30"/>
  <c r="E229" i="30"/>
  <c r="E232" i="30"/>
  <c r="E224" i="30"/>
  <c r="E239" i="30"/>
  <c r="E219" i="30"/>
  <c r="E225" i="30"/>
  <c r="E228" i="30"/>
  <c r="E218" i="30"/>
  <c r="E215" i="30"/>
  <c r="E221" i="30"/>
  <c r="E220" i="30"/>
  <c r="E211" i="30"/>
  <c r="E214" i="30"/>
  <c r="E180" i="30"/>
  <c r="E209" i="30"/>
  <c r="E210" i="30"/>
  <c r="E184" i="30"/>
  <c r="E194" i="30"/>
  <c r="E181" i="30"/>
  <c r="E167" i="30"/>
  <c r="E170" i="30"/>
  <c r="E178" i="30"/>
  <c r="E172" i="30"/>
  <c r="E177" i="30"/>
  <c r="E164" i="30"/>
  <c r="E156" i="30"/>
  <c r="E162" i="30"/>
  <c r="E160" i="30"/>
  <c r="E161" i="30"/>
  <c r="E159" i="30"/>
  <c r="E157" i="30"/>
  <c r="E155" i="30"/>
  <c r="E158" i="30"/>
  <c r="E149" i="30"/>
  <c r="E127" i="30"/>
  <c r="E138" i="30"/>
  <c r="E129" i="30"/>
  <c r="E128" i="30"/>
  <c r="E131" i="30"/>
  <c r="E111" i="30"/>
  <c r="E132" i="30"/>
  <c r="E130" i="30"/>
  <c r="E110" i="30"/>
  <c r="E113" i="30"/>
  <c r="E116" i="30"/>
  <c r="E114" i="30"/>
  <c r="E109" i="30"/>
  <c r="E112" i="30"/>
  <c r="E119" i="30"/>
  <c r="E108" i="30"/>
  <c r="E106" i="30"/>
  <c r="E107" i="30"/>
  <c r="E93" i="30"/>
  <c r="E89" i="30"/>
  <c r="E81" i="30"/>
  <c r="E90" i="30"/>
  <c r="E82" i="30"/>
  <c r="E84" i="30"/>
  <c r="E68" i="30"/>
  <c r="E79" i="30"/>
  <c r="E77" i="30"/>
  <c r="E80" i="30"/>
  <c r="E83" i="30"/>
  <c r="E78" i="30"/>
  <c r="E76" i="30"/>
  <c r="E66" i="30"/>
  <c r="E69" i="30"/>
  <c r="E67" i="30"/>
  <c r="E70" i="30"/>
  <c r="E63" i="30"/>
  <c r="E61" i="30"/>
  <c r="E64" i="30"/>
  <c r="E62" i="30"/>
  <c r="E65" i="30"/>
  <c r="E55" i="30"/>
  <c r="E60" i="30"/>
  <c r="E59" i="30"/>
  <c r="E54" i="30"/>
  <c r="E53" i="30"/>
  <c r="E52" i="30"/>
  <c r="E41" i="30"/>
  <c r="E47" i="30"/>
  <c r="E46" i="30"/>
  <c r="E38" i="30"/>
  <c r="E33" i="30"/>
  <c r="E32" i="30"/>
  <c r="E31" i="30"/>
  <c r="E25" i="30"/>
  <c r="E30" i="30"/>
  <c r="E24" i="30"/>
  <c r="E23" i="30"/>
  <c r="E22" i="30"/>
  <c r="E17" i="30"/>
  <c r="E16" i="30"/>
  <c r="E15" i="30"/>
  <c r="E14" i="30"/>
  <c r="E3" i="30"/>
  <c r="E5" i="30"/>
  <c r="E8" i="30"/>
  <c r="E4" i="30"/>
  <c r="E7" i="30"/>
  <c r="AC605" i="1"/>
  <c r="AC604" i="1"/>
  <c r="AC603" i="1"/>
  <c r="AC602" i="1"/>
  <c r="AC601" i="1"/>
  <c r="AC600" i="1"/>
  <c r="AC599" i="1"/>
  <c r="AC598" i="1"/>
  <c r="AC597" i="1"/>
  <c r="AC596" i="1"/>
  <c r="AC595" i="1"/>
  <c r="AC594" i="1"/>
  <c r="AC593" i="1"/>
  <c r="AC592" i="1"/>
  <c r="AC591" i="1"/>
  <c r="AC590" i="1"/>
  <c r="AC589" i="1"/>
  <c r="AC588" i="1"/>
  <c r="AC587" i="1"/>
  <c r="AC586" i="1"/>
  <c r="AC585" i="1"/>
  <c r="AC584" i="1"/>
  <c r="AC583" i="1"/>
  <c r="AC582" i="1"/>
  <c r="AC581" i="1"/>
  <c r="AC580" i="1"/>
  <c r="AC579" i="1"/>
  <c r="AC578" i="1"/>
  <c r="AC577" i="1"/>
  <c r="AC576" i="1"/>
  <c r="AC575" i="1"/>
  <c r="AC574" i="1"/>
  <c r="AC573" i="1"/>
  <c r="AC572" i="1"/>
  <c r="AC571" i="1"/>
  <c r="AC570" i="1"/>
  <c r="AC569" i="1"/>
  <c r="AC568" i="1"/>
  <c r="AC567" i="1"/>
  <c r="AC566" i="1"/>
  <c r="AC565" i="1"/>
  <c r="AC564" i="1"/>
  <c r="AC563" i="1"/>
  <c r="AC562" i="1"/>
  <c r="AC561" i="1"/>
  <c r="AC560" i="1"/>
  <c r="AC559" i="1"/>
  <c r="AC558" i="1"/>
  <c r="AC557" i="1"/>
  <c r="AC556" i="1"/>
  <c r="AC555" i="1"/>
  <c r="AC554" i="1"/>
  <c r="AC553" i="1"/>
  <c r="AC552" i="1"/>
  <c r="AC551" i="1"/>
  <c r="AC550" i="1"/>
  <c r="AC549" i="1"/>
  <c r="AC548" i="1"/>
  <c r="AC547" i="1"/>
  <c r="AC546" i="1"/>
  <c r="AC545" i="1"/>
  <c r="AC544" i="1"/>
  <c r="AC543" i="1"/>
  <c r="AC542" i="1"/>
  <c r="AC541" i="1"/>
  <c r="AC540" i="1"/>
  <c r="AC539" i="1"/>
  <c r="AC538" i="1"/>
  <c r="AC537" i="1"/>
  <c r="AC536" i="1"/>
  <c r="AC535" i="1"/>
  <c r="AC534" i="1"/>
  <c r="AC533" i="1"/>
  <c r="AC532" i="1"/>
  <c r="AC531" i="1"/>
  <c r="AC530" i="1"/>
  <c r="AC529" i="1"/>
  <c r="AC528" i="1"/>
  <c r="AC527" i="1"/>
  <c r="AC526" i="1"/>
  <c r="AC525" i="1"/>
  <c r="AC524" i="1"/>
  <c r="AC523" i="1"/>
  <c r="AC522" i="1"/>
  <c r="AC521" i="1"/>
  <c r="AC520" i="1"/>
  <c r="AC519" i="1"/>
  <c r="AC518" i="1"/>
  <c r="AC517" i="1"/>
  <c r="AC516" i="1"/>
  <c r="AC515" i="1"/>
  <c r="AC514" i="1"/>
  <c r="AC513" i="1"/>
  <c r="AC512" i="1"/>
  <c r="AC511" i="1"/>
  <c r="AC510" i="1"/>
  <c r="AC509" i="1"/>
  <c r="AC508" i="1"/>
  <c r="AC507" i="1"/>
  <c r="AC506" i="1"/>
  <c r="AC505" i="1"/>
  <c r="AC504" i="1"/>
  <c r="AC503" i="1"/>
  <c r="AC502" i="1"/>
  <c r="AC501" i="1"/>
  <c r="AC500" i="1"/>
  <c r="AC499" i="1"/>
  <c r="AC498" i="1"/>
  <c r="AC497" i="1"/>
  <c r="AC496" i="1"/>
  <c r="AC495" i="1"/>
  <c r="AC494" i="1"/>
  <c r="AC493" i="1"/>
  <c r="AC492" i="1"/>
  <c r="AC491" i="1"/>
  <c r="AC490" i="1"/>
  <c r="AC489" i="1"/>
  <c r="AC488" i="1"/>
  <c r="AC487" i="1"/>
  <c r="AC486" i="1"/>
  <c r="AC485" i="1"/>
  <c r="AC484" i="1"/>
  <c r="AC483" i="1"/>
  <c r="AC482" i="1"/>
  <c r="AC481" i="1"/>
  <c r="AC480" i="1"/>
  <c r="AC479" i="1"/>
  <c r="AC478" i="1"/>
  <c r="AC477" i="1"/>
  <c r="AC476" i="1"/>
  <c r="AC475" i="1"/>
  <c r="AC474" i="1"/>
  <c r="AC473" i="1"/>
  <c r="AC472" i="1"/>
  <c r="AC471" i="1"/>
  <c r="AC470" i="1"/>
  <c r="AC469" i="1"/>
  <c r="AC468" i="1"/>
  <c r="AC467" i="1"/>
  <c r="AC466" i="1"/>
  <c r="AC465" i="1"/>
  <c r="AC464" i="1"/>
  <c r="AC463" i="1"/>
  <c r="AC462" i="1"/>
  <c r="AC461" i="1"/>
  <c r="AC460" i="1"/>
  <c r="AC459" i="1"/>
  <c r="AC458" i="1"/>
  <c r="AC457" i="1"/>
  <c r="AC456" i="1"/>
  <c r="AC455" i="1"/>
  <c r="AC454" i="1"/>
  <c r="AC453" i="1"/>
  <c r="AC452" i="1"/>
  <c r="AC451" i="1"/>
  <c r="AC450" i="1"/>
  <c r="AC449" i="1"/>
  <c r="AC448" i="1"/>
  <c r="AC447" i="1"/>
  <c r="AC446" i="1"/>
  <c r="AC445" i="1"/>
  <c r="AC444" i="1"/>
  <c r="AC443" i="1"/>
  <c r="AC442" i="1"/>
  <c r="AC441" i="1"/>
  <c r="AC440" i="1"/>
  <c r="AC439" i="1"/>
  <c r="AC438" i="1"/>
  <c r="AC437" i="1"/>
  <c r="AC436" i="1"/>
  <c r="AC435" i="1"/>
  <c r="AC434" i="1"/>
  <c r="AC433" i="1"/>
  <c r="AC432" i="1"/>
  <c r="AC431" i="1"/>
  <c r="AC430" i="1"/>
  <c r="AC429" i="1"/>
  <c r="AC428" i="1"/>
  <c r="AC427" i="1"/>
  <c r="AC426" i="1"/>
  <c r="AC425" i="1"/>
  <c r="AC424" i="1"/>
  <c r="AC423" i="1"/>
  <c r="AC422" i="1"/>
  <c r="AC421" i="1"/>
  <c r="AC420" i="1"/>
  <c r="AC419" i="1"/>
  <c r="AC418" i="1"/>
  <c r="AC417" i="1"/>
  <c r="AC416" i="1"/>
  <c r="AC415" i="1"/>
  <c r="AC414" i="1"/>
  <c r="AC413" i="1"/>
  <c r="AC412" i="1"/>
  <c r="AC411" i="1"/>
  <c r="AC410" i="1"/>
  <c r="AC409" i="1"/>
  <c r="AC408" i="1"/>
  <c r="AC407" i="1"/>
  <c r="AC406" i="1"/>
  <c r="AC405" i="1"/>
  <c r="AC404" i="1"/>
  <c r="AC403" i="1"/>
  <c r="AC402" i="1"/>
  <c r="AC401" i="1"/>
  <c r="AC400" i="1"/>
  <c r="AC399" i="1"/>
  <c r="AC398" i="1"/>
  <c r="AC397" i="1"/>
  <c r="AC396" i="1"/>
  <c r="AC395" i="1"/>
  <c r="AC394" i="1"/>
  <c r="AC393" i="1"/>
  <c r="AC392" i="1"/>
  <c r="AC391" i="1"/>
  <c r="AC390" i="1"/>
  <c r="AC389" i="1"/>
  <c r="AC388" i="1"/>
  <c r="AC387" i="1"/>
  <c r="AC386" i="1"/>
  <c r="AC385" i="1"/>
  <c r="AC384" i="1"/>
  <c r="AC383" i="1"/>
  <c r="AC382" i="1"/>
  <c r="AC381" i="1"/>
  <c r="AC380" i="1"/>
  <c r="AC379" i="1"/>
  <c r="AC378" i="1"/>
  <c r="AC377" i="1"/>
  <c r="AC376" i="1"/>
  <c r="AC375" i="1"/>
  <c r="AC374" i="1"/>
  <c r="AC373" i="1"/>
  <c r="AC372" i="1"/>
  <c r="AC371" i="1"/>
  <c r="AC370" i="1"/>
  <c r="AC369" i="1"/>
  <c r="AC368" i="1"/>
  <c r="AC367" i="1"/>
  <c r="AC366" i="1"/>
  <c r="AC365" i="1"/>
  <c r="AC364" i="1"/>
  <c r="AC363" i="1"/>
  <c r="AC362" i="1"/>
  <c r="AC361" i="1"/>
  <c r="AC360" i="1"/>
  <c r="AC359" i="1"/>
  <c r="AC358" i="1"/>
  <c r="AC357" i="1"/>
  <c r="AC356" i="1"/>
  <c r="AC355" i="1"/>
  <c r="AC354" i="1"/>
  <c r="AC353" i="1"/>
  <c r="AC352" i="1"/>
  <c r="AC351" i="1"/>
  <c r="AC350" i="1"/>
  <c r="AC349" i="1"/>
  <c r="AC348" i="1"/>
  <c r="AC347" i="1"/>
  <c r="AC346" i="1"/>
  <c r="AC345" i="1"/>
  <c r="AC344" i="1"/>
  <c r="AC343" i="1"/>
  <c r="AC342" i="1"/>
  <c r="AC341" i="1"/>
  <c r="AC340" i="1"/>
  <c r="AC339" i="1"/>
  <c r="AC338" i="1"/>
  <c r="AC337" i="1"/>
  <c r="AC336" i="1"/>
  <c r="AC335" i="1"/>
  <c r="AC334" i="1"/>
  <c r="AC333" i="1"/>
  <c r="AC332" i="1"/>
  <c r="AC331" i="1"/>
  <c r="AC330" i="1"/>
  <c r="AC329" i="1"/>
  <c r="AC328" i="1"/>
  <c r="AC327" i="1"/>
  <c r="AC326" i="1"/>
  <c r="AC325" i="1"/>
  <c r="AC324" i="1"/>
  <c r="AC323" i="1"/>
  <c r="AC322" i="1"/>
  <c r="AC321" i="1"/>
  <c r="AC320" i="1"/>
  <c r="AC319" i="1"/>
  <c r="AC318" i="1"/>
  <c r="AC317" i="1"/>
  <c r="AC316" i="1"/>
  <c r="AC315" i="1"/>
  <c r="AC314" i="1"/>
  <c r="AC313" i="1"/>
  <c r="AC312" i="1"/>
  <c r="AC311" i="1"/>
  <c r="AC310" i="1"/>
  <c r="AC309" i="1"/>
  <c r="AC308" i="1"/>
  <c r="AC307" i="1"/>
  <c r="AC306" i="1"/>
  <c r="AC305" i="1"/>
  <c r="AC304" i="1"/>
  <c r="AC303" i="1"/>
  <c r="AC302" i="1"/>
  <c r="AC301" i="1"/>
  <c r="AC300" i="1"/>
  <c r="AC299" i="1"/>
  <c r="AC298" i="1"/>
  <c r="AC297" i="1"/>
  <c r="AC296" i="1"/>
  <c r="AC295" i="1"/>
  <c r="AC294" i="1"/>
  <c r="AC293" i="1"/>
  <c r="AC292" i="1"/>
  <c r="AC291" i="1"/>
  <c r="AC290" i="1"/>
  <c r="AC289" i="1"/>
  <c r="AC288" i="1"/>
  <c r="AC287" i="1"/>
  <c r="AC286" i="1"/>
  <c r="AC285" i="1"/>
  <c r="AC284" i="1"/>
  <c r="AC283" i="1"/>
  <c r="AC282" i="1"/>
  <c r="AC281" i="1"/>
  <c r="AC280" i="1"/>
  <c r="AC279" i="1"/>
  <c r="AC278" i="1"/>
  <c r="AC277" i="1"/>
  <c r="AC276" i="1"/>
  <c r="AC275" i="1"/>
  <c r="AC274" i="1"/>
  <c r="AC273" i="1"/>
  <c r="AC272" i="1"/>
  <c r="AC271" i="1"/>
  <c r="AC270" i="1"/>
  <c r="AC269" i="1"/>
  <c r="AC268" i="1"/>
  <c r="AC267" i="1"/>
  <c r="AC266" i="1"/>
  <c r="AC265" i="1"/>
  <c r="AC264" i="1"/>
  <c r="AC263" i="1"/>
  <c r="AC262" i="1"/>
  <c r="AC261" i="1"/>
  <c r="AC260" i="1"/>
  <c r="AC259" i="1"/>
  <c r="AC258" i="1"/>
  <c r="AC257" i="1"/>
  <c r="AC256" i="1"/>
  <c r="AC255" i="1"/>
  <c r="AC254" i="1"/>
  <c r="AC253" i="1"/>
  <c r="AC252" i="1"/>
  <c r="AC251" i="1"/>
  <c r="AC250" i="1"/>
  <c r="AC249" i="1"/>
  <c r="AC248" i="1"/>
  <c r="AC247" i="1"/>
  <c r="AC246" i="1"/>
  <c r="AC245" i="1"/>
  <c r="AC244" i="1"/>
  <c r="AC243" i="1"/>
  <c r="AC242" i="1"/>
  <c r="AC241" i="1"/>
  <c r="AC240" i="1"/>
  <c r="AC239" i="1"/>
  <c r="AC238" i="1"/>
  <c r="AC237" i="1"/>
  <c r="AC236" i="1"/>
  <c r="AC235" i="1"/>
  <c r="AC234" i="1"/>
  <c r="AC233" i="1"/>
  <c r="AC232" i="1"/>
  <c r="AC231" i="1"/>
  <c r="AC230" i="1"/>
  <c r="AC229" i="1"/>
  <c r="AC228" i="1"/>
  <c r="AC227" i="1"/>
  <c r="AC226" i="1"/>
  <c r="AC225" i="1"/>
  <c r="AC224" i="1"/>
  <c r="AC223" i="1"/>
  <c r="AC222" i="1"/>
  <c r="AC221" i="1"/>
  <c r="AC220" i="1"/>
  <c r="AC219" i="1"/>
  <c r="AC218" i="1"/>
  <c r="AC217" i="1"/>
  <c r="AC216" i="1"/>
  <c r="AC215" i="1"/>
  <c r="AC214" i="1"/>
  <c r="AC213" i="1"/>
  <c r="AC212" i="1"/>
  <c r="AC211" i="1"/>
  <c r="AC210" i="1"/>
  <c r="AC209" i="1"/>
  <c r="AC208" i="1"/>
  <c r="AC207" i="1"/>
  <c r="AC206" i="1"/>
  <c r="AC205" i="1"/>
  <c r="AC204" i="1"/>
  <c r="AC203" i="1"/>
  <c r="AC202" i="1"/>
  <c r="AC201" i="1"/>
  <c r="AC200" i="1"/>
  <c r="AC199" i="1"/>
  <c r="AC198" i="1"/>
  <c r="AC197" i="1"/>
  <c r="AC196" i="1"/>
  <c r="AC195" i="1"/>
  <c r="AC194" i="1"/>
  <c r="AC193" i="1"/>
  <c r="AC192" i="1"/>
  <c r="AC191" i="1"/>
  <c r="AC190" i="1"/>
  <c r="AC189" i="1"/>
  <c r="AC188" i="1"/>
  <c r="AC187" i="1"/>
  <c r="AC186" i="1"/>
  <c r="AC185" i="1"/>
  <c r="AC184" i="1"/>
  <c r="AC183" i="1"/>
  <c r="AC182" i="1"/>
  <c r="AC181" i="1"/>
  <c r="AC180" i="1"/>
  <c r="AC179" i="1"/>
  <c r="AC178" i="1"/>
  <c r="AC177" i="1"/>
  <c r="AC176" i="1"/>
  <c r="AC175" i="1"/>
  <c r="AC174" i="1"/>
  <c r="AC173" i="1"/>
  <c r="AC172" i="1"/>
  <c r="AC171" i="1"/>
  <c r="AC170" i="1"/>
  <c r="AC169" i="1"/>
  <c r="AC168" i="1"/>
  <c r="AC167" i="1"/>
  <c r="AC166" i="1"/>
  <c r="AC165" i="1"/>
  <c r="AC164" i="1"/>
  <c r="AC163" i="1"/>
  <c r="AC162" i="1"/>
  <c r="AC161" i="1"/>
  <c r="AC160" i="1"/>
  <c r="AC159" i="1"/>
  <c r="AC158" i="1"/>
  <c r="AC157" i="1"/>
  <c r="AC156" i="1"/>
  <c r="AC155" i="1"/>
  <c r="AC154" i="1"/>
  <c r="AC153" i="1"/>
  <c r="AC152" i="1"/>
  <c r="AC151" i="1"/>
  <c r="AC150" i="1"/>
  <c r="AC149" i="1"/>
  <c r="AC148" i="1"/>
  <c r="AC147" i="1"/>
  <c r="AC146" i="1"/>
  <c r="AC145" i="1"/>
  <c r="AC144" i="1"/>
  <c r="AC143" i="1"/>
  <c r="AC142" i="1"/>
  <c r="AC141" i="1"/>
  <c r="AC140" i="1"/>
  <c r="AC139" i="1"/>
  <c r="AC138" i="1"/>
  <c r="AC137" i="1"/>
  <c r="AC136" i="1"/>
  <c r="AC135" i="1"/>
  <c r="AC134" i="1"/>
  <c r="AC133" i="1"/>
  <c r="AC132" i="1"/>
  <c r="AC131" i="1"/>
  <c r="AC130" i="1"/>
  <c r="AC129" i="1"/>
  <c r="AC128" i="1"/>
  <c r="AC127" i="1"/>
  <c r="AC126" i="1"/>
  <c r="AC125" i="1"/>
  <c r="AC124" i="1"/>
  <c r="AC123" i="1"/>
  <c r="AC122" i="1"/>
  <c r="AC121" i="1"/>
  <c r="AC120" i="1"/>
  <c r="AC119" i="1"/>
  <c r="AC118" i="1"/>
  <c r="AC117" i="1"/>
  <c r="AC116" i="1"/>
  <c r="AC115" i="1"/>
  <c r="AC114" i="1"/>
  <c r="AC113" i="1"/>
  <c r="AC112" i="1"/>
  <c r="AC111" i="1"/>
  <c r="AC110" i="1"/>
  <c r="AC109" i="1"/>
  <c r="AC108" i="1"/>
  <c r="AC107" i="1"/>
  <c r="AC106" i="1"/>
  <c r="AC105" i="1"/>
  <c r="AC104" i="1"/>
  <c r="AC103" i="1"/>
  <c r="AC102" i="1"/>
  <c r="AC101" i="1"/>
  <c r="AC100" i="1"/>
  <c r="AC99" i="1"/>
  <c r="AC98" i="1"/>
  <c r="AC97" i="1"/>
  <c r="AC96" i="1"/>
  <c r="AC95" i="1"/>
  <c r="AC94" i="1"/>
  <c r="AC93" i="1"/>
  <c r="AC92" i="1"/>
  <c r="AC91" i="1"/>
  <c r="AC90" i="1"/>
  <c r="AC89" i="1"/>
  <c r="AC88" i="1"/>
  <c r="AC87" i="1"/>
  <c r="AC86" i="1"/>
  <c r="AC85" i="1"/>
  <c r="AC84" i="1"/>
  <c r="AC83" i="1"/>
  <c r="AC82" i="1"/>
  <c r="AC81" i="1"/>
  <c r="AC80" i="1"/>
  <c r="AC79" i="1"/>
  <c r="AC78" i="1"/>
  <c r="AC77" i="1"/>
  <c r="AC76" i="1"/>
  <c r="AC75" i="1"/>
  <c r="AC74" i="1"/>
  <c r="AC73" i="1"/>
  <c r="AC72" i="1"/>
  <c r="AC71" i="1"/>
  <c r="AC70" i="1"/>
  <c r="AC69" i="1"/>
  <c r="AC68" i="1"/>
  <c r="AC67" i="1"/>
  <c r="AC66" i="1"/>
  <c r="AC65" i="1"/>
  <c r="AC64" i="1"/>
  <c r="AC63" i="1"/>
  <c r="AC62" i="1"/>
  <c r="AC61" i="1"/>
  <c r="AC60" i="1"/>
  <c r="AC59" i="1"/>
  <c r="AC58" i="1"/>
  <c r="AC57" i="1"/>
  <c r="AC56" i="1"/>
  <c r="AC55" i="1"/>
  <c r="AC54" i="1"/>
  <c r="AC53" i="1"/>
  <c r="AC52" i="1"/>
  <c r="AC51" i="1"/>
  <c r="AC50" i="1"/>
  <c r="AC49" i="1"/>
  <c r="AC48" i="1"/>
  <c r="AC47" i="1"/>
  <c r="AC46" i="1"/>
  <c r="AC45" i="1"/>
  <c r="AC44" i="1"/>
  <c r="AC43" i="1"/>
  <c r="AC42" i="1"/>
  <c r="AC41" i="1"/>
  <c r="AC40" i="1"/>
  <c r="AC39" i="1"/>
  <c r="AC38" i="1"/>
  <c r="AC37" i="1"/>
  <c r="AC36" i="1"/>
  <c r="AC35" i="1"/>
  <c r="AC34" i="1"/>
  <c r="AC33" i="1"/>
  <c r="AC32" i="1"/>
  <c r="AC31" i="1"/>
  <c r="AC30" i="1"/>
  <c r="AC29" i="1"/>
  <c r="AC28" i="1"/>
  <c r="AC27" i="1"/>
  <c r="AC26" i="1"/>
  <c r="AC25" i="1"/>
  <c r="AC24" i="1"/>
  <c r="AC23" i="1"/>
  <c r="AC22" i="1"/>
  <c r="AC21" i="1"/>
  <c r="AC20" i="1"/>
  <c r="AC19" i="1"/>
  <c r="AC18" i="1"/>
  <c r="AC17" i="1"/>
  <c r="AC16" i="1"/>
  <c r="AC15" i="1"/>
  <c r="AC14" i="1"/>
  <c r="AC13" i="1"/>
  <c r="AC12" i="1"/>
  <c r="AC11" i="1"/>
  <c r="AC10" i="1"/>
  <c r="AC9" i="1"/>
  <c r="AX575" i="1"/>
  <c r="B575" i="1"/>
  <c r="E575" i="1" s="1"/>
  <c r="A575" i="1"/>
  <c r="AX537" i="1"/>
  <c r="B537" i="1"/>
  <c r="E537" i="1" s="1"/>
  <c r="A537" i="1"/>
  <c r="AX536" i="1"/>
  <c r="B536" i="1"/>
  <c r="E536" i="1" s="1"/>
  <c r="A536" i="1"/>
  <c r="AX487" i="1"/>
  <c r="B487" i="1"/>
  <c r="E487" i="1" s="1"/>
  <c r="A487" i="1"/>
  <c r="AX454" i="1"/>
  <c r="B454" i="1"/>
  <c r="E454" i="1" s="1"/>
  <c r="A454" i="1"/>
  <c r="AX453" i="1"/>
  <c r="B453" i="1"/>
  <c r="E453" i="1" s="1"/>
  <c r="A453" i="1"/>
  <c r="AX196" i="1" l="1"/>
  <c r="B196" i="1"/>
  <c r="E196" i="1" s="1"/>
  <c r="A196" i="1"/>
  <c r="AX195" i="1"/>
  <c r="B195" i="1"/>
  <c r="E195" i="1" s="1"/>
  <c r="A195" i="1"/>
  <c r="B2" i="4" l="1"/>
  <c r="A1026" i="1"/>
  <c r="A1025" i="1"/>
  <c r="A1024" i="1"/>
  <c r="A1023" i="1"/>
  <c r="A1022" i="1"/>
  <c r="A1021" i="1"/>
  <c r="A1020" i="1"/>
  <c r="A1019"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X605" i="1"/>
  <c r="AX604" i="1"/>
  <c r="AX603" i="1"/>
  <c r="AX601" i="1"/>
  <c r="AX600" i="1"/>
  <c r="AX599" i="1"/>
  <c r="AX598" i="1"/>
  <c r="AX597" i="1"/>
  <c r="AX596" i="1"/>
  <c r="AX595" i="1"/>
  <c r="AX594" i="1"/>
  <c r="AX593" i="1"/>
  <c r="AX592" i="1"/>
  <c r="AX591" i="1"/>
  <c r="AX590" i="1"/>
  <c r="AX589" i="1"/>
  <c r="AX588" i="1"/>
  <c r="AX587" i="1"/>
  <c r="AX586" i="1"/>
  <c r="AX581" i="1"/>
  <c r="AX579" i="1"/>
  <c r="AX574" i="1"/>
  <c r="AX572" i="1"/>
  <c r="AX571" i="1"/>
  <c r="AX570" i="1"/>
  <c r="AX569" i="1"/>
  <c r="AX568" i="1"/>
  <c r="AX567" i="1"/>
  <c r="AX566" i="1"/>
  <c r="AX565" i="1"/>
  <c r="AX564" i="1"/>
  <c r="AX563" i="1"/>
  <c r="AX562" i="1"/>
  <c r="AX559" i="1"/>
  <c r="AX558" i="1"/>
  <c r="AX557" i="1"/>
  <c r="AX556" i="1"/>
  <c r="AX555" i="1"/>
  <c r="AX554" i="1"/>
  <c r="AX553" i="1"/>
  <c r="AX552" i="1"/>
  <c r="AX551" i="1"/>
  <c r="AX550" i="1"/>
  <c r="AX549" i="1"/>
  <c r="AX548" i="1"/>
  <c r="AX547" i="1"/>
  <c r="AX546" i="1"/>
  <c r="AX545" i="1"/>
  <c r="AX544" i="1"/>
  <c r="AX543" i="1"/>
  <c r="AX542" i="1"/>
  <c r="AX541" i="1"/>
  <c r="AX535" i="1"/>
  <c r="AX534" i="1"/>
  <c r="AX533" i="1"/>
  <c r="AX532" i="1"/>
  <c r="AX531" i="1"/>
  <c r="AX530" i="1"/>
  <c r="AX529" i="1"/>
  <c r="AX528" i="1"/>
  <c r="AX527" i="1"/>
  <c r="AX526" i="1"/>
  <c r="AX525" i="1"/>
  <c r="AX524" i="1"/>
  <c r="AX523" i="1"/>
  <c r="AX522" i="1"/>
  <c r="AX521" i="1"/>
  <c r="AX520" i="1"/>
  <c r="AX519" i="1"/>
  <c r="AX518" i="1"/>
  <c r="AX517" i="1"/>
  <c r="AX510" i="1"/>
  <c r="AX509" i="1"/>
  <c r="AX508" i="1"/>
  <c r="AX507" i="1"/>
  <c r="AX506" i="1"/>
  <c r="AX505" i="1"/>
  <c r="AX504" i="1"/>
  <c r="AX503" i="1"/>
  <c r="AX502" i="1"/>
  <c r="AX501" i="1"/>
  <c r="AX500" i="1"/>
  <c r="AX499" i="1"/>
  <c r="AX498" i="1"/>
  <c r="AX497" i="1"/>
  <c r="AX496" i="1"/>
  <c r="AX495" i="1"/>
  <c r="AX494" i="1"/>
  <c r="AX493" i="1"/>
  <c r="AX492" i="1"/>
  <c r="AX491" i="1"/>
  <c r="AX490" i="1"/>
  <c r="AX489" i="1"/>
  <c r="AX488" i="1"/>
  <c r="AX486" i="1"/>
  <c r="AX485" i="1"/>
  <c r="AX484" i="1"/>
  <c r="AX483" i="1"/>
  <c r="AX476" i="1"/>
  <c r="AX464" i="1"/>
  <c r="AX463" i="1"/>
  <c r="AX462" i="1"/>
  <c r="AX459" i="1"/>
  <c r="AX458" i="1"/>
  <c r="AX457" i="1"/>
  <c r="AX456" i="1"/>
  <c r="AX452" i="1"/>
  <c r="AX451" i="1"/>
  <c r="AX450" i="1"/>
  <c r="AX449" i="1"/>
  <c r="AX448" i="1"/>
  <c r="AX447" i="1"/>
  <c r="AX446" i="1"/>
  <c r="AX445" i="1"/>
  <c r="AX444" i="1"/>
  <c r="AX443" i="1"/>
  <c r="AX442" i="1"/>
  <c r="AX441" i="1"/>
  <c r="AX440" i="1"/>
  <c r="AX439" i="1"/>
  <c r="AX438" i="1"/>
  <c r="AX437" i="1"/>
  <c r="AX436" i="1"/>
  <c r="AX435" i="1"/>
  <c r="AX434" i="1"/>
  <c r="AX433" i="1"/>
  <c r="AX432" i="1"/>
  <c r="AX431" i="1"/>
  <c r="AX430" i="1"/>
  <c r="AX429" i="1"/>
  <c r="AX428" i="1"/>
  <c r="AX427" i="1"/>
  <c r="AX426" i="1"/>
  <c r="AX425" i="1"/>
  <c r="AX424" i="1"/>
  <c r="AX423" i="1"/>
  <c r="AX422" i="1"/>
  <c r="AX421" i="1"/>
  <c r="AX420" i="1"/>
  <c r="AX419" i="1"/>
  <c r="AX416" i="1"/>
  <c r="AX415" i="1"/>
  <c r="AX414" i="1"/>
  <c r="AX413" i="1"/>
  <c r="AX412" i="1"/>
  <c r="AX411" i="1"/>
  <c r="AX410" i="1"/>
  <c r="AX409" i="1"/>
  <c r="AX408" i="1"/>
  <c r="AX407" i="1"/>
  <c r="AX406" i="1"/>
  <c r="AX405" i="1"/>
  <c r="AX404" i="1"/>
  <c r="AX403" i="1"/>
  <c r="AX402" i="1"/>
  <c r="AX401" i="1"/>
  <c r="AX400" i="1"/>
  <c r="AX399" i="1"/>
  <c r="AX398" i="1"/>
  <c r="AX397" i="1"/>
  <c r="AX396" i="1"/>
  <c r="AX394" i="1"/>
  <c r="AX393" i="1"/>
  <c r="AX392" i="1"/>
  <c r="AX391" i="1"/>
  <c r="AX390" i="1"/>
  <c r="AX389" i="1"/>
  <c r="AX388" i="1"/>
  <c r="AX387" i="1"/>
  <c r="AX386" i="1"/>
  <c r="AX385" i="1"/>
  <c r="AX384" i="1"/>
  <c r="AX383" i="1"/>
  <c r="AX382" i="1"/>
  <c r="AX381" i="1"/>
  <c r="AX380" i="1"/>
  <c r="AX379" i="1"/>
  <c r="AX378" i="1"/>
  <c r="AX377" i="1"/>
  <c r="AX376" i="1"/>
  <c r="AX375" i="1"/>
  <c r="AX374" i="1"/>
  <c r="AX371" i="1"/>
  <c r="AX370" i="1"/>
  <c r="AX369" i="1"/>
  <c r="AX368" i="1"/>
  <c r="AX367" i="1"/>
  <c r="AX366" i="1"/>
  <c r="AX365" i="1"/>
  <c r="AX364" i="1"/>
  <c r="AX363" i="1"/>
  <c r="AX362" i="1"/>
  <c r="AX361" i="1"/>
  <c r="AX360" i="1"/>
  <c r="AX359" i="1"/>
  <c r="AX354" i="1"/>
  <c r="AX352" i="1"/>
  <c r="AX351" i="1"/>
  <c r="AX350" i="1"/>
  <c r="AX349" i="1"/>
  <c r="AX348" i="1"/>
  <c r="AX347" i="1"/>
  <c r="AX346" i="1"/>
  <c r="AX345" i="1"/>
  <c r="AX344" i="1"/>
  <c r="AX343" i="1"/>
  <c r="AX342" i="1"/>
  <c r="AX341" i="1"/>
  <c r="AX340" i="1"/>
  <c r="AX339" i="1"/>
  <c r="AX338" i="1"/>
  <c r="AX337" i="1"/>
  <c r="AX336" i="1"/>
  <c r="AX332" i="1"/>
  <c r="AX331" i="1"/>
  <c r="AX330" i="1"/>
  <c r="AX329" i="1"/>
  <c r="AX328" i="1"/>
  <c r="AX327" i="1"/>
  <c r="AX326" i="1"/>
  <c r="AX325" i="1"/>
  <c r="AX324" i="1"/>
  <c r="AX323" i="1"/>
  <c r="AX322" i="1"/>
  <c r="AX321" i="1"/>
  <c r="AX320" i="1"/>
  <c r="AX319" i="1"/>
  <c r="AX318" i="1"/>
  <c r="AX317" i="1"/>
  <c r="AX316" i="1"/>
  <c r="AX315" i="1"/>
  <c r="AX314" i="1"/>
  <c r="AX313" i="1"/>
  <c r="AX312" i="1"/>
  <c r="AX311" i="1"/>
  <c r="AX307" i="1"/>
  <c r="AX306" i="1"/>
  <c r="AX304" i="1"/>
  <c r="AX303" i="1"/>
  <c r="AX302" i="1"/>
  <c r="AX301" i="1"/>
  <c r="AX299" i="1"/>
  <c r="AX298" i="1"/>
  <c r="AX297" i="1"/>
  <c r="AX296" i="1"/>
  <c r="AX295" i="1"/>
  <c r="AX293" i="1"/>
  <c r="AX292" i="1"/>
  <c r="AX291" i="1"/>
  <c r="AX290" i="1"/>
  <c r="AX289" i="1"/>
  <c r="AX288" i="1"/>
  <c r="AX287" i="1"/>
  <c r="AX286" i="1"/>
  <c r="AX285" i="1"/>
  <c r="AX284" i="1"/>
  <c r="AX283" i="1"/>
  <c r="AX282" i="1"/>
  <c r="AX281" i="1"/>
  <c r="AX280" i="1"/>
  <c r="AX279" i="1"/>
  <c r="AX278" i="1"/>
  <c r="AX277" i="1"/>
  <c r="AX276" i="1"/>
  <c r="AX275" i="1"/>
  <c r="AX274" i="1"/>
  <c r="AX273" i="1"/>
  <c r="AX272" i="1"/>
  <c r="AX268" i="1"/>
  <c r="AX267" i="1"/>
  <c r="AX266" i="1"/>
  <c r="AX265" i="1"/>
  <c r="AX264" i="1"/>
  <c r="AX263" i="1"/>
  <c r="AX262" i="1"/>
  <c r="AX261" i="1"/>
  <c r="AX260" i="1"/>
  <c r="AX259" i="1"/>
  <c r="AX258" i="1"/>
  <c r="AX257" i="1"/>
  <c r="AX256" i="1"/>
  <c r="AX255" i="1"/>
  <c r="AX252" i="1"/>
  <c r="AX245" i="1"/>
  <c r="AX244" i="1"/>
  <c r="AX243" i="1"/>
  <c r="AX242" i="1"/>
  <c r="AX241" i="1"/>
  <c r="AX240" i="1"/>
  <c r="AX239" i="1"/>
  <c r="AX238" i="1"/>
  <c r="AX237" i="1"/>
  <c r="AX236" i="1"/>
  <c r="AX235" i="1"/>
  <c r="AX234" i="1"/>
  <c r="AX233" i="1"/>
  <c r="AX232" i="1"/>
  <c r="AX231" i="1"/>
  <c r="AX230" i="1"/>
  <c r="AX229" i="1"/>
  <c r="AX228" i="1"/>
  <c r="AX227" i="1"/>
  <c r="AX226" i="1"/>
  <c r="AX225" i="1"/>
  <c r="AX224" i="1"/>
  <c r="AX223" i="1"/>
  <c r="AX222" i="1"/>
  <c r="AX221" i="1"/>
  <c r="AX220" i="1"/>
  <c r="AX219" i="1"/>
  <c r="AX218" i="1"/>
  <c r="AX217" i="1"/>
  <c r="AX216" i="1"/>
  <c r="AX215" i="1"/>
  <c r="AX214" i="1"/>
  <c r="AX213" i="1"/>
  <c r="AX212" i="1"/>
  <c r="AX211" i="1"/>
  <c r="AX210" i="1"/>
  <c r="AX209" i="1"/>
  <c r="AX208" i="1"/>
  <c r="AX207" i="1"/>
  <c r="AX206" i="1"/>
  <c r="AX205" i="1"/>
  <c r="AX204" i="1"/>
  <c r="AX203" i="1"/>
  <c r="AX202" i="1"/>
  <c r="AX201" i="1"/>
  <c r="AX200" i="1"/>
  <c r="AX199" i="1"/>
  <c r="AX198" i="1"/>
  <c r="AX197" i="1"/>
  <c r="AX194" i="1"/>
  <c r="AX191" i="1"/>
  <c r="AX190" i="1"/>
  <c r="AX189" i="1"/>
  <c r="AX188" i="1"/>
  <c r="AX187" i="1"/>
  <c r="AX186" i="1"/>
  <c r="AX185" i="1"/>
  <c r="AX184" i="1"/>
  <c r="AX182" i="1"/>
  <c r="AX181" i="1"/>
  <c r="AX180" i="1"/>
  <c r="AX179" i="1"/>
  <c r="AX178" i="1"/>
  <c r="AX177" i="1"/>
  <c r="AX176" i="1"/>
  <c r="AX175" i="1"/>
  <c r="AX174" i="1"/>
  <c r="AX173" i="1"/>
  <c r="AX172" i="1"/>
  <c r="AX171" i="1"/>
  <c r="AX170" i="1"/>
  <c r="AX169" i="1"/>
  <c r="AX168" i="1"/>
  <c r="AX167" i="1"/>
  <c r="AX166" i="1"/>
  <c r="AX165" i="1"/>
  <c r="AX164" i="1"/>
  <c r="AX163" i="1"/>
  <c r="AX162" i="1"/>
  <c r="AX161" i="1"/>
  <c r="AX160" i="1"/>
  <c r="AX159" i="1"/>
  <c r="AX157" i="1"/>
  <c r="AX156" i="1"/>
  <c r="AX155" i="1"/>
  <c r="AX154" i="1"/>
  <c r="AX153" i="1"/>
  <c r="AX152" i="1"/>
  <c r="AX151" i="1"/>
  <c r="AX150" i="1"/>
  <c r="AX149" i="1"/>
  <c r="AX148" i="1"/>
  <c r="AX147" i="1"/>
  <c r="AX146" i="1"/>
  <c r="AX145" i="1"/>
  <c r="AX144" i="1"/>
  <c r="AX143" i="1"/>
  <c r="AX142" i="1"/>
  <c r="AX141" i="1"/>
  <c r="AX140" i="1"/>
  <c r="AX139" i="1"/>
  <c r="AX138" i="1"/>
  <c r="AX137" i="1"/>
  <c r="AX136" i="1"/>
  <c r="AX135" i="1"/>
  <c r="AX134" i="1"/>
  <c r="AX133" i="1"/>
  <c r="AX132" i="1"/>
  <c r="AX131" i="1"/>
  <c r="AX130" i="1"/>
  <c r="AX129" i="1"/>
  <c r="AX128" i="1"/>
  <c r="AX123" i="1"/>
  <c r="AX122" i="1"/>
  <c r="AX121" i="1"/>
  <c r="AX120" i="1"/>
  <c r="AX119" i="1"/>
  <c r="AX118" i="1"/>
  <c r="AX117" i="1"/>
  <c r="AX116" i="1"/>
  <c r="AX115" i="1"/>
  <c r="AX114" i="1"/>
  <c r="AX113" i="1"/>
  <c r="AX112" i="1"/>
  <c r="AX111" i="1"/>
  <c r="AX110" i="1"/>
  <c r="AX109" i="1"/>
  <c r="AX108" i="1"/>
  <c r="AX107" i="1"/>
  <c r="AX106" i="1"/>
  <c r="AX105" i="1"/>
  <c r="AX101" i="1"/>
  <c r="AX100" i="1"/>
  <c r="AX99" i="1"/>
  <c r="AX98" i="1"/>
  <c r="AX97" i="1"/>
  <c r="AX96" i="1"/>
  <c r="AX95" i="1"/>
  <c r="AX94" i="1"/>
  <c r="AX93" i="1"/>
  <c r="AX92" i="1"/>
  <c r="AX91" i="1"/>
  <c r="AX90" i="1"/>
  <c r="AX89" i="1"/>
  <c r="AX88"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V602" i="1" l="1"/>
  <c r="AX602" i="1" s="1"/>
  <c r="AV585" i="1"/>
  <c r="AX585" i="1" s="1"/>
  <c r="AV584" i="1"/>
  <c r="AX584" i="1" s="1"/>
  <c r="AV583" i="1"/>
  <c r="AX583" i="1" s="1"/>
  <c r="AV582" i="1"/>
  <c r="AX582" i="1" s="1"/>
  <c r="AV580" i="1"/>
  <c r="AX580" i="1" s="1"/>
  <c r="AV578" i="1"/>
  <c r="AX578" i="1" s="1"/>
  <c r="AV577" i="1"/>
  <c r="AX577" i="1" s="1"/>
  <c r="AV576" i="1"/>
  <c r="AX576" i="1" s="1"/>
  <c r="AV573" i="1"/>
  <c r="AX573" i="1" s="1"/>
  <c r="AV561" i="1"/>
  <c r="AX561" i="1" s="1"/>
  <c r="AV560" i="1"/>
  <c r="AX560" i="1" s="1"/>
  <c r="AV540" i="1"/>
  <c r="AX540" i="1" s="1"/>
  <c r="AV539" i="1"/>
  <c r="AX539" i="1" s="1"/>
  <c r="AV538" i="1"/>
  <c r="AX538" i="1" s="1"/>
  <c r="AV516" i="1"/>
  <c r="AX516" i="1" s="1"/>
  <c r="AV515" i="1"/>
  <c r="AX515" i="1" s="1"/>
  <c r="AV514" i="1"/>
  <c r="AX514" i="1" s="1"/>
  <c r="AV513" i="1"/>
  <c r="AX513" i="1" s="1"/>
  <c r="AV512" i="1"/>
  <c r="AX512" i="1" s="1"/>
  <c r="AV511" i="1"/>
  <c r="AX511" i="1" s="1"/>
  <c r="AV482" i="1"/>
  <c r="AX482" i="1" s="1"/>
  <c r="AV481" i="1"/>
  <c r="AX481" i="1" s="1"/>
  <c r="AV480" i="1"/>
  <c r="AX480" i="1" s="1"/>
  <c r="AV479" i="1"/>
  <c r="AX479" i="1" s="1"/>
  <c r="AV478" i="1"/>
  <c r="AX478" i="1" s="1"/>
  <c r="AV477" i="1"/>
  <c r="AX477" i="1" s="1"/>
  <c r="AV475" i="1"/>
  <c r="AX475" i="1" s="1"/>
  <c r="AV474" i="1"/>
  <c r="AX474" i="1" s="1"/>
  <c r="AV473" i="1"/>
  <c r="AX473" i="1" s="1"/>
  <c r="AV472" i="1"/>
  <c r="AX472" i="1" s="1"/>
  <c r="AV471" i="1"/>
  <c r="AX471" i="1" s="1"/>
  <c r="AV470" i="1"/>
  <c r="AX470" i="1" s="1"/>
  <c r="AV469" i="1"/>
  <c r="AX469" i="1" s="1"/>
  <c r="AV468" i="1"/>
  <c r="AX468" i="1" s="1"/>
  <c r="AV467" i="1"/>
  <c r="AX467" i="1" s="1"/>
  <c r="AV466" i="1"/>
  <c r="AX466" i="1" s="1"/>
  <c r="AV465" i="1"/>
  <c r="AX465" i="1" s="1"/>
  <c r="AV461" i="1"/>
  <c r="AX461" i="1" s="1"/>
  <c r="AV460" i="1"/>
  <c r="AX460" i="1" s="1"/>
  <c r="AV455" i="1"/>
  <c r="AX455" i="1" s="1"/>
  <c r="AV418" i="1"/>
  <c r="AX418" i="1" s="1"/>
  <c r="AV417" i="1"/>
  <c r="AX417" i="1" s="1"/>
  <c r="AV395" i="1"/>
  <c r="AX395" i="1" s="1"/>
  <c r="AV373" i="1"/>
  <c r="AX373" i="1" s="1"/>
  <c r="AV372" i="1"/>
  <c r="AX372" i="1" s="1"/>
  <c r="AV358" i="1"/>
  <c r="AX358" i="1" s="1"/>
  <c r="AV357" i="1"/>
  <c r="AX357" i="1" s="1"/>
  <c r="AV356" i="1"/>
  <c r="AX356" i="1" s="1"/>
  <c r="AV355" i="1"/>
  <c r="AX355" i="1" s="1"/>
  <c r="AV353" i="1"/>
  <c r="AX353" i="1" s="1"/>
  <c r="AV335" i="1"/>
  <c r="AX335" i="1" s="1"/>
  <c r="AV334" i="1"/>
  <c r="AX334" i="1" s="1"/>
  <c r="AV333" i="1"/>
  <c r="AX333" i="1" s="1"/>
  <c r="AV310" i="1"/>
  <c r="AX310" i="1" s="1"/>
  <c r="AV309" i="1"/>
  <c r="AX309" i="1" s="1"/>
  <c r="AV308" i="1"/>
  <c r="AX308" i="1" s="1"/>
  <c r="AV305" i="1"/>
  <c r="AX305" i="1" s="1"/>
  <c r="AV300" i="1"/>
  <c r="AX300" i="1" s="1"/>
  <c r="AV294" i="1"/>
  <c r="AX294" i="1" s="1"/>
  <c r="AV271" i="1"/>
  <c r="AX271" i="1" s="1"/>
  <c r="AV270" i="1"/>
  <c r="AX270" i="1" s="1"/>
  <c r="AV269" i="1"/>
  <c r="AX269" i="1" s="1"/>
  <c r="AV254" i="1"/>
  <c r="AX254" i="1" s="1"/>
  <c r="AV253" i="1"/>
  <c r="AX253" i="1" s="1"/>
  <c r="AV251" i="1"/>
  <c r="AX251" i="1" s="1"/>
  <c r="AV250" i="1"/>
  <c r="AX250" i="1" s="1"/>
  <c r="AV249" i="1"/>
  <c r="AX249" i="1" s="1"/>
  <c r="AV248" i="1"/>
  <c r="AX248" i="1" s="1"/>
  <c r="AV247" i="1"/>
  <c r="AX247" i="1" s="1"/>
  <c r="AV246" i="1"/>
  <c r="AX246" i="1" s="1"/>
  <c r="AV193" i="1"/>
  <c r="AX193" i="1" s="1"/>
  <c r="AV192" i="1"/>
  <c r="AX192" i="1" s="1"/>
  <c r="AV183" i="1"/>
  <c r="AX183" i="1" s="1"/>
  <c r="AV158" i="1"/>
  <c r="AX158" i="1" s="1"/>
  <c r="AV127" i="1"/>
  <c r="AX127" i="1" s="1"/>
  <c r="AV126" i="1"/>
  <c r="AX126" i="1" s="1"/>
  <c r="AV125" i="1"/>
  <c r="AX125" i="1" s="1"/>
  <c r="AV124" i="1"/>
  <c r="AX124" i="1" s="1"/>
  <c r="AV104" i="1"/>
  <c r="AX104" i="1" s="1"/>
  <c r="AV103" i="1"/>
  <c r="AX103" i="1" s="1"/>
  <c r="AV87" i="1"/>
  <c r="AX87" i="1" s="1"/>
  <c r="AV102" i="1"/>
  <c r="AX102" i="1" s="1"/>
  <c r="B418" i="1"/>
  <c r="E418" i="1" s="1"/>
  <c r="AQ136" i="1"/>
  <c r="B136" i="1" s="1"/>
  <c r="AQ135" i="1"/>
  <c r="B135" i="1" s="1"/>
  <c r="AQ132" i="1" l="1"/>
  <c r="B132" i="1" s="1"/>
  <c r="AQ134" i="1"/>
  <c r="B134" i="1" s="1"/>
  <c r="AQ133" i="1"/>
  <c r="B133" i="1" s="1"/>
  <c r="AQ131" i="1"/>
  <c r="B131" i="1" s="1"/>
  <c r="B149" i="1"/>
  <c r="E149" i="1" s="1"/>
  <c r="B148" i="1"/>
  <c r="E148" i="1" s="1"/>
  <c r="B147" i="1"/>
  <c r="E147" i="1" s="1"/>
  <c r="B146" i="1"/>
  <c r="E146" i="1" s="1"/>
  <c r="B145" i="1"/>
  <c r="E145" i="1" s="1"/>
  <c r="B143" i="1"/>
  <c r="E143" i="1" s="1"/>
  <c r="B142" i="1"/>
  <c r="E142" i="1" s="1"/>
  <c r="B144" i="1"/>
  <c r="E144" i="1" s="1"/>
  <c r="D156" i="1"/>
  <c r="D155" i="1"/>
  <c r="B156" i="1"/>
  <c r="E156" i="1" s="1"/>
  <c r="AQ506" i="1"/>
  <c r="B506" i="1" s="1"/>
  <c r="AQ71" i="1"/>
  <c r="B71" i="1" s="1"/>
  <c r="AQ70" i="1"/>
  <c r="B70" i="1" s="1"/>
  <c r="AQ75" i="1"/>
  <c r="B75" i="1" s="1"/>
  <c r="AQ120" i="1"/>
  <c r="B120" i="1" s="1"/>
  <c r="D120" i="1"/>
  <c r="D119" i="1"/>
  <c r="AQ119" i="1"/>
  <c r="B119" i="1" s="1"/>
  <c r="AQ118" i="1"/>
  <c r="B118" i="1" s="1"/>
  <c r="AQ117" i="1"/>
  <c r="B117" i="1" s="1"/>
  <c r="B123" i="1" l="1"/>
  <c r="E123" i="1" s="1"/>
  <c r="AQ101" i="1"/>
  <c r="B101" i="1" s="1"/>
  <c r="D101" i="1"/>
  <c r="AQ100" i="1"/>
  <c r="B100" i="1" s="1"/>
  <c r="D100" i="1"/>
  <c r="D127" i="1"/>
  <c r="D126" i="1"/>
  <c r="D99" i="1"/>
  <c r="D98" i="1"/>
  <c r="AQ99" i="1"/>
  <c r="B99" i="1" s="1"/>
  <c r="AQ98" i="1"/>
  <c r="B98" i="1" s="1"/>
  <c r="AQ170" i="1"/>
  <c r="B170" i="1" s="1"/>
  <c r="B169" i="1"/>
  <c r="E169" i="1" s="1"/>
  <c r="B127" i="1"/>
  <c r="E127" i="1" s="1"/>
  <c r="D378" i="1"/>
  <c r="D377" i="1"/>
  <c r="B126" i="1" l="1"/>
  <c r="E126" i="1" s="1"/>
  <c r="B160" i="1"/>
  <c r="E160" i="1" s="1"/>
  <c r="AQ555" i="1"/>
  <c r="B555" i="1" s="1"/>
  <c r="AQ106" i="1"/>
  <c r="B106" i="1" s="1"/>
  <c r="AQ112" i="1"/>
  <c r="B112" i="1" s="1"/>
  <c r="AQ111" i="1"/>
  <c r="B111" i="1" s="1"/>
  <c r="AQ110" i="1"/>
  <c r="B110" i="1" s="1"/>
  <c r="AQ109" i="1"/>
  <c r="B109" i="1" s="1"/>
  <c r="B168" i="1"/>
  <c r="E168" i="1" s="1"/>
  <c r="AQ176" i="1"/>
  <c r="B176" i="1" s="1"/>
  <c r="AQ175" i="1"/>
  <c r="B175" i="1" s="1"/>
  <c r="B104" i="1"/>
  <c r="E104" i="1" s="1"/>
  <c r="B103" i="1"/>
  <c r="E103" i="1" s="1"/>
  <c r="B125" i="1"/>
  <c r="E125" i="1" s="1"/>
  <c r="B167" i="1"/>
  <c r="E167" i="1" s="1"/>
  <c r="B86" i="1" l="1"/>
  <c r="E86" i="1" s="1"/>
  <c r="AQ115" i="1"/>
  <c r="B115" i="1" s="1"/>
  <c r="AQ114" i="1"/>
  <c r="B114" i="1" s="1"/>
  <c r="B154" i="1"/>
  <c r="E154" i="1" s="1"/>
  <c r="AQ153" i="1"/>
  <c r="B153" i="1" s="1"/>
  <c r="AQ152" i="1"/>
  <c r="B152" i="1" s="1"/>
  <c r="AQ151" i="1"/>
  <c r="B151" i="1" s="1"/>
  <c r="AQ534" i="1"/>
  <c r="B534" i="1" s="1"/>
  <c r="AQ533" i="1"/>
  <c r="B533" i="1" s="1"/>
  <c r="AQ532" i="1"/>
  <c r="B532" i="1" s="1"/>
  <c r="AQ531" i="1"/>
  <c r="B531" i="1" s="1"/>
  <c r="AQ530" i="1"/>
  <c r="B530" i="1" s="1"/>
  <c r="AQ529" i="1"/>
  <c r="B529" i="1" s="1"/>
  <c r="AQ96" i="1"/>
  <c r="B96" i="1" s="1"/>
  <c r="AQ95" i="1"/>
  <c r="B95" i="1" s="1"/>
  <c r="AQ94" i="1"/>
  <c r="B94" i="1" s="1"/>
  <c r="B158" i="1" l="1"/>
  <c r="B395" i="1" l="1"/>
  <c r="E395" i="1" s="1"/>
  <c r="B193" i="1"/>
  <c r="E193" i="1" s="1"/>
  <c r="B192" i="1"/>
  <c r="E192" i="1" s="1"/>
  <c r="B191" i="1"/>
  <c r="E191" i="1" s="1"/>
  <c r="AQ93" i="1"/>
  <c r="B93" i="1" s="1"/>
  <c r="AQ92" i="1"/>
  <c r="B92" i="1" s="1"/>
  <c r="AQ90" i="1"/>
  <c r="B90" i="1" s="1"/>
  <c r="AQ89" i="1"/>
  <c r="B89" i="1" s="1"/>
  <c r="AQ91" i="1"/>
  <c r="B91" i="1" s="1"/>
  <c r="B552" i="1" l="1"/>
  <c r="E552" i="1" s="1"/>
  <c r="K115" i="28" l="1"/>
  <c r="V115" i="28" l="1"/>
  <c r="I115" i="28"/>
  <c r="W115" i="28"/>
  <c r="Z115" i="28"/>
  <c r="AA115" i="28"/>
  <c r="AB115" i="28"/>
  <c r="H115" i="28"/>
  <c r="J115" i="28"/>
  <c r="L115" i="28"/>
  <c r="M115" i="28"/>
  <c r="N115" i="28"/>
  <c r="O115" i="28"/>
  <c r="P115" i="28"/>
  <c r="X115" i="28"/>
  <c r="Q115" i="28"/>
  <c r="R115" i="28"/>
  <c r="Y115" i="28"/>
  <c r="S115" i="28"/>
  <c r="T115" i="28"/>
  <c r="U115" i="28"/>
  <c r="A81" i="1" l="1"/>
  <c r="B478" i="1" l="1"/>
  <c r="B466" i="1"/>
  <c r="E466" i="1" s="1"/>
  <c r="E478" i="1" l="1"/>
  <c r="B605" i="1"/>
  <c r="E605" i="1" s="1"/>
  <c r="B604" i="1"/>
  <c r="E604" i="1" s="1"/>
  <c r="B603" i="1"/>
  <c r="E603" i="1" s="1"/>
  <c r="B602" i="1"/>
  <c r="B596" i="1"/>
  <c r="B595" i="1"/>
  <c r="E595" i="1" s="1"/>
  <c r="B594" i="1"/>
  <c r="E594" i="1" s="1"/>
  <c r="B593" i="1"/>
  <c r="B592" i="1"/>
  <c r="E592" i="1" s="1"/>
  <c r="B591" i="1"/>
  <c r="E591" i="1" s="1"/>
  <c r="B590" i="1"/>
  <c r="E590" i="1" s="1"/>
  <c r="B589" i="1"/>
  <c r="E589" i="1" s="1"/>
  <c r="B588" i="1"/>
  <c r="E588" i="1" s="1"/>
  <c r="B587" i="1"/>
  <c r="E587" i="1" s="1"/>
  <c r="B585" i="1"/>
  <c r="B584" i="1"/>
  <c r="E584" i="1" s="1"/>
  <c r="B583" i="1"/>
  <c r="B582" i="1"/>
  <c r="B580" i="1"/>
  <c r="B578" i="1"/>
  <c r="B577" i="1"/>
  <c r="B576" i="1"/>
  <c r="B574" i="1"/>
  <c r="B573" i="1"/>
  <c r="B572" i="1"/>
  <c r="B571" i="1"/>
  <c r="E571" i="1" s="1"/>
  <c r="B570" i="1"/>
  <c r="B569" i="1"/>
  <c r="E569" i="1" s="1"/>
  <c r="B561" i="1"/>
  <c r="B560" i="1"/>
  <c r="B551" i="1"/>
  <c r="B550" i="1"/>
  <c r="E550" i="1" s="1"/>
  <c r="B549" i="1"/>
  <c r="E549" i="1" s="1"/>
  <c r="B548" i="1"/>
  <c r="E548" i="1" s="1"/>
  <c r="B547" i="1"/>
  <c r="E547" i="1" s="1"/>
  <c r="B546" i="1"/>
  <c r="E546" i="1" s="1"/>
  <c r="B545" i="1"/>
  <c r="E545" i="1" s="1"/>
  <c r="B540" i="1"/>
  <c r="B539" i="1"/>
  <c r="E539" i="1" s="1"/>
  <c r="B538" i="1"/>
  <c r="B535" i="1"/>
  <c r="E535" i="1" s="1"/>
  <c r="B516" i="1"/>
  <c r="B515" i="1"/>
  <c r="E515" i="1" s="1"/>
  <c r="B514" i="1"/>
  <c r="B513" i="1"/>
  <c r="B512" i="1"/>
  <c r="B511" i="1"/>
  <c r="B486" i="1"/>
  <c r="E486" i="1" s="1"/>
  <c r="B485" i="1"/>
  <c r="E485" i="1" s="1"/>
  <c r="B482" i="1"/>
  <c r="B481" i="1"/>
  <c r="B480" i="1"/>
  <c r="B479" i="1"/>
  <c r="B477" i="1"/>
  <c r="B476" i="1"/>
  <c r="B475" i="1"/>
  <c r="B474" i="1"/>
  <c r="B473" i="1"/>
  <c r="E473" i="1" s="1"/>
  <c r="B472" i="1"/>
  <c r="B471" i="1"/>
  <c r="B470" i="1"/>
  <c r="B469" i="1"/>
  <c r="E469" i="1" s="1"/>
  <c r="B468" i="1"/>
  <c r="B467" i="1"/>
  <c r="B465" i="1"/>
  <c r="B461" i="1"/>
  <c r="B460" i="1"/>
  <c r="B456" i="1"/>
  <c r="B455" i="1"/>
  <c r="B452" i="1"/>
  <c r="B451" i="1"/>
  <c r="E451" i="1" s="1"/>
  <c r="B450" i="1"/>
  <c r="B449" i="1"/>
  <c r="E449" i="1" s="1"/>
  <c r="B448" i="1"/>
  <c r="E448" i="1" s="1"/>
  <c r="B446" i="1"/>
  <c r="E446" i="1" s="1"/>
  <c r="B445" i="1"/>
  <c r="E445" i="1" s="1"/>
  <c r="B444" i="1"/>
  <c r="E444" i="1" s="1"/>
  <c r="B443" i="1"/>
  <c r="E443" i="1" s="1"/>
  <c r="B442" i="1"/>
  <c r="E442" i="1" s="1"/>
  <c r="B441" i="1"/>
  <c r="E441" i="1" s="1"/>
  <c r="B440" i="1"/>
  <c r="E440" i="1" s="1"/>
  <c r="B439" i="1"/>
  <c r="E439" i="1" s="1"/>
  <c r="B438" i="1"/>
  <c r="E438" i="1" s="1"/>
  <c r="B437" i="1"/>
  <c r="E437" i="1" s="1"/>
  <c r="B435" i="1"/>
  <c r="E435" i="1" s="1"/>
  <c r="B427" i="1"/>
  <c r="E427" i="1" s="1"/>
  <c r="B426" i="1"/>
  <c r="E426" i="1" s="1"/>
  <c r="B421" i="1"/>
  <c r="B420" i="1"/>
  <c r="E420" i="1" s="1"/>
  <c r="B419" i="1"/>
  <c r="E419" i="1" s="1"/>
  <c r="B417" i="1"/>
  <c r="E417" i="1" s="1"/>
  <c r="B416" i="1"/>
  <c r="E416" i="1" s="1"/>
  <c r="B447" i="1"/>
  <c r="E447" i="1" s="1"/>
  <c r="B414" i="1"/>
  <c r="E414" i="1" s="1"/>
  <c r="B412" i="1"/>
  <c r="E412" i="1" s="1"/>
  <c r="B411" i="1"/>
  <c r="E411" i="1" s="1"/>
  <c r="B400" i="1"/>
  <c r="B386" i="1"/>
  <c r="E386" i="1" s="1"/>
  <c r="B385" i="1"/>
  <c r="E385" i="1" s="1"/>
  <c r="B380" i="1"/>
  <c r="E380" i="1" s="1"/>
  <c r="B379" i="1"/>
  <c r="E379" i="1" s="1"/>
  <c r="B374" i="1"/>
  <c r="B373" i="1"/>
  <c r="B372" i="1"/>
  <c r="B371" i="1"/>
  <c r="E371" i="1" s="1"/>
  <c r="B370" i="1"/>
  <c r="E370" i="1" s="1"/>
  <c r="B369" i="1"/>
  <c r="B368" i="1"/>
  <c r="E368" i="1" s="1"/>
  <c r="B367" i="1"/>
  <c r="E367" i="1" s="1"/>
  <c r="B366" i="1"/>
  <c r="E366" i="1" s="1"/>
  <c r="B365" i="1"/>
  <c r="E365" i="1" s="1"/>
  <c r="B364" i="1"/>
  <c r="E364" i="1" s="1"/>
  <c r="B363" i="1"/>
  <c r="E363" i="1" s="1"/>
  <c r="B362" i="1"/>
  <c r="E362" i="1" s="1"/>
  <c r="B361" i="1"/>
  <c r="E361" i="1" s="1"/>
  <c r="B359" i="1"/>
  <c r="E359" i="1" s="1"/>
  <c r="B358" i="1"/>
  <c r="B357" i="1"/>
  <c r="B356" i="1"/>
  <c r="E356" i="1" s="1"/>
  <c r="B355" i="1"/>
  <c r="B354" i="1"/>
  <c r="B353" i="1"/>
  <c r="B352" i="1"/>
  <c r="B351" i="1"/>
  <c r="E351" i="1" s="1"/>
  <c r="B350" i="1"/>
  <c r="B349" i="1"/>
  <c r="E349" i="1" s="1"/>
  <c r="B336" i="1"/>
  <c r="E336" i="1" s="1"/>
  <c r="B335" i="1"/>
  <c r="B334" i="1"/>
  <c r="E334" i="1" s="1"/>
  <c r="B333" i="1"/>
  <c r="E333" i="1" s="1"/>
  <c r="B319" i="1"/>
  <c r="E319" i="1" s="1"/>
  <c r="B311" i="1"/>
  <c r="E311" i="1" s="1"/>
  <c r="B310" i="1"/>
  <c r="B309" i="1"/>
  <c r="E309" i="1" s="1"/>
  <c r="B308" i="1"/>
  <c r="B307" i="1"/>
  <c r="B305" i="1"/>
  <c r="B300" i="1"/>
  <c r="B299" i="1"/>
  <c r="B294" i="1"/>
  <c r="B293" i="1"/>
  <c r="B291" i="1"/>
  <c r="B274" i="1"/>
  <c r="B273" i="1"/>
  <c r="E273" i="1" s="1"/>
  <c r="B272" i="1"/>
  <c r="E272" i="1" s="1"/>
  <c r="B271" i="1"/>
  <c r="B270" i="1"/>
  <c r="E270" i="1" s="1"/>
  <c r="B269" i="1"/>
  <c r="B265" i="1"/>
  <c r="E265" i="1" s="1"/>
  <c r="B264" i="1"/>
  <c r="E264" i="1" s="1"/>
  <c r="B263" i="1"/>
  <c r="E263" i="1" s="1"/>
  <c r="B262" i="1"/>
  <c r="E262" i="1" s="1"/>
  <c r="B261" i="1"/>
  <c r="E261" i="1" s="1"/>
  <c r="B260" i="1"/>
  <c r="E260" i="1" s="1"/>
  <c r="B259" i="1"/>
  <c r="E259" i="1" s="1"/>
  <c r="B258" i="1"/>
  <c r="E258" i="1" s="1"/>
  <c r="B257" i="1"/>
  <c r="E257" i="1" s="1"/>
  <c r="B256" i="1"/>
  <c r="E256" i="1" s="1"/>
  <c r="B254" i="1"/>
  <c r="E254" i="1" s="1"/>
  <c r="B253" i="1"/>
  <c r="E253" i="1" s="1"/>
  <c r="B252" i="1"/>
  <c r="B251" i="1"/>
  <c r="E251" i="1" s="1"/>
  <c r="B250" i="1"/>
  <c r="E250" i="1" s="1"/>
  <c r="B249" i="1"/>
  <c r="B248" i="1"/>
  <c r="E248" i="1" s="1"/>
  <c r="B247" i="1"/>
  <c r="E247" i="1" s="1"/>
  <c r="B246" i="1"/>
  <c r="B245" i="1"/>
  <c r="E245" i="1" s="1"/>
  <c r="B194" i="1"/>
  <c r="E194" i="1" s="1"/>
  <c r="B190" i="1"/>
  <c r="E190" i="1" s="1"/>
  <c r="B189" i="1"/>
  <c r="E189" i="1" s="1"/>
  <c r="B188" i="1"/>
  <c r="E188" i="1" s="1"/>
  <c r="B187" i="1"/>
  <c r="E187" i="1" s="1"/>
  <c r="B186" i="1"/>
  <c r="E186" i="1" s="1"/>
  <c r="B185" i="1"/>
  <c r="E185" i="1" s="1"/>
  <c r="B183" i="1"/>
  <c r="B166" i="1"/>
  <c r="E166" i="1" s="1"/>
  <c r="B165" i="1"/>
  <c r="B164" i="1"/>
  <c r="E164" i="1" s="1"/>
  <c r="B163" i="1"/>
  <c r="E163" i="1" s="1"/>
  <c r="B162" i="1"/>
  <c r="E162" i="1" s="1"/>
  <c r="B161" i="1"/>
  <c r="E161" i="1" s="1"/>
  <c r="B159" i="1"/>
  <c r="E159" i="1" s="1"/>
  <c r="B155" i="1"/>
  <c r="E155" i="1" s="1"/>
  <c r="B141" i="1"/>
  <c r="E141" i="1" s="1"/>
  <c r="B140" i="1"/>
  <c r="E140" i="1" s="1"/>
  <c r="B124" i="1"/>
  <c r="B122" i="1"/>
  <c r="E122" i="1" s="1"/>
  <c r="B121" i="1"/>
  <c r="E121" i="1" s="1"/>
  <c r="B102" i="1"/>
  <c r="E102" i="1" s="1"/>
  <c r="B87" i="1"/>
  <c r="E87" i="1" s="1"/>
  <c r="B85" i="1"/>
  <c r="E85" i="1" s="1"/>
  <c r="B84" i="1"/>
  <c r="E84" i="1" s="1"/>
  <c r="B79" i="1"/>
  <c r="E79" i="1" s="1"/>
  <c r="B78" i="1"/>
  <c r="B77" i="1"/>
  <c r="E77" i="1" s="1"/>
  <c r="B76" i="1"/>
  <c r="E76" i="1" s="1"/>
  <c r="B73" i="1"/>
  <c r="E73" i="1" s="1"/>
  <c r="B72" i="1"/>
  <c r="E72" i="1" s="1"/>
  <c r="B68" i="1"/>
  <c r="E68" i="1" s="1"/>
  <c r="B67" i="1"/>
  <c r="E67" i="1" s="1"/>
  <c r="B66" i="1"/>
  <c r="E66" i="1" s="1"/>
  <c r="B65" i="1"/>
  <c r="E65" i="1" s="1"/>
  <c r="B59" i="1"/>
  <c r="B58" i="1"/>
  <c r="E58" i="1" s="1"/>
  <c r="B57" i="1"/>
  <c r="B56" i="1"/>
  <c r="E56" i="1" s="1"/>
  <c r="B41" i="1"/>
  <c r="B40" i="1"/>
  <c r="E40" i="1" s="1"/>
  <c r="B39" i="1"/>
  <c r="B38" i="1"/>
  <c r="E38" i="1" s="1"/>
  <c r="B32" i="1"/>
  <c r="B31" i="1"/>
  <c r="E31" i="1" s="1"/>
  <c r="B30" i="1"/>
  <c r="B29" i="1"/>
  <c r="E29" i="1" s="1"/>
  <c r="B28" i="1"/>
  <c r="E28" i="1" s="1"/>
  <c r="B15" i="1"/>
  <c r="E15" i="1" s="1"/>
  <c r="B10" i="1"/>
  <c r="B9" i="1"/>
  <c r="B6" i="29"/>
  <c r="K111" i="28"/>
  <c r="K110" i="28"/>
  <c r="K109" i="28"/>
  <c r="K108" i="28"/>
  <c r="K107" i="28"/>
  <c r="K105" i="28"/>
  <c r="K100" i="28"/>
  <c r="K96" i="28"/>
  <c r="K95" i="28"/>
  <c r="K94" i="28"/>
  <c r="K93" i="28"/>
  <c r="K92" i="28"/>
  <c r="K91" i="28"/>
  <c r="K90" i="28"/>
  <c r="K89" i="28"/>
  <c r="K88" i="28"/>
  <c r="K87" i="28"/>
  <c r="K86" i="28"/>
  <c r="K84" i="28"/>
  <c r="K78" i="28"/>
  <c r="K77" i="28"/>
  <c r="K75" i="28"/>
  <c r="K74" i="28"/>
  <c r="K73" i="28"/>
  <c r="K72" i="28"/>
  <c r="K71" i="28"/>
  <c r="K70" i="28"/>
  <c r="K68" i="28"/>
  <c r="K67" i="28"/>
  <c r="K66" i="28"/>
  <c r="K65" i="28"/>
  <c r="K64" i="28"/>
  <c r="K62" i="28"/>
  <c r="K61" i="28"/>
  <c r="K60" i="28"/>
  <c r="K59" i="28"/>
  <c r="K58" i="28"/>
  <c r="K57" i="28"/>
  <c r="K56" i="28"/>
  <c r="K55" i="28"/>
  <c r="K54" i="28"/>
  <c r="K53" i="28"/>
  <c r="K52" i="28"/>
  <c r="K51" i="28"/>
  <c r="K50" i="28"/>
  <c r="K49" i="28"/>
  <c r="K48" i="28"/>
  <c r="K47" i="28"/>
  <c r="K46" i="28"/>
  <c r="K45" i="28"/>
  <c r="K44" i="28"/>
  <c r="K43" i="28"/>
  <c r="K42" i="28"/>
  <c r="K41" i="28"/>
  <c r="K40" i="28"/>
  <c r="K39" i="28"/>
  <c r="K38" i="28"/>
  <c r="K37" i="28"/>
  <c r="K36" i="28"/>
  <c r="K35" i="28"/>
  <c r="K34" i="28"/>
  <c r="K33" i="28"/>
  <c r="K32" i="28"/>
  <c r="K30" i="28"/>
  <c r="K29" i="28"/>
  <c r="K28" i="28"/>
  <c r="K27" i="28"/>
  <c r="K26" i="28"/>
  <c r="K24" i="28"/>
  <c r="K23" i="28"/>
  <c r="K22" i="28"/>
  <c r="K20" i="28"/>
  <c r="K19" i="28"/>
  <c r="K18" i="28"/>
  <c r="K17" i="28"/>
  <c r="K16" i="28"/>
  <c r="K15" i="28"/>
  <c r="K14" i="28"/>
  <c r="K13" i="28"/>
  <c r="K12" i="28"/>
  <c r="K11" i="28"/>
  <c r="K10" i="28"/>
  <c r="K9" i="28"/>
  <c r="K8" i="28"/>
  <c r="K7" i="28"/>
  <c r="K6" i="28"/>
  <c r="K5" i="28"/>
  <c r="K4" i="28"/>
  <c r="K3" i="28"/>
  <c r="I69" i="28" l="1"/>
  <c r="K69" i="28"/>
  <c r="Q23" i="28"/>
  <c r="AA48" i="28"/>
  <c r="N25" i="28"/>
  <c r="L26" i="28"/>
  <c r="O50" i="28"/>
  <c r="R74" i="28"/>
  <c r="W98" i="28"/>
  <c r="S27" i="28"/>
  <c r="AB51" i="28"/>
  <c r="O99" i="28"/>
  <c r="T4" i="28"/>
  <c r="L28" i="28"/>
  <c r="O100" i="28"/>
  <c r="N5" i="28"/>
  <c r="Y29" i="28"/>
  <c r="O53" i="28"/>
  <c r="J77" i="28"/>
  <c r="M47" i="28"/>
  <c r="P24" i="28"/>
  <c r="O97" i="28"/>
  <c r="U78" i="28"/>
  <c r="L7" i="28"/>
  <c r="I7" i="28"/>
  <c r="N8" i="28"/>
  <c r="T80" i="28"/>
  <c r="Y9" i="28"/>
  <c r="S81" i="28"/>
  <c r="AB84" i="28"/>
  <c r="T13" i="28"/>
  <c r="Z61" i="28"/>
  <c r="S109" i="28"/>
  <c r="U38" i="28"/>
  <c r="J86" i="28"/>
  <c r="R63" i="28"/>
  <c r="V16" i="28"/>
  <c r="I16" i="28"/>
  <c r="M40" i="28"/>
  <c r="Y64" i="28"/>
  <c r="R17" i="28"/>
  <c r="N90" i="28"/>
  <c r="M92" i="28"/>
  <c r="Y73" i="28"/>
  <c r="AA102" i="28"/>
  <c r="R108" i="28"/>
  <c r="M85" i="28"/>
  <c r="AB14" i="28"/>
  <c r="Y62" i="28"/>
  <c r="I62" i="28"/>
  <c r="S87" i="28"/>
  <c r="U111" i="28"/>
  <c r="P88" i="28"/>
  <c r="M65" i="28"/>
  <c r="M19" i="28"/>
  <c r="AA67" i="28"/>
  <c r="W21" i="28"/>
  <c r="P93" i="28"/>
  <c r="M96" i="28"/>
  <c r="AB49" i="28"/>
  <c r="Q54" i="28"/>
  <c r="S55" i="28"/>
  <c r="R32" i="28"/>
  <c r="I32" i="28"/>
  <c r="M56" i="28"/>
  <c r="M104" i="28"/>
  <c r="N57" i="28"/>
  <c r="W105" i="28"/>
  <c r="Q10" i="28"/>
  <c r="U34" i="28"/>
  <c r="Y58" i="28"/>
  <c r="R35" i="28"/>
  <c r="V83" i="28"/>
  <c r="P12" i="28"/>
  <c r="Y36" i="28"/>
  <c r="AA60" i="28"/>
  <c r="I60" i="28"/>
  <c r="AB15" i="28"/>
  <c r="T39" i="28"/>
  <c r="V41" i="28"/>
  <c r="X89" i="28"/>
  <c r="Q42" i="28"/>
  <c r="T66" i="28"/>
  <c r="L43" i="28"/>
  <c r="AB91" i="28"/>
  <c r="V20" i="28"/>
  <c r="AB44" i="28"/>
  <c r="N45" i="28"/>
  <c r="L22" i="28"/>
  <c r="U46" i="28"/>
  <c r="Q70" i="28"/>
  <c r="I70" i="28"/>
  <c r="Q94" i="28"/>
  <c r="M71" i="28"/>
  <c r="L95" i="28"/>
  <c r="E9" i="1"/>
  <c r="E481" i="1"/>
  <c r="E580" i="1"/>
  <c r="E269" i="1"/>
  <c r="E358" i="1"/>
  <c r="E477" i="1"/>
  <c r="E183" i="1"/>
  <c r="E353" i="1"/>
  <c r="E271" i="1"/>
  <c r="E482" i="1"/>
  <c r="E294" i="1"/>
  <c r="E516" i="1"/>
  <c r="E249" i="1"/>
  <c r="E308" i="1"/>
  <c r="E538" i="1"/>
  <c r="E455" i="1"/>
  <c r="E585" i="1"/>
  <c r="E512" i="1"/>
  <c r="E460" i="1"/>
  <c r="E602" i="1"/>
  <c r="E335" i="1"/>
  <c r="E465" i="1"/>
  <c r="E475" i="1"/>
  <c r="E124" i="1"/>
  <c r="E573" i="1"/>
  <c r="E560" i="1"/>
  <c r="E300" i="1"/>
  <c r="E470" i="1"/>
  <c r="E561" i="1"/>
  <c r="E357" i="1"/>
  <c r="E514" i="1"/>
  <c r="E471" i="1"/>
  <c r="E593" i="1"/>
  <c r="E30" i="1"/>
  <c r="E576" i="1"/>
  <c r="E369" i="1"/>
  <c r="E456" i="1"/>
  <c r="E570" i="1"/>
  <c r="E513" i="1"/>
  <c r="E572" i="1"/>
  <c r="E32" i="1"/>
  <c r="E165" i="1"/>
  <c r="E374" i="1"/>
  <c r="E468" i="1"/>
  <c r="E574" i="1"/>
  <c r="E293" i="1"/>
  <c r="E354" i="1"/>
  <c r="E355" i="1"/>
  <c r="E577" i="1"/>
  <c r="E39" i="1"/>
  <c r="E78" i="1"/>
  <c r="E299" i="1"/>
  <c r="E578" i="1"/>
  <c r="E472" i="1"/>
  <c r="E274" i="1"/>
  <c r="E372" i="1"/>
  <c r="E310" i="1"/>
  <c r="E350" i="1"/>
  <c r="E352" i="1"/>
  <c r="E373" i="1"/>
  <c r="E467" i="1"/>
  <c r="E596" i="1"/>
  <c r="E291" i="1"/>
  <c r="E41" i="1"/>
  <c r="E540" i="1"/>
  <c r="E307" i="1"/>
  <c r="E57" i="1"/>
  <c r="E476" i="1"/>
  <c r="E59" i="1"/>
  <c r="E479" i="1"/>
  <c r="E511" i="1"/>
  <c r="E252" i="1"/>
  <c r="E305" i="1"/>
  <c r="E400" i="1"/>
  <c r="E474" i="1"/>
  <c r="E246" i="1"/>
  <c r="E450" i="1"/>
  <c r="E480" i="1"/>
  <c r="E583" i="1"/>
  <c r="E551" i="1"/>
  <c r="E421" i="1"/>
  <c r="E461" i="1"/>
  <c r="E582" i="1"/>
  <c r="E10" i="1"/>
  <c r="E452" i="1"/>
  <c r="Y22" i="28"/>
  <c r="AA8" i="28"/>
  <c r="M16" i="28"/>
  <c r="U14" i="28"/>
  <c r="X14" i="28"/>
  <c r="M8" i="28"/>
  <c r="Y14" i="28"/>
  <c r="W14" i="28"/>
  <c r="P8" i="28"/>
  <c r="AA14" i="28"/>
  <c r="Z22" i="28"/>
  <c r="Z8" i="28"/>
  <c r="N16" i="28"/>
  <c r="V14" i="28"/>
  <c r="U39" i="28"/>
  <c r="V39" i="28"/>
  <c r="U23" i="28"/>
  <c r="Z56" i="28"/>
  <c r="H16" i="28"/>
  <c r="AA56" i="28"/>
  <c r="P108" i="28"/>
  <c r="S39" i="28"/>
  <c r="Q56" i="28"/>
  <c r="T56" i="28"/>
  <c r="V23" i="28"/>
  <c r="U109" i="28"/>
  <c r="W56" i="28"/>
  <c r="AA61" i="28"/>
  <c r="Y56" i="28"/>
  <c r="O16" i="28"/>
  <c r="R22" i="28"/>
  <c r="J57" i="28"/>
  <c r="O14" i="28"/>
  <c r="R16" i="28"/>
  <c r="T22" i="28"/>
  <c r="P14" i="28"/>
  <c r="T16" i="28"/>
  <c r="U22" i="28"/>
  <c r="S56" i="28"/>
  <c r="AB95" i="28"/>
  <c r="V56" i="28"/>
  <c r="V61" i="28"/>
  <c r="Q22" i="28"/>
  <c r="AA39" i="28"/>
  <c r="U56" i="28"/>
  <c r="L57" i="28"/>
  <c r="AB57" i="28"/>
  <c r="R14" i="28"/>
  <c r="U16" i="28"/>
  <c r="V22" i="28"/>
  <c r="O8" i="28"/>
  <c r="S14" i="28"/>
  <c r="W16" i="28"/>
  <c r="W22" i="28"/>
  <c r="O84" i="28"/>
  <c r="X56" i="28"/>
  <c r="M14" i="28"/>
  <c r="Q16" i="28"/>
  <c r="S22" i="28"/>
  <c r="T14" i="28"/>
  <c r="X16" i="28"/>
  <c r="X22" i="28"/>
  <c r="Y105" i="28"/>
  <c r="M95" i="28"/>
  <c r="P104" i="28"/>
  <c r="V105" i="28"/>
  <c r="O104" i="28"/>
  <c r="AA53" i="28"/>
  <c r="N95" i="28"/>
  <c r="Q104" i="28"/>
  <c r="T43" i="28"/>
  <c r="V49" i="28"/>
  <c r="L61" i="28"/>
  <c r="U84" i="28"/>
  <c r="Q95" i="28"/>
  <c r="T104" i="28"/>
  <c r="O34" i="28"/>
  <c r="Y86" i="28"/>
  <c r="S104" i="28"/>
  <c r="U43" i="28"/>
  <c r="W49" i="28"/>
  <c r="M61" i="28"/>
  <c r="V84" i="28"/>
  <c r="S95" i="28"/>
  <c r="U104" i="28"/>
  <c r="Z105" i="28"/>
  <c r="S84" i="28"/>
  <c r="V43" i="28"/>
  <c r="O61" i="28"/>
  <c r="X84" i="28"/>
  <c r="T95" i="28"/>
  <c r="V104" i="28"/>
  <c r="J16" i="28"/>
  <c r="AB23" i="28"/>
  <c r="W43" i="28"/>
  <c r="Y49" i="28"/>
  <c r="R57" i="28"/>
  <c r="P61" i="28"/>
  <c r="Y84" i="28"/>
  <c r="U95" i="28"/>
  <c r="X104" i="28"/>
  <c r="W86" i="28"/>
  <c r="X105" i="28"/>
  <c r="X46" i="28"/>
  <c r="AA105" i="28"/>
  <c r="L16" i="28"/>
  <c r="U57" i="28"/>
  <c r="Q61" i="28"/>
  <c r="Z84" i="28"/>
  <c r="V95" i="28"/>
  <c r="Y104" i="28"/>
  <c r="V86" i="28"/>
  <c r="P84" i="28"/>
  <c r="R104" i="28"/>
  <c r="P95" i="28"/>
  <c r="X49" i="28"/>
  <c r="R61" i="28"/>
  <c r="AA84" i="28"/>
  <c r="W95" i="28"/>
  <c r="Z104" i="28"/>
  <c r="B5" i="29"/>
  <c r="B7" i="29" s="1"/>
  <c r="Z26" i="28"/>
  <c r="Z51" i="28"/>
  <c r="AB26" i="28"/>
  <c r="S61" i="28"/>
  <c r="Y95" i="28"/>
  <c r="AA104" i="28"/>
  <c r="X51" i="28"/>
  <c r="N104" i="28"/>
  <c r="O95" i="28"/>
  <c r="T61" i="28"/>
  <c r="Z95" i="28"/>
  <c r="Q14" i="28"/>
  <c r="P16" i="28"/>
  <c r="P22" i="28"/>
  <c r="Z39" i="28"/>
  <c r="R56" i="28"/>
  <c r="U61" i="28"/>
  <c r="AA95" i="28"/>
  <c r="V109" i="28"/>
  <c r="J65" i="28"/>
  <c r="O83" i="28"/>
  <c r="Q83" i="28"/>
  <c r="O20" i="28"/>
  <c r="O24" i="28"/>
  <c r="T32" i="28"/>
  <c r="T35" i="28"/>
  <c r="S83" i="28"/>
  <c r="W32" i="28"/>
  <c r="U35" i="28"/>
  <c r="O38" i="28"/>
  <c r="J40" i="28"/>
  <c r="O65" i="28"/>
  <c r="M68" i="28"/>
  <c r="L74" i="28"/>
  <c r="T83" i="28"/>
  <c r="R20" i="28"/>
  <c r="Q24" i="28"/>
  <c r="T27" i="28"/>
  <c r="V35" i="28"/>
  <c r="L40" i="28"/>
  <c r="M74" i="28"/>
  <c r="O5" i="28"/>
  <c r="Y20" i="28"/>
  <c r="Q26" i="28"/>
  <c r="AB35" i="28"/>
  <c r="S45" i="28"/>
  <c r="L49" i="28"/>
  <c r="L51" i="28"/>
  <c r="R53" i="28"/>
  <c r="AB54" i="28"/>
  <c r="Z62" i="28"/>
  <c r="AB65" i="28"/>
  <c r="AB83" i="28"/>
  <c r="X88" i="28"/>
  <c r="J96" i="28"/>
  <c r="P5" i="28"/>
  <c r="AB11" i="28"/>
  <c r="Z20" i="28"/>
  <c r="R26" i="28"/>
  <c r="M34" i="28"/>
  <c r="T45" i="28"/>
  <c r="M49" i="28"/>
  <c r="M51" i="28"/>
  <c r="S53" i="28"/>
  <c r="AA62" i="28"/>
  <c r="Y88" i="28"/>
  <c r="L96" i="28"/>
  <c r="Q5" i="28"/>
  <c r="Y16" i="28"/>
  <c r="AB20" i="28"/>
  <c r="T23" i="28"/>
  <c r="S26" i="28"/>
  <c r="N34" i="28"/>
  <c r="R39" i="28"/>
  <c r="U45" i="28"/>
  <c r="O49" i="28"/>
  <c r="N51" i="28"/>
  <c r="T53" i="28"/>
  <c r="U86" i="28"/>
  <c r="Z88" i="28"/>
  <c r="O96" i="28"/>
  <c r="X32" i="28"/>
  <c r="J54" i="28"/>
  <c r="W68" i="28"/>
  <c r="Q88" i="28"/>
  <c r="S20" i="28"/>
  <c r="Y32" i="28"/>
  <c r="Z48" i="28"/>
  <c r="L54" i="28"/>
  <c r="V65" i="28"/>
  <c r="X68" i="28"/>
  <c r="O74" i="28"/>
  <c r="T20" i="28"/>
  <c r="Y27" i="28"/>
  <c r="X35" i="28"/>
  <c r="S38" i="28"/>
  <c r="N40" i="28"/>
  <c r="M54" i="28"/>
  <c r="Q74" i="28"/>
  <c r="J51" i="28"/>
  <c r="V88" i="28"/>
  <c r="Y94" i="28"/>
  <c r="U96" i="28"/>
  <c r="L105" i="28"/>
  <c r="J68" i="28"/>
  <c r="P20" i="28"/>
  <c r="U83" i="28"/>
  <c r="L53" i="28"/>
  <c r="V62" i="28"/>
  <c r="X65" i="28"/>
  <c r="P74" i="28"/>
  <c r="W83" i="28"/>
  <c r="S88" i="28"/>
  <c r="L5" i="28"/>
  <c r="U20" i="28"/>
  <c r="Z27" i="28"/>
  <c r="N53" i="28"/>
  <c r="W62" i="28"/>
  <c r="Y65" i="28"/>
  <c r="Y83" i="28"/>
  <c r="M5" i="28"/>
  <c r="Z83" i="28"/>
  <c r="U88" i="28"/>
  <c r="AB27" i="28"/>
  <c r="V54" i="28"/>
  <c r="T74" i="28"/>
  <c r="AA83" i="28"/>
  <c r="T26" i="28"/>
  <c r="U26" i="28"/>
  <c r="P34" i="28"/>
  <c r="T36" i="28"/>
  <c r="Q49" i="28"/>
  <c r="Q34" i="28"/>
  <c r="T51" i="28"/>
  <c r="N65" i="28"/>
  <c r="L68" i="28"/>
  <c r="P38" i="28"/>
  <c r="S65" i="28"/>
  <c r="X27" i="28"/>
  <c r="W35" i="28"/>
  <c r="R38" i="28"/>
  <c r="R88" i="28"/>
  <c r="Y35" i="28"/>
  <c r="T38" i="28"/>
  <c r="T54" i="28"/>
  <c r="T88" i="28"/>
  <c r="AA35" i="28"/>
  <c r="AA38" i="28"/>
  <c r="R45" i="28"/>
  <c r="J49" i="28"/>
  <c r="Q53" i="28"/>
  <c r="P96" i="28"/>
  <c r="S51" i="28"/>
  <c r="AA15" i="28"/>
  <c r="W23" i="28"/>
  <c r="W36" i="28"/>
  <c r="M43" i="28"/>
  <c r="R49" i="28"/>
  <c r="W53" i="28"/>
  <c r="V96" i="28"/>
  <c r="X23" i="28"/>
  <c r="W26" i="28"/>
  <c r="S34" i="28"/>
  <c r="X36" i="28"/>
  <c r="W39" i="28"/>
  <c r="N43" i="28"/>
  <c r="S46" i="28"/>
  <c r="S49" i="28"/>
  <c r="U51" i="28"/>
  <c r="X53" i="28"/>
  <c r="N56" i="28"/>
  <c r="AB67" i="28"/>
  <c r="J84" i="28"/>
  <c r="Z86" i="28"/>
  <c r="X96" i="28"/>
  <c r="R105" i="28"/>
  <c r="N22" i="28"/>
  <c r="Y23" i="28"/>
  <c r="X26" i="28"/>
  <c r="T34" i="28"/>
  <c r="X39" i="28"/>
  <c r="O43" i="28"/>
  <c r="V46" i="28"/>
  <c r="T49" i="28"/>
  <c r="V51" i="28"/>
  <c r="Y53" i="28"/>
  <c r="O56" i="28"/>
  <c r="AA57" i="28"/>
  <c r="L84" i="28"/>
  <c r="AA86" i="28"/>
  <c r="AA96" i="28"/>
  <c r="T105" i="28"/>
  <c r="S35" i="28"/>
  <c r="L65" i="28"/>
  <c r="W20" i="28"/>
  <c r="AA27" i="28"/>
  <c r="Z35" i="28"/>
  <c r="P53" i="28"/>
  <c r="U54" i="28"/>
  <c r="X62" i="28"/>
  <c r="Z65" i="28"/>
  <c r="X20" i="28"/>
  <c r="AA65" i="28"/>
  <c r="P49" i="28"/>
  <c r="O51" i="28"/>
  <c r="U53" i="28"/>
  <c r="AB88" i="28"/>
  <c r="V53" i="28"/>
  <c r="V26" i="28"/>
  <c r="R46" i="28"/>
  <c r="O22" i="28"/>
  <c r="Z23" i="28"/>
  <c r="Y26" i="28"/>
  <c r="Y39" i="28"/>
  <c r="P43" i="28"/>
  <c r="W46" i="28"/>
  <c r="U49" i="28"/>
  <c r="W51" i="28"/>
  <c r="Z53" i="28"/>
  <c r="P56" i="28"/>
  <c r="M84" i="28"/>
  <c r="AB86" i="28"/>
  <c r="U105" i="28"/>
  <c r="J12" i="28"/>
  <c r="T58" i="28"/>
  <c r="P87" i="28"/>
  <c r="S30" i="28"/>
  <c r="Q30" i="28"/>
  <c r="R30" i="28"/>
  <c r="P30" i="28"/>
  <c r="N30" i="28"/>
  <c r="M30" i="28"/>
  <c r="O30" i="28"/>
  <c r="AA58" i="28"/>
  <c r="L71" i="28"/>
  <c r="W89" i="28"/>
  <c r="L92" i="28"/>
  <c r="V98" i="28"/>
  <c r="Z102" i="28"/>
  <c r="O12" i="28"/>
  <c r="J30" i="28"/>
  <c r="AB58" i="28"/>
  <c r="AA87" i="28"/>
  <c r="AB87" i="28"/>
  <c r="R98" i="28"/>
  <c r="S89" i="28"/>
  <c r="Q19" i="28"/>
  <c r="Y19" i="28"/>
  <c r="Q87" i="28"/>
  <c r="J92" i="28"/>
  <c r="U98" i="28"/>
  <c r="Y102" i="28"/>
  <c r="Y25" i="28"/>
  <c r="Z25" i="28"/>
  <c r="AA33" i="28"/>
  <c r="W33" i="28"/>
  <c r="U33" i="28"/>
  <c r="V33" i="28"/>
  <c r="T33" i="28"/>
  <c r="Q33" i="28"/>
  <c r="S33" i="28"/>
  <c r="R33" i="28"/>
  <c r="AA37" i="28"/>
  <c r="W37" i="28"/>
  <c r="V37" i="28"/>
  <c r="U37" i="28"/>
  <c r="T37" i="28"/>
  <c r="Q37" i="28"/>
  <c r="S37" i="28"/>
  <c r="R37" i="28"/>
  <c r="X69" i="28"/>
  <c r="W69" i="28"/>
  <c r="V69" i="28"/>
  <c r="U69" i="28"/>
  <c r="M69" i="28"/>
  <c r="T69" i="28"/>
  <c r="R69" i="28"/>
  <c r="AA89" i="28"/>
  <c r="N92" i="28"/>
  <c r="X98" i="28"/>
  <c r="AB102" i="28"/>
  <c r="J6" i="28"/>
  <c r="X6" i="28"/>
  <c r="W6" i="28"/>
  <c r="V6" i="28"/>
  <c r="Q6" i="28"/>
  <c r="U6" i="28"/>
  <c r="S6" i="28"/>
  <c r="T6" i="28"/>
  <c r="Q12" i="28"/>
  <c r="O19" i="28"/>
  <c r="P25" i="28"/>
  <c r="U30" i="28"/>
  <c r="L33" i="28"/>
  <c r="J37" i="28"/>
  <c r="N41" i="28"/>
  <c r="R59" i="28"/>
  <c r="P59" i="28"/>
  <c r="Q59" i="28"/>
  <c r="O59" i="28"/>
  <c r="M59" i="28"/>
  <c r="J59" i="28"/>
  <c r="N59" i="28"/>
  <c r="Y69" i="28"/>
  <c r="O92" i="28"/>
  <c r="Y98" i="28"/>
  <c r="Z113" i="28"/>
  <c r="AA113" i="28"/>
  <c r="P6" i="28"/>
  <c r="S59" i="28"/>
  <c r="Q63" i="28"/>
  <c r="AA72" i="28"/>
  <c r="Y72" i="28"/>
  <c r="X72" i="28"/>
  <c r="W72" i="28"/>
  <c r="V72" i="28"/>
  <c r="S72" i="28"/>
  <c r="U72" i="28"/>
  <c r="T72" i="28"/>
  <c r="Y6" i="28"/>
  <c r="O113" i="28"/>
  <c r="Z6" i="28"/>
  <c r="M10" i="28"/>
  <c r="W41" i="28"/>
  <c r="Y13" i="28"/>
  <c r="U13" i="28"/>
  <c r="Z13" i="28"/>
  <c r="X13" i="28"/>
  <c r="V13" i="28"/>
  <c r="W13" i="28"/>
  <c r="T19" i="28"/>
  <c r="Y30" i="28"/>
  <c r="O37" i="28"/>
  <c r="AA44" i="28"/>
  <c r="L55" i="28"/>
  <c r="V59" i="28"/>
  <c r="J13" i="28"/>
  <c r="U19" i="28"/>
  <c r="U25" i="28"/>
  <c r="Z30" i="28"/>
  <c r="Y33" i="28"/>
  <c r="P37" i="28"/>
  <c r="X59" i="28"/>
  <c r="O72" i="28"/>
  <c r="O78" i="28"/>
  <c r="L90" i="28"/>
  <c r="P111" i="28"/>
  <c r="Z7" i="28"/>
  <c r="V19" i="28"/>
  <c r="V25" i="28"/>
  <c r="AA30" i="28"/>
  <c r="N42" i="28"/>
  <c r="Y59" i="28"/>
  <c r="J70" i="28"/>
  <c r="P72" i="28"/>
  <c r="P78" i="28"/>
  <c r="S113" i="28"/>
  <c r="AA7" i="28"/>
  <c r="M13" i="28"/>
  <c r="W19" i="28"/>
  <c r="W25" i="28"/>
  <c r="Y37" i="28"/>
  <c r="P42" i="28"/>
  <c r="O109" i="28"/>
  <c r="T113" i="28"/>
  <c r="AB7" i="28"/>
  <c r="AA10" i="28"/>
  <c r="X19" i="28"/>
  <c r="AB37" i="28"/>
  <c r="M45" i="28"/>
  <c r="Z47" i="28"/>
  <c r="AA59" i="28"/>
  <c r="M70" i="28"/>
  <c r="R78" i="28"/>
  <c r="AA82" i="28"/>
  <c r="P82" i="28"/>
  <c r="Z82" i="28"/>
  <c r="Y82" i="28"/>
  <c r="X90" i="28"/>
  <c r="J94" i="28"/>
  <c r="R97" i="28"/>
  <c r="P109" i="28"/>
  <c r="T111" i="28"/>
  <c r="AB10" i="28"/>
  <c r="O13" i="28"/>
  <c r="V34" i="28"/>
  <c r="AB34" i="28"/>
  <c r="W34" i="28"/>
  <c r="AB59" i="28"/>
  <c r="O70" i="28"/>
  <c r="T78" i="28"/>
  <c r="Y90" i="28"/>
  <c r="O94" i="28"/>
  <c r="AA97" i="28"/>
  <c r="Q109" i="28"/>
  <c r="V87" i="28"/>
  <c r="AB9" i="28"/>
  <c r="N19" i="28"/>
  <c r="O25" i="28"/>
  <c r="T30" i="28"/>
  <c r="J33" i="28"/>
  <c r="Z111" i="28"/>
  <c r="AA111" i="28"/>
  <c r="Y111" i="28"/>
  <c r="AB55" i="28"/>
  <c r="Y55" i="28"/>
  <c r="T55" i="28"/>
  <c r="AA55" i="28"/>
  <c r="P63" i="28"/>
  <c r="J111" i="28"/>
  <c r="Y85" i="28"/>
  <c r="P85" i="28"/>
  <c r="O85" i="28"/>
  <c r="Q85" i="28"/>
  <c r="L111" i="28"/>
  <c r="R25" i="28"/>
  <c r="N33" i="28"/>
  <c r="Z44" i="28"/>
  <c r="X44" i="28"/>
  <c r="Y44" i="28"/>
  <c r="U44" i="28"/>
  <c r="L44" i="28"/>
  <c r="J44" i="28"/>
  <c r="T59" i="28"/>
  <c r="S66" i="28"/>
  <c r="L72" i="28"/>
  <c r="V81" i="28"/>
  <c r="M111" i="28"/>
  <c r="O21" i="28"/>
  <c r="AB21" i="28"/>
  <c r="Y21" i="28"/>
  <c r="X21" i="28"/>
  <c r="Z21" i="28"/>
  <c r="S25" i="28"/>
  <c r="X30" i="28"/>
  <c r="O33" i="28"/>
  <c r="N37" i="28"/>
  <c r="J55" i="28"/>
  <c r="U59" i="28"/>
  <c r="M72" i="28"/>
  <c r="M78" i="28"/>
  <c r="W81" i="28"/>
  <c r="P113" i="28"/>
  <c r="V21" i="28"/>
  <c r="O111" i="28"/>
  <c r="H70" i="28"/>
  <c r="Y81" i="28"/>
  <c r="L109" i="28"/>
  <c r="R113" i="28"/>
  <c r="P10" i="28"/>
  <c r="AB33" i="28"/>
  <c r="X37" i="28"/>
  <c r="O47" i="28"/>
  <c r="X45" i="28"/>
  <c r="V45" i="28"/>
  <c r="Z59" i="28"/>
  <c r="L70" i="28"/>
  <c r="Q72" i="28"/>
  <c r="Q78" i="28"/>
  <c r="O90" i="28"/>
  <c r="Y8" i="28"/>
  <c r="Q8" i="28"/>
  <c r="W8" i="28"/>
  <c r="U8" i="28"/>
  <c r="T8" i="28"/>
  <c r="R8" i="28"/>
  <c r="S8" i="28"/>
  <c r="P13" i="28"/>
  <c r="AB38" i="28"/>
  <c r="O45" i="28"/>
  <c r="P70" i="28"/>
  <c r="Z90" i="28"/>
  <c r="R109" i="28"/>
  <c r="V111" i="28"/>
  <c r="AB78" i="28"/>
  <c r="Y78" i="28"/>
  <c r="AA78" i="28"/>
  <c r="Z78" i="28"/>
  <c r="L85" i="28"/>
  <c r="Z97" i="28"/>
  <c r="Y97" i="28"/>
  <c r="X97" i="28"/>
  <c r="W97" i="28"/>
  <c r="V97" i="28"/>
  <c r="S97" i="28"/>
  <c r="U97" i="28"/>
  <c r="T97" i="28"/>
  <c r="N111" i="28"/>
  <c r="T25" i="28"/>
  <c r="N78" i="28"/>
  <c r="X42" i="28"/>
  <c r="S42" i="28"/>
  <c r="W42" i="28"/>
  <c r="V42" i="28"/>
  <c r="R55" i="28"/>
  <c r="L13" i="28"/>
  <c r="P97" i="28"/>
  <c r="M109" i="28"/>
  <c r="Q111" i="28"/>
  <c r="X47" i="28"/>
  <c r="Z94" i="28"/>
  <c r="AB94" i="28"/>
  <c r="AA94" i="28"/>
  <c r="Q97" i="28"/>
  <c r="S111" i="28"/>
  <c r="N13" i="28"/>
  <c r="X25" i="28"/>
  <c r="Q13" i="28"/>
  <c r="AB32" i="28"/>
  <c r="P32" i="28"/>
  <c r="N32" i="28"/>
  <c r="O32" i="28"/>
  <c r="M32" i="28"/>
  <c r="H32" i="28"/>
  <c r="L32" i="28"/>
  <c r="J32" i="28"/>
  <c r="N38" i="28"/>
  <c r="AB40" i="28"/>
  <c r="AA40" i="28"/>
  <c r="U40" i="28"/>
  <c r="Z40" i="28"/>
  <c r="O40" i="28"/>
  <c r="S40" i="28"/>
  <c r="R40" i="28"/>
  <c r="P40" i="28"/>
  <c r="P45" i="28"/>
  <c r="S48" i="28"/>
  <c r="AB48" i="28"/>
  <c r="T62" i="28"/>
  <c r="S62" i="28"/>
  <c r="R62" i="28"/>
  <c r="Q62" i="28"/>
  <c r="N62" i="28"/>
  <c r="H62" i="28"/>
  <c r="P62" i="28"/>
  <c r="W78" i="28"/>
  <c r="R94" i="28"/>
  <c r="W111" i="28"/>
  <c r="R89" i="28"/>
  <c r="P89" i="28"/>
  <c r="O89" i="28"/>
  <c r="M89" i="28"/>
  <c r="L89" i="28"/>
  <c r="AA98" i="28"/>
  <c r="AB98" i="28"/>
  <c r="Z12" i="28"/>
  <c r="S12" i="28"/>
  <c r="Y12" i="28"/>
  <c r="X12" i="28"/>
  <c r="W12" i="28"/>
  <c r="T12" i="28"/>
  <c r="U12" i="28"/>
  <c r="R92" i="28"/>
  <c r="AB92" i="28"/>
  <c r="V92" i="28"/>
  <c r="U92" i="28"/>
  <c r="T92" i="28"/>
  <c r="P92" i="28"/>
  <c r="S92" i="28"/>
  <c r="Q92" i="28"/>
  <c r="T98" i="28"/>
  <c r="M12" i="28"/>
  <c r="V89" i="28"/>
  <c r="N12" i="28"/>
  <c r="L19" i="28"/>
  <c r="Z10" i="28"/>
  <c r="X10" i="28"/>
  <c r="W10" i="28"/>
  <c r="V10" i="28"/>
  <c r="T10" i="28"/>
  <c r="R10" i="28"/>
  <c r="U10" i="28"/>
  <c r="AA12" i="28"/>
  <c r="P19" i="28"/>
  <c r="Q25" i="28"/>
  <c r="V30" i="28"/>
  <c r="M33" i="28"/>
  <c r="L37" i="28"/>
  <c r="O41" i="28"/>
  <c r="U66" i="28"/>
  <c r="V66" i="28"/>
  <c r="Z69" i="28"/>
  <c r="AA90" i="28"/>
  <c r="W90" i="28"/>
  <c r="V90" i="28"/>
  <c r="U90" i="28"/>
  <c r="T90" i="28"/>
  <c r="P90" i="28"/>
  <c r="R90" i="28"/>
  <c r="Q90" i="28"/>
  <c r="Z98" i="28"/>
  <c r="M113" i="28"/>
  <c r="J10" i="28"/>
  <c r="AB12" i="28"/>
  <c r="R19" i="28"/>
  <c r="W30" i="28"/>
  <c r="M37" i="28"/>
  <c r="AA69" i="28"/>
  <c r="S19" i="28"/>
  <c r="AA109" i="28"/>
  <c r="Y109" i="28"/>
  <c r="X109" i="28"/>
  <c r="W109" i="28"/>
  <c r="Z109" i="28"/>
  <c r="N10" i="28"/>
  <c r="P33" i="28"/>
  <c r="Y70" i="28"/>
  <c r="X70" i="28"/>
  <c r="T70" i="28"/>
  <c r="W70" i="28"/>
  <c r="U70" i="28"/>
  <c r="N72" i="28"/>
  <c r="X81" i="28"/>
  <c r="M97" i="28"/>
  <c r="Q113" i="28"/>
  <c r="O10" i="28"/>
  <c r="R13" i="28"/>
  <c r="J24" i="28"/>
  <c r="AB24" i="28"/>
  <c r="AA24" i="28"/>
  <c r="Z24" i="28"/>
  <c r="Y24" i="28"/>
  <c r="X24" i="28"/>
  <c r="W24" i="28"/>
  <c r="R24" i="28"/>
  <c r="AB36" i="28"/>
  <c r="R36" i="28"/>
  <c r="O36" i="28"/>
  <c r="P36" i="28"/>
  <c r="N36" i="28"/>
  <c r="M36" i="28"/>
  <c r="L36" i="28"/>
  <c r="J36" i="28"/>
  <c r="Q45" i="28"/>
  <c r="R70" i="28"/>
  <c r="AB74" i="28"/>
  <c r="Y74" i="28"/>
  <c r="U74" i="28"/>
  <c r="X74" i="28"/>
  <c r="W74" i="28"/>
  <c r="X78" i="28"/>
  <c r="T94" i="28"/>
  <c r="T109" i="28"/>
  <c r="J27" i="28"/>
  <c r="U50" i="28"/>
  <c r="J23" i="28"/>
  <c r="L27" i="28"/>
  <c r="AA50" i="28"/>
  <c r="J20" i="28"/>
  <c r="O23" i="28"/>
  <c r="O27" i="28"/>
  <c r="O46" i="28"/>
  <c r="AB50" i="28"/>
  <c r="P23" i="28"/>
  <c r="R23" i="28"/>
  <c r="J26" i="28"/>
  <c r="R27" i="28"/>
  <c r="J35" i="28"/>
  <c r="T67" i="28"/>
  <c r="N88" i="28"/>
  <c r="L104" i="28"/>
  <c r="P27" i="28"/>
  <c r="Q20" i="28"/>
  <c r="M22" i="28"/>
  <c r="S23" i="28"/>
  <c r="P26" i="28"/>
  <c r="N49" i="28"/>
  <c r="J61" i="28"/>
  <c r="N84" i="28"/>
  <c r="S105" i="28"/>
  <c r="X75" i="28"/>
  <c r="W75" i="28"/>
  <c r="R75" i="28"/>
  <c r="Q75" i="28"/>
  <c r="P75" i="28"/>
  <c r="O75" i="28"/>
  <c r="N75" i="28"/>
  <c r="AB75" i="28"/>
  <c r="Z75" i="28"/>
  <c r="Y75" i="28"/>
  <c r="V75" i="28"/>
  <c r="U75" i="28"/>
  <c r="T75" i="28"/>
  <c r="AA75" i="28"/>
  <c r="S75" i="28"/>
  <c r="L18" i="28"/>
  <c r="U18" i="28"/>
  <c r="T18" i="28"/>
  <c r="S18" i="28"/>
  <c r="M18" i="28"/>
  <c r="X18" i="28"/>
  <c r="W18" i="28"/>
  <c r="P18" i="28"/>
  <c r="O18" i="28"/>
  <c r="V18" i="28"/>
  <c r="Q18" i="28"/>
  <c r="J18" i="28"/>
  <c r="R18" i="28"/>
  <c r="N18" i="28"/>
  <c r="AB101" i="28"/>
  <c r="W101" i="28"/>
  <c r="V101" i="28"/>
  <c r="U101" i="28"/>
  <c r="T101" i="28"/>
  <c r="Y101" i="28"/>
  <c r="S101" i="28"/>
  <c r="AA101" i="28"/>
  <c r="Z101" i="28"/>
  <c r="X101" i="28"/>
  <c r="AA18" i="28"/>
  <c r="AB18" i="28"/>
  <c r="J28" i="28"/>
  <c r="AB41" i="28"/>
  <c r="AA41" i="28"/>
  <c r="L41" i="28"/>
  <c r="J41" i="28"/>
  <c r="U41" i="28"/>
  <c r="T41" i="28"/>
  <c r="S41" i="28"/>
  <c r="R41" i="28"/>
  <c r="Q41" i="28"/>
  <c r="Z41" i="28"/>
  <c r="X41" i="28"/>
  <c r="Y41" i="28"/>
  <c r="J17" i="28"/>
  <c r="M41" i="28"/>
  <c r="S110" i="28"/>
  <c r="M110" i="28"/>
  <c r="T110" i="28"/>
  <c r="R110" i="28"/>
  <c r="Q110" i="28"/>
  <c r="P110" i="28"/>
  <c r="O110" i="28"/>
  <c r="AB110" i="28"/>
  <c r="AA110" i="28"/>
  <c r="Z110" i="28"/>
  <c r="Y110" i="28"/>
  <c r="L110" i="28"/>
  <c r="X110" i="28"/>
  <c r="W110" i="28"/>
  <c r="V110" i="28"/>
  <c r="U110" i="28"/>
  <c r="N110" i="28"/>
  <c r="M75" i="28"/>
  <c r="V28" i="28"/>
  <c r="S28" i="28"/>
  <c r="X28" i="28"/>
  <c r="U28" i="28"/>
  <c r="T28" i="28"/>
  <c r="R28" i="28"/>
  <c r="P28" i="28"/>
  <c r="AB28" i="28"/>
  <c r="AA28" i="28"/>
  <c r="Y28" i="28"/>
  <c r="W28" i="28"/>
  <c r="Z28" i="28"/>
  <c r="Q28" i="28"/>
  <c r="W64" i="28"/>
  <c r="Q15" i="28"/>
  <c r="U15" i="28"/>
  <c r="S15" i="28"/>
  <c r="L15" i="28"/>
  <c r="Y15" i="28"/>
  <c r="X15" i="28"/>
  <c r="P15" i="28"/>
  <c r="T15" i="28"/>
  <c r="O15" i="28"/>
  <c r="W15" i="28"/>
  <c r="R15" i="28"/>
  <c r="N15" i="28"/>
  <c r="V15" i="28"/>
  <c r="M15" i="28"/>
  <c r="Q17" i="28"/>
  <c r="O28" i="28"/>
  <c r="Q31" i="28"/>
  <c r="N31" i="28"/>
  <c r="P31" i="28"/>
  <c r="O31" i="28"/>
  <c r="M31" i="28"/>
  <c r="AB31" i="28"/>
  <c r="U31" i="28"/>
  <c r="AA31" i="28"/>
  <c r="W31" i="28"/>
  <c r="R31" i="28"/>
  <c r="Z31" i="28"/>
  <c r="X31" i="28"/>
  <c r="V31" i="28"/>
  <c r="T31" i="28"/>
  <c r="Y31" i="28"/>
  <c r="S31" i="28"/>
  <c r="P41" i="28"/>
  <c r="X64" i="28"/>
  <c r="J75" i="28"/>
  <c r="L75" i="28"/>
  <c r="Z18" i="28"/>
  <c r="Q11" i="28"/>
  <c r="J11" i="28"/>
  <c r="Z11" i="28"/>
  <c r="T11" i="28"/>
  <c r="M11" i="28"/>
  <c r="S11" i="28"/>
  <c r="N11" i="28"/>
  <c r="R11" i="28"/>
  <c r="P11" i="28"/>
  <c r="O11" i="28"/>
  <c r="L11" i="28"/>
  <c r="M28" i="28"/>
  <c r="P17" i="28"/>
  <c r="V9" i="28"/>
  <c r="H7" i="28"/>
  <c r="W9" i="28"/>
  <c r="W11" i="28"/>
  <c r="J7" i="28"/>
  <c r="X9" i="28"/>
  <c r="X11" i="28"/>
  <c r="M42" i="28"/>
  <c r="L42" i="28"/>
  <c r="U42" i="28"/>
  <c r="T42" i="28"/>
  <c r="R42" i="28"/>
  <c r="J42" i="28"/>
  <c r="AA42" i="28"/>
  <c r="Y42" i="28"/>
  <c r="AB42" i="28"/>
  <c r="Z42" i="28"/>
  <c r="AA29" i="28"/>
  <c r="X29" i="28"/>
  <c r="S29" i="28"/>
  <c r="R29" i="28"/>
  <c r="Q29" i="28"/>
  <c r="J29" i="28"/>
  <c r="V29" i="28"/>
  <c r="O29" i="28"/>
  <c r="M29" i="28"/>
  <c r="U29" i="28"/>
  <c r="N29" i="28"/>
  <c r="L29" i="28"/>
  <c r="T29" i="28"/>
  <c r="P29" i="28"/>
  <c r="W29" i="28"/>
  <c r="Z29" i="28"/>
  <c r="AA17" i="28"/>
  <c r="N17" i="28"/>
  <c r="M17" i="28"/>
  <c r="L17" i="28"/>
  <c r="Z17" i="28"/>
  <c r="W17" i="28"/>
  <c r="Y17" i="28"/>
  <c r="X17" i="28"/>
  <c r="U17" i="28"/>
  <c r="AB17" i="28"/>
  <c r="V17" i="28"/>
  <c r="T17" i="28"/>
  <c r="N28" i="28"/>
  <c r="AA5" i="28"/>
  <c r="J5" i="28"/>
  <c r="AB5" i="28"/>
  <c r="Z5" i="28"/>
  <c r="W5" i="28"/>
  <c r="V5" i="28"/>
  <c r="U5" i="28"/>
  <c r="Y5" i="28"/>
  <c r="X5" i="28"/>
  <c r="T5" i="28"/>
  <c r="S5" i="28"/>
  <c r="R5" i="28"/>
  <c r="J15" i="28"/>
  <c r="W80" i="28"/>
  <c r="X80" i="28"/>
  <c r="AB80" i="28"/>
  <c r="S80" i="28"/>
  <c r="O80" i="28"/>
  <c r="N80" i="28"/>
  <c r="Q80" i="28"/>
  <c r="P80" i="28"/>
  <c r="V80" i="28"/>
  <c r="Z80" i="28"/>
  <c r="AA80" i="28"/>
  <c r="Y80" i="28"/>
  <c r="U80" i="28"/>
  <c r="W100" i="28"/>
  <c r="N100" i="28"/>
  <c r="M100" i="28"/>
  <c r="L100" i="28"/>
  <c r="V100" i="28"/>
  <c r="U100" i="28"/>
  <c r="T100" i="28"/>
  <c r="S100" i="28"/>
  <c r="AB100" i="28"/>
  <c r="AA100" i="28"/>
  <c r="Z100" i="28"/>
  <c r="Y100" i="28"/>
  <c r="X100" i="28"/>
  <c r="R100" i="28"/>
  <c r="Q100" i="28"/>
  <c r="P100" i="28"/>
  <c r="Y18" i="28"/>
  <c r="AB29" i="28"/>
  <c r="AA9" i="28"/>
  <c r="R9" i="28"/>
  <c r="U9" i="28"/>
  <c r="N9" i="28"/>
  <c r="T9" i="28"/>
  <c r="S9" i="28"/>
  <c r="P9" i="28"/>
  <c r="O9" i="28"/>
  <c r="L9" i="28"/>
  <c r="Q9" i="28"/>
  <c r="M9" i="28"/>
  <c r="J9" i="28"/>
  <c r="O17" i="28"/>
  <c r="R64" i="28"/>
  <c r="N64" i="28"/>
  <c r="J64" i="28"/>
  <c r="U64" i="28"/>
  <c r="T64" i="28"/>
  <c r="S64" i="28"/>
  <c r="Q64" i="28"/>
  <c r="P64" i="28"/>
  <c r="V64" i="28"/>
  <c r="O64" i="28"/>
  <c r="M64" i="28"/>
  <c r="L64" i="28"/>
  <c r="AB64" i="28"/>
  <c r="AA64" i="28"/>
  <c r="Z64" i="28"/>
  <c r="Q7" i="28"/>
  <c r="Y7" i="28"/>
  <c r="X7" i="28"/>
  <c r="W7" i="28"/>
  <c r="R7" i="28"/>
  <c r="O7" i="28"/>
  <c r="V7" i="28"/>
  <c r="T7" i="28"/>
  <c r="S7" i="28"/>
  <c r="U7" i="28"/>
  <c r="P7" i="28"/>
  <c r="N7" i="28"/>
  <c r="U11" i="28"/>
  <c r="V11" i="28"/>
  <c r="S17" i="28"/>
  <c r="Y11" i="28"/>
  <c r="L31" i="28"/>
  <c r="M7" i="28"/>
  <c r="Z9" i="28"/>
  <c r="AA11" i="28"/>
  <c r="Z15" i="28"/>
  <c r="O42" i="28"/>
  <c r="R80" i="28"/>
  <c r="AB63" i="28"/>
  <c r="X63" i="28"/>
  <c r="V63" i="28"/>
  <c r="U63" i="28"/>
  <c r="T63" i="28"/>
  <c r="AA63" i="28"/>
  <c r="Z63" i="28"/>
  <c r="Y63" i="28"/>
  <c r="W63" i="28"/>
  <c r="O63" i="28"/>
  <c r="N63" i="28"/>
  <c r="AA6" i="28"/>
  <c r="X8" i="28"/>
  <c r="X67" i="28"/>
  <c r="N67" i="28"/>
  <c r="P67" i="28"/>
  <c r="S67" i="28"/>
  <c r="Q67" i="28"/>
  <c r="O67" i="28"/>
  <c r="M67" i="28"/>
  <c r="Z67" i="28"/>
  <c r="Y67" i="28"/>
  <c r="W67" i="28"/>
  <c r="V67" i="28"/>
  <c r="U67" i="28"/>
  <c r="R67" i="28"/>
  <c r="L67" i="28"/>
  <c r="J67" i="28"/>
  <c r="AB6" i="28"/>
  <c r="AB52" i="28"/>
  <c r="Y52" i="28"/>
  <c r="W52" i="28"/>
  <c r="V52" i="28"/>
  <c r="U52" i="28"/>
  <c r="R52" i="28"/>
  <c r="Q52" i="28"/>
  <c r="P52" i="28"/>
  <c r="O52" i="28"/>
  <c r="N52" i="28"/>
  <c r="M52" i="28"/>
  <c r="L52" i="28"/>
  <c r="J52" i="28"/>
  <c r="X79" i="28"/>
  <c r="O79" i="28"/>
  <c r="Q79" i="28"/>
  <c r="Y79" i="28"/>
  <c r="W79" i="28"/>
  <c r="V79" i="28"/>
  <c r="U79" i="28"/>
  <c r="T79" i="28"/>
  <c r="N79" i="28"/>
  <c r="AB79" i="28"/>
  <c r="AA79" i="28"/>
  <c r="Z79" i="28"/>
  <c r="M46" i="28"/>
  <c r="L46" i="28"/>
  <c r="J46" i="28"/>
  <c r="Q46" i="28"/>
  <c r="P46" i="28"/>
  <c r="N46" i="28"/>
  <c r="AB46" i="28"/>
  <c r="AA46" i="28"/>
  <c r="Z46" i="28"/>
  <c r="Y46" i="28"/>
  <c r="T46" i="28"/>
  <c r="R48" i="28"/>
  <c r="T52" i="28"/>
  <c r="AB60" i="28"/>
  <c r="S60" i="28"/>
  <c r="Q60" i="28"/>
  <c r="P60" i="28"/>
  <c r="O60" i="28"/>
  <c r="X60" i="28"/>
  <c r="W60" i="28"/>
  <c r="V60" i="28"/>
  <c r="U60" i="28"/>
  <c r="T60" i="28"/>
  <c r="Z60" i="28"/>
  <c r="Y60" i="28"/>
  <c r="R60" i="28"/>
  <c r="N60" i="28"/>
  <c r="M60" i="28"/>
  <c r="S63" i="28"/>
  <c r="W108" i="28"/>
  <c r="V108" i="28"/>
  <c r="U108" i="28"/>
  <c r="T108" i="28"/>
  <c r="S108" i="28"/>
  <c r="M108" i="28"/>
  <c r="L108" i="28"/>
  <c r="AB108" i="28"/>
  <c r="AA108" i="28"/>
  <c r="Z108" i="28"/>
  <c r="Y108" i="28"/>
  <c r="X108" i="28"/>
  <c r="Q108" i="28"/>
  <c r="R43" i="28"/>
  <c r="Q43" i="28"/>
  <c r="AA43" i="28"/>
  <c r="AB43" i="28"/>
  <c r="Z43" i="28"/>
  <c r="Y43" i="28"/>
  <c r="X43" i="28"/>
  <c r="S43" i="28"/>
  <c r="X52" i="28"/>
  <c r="X73" i="28"/>
  <c r="P79" i="28"/>
  <c r="R81" i="28"/>
  <c r="AA21" i="28"/>
  <c r="U21" i="28"/>
  <c r="T21" i="28"/>
  <c r="S21" i="28"/>
  <c r="M21" i="28"/>
  <c r="L6" i="28"/>
  <c r="R6" i="28"/>
  <c r="W48" i="28"/>
  <c r="V48" i="28"/>
  <c r="U48" i="28"/>
  <c r="P48" i="28"/>
  <c r="O48" i="28"/>
  <c r="M48" i="28"/>
  <c r="Q48" i="28"/>
  <c r="N48" i="28"/>
  <c r="L48" i="28"/>
  <c r="J48" i="28"/>
  <c r="X103" i="28"/>
  <c r="R103" i="28"/>
  <c r="T103" i="28"/>
  <c r="S103" i="28"/>
  <c r="Q103" i="28"/>
  <c r="P103" i="28"/>
  <c r="AB103" i="28"/>
  <c r="AA103" i="28"/>
  <c r="Z103" i="28"/>
  <c r="Y103" i="28"/>
  <c r="M103" i="28"/>
  <c r="W103" i="28"/>
  <c r="V103" i="28"/>
  <c r="U103" i="28"/>
  <c r="R58" i="28"/>
  <c r="Z58" i="28"/>
  <c r="X58" i="28"/>
  <c r="W58" i="28"/>
  <c r="V58" i="28"/>
  <c r="P58" i="28"/>
  <c r="O58" i="28"/>
  <c r="N58" i="28"/>
  <c r="M58" i="28"/>
  <c r="L58" i="28"/>
  <c r="U58" i="28"/>
  <c r="X91" i="28"/>
  <c r="R91" i="28"/>
  <c r="Q91" i="28"/>
  <c r="P91" i="28"/>
  <c r="O91" i="28"/>
  <c r="N91" i="28"/>
  <c r="AA91" i="28"/>
  <c r="Z91" i="28"/>
  <c r="Y91" i="28"/>
  <c r="W91" i="28"/>
  <c r="V91" i="28"/>
  <c r="U91" i="28"/>
  <c r="T91" i="28"/>
  <c r="S91" i="28"/>
  <c r="M91" i="28"/>
  <c r="L91" i="28"/>
  <c r="J91" i="28"/>
  <c r="AB8" i="28"/>
  <c r="L21" i="28"/>
  <c r="S52" i="28"/>
  <c r="N21" i="28"/>
  <c r="AB66" i="28"/>
  <c r="AA66" i="28"/>
  <c r="Z66" i="28"/>
  <c r="Y66" i="28"/>
  <c r="X66" i="28"/>
  <c r="W66" i="28"/>
  <c r="Q66" i="28"/>
  <c r="P66" i="28"/>
  <c r="O66" i="28"/>
  <c r="N66" i="28"/>
  <c r="M66" i="28"/>
  <c r="L14" i="28"/>
  <c r="N14" i="28"/>
  <c r="J14" i="28"/>
  <c r="Z14" i="28"/>
  <c r="Q27" i="28"/>
  <c r="N27" i="28"/>
  <c r="W27" i="28"/>
  <c r="V27" i="28"/>
  <c r="U27" i="28"/>
  <c r="M27" i="28"/>
  <c r="M6" i="28"/>
  <c r="L10" i="28"/>
  <c r="Y10" i="28"/>
  <c r="S10" i="28"/>
  <c r="V12" i="28"/>
  <c r="R12" i="28"/>
  <c r="L12" i="28"/>
  <c r="P21" i="28"/>
  <c r="Q39" i="28"/>
  <c r="P39" i="28"/>
  <c r="N39" i="28"/>
  <c r="O39" i="28"/>
  <c r="M39" i="28"/>
  <c r="L39" i="28"/>
  <c r="J39" i="28"/>
  <c r="AB39" i="28"/>
  <c r="L47" i="28"/>
  <c r="T48" i="28"/>
  <c r="Z52" i="28"/>
  <c r="M57" i="28"/>
  <c r="S57" i="28"/>
  <c r="Q57" i="28"/>
  <c r="P57" i="28"/>
  <c r="O57" i="28"/>
  <c r="Z57" i="28"/>
  <c r="Y57" i="28"/>
  <c r="X57" i="28"/>
  <c r="W57" i="28"/>
  <c r="V57" i="28"/>
  <c r="T57" i="28"/>
  <c r="J58" i="28"/>
  <c r="H60" i="28"/>
  <c r="J66" i="28"/>
  <c r="X71" i="28"/>
  <c r="U71" i="28"/>
  <c r="R71" i="28"/>
  <c r="P71" i="28"/>
  <c r="O71" i="28"/>
  <c r="N71" i="28"/>
  <c r="AB71" i="28"/>
  <c r="AA71" i="28"/>
  <c r="Z71" i="28"/>
  <c r="Y71" i="28"/>
  <c r="W71" i="28"/>
  <c r="V71" i="28"/>
  <c r="T71" i="28"/>
  <c r="S71" i="28"/>
  <c r="Q71" i="28"/>
  <c r="R79" i="28"/>
  <c r="X99" i="28"/>
  <c r="R99" i="28"/>
  <c r="AA99" i="28"/>
  <c r="Z99" i="28"/>
  <c r="Y99" i="28"/>
  <c r="W99" i="28"/>
  <c r="AB99" i="28"/>
  <c r="P99" i="28"/>
  <c r="V99" i="28"/>
  <c r="U99" i="28"/>
  <c r="T99" i="28"/>
  <c r="S99" i="28"/>
  <c r="Q99" i="28"/>
  <c r="V24" i="28"/>
  <c r="U24" i="28"/>
  <c r="T24" i="28"/>
  <c r="S24" i="28"/>
  <c r="M24" i="28"/>
  <c r="L103" i="28"/>
  <c r="M50" i="28"/>
  <c r="L50" i="28"/>
  <c r="J50" i="28"/>
  <c r="R50" i="28"/>
  <c r="Q50" i="28"/>
  <c r="P50" i="28"/>
  <c r="N50" i="28"/>
  <c r="Z50" i="28"/>
  <c r="Y50" i="28"/>
  <c r="X50" i="28"/>
  <c r="W50" i="28"/>
  <c r="V50" i="28"/>
  <c r="N73" i="28"/>
  <c r="O73" i="28"/>
  <c r="AA73" i="28"/>
  <c r="S73" i="28"/>
  <c r="Q73" i="28"/>
  <c r="P73" i="28"/>
  <c r="M73" i="28"/>
  <c r="L73" i="28"/>
  <c r="J73" i="28"/>
  <c r="W73" i="28"/>
  <c r="V73" i="28"/>
  <c r="U73" i="28"/>
  <c r="T73" i="28"/>
  <c r="R73" i="28"/>
  <c r="N81" i="28"/>
  <c r="AB81" i="28"/>
  <c r="Q81" i="28"/>
  <c r="AA81" i="28"/>
  <c r="Z81" i="28"/>
  <c r="P81" i="28"/>
  <c r="O81" i="28"/>
  <c r="N99" i="28"/>
  <c r="O103" i="28"/>
  <c r="N6" i="28"/>
  <c r="Q21" i="28"/>
  <c r="L34" i="28"/>
  <c r="J34" i="28"/>
  <c r="AA34" i="28"/>
  <c r="Z34" i="28"/>
  <c r="Y34" i="28"/>
  <c r="X34" i="28"/>
  <c r="R34" i="28"/>
  <c r="W44" i="28"/>
  <c r="V44" i="28"/>
  <c r="Q44" i="28"/>
  <c r="P44" i="28"/>
  <c r="N44" i="28"/>
  <c r="T44" i="28"/>
  <c r="S44" i="28"/>
  <c r="R44" i="28"/>
  <c r="O44" i="28"/>
  <c r="M44" i="28"/>
  <c r="X48" i="28"/>
  <c r="S50" i="28"/>
  <c r="AA52" i="28"/>
  <c r="Q58" i="28"/>
  <c r="J60" i="28"/>
  <c r="Z73" i="28"/>
  <c r="S79" i="28"/>
  <c r="T81" i="28"/>
  <c r="N108" i="28"/>
  <c r="R47" i="28"/>
  <c r="Q47" i="28"/>
  <c r="P47" i="28"/>
  <c r="AB47" i="28"/>
  <c r="AA47" i="28"/>
  <c r="Y47" i="28"/>
  <c r="W47" i="28"/>
  <c r="V47" i="28"/>
  <c r="U47" i="28"/>
  <c r="T47" i="28"/>
  <c r="S47" i="28"/>
  <c r="J47" i="28"/>
  <c r="M99" i="28"/>
  <c r="N103" i="28"/>
  <c r="V8" i="28"/>
  <c r="J8" i="28"/>
  <c r="L38" i="28"/>
  <c r="J38" i="28"/>
  <c r="Z38" i="28"/>
  <c r="Y38" i="28"/>
  <c r="X38" i="28"/>
  <c r="W38" i="28"/>
  <c r="V38" i="28"/>
  <c r="Q38" i="28"/>
  <c r="L24" i="28"/>
  <c r="L66" i="28"/>
  <c r="O6" i="28"/>
  <c r="L8" i="28"/>
  <c r="R21" i="28"/>
  <c r="N24" i="28"/>
  <c r="M38" i="28"/>
  <c r="N47" i="28"/>
  <c r="Y48" i="28"/>
  <c r="T50" i="28"/>
  <c r="S58" i="28"/>
  <c r="L60" i="28"/>
  <c r="R66" i="28"/>
  <c r="AB73" i="28"/>
  <c r="N77" i="28"/>
  <c r="V77" i="28"/>
  <c r="T77" i="28"/>
  <c r="L77" i="28"/>
  <c r="W77" i="28"/>
  <c r="U77" i="28"/>
  <c r="S77" i="28"/>
  <c r="R77" i="28"/>
  <c r="Q77" i="28"/>
  <c r="AA77" i="28"/>
  <c r="Z77" i="28"/>
  <c r="Y77" i="28"/>
  <c r="X77" i="28"/>
  <c r="P77" i="28"/>
  <c r="AB77" i="28"/>
  <c r="O77" i="28"/>
  <c r="M77" i="28"/>
  <c r="U81" i="28"/>
  <c r="N93" i="28"/>
  <c r="AB93" i="28"/>
  <c r="O93" i="28"/>
  <c r="M93" i="28"/>
  <c r="L93" i="28"/>
  <c r="J93" i="28"/>
  <c r="X93" i="28"/>
  <c r="V93" i="28"/>
  <c r="U93" i="28"/>
  <c r="W93" i="28"/>
  <c r="T93" i="28"/>
  <c r="S93" i="28"/>
  <c r="R93" i="28"/>
  <c r="Q93" i="28"/>
  <c r="AA93" i="28"/>
  <c r="Z93" i="28"/>
  <c r="Y93" i="28"/>
  <c r="O108" i="28"/>
  <c r="S13" i="28"/>
  <c r="S16" i="28"/>
  <c r="AA20" i="28"/>
  <c r="AA23" i="28"/>
  <c r="AA26" i="28"/>
  <c r="Q32" i="28"/>
  <c r="Q35" i="28"/>
  <c r="P35" i="28"/>
  <c r="N35" i="28"/>
  <c r="Q36" i="28"/>
  <c r="Q40" i="28"/>
  <c r="U68" i="28"/>
  <c r="Y68" i="28"/>
  <c r="AB68" i="28"/>
  <c r="AA68" i="28"/>
  <c r="Z68" i="28"/>
  <c r="R68" i="28"/>
  <c r="Q68" i="28"/>
  <c r="P68" i="28"/>
  <c r="O68" i="28"/>
  <c r="N68" i="28"/>
  <c r="AB45" i="28"/>
  <c r="AA45" i="28"/>
  <c r="Z45" i="28"/>
  <c r="Y45" i="28"/>
  <c r="W45" i="28"/>
  <c r="S114" i="28"/>
  <c r="O114" i="28"/>
  <c r="M114" i="28"/>
  <c r="AB114" i="28"/>
  <c r="AA114" i="28"/>
  <c r="U114" i="28"/>
  <c r="Z114" i="28"/>
  <c r="Y114" i="28"/>
  <c r="X114" i="28"/>
  <c r="W114" i="28"/>
  <c r="V114" i="28"/>
  <c r="T114" i="28"/>
  <c r="R114" i="28"/>
  <c r="Q114" i="28"/>
  <c r="Z16" i="28"/>
  <c r="Z19" i="28"/>
  <c r="L20" i="28"/>
  <c r="L23" i="28"/>
  <c r="M26" i="28"/>
  <c r="Z32" i="28"/>
  <c r="L35" i="28"/>
  <c r="Z36" i="28"/>
  <c r="S68" i="28"/>
  <c r="S82" i="28"/>
  <c r="M82" i="28"/>
  <c r="U82" i="28"/>
  <c r="AB82" i="28"/>
  <c r="T82" i="28"/>
  <c r="X82" i="28"/>
  <c r="W82" i="28"/>
  <c r="V82" i="28"/>
  <c r="R82" i="28"/>
  <c r="Q82" i="28"/>
  <c r="X107" i="28"/>
  <c r="R107" i="28"/>
  <c r="M107" i="28"/>
  <c r="L107" i="28"/>
  <c r="J107" i="28"/>
  <c r="U107" i="28"/>
  <c r="T107" i="28"/>
  <c r="S107" i="28"/>
  <c r="Q107" i="28"/>
  <c r="AA107" i="28"/>
  <c r="Z107" i="28"/>
  <c r="Y107" i="28"/>
  <c r="W107" i="28"/>
  <c r="V107" i="28"/>
  <c r="AB107" i="28"/>
  <c r="P107" i="28"/>
  <c r="O107" i="28"/>
  <c r="N107" i="28"/>
  <c r="AA16" i="28"/>
  <c r="AA19" i="28"/>
  <c r="M20" i="28"/>
  <c r="AA22" i="28"/>
  <c r="M23" i="28"/>
  <c r="AA25" i="28"/>
  <c r="AB25" i="28"/>
  <c r="N26" i="28"/>
  <c r="AA32" i="28"/>
  <c r="M35" i="28"/>
  <c r="AA36" i="28"/>
  <c r="R54" i="28"/>
  <c r="S54" i="28"/>
  <c r="P54" i="28"/>
  <c r="O54" i="28"/>
  <c r="N54" i="28"/>
  <c r="AA54" i="28"/>
  <c r="Z54" i="28"/>
  <c r="Y54" i="28"/>
  <c r="X54" i="28"/>
  <c r="W54" i="28"/>
  <c r="W55" i="28"/>
  <c r="Z55" i="28"/>
  <c r="X55" i="28"/>
  <c r="V55" i="28"/>
  <c r="U55" i="28"/>
  <c r="Q55" i="28"/>
  <c r="P55" i="28"/>
  <c r="O55" i="28"/>
  <c r="N55" i="28"/>
  <c r="M55" i="28"/>
  <c r="T68" i="28"/>
  <c r="N114" i="28"/>
  <c r="AA13" i="28"/>
  <c r="AB13" i="28"/>
  <c r="AB16" i="28"/>
  <c r="AB19" i="28"/>
  <c r="N20" i="28"/>
  <c r="AB22" i="28"/>
  <c r="N23" i="28"/>
  <c r="O26" i="28"/>
  <c r="L30" i="28"/>
  <c r="AB30" i="28"/>
  <c r="O35" i="28"/>
  <c r="J45" i="28"/>
  <c r="V68" i="28"/>
  <c r="N82" i="28"/>
  <c r="P114" i="28"/>
  <c r="V32" i="28"/>
  <c r="U32" i="28"/>
  <c r="S32" i="28"/>
  <c r="V36" i="28"/>
  <c r="U36" i="28"/>
  <c r="S36" i="28"/>
  <c r="W40" i="28"/>
  <c r="V40" i="28"/>
  <c r="Y40" i="28"/>
  <c r="X40" i="28"/>
  <c r="T40" i="28"/>
  <c r="L45" i="28"/>
  <c r="O82" i="28"/>
  <c r="X33" i="28"/>
  <c r="Y51" i="28"/>
  <c r="W65" i="28"/>
  <c r="U65" i="28"/>
  <c r="T65" i="28"/>
  <c r="R65" i="28"/>
  <c r="Q65" i="28"/>
  <c r="P65" i="28"/>
  <c r="N69" i="28"/>
  <c r="AB69" i="28"/>
  <c r="L69" i="28"/>
  <c r="S69" i="28"/>
  <c r="Q69" i="28"/>
  <c r="P69" i="28"/>
  <c r="O69" i="28"/>
  <c r="X87" i="28"/>
  <c r="R87" i="28"/>
  <c r="Y87" i="28"/>
  <c r="W87" i="28"/>
  <c r="Z87" i="28"/>
  <c r="U87" i="28"/>
  <c r="T87" i="28"/>
  <c r="M87" i="28"/>
  <c r="L87" i="28"/>
  <c r="Z33" i="28"/>
  <c r="Z37" i="28"/>
  <c r="AA51" i="28"/>
  <c r="M53" i="28"/>
  <c r="J53" i="28"/>
  <c r="AB53" i="28"/>
  <c r="S70" i="28"/>
  <c r="N70" i="28"/>
  <c r="V70" i="28"/>
  <c r="AB70" i="28"/>
  <c r="AA70" i="28"/>
  <c r="Z70" i="28"/>
  <c r="X83" i="28"/>
  <c r="R83" i="28"/>
  <c r="P83" i="28"/>
  <c r="N83" i="28"/>
  <c r="M83" i="28"/>
  <c r="L83" i="28"/>
  <c r="AB56" i="28"/>
  <c r="L56" i="28"/>
  <c r="W59" i="28"/>
  <c r="L59" i="28"/>
  <c r="H69" i="28"/>
  <c r="N87" i="28"/>
  <c r="R51" i="28"/>
  <c r="Q51" i="28"/>
  <c r="P51" i="28"/>
  <c r="AB62" i="28"/>
  <c r="U62" i="28"/>
  <c r="O62" i="28"/>
  <c r="M62" i="28"/>
  <c r="L62" i="28"/>
  <c r="J62" i="28"/>
  <c r="J69" i="28"/>
  <c r="N85" i="28"/>
  <c r="AB85" i="28"/>
  <c r="AA85" i="28"/>
  <c r="Z85" i="28"/>
  <c r="T85" i="28"/>
  <c r="R85" i="28"/>
  <c r="X85" i="28"/>
  <c r="W85" i="28"/>
  <c r="V85" i="28"/>
  <c r="U85" i="28"/>
  <c r="S85" i="28"/>
  <c r="S86" i="28"/>
  <c r="M86" i="28"/>
  <c r="O86" i="28"/>
  <c r="N86" i="28"/>
  <c r="X86" i="28"/>
  <c r="T86" i="28"/>
  <c r="R86" i="28"/>
  <c r="Q86" i="28"/>
  <c r="P86" i="28"/>
  <c r="L86" i="28"/>
  <c r="O87" i="28"/>
  <c r="Z49" i="28"/>
  <c r="X61" i="28"/>
  <c r="Z74" i="28"/>
  <c r="S78" i="28"/>
  <c r="V78" i="28"/>
  <c r="AA49" i="28"/>
  <c r="Y61" i="28"/>
  <c r="Z72" i="28"/>
  <c r="AA74" i="28"/>
  <c r="W96" i="28"/>
  <c r="T96" i="28"/>
  <c r="S96" i="28"/>
  <c r="R96" i="28"/>
  <c r="Q96" i="28"/>
  <c r="AB96" i="28"/>
  <c r="Z96" i="28"/>
  <c r="Y96" i="28"/>
  <c r="N96" i="28"/>
  <c r="S74" i="28"/>
  <c r="V74" i="28"/>
  <c r="N74" i="28"/>
  <c r="W88" i="28"/>
  <c r="L88" i="28"/>
  <c r="O88" i="28"/>
  <c r="M88" i="28"/>
  <c r="AA88" i="28"/>
  <c r="W61" i="28"/>
  <c r="N61" i="28"/>
  <c r="AB61" i="28"/>
  <c r="AB72" i="28"/>
  <c r="R72" i="28"/>
  <c r="L78" i="28"/>
  <c r="N89" i="28"/>
  <c r="AB89" i="28"/>
  <c r="U89" i="28"/>
  <c r="T89" i="28"/>
  <c r="Z89" i="28"/>
  <c r="Y89" i="28"/>
  <c r="Q89" i="28"/>
  <c r="T84" i="28"/>
  <c r="S94" i="28"/>
  <c r="M94" i="28"/>
  <c r="X94" i="28"/>
  <c r="W94" i="28"/>
  <c r="V94" i="28"/>
  <c r="U94" i="28"/>
  <c r="L94" i="28"/>
  <c r="N94" i="28"/>
  <c r="X95" i="28"/>
  <c r="R95" i="28"/>
  <c r="J95" i="28"/>
  <c r="S98" i="28"/>
  <c r="Q98" i="28"/>
  <c r="P98" i="28"/>
  <c r="O98" i="28"/>
  <c r="N98" i="28"/>
  <c r="N113" i="28"/>
  <c r="AB113" i="28"/>
  <c r="Y113" i="28"/>
  <c r="X113" i="28"/>
  <c r="W113" i="28"/>
  <c r="V113" i="28"/>
  <c r="U113" i="28"/>
  <c r="W84" i="28"/>
  <c r="R84" i="28"/>
  <c r="Q84" i="28"/>
  <c r="W92" i="28"/>
  <c r="AA92" i="28"/>
  <c r="Z92" i="28"/>
  <c r="Y92" i="28"/>
  <c r="X92" i="28"/>
  <c r="P94" i="28"/>
  <c r="N105" i="28"/>
  <c r="AB105" i="28"/>
  <c r="Q105" i="28"/>
  <c r="P105" i="28"/>
  <c r="O105" i="28"/>
  <c r="M105" i="28"/>
  <c r="N109" i="28"/>
  <c r="AB109" i="28"/>
  <c r="S90" i="28"/>
  <c r="M90" i="28"/>
  <c r="AB90" i="28"/>
  <c r="N97" i="28"/>
  <c r="AB97" i="28"/>
  <c r="W104" i="28"/>
  <c r="AB104" i="28"/>
  <c r="X111" i="28"/>
  <c r="R111" i="28"/>
  <c r="AB111" i="28"/>
  <c r="W3" i="28"/>
  <c r="U3" i="28"/>
  <c r="T3" i="28"/>
  <c r="S3" i="28"/>
  <c r="R3" i="28"/>
  <c r="Q3" i="28"/>
  <c r="P3" i="28"/>
  <c r="O3" i="28"/>
  <c r="N3" i="28"/>
  <c r="M3" i="28"/>
  <c r="L3" i="28"/>
  <c r="J3" i="28"/>
  <c r="AB3" i="28"/>
  <c r="AA3" i="28"/>
  <c r="Z3" i="28"/>
  <c r="V3" i="28"/>
  <c r="X3" i="28"/>
  <c r="Y3" i="28"/>
  <c r="R4" i="28"/>
  <c r="P4" i="28"/>
  <c r="O4" i="28"/>
  <c r="N4" i="28"/>
  <c r="M4" i="28"/>
  <c r="L4" i="28"/>
  <c r="AB4" i="28"/>
  <c r="AA4" i="28"/>
  <c r="Z4" i="28"/>
  <c r="Y4" i="28"/>
  <c r="X4" i="28"/>
  <c r="W4" i="28"/>
  <c r="V4" i="28"/>
  <c r="U4" i="28"/>
  <c r="Q4" i="28"/>
  <c r="S4" i="28"/>
  <c r="AF76" i="28" l="1"/>
  <c r="AG76" i="28" s="1"/>
  <c r="AH76" i="28" s="1"/>
  <c r="AI76" i="28" s="1"/>
  <c r="AJ76" i="28" s="1"/>
  <c r="AK76" i="28" s="1"/>
  <c r="AL76" i="28" s="1"/>
  <c r="AM76" i="28" s="1"/>
  <c r="AN76" i="28" s="1"/>
  <c r="AO76" i="28" s="1"/>
  <c r="AP76" i="28" s="1"/>
  <c r="AF112" i="28"/>
  <c r="AG112" i="28" s="1"/>
  <c r="AH112" i="28" s="1"/>
  <c r="AI112" i="28" s="1"/>
  <c r="AJ112" i="28" s="1"/>
  <c r="AK112" i="28" s="1"/>
  <c r="AL112" i="28" s="1"/>
  <c r="AM112" i="28" s="1"/>
  <c r="AN112" i="28" s="1"/>
  <c r="AO112" i="28" s="1"/>
  <c r="AP112" i="28" s="1"/>
  <c r="AQ304" i="1"/>
  <c r="B304" i="1" s="1"/>
  <c r="AQ303" i="1"/>
  <c r="B303" i="1" s="1"/>
  <c r="AQ302" i="1"/>
  <c r="B302" i="1" s="1"/>
  <c r="AQ301" i="1"/>
  <c r="B301" i="1" s="1"/>
  <c r="AF106" i="28"/>
  <c r="AG106" i="28" s="1"/>
  <c r="AH106" i="28" s="1"/>
  <c r="AI106" i="28" s="1"/>
  <c r="AJ106" i="28" s="1"/>
  <c r="AK106" i="28" s="1"/>
  <c r="AL106" i="28" s="1"/>
  <c r="AM106" i="28" s="1"/>
  <c r="AN106" i="28" s="1"/>
  <c r="AO106" i="28" s="1"/>
  <c r="AP106" i="28" s="1"/>
  <c r="AQ82" i="1"/>
  <c r="B82" i="1" s="1"/>
  <c r="AQ83" i="1"/>
  <c r="B83" i="1" s="1"/>
  <c r="AQ484" i="1"/>
  <c r="B484" i="1" s="1"/>
  <c r="AQ483" i="1"/>
  <c r="B483" i="1" s="1"/>
  <c r="AQ180" i="1"/>
  <c r="B180" i="1" s="1"/>
  <c r="AQ179" i="1"/>
  <c r="B179" i="1" s="1"/>
  <c r="AQ601" i="1"/>
  <c r="B601" i="1" s="1"/>
  <c r="AQ600" i="1"/>
  <c r="B600" i="1" s="1"/>
  <c r="AF81" i="28"/>
  <c r="AG81" i="28" s="1"/>
  <c r="AH81" i="28" s="1"/>
  <c r="AI81" i="28" s="1"/>
  <c r="AJ81" i="28" s="1"/>
  <c r="AK81" i="28" s="1"/>
  <c r="AL81" i="28" s="1"/>
  <c r="AM81" i="28" s="1"/>
  <c r="AN81" i="28" s="1"/>
  <c r="AO81" i="28" s="1"/>
  <c r="AP81" i="28" s="1"/>
  <c r="AD81" i="28" s="1"/>
  <c r="AQ599" i="1"/>
  <c r="B599" i="1" s="1"/>
  <c r="AF80" i="28"/>
  <c r="AG80" i="28" s="1"/>
  <c r="AH80" i="28" s="1"/>
  <c r="AI80" i="28" s="1"/>
  <c r="AJ80" i="28" s="1"/>
  <c r="AK80" i="28" s="1"/>
  <c r="AL80" i="28" s="1"/>
  <c r="AM80" i="28" s="1"/>
  <c r="AN80" i="28" s="1"/>
  <c r="AO80" i="28" s="1"/>
  <c r="AP80" i="28" s="1"/>
  <c r="AD80" i="28" l="1"/>
  <c r="K80" i="28" s="1"/>
  <c r="AD112" i="28"/>
  <c r="AD106" i="28"/>
  <c r="J106" i="28" s="1"/>
  <c r="AD76" i="28"/>
  <c r="H76" i="28" s="1"/>
  <c r="I81" i="28"/>
  <c r="K81" i="28"/>
  <c r="L80" i="28"/>
  <c r="I80" i="28"/>
  <c r="F76" i="28"/>
  <c r="M80" i="28"/>
  <c r="H112" i="28"/>
  <c r="J112" i="28"/>
  <c r="F112" i="28"/>
  <c r="E112" i="28"/>
  <c r="E106" i="28"/>
  <c r="BQ106" i="28" s="1"/>
  <c r="J81" i="28"/>
  <c r="H81" i="28"/>
  <c r="L81" i="28"/>
  <c r="G81" i="28"/>
  <c r="F81" i="28"/>
  <c r="E81" i="28"/>
  <c r="M81" i="28"/>
  <c r="E80" i="28"/>
  <c r="G80" i="28"/>
  <c r="H80" i="28"/>
  <c r="F80" i="28"/>
  <c r="AQ598" i="1"/>
  <c r="B598" i="1" s="1"/>
  <c r="AF79" i="28"/>
  <c r="AG79" i="28" s="1"/>
  <c r="AH79" i="28" s="1"/>
  <c r="AI79" i="28" s="1"/>
  <c r="AJ79" i="28" s="1"/>
  <c r="AK79" i="28" s="1"/>
  <c r="AL79" i="28" s="1"/>
  <c r="AM79" i="28" s="1"/>
  <c r="AN79" i="28" s="1"/>
  <c r="AO79" i="28" s="1"/>
  <c r="AP79" i="28" s="1"/>
  <c r="AD79" i="28" s="1"/>
  <c r="AQ597" i="1"/>
  <c r="B597" i="1" s="1"/>
  <c r="AQ390" i="1"/>
  <c r="B390" i="1" s="1"/>
  <c r="AQ389" i="1"/>
  <c r="B389" i="1" s="1"/>
  <c r="AQ579" i="1"/>
  <c r="B579" i="1" s="1"/>
  <c r="J80" i="28" l="1"/>
  <c r="T372" i="30"/>
  <c r="S372" i="30" s="1"/>
  <c r="R372" i="30"/>
  <c r="T600" i="1"/>
  <c r="S600" i="1" s="1"/>
  <c r="BQ80" i="28"/>
  <c r="T599" i="1"/>
  <c r="S599" i="1" s="1"/>
  <c r="G76" i="28"/>
  <c r="K76" i="28"/>
  <c r="Z76" i="28"/>
  <c r="S76" i="28"/>
  <c r="X76" i="28"/>
  <c r="R76" i="28"/>
  <c r="U76" i="28"/>
  <c r="L76" i="28"/>
  <c r="N76" i="28"/>
  <c r="M76" i="28"/>
  <c r="Q76" i="28"/>
  <c r="P76" i="28"/>
  <c r="I76" i="28"/>
  <c r="O76" i="28"/>
  <c r="T76" i="28"/>
  <c r="V76" i="28"/>
  <c r="AB76" i="28"/>
  <c r="W76" i="28"/>
  <c r="AA76" i="28"/>
  <c r="Y76" i="28"/>
  <c r="J76" i="28"/>
  <c r="H106" i="28"/>
  <c r="E76" i="28"/>
  <c r="BQ76" i="28" s="1"/>
  <c r="K106" i="28"/>
  <c r="I106" i="28"/>
  <c r="R106" i="28"/>
  <c r="N106" i="28"/>
  <c r="Q106" i="28"/>
  <c r="P106" i="28"/>
  <c r="AA106" i="28"/>
  <c r="V106" i="28"/>
  <c r="W106" i="28"/>
  <c r="AB106" i="28"/>
  <c r="S106" i="28"/>
  <c r="M106" i="28"/>
  <c r="Z106" i="28"/>
  <c r="Y106" i="28"/>
  <c r="X106" i="28"/>
  <c r="O106" i="28"/>
  <c r="U106" i="28"/>
  <c r="L106" i="28"/>
  <c r="T106" i="28"/>
  <c r="G106" i="28"/>
  <c r="K112" i="28"/>
  <c r="W112" i="28"/>
  <c r="P112" i="28"/>
  <c r="O112" i="28"/>
  <c r="S112" i="28"/>
  <c r="Q112" i="28"/>
  <c r="AA112" i="28"/>
  <c r="M112" i="28"/>
  <c r="R112" i="28"/>
  <c r="L112" i="28"/>
  <c r="U112" i="28"/>
  <c r="T112" i="28"/>
  <c r="I112" i="28"/>
  <c r="AB112" i="28"/>
  <c r="Z112" i="28"/>
  <c r="Y112" i="28"/>
  <c r="X112" i="28"/>
  <c r="V112" i="28"/>
  <c r="N112" i="28"/>
  <c r="F106" i="28"/>
  <c r="G112" i="28"/>
  <c r="I79" i="28"/>
  <c r="K79" i="28"/>
  <c r="BQ81" i="28"/>
  <c r="BQ112" i="28"/>
  <c r="R599" i="1"/>
  <c r="C81" i="28"/>
  <c r="H79" i="28"/>
  <c r="J79" i="28"/>
  <c r="F79" i="28"/>
  <c r="G79" i="28"/>
  <c r="E79" i="28"/>
  <c r="M79" i="28"/>
  <c r="L79" i="28"/>
  <c r="C80" i="28"/>
  <c r="R600" i="1"/>
  <c r="AF61" i="28"/>
  <c r="AG61" i="28" s="1"/>
  <c r="AH61" i="28" s="1"/>
  <c r="AI61" i="28" s="1"/>
  <c r="AJ61" i="28" s="1"/>
  <c r="AK61" i="28" s="1"/>
  <c r="AL61" i="28" s="1"/>
  <c r="AM61" i="28" s="1"/>
  <c r="AN61" i="28" s="1"/>
  <c r="AO61" i="28" s="1"/>
  <c r="AP61" i="28" s="1"/>
  <c r="R371" i="30" l="1"/>
  <c r="T371" i="30"/>
  <c r="S371" i="30" s="1"/>
  <c r="C76" i="28"/>
  <c r="T598" i="1"/>
  <c r="S598" i="1" s="1"/>
  <c r="C112" i="28"/>
  <c r="C106" i="28"/>
  <c r="I61" i="28"/>
  <c r="AD61" i="28"/>
  <c r="H61" i="28" s="1"/>
  <c r="BQ79" i="28"/>
  <c r="C79" i="28"/>
  <c r="R598" i="1"/>
  <c r="AF33" i="28"/>
  <c r="AG33" i="28" s="1"/>
  <c r="AH33" i="28" s="1"/>
  <c r="AI33" i="28" s="1"/>
  <c r="AJ33" i="28" s="1"/>
  <c r="AK33" i="28" s="1"/>
  <c r="AL33" i="28" s="1"/>
  <c r="AM33" i="28" s="1"/>
  <c r="AN33" i="28" s="1"/>
  <c r="AO33" i="28" s="1"/>
  <c r="AP33" i="28" s="1"/>
  <c r="AQ378" i="1"/>
  <c r="B378" i="1" s="1"/>
  <c r="AF30" i="28"/>
  <c r="AG30" i="28" s="1"/>
  <c r="AH30" i="28" s="1"/>
  <c r="AI30" i="28" s="1"/>
  <c r="AJ30" i="28" s="1"/>
  <c r="AK30" i="28" s="1"/>
  <c r="AL30" i="28" s="1"/>
  <c r="AM30" i="28" s="1"/>
  <c r="AN30" i="28" s="1"/>
  <c r="AO30" i="28" s="1"/>
  <c r="AP30" i="28" s="1"/>
  <c r="AF28" i="28"/>
  <c r="AG28" i="28" s="1"/>
  <c r="AH28" i="28" s="1"/>
  <c r="AI28" i="28" s="1"/>
  <c r="AJ28" i="28" s="1"/>
  <c r="AK28" i="28" s="1"/>
  <c r="AL28" i="28" s="1"/>
  <c r="AM28" i="28" s="1"/>
  <c r="AN28" i="28" s="1"/>
  <c r="AO28" i="28" s="1"/>
  <c r="AP28" i="28" s="1"/>
  <c r="AF17" i="28"/>
  <c r="AG17" i="28" s="1"/>
  <c r="AH17" i="28" s="1"/>
  <c r="AI17" i="28" s="1"/>
  <c r="AJ17" i="28" s="1"/>
  <c r="AK17" i="28" s="1"/>
  <c r="AL17" i="28" s="1"/>
  <c r="AM17" i="28" s="1"/>
  <c r="AN17" i="28" s="1"/>
  <c r="AO17" i="28" s="1"/>
  <c r="AP17" i="28" s="1"/>
  <c r="G61" i="28" l="1"/>
  <c r="E61" i="28"/>
  <c r="T310" i="1" s="1"/>
  <c r="S310" i="1" s="1"/>
  <c r="F61" i="28"/>
  <c r="I28" i="28"/>
  <c r="AD28" i="28"/>
  <c r="F28" i="28" s="1"/>
  <c r="I33" i="28"/>
  <c r="AD33" i="28"/>
  <c r="H33" i="28" s="1"/>
  <c r="I17" i="28"/>
  <c r="AD17" i="28"/>
  <c r="G17" i="28" s="1"/>
  <c r="I30" i="28"/>
  <c r="AD30" i="28"/>
  <c r="F30" i="28" s="1"/>
  <c r="G28" i="28"/>
  <c r="H28" i="28"/>
  <c r="E28" i="28"/>
  <c r="H30" i="28"/>
  <c r="E30" i="28"/>
  <c r="T378" i="1" s="1"/>
  <c r="S378" i="1" s="1"/>
  <c r="F33" i="28"/>
  <c r="G33" i="28"/>
  <c r="R310" i="1"/>
  <c r="C61" i="28"/>
  <c r="BQ61" i="28"/>
  <c r="AF6" i="28"/>
  <c r="AG6" i="28" s="1"/>
  <c r="AH6" i="28" s="1"/>
  <c r="AI6" i="28" s="1"/>
  <c r="AJ6" i="28" s="1"/>
  <c r="AK6" i="28" s="1"/>
  <c r="AL6" i="28" s="1"/>
  <c r="AM6" i="28" s="1"/>
  <c r="AN6" i="28" s="1"/>
  <c r="AO6" i="28" s="1"/>
  <c r="AP6" i="28" s="1"/>
  <c r="AF16" i="28"/>
  <c r="AG16" i="28" s="1"/>
  <c r="AH16" i="28" s="1"/>
  <c r="AI16" i="28" s="1"/>
  <c r="AJ16" i="28" s="1"/>
  <c r="AK16" i="28" s="1"/>
  <c r="AL16" i="28" s="1"/>
  <c r="AM16" i="28" s="1"/>
  <c r="AN16" i="28" s="1"/>
  <c r="AO16" i="28" s="1"/>
  <c r="AP16" i="28" s="1"/>
  <c r="AD16" i="28" s="1"/>
  <c r="AF26" i="28"/>
  <c r="AG26" i="28" s="1"/>
  <c r="AH26" i="28" s="1"/>
  <c r="AI26" i="28" s="1"/>
  <c r="AJ26" i="28" s="1"/>
  <c r="AK26" i="28" s="1"/>
  <c r="AL26" i="28" s="1"/>
  <c r="AM26" i="28" s="1"/>
  <c r="AN26" i="28" s="1"/>
  <c r="AO26" i="28" s="1"/>
  <c r="AP26" i="28" s="1"/>
  <c r="AF45" i="28"/>
  <c r="AG45" i="28" s="1"/>
  <c r="AH45" i="28" s="1"/>
  <c r="AI45" i="28" s="1"/>
  <c r="AJ45" i="28" s="1"/>
  <c r="AK45" i="28" s="1"/>
  <c r="AL45" i="28" s="1"/>
  <c r="AM45" i="28" s="1"/>
  <c r="AN45" i="28" s="1"/>
  <c r="AO45" i="28" s="1"/>
  <c r="AP45" i="28" s="1"/>
  <c r="AF99" i="28"/>
  <c r="AG99" i="28" s="1"/>
  <c r="AH99" i="28" s="1"/>
  <c r="AI99" i="28" s="1"/>
  <c r="AJ99" i="28" s="1"/>
  <c r="AK99" i="28" s="1"/>
  <c r="AL99" i="28" s="1"/>
  <c r="AM99" i="28" s="1"/>
  <c r="AN99" i="28" s="1"/>
  <c r="AO99" i="28" s="1"/>
  <c r="AP99" i="28" s="1"/>
  <c r="AD99" i="28" s="1"/>
  <c r="AF114" i="28"/>
  <c r="AG114" i="28" s="1"/>
  <c r="AH114" i="28" s="1"/>
  <c r="AI114" i="28" s="1"/>
  <c r="AJ114" i="28" s="1"/>
  <c r="AK114" i="28" s="1"/>
  <c r="AL114" i="28" s="1"/>
  <c r="AM114" i="28" s="1"/>
  <c r="AN114" i="28" s="1"/>
  <c r="AO114" i="28" s="1"/>
  <c r="AP114" i="28" s="1"/>
  <c r="AD114" i="28" s="1"/>
  <c r="AF68" i="28"/>
  <c r="AG68" i="28" s="1"/>
  <c r="AH68" i="28" s="1"/>
  <c r="AI68" i="28" s="1"/>
  <c r="AJ68" i="28" s="1"/>
  <c r="AK68" i="28" s="1"/>
  <c r="AL68" i="28" s="1"/>
  <c r="AM68" i="28" s="1"/>
  <c r="AN68" i="28" s="1"/>
  <c r="AO68" i="28" s="1"/>
  <c r="AP68" i="28" s="1"/>
  <c r="AF24" i="28"/>
  <c r="AG24" i="28" s="1"/>
  <c r="AH24" i="28" s="1"/>
  <c r="AI24" i="28" s="1"/>
  <c r="AJ24" i="28" s="1"/>
  <c r="AK24" i="28" s="1"/>
  <c r="AL24" i="28" s="1"/>
  <c r="AM24" i="28" s="1"/>
  <c r="AN24" i="28" s="1"/>
  <c r="AO24" i="28" s="1"/>
  <c r="AP24" i="28" s="1"/>
  <c r="AF23" i="28"/>
  <c r="AG23" i="28" s="1"/>
  <c r="AH23" i="28" s="1"/>
  <c r="AI23" i="28" s="1"/>
  <c r="AJ23" i="28" s="1"/>
  <c r="AK23" i="28" s="1"/>
  <c r="AL23" i="28" s="1"/>
  <c r="AM23" i="28" s="1"/>
  <c r="AN23" i="28" s="1"/>
  <c r="AO23" i="28" s="1"/>
  <c r="AP23" i="28" s="1"/>
  <c r="AF31" i="28"/>
  <c r="AG31" i="28" s="1"/>
  <c r="AH31" i="28" s="1"/>
  <c r="AI31" i="28" s="1"/>
  <c r="AJ31" i="28" s="1"/>
  <c r="AK31" i="28" s="1"/>
  <c r="AL31" i="28" s="1"/>
  <c r="AM31" i="28" s="1"/>
  <c r="AN31" i="28" s="1"/>
  <c r="AO31" i="28" s="1"/>
  <c r="AP31" i="28" s="1"/>
  <c r="AF88" i="28"/>
  <c r="AG88" i="28" s="1"/>
  <c r="AH88" i="28" s="1"/>
  <c r="AI88" i="28" s="1"/>
  <c r="AJ88" i="28" s="1"/>
  <c r="AK88" i="28" s="1"/>
  <c r="AL88" i="28" s="1"/>
  <c r="AM88" i="28" s="1"/>
  <c r="AN88" i="28" s="1"/>
  <c r="AO88" i="28" s="1"/>
  <c r="AP88" i="28" s="1"/>
  <c r="AF7" i="28"/>
  <c r="AG7" i="28" s="1"/>
  <c r="AH7" i="28" s="1"/>
  <c r="AI7" i="28" s="1"/>
  <c r="AJ7" i="28" s="1"/>
  <c r="AK7" i="28" s="1"/>
  <c r="AL7" i="28" s="1"/>
  <c r="AM7" i="28" s="1"/>
  <c r="AN7" i="28" s="1"/>
  <c r="AO7" i="28" s="1"/>
  <c r="AP7" i="28" s="1"/>
  <c r="AD7" i="28" s="1"/>
  <c r="AF87" i="28"/>
  <c r="AG87" i="28" s="1"/>
  <c r="AH87" i="28" s="1"/>
  <c r="AI87" i="28" s="1"/>
  <c r="AJ87" i="28" s="1"/>
  <c r="AK87" i="28" s="1"/>
  <c r="AL87" i="28" s="1"/>
  <c r="AM87" i="28" s="1"/>
  <c r="AN87" i="28" s="1"/>
  <c r="AO87" i="28" s="1"/>
  <c r="AP87" i="28" s="1"/>
  <c r="AF35" i="28"/>
  <c r="AG35" i="28" s="1"/>
  <c r="AH35" i="28" s="1"/>
  <c r="AI35" i="28" s="1"/>
  <c r="AJ35" i="28" s="1"/>
  <c r="AK35" i="28" s="1"/>
  <c r="AL35" i="28" s="1"/>
  <c r="AM35" i="28" s="1"/>
  <c r="AN35" i="28" s="1"/>
  <c r="AO35" i="28" s="1"/>
  <c r="AP35" i="28" s="1"/>
  <c r="AF84" i="28"/>
  <c r="AG84" i="28" s="1"/>
  <c r="AH84" i="28" s="1"/>
  <c r="AI84" i="28" s="1"/>
  <c r="AJ84" i="28" s="1"/>
  <c r="AK84" i="28" s="1"/>
  <c r="AL84" i="28" s="1"/>
  <c r="AM84" i="28" s="1"/>
  <c r="AN84" i="28" s="1"/>
  <c r="AO84" i="28" s="1"/>
  <c r="AP84" i="28" s="1"/>
  <c r="AF85" i="28"/>
  <c r="AG85" i="28" s="1"/>
  <c r="AH85" i="28" s="1"/>
  <c r="AI85" i="28" s="1"/>
  <c r="AJ85" i="28" s="1"/>
  <c r="AK85" i="28" s="1"/>
  <c r="AL85" i="28" s="1"/>
  <c r="AM85" i="28" s="1"/>
  <c r="AN85" i="28" s="1"/>
  <c r="AO85" i="28" s="1"/>
  <c r="AP85" i="28" s="1"/>
  <c r="AF93" i="28"/>
  <c r="AG93" i="28" s="1"/>
  <c r="AH93" i="28" s="1"/>
  <c r="AI93" i="28" s="1"/>
  <c r="AJ93" i="28" s="1"/>
  <c r="AK93" i="28" s="1"/>
  <c r="AL93" i="28" s="1"/>
  <c r="AM93" i="28" s="1"/>
  <c r="AN93" i="28" s="1"/>
  <c r="AO93" i="28" s="1"/>
  <c r="AP93" i="28" s="1"/>
  <c r="AF9" i="28"/>
  <c r="AG9" i="28" s="1"/>
  <c r="AH9" i="28" s="1"/>
  <c r="AI9" i="28" s="1"/>
  <c r="AJ9" i="28" s="1"/>
  <c r="AK9" i="28" s="1"/>
  <c r="AL9" i="28" s="1"/>
  <c r="AM9" i="28" s="1"/>
  <c r="AN9" i="28" s="1"/>
  <c r="AO9" i="28" s="1"/>
  <c r="AP9" i="28" s="1"/>
  <c r="AF32" i="28"/>
  <c r="AG32" i="28" s="1"/>
  <c r="AH32" i="28" s="1"/>
  <c r="AI32" i="28" s="1"/>
  <c r="AJ32" i="28" s="1"/>
  <c r="AK32" i="28" s="1"/>
  <c r="AL32" i="28" s="1"/>
  <c r="AM32" i="28" s="1"/>
  <c r="AN32" i="28" s="1"/>
  <c r="AO32" i="28" s="1"/>
  <c r="AP32" i="28" s="1"/>
  <c r="AD32" i="28" s="1"/>
  <c r="AF94" i="28"/>
  <c r="AG94" i="28" s="1"/>
  <c r="AH94" i="28" s="1"/>
  <c r="AI94" i="28" s="1"/>
  <c r="AJ94" i="28" s="1"/>
  <c r="AK94" i="28" s="1"/>
  <c r="AL94" i="28" s="1"/>
  <c r="AM94" i="28" s="1"/>
  <c r="AN94" i="28" s="1"/>
  <c r="AO94" i="28" s="1"/>
  <c r="AP94" i="28" s="1"/>
  <c r="AF100" i="28"/>
  <c r="AG100" i="28" s="1"/>
  <c r="AH100" i="28" s="1"/>
  <c r="AI100" i="28" s="1"/>
  <c r="AJ100" i="28" s="1"/>
  <c r="AK100" i="28" s="1"/>
  <c r="AL100" i="28" s="1"/>
  <c r="AM100" i="28" s="1"/>
  <c r="AN100" i="28" s="1"/>
  <c r="AO100" i="28" s="1"/>
  <c r="AP100" i="28" s="1"/>
  <c r="AF92" i="28"/>
  <c r="AG92" i="28" s="1"/>
  <c r="AH92" i="28" s="1"/>
  <c r="AI92" i="28" s="1"/>
  <c r="AJ92" i="28" s="1"/>
  <c r="AK92" i="28" s="1"/>
  <c r="AL92" i="28" s="1"/>
  <c r="AM92" i="28" s="1"/>
  <c r="AN92" i="28" s="1"/>
  <c r="AO92" i="28" s="1"/>
  <c r="AP92" i="28" s="1"/>
  <c r="AF91" i="28"/>
  <c r="AG91" i="28" s="1"/>
  <c r="AH91" i="28" s="1"/>
  <c r="AI91" i="28" s="1"/>
  <c r="AJ91" i="28" s="1"/>
  <c r="AK91" i="28" s="1"/>
  <c r="AL91" i="28" s="1"/>
  <c r="AM91" i="28" s="1"/>
  <c r="AN91" i="28" s="1"/>
  <c r="AO91" i="28" s="1"/>
  <c r="AP91" i="28" s="1"/>
  <c r="AF13" i="28"/>
  <c r="AG13" i="28" s="1"/>
  <c r="AH13" i="28" s="1"/>
  <c r="AI13" i="28" s="1"/>
  <c r="AJ13" i="28" s="1"/>
  <c r="AK13" i="28" s="1"/>
  <c r="AL13" i="28" s="1"/>
  <c r="AM13" i="28" s="1"/>
  <c r="AN13" i="28" s="1"/>
  <c r="AO13" i="28" s="1"/>
  <c r="AP13" i="28" s="1"/>
  <c r="AF5" i="28"/>
  <c r="AG5" i="28" s="1"/>
  <c r="AH5" i="28" s="1"/>
  <c r="AI5" i="28" s="1"/>
  <c r="AJ5" i="28" s="1"/>
  <c r="AK5" i="28" s="1"/>
  <c r="AL5" i="28" s="1"/>
  <c r="AM5" i="28" s="1"/>
  <c r="AN5" i="28" s="1"/>
  <c r="AO5" i="28" s="1"/>
  <c r="AP5" i="28" s="1"/>
  <c r="AF86" i="28"/>
  <c r="AG86" i="28" s="1"/>
  <c r="AH86" i="28" s="1"/>
  <c r="AI86" i="28" s="1"/>
  <c r="AJ86" i="28" s="1"/>
  <c r="AK86" i="28" s="1"/>
  <c r="AL86" i="28" s="1"/>
  <c r="AM86" i="28" s="1"/>
  <c r="AN86" i="28" s="1"/>
  <c r="AO86" i="28" s="1"/>
  <c r="AP86" i="28" s="1"/>
  <c r="AF97" i="28"/>
  <c r="AG97" i="28" s="1"/>
  <c r="AH97" i="28" s="1"/>
  <c r="AI97" i="28" s="1"/>
  <c r="AJ97" i="28" s="1"/>
  <c r="AK97" i="28" s="1"/>
  <c r="AL97" i="28" s="1"/>
  <c r="AM97" i="28" s="1"/>
  <c r="AN97" i="28" s="1"/>
  <c r="AO97" i="28" s="1"/>
  <c r="AP97" i="28" s="1"/>
  <c r="AD97" i="28" s="1"/>
  <c r="AF78" i="28"/>
  <c r="AG78" i="28" s="1"/>
  <c r="AH78" i="28" s="1"/>
  <c r="AI78" i="28" s="1"/>
  <c r="AJ78" i="28" s="1"/>
  <c r="AK78" i="28" s="1"/>
  <c r="AL78" i="28" s="1"/>
  <c r="AM78" i="28" s="1"/>
  <c r="AN78" i="28" s="1"/>
  <c r="AO78" i="28" s="1"/>
  <c r="AP78" i="28" s="1"/>
  <c r="AF46" i="28"/>
  <c r="AG46" i="28" s="1"/>
  <c r="AH46" i="28" s="1"/>
  <c r="AI46" i="28" s="1"/>
  <c r="AJ46" i="28" s="1"/>
  <c r="AK46" i="28" s="1"/>
  <c r="AL46" i="28" s="1"/>
  <c r="AM46" i="28" s="1"/>
  <c r="AN46" i="28" s="1"/>
  <c r="AO46" i="28" s="1"/>
  <c r="AP46" i="28" s="1"/>
  <c r="AF72" i="28"/>
  <c r="AG72" i="28" s="1"/>
  <c r="AH72" i="28" s="1"/>
  <c r="AI72" i="28" s="1"/>
  <c r="AJ72" i="28" s="1"/>
  <c r="AK72" i="28" s="1"/>
  <c r="AL72" i="28" s="1"/>
  <c r="AM72" i="28" s="1"/>
  <c r="AN72" i="28" s="1"/>
  <c r="AO72" i="28" s="1"/>
  <c r="AP72" i="28" s="1"/>
  <c r="AF37" i="28"/>
  <c r="AG37" i="28" s="1"/>
  <c r="AH37" i="28" s="1"/>
  <c r="AI37" i="28" s="1"/>
  <c r="AJ37" i="28" s="1"/>
  <c r="AK37" i="28" s="1"/>
  <c r="AL37" i="28" s="1"/>
  <c r="AF73" i="28"/>
  <c r="AG73" i="28" s="1"/>
  <c r="AH73" i="28" s="1"/>
  <c r="AI73" i="28" s="1"/>
  <c r="AJ73" i="28" s="1"/>
  <c r="AK73" i="28" s="1"/>
  <c r="AL73" i="28" s="1"/>
  <c r="AM73" i="28" s="1"/>
  <c r="AN73" i="28" s="1"/>
  <c r="AO73" i="28" s="1"/>
  <c r="AP73" i="28" s="1"/>
  <c r="AF98" i="28"/>
  <c r="AG98" i="28" s="1"/>
  <c r="AH98" i="28" s="1"/>
  <c r="AI98" i="28" s="1"/>
  <c r="AJ98" i="28" s="1"/>
  <c r="AK98" i="28" s="1"/>
  <c r="AL98" i="28" s="1"/>
  <c r="AM98" i="28" s="1"/>
  <c r="AN98" i="28" s="1"/>
  <c r="AO98" i="28" s="1"/>
  <c r="AP98" i="28" s="1"/>
  <c r="AD98" i="28" s="1"/>
  <c r="AF49" i="28"/>
  <c r="AG49" i="28" s="1"/>
  <c r="AH49" i="28" s="1"/>
  <c r="AI49" i="28" s="1"/>
  <c r="AJ49" i="28" s="1"/>
  <c r="AK49" i="28" s="1"/>
  <c r="AL49" i="28" s="1"/>
  <c r="AM49" i="28" s="1"/>
  <c r="AN49" i="28" s="1"/>
  <c r="AO49" i="28" s="1"/>
  <c r="AP49" i="28" s="1"/>
  <c r="AF74" i="28"/>
  <c r="AG74" i="28" s="1"/>
  <c r="AH74" i="28" s="1"/>
  <c r="AI74" i="28" s="1"/>
  <c r="AJ74" i="28" s="1"/>
  <c r="AK74" i="28" s="1"/>
  <c r="AL74" i="28" s="1"/>
  <c r="AM74" i="28" s="1"/>
  <c r="AN74" i="28" s="1"/>
  <c r="AO74" i="28" s="1"/>
  <c r="AP74" i="28" s="1"/>
  <c r="AF55" i="28"/>
  <c r="AG55" i="28" s="1"/>
  <c r="AH55" i="28" s="1"/>
  <c r="AI55" i="28" s="1"/>
  <c r="AJ55" i="28" s="1"/>
  <c r="AK55" i="28" s="1"/>
  <c r="AL55" i="28" s="1"/>
  <c r="AM55" i="28" s="1"/>
  <c r="AN55" i="28" s="1"/>
  <c r="AO55" i="28" s="1"/>
  <c r="AP55" i="28" s="1"/>
  <c r="AF52" i="28"/>
  <c r="AG52" i="28" s="1"/>
  <c r="AH52" i="28" s="1"/>
  <c r="AI52" i="28" s="1"/>
  <c r="AJ52" i="28" s="1"/>
  <c r="AK52" i="28" s="1"/>
  <c r="AL52" i="28" s="1"/>
  <c r="AM52" i="28" s="1"/>
  <c r="AN52" i="28" s="1"/>
  <c r="AO52" i="28" s="1"/>
  <c r="AP52" i="28" s="1"/>
  <c r="AF60" i="28"/>
  <c r="AG60" i="28" s="1"/>
  <c r="AH60" i="28" s="1"/>
  <c r="AI60" i="28" s="1"/>
  <c r="AJ60" i="28" s="1"/>
  <c r="AK60" i="28" s="1"/>
  <c r="AL60" i="28" s="1"/>
  <c r="AM60" i="28" s="1"/>
  <c r="AN60" i="28" s="1"/>
  <c r="AO60" i="28" s="1"/>
  <c r="AP60" i="28" s="1"/>
  <c r="AD60" i="28" s="1"/>
  <c r="AF62" i="28"/>
  <c r="AG62" i="28" s="1"/>
  <c r="AH62" i="28" s="1"/>
  <c r="AI62" i="28" s="1"/>
  <c r="AJ62" i="28" s="1"/>
  <c r="AK62" i="28" s="1"/>
  <c r="AL62" i="28" s="1"/>
  <c r="AM62" i="28" s="1"/>
  <c r="AN62" i="28" s="1"/>
  <c r="AO62" i="28" s="1"/>
  <c r="AP62" i="28" s="1"/>
  <c r="AD62" i="28" s="1"/>
  <c r="AF42" i="28"/>
  <c r="AG42" i="28" s="1"/>
  <c r="AH42" i="28" s="1"/>
  <c r="AI42" i="28" s="1"/>
  <c r="AJ42" i="28" s="1"/>
  <c r="AK42" i="28" s="1"/>
  <c r="AL42" i="28" s="1"/>
  <c r="AM42" i="28" s="1"/>
  <c r="AN42" i="28" s="1"/>
  <c r="AO42" i="28" s="1"/>
  <c r="AP42" i="28" s="1"/>
  <c r="AF58" i="28"/>
  <c r="AG58" i="28" s="1"/>
  <c r="AH58" i="28" s="1"/>
  <c r="AI58" i="28" s="1"/>
  <c r="AJ58" i="28" s="1"/>
  <c r="AK58" i="28" s="1"/>
  <c r="AL58" i="28" s="1"/>
  <c r="AM58" i="28" s="1"/>
  <c r="AN58" i="28" s="1"/>
  <c r="AO58" i="28" s="1"/>
  <c r="AP58" i="28" s="1"/>
  <c r="AF102" i="28"/>
  <c r="AG102" i="28" s="1"/>
  <c r="AH102" i="28" s="1"/>
  <c r="AI102" i="28" s="1"/>
  <c r="AJ102" i="28" s="1"/>
  <c r="AK102" i="28" s="1"/>
  <c r="AL102" i="28" s="1"/>
  <c r="AM102" i="28" s="1"/>
  <c r="AN102" i="28" s="1"/>
  <c r="AO102" i="28" s="1"/>
  <c r="AP102" i="28" s="1"/>
  <c r="AD102" i="28" s="1"/>
  <c r="AF67" i="28"/>
  <c r="AG67" i="28" s="1"/>
  <c r="AH67" i="28" s="1"/>
  <c r="AI67" i="28" s="1"/>
  <c r="AJ67" i="28" s="1"/>
  <c r="AK67" i="28" s="1"/>
  <c r="AL67" i="28" s="1"/>
  <c r="AM67" i="28" s="1"/>
  <c r="AN67" i="28" s="1"/>
  <c r="AO67" i="28" s="1"/>
  <c r="AP67" i="28" s="1"/>
  <c r="AF69" i="28"/>
  <c r="AG69" i="28" s="1"/>
  <c r="AH69" i="28" s="1"/>
  <c r="AI69" i="28" s="1"/>
  <c r="AJ69" i="28" s="1"/>
  <c r="AK69" i="28" s="1"/>
  <c r="AL69" i="28" s="1"/>
  <c r="AM69" i="28" s="1"/>
  <c r="AN69" i="28" s="1"/>
  <c r="AO69" i="28" s="1"/>
  <c r="AP69" i="28" s="1"/>
  <c r="AD69" i="28" s="1"/>
  <c r="AF70" i="28"/>
  <c r="AG70" i="28" s="1"/>
  <c r="AH70" i="28" s="1"/>
  <c r="AI70" i="28" s="1"/>
  <c r="AJ70" i="28" s="1"/>
  <c r="AK70" i="28" s="1"/>
  <c r="AL70" i="28" s="1"/>
  <c r="AM70" i="28" s="1"/>
  <c r="AN70" i="28" s="1"/>
  <c r="AO70" i="28" s="1"/>
  <c r="AP70" i="28" s="1"/>
  <c r="AD70" i="28" s="1"/>
  <c r="AF63" i="28"/>
  <c r="AG63" i="28" s="1"/>
  <c r="AH63" i="28" s="1"/>
  <c r="AI63" i="28" s="1"/>
  <c r="AJ63" i="28" s="1"/>
  <c r="AK63" i="28" s="1"/>
  <c r="AL63" i="28" s="1"/>
  <c r="AM63" i="28" s="1"/>
  <c r="AN63" i="28" s="1"/>
  <c r="AO63" i="28" s="1"/>
  <c r="AP63" i="28" s="1"/>
  <c r="AD63" i="28" s="1"/>
  <c r="AF115" i="28"/>
  <c r="AG115" i="28" s="1"/>
  <c r="AH115" i="28" s="1"/>
  <c r="AI115" i="28" s="1"/>
  <c r="AJ115" i="28" s="1"/>
  <c r="AK115" i="28" s="1"/>
  <c r="AL115" i="28" s="1"/>
  <c r="AM115" i="28" s="1"/>
  <c r="AN115" i="28" s="1"/>
  <c r="AO115" i="28" s="1"/>
  <c r="AP115" i="28" s="1"/>
  <c r="AD115" i="28" s="1"/>
  <c r="AF65" i="28"/>
  <c r="AG65" i="28" s="1"/>
  <c r="AH65" i="28" s="1"/>
  <c r="AI65" i="28" s="1"/>
  <c r="AJ65" i="28" s="1"/>
  <c r="AK65" i="28" s="1"/>
  <c r="AL65" i="28" s="1"/>
  <c r="AM65" i="28" s="1"/>
  <c r="AN65" i="28" s="1"/>
  <c r="AO65" i="28" s="1"/>
  <c r="AP65" i="28" s="1"/>
  <c r="AF66" i="28"/>
  <c r="AG66" i="28" s="1"/>
  <c r="AH66" i="28" s="1"/>
  <c r="AI66" i="28" s="1"/>
  <c r="AJ66" i="28" s="1"/>
  <c r="AK66" i="28" s="1"/>
  <c r="AL66" i="28" s="1"/>
  <c r="AM66" i="28" s="1"/>
  <c r="AN66" i="28" s="1"/>
  <c r="AO66" i="28" s="1"/>
  <c r="AP66" i="28" s="1"/>
  <c r="AF107" i="28"/>
  <c r="AG107" i="28" s="1"/>
  <c r="AH107" i="28" s="1"/>
  <c r="AI107" i="28" s="1"/>
  <c r="AJ107" i="28" s="1"/>
  <c r="AK107" i="28" s="1"/>
  <c r="AL107" i="28" s="1"/>
  <c r="AM107" i="28" s="1"/>
  <c r="AN107" i="28" s="1"/>
  <c r="AO107" i="28" s="1"/>
  <c r="AP107" i="28" s="1"/>
  <c r="AF105" i="28"/>
  <c r="AG105" i="28" s="1"/>
  <c r="AH105" i="28" s="1"/>
  <c r="AI105" i="28" s="1"/>
  <c r="AJ105" i="28" s="1"/>
  <c r="AK105" i="28" s="1"/>
  <c r="AL105" i="28" s="1"/>
  <c r="AM105" i="28" s="1"/>
  <c r="AN105" i="28" s="1"/>
  <c r="AO105" i="28" s="1"/>
  <c r="AP105" i="28" s="1"/>
  <c r="AF104" i="28"/>
  <c r="AG104" i="28" s="1"/>
  <c r="AH104" i="28" s="1"/>
  <c r="AI104" i="28" s="1"/>
  <c r="AJ104" i="28" s="1"/>
  <c r="AK104" i="28" s="1"/>
  <c r="AL104" i="28" s="1"/>
  <c r="AM104" i="28" s="1"/>
  <c r="AN104" i="28" s="1"/>
  <c r="AO104" i="28" s="1"/>
  <c r="AP104" i="28" s="1"/>
  <c r="AF75" i="28"/>
  <c r="AG75" i="28" s="1"/>
  <c r="AH75" i="28" s="1"/>
  <c r="AI75" i="28" s="1"/>
  <c r="AJ75" i="28" s="1"/>
  <c r="AK75" i="28" s="1"/>
  <c r="AL75" i="28" s="1"/>
  <c r="AM75" i="28" s="1"/>
  <c r="AN75" i="28" s="1"/>
  <c r="AO75" i="28" s="1"/>
  <c r="AP75" i="28" s="1"/>
  <c r="AF29" i="28"/>
  <c r="AG29" i="28" s="1"/>
  <c r="AH29" i="28" s="1"/>
  <c r="AI29" i="28" s="1"/>
  <c r="AJ29" i="28" s="1"/>
  <c r="AK29" i="28" s="1"/>
  <c r="AL29" i="28" s="1"/>
  <c r="AM29" i="28" s="1"/>
  <c r="AN29" i="28" s="1"/>
  <c r="AO29" i="28" s="1"/>
  <c r="AP29" i="28" s="1"/>
  <c r="AF90" i="28"/>
  <c r="AG90" i="28" s="1"/>
  <c r="AH90" i="28" s="1"/>
  <c r="AI90" i="28" s="1"/>
  <c r="AJ90" i="28" s="1"/>
  <c r="AK90" i="28" s="1"/>
  <c r="AL90" i="28" s="1"/>
  <c r="AM90" i="28" s="1"/>
  <c r="AN90" i="28" s="1"/>
  <c r="AO90" i="28" s="1"/>
  <c r="AP90" i="28" s="1"/>
  <c r="AF89" i="28"/>
  <c r="AG89" i="28" s="1"/>
  <c r="AH89" i="28" s="1"/>
  <c r="AI89" i="28" s="1"/>
  <c r="AJ89" i="28" s="1"/>
  <c r="AK89" i="28" s="1"/>
  <c r="AL89" i="28" s="1"/>
  <c r="AM89" i="28" s="1"/>
  <c r="AN89" i="28" s="1"/>
  <c r="AO89" i="28" s="1"/>
  <c r="AP89" i="28" s="1"/>
  <c r="AF48" i="28"/>
  <c r="AG48" i="28" s="1"/>
  <c r="AH48" i="28" s="1"/>
  <c r="AI48" i="28" s="1"/>
  <c r="AJ48" i="28" s="1"/>
  <c r="AK48" i="28" s="1"/>
  <c r="AL48" i="28" s="1"/>
  <c r="AM48" i="28" s="1"/>
  <c r="AN48" i="28" s="1"/>
  <c r="AO48" i="28" s="1"/>
  <c r="AP48" i="28" s="1"/>
  <c r="AF57" i="28"/>
  <c r="AG57" i="28" s="1"/>
  <c r="AH57" i="28" s="1"/>
  <c r="AI57" i="28" s="1"/>
  <c r="AJ57" i="28" s="1"/>
  <c r="AK57" i="28" s="1"/>
  <c r="AL57" i="28" s="1"/>
  <c r="AM57" i="28" s="1"/>
  <c r="AN57" i="28" s="1"/>
  <c r="AO57" i="28" s="1"/>
  <c r="AP57" i="28" s="1"/>
  <c r="AF51" i="28"/>
  <c r="AG51" i="28" s="1"/>
  <c r="AH51" i="28" s="1"/>
  <c r="AI51" i="28" s="1"/>
  <c r="AJ51" i="28" s="1"/>
  <c r="AK51" i="28" s="1"/>
  <c r="AL51" i="28" s="1"/>
  <c r="AM51" i="28" s="1"/>
  <c r="AN51" i="28" s="1"/>
  <c r="AO51" i="28" s="1"/>
  <c r="AP51" i="28" s="1"/>
  <c r="AF38" i="28"/>
  <c r="AG38" i="28" s="1"/>
  <c r="AH38" i="28" s="1"/>
  <c r="AI38" i="28" s="1"/>
  <c r="AJ38" i="28" s="1"/>
  <c r="AK38" i="28" s="1"/>
  <c r="AL38" i="28" s="1"/>
  <c r="AM38" i="28" s="1"/>
  <c r="AN38" i="28" s="1"/>
  <c r="AO38" i="28" s="1"/>
  <c r="AP38" i="28" s="1"/>
  <c r="AF47" i="28"/>
  <c r="AG47" i="28" s="1"/>
  <c r="AH47" i="28" s="1"/>
  <c r="AI47" i="28" s="1"/>
  <c r="AJ47" i="28" s="1"/>
  <c r="AK47" i="28" s="1"/>
  <c r="AL47" i="28" s="1"/>
  <c r="AM47" i="28" s="1"/>
  <c r="AN47" i="28" s="1"/>
  <c r="AO47" i="28" s="1"/>
  <c r="AP47" i="28" s="1"/>
  <c r="AF109" i="28"/>
  <c r="AG109" i="28" s="1"/>
  <c r="AH109" i="28" s="1"/>
  <c r="AI109" i="28" s="1"/>
  <c r="AJ109" i="28" s="1"/>
  <c r="AK109" i="28" s="1"/>
  <c r="AL109" i="28" s="1"/>
  <c r="AM109" i="28" s="1"/>
  <c r="AN109" i="28" s="1"/>
  <c r="AO109" i="28" s="1"/>
  <c r="AP109" i="28" s="1"/>
  <c r="AF71" i="28"/>
  <c r="AG71" i="28" s="1"/>
  <c r="AH71" i="28" s="1"/>
  <c r="AI71" i="28" s="1"/>
  <c r="AJ71" i="28" s="1"/>
  <c r="AK71" i="28" s="1"/>
  <c r="AL71" i="28" s="1"/>
  <c r="AM71" i="28" s="1"/>
  <c r="AN71" i="28" s="1"/>
  <c r="AO71" i="28" s="1"/>
  <c r="AP71" i="28" s="1"/>
  <c r="AF64" i="28"/>
  <c r="AG64" i="28" s="1"/>
  <c r="AH64" i="28" s="1"/>
  <c r="AI64" i="28" s="1"/>
  <c r="AJ64" i="28" s="1"/>
  <c r="AK64" i="28" s="1"/>
  <c r="AL64" i="28" s="1"/>
  <c r="AM64" i="28" s="1"/>
  <c r="AN64" i="28" s="1"/>
  <c r="AO64" i="28" s="1"/>
  <c r="AP64" i="28" s="1"/>
  <c r="AF40" i="28"/>
  <c r="AG40" i="28" s="1"/>
  <c r="AH40" i="28" s="1"/>
  <c r="AI40" i="28" s="1"/>
  <c r="AJ40" i="28" s="1"/>
  <c r="AK40" i="28" s="1"/>
  <c r="AL40" i="28" s="1"/>
  <c r="AM40" i="28" s="1"/>
  <c r="AN40" i="28" s="1"/>
  <c r="AO40" i="28" s="1"/>
  <c r="AP40" i="28" s="1"/>
  <c r="AF56" i="28"/>
  <c r="AG56" i="28" s="1"/>
  <c r="AH56" i="28" s="1"/>
  <c r="AI56" i="28" s="1"/>
  <c r="AJ56" i="28" s="1"/>
  <c r="AK56" i="28" s="1"/>
  <c r="AL56" i="28" s="1"/>
  <c r="AM56" i="28" s="1"/>
  <c r="AN56" i="28" s="1"/>
  <c r="AO56" i="28" s="1"/>
  <c r="AP56" i="28" s="1"/>
  <c r="AF59" i="28"/>
  <c r="AG59" i="28" s="1"/>
  <c r="AH59" i="28" s="1"/>
  <c r="AI59" i="28" s="1"/>
  <c r="AJ59" i="28" s="1"/>
  <c r="AK59" i="28" s="1"/>
  <c r="AL59" i="28" s="1"/>
  <c r="AM59" i="28" s="1"/>
  <c r="AN59" i="28" s="1"/>
  <c r="AO59" i="28" s="1"/>
  <c r="AP59" i="28" s="1"/>
  <c r="AF77" i="28"/>
  <c r="AG77" i="28" s="1"/>
  <c r="AH77" i="28" s="1"/>
  <c r="AI77" i="28" s="1"/>
  <c r="AJ77" i="28" s="1"/>
  <c r="AK77" i="28" s="1"/>
  <c r="AL77" i="28" s="1"/>
  <c r="AM77" i="28" s="1"/>
  <c r="AN77" i="28" s="1"/>
  <c r="AO77" i="28" s="1"/>
  <c r="AP77" i="28" s="1"/>
  <c r="AF53" i="28"/>
  <c r="AG53" i="28" s="1"/>
  <c r="AH53" i="28" s="1"/>
  <c r="AI53" i="28" s="1"/>
  <c r="AJ53" i="28" s="1"/>
  <c r="AK53" i="28" s="1"/>
  <c r="AL53" i="28" s="1"/>
  <c r="AM53" i="28" s="1"/>
  <c r="AN53" i="28" s="1"/>
  <c r="AO53" i="28" s="1"/>
  <c r="AP53" i="28" s="1"/>
  <c r="AF43" i="28"/>
  <c r="AG43" i="28" s="1"/>
  <c r="AH43" i="28" s="1"/>
  <c r="AI43" i="28" s="1"/>
  <c r="AJ43" i="28" s="1"/>
  <c r="AK43" i="28" s="1"/>
  <c r="AL43" i="28" s="1"/>
  <c r="AM43" i="28" s="1"/>
  <c r="AN43" i="28" s="1"/>
  <c r="AO43" i="28" s="1"/>
  <c r="AP43" i="28" s="1"/>
  <c r="AF11" i="28"/>
  <c r="AG11" i="28" s="1"/>
  <c r="AH11" i="28" s="1"/>
  <c r="AI11" i="28" s="1"/>
  <c r="AJ11" i="28" s="1"/>
  <c r="AK11" i="28" s="1"/>
  <c r="AL11" i="28" s="1"/>
  <c r="AM11" i="28" s="1"/>
  <c r="AN11" i="28" s="1"/>
  <c r="AO11" i="28" s="1"/>
  <c r="AP11" i="28" s="1"/>
  <c r="AF54" i="28"/>
  <c r="AG54" i="28" s="1"/>
  <c r="AH54" i="28" s="1"/>
  <c r="AI54" i="28" s="1"/>
  <c r="AJ54" i="28" s="1"/>
  <c r="AK54" i="28" s="1"/>
  <c r="AL54" i="28" s="1"/>
  <c r="AM54" i="28" s="1"/>
  <c r="AN54" i="28" s="1"/>
  <c r="AO54" i="28" s="1"/>
  <c r="AP54" i="28" s="1"/>
  <c r="AF12" i="28"/>
  <c r="AG12" i="28" s="1"/>
  <c r="AH12" i="28" s="1"/>
  <c r="AI12" i="28" s="1"/>
  <c r="AJ12" i="28" s="1"/>
  <c r="AK12" i="28" s="1"/>
  <c r="AL12" i="28" s="1"/>
  <c r="AM12" i="28" s="1"/>
  <c r="AN12" i="28" s="1"/>
  <c r="AO12" i="28" s="1"/>
  <c r="AP12" i="28" s="1"/>
  <c r="AF14" i="28"/>
  <c r="AG14" i="28" s="1"/>
  <c r="AH14" i="28" s="1"/>
  <c r="AI14" i="28" s="1"/>
  <c r="AJ14" i="28" s="1"/>
  <c r="AK14" i="28" s="1"/>
  <c r="AL14" i="28" s="1"/>
  <c r="AM14" i="28" s="1"/>
  <c r="AN14" i="28" s="1"/>
  <c r="AO14" i="28" s="1"/>
  <c r="AP14" i="28" s="1"/>
  <c r="AF4" i="28"/>
  <c r="AG4" i="28" s="1"/>
  <c r="AH4" i="28" s="1"/>
  <c r="AI4" i="28" s="1"/>
  <c r="AJ4" i="28" s="1"/>
  <c r="AK4" i="28" s="1"/>
  <c r="AL4" i="28" s="1"/>
  <c r="AM4" i="28" s="1"/>
  <c r="AN4" i="28" s="1"/>
  <c r="AO4" i="28" s="1"/>
  <c r="AP4" i="28" s="1"/>
  <c r="AF10" i="28"/>
  <c r="AG10" i="28" s="1"/>
  <c r="AH10" i="28" s="1"/>
  <c r="AI10" i="28" s="1"/>
  <c r="AJ10" i="28" s="1"/>
  <c r="AK10" i="28" s="1"/>
  <c r="AL10" i="28" s="1"/>
  <c r="AM10" i="28" s="1"/>
  <c r="AN10" i="28" s="1"/>
  <c r="AO10" i="28" s="1"/>
  <c r="AP10" i="28" s="1"/>
  <c r="AF113" i="28"/>
  <c r="AG113" i="28" s="1"/>
  <c r="AH113" i="28" s="1"/>
  <c r="AI113" i="28" s="1"/>
  <c r="AJ113" i="28" s="1"/>
  <c r="AK113" i="28" s="1"/>
  <c r="AL113" i="28" s="1"/>
  <c r="AM113" i="28" s="1"/>
  <c r="AN113" i="28" s="1"/>
  <c r="AO113" i="28" s="1"/>
  <c r="AP113" i="28" s="1"/>
  <c r="AD113" i="28" s="1"/>
  <c r="AF25" i="28"/>
  <c r="AG25" i="28" s="1"/>
  <c r="AH25" i="28" s="1"/>
  <c r="AI25" i="28" s="1"/>
  <c r="AJ25" i="28" s="1"/>
  <c r="AK25" i="28" s="1"/>
  <c r="AL25" i="28" s="1"/>
  <c r="AM25" i="28" s="1"/>
  <c r="AN25" i="28" s="1"/>
  <c r="AO25" i="28" s="1"/>
  <c r="AP25" i="28" s="1"/>
  <c r="AD25" i="28" s="1"/>
  <c r="AF27" i="28"/>
  <c r="AG27" i="28" s="1"/>
  <c r="AH27" i="28" s="1"/>
  <c r="AI27" i="28" s="1"/>
  <c r="AJ27" i="28" s="1"/>
  <c r="AK27" i="28" s="1"/>
  <c r="AL27" i="28" s="1"/>
  <c r="AM27" i="28" s="1"/>
  <c r="AN27" i="28" s="1"/>
  <c r="AO27" i="28" s="1"/>
  <c r="AP27" i="28" s="1"/>
  <c r="AF15" i="28"/>
  <c r="AG15" i="28" s="1"/>
  <c r="AH15" i="28" s="1"/>
  <c r="AI15" i="28" s="1"/>
  <c r="AJ15" i="28" s="1"/>
  <c r="AK15" i="28" s="1"/>
  <c r="AL15" i="28" s="1"/>
  <c r="AM15" i="28" s="1"/>
  <c r="AN15" i="28" s="1"/>
  <c r="AO15" i="28" s="1"/>
  <c r="AP15" i="28" s="1"/>
  <c r="AF111" i="28"/>
  <c r="AG111" i="28" s="1"/>
  <c r="AH111" i="28" s="1"/>
  <c r="AI111" i="28" s="1"/>
  <c r="AJ111" i="28" s="1"/>
  <c r="AK111" i="28" s="1"/>
  <c r="AL111" i="28" s="1"/>
  <c r="AM111" i="28" s="1"/>
  <c r="AN111" i="28" s="1"/>
  <c r="AO111" i="28" s="1"/>
  <c r="AP111" i="28" s="1"/>
  <c r="AF18" i="28"/>
  <c r="AG18" i="28" s="1"/>
  <c r="AH18" i="28" s="1"/>
  <c r="AI18" i="28" s="1"/>
  <c r="AJ18" i="28" s="1"/>
  <c r="AK18" i="28" s="1"/>
  <c r="AL18" i="28" s="1"/>
  <c r="AM18" i="28" s="1"/>
  <c r="AN18" i="28" s="1"/>
  <c r="AO18" i="28" s="1"/>
  <c r="AP18" i="28" s="1"/>
  <c r="AF34" i="28"/>
  <c r="AG34" i="28" s="1"/>
  <c r="AH34" i="28" s="1"/>
  <c r="AI34" i="28" s="1"/>
  <c r="AJ34" i="28" s="1"/>
  <c r="AK34" i="28" s="1"/>
  <c r="AL34" i="28" s="1"/>
  <c r="AM34" i="28" s="1"/>
  <c r="AN34" i="28" s="1"/>
  <c r="AO34" i="28" s="1"/>
  <c r="AP34" i="28" s="1"/>
  <c r="AF82" i="28"/>
  <c r="AG82" i="28" s="1"/>
  <c r="AH82" i="28" s="1"/>
  <c r="AI82" i="28" s="1"/>
  <c r="AJ82" i="28" s="1"/>
  <c r="AK82" i="28" s="1"/>
  <c r="AL82" i="28" s="1"/>
  <c r="AM82" i="28" s="1"/>
  <c r="AN82" i="28" s="1"/>
  <c r="AO82" i="28" s="1"/>
  <c r="AP82" i="28" s="1"/>
  <c r="AD82" i="28" s="1"/>
  <c r="AF95" i="28"/>
  <c r="AG95" i="28" s="1"/>
  <c r="AH95" i="28" s="1"/>
  <c r="AI95" i="28" s="1"/>
  <c r="AJ95" i="28" s="1"/>
  <c r="AK95" i="28" s="1"/>
  <c r="AL95" i="28" s="1"/>
  <c r="AM95" i="28" s="1"/>
  <c r="AN95" i="28" s="1"/>
  <c r="AO95" i="28" s="1"/>
  <c r="AP95" i="28" s="1"/>
  <c r="AF96" i="28"/>
  <c r="AG96" i="28" s="1"/>
  <c r="AH96" i="28" s="1"/>
  <c r="AI96" i="28" s="1"/>
  <c r="AJ96" i="28" s="1"/>
  <c r="AK96" i="28" s="1"/>
  <c r="AL96" i="28" s="1"/>
  <c r="AM96" i="28" s="1"/>
  <c r="AN96" i="28" s="1"/>
  <c r="AO96" i="28" s="1"/>
  <c r="AP96" i="28" s="1"/>
  <c r="AF8" i="28"/>
  <c r="AG8" i="28" s="1"/>
  <c r="AH8" i="28" s="1"/>
  <c r="AI8" i="28" s="1"/>
  <c r="AJ8" i="28" s="1"/>
  <c r="AK8" i="28" s="1"/>
  <c r="AL8" i="28" s="1"/>
  <c r="AM8" i="28" s="1"/>
  <c r="AN8" i="28" s="1"/>
  <c r="AO8" i="28" s="1"/>
  <c r="AP8" i="28" s="1"/>
  <c r="AF36" i="28"/>
  <c r="AG36" i="28" s="1"/>
  <c r="AH36" i="28" s="1"/>
  <c r="AI36" i="28" s="1"/>
  <c r="AJ36" i="28" s="1"/>
  <c r="AK36" i="28" s="1"/>
  <c r="AL36" i="28" s="1"/>
  <c r="AM36" i="28" s="1"/>
  <c r="AN36" i="28" s="1"/>
  <c r="AO36" i="28" s="1"/>
  <c r="AP36" i="28" s="1"/>
  <c r="AF101" i="28"/>
  <c r="AG101" i="28" s="1"/>
  <c r="AH101" i="28" s="1"/>
  <c r="AI101" i="28" s="1"/>
  <c r="AJ101" i="28" s="1"/>
  <c r="AK101" i="28" s="1"/>
  <c r="AL101" i="28" s="1"/>
  <c r="AM101" i="28" s="1"/>
  <c r="AN101" i="28" s="1"/>
  <c r="AO101" i="28" s="1"/>
  <c r="AP101" i="28" s="1"/>
  <c r="AD101" i="28" s="1"/>
  <c r="AF19" i="28"/>
  <c r="AG19" i="28" s="1"/>
  <c r="AH19" i="28" s="1"/>
  <c r="AI19" i="28" s="1"/>
  <c r="AJ19" i="28" s="1"/>
  <c r="AK19" i="28" s="1"/>
  <c r="AL19" i="28" s="1"/>
  <c r="AM19" i="28" s="1"/>
  <c r="AN19" i="28" s="1"/>
  <c r="AO19" i="28" s="1"/>
  <c r="AP19" i="28" s="1"/>
  <c r="AF44" i="28"/>
  <c r="AG44" i="28" s="1"/>
  <c r="AH44" i="28" s="1"/>
  <c r="AI44" i="28" s="1"/>
  <c r="AJ44" i="28" s="1"/>
  <c r="AK44" i="28" s="1"/>
  <c r="AL44" i="28" s="1"/>
  <c r="AM44" i="28" s="1"/>
  <c r="AN44" i="28" s="1"/>
  <c r="AO44" i="28" s="1"/>
  <c r="AP44" i="28" s="1"/>
  <c r="AF103" i="28"/>
  <c r="AG103" i="28" s="1"/>
  <c r="AH103" i="28" s="1"/>
  <c r="AI103" i="28" s="1"/>
  <c r="AJ103" i="28" s="1"/>
  <c r="AK103" i="28" s="1"/>
  <c r="AL103" i="28" s="1"/>
  <c r="AM103" i="28" s="1"/>
  <c r="AN103" i="28" s="1"/>
  <c r="AO103" i="28" s="1"/>
  <c r="AP103" i="28" s="1"/>
  <c r="AF21" i="28"/>
  <c r="AG21" i="28" s="1"/>
  <c r="AH21" i="28" s="1"/>
  <c r="AI21" i="28" s="1"/>
  <c r="AJ21" i="28" s="1"/>
  <c r="AK21" i="28" s="1"/>
  <c r="AL21" i="28" s="1"/>
  <c r="AM21" i="28" s="1"/>
  <c r="AN21" i="28" s="1"/>
  <c r="AO21" i="28" s="1"/>
  <c r="AP21" i="28" s="1"/>
  <c r="AF110" i="28"/>
  <c r="AG110" i="28" s="1"/>
  <c r="AH110" i="28" s="1"/>
  <c r="AI110" i="28" s="1"/>
  <c r="AJ110" i="28" s="1"/>
  <c r="AK110" i="28" s="1"/>
  <c r="AL110" i="28" s="1"/>
  <c r="AM110" i="28" s="1"/>
  <c r="AN110" i="28" s="1"/>
  <c r="AO110" i="28" s="1"/>
  <c r="AP110" i="28" s="1"/>
  <c r="AF20" i="28"/>
  <c r="AG20" i="28" s="1"/>
  <c r="AH20" i="28" s="1"/>
  <c r="AI20" i="28" s="1"/>
  <c r="AJ20" i="28" s="1"/>
  <c r="AK20" i="28" s="1"/>
  <c r="AL20" i="28" s="1"/>
  <c r="AM20" i="28" s="1"/>
  <c r="AN20" i="28" s="1"/>
  <c r="AO20" i="28" s="1"/>
  <c r="AP20" i="28" s="1"/>
  <c r="AF41" i="28"/>
  <c r="AG41" i="28" s="1"/>
  <c r="AH41" i="28" s="1"/>
  <c r="AI41" i="28" s="1"/>
  <c r="AJ41" i="28" s="1"/>
  <c r="AK41" i="28" s="1"/>
  <c r="AL41" i="28" s="1"/>
  <c r="AM41" i="28" s="1"/>
  <c r="AN41" i="28" s="1"/>
  <c r="AO41" i="28" s="1"/>
  <c r="AP41" i="28" s="1"/>
  <c r="AF50" i="28"/>
  <c r="AG50" i="28" s="1"/>
  <c r="AH50" i="28" s="1"/>
  <c r="AI50" i="28" s="1"/>
  <c r="AJ50" i="28" s="1"/>
  <c r="AK50" i="28" s="1"/>
  <c r="AL50" i="28" s="1"/>
  <c r="AM50" i="28" s="1"/>
  <c r="AN50" i="28" s="1"/>
  <c r="AO50" i="28" s="1"/>
  <c r="AP50" i="28" s="1"/>
  <c r="AF108" i="28"/>
  <c r="AG108" i="28" s="1"/>
  <c r="AH108" i="28" s="1"/>
  <c r="AI108" i="28" s="1"/>
  <c r="AJ108" i="28" s="1"/>
  <c r="AK108" i="28" s="1"/>
  <c r="AL108" i="28" s="1"/>
  <c r="AM108" i="28" s="1"/>
  <c r="AN108" i="28" s="1"/>
  <c r="AO108" i="28" s="1"/>
  <c r="AP108" i="28" s="1"/>
  <c r="AF22" i="28"/>
  <c r="AG22" i="28" s="1"/>
  <c r="AH22" i="28" s="1"/>
  <c r="AI22" i="28" s="1"/>
  <c r="AJ22" i="28" s="1"/>
  <c r="AK22" i="28" s="1"/>
  <c r="AL22" i="28" s="1"/>
  <c r="AM22" i="28" s="1"/>
  <c r="AN22" i="28" s="1"/>
  <c r="AO22" i="28" s="1"/>
  <c r="AP22" i="28" s="1"/>
  <c r="AF39" i="28"/>
  <c r="AG39" i="28" s="1"/>
  <c r="AH39" i="28" s="1"/>
  <c r="AI39" i="28" s="1"/>
  <c r="AJ39" i="28" s="1"/>
  <c r="AK39" i="28" s="1"/>
  <c r="AL39" i="28" s="1"/>
  <c r="AM39" i="28" s="1"/>
  <c r="AN39" i="28" s="1"/>
  <c r="AO39" i="28" s="1"/>
  <c r="AP39" i="28" s="1"/>
  <c r="AF3" i="28"/>
  <c r="AG3" i="28" s="1"/>
  <c r="T166" i="30" l="1"/>
  <c r="S166" i="30" s="1"/>
  <c r="R166" i="30"/>
  <c r="E33" i="28"/>
  <c r="G30" i="28"/>
  <c r="H17" i="28"/>
  <c r="T294" i="1"/>
  <c r="S294" i="1" s="1"/>
  <c r="F17" i="28"/>
  <c r="E17" i="28"/>
  <c r="T335" i="1" s="1"/>
  <c r="S335" i="1" s="1"/>
  <c r="T514" i="1"/>
  <c r="S514" i="1" s="1"/>
  <c r="AD44" i="28"/>
  <c r="I44" i="28" s="1"/>
  <c r="AD93" i="28"/>
  <c r="I93" i="28" s="1"/>
  <c r="I84" i="28"/>
  <c r="AD84" i="28"/>
  <c r="F84" i="28" s="1"/>
  <c r="AD74" i="28"/>
  <c r="H74" i="28" s="1"/>
  <c r="AD18" i="28"/>
  <c r="I18" i="28" s="1"/>
  <c r="I57" i="28"/>
  <c r="AD57" i="28"/>
  <c r="F57" i="28" s="1"/>
  <c r="I49" i="28"/>
  <c r="AD49" i="28"/>
  <c r="F49" i="28" s="1"/>
  <c r="AD31" i="28"/>
  <c r="K31" i="28" s="1"/>
  <c r="AD21" i="28"/>
  <c r="K21" i="28" s="1"/>
  <c r="I9" i="28"/>
  <c r="AD9" i="28"/>
  <c r="G9" i="28" s="1"/>
  <c r="AD64" i="28"/>
  <c r="I64" i="28" s="1"/>
  <c r="AD109" i="28"/>
  <c r="I109" i="28" s="1"/>
  <c r="AD87" i="28"/>
  <c r="I87" i="28" s="1"/>
  <c r="I51" i="28"/>
  <c r="AD51" i="28"/>
  <c r="G51" i="28" s="1"/>
  <c r="I111" i="28"/>
  <c r="AD111" i="28"/>
  <c r="H111" i="28" s="1"/>
  <c r="AD48" i="28"/>
  <c r="I48" i="28" s="1"/>
  <c r="I23" i="28"/>
  <c r="AD23" i="28"/>
  <c r="E23" i="28" s="1"/>
  <c r="AD94" i="28"/>
  <c r="G94" i="28" s="1"/>
  <c r="AD56" i="28"/>
  <c r="J56" i="28" s="1"/>
  <c r="I58" i="28"/>
  <c r="AD58" i="28"/>
  <c r="G58" i="28" s="1"/>
  <c r="AD35" i="28"/>
  <c r="H35" i="28" s="1"/>
  <c r="AD15" i="28"/>
  <c r="E15" i="28" s="1"/>
  <c r="AD39" i="28"/>
  <c r="E39" i="28" s="1"/>
  <c r="I45" i="28"/>
  <c r="AD45" i="28"/>
  <c r="F45" i="28" s="1"/>
  <c r="AD107" i="28"/>
  <c r="I107" i="28" s="1"/>
  <c r="AD103" i="28"/>
  <c r="K103" i="28" s="1"/>
  <c r="I59" i="28"/>
  <c r="AD59" i="28"/>
  <c r="E59" i="28" s="1"/>
  <c r="AD36" i="28"/>
  <c r="E36" i="28" s="1"/>
  <c r="AD71" i="28"/>
  <c r="J71" i="28" s="1"/>
  <c r="AD47" i="28"/>
  <c r="H47" i="28" s="1"/>
  <c r="I55" i="28"/>
  <c r="AD55" i="28"/>
  <c r="H55" i="28" s="1"/>
  <c r="I24" i="28"/>
  <c r="AD24" i="28"/>
  <c r="F24" i="28" s="1"/>
  <c r="I68" i="28"/>
  <c r="AD68" i="28"/>
  <c r="F68" i="28" s="1"/>
  <c r="AD104" i="28"/>
  <c r="K104" i="28" s="1"/>
  <c r="AD14" i="28"/>
  <c r="I14" i="28" s="1"/>
  <c r="I66" i="28"/>
  <c r="AD66" i="28"/>
  <c r="H66" i="28" s="1"/>
  <c r="AD5" i="28"/>
  <c r="I5" i="28" s="1"/>
  <c r="AD6" i="28"/>
  <c r="I6" i="28" s="1"/>
  <c r="AD77" i="28"/>
  <c r="I77" i="28" s="1"/>
  <c r="AD19" i="28"/>
  <c r="H19" i="28" s="1"/>
  <c r="AD85" i="28"/>
  <c r="K85" i="28" s="1"/>
  <c r="AD96" i="28"/>
  <c r="G96" i="28" s="1"/>
  <c r="AD38" i="28"/>
  <c r="I38" i="28" s="1"/>
  <c r="AD88" i="28"/>
  <c r="I88" i="28" s="1"/>
  <c r="AD27" i="28"/>
  <c r="H27" i="28" s="1"/>
  <c r="I46" i="28"/>
  <c r="AD46" i="28"/>
  <c r="G46" i="28" s="1"/>
  <c r="AD22" i="28"/>
  <c r="J22" i="28" s="1"/>
  <c r="I26" i="28"/>
  <c r="AD26" i="28"/>
  <c r="G26" i="28" s="1"/>
  <c r="AD86" i="28"/>
  <c r="I86" i="28" s="1"/>
  <c r="AD12" i="28"/>
  <c r="I12" i="28" s="1"/>
  <c r="AD41" i="28"/>
  <c r="I41" i="28" s="1"/>
  <c r="I54" i="28"/>
  <c r="AD54" i="28"/>
  <c r="H54" i="28" s="1"/>
  <c r="I65" i="28"/>
  <c r="AD65" i="28"/>
  <c r="H65" i="28" s="1"/>
  <c r="AD13" i="28"/>
  <c r="I13" i="28" s="1"/>
  <c r="AD53" i="28"/>
  <c r="F53" i="28" s="1"/>
  <c r="I42" i="28"/>
  <c r="AD42" i="28"/>
  <c r="G42" i="28" s="1"/>
  <c r="I52" i="28"/>
  <c r="AD52" i="28"/>
  <c r="F52" i="28" s="1"/>
  <c r="I34" i="28"/>
  <c r="AD34" i="28"/>
  <c r="E34" i="28" s="1"/>
  <c r="AD73" i="28"/>
  <c r="H73" i="28" s="1"/>
  <c r="AD90" i="28"/>
  <c r="J90" i="28" s="1"/>
  <c r="AD72" i="28"/>
  <c r="I72" i="28" s="1"/>
  <c r="AD75" i="28"/>
  <c r="I75" i="28" s="1"/>
  <c r="AD10" i="28"/>
  <c r="E10" i="28" s="1"/>
  <c r="AD4" i="28"/>
  <c r="H4" i="28" s="1"/>
  <c r="AD108" i="28"/>
  <c r="G108" i="28" s="1"/>
  <c r="AD50" i="28"/>
  <c r="G50" i="28" s="1"/>
  <c r="AD20" i="28"/>
  <c r="G20" i="28" s="1"/>
  <c r="I11" i="28"/>
  <c r="AD11" i="28"/>
  <c r="G11" i="28" s="1"/>
  <c r="AD91" i="28"/>
  <c r="I91" i="28" s="1"/>
  <c r="AD100" i="28"/>
  <c r="F100" i="28" s="1"/>
  <c r="I67" i="28"/>
  <c r="AD67" i="28"/>
  <c r="G67" i="28" s="1"/>
  <c r="AD40" i="28"/>
  <c r="G40" i="28" s="1"/>
  <c r="AD8" i="28"/>
  <c r="I8" i="28" s="1"/>
  <c r="AD95" i="28"/>
  <c r="I95" i="28" s="1"/>
  <c r="AD89" i="28"/>
  <c r="I89" i="28" s="1"/>
  <c r="I29" i="28"/>
  <c r="AD29" i="28"/>
  <c r="E29" i="28" s="1"/>
  <c r="AD78" i="28"/>
  <c r="I78" i="28" s="1"/>
  <c r="AD105" i="28"/>
  <c r="F105" i="28" s="1"/>
  <c r="AD110" i="28"/>
  <c r="I110" i="28" s="1"/>
  <c r="AD43" i="28"/>
  <c r="J43" i="28" s="1"/>
  <c r="AD92" i="28"/>
  <c r="H92" i="28" s="1"/>
  <c r="I102" i="28"/>
  <c r="K102" i="28"/>
  <c r="I101" i="28"/>
  <c r="K101" i="28"/>
  <c r="I99" i="28"/>
  <c r="K99" i="28"/>
  <c r="I97" i="28"/>
  <c r="K97" i="28"/>
  <c r="I82" i="28"/>
  <c r="K82" i="28"/>
  <c r="I98" i="28"/>
  <c r="K98" i="28"/>
  <c r="I113" i="28"/>
  <c r="K113" i="28"/>
  <c r="I63" i="28"/>
  <c r="K63" i="28"/>
  <c r="I25" i="28"/>
  <c r="K25" i="28"/>
  <c r="I114" i="28"/>
  <c r="K114" i="28"/>
  <c r="AF83" i="28"/>
  <c r="AG83" i="28" s="1"/>
  <c r="AH83" i="28" s="1"/>
  <c r="AI83" i="28" s="1"/>
  <c r="AJ83" i="28" s="1"/>
  <c r="AK83" i="28" s="1"/>
  <c r="AL83" i="28" s="1"/>
  <c r="AM83" i="28" s="1"/>
  <c r="AN83" i="28" s="1"/>
  <c r="AO83" i="28" s="1"/>
  <c r="AP83" i="28" s="1"/>
  <c r="E115" i="28"/>
  <c r="F115" i="28"/>
  <c r="G115" i="28"/>
  <c r="F77" i="28"/>
  <c r="G77" i="28"/>
  <c r="E77" i="28"/>
  <c r="F110" i="28"/>
  <c r="J110" i="28"/>
  <c r="G110" i="28"/>
  <c r="F7" i="28"/>
  <c r="E7" i="28"/>
  <c r="G7" i="28"/>
  <c r="J82" i="28"/>
  <c r="G82" i="28"/>
  <c r="E82" i="28"/>
  <c r="F82" i="28"/>
  <c r="L82" i="28"/>
  <c r="H82" i="28"/>
  <c r="F62" i="28"/>
  <c r="E62" i="28"/>
  <c r="G62" i="28"/>
  <c r="J89" i="28"/>
  <c r="H89" i="28"/>
  <c r="G89" i="28"/>
  <c r="F89" i="28"/>
  <c r="F94" i="28"/>
  <c r="E74" i="28"/>
  <c r="BQ30" i="28"/>
  <c r="C30" i="28"/>
  <c r="R378" i="1"/>
  <c r="F16" i="28"/>
  <c r="E16" i="28"/>
  <c r="G16" i="28"/>
  <c r="F113" i="28"/>
  <c r="J113" i="28"/>
  <c r="L113" i="28"/>
  <c r="E113" i="28"/>
  <c r="T276" i="1" s="1"/>
  <c r="S276" i="1" s="1"/>
  <c r="H113" i="28"/>
  <c r="G113" i="28"/>
  <c r="E69" i="28"/>
  <c r="G69" i="28"/>
  <c r="F69" i="28"/>
  <c r="G60" i="28"/>
  <c r="E60" i="28"/>
  <c r="F60" i="28"/>
  <c r="G56" i="28"/>
  <c r="E56" i="28"/>
  <c r="T313" i="1" s="1"/>
  <c r="S313" i="1" s="1"/>
  <c r="H56" i="28"/>
  <c r="F56" i="28"/>
  <c r="G57" i="28"/>
  <c r="F70" i="28"/>
  <c r="G70" i="28"/>
  <c r="E70" i="28"/>
  <c r="E97" i="28"/>
  <c r="J97" i="28"/>
  <c r="F97" i="28"/>
  <c r="G97" i="28"/>
  <c r="L97" i="28"/>
  <c r="H97" i="28"/>
  <c r="BQ33" i="28"/>
  <c r="R514" i="1"/>
  <c r="C33" i="28"/>
  <c r="E25" i="28"/>
  <c r="F25" i="28"/>
  <c r="L25" i="28"/>
  <c r="H25" i="28"/>
  <c r="M25" i="28"/>
  <c r="G25" i="28"/>
  <c r="J25" i="28"/>
  <c r="J63" i="28"/>
  <c r="L63" i="28"/>
  <c r="M63" i="28"/>
  <c r="E63" i="28"/>
  <c r="F63" i="28"/>
  <c r="G63" i="28"/>
  <c r="H63" i="28"/>
  <c r="E98" i="28"/>
  <c r="L98" i="28"/>
  <c r="F98" i="28"/>
  <c r="M98" i="28"/>
  <c r="G98" i="28"/>
  <c r="J98" i="28"/>
  <c r="H98" i="28"/>
  <c r="F41" i="28"/>
  <c r="G41" i="28"/>
  <c r="M102" i="28"/>
  <c r="E102" i="28"/>
  <c r="S102" i="28"/>
  <c r="H102" i="28"/>
  <c r="G102" i="28"/>
  <c r="L102" i="28"/>
  <c r="F102" i="28"/>
  <c r="O102" i="28"/>
  <c r="T102" i="28"/>
  <c r="R102" i="28"/>
  <c r="P102" i="28"/>
  <c r="N102" i="28"/>
  <c r="Q102" i="28"/>
  <c r="V102" i="28"/>
  <c r="X102" i="28"/>
  <c r="W102" i="28"/>
  <c r="J102" i="28"/>
  <c r="U102" i="28"/>
  <c r="H114" i="28"/>
  <c r="F114" i="28"/>
  <c r="E114" i="28"/>
  <c r="G114" i="28"/>
  <c r="L114" i="28"/>
  <c r="J114" i="28"/>
  <c r="F93" i="28"/>
  <c r="G93" i="28"/>
  <c r="H93" i="28"/>
  <c r="E93" i="28"/>
  <c r="H44" i="28"/>
  <c r="E44" i="28"/>
  <c r="F44" i="28"/>
  <c r="G44" i="28"/>
  <c r="L101" i="28"/>
  <c r="H101" i="28"/>
  <c r="O101" i="28"/>
  <c r="P101" i="28"/>
  <c r="R101" i="28"/>
  <c r="N101" i="28"/>
  <c r="J101" i="28"/>
  <c r="M101" i="28"/>
  <c r="G101" i="28"/>
  <c r="F101" i="28"/>
  <c r="E101" i="28"/>
  <c r="Q101" i="28"/>
  <c r="E32" i="28"/>
  <c r="F32" i="28"/>
  <c r="G32" i="28"/>
  <c r="G18" i="28"/>
  <c r="E18" i="28"/>
  <c r="BQ28" i="28"/>
  <c r="R294" i="1"/>
  <c r="C28" i="28"/>
  <c r="J99" i="28"/>
  <c r="F99" i="28"/>
  <c r="H99" i="28"/>
  <c r="G99" i="28"/>
  <c r="L99" i="28"/>
  <c r="E99" i="28"/>
  <c r="AM37" i="28"/>
  <c r="AN37" i="28" s="1"/>
  <c r="AO37" i="28" s="1"/>
  <c r="AP37" i="28" s="1"/>
  <c r="AQ568" i="1"/>
  <c r="B568" i="1" s="1"/>
  <c r="AQ567" i="1"/>
  <c r="B567" i="1" s="1"/>
  <c r="AQ566" i="1"/>
  <c r="B566" i="1" s="1"/>
  <c r="AQ565" i="1"/>
  <c r="B565" i="1" s="1"/>
  <c r="AQ564" i="1"/>
  <c r="B564" i="1" s="1"/>
  <c r="AQ563" i="1"/>
  <c r="B563" i="1" s="1"/>
  <c r="AQ557" i="1"/>
  <c r="B557" i="1" s="1"/>
  <c r="AQ554" i="1"/>
  <c r="B554" i="1" s="1"/>
  <c r="F107" i="28" l="1"/>
  <c r="T248" i="30"/>
  <c r="S248" i="30" s="1"/>
  <c r="R248" i="30"/>
  <c r="T157" i="30"/>
  <c r="S157" i="30" s="1"/>
  <c r="R157" i="30"/>
  <c r="T134" i="30"/>
  <c r="S134" i="30" s="1"/>
  <c r="R134" i="30"/>
  <c r="T356" i="30"/>
  <c r="S356" i="30" s="1"/>
  <c r="R356" i="30"/>
  <c r="F29" i="28"/>
  <c r="T324" i="30"/>
  <c r="S324" i="30" s="1"/>
  <c r="R324" i="30"/>
  <c r="H29" i="28"/>
  <c r="T256" i="30"/>
  <c r="S256" i="30" s="1"/>
  <c r="R256" i="30"/>
  <c r="T211" i="30"/>
  <c r="S211" i="30" s="1"/>
  <c r="R211" i="30"/>
  <c r="T351" i="30"/>
  <c r="S351" i="30" s="1"/>
  <c r="R351" i="30"/>
  <c r="T286" i="30"/>
  <c r="S286" i="30" s="1"/>
  <c r="R286" i="30"/>
  <c r="T247" i="30"/>
  <c r="S247" i="30" s="1"/>
  <c r="R247" i="30"/>
  <c r="T115" i="30"/>
  <c r="S115" i="30" s="1"/>
  <c r="R115" i="30"/>
  <c r="T283" i="30"/>
  <c r="S283" i="30" s="1"/>
  <c r="R283" i="30"/>
  <c r="T113" i="30"/>
  <c r="S113" i="30" s="1"/>
  <c r="R113" i="30"/>
  <c r="T241" i="30"/>
  <c r="S241" i="30" s="1"/>
  <c r="R241" i="30"/>
  <c r="T151" i="30"/>
  <c r="S151" i="30" s="1"/>
  <c r="R151" i="30"/>
  <c r="H18" i="28"/>
  <c r="T171" i="30"/>
  <c r="S171" i="30" s="1"/>
  <c r="R171" i="30"/>
  <c r="T116" i="30"/>
  <c r="S116" i="30" s="1"/>
  <c r="R116" i="30"/>
  <c r="T315" i="30"/>
  <c r="S315" i="30" s="1"/>
  <c r="R315" i="30"/>
  <c r="T355" i="30"/>
  <c r="S355" i="30" s="1"/>
  <c r="R355" i="30"/>
  <c r="T290" i="30"/>
  <c r="S290" i="30" s="1"/>
  <c r="R290" i="30"/>
  <c r="T3" i="30"/>
  <c r="S3" i="30" s="1"/>
  <c r="R3" i="30"/>
  <c r="R282" i="30"/>
  <c r="T282" i="30"/>
  <c r="S282" i="30" s="1"/>
  <c r="T278" i="30"/>
  <c r="S278" i="30" s="1"/>
  <c r="R278" i="30"/>
  <c r="T342" i="30"/>
  <c r="S342" i="30" s="1"/>
  <c r="R342" i="30"/>
  <c r="T317" i="30"/>
  <c r="S317" i="30" s="1"/>
  <c r="R317" i="30"/>
  <c r="T174" i="30"/>
  <c r="S174" i="30" s="1"/>
  <c r="R174" i="30"/>
  <c r="G107" i="28"/>
  <c r="R47" i="30"/>
  <c r="T47" i="30"/>
  <c r="S47" i="30" s="1"/>
  <c r="T373" i="30"/>
  <c r="S373" i="30" s="1"/>
  <c r="R373" i="30"/>
  <c r="T298" i="30"/>
  <c r="S298" i="30" s="1"/>
  <c r="R298" i="30"/>
  <c r="T74" i="30"/>
  <c r="S74" i="30" s="1"/>
  <c r="R74" i="30"/>
  <c r="T30" i="30"/>
  <c r="S30" i="30" s="1"/>
  <c r="R30" i="30"/>
  <c r="G29" i="28"/>
  <c r="C29" i="28" s="1"/>
  <c r="E110" i="28"/>
  <c r="BQ110" i="28" s="1"/>
  <c r="G53" i="28"/>
  <c r="E53" i="28"/>
  <c r="BQ53" i="28" s="1"/>
  <c r="E58" i="28"/>
  <c r="R457" i="1" s="1"/>
  <c r="H107" i="28"/>
  <c r="H77" i="28"/>
  <c r="F95" i="28"/>
  <c r="C17" i="28"/>
  <c r="BQ17" i="28"/>
  <c r="R335" i="1"/>
  <c r="E19" i="28"/>
  <c r="E6" i="28"/>
  <c r="T283" i="1" s="1"/>
  <c r="S283" i="1" s="1"/>
  <c r="F18" i="28"/>
  <c r="H6" i="28"/>
  <c r="G6" i="28"/>
  <c r="F6" i="28"/>
  <c r="E11" i="28"/>
  <c r="F78" i="28"/>
  <c r="H11" i="28"/>
  <c r="F11" i="28"/>
  <c r="F72" i="28"/>
  <c r="H78" i="28"/>
  <c r="E85" i="28"/>
  <c r="T544" i="1" s="1"/>
  <c r="S544" i="1" s="1"/>
  <c r="F59" i="28"/>
  <c r="T433" i="1"/>
  <c r="S433" i="1" s="1"/>
  <c r="T455" i="1"/>
  <c r="S455" i="1" s="1"/>
  <c r="T602" i="1"/>
  <c r="S602" i="1" s="1"/>
  <c r="T184" i="1"/>
  <c r="S184" i="1" s="1"/>
  <c r="T305" i="1"/>
  <c r="S305" i="1" s="1"/>
  <c r="T417" i="1"/>
  <c r="S417" i="1" s="1"/>
  <c r="T271" i="1"/>
  <c r="S271" i="1" s="1"/>
  <c r="H103" i="28"/>
  <c r="T460" i="1"/>
  <c r="S460" i="1" s="1"/>
  <c r="T249" i="1"/>
  <c r="S249" i="1" s="1"/>
  <c r="T124" i="1"/>
  <c r="S124" i="1" s="1"/>
  <c r="G92" i="28"/>
  <c r="H75" i="28"/>
  <c r="F108" i="28"/>
  <c r="J88" i="28"/>
  <c r="F5" i="28"/>
  <c r="T178" i="1"/>
  <c r="S178" i="1" s="1"/>
  <c r="T308" i="1"/>
  <c r="S308" i="1" s="1"/>
  <c r="E108" i="28"/>
  <c r="T23" i="1" s="1"/>
  <c r="S23" i="1" s="1"/>
  <c r="E73" i="28"/>
  <c r="T482" i="1"/>
  <c r="S482" i="1" s="1"/>
  <c r="T581" i="1"/>
  <c r="S581" i="1" s="1"/>
  <c r="T281" i="1"/>
  <c r="S281" i="1" s="1"/>
  <c r="T538" i="1"/>
  <c r="S538" i="1" s="1"/>
  <c r="T512" i="1"/>
  <c r="S512" i="1" s="1"/>
  <c r="T81" i="1"/>
  <c r="S81" i="1" s="1"/>
  <c r="J103" i="28"/>
  <c r="T580" i="1"/>
  <c r="S580" i="1" s="1"/>
  <c r="G75" i="28"/>
  <c r="T461" i="1"/>
  <c r="S461" i="1" s="1"/>
  <c r="E86" i="28"/>
  <c r="T424" i="1"/>
  <c r="S424" i="1" s="1"/>
  <c r="J78" i="28"/>
  <c r="E5" i="28"/>
  <c r="T499" i="1" s="1"/>
  <c r="S499" i="1" s="1"/>
  <c r="G73" i="28"/>
  <c r="H95" i="28"/>
  <c r="F4" i="28"/>
  <c r="H86" i="28"/>
  <c r="T377" i="1"/>
  <c r="S377" i="1" s="1"/>
  <c r="R11" i="1"/>
  <c r="T11" i="1"/>
  <c r="S11" i="1" s="1"/>
  <c r="E75" i="28"/>
  <c r="T391" i="1" s="1"/>
  <c r="S391" i="1" s="1"/>
  <c r="T576" i="1"/>
  <c r="S576" i="1" s="1"/>
  <c r="H36" i="28"/>
  <c r="G95" i="28"/>
  <c r="E95" i="28"/>
  <c r="E4" i="28"/>
  <c r="T183" i="1"/>
  <c r="S183" i="1" s="1"/>
  <c r="E50" i="28"/>
  <c r="R26" i="1" s="1"/>
  <c r="H9" i="28"/>
  <c r="H5" i="28"/>
  <c r="F73" i="28"/>
  <c r="T470" i="1"/>
  <c r="S470" i="1" s="1"/>
  <c r="G74" i="28"/>
  <c r="T561" i="1"/>
  <c r="S561" i="1" s="1"/>
  <c r="T465" i="1"/>
  <c r="S465" i="1" s="1"/>
  <c r="T60" i="1"/>
  <c r="S60" i="1" s="1"/>
  <c r="T425" i="1"/>
  <c r="S425" i="1" s="1"/>
  <c r="E103" i="28"/>
  <c r="T53" i="1" s="1"/>
  <c r="S53" i="1" s="1"/>
  <c r="G103" i="28"/>
  <c r="F75" i="28"/>
  <c r="G5" i="28"/>
  <c r="F74" i="28"/>
  <c r="E8" i="28"/>
  <c r="T172" i="1" s="1"/>
  <c r="S172" i="1" s="1"/>
  <c r="E51" i="28"/>
  <c r="F12" i="28"/>
  <c r="G10" i="28"/>
  <c r="H23" i="28"/>
  <c r="G23" i="28"/>
  <c r="H51" i="28"/>
  <c r="F51" i="28"/>
  <c r="G8" i="28"/>
  <c r="F8" i="28"/>
  <c r="E24" i="28"/>
  <c r="E12" i="28"/>
  <c r="F10" i="28"/>
  <c r="H8" i="28"/>
  <c r="H24" i="28"/>
  <c r="G12" i="28"/>
  <c r="G48" i="28"/>
  <c r="H12" i="28"/>
  <c r="G24" i="28"/>
  <c r="F13" i="28"/>
  <c r="E13" i="28"/>
  <c r="BQ13" i="28" s="1"/>
  <c r="H72" i="28"/>
  <c r="G88" i="28"/>
  <c r="F20" i="28"/>
  <c r="F111" i="28"/>
  <c r="G38" i="28"/>
  <c r="F23" i="28"/>
  <c r="G87" i="28"/>
  <c r="F65" i="28"/>
  <c r="J87" i="28"/>
  <c r="E31" i="28"/>
  <c r="G43" i="28"/>
  <c r="H20" i="28"/>
  <c r="E111" i="28"/>
  <c r="H38" i="28"/>
  <c r="G13" i="28"/>
  <c r="H13" i="28"/>
  <c r="H88" i="28"/>
  <c r="F87" i="28"/>
  <c r="F54" i="28"/>
  <c r="E43" i="28"/>
  <c r="E20" i="28"/>
  <c r="G111" i="28"/>
  <c r="E38" i="28"/>
  <c r="F48" i="28"/>
  <c r="F88" i="28"/>
  <c r="H68" i="28"/>
  <c r="J31" i="28"/>
  <c r="E88" i="28"/>
  <c r="T567" i="1" s="1"/>
  <c r="S567" i="1" s="1"/>
  <c r="F36" i="28"/>
  <c r="H87" i="28"/>
  <c r="F38" i="28"/>
  <c r="F86" i="28"/>
  <c r="H48" i="28"/>
  <c r="H49" i="28"/>
  <c r="E72" i="28"/>
  <c r="E65" i="28"/>
  <c r="E68" i="28"/>
  <c r="G72" i="28"/>
  <c r="G65" i="28"/>
  <c r="G68" i="28"/>
  <c r="J72" i="28"/>
  <c r="F31" i="28"/>
  <c r="G85" i="28"/>
  <c r="E41" i="28"/>
  <c r="G36" i="28"/>
  <c r="E87" i="28"/>
  <c r="H85" i="28"/>
  <c r="H41" i="28"/>
  <c r="E27" i="28"/>
  <c r="E107" i="28"/>
  <c r="G86" i="28"/>
  <c r="I100" i="28"/>
  <c r="E109" i="28"/>
  <c r="T340" i="1" s="1"/>
  <c r="S340" i="1" s="1"/>
  <c r="I35" i="28"/>
  <c r="G34" i="28"/>
  <c r="E92" i="28"/>
  <c r="T504" i="1" s="1"/>
  <c r="S504" i="1" s="1"/>
  <c r="H31" i="28"/>
  <c r="F58" i="28"/>
  <c r="G91" i="28"/>
  <c r="F66" i="28"/>
  <c r="H90" i="28"/>
  <c r="E26" i="28"/>
  <c r="I43" i="28"/>
  <c r="I31" i="28"/>
  <c r="E64" i="28"/>
  <c r="G78" i="28"/>
  <c r="G31" i="28"/>
  <c r="H58" i="28"/>
  <c r="H43" i="28"/>
  <c r="H91" i="28"/>
  <c r="F26" i="28"/>
  <c r="G109" i="28"/>
  <c r="E14" i="28"/>
  <c r="I39" i="28"/>
  <c r="I15" i="28"/>
  <c r="I92" i="28"/>
  <c r="I27" i="28"/>
  <c r="I21" i="28"/>
  <c r="F64" i="28"/>
  <c r="F92" i="28"/>
  <c r="H104" i="28"/>
  <c r="E91" i="28"/>
  <c r="T502" i="1" s="1"/>
  <c r="S502" i="1" s="1"/>
  <c r="G66" i="28"/>
  <c r="H26" i="28"/>
  <c r="H109" i="28"/>
  <c r="F14" i="28"/>
  <c r="G64" i="28"/>
  <c r="J104" i="28"/>
  <c r="J109" i="28"/>
  <c r="H14" i="28"/>
  <c r="AD83" i="28"/>
  <c r="J83" i="28" s="1"/>
  <c r="G104" i="28"/>
  <c r="E66" i="28"/>
  <c r="F90" i="28"/>
  <c r="H64" i="28"/>
  <c r="E78" i="28"/>
  <c r="F50" i="28"/>
  <c r="F85" i="28"/>
  <c r="F43" i="28"/>
  <c r="F104" i="28"/>
  <c r="F91" i="28"/>
  <c r="H57" i="28"/>
  <c r="E90" i="28"/>
  <c r="E48" i="28"/>
  <c r="H40" i="28"/>
  <c r="E94" i="28"/>
  <c r="G14" i="28"/>
  <c r="H110" i="28"/>
  <c r="C110" i="28" s="1"/>
  <c r="I20" i="28"/>
  <c r="I53" i="28"/>
  <c r="I56" i="28"/>
  <c r="C56" i="28" s="1"/>
  <c r="I40" i="28"/>
  <c r="G39" i="28"/>
  <c r="G90" i="28"/>
  <c r="H39" i="28"/>
  <c r="I90" i="28"/>
  <c r="E9" i="28"/>
  <c r="H46" i="28"/>
  <c r="H50" i="28"/>
  <c r="I47" i="28"/>
  <c r="H94" i="28"/>
  <c r="H108" i="28"/>
  <c r="E67" i="28"/>
  <c r="F21" i="28"/>
  <c r="E54" i="28"/>
  <c r="T290" i="1" s="1"/>
  <c r="S290" i="1" s="1"/>
  <c r="G55" i="28"/>
  <c r="G105" i="28"/>
  <c r="J4" i="28"/>
  <c r="E49" i="28"/>
  <c r="E89" i="28"/>
  <c r="F42" i="28"/>
  <c r="H45" i="28"/>
  <c r="I10" i="28"/>
  <c r="I22" i="28"/>
  <c r="F9" i="28"/>
  <c r="F109" i="28"/>
  <c r="E104" i="28"/>
  <c r="E40" i="28"/>
  <c r="I50" i="28"/>
  <c r="I96" i="28"/>
  <c r="I108" i="28"/>
  <c r="I85" i="28"/>
  <c r="I71" i="28"/>
  <c r="E52" i="28"/>
  <c r="H67" i="28"/>
  <c r="G54" i="28"/>
  <c r="G4" i="28"/>
  <c r="G84" i="28"/>
  <c r="E55" i="28"/>
  <c r="T464" i="1" s="1"/>
  <c r="S464" i="1" s="1"/>
  <c r="E105" i="28"/>
  <c r="H96" i="28"/>
  <c r="G49" i="28"/>
  <c r="G19" i="28"/>
  <c r="E42" i="28"/>
  <c r="BQ42" i="28" s="1"/>
  <c r="E45" i="28"/>
  <c r="AD37" i="28"/>
  <c r="I37" i="28" s="1"/>
  <c r="I73" i="28"/>
  <c r="F39" i="28"/>
  <c r="E57" i="28"/>
  <c r="J108" i="28"/>
  <c r="E46" i="28"/>
  <c r="E21" i="28"/>
  <c r="F67" i="28"/>
  <c r="G52" i="28"/>
  <c r="F71" i="28"/>
  <c r="I19" i="28"/>
  <c r="H42" i="28"/>
  <c r="G100" i="28"/>
  <c r="F47" i="28"/>
  <c r="G59" i="28"/>
  <c r="G71" i="28"/>
  <c r="F27" i="28"/>
  <c r="E84" i="28"/>
  <c r="T554" i="1" s="1"/>
  <c r="S554" i="1" s="1"/>
  <c r="F55" i="28"/>
  <c r="J105" i="28"/>
  <c r="E96" i="28"/>
  <c r="J19" i="28"/>
  <c r="G45" i="28"/>
  <c r="I103" i="28"/>
  <c r="H34" i="28"/>
  <c r="I104" i="28"/>
  <c r="F46" i="28"/>
  <c r="F40" i="28"/>
  <c r="I105" i="28"/>
  <c r="I94" i="28"/>
  <c r="J21" i="28"/>
  <c r="H52" i="28"/>
  <c r="H21" i="28"/>
  <c r="H100" i="28"/>
  <c r="G21" i="28"/>
  <c r="I36" i="28"/>
  <c r="G47" i="28"/>
  <c r="E71" i="28"/>
  <c r="E100" i="28"/>
  <c r="T509" i="1" s="1"/>
  <c r="S509" i="1" s="1"/>
  <c r="G22" i="28"/>
  <c r="H15" i="28"/>
  <c r="G35" i="28"/>
  <c r="G15" i="28"/>
  <c r="E47" i="28"/>
  <c r="H59" i="28"/>
  <c r="F35" i="28"/>
  <c r="H53" i="28"/>
  <c r="E22" i="28"/>
  <c r="G27" i="28"/>
  <c r="H84" i="28"/>
  <c r="H105" i="28"/>
  <c r="F96" i="28"/>
  <c r="J74" i="28"/>
  <c r="F19" i="28"/>
  <c r="H10" i="28"/>
  <c r="F34" i="28"/>
  <c r="J85" i="28"/>
  <c r="J100" i="28"/>
  <c r="I4" i="28"/>
  <c r="I74" i="28"/>
  <c r="H71" i="28"/>
  <c r="E35" i="28"/>
  <c r="H22" i="28"/>
  <c r="F15" i="28"/>
  <c r="F22" i="28"/>
  <c r="F103" i="28"/>
  <c r="R417" i="1"/>
  <c r="BQ115" i="28"/>
  <c r="C115" i="28"/>
  <c r="R178" i="1"/>
  <c r="C82" i="28"/>
  <c r="BQ82" i="28"/>
  <c r="R579" i="1"/>
  <c r="BQ15" i="28"/>
  <c r="R249" i="1"/>
  <c r="R377" i="1"/>
  <c r="BQ29" i="28"/>
  <c r="R271" i="1"/>
  <c r="C25" i="28"/>
  <c r="BQ25" i="28"/>
  <c r="R60" i="1"/>
  <c r="BQ44" i="28"/>
  <c r="C44" i="28"/>
  <c r="R465" i="1"/>
  <c r="BQ74" i="28"/>
  <c r="BQ60" i="28"/>
  <c r="R461" i="1"/>
  <c r="C60" i="28"/>
  <c r="BQ56" i="28"/>
  <c r="R313" i="1"/>
  <c r="R283" i="1"/>
  <c r="R460" i="1"/>
  <c r="C62" i="28"/>
  <c r="BQ62" i="28"/>
  <c r="BQ114" i="28"/>
  <c r="R580" i="1"/>
  <c r="C114" i="28"/>
  <c r="R470" i="1"/>
  <c r="C98" i="28"/>
  <c r="BQ98" i="28"/>
  <c r="R433" i="1"/>
  <c r="C69" i="28"/>
  <c r="BQ69" i="28"/>
  <c r="R305" i="1"/>
  <c r="BQ77" i="28"/>
  <c r="C77" i="28"/>
  <c r="BQ32" i="28"/>
  <c r="C32" i="28"/>
  <c r="R512" i="1"/>
  <c r="BQ63" i="28"/>
  <c r="R424" i="1"/>
  <c r="C63" i="28"/>
  <c r="BQ113" i="28"/>
  <c r="C113" i="28"/>
  <c r="R276" i="1"/>
  <c r="R581" i="1"/>
  <c r="BQ99" i="28"/>
  <c r="C99" i="28"/>
  <c r="BQ10" i="28"/>
  <c r="R281" i="1"/>
  <c r="R81" i="1"/>
  <c r="BQ101" i="28"/>
  <c r="C101" i="28"/>
  <c r="BQ59" i="28"/>
  <c r="R308" i="1"/>
  <c r="R455" i="1"/>
  <c r="C102" i="28"/>
  <c r="BQ102" i="28"/>
  <c r="BQ34" i="28"/>
  <c r="R183" i="1"/>
  <c r="BQ16" i="28"/>
  <c r="R602" i="1"/>
  <c r="C16" i="28"/>
  <c r="R561" i="1"/>
  <c r="BQ7" i="28"/>
  <c r="C7" i="28"/>
  <c r="BQ39" i="28"/>
  <c r="BQ97" i="28"/>
  <c r="R482" i="1"/>
  <c r="C97" i="28"/>
  <c r="BQ70" i="28"/>
  <c r="C70" i="28"/>
  <c r="R425" i="1"/>
  <c r="R538" i="1"/>
  <c r="C93" i="28"/>
  <c r="BQ93" i="28"/>
  <c r="R184" i="1"/>
  <c r="BQ18" i="28"/>
  <c r="BQ23" i="28"/>
  <c r="R576" i="1"/>
  <c r="R124" i="1"/>
  <c r="BQ36" i="28"/>
  <c r="AQ544" i="1"/>
  <c r="B544" i="1" s="1"/>
  <c r="AQ543" i="1"/>
  <c r="B543" i="1" s="1"/>
  <c r="AQ528" i="1"/>
  <c r="B528" i="1" s="1"/>
  <c r="AQ527" i="1"/>
  <c r="B527" i="1" s="1"/>
  <c r="AQ526" i="1"/>
  <c r="B526" i="1" s="1"/>
  <c r="AQ522" i="1"/>
  <c r="B522" i="1" s="1"/>
  <c r="AQ521" i="1"/>
  <c r="B521" i="1" s="1"/>
  <c r="AQ520" i="1"/>
  <c r="B520" i="1" s="1"/>
  <c r="AQ519" i="1"/>
  <c r="B519" i="1" s="1"/>
  <c r="AQ518" i="1"/>
  <c r="B518" i="1" s="1"/>
  <c r="AQ517" i="1"/>
  <c r="B517" i="1" s="1"/>
  <c r="AQ525" i="1"/>
  <c r="B525" i="1" s="1"/>
  <c r="AQ524" i="1"/>
  <c r="B524" i="1" s="1"/>
  <c r="AQ509" i="1"/>
  <c r="B509" i="1" s="1"/>
  <c r="AQ508" i="1"/>
  <c r="B508" i="1" s="1"/>
  <c r="AQ504" i="1"/>
  <c r="B504" i="1" s="1"/>
  <c r="AQ502" i="1"/>
  <c r="B502" i="1" s="1"/>
  <c r="AQ503" i="1"/>
  <c r="B503" i="1" s="1"/>
  <c r="AQ501" i="1"/>
  <c r="B501" i="1" s="1"/>
  <c r="C59" i="28" l="1"/>
  <c r="C18" i="28"/>
  <c r="T109" i="30"/>
  <c r="S109" i="30" s="1"/>
  <c r="R109" i="30"/>
  <c r="T206" i="30"/>
  <c r="S206" i="30" s="1"/>
  <c r="R206" i="30"/>
  <c r="BQ4" i="28"/>
  <c r="T158" i="30"/>
  <c r="S158" i="30" s="1"/>
  <c r="R158" i="30"/>
  <c r="BQ51" i="28"/>
  <c r="R191" i="30"/>
  <c r="T191" i="30"/>
  <c r="S191" i="30" s="1"/>
  <c r="BQ73" i="28"/>
  <c r="T291" i="30"/>
  <c r="S291" i="30" s="1"/>
  <c r="R291" i="30"/>
  <c r="T4" i="30"/>
  <c r="S4" i="30" s="1"/>
  <c r="R4" i="30"/>
  <c r="BQ67" i="28"/>
  <c r="T259" i="30"/>
  <c r="S259" i="30" s="1"/>
  <c r="R259" i="30"/>
  <c r="T354" i="30"/>
  <c r="S354" i="30" s="1"/>
  <c r="R354" i="30"/>
  <c r="R477" i="1"/>
  <c r="T294" i="30"/>
  <c r="S294" i="30" s="1"/>
  <c r="R294" i="30"/>
  <c r="BQ107" i="28"/>
  <c r="T226" i="30"/>
  <c r="S226" i="30" s="1"/>
  <c r="R226" i="30"/>
  <c r="T42" i="1"/>
  <c r="S42" i="1" s="1"/>
  <c r="BQ50" i="28"/>
  <c r="T8" i="30"/>
  <c r="S8" i="30" s="1"/>
  <c r="R8" i="30"/>
  <c r="R169" i="30"/>
  <c r="T169" i="30"/>
  <c r="S169" i="30" s="1"/>
  <c r="R282" i="1"/>
  <c r="BQ38" i="28"/>
  <c r="T189" i="30"/>
  <c r="S189" i="30" s="1"/>
  <c r="R189" i="30"/>
  <c r="R244" i="1"/>
  <c r="T131" i="30"/>
  <c r="S131" i="30" s="1"/>
  <c r="R131" i="30"/>
  <c r="BQ65" i="28"/>
  <c r="T231" i="30"/>
  <c r="S231" i="30" s="1"/>
  <c r="R231" i="30"/>
  <c r="BQ89" i="28"/>
  <c r="T209" i="30"/>
  <c r="S209" i="30" s="1"/>
  <c r="R209" i="30"/>
  <c r="R341" i="30"/>
  <c r="T341" i="30"/>
  <c r="S341" i="30" s="1"/>
  <c r="T457" i="1"/>
  <c r="S457" i="1" s="1"/>
  <c r="R300" i="1"/>
  <c r="T319" i="30"/>
  <c r="S319" i="30" s="1"/>
  <c r="R319" i="30"/>
  <c r="T15" i="30"/>
  <c r="S15" i="30" s="1"/>
  <c r="R15" i="30"/>
  <c r="T300" i="1"/>
  <c r="S300" i="1" s="1"/>
  <c r="T292" i="1"/>
  <c r="S292" i="1" s="1"/>
  <c r="R164" i="30"/>
  <c r="T164" i="30"/>
  <c r="S164" i="30" s="1"/>
  <c r="R14" i="30"/>
  <c r="T14" i="30"/>
  <c r="S14" i="30" s="1"/>
  <c r="BQ6" i="28"/>
  <c r="T159" i="30"/>
  <c r="S159" i="30" s="1"/>
  <c r="R159" i="30"/>
  <c r="R511" i="1"/>
  <c r="T314" i="30"/>
  <c r="S314" i="30" s="1"/>
  <c r="R314" i="30"/>
  <c r="BQ19" i="28"/>
  <c r="T31" i="30"/>
  <c r="S31" i="30" s="1"/>
  <c r="R31" i="30"/>
  <c r="R280" i="30"/>
  <c r="T280" i="30"/>
  <c r="S280" i="30" s="1"/>
  <c r="T358" i="30"/>
  <c r="S358" i="30" s="1"/>
  <c r="R358" i="30"/>
  <c r="R573" i="1"/>
  <c r="R348" i="30"/>
  <c r="T348" i="30"/>
  <c r="S348" i="30" s="1"/>
  <c r="BQ105" i="28"/>
  <c r="R225" i="30"/>
  <c r="T225" i="30"/>
  <c r="S225" i="30" s="1"/>
  <c r="R467" i="1"/>
  <c r="R287" i="30"/>
  <c r="T287" i="30"/>
  <c r="S287" i="30" s="1"/>
  <c r="T22" i="30"/>
  <c r="S22" i="30" s="1"/>
  <c r="R22" i="30"/>
  <c r="R42" i="1"/>
  <c r="T160" i="30"/>
  <c r="S160" i="30" s="1"/>
  <c r="R160" i="30"/>
  <c r="T150" i="30"/>
  <c r="S150" i="30" s="1"/>
  <c r="R150" i="30"/>
  <c r="T23" i="30"/>
  <c r="S23" i="30" s="1"/>
  <c r="R23" i="30"/>
  <c r="T295" i="30"/>
  <c r="S295" i="30" s="1"/>
  <c r="R295" i="30"/>
  <c r="BQ104" i="28"/>
  <c r="T223" i="30"/>
  <c r="S223" i="30" s="1"/>
  <c r="R223" i="30"/>
  <c r="BQ86" i="28"/>
  <c r="T299" i="30"/>
  <c r="S299" i="30" s="1"/>
  <c r="R299" i="30"/>
  <c r="T340" i="30"/>
  <c r="S340" i="30" s="1"/>
  <c r="R340" i="30"/>
  <c r="T297" i="30"/>
  <c r="S297" i="30" s="1"/>
  <c r="R297" i="30"/>
  <c r="BQ95" i="28"/>
  <c r="T112" i="30"/>
  <c r="S112" i="30" s="1"/>
  <c r="R112" i="30"/>
  <c r="BQ90" i="28"/>
  <c r="T210" i="30"/>
  <c r="S210" i="30" s="1"/>
  <c r="R210" i="30"/>
  <c r="T284" i="30"/>
  <c r="S284" i="30" s="1"/>
  <c r="R284" i="30"/>
  <c r="T192" i="30"/>
  <c r="S192" i="30" s="1"/>
  <c r="R192" i="30"/>
  <c r="R161" i="30"/>
  <c r="T161" i="30"/>
  <c r="S161" i="30" s="1"/>
  <c r="R187" i="30"/>
  <c r="T187" i="30"/>
  <c r="S187" i="30" s="1"/>
  <c r="C34" i="28"/>
  <c r="BQ58" i="28"/>
  <c r="T178" i="30"/>
  <c r="S178" i="30" s="1"/>
  <c r="R178" i="30"/>
  <c r="BQ68" i="28"/>
  <c r="T359" i="30"/>
  <c r="S359" i="30" s="1"/>
  <c r="R359" i="30"/>
  <c r="BQ24" i="28"/>
  <c r="T353" i="30"/>
  <c r="S353" i="30" s="1"/>
  <c r="R353" i="30"/>
  <c r="C6" i="28"/>
  <c r="R567" i="1"/>
  <c r="BQ100" i="28"/>
  <c r="R292" i="1"/>
  <c r="BQ11" i="28"/>
  <c r="R62" i="1"/>
  <c r="C51" i="28"/>
  <c r="T62" i="1"/>
  <c r="S62" i="1" s="1"/>
  <c r="R357" i="1"/>
  <c r="C55" i="28"/>
  <c r="R554" i="1"/>
  <c r="BQ85" i="28"/>
  <c r="C11" i="28"/>
  <c r="BQ84" i="28"/>
  <c r="R391" i="1"/>
  <c r="BQ103" i="28"/>
  <c r="C57" i="28"/>
  <c r="R464" i="1"/>
  <c r="R544" i="1"/>
  <c r="R53" i="1"/>
  <c r="C84" i="28"/>
  <c r="BQ75" i="28"/>
  <c r="BQ91" i="28"/>
  <c r="R502" i="1"/>
  <c r="R376" i="1"/>
  <c r="R471" i="1"/>
  <c r="C89" i="28"/>
  <c r="C107" i="28"/>
  <c r="C49" i="28"/>
  <c r="C75" i="28"/>
  <c r="R375" i="1"/>
  <c r="C92" i="28"/>
  <c r="BQ55" i="28"/>
  <c r="R172" i="1"/>
  <c r="BQ8" i="28"/>
  <c r="R509" i="1"/>
  <c r="C65" i="28"/>
  <c r="C13" i="28"/>
  <c r="R483" i="1"/>
  <c r="C73" i="28"/>
  <c r="R177" i="1"/>
  <c r="C10" i="28"/>
  <c r="BQ94" i="28"/>
  <c r="R407" i="1"/>
  <c r="R436" i="1"/>
  <c r="C23" i="28"/>
  <c r="C103" i="28"/>
  <c r="C47" i="28"/>
  <c r="C95" i="28"/>
  <c r="R504" i="1"/>
  <c r="R399" i="1"/>
  <c r="BQ88" i="28"/>
  <c r="BQ92" i="28"/>
  <c r="BQ64" i="28"/>
  <c r="T321" i="1"/>
  <c r="S321" i="1" s="1"/>
  <c r="T244" i="1"/>
  <c r="S244" i="1" s="1"/>
  <c r="T13" i="1"/>
  <c r="S13" i="1" s="1"/>
  <c r="T585" i="1"/>
  <c r="S585" i="1" s="1"/>
  <c r="T407" i="1"/>
  <c r="S407" i="1" s="1"/>
  <c r="T467" i="1"/>
  <c r="S467" i="1" s="1"/>
  <c r="T573" i="1"/>
  <c r="S573" i="1" s="1"/>
  <c r="T372" i="1"/>
  <c r="S372" i="1" s="1"/>
  <c r="R578" i="1"/>
  <c r="T353" i="1"/>
  <c r="S353" i="1" s="1"/>
  <c r="T376" i="1"/>
  <c r="S376" i="1" s="1"/>
  <c r="T316" i="1"/>
  <c r="S316" i="1" s="1"/>
  <c r="T479" i="1"/>
  <c r="S479" i="1" s="1"/>
  <c r="T358" i="1"/>
  <c r="S358" i="1" s="1"/>
  <c r="T586" i="1"/>
  <c r="S586" i="1" s="1"/>
  <c r="C8" i="28"/>
  <c r="C53" i="28"/>
  <c r="T375" i="1"/>
  <c r="S375" i="1" s="1"/>
  <c r="T357" i="1"/>
  <c r="S357" i="1" s="1"/>
  <c r="R398" i="1"/>
  <c r="T399" i="1"/>
  <c r="S399" i="1" s="1"/>
  <c r="T282" i="1"/>
  <c r="S282" i="1" s="1"/>
  <c r="R459" i="1"/>
  <c r="T459" i="1"/>
  <c r="S459" i="1" s="1"/>
  <c r="T511" i="1"/>
  <c r="S511" i="1" s="1"/>
  <c r="BQ71" i="28"/>
  <c r="T324" i="1"/>
  <c r="S324" i="1" s="1"/>
  <c r="C50" i="28"/>
  <c r="T269" i="1"/>
  <c r="S269" i="1" s="1"/>
  <c r="C100" i="28"/>
  <c r="T462" i="1"/>
  <c r="S462" i="1" s="1"/>
  <c r="T481" i="1"/>
  <c r="S481" i="1" s="1"/>
  <c r="C88" i="28"/>
  <c r="T174" i="1"/>
  <c r="S174" i="1" s="1"/>
  <c r="T436" i="1"/>
  <c r="S436" i="1" s="1"/>
  <c r="R290" i="1"/>
  <c r="T284" i="1"/>
  <c r="S284" i="1" s="1"/>
  <c r="C74" i="28"/>
  <c r="C36" i="28"/>
  <c r="C64" i="28"/>
  <c r="R500" i="1"/>
  <c r="T500" i="1"/>
  <c r="S500" i="1" s="1"/>
  <c r="T44" i="1"/>
  <c r="S44" i="1" s="1"/>
  <c r="T483" i="1"/>
  <c r="S483" i="1" s="1"/>
  <c r="BQ48" i="28"/>
  <c r="C4" i="28"/>
  <c r="C19" i="28"/>
  <c r="C90" i="28"/>
  <c r="C91" i="28"/>
  <c r="T560" i="1"/>
  <c r="S560" i="1" s="1"/>
  <c r="T355" i="1"/>
  <c r="S355" i="1" s="1"/>
  <c r="T396" i="1"/>
  <c r="S396" i="1" s="1"/>
  <c r="T579" i="1"/>
  <c r="S579" i="1" s="1"/>
  <c r="T559" i="1"/>
  <c r="S559" i="1" s="1"/>
  <c r="C94" i="28"/>
  <c r="C68" i="28"/>
  <c r="T177" i="1"/>
  <c r="S177" i="1" s="1"/>
  <c r="R340" i="1"/>
  <c r="BQ109" i="28"/>
  <c r="C5" i="28"/>
  <c r="C72" i="28"/>
  <c r="T516" i="1"/>
  <c r="S516" i="1" s="1"/>
  <c r="BQ66" i="28"/>
  <c r="T403" i="1"/>
  <c r="S403" i="1" s="1"/>
  <c r="C111" i="28"/>
  <c r="C24" i="28"/>
  <c r="T578" i="1"/>
  <c r="S578" i="1" s="1"/>
  <c r="T471" i="1"/>
  <c r="S471" i="1" s="1"/>
  <c r="T26" i="1"/>
  <c r="S26" i="1" s="1"/>
  <c r="BQ54" i="28"/>
  <c r="R23" i="1"/>
  <c r="R499" i="1"/>
  <c r="BQ45" i="28"/>
  <c r="C104" i="28"/>
  <c r="C58" i="28"/>
  <c r="T33" i="1"/>
  <c r="S33" i="1" s="1"/>
  <c r="T35" i="1"/>
  <c r="S35" i="1" s="1"/>
  <c r="T285" i="1"/>
  <c r="S285" i="1" s="1"/>
  <c r="T477" i="1"/>
  <c r="S477" i="1" s="1"/>
  <c r="T398" i="1"/>
  <c r="S398" i="1" s="1"/>
  <c r="BQ108" i="28"/>
  <c r="BQ5" i="28"/>
  <c r="C86" i="28"/>
  <c r="BQ72" i="28"/>
  <c r="C67" i="28"/>
  <c r="BQ43" i="28"/>
  <c r="T296" i="1"/>
  <c r="S296" i="1" s="1"/>
  <c r="C31" i="28"/>
  <c r="BQ111" i="28"/>
  <c r="C109" i="28"/>
  <c r="C96" i="28"/>
  <c r="R321" i="1"/>
  <c r="BQ49" i="28"/>
  <c r="BQ31" i="28"/>
  <c r="C105" i="28"/>
  <c r="C39" i="28"/>
  <c r="C22" i="28"/>
  <c r="R35" i="1"/>
  <c r="C20" i="28"/>
  <c r="BQ20" i="28"/>
  <c r="BQ21" i="28"/>
  <c r="R296" i="1"/>
  <c r="R33" i="1"/>
  <c r="R285" i="1"/>
  <c r="R585" i="1"/>
  <c r="R516" i="1"/>
  <c r="R269" i="1"/>
  <c r="R316" i="1"/>
  <c r="R13" i="1"/>
  <c r="C42" i="28"/>
  <c r="C45" i="28"/>
  <c r="C87" i="28"/>
  <c r="C43" i="28"/>
  <c r="C27" i="28"/>
  <c r="C40" i="28"/>
  <c r="BQ22" i="28"/>
  <c r="C12" i="28"/>
  <c r="BQ87" i="28"/>
  <c r="BQ12" i="28"/>
  <c r="R355" i="1"/>
  <c r="BQ27" i="28"/>
  <c r="BQ40" i="28"/>
  <c r="C15" i="28"/>
  <c r="C41" i="28"/>
  <c r="BQ41" i="28"/>
  <c r="R560" i="1"/>
  <c r="C38" i="28"/>
  <c r="C54" i="28"/>
  <c r="C108" i="28"/>
  <c r="C85" i="28"/>
  <c r="BQ78" i="28"/>
  <c r="R481" i="1"/>
  <c r="C71" i="28"/>
  <c r="BQ46" i="28"/>
  <c r="R284" i="1"/>
  <c r="R324" i="1"/>
  <c r="K83" i="28"/>
  <c r="F83" i="28"/>
  <c r="I83" i="28"/>
  <c r="R44" i="1"/>
  <c r="C26" i="28"/>
  <c r="E83" i="28"/>
  <c r="BQ52" i="28"/>
  <c r="C21" i="28"/>
  <c r="R479" i="1"/>
  <c r="R403" i="1"/>
  <c r="R396" i="1"/>
  <c r="R586" i="1"/>
  <c r="BQ35" i="28"/>
  <c r="R358" i="1"/>
  <c r="BQ47" i="28"/>
  <c r="R372" i="1"/>
  <c r="C78" i="28"/>
  <c r="R462" i="1"/>
  <c r="C35" i="28"/>
  <c r="R353" i="1"/>
  <c r="H83" i="28"/>
  <c r="R559" i="1"/>
  <c r="BQ57" i="28"/>
  <c r="BQ14" i="28"/>
  <c r="C66" i="28"/>
  <c r="C48" i="28"/>
  <c r="C9" i="28"/>
  <c r="R174" i="1"/>
  <c r="C52" i="28"/>
  <c r="C14" i="28"/>
  <c r="C46" i="28"/>
  <c r="BQ26" i="28"/>
  <c r="G83" i="28"/>
  <c r="BQ9" i="28"/>
  <c r="BQ96" i="28"/>
  <c r="H37" i="28"/>
  <c r="E37" i="28"/>
  <c r="F37" i="28"/>
  <c r="G37" i="28"/>
  <c r="AQ500" i="1"/>
  <c r="B500" i="1" s="1"/>
  <c r="AQ499" i="1"/>
  <c r="B499" i="1" s="1"/>
  <c r="AQ497" i="1"/>
  <c r="B497" i="1" s="1"/>
  <c r="AQ496" i="1"/>
  <c r="B496" i="1" s="1"/>
  <c r="AQ495" i="1"/>
  <c r="B495" i="1" s="1"/>
  <c r="AQ494" i="1"/>
  <c r="B494" i="1" s="1"/>
  <c r="AQ492" i="1"/>
  <c r="B492" i="1" s="1"/>
  <c r="AQ493" i="1"/>
  <c r="B493" i="1" s="1"/>
  <c r="AQ491" i="1"/>
  <c r="B491" i="1" s="1"/>
  <c r="AQ464" i="1"/>
  <c r="B464" i="1" s="1"/>
  <c r="AQ459" i="1"/>
  <c r="B459" i="1" s="1"/>
  <c r="AQ431" i="1"/>
  <c r="B431" i="1" s="1"/>
  <c r="AQ430" i="1"/>
  <c r="B430" i="1" s="1"/>
  <c r="AQ407" i="1"/>
  <c r="B407" i="1" s="1"/>
  <c r="AQ406" i="1"/>
  <c r="B406" i="1" s="1"/>
  <c r="AQ405" i="1"/>
  <c r="B405" i="1" s="1"/>
  <c r="T292" i="30" l="1"/>
  <c r="S292" i="30" s="1"/>
  <c r="R292" i="30"/>
  <c r="T255" i="1"/>
  <c r="S255" i="1" s="1"/>
  <c r="T138" i="30"/>
  <c r="S138" i="30" s="1"/>
  <c r="R138" i="30"/>
  <c r="T475" i="1"/>
  <c r="S475" i="1" s="1"/>
  <c r="BQ83" i="28"/>
  <c r="R255" i="1"/>
  <c r="C83" i="28"/>
  <c r="BQ37" i="28"/>
  <c r="C37" i="28"/>
  <c r="R475" i="1"/>
  <c r="AQ403" i="1"/>
  <c r="B403" i="1" s="1"/>
  <c r="AQ402" i="1"/>
  <c r="B402" i="1" s="1"/>
  <c r="AQ393" i="1"/>
  <c r="B393" i="1" s="1"/>
  <c r="AQ392" i="1"/>
  <c r="B392" i="1" s="1"/>
  <c r="AQ391" i="1"/>
  <c r="B391" i="1" s="1"/>
  <c r="AQ384" i="1"/>
  <c r="B384" i="1" s="1"/>
  <c r="AQ383" i="1"/>
  <c r="B383" i="1" s="1"/>
  <c r="AQ348" i="1"/>
  <c r="B348" i="1" s="1"/>
  <c r="AQ347" i="1"/>
  <c r="B347" i="1" s="1"/>
  <c r="AQ346" i="1"/>
  <c r="B346" i="1" s="1"/>
  <c r="AQ345" i="1"/>
  <c r="B345" i="1" s="1"/>
  <c r="AQ338" i="1"/>
  <c r="B338" i="1" s="1"/>
  <c r="AQ337" i="1"/>
  <c r="B337" i="1" s="1"/>
  <c r="AQ340" i="1"/>
  <c r="B340" i="1" s="1"/>
  <c r="AQ339" i="1"/>
  <c r="B339" i="1" s="1"/>
  <c r="AQ344" i="1"/>
  <c r="B344" i="1" s="1"/>
  <c r="AQ343" i="1"/>
  <c r="B343" i="1" s="1"/>
  <c r="AQ342" i="1"/>
  <c r="B342" i="1" s="1"/>
  <c r="AQ327" i="1"/>
  <c r="B327" i="1" s="1"/>
  <c r="AQ329" i="1"/>
  <c r="B329" i="1" s="1"/>
  <c r="AQ330" i="1"/>
  <c r="B330" i="1" s="1"/>
  <c r="AQ331" i="1"/>
  <c r="B331" i="1" s="1"/>
  <c r="AQ332" i="1" l="1"/>
  <c r="B332" i="1" s="1"/>
  <c r="AQ328" i="1"/>
  <c r="B328" i="1" s="1"/>
  <c r="AQ326" i="1"/>
  <c r="B326" i="1" s="1"/>
  <c r="AQ325" i="1"/>
  <c r="B325" i="1" s="1"/>
  <c r="AQ324" i="1"/>
  <c r="B324" i="1" s="1"/>
  <c r="AQ322" i="1"/>
  <c r="B322" i="1" s="1"/>
  <c r="AQ321" i="1"/>
  <c r="B321" i="1" s="1"/>
  <c r="AQ318" i="1"/>
  <c r="B318" i="1" s="1"/>
  <c r="AQ317" i="1"/>
  <c r="B317" i="1" s="1"/>
  <c r="AQ315" i="1"/>
  <c r="B315" i="1" s="1"/>
  <c r="AQ314" i="1"/>
  <c r="B314" i="1" s="1"/>
  <c r="AQ313" i="1"/>
  <c r="B313" i="1" s="1"/>
  <c r="AQ298" i="1"/>
  <c r="B298" i="1" s="1"/>
  <c r="AQ297" i="1"/>
  <c r="B297" i="1" s="1"/>
  <c r="AQ296" i="1"/>
  <c r="B296" i="1" s="1"/>
  <c r="AQ221" i="1"/>
  <c r="B221" i="1" s="1"/>
  <c r="AQ218" i="1"/>
  <c r="B218" i="1" s="1"/>
  <c r="AQ215" i="1"/>
  <c r="B215" i="1" s="1"/>
  <c r="AQ212" i="1"/>
  <c r="B212" i="1" s="1"/>
  <c r="AQ209" i="1"/>
  <c r="B209" i="1" s="1"/>
  <c r="AQ206" i="1"/>
  <c r="B206" i="1" s="1"/>
  <c r="AQ243" i="1"/>
  <c r="B243" i="1" s="1"/>
  <c r="AQ241" i="1"/>
  <c r="B241" i="1" s="1"/>
  <c r="AQ239" i="1"/>
  <c r="B239" i="1" s="1"/>
  <c r="AQ236" i="1"/>
  <c r="B236" i="1" s="1"/>
  <c r="AQ233" i="1"/>
  <c r="B233" i="1" s="1"/>
  <c r="AQ230" i="1"/>
  <c r="B230" i="1" s="1"/>
  <c r="AQ227" i="1"/>
  <c r="B227" i="1" s="1"/>
  <c r="AQ267" i="1"/>
  <c r="B267" i="1" s="1"/>
  <c r="AQ268" i="1"/>
  <c r="B268" i="1" s="1"/>
  <c r="AQ266" i="1"/>
  <c r="B266" i="1" s="1"/>
  <c r="AQ242" i="1"/>
  <c r="B242" i="1" s="1"/>
  <c r="AQ240" i="1"/>
  <c r="B240" i="1" s="1"/>
  <c r="AQ238" i="1"/>
  <c r="B238" i="1" s="1"/>
  <c r="AQ237" i="1"/>
  <c r="B237" i="1" s="1"/>
  <c r="AQ235" i="1"/>
  <c r="B235" i="1" s="1"/>
  <c r="AQ234" i="1"/>
  <c r="B234" i="1" s="1"/>
  <c r="AQ232" i="1"/>
  <c r="B232" i="1" s="1"/>
  <c r="AQ231" i="1"/>
  <c r="B231" i="1" s="1"/>
  <c r="AQ229" i="1"/>
  <c r="B229" i="1" s="1"/>
  <c r="AQ228" i="1"/>
  <c r="B228" i="1" s="1"/>
  <c r="AQ225" i="1"/>
  <c r="B225" i="1" s="1"/>
  <c r="AQ224" i="1"/>
  <c r="B224" i="1" s="1"/>
  <c r="AQ222" i="1"/>
  <c r="B222" i="1" s="1"/>
  <c r="AQ220" i="1"/>
  <c r="B220" i="1" s="1"/>
  <c r="AQ219" i="1"/>
  <c r="B219" i="1" s="1"/>
  <c r="AQ217" i="1"/>
  <c r="B217" i="1" s="1"/>
  <c r="AQ216" i="1"/>
  <c r="B216" i="1" s="1"/>
  <c r="AQ214" i="1"/>
  <c r="B214" i="1" s="1"/>
  <c r="AQ205" i="1"/>
  <c r="B205" i="1" s="1"/>
  <c r="AQ213" i="1"/>
  <c r="B213" i="1" s="1"/>
  <c r="AQ211" i="1"/>
  <c r="B211" i="1" s="1"/>
  <c r="AQ210" i="1"/>
  <c r="B210" i="1" s="1"/>
  <c r="AQ208" i="1"/>
  <c r="B208" i="1" s="1"/>
  <c r="AQ207" i="1" l="1"/>
  <c r="B207" i="1" s="1"/>
  <c r="AQ204" i="1"/>
  <c r="B204" i="1" s="1"/>
  <c r="AQ203" i="1"/>
  <c r="B203" i="1" s="1"/>
  <c r="AQ202" i="1"/>
  <c r="B202" i="1" s="1"/>
  <c r="AQ201" i="1"/>
  <c r="B201" i="1" s="1"/>
  <c r="AQ200" i="1"/>
  <c r="B200" i="1" s="1"/>
  <c r="AQ199" i="1"/>
  <c r="B199" i="1" s="1"/>
  <c r="AQ198" i="1"/>
  <c r="B198" i="1" s="1"/>
  <c r="AQ197" i="1"/>
  <c r="B197" i="1" s="1"/>
  <c r="AQ290" i="1" l="1"/>
  <c r="B290" i="1" s="1"/>
  <c r="AQ289" i="1"/>
  <c r="B289" i="1" s="1"/>
  <c r="AQ288" i="1"/>
  <c r="B288" i="1" s="1"/>
  <c r="AQ287" i="1"/>
  <c r="B287" i="1" s="1"/>
  <c r="AQ280" i="1"/>
  <c r="B280" i="1" s="1"/>
  <c r="AQ278" i="1"/>
  <c r="B278" i="1" s="1"/>
  <c r="AQ277" i="1"/>
  <c r="B277" i="1" s="1"/>
  <c r="AQ276" i="1"/>
  <c r="B276" i="1" s="1"/>
  <c r="AQ182" i="1"/>
  <c r="B182" i="1" s="1"/>
  <c r="AQ173" i="1"/>
  <c r="B173" i="1" s="1"/>
  <c r="AQ172" i="1"/>
  <c r="B172" i="1" s="1"/>
  <c r="AQ108" i="1"/>
  <c r="B108" i="1" s="1"/>
  <c r="AQ130" i="1"/>
  <c r="B130" i="1" s="1"/>
  <c r="AQ129" i="1"/>
  <c r="B129" i="1" s="1"/>
  <c r="AQ139" i="1"/>
  <c r="B139" i="1" s="1"/>
  <c r="AQ138" i="1"/>
  <c r="B138" i="1" s="1"/>
  <c r="AQ27" i="1"/>
  <c r="B27" i="1" s="1"/>
  <c r="AQ36" i="1"/>
  <c r="B36" i="1" s="1"/>
  <c r="AQ35" i="1"/>
  <c r="B35" i="1" s="1"/>
  <c r="AQ63" i="1"/>
  <c r="B63" i="1" s="1"/>
  <c r="AQ62" i="1"/>
  <c r="B62" i="1" s="1"/>
  <c r="AQ45" i="1"/>
  <c r="B45" i="1" s="1"/>
  <c r="AQ44" i="1"/>
  <c r="B44" i="1" s="1"/>
  <c r="AQ14" i="1"/>
  <c r="B14" i="1" s="1"/>
  <c r="AQ13" i="1"/>
  <c r="B13" i="1" s="1"/>
  <c r="AQ55" i="1" l="1"/>
  <c r="B55" i="1" s="1"/>
  <c r="AQ54" i="1"/>
  <c r="B54" i="1" s="1"/>
  <c r="AQ53" i="1"/>
  <c r="B53" i="1" s="1"/>
  <c r="AQ52" i="1"/>
  <c r="B52" i="1" s="1"/>
  <c r="AQ51" i="1"/>
  <c r="B51" i="1" s="1"/>
  <c r="AQ50" i="1"/>
  <c r="B50" i="1" s="1"/>
  <c r="AQ49" i="1"/>
  <c r="B49" i="1" s="1"/>
  <c r="AQ48" i="1"/>
  <c r="B48" i="1" s="1"/>
  <c r="AQ47" i="1"/>
  <c r="B47" i="1" s="1"/>
  <c r="AQ46" i="1"/>
  <c r="B46" i="1" s="1"/>
  <c r="AQ25" i="1"/>
  <c r="B25" i="1" s="1"/>
  <c r="AQ24" i="1"/>
  <c r="B24" i="1" s="1"/>
  <c r="AQ23" i="1"/>
  <c r="B23" i="1" s="1"/>
  <c r="AQ22" i="1"/>
  <c r="B22" i="1" s="1"/>
  <c r="AQ21" i="1"/>
  <c r="B21" i="1" s="1"/>
  <c r="AQ20" i="1"/>
  <c r="B20" i="1" s="1"/>
  <c r="AQ19" i="1"/>
  <c r="B19" i="1" s="1"/>
  <c r="AQ18" i="1"/>
  <c r="B18" i="1" s="1"/>
  <c r="AQ17" i="1"/>
  <c r="B17" i="1" s="1"/>
  <c r="AQ61" i="1"/>
  <c r="B61" i="1" s="1"/>
  <c r="AQ34" i="1" l="1"/>
  <c r="B34" i="1" s="1"/>
  <c r="AQ43" i="1"/>
  <c r="B43" i="1" s="1"/>
  <c r="AQ562" i="1"/>
  <c r="B562" i="1" s="1"/>
  <c r="AQ341" i="1"/>
  <c r="B341" i="1" s="1"/>
  <c r="AQ16" i="1"/>
  <c r="B16" i="1" s="1"/>
  <c r="AQ12" i="1"/>
  <c r="B12" i="1" s="1"/>
  <c r="AQ586" i="1" l="1"/>
  <c r="B586" i="1" s="1"/>
  <c r="AQ581" i="1"/>
  <c r="B581" i="1" s="1"/>
  <c r="AQ559" i="1"/>
  <c r="B559" i="1" s="1"/>
  <c r="AQ558" i="1"/>
  <c r="B558" i="1" s="1"/>
  <c r="AQ556" i="1"/>
  <c r="B556" i="1" s="1"/>
  <c r="AQ553" i="1"/>
  <c r="B553" i="1" s="1"/>
  <c r="AQ542" i="1"/>
  <c r="B542" i="1" s="1"/>
  <c r="AQ523" i="1"/>
  <c r="B523" i="1" s="1"/>
  <c r="AQ510" i="1"/>
  <c r="B510" i="1" s="1"/>
  <c r="AQ507" i="1"/>
  <c r="B507" i="1" s="1"/>
  <c r="AQ505" i="1"/>
  <c r="B505" i="1" s="1"/>
  <c r="AQ498" i="1"/>
  <c r="B498" i="1" s="1"/>
  <c r="AQ490" i="1"/>
  <c r="B490" i="1" s="1"/>
  <c r="AQ489" i="1"/>
  <c r="B489" i="1" s="1"/>
  <c r="AQ488" i="1"/>
  <c r="B488" i="1" s="1"/>
  <c r="AQ463" i="1"/>
  <c r="B463" i="1" s="1"/>
  <c r="AQ462" i="1"/>
  <c r="B462" i="1" s="1"/>
  <c r="AQ458" i="1"/>
  <c r="B458" i="1" s="1"/>
  <c r="AQ457" i="1"/>
  <c r="B457" i="1" s="1"/>
  <c r="AQ436" i="1"/>
  <c r="B436" i="1" s="1"/>
  <c r="AQ434" i="1"/>
  <c r="B434" i="1" s="1"/>
  <c r="AQ433" i="1"/>
  <c r="B433" i="1" s="1"/>
  <c r="AQ432" i="1"/>
  <c r="B432" i="1" s="1"/>
  <c r="AQ429" i="1"/>
  <c r="B429" i="1" s="1"/>
  <c r="AQ428" i="1"/>
  <c r="B428" i="1" s="1"/>
  <c r="AQ425" i="1"/>
  <c r="B425" i="1" s="1"/>
  <c r="AQ424" i="1"/>
  <c r="B424" i="1" s="1"/>
  <c r="AQ423" i="1"/>
  <c r="B423" i="1" s="1"/>
  <c r="AQ422" i="1"/>
  <c r="B422" i="1" s="1"/>
  <c r="AQ415" i="1"/>
  <c r="B415" i="1" s="1"/>
  <c r="AQ413" i="1"/>
  <c r="B413" i="1" s="1"/>
  <c r="AQ410" i="1"/>
  <c r="B410" i="1" s="1"/>
  <c r="AQ409" i="1"/>
  <c r="B409" i="1" s="1"/>
  <c r="AQ408" i="1"/>
  <c r="B408" i="1" s="1"/>
  <c r="AQ404" i="1"/>
  <c r="B404" i="1" s="1"/>
  <c r="AQ401" i="1"/>
  <c r="B401" i="1" s="1"/>
  <c r="AQ399" i="1"/>
  <c r="B399" i="1" s="1"/>
  <c r="AQ398" i="1"/>
  <c r="B398" i="1" s="1"/>
  <c r="AQ397" i="1"/>
  <c r="B397" i="1" s="1"/>
  <c r="AQ396" i="1"/>
  <c r="B396" i="1" s="1"/>
  <c r="AQ388" i="1"/>
  <c r="B388" i="1" s="1"/>
  <c r="AQ387" i="1"/>
  <c r="B387" i="1" s="1"/>
  <c r="AQ394" i="1"/>
  <c r="B394" i="1" s="1"/>
  <c r="AQ382" i="1"/>
  <c r="B382" i="1" s="1"/>
  <c r="AQ381" i="1"/>
  <c r="B381" i="1" s="1"/>
  <c r="AQ377" i="1"/>
  <c r="B377" i="1" s="1"/>
  <c r="AQ376" i="1"/>
  <c r="B376" i="1" s="1"/>
  <c r="AQ375" i="1"/>
  <c r="B375" i="1" s="1"/>
  <c r="AQ360" i="1"/>
  <c r="B360" i="1" s="1"/>
  <c r="AQ323" i="1"/>
  <c r="B323" i="1" s="1"/>
  <c r="AQ320" i="1"/>
  <c r="B320" i="1" s="1"/>
  <c r="AQ316" i="1"/>
  <c r="B316" i="1" s="1"/>
  <c r="AQ312" i="1"/>
  <c r="B312" i="1" s="1"/>
  <c r="AQ306" i="1"/>
  <c r="B306" i="1" s="1"/>
  <c r="AQ295" i="1"/>
  <c r="B295" i="1" s="1"/>
  <c r="AQ292" i="1"/>
  <c r="B292" i="1" s="1"/>
  <c r="AQ286" i="1"/>
  <c r="B286" i="1" s="1"/>
  <c r="AQ285" i="1"/>
  <c r="B285" i="1" s="1"/>
  <c r="AQ284" i="1"/>
  <c r="B284" i="1" s="1"/>
  <c r="AQ283" i="1"/>
  <c r="B283" i="1" s="1"/>
  <c r="AQ282" i="1"/>
  <c r="B282" i="1" s="1"/>
  <c r="AQ281" i="1"/>
  <c r="B281" i="1" s="1"/>
  <c r="AQ279" i="1"/>
  <c r="B279" i="1" s="1"/>
  <c r="AQ275" i="1"/>
  <c r="B275" i="1" s="1"/>
  <c r="AQ255" i="1"/>
  <c r="B255" i="1" s="1"/>
  <c r="AQ226" i="1"/>
  <c r="B226" i="1" s="1"/>
  <c r="AQ223" i="1"/>
  <c r="B223" i="1" s="1"/>
  <c r="AQ244" i="1"/>
  <c r="B244" i="1" s="1"/>
  <c r="AQ184" i="1"/>
  <c r="B184" i="1" s="1"/>
  <c r="AQ181" i="1"/>
  <c r="B181" i="1" s="1"/>
  <c r="AQ178" i="1"/>
  <c r="B178" i="1" s="1"/>
  <c r="AQ177" i="1"/>
  <c r="B177" i="1" s="1"/>
  <c r="AQ174" i="1"/>
  <c r="B174" i="1" s="1"/>
  <c r="AQ171" i="1"/>
  <c r="B171" i="1" s="1"/>
  <c r="AQ157" i="1"/>
  <c r="B157" i="1" s="1"/>
  <c r="AQ150" i="1"/>
  <c r="B150" i="1" s="1"/>
  <c r="AQ137" i="1"/>
  <c r="B137" i="1" s="1"/>
  <c r="AQ128" i="1"/>
  <c r="B128" i="1" s="1"/>
  <c r="AQ116" i="1"/>
  <c r="B116" i="1" s="1"/>
  <c r="AQ113" i="1"/>
  <c r="B113" i="1" s="1"/>
  <c r="AQ107" i="1"/>
  <c r="B107" i="1" s="1"/>
  <c r="AQ105" i="1"/>
  <c r="B105" i="1" s="1"/>
  <c r="AQ97" i="1"/>
  <c r="B97" i="1" s="1"/>
  <c r="AQ88" i="1"/>
  <c r="B88" i="1" s="1"/>
  <c r="AQ81" i="1"/>
  <c r="B81" i="1" s="1"/>
  <c r="AQ80" i="1"/>
  <c r="B80" i="1" s="1"/>
  <c r="AQ74" i="1"/>
  <c r="B74" i="1" s="1"/>
  <c r="AQ69" i="1"/>
  <c r="B69" i="1" s="1"/>
  <c r="AQ64" i="1"/>
  <c r="B64" i="1" s="1"/>
  <c r="AQ60" i="1"/>
  <c r="B60" i="1" s="1"/>
  <c r="AQ42" i="1"/>
  <c r="B42" i="1" s="1"/>
  <c r="AQ37" i="1"/>
  <c r="B37" i="1" s="1"/>
  <c r="AQ33" i="1"/>
  <c r="B33" i="1" s="1"/>
  <c r="AQ26" i="1"/>
  <c r="B26" i="1" s="1"/>
  <c r="AQ11" i="1"/>
  <c r="B11" i="1" s="1"/>
  <c r="AH2" i="1"/>
  <c r="AH1" i="1"/>
  <c r="E136" i="1" l="1"/>
  <c r="E132" i="1"/>
  <c r="E135" i="1"/>
  <c r="E131" i="1"/>
  <c r="E134" i="1"/>
  <c r="E133" i="1"/>
  <c r="E71" i="1"/>
  <c r="E506" i="1"/>
  <c r="E75" i="1"/>
  <c r="E70" i="1"/>
  <c r="E119" i="1"/>
  <c r="E120" i="1"/>
  <c r="E117" i="1"/>
  <c r="E118" i="1"/>
  <c r="E101" i="1"/>
  <c r="E100" i="1"/>
  <c r="E555" i="1"/>
  <c r="E99" i="1"/>
  <c r="E170" i="1"/>
  <c r="E98" i="1"/>
  <c r="E112" i="1"/>
  <c r="E106" i="1"/>
  <c r="E110" i="1"/>
  <c r="E111" i="1"/>
  <c r="E176" i="1"/>
  <c r="E109" i="1"/>
  <c r="E115" i="1"/>
  <c r="E175" i="1"/>
  <c r="E541" i="1"/>
  <c r="E114" i="1"/>
  <c r="E152" i="1"/>
  <c r="E153" i="1"/>
  <c r="E151" i="1"/>
  <c r="E531" i="1"/>
  <c r="E534" i="1"/>
  <c r="E530" i="1"/>
  <c r="E529" i="1"/>
  <c r="E532" i="1"/>
  <c r="E533" i="1"/>
  <c r="E95" i="1"/>
  <c r="E96" i="1"/>
  <c r="E158" i="1"/>
  <c r="E94" i="1"/>
  <c r="E93" i="1"/>
  <c r="E90" i="1"/>
  <c r="E92" i="1"/>
  <c r="E91" i="1"/>
  <c r="E89" i="1"/>
  <c r="E26" i="1"/>
  <c r="E489" i="1"/>
  <c r="E171" i="1"/>
  <c r="E16" i="1"/>
  <c r="E408" i="1"/>
  <c r="E306" i="1"/>
  <c r="E413" i="1"/>
  <c r="E174" i="1"/>
  <c r="E177" i="1"/>
  <c r="E320" i="1"/>
  <c r="E415" i="1"/>
  <c r="E510" i="1"/>
  <c r="E424" i="1"/>
  <c r="E553" i="1"/>
  <c r="E382" i="1"/>
  <c r="E429" i="1"/>
  <c r="E558" i="1"/>
  <c r="E490" i="1"/>
  <c r="E42" i="1"/>
  <c r="E181" i="1"/>
  <c r="E360" i="1"/>
  <c r="E375" i="1"/>
  <c r="E376" i="1"/>
  <c r="E425" i="1"/>
  <c r="E428" i="1"/>
  <c r="E275" i="1"/>
  <c r="E105" i="1"/>
  <c r="E107" i="1"/>
  <c r="E113" i="1"/>
  <c r="E283" i="1"/>
  <c r="E396" i="1"/>
  <c r="E436" i="1"/>
  <c r="E34" i="1"/>
  <c r="E33" i="1"/>
  <c r="E316" i="1"/>
  <c r="E505" i="1"/>
  <c r="E64" i="1"/>
  <c r="E69" i="1"/>
  <c r="E74" i="1"/>
  <c r="E80" i="1"/>
  <c r="E255" i="1"/>
  <c r="E97" i="1"/>
  <c r="E586" i="1"/>
  <c r="E116" i="1"/>
  <c r="E284" i="1"/>
  <c r="E397" i="1"/>
  <c r="E457" i="1"/>
  <c r="E43" i="1"/>
  <c r="E409" i="1"/>
  <c r="E498" i="1"/>
  <c r="E60" i="1"/>
  <c r="E184" i="1"/>
  <c r="E244" i="1"/>
  <c r="E377" i="1"/>
  <c r="E556" i="1"/>
  <c r="E394" i="1"/>
  <c r="E281" i="1"/>
  <c r="E282" i="1"/>
  <c r="E128" i="1"/>
  <c r="E285" i="1"/>
  <c r="E398" i="1"/>
  <c r="E458" i="1"/>
  <c r="E562" i="1"/>
  <c r="E37" i="1"/>
  <c r="E178" i="1"/>
  <c r="E323" i="1"/>
  <c r="E422" i="1"/>
  <c r="E523" i="1"/>
  <c r="E542" i="1"/>
  <c r="E81" i="1"/>
  <c r="E559" i="1"/>
  <c r="E581" i="1"/>
  <c r="E286" i="1"/>
  <c r="E399" i="1"/>
  <c r="E462" i="1"/>
  <c r="E341" i="1"/>
  <c r="E507" i="1"/>
  <c r="E423" i="1"/>
  <c r="E88" i="1"/>
  <c r="E432" i="1"/>
  <c r="E387" i="1"/>
  <c r="E388" i="1"/>
  <c r="E137" i="1"/>
  <c r="E150" i="1"/>
  <c r="E292" i="1"/>
  <c r="E401" i="1"/>
  <c r="E463" i="1"/>
  <c r="E312" i="1"/>
  <c r="E410" i="1"/>
  <c r="E223" i="1"/>
  <c r="E226" i="1"/>
  <c r="E381" i="1"/>
  <c r="E279" i="1"/>
  <c r="E433" i="1"/>
  <c r="E434" i="1"/>
  <c r="E11" i="1"/>
  <c r="E600" i="1"/>
  <c r="E599" i="1"/>
  <c r="E82" i="1"/>
  <c r="E180" i="1"/>
  <c r="E483" i="1"/>
  <c r="E304" i="1"/>
  <c r="E601" i="1"/>
  <c r="E179" i="1"/>
  <c r="E302" i="1"/>
  <c r="E484" i="1"/>
  <c r="E83" i="1"/>
  <c r="E303" i="1"/>
  <c r="E301" i="1"/>
  <c r="E389" i="1"/>
  <c r="E390" i="1"/>
  <c r="E597" i="1"/>
  <c r="E598" i="1"/>
  <c r="E579" i="1"/>
  <c r="E378" i="1"/>
  <c r="E566" i="1"/>
  <c r="E554" i="1"/>
  <c r="E568" i="1"/>
  <c r="E567" i="1"/>
  <c r="E557" i="1"/>
  <c r="E563" i="1"/>
  <c r="E565" i="1"/>
  <c r="E564" i="1"/>
  <c r="E524" i="1"/>
  <c r="E522" i="1"/>
  <c r="E503" i="1"/>
  <c r="E520" i="1"/>
  <c r="E501" i="1"/>
  <c r="E526" i="1"/>
  <c r="E502" i="1"/>
  <c r="E527" i="1"/>
  <c r="E519" i="1"/>
  <c r="E525" i="1"/>
  <c r="E504" i="1"/>
  <c r="E521" i="1"/>
  <c r="E508" i="1"/>
  <c r="E517" i="1"/>
  <c r="E528" i="1"/>
  <c r="E543" i="1"/>
  <c r="E518" i="1"/>
  <c r="E544" i="1"/>
  <c r="E509" i="1"/>
  <c r="E405" i="1"/>
  <c r="E495" i="1"/>
  <c r="E459" i="1"/>
  <c r="E500" i="1"/>
  <c r="E494" i="1"/>
  <c r="E497" i="1"/>
  <c r="E431" i="1"/>
  <c r="E491" i="1"/>
  <c r="E406" i="1"/>
  <c r="E493" i="1"/>
  <c r="E407" i="1"/>
  <c r="E499" i="1"/>
  <c r="E492" i="1"/>
  <c r="E430" i="1"/>
  <c r="E496" i="1"/>
  <c r="E464" i="1"/>
  <c r="E403" i="1"/>
  <c r="E331" i="1"/>
  <c r="E327" i="1"/>
  <c r="E339" i="1"/>
  <c r="E402" i="1"/>
  <c r="E392" i="1"/>
  <c r="E337" i="1"/>
  <c r="E346" i="1"/>
  <c r="E383" i="1"/>
  <c r="E342" i="1"/>
  <c r="E393" i="1"/>
  <c r="E338" i="1"/>
  <c r="E330" i="1"/>
  <c r="E344" i="1"/>
  <c r="E348" i="1"/>
  <c r="E391" i="1"/>
  <c r="E329" i="1"/>
  <c r="E343" i="1"/>
  <c r="E347" i="1"/>
  <c r="E384" i="1"/>
  <c r="E340" i="1"/>
  <c r="E345" i="1"/>
  <c r="E237" i="1"/>
  <c r="E219" i="1"/>
  <c r="E324" i="1"/>
  <c r="E238" i="1"/>
  <c r="E318" i="1"/>
  <c r="E268" i="1"/>
  <c r="E222" i="1"/>
  <c r="E206" i="1"/>
  <c r="E232" i="1"/>
  <c r="E313" i="1"/>
  <c r="E233" i="1"/>
  <c r="E210" i="1"/>
  <c r="E321" i="1"/>
  <c r="E325" i="1"/>
  <c r="E211" i="1"/>
  <c r="E216" i="1"/>
  <c r="E214" i="1"/>
  <c r="E239" i="1"/>
  <c r="E218" i="1"/>
  <c r="E212" i="1"/>
  <c r="E236" i="1"/>
  <c r="E231" i="1"/>
  <c r="E227" i="1"/>
  <c r="E317" i="1"/>
  <c r="E220" i="1"/>
  <c r="E326" i="1"/>
  <c r="E240" i="1"/>
  <c r="E297" i="1"/>
  <c r="E230" i="1"/>
  <c r="E298" i="1"/>
  <c r="E243" i="1"/>
  <c r="E234" i="1"/>
  <c r="E225" i="1"/>
  <c r="E229" i="1"/>
  <c r="E215" i="1"/>
  <c r="E235" i="1"/>
  <c r="E314" i="1"/>
  <c r="E266" i="1"/>
  <c r="E328" i="1"/>
  <c r="E209" i="1"/>
  <c r="E315" i="1"/>
  <c r="E208" i="1"/>
  <c r="E221" i="1"/>
  <c r="E205" i="1"/>
  <c r="E217" i="1"/>
  <c r="E228" i="1"/>
  <c r="E322" i="1"/>
  <c r="E242" i="1"/>
  <c r="E296" i="1"/>
  <c r="E224" i="1"/>
  <c r="E267" i="1"/>
  <c r="E241" i="1"/>
  <c r="E332" i="1"/>
  <c r="E213" i="1"/>
  <c r="E207" i="1"/>
  <c r="E198" i="1"/>
  <c r="E204" i="1"/>
  <c r="E201" i="1"/>
  <c r="E197" i="1"/>
  <c r="E200" i="1"/>
  <c r="E203" i="1"/>
  <c r="E202" i="1"/>
  <c r="E199" i="1"/>
  <c r="E173" i="1"/>
  <c r="E63" i="1"/>
  <c r="E14" i="1"/>
  <c r="E27" i="1"/>
  <c r="E288" i="1"/>
  <c r="E13" i="1"/>
  <c r="E130" i="1"/>
  <c r="E289" i="1"/>
  <c r="E182" i="1"/>
  <c r="E277" i="1"/>
  <c r="E44" i="1"/>
  <c r="E287" i="1"/>
  <c r="E45" i="1"/>
  <c r="E138" i="1"/>
  <c r="E290" i="1"/>
  <c r="E62" i="1"/>
  <c r="E139" i="1"/>
  <c r="E35" i="1"/>
  <c r="E129" i="1"/>
  <c r="E278" i="1"/>
  <c r="E276" i="1"/>
  <c r="E108" i="1"/>
  <c r="E36" i="1"/>
  <c r="E172" i="1"/>
  <c r="E280" i="1"/>
  <c r="E24" i="1"/>
  <c r="E52" i="1"/>
  <c r="E18" i="1"/>
  <c r="E47" i="1"/>
  <c r="E49" i="1"/>
  <c r="E20" i="1"/>
  <c r="E46" i="1"/>
  <c r="E23" i="1"/>
  <c r="E22" i="1"/>
  <c r="E53" i="1"/>
  <c r="E48" i="1"/>
  <c r="E55" i="1"/>
  <c r="E54" i="1"/>
  <c r="E19" i="1"/>
  <c r="E51" i="1"/>
  <c r="E21" i="1"/>
  <c r="E61" i="1"/>
  <c r="E25" i="1"/>
  <c r="E17" i="1"/>
  <c r="E50" i="1"/>
  <c r="E157" i="1"/>
  <c r="E295" i="1"/>
  <c r="E404" i="1"/>
  <c r="E488" i="1"/>
  <c r="E12" i="1"/>
  <c r="D9" i="11" l="1"/>
  <c r="D7" i="11"/>
  <c r="D6" i="11"/>
  <c r="C3" i="17" l="1"/>
  <c r="C6" i="17"/>
  <c r="B2" i="12"/>
  <c r="B2" i="22"/>
  <c r="B2" i="2"/>
  <c r="H2" i="1" l="1"/>
  <c r="C1" i="2" l="1"/>
  <c r="M7" i="18" l="1"/>
  <c r="W84" i="18"/>
  <c r="W83" i="18"/>
  <c r="W82" i="18"/>
  <c r="W81" i="18"/>
  <c r="W80" i="18"/>
  <c r="W79" i="18"/>
  <c r="W78" i="18"/>
  <c r="W77" i="18"/>
  <c r="W76" i="18"/>
  <c r="W75" i="18"/>
  <c r="W74" i="18"/>
  <c r="W73" i="18"/>
  <c r="W72" i="18"/>
  <c r="W71" i="18"/>
  <c r="W70" i="18"/>
  <c r="W69" i="18"/>
  <c r="W68" i="18"/>
  <c r="W67" i="18"/>
  <c r="W66" i="18"/>
  <c r="W65" i="18"/>
  <c r="W64" i="18"/>
  <c r="W63" i="18"/>
  <c r="W62" i="18"/>
  <c r="W61" i="18"/>
  <c r="W60" i="18"/>
  <c r="W59" i="18"/>
  <c r="W58" i="18"/>
  <c r="W57" i="18"/>
  <c r="W56" i="18"/>
  <c r="W55" i="18"/>
  <c r="W54" i="18"/>
  <c r="W53" i="18"/>
  <c r="W52" i="18"/>
  <c r="W51" i="18"/>
  <c r="W50" i="18"/>
  <c r="W49" i="18"/>
  <c r="W48" i="18"/>
  <c r="W47" i="18"/>
  <c r="W46" i="18"/>
  <c r="W45" i="18"/>
  <c r="W44" i="18"/>
  <c r="W43" i="18"/>
  <c r="W42" i="18"/>
  <c r="W41" i="18"/>
  <c r="W40" i="18"/>
  <c r="W39" i="18"/>
  <c r="W38" i="18"/>
  <c r="W37" i="18"/>
  <c r="W36" i="18"/>
  <c r="W35" i="18"/>
  <c r="W34" i="18"/>
  <c r="W33" i="18"/>
  <c r="W32" i="18"/>
  <c r="W31" i="18"/>
  <c r="W30" i="18"/>
  <c r="W29" i="18"/>
  <c r="W28" i="18"/>
  <c r="W27" i="18"/>
  <c r="W26" i="18"/>
  <c r="W25" i="18"/>
  <c r="W24" i="18"/>
  <c r="W23" i="18"/>
  <c r="W22" i="18"/>
  <c r="W21" i="18"/>
  <c r="W20" i="18"/>
  <c r="W19" i="18"/>
  <c r="W18" i="18"/>
  <c r="W17" i="18"/>
  <c r="W16" i="18"/>
  <c r="W15" i="18"/>
  <c r="W14" i="18"/>
  <c r="W13" i="18"/>
  <c r="W12" i="18"/>
  <c r="W11" i="18"/>
  <c r="W10" i="18"/>
  <c r="W9" i="18"/>
  <c r="W8" i="18"/>
  <c r="W7" i="18"/>
  <c r="W6" i="18"/>
  <c r="H2" i="18"/>
  <c r="G2" i="18"/>
  <c r="I2" i="18" s="1"/>
  <c r="R84" i="18"/>
  <c r="R83" i="18"/>
  <c r="R82" i="18"/>
  <c r="R81" i="18"/>
  <c r="R80" i="18"/>
  <c r="R79" i="18"/>
  <c r="R78" i="18"/>
  <c r="R77" i="18"/>
  <c r="R76" i="18"/>
  <c r="R75" i="18"/>
  <c r="R74" i="18"/>
  <c r="R73" i="18"/>
  <c r="R72" i="18"/>
  <c r="R71" i="18"/>
  <c r="R70" i="18"/>
  <c r="R69" i="18"/>
  <c r="R68" i="18"/>
  <c r="R67" i="18"/>
  <c r="R66" i="18"/>
  <c r="R65" i="18"/>
  <c r="R64" i="18"/>
  <c r="R63" i="18"/>
  <c r="R62" i="18"/>
  <c r="R61" i="18"/>
  <c r="R60" i="18"/>
  <c r="R59" i="18"/>
  <c r="R58" i="18"/>
  <c r="R57" i="18"/>
  <c r="R56" i="18"/>
  <c r="R55" i="18"/>
  <c r="R54" i="18"/>
  <c r="R53" i="18"/>
  <c r="R52" i="18"/>
  <c r="R51" i="18"/>
  <c r="R50" i="18"/>
  <c r="R49" i="18"/>
  <c r="R48" i="18"/>
  <c r="R47" i="18"/>
  <c r="R46" i="18"/>
  <c r="R45" i="18"/>
  <c r="R44" i="18"/>
  <c r="R43" i="18"/>
  <c r="R42" i="18"/>
  <c r="R41" i="18"/>
  <c r="R40" i="18"/>
  <c r="R39" i="18"/>
  <c r="R38" i="18"/>
  <c r="R37" i="18"/>
  <c r="R36" i="18"/>
  <c r="R35" i="18"/>
  <c r="R34" i="18"/>
  <c r="R33" i="18"/>
  <c r="R32" i="18"/>
  <c r="R31" i="18"/>
  <c r="R30" i="18"/>
  <c r="R29" i="18"/>
  <c r="R28" i="18"/>
  <c r="R27" i="18"/>
  <c r="R26" i="18"/>
  <c r="R25" i="18"/>
  <c r="R24" i="18"/>
  <c r="R23" i="18"/>
  <c r="R22" i="18"/>
  <c r="R21" i="18"/>
  <c r="R20" i="18"/>
  <c r="R19" i="18"/>
  <c r="R18" i="18"/>
  <c r="R17" i="18"/>
  <c r="R16" i="18"/>
  <c r="R15" i="18"/>
  <c r="R14" i="18"/>
  <c r="R13" i="18"/>
  <c r="R12" i="18"/>
  <c r="R11" i="18"/>
  <c r="R10" i="18"/>
  <c r="R9" i="18"/>
  <c r="R8" i="18"/>
  <c r="R7" i="18"/>
  <c r="R6" i="18"/>
  <c r="M84" i="18"/>
  <c r="M83" i="18"/>
  <c r="M82" i="18"/>
  <c r="M81" i="18"/>
  <c r="M80" i="18"/>
  <c r="M79" i="18"/>
  <c r="M78" i="18"/>
  <c r="M77" i="18"/>
  <c r="M76" i="18"/>
  <c r="M75" i="18"/>
  <c r="M74" i="18"/>
  <c r="M73" i="18"/>
  <c r="M72" i="18"/>
  <c r="M71" i="18"/>
  <c r="M70" i="18"/>
  <c r="M69" i="18"/>
  <c r="M68" i="18"/>
  <c r="M67" i="18"/>
  <c r="M66" i="18"/>
  <c r="M65" i="18"/>
  <c r="M64" i="18"/>
  <c r="M63" i="18"/>
  <c r="M62" i="18"/>
  <c r="M61" i="18"/>
  <c r="M60" i="18"/>
  <c r="M59" i="18"/>
  <c r="M58" i="18"/>
  <c r="M57" i="18"/>
  <c r="M56" i="18"/>
  <c r="M55" i="18"/>
  <c r="M54" i="18"/>
  <c r="M53" i="18"/>
  <c r="M52" i="18"/>
  <c r="M51" i="18"/>
  <c r="M50" i="18"/>
  <c r="M49" i="18"/>
  <c r="M48" i="18"/>
  <c r="M47" i="18"/>
  <c r="M46" i="18"/>
  <c r="M45" i="18"/>
  <c r="M44" i="18"/>
  <c r="M43" i="18"/>
  <c r="M42" i="18"/>
  <c r="M41" i="18"/>
  <c r="M40" i="18"/>
  <c r="M39" i="18"/>
  <c r="M38" i="18"/>
  <c r="M37" i="18"/>
  <c r="M36" i="18"/>
  <c r="M35" i="18"/>
  <c r="M34" i="18"/>
  <c r="M33" i="18"/>
  <c r="M32" i="18"/>
  <c r="M31" i="18"/>
  <c r="M30" i="18"/>
  <c r="M29" i="18"/>
  <c r="M28" i="18"/>
  <c r="M27" i="18"/>
  <c r="M26" i="18"/>
  <c r="M25" i="18"/>
  <c r="M24" i="18"/>
  <c r="M23" i="18"/>
  <c r="M22" i="18"/>
  <c r="M21" i="18"/>
  <c r="M20" i="18"/>
  <c r="M19" i="18"/>
  <c r="M18" i="18"/>
  <c r="M17" i="18"/>
  <c r="M16" i="18"/>
  <c r="M15" i="18"/>
  <c r="M14" i="18"/>
  <c r="M13" i="18"/>
  <c r="M12" i="18"/>
  <c r="M11" i="18"/>
  <c r="M10" i="18"/>
  <c r="M9" i="18"/>
  <c r="M8" i="18"/>
  <c r="M6" i="18"/>
  <c r="C3" i="18" l="1"/>
  <c r="I1" i="1" l="1"/>
  <c r="D2" i="18" l="1"/>
  <c r="F2" i="18" s="1"/>
  <c r="AH3" i="28" l="1"/>
  <c r="AI3" i="28" s="1"/>
  <c r="AJ3" i="28" s="1"/>
  <c r="AK3" i="28" s="1"/>
  <c r="AL3" i="28" s="1"/>
  <c r="AM3" i="28" l="1"/>
  <c r="AN3" i="28" s="1"/>
  <c r="AO3" i="28" s="1"/>
  <c r="AP3" i="28" s="1"/>
  <c r="AD3" i="28" s="1"/>
  <c r="I3" i="28" s="1"/>
  <c r="E3" i="28" l="1"/>
  <c r="G3" i="28"/>
  <c r="H3" i="28"/>
  <c r="F3" i="28"/>
  <c r="T357" i="30" l="1"/>
  <c r="S357" i="30" s="1"/>
  <c r="R357" i="30"/>
  <c r="T582" i="1"/>
  <c r="S582" i="1" s="1"/>
  <c r="BQ3" i="28"/>
  <c r="R582" i="1"/>
  <c r="C3"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tc={EC939F65-CCCC-4306-AFEE-1C52F67BEC0E}</author>
  </authors>
  <commentList>
    <comment ref="V558" authorId="0" shapeId="0" xr:uid="{EC939F65-CCCC-4306-AFEE-1C52F67BEC0E}">
      <text>
        <t>[Threaded comment]
Your version of Excel allows you to read this threaded comment; however, any edits to it will get removed if the file is opened in a newer version of Excel. Learn more: https://go.microsoft.com/fwlink/?linkid=870924
Comment:
    ENF 11/15/23: just a note for myself when I inventory this car, this is the part # on this actual part for folder 1270.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tc={FA23316F-C09A-4517-88A9-42694C1CFCDA}</author>
  </authors>
  <commentList>
    <comment ref="V339" authorId="0" shapeId="0" xr:uid="{FA23316F-C09A-4517-88A9-42694C1CFCDA}">
      <text>
        <t>[Threaded comment]
Your version of Excel allows you to read this threaded comment; however, any edits to it will get removed if the file is opened in a newer version of Excel. Learn more: https://go.microsoft.com/fwlink/?linkid=870924
Comment:
    ENF 11/15/23: just a note for myself when I inventory this car, this is the part # on this actual part for folder 1270.</t>
      </text>
    </comment>
  </commentList>
</comments>
</file>

<file path=xl/sharedStrings.xml><?xml version="1.0" encoding="utf-8"?>
<sst xmlns="http://schemas.openxmlformats.org/spreadsheetml/2006/main" count="20354" uniqueCount="2856">
  <si>
    <t>Item</t>
  </si>
  <si>
    <t>Location</t>
  </si>
  <si>
    <t>Notes</t>
  </si>
  <si>
    <t>Price</t>
  </si>
  <si>
    <t>Tested Bad?</t>
  </si>
  <si>
    <t>Suspension</t>
  </si>
  <si>
    <t>Interior - Dash</t>
  </si>
  <si>
    <t>DRF Check</t>
  </si>
  <si>
    <t>FLAWs</t>
  </si>
  <si>
    <t>Keeping Radio to Sell?</t>
  </si>
  <si>
    <t>Radio Code (Tester to Obtain):</t>
  </si>
  <si>
    <t>Heated Seats? (Tester to Obtain)</t>
  </si>
  <si>
    <t>Memory Seats? (Tester to Obtain)</t>
  </si>
  <si>
    <t>Door Mirrors: Electronic Folding? (Tester Obtain)</t>
  </si>
  <si>
    <t>Door Mirrors: Heated? (Tester Obtain)</t>
  </si>
  <si>
    <t>Door Mirrors: Memory? (Tester Obtain)</t>
  </si>
  <si>
    <t>Door Mirrors: Auto-Dim? (Tester Obtain)</t>
  </si>
  <si>
    <t>FRONT - Wheel &amp; Tire Size (Tester Obtain)</t>
  </si>
  <si>
    <t>REAR - Wheel &amp; Tire Size (Tester Obtain)</t>
  </si>
  <si>
    <t>SEATS</t>
  </si>
  <si>
    <t>RADIO</t>
  </si>
  <si>
    <t>DOOR MIRRORS</t>
  </si>
  <si>
    <t>WHEEL</t>
  </si>
  <si>
    <t>Transmission Code:</t>
  </si>
  <si>
    <t>Differential Code:</t>
  </si>
  <si>
    <t>TESTER - Info to Get</t>
  </si>
  <si>
    <t>Torque Converter</t>
  </si>
  <si>
    <t>Valve Body</t>
  </si>
  <si>
    <t>Mike Test Notes</t>
  </si>
  <si>
    <t>{a}</t>
  </si>
  <si>
    <t>{b}</t>
  </si>
  <si>
    <t>{c}</t>
  </si>
  <si>
    <t>{d}</t>
  </si>
  <si>
    <t>{e}</t>
  </si>
  <si>
    <t>{f}</t>
  </si>
  <si>
    <t>{g}</t>
  </si>
  <si>
    <t>{h}</t>
  </si>
  <si>
    <t>Road Tested?</t>
  </si>
  <si>
    <t>Oil Pan, Transmission</t>
  </si>
  <si>
    <t>Multiple</t>
  </si>
  <si>
    <t>Door Panel</t>
  </si>
  <si>
    <t>Harmonic Balancer</t>
  </si>
  <si>
    <t>Automatic Flywheel Flex Plate</t>
  </si>
  <si>
    <t>Throttle Body</t>
  </si>
  <si>
    <t>Alternator</t>
  </si>
  <si>
    <t>3rd Brake Light</t>
  </si>
  <si>
    <t>Lights</t>
  </si>
  <si>
    <t>Wheels</t>
  </si>
  <si>
    <t>Trunk</t>
  </si>
  <si>
    <t>Mirror, Door</t>
  </si>
  <si>
    <t>Hood</t>
  </si>
  <si>
    <t>We will need to recheck this item soon to see if we still want to keep/list these.  It is a combination of one or more of the following:
1) unpopular seller
2) large and expensive to ship (profit margins are low)
3) labor intensive to dismantle, clean, picture, or package</t>
  </si>
  <si>
    <t>We should check this again to see if we want to start selling based on more recent sales data.  It was determined to not be a good seller at the time and/or we had lots of sets up we need to wait for them to sell through.</t>
  </si>
  <si>
    <t>Have Janelle Get Dimensions, Weight, &amp; Ship to NY Cost &amp; Enter Here</t>
  </si>
  <si>
    <t>Crank Shaft</t>
  </si>
  <si>
    <t>Transmission Crossmember Mount Bracket</t>
  </si>
  <si>
    <t>Switch, Window</t>
  </si>
  <si>
    <t>These were repriced down, but we have a lot active and sales of this item are minimal and/or not for much.  Monitor these each time we do one of these vehicle models to see if we want to delist/scrap these items if they don't move after a time.</t>
  </si>
  <si>
    <t>Devin</t>
  </si>
  <si>
    <t>Jason</t>
  </si>
  <si>
    <t>Checked Range</t>
  </si>
  <si>
    <t>Car Year, Make &amp; Model</t>
  </si>
  <si>
    <t>Elgin</t>
  </si>
  <si>
    <t>Mike</t>
  </si>
  <si>
    <t>Engine Compression Test</t>
  </si>
  <si>
    <t>Engine Type:</t>
  </si>
  <si>
    <t>BAR to PSI conversion (1 BAR = 14.5038 PSI)</t>
  </si>
  <si>
    <t>BAR</t>
  </si>
  <si>
    <t>PSI</t>
  </si>
  <si>
    <r>
      <t xml:space="preserve">Factory Specified </t>
    </r>
    <r>
      <rPr>
        <b/>
        <u/>
        <sz val="11"/>
        <color theme="1"/>
        <rFont val="Calibri"/>
        <family val="2"/>
        <scheme val="minor"/>
      </rPr>
      <t>Low</t>
    </r>
    <r>
      <rPr>
        <b/>
        <sz val="11"/>
        <color theme="1"/>
        <rFont val="Calibri"/>
        <family val="2"/>
        <scheme val="minor"/>
      </rPr>
      <t xml:space="preserve"> End of "New Range"</t>
    </r>
  </si>
  <si>
    <r>
      <t xml:space="preserve">Factory Specified </t>
    </r>
    <r>
      <rPr>
        <b/>
        <u/>
        <sz val="11"/>
        <color theme="1"/>
        <rFont val="Calibri"/>
        <family val="2"/>
        <scheme val="minor"/>
      </rPr>
      <t>High</t>
    </r>
    <r>
      <rPr>
        <b/>
        <sz val="11"/>
        <color theme="1"/>
        <rFont val="Calibri"/>
        <family val="2"/>
        <scheme val="minor"/>
      </rPr>
      <t xml:space="preserve"> End of "New Range"</t>
    </r>
  </si>
  <si>
    <t>Factory Specified "Wear Limit"</t>
  </si>
  <si>
    <t>Tolerable Variance</t>
  </si>
  <si>
    <t>Cylinder</t>
  </si>
  <si>
    <t>Dry Results (PSI)</t>
  </si>
  <si>
    <t>Wet Results* (PSI)</t>
  </si>
  <si>
    <t>* Only perform wet results if the dry results are outside of normal specs (they are to tell us what is likely wrong)</t>
  </si>
  <si>
    <t>Template:</t>
  </si>
  <si>
    <t>Mileage</t>
  </si>
  <si>
    <t>TEST / INSPECT / BAD / FLAWED LIST - FOR DISMANTLERS</t>
  </si>
  <si>
    <t>Test / Inspect Notes</t>
  </si>
  <si>
    <t>INSPECT ALWAYS</t>
  </si>
  <si>
    <t>DRF Check Prepared By</t>
  </si>
  <si>
    <t>Wiper Motor, Trunk</t>
  </si>
  <si>
    <t>Steering Gear Rack &amp; Pinion</t>
  </si>
  <si>
    <t>Engine Oil Level Sensor</t>
  </si>
  <si>
    <t>Starter</t>
  </si>
  <si>
    <t>Oil Pan, Engine</t>
  </si>
  <si>
    <t>Template Name</t>
  </si>
  <si>
    <t>Temp Run Times</t>
  </si>
  <si>
    <t>Template Used On:</t>
  </si>
  <si>
    <t>Template Built From:</t>
  </si>
  <si>
    <t>Vehicle Folder Name</t>
  </si>
  <si>
    <t>Run By &amp; Date</t>
  </si>
  <si>
    <t>Testing Time</t>
  </si>
  <si>
    <t>Status per CoPart / IAA</t>
  </si>
  <si>
    <t>Start 1:                                        End 1:                           Time:</t>
  </si>
  <si>
    <t>Primary Damage (per CoPart / IAA)</t>
  </si>
  <si>
    <t>Start 2:                                        End 2:                           Time:</t>
  </si>
  <si>
    <t>Secondary Damage (per CoPart / IAA)</t>
  </si>
  <si>
    <t>Start 3:                                        End 3:                           Time:</t>
  </si>
  <si>
    <t>Dismantled During (Mo. / Yr.)</t>
  </si>
  <si>
    <t>Start 4:                                        End 4:                           Time:</t>
  </si>
  <si>
    <t>VIN #:</t>
  </si>
  <si>
    <t>Total Testing Time:</t>
  </si>
  <si>
    <t>Mileage:</t>
  </si>
  <si>
    <t xml:space="preserve">Gas Tank Level: </t>
  </si>
  <si>
    <t>TESTER</t>
  </si>
  <si>
    <t>TEST DATE</t>
  </si>
  <si>
    <t>Works</t>
  </si>
  <si>
    <t>Category</t>
  </si>
  <si>
    <t>Yes</t>
  </si>
  <si>
    <t>No</t>
  </si>
  <si>
    <t>N/A</t>
  </si>
  <si>
    <t>LF Headlight (Normal)</t>
  </si>
  <si>
    <t>LF Headlight (Brights)</t>
  </si>
  <si>
    <t>LF Turn Signal</t>
  </si>
  <si>
    <t>RF Headlight (Normal)</t>
  </si>
  <si>
    <t>RF Headlight (Brights)</t>
  </si>
  <si>
    <t>RF Turn Signal</t>
  </si>
  <si>
    <t>LF Fog Light</t>
  </si>
  <si>
    <t>RF Fog Light</t>
  </si>
  <si>
    <t>LR Fog Light</t>
  </si>
  <si>
    <t>RR Fog Light</t>
  </si>
  <si>
    <t>LR Tail Light (Running Light)</t>
  </si>
  <si>
    <t>LR Tail Light (Brake Light)</t>
  </si>
  <si>
    <t>LR Turn Signal</t>
  </si>
  <si>
    <t>RR Tail Light (Running Light)</t>
  </si>
  <si>
    <t>RR Tail Light (Brake Light)</t>
  </si>
  <si>
    <t>RR Turn Signal</t>
  </si>
  <si>
    <t>Left License Plate Light</t>
  </si>
  <si>
    <t>Right License Plate Light</t>
  </si>
  <si>
    <t>Left Rear Dome Light</t>
  </si>
  <si>
    <t>Right Rear Dome Light</t>
  </si>
  <si>
    <t>Left front visor light(s) work (and condition of visor is good)</t>
  </si>
  <si>
    <t>Right front visor light(s) work (and condition of visor is good)</t>
  </si>
  <si>
    <t>LF Door Courtesy Light</t>
  </si>
  <si>
    <t>RF Door Courtesy Light</t>
  </si>
  <si>
    <t>LR Door Courtesy Light</t>
  </si>
  <si>
    <t>RR Door Courtesy Light</t>
  </si>
  <si>
    <t>Glove Box Courtesy Light</t>
  </si>
  <si>
    <t>Rear reverse lights</t>
  </si>
  <si>
    <t>Doors</t>
  </si>
  <si>
    <t>LF door exterior handle</t>
  </si>
  <si>
    <t>RF door exterior handle</t>
  </si>
  <si>
    <t>LR door exterior handle</t>
  </si>
  <si>
    <t>RR door exterior handle</t>
  </si>
  <si>
    <t>Trunk exterior handle</t>
  </si>
  <si>
    <t>LF door interior handle</t>
  </si>
  <si>
    <t>RF door interior handle</t>
  </si>
  <si>
    <t>LR door interior handle</t>
  </si>
  <si>
    <t>RR door interior handle</t>
  </si>
  <si>
    <t>LF door latch</t>
  </si>
  <si>
    <t>RF door latch</t>
  </si>
  <si>
    <t>LR door latch</t>
  </si>
  <si>
    <t>RR door latch</t>
  </si>
  <si>
    <t>Glove box latch</t>
  </si>
  <si>
    <t>Gas door latch</t>
  </si>
  <si>
    <t>Gas door release button</t>
  </si>
  <si>
    <t>LF door window up and down</t>
  </si>
  <si>
    <t>RF door window up and down</t>
  </si>
  <si>
    <t>LR door window up and down</t>
  </si>
  <si>
    <t>RR door window up and down</t>
  </si>
  <si>
    <t>LF door window switch</t>
  </si>
  <si>
    <t>RF door window switch</t>
  </si>
  <si>
    <t>LR door window switch</t>
  </si>
  <si>
    <t>RR door window switch</t>
  </si>
  <si>
    <t>Window lock switch works</t>
  </si>
  <si>
    <t>Door Mirrors</t>
  </si>
  <si>
    <t>LF door mirror housing &amp; paint is intact</t>
  </si>
  <si>
    <t>RF door mirror housing &amp; paint is intact</t>
  </si>
  <si>
    <t>Door mirror control switch works</t>
  </si>
  <si>
    <t>LF Door mirror glass adjust motor works</t>
  </si>
  <si>
    <t>RF Door mirror glass adjust motor works</t>
  </si>
  <si>
    <t>LF Mirror Turn Signal</t>
  </si>
  <si>
    <t>RF Mirror Turn Signal</t>
  </si>
  <si>
    <t>Hood shocks work</t>
  </si>
  <si>
    <t>Hood latch</t>
  </si>
  <si>
    <t>Trunk lock - key works?</t>
  </si>
  <si>
    <t>Trunk latch</t>
  </si>
  <si>
    <t>Trunk release handle (exterior)</t>
  </si>
  <si>
    <t>Trunk shocks work</t>
  </si>
  <si>
    <t>Wipers / Squirters</t>
  </si>
  <si>
    <t>Front wipers</t>
  </si>
  <si>
    <t>Rear wipers</t>
  </si>
  <si>
    <t>Front window squirters / wipe function</t>
  </si>
  <si>
    <t>Rear window squirters / wipe function</t>
  </si>
  <si>
    <t>Front left &amp; right headlight squirters</t>
  </si>
  <si>
    <t>Sunroof</t>
  </si>
  <si>
    <t>All sunroof positions work</t>
  </si>
  <si>
    <t>Sunroof motor works (not too slow, stuck, etc.)</t>
  </si>
  <si>
    <t>Speakers</t>
  </si>
  <si>
    <t>All speakers in car</t>
  </si>
  <si>
    <t>Seat belts</t>
  </si>
  <si>
    <t>LF driver seat belt retractor</t>
  </si>
  <si>
    <t>LF driver seat belt receiver</t>
  </si>
  <si>
    <t>RF passenger seat belt retractor</t>
  </si>
  <si>
    <t>RF passenger seat belt receiver</t>
  </si>
  <si>
    <t>LR passenger seat belt retractor</t>
  </si>
  <si>
    <t>LR passenger seat belt receiver</t>
  </si>
  <si>
    <t>RR passenger seat belt retractor</t>
  </si>
  <si>
    <t>RR passenger seat belt receiver</t>
  </si>
  <si>
    <t>CR passenger seat belt retractor</t>
  </si>
  <si>
    <t>CR passenger seat belt receiver</t>
  </si>
  <si>
    <t>Seats</t>
  </si>
  <si>
    <t>LF Driver Seat - All functions</t>
  </si>
  <si>
    <t>RF Passenger Seat - All functions</t>
  </si>
  <si>
    <t xml:space="preserve">LF heated seat works </t>
  </si>
  <si>
    <t>LF heated seat adjustment knob works (all settings)</t>
  </si>
  <si>
    <t>RF heated seat works</t>
  </si>
  <si>
    <t>RF heated seat adjustment knob works (all settings)</t>
  </si>
  <si>
    <t>Rear heated seats and switches</t>
  </si>
  <si>
    <t>AC / heater blower fan &amp; motor - all speeds</t>
  </si>
  <si>
    <t>AC front dash controls - all vent functions (floor, etc.)</t>
  </si>
  <si>
    <t>AC rear controls - all vent functions (floor, etc.)</t>
  </si>
  <si>
    <t>AC blows cold</t>
  </si>
  <si>
    <t>Cigarette lighters (all in car)</t>
  </si>
  <si>
    <t>ASR button (or equivalent) works</t>
  </si>
  <si>
    <t>Rain sensor senses water</t>
  </si>
  <si>
    <t>AC controls knobs backlight</t>
  </si>
  <si>
    <t>Cluster lights &amp; screen work (none are faded)</t>
  </si>
  <si>
    <t>Cluster dimmer switch works</t>
  </si>
  <si>
    <t>Steering wheel adjust function works (motor &amp; switch; all functions)</t>
  </si>
  <si>
    <t>Honks at sexy ladies?</t>
  </si>
  <si>
    <t>Interior - Other</t>
  </si>
  <si>
    <t>All sun shade screens &amp; function buttons work</t>
  </si>
  <si>
    <t>Radio / Navigation</t>
  </si>
  <si>
    <t>GPS button functions work?</t>
  </si>
  <si>
    <t>Screen doesn't have missing pixels or Black spots</t>
  </si>
  <si>
    <t>AM / FM Radio</t>
  </si>
  <si>
    <t>Tape Deck</t>
  </si>
  <si>
    <t>CD player</t>
  </si>
  <si>
    <t>CD player multi-disk switcher</t>
  </si>
  <si>
    <t>Radio function buttons</t>
  </si>
  <si>
    <t>Radio (or dash) clock</t>
  </si>
  <si>
    <t>Radio (or dash) clock backlight</t>
  </si>
  <si>
    <t>Radio backlight</t>
  </si>
  <si>
    <t>Engine</t>
  </si>
  <si>
    <t>Engine starts</t>
  </si>
  <si>
    <t>Radiator cooling fan(s) run when supposed to w/ no noise</t>
  </si>
  <si>
    <t>Engine runs at idle with no unusual noises</t>
  </si>
  <si>
    <t>Car moves under engine power</t>
  </si>
  <si>
    <t>Engine does not overheat under normal driving</t>
  </si>
  <si>
    <t>Cruise control function works</t>
  </si>
  <si>
    <t>Power steering works &amp; no unusual noises</t>
  </si>
  <si>
    <t>Transmission</t>
  </si>
  <si>
    <t>No unusual noises in transmission</t>
  </si>
  <si>
    <t>Transmission shifts fine into all gears</t>
  </si>
  <si>
    <t>Key FOB / Alarm System</t>
  </si>
  <si>
    <t>Key FOB #1: All function keys work at a reasonable distance?</t>
  </si>
  <si>
    <t>Key FOB #2: All function keys work at a reasonable distance?</t>
  </si>
  <si>
    <t>Panic button sets alarms / horns off?</t>
  </si>
  <si>
    <t>Alarm horn chime chirps when key FOB lock activated?</t>
  </si>
  <si>
    <t xml:space="preserve">Home Link </t>
  </si>
  <si>
    <t>Buttons work and L.E.D. lights up</t>
  </si>
  <si>
    <t>Other? (Please Add if Needed)</t>
  </si>
  <si>
    <t>Scan for Codes</t>
  </si>
  <si>
    <t>All codes scanned</t>
  </si>
  <si>
    <t>Attach Report</t>
  </si>
  <si>
    <t>Scanned report attached to back of checklist</t>
  </si>
  <si>
    <t>Likely $ (if 100% Good)</t>
  </si>
  <si>
    <t>Likely Bad (%)</t>
  </si>
  <si>
    <t>Expected $</t>
  </si>
  <si>
    <t>Updated for Any Changes During Sort?</t>
  </si>
  <si>
    <t>Other Relevant Temps Updated By &amp; Date</t>
  </si>
  <si>
    <t>N/A (1st Template)</t>
  </si>
  <si>
    <t>Too big to ship right now, but reassess once we have good freight vendor or have a yard in big population center where we can do local pickups and move them.</t>
  </si>
  <si>
    <t>Total Hours To Test &amp; Input</t>
  </si>
  <si>
    <t>DRF Check Performed Date</t>
  </si>
  <si>
    <t>Testing Date Prepared</t>
  </si>
  <si>
    <t>Testing Prepared By</t>
  </si>
  <si>
    <t>Final Review By &amp; Date</t>
  </si>
  <si>
    <t>t/m</t>
  </si>
  <si>
    <t>OPTION CODES DECRYPTED:</t>
  </si>
  <si>
    <t>VEHICLE SPECIFICS</t>
  </si>
  <si>
    <t>Vehicle:</t>
  </si>
  <si>
    <t>Chassis:</t>
  </si>
  <si>
    <t>Body Style:</t>
  </si>
  <si>
    <t xml:space="preserve">VIN#: </t>
  </si>
  <si>
    <t>Turbo / Non-Turbo:</t>
  </si>
  <si>
    <t>FWD, RWD, 4WD, AWD:</t>
  </si>
  <si>
    <t>Transmission Type (Auto/Man &amp; Speeds)</t>
  </si>
  <si>
    <t>Exterior Paint Color &amp; Code</t>
  </si>
  <si>
    <t>Interior Seat Fabric, Color &amp; Code</t>
  </si>
  <si>
    <t>Permanent Notes</t>
  </si>
  <si>
    <t>Wheels (ask DRF - tons of options)</t>
  </si>
  <si>
    <t>Lug Nuts</t>
  </si>
  <si>
    <t>Wheel Lock Nuts &amp; Key</t>
  </si>
  <si>
    <t>Sunroof, Assembly</t>
  </si>
  <si>
    <t>REARVIEW MIRROR</t>
  </si>
  <si>
    <t>Compass?</t>
  </si>
  <si>
    <t>Auto-Dim?</t>
  </si>
  <si>
    <t>Gas Tank Level</t>
  </si>
  <si>
    <t>{i}</t>
  </si>
  <si>
    <t>{j}</t>
  </si>
  <si>
    <t>{k}</t>
  </si>
  <si>
    <t>{l}</t>
  </si>
  <si>
    <t>{m}</t>
  </si>
  <si>
    <t>{n}</t>
  </si>
  <si>
    <t>{o}</t>
  </si>
  <si>
    <t>{p}</t>
  </si>
  <si>
    <t>{q}</t>
  </si>
  <si>
    <t>{r}</t>
  </si>
  <si>
    <t>{s}</t>
  </si>
  <si>
    <t>{t}</t>
  </si>
  <si>
    <t>{u}</t>
  </si>
  <si>
    <t>{v}</t>
  </si>
  <si>
    <t>{w}</t>
  </si>
  <si>
    <t>{x}</t>
  </si>
  <si>
    <t>{y}</t>
  </si>
  <si>
    <t>{z}</t>
  </si>
  <si>
    <t>Extremely weak sales data.  It's probably worth trying to sell these, but watch both pricing and quantity closely &amp; adjust.</t>
  </si>
  <si>
    <t>Hood/Trunk</t>
  </si>
  <si>
    <t>Engine/Trans</t>
  </si>
  <si>
    <t>Ext./Int./Eng. Bay/Comp. Check</t>
  </si>
  <si>
    <t>Totals</t>
  </si>
  <si>
    <t>PRODUCTION DATE</t>
  </si>
  <si>
    <t>Production Date</t>
  </si>
  <si>
    <t>Total</t>
  </si>
  <si>
    <t>Hours to Dismantle - By Category</t>
  </si>
  <si>
    <t>Hours to Dismantle - By Person</t>
  </si>
  <si>
    <t>Actual Posted ($)</t>
  </si>
  <si>
    <t>Actual Posted (Qty)</t>
  </si>
  <si>
    <t>Actual Posted ($) &amp; (Qty)</t>
  </si>
  <si>
    <t>Use in Expected Average Stats?</t>
  </si>
  <si>
    <t>Average Actual Posted / Car ($)</t>
  </si>
  <si>
    <t>Average Actual Posted / Car (Qty)</t>
  </si>
  <si>
    <t>Avg. $ / Part</t>
  </si>
  <si>
    <t>Average $ / Part</t>
  </si>
  <si>
    <t>Keep / Toss?</t>
  </si>
  <si>
    <t>Item Condition</t>
  </si>
  <si>
    <t>Aggressive pricing since this is a popular selling item and/or not a lot up. We should watch pricing regularly though and adjust analysis to indicate lower minimum price is acceptable if people start undercutting us a lot.</t>
  </si>
  <si>
    <t>A</t>
  </si>
  <si>
    <t>B</t>
  </si>
  <si>
    <t>C</t>
  </si>
  <si>
    <t>Trim Set, Entire Vehicle</t>
  </si>
  <si>
    <t>Left Side Marker Light/Turn Signal</t>
  </si>
  <si>
    <t>Right Side Marker Light/Turn Signal</t>
  </si>
  <si>
    <t>Hazard Light Switch</t>
  </si>
  <si>
    <t>Steering wheel switches</t>
  </si>
  <si>
    <t>Tech Level</t>
  </si>
  <si>
    <t>LF Headlight Halo</t>
  </si>
  <si>
    <t>LF Headlight Dynamic Adjustment Function</t>
  </si>
  <si>
    <t>RF Headlight Halo</t>
  </si>
  <si>
    <t>RF Headlight Dynamic Adjustment Function</t>
  </si>
  <si>
    <t>Front Center Roof Dome Lights (the 2 big ones, don't test any others we're tossing the rest)</t>
  </si>
  <si>
    <t>C - 2 Person</t>
  </si>
  <si>
    <t>LF (and RF if applicable) door lock - key works?</t>
  </si>
  <si>
    <t>Hood release handle (one in car)</t>
  </si>
  <si>
    <t>Hood safety release handle/latch/lever (on hood)</t>
  </si>
  <si>
    <t>Door lock/unlock switch</t>
  </si>
  <si>
    <t>All convertible top functions work</t>
  </si>
  <si>
    <t>Template Redesigned?</t>
  </si>
  <si>
    <t>Yes ENF 9/11/18</t>
  </si>
  <si>
    <t>Price-High</t>
  </si>
  <si>
    <t>Analysis</t>
  </si>
  <si>
    <t>Price-Low</t>
  </si>
  <si>
    <t>Target Price</t>
  </si>
  <si>
    <t>A/C Compressor</t>
  </si>
  <si>
    <t>{f-1}</t>
  </si>
  <si>
    <t>{f-2}</t>
  </si>
  <si>
    <t>DON'T FIX ITEM FITMENT AFTER PUSH TO EBAY
The item takes too long to fix and the risk that someone will get it wrong and/or the shipping return cost is low</t>
  </si>
  <si>
    <t>INVENTORY UNDER MISC. CATEGORY
The cost of time to fix fitment is not justified and the dollar value of the part is low enough that we'd be better off to just inventory under a misc. category instead of taking the time to fix fitment after inventorying under the correct category.</t>
  </si>
  <si>
    <t>FULLY FIX ITEM FITMENT AFTER PUSH TO EBAY
The cost of time to fix is justified (cost of time to fix is low and/or there is a high change someone will buy it for wrong vehicle and/or ship cost will be high)</t>
  </si>
  <si>
    <t>PARTIALLY FIX FITMENT AFTER PUSH TO EBAY (just limit to model it came from like 07-13 X5, etc. &amp; fix fitment on those)
The cost of time to fix fitment is not fully justified, but the cost to fix fitment by just limiting it to exact model it came from is since that will fix most of the problem with fitment (no need to limit to exact year, can use year range still)</t>
  </si>
  <si>
    <t>Checkmate fitment table on Ebay is incorrect because it clicks ALL vehicles (all engine sizes, all body styles like Coupe or Sedans) instead of limiting just to those the item fits.  They sometimes describe in margins to left that it only fits certain models, but not sufficient for Ebay to protect us or to prevent customers from buying it thinking it fits their vehicle.  
So, we have analyzed the cost of time to fix it (e.g., 20 mins, etc.) and the risk of people getting it wrong (e.g., not much risk in someone buying a convertible top component for a sedan, but high risk someone buys a 330i shock for a 330Xi which won't fit), and the cost in time (e.g., typically about 45 minutes to process a return including messaging back and forth) &amp; shipping cost (e.g., it can be $25-$50 to ship back some shock struts that don't fit, etc.).  We have concluded the following for this item:</t>
  </si>
  <si>
    <t>{f-3A}</t>
  </si>
  <si>
    <t>{f-3B}</t>
  </si>
  <si>
    <t>DON'T FIX ITEM FITMENT AFTER PUSH TO EBAY
The item fitment only has a few or very minor errors that are not likely to impact us much. Don't waste the time to fix.</t>
  </si>
  <si>
    <t>{f-c}</t>
  </si>
  <si>
    <t>NO CHANGE NECESSARY - ITEM HAS CORRECT FITMENT
We checked the Ebay fitment table against the fitment listed in Checkmate and it is correct.  No need to fix anything.</t>
  </si>
  <si>
    <t>{f-c1}</t>
  </si>
  <si>
    <t>NO CHANGE NECESSARY - ITEM HAS CORRECT FITMENT
Other than Ebay having 2008+ (typically 08-11 but sometimes 08-13) 500 series (e.g., R500, ML500, etc.) and our Checkmate fitment software does not (not sure why…the 2008+ ML500 series seems to be the "Lujo" branded one and maybe that wasn't offered in USA) fitment is correct.  Ebay has some R500 or ML500 2008 models clicked as it fitting it, but honestly it may fit those...or maybe not but it's pretty minor and correct other than that so no update necessary to fitment and considering it as "correct".</t>
  </si>
  <si>
    <t>{f-Misc}</t>
  </si>
  <si>
    <t>{f-Assembly}</t>
  </si>
  <si>
    <t xml:space="preserve">Transmission Assembly </t>
  </si>
  <si>
    <t>DISMANTLERS - Info to Get</t>
  </si>
  <si>
    <t>Important TESTER Notes to Dismantlers About Vehicle (low coolant, low oil, don't start, etc.)</t>
  </si>
  <si>
    <t>Items Damaged in Removal</t>
  </si>
  <si>
    <t>Initial &amp; Date</t>
  </si>
  <si>
    <t>Broken Item</t>
  </si>
  <si>
    <t>What Damaged &amp; Why? How to Do Better?</t>
  </si>
  <si>
    <t>Items to Inspect / Fix</t>
  </si>
  <si>
    <t>Initial/Date</t>
  </si>
  <si>
    <t>What Done?</t>
  </si>
  <si>
    <t>Conclusion (Fixed, Bad, Good)</t>
  </si>
  <si>
    <t>Catalytic Converters Expected/ Actual</t>
  </si>
  <si>
    <t>Particulate Filters Expected/ Actual</t>
  </si>
  <si>
    <t xml:space="preserve">Wiring Harness, Engine </t>
  </si>
  <si>
    <t xml:space="preserve">Oil Pump </t>
  </si>
  <si>
    <t>Brake Calipers</t>
  </si>
  <si>
    <t>Thermostat Housing</t>
  </si>
  <si>
    <t>Door Mirrors: Blind Spot? (Tester Obtain)</t>
  </si>
  <si>
    <t>Airbag Recall Check By/Date</t>
  </si>
  <si>
    <t>https://www.nhtsa.gov/recalls</t>
  </si>
  <si>
    <t>Total Outstanding Recalls</t>
  </si>
  <si>
    <t>Any Outstanding Airbag Recalls?</t>
  </si>
  <si>
    <t>ENF 4/19/22</t>
  </si>
  <si>
    <t>840. 16 BMW X5 SUV (F15) 3.0T (N55) Auto AWD (White) (88767)</t>
  </si>
  <si>
    <t>BMW 3.0L TURBO N55 ENGINE</t>
  </si>
  <si>
    <t>Not Specified</t>
  </si>
  <si>
    <t xml:space="preserve"> Not Specified </t>
  </si>
  <si>
    <t>KEEP</t>
  </si>
  <si>
    <t>Cylinder Head</t>
  </si>
  <si>
    <t>SET/4 (45, 49, 54)</t>
  </si>
  <si>
    <t>Toss</t>
  </si>
  <si>
    <t>Tensioners &amp; Timing Guides (TOSS ALL)</t>
  </si>
  <si>
    <t>Valve Cover</t>
  </si>
  <si>
    <t>14-18 ALL</t>
  </si>
  <si>
    <t>Sunroof, Glass - PANORAMIC, FRONT</t>
  </si>
  <si>
    <t>Sunroof, Glass - PANORAMIC, REAR</t>
  </si>
  <si>
    <t>Fog Light, FRONT - LEFT</t>
  </si>
  <si>
    <t>Fog Light, FRONT - RIGHT</t>
  </si>
  <si>
    <t>Airbag, KNEE - FRONT LEFT (DRIVER)</t>
  </si>
  <si>
    <t>Airbag, KNEE - FRONT RIGHT (PASSENGER)</t>
  </si>
  <si>
    <t>Airbag, ROOF - LEFT (DRIVER)</t>
  </si>
  <si>
    <t>Airbag, ROOF - RIGHT (PASSENGER)</t>
  </si>
  <si>
    <t>Airbag, DASH - RIGHT (PASSENGER)</t>
  </si>
  <si>
    <t>Airbag, STEERING WHEEL</t>
  </si>
  <si>
    <t>Seat Cushions, FRONT LEFT - LOWER</t>
  </si>
  <si>
    <t>Seat Cushions, FRONT LEFT - UPPER</t>
  </si>
  <si>
    <t>Seat Cushions, FRONT RIGHT - UPPER</t>
  </si>
  <si>
    <t>Seat Cushions, FRONT RIGHT - LOWER</t>
  </si>
  <si>
    <t>SUV</t>
  </si>
  <si>
    <t>Turbo</t>
  </si>
  <si>
    <t>BMW X5 (F15) (14-18)</t>
  </si>
  <si>
    <t>Axle Shafts, REAR - TOSS ALL</t>
  </si>
  <si>
    <t>Axle Shafts, FRONT - LEFT</t>
  </si>
  <si>
    <t>Axle Shafts, FRONT - RIGHT</t>
  </si>
  <si>
    <t>14-18 ALL Except 4.4TT</t>
  </si>
  <si>
    <t>Differential, FRONT</t>
  </si>
  <si>
    <t>Differential, REAR</t>
  </si>
  <si>
    <t>Driveshaft, FRONT</t>
  </si>
  <si>
    <t>Trunk Assembly - LOWER TAILGATE</t>
  </si>
  <si>
    <t>Wiper Arm, REAR</t>
  </si>
  <si>
    <t>DRF Chk Opt</t>
  </si>
  <si>
    <t>Power Brake Booster + Master Cylinder + Reservoir + Cap</t>
  </si>
  <si>
    <t>14-18 ALL Except 2.0L</t>
  </si>
  <si>
    <t>POSTERS: Put under power brake booster interchange or fitment wrong</t>
  </si>
  <si>
    <t>Module</t>
  </si>
  <si>
    <t>If single (65, 85, 95)</t>
  </si>
  <si>
    <t>Pedal, Gas Pedal</t>
  </si>
  <si>
    <t>Gas Cap</t>
  </si>
  <si>
    <t>Same price if visor clips bad (they're just worthless solo so throwing in)</t>
  </si>
  <si>
    <t>Navigation Display Screen</t>
  </si>
  <si>
    <t>Headlight Switch</t>
  </si>
  <si>
    <t>Vent, DASH - FRONT LEFT</t>
  </si>
  <si>
    <t>Vent, DASH - FRONT RIGHT</t>
  </si>
  <si>
    <t>Cargo Net</t>
  </si>
  <si>
    <t>Trunk Emblem</t>
  </si>
  <si>
    <t>Switch/Button, Engine Ignition Start/Stop Push Button</t>
  </si>
  <si>
    <t>SET A Considerations: ENF 5/3/22 90% sure NOT required for SET A</t>
  </si>
  <si>
    <t>Hood Emblem</t>
  </si>
  <si>
    <t>Windshield Washer Spray Nozzles &amp; Rubber Hose</t>
  </si>
  <si>
    <t>Vent, DASH - REAR CENTER CONSOLE</t>
  </si>
  <si>
    <t>Radio / Stereo Receiver Unit</t>
  </si>
  <si>
    <t>Amplifier</t>
  </si>
  <si>
    <t>Keyless Entry Control Module (worthless solo)</t>
  </si>
  <si>
    <t>SET A (xxx)</t>
  </si>
  <si>
    <t>SET A: ENF 5/3/22 about 75% sure NOT required, worthless solo so INCLUDE</t>
  </si>
  <si>
    <t>i-Drive Navigation / Radio Knob Control Module</t>
  </si>
  <si>
    <t>Exhaust Flap Servo Actuator Motor</t>
  </si>
  <si>
    <r>
      <t xml:space="preserve">Airbag Control Module, PRIMARY (plastic module w/ white on top and rest is black) </t>
    </r>
    <r>
      <rPr>
        <b/>
        <sz val="11"/>
        <color rgb="FFFF33CC"/>
        <rFont val="Calibri"/>
        <family val="2"/>
        <scheme val="minor"/>
      </rPr>
      <t>(DO KEEP THE ALUMINUM MODULE THAT SAYS "AIRBAG" - HIGH $$)</t>
    </r>
  </si>
  <si>
    <t>Camera, FRONT Bumper</t>
  </si>
  <si>
    <t>NOTE: Front Bumper &amp; Rear Trunk Handle Cameras are IDENTICAL</t>
  </si>
  <si>
    <t>Telematics Communication Control Module</t>
  </si>
  <si>
    <t>Tailgate Trunk Control Module</t>
  </si>
  <si>
    <t>NOTE: LF &amp; RF are IDENTICAL</t>
  </si>
  <si>
    <t>Seat Control Module - REAR</t>
  </si>
  <si>
    <t>Cooling Fan Relay Module</t>
  </si>
  <si>
    <t>Door Lock Cylinder - LEFT FRONT (put in module box for SET A)</t>
  </si>
  <si>
    <t>SET A: 100% sure NOT required, but worthless solo - no $ change if missing)</t>
  </si>
  <si>
    <t>SET A: ENF 5/3/22 100% sure REQUIRED</t>
  </si>
  <si>
    <t>SET A: ENF 5/3/22 100% sure NOT required, worthless solo so include</t>
  </si>
  <si>
    <t>Ignition Anti-Theft Key Detection Immobilizer Ring</t>
  </si>
  <si>
    <t>Module &amp; Key SET A (ECM + BCM + Keyless Mod + FOB + LF Lock Cyl + Immobilizer Ring)</t>
  </si>
  <si>
    <t>This is actual SET A pricing</t>
  </si>
  <si>
    <t>Ask DRF</t>
  </si>
  <si>
    <t>Transmission Oil Pump</t>
  </si>
  <si>
    <t>Transmission Oil Cooler</t>
  </si>
  <si>
    <t>14-18 All</t>
  </si>
  <si>
    <t>Normal Quality Car?</t>
  </si>
  <si>
    <t>LF Mirror Electronic Folding Function</t>
  </si>
  <si>
    <t>RF Mirror Electronic Folding Function</t>
  </si>
  <si>
    <t>Rear view mirror compass / clock / lights</t>
  </si>
  <si>
    <t>Door Mirrors: Auto Reverse Tilt (Tester Obtain)</t>
  </si>
  <si>
    <t>HomeLink?</t>
  </si>
  <si>
    <t>COMPARE ITEM FITMENT AND PICK THE MOST LIMITED ONE OR MISC. CATEGORY IT
This item being inventoried is an assembly of 1 item with fitment and at least 1 other item that may or may not have fitment, but whatever it fits it we can't conclude is  the same.  This will require the person inventorying it in Checkmate to compare fitment and do 1 of the following: 1) inventory it under the category with the most limited fitment. This is the preferred choice, but if the item in the preferred category also fits makes/models that the other category does not then we can't do that and we should, 2) inventory under a misc. category and make sure to note in item title the important notes that limit fitment (e.g., heated vs. non-heated, color, finish, etc. etc.)</t>
  </si>
  <si>
    <t>854. 15 BMW X5 SUV (F15) 3.0T (N55) Auto AWD (Sophisto Grey) (63997)</t>
  </si>
  <si>
    <t>AJR 5/16/2022</t>
  </si>
  <si>
    <t>Window Sun Shade</t>
  </si>
  <si>
    <t>Head Up Display Screen Projector Trim</t>
  </si>
  <si>
    <t>USB Aux Socket Port</t>
  </si>
  <si>
    <t>Radio Remote Receiver Control Module</t>
  </si>
  <si>
    <t>Voltage Converter Control Module</t>
  </si>
  <si>
    <t>Park Assist Control Module PDC</t>
  </si>
  <si>
    <t xml:space="preserve">Towing Control Module </t>
  </si>
  <si>
    <t>Trunk Release Switch</t>
  </si>
  <si>
    <t>ELGIN KEEPING</t>
  </si>
  <si>
    <t xml:space="preserve">Steering Wheel Vibration Control Module </t>
  </si>
  <si>
    <t>Blind Spot Alert Sensor Module, Master</t>
  </si>
  <si>
    <t>Blind Spot Alert Sensor Module, Slave</t>
  </si>
  <si>
    <t>Lane Departure Warning Camera</t>
  </si>
  <si>
    <t>Lane Departure Warning Camera Control Module (Not The Camera)</t>
  </si>
  <si>
    <t>Tow Hook</t>
  </si>
  <si>
    <t>1140. 15 BMW X5 SUV (F15) 3.0T (N55) Auto AWD (Space Gray) (00579)</t>
  </si>
  <si>
    <t>AJR 5/21/2023</t>
  </si>
  <si>
    <t>WHOLE &lt;125k</t>
  </si>
  <si>
    <t>ENF 6/8/23</t>
  </si>
  <si>
    <t>RWD/AWD (this template covers both)</t>
  </si>
  <si>
    <t>65A. BMW X5 (F15) 14-18 (1) SUV (2) 14-18 N55 (3) Auto (4) RWD/AWD</t>
  </si>
  <si>
    <t>1154. 16 BMW X5 (F15) 3.0T (N55) Auto RWD (White) (41852)</t>
  </si>
  <si>
    <t>AJR 8/16/2023</t>
  </si>
  <si>
    <t>14-18 3.0L N55</t>
  </si>
  <si>
    <t>Fuel Rail</t>
  </si>
  <si>
    <t xml:space="preserve">Intake Manifold </t>
  </si>
  <si>
    <t xml:space="preserve">Oil Pressure Solenoid </t>
  </si>
  <si>
    <t>Camshaft Position Sensor</t>
  </si>
  <si>
    <t>Fuel Tank Ventilation Valve</t>
  </si>
  <si>
    <t>Map Pressure Sensor</t>
  </si>
  <si>
    <t>Air Filter Cleaner Assembly</t>
  </si>
  <si>
    <t>Fuel Pump, High Pressure Engine Mounted</t>
  </si>
  <si>
    <t>Transmission Oil Pump, Hydraulic</t>
  </si>
  <si>
    <t>Air Induction Charge Pipe</t>
  </si>
  <si>
    <t>Changes to Sheet</t>
  </si>
  <si>
    <t>Chassis</t>
  </si>
  <si>
    <t>Engine / Transmission</t>
  </si>
  <si>
    <t>1213. 14 BMW X5 SUV (F15) 3.0T (N55) Auto AWD (Black) (51887)</t>
  </si>
  <si>
    <t>ENF 9/25/23</t>
  </si>
  <si>
    <t>Taillight, QUARTER PANEL MOUNTED - LEFT</t>
  </si>
  <si>
    <t>Taillight, QUARTER PANEL MOUNTED - RIGHT</t>
  </si>
  <si>
    <t>Taillight, TRUNK MOUNTED - LEFT</t>
  </si>
  <si>
    <t>Taillight, TRUNK MOUNTED - RIGHT</t>
  </si>
  <si>
    <t>TEST ALWAYS</t>
  </si>
  <si>
    <t>1240. 14 BMW X5 (F15) 3.0T (N55) Auto RWD (Brown) (00793)</t>
  </si>
  <si>
    <t>ENF</t>
  </si>
  <si>
    <t>AJR</t>
  </si>
  <si>
    <t>DRF</t>
  </si>
  <si>
    <t>Last Analyzed By</t>
  </si>
  <si>
    <t>Last Analyze Date</t>
  </si>
  <si>
    <t>Single or SET</t>
  </si>
  <si>
    <t>SET/4</t>
  </si>
  <si>
    <t>SET</t>
  </si>
  <si>
    <t>single</t>
  </si>
  <si>
    <t>SET/2</t>
  </si>
  <si>
    <t>Poster Notes</t>
  </si>
  <si>
    <t>SET/6</t>
  </si>
  <si>
    <t>SET/4 w/ Harness</t>
  </si>
  <si>
    <t>SET/3</t>
  </si>
  <si>
    <t>Dismantler Notes</t>
  </si>
  <si>
    <t>How To Keep</t>
  </si>
  <si>
    <t>Door Handle, Exterior</t>
  </si>
  <si>
    <t>Scuff Plate</t>
  </si>
  <si>
    <t>Door Latch</t>
  </si>
  <si>
    <t>Lock Cylinder</t>
  </si>
  <si>
    <t>Door Handle, Interior</t>
  </si>
  <si>
    <t>Window Motor &amp; Regulator</t>
  </si>
  <si>
    <t>Item Description</t>
  </si>
  <si>
    <t>always</t>
  </si>
  <si>
    <t>never</t>
  </si>
  <si>
    <t>always CPI+</t>
  </si>
  <si>
    <t>Interchange? (never, sometimes, always, always CPI+)</t>
  </si>
  <si>
    <t>sometimes</t>
  </si>
  <si>
    <t>sometimes CPI+</t>
  </si>
  <si>
    <t>on base w/ cable, remove lock cyl &amp; put w/ SET A</t>
  </si>
  <si>
    <t>Dismantler</t>
  </si>
  <si>
    <t>Tester</t>
  </si>
  <si>
    <t>Poster</t>
  </si>
  <si>
    <t>Interchange Category</t>
  </si>
  <si>
    <t>Option</t>
  </si>
  <si>
    <t>w/ comfort access</t>
  </si>
  <si>
    <t>w/o comfort access</t>
  </si>
  <si>
    <t>-</t>
  </si>
  <si>
    <t>on base w/ cable</t>
  </si>
  <si>
    <t>remove &amp; toss trim</t>
  </si>
  <si>
    <t>Switch, Window Master</t>
  </si>
  <si>
    <t>Door Handle, Exterior - REAR - LEFT</t>
  </si>
  <si>
    <t>Door Handle, Exterior - FRONT - RIGHT</t>
  </si>
  <si>
    <t>Door Handle, Exterior - FRONT - LEFT</t>
  </si>
  <si>
    <t>Interchange</t>
  </si>
  <si>
    <t>Door Handle, Exterior - REAR - RIGHT</t>
  </si>
  <si>
    <t>left front &amp; rear are identical fitment</t>
  </si>
  <si>
    <t>right front &amp; rear are identical fitment</t>
  </si>
  <si>
    <t>left front &amp; rear are identical fitment (except LF has lock cylinder)</t>
  </si>
  <si>
    <t>w/ auto dimming, w/ blind spot, w/ surround view, w/ high gloss</t>
  </si>
  <si>
    <t>w/ auto dimming, w/ blind spot, w/ surround view, w/o high gloss</t>
  </si>
  <si>
    <t>w/ auto dimming, w/ blind spot, w/o surround view, w/ high gloss</t>
  </si>
  <si>
    <t>w/ auto dimming, w/ blind spot, w/o surround view, w/o high gloss</t>
  </si>
  <si>
    <t>w/ auto dimming, w/o blind spot, w/ surround view, w/ high gloss</t>
  </si>
  <si>
    <t>w/ auto dimming, w/o blind spot, w/ surround view, w/o high gloss</t>
  </si>
  <si>
    <t>w/ auto dimming, w/o blind spot, w/o surround view, w/ high gloss</t>
  </si>
  <si>
    <t>w/ auto dimming, w/o blind spot, w/o surround view, w/o high gloss</t>
  </si>
  <si>
    <t>w/o auto dimming, w/o blind spot, w/o surround view, w/o high gloss</t>
  </si>
  <si>
    <t>w/o auto dimming, w/o blind spot, w/o surround view, w/ high gloss</t>
  </si>
  <si>
    <t>Interchange Number</t>
  </si>
  <si>
    <t>w/ soft close</t>
  </si>
  <si>
    <t>w/o soft close</t>
  </si>
  <si>
    <t>w/ cable</t>
  </si>
  <si>
    <t>641</t>
  </si>
  <si>
    <t>129</t>
  </si>
  <si>
    <t>263</t>
  </si>
  <si>
    <t>682</t>
  </si>
  <si>
    <t>601</t>
  </si>
  <si>
    <t>306</t>
  </si>
  <si>
    <t>300</t>
  </si>
  <si>
    <t>322</t>
  </si>
  <si>
    <t>323</t>
  </si>
  <si>
    <t>309</t>
  </si>
  <si>
    <t>610</t>
  </si>
  <si>
    <t>329</t>
  </si>
  <si>
    <t>311</t>
  </si>
  <si>
    <t>304</t>
  </si>
  <si>
    <t>553</t>
  </si>
  <si>
    <t>350</t>
  </si>
  <si>
    <t>324</t>
  </si>
  <si>
    <t>545</t>
  </si>
  <si>
    <t>317</t>
  </si>
  <si>
    <t>540</t>
  </si>
  <si>
    <t>674</t>
  </si>
  <si>
    <t>675</t>
  </si>
  <si>
    <t>626</t>
  </si>
  <si>
    <t>104</t>
  </si>
  <si>
    <t>177</t>
  </si>
  <si>
    <t>169</t>
  </si>
  <si>
    <t>655</t>
  </si>
  <si>
    <t>253</t>
  </si>
  <si>
    <t>615</t>
  </si>
  <si>
    <t>629</t>
  </si>
  <si>
    <t>596</t>
  </si>
  <si>
    <t>267</t>
  </si>
  <si>
    <t>594</t>
  </si>
  <si>
    <t>638</t>
  </si>
  <si>
    <t>257</t>
  </si>
  <si>
    <t>268</t>
  </si>
  <si>
    <t>288</t>
  </si>
  <si>
    <t>628</t>
  </si>
  <si>
    <t>116</t>
  </si>
  <si>
    <t>591</t>
  </si>
  <si>
    <t>114</t>
  </si>
  <si>
    <t>166</t>
  </si>
  <si>
    <t>590</t>
  </si>
  <si>
    <t>646</t>
  </si>
  <si>
    <t>660</t>
  </si>
  <si>
    <t>210</t>
  </si>
  <si>
    <t>447</t>
  </si>
  <si>
    <t>512</t>
  </si>
  <si>
    <t>440</t>
  </si>
  <si>
    <t>430</t>
  </si>
  <si>
    <t>527</t>
  </si>
  <si>
    <t>551</t>
  </si>
  <si>
    <t>407</t>
  </si>
  <si>
    <t>412</t>
  </si>
  <si>
    <t>414</t>
  </si>
  <si>
    <t>170</t>
  </si>
  <si>
    <t>618</t>
  </si>
  <si>
    <t>Window Sun Shade, REAR - LEFT</t>
  </si>
  <si>
    <t>Window Sun Shade, REAR - RIGHT</t>
  </si>
  <si>
    <t>w/ Pulley</t>
  </si>
  <si>
    <t>remove w/ correct wrench</t>
  </si>
  <si>
    <t>Power Steering Pump</t>
  </si>
  <si>
    <t>w/ active suspension (adaptive drive)</t>
  </si>
  <si>
    <t>w/o active suspension, w/ active steering</t>
  </si>
  <si>
    <t>w/o active suspension, w/o active steering</t>
  </si>
  <si>
    <t>Water Pump</t>
  </si>
  <si>
    <t>w/ drain bolt</t>
  </si>
  <si>
    <t>check drain bolt &amp; hole for threading</t>
  </si>
  <si>
    <t>Ignition Coils</t>
  </si>
  <si>
    <t>SET 6, if some bad sell SET 4, toss singles</t>
  </si>
  <si>
    <t>Ignition Coils SET 6</t>
  </si>
  <si>
    <t>Pistons Single</t>
  </si>
  <si>
    <t>Ignition Coils SET 4</t>
  </si>
  <si>
    <t>ABS Pump &amp; Module</t>
  </si>
  <si>
    <t>w/ adaptive cruise</t>
  </si>
  <si>
    <t>w/o adaptive cruise</t>
  </si>
  <si>
    <t>14-16 partial</t>
  </si>
  <si>
    <t>16 partial - 18</t>
  </si>
  <si>
    <t>Grille</t>
  </si>
  <si>
    <t>Fuel Tank Door</t>
  </si>
  <si>
    <t>just door, toss housing</t>
  </si>
  <si>
    <t>Spoiler</t>
  </si>
  <si>
    <t>Spoiler 3rd Brake Light</t>
  </si>
  <si>
    <t>w/o auto temp control 14-15 partial</t>
  </si>
  <si>
    <t>w/o auto temp control 15 partial-18</t>
  </si>
  <si>
    <t>w/ auto temp control, w/ heated &amp; cooled front seats</t>
  </si>
  <si>
    <t>w/ heated rear seats</t>
  </si>
  <si>
    <t>w/o heated rear seats</t>
  </si>
  <si>
    <t>Airbag</t>
  </si>
  <si>
    <t>w/ M-aero</t>
  </si>
  <si>
    <t>w/o M-aero, w/ diesel, w/ thumb rests</t>
  </si>
  <si>
    <t>w/o M-aero, w/ diesel, w/o thumb rests</t>
  </si>
  <si>
    <t>w/o M-aero, w/o diesel, w/ thumb rests</t>
  </si>
  <si>
    <t>w/o M-aero, w/o diesel, w/o thumb rests</t>
  </si>
  <si>
    <t>Blower Motor</t>
  </si>
  <si>
    <t>Blower Motor, FRONT FOOTWELL</t>
  </si>
  <si>
    <t>w/ resistor, toss both if 1 bad</t>
  </si>
  <si>
    <t>Grille, LOWER BUMPER - CENTER</t>
  </si>
  <si>
    <t>60053A</t>
  </si>
  <si>
    <t>60053B</t>
  </si>
  <si>
    <t>60053C</t>
  </si>
  <si>
    <t>60054A</t>
  </si>
  <si>
    <t>60054B</t>
  </si>
  <si>
    <t>60054C</t>
  </si>
  <si>
    <t>w/ M-aero, w/ adaptive cruise</t>
  </si>
  <si>
    <t>w/ M-aero, w/o adaptive cruise</t>
  </si>
  <si>
    <t>w/o M-aero, w/ adaptive cruise, w/ bar design, black</t>
  </si>
  <si>
    <t>w/o M-aero, w/ adaptive cruise, w/ bar design, black w/ chrome edges</t>
  </si>
  <si>
    <t>w/o M-aero, w/ adaptive cruise, w/ tab design</t>
  </si>
  <si>
    <t>w/o M-aero, w/o adaptive cruise, w/ bar design, black</t>
  </si>
  <si>
    <t>w/o M-aero, w/o adaptive cruise, w/ bar design, black w/ chrome edges</t>
  </si>
  <si>
    <t>w/o M-aero, w/o adaptive cruise, w/ tab design</t>
  </si>
  <si>
    <t>ENF 10/10/23: Not going to document search terms.  I'm just gonna see what happens when I don't.  Maybe we're wasting our time.</t>
  </si>
  <si>
    <t>60056A</t>
  </si>
  <si>
    <t>60055A</t>
  </si>
  <si>
    <t>60056B</t>
  </si>
  <si>
    <t>60055B</t>
  </si>
  <si>
    <t>60058A</t>
  </si>
  <si>
    <t>60057A</t>
  </si>
  <si>
    <t>60058B</t>
  </si>
  <si>
    <t>60057B</t>
  </si>
  <si>
    <t>60058C</t>
  </si>
  <si>
    <t>60057C</t>
  </si>
  <si>
    <t>60058D</t>
  </si>
  <si>
    <t>60057D</t>
  </si>
  <si>
    <t>w/ M-aero, w/ closed grid, RIGHT</t>
  </si>
  <si>
    <t>w/ M-aero, w/ closed grid, LEFT</t>
  </si>
  <si>
    <t>w/ M-aero, w/ open grid, LEFT</t>
  </si>
  <si>
    <t>w/ M-aero, w/ open grid, RIGHT</t>
  </si>
  <si>
    <t>w/o M-Aero, w/ bar design, w/ closed grid, LEFT</t>
  </si>
  <si>
    <t>w/o M-Aero, w/ bar design, w/ closed grid, RIGHT</t>
  </si>
  <si>
    <t>w/o M-Aero, w/ bar design, w/ open grid, LEFT</t>
  </si>
  <si>
    <t>w/o M-Aero, w/ bar design, w/ open grid, RIGHT</t>
  </si>
  <si>
    <t>w/o M-Aero, w/ tab design, w/ closed grid, LEFT</t>
  </si>
  <si>
    <t>w/o M-Aero, w/ tab design, w/ closed grid, RIGHT</t>
  </si>
  <si>
    <t>w/o M-Aero, w/ tab design, w/ open grid, LEFT</t>
  </si>
  <si>
    <t>w/o M-Aero, w/ tab design, w/ open grid, RIGHT</t>
  </si>
  <si>
    <t>Grille, CENTER MIDDLE</t>
  </si>
  <si>
    <t>60050A</t>
  </si>
  <si>
    <t>60050B</t>
  </si>
  <si>
    <t>w/o M-aero, w/ bar design</t>
  </si>
  <si>
    <t>w/o M-aero, w/ tab design</t>
  </si>
  <si>
    <t>60041C</t>
  </si>
  <si>
    <t>60040C</t>
  </si>
  <si>
    <t>60041A</t>
  </si>
  <si>
    <t>60040A</t>
  </si>
  <si>
    <t>60041B</t>
  </si>
  <si>
    <t>60040B</t>
  </si>
  <si>
    <t>60046C</t>
  </si>
  <si>
    <t>60046A</t>
  </si>
  <si>
    <t>60046B</t>
  </si>
  <si>
    <t>w/ night vision, w/ chrome surround, w/ aluminum matte center fins, LEFT</t>
  </si>
  <si>
    <t>w/ night vision, w/ chrome surround, w/ black center fins, LEFT</t>
  </si>
  <si>
    <t>w/ night vision, w/ chrome surround, w/ chrome edge center fins, LEFT</t>
  </si>
  <si>
    <t>w/o night vision, w/ chrome surround, w/ aluminum matte center fins, LEFT</t>
  </si>
  <si>
    <t>w/o night vision, w/ chrome surround, w/ black center fins, LEFT</t>
  </si>
  <si>
    <t>w/o night vision, w/ chrome surround, w/ chrome edge center fins, LEFT</t>
  </si>
  <si>
    <t>w/o night vision, w/ black surround, LEFT</t>
  </si>
  <si>
    <t>w/o night vision, w/ black surround, RIGHT</t>
  </si>
  <si>
    <t>LEFT</t>
  </si>
  <si>
    <t>RIGHT</t>
  </si>
  <si>
    <t>Hood Hinge, LEFT</t>
  </si>
  <si>
    <t>Hood Hinge, RIGHT</t>
  </si>
  <si>
    <t>Grille, UPPER KIDNEY GRILLE, LEFT</t>
  </si>
  <si>
    <t>Grille, UPPER KIDNEY GRILLE, RIGHT</t>
  </si>
  <si>
    <t>w/o night vision, w/ chrome surround, w/ chrome edge center fins, SET/2</t>
  </si>
  <si>
    <t>w/o night vision, w/ chrome surround, w/ black center fins, SET/2</t>
  </si>
  <si>
    <t>w/o night vision, w/ chrome surround, w/ aluminum matte center fins, SET/2</t>
  </si>
  <si>
    <t>w/o night vision, w/ black surround, SET/2</t>
  </si>
  <si>
    <t>w/ night vision, w/ chrome surround, w/ chrome edge center fins, SET/2</t>
  </si>
  <si>
    <t>w/ night vision, w/ chrome surround, w/ black center fins, SET/2</t>
  </si>
  <si>
    <t>w/ night vision, w/ chrome surround, w/ aluminum matte center fins, SET/2</t>
  </si>
  <si>
    <t>Grille, LOWER BUMPER - END - LEFT</t>
  </si>
  <si>
    <t>Grille, LOWER BUMPER - END - RIGHT</t>
  </si>
  <si>
    <t>w/o M-Aero, w/ tab design, w/ open grid, SET/2</t>
  </si>
  <si>
    <t>w/o M-Aero, w/ tab design, w/ closed grid, SET/2</t>
  </si>
  <si>
    <t>w/o M-Aero, w/ bar design, w/ open grid, SET/2</t>
  </si>
  <si>
    <t>w/o M-Aero, w/ bar design, w/ closed grid, SET/2</t>
  </si>
  <si>
    <t>w/ M-aero, w/ open grid, SET/2</t>
  </si>
  <si>
    <t>w/ M-aero, w/ closed grid, SET/2</t>
  </si>
  <si>
    <t>assembly, but toss steering wheel adjust switch</t>
  </si>
  <si>
    <t>Combination Switch Assembly</t>
  </si>
  <si>
    <t>Combination Switch</t>
  </si>
  <si>
    <t>w/ US market, w/ heated steering wheel, w/ auto high beam</t>
  </si>
  <si>
    <t>w/ US market, w/ heated steering wheel, w/o auto high beam</t>
  </si>
  <si>
    <t>w/ US market, w/o heated steering wheel, w/ auto high beam</t>
  </si>
  <si>
    <t>w/ US market, w/o heated steering wheel, w/o auto high beam</t>
  </si>
  <si>
    <t>Mirror, REARVIEW</t>
  </si>
  <si>
    <t>w/ garage opener, w/ auto high beam</t>
  </si>
  <si>
    <t>w/ garage opener, w/o auto high beam</t>
  </si>
  <si>
    <t>w/o garage opener, w/ auto high beam</t>
  </si>
  <si>
    <t>w/o garage opener, w/o auto high beam</t>
  </si>
  <si>
    <t>14-16 10.25"</t>
  </si>
  <si>
    <t>17-18 10.25"</t>
  </si>
  <si>
    <t>14-18 6.5"</t>
  </si>
  <si>
    <t>17-18</t>
  </si>
  <si>
    <t>14-16 w/ DVD changer</t>
  </si>
  <si>
    <t>14-16 w/o DVD changer</t>
  </si>
  <si>
    <t>Radio</t>
  </si>
  <si>
    <t>Speedometer</t>
  </si>
  <si>
    <t>14-18 w/ MPH, w/ display screen below gauges, w/ diesel</t>
  </si>
  <si>
    <t>14-18 w/ MPH, w/ display screen below gauges, w/ gasoline</t>
  </si>
  <si>
    <t>14-18 w/ MPH, w/o display screen below gauges, w/ lane departure, w/ diesel</t>
  </si>
  <si>
    <t>14-17 w/ MPH, w/o display screen below gauges, w/ lane departure, w/ gasoline</t>
  </si>
  <si>
    <t>18 w/ MPH, w/o display screen below gauges, w/ gasoline</t>
  </si>
  <si>
    <t>14 w/ MPH, w/o display screen below gauges, w/o lane departure warning, w/ diesel</t>
  </si>
  <si>
    <t>14 thru 6/30/14 w/ MPH, w/o display screen below gauges, w/o lane departure warning, w/ gasoline</t>
  </si>
  <si>
    <t>14 from 7/1/14 w/ MPH, w/o display screen below gauges, w/o lane departure warning, w/ gasoline</t>
  </si>
  <si>
    <t>14-16 w/ all digital (no analog)</t>
  </si>
  <si>
    <t>17-18 w/ all digital (no analog)</t>
  </si>
  <si>
    <t>Steering Wheel</t>
  </si>
  <si>
    <t>w/o sport, w/ heated, w/ lane warning</t>
  </si>
  <si>
    <t>w/o sport, w/ heated, w/o lane warning</t>
  </si>
  <si>
    <t>w/o sport, w/o heated, w/ lane warning</t>
  </si>
  <si>
    <t>w/o sport, w/o heated, w/o lane warning</t>
  </si>
  <si>
    <t>w/ sport, w/ heated, w/ lane warning</t>
  </si>
  <si>
    <t>w/ sport, w/ heated, w/o lane warning</t>
  </si>
  <si>
    <t>w/ sport, w/o heated, w/ lane warning</t>
  </si>
  <si>
    <t>w/ sport, w/o heated, w/o lane warning</t>
  </si>
  <si>
    <t>w/ X5M w/ M sport, w/ heated</t>
  </si>
  <si>
    <t>w/ X5M w/ M sport, w/o heated</t>
  </si>
  <si>
    <t>w/ sDrive35i, w/ M Sport, w/o heated</t>
  </si>
  <si>
    <t>w/ sDrive35i, w/ M Sport, w/ heated</t>
  </si>
  <si>
    <t>Steering Wheel Switches</t>
  </si>
  <si>
    <t>Steering Wheel Trim</t>
  </si>
  <si>
    <t>keep ON wheel if selling that</t>
  </si>
  <si>
    <t>Visors</t>
  </si>
  <si>
    <t>Fog Light</t>
  </si>
  <si>
    <t>w/ night vision, LEFT</t>
  </si>
  <si>
    <t>w/ night vision, RIGHT</t>
  </si>
  <si>
    <t>w/o night vision, LEFT</t>
  </si>
  <si>
    <t>w/o night vision, RIGHT</t>
  </si>
  <si>
    <t>Headlight, FRONT - LEFT</t>
  </si>
  <si>
    <t>Headlight, FRONT - RIGHT</t>
  </si>
  <si>
    <t>Headlight</t>
  </si>
  <si>
    <t>Headlight Parts</t>
  </si>
  <si>
    <t>shiny silver metal</t>
  </si>
  <si>
    <t>ABS ICM Integrated Chassis Management SRS Control Module</t>
  </si>
  <si>
    <t>looks like an airbag module</t>
  </si>
  <si>
    <t>w/ lane departure</t>
  </si>
  <si>
    <t>w/o lane departure, w/ active steering</t>
  </si>
  <si>
    <t>w/o lane departure, w/o active steering</t>
  </si>
  <si>
    <t>Amplifier, Bang &amp; Olufsen</t>
  </si>
  <si>
    <t>Amplifier, Harman Kardon</t>
  </si>
  <si>
    <t>Amplifier, HiFi</t>
  </si>
  <si>
    <t>14-16 Harman Kardon</t>
  </si>
  <si>
    <t>17-18 Harman Kardon</t>
  </si>
  <si>
    <t>14-18 Hifi</t>
  </si>
  <si>
    <t>14-18 Bang &amp; Olufsen</t>
  </si>
  <si>
    <t>Posters: 2014 not fitted for anything &amp; 15-18 only have X5M fitment</t>
  </si>
  <si>
    <t>Body Power Control Module</t>
  </si>
  <si>
    <t>w/ SET A unless no set (REQUIRED)</t>
  </si>
  <si>
    <t>Engine Control Module</t>
  </si>
  <si>
    <t>~10x6" flat black plastic (in rear but it's for engine)</t>
  </si>
  <si>
    <t>worthless solo</t>
  </si>
  <si>
    <t>w/ SET A unless no set (NOT REQUIRED)</t>
  </si>
  <si>
    <t>Key FOB + Skeleton Key</t>
  </si>
  <si>
    <t>Camera</t>
  </si>
  <si>
    <t>Surround View Camera Control Module</t>
  </si>
  <si>
    <t>aluminum w/ 1 black &amp; 1 white plug</t>
  </si>
  <si>
    <t>remove from &amp; toss pillar</t>
  </si>
  <si>
    <t>Seatbelt, Retractor</t>
  </si>
  <si>
    <t>w/ active protection</t>
  </si>
  <si>
    <t>w/o active protection</t>
  </si>
  <si>
    <t>Posters: note LF &amp; RF seat belt buckles are identical</t>
  </si>
  <si>
    <t>Seatbelt, Buckle</t>
  </si>
  <si>
    <t>Axle Shaft</t>
  </si>
  <si>
    <t>w/ active steering</t>
  </si>
  <si>
    <t>POSTERS: Inventory under 512</t>
  </si>
  <si>
    <t>Control Arms, FRONT - LOWER LEFT, FORWARD</t>
  </si>
  <si>
    <t>Control Arms, FRONT - LOWER LEFT, REARWARD</t>
  </si>
  <si>
    <t>w/o active steering</t>
  </si>
  <si>
    <t>Control Arms, FRONT - LOWER RIGHT, FORWARD</t>
  </si>
  <si>
    <t>Control Arms, FRONT - LOWER RIGHT, REARWARD</t>
  </si>
  <si>
    <t>Control Arm</t>
  </si>
  <si>
    <t>Control Arms, FRONT - UPPER "U" WISHBONE, LEFT</t>
  </si>
  <si>
    <t>Control Arms, FRONT - UPPER "U" WISHBONE, RIGHT</t>
  </si>
  <si>
    <t>POSTERS: Inventory under 513</t>
  </si>
  <si>
    <t>Control Arms, REAR - RIGHT Large Control Arm</t>
  </si>
  <si>
    <t>Control Arms, REAR - LEFT Large Control Arm</t>
  </si>
  <si>
    <t>Shock Struts, FRONT</t>
  </si>
  <si>
    <t>Shock Struts, FRONT - LEFT</t>
  </si>
  <si>
    <t>Shock Struts, FRONT - RIGHT</t>
  </si>
  <si>
    <t>3.0T gas &amp; diesel, w/o adaptive M suspension, w/ AWD, LEFT</t>
  </si>
  <si>
    <t>3.0T gas &amp; diesel, w/o adaptive M suspension, w/ AWD, RIGHT</t>
  </si>
  <si>
    <t>3.0T gas &amp; diesel, w/o adaptive M suspension, w/ AWD, SET/2</t>
  </si>
  <si>
    <t>3.0T gas &amp; diesel, w/ adaptive M suspension, w/ dynamic control, w/ AWD, SET/2</t>
  </si>
  <si>
    <t>3.0T gas &amp; diesel, w/ adaptive M suspension, w/ dynamic control, w/ AWD, LEFT</t>
  </si>
  <si>
    <t>3.0T gas &amp; diesel, w/ adaptive M suspension, w/ dynamic control, w/ AWD, RIGHT</t>
  </si>
  <si>
    <t>w/ adaptive M suspension, w/o dynamic control, w/ AWD, SET/2</t>
  </si>
  <si>
    <t>w/ adaptive M suspension, w/o dynamic control, w/ AWD, LEFT</t>
  </si>
  <si>
    <t>w/ adaptive M suspension, w/o dynamic control, w/ AWD, RIGHT</t>
  </si>
  <si>
    <t>3.0T gas &amp; diesel, w/o adaptive M suspension, w/ RWD, SET/2</t>
  </si>
  <si>
    <t>3.0T gas &amp; diesel, w/o adaptive M suspension, w/ RWD, LEFT</t>
  </si>
  <si>
    <t>3.0T gas &amp; diesel, w/o adaptive M suspension, w/ RWD, RIGHT</t>
  </si>
  <si>
    <t>ALL w/o active steering</t>
  </si>
  <si>
    <t>3.0T Gas, w/ active steering</t>
  </si>
  <si>
    <t>Flywheel</t>
  </si>
  <si>
    <t>to 10/2013</t>
  </si>
  <si>
    <t>from 10/2013</t>
  </si>
  <si>
    <t>4.4TT</t>
  </si>
  <si>
    <t>All except 4.4TT</t>
  </si>
  <si>
    <t>sell shift motor separately</t>
  </si>
  <si>
    <t>Transfer Case</t>
  </si>
  <si>
    <t>Transfer Case Shift Motor</t>
  </si>
  <si>
    <t>POSTERS: Add "Note: shift motor NOT included"</t>
  </si>
  <si>
    <t>3.0T w/ AWD, from 4/1/2015</t>
  </si>
  <si>
    <t>3.0T w/ AWD, thru 9/2013</t>
  </si>
  <si>
    <t>3.0T w/ AWD, from 10/2013 &amp; thru 3/2014</t>
  </si>
  <si>
    <t>3.0T w/ AWD, from 4/2014 &amp; thru 3/31/2015</t>
  </si>
  <si>
    <t>3.0T w/ RWD, thru 9/2013</t>
  </si>
  <si>
    <t>3.0T w/ RWD, from 10/1/2013 &amp; thru 10/31/2013</t>
  </si>
  <si>
    <t>3.0T w/ RWD, from 11/2013</t>
  </si>
  <si>
    <t>Pic Qty</t>
  </si>
  <si>
    <t>Pic Name</t>
  </si>
  <si>
    <t>A11</t>
  </si>
  <si>
    <t>A12</t>
  </si>
  <si>
    <t>A13</t>
  </si>
  <si>
    <t>A14</t>
  </si>
  <si>
    <t>A15</t>
  </si>
  <si>
    <t>A16</t>
  </si>
  <si>
    <t>A17</t>
  </si>
  <si>
    <t>A18</t>
  </si>
  <si>
    <t>A19</t>
  </si>
  <si>
    <t>A20</t>
  </si>
  <si>
    <t>A21</t>
  </si>
  <si>
    <t>A22</t>
  </si>
  <si>
    <t>A23</t>
  </si>
  <si>
    <t>A24</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</si>
  <si>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</si>
  <si>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</si>
  <si>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</si>
  <si>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</si>
  <si>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</si>
  <si>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</si>
  <si>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</si>
  <si>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</si>
  <si>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</si>
  <si>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</si>
  <si>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</si>
  <si>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</si>
  <si>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</si>
  <si>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</si>
  <si>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</si>
  <si>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</si>
  <si>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</si>
  <si>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</si>
  <si>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</si>
  <si>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</si>
  <si>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</si>
  <si>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</si>
  <si>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</si>
  <si>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</si>
  <si>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A49</t>
  </si>
  <si>
    <t>A50</t>
  </si>
  <si>
    <t>A51</t>
  </si>
  <si>
    <t>A52</t>
  </si>
  <si>
    <t>A53</t>
  </si>
  <si>
    <t>A54</t>
  </si>
  <si>
    <t>A55</t>
  </si>
  <si>
    <t>A56</t>
  </si>
  <si>
    <t>A57</t>
  </si>
  <si>
    <t>A58</t>
  </si>
  <si>
    <t>A59</t>
  </si>
  <si>
    <t>A60</t>
  </si>
  <si>
    <t>A61</t>
  </si>
  <si>
    <t>A62</t>
  </si>
  <si>
    <t>A63</t>
  </si>
  <si>
    <t>A64</t>
  </si>
  <si>
    <t>A65</t>
  </si>
  <si>
    <t>A66</t>
  </si>
  <si>
    <t>A67</t>
  </si>
  <si>
    <t>A68</t>
  </si>
  <si>
    <t>A69</t>
  </si>
  <si>
    <t>A70</t>
  </si>
  <si>
    <t>A71</t>
  </si>
  <si>
    <t>A72</t>
  </si>
  <si>
    <t>A73</t>
  </si>
  <si>
    <t>A74</t>
  </si>
  <si>
    <t>A75</t>
  </si>
  <si>
    <t>A76</t>
  </si>
  <si>
    <t>A77</t>
  </si>
  <si>
    <t>A78</t>
  </si>
  <si>
    <t>A79</t>
  </si>
  <si>
    <t>A80</t>
  </si>
  <si>
    <t>A81</t>
  </si>
  <si>
    <t>A82</t>
  </si>
  <si>
    <t>A83</t>
  </si>
  <si>
    <t>A84</t>
  </si>
  <si>
    <t>A85</t>
  </si>
  <si>
    <t>A86</t>
  </si>
  <si>
    <t>A87</t>
  </si>
  <si>
    <t>A88</t>
  </si>
  <si>
    <t>A89</t>
  </si>
  <si>
    <t>A90</t>
  </si>
  <si>
    <t>A91</t>
  </si>
  <si>
    <t>A92</t>
  </si>
  <si>
    <t>A93</t>
  </si>
  <si>
    <t>A94</t>
  </si>
  <si>
    <t>A95</t>
  </si>
  <si>
    <t>A96</t>
  </si>
  <si>
    <t>A97</t>
  </si>
  <si>
    <t>A98</t>
  </si>
  <si>
    <t>A99</t>
  </si>
  <si>
    <t>A100</t>
  </si>
  <si>
    <t>A101</t>
  </si>
  <si>
    <t>A102</t>
  </si>
  <si>
    <t>A103</t>
  </si>
  <si>
    <t>A104</t>
  </si>
  <si>
    <t>A105</t>
  </si>
  <si>
    <t>A106</t>
  </si>
  <si>
    <t>A107</t>
  </si>
  <si>
    <t>A108</t>
  </si>
  <si>
    <t>A109</t>
  </si>
  <si>
    <t>A110</t>
  </si>
  <si>
    <t>A111</t>
  </si>
  <si>
    <t>A112</t>
  </si>
  <si>
    <t>A113</t>
  </si>
  <si>
    <t>A114</t>
  </si>
  <si>
    <t>A115</t>
  </si>
  <si>
    <t>A116</t>
  </si>
  <si>
    <t>A117</t>
  </si>
  <si>
    <t>A118</t>
  </si>
  <si>
    <t>A119</t>
  </si>
  <si>
    <t>A120</t>
  </si>
  <si>
    <t>A121</t>
  </si>
  <si>
    <t>A122</t>
  </si>
  <si>
    <t>Item-Num</t>
  </si>
  <si>
    <t>Tag-Num</t>
  </si>
  <si>
    <t>Viking Interchange</t>
  </si>
  <si>
    <t>F15</t>
  </si>
  <si>
    <t>14-18</t>
  </si>
  <si>
    <t>ALL</t>
  </si>
  <si>
    <t>Trunk Electric Shock SET2</t>
  </si>
  <si>
    <t>Trunk Electric Shock, LEFT</t>
  </si>
  <si>
    <t>Trunk Electric Shock, RIGHT</t>
  </si>
  <si>
    <t>Parts In</t>
  </si>
  <si>
    <t>Box 1</t>
  </si>
  <si>
    <t>MNF Part Num</t>
  </si>
  <si>
    <t>MNF Always Same</t>
  </si>
  <si>
    <t>Check Part</t>
  </si>
  <si>
    <t>31126863785, 6863785</t>
  </si>
  <si>
    <t>used</t>
  </si>
  <si>
    <t>0501333558</t>
  </si>
  <si>
    <t>3.0T N55</t>
  </si>
  <si>
    <t>Vehicle information</t>
  </si>
  <si>
    <t>Vin</t>
  </si>
  <si>
    <t>Production date</t>
  </si>
  <si>
    <t>Model</t>
  </si>
  <si>
    <t>Series</t>
  </si>
  <si>
    <t>X5</t>
  </si>
  <si>
    <t>Generation</t>
  </si>
  <si>
    <t>Body type</t>
  </si>
  <si>
    <t>Type code</t>
  </si>
  <si>
    <t>Engine code</t>
  </si>
  <si>
    <t>Power</t>
  </si>
  <si>
    <t>Fuel type</t>
  </si>
  <si>
    <t>Displacement</t>
  </si>
  <si>
    <t>Drive type</t>
  </si>
  <si>
    <t>Steering side</t>
  </si>
  <si>
    <t>Color</t>
  </si>
  <si>
    <t>Interior</t>
  </si>
  <si>
    <t>Automatic</t>
  </si>
  <si>
    <t>Transmission code</t>
  </si>
  <si>
    <t>Vehicle Options</t>
  </si>
  <si>
    <t>Code</t>
  </si>
  <si>
    <t>S01CA</t>
  </si>
  <si>
    <t>Selection of COP-relevant vehicles</t>
  </si>
  <si>
    <t>S0212</t>
  </si>
  <si>
    <t>Equipment, brake syst. country-specific</t>
  </si>
  <si>
    <t>S0248</t>
  </si>
  <si>
    <t>Steering wheel heater</t>
  </si>
  <si>
    <t>S0258</t>
  </si>
  <si>
    <t>Tyres with runflat properties</t>
  </si>
  <si>
    <t>S02VB</t>
  </si>
  <si>
    <t>Tyre pressure display</t>
  </si>
  <si>
    <t>S0302</t>
  </si>
  <si>
    <t>Alarm system</t>
  </si>
  <si>
    <t>S0319</t>
  </si>
  <si>
    <t>Integrated universal remote control</t>
  </si>
  <si>
    <t>S0322</t>
  </si>
  <si>
    <t>Comfort access</t>
  </si>
  <si>
    <t>S0323</t>
  </si>
  <si>
    <t>Soft-Close-Automatic doors</t>
  </si>
  <si>
    <t>S03AG</t>
  </si>
  <si>
    <t>Reversing camera</t>
  </si>
  <si>
    <t>S0402</t>
  </si>
  <si>
    <t>Panorama glass roof</t>
  </si>
  <si>
    <t>S0420</t>
  </si>
  <si>
    <t>Sun protection glazing</t>
  </si>
  <si>
    <t>S0423</t>
  </si>
  <si>
    <t>Floor mats velours</t>
  </si>
  <si>
    <t>S0430</t>
  </si>
  <si>
    <t>Interior/outside mirror with auto dip</t>
  </si>
  <si>
    <t>S0441</t>
  </si>
  <si>
    <t>Smoker package</t>
  </si>
  <si>
    <t>S0488</t>
  </si>
  <si>
    <t>Lumbar support, driver and passenger</t>
  </si>
  <si>
    <t>S0493</t>
  </si>
  <si>
    <t>Storage compartment package</t>
  </si>
  <si>
    <t>S0494</t>
  </si>
  <si>
    <t>Seat heating driver/passenger</t>
  </si>
  <si>
    <t>S0496</t>
  </si>
  <si>
    <t>Seat heating, rear</t>
  </si>
  <si>
    <t>S0502</t>
  </si>
  <si>
    <t>Headlight cleaning system</t>
  </si>
  <si>
    <t>S0508</t>
  </si>
  <si>
    <t>Park Distance Control (PDC)</t>
  </si>
  <si>
    <t>S0522</t>
  </si>
  <si>
    <t>Xenon light</t>
  </si>
  <si>
    <t>S0524</t>
  </si>
  <si>
    <t>Adaptive Headlights</t>
  </si>
  <si>
    <t>S0534</t>
  </si>
  <si>
    <t>Automatic air conditioning</t>
  </si>
  <si>
    <t>S0563</t>
  </si>
  <si>
    <t>Light package</t>
  </si>
  <si>
    <t>S0575</t>
  </si>
  <si>
    <t>Additional 12V sockets</t>
  </si>
  <si>
    <t>S05A1</t>
  </si>
  <si>
    <t>LED fog lights</t>
  </si>
  <si>
    <t>S0609</t>
  </si>
  <si>
    <t>Navigation system Professional</t>
  </si>
  <si>
    <t>S0645</t>
  </si>
  <si>
    <t>BMW US Radio</t>
  </si>
  <si>
    <t>S0655</t>
  </si>
  <si>
    <t>Satellite tuner</t>
  </si>
  <si>
    <t>S0697</t>
  </si>
  <si>
    <t>Area-Code 1 for DVD</t>
  </si>
  <si>
    <t>S06AC</t>
  </si>
  <si>
    <t>Intelligent Emergency Call</t>
  </si>
  <si>
    <t>S06AE</t>
  </si>
  <si>
    <t>Teleservices</t>
  </si>
  <si>
    <t>S06AK</t>
  </si>
  <si>
    <t>Connected Drive Services</t>
  </si>
  <si>
    <t>S06AM</t>
  </si>
  <si>
    <t>Real-Time Traffic Information</t>
  </si>
  <si>
    <t>S06AP</t>
  </si>
  <si>
    <t>Remote Services</t>
  </si>
  <si>
    <t>S06NR</t>
  </si>
  <si>
    <t>Apps</t>
  </si>
  <si>
    <t>S06NS</t>
  </si>
  <si>
    <t>Comfort telephony w/ enhanced Smartphone</t>
  </si>
  <si>
    <t>S0823</t>
  </si>
  <si>
    <t>Hot-climate version</t>
  </si>
  <si>
    <t>S0845</t>
  </si>
  <si>
    <t>Acoustic fasten seat belt reminder</t>
  </si>
  <si>
    <t>S0853</t>
  </si>
  <si>
    <t>Language version, English</t>
  </si>
  <si>
    <t>S08KL</t>
  </si>
  <si>
    <t>Oil service interval 15,000 km/12 months</t>
  </si>
  <si>
    <t>S08S4</t>
  </si>
  <si>
    <t>Decoding, variable light distribution</t>
  </si>
  <si>
    <t>S08SL</t>
  </si>
  <si>
    <t>Trailer coupling preparation</t>
  </si>
  <si>
    <t>S08SM</t>
  </si>
  <si>
    <t>Car ident. number visible from outside</t>
  </si>
  <si>
    <t>S08TN</t>
  </si>
  <si>
    <t>Daytime driv.lights adjus.via light menu</t>
  </si>
  <si>
    <t>S0992</t>
  </si>
  <si>
    <t>Control of number-plate attachment</t>
  </si>
  <si>
    <t>34516866243, 6866243</t>
  </si>
  <si>
    <t>toss both if 1 bad</t>
  </si>
  <si>
    <t>72127325698, 7325698</t>
  </si>
  <si>
    <t>31126863786, 6863786</t>
  </si>
  <si>
    <t>PDC Sensor</t>
  </si>
  <si>
    <t>if 1 bad toss all</t>
  </si>
  <si>
    <t>Steering Column Center Rod Shaft</t>
  </si>
  <si>
    <t>Steering Column Lower U-Joint Shaft</t>
  </si>
  <si>
    <t>Steering Column Shaft</t>
  </si>
  <si>
    <t>61617304069, 7304069, 61617304071, 7304071</t>
  </si>
  <si>
    <t>Box 2</t>
  </si>
  <si>
    <t>51227281956, 7281956, 51207323784, 7323784</t>
  </si>
  <si>
    <t>Door Latch, REAR - RIGHT WITHOUT Soft Close</t>
  </si>
  <si>
    <t>51227281942, 7281942</t>
  </si>
  <si>
    <t>Door Latch, FRONT - RIGHT WITHOUT Soft Close</t>
  </si>
  <si>
    <t>Door Latch, REAR - LEFT WITHOUT Soft Close</t>
  </si>
  <si>
    <t>Door Latch, FRONT - LEFT WITHOUT Soft Close</t>
  </si>
  <si>
    <t>51227281955, 7281955, 51207323783, 7323783</t>
  </si>
  <si>
    <t>51227281941, 7281941</t>
  </si>
  <si>
    <t>51217281945, 7281945, 51207323781, 7323781</t>
  </si>
  <si>
    <t>51217281931, 7281931</t>
  </si>
  <si>
    <t>51217281948, 7281948, 51207323782, 7323782</t>
  </si>
  <si>
    <t>51217281934, 7281934</t>
  </si>
  <si>
    <t>Battery Cable, POSITIVE &amp; Attached Junction Bracket, THE SMALL ONE</t>
  </si>
  <si>
    <t>thicker red cable w/ red terminal</t>
  </si>
  <si>
    <t>Battery Cable, POSITIVE &amp; Attached Terminal Bracket, THE BIG PRIMARY ONE</t>
  </si>
  <si>
    <t>12429329739, 9329739</t>
  </si>
  <si>
    <t>Hood Upper Release Lever &amp; Cable &amp; Strikers as SET</t>
  </si>
  <si>
    <t>51237308076, 7308076, 7294536</t>
  </si>
  <si>
    <t>61627318710, 7318710</t>
  </si>
  <si>
    <t>SET/2 &amp; Cables</t>
  </si>
  <si>
    <t>Center Console Cell Phone Cradle</t>
  </si>
  <si>
    <t>67617316396, 7316396</t>
  </si>
  <si>
    <t>Trunk Latch WITH Soft Close Actuator Motor &amp; Cables</t>
  </si>
  <si>
    <t>leave arms on, mark location each obtained from</t>
  </si>
  <si>
    <t>Height Level Sensors, FRONT - LEFT</t>
  </si>
  <si>
    <t>Height Level Sensors, FRONT - RIGHT</t>
  </si>
  <si>
    <t>Height Level Sensors, REAR - LEFT</t>
  </si>
  <si>
    <t>Height Level Sensors, REAR - RIGHT</t>
  </si>
  <si>
    <t>Windshield Washer Spray Nozzles</t>
  </si>
  <si>
    <t>17217647315, 7647315</t>
  </si>
  <si>
    <t>SET4, if some bad sell SET2, toss singles</t>
  </si>
  <si>
    <t>PDC SET4 With Harness, REAR</t>
  </si>
  <si>
    <t>SET2 WITH Visor Clips if Good (toss all if 1 visor bad)</t>
  </si>
  <si>
    <t>Seatbelt, Buckles SET3</t>
  </si>
  <si>
    <t>TPMS Tire Pressure Sensor SET4</t>
  </si>
  <si>
    <t>Box 3</t>
  </si>
  <si>
    <t>NPN</t>
  </si>
  <si>
    <t>with hazard button</t>
  </si>
  <si>
    <t>sell hazard button solo if vent bad</t>
  </si>
  <si>
    <t>Switch, Hazard Button</t>
  </si>
  <si>
    <t>Vent</t>
  </si>
  <si>
    <t>Switch Button</t>
  </si>
  <si>
    <t>Vent, DASH - FRONT CENTER with Hazard Button</t>
  </si>
  <si>
    <t>keep in vent if selling that</t>
  </si>
  <si>
    <t>51217401211, 7401211, 51217433843, 7433843</t>
  </si>
  <si>
    <t>65509296939, 9296939</t>
  </si>
  <si>
    <t>NO</t>
  </si>
  <si>
    <t>61319313911, 9313911, 61319320136, 9320136</t>
  </si>
  <si>
    <t>51217401210, 7401210, 51217396306, 7396306</t>
  </si>
  <si>
    <t>51217401212, 7401212, 51217433844, 7433844</t>
  </si>
  <si>
    <t>51217401209, 7401209, 51217396305, 7396305</t>
  </si>
  <si>
    <t>51147294465, 7294465</t>
  </si>
  <si>
    <t>Seat Adjust Switch, FRONT - LEFT</t>
  </si>
  <si>
    <t>Seat Switch</t>
  </si>
  <si>
    <t>Seat Adjust Switch, FRONT - RIGHT</t>
  </si>
  <si>
    <t>Traction Control Switch Panel</t>
  </si>
  <si>
    <t>remove trim panel &amp; sell knob &amp; trim panel each solo</t>
  </si>
  <si>
    <t>w/ steering wheel heater</t>
  </si>
  <si>
    <t>Steering Wheel Adjust Switch With Steering Wheel Heater</t>
  </si>
  <si>
    <t>Steering Wheel Adjust Switch Without Steering Wheel Heater</t>
  </si>
  <si>
    <t>w/o steering wheel heater</t>
  </si>
  <si>
    <t>YES</t>
  </si>
  <si>
    <t>275/40/20</t>
  </si>
  <si>
    <t>315/35/20</t>
  </si>
  <si>
    <t xml:space="preserve">ENGINE RUNS GOOD. SLIGHT SQUEEL ON STARTUP IN VIDEO INDACTING CCV BREATHER (VALVE COVEROR JUST THE VALVE) WILL NEED REPLACMENT SOON. CHECK ENGINE LIGHT ON FOR OXYGEN SENSOR CODE (TOSSING). TRANS OK, MADE GEARS AND SET NO FAULTS. TIPSHIFT OK. ABS OK. SUSPENSION FEELS SHOT, LOTS OF DIVE ON BRAKING. TOSSING STRUTS AND INSPECTING CONTROL ARMS. </t>
  </si>
  <si>
    <t>MKF 9/27/23</t>
  </si>
  <si>
    <t>1/8TH</t>
  </si>
  <si>
    <t>w/ power fold</t>
  </si>
  <si>
    <t>w/o power fold</t>
  </si>
  <si>
    <t>61319297349, 9297349</t>
  </si>
  <si>
    <t>61319297348, 9297348</t>
  </si>
  <si>
    <t>72117297131, 7297131</t>
  </si>
  <si>
    <t>Dome Light, FRONT PRIMARY ONE</t>
  </si>
  <si>
    <t>32306888432, 6888432</t>
  </si>
  <si>
    <t>Seatbelt Retractor, FRONT - RIGHT</t>
  </si>
  <si>
    <t>Seatbelt Retractor, FRONT - LEFT</t>
  </si>
  <si>
    <t>51169320305, 9320305</t>
  </si>
  <si>
    <t>Seatbelt Buckle, FRONT - RIGHT</t>
  </si>
  <si>
    <t>Seatbelt Buckle, FRONT - LEFT</t>
  </si>
  <si>
    <t>skip middle (it has to be cut out)</t>
  </si>
  <si>
    <t>Seatbelt, Retractors REAR 2nd ROW - LEFT &amp; RIGHT SET2</t>
  </si>
  <si>
    <t>sell trim &amp; traction panel solo</t>
  </si>
  <si>
    <t>w/ ceramic finish</t>
  </si>
  <si>
    <t>w/o ceramic finish</t>
  </si>
  <si>
    <t>I-Drive Navigation Radio Control Knob</t>
  </si>
  <si>
    <t>Box 4</t>
  </si>
  <si>
    <t>12148626762, 8626762, 61359343371, 9343371</t>
  </si>
  <si>
    <t>65129327320, 9327320</t>
  </si>
  <si>
    <t>65129321075, 9321075</t>
  </si>
  <si>
    <t>34526866567, 6866567</t>
  </si>
  <si>
    <t>61429310452, 9310452</t>
  </si>
  <si>
    <t>Seat Control &amp; Memory Module, w/o Comfort Seat - FRONT LEFT</t>
  </si>
  <si>
    <t>Seat Control &amp; Memory Module, w/o Comfort Seat - FRONT RIGHT</t>
  </si>
  <si>
    <t>w/ comfort seats</t>
  </si>
  <si>
    <t>w/o comfort seats</t>
  </si>
  <si>
    <t>toss if without comfort seats, note LF &amp; RF are same</t>
  </si>
  <si>
    <t>keep if comfort seats, note LF &amp; RF are same</t>
  </si>
  <si>
    <t>Fuel Pump Control Module</t>
  </si>
  <si>
    <t>Camera, REAR Backup Camera</t>
  </si>
  <si>
    <t>remove from trunk handle &amp; sell each solo</t>
  </si>
  <si>
    <t>mark location</t>
  </si>
  <si>
    <t>06932935001, 1327011118, 90846804</t>
  </si>
  <si>
    <t>61357384722, 7384722</t>
  </si>
  <si>
    <t>66339327352, 9327352</t>
  </si>
  <si>
    <t>62109339894, 9339894</t>
  </si>
  <si>
    <t>Headrest</t>
  </si>
  <si>
    <t>Headrests, REAR 2nd ROW SET 3</t>
  </si>
  <si>
    <t>Headrests, REAR 2nd ROW - LEFT</t>
  </si>
  <si>
    <t>Headrests, REAR 2nd ROW - RIGHT</t>
  </si>
  <si>
    <t>Headrests, REAR 2nd ROW - CENTER</t>
  </si>
  <si>
    <t>sell SET 3 unless some bad/missing</t>
  </si>
  <si>
    <t>Box 5</t>
  </si>
  <si>
    <t>63117317109, 7317109</t>
  </si>
  <si>
    <t>63117381141, 7381141</t>
  </si>
  <si>
    <t>63117381142, 7381142</t>
  </si>
  <si>
    <t>Xenon, LEFT</t>
  </si>
  <si>
    <t>Xenon, RIGHT</t>
  </si>
  <si>
    <t>63117442651, 7442651</t>
  </si>
  <si>
    <t>63117442652, 7442652</t>
  </si>
  <si>
    <t>LED, 15-18 from 7/1/15, LEFT</t>
  </si>
  <si>
    <t>LED, 15-18 from 7/1/15, RIGHT</t>
  </si>
  <si>
    <t>LED, 14-15 thru 6/30/15, LEFT</t>
  </si>
  <si>
    <t>LED, 14-15 thru 6/30/15, RIGHT</t>
  </si>
  <si>
    <t>Glove Box</t>
  </si>
  <si>
    <t>Glove Box Assembly WITH Handle, FRONT RIGHT PRIMARY</t>
  </si>
  <si>
    <t>toss the left dash smaller one</t>
  </si>
  <si>
    <t>51459276266, 9276266</t>
  </si>
  <si>
    <t>36116858528, 6858528, 36116858527, 6858527</t>
  </si>
  <si>
    <t>SET 4</t>
  </si>
  <si>
    <t>sell as SET/4, but sell singles if 1 bad</t>
  </si>
  <si>
    <t>36116858527, 6858527</t>
  </si>
  <si>
    <t>Box Bulk 1</t>
  </si>
  <si>
    <t>Radiator Fan</t>
  </si>
  <si>
    <t>Radiator Fan &amp; Shroud Assembly</t>
  </si>
  <si>
    <t>sell fan + motor if shroud bad, sell motor if rest bad</t>
  </si>
  <si>
    <t>Radiator Fan Motor</t>
  </si>
  <si>
    <t>Radiator Fan Motor &amp; Fan Blade</t>
  </si>
  <si>
    <t>sell full assembly if good</t>
  </si>
  <si>
    <t>FLAW</t>
  </si>
  <si>
    <t>17427634471, 7634471, 7629131, 67327634608, 7634608</t>
  </si>
  <si>
    <t>Spoiler with 3rd Brake Light IN</t>
  </si>
  <si>
    <t>51627294468, 7294468, 51317381572, 7381572</t>
  </si>
  <si>
    <t>24408632180, 8632180</t>
  </si>
  <si>
    <t>32106866277, 6866277</t>
  </si>
  <si>
    <t>keep all RWD ones</t>
  </si>
  <si>
    <t>26107636431, 7636431</t>
  </si>
  <si>
    <t>0260550074, 6058008114</t>
  </si>
  <si>
    <t>54137386959, 7386959</t>
  </si>
  <si>
    <t>54137386961, 7386961</t>
  </si>
  <si>
    <t>33326770953, 6770953</t>
  </si>
  <si>
    <t>33326770954, 6770954</t>
  </si>
  <si>
    <t>sell singles if 1 bad, sell even if gromets missing</t>
  </si>
  <si>
    <t>Springs, REAR - LEFT</t>
  </si>
  <si>
    <t>Springs, REAR - RIGHT</t>
  </si>
  <si>
    <t>Shock Springs</t>
  </si>
  <si>
    <t>Shock Struts, REAR</t>
  </si>
  <si>
    <t>WITH cables ON</t>
  </si>
  <si>
    <t>Emergency Parking Brake Actuator</t>
  </si>
  <si>
    <t>34436795145, 6795145</t>
  </si>
  <si>
    <t>34336864074, 6864074, 34336772930, 6772930, 34336771718, 6771718</t>
  </si>
  <si>
    <t>17517809321, 7809321</t>
  </si>
  <si>
    <t>Metal brackets ON, toss both if 1 bad</t>
  </si>
  <si>
    <t>It's big one w/ plastic hoses on each end</t>
  </si>
  <si>
    <t>Same price if brackets missing</t>
  </si>
  <si>
    <t>Intercooler</t>
  </si>
  <si>
    <t>toss all if motors or track bad</t>
  </si>
  <si>
    <t>Seat Track WITH Motors, FRONT RIGHT</t>
  </si>
  <si>
    <t>52107299678, 7299678</t>
  </si>
  <si>
    <t>Seat Track</t>
  </si>
  <si>
    <t>Seat Track WITH Motors, FRONT LEFT</t>
  </si>
  <si>
    <t>52107329931, 7329931</t>
  </si>
  <si>
    <t>41007378123, 7378123</t>
  </si>
  <si>
    <t>33107636996, 7636996</t>
  </si>
  <si>
    <t>11002285394, 2285394</t>
  </si>
  <si>
    <t>Engine Assembly as FULL ASSEMBLY</t>
  </si>
  <si>
    <t>Engine Assembly</t>
  </si>
  <si>
    <t>Engine Assembly as LONG BLOCK</t>
  </si>
  <si>
    <t>Engine Assembly as FULL ASSEMBLY WITHOUT TURBOS</t>
  </si>
  <si>
    <t>51167363920, 7363920, 51167365114, 7365114, 51167354631, 7354631</t>
  </si>
  <si>
    <t>Flaw</t>
  </si>
  <si>
    <t>Mirror, Door - FRONT RIGHT</t>
  </si>
  <si>
    <t>Mirror, Door - FRONT LEFT</t>
  </si>
  <si>
    <t>63217290103, 7290103</t>
  </si>
  <si>
    <t>63217329045, 7329045</t>
  </si>
  <si>
    <t>63217329046, 7329046</t>
  </si>
  <si>
    <t>51167363919, 7363919, 51167365113, 7365113, 51167354634, 7354634</t>
  </si>
  <si>
    <t>32306881302, 6881302, 32306868758, 6868758, 32306876776, 6876776</t>
  </si>
  <si>
    <t>51917312316, 7312316</t>
  </si>
  <si>
    <t>w/ sport gearbox, w/ ceramic finish</t>
  </si>
  <si>
    <t>w/ sport gearbox, w/o ceramic finish</t>
  </si>
  <si>
    <t>w/o sport gearbox, w/ ceramic finish</t>
  </si>
  <si>
    <t>w/o sport gearbox, w/o ceramic finish</t>
  </si>
  <si>
    <t>Shifter</t>
  </si>
  <si>
    <t>w/ parking switch &amp; trim (they are worthless solo)</t>
  </si>
  <si>
    <t>keep together unless 1 bad</t>
  </si>
  <si>
    <t>w/ auto temp control, w/o heated &amp; cooled front seats (ENF this has HEATED seats, but no cooled seats)</t>
  </si>
  <si>
    <t>64119321714, 9321714</t>
  </si>
  <si>
    <t>Cargo Cover, Large Retractable</t>
  </si>
  <si>
    <t>only keep if minor flaws or better</t>
  </si>
  <si>
    <t>51244817123, 4817123</t>
  </si>
  <si>
    <t>Oxygen Sensor SET 2</t>
  </si>
  <si>
    <t>Hood Latches SET 2 WITH Cables</t>
  </si>
  <si>
    <t>Part #(s)</t>
  </si>
  <si>
    <t>Tag</t>
  </si>
  <si>
    <t>Taillight</t>
  </si>
  <si>
    <t>Driveshaft, REAR</t>
  </si>
  <si>
    <t>Parking Brake Actuator</t>
  </si>
  <si>
    <t>Steering Gear</t>
  </si>
  <si>
    <t>Battery Cable</t>
  </si>
  <si>
    <t>Tailgate, Lower</t>
  </si>
  <si>
    <t>Wiper Motor</t>
  </si>
  <si>
    <t>Cell Phone Cradle</t>
  </si>
  <si>
    <t>Module &amp; Key SET</t>
  </si>
  <si>
    <t>https://viking-pictures.s3.us-west-1.amazonaws.com/AA1155/</t>
  </si>
  <si>
    <t>Picture Name</t>
  </si>
  <si>
    <t>Space to Plus</t>
  </si>
  <si>
    <t>; to %3B</t>
  </si>
  <si>
    <t>: to %3A</t>
  </si>
  <si>
    <t>, to %2C</t>
  </si>
  <si>
    <t>@ to 40%</t>
  </si>
  <si>
    <t>= to %3D</t>
  </si>
  <si>
    <t>? To %3F</t>
  </si>
  <si>
    <t>/ to %2F</t>
  </si>
  <si>
    <t>Base folder for pictures</t>
  </si>
  <si>
    <t>Picture Name Converted to URL Code</t>
  </si>
  <si>
    <t>To Concatenate</t>
  </si>
  <si>
    <t>+</t>
  </si>
  <si>
    <t>(1)</t>
  </si>
  <si>
    <t>(2)</t>
  </si>
  <si>
    <t>(3)</t>
  </si>
  <si>
    <t>(4)</t>
  </si>
  <si>
    <t>(5)</t>
  </si>
  <si>
    <t>(6)</t>
  </si>
  <si>
    <t>(7)</t>
  </si>
  <si>
    <t>(8)</t>
  </si>
  <si>
    <t>(9)</t>
  </si>
  <si>
    <t>(10)</t>
  </si>
  <si>
    <t>(11)</t>
  </si>
  <si>
    <t>(13)</t>
  </si>
  <si>
    <t>(14)</t>
  </si>
  <si>
    <t>(15)</t>
  </si>
  <si>
    <t>(16)</t>
  </si>
  <si>
    <t>(17)</t>
  </si>
  <si>
    <t>(18)</t>
  </si>
  <si>
    <t>(19)</t>
  </si>
  <si>
    <t>(20)</t>
  </si>
  <si>
    <t>(21)</t>
  </si>
  <si>
    <t>(22)</t>
  </si>
  <si>
    <t>(23)</t>
  </si>
  <si>
    <t>(24)</t>
  </si>
  <si>
    <t>(12)</t>
  </si>
  <si>
    <t>.JPG</t>
  </si>
  <si>
    <t>How Many Photos</t>
  </si>
  <si>
    <t>Item Photo URL 1</t>
  </si>
  <si>
    <t>Item Photo URL 2</t>
  </si>
  <si>
    <t>Item Photo URL 3</t>
  </si>
  <si>
    <t>Item Photo URL 4</t>
  </si>
  <si>
    <t>Item Photo URL 5</t>
  </si>
  <si>
    <t>Item Photo URL 6</t>
  </si>
  <si>
    <t>Item Photo URL 8</t>
  </si>
  <si>
    <t>Item Photo URL 9</t>
  </si>
  <si>
    <t>Item Photo URL 10</t>
  </si>
  <si>
    <t>Item Photo URL 11</t>
  </si>
  <si>
    <t>Item Photo URL 12</t>
  </si>
  <si>
    <t>Item Photo URL 13</t>
  </si>
  <si>
    <t>Item Photo URL 14</t>
  </si>
  <si>
    <t>Item Photo URL 16</t>
  </si>
  <si>
    <t>Item Photo URL 17</t>
  </si>
  <si>
    <t>Item Photo URL 18</t>
  </si>
  <si>
    <t>Item Photo URL 19</t>
  </si>
  <si>
    <t>Item Photo URL 20</t>
  </si>
  <si>
    <t>Item Photo URL 21</t>
  </si>
  <si>
    <t>Item Photo URL 22</t>
  </si>
  <si>
    <t>Item Photo URL 23</t>
  </si>
  <si>
    <t>Item Photo URL 24</t>
  </si>
  <si>
    <t>2023-10-25 17:12:17     462465 AA1155/A100. Control Arms, REAR - RIGHT Large Control Arm (1).JPG</t>
  </si>
  <si>
    <t>2023-10-25 17:12:17     418465 AA1155/A100. Control Arms, REAR - RIGHT Large Control Arm (2).JPG</t>
  </si>
  <si>
    <t>2023-10-25 17:12:17     518041 AA1155/A100. Control Arms, REAR - RIGHT Large Control Arm (3).JPG</t>
  </si>
  <si>
    <t>2023-10-25 17:12:17     456232 AA1155/A100. Control Arms, REAR - RIGHT Large Control Arm (4).JPG</t>
  </si>
  <si>
    <t>2023-10-25 17:12:17    1281353 AA1155/A100. Control Arms, REAR - RIGHT Large Control Arm (5).JPG</t>
  </si>
  <si>
    <t>2023-10-25 17:12:17     451768 AA1155/A101. Springs, REAR Shock Springs as SET2 WITH Gromets (1).JPG</t>
  </si>
  <si>
    <t>2023-10-25 17:12:17     465139 AA1155/A101. Springs, REAR Shock Springs as SET2 WITH Gromets (2).JPG</t>
  </si>
  <si>
    <t>2023-10-25 17:12:17     463305 AA1155/A101. Springs, REAR Shock Springs as SET2 WITH Gromets (3).JPG</t>
  </si>
  <si>
    <t>2023-10-25 17:12:17     482199 AA1155/A101. Springs, REAR Shock Springs as SET2 WITH Gromets (4).JPG</t>
  </si>
  <si>
    <t>2023-10-25 17:12:17     592048 AA1155/A101. Springs, REAR Shock Springs as SET2 WITH Gromets (5).JPG</t>
  </si>
  <si>
    <t>2023-10-25 17:12:17     272812 AA1155/A102. Emergency Parking Brake Actuator (1).JPG</t>
  </si>
  <si>
    <t>2023-10-25 17:12:17     309678 AA1155/A102. Emergency Parking Brake Actuator (2).JPG</t>
  </si>
  <si>
    <t>2023-10-25 17:12:17     479310 AA1155/A102. Emergency Parking Brake Actuator (3).JPG</t>
  </si>
  <si>
    <t>2023-10-25 17:12:17     358567 AA1155/A102. Emergency Parking Brake Actuator (4).JPG</t>
  </si>
  <si>
    <t>2023-10-25 17:12:17     323670 AA1155/A102. Emergency Parking Brake Actuator (5).JPG</t>
  </si>
  <si>
    <t>2023-10-25 17:12:17     423794 AA1155/A103. Power Brake Booster + Master Cylinder + Reservoir + Cap (1).JPG</t>
  </si>
  <si>
    <t>2023-10-25 17:12:17     364241 AA1155/A103. Power Brake Booster + Master Cylinder + Reservoir + Cap (2).JPG</t>
  </si>
  <si>
    <t>2023-10-25 17:12:17     583471 AA1155/A103. Power Brake Booster + Master Cylinder + Reservoir + Cap (3).JPG</t>
  </si>
  <si>
    <t>2023-10-25 17:12:17     552355 AA1155/A103. Power Brake Booster + Master Cylinder + Reservoir + Cap (4).JPG</t>
  </si>
  <si>
    <t>2023-10-25 17:12:17     783641 AA1155/A103. Power Brake Booster + Master Cylinder + Reservoir + Cap (5).JPG</t>
  </si>
  <si>
    <t>2023-10-25 17:12:17     542427 AA1155/A104. Intercooler (1).JPG</t>
  </si>
  <si>
    <t>2023-10-25 17:12:17     587824 AA1155/A104. Intercooler (2).JPG</t>
  </si>
  <si>
    <t>2023-10-25 17:12:17     628227 AA1155/A104. Intercooler (3).JPG</t>
  </si>
  <si>
    <t>2023-10-25 17:12:17     779591 AA1155/A104. Intercooler (4).JPG</t>
  </si>
  <si>
    <t>2023-10-25 17:12:17     911345 AA1155/A104. Intercooler (5).JPG</t>
  </si>
  <si>
    <t>2023-10-25 17:12:17     546256 AA1155/A105. Seat Track WITH Motors, FRONT RIGHT (1).JPG</t>
  </si>
  <si>
    <t>2023-10-25 17:12:17     523917 AA1155/A105. Seat Track WITH Motors, FRONT RIGHT (2).JPG</t>
  </si>
  <si>
    <t>2023-10-25 17:12:17     690737 AA1155/A105. Seat Track WITH Motors, FRONT RIGHT (3).JPG</t>
  </si>
  <si>
    <t>2023-10-25 17:12:17     730370 AA1155/A105. Seat Track WITH Motors, FRONT RIGHT (4).JPG</t>
  </si>
  <si>
    <t>2023-10-25 17:12:17     575068 AA1155/A105. Seat Track WITH Motors, FRONT RIGHT (5).JPG</t>
  </si>
  <si>
    <t>2023-10-25 17:12:17     848155 AA1155/A105. Seat Track WITH Motors, FRONT RIGHT (6).JPG</t>
  </si>
  <si>
    <t>2023-10-25 17:12:17     658391 AA1155/A105. Seat Track WITH Motors, FRONT RIGHT (7).JPG</t>
  </si>
  <si>
    <t>2023-10-25 17:12:17     639289 AA1155/A105. Seat Track WITH Motors, FRONT RIGHT (8).JPG</t>
  </si>
  <si>
    <t>2023-10-25 17:12:17     499775 AA1155/A106. Seat Track WITH Motors, FRONT LEFT (1).JPG</t>
  </si>
  <si>
    <t>2023-10-25 17:12:17     500897 AA1155/A106. Seat Track WITH Motors, FRONT LEFT (2).JPG</t>
  </si>
  <si>
    <t>2023-10-25 17:12:17     603826 AA1155/A106. Seat Track WITH Motors, FRONT LEFT (3).JPG</t>
  </si>
  <si>
    <t>2023-10-25 17:12:17     628260 AA1155/A106. Seat Track WITH Motors, FRONT LEFT (4).JPG</t>
  </si>
  <si>
    <t>2023-10-25 17:12:17     755067 AA1155/A106. Seat Track WITH Motors, FRONT LEFT (5).JPG</t>
  </si>
  <si>
    <t>2023-10-25 17:12:17    1072313 AA1155/A106. Seat Track WITH Motors, FRONT LEFT (6).JPG</t>
  </si>
  <si>
    <t>2023-10-25 17:12:17     746534 AA1155/A106. Seat Track WITH Motors, FRONT LEFT (7).JPG</t>
  </si>
  <si>
    <t>2023-10-25 17:12:18    1175944 AA1155/A106. Seat Track WITH Motors, FRONT LEFT (8).JPG</t>
  </si>
  <si>
    <t>2023-10-25 17:12:18     561490 AA1155/A106. Seat Track WITH Motors, FRONT LEFT (9).JPG</t>
  </si>
  <si>
    <t>2023-10-25 17:12:18     382167 AA1155/A107. Trunk Assembly - LOWER TAILGATE (1).JPG</t>
  </si>
  <si>
    <t>2023-10-25 17:12:18     387414 AA1155/A107. Trunk Assembly - LOWER TAILGATE (2).JPG</t>
  </si>
  <si>
    <t>2023-10-25 17:12:18     363622 AA1155/A107. Trunk Assembly - LOWER TAILGATE (3).JPG</t>
  </si>
  <si>
    <t>2023-10-25 17:12:18     459773 AA1155/A107. Trunk Assembly - LOWER TAILGATE (4).JPG</t>
  </si>
  <si>
    <t>2023-10-25 17:12:18     526998 AA1155/A107. Trunk Assembly - LOWER TAILGATE (5).JPG</t>
  </si>
  <si>
    <t>2023-10-25 17:12:18    1080621 AA1155/A107. Trunk Assembly - LOWER TAILGATE (6).JPG</t>
  </si>
  <si>
    <t>2023-10-25 17:12:18     919014 AA1155/A107. Trunk Assembly - LOWER TAILGATE (7).JPG</t>
  </si>
  <si>
    <t>2023-10-25 17:12:18     887854 AA1155/A107. Trunk Assembly - LOWER TAILGATE (8).JPG</t>
  </si>
  <si>
    <t>2023-10-25 17:12:18     750667 AA1155/A108. Differential, REAR (1).jpg</t>
  </si>
  <si>
    <t>2023-10-25 17:12:18     773338 AA1155/A108. Differential, REAR (2).jpg</t>
  </si>
  <si>
    <t>2023-10-25 17:12:18     674181 AA1155/A108. Differential, REAR (3).jpg</t>
  </si>
  <si>
    <t>2023-10-25 17:12:18     849886 AA1155/A108. Differential, REAR (4).jpg</t>
  </si>
  <si>
    <t>2023-10-25 17:12:18     418438 AA1155/A108. Differential, REAR (5).jpg</t>
  </si>
  <si>
    <t>2023-10-25 17:12:18    1328604 AA1155/A108. Differential, REAR (6).jpg</t>
  </si>
  <si>
    <t>2023-10-25 17:12:18     798776 AA1155/A109. Engine Assembly as FULL ASSEMBLY (1).JPG</t>
  </si>
  <si>
    <t>2023-10-25 17:12:18     872379 AA1155/A109. Engine Assembly as FULL ASSEMBLY (10).JPG</t>
  </si>
  <si>
    <t>2023-10-25 17:12:18     830914 AA1155/A109. Engine Assembly as FULL ASSEMBLY (11).JPG</t>
  </si>
  <si>
    <t>2023-10-25 17:12:18     793457 AA1155/A109. Engine Assembly as FULL ASSEMBLY (12).JPG</t>
  </si>
  <si>
    <t>2023-10-25 17:12:18     757292 AA1155/A109. Engine Assembly as FULL ASSEMBLY (13).JPG</t>
  </si>
  <si>
    <t>2023-10-25 17:12:18     514977 AA1155/A109. Engine Assembly as FULL ASSEMBLY (14).JPG</t>
  </si>
  <si>
    <t>2023-10-25 17:12:18     815578 AA1155/A109. Engine Assembly as FULL ASSEMBLY (2).JPG</t>
  </si>
  <si>
    <t>2023-10-25 17:12:18     828514 AA1155/A109. Engine Assembly as FULL ASSEMBLY (3).JPG</t>
  </si>
  <si>
    <t>2023-10-25 17:12:18     919514 AA1155/A109. Engine Assembly as FULL ASSEMBLY (4).JPG</t>
  </si>
  <si>
    <t>2023-10-25 17:12:18     666897 AA1155/A109. Engine Assembly as FULL ASSEMBLY (5).JPG</t>
  </si>
  <si>
    <t>2023-10-25 17:12:18     834943 AA1155/A109. Engine Assembly as FULL ASSEMBLY (6).JPG</t>
  </si>
  <si>
    <t>2023-10-25 17:12:18     867712 AA1155/A109. Engine Assembly as FULL ASSEMBLY (7).JPG</t>
  </si>
  <si>
    <t>2023-10-25 17:12:18     780628 AA1155/A109. Engine Assembly as FULL ASSEMBLY (8).JPG</t>
  </si>
  <si>
    <t>2023-10-25 17:12:18     836231 AA1155/A109. Engine Assembly as FULL ASSEMBLY (9).JPG</t>
  </si>
  <si>
    <t>2023-10-25 16:09:10     330129 AA1155/A11. Trunk Electric Shock SET2 (1).JPG</t>
  </si>
  <si>
    <t>2023-10-25 16:09:11     329509 AA1155/A11. Trunk Electric Shock SET2 (2).JPG</t>
  </si>
  <si>
    <t>2023-10-25 16:09:11     292747 AA1155/A11. Trunk Electric Shock SET2 (3).JPG</t>
  </si>
  <si>
    <t>2023-10-25 16:09:11     315623 AA1155/A11. Trunk Electric Shock SET2 (4).JPG</t>
  </si>
  <si>
    <t>2023-10-25 16:09:12     344441 AA1155/A11. Trunk Electric Shock SET2 (5).JPG</t>
  </si>
  <si>
    <t>2023-10-25 17:12:18     524478 AA1155/A110. Trim Set, Entire Vehicle (1).JPG</t>
  </si>
  <si>
    <t>2023-10-25 17:12:18     975210 AA1155/A110. Trim Set, Entire Vehicle (10).JPG</t>
  </si>
  <si>
    <t>2023-10-25 17:12:18    1062324 AA1155/A110. Trim Set, Entire Vehicle (11).JPG</t>
  </si>
  <si>
    <t>2023-10-25 17:12:18     756514 AA1155/A110. Trim Set, Entire Vehicle (12).JPG</t>
  </si>
  <si>
    <t>2023-10-25 17:12:18     918147 AA1155/A110. Trim Set, Entire Vehicle (13).JPG</t>
  </si>
  <si>
    <t>2023-10-25 17:12:18     754291 AA1155/A110. Trim Set, Entire Vehicle (14).JPG</t>
  </si>
  <si>
    <t>2023-10-25 17:12:18     338992 AA1155/A110. Trim Set, Entire Vehicle (15).JPG</t>
  </si>
  <si>
    <t>2023-10-25 17:12:18     791963 AA1155/A110. Trim Set, Entire Vehicle (16).JPG</t>
  </si>
  <si>
    <t>2023-10-25 17:12:18     962121 AA1155/A110. Trim Set, Entire Vehicle (17).JPG</t>
  </si>
  <si>
    <t>2023-10-25 17:12:18     343104 AA1155/A110. Trim Set, Entire Vehicle (18).JPG</t>
  </si>
  <si>
    <t>2023-10-25 17:12:19     812907 AA1155/A110. Trim Set, Entire Vehicle (19).JPG</t>
  </si>
  <si>
    <t>2023-10-25 17:12:18     359537 AA1155/A110. Trim Set, Entire Vehicle (2).JPG</t>
  </si>
  <si>
    <t>2023-10-25 17:12:18     637301 AA1155/A110. Trim Set, Entire Vehicle (20).JPG</t>
  </si>
  <si>
    <t>2023-10-25 17:12:19    1027945 AA1155/A110. Trim Set, Entire Vehicle (3).JPG</t>
  </si>
  <si>
    <t>2023-10-25 17:12:19    1091959 AA1155/A110. Trim Set, Entire Vehicle (4).JPG</t>
  </si>
  <si>
    <t>2023-10-25 17:12:19    1047287 AA1155/A110. Trim Set, Entire Vehicle (5).JPG</t>
  </si>
  <si>
    <t>2023-10-25 17:12:18    1139588 AA1155/A110. Trim Set, Entire Vehicle (6).JPG</t>
  </si>
  <si>
    <t>2023-10-25 17:12:19    1097749 AA1155/A110. Trim Set, Entire Vehicle (7).JPG</t>
  </si>
  <si>
    <t>2023-10-25 17:12:19     695960 AA1155/A110. Trim Set, Entire Vehicle (8).JPG</t>
  </si>
  <si>
    <t>2023-10-25 17:12:19     936446 AA1155/A110. Trim Set, Entire Vehicle (9).JPG</t>
  </si>
  <si>
    <t>2023-10-25 17:12:19     288220 AA1155/A111. Mirror, Door - FRONT RIGHT (1).JPG</t>
  </si>
  <si>
    <t>2023-10-25 17:12:19     198583 AA1155/A111. Mirror, Door - FRONT RIGHT (2).jpg</t>
  </si>
  <si>
    <t>2023-10-25 17:12:19     266094 AA1155/A111. Mirror, Door - FRONT RIGHT (3).JPG</t>
  </si>
  <si>
    <t>2023-10-25 17:12:19     480197 AA1155/A111. Mirror, Door - FRONT RIGHT (4).JPG</t>
  </si>
  <si>
    <t>2023-10-25 17:12:19     513680 AA1155/A111. Mirror, Door - FRONT RIGHT (5).JPG</t>
  </si>
  <si>
    <t>2023-10-25 17:12:19     542019 AA1155/A111. Mirror, Door - FRONT RIGHT (6).JPG</t>
  </si>
  <si>
    <t>2023-10-25 17:12:18    1189422 AA1155/A111. Mirror, Door - FRONT RIGHT (7).JPG</t>
  </si>
  <si>
    <t>2023-10-25 17:12:18     588909 AA1155/A112. Taillight, QUARTER PANEL MOUNTED - LEFT (1).JPG</t>
  </si>
  <si>
    <t>2023-10-25 17:12:19     231321 AA1155/A112. Taillight, QUARTER PANEL MOUNTED - LEFT (2).jpg</t>
  </si>
  <si>
    <t>2023-10-25 17:12:19     523242 AA1155/A112. Taillight, QUARTER PANEL MOUNTED - LEFT (3).JPG</t>
  </si>
  <si>
    <t>2023-10-25 17:12:19     627883 AA1155/A112. Taillight, QUARTER PANEL MOUNTED - LEFT (4).JPG</t>
  </si>
  <si>
    <t>2023-10-25 17:12:19     681359 AA1155/A112. Taillight, QUARTER PANEL MOUNTED - LEFT (5).JPG</t>
  </si>
  <si>
    <t>2023-10-25 17:12:19    1155277 AA1155/A112. Taillight, QUARTER PANEL MOUNTED - LEFT (6).JPG</t>
  </si>
  <si>
    <t>2023-10-25 17:12:19    1175965 AA1155/A112. Taillight, QUARTER PANEL MOUNTED - LEFT (7).JPG</t>
  </si>
  <si>
    <t>2023-10-25 17:12:19     543016 AA1155/A113. Taillight, TRUNK MOUNTED - LEFT (1).JPG</t>
  </si>
  <si>
    <t>2023-10-25 17:12:19     231321 AA1155/A113. Taillight, TRUNK MOUNTED - LEFT (2).jpg</t>
  </si>
  <si>
    <t>2023-10-25 17:12:19     547959 AA1155/A113. Taillight, TRUNK MOUNTED - LEFT (3).JPG</t>
  </si>
  <si>
    <t>2023-10-25 17:12:19     705315 AA1155/A113. Taillight, TRUNK MOUNTED - LEFT (4).JPG</t>
  </si>
  <si>
    <t>2023-10-25 17:12:19    1019514 AA1155/A113. Taillight, TRUNK MOUNTED - LEFT (5).JPG</t>
  </si>
  <si>
    <t>2023-10-25 17:12:19    1185834 AA1155/A113. Taillight, TRUNK MOUNTED - LEFT (6).JPG</t>
  </si>
  <si>
    <t>2023-10-25 17:12:19     576432 AA1155/A114. Taillight, QUARTER PANEL MOUNTED - RIGHT (FLAWED) (1).JPG</t>
  </si>
  <si>
    <t>2023-10-25 17:12:19     178650 AA1155/A114. Taillight, QUARTER PANEL MOUNTED - RIGHT (FLAWED) (2).jpg</t>
  </si>
  <si>
    <t>2023-10-25 17:12:19     572844 AA1155/A114. Taillight, QUARTER PANEL MOUNTED - RIGHT (FLAWED) (3).JPG</t>
  </si>
  <si>
    <t>2023-10-25 17:12:19     620844 AA1155/A114. Taillight, QUARTER PANEL MOUNTED - RIGHT (FLAWED) (4).JPG</t>
  </si>
  <si>
    <t>2023-10-25 17:12:19     714395 AA1155/A114. Taillight, QUARTER PANEL MOUNTED - RIGHT (FLAWED) (5).JPG</t>
  </si>
  <si>
    <t>2023-10-25 17:12:19    1919384 AA1155/A114. Taillight, QUARTER PANEL MOUNTED - RIGHT (FLAWED) (6).JPG</t>
  </si>
  <si>
    <t>2023-10-25 17:12:19     649152 AA1155/A115. Taillight, TRUNK MOUNTED - RIGHT (1).JPG</t>
  </si>
  <si>
    <t>2023-10-25 17:12:19     178650 AA1155/A115. Taillight, TRUNK MOUNTED - RIGHT (2).jpg</t>
  </si>
  <si>
    <t>2023-10-25 17:12:19     720654 AA1155/A115. Taillight, TRUNK MOUNTED - RIGHT (3).JPG</t>
  </si>
  <si>
    <t>2023-10-25 17:12:19     653338 AA1155/A115. Taillight, TRUNK MOUNTED - RIGHT (4).JPG</t>
  </si>
  <si>
    <t>2023-10-25 17:12:19    1133161 AA1155/A115. Taillight, TRUNK MOUNTED - RIGHT (5).JPG</t>
  </si>
  <si>
    <t>2023-10-25 17:12:19     322520 AA1155/A116. Mirror, Door - FRONT LEFT (1).JPG</t>
  </si>
  <si>
    <t>2023-10-25 17:12:19     278389 AA1155/A116. Mirror, Door - FRONT LEFT (2).JPG</t>
  </si>
  <si>
    <t>2023-10-25 17:12:19     430008 AA1155/A116. Mirror, Door - FRONT LEFT (3).JPG</t>
  </si>
  <si>
    <t>2023-10-25 17:12:19     488255 AA1155/A116. Mirror, Door - FRONT LEFT (4).JPG</t>
  </si>
  <si>
    <t>2023-10-25 17:12:19     528346 AA1155/A116. Mirror, Door - FRONT LEFT (5).JPG</t>
  </si>
  <si>
    <t>2023-10-25 17:12:19    1474296 AA1155/A116. Mirror, Door - FRONT LEFT (6).JPG</t>
  </si>
  <si>
    <t>2023-10-25 17:12:19     695542 AA1155/A117. Steering Wheel (1).JPG</t>
  </si>
  <si>
    <t>2023-10-25 17:12:19     737317 AA1155/A117. Steering Wheel (2).JPG</t>
  </si>
  <si>
    <t>2023-10-25 17:12:19     611465 AA1155/A117. Steering Wheel (3).JPG</t>
  </si>
  <si>
    <t>2023-10-25 17:12:19     670652 AA1155/A117. Steering Wheel (4).JPG</t>
  </si>
  <si>
    <t>2023-10-25 17:12:19     614753 AA1155/A117. Steering Wheel (5).JPG</t>
  </si>
  <si>
    <t>2023-10-25 17:12:19     678598 AA1155/A117. Steering Wheel (6).JPG</t>
  </si>
  <si>
    <t>2023-10-25 17:12:19     381586 AA1155/A118. Door Handle, Exterior - FRONT - RIGHT (1).JPG</t>
  </si>
  <si>
    <t>2023-10-25 17:12:19     416763 AA1155/A118. Door Handle, Exterior - FRONT - RIGHT (2).JPG</t>
  </si>
  <si>
    <t>2023-10-25 17:12:19     438657 AA1155/A118. Door Handle, Exterior - FRONT - RIGHT (3).JPG</t>
  </si>
  <si>
    <t>2023-10-25 17:12:19     624967 AA1155/A118. Door Handle, Exterior - FRONT - RIGHT (4).JPG</t>
  </si>
  <si>
    <t>2023-10-25 17:12:19     713349 AA1155/A118. Door Handle, Exterior - FRONT - RIGHT (5).JPG</t>
  </si>
  <si>
    <t>2023-10-25 17:12:19    1009592 AA1155/A118. Door Handle, Exterior - FRONT - RIGHT (6).JPG</t>
  </si>
  <si>
    <t>2023-10-25 17:12:19     542265 AA1155/A119. Fuel Tank Door (1).JPG</t>
  </si>
  <si>
    <t>2023-10-25 17:12:19     652942 AA1155/A119. Fuel Tank Door (2).JPG</t>
  </si>
  <si>
    <t>2023-10-25 17:12:19     480697 AA1155/A119. Fuel Tank Door (3).JPG</t>
  </si>
  <si>
    <t>2023-10-25 17:12:19    1128531 AA1155/A119. Fuel Tank Door (4).JPG</t>
  </si>
  <si>
    <t>2023-10-25 16:09:12     421194 AA1155/A12. Airbag, KNEE - FRONT LEFT (DRIVER) (1).JPG</t>
  </si>
  <si>
    <t>2023-10-25 16:09:13     412783 AA1155/A12. Airbag, KNEE - FRONT LEFT (DRIVER) (2).JPG</t>
  </si>
  <si>
    <t>2023-10-25 16:09:13     495788 AA1155/A12. Airbag, KNEE - FRONT LEFT (DRIVER) (3).JPG</t>
  </si>
  <si>
    <t>2023-10-25 16:09:13     512720 AA1155/A12. Airbag, KNEE - FRONT LEFT (DRIVER) (4).JPG</t>
  </si>
  <si>
    <t>2023-10-25 16:09:14     489482 AA1155/A12. Airbag, KNEE - FRONT LEFT (DRIVER) (5).JPG</t>
  </si>
  <si>
    <t>2023-10-25 16:09:14     728015 AA1155/A12. Airbag, KNEE - FRONT LEFT (DRIVER) (6).JPG</t>
  </si>
  <si>
    <t>2023-10-25 17:12:19     337285 AA1155/A120. Shifter (FLAW) (1).JPG</t>
  </si>
  <si>
    <t>2023-10-25 17:12:19      66626 AA1155/A120. Shifter (FLAW) (2).jpg</t>
  </si>
  <si>
    <t>2023-10-25 17:12:19     315864 AA1155/A120. Shifter (FLAW) (3).JPG</t>
  </si>
  <si>
    <t>2023-10-25 17:12:19     309929 AA1155/A120. Shifter (FLAW) (4).JPG</t>
  </si>
  <si>
    <t>2023-10-25 17:12:19     416738 AA1155/A120. Shifter (FLAW) (5).JPG</t>
  </si>
  <si>
    <t>2023-10-25 17:12:20     625364 AA1155/A120. Shifter (FLAW) (6).JPG</t>
  </si>
  <si>
    <t>2023-10-25 17:12:20    1058870 AA1155/A120. Shifter (FLAW) (7).JPG</t>
  </si>
  <si>
    <t>2023-10-25 17:12:19     508617 AA1155/A121. Climate Control Panel, Radio Control Panel, and Trim, FRONT (1).JPG</t>
  </si>
  <si>
    <t>2023-10-25 17:12:19     215758 AA1155/A121. Climate Control Panel, Radio Control Panel, and Trim, FRONT (2).jpg</t>
  </si>
  <si>
    <t>2023-10-25 17:12:19     129670 AA1155/A121. Climate Control Panel, Radio Control Panel, and Trim, FRONT (3).jpg</t>
  </si>
  <si>
    <t>2023-10-25 17:12:20     487513 AA1155/A121. Climate Control Panel, Radio Control Panel, and Trim, FRONT (4).JPG</t>
  </si>
  <si>
    <t>2023-10-25 17:12:20     607663 AA1155/A121. Climate Control Panel, Radio Control Panel, and Trim, FRONT (5).JPG</t>
  </si>
  <si>
    <t>2023-10-25 17:12:19     548097 AA1155/A121. Climate Control Panel, Radio Control Panel, and Trim, FRONT (6).JPG</t>
  </si>
  <si>
    <t>2023-10-25 17:12:19     579891 AA1155/A121. Climate Control Panel, Radio Control Panel, and Trim, FRONT (7).JPG</t>
  </si>
  <si>
    <t>2023-10-25 17:12:19     889147 AA1155/A121. Climate Control Panel, Radio Control Panel, and Trim, FRONT (8).JPG</t>
  </si>
  <si>
    <t>2023-10-25 17:12:19     380278 AA1155/A122. Cargo Cover, Large Retractable (1).JPG</t>
  </si>
  <si>
    <t>2023-10-25 17:12:19     323037 AA1155/A122. Cargo Cover, Large Retractable (2).JPG</t>
  </si>
  <si>
    <t>2023-10-25 17:12:20     332944 AA1155/A122. Cargo Cover, Large Retractable (3).JPG</t>
  </si>
  <si>
    <t>2023-10-25 17:12:20     318712 AA1155/A122. Cargo Cover, Large Retractable (4).JPG</t>
  </si>
  <si>
    <t>2023-10-25 17:12:20     318748 AA1155/A122. Cargo Cover, Large Retractable (5).JPG</t>
  </si>
  <si>
    <t>2023-10-25 17:12:20     621353 AA1155/A122. Cargo Cover, Large Retractable (6).JPG</t>
  </si>
  <si>
    <t>2023-10-25 17:12:20     616669 AA1155/A122. Cargo Cover, Large Retractable (7).JPG</t>
  </si>
  <si>
    <t>2023-10-25 17:12:20     763073 AA1155/A122. Cargo Cover, Large Retractable (8).JPG</t>
  </si>
  <si>
    <t>2023-10-25 16:09:15     417329 AA1155/A13. Control Arms, FRONT - UPPER U WISHBONE, LEFT (1).JPG</t>
  </si>
  <si>
    <t>2023-10-25 16:09:15     337817 AA1155/A13. Control Arms, FRONT - UPPER U WISHBONE, LEFT (2).JPG</t>
  </si>
  <si>
    <t>2023-10-25 16:09:16     398075 AA1155/A13. Control Arms, FRONT - UPPER U WISHBONE, LEFT (3).JPG</t>
  </si>
  <si>
    <t>2023-10-25 16:09:16     604385 AA1155/A13. Control Arms, FRONT - UPPER U WISHBONE, LEFT (4).JPG</t>
  </si>
  <si>
    <t>2023-10-25 16:09:16     829689 AA1155/A13. Control Arms, FRONT - UPPER U WISHBONE, LEFT (5).JPG</t>
  </si>
  <si>
    <t>2023-10-25 16:09:17     530976 AA1155/A14. Airbag, KNEE - FRONT RIGHT (PASSENGER) (1).JPG</t>
  </si>
  <si>
    <t>2023-10-25 16:09:17     544063 AA1155/A14. Airbag, KNEE - FRONT RIGHT (PASSENGER) (2).JPG</t>
  </si>
  <si>
    <t>2023-10-25 16:09:18     462020 AA1155/A14. Airbag, KNEE - FRONT RIGHT (PASSENGER) (3).JPG</t>
  </si>
  <si>
    <t>2023-10-25 16:09:18     474853 AA1155/A14. Airbag, KNEE - FRONT RIGHT (PASSENGER) (4).JPG</t>
  </si>
  <si>
    <t>2023-10-25 16:09:19     808571 AA1155/A14. Airbag, KNEE - FRONT RIGHT (PASSENGER) (5).JPG</t>
  </si>
  <si>
    <t>2023-10-25 16:09:19     331652 AA1155/A15. Transmission Oil Pump, Hydraulic (1).JPG</t>
  </si>
  <si>
    <t>2023-10-25 16:09:19     365768 AA1155/A15. Transmission Oil Pump, Hydraulic (2).JPG</t>
  </si>
  <si>
    <t>2023-10-25 16:09:20     427112 AA1155/A15. Transmission Oil Pump, Hydraulic (3).JPG</t>
  </si>
  <si>
    <t>2023-10-25 16:09:20     430162 AA1155/A16. ABS Pump &amp; Module (1).JPG</t>
  </si>
  <si>
    <t>2023-10-25 16:09:21     445759 AA1155/A16. ABS Pump &amp; Module (2).JPG</t>
  </si>
  <si>
    <t>2023-10-25 16:09:21     521571 AA1155/A16. ABS Pump &amp; Module (3).JPG</t>
  </si>
  <si>
    <t>2023-10-25 16:09:22     661679 AA1155/A16. ABS Pump &amp; Module (4).JPG</t>
  </si>
  <si>
    <t>2023-10-25 16:09:22     842998 AA1155/A16. ABS Pump &amp; Module (5).JPG</t>
  </si>
  <si>
    <t>2023-10-25 16:09:22     296169 AA1155/A17. Muffler Tips SET2 (1).JPG</t>
  </si>
  <si>
    <t>2023-10-25 16:09:23     362900 AA1155/A17. Muffler Tips SET2 (2).JPG</t>
  </si>
  <si>
    <t>2023-10-25 16:09:23     351458 AA1155/A17. Muffler Tips SET2 (3).JPG</t>
  </si>
  <si>
    <t>2023-10-25 16:09:24     854407 AA1155/A17. Muffler Tips SET2 (4).JPG</t>
  </si>
  <si>
    <t>2023-10-25 16:09:24     590833 AA1155/A18. Airbag, DASH - RIGHT (PASSENGER) (1).JPG</t>
  </si>
  <si>
    <t>2023-10-25 16:09:25     641633 AA1155/A18. Airbag, DASH - RIGHT (PASSENGER) (2).JPG</t>
  </si>
  <si>
    <t>2023-10-25 16:09:25     701519 AA1155/A18. Airbag, DASH - RIGHT (PASSENGER) (3).JPG</t>
  </si>
  <si>
    <t>2023-10-25 16:09:26     827630 AA1155/A18. Airbag, DASH - RIGHT (PASSENGER) (4).JPG</t>
  </si>
  <si>
    <t>2023-10-25 16:09:26    1010234 AA1155/A18. Airbag, DASH - RIGHT (PASSENGER) (5).JPG</t>
  </si>
  <si>
    <t>2023-10-25 16:09:26     512832 AA1155/A19. Blower Motor, FRONT FOOTWELL (1).JPG</t>
  </si>
  <si>
    <t>2023-10-25 16:09:27     533316 AA1155/A19. Blower Motor, FRONT FOOTWELL (2).JPG</t>
  </si>
  <si>
    <t>2023-10-25 16:09:27     620942 AA1155/A19. Blower Motor, FRONT FOOTWELL (3).JPG</t>
  </si>
  <si>
    <t>2023-10-25 16:09:28     704004 AA1155/A19. Blower Motor, FRONT FOOTWELL (4).JPG</t>
  </si>
  <si>
    <t>2023-10-25 16:09:28     497480 AA1155/A20. Airbag, ROOF - RIGHT (PASSENGER) (1).JPG</t>
  </si>
  <si>
    <t>2023-10-25 16:09:29     628894 AA1155/A20. Airbag, ROOF - RIGHT (PASSENGER) (2).JPG</t>
  </si>
  <si>
    <t>2023-10-25 16:09:29     562457 AA1155/A20. Airbag, ROOF - RIGHT (PASSENGER) (3).JPG</t>
  </si>
  <si>
    <t>2023-10-25 16:09:29     673108 AA1155/A20. Airbag, ROOF - RIGHT (PASSENGER) (4).JPG</t>
  </si>
  <si>
    <t>2023-10-25 16:09:30     595411 AA1155/A20. Airbag, ROOF - RIGHT (PASSENGER) (5).JPG</t>
  </si>
  <si>
    <t>2023-10-25 16:09:30     339108 AA1155/A21. Control Arms, FRONT - UPPER U WISHBONE, RIGHT (1).JPG</t>
  </si>
  <si>
    <t>2023-10-25 16:09:31     365277 AA1155/A21. Control Arms, FRONT - UPPER U WISHBONE, RIGHT (2).JPG</t>
  </si>
  <si>
    <t>2023-10-25 16:09:31     410133 AA1155/A21. Control Arms, FRONT - UPPER U WISHBONE, RIGHT (3).JPG</t>
  </si>
  <si>
    <t>2023-10-25 16:09:31     712138 AA1155/A21. Control Arms, FRONT - UPPER U WISHBONE, RIGHT (4).JPG</t>
  </si>
  <si>
    <t>2023-10-25 16:09:32     663661 AA1155/A21. Control Arms, FRONT - UPPER U WISHBONE, RIGHT (5).JPG</t>
  </si>
  <si>
    <t>2023-10-25 16:09:32     786631 AA1155/A22. Airbag, ROOF - LEFT (DRIVER) (1).JPG</t>
  </si>
  <si>
    <t>2023-10-25 16:09:33     611234 AA1155/A22. Airbag, ROOF - LEFT (DRIVER) (2).JPG</t>
  </si>
  <si>
    <t>2023-10-25 16:09:33     517628 AA1155/A22. Airbag, ROOF - LEFT (DRIVER) (3).JPG</t>
  </si>
  <si>
    <t>2023-10-25 16:09:34     932063 AA1155/A22. Airbag, ROOF - LEFT (DRIVER) (4).JPG</t>
  </si>
  <si>
    <t>2023-10-25 16:09:34    1104214 AA1155/A22. Airbag, ROOF - LEFT (DRIVER) (5).JPG</t>
  </si>
  <si>
    <t>2023-10-25 16:09:35     355850 AA1155/A23. PDC SET4 With Harness, REAR (1).JPG</t>
  </si>
  <si>
    <t>2023-10-25 16:09:35     334413 AA1155/A23. PDC SET4 With Harness, REAR (2).JPG</t>
  </si>
  <si>
    <t>2023-10-25 16:09:35     844067 AA1155/A23. PDC SET4 With Harness, REAR (3).JPG</t>
  </si>
  <si>
    <t>2023-10-25 16:09:36     746324 AA1155/A23. PDC SET4 With Harness, REAR (4).JPG</t>
  </si>
  <si>
    <t>2023-10-25 16:09:36     467797 AA1155/A23. PDC SET4 With Harness, REAR (5).JPG</t>
  </si>
  <si>
    <t>2023-10-25 16:09:37     422470 AA1155/A24. TPMS Tire Pressure Sensor SET4 (1).JPG</t>
  </si>
  <si>
    <t>2023-10-25 16:09:37     422415 AA1155/A24. TPMS Tire Pressure Sensor SET4 (2).JPG</t>
  </si>
  <si>
    <t>2023-10-25 16:09:37     456481 AA1155/A24. TPMS Tire Pressure Sensor SET4 (3).JPG</t>
  </si>
  <si>
    <t>2023-10-25 16:09:38     398088 AA1155/A25. Steering Column Lower U-Joint Shaft (1).JPG</t>
  </si>
  <si>
    <t>2023-10-25 16:09:38     394659 AA1155/A25. Steering Column Lower U-Joint Shaft (2).JPG</t>
  </si>
  <si>
    <t>2023-10-25 16:09:39     392695 AA1155/A25. Steering Column Lower U-Joint Shaft (3).JPG</t>
  </si>
  <si>
    <t>2023-10-25 16:09:39     632057 AA1155/A25. Steering Column Lower U-Joint Shaft (4).JPG</t>
  </si>
  <si>
    <t>2023-10-25 16:09:39     338890 AA1155/A26. Wiper Arms, FRONT SET2 (1).JPG</t>
  </si>
  <si>
    <t>2023-10-25 16:09:40     368804 AA1155/A26. Wiper Arms, FRONT SET2 (2).JPG</t>
  </si>
  <si>
    <t>2023-10-25 16:09:40     359337 AA1155/A26. Wiper Arms, FRONT SET2 (3).JPG</t>
  </si>
  <si>
    <t>2023-10-25 16:09:41     742749 AA1155/A26. Wiper Arms, FRONT SET2 (4).JPG</t>
  </si>
  <si>
    <t>2023-10-25 16:09:41     739177 AA1155/A26. Wiper Arms, FRONT SET2 (5).JPG</t>
  </si>
  <si>
    <t>2023-10-25 17:12:20     418519 AA1155/A27. Door Latch, REAR - RIGHT Soft Close WITH Actuator SET2 (1).JPG</t>
  </si>
  <si>
    <t>2023-10-25 17:12:20     577332 AA1155/A27. Door Latch, REAR - RIGHT Soft Close WITH Actuator SET2 (2).JPG</t>
  </si>
  <si>
    <t>2023-10-25 17:12:20     381897 AA1155/A27. Door Latch, REAR - RIGHT Soft Close WITH Actuator SET2 (3).JPG</t>
  </si>
  <si>
    <t>2023-10-25 17:12:20     343257 AA1155/A27. Door Latch, REAR - RIGHT Soft Close WITH Actuator SET2 (4).JPG</t>
  </si>
  <si>
    <t>2023-10-25 17:12:20     742171 AA1155/A27. Door Latch, REAR - RIGHT Soft Close WITH Actuator SET2 (5).JPG</t>
  </si>
  <si>
    <t>2023-10-25 17:12:20     429628 AA1155/A27. Door Latch, REAR - RIGHT Soft Close WITH Actuator SET2 (6).JPG</t>
  </si>
  <si>
    <t>2023-10-25 17:12:20    1341261 AA1155/A27. Door Latch, REAR - RIGHT Soft Close WITH Actuator SET2 (7).JPG</t>
  </si>
  <si>
    <t>2023-10-25 17:12:20     376825 AA1155/A28. Door Latch, REAR - LEFT Soft Close WITH Actuator SET2 (1).JPG</t>
  </si>
  <si>
    <t>2023-10-25 17:12:20     413866 AA1155/A28. Door Latch, REAR - LEFT Soft Close WITH Actuator SET2 (2).JPG</t>
  </si>
  <si>
    <t>2023-10-25 17:12:20     498220 AA1155/A28. Door Latch, REAR - LEFT Soft Close WITH Actuator SET2 (3).JPG</t>
  </si>
  <si>
    <t>2023-10-25 17:12:20     637783 AA1155/A28. Door Latch, REAR - LEFT Soft Close WITH Actuator SET2 (4).JPG</t>
  </si>
  <si>
    <t>2023-10-25 17:12:20    1429787 AA1155/A28. Door Latch, REAR - LEFT Soft Close WITH Actuator SET2 (5).JPG</t>
  </si>
  <si>
    <t>2023-10-25 17:12:20     387933 AA1155/A29. Door Latch, FRONT - RIGHT Soft Close WITH Actuator SET2 (1).JPG</t>
  </si>
  <si>
    <t>2023-10-25 17:12:20     541329 AA1155/A29. Door Latch, FRONT - RIGHT Soft Close WITH Actuator SET2 (2).JPG</t>
  </si>
  <si>
    <t>2023-10-25 17:12:20     456730 AA1155/A29. Door Latch, FRONT - RIGHT Soft Close WITH Actuator SET2 (3).JPG</t>
  </si>
  <si>
    <t>2023-10-25 17:12:20     477718 AA1155/A29. Door Latch, FRONT - RIGHT Soft Close WITH Actuator SET2 (4).JPG</t>
  </si>
  <si>
    <t>2023-10-25 17:12:20     556316 AA1155/A29. Door Latch, FRONT - RIGHT Soft Close WITH Actuator SET2 (5).JPG</t>
  </si>
  <si>
    <t>2023-10-25 17:12:20    1351161 AA1155/A29. Door Latch, FRONT - RIGHT Soft Close WITH Actuator SET2 (6).JPG</t>
  </si>
  <si>
    <t>2023-10-25 17:12:20     470287 AA1155/A30. Door Latch, FRONT - LEFT Soft Close WITH Actuator SET2 (1).JPG</t>
  </si>
  <si>
    <t>2023-10-25 17:12:20     502596 AA1155/A30. Door Latch, FRONT - LEFT Soft Close WITH Actuator SET2 (2).JPG</t>
  </si>
  <si>
    <t>2023-10-25 17:12:20     513173 AA1155/A30. Door Latch, FRONT - LEFT Soft Close WITH Actuator SET2 (3).JPG</t>
  </si>
  <si>
    <t>2023-10-25 17:12:20     678910 AA1155/A30. Door Latch, FRONT - LEFT Soft Close WITH Actuator SET2 (4).JPG</t>
  </si>
  <si>
    <t>2023-10-25 17:12:20     636989 AA1155/A30. Door Latch, FRONT - LEFT Soft Close WITH Actuator SET2 (5).JPG</t>
  </si>
  <si>
    <t>2023-10-25 17:12:20    1231995 AA1155/A30. Door Latch, FRONT - LEFT Soft Close WITH Actuator SET2 (6).JPG</t>
  </si>
  <si>
    <t>2023-10-25 17:12:20     320179 AA1155/A31. Battery Cable, NEGATIVE w IBS Module ON (1).JPG</t>
  </si>
  <si>
    <t>2023-10-25 17:12:20     318329 AA1155/A31. Battery Cable, NEGATIVE w IBS Module ON (2).JPG</t>
  </si>
  <si>
    <t>2023-10-25 17:12:20     284483 AA1155/A31. Battery Cable, NEGATIVE w IBS Module ON (3).JPG</t>
  </si>
  <si>
    <t>2023-10-25 17:12:20     674076 AA1155/A31. Battery Cable, NEGATIVE w IBS Module ON (4).JPG</t>
  </si>
  <si>
    <t>2023-10-25 17:10:29     419542 AA1155/A32. Battery Cable, POSITIVE &amp; Attached Terminal Bracket, THE BIG PRIMARY ONE (1).JPG</t>
  </si>
  <si>
    <t>2023-10-25 17:10:29     476384 AA1155/A32. Battery Cable, POSITIVE &amp; Attached Terminal Bracket, THE BIG PRIMARY ONE (2).JPG</t>
  </si>
  <si>
    <t>2023-10-25 17:10:29     426435 AA1155/A32. Battery Cable, POSITIVE &amp; Attached Terminal Bracket, THE BIG PRIMARY ONE (3).JPG</t>
  </si>
  <si>
    <t>2023-10-25 17:10:30     823389 AA1155/A32. Battery Cable, POSITIVE &amp; Attached Terminal Bracket, THE BIG PRIMARY ONE (4).JPG</t>
  </si>
  <si>
    <t>2023-10-25 17:12:20     404756 AA1155/A33. Hood Upper Release Lever &amp; Cable &amp; Strikers as SET (1).JPG</t>
  </si>
  <si>
    <t>2023-10-25 17:12:20     376890 AA1155/A33. Hood Upper Release Lever &amp; Cable &amp; Strikers as SET (2).JPG</t>
  </si>
  <si>
    <t>2023-10-25 17:12:20     389380 AA1155/A33. Hood Upper Release Lever &amp; Cable &amp; Strikers as SET (3).JPG</t>
  </si>
  <si>
    <t>2023-10-25 17:12:20     431546 AA1155/A33. Hood Upper Release Lever &amp; Cable &amp; Strikers as SET (4).JPG</t>
  </si>
  <si>
    <t>2023-10-25 17:12:20     645902 AA1155/A33. Hood Upper Release Lever &amp; Cable &amp; Strikers as SET (5).JPG</t>
  </si>
  <si>
    <t>2023-10-25 17:12:20     984109 AA1155/A33. Hood Upper Release Lever &amp; Cable &amp; Strikers as SET (6).JPG</t>
  </si>
  <si>
    <t>2023-10-25 17:12:21     530852 AA1155/A33. Hood Upper Release Lever &amp; Cable &amp; Strikers as SET (7).JPG</t>
  </si>
  <si>
    <t>2023-10-25 17:12:21     411867 AA1155/A33. Hood Upper Release Lever &amp; Cable &amp; Strikers as SET (8).JPG</t>
  </si>
  <si>
    <t>2023-10-25 17:12:21     850550 AA1155/A33. Hood Upper Release Lever &amp; Cable &amp; Strikers as SET (9).JPG</t>
  </si>
  <si>
    <t>2023-10-25 17:12:21     543428 AA1155/A34. Wiper Motor, Trunk (1).JPG</t>
  </si>
  <si>
    <t>2023-10-25 17:12:21     423258 AA1155/A34. Wiper Motor, Trunk (2).JPG</t>
  </si>
  <si>
    <t>2023-10-25 17:12:21     481849 AA1155/A34. Wiper Motor, Trunk (3).JPG</t>
  </si>
  <si>
    <t>2023-10-25 17:12:21     930883 AA1155/A34. Wiper Motor, Trunk (4).JPG</t>
  </si>
  <si>
    <t>2023-10-25 17:12:21     494282 AA1155/A35. Hood Latches SET2 WITH Cables (1).JPG</t>
  </si>
  <si>
    <t>2023-10-25 17:12:21     547427 AA1155/A35. Hood Latches SET2 WITH Cables (2).JPG</t>
  </si>
  <si>
    <t>2023-10-25 17:12:21     630145 AA1155/A35. Hood Latches SET2 WITH Cables (3).JPG</t>
  </si>
  <si>
    <t>2023-10-25 17:12:21     370704 AA1155/A35. Hood Latches SET2 WITH Cables (4).JPG</t>
  </si>
  <si>
    <t>2023-10-25 17:12:21     713405 AA1155/A35. Hood Latches SET2 WITH Cables (5).JPG</t>
  </si>
  <si>
    <t>2023-10-25 17:12:21     334615 AA1155/A36. Center Console Cell Phone Cradle (1).JPG</t>
  </si>
  <si>
    <t>2023-10-25 17:12:21     320065 AA1155/A36. Center Console Cell Phone Cradle (2).JPG</t>
  </si>
  <si>
    <t>2023-10-25 17:12:21     340804 AA1155/A36. Center Console Cell Phone Cradle (3).JPG</t>
  </si>
  <si>
    <t>2023-10-25 17:12:21     394095 AA1155/A36. Center Console Cell Phone Cradle (4).JPG</t>
  </si>
  <si>
    <t>2023-10-25 17:12:21     474347 AA1155/A37. Sunroof, Motor (1).JPG</t>
  </si>
  <si>
    <t>2023-10-25 17:12:21     512809 AA1155/A37. Sunroof, Motor (2).JPG</t>
  </si>
  <si>
    <t>2023-10-25 17:12:21     450779 AA1155/A37. Sunroof, Motor (3).JPG</t>
  </si>
  <si>
    <t>2023-10-25 17:12:21     845797 AA1155/A37. Sunroof, Motor (4).JPG</t>
  </si>
  <si>
    <t>2023-10-25 17:12:21     504180 AA1155/A38. Sunroof, Motor (1).JPG</t>
  </si>
  <si>
    <t>2023-10-25 17:12:21     455457 AA1155/A38. Sunroof, Motor (2).JPG</t>
  </si>
  <si>
    <t>2023-10-25 17:12:21     502683 AA1155/A38. Sunroof, Motor (3).JPG</t>
  </si>
  <si>
    <t>2023-10-25 17:12:21     959567 AA1155/A38. Sunroof, Motor (4).JPG</t>
  </si>
  <si>
    <t>2023-10-25 17:12:21     406978 AA1155/A39. Trunk Latch WITH Soft Close Actuator Motor &amp; Cables (1).JPG</t>
  </si>
  <si>
    <t>2023-10-25 17:12:21     434928 AA1155/A39. Trunk Latch WITH Soft Close Actuator Motor &amp; Cables (2).JPG</t>
  </si>
  <si>
    <t>2023-10-25 17:12:21     635986 AA1155/A39. Trunk Latch WITH Soft Close Actuator Motor &amp; Cables (3).JPG</t>
  </si>
  <si>
    <t>2023-10-25 17:12:21     569128 AA1155/A39. Trunk Latch WITH Soft Close Actuator Motor &amp; Cables (4).JPG</t>
  </si>
  <si>
    <t>2023-10-25 17:12:21     577586 AA1155/A39. Trunk Latch WITH Soft Close Actuator Motor &amp; Cables (5).JPG</t>
  </si>
  <si>
    <t>2023-10-25 17:12:21     658461 AA1155/A39. Trunk Latch WITH Soft Close Actuator Motor &amp; Cables (6).JPG</t>
  </si>
  <si>
    <t>2023-10-25 17:12:21     970977 AA1155/A39. Trunk Latch WITH Soft Close Actuator Motor &amp; Cables (7).JPG</t>
  </si>
  <si>
    <t>2023-10-25 17:12:21     388543 AA1155/A40. Height Level Sensors, FRONT - LEFT (1).JPG</t>
  </si>
  <si>
    <t>2023-10-25 17:12:21     360103 AA1155/A40. Height Level Sensors, FRONT - LEFT (2).JPG</t>
  </si>
  <si>
    <t>2023-10-25 17:12:21     334377 AA1155/A40. Height Level Sensors, FRONT - LEFT (3).JPG</t>
  </si>
  <si>
    <t>2023-10-25 17:12:21     352512 AA1155/A41. Height Level Sensors, REAR - LEFT (1).JPG</t>
  </si>
  <si>
    <t>2023-10-25 17:12:21     344760 AA1155/A41. Height Level Sensors, REAR - LEFT (2).JPG</t>
  </si>
  <si>
    <t>2023-10-25 17:12:21     353030 AA1155/A41. Height Level Sensors, REAR - LEFT (3).JPG</t>
  </si>
  <si>
    <t>2023-10-25 17:12:21     536318 AA1155/A41. Height Level Sensors, REAR - LEFT (4).JPG</t>
  </si>
  <si>
    <t>2023-10-25 17:12:21     407323 AA1155/A42. Windshield Washer Spray Nozzles &amp; Rubber Hose (1).JPG</t>
  </si>
  <si>
    <t>2023-10-25 17:12:21     370541 AA1155/A42. Windshield Washer Spray Nozzles &amp; Rubber Hose (2).JPG</t>
  </si>
  <si>
    <t>2023-10-25 17:12:21     470903 AA1155/A42. Windshield Washer Spray Nozzles &amp; Rubber Hose (3).JPG</t>
  </si>
  <si>
    <t>2023-10-25 17:12:21     434512 AA1155/A42. Windshield Washer Spray Nozzles &amp; Rubber Hose (4).JPG</t>
  </si>
  <si>
    <t>2023-10-25 17:12:21     539252 AA1155/A43. Transmission Oil Cooler (1).JPG</t>
  </si>
  <si>
    <t>2023-10-25 17:12:21     538257 AA1155/A43. Transmission Oil Cooler (2).JPG</t>
  </si>
  <si>
    <t>2023-10-25 17:12:21     575935 AA1155/A43. Transmission Oil Cooler (3).JPG</t>
  </si>
  <si>
    <t>2023-10-25 17:12:21     448934 AA1155/A43. Transmission Oil Cooler (4).JPG</t>
  </si>
  <si>
    <t>2023-10-25 17:12:21     917136 AA1155/A43. Transmission Oil Cooler (5).JPG</t>
  </si>
  <si>
    <t>2023-10-25 17:12:21     355249 AA1155/A44. Oxygen Sensor SET2 (1).JPG</t>
  </si>
  <si>
    <t>2023-10-25 17:12:21     377815 AA1155/A44. Oxygen Sensor SET2 (2).JPG</t>
  </si>
  <si>
    <t>2023-10-25 17:12:21     359692 AA1155/A44. Oxygen Sensor SET2 (3).JPG</t>
  </si>
  <si>
    <t>2023-10-25 17:12:21    1065160 AA1155/A44. Oxygen Sensor SET2 (4).JPG</t>
  </si>
  <si>
    <t>2023-10-25 17:12:21     673545 AA1155/A44. Oxygen Sensor SET2 (5).JPG</t>
  </si>
  <si>
    <t>2023-10-25 17:12:21     694256 AA1155/A45. Rear Arm Rest  Cup Holder (1).JPG</t>
  </si>
  <si>
    <t>2023-10-25 17:12:21     484583 AA1155/A45. Rear Arm Rest  Cup Holder (2).JPG</t>
  </si>
  <si>
    <t>2023-10-25 17:12:21     454160 AA1155/A45. Rear Arm Rest  Cup Holder (3).JPG</t>
  </si>
  <si>
    <t>2023-10-25 17:12:21     555413 AA1155/A45. Rear Arm Rest  Cup Holder (4).JPG</t>
  </si>
  <si>
    <t>2023-10-25 17:12:21     480160 AA1155/A45. Rear Arm Rest  Cup Holder (5).JPG</t>
  </si>
  <si>
    <t>2023-10-25 17:12:21     450447 AA1155/A46. Vent, DASH - FRONT CENTER with Hazard Button (1).JPG</t>
  </si>
  <si>
    <t>2023-10-25 17:12:21     455891 AA1155/A46. Vent, DASH - FRONT CENTER with Hazard Button (2).JPG</t>
  </si>
  <si>
    <t>2023-10-25 17:12:21     420186 AA1155/A46. Vent, DASH - FRONT CENTER with Hazard Button (3).JPG</t>
  </si>
  <si>
    <t>2023-10-25 17:12:22     526337 AA1155/A46. Vent, DASH - FRONT CENTER with Hazard Button (4).JPG</t>
  </si>
  <si>
    <t>2023-10-25 17:12:21     797520 AA1155/A46. Vent, DASH - FRONT CENTER with Hazard Button (5).JPG</t>
  </si>
  <si>
    <t>2023-10-25 17:12:21     524151 AA1155/A47. Door Handle, Exterior - FRONT - LEFT (1).JPG</t>
  </si>
  <si>
    <t>2023-10-25 17:12:21     457479 AA1155/A47. Door Handle, Exterior - FRONT - LEFT (2).JPG</t>
  </si>
  <si>
    <t>2023-10-25 17:12:22     468356 AA1155/A47. Door Handle, Exterior - FRONT - LEFT (3).JPG</t>
  </si>
  <si>
    <t>2023-10-25 17:12:22     463840 AA1155/A47. Door Handle, Exterior - FRONT - LEFT (4).JPG</t>
  </si>
  <si>
    <t>2023-10-25 17:12:22     658915 AA1155/A47. Door Handle, Exterior - FRONT - LEFT (5).JPG</t>
  </si>
  <si>
    <t>2023-10-25 17:12:21     473082 AA1155/A48. Navigation Display Screen (1).JPG</t>
  </si>
  <si>
    <t>2023-10-25 17:12:22     300441 AA1155/A48. Navigation Display Screen (2).jpg</t>
  </si>
  <si>
    <t>2023-10-25 17:12:21     267973 AA1155/A48. Navigation Display Screen (3).jpg</t>
  </si>
  <si>
    <t>2023-10-25 17:12:21     297200 AA1155/A48. Navigation Display Screen (4).JPG</t>
  </si>
  <si>
    <t>2023-10-25 17:12:21     379233 AA1155/A48. Navigation Display Screen (5).JPG</t>
  </si>
  <si>
    <t>2023-10-25 17:12:22     558984 AA1155/A48. Navigation Display Screen (6).JPG</t>
  </si>
  <si>
    <t>2023-10-25 17:12:22    1057755 AA1155/A48. Navigation Display Screen (7).JPG</t>
  </si>
  <si>
    <t>2023-10-25 17:12:21     474770 AA1155/A49. Door Handle, Exterior - REAR - LEFT (1).JPG</t>
  </si>
  <si>
    <t>2023-10-25 17:12:21     528462 AA1155/A49. Door Handle, Exterior - REAR - LEFT (2).JPG</t>
  </si>
  <si>
    <t>2023-10-25 17:12:22     527681 AA1155/A49. Door Handle, Exterior - REAR - LEFT (3).JPG</t>
  </si>
  <si>
    <t>2023-10-25 17:12:22     503812 AA1155/A49. Door Handle, Exterior - REAR - LEFT (4).JPG</t>
  </si>
  <si>
    <t>2023-10-25 17:12:22     889722 AA1155/A49. Door Handle, Exterior - REAR - LEFT (5).JPG</t>
  </si>
  <si>
    <t>2023-10-25 17:12:22     327664 AA1155/A50. Seatbelt Retractor, FRONT - LEFT (1).JPG</t>
  </si>
  <si>
    <t>2023-10-25 17:12:22     324471 AA1155/A50. Seatbelt Retractor, FRONT - LEFT (2).JPG</t>
  </si>
  <si>
    <t>2023-10-25 17:12:22     397197 AA1155/A50. Seatbelt Retractor, FRONT - LEFT (3).JPG</t>
  </si>
  <si>
    <t>2023-10-25 17:12:22     795829 AA1155/A50. Seatbelt Retractor, FRONT - LEFT (4).JPG</t>
  </si>
  <si>
    <t>2023-10-25 17:12:22     440405 AA1155/A51. Combination Switch Assembly (1).JPG</t>
  </si>
  <si>
    <t>2023-10-25 17:12:22     467913 AA1155/A51. Combination Switch Assembly (2).JPG</t>
  </si>
  <si>
    <t>2023-10-25 17:12:22     408392 AA1155/A51. Combination Switch Assembly (3).JPG</t>
  </si>
  <si>
    <t>2023-10-25 17:12:22     447637 AA1155/A51. Combination Switch Assembly (4).JPG</t>
  </si>
  <si>
    <t>2023-10-25 17:12:22     887434 AA1155/A51. Combination Switch Assembly (5).JPG</t>
  </si>
  <si>
    <t>2023-10-25 17:12:22     756733 AA1155/A51. Combination Switch Assembly (6).JPG</t>
  </si>
  <si>
    <t>2023-10-25 17:12:22     447056 AA1155/A52. Door Handle, Exterior - REAR - RIGHT (1).JPG</t>
  </si>
  <si>
    <t>2023-10-25 17:12:22     436262 AA1155/A52. Door Handle, Exterior - REAR - RIGHT (2).JPG</t>
  </si>
  <si>
    <t>2023-10-25 17:12:22     495120 AA1155/A52. Door Handle, Exterior - REAR - RIGHT (3).JPG</t>
  </si>
  <si>
    <t>2023-10-25 17:12:22     491655 AA1155/A52. Door Handle, Exterior - REAR - RIGHT (4).JPG</t>
  </si>
  <si>
    <t>2023-10-25 17:12:22     984372 AA1155/A52. Door Handle, Exterior - REAR - RIGHT (5).JPG</t>
  </si>
  <si>
    <t>2023-10-25 17:12:22     417884 AA1155/A53. Trunk Emblem (1).JPG</t>
  </si>
  <si>
    <t>2023-10-25 17:12:22     459355 AA1155/A53. Trunk Emblem (2).JPG</t>
  </si>
  <si>
    <t>2023-10-25 17:12:22     568167 AA1155/A53. Trunk Emblem (3).JPG</t>
  </si>
  <si>
    <t>2023-10-25 17:12:22    1068753 AA1155/A53. Trunk Emblem (4).JPG</t>
  </si>
  <si>
    <t>2023-10-25 17:12:22     505541 AA1155/A54. Seat Adjust Switch, FRONT - RIGHT (1).JPG</t>
  </si>
  <si>
    <t>2023-10-25 17:12:22     419079 AA1155/A54. Seat Adjust Switch, FRONT - RIGHT (2).JPG</t>
  </si>
  <si>
    <t>2023-10-25 17:13:02     547804 AA1155/A54. Seat Adjust Switch, FRONT - RIGHT (3).JPG</t>
  </si>
  <si>
    <t>2023-10-25 17:13:02     517766 AA1155/A54. Seat Adjust Switch, FRONT - RIGHT (4).JPG</t>
  </si>
  <si>
    <t>2023-10-25 17:13:01     457020 AA1155/A55. Traction Control Switch Panel (1).JPG</t>
  </si>
  <si>
    <t>2023-10-25 17:13:02      72737 AA1155/A55. Traction Control Switch Panel (2).jpg</t>
  </si>
  <si>
    <t>2023-10-25 17:13:02     338639 AA1155/A55. Traction Control Switch Panel (3).JPG</t>
  </si>
  <si>
    <t>2023-10-25 17:13:01     281348 AA1155/A55. Traction Control Switch Panel (4).JPG</t>
  </si>
  <si>
    <t>2023-10-25 17:13:02     509404 AA1155/A55. Traction Control Switch Panel (5).JPG</t>
  </si>
  <si>
    <t>2023-10-25 17:13:01     573869 AA1155/A55. Traction Control Switch Panel (6).JPG</t>
  </si>
  <si>
    <t>2023-10-25 17:13:02     314526 AA1155/A56. Steering Wheel Adjust Switch With Steering Wheel Heater (1).JPG</t>
  </si>
  <si>
    <t>2023-10-25 17:13:01     256577 AA1155/A56. Steering Wheel Adjust Switch With Steering Wheel Heater (2).JPG</t>
  </si>
  <si>
    <t>2023-10-25 17:13:02     309831 AA1155/A56. Steering Wheel Adjust Switch With Steering Wheel Heater (3).JPG</t>
  </si>
  <si>
    <t>2023-10-25 17:13:02     325227 AA1155/A56. Steering Wheel Adjust Switch With Steering Wheel Heater (4).JPG</t>
  </si>
  <si>
    <t>2023-10-25 17:13:01     560895 AA1155/A56. Steering Wheel Adjust Switch With Steering Wheel Heater (5).JPG</t>
  </si>
  <si>
    <t>2023-10-25 17:13:02     554744 AA1155/A57. Seat Adjust Switch, FRONT - LEFT (1).JPG</t>
  </si>
  <si>
    <t>2023-10-25 17:13:01     472404 AA1155/A57. Seat Adjust Switch, FRONT - LEFT (2).JPG</t>
  </si>
  <si>
    <t>2023-10-25 17:13:01     573501 AA1155/A57. Seat Adjust Switch, FRONT - LEFT (3).JPG</t>
  </si>
  <si>
    <t>2023-10-25 17:13:01     600452 AA1155/A57. Seat Adjust Switch, FRONT - LEFT (4).JPG</t>
  </si>
  <si>
    <t>2023-10-25 17:13:02     225410 AA1155/A58. Switch, Window Master (1).JPG</t>
  </si>
  <si>
    <t>2023-10-25 17:13:02     347077 AA1155/A58. Switch, Window Master (2).JPG</t>
  </si>
  <si>
    <t>2023-10-25 17:13:02     313286 AA1155/A58. Switch, Window Master (3).JPG</t>
  </si>
  <si>
    <t>2023-10-25 17:13:01     577353 AA1155/A58. Switch, Window Master (4).JPG</t>
  </si>
  <si>
    <t>2023-10-25 17:13:01     596626 AA1155/A58. Switch, Window Master (5).JPG</t>
  </si>
  <si>
    <t>2023-10-25 17:13:01     429869 AA1155/A59. Vent, DASH - FRONT LEFT (1).JPG</t>
  </si>
  <si>
    <t>2023-10-25 17:13:01     394837 AA1155/A59. Vent, DASH - FRONT LEFT (2).JPG</t>
  </si>
  <si>
    <t>2023-10-25 17:13:01     470654 AA1155/A59. Vent, DASH - FRONT LEFT (3).JPG</t>
  </si>
  <si>
    <t>2023-10-25 17:13:01     428574 AA1155/A59. Vent, DASH - FRONT LEFT (4).JPG</t>
  </si>
  <si>
    <t>2023-10-25 17:13:01     320171 AA1155/A60. Seatbelt Buckle, FRONT - RIGHT (1).JPG</t>
  </si>
  <si>
    <t>2023-10-25 17:13:01     294635 AA1155/A60. Seatbelt Buckle, FRONT - RIGHT (2).JPG</t>
  </si>
  <si>
    <t>2023-10-25 17:13:01     365989 AA1155/A60. Seatbelt Buckle, FRONT - RIGHT (3).JPG</t>
  </si>
  <si>
    <t>2023-10-25 17:13:01     760745 AA1155/A60. Seatbelt Buckle, FRONT - RIGHT (4).JPG</t>
  </si>
  <si>
    <t>2023-10-25 17:13:01     380617 AA1155/A61. Dome Light, FRONT PRIMARY ONE (1).JPG</t>
  </si>
  <si>
    <t>2023-10-25 17:13:01     416987 AA1155/A61. Dome Light, FRONT PRIMARY ONE (2).JPG</t>
  </si>
  <si>
    <t>2023-10-25 17:13:01     523051 AA1155/A61. Dome Light, FRONT PRIMARY ONE (3).JPG</t>
  </si>
  <si>
    <t>2023-10-25 17:13:01     784631 AA1155/A61. Dome Light, FRONT PRIMARY ONE (4).JPG</t>
  </si>
  <si>
    <t>2023-10-25 17:13:01     967237 AA1155/A61. Dome Light, FRONT PRIMARY ONE (5).JPG</t>
  </si>
  <si>
    <t>2023-10-25 17:13:01     525004 AA1155/A62. Airbag, STEERING WHEEL (1).JPG</t>
  </si>
  <si>
    <t>2023-10-25 17:13:01     538184 AA1155/A62. Airbag, STEERING WHEEL (2).JPG</t>
  </si>
  <si>
    <t>2023-10-25 17:13:01     549852 AA1155/A62. Airbag, STEERING WHEEL (3).JPG</t>
  </si>
  <si>
    <t>2023-10-25 17:13:01     655173 AA1155/A62. Airbag, STEERING WHEEL (4).JPG</t>
  </si>
  <si>
    <t>2023-10-25 17:13:01     339842 AA1155/A63. Seatbelt Retractor, FRONT - RIGHT (1).JPG</t>
  </si>
  <si>
    <t>2023-10-25 17:13:02     338608 AA1155/A63. Seatbelt Retractor, FRONT - RIGHT (2).JPG</t>
  </si>
  <si>
    <t>2023-10-25 17:13:02     472439 AA1155/A63. Seatbelt Retractor, FRONT - RIGHT (3).JPG</t>
  </si>
  <si>
    <t>2023-10-25 17:13:02     857728 AA1155/A63. Seatbelt Retractor, FRONT - RIGHT (4).JPG</t>
  </si>
  <si>
    <t>2023-10-25 17:13:02     426573 AA1155/A64. Mirror, REARVIEW (1).JPG</t>
  </si>
  <si>
    <t>2023-10-25 17:13:02     397025 AA1155/A64. Mirror, REARVIEW (2).JPG</t>
  </si>
  <si>
    <t>2023-10-25 17:13:02     379911 AA1155/A64. Mirror, REARVIEW (3).JPG</t>
  </si>
  <si>
    <t>2023-10-25 17:13:02     327722 AA1155/A64. Mirror, REARVIEW (4).JPG</t>
  </si>
  <si>
    <t>2023-10-25 17:13:02     434663 AA1155/A64. Mirror, REARVIEW (5).JPG</t>
  </si>
  <si>
    <t>2023-10-25 17:13:02     418207 AA1155/A64. Mirror, REARVIEW (6).JPG</t>
  </si>
  <si>
    <t>2023-10-25 17:13:02     438852 AA1155/A65. Vent, DASH - FRONT RIGHT (1).JPG</t>
  </si>
  <si>
    <t>2023-10-25 17:13:02     427174 AA1155/A65. Vent, DASH - FRONT RIGHT (2).JPG</t>
  </si>
  <si>
    <t>2023-10-25 17:13:02     442482 AA1155/A65. Vent, DASH - FRONT RIGHT (3).JPG</t>
  </si>
  <si>
    <t>2023-10-25 17:13:02     368568 AA1155/A65. Vent, DASH - FRONT RIGHT (4).JPG</t>
  </si>
  <si>
    <t>2023-10-25 17:13:02     313529 AA1155/A66. Seatbelt Buckle, FRONT - LEFT (1).JPG</t>
  </si>
  <si>
    <t>2023-10-25 17:13:02     302135 AA1155/A66. Seatbelt Buckle, FRONT - LEFT (2).JPG</t>
  </si>
  <si>
    <t>2023-10-25 17:13:02     339150 AA1155/A66. Seatbelt Buckle, FRONT - LEFT (3).JPG</t>
  </si>
  <si>
    <t>2023-10-25 17:13:02     431318 AA1155/A66. Seatbelt Buckle, FRONT - LEFT (4).JPG</t>
  </si>
  <si>
    <t>2023-10-25 17:13:02     355720 AA1155/A67. Headlight Switch (1).JPG</t>
  </si>
  <si>
    <t>2023-10-25 17:13:02     350157 AA1155/A67. Headlight Switch (2).JPG</t>
  </si>
  <si>
    <t>2023-10-25 17:13:02     575043 AA1155/A67. Headlight Switch (3).JPG</t>
  </si>
  <si>
    <t>2023-10-25 17:13:02     647927 AA1155/A67. Headlight Switch (4).JPG</t>
  </si>
  <si>
    <t>2023-10-25 17:13:02     402667 AA1155/A68. Seatbelt, Retractors REAR 2nd ROW - LEFT &amp; RIGHT SET2 (1).JPG</t>
  </si>
  <si>
    <t>2023-10-25 17:13:02     399877 AA1155/A68. Seatbelt, Retractors REAR 2nd ROW - LEFT &amp; RIGHT SET2 (2).JPG</t>
  </si>
  <si>
    <t>2023-10-25 17:13:02     473634 AA1155/A68. Seatbelt, Retractors REAR 2nd ROW - LEFT &amp; RIGHT SET2 (3).JPG</t>
  </si>
  <si>
    <t>2023-10-25 17:13:02     350947 AA1155/A69. I-Drive Navigation Radio Control Knob (1).JPG</t>
  </si>
  <si>
    <t>2023-10-25 17:13:02     136564 AA1155/A69. I-Drive Navigation Radio Control Knob (2).1.jpg</t>
  </si>
  <si>
    <t>2023-10-25 17:13:02     403006 AA1155/A69. I-Drive Navigation Radio Control Knob (2).JPG</t>
  </si>
  <si>
    <t>2023-10-25 17:13:02     353147 AA1155/A69. I-Drive Navigation Radio Control Knob (3).JPG</t>
  </si>
  <si>
    <t>2023-10-25 17:13:02     432178 AA1155/A69. I-Drive Navigation Radio Control Knob (4).JPG</t>
  </si>
  <si>
    <t>2023-10-25 17:13:02     349380 AA1155/A70. Seatbelt, Buckles SET3 (1).JPG</t>
  </si>
  <si>
    <t>2023-10-25 17:13:02     360367 AA1155/A70. Seatbelt, Buckles SET3 (2).JPG</t>
  </si>
  <si>
    <t>2023-10-25 17:13:02     493163 AA1155/A70. Seatbelt, Buckles SET3 (3).JPG</t>
  </si>
  <si>
    <t>2023-10-25 17:11:18     426947 AA1155/A71. Module &amp; Key SET A (ECM + BCM + Keyless Mod + FOB + LF Lock Cyl + Immobilizer Ring) (1).JPG</t>
  </si>
  <si>
    <t>2023-10-25 17:11:19     434464 AA1155/A71. Module &amp; Key SET A (ECM + BCM + Keyless Mod + FOB + LF Lock Cyl + Immobilizer Ring) (2).JPG</t>
  </si>
  <si>
    <t>2023-10-25 17:11:19     459448 AA1155/A71. Module &amp; Key SET A (ECM + BCM + Keyless Mod + FOB + LF Lock Cyl + Immobilizer Ring) (3).JPG</t>
  </si>
  <si>
    <t>2023-10-25 17:11:19     702248 AA1155/A71. Module &amp; Key SET A (ECM + BCM + Keyless Mod + FOB + LF Lock Cyl + Immobilizer Ring) (4).JPG</t>
  </si>
  <si>
    <t>2023-10-25 17:11:20     568431 AA1155/A71. Module &amp; Key SET A (ECM + BCM + Keyless Mod + FOB + LF Lock Cyl + Immobilizer Ring) (5).JPG</t>
  </si>
  <si>
    <t>2023-10-25 17:11:20     509954 AA1155/A71. Module &amp; Key SET A (ECM + BCM + Keyless Mod + FOB + LF Lock Cyl + Immobilizer Ring) (6).JPG</t>
  </si>
  <si>
    <t>2023-10-25 17:13:02     431326 AA1155/A72. Radio  Stereo Receiver Unit (1).JPG</t>
  </si>
  <si>
    <t>2023-10-25 17:13:02     461122 AA1155/A72. Radio  Stereo Receiver Unit (2).JPG</t>
  </si>
  <si>
    <t>2023-10-25 17:13:02     520557 AA1155/A72. Radio  Stereo Receiver Unit (3).JPG</t>
  </si>
  <si>
    <t>2023-10-25 17:13:02     684117 AA1155/A72. Radio  Stereo Receiver Unit (4).JPG</t>
  </si>
  <si>
    <t>2023-10-25 17:13:02    1023303 AA1155/A72. Radio  Stereo Receiver Unit (5).JPG</t>
  </si>
  <si>
    <t>2023-10-25 17:13:02     559358 AA1155/A73. Amplifier, HiFi (1).JPG</t>
  </si>
  <si>
    <t>2023-10-25 17:13:02     463612 AA1155/A73. Amplifier, HiFi (2).JPG</t>
  </si>
  <si>
    <t>2023-10-25 17:13:02     635751 AA1155/A73. Amplifier, HiFi (3).JPG</t>
  </si>
  <si>
    <t>2023-10-25 17:13:03    1016065 AA1155/A73. Amplifier, HiFi (4).JPG</t>
  </si>
  <si>
    <t>2023-10-25 17:13:03     542274 AA1155/A74. ABS ICM Integrated Chassis Management SRS Control Module (1).JPG</t>
  </si>
  <si>
    <t>2023-10-25 17:13:03     512205 AA1155/A74. ABS ICM Integrated Chassis Management SRS Control Module (2).JPG</t>
  </si>
  <si>
    <t>2023-10-25 17:13:03     617706 AA1155/A74. ABS ICM Integrated Chassis Management SRS Control Module (3).JPG</t>
  </si>
  <si>
    <t>2023-10-25 17:13:03     417279 AA1155/A74. ABS ICM Integrated Chassis Management SRS Control Module (4).JPG</t>
  </si>
  <si>
    <t>2023-10-25 17:13:03     552113 AA1155/A75. Voltage Converter Control Module (1).JPG</t>
  </si>
  <si>
    <t>2023-10-25 17:13:03     508584 AA1155/A75. Voltage Converter Control Module (2).JPG</t>
  </si>
  <si>
    <t>2023-10-25 17:13:03     908332 AA1155/A75. Voltage Converter Control Module (3).JPG</t>
  </si>
  <si>
    <t>2023-10-25 17:13:03    1142402 AA1155/A75. Voltage Converter Control Module (4).JPG</t>
  </si>
  <si>
    <t>2023-10-25 17:13:03     197166 AA1155/A76. Camera, REAR Backup Camera (1).JPG</t>
  </si>
  <si>
    <t>2023-10-25 17:13:03     246958 AA1155/A76. Camera, REAR Backup Camera (2).JPG</t>
  </si>
  <si>
    <t>2023-10-25 17:13:03     250404 AA1155/A76. Camera, REAR Backup Camera (3).JPG</t>
  </si>
  <si>
    <t>2023-10-25 17:13:03     450687 AA1155/A76. Camera, REAR Backup Camera (4).JPG</t>
  </si>
  <si>
    <t>2023-10-25 17:13:03     552504 AA1155/A77. Tailgate Trunk Control Module (1).JPG</t>
  </si>
  <si>
    <t>2023-10-25 17:13:03     468874 AA1155/A77. Tailgate Trunk Control Module (2).JPG</t>
  </si>
  <si>
    <t>2023-10-25 17:13:03     336945 AA1155/A77. Tailgate Trunk Control Module (3).JPG</t>
  </si>
  <si>
    <t>2023-10-25 17:13:03     418863 AA1155/A78. Park Assist Control Module PDC (1).JPG</t>
  </si>
  <si>
    <t>2023-10-25 17:13:03     691193 AA1155/A78. Park Assist Control Module PDC (2).JPG</t>
  </si>
  <si>
    <t>2023-10-25 17:13:03     390161 AA1155/A78. Park Assist Control Module PDC (3).JPG</t>
  </si>
  <si>
    <t>2023-10-25 17:13:03     579224 AA1155/A79. Speedometer (1).JPG</t>
  </si>
  <si>
    <t>2023-10-25 17:13:03     346024 AA1155/A79. Speedometer (2).jpg</t>
  </si>
  <si>
    <t>2023-10-25 17:13:03     581424 AA1155/A79. Speedometer (3).JPG</t>
  </si>
  <si>
    <t>2023-10-25 17:13:03     523995 AA1155/A79. Speedometer (4).JPG</t>
  </si>
  <si>
    <t>2023-10-25 17:13:03     589421 AA1155/A79. Speedometer (5).JPG</t>
  </si>
  <si>
    <t>2023-10-25 17:13:03     924832 AA1155/A79. Speedometer (6).JPG</t>
  </si>
  <si>
    <t>2023-10-25 17:13:03     239116 AA1155/A80. Headrest, FRONT - RIGHT (1).JPG</t>
  </si>
  <si>
    <t>2023-10-25 17:13:03     212594 AA1155/A80. Headrest, FRONT - RIGHT (2).JPG</t>
  </si>
  <si>
    <t>2023-10-25 17:13:03     359817 AA1155/A80. Headrest, FRONT - RIGHT (3).JPG</t>
  </si>
  <si>
    <t>2023-10-25 17:13:03     433516 AA1155/A80. Headrest, FRONT - RIGHT (4).JPG</t>
  </si>
  <si>
    <t>2023-10-25 17:13:03     393280 AA1155/A80. Headrest, FRONT - RIGHT (5).JPG</t>
  </si>
  <si>
    <t>2023-10-25 17:13:03     402208 AA1155/A80. Headrest, FRONT - RIGHT (6).JPG</t>
  </si>
  <si>
    <t>2023-10-25 17:13:03     347675 AA1155/A81. Headrests, REAR 2nd ROW SET 3 (1).JPG</t>
  </si>
  <si>
    <t>2023-10-25 17:13:03     386586 AA1155/A81. Headrests, REAR 2nd ROW SET 3 (2).JPG</t>
  </si>
  <si>
    <t>2023-10-25 17:13:03     367810 AA1155/A81. Headrests, REAR 2nd ROW SET 3 (3).JPG</t>
  </si>
  <si>
    <t>2023-10-25 17:13:03     329262 AA1155/A81. Headrests, REAR 2nd ROW SET 3 (4).JPG</t>
  </si>
  <si>
    <t>2023-10-25 17:13:03     384117 AA1155/A81. Headrests, REAR 2nd ROW SET 3 (5).JPG</t>
  </si>
  <si>
    <t>2023-10-25 17:13:03     306990 AA1155/A82. Headrest, FRONT - LEFT (1).JPG</t>
  </si>
  <si>
    <t>2023-10-25 17:13:03     264302 AA1155/A82. Headrest, FRONT - LEFT (2).JPG</t>
  </si>
  <si>
    <t>2023-10-25 17:13:03     481512 AA1155/A82. Headrest, FRONT - LEFT (3).JPG</t>
  </si>
  <si>
    <t>2023-10-25 17:13:03     401586 AA1155/A82. Headrest, FRONT - LEFT (4).JPG</t>
  </si>
  <si>
    <t>2023-10-25 17:13:04     310052 AA1155/A82. Headrest, FRONT - LEFT (5).JPG</t>
  </si>
  <si>
    <t>2023-10-25 17:13:04     660487 AA1155/A82. Headrest, FRONT - LEFT (6).JPG</t>
  </si>
  <si>
    <t>2023-10-25 17:13:04     592071 AA1155/A83. Headlight, FRONT - LEFT (1).JPG</t>
  </si>
  <si>
    <t>2023-10-25 17:13:04     109680 AA1155/A83. Headlight, FRONT - LEFT (2).jpg</t>
  </si>
  <si>
    <t>2023-10-25 17:13:04     549320 AA1155/A83. Headlight, FRONT - LEFT (3).JPG</t>
  </si>
  <si>
    <t>2023-10-25 17:13:04     534340 AA1155/A83. Headlight, FRONT - LEFT (4).JPG</t>
  </si>
  <si>
    <t>2023-10-25 17:13:04    1052407 AA1155/A83. Headlight, FRONT - LEFT (5).JPG</t>
  </si>
  <si>
    <t>2023-10-25 17:13:04    1462254 AA1155/A84. Headlight, FRONT - RIGHT (FLAW) (1).JPG</t>
  </si>
  <si>
    <t>2023-10-25 17:13:04    1240329 AA1155/A84. Headlight, FRONT - RIGHT (FLAW) (2).JPG</t>
  </si>
  <si>
    <t>2023-10-25 17:13:04    1499935 AA1155/A84. Headlight, FRONT - RIGHT (FLAW) (3).JPG</t>
  </si>
  <si>
    <t>2023-10-25 17:13:04    1287023 AA1155/A84. Headlight, FRONT - RIGHT (FLAW) (4).JPG</t>
  </si>
  <si>
    <t>2023-10-25 17:13:04    6843431 AA1155/A84. Headlight, FRONT - RIGHT (FLAW) (5).JPG</t>
  </si>
  <si>
    <t>2023-10-25 17:13:04    6048882 AA1155/A84. Headlight, FRONT - RIGHT (FLAW) (6).JPG</t>
  </si>
  <si>
    <t>2023-10-25 17:13:04     512950 AA1155/A85. Glove Box Assembly WITH Handle, FRONT RIGHT PRIMARY (1).JPG</t>
  </si>
  <si>
    <t>2023-10-25 17:13:04     636288 AA1155/A85. Glove Box Assembly WITH Handle, FRONT RIGHT PRIMARY (2).JPG</t>
  </si>
  <si>
    <t>2023-10-25 17:13:04     609796 AA1155/A85. Glove Box Assembly WITH Handle, FRONT RIGHT PRIMARY (3).JPG</t>
  </si>
  <si>
    <t>2023-10-25 17:13:04     512449 AA1155/A85. Glove Box Assembly WITH Handle, FRONT RIGHT PRIMARY (4).JPG</t>
  </si>
  <si>
    <t>2023-10-25 17:13:04    1247138 AA1155/A85. Glove Box Assembly WITH Handle, FRONT RIGHT PRIMARY (5).JPG</t>
  </si>
  <si>
    <t>2023-10-25 17:13:04     531167 AA1155/A86. Seat Cushions, FRONT RIGHT - UPPER (1).JPG</t>
  </si>
  <si>
    <t>2023-10-25 17:13:04     542444 AA1155/A86. Seat Cushions, FRONT RIGHT - UPPER (2).JPG</t>
  </si>
  <si>
    <t>2023-10-25 17:13:05     577620 AA1155/A86. Seat Cushions, FRONT RIGHT - UPPER (3).JPG</t>
  </si>
  <si>
    <t>2023-10-25 17:13:04     515766 AA1155/A86. Seat Cushions, FRONT RIGHT - UPPER (4).JPG</t>
  </si>
  <si>
    <t>2023-10-25 17:13:05     513575 AA1155/A86. Seat Cushions, FRONT RIGHT - UPPER (5).JPG</t>
  </si>
  <si>
    <t>2023-10-25 17:13:04     896704 AA1155/A86. Seat Cushions, FRONT RIGHT - UPPER (6).JPG</t>
  </si>
  <si>
    <t>2023-10-25 17:13:05     464580 AA1155/A87. Wheel, FRONT LEFT or RIGHT (marked 2) (1).JPG</t>
  </si>
  <si>
    <t>2023-10-25 17:13:04     540069 AA1155/A87. Wheel, FRONT LEFT or RIGHT (marked 2) (2).JPG</t>
  </si>
  <si>
    <t>2023-10-25 17:13:04     543765 AA1155/A87. Wheel, FRONT LEFT or RIGHT (marked 2) (3).JPG</t>
  </si>
  <si>
    <t>2023-10-25 17:13:04     556066 AA1155/A87. Wheel, FRONT LEFT or RIGHT (marked 2) (4).JPG</t>
  </si>
  <si>
    <t>2023-10-25 17:13:04     530641 AA1155/A87. Wheel, FRONT LEFT or RIGHT (marked 2) (5).JPG</t>
  </si>
  <si>
    <t>2023-10-25 17:13:04     890902 AA1155/A87. Wheel, FRONT LEFT or RIGHT (marked 2) (6).JPG</t>
  </si>
  <si>
    <t>2023-10-25 17:13:05     868802 AA1155/A87. Wheel, FRONT LEFT or RIGHT (marked 2) (7).JPG</t>
  </si>
  <si>
    <t>2023-10-25 17:13:04    1000124 AA1155/A87. Wheel, FRONT LEFT or RIGHT (marked 2) (8).JPG</t>
  </si>
  <si>
    <t>2023-10-25 17:13:05     588447 AA1155/A87. Wheel, FRONT LEFT or RIGHT (marked 2) (9).JPG</t>
  </si>
  <si>
    <t>2023-10-25 17:13:05     465129 AA1155/A88. Wheel, FRONT LEFT or RIGHT (marked 3) (1).JPG</t>
  </si>
  <si>
    <t>2023-10-25 17:13:04     653631 AA1155/A88. Wheel, FRONT LEFT or RIGHT (marked 3) (2).JPG</t>
  </si>
  <si>
    <t>2023-10-25 17:13:05     575203 AA1155/A88. Wheel, FRONT LEFT or RIGHT (marked 3) (3).JPG</t>
  </si>
  <si>
    <t>2023-10-25 17:13:04     597393 AA1155/A88. Wheel, FRONT LEFT or RIGHT (marked 3) (4).JPG</t>
  </si>
  <si>
    <t>2023-10-25 17:13:05     449545 AA1155/A88. Wheel, FRONT LEFT or RIGHT (marked 3) (5).JPG</t>
  </si>
  <si>
    <t>2023-10-25 17:13:04    1125723 AA1155/A88. Wheel, FRONT LEFT or RIGHT (marked 3) (6).JPG</t>
  </si>
  <si>
    <t>2023-10-25 17:13:04    1162911 AA1155/A88. Wheel, FRONT LEFT or RIGHT (marked 3) (7).JPG</t>
  </si>
  <si>
    <t>2023-10-25 17:13:05     953143 AA1155/A88. Wheel, FRONT LEFT or RIGHT (marked 3) (8).JPG</t>
  </si>
  <si>
    <t>2023-10-25 17:13:05     866954 AA1155/A88. Wheel, FRONT LEFT or RIGHT (marked 3) (9).JPG</t>
  </si>
  <si>
    <t>2023-10-25 17:13:05     573162 AA1155/A89. Wheel, REAR LEFT or RIGHT (marked 1) (1).JPG</t>
  </si>
  <si>
    <t>2023-10-25 17:13:05     513177 AA1155/A89. Wheel, REAR LEFT or RIGHT (marked 1) (2).JPG</t>
  </si>
  <si>
    <t>2023-10-25 17:13:05     866123 AA1155/A89. Wheel, REAR LEFT or RIGHT (marked 1) (3).JPG</t>
  </si>
  <si>
    <t>2023-10-25 17:13:05     524504 AA1155/A89. Wheel, REAR LEFT or RIGHT (marked 1) (4).JPG</t>
  </si>
  <si>
    <t>2023-10-25 17:13:05     468575 AA1155/A89. Wheel, REAR LEFT or RIGHT (marked 1) (5).JPG</t>
  </si>
  <si>
    <t>2023-10-25 17:13:05    1120054 AA1155/A89. Wheel, REAR LEFT or RIGHT (marked 1) (6).JPG</t>
  </si>
  <si>
    <t>2023-10-25 17:13:05    1226805 AA1155/A89. Wheel, REAR LEFT or RIGHT (marked 1) (7).JPG</t>
  </si>
  <si>
    <t>2023-10-25 17:13:05     985716 AA1155/A89. Wheel, REAR LEFT or RIGHT (marked 1) (8).JPG</t>
  </si>
  <si>
    <t>2023-10-25 17:13:05     903174 AA1155/A89. Wheel, REAR LEFT or RIGHT (marked 1) (9).JPG</t>
  </si>
  <si>
    <t>2023-10-25 17:13:05     755130 AA1155/A90. Radiator Fan &amp; Shroud Assembly (1).JPG</t>
  </si>
  <si>
    <t>2023-10-25 17:13:05     727200 AA1155/A90. Radiator Fan &amp; Shroud Assembly (2).JPG</t>
  </si>
  <si>
    <t>2023-10-25 17:13:05     664269 AA1155/A90. Radiator Fan &amp; Shroud Assembly (3).JPG</t>
  </si>
  <si>
    <t>2023-10-25 17:13:05     707107 AA1155/A90. Radiator Fan &amp; Shroud Assembly (4).JPG</t>
  </si>
  <si>
    <t>2023-10-25 17:13:05     708486 AA1155/A90. Radiator Fan &amp; Shroud Assembly (5).JPG</t>
  </si>
  <si>
    <t>2023-10-25 17:13:05    1424928 AA1155/A90. Radiator Fan &amp; Shroud Assembly (6).JPG</t>
  </si>
  <si>
    <t>2023-10-25 17:13:05    1114755 AA1155/A90. Radiator Fan &amp; Shroud Assembly (7).JPG</t>
  </si>
  <si>
    <t>2023-10-25 17:13:05    1091846 AA1155/A90. Radiator Fan &amp; Shroud Assembly (8).JPG</t>
  </si>
  <si>
    <t>2023-10-25 17:13:05     397213 AA1155/A91. Spoiler with 3rd Brake Light IN (1).JPG</t>
  </si>
  <si>
    <t>2023-10-25 17:13:06     404549 AA1155/A91. Spoiler with 3rd Brake Light IN (2).JPG</t>
  </si>
  <si>
    <t>2023-10-25 17:13:06     266653 AA1155/A91. Spoiler with 3rd Brake Light IN (3).JPG</t>
  </si>
  <si>
    <t>2023-10-25 17:13:05     437547 AA1155/A91. Spoiler with 3rd Brake Light IN (4).JPG</t>
  </si>
  <si>
    <t>2023-10-25 17:13:06     436289 AA1155/A91. Spoiler with 3rd Brake Light IN (5).JPG</t>
  </si>
  <si>
    <t>2023-10-25 17:13:06     911012 AA1155/A91. Spoiler with 3rd Brake Light IN (6).JPG</t>
  </si>
  <si>
    <t>2023-10-25 17:13:06     946321 AA1155/A91. Spoiler with 3rd Brake Light IN (7).JPG</t>
  </si>
  <si>
    <t>2023-10-25 17:13:06     350984 AA1155/A92. Torque Converter (1).JPG</t>
  </si>
  <si>
    <t>2023-10-25 17:13:05     371017 AA1155/A92. Torque Converter (2).JPG</t>
  </si>
  <si>
    <t>2023-10-25 17:13:06     532130 AA1155/A92. Torque Converter (3).JPG</t>
  </si>
  <si>
    <t>2023-10-25 17:13:05     723419 AA1155/A92. Torque Converter (4).JPG</t>
  </si>
  <si>
    <t>2023-10-25 17:13:06     310106 AA1155/A93. Steering Gear Rack &amp; Pinion (1).JPG</t>
  </si>
  <si>
    <t>2023-10-25 17:13:06     321219 AA1155/A93. Steering Gear Rack &amp; Pinion (2).JPG</t>
  </si>
  <si>
    <t>2023-10-25 17:13:06     300552 AA1155/A93. Steering Gear Rack &amp; Pinion (3).JPG</t>
  </si>
  <si>
    <t>2023-10-25 17:13:06    1001928 AA1155/A93. Steering Gear Rack &amp; Pinion (4).JPG</t>
  </si>
  <si>
    <t>2023-10-25 17:13:06     779544 AA1155/A93. Steering Gear Rack &amp; Pinion (5).JPG</t>
  </si>
  <si>
    <t>2023-10-25 17:13:05     950433 AA1155/A93. Steering Gear Rack &amp; Pinion (6).JPG</t>
  </si>
  <si>
    <t>2023-10-25 17:13:06     760365 AA1155/A93. Steering Gear Rack &amp; Pinion (7).JPG</t>
  </si>
  <si>
    <t>2023-10-25 17:13:06     221571 AA1155/A94. Driveshaft, REAR, RWD (1).JPG</t>
  </si>
  <si>
    <t>2023-10-25 17:13:06     257866 AA1155/A94. Driveshaft, REAR, RWD (2).JPG</t>
  </si>
  <si>
    <t>2023-10-25 17:13:06     251793 AA1155/A94. Driveshaft, REAR, RWD (3).JPG</t>
  </si>
  <si>
    <t>2023-10-25 17:13:05     234163 AA1155/A94. Driveshaft, REAR, RWD (4).JPG</t>
  </si>
  <si>
    <t>2023-10-25 17:13:05     526146 AA1155/A94. Driveshaft, REAR, RWD (5).JPG</t>
  </si>
  <si>
    <t>2023-10-25 17:13:05     582614 AA1155/A95. Transmission Oil Pump (1).JPG</t>
  </si>
  <si>
    <t>2023-10-25 17:13:05     629709 AA1155/A95. Transmission Oil Pump (2).JPG</t>
  </si>
  <si>
    <t>2023-10-25 17:13:05     770451 AA1155/A95. Transmission Oil Pump (3).JPG</t>
  </si>
  <si>
    <t>2023-10-25 17:13:05     549498 AA1155/A95. Transmission Oil Pump (4).JPG</t>
  </si>
  <si>
    <t>2023-10-25 17:13:05     649713 AA1155/A95. Transmission Oil Pump (5).JPG</t>
  </si>
  <si>
    <t>2023-10-25 17:13:05    1195299 AA1155/A95. Transmission Oil Pump (6).JPG</t>
  </si>
  <si>
    <t>2023-10-25 17:13:05     698309 AA1155/A96. Valve Body (1).JPG</t>
  </si>
  <si>
    <t>2023-10-25 17:13:05     787858 AA1155/A96. Valve Body (2).JPG</t>
  </si>
  <si>
    <t>2023-10-25 17:13:05     629854 AA1155/A96. Valve Body (3).JPG</t>
  </si>
  <si>
    <t>2023-10-25 17:13:05     774928 AA1155/A96. Valve Body (4).JPG</t>
  </si>
  <si>
    <t>2023-10-25 17:13:05     709604 AA1155/A96. Valve Body (5).JPG</t>
  </si>
  <si>
    <t>2023-10-25 17:13:05     890117 AA1155/A96. Valve Body (6).JPG</t>
  </si>
  <si>
    <t>2023-10-25 17:13:05     440376 AA1155/A97. Sunroof, Glass - PANORAMIC, FRONT (1).JPG</t>
  </si>
  <si>
    <t>2023-10-25 17:13:05     404126 AA1155/A97. Sunroof, Glass - PANORAMIC, FRONT (2).JPG</t>
  </si>
  <si>
    <t>2023-10-25 17:13:05     411717 AA1155/A97. Sunroof, Glass - PANORAMIC, FRONT (3).JPG</t>
  </si>
  <si>
    <t>2023-10-25 17:13:05     465307 AA1155/A97. Sunroof, Glass - PANORAMIC, FRONT (4).JPG</t>
  </si>
  <si>
    <t>2023-10-25 17:13:05     317175 AA1155/A97. Sunroof, Glass - PANORAMIC, FRONT (5).JPG</t>
  </si>
  <si>
    <t>2023-10-25 17:13:05    1160873 AA1155/A97. Sunroof, Glass - PANORAMIC, FRONT (6).JPG</t>
  </si>
  <si>
    <t>2023-10-25 17:13:06     412223 AA1155/A98. Sunroof, Glass - PANORAMIC, REAR (1).JPG</t>
  </si>
  <si>
    <t>2023-10-25 17:13:06     430268 AA1155/A98. Sunroof, Glass - PANORAMIC, REAR (2).JPG</t>
  </si>
  <si>
    <t>2023-10-25 17:13:06     422476 AA1155/A98. Sunroof, Glass - PANORAMIC, REAR (3).JPG</t>
  </si>
  <si>
    <t>2023-10-25 17:13:06     547345 AA1155/A98. Sunroof, Glass - PANORAMIC, REAR (4).JPG</t>
  </si>
  <si>
    <t>2023-10-25 17:13:06     411363 AA1155/A98. Sunroof, Glass - PANORAMIC, REAR (5).JPG</t>
  </si>
  <si>
    <t>2023-10-25 17:13:06    1579111 AA1155/A98. Sunroof, Glass - PANORAMIC, REAR (6).JPG</t>
  </si>
  <si>
    <t>2023-10-25 17:13:06     502405 AA1155/A99. Control Arms, REAR - LEFT Large Control Arm (1).JPG</t>
  </si>
  <si>
    <t>2023-10-25 17:13:06     527672 AA1155/A99. Control Arms, REAR - LEFT Large Control Arm (2).JPG</t>
  </si>
  <si>
    <t>2023-10-25 17:13:06     636824 AA1155/A99. Control Arms, REAR - LEFT Large Control Arm (3).JPG</t>
  </si>
  <si>
    <t>2023-10-25 17:13:06     418004 AA1155/A99. Control Arms, REAR - LEFT Large Control Arm (4).JPG</t>
  </si>
  <si>
    <t>2023-10-25 17:13:06    1189453 AA1155/A99. Control Arms, REAR - LEFT Large Control Arm (5).JPG</t>
  </si>
  <si>
    <t>aws s3 ls s3://viking-pictures/AA1155 --recursive</t>
  </si>
  <si>
    <r>
      <t>AWD CloudShell COMMAND to get it to list all pictures in a folder (</t>
    </r>
    <r>
      <rPr>
        <sz val="11"/>
        <color rgb="FFFF0000"/>
        <rFont val="Calibri"/>
        <family val="2"/>
        <scheme val="minor"/>
      </rPr>
      <t>just change the stock #</t>
    </r>
    <r>
      <rPr>
        <sz val="11"/>
        <color theme="1"/>
        <rFont val="Calibri"/>
        <family val="2"/>
        <scheme val="minor"/>
      </rPr>
      <t>):</t>
    </r>
  </si>
  <si>
    <t>Pictures per previous tab</t>
  </si>
  <si>
    <t>Pictures in current tab</t>
  </si>
  <si>
    <t>Difference (should be ZERO)</t>
  </si>
  <si>
    <t>ENF 10/25/23: small enough don't care</t>
  </si>
  <si>
    <t>Hyperlink</t>
  </si>
  <si>
    <t>&amp; to %26</t>
  </si>
  <si>
    <t>Plus to %2B</t>
  </si>
  <si>
    <t>Rear Arm Rest &amp; Cup Holder</t>
  </si>
  <si>
    <t>" to BLANK</t>
  </si>
  <si>
    <t>Battery Cable, NEGATIVE With IBS Module ON</t>
  </si>
  <si>
    <t>IF PAINTED: Color</t>
  </si>
  <si>
    <t>IF PAINTED: Paint Color</t>
  </si>
  <si>
    <t>IF PAINTED: Paint Code</t>
  </si>
  <si>
    <t>IF PAINTED: Finish</t>
  </si>
  <si>
    <t>Painted</t>
  </si>
  <si>
    <t>Has Color</t>
  </si>
  <si>
    <t>[YES-ENTER]</t>
  </si>
  <si>
    <t>Black</t>
  </si>
  <si>
    <t>IF SEAT FABRIC: Color</t>
  </si>
  <si>
    <t>IF SEAT FABRIC: Material</t>
  </si>
  <si>
    <t>IF SEAT FABRIC: Color &amp; Material (CODE)</t>
  </si>
  <si>
    <t>IF SEAT FABRIC: Color &amp; Material Code</t>
  </si>
  <si>
    <t>Viking ID</t>
  </si>
  <si>
    <t>Int. Cnt.</t>
  </si>
  <si>
    <t>129-52061-1</t>
  </si>
  <si>
    <t>129-52061-2</t>
  </si>
  <si>
    <t>129-52063-1</t>
  </si>
  <si>
    <t>129-52063-2</t>
  </si>
  <si>
    <t>129-52060-1</t>
  </si>
  <si>
    <t>129-52060-2</t>
  </si>
  <si>
    <t>129-52062-1</t>
  </si>
  <si>
    <t>129-52062-2</t>
  </si>
  <si>
    <t>300-70932-1</t>
  </si>
  <si>
    <t>300-70932-2</t>
  </si>
  <si>
    <t>300-70932-3</t>
  </si>
  <si>
    <t>610-50203-1</t>
  </si>
  <si>
    <t>610-50203-2</t>
  </si>
  <si>
    <t>304-999565-1</t>
  </si>
  <si>
    <t>304-999565-2</t>
  </si>
  <si>
    <t>304-999565-3</t>
  </si>
  <si>
    <t>674-60229-1</t>
  </si>
  <si>
    <t>674-60229-2</t>
  </si>
  <si>
    <t>674-60229-3</t>
  </si>
  <si>
    <t>104-60056A-1</t>
  </si>
  <si>
    <t>104-60056A-2</t>
  </si>
  <si>
    <t>104-60056B-1</t>
  </si>
  <si>
    <t>104-60056B-2</t>
  </si>
  <si>
    <t>104-60058A-1</t>
  </si>
  <si>
    <t>104-60058A-2</t>
  </si>
  <si>
    <t>104-60058B-1</t>
  </si>
  <si>
    <t>104-60058B-2</t>
  </si>
  <si>
    <t>104-60058C-1</t>
  </si>
  <si>
    <t>104-60058C-2</t>
  </si>
  <si>
    <t>104-60058D-1</t>
  </si>
  <si>
    <t>104-60058D-2</t>
  </si>
  <si>
    <t>104-60041C-1</t>
  </si>
  <si>
    <t>104-60041C-2</t>
  </si>
  <si>
    <t>w/ &amp; w/o night vision, w/ chrome surround, w/ aluminum matte center fins, RIGHT</t>
  </si>
  <si>
    <t>w/ &amp; w/o night vision, w/ chrome surround, w/ chrome edge center fins, RIGHT</t>
  </si>
  <si>
    <t>w/ &amp; w/o night vision, w/ chrome surround, w/ black center fins, RIGHT</t>
  </si>
  <si>
    <t>590-62356-1</t>
  </si>
  <si>
    <t>590-62356-2</t>
  </si>
  <si>
    <t>591-74854-1</t>
  </si>
  <si>
    <t>591-74854-2</t>
  </si>
  <si>
    <t>210-53562-1</t>
  </si>
  <si>
    <t>210-53562-2</t>
  </si>
  <si>
    <t>512-59488-1</t>
  </si>
  <si>
    <t>512-59488-2</t>
  </si>
  <si>
    <t>512-59487-1</t>
  </si>
  <si>
    <t>512-59487-2</t>
  </si>
  <si>
    <t>527-61348-1</t>
  </si>
  <si>
    <t>527-61348-2</t>
  </si>
  <si>
    <t>527-61352-1</t>
  </si>
  <si>
    <t>527-61352-2</t>
  </si>
  <si>
    <t>527-61354-1</t>
  </si>
  <si>
    <t>527-61354-2</t>
  </si>
  <si>
    <t>527-61356-1</t>
  </si>
  <si>
    <t>527-61356-2</t>
  </si>
  <si>
    <t>560-86054-1</t>
  </si>
  <si>
    <t>560-86054-2</t>
  </si>
  <si>
    <t>Specific Tag</t>
  </si>
  <si>
    <t>This is SET A</t>
  </si>
  <si>
    <t>Headrest, FRONT - LEFT (ACTIVE)</t>
  </si>
  <si>
    <t>Headrest, FRONT - LEFT (STANDARD)</t>
  </si>
  <si>
    <t>Headrest, FRONT - RIGHT (STANDARD)</t>
  </si>
  <si>
    <t>Headrest, FRONT - RIGHT (ACTIVE)</t>
  </si>
  <si>
    <t>Seatbelt, Buckles REAR 2ND ROW - SET 3</t>
  </si>
  <si>
    <t>Pic</t>
  </si>
  <si>
    <t>511-50148-1</t>
  </si>
  <si>
    <t>511-50148-2</t>
  </si>
  <si>
    <t>36116858528, 6858528</t>
  </si>
  <si>
    <t>5187100, 5187200, 5187600, 927047406, 7292182, 7292181, 5187500, 1236964, 1236967</t>
  </si>
  <si>
    <t>7596908, 7645875</t>
  </si>
  <si>
    <t>1034335, 1026516</t>
  </si>
  <si>
    <t>72129311690, 9311690</t>
  </si>
  <si>
    <t>72129311683, 9311683</t>
  </si>
  <si>
    <t>72127325697, 7325697</t>
  </si>
  <si>
    <t>64119349769, 9349769, 9276112</t>
  </si>
  <si>
    <t>72117343637, 7343637</t>
  </si>
  <si>
    <t>72117343638, 7343638</t>
  </si>
  <si>
    <t>7318376, 7318375</t>
  </si>
  <si>
    <t>7318459, 7318063</t>
  </si>
  <si>
    <t>6853747, 6854863</t>
  </si>
  <si>
    <t>6853747, 6752797</t>
  </si>
  <si>
    <t>7294469, 7361878</t>
  </si>
  <si>
    <t>1090310089, 1090110045</t>
  </si>
  <si>
    <t>A123</t>
  </si>
  <si>
    <t>12637591534, 7591534</t>
  </si>
  <si>
    <t>Integrated Power Module</t>
  </si>
  <si>
    <t>513-50296-1</t>
  </si>
  <si>
    <t>513-50296-2</t>
  </si>
  <si>
    <t>513-50295-1</t>
  </si>
  <si>
    <t>513-50295-2</t>
  </si>
  <si>
    <t>Sub-Chassis</t>
  </si>
  <si>
    <t>F15 ALL</t>
  </si>
  <si>
    <t>14-18 3.0T N55</t>
  </si>
  <si>
    <t>14-18 3.0T N55 (RWD &amp; AWD)</t>
  </si>
  <si>
    <t>14-18 3.0T N55 &amp; N57</t>
  </si>
  <si>
    <t>17-18 X5 3.0T N55</t>
  </si>
  <si>
    <t>14-16 X5 3.0T N55</t>
  </si>
  <si>
    <t>Fuel Injector SINGLE</t>
  </si>
  <si>
    <t>Fuel Injector</t>
  </si>
  <si>
    <t>Running Board &amp; Mount Bracket, LEFT</t>
  </si>
  <si>
    <t>Running Board &amp; Mount Bracket, RIGHT</t>
  </si>
  <si>
    <t>Running Board</t>
  </si>
  <si>
    <t>Bumper Impact Reinforcement Bar, REAR</t>
  </si>
  <si>
    <t>Bumper Bar and Headlight Mounting Bracket, LEFT</t>
  </si>
  <si>
    <t>Bumper Bar and Headlight Mounting Bracket, RIGHT</t>
  </si>
  <si>
    <t>on light unless bad, x2 per light sell SET2, toss singles</t>
  </si>
  <si>
    <t>Xenon</t>
  </si>
  <si>
    <t>black plastic w/ vents &amp; visible circuit board</t>
  </si>
  <si>
    <t>Headlight, XENON Adaptive Control Module</t>
  </si>
  <si>
    <t>Headlight, XENON Ballast Control Module, XENON</t>
  </si>
  <si>
    <t>14-18 3.0T N55 &amp; 4.4TT N63T</t>
  </si>
  <si>
    <t>Water Pump, Electric (small, plastic)</t>
  </si>
  <si>
    <t>Water Pump, Electric (big, aluminum)</t>
  </si>
  <si>
    <t>leave on bracket</t>
  </si>
  <si>
    <t>14-18 4.4TT N63T</t>
  </si>
  <si>
    <t>SET/8</t>
  </si>
  <si>
    <t>4.4TT gas, w/ adaptive M suspension, w/ dynamic control, SET/2</t>
  </si>
  <si>
    <t>4.4TT gas, w/ adaptive M suspension, w/ dynamic control, LEFT</t>
  </si>
  <si>
    <t>4.4TT gas, w/ adaptive M suspension, w/ dynamic control, RIGHT</t>
  </si>
  <si>
    <t>14-18 3.0T N55 (RWD &amp; AWD), 14-18 4.4TT N63T</t>
  </si>
  <si>
    <t>4.4TT gas, w/o adaptive M suspension, SET/2</t>
  </si>
  <si>
    <t>4.4TT gas, w/o adaptive M suspension, LEFT</t>
  </si>
  <si>
    <t>4.4TT gas, w/o adaptive M suspension, RIGHT</t>
  </si>
  <si>
    <t>527-61350-1</t>
  </si>
  <si>
    <t>527-61350-2</t>
  </si>
  <si>
    <t>527-61358-1</t>
  </si>
  <si>
    <t>527-61358-2</t>
  </si>
  <si>
    <t>Engine Cover</t>
  </si>
  <si>
    <t>Engine Cover, Primary</t>
  </si>
  <si>
    <t>Engine Cover, Trim Piece With Emblem</t>
  </si>
  <si>
    <t>13717634293, 7634293</t>
  </si>
  <si>
    <t>located on air filter box (toss that, but keep trim)</t>
  </si>
  <si>
    <t>Air Filter Engine Cover Assembly</t>
  </si>
  <si>
    <t>toss this, but keep the top trim w/ engine cover</t>
  </si>
  <si>
    <t>Steering Gear Rack &amp; Pinion Wire Harness</t>
  </si>
  <si>
    <t>Intake Manifold, LEFT</t>
  </si>
  <si>
    <t>Intake Manifold, RIGHT</t>
  </si>
  <si>
    <t>11617601434, 7601434</t>
  </si>
  <si>
    <t>11617601432, 7601432</t>
  </si>
  <si>
    <t>SET2, toss both if 1 bad</t>
  </si>
  <si>
    <t>1270. 14 BMW X5 SUV (F15) 4.4TT (N63) Auto (Sophisto Gray) AWD (71781)</t>
  </si>
  <si>
    <t>CoPart - Enhanced (Has Keys)</t>
  </si>
  <si>
    <t>Minor Dent / Scratches</t>
  </si>
  <si>
    <t>Mechanical</t>
  </si>
  <si>
    <t>Nov 23'</t>
  </si>
  <si>
    <t>5UXKR6C59E0J71781</t>
  </si>
  <si>
    <t>AJR 10/30/2023</t>
  </si>
  <si>
    <t>Zero</t>
  </si>
  <si>
    <t>X5 XDRIVE50I</t>
  </si>
  <si>
    <t>KR63</t>
  </si>
  <si>
    <t>N63T</t>
  </si>
  <si>
    <t>Sophisto-grau brillant metallic (L0A90)</t>
  </si>
  <si>
    <t>Leather "Dakota"/schwarz (PLCSW)</t>
  </si>
  <si>
    <t>S0255</t>
  </si>
  <si>
    <t>Sports leather steering wheel</t>
  </si>
  <si>
    <t>S02LS</t>
  </si>
  <si>
    <t>BMW LA wheel, Y-spoke 451</t>
  </si>
  <si>
    <t>S0328</t>
  </si>
  <si>
    <t>Footplate, aluminium</t>
  </si>
  <si>
    <t>S03AT</t>
  </si>
  <si>
    <t>Roof rails Aluminium satinated</t>
  </si>
  <si>
    <t>S03E2</t>
  </si>
  <si>
    <t>Exterieur-Design Pure Experience</t>
  </si>
  <si>
    <t>S03MB</t>
  </si>
  <si>
    <t>Indiv. Ext. Line, burnished aluminium</t>
  </si>
  <si>
    <t>S0417</t>
  </si>
  <si>
    <t>Roller sun visor, rear door</t>
  </si>
  <si>
    <t>S0453</t>
  </si>
  <si>
    <t>Climate-controlled seats, front</t>
  </si>
  <si>
    <t>S0456</t>
  </si>
  <si>
    <t>Comfort seat with memory</t>
  </si>
  <si>
    <t>S04DD</t>
  </si>
  <si>
    <t>Fine-wood trim Fineline Pur</t>
  </si>
  <si>
    <t>S04FF</t>
  </si>
  <si>
    <t>Comfort seat in rear passenger compartm.</t>
  </si>
  <si>
    <t>S04U1</t>
  </si>
  <si>
    <t>Ceramic application, control elements</t>
  </si>
  <si>
    <t>S05AG</t>
  </si>
  <si>
    <t>Lane Change Warning</t>
  </si>
  <si>
    <t>S05AS</t>
  </si>
  <si>
    <t>Driving Assistant</t>
  </si>
  <si>
    <t>S05DL</t>
  </si>
  <si>
    <t>Surround View</t>
  </si>
  <si>
    <t>S0610</t>
  </si>
  <si>
    <t>Head-up display</t>
  </si>
  <si>
    <t>S0688</t>
  </si>
  <si>
    <t>Harman/Kardon surround sound system</t>
  </si>
  <si>
    <t>S08TH</t>
  </si>
  <si>
    <t>Road sign detection</t>
  </si>
  <si>
    <t>S09AA</t>
  </si>
  <si>
    <t>Outer skin protection</t>
  </si>
  <si>
    <t>SA090</t>
  </si>
  <si>
    <t>90 Ah AGM battery</t>
  </si>
  <si>
    <t>SLEDE</t>
  </si>
  <si>
    <t>Leather equipment</t>
  </si>
  <si>
    <t>Knock Sensors</t>
  </si>
  <si>
    <t>14-18 3.0L N55, 14-18 4.4TT N63T</t>
  </si>
  <si>
    <t>toss all if 1 bad</t>
  </si>
  <si>
    <t>Fuel Rail - LEFT</t>
  </si>
  <si>
    <t>Fuel Rail - RIGHT</t>
  </si>
  <si>
    <t>7576673, 7614322</t>
  </si>
  <si>
    <t>Intercooler - LEFT with Hoses</t>
  </si>
  <si>
    <t>13717575405, 7575405, 17517575403, 7575403</t>
  </si>
  <si>
    <t>Intercooler - RIGHT with Hoses</t>
  </si>
  <si>
    <t>13717575406, 7575406, 17517575404, 7575404</t>
  </si>
  <si>
    <t>rubber hoses ON - toss if bad/missing, sell/tag SINGLE</t>
  </si>
  <si>
    <t>Exhaust Manifold</t>
  </si>
  <si>
    <t>Exhaust Manifolds</t>
  </si>
  <si>
    <t>14-18 3.0T N55 Auto AWD &amp; RWD, 14-18 4.4TT N63T</t>
  </si>
  <si>
    <t>SET 8, if 1 bad toss all</t>
  </si>
  <si>
    <t>14-16 Bosch</t>
  </si>
  <si>
    <t>16-18 Delphi</t>
  </si>
  <si>
    <t>SET 8, if some bad sell SET 4 &amp; singles</t>
  </si>
  <si>
    <t>12138611236, 8611236</t>
  </si>
  <si>
    <t>24407647833, 7647833, 24408632178, 8632178, 24407544926, 7544926, 24408612861, 8612861</t>
  </si>
  <si>
    <t>VVT Timing Actuator</t>
  </si>
  <si>
    <t>Sunroof, Motor (1 of 2)</t>
  </si>
  <si>
    <t>Sunroof, Motor (2 of 2)</t>
  </si>
  <si>
    <t>Turbocharger Boost Solenoid Valves &amp; Bracket</t>
  </si>
  <si>
    <t>2 black plastic solenoids on metal bracket</t>
  </si>
  <si>
    <t>Boost Solenoid</t>
  </si>
  <si>
    <t>Vacuum Pump</t>
  </si>
  <si>
    <t>13518604232, 8604232</t>
  </si>
  <si>
    <t>13111730134, 0261545072</t>
  </si>
  <si>
    <t>13210627574, 0261545072</t>
  </si>
  <si>
    <t>Oil Pump with Pickup Tube</t>
  </si>
  <si>
    <t>with pickup tube ON, sell same price if missing</t>
  </si>
  <si>
    <t>toss pickup tube</t>
  </si>
  <si>
    <t>27607542211, 7542211</t>
  </si>
  <si>
    <t>Oil Pan, Engine UPPER</t>
  </si>
  <si>
    <t>Oil Pan, Engine LOWER</t>
  </si>
  <si>
    <t>sell lower separately, tag as single</t>
  </si>
  <si>
    <t>11137566803, 7566803</t>
  </si>
  <si>
    <t>11137621072, 7621072, 11137566800, 7566800</t>
  </si>
  <si>
    <t>2 per car (identical)</t>
  </si>
  <si>
    <t>11657646093, 7646093, 11657605047, 7605047, 11652470354, 2470354</t>
  </si>
  <si>
    <t>tag as SINGLE</t>
  </si>
  <si>
    <t>with roller cap, tag as SINGLE</t>
  </si>
  <si>
    <t>12317606628, 7606628</t>
  </si>
  <si>
    <t>14-16 4.4TT</t>
  </si>
  <si>
    <t>17-18 4.4TT</t>
  </si>
  <si>
    <t>3.0T N55 RWD | 4.4TT w/o adaptive suspension</t>
  </si>
  <si>
    <t>3.0T N55 AWD, w/o adaptive suspension |3.0T Diesel, w/o adaptive suspension | 2.0T</t>
  </si>
  <si>
    <t>3.0T N55 AWD, w/ adaptive suspension |3.0T Diesel, w/ adaptive suspension | 4.4TT w/ adaptive suspension</t>
  </si>
  <si>
    <t>3.0T Diesel &amp; 4.4TT w/ active steering</t>
  </si>
  <si>
    <t>14-18 3.0T N55, 14-18 4.4TT N63T</t>
  </si>
  <si>
    <t>11368605123, 8605123</t>
  </si>
  <si>
    <t>2 per head (ALL identical)</t>
  </si>
  <si>
    <t>Timing Gear - EXHAUST</t>
  </si>
  <si>
    <t>Timing Gear - INTAKE</t>
  </si>
  <si>
    <t>SET2</t>
  </si>
  <si>
    <t>11367583208, 7583208, 11367583207, 7583207</t>
  </si>
  <si>
    <t>11367583208, 7583208</t>
  </si>
  <si>
    <t>11367583207, 7583207</t>
  </si>
  <si>
    <t>11367600085, 7600085, 11367600086, 7600086</t>
  </si>
  <si>
    <t>11367600085, 7600085</t>
  </si>
  <si>
    <t>11367600086, 7600086</t>
  </si>
  <si>
    <t>Timing Gear - LEFT, INTAKE</t>
  </si>
  <si>
    <t>Timing Gear - LEFT, EXHAUST</t>
  </si>
  <si>
    <t>Timing Gear - RIGHT, INTAKE</t>
  </si>
  <si>
    <t>Timing Gear - RIGHT, EXHAUST</t>
  </si>
  <si>
    <t>Timing Gear</t>
  </si>
  <si>
    <t>Piston Rods Single</t>
  </si>
  <si>
    <t>304-999555-1</t>
  </si>
  <si>
    <t>304-999555-2</t>
  </si>
  <si>
    <t>304-999555-3</t>
  </si>
  <si>
    <t>304-999555-4</t>
  </si>
  <si>
    <t>304-999555-5</t>
  </si>
  <si>
    <t>304-999555-6</t>
  </si>
  <si>
    <t>Fuse Box, FRONT</t>
  </si>
  <si>
    <t>ALL but 4.4TT</t>
  </si>
  <si>
    <t>toss both if 1 bad (barely worth selling)</t>
  </si>
  <si>
    <t>Owners Manual + Case</t>
  </si>
  <si>
    <t>Owners Manual</t>
  </si>
  <si>
    <t>628-999907-1</t>
  </si>
  <si>
    <t>REARVIEW Mirror Color</t>
  </si>
  <si>
    <t>Seatbelt Retractor Color</t>
  </si>
  <si>
    <t>Glove Box Color</t>
  </si>
  <si>
    <t>Primary Trim Color &amp; Finish</t>
  </si>
  <si>
    <t>Sub-Interchange</t>
  </si>
  <si>
    <t>Options</t>
  </si>
  <si>
    <t>Fits</t>
  </si>
  <si>
    <t>Unique ID</t>
  </si>
  <si>
    <t>Viking1</t>
  </si>
  <si>
    <t>Viking2</t>
  </si>
  <si>
    <t>Viking3</t>
  </si>
  <si>
    <t>Viking4</t>
  </si>
  <si>
    <t>Viking5</t>
  </si>
  <si>
    <t>Viking6</t>
  </si>
  <si>
    <t>Viking7</t>
  </si>
  <si>
    <t>Viking8</t>
  </si>
  <si>
    <t>Viking9</t>
  </si>
  <si>
    <t>Viking10</t>
  </si>
  <si>
    <t>Viking11</t>
  </si>
  <si>
    <t>Viking12</t>
  </si>
  <si>
    <t>Viking13</t>
  </si>
  <si>
    <t>Viking14</t>
  </si>
  <si>
    <t>Viking15</t>
  </si>
  <si>
    <t>Viking16</t>
  </si>
  <si>
    <t>Viking17</t>
  </si>
  <si>
    <t>Viking18</t>
  </si>
  <si>
    <t>Viking19</t>
  </si>
  <si>
    <t>Viking20</t>
  </si>
  <si>
    <t>Viking21</t>
  </si>
  <si>
    <t>Viking22</t>
  </si>
  <si>
    <t>Viking23</t>
  </si>
  <si>
    <t>Viking24</t>
  </si>
  <si>
    <t>Viking25</t>
  </si>
  <si>
    <t>Viking26</t>
  </si>
  <si>
    <t>Viking27</t>
  </si>
  <si>
    <t>Viking28</t>
  </si>
  <si>
    <t>Viking29</t>
  </si>
  <si>
    <t>Viking30</t>
  </si>
  <si>
    <t>Viking31</t>
  </si>
  <si>
    <t>Viking32</t>
  </si>
  <si>
    <t>Viking33</t>
  </si>
  <si>
    <t>Viking34</t>
  </si>
  <si>
    <t>Viking35</t>
  </si>
  <si>
    <t>Viking36</t>
  </si>
  <si>
    <t>Viking37</t>
  </si>
  <si>
    <t>Viking38</t>
  </si>
  <si>
    <t>Viking39</t>
  </si>
  <si>
    <t>Viking40</t>
  </si>
  <si>
    <t>Viking41</t>
  </si>
  <si>
    <t>Viking42</t>
  </si>
  <si>
    <t>Viking43</t>
  </si>
  <si>
    <t>Viking44</t>
  </si>
  <si>
    <t>Viking45</t>
  </si>
  <si>
    <t>Viking46</t>
  </si>
  <si>
    <t>Viking47</t>
  </si>
  <si>
    <t>Viking48</t>
  </si>
  <si>
    <t>Viking49</t>
  </si>
  <si>
    <t>Viking50</t>
  </si>
  <si>
    <t>Viking51</t>
  </si>
  <si>
    <t>Viking52</t>
  </si>
  <si>
    <t>Viking53</t>
  </si>
  <si>
    <t>Viking54</t>
  </si>
  <si>
    <t>Viking55</t>
  </si>
  <si>
    <t>Viking56</t>
  </si>
  <si>
    <t>Viking57</t>
  </si>
  <si>
    <t>Viking58</t>
  </si>
  <si>
    <t>Viking59</t>
  </si>
  <si>
    <t>Viking60</t>
  </si>
  <si>
    <t>Viking61</t>
  </si>
  <si>
    <t>Viking62</t>
  </si>
  <si>
    <t>Viking63</t>
  </si>
  <si>
    <t>Viking64</t>
  </si>
  <si>
    <t>Viking65</t>
  </si>
  <si>
    <t>Viking66</t>
  </si>
  <si>
    <t>Viking67</t>
  </si>
  <si>
    <t>Viking68</t>
  </si>
  <si>
    <t>Viking69</t>
  </si>
  <si>
    <t>Viking70</t>
  </si>
  <si>
    <t>Viking71</t>
  </si>
  <si>
    <t>Viking72</t>
  </si>
  <si>
    <t>Viking73</t>
  </si>
  <si>
    <t>Viking74</t>
  </si>
  <si>
    <t>Viking75</t>
  </si>
  <si>
    <t>Viking76</t>
  </si>
  <si>
    <t>Viking77</t>
  </si>
  <si>
    <t>Viking78</t>
  </si>
  <si>
    <t>Viking79</t>
  </si>
  <si>
    <t>Viking80</t>
  </si>
  <si>
    <t>Viking81</t>
  </si>
  <si>
    <t>Viking82</t>
  </si>
  <si>
    <t>Viking83</t>
  </si>
  <si>
    <t>F15-14-18-ALL</t>
  </si>
  <si>
    <t>Viking84</t>
  </si>
  <si>
    <t>Primary Trim Short Name for Title</t>
  </si>
  <si>
    <t>Model Year</t>
  </si>
  <si>
    <t>Dome Light Color</t>
  </si>
  <si>
    <t>Vent Color</t>
  </si>
  <si>
    <t>Cargo Cover Color</t>
  </si>
  <si>
    <t>Steering Wheel Color</t>
  </si>
  <si>
    <t>65829320288, 9320288</t>
  </si>
  <si>
    <t>Make</t>
  </si>
  <si>
    <t>BMW</t>
  </si>
  <si>
    <t>Item Note</t>
  </si>
  <si>
    <t>scratches in paint finish</t>
  </si>
  <si>
    <t>scratches, scuffs</t>
  </si>
  <si>
    <t>very tiny pits in paint finish</t>
  </si>
  <si>
    <t>chips, scratches, scuffs in clear coat</t>
  </si>
  <si>
    <t>button wear</t>
  </si>
  <si>
    <t>leather wear</t>
  </si>
  <si>
    <t>scuffs, scratches</t>
  </si>
  <si>
    <t>scuffs on frame</t>
  </si>
  <si>
    <t>scuffs, scratches, curb rash</t>
  </si>
  <si>
    <t>Item Photo URL</t>
  </si>
  <si>
    <t>List2Ebay</t>
  </si>
  <si>
    <t>YES DB | YES TAB3</t>
  </si>
  <si>
    <t>NO DB | YES TAB3</t>
  </si>
  <si>
    <t>YES DB | NO TAB3</t>
  </si>
  <si>
    <t>DELETE</t>
  </si>
  <si>
    <t>Door Mirrors: Camera (Tester Obtain)</t>
  </si>
  <si>
    <t>Scuff Plates SET 2</t>
  </si>
  <si>
    <t>Door Latch, FRONT - LEFT Soft Close WITH Actuator SET 2</t>
  </si>
  <si>
    <t>Door Latch, REAR - LEFT Soft Close WITH Actuator SET 2</t>
  </si>
  <si>
    <t>Door Latch, FRONT - RIGHT Soft Close WITH Actuator SET 2</t>
  </si>
  <si>
    <t>Door Latch, REAR - RIGHT Soft Close WITH Actuator SET 2</t>
  </si>
  <si>
    <t>Engine Motor Mount SET 2</t>
  </si>
  <si>
    <t>Timing Gear SET 2</t>
  </si>
  <si>
    <t>Timing Gear SET 2 - LEFT</t>
  </si>
  <si>
    <t>Timing Gear SET 2 - RIGHT</t>
  </si>
  <si>
    <t>Engine Cover SET 2</t>
  </si>
  <si>
    <t>Wiper Arms, FRONT SET 2</t>
  </si>
  <si>
    <t>Bumper Reinforcement Bracket, FRONT SET 2</t>
  </si>
  <si>
    <t>Grille, LOWER BUMPER - ENDS SET 2</t>
  </si>
  <si>
    <t>Grille, UPPER KIDNEY GRILLE SET 2</t>
  </si>
  <si>
    <t>PDC Sensor SET 2, FRONT</t>
  </si>
  <si>
    <t>PDC Sensor SET 2, REAR</t>
  </si>
  <si>
    <t>Hood Hinge SET 2</t>
  </si>
  <si>
    <t>Hood Latches SET 2 WITHOUT Cables</t>
  </si>
  <si>
    <t>Steering Column Center Rod &amp; Lower U-Joint Shaft SET 2</t>
  </si>
  <si>
    <t>Steering Wheel Switches SET 2 WITH Trim</t>
  </si>
  <si>
    <t>Steering Wheel Switches SET 2 WITHOUT Trim</t>
  </si>
  <si>
    <t>Visors SET 2 WITH Visor Clips if Good (toss all if 1 visor bad)</t>
  </si>
  <si>
    <t>Headlight, Access Cover Cap SET 2</t>
  </si>
  <si>
    <t>Seatbelt, Retractors REAR 2nd ROW - LEFT &amp; RIGHT SET 2</t>
  </si>
  <si>
    <t>Control Arms, FRONT - LOWER LEFT FORWARD + REARWARD SET 2</t>
  </si>
  <si>
    <t>Control Arms, FRONT - LOWER RIGHT FORWARD + REARWARD SET 2</t>
  </si>
  <si>
    <t>Control Arms, FRONT - UPPER "U" WISHBONE ONES as SET 2</t>
  </si>
  <si>
    <t>Muffler Tips SET 2</t>
  </si>
  <si>
    <t>Shock Struts, FRONT SET 2</t>
  </si>
  <si>
    <t>Springs, REAR Shock Springs as SET 2 WITH Gromets</t>
  </si>
  <si>
    <t>Trunk Electric Shock SET 2</t>
  </si>
  <si>
    <t>Scuff Plates SET 4</t>
  </si>
  <si>
    <t>Fuel Injector SET 4</t>
  </si>
  <si>
    <t>Oxygen Sensor SET 4</t>
  </si>
  <si>
    <t>Pistons &amp; Rods SET 4</t>
  </si>
  <si>
    <t>Pistons Rods SET 4</t>
  </si>
  <si>
    <t>PDC SET 4 With Harness, FRONT</t>
  </si>
  <si>
    <t>PDC Sensor SET 4, FRONT</t>
  </si>
  <si>
    <t>PDC SET 4 With Harness, REAR</t>
  </si>
  <si>
    <t>PDC Sensor SET 4, REAR</t>
  </si>
  <si>
    <t>TPMS Tire Pressure Sensor SET 4</t>
  </si>
  <si>
    <t>Fuel Injector SET 6</t>
  </si>
  <si>
    <t>Fuel Injector SET 8</t>
  </si>
  <si>
    <t>Pistons &amp; Rods SET 6</t>
  </si>
  <si>
    <t>Piston Rod SET 6</t>
  </si>
  <si>
    <t>Pistons &amp; Rods SET 8</t>
  </si>
  <si>
    <t>Pistons Rods SET 8</t>
  </si>
  <si>
    <t>Keyless Entry Antenna SET 6</t>
  </si>
  <si>
    <t>Control Arms, REAR - LEFT SET 3</t>
  </si>
  <si>
    <t>Control Arms, REAR - RIGHT SET 3</t>
  </si>
  <si>
    <t>Wheels SET 4 (560-86059 x2 &amp; 560-86054 x2)</t>
  </si>
  <si>
    <t>2 Pieces Keep Together</t>
  </si>
  <si>
    <t>Air Intake Upper Duct Tube</t>
  </si>
  <si>
    <t>on head unless parting out</t>
  </si>
  <si>
    <t>Camshaft, Eccentric</t>
  </si>
  <si>
    <t>Camshaft, Exhaust</t>
  </si>
  <si>
    <t>Camshaft, Intake</t>
  </si>
  <si>
    <t>leave crank cradle ON</t>
  </si>
  <si>
    <t>Engine Mount Bracket SET 2</t>
  </si>
  <si>
    <t>triangle shaped metal ones</t>
  </si>
  <si>
    <t>Engine Cylinder Block</t>
  </si>
  <si>
    <t>Coolant Expansion Reservoir Tank &amp; Cap</t>
  </si>
  <si>
    <t>the smaller skinnier one</t>
  </si>
  <si>
    <t>all aluminum big long one &amp; 2 smaller identical ones</t>
  </si>
  <si>
    <t>Support Cross Bars, Engine Bays</t>
  </si>
  <si>
    <t>small black w/ 2 solenoids &amp; 3 tubes coming off it</t>
  </si>
  <si>
    <t>TOSS BOTH</t>
  </si>
  <si>
    <t>Water Heater Coolant Control Valve Solenoid Pump</t>
  </si>
  <si>
    <t>Radiator, A/C Condenser Radiator</t>
  </si>
  <si>
    <t>Wiper Motor &amp; Transmission Linkage</t>
  </si>
  <si>
    <t>Bumper Reinforcement Bracket, FRONT - LEFT</t>
  </si>
  <si>
    <t>Bumper Reinforcement Bracket, FRONT - RIGHT</t>
  </si>
  <si>
    <t>SET 2, sell singles if 1 bad</t>
  </si>
  <si>
    <t>SET 2, toss both if 1 bad</t>
  </si>
  <si>
    <t>Headlight Washer Squirters &amp; Cover Caps SET 2</t>
  </si>
  <si>
    <t>these are the shorter cross bars</t>
  </si>
  <si>
    <t>Roof Rails, SIDE-TO-SIDE as SET 2</t>
  </si>
  <si>
    <t>License Plate Mounts, FRONT &amp; REAR</t>
  </si>
  <si>
    <t>Reflectors, FENDER</t>
  </si>
  <si>
    <t>big long ones black in color - CHECK BOX any other style</t>
  </si>
  <si>
    <t>Roof Rails, FRONT-TO-BACK</t>
  </si>
  <si>
    <t>Shark Fin Cover &amp; Roof Antenna Module</t>
  </si>
  <si>
    <t>Spoiler Winglet Moulding</t>
  </si>
  <si>
    <t>Tow Hook Covers, FRONT &amp; REAR</t>
  </si>
  <si>
    <t>Hood Shocks</t>
  </si>
  <si>
    <t>Hood, Assembly</t>
  </si>
  <si>
    <t>Part out then toss</t>
  </si>
  <si>
    <t>small black w/ a purple front</t>
  </si>
  <si>
    <t>Ambient Air Temperature Sensor</t>
  </si>
  <si>
    <t>keep switches &amp; mats IN</t>
  </si>
  <si>
    <t>Center Console Storage Compartment &amp; Lid</t>
  </si>
  <si>
    <t>leave all components in</t>
  </si>
  <si>
    <t>one w/ roll up door</t>
  </si>
  <si>
    <t>Cup Holder, FRONT CENTER CONSOLE</t>
  </si>
  <si>
    <t>sell knob &amp; traction control switch panel each solo</t>
  </si>
  <si>
    <t>I-Drive Navigation / Radio Control Knob &amp; Switch Panel TRIM</t>
  </si>
  <si>
    <t>Vents, Pillar</t>
  </si>
  <si>
    <t>TOSS ALL</t>
  </si>
  <si>
    <t>big plastic piece</t>
  </si>
  <si>
    <t>big primary one</t>
  </si>
  <si>
    <t>Steering Column Assembly &amp; Adjust Motors</t>
  </si>
  <si>
    <t>Speedometer Instrument Gauge Cluster Trim</t>
  </si>
  <si>
    <t>Speaker Grilles</t>
  </si>
  <si>
    <t>REAR CENTER CONSOLE Storage Tray, Trim Panel &amp; 12v Sockets</t>
  </si>
  <si>
    <t>TOSS, but DO KEEP vent &amp; climate control</t>
  </si>
  <si>
    <t>Microphone, Hands Free Roof Mounted Mics</t>
  </si>
  <si>
    <t>Grab Handles / Oh Shit Bars</t>
  </si>
  <si>
    <t>Glove Box, LEFT FRONT DASH smaller one</t>
  </si>
  <si>
    <t>DO KEEP the primary RF dash one</t>
  </si>
  <si>
    <t>Dome Lights, ALL EXCEPT front primary one</t>
  </si>
  <si>
    <t>keep primary front center roof, toss all others</t>
  </si>
  <si>
    <t>A/C HVAC Blend Door Flap Motors &amp; Harness</t>
  </si>
  <si>
    <t>IN spoiler if selling that - if not can sell solo</t>
  </si>
  <si>
    <t>2 per car, bag/sell as SINGLES</t>
  </si>
  <si>
    <t>Headlight, Daytime Running Light DRL Angel Eye Module</t>
  </si>
  <si>
    <t>Headlight TMS Control Module</t>
  </si>
  <si>
    <t>has visible circuit board</t>
  </si>
  <si>
    <t>Camera, Side</t>
  </si>
  <si>
    <t>mounted on windshield</t>
  </si>
  <si>
    <t>Rain Solar Light Sensor</t>
  </si>
  <si>
    <t>square black plastic</t>
  </si>
  <si>
    <t>rectangular black plastic</t>
  </si>
  <si>
    <t>mounted left rear roof</t>
  </si>
  <si>
    <t>look like ribbed black legos in shape / size</t>
  </si>
  <si>
    <t>Bus Interface Control Module</t>
  </si>
  <si>
    <t>Antenna Noise Filter Control Module</t>
  </si>
  <si>
    <t>Antenna Amplifier Control Module, PRIMARY one</t>
  </si>
  <si>
    <t>Antenna Amplifier Control Module, BACKUP one</t>
  </si>
  <si>
    <t>Crash Sensors</t>
  </si>
  <si>
    <t>flat black plastic module 4x3" w/ 3 red wires going to it</t>
  </si>
  <si>
    <t>Front Power Distribution Terminal Module</t>
  </si>
  <si>
    <t>mounted RR wheel well</t>
  </si>
  <si>
    <t>5x5 inch black plastic w/ a small red battery cable</t>
  </si>
  <si>
    <t>Positive Battery Junction Box</t>
  </si>
  <si>
    <t>Lojack Vehicle Recovery Transmitter Module &amp; Cable</t>
  </si>
  <si>
    <t>toss black plastic sleeve on it too</t>
  </si>
  <si>
    <t>Steering Column Control Module</t>
  </si>
  <si>
    <t>Speakers - BMW Branded Ones</t>
  </si>
  <si>
    <t>Check</t>
  </si>
  <si>
    <t>KEEP Harman or Bang &amp; Olufsen, TOSS BMW Branded</t>
  </si>
  <si>
    <t>Speakers SET - Harman Kardon</t>
  </si>
  <si>
    <t>Speakers SET - Bang &amp; Olufsen</t>
  </si>
  <si>
    <t>keep in seat cushions if selling those</t>
  </si>
  <si>
    <t>Airbag, SEATS</t>
  </si>
  <si>
    <t>Seat Cushions, ALL REAR</t>
  </si>
  <si>
    <t>Sway Bar / Stabilizer Bar, FRONT w/ Dynamic Drive</t>
  </si>
  <si>
    <t>keep dynamic drive, TOSS w/o dynamic drive</t>
  </si>
  <si>
    <t>Sway Bar</t>
  </si>
  <si>
    <t>Shock Struts, REAR - LEFT (Adaptive)</t>
  </si>
  <si>
    <t>Shock Struts, REAR - RIGHT (Adaptive)</t>
  </si>
  <si>
    <t>Shock Struts, REAR SET 2 (WITHOUT Adaptive)</t>
  </si>
  <si>
    <t>TOSS ALL except ///M ones</t>
  </si>
  <si>
    <t>F15 ALL | 14-18 3.0T N55 (RWD &amp; AWD) | 14-18 4.4TT N63T | 14-18 3.0T Diesel N57Y | 16-18 2.0T Gas</t>
  </si>
  <si>
    <t>14-18 3.0T N55 (RWD &amp; AWD) | 14-18 4.4TT N63T</t>
  </si>
  <si>
    <t>14-18 3.0T N55 (RWD &amp; AWD) | 14-18 4.4TT N63T | 14-18 3.0T Diesel N57Y</t>
  </si>
  <si>
    <t>14-18 3.0T N55 (RWD &amp; AWD) | 14-18 3.0T Diesel N57Y</t>
  </si>
  <si>
    <t>14-18 3.0T N55 (RWD &amp; AWD) | 16-18 2.0T Gas | 14-18 3.0T Diesel N57Y</t>
  </si>
  <si>
    <t>14-18 3.0T N55 (RWD &amp; AWD) | 14-18 3.0T Diesel N57Y | 16-18 2.0T Gas</t>
  </si>
  <si>
    <t>TOSS ALL (not needed for sizing)</t>
  </si>
  <si>
    <t>Charcoal Canister / Evap Box</t>
  </si>
  <si>
    <t>really BIG one diff mounts to</t>
  </si>
  <si>
    <t>Subframe / Crossmember, REAR</t>
  </si>
  <si>
    <t>TOSS ALL (even dynamic ones)</t>
  </si>
  <si>
    <t>Sway Bar / Stabilizer Bar, REAR</t>
  </si>
  <si>
    <t>Spindle / Knuckles</t>
  </si>
  <si>
    <t>Brake Rotors</t>
  </si>
  <si>
    <t>Guibos</t>
  </si>
  <si>
    <t>remove camera &amp; sell solo, toss one w/o camera slot</t>
  </si>
  <si>
    <t>Trunk Handle (WITH Camera Slot)</t>
  </si>
  <si>
    <t>Trunk Handle (WITHOUT Camera Slot)</t>
  </si>
  <si>
    <t>keep one with camera slot &amp; sell camera solo</t>
  </si>
  <si>
    <t>part out</t>
  </si>
  <si>
    <t>Trunk Assembly - UPPER TRUNK</t>
  </si>
  <si>
    <t>these are the 4 that slide on rails</t>
  </si>
  <si>
    <t>Cargo Hooks</t>
  </si>
  <si>
    <t>the 2 trunk aluminum ones</t>
  </si>
  <si>
    <t>License Plate Lights</t>
  </si>
  <si>
    <t>standard brown cable no module</t>
  </si>
  <si>
    <t>Negative Battery Cable</t>
  </si>
  <si>
    <t>Positive Battery Distribution Box</t>
  </si>
  <si>
    <t>6x6 inch flat w/ red plastic on top &amp; black on bottom</t>
  </si>
  <si>
    <t>trunk mounted</t>
  </si>
  <si>
    <t>Cargo Rails</t>
  </si>
  <si>
    <t>Switch/Button, Trunk Open Close Switch Button</t>
  </si>
  <si>
    <t>if 1 missing toss all</t>
  </si>
  <si>
    <t>Wheel Speed Sensors</t>
  </si>
  <si>
    <t>front left door mounted</t>
  </si>
  <si>
    <t>Air Pipe</t>
  </si>
  <si>
    <t>Camshaft</t>
  </si>
  <si>
    <t>Engine Block</t>
  </si>
  <si>
    <t>Engine Mounts &amp; Brackets</t>
  </si>
  <si>
    <t>Fuel Pump, High Pressure</t>
  </si>
  <si>
    <t>Pistons</t>
  </si>
  <si>
    <t>Tensioners &amp; Timing Guides</t>
  </si>
  <si>
    <t>Horn</t>
  </si>
  <si>
    <t>Brake Booster &amp; Master Cylinder</t>
  </si>
  <si>
    <t>Radiators &amp; Condensors</t>
  </si>
  <si>
    <t>Air Filter Box</t>
  </si>
  <si>
    <t>Reservoir Tank</t>
  </si>
  <si>
    <t>Engine Bay Support Bars</t>
  </si>
  <si>
    <t>Wiper Motors &amp; Linkages</t>
  </si>
  <si>
    <t>Water &amp; Coolant Pump</t>
  </si>
  <si>
    <t>Bumpers &amp; Reinforcements</t>
  </si>
  <si>
    <t>Headlight Washer</t>
  </si>
  <si>
    <t>Roof Rack</t>
  </si>
  <si>
    <t>Fender</t>
  </si>
  <si>
    <t>License Plate Mount</t>
  </si>
  <si>
    <t>Reflectors</t>
  </si>
  <si>
    <t>Antenna &amp; Cover</t>
  </si>
  <si>
    <t>Tow Hook &amp; Cover Caps</t>
  </si>
  <si>
    <t>Center Console Storage Compartment</t>
  </si>
  <si>
    <t>Cup Holder</t>
  </si>
  <si>
    <t>Head Up Display Projector</t>
  </si>
  <si>
    <t>Control Knob</t>
  </si>
  <si>
    <t>HVAC Blend Door Flaps</t>
  </si>
  <si>
    <t>Grab Handles</t>
  </si>
  <si>
    <t>Microphone</t>
  </si>
  <si>
    <t>Pedal</t>
  </si>
  <si>
    <t>Steering Column Assembly &amp; Motors</t>
  </si>
  <si>
    <t>Trim, NOT Part of SET</t>
  </si>
  <si>
    <t>Lights (other than headlight &amp; taillight)</t>
  </si>
  <si>
    <t>Exhaust Components</t>
  </si>
  <si>
    <t>Ignition Switch Components</t>
  </si>
  <si>
    <t>Key Fob</t>
  </si>
  <si>
    <t>Sensors</t>
  </si>
  <si>
    <t>Trim (part of SET)</t>
  </si>
  <si>
    <t>Seat Cushion</t>
  </si>
  <si>
    <t>Arm Rest</t>
  </si>
  <si>
    <t>Charcoal Canister</t>
  </si>
  <si>
    <t>Subframe Mounts &amp; Crossmember</t>
  </si>
  <si>
    <t>Oil Cooler, Transmission</t>
  </si>
  <si>
    <t>Oil Pump, Transmission - Mechanical</t>
  </si>
  <si>
    <t>Oil Pump, Transmission - Hydraulic</t>
  </si>
  <si>
    <t>Trunk Assembly</t>
  </si>
  <si>
    <t>Trunk Interior Hardware</t>
  </si>
  <si>
    <t>Fuse &amp; Junction Boxes</t>
  </si>
  <si>
    <t>Wiper Arm</t>
  </si>
  <si>
    <t>Sensor</t>
  </si>
  <si>
    <t>VVT Timing Solenoid</t>
  </si>
  <si>
    <t>Hood Hardware</t>
  </si>
  <si>
    <t>Trunk Hardware</t>
  </si>
  <si>
    <t>Climate &amp; Radio Controls</t>
  </si>
  <si>
    <t>Blower Motor Assembly, REAR &amp; CENTER CONSOLE</t>
  </si>
  <si>
    <t>TOSS BOTH including resistors (KEEP front blower)</t>
  </si>
  <si>
    <t>Door Lock Unlock Switch, FRONT - LEFT</t>
  </si>
  <si>
    <t>Driveshaft, REAR - RWD</t>
  </si>
  <si>
    <t>keep AWD 16-18 1412mm part# 7636785, toss all other</t>
  </si>
  <si>
    <t xml:space="preserve">Driveshaft, REAR - AWD </t>
  </si>
  <si>
    <t>Driveshaft, REAR - AWD</t>
  </si>
  <si>
    <t>Fuse Box, REAR ENGINE fuse box</t>
  </si>
  <si>
    <t>Fuel Pump, High Pressure Engine Mounted - LEFT or RIGHT (plug with 1 flat side)</t>
  </si>
  <si>
    <t>1 of 2 (2 rows here for entering both as singles)</t>
  </si>
  <si>
    <t>2 of 2 (2 rows here for entering both as singles)</t>
  </si>
  <si>
    <t>Ignition Coils SET 8 (Bosch)</t>
  </si>
  <si>
    <t>Ignition Coils SET 8 (Delphi)</t>
  </si>
  <si>
    <t>Ignition Coils SET 4 (Delphi)</t>
  </si>
  <si>
    <t>Ignition Coil SINGLE (Delphi)</t>
  </si>
  <si>
    <t>Turbocharger</t>
  </si>
  <si>
    <t>VVT Timing Actuator Motor</t>
  </si>
  <si>
    <t>Power Steering Pump (WITH Active Suspension Adaptive Drive)</t>
  </si>
  <si>
    <t>Power Steering Pump (WITHOUT Active Suspension WITH Active Steering)</t>
  </si>
  <si>
    <t>Power Steering Pump (WITHOUT Active Suspension WITHOUT Active Steering)</t>
  </si>
  <si>
    <t>VVT Timing Solenoid SET 2</t>
  </si>
  <si>
    <t>Horns SET 2</t>
  </si>
  <si>
    <t>marked 2</t>
  </si>
  <si>
    <t>marked 3</t>
  </si>
  <si>
    <t>marked 1</t>
  </si>
  <si>
    <t>marked (INSERT)</t>
  </si>
  <si>
    <t>Wheel, FRONT - LEFT or RIGHT</t>
  </si>
  <si>
    <t>Wheel, REAR - LEFT or RIGHT</t>
  </si>
  <si>
    <t>Item Description (Posters &amp; Website)</t>
  </si>
  <si>
    <t>Item Description (Tester &amp; Dismantlers)</t>
  </si>
  <si>
    <t>Scuff Plates</t>
  </si>
  <si>
    <t>keep only &lt;125k, sell long block if accessories bad</t>
  </si>
  <si>
    <t>Viking Type</t>
  </si>
  <si>
    <t>Doors-ALL</t>
  </si>
  <si>
    <t>Doors-LF</t>
  </si>
  <si>
    <t>Doors-LR</t>
  </si>
  <si>
    <t>Doors-RF</t>
  </si>
  <si>
    <t>Doors-RR</t>
  </si>
  <si>
    <t>Exterior</t>
  </si>
  <si>
    <t>Eng Bay</t>
  </si>
  <si>
    <t>Int Roof</t>
  </si>
  <si>
    <t>Seat Rear</t>
  </si>
  <si>
    <t>Seat-LF</t>
  </si>
  <si>
    <t>Seat-RF</t>
  </si>
  <si>
    <t>Susp.</t>
  </si>
  <si>
    <t>Trans</t>
  </si>
  <si>
    <t>Wheel</t>
  </si>
  <si>
    <t>Seatbelt-LF</t>
  </si>
  <si>
    <t>Seatbelt-Rear</t>
  </si>
  <si>
    <t>Seatbelt-RF</t>
  </si>
  <si>
    <t>TO DO</t>
  </si>
  <si>
    <t>Parts</t>
  </si>
  <si>
    <t>Vary</t>
  </si>
  <si>
    <t>How To Keep &amp; Dismantler Notes</t>
  </si>
  <si>
    <t>w/ cable + white actuator motor</t>
  </si>
  <si>
    <t>Engine Assembly as FULL ASSEMBLY (keep &lt;125k) (w/o turbos if bad) (longblock if lots bad)</t>
  </si>
  <si>
    <t>SET 6, sell SET 4 &amp; singles if 1 bad</t>
  </si>
  <si>
    <t>note broken caps</t>
  </si>
  <si>
    <t>SET 8, sell SET 4 &amp; singles if 1 bad</t>
  </si>
  <si>
    <t>Fuel Pump, High Pressure Engine Mounted - LEFT or RIGHT (plug w/ all rounded corners)</t>
  </si>
  <si>
    <r>
      <t>Airbag Module, PRIMARY (black plastic white on top)</t>
    </r>
    <r>
      <rPr>
        <b/>
        <sz val="11"/>
        <color rgb="FFFF33CC"/>
        <rFont val="Calibri"/>
        <family val="2"/>
        <scheme val="minor"/>
      </rPr>
      <t>(KEEP ALUMINUM MODULE SAYS "AIRBAG")</t>
    </r>
  </si>
  <si>
    <t>black metal w/ rubber, leaks=toss</t>
  </si>
  <si>
    <t>w/ bolt, upper solo, tag single</t>
  </si>
  <si>
    <t>check bolt+hole for threading</t>
  </si>
  <si>
    <t>head if good, SET2 if not, single if 1 bad</t>
  </si>
  <si>
    <t>mark side &amp; int/exh</t>
  </si>
  <si>
    <t>SET2, single if 1 bad</t>
  </si>
  <si>
    <t>Radiator, Primary One</t>
  </si>
  <si>
    <t>It's the thicker / bigger one</t>
  </si>
  <si>
    <t>brake light IN</t>
  </si>
  <si>
    <t>spoiler bad = light solo, light bad = toss spoiler</t>
  </si>
  <si>
    <t>in spoilder if good</t>
  </si>
  <si>
    <t>Fenders</t>
  </si>
  <si>
    <t>remove trim sell separately</t>
  </si>
  <si>
    <t>Switches &amp; Trim ON</t>
  </si>
  <si>
    <t>wheel bad sell switches+trim or solo</t>
  </si>
  <si>
    <t>TOSS BMW Branded Ones</t>
  </si>
  <si>
    <t>KEEP Harman or Bang</t>
  </si>
  <si>
    <t>TOSS 14-15 ALL AWD &amp; 16-18 AWD part# 7589129, 7589128</t>
  </si>
  <si>
    <t>toss side bolster cushions, keep cup holder/arm rest</t>
  </si>
  <si>
    <t>has to be cut, and not worth selling cut for $85</t>
  </si>
  <si>
    <t>Transmission Oil Pump, Mechanical</t>
  </si>
  <si>
    <t>short red/black cable w/ black terminal</t>
  </si>
  <si>
    <t>small one</t>
  </si>
  <si>
    <t>BIG ONE</t>
  </si>
  <si>
    <t>NEVER</t>
  </si>
  <si>
    <t>if trim doesn't remove easy put handle w/ trim SET</t>
  </si>
  <si>
    <t>Ignition Coils (Bosch)</t>
  </si>
  <si>
    <t>Ignition Coils (Delphi)</t>
  </si>
  <si>
    <t>Oxygen Sensor</t>
  </si>
  <si>
    <t>SET 2, toss all if 1 bad</t>
  </si>
  <si>
    <t>SET 6, sell singles if 1 bad, sell rods SET6 if pistons bad</t>
  </si>
  <si>
    <t>SET 8, sell singles if 1 bad, sell rods SET 8 if pistons bad</t>
  </si>
  <si>
    <t>Timing Gear, LEFT Head</t>
  </si>
  <si>
    <t>SET 2, for V8 do 2 sets of SET 2</t>
  </si>
  <si>
    <t>Bumper Reinforcement Bracket, FRONT</t>
  </si>
  <si>
    <t>SET 2, sell single if 1 bad</t>
  </si>
  <si>
    <t>Grille, LOWER BUMPER - ENDS</t>
  </si>
  <si>
    <t>Grille, UPPER KIDNEY GRILLE</t>
  </si>
  <si>
    <t>if harness bad still SET 4 or SET 2-TOSS singles</t>
  </si>
  <si>
    <t>Headlight Washer Squirters &amp; Cover Caps</t>
  </si>
  <si>
    <t>Hood Hinge</t>
  </si>
  <si>
    <t>Hood Latches</t>
  </si>
  <si>
    <t>SET 2 w/ cables, sell hood latches SET 2 if cables bad</t>
  </si>
  <si>
    <t>SET 2</t>
  </si>
  <si>
    <t>Steering Column Center Rod &amp; Lower U-Joint Shaft</t>
  </si>
  <si>
    <t>keep ON wheel if selling, w/ trim if trim good</t>
  </si>
  <si>
    <t>Sunroof, Motor</t>
  </si>
  <si>
    <t>bad=keep ballast, adapt mod|toss LED mod &amp; plastic bracket</t>
  </si>
  <si>
    <t>Timing Gear, RIGHT Head</t>
  </si>
  <si>
    <t>Climate Control Panel, Radio Control Panel, and Trim - FRONT</t>
  </si>
  <si>
    <t>Climate Control Panel - REAR</t>
  </si>
  <si>
    <t>Seat Control &amp; Memory Module, w/ Comfort Seat - FRONT LEFT</t>
  </si>
  <si>
    <t>Seat Control &amp; Memory Module, w/ Comfort Seat - FRONT RIGHT</t>
  </si>
  <si>
    <t>Trunk Electric Shock</t>
  </si>
  <si>
    <t>SET 3, sell SINGLES if some bad</t>
  </si>
  <si>
    <t>Headrest, FRONT - RIGHT</t>
  </si>
  <si>
    <t>Headrest, FRONT - LEFT</t>
  </si>
  <si>
    <t>SET 2, sell singles if 1 bad, sell upper "U" separate</t>
  </si>
  <si>
    <t>SET 3, keep only big one if 1 bad</t>
  </si>
  <si>
    <t>Row Labels</t>
  </si>
  <si>
    <t>Airbag Module, PRIMARY (black plastic white on top)(KEEP ALUMINUM MODULE SAYS "AIRBAG")</t>
  </si>
  <si>
    <t>(blank)</t>
  </si>
  <si>
    <t>Grand Total</t>
  </si>
  <si>
    <t>Count of Price</t>
  </si>
  <si>
    <t>Average of Price</t>
  </si>
  <si>
    <t>Item Photo URL 7</t>
  </si>
  <si>
    <t>Example</t>
  </si>
  <si>
    <t>Current</t>
  </si>
  <si>
    <t>Pic URL</t>
  </si>
  <si>
    <t>Car Pic</t>
  </si>
  <si>
    <t>Avg. $</t>
  </si>
  <si>
    <t>Piston Rods SET</t>
  </si>
  <si>
    <t>Pistons SET 6</t>
  </si>
  <si>
    <t>SET A</t>
  </si>
  <si>
    <t>not solo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</si>
</sst>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_(* #,##0.0000_);_(* \(#,##0.0000\);_(* &quot;-&quot;??_);_(@_)"/>
    <numFmt numFmtId="165" formatCode="_(* #,##0_);_(* \(#,##0\);_(* &quot;-&quot;??_);_(@_)"/>
    <numFmt numFmtId="166" formatCode="#\ ??/16"/>
    <numFmt numFmtId="167" formatCode="_([$$-409]* #,##0_);_([$$-409]* \(#,##0\);_([$$-409]* &quot;-&quot;??_);_(@_)"/>
    <numFmt numFmtId="168" formatCode="_(* #,##0.0_);_(* \(#,##0.0\);_(* &quot;-&quot;??_);_(@_)"/>
  </numFmts>
  <fonts count="37" x14ac:knownFonts="1">
    <font>
      <sz val="11"/>
      <color theme="1"/>
      <name val="Calibri"/>
      <family val="2"/>
      <scheme val="minor"/>
    </font>
    <font>
      <b/>
      <sz val="11"/>
      <color theme="1"/>
      <name val="Calibri"/>
      <family val="2"/>
      <scheme val="minor"/>
    </font>
    <font>
      <b/>
      <sz val="11"/>
      <color rgb="FFFF0000"/>
      <name val="Calibri"/>
      <family val="2"/>
      <scheme val="minor"/>
    </font>
    <font>
      <sz val="11"/>
      <color rgb="FFFF0000"/>
      <name val="Calibri"/>
      <family val="2"/>
      <scheme val="minor"/>
    </font>
    <font>
      <b/>
      <sz val="11"/>
      <color rgb="FF0000FF"/>
      <name val="Calibri"/>
      <family val="2"/>
      <scheme val="minor"/>
    </font>
    <font>
      <b/>
      <sz val="11"/>
      <color rgb="FF7030A0"/>
      <name val="Calibri"/>
      <family val="2"/>
      <scheme val="minor"/>
    </font>
    <font>
      <sz val="11"/>
      <color theme="1"/>
      <name val="Calibri"/>
      <family val="2"/>
      <scheme val="minor"/>
    </font>
    <font>
      <b/>
      <u/>
      <sz val="11"/>
      <color theme="1"/>
      <name val="Calibri"/>
      <family val="2"/>
      <scheme val="minor"/>
    </font>
    <font>
      <b/>
      <u/>
      <sz val="11.5"/>
      <color rgb="FF222222"/>
      <name val="Arial"/>
      <family val="2"/>
    </font>
    <font>
      <sz val="11.5"/>
      <color rgb="FF222222"/>
      <name val="Arial"/>
      <family val="2"/>
    </font>
    <font>
      <b/>
      <sz val="11"/>
      <color rgb="FF000000"/>
      <name val="Calibri"/>
      <family val="2"/>
      <scheme val="minor"/>
    </font>
    <font>
      <sz val="11"/>
      <color rgb="FF000000"/>
      <name val="Calibri"/>
      <family val="2"/>
      <scheme val="minor"/>
    </font>
    <font>
      <sz val="10"/>
      <color rgb="FF000000"/>
      <name val="Arial"/>
      <family val="2"/>
    </font>
    <font>
      <sz val="10"/>
      <color rgb="FF1D1D1D"/>
      <name val="Arial"/>
      <family val="2"/>
    </font>
    <font>
      <b/>
      <sz val="10"/>
      <color rgb="FF3A4351"/>
      <name val="Arial"/>
      <family val="2"/>
    </font>
    <font>
      <sz val="20"/>
      <color rgb="FFFF0000"/>
      <name val="Calibri"/>
      <family val="2"/>
      <scheme val="minor"/>
    </font>
    <font>
      <u/>
      <sz val="11"/>
      <color theme="10"/>
      <name val="Calibri"/>
      <family val="2"/>
      <scheme val="minor"/>
    </font>
    <font>
      <b/>
      <sz val="11"/>
      <color rgb="FF339933"/>
      <name val="Calibri"/>
      <family val="2"/>
      <scheme val="minor"/>
    </font>
    <font>
      <b/>
      <sz val="14"/>
      <color theme="1"/>
      <name val="Calibri"/>
      <family val="2"/>
      <scheme val="minor"/>
    </font>
    <font>
      <b/>
      <sz val="14"/>
      <color rgb="FFFF0000"/>
      <name val="Calibri"/>
      <family val="2"/>
      <scheme val="minor"/>
    </font>
    <font>
      <b/>
      <sz val="14"/>
      <color rgb="FF7030A0"/>
      <name val="Calibri"/>
      <family val="2"/>
      <scheme val="minor"/>
    </font>
    <font>
      <b/>
      <sz val="14"/>
      <color rgb="FF0000FF"/>
      <name val="Calibri"/>
      <family val="2"/>
      <scheme val="minor"/>
    </font>
    <font>
      <sz val="11"/>
      <color rgb="FF00B050"/>
      <name val="Calibri"/>
      <family val="2"/>
      <scheme val="minor"/>
    </font>
    <font>
      <sz val="11"/>
      <color rgb="FF0000FF"/>
      <name val="Calibri"/>
      <family val="2"/>
      <scheme val="minor"/>
    </font>
    <font>
      <b/>
      <sz val="11"/>
      <color rgb="FF00B050"/>
      <name val="Calibri"/>
      <family val="2"/>
      <scheme val="minor"/>
    </font>
    <font>
      <b/>
      <sz val="11"/>
      <color rgb="FF00B0F0"/>
      <name val="Calibri"/>
      <family val="2"/>
      <scheme val="minor"/>
    </font>
    <font>
      <sz val="11"/>
      <color rgb="FF00B0F0"/>
      <name val="Calibri"/>
      <family val="2"/>
      <scheme val="minor"/>
    </font>
    <font>
      <b/>
      <sz val="11"/>
      <color rgb="FFFF33CC"/>
      <name val="Calibri"/>
      <family val="2"/>
      <scheme val="minor"/>
    </font>
    <font>
      <b/>
      <sz val="11"/>
      <name val="Calibri"/>
      <family val="2"/>
      <scheme val="minor"/>
    </font>
    <font>
      <b/>
      <i/>
      <sz val="11"/>
      <name val="Calibri"/>
      <family val="2"/>
      <scheme val="minor"/>
    </font>
    <font>
      <sz val="11"/>
      <name val="Calibri"/>
      <family val="2"/>
      <scheme val="minor"/>
    </font>
    <font>
      <sz val="8"/>
      <name val="Calibri"/>
      <family val="2"/>
      <scheme val="minor"/>
    </font>
    <font>
      <sz val="12"/>
      <color rgb="FF212529"/>
      <name val="Roboto"/>
    </font>
    <font>
      <b/>
      <sz val="11"/>
      <color rgb="FF212529"/>
      <name val="Roboto"/>
    </font>
    <font>
      <sz val="11"/>
      <color rgb="FF212529"/>
      <name val="Roboto"/>
    </font>
    <font>
      <b/>
      <sz val="12"/>
      <color rgb="FF212529"/>
      <name val="Roboto"/>
    </font>
    <font>
      <sz val="11"/>
      <color rgb="FF000000"/>
      <name val="Calibri"/>
      <family val="2"/>
    </font>
  </fonts>
  <fills count="26">
    <fill>
      <patternFill patternType="none"/>
    </fill>
    <fill>
      <patternFill patternType="gray125"/>
    </fill>
    <fill>
      <patternFill patternType="solid">
        <fgColor rgb="FF00B0F0"/>
        <bgColor indexed="64"/>
      </patternFill>
    </fill>
    <fill>
      <patternFill patternType="solid">
        <fgColor rgb="FFFFFF99"/>
        <bgColor indexed="64"/>
      </patternFill>
    </fill>
    <fill>
      <patternFill patternType="solid">
        <fgColor rgb="FF00B050"/>
        <bgColor indexed="64"/>
      </patternFill>
    </fill>
    <fill>
      <patternFill patternType="solid">
        <fgColor rgb="FF66FF33"/>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99FF"/>
        <bgColor indexed="64"/>
      </patternFill>
    </fill>
    <fill>
      <patternFill patternType="solid">
        <fgColor theme="2" tint="-0.249977111117893"/>
        <bgColor indexed="64"/>
      </patternFill>
    </fill>
    <fill>
      <patternFill patternType="solid">
        <fgColor rgb="FF7030A0"/>
        <bgColor indexed="64"/>
      </patternFill>
    </fill>
    <fill>
      <patternFill patternType="solid">
        <fgColor rgb="FFFF33CC"/>
        <bgColor indexed="64"/>
      </patternFill>
    </fill>
    <fill>
      <patternFill patternType="solid">
        <fgColor rgb="FF339933"/>
        <bgColor indexed="64"/>
      </patternFill>
    </fill>
    <fill>
      <patternFill patternType="solid">
        <fgColor rgb="FFFF0000"/>
        <bgColor indexed="64"/>
      </patternFill>
    </fill>
    <fill>
      <patternFill patternType="solid">
        <fgColor rgb="FF00FF00"/>
        <bgColor indexed="64"/>
      </patternFill>
    </fill>
    <fill>
      <patternFill patternType="solid">
        <fgColor rgb="FF0000FF"/>
        <bgColor indexed="64"/>
      </patternFill>
    </fill>
    <fill>
      <patternFill patternType="solid">
        <fgColor rgb="FF006600"/>
        <bgColor indexed="64"/>
      </patternFill>
    </fill>
  </fills>
  <borders count="4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rgb="FF000000"/>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bottom style="thin">
        <color indexed="64"/>
      </bottom>
      <diagonal/>
    </border>
    <border>
      <left style="thick">
        <color indexed="64"/>
      </left>
      <right/>
      <top style="medium">
        <color indexed="64"/>
      </top>
      <bottom style="thin">
        <color indexed="64"/>
      </bottom>
      <diagonal/>
    </border>
    <border>
      <left style="thick">
        <color indexed="64"/>
      </left>
      <right/>
      <top/>
      <bottom style="thin">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double">
        <color indexed="64"/>
      </bottom>
      <diagonal/>
    </border>
    <border>
      <left style="thin">
        <color indexed="64"/>
      </left>
      <right style="medium">
        <color indexed="64"/>
      </right>
      <top style="medium">
        <color indexed="64"/>
      </top>
      <bottom style="thin">
        <color indexed="64"/>
      </bottom>
      <diagonal/>
    </border>
    <border>
      <left/>
      <right/>
      <top style="medium">
        <color rgb="FFDEE2E6"/>
      </top>
      <bottom/>
      <diagonal/>
    </border>
    <border>
      <left/>
      <right/>
      <top style="medium">
        <color rgb="FFDEE2E6"/>
      </top>
      <bottom style="thick">
        <color rgb="FFDEE2E6"/>
      </bottom>
      <diagonal/>
    </border>
    <border>
      <left style="thin">
        <color indexed="64"/>
      </left>
      <right style="thin">
        <color indexed="64"/>
      </right>
      <top/>
      <bottom/>
      <diagonal/>
    </border>
  </borders>
  <cellStyleXfs count="3">
    <xf numFmtId="0" fontId="0" fillId="0" borderId="0"/>
    <xf numFmtId="43" fontId="6" fillId="0" borderId="0" applyFont="0" applyFill="0" applyBorder="0" applyAlignment="0" applyProtection="0"/>
    <xf numFmtId="0" fontId="16" fillId="0" borderId="0" applyNumberFormat="0" applyFill="0" applyBorder="0" applyAlignment="0" applyProtection="0"/>
  </cellStyleXfs>
  <cellXfs count="448">
    <xf numFmtId="0" fontId="0" fillId="0" borderId="0" xfId="0"/>
    <xf numFmtId="0" fontId="1" fillId="0" borderId="0" xfId="0" applyFont="1" applyAlignment="1">
      <alignment horizontal="center"/>
    </xf>
    <xf numFmtId="0" fontId="1" fillId="2" borderId="1" xfId="0" applyFont="1" applyFill="1" applyBorder="1" applyAlignment="1">
      <alignment horizontal="center"/>
    </xf>
    <xf numFmtId="49" fontId="0" fillId="0" borderId="0" xfId="0" applyNumberFormat="1"/>
    <xf numFmtId="49" fontId="1" fillId="0" borderId="0" xfId="0" applyNumberFormat="1" applyFont="1" applyAlignment="1">
      <alignment horizontal="center"/>
    </xf>
    <xf numFmtId="0" fontId="2" fillId="0" borderId="0" xfId="0" applyFont="1"/>
    <xf numFmtId="0" fontId="1" fillId="2" borderId="1" xfId="0" applyFont="1" applyFill="1" applyBorder="1" applyAlignment="1">
      <alignment horizontal="right"/>
    </xf>
    <xf numFmtId="0" fontId="0" fillId="0" borderId="9" xfId="0" applyBorder="1"/>
    <xf numFmtId="0" fontId="1" fillId="5" borderId="9" xfId="0" applyFont="1" applyFill="1" applyBorder="1" applyAlignment="1">
      <alignment horizontal="center"/>
    </xf>
    <xf numFmtId="0" fontId="1" fillId="2" borderId="2" xfId="0" applyFont="1" applyFill="1" applyBorder="1" applyAlignment="1">
      <alignment horizontal="center"/>
    </xf>
    <xf numFmtId="0" fontId="0" fillId="0" borderId="4" xfId="0" applyBorder="1"/>
    <xf numFmtId="0" fontId="0" fillId="0" borderId="0" xfId="0" applyAlignment="1">
      <alignment horizontal="left"/>
    </xf>
    <xf numFmtId="0" fontId="0" fillId="0" borderId="0" xfId="0" applyAlignment="1">
      <alignment vertical="top"/>
    </xf>
    <xf numFmtId="0" fontId="0" fillId="0" borderId="4" xfId="0" applyBorder="1" applyAlignment="1">
      <alignment vertical="top" wrapText="1"/>
    </xf>
    <xf numFmtId="0" fontId="2" fillId="0" borderId="0" xfId="0" applyFont="1" applyAlignment="1">
      <alignment horizontal="right" vertical="top"/>
    </xf>
    <xf numFmtId="0" fontId="0" fillId="0" borderId="5" xfId="0" applyBorder="1"/>
    <xf numFmtId="0" fontId="1" fillId="0" borderId="4" xfId="0" applyFont="1" applyBorder="1"/>
    <xf numFmtId="0" fontId="1" fillId="2" borderId="3" xfId="0" applyFont="1" applyFill="1" applyBorder="1" applyAlignment="1">
      <alignment horizontal="center"/>
    </xf>
    <xf numFmtId="0" fontId="1" fillId="0" borderId="4" xfId="0" applyFont="1" applyBorder="1" applyAlignment="1">
      <alignment horizontal="right"/>
    </xf>
    <xf numFmtId="0" fontId="4" fillId="0" borderId="4" xfId="0" applyFont="1" applyBorder="1" applyAlignment="1">
      <alignment horizontal="center"/>
    </xf>
    <xf numFmtId="0" fontId="1" fillId="3" borderId="9" xfId="0" applyFont="1" applyFill="1" applyBorder="1" applyAlignment="1">
      <alignment horizontal="center"/>
    </xf>
    <xf numFmtId="0" fontId="0" fillId="0" borderId="0" xfId="0" quotePrefix="1"/>
    <xf numFmtId="0" fontId="1" fillId="6" borderId="9" xfId="0" applyFont="1" applyFill="1" applyBorder="1" applyAlignment="1">
      <alignment horizontal="center"/>
    </xf>
    <xf numFmtId="0" fontId="0" fillId="0" borderId="9" xfId="0" applyBorder="1" applyAlignment="1">
      <alignment horizontal="left"/>
    </xf>
    <xf numFmtId="164" fontId="1" fillId="2" borderId="1" xfId="1" quotePrefix="1" applyNumberFormat="1" applyFont="1" applyFill="1" applyBorder="1" applyAlignment="1">
      <alignment horizontal="center"/>
    </xf>
    <xf numFmtId="43" fontId="0" fillId="0" borderId="10" xfId="0" applyNumberFormat="1" applyBorder="1"/>
    <xf numFmtId="0" fontId="1" fillId="8" borderId="1" xfId="0" quotePrefix="1" applyFont="1" applyFill="1" applyBorder="1" applyAlignment="1">
      <alignment horizontal="center"/>
    </xf>
    <xf numFmtId="0" fontId="1" fillId="0" borderId="0" xfId="0" quotePrefix="1" applyFont="1" applyAlignment="1">
      <alignment horizontal="center"/>
    </xf>
    <xf numFmtId="0" fontId="1" fillId="0" borderId="0" xfId="0" applyFont="1" applyAlignment="1">
      <alignment horizontal="right"/>
    </xf>
    <xf numFmtId="14" fontId="0" fillId="0" borderId="9" xfId="1" applyNumberFormat="1" applyFont="1" applyBorder="1" applyAlignment="1">
      <alignment horizontal="right"/>
    </xf>
    <xf numFmtId="14" fontId="3" fillId="9" borderId="9" xfId="1" applyNumberFormat="1" applyFont="1" applyFill="1" applyBorder="1" applyAlignment="1">
      <alignment horizontal="right"/>
    </xf>
    <xf numFmtId="0" fontId="0" fillId="6" borderId="1" xfId="0" applyFill="1" applyBorder="1" applyAlignment="1">
      <alignment horizontal="left"/>
    </xf>
    <xf numFmtId="0" fontId="0" fillId="6" borderId="3" xfId="0" applyFill="1" applyBorder="1" applyAlignment="1">
      <alignment horizontal="left"/>
    </xf>
    <xf numFmtId="0" fontId="1" fillId="0" borderId="0" xfId="0" applyFont="1" applyAlignment="1">
      <alignment horizontal="center" vertical="top"/>
    </xf>
    <xf numFmtId="0" fontId="1" fillId="2" borderId="2" xfId="0" applyFont="1" applyFill="1" applyBorder="1" applyAlignment="1">
      <alignment horizontal="center" vertical="top" wrapText="1"/>
    </xf>
    <xf numFmtId="0" fontId="0" fillId="0" borderId="15" xfId="0" applyBorder="1"/>
    <xf numFmtId="0" fontId="0" fillId="0" borderId="16" xfId="0" applyBorder="1"/>
    <xf numFmtId="0" fontId="1" fillId="2" borderId="17" xfId="0" applyFont="1" applyFill="1" applyBorder="1"/>
    <xf numFmtId="0" fontId="1" fillId="2" borderId="14" xfId="0" applyFont="1" applyFill="1" applyBorder="1"/>
    <xf numFmtId="0" fontId="0" fillId="7" borderId="13" xfId="0" applyFill="1" applyBorder="1"/>
    <xf numFmtId="0" fontId="1" fillId="3" borderId="18" xfId="0" applyFont="1" applyFill="1" applyBorder="1"/>
    <xf numFmtId="0" fontId="1" fillId="3" borderId="14" xfId="0" applyFont="1" applyFill="1" applyBorder="1"/>
    <xf numFmtId="0" fontId="1" fillId="2" borderId="18" xfId="0" applyFont="1" applyFill="1" applyBorder="1"/>
    <xf numFmtId="17" fontId="0" fillId="0" borderId="9" xfId="0" applyNumberFormat="1" applyBorder="1" applyAlignment="1">
      <alignment horizontal="left"/>
    </xf>
    <xf numFmtId="14" fontId="0" fillId="9" borderId="0" xfId="1" applyNumberFormat="1" applyFont="1" applyFill="1" applyAlignment="1">
      <alignment horizontal="right"/>
    </xf>
    <xf numFmtId="0" fontId="0" fillId="0" borderId="0" xfId="0" applyAlignment="1">
      <alignment horizontal="center"/>
    </xf>
    <xf numFmtId="0" fontId="1" fillId="3" borderId="9" xfId="0" applyFont="1" applyFill="1" applyBorder="1" applyAlignment="1">
      <alignment horizontal="center" vertical="top" wrapText="1"/>
    </xf>
    <xf numFmtId="9" fontId="0" fillId="0" borderId="1" xfId="0" applyNumberFormat="1" applyBorder="1"/>
    <xf numFmtId="0" fontId="1" fillId="2" borderId="1" xfId="0" applyFont="1" applyFill="1" applyBorder="1" applyAlignment="1">
      <alignment horizontal="center" vertical="top"/>
    </xf>
    <xf numFmtId="0" fontId="0" fillId="0" borderId="8" xfId="0" applyBorder="1"/>
    <xf numFmtId="0" fontId="1" fillId="3" borderId="6" xfId="0" applyFont="1" applyFill="1" applyBorder="1" applyAlignment="1">
      <alignment horizontal="center"/>
    </xf>
    <xf numFmtId="0" fontId="1" fillId="3" borderId="8" xfId="0" applyFont="1" applyFill="1" applyBorder="1" applyAlignment="1">
      <alignment horizontal="center"/>
    </xf>
    <xf numFmtId="14" fontId="0" fillId="0" borderId="0" xfId="1" applyNumberFormat="1" applyFont="1" applyAlignment="1">
      <alignment horizontal="right"/>
    </xf>
    <xf numFmtId="0" fontId="0" fillId="6" borderId="9" xfId="0" applyFill="1" applyBorder="1" applyAlignment="1">
      <alignment horizontal="left"/>
    </xf>
    <xf numFmtId="0" fontId="5" fillId="0" borderId="0" xfId="0" applyFont="1" applyAlignment="1">
      <alignment horizontal="center"/>
    </xf>
    <xf numFmtId="0" fontId="5" fillId="0" borderId="0" xfId="0" applyFont="1"/>
    <xf numFmtId="0" fontId="8" fillId="0" borderId="0" xfId="0" applyFont="1" applyAlignment="1">
      <alignment vertical="center"/>
    </xf>
    <xf numFmtId="0" fontId="9" fillId="0" borderId="0" xfId="0" applyFont="1" applyAlignment="1">
      <alignment vertical="center"/>
    </xf>
    <xf numFmtId="0" fontId="11" fillId="0" borderId="13" xfId="0" applyFont="1" applyBorder="1" applyAlignment="1">
      <alignment vertical="center"/>
    </xf>
    <xf numFmtId="0" fontId="12" fillId="0" borderId="13" xfId="0" applyFont="1" applyBorder="1" applyAlignment="1">
      <alignment vertical="center"/>
    </xf>
    <xf numFmtId="0" fontId="11" fillId="2" borderId="14" xfId="0" applyFont="1" applyFill="1" applyBorder="1" applyAlignment="1">
      <alignment horizontal="right" vertical="center"/>
    </xf>
    <xf numFmtId="0" fontId="11" fillId="7" borderId="13" xfId="0" applyFont="1" applyFill="1" applyBorder="1" applyAlignment="1">
      <alignment vertical="center"/>
    </xf>
    <xf numFmtId="0" fontId="11" fillId="2" borderId="9" xfId="0" applyFont="1" applyFill="1" applyBorder="1" applyAlignment="1">
      <alignment horizontal="right" vertical="center"/>
    </xf>
    <xf numFmtId="0" fontId="11" fillId="0" borderId="3" xfId="0" applyFont="1" applyBorder="1" applyAlignment="1">
      <alignment vertical="center"/>
    </xf>
    <xf numFmtId="0" fontId="11" fillId="10" borderId="13" xfId="0" applyFont="1" applyFill="1" applyBorder="1" applyAlignment="1">
      <alignment vertical="center"/>
    </xf>
    <xf numFmtId="167" fontId="0" fillId="10" borderId="9" xfId="0" applyNumberFormat="1" applyFill="1" applyBorder="1"/>
    <xf numFmtId="167" fontId="0" fillId="0" borderId="9" xfId="1" applyNumberFormat="1" applyFont="1" applyBorder="1"/>
    <xf numFmtId="0" fontId="0" fillId="4" borderId="9" xfId="0" applyFill="1" applyBorder="1"/>
    <xf numFmtId="0" fontId="2" fillId="0" borderId="0" xfId="0" applyFont="1" applyAlignment="1">
      <alignment horizontal="center" vertical="top"/>
    </xf>
    <xf numFmtId="2" fontId="0" fillId="0" borderId="9" xfId="1" applyNumberFormat="1" applyFont="1" applyBorder="1" applyAlignment="1">
      <alignment horizontal="right"/>
    </xf>
    <xf numFmtId="168" fontId="0" fillId="0" borderId="5" xfId="1" applyNumberFormat="1" applyFont="1" applyBorder="1"/>
    <xf numFmtId="168" fontId="0" fillId="0" borderId="4" xfId="1" applyNumberFormat="1" applyFont="1" applyBorder="1"/>
    <xf numFmtId="49" fontId="0" fillId="0" borderId="9" xfId="0" applyNumberFormat="1" applyBorder="1" applyAlignment="1">
      <alignment horizontal="right"/>
    </xf>
    <xf numFmtId="0" fontId="1" fillId="12" borderId="3" xfId="0" applyFont="1" applyFill="1" applyBorder="1" applyAlignment="1">
      <alignment horizontal="center" vertical="top" wrapText="1"/>
    </xf>
    <xf numFmtId="0" fontId="1" fillId="12" borderId="8" xfId="0" applyFont="1" applyFill="1" applyBorder="1" applyAlignment="1">
      <alignment horizontal="center" vertical="top" wrapText="1"/>
    </xf>
    <xf numFmtId="0" fontId="0" fillId="0" borderId="24" xfId="0" applyBorder="1"/>
    <xf numFmtId="0" fontId="0" fillId="6" borderId="25" xfId="0" applyFill="1" applyBorder="1"/>
    <xf numFmtId="0" fontId="0" fillId="0" borderId="25" xfId="0" applyBorder="1"/>
    <xf numFmtId="14" fontId="0" fillId="0" borderId="23" xfId="0" applyNumberFormat="1" applyBorder="1"/>
    <xf numFmtId="0" fontId="1" fillId="12" borderId="7" xfId="0" applyFont="1" applyFill="1" applyBorder="1" applyAlignment="1">
      <alignment horizontal="center" vertical="top" wrapText="1"/>
    </xf>
    <xf numFmtId="0" fontId="1" fillId="12" borderId="1" xfId="0" applyFont="1" applyFill="1" applyBorder="1" applyAlignment="1">
      <alignment horizontal="center" vertical="top" wrapText="1"/>
    </xf>
    <xf numFmtId="0" fontId="1" fillId="12" borderId="2" xfId="0" applyFont="1" applyFill="1" applyBorder="1" applyAlignment="1">
      <alignment horizontal="center" vertical="top" wrapText="1"/>
    </xf>
    <xf numFmtId="0" fontId="1" fillId="15" borderId="3" xfId="0" applyFont="1" applyFill="1" applyBorder="1" applyAlignment="1">
      <alignment horizontal="center" vertical="top"/>
    </xf>
    <xf numFmtId="0" fontId="1" fillId="15" borderId="6" xfId="0" applyFont="1" applyFill="1" applyBorder="1" applyAlignment="1">
      <alignment horizontal="center" vertical="top"/>
    </xf>
    <xf numFmtId="0" fontId="1" fillId="15" borderId="7" xfId="0" applyFont="1" applyFill="1" applyBorder="1" applyAlignment="1">
      <alignment horizontal="center" vertical="top"/>
    </xf>
    <xf numFmtId="168" fontId="0" fillId="0" borderId="26" xfId="1" applyNumberFormat="1" applyFont="1" applyBorder="1"/>
    <xf numFmtId="168" fontId="0" fillId="0" borderId="23" xfId="1" applyNumberFormat="1" applyFont="1" applyBorder="1"/>
    <xf numFmtId="168" fontId="0" fillId="0" borderId="25" xfId="1" applyNumberFormat="1" applyFont="1" applyBorder="1"/>
    <xf numFmtId="168" fontId="0" fillId="0" borderId="24" xfId="1" applyNumberFormat="1" applyFont="1" applyBorder="1"/>
    <xf numFmtId="168" fontId="0" fillId="6" borderId="28" xfId="1" applyNumberFormat="1" applyFont="1" applyFill="1" applyBorder="1"/>
    <xf numFmtId="168" fontId="0" fillId="6" borderId="29" xfId="1" applyNumberFormat="1" applyFont="1" applyFill="1" applyBorder="1"/>
    <xf numFmtId="0" fontId="1" fillId="12" borderId="6" xfId="0" applyFont="1" applyFill="1" applyBorder="1" applyAlignment="1">
      <alignment horizontal="center" vertical="top" wrapText="1"/>
    </xf>
    <xf numFmtId="0" fontId="0" fillId="6" borderId="27" xfId="0" applyFill="1" applyBorder="1"/>
    <xf numFmtId="0" fontId="0" fillId="6" borderId="28" xfId="0" applyFill="1" applyBorder="1"/>
    <xf numFmtId="167" fontId="0" fillId="0" borderId="4" xfId="0" applyNumberFormat="1" applyBorder="1"/>
    <xf numFmtId="167" fontId="0" fillId="0" borderId="9" xfId="0" applyNumberFormat="1" applyBorder="1"/>
    <xf numFmtId="168" fontId="0" fillId="0" borderId="9" xfId="1" applyNumberFormat="1" applyFont="1" applyBorder="1"/>
    <xf numFmtId="0" fontId="0" fillId="0" borderId="4" xfId="0" applyBorder="1" applyAlignment="1">
      <alignment horizontal="right"/>
    </xf>
    <xf numFmtId="0" fontId="2" fillId="0" borderId="0" xfId="0" applyFont="1" applyAlignment="1">
      <alignment horizontal="center"/>
    </xf>
    <xf numFmtId="0" fontId="4" fillId="0" borderId="4" xfId="0" applyFont="1" applyBorder="1"/>
    <xf numFmtId="166" fontId="0" fillId="0" borderId="14" xfId="1" applyNumberFormat="1" applyFont="1" applyBorder="1" applyAlignment="1">
      <alignment horizontal="right"/>
    </xf>
    <xf numFmtId="0" fontId="13" fillId="0" borderId="9" xfId="0" applyFont="1" applyBorder="1"/>
    <xf numFmtId="0" fontId="1" fillId="0" borderId="0" xfId="0" applyFont="1"/>
    <xf numFmtId="0" fontId="0" fillId="0" borderId="36" xfId="0" applyBorder="1"/>
    <xf numFmtId="0" fontId="0" fillId="16" borderId="0" xfId="0" applyFill="1"/>
    <xf numFmtId="17" fontId="0" fillId="0" borderId="14" xfId="0" applyNumberFormat="1" applyBorder="1" applyAlignment="1">
      <alignment horizontal="left"/>
    </xf>
    <xf numFmtId="0" fontId="1" fillId="3" borderId="6" xfId="0" applyFont="1" applyFill="1" applyBorder="1" applyAlignment="1">
      <alignment horizontal="right"/>
    </xf>
    <xf numFmtId="0" fontId="1" fillId="3" borderId="7" xfId="0" applyFont="1" applyFill="1" applyBorder="1" applyAlignment="1">
      <alignment horizontal="center"/>
    </xf>
    <xf numFmtId="0" fontId="0" fillId="0" borderId="34" xfId="0" applyBorder="1" applyAlignment="1">
      <alignment horizontal="right"/>
    </xf>
    <xf numFmtId="0" fontId="0" fillId="0" borderId="35" xfId="0" applyBorder="1"/>
    <xf numFmtId="0" fontId="0" fillId="0" borderId="39" xfId="0" applyBorder="1" applyAlignment="1">
      <alignment horizontal="center"/>
    </xf>
    <xf numFmtId="0" fontId="0" fillId="0" borderId="37" xfId="0" applyBorder="1" applyAlignment="1">
      <alignment horizontal="center"/>
    </xf>
    <xf numFmtId="0" fontId="0" fillId="0" borderId="36" xfId="0" applyBorder="1" applyAlignment="1">
      <alignment horizontal="right"/>
    </xf>
    <xf numFmtId="3" fontId="14" fillId="0" borderId="9" xfId="0" applyNumberFormat="1" applyFont="1" applyBorder="1"/>
    <xf numFmtId="0" fontId="1" fillId="17" borderId="1" xfId="0" applyFont="1" applyFill="1" applyBorder="1" applyAlignment="1">
      <alignment horizontal="center"/>
    </xf>
    <xf numFmtId="0" fontId="1" fillId="17" borderId="3" xfId="0" applyFont="1" applyFill="1" applyBorder="1" applyAlignment="1">
      <alignment horizontal="center"/>
    </xf>
    <xf numFmtId="0" fontId="1" fillId="0" borderId="1" xfId="0" applyFont="1" applyBorder="1" applyAlignment="1">
      <alignment horizontal="right"/>
    </xf>
    <xf numFmtId="0" fontId="0" fillId="0" borderId="9" xfId="0" applyBorder="1" applyAlignment="1">
      <alignment horizontal="center"/>
    </xf>
    <xf numFmtId="0" fontId="1" fillId="0" borderId="9" xfId="0" applyFont="1" applyBorder="1" applyAlignment="1">
      <alignment horizontal="right"/>
    </xf>
    <xf numFmtId="0" fontId="1" fillId="17" borderId="2" xfId="0" applyFont="1" applyFill="1" applyBorder="1" applyAlignment="1">
      <alignment horizontal="center"/>
    </xf>
    <xf numFmtId="0" fontId="1" fillId="18" borderId="1" xfId="0" applyFont="1" applyFill="1" applyBorder="1" applyAlignment="1">
      <alignment horizontal="center"/>
    </xf>
    <xf numFmtId="0" fontId="1" fillId="18" borderId="2" xfId="0" applyFont="1" applyFill="1" applyBorder="1" applyAlignment="1">
      <alignment horizontal="center"/>
    </xf>
    <xf numFmtId="0" fontId="1" fillId="18" borderId="3" xfId="0" applyFont="1" applyFill="1" applyBorder="1" applyAlignment="1">
      <alignment horizontal="center"/>
    </xf>
    <xf numFmtId="0" fontId="0" fillId="0" borderId="0" xfId="0" applyAlignment="1">
      <alignment horizontal="center" vertical="top"/>
    </xf>
    <xf numFmtId="0" fontId="0" fillId="0" borderId="5" xfId="0" applyBorder="1" applyAlignment="1">
      <alignment horizontal="center" vertical="top"/>
    </xf>
    <xf numFmtId="0" fontId="0" fillId="0" borderId="23" xfId="0" applyBorder="1" applyAlignment="1">
      <alignment horizontal="center" vertical="top"/>
    </xf>
    <xf numFmtId="0" fontId="0" fillId="0" borderId="4" xfId="0" applyBorder="1" applyAlignment="1">
      <alignment horizontal="center" vertical="top"/>
    </xf>
    <xf numFmtId="0" fontId="0" fillId="0" borderId="24" xfId="0" applyBorder="1" applyAlignment="1">
      <alignment horizontal="center" vertical="top"/>
    </xf>
    <xf numFmtId="0" fontId="1" fillId="18" borderId="7" xfId="0" applyFont="1" applyFill="1" applyBorder="1" applyAlignment="1">
      <alignment horizontal="center"/>
    </xf>
    <xf numFmtId="0" fontId="0" fillId="0" borderId="15" xfId="0" applyBorder="1" applyAlignment="1">
      <alignment horizontal="center" vertical="top" wrapText="1"/>
    </xf>
    <xf numFmtId="0" fontId="0" fillId="0" borderId="15" xfId="0" applyBorder="1" applyAlignment="1">
      <alignment horizontal="center" vertical="top"/>
    </xf>
    <xf numFmtId="0" fontId="0" fillId="0" borderId="3" xfId="0" applyBorder="1" applyAlignment="1">
      <alignment horizontal="center"/>
    </xf>
    <xf numFmtId="16" fontId="0" fillId="0" borderId="3" xfId="0" applyNumberFormat="1" applyBorder="1" applyAlignment="1">
      <alignment horizontal="center"/>
    </xf>
    <xf numFmtId="0" fontId="0" fillId="0" borderId="9" xfId="0" applyBorder="1" applyAlignment="1">
      <alignment horizontal="right"/>
    </xf>
    <xf numFmtId="0" fontId="16" fillId="0" borderId="0" xfId="2"/>
    <xf numFmtId="0" fontId="1" fillId="2" borderId="1" xfId="0" applyFont="1" applyFill="1" applyBorder="1" applyAlignment="1">
      <alignment horizontal="right" vertical="top"/>
    </xf>
    <xf numFmtId="0" fontId="1" fillId="6" borderId="1" xfId="0" applyFont="1" applyFill="1" applyBorder="1" applyAlignment="1">
      <alignment horizontal="center"/>
    </xf>
    <xf numFmtId="165" fontId="1" fillId="8" borderId="9" xfId="0" applyNumberFormat="1" applyFont="1" applyFill="1" applyBorder="1" applyAlignment="1">
      <alignment horizontal="center"/>
    </xf>
    <xf numFmtId="0" fontId="4" fillId="0" borderId="0" xfId="0" applyFont="1"/>
    <xf numFmtId="0" fontId="18" fillId="0" borderId="0" xfId="0" applyFont="1" applyAlignment="1">
      <alignment horizontal="center"/>
    </xf>
    <xf numFmtId="0" fontId="19" fillId="0" borderId="0" xfId="0" applyFont="1"/>
    <xf numFmtId="0" fontId="18" fillId="2" borderId="6" xfId="0" applyFont="1" applyFill="1" applyBorder="1" applyAlignment="1">
      <alignment horizontal="center"/>
    </xf>
    <xf numFmtId="0" fontId="18" fillId="2" borderId="7" xfId="0" applyFont="1" applyFill="1" applyBorder="1" applyAlignment="1">
      <alignment horizontal="center"/>
    </xf>
    <xf numFmtId="0" fontId="18" fillId="2" borderId="8" xfId="0" applyFont="1" applyFill="1" applyBorder="1" applyAlignment="1">
      <alignment horizontal="center"/>
    </xf>
    <xf numFmtId="0" fontId="20" fillId="0" borderId="4" xfId="0" applyFont="1" applyBorder="1" applyAlignment="1">
      <alignment horizontal="center" wrapText="1"/>
    </xf>
    <xf numFmtId="0" fontId="20" fillId="0" borderId="4" xfId="0" applyFont="1" applyBorder="1" applyAlignment="1">
      <alignment wrapText="1"/>
    </xf>
    <xf numFmtId="165" fontId="20" fillId="17" borderId="4" xfId="1" applyNumberFormat="1" applyFont="1" applyFill="1" applyBorder="1" applyAlignment="1">
      <alignment wrapText="1"/>
    </xf>
    <xf numFmtId="0" fontId="21" fillId="11" borderId="4" xfId="0" applyFont="1" applyFill="1" applyBorder="1" applyAlignment="1">
      <alignment horizontal="center" wrapText="1"/>
    </xf>
    <xf numFmtId="0" fontId="21" fillId="11" borderId="4" xfId="0" applyFont="1" applyFill="1" applyBorder="1" applyAlignment="1">
      <alignment wrapText="1"/>
    </xf>
    <xf numFmtId="0" fontId="21" fillId="0" borderId="4" xfId="0" applyFont="1" applyBorder="1" applyAlignment="1">
      <alignment horizontal="center" wrapText="1"/>
    </xf>
    <xf numFmtId="0" fontId="21" fillId="0" borderId="4" xfId="0" applyFont="1" applyBorder="1" applyAlignment="1">
      <alignment wrapText="1"/>
    </xf>
    <xf numFmtId="0" fontId="21" fillId="0" borderId="4" xfId="0" applyFont="1" applyBorder="1" applyAlignment="1">
      <alignment horizontal="right" wrapText="1"/>
    </xf>
    <xf numFmtId="1" fontId="21" fillId="0" borderId="4" xfId="0" applyNumberFormat="1" applyFont="1" applyBorder="1" applyAlignment="1">
      <alignment wrapText="1"/>
    </xf>
    <xf numFmtId="1" fontId="1" fillId="11" borderId="3" xfId="0" applyNumberFormat="1" applyFont="1" applyFill="1" applyBorder="1" applyAlignment="1">
      <alignment horizontal="center"/>
    </xf>
    <xf numFmtId="0" fontId="1" fillId="3" borderId="2" xfId="0" applyFont="1" applyFill="1" applyBorder="1" applyAlignment="1">
      <alignment horizontal="right"/>
    </xf>
    <xf numFmtId="3" fontId="1" fillId="10" borderId="3" xfId="0" applyNumberFormat="1" applyFont="1" applyFill="1" applyBorder="1" applyAlignment="1">
      <alignment horizontal="center"/>
    </xf>
    <xf numFmtId="0" fontId="17" fillId="0" borderId="4" xfId="0" applyFont="1" applyBorder="1" applyAlignment="1">
      <alignment horizontal="center"/>
    </xf>
    <xf numFmtId="0" fontId="22" fillId="0" borderId="4" xfId="0" applyFont="1" applyBorder="1" applyAlignment="1">
      <alignment horizontal="center"/>
    </xf>
    <xf numFmtId="0" fontId="2" fillId="0" borderId="4" xfId="0" applyFont="1" applyBorder="1" applyAlignment="1">
      <alignment horizontal="center"/>
    </xf>
    <xf numFmtId="0" fontId="3" fillId="0" borderId="4" xfId="0" applyFont="1" applyBorder="1" applyAlignment="1">
      <alignment horizontal="center"/>
    </xf>
    <xf numFmtId="0" fontId="23" fillId="0" borderId="4" xfId="0" applyFont="1" applyBorder="1"/>
    <xf numFmtId="0" fontId="23" fillId="0" borderId="4" xfId="0" applyFont="1" applyBorder="1" applyAlignment="1">
      <alignment horizontal="center"/>
    </xf>
    <xf numFmtId="0" fontId="1" fillId="0" borderId="4" xfId="0" quotePrefix="1" applyFont="1" applyBorder="1"/>
    <xf numFmtId="0" fontId="24" fillId="0" borderId="4" xfId="0" applyFont="1" applyBorder="1" applyAlignment="1">
      <alignment horizontal="center"/>
    </xf>
    <xf numFmtId="0" fontId="1" fillId="0" borderId="4" xfId="0" applyFont="1" applyBorder="1" applyAlignment="1">
      <alignment horizontal="center"/>
    </xf>
    <xf numFmtId="0" fontId="26" fillId="0" borderId="4" xfId="0" applyFont="1" applyBorder="1"/>
    <xf numFmtId="0" fontId="1" fillId="0" borderId="5" xfId="0" applyFont="1" applyBorder="1"/>
    <xf numFmtId="165" fontId="1" fillId="0" borderId="4" xfId="1" applyNumberFormat="1" applyFont="1" applyFill="1" applyBorder="1"/>
    <xf numFmtId="0" fontId="28" fillId="0" borderId="4" xfId="0" applyFont="1" applyBorder="1"/>
    <xf numFmtId="165" fontId="28" fillId="0" borderId="4" xfId="1" applyNumberFormat="1" applyFont="1" applyFill="1" applyBorder="1" applyAlignment="1"/>
    <xf numFmtId="0" fontId="28" fillId="0" borderId="4" xfId="0" applyFont="1" applyBorder="1" applyAlignment="1">
      <alignment horizontal="center"/>
    </xf>
    <xf numFmtId="0" fontId="28" fillId="0" borderId="5" xfId="0" applyFont="1" applyBorder="1"/>
    <xf numFmtId="0" fontId="30" fillId="0" borderId="4" xfId="0" applyFont="1" applyBorder="1"/>
    <xf numFmtId="0" fontId="0" fillId="19" borderId="4" xfId="0" applyFill="1" applyBorder="1"/>
    <xf numFmtId="0" fontId="0" fillId="0" borderId="4" xfId="0" applyBorder="1" applyAlignment="1">
      <alignment horizontal="center"/>
    </xf>
    <xf numFmtId="0" fontId="0" fillId="11" borderId="0" xfId="0" applyFill="1"/>
    <xf numFmtId="0" fontId="0" fillId="4" borderId="0" xfId="0" applyFill="1"/>
    <xf numFmtId="0" fontId="0" fillId="0" borderId="4" xfId="0" quotePrefix="1" applyBorder="1"/>
    <xf numFmtId="0" fontId="0" fillId="19" borderId="0" xfId="0" applyFill="1"/>
    <xf numFmtId="0" fontId="28" fillId="17" borderId="4" xfId="0" applyFont="1" applyFill="1" applyBorder="1"/>
    <xf numFmtId="0" fontId="29" fillId="0" borderId="5" xfId="0" applyFont="1" applyBorder="1"/>
    <xf numFmtId="49" fontId="23" fillId="0" borderId="0" xfId="0" applyNumberFormat="1" applyFont="1"/>
    <xf numFmtId="0" fontId="4" fillId="0" borderId="0" xfId="0" applyFont="1" applyAlignment="1">
      <alignment horizontal="center"/>
    </xf>
    <xf numFmtId="49" fontId="30" fillId="0" borderId="0" xfId="0" applyNumberFormat="1" applyFont="1"/>
    <xf numFmtId="0" fontId="1" fillId="0" borderId="1" xfId="0" applyFont="1" applyBorder="1" applyAlignment="1">
      <alignment horizontal="left"/>
    </xf>
    <xf numFmtId="0" fontId="1" fillId="0" borderId="3" xfId="0" applyFont="1" applyBorder="1" applyAlignment="1">
      <alignment horizontal="left"/>
    </xf>
    <xf numFmtId="14" fontId="1" fillId="0" borderId="3" xfId="0" applyNumberFormat="1" applyFont="1" applyBorder="1" applyAlignment="1">
      <alignment horizontal="left"/>
    </xf>
    <xf numFmtId="0" fontId="1" fillId="10" borderId="2" xfId="0" applyFont="1" applyFill="1" applyBorder="1" applyAlignment="1">
      <alignment horizontal="left"/>
    </xf>
    <xf numFmtId="14" fontId="0" fillId="0" borderId="0" xfId="0" applyNumberFormat="1"/>
    <xf numFmtId="0" fontId="28" fillId="0" borderId="4" xfId="0" applyFont="1" applyBorder="1" applyAlignment="1">
      <alignment horizontal="right"/>
    </xf>
    <xf numFmtId="0" fontId="0" fillId="5" borderId="0" xfId="0" applyFill="1"/>
    <xf numFmtId="0" fontId="0" fillId="5" borderId="0" xfId="0" applyFill="1" applyAlignment="1">
      <alignment horizontal="center"/>
    </xf>
    <xf numFmtId="0" fontId="1" fillId="5" borderId="4" xfId="0" applyFont="1" applyFill="1" applyBorder="1" applyAlignment="1">
      <alignment horizontal="center"/>
    </xf>
    <xf numFmtId="0" fontId="1" fillId="2" borderId="4" xfId="0" applyFont="1" applyFill="1" applyBorder="1" applyAlignment="1">
      <alignment horizontal="center"/>
    </xf>
    <xf numFmtId="0" fontId="1" fillId="20" borderId="4" xfId="0" applyFont="1" applyFill="1" applyBorder="1" applyAlignment="1">
      <alignment horizontal="center"/>
    </xf>
    <xf numFmtId="0" fontId="1" fillId="21" borderId="4" xfId="0" applyFont="1" applyFill="1" applyBorder="1" applyAlignment="1">
      <alignment horizontal="center"/>
    </xf>
    <xf numFmtId="0" fontId="1" fillId="17" borderId="4" xfId="0" applyFont="1" applyFill="1" applyBorder="1" applyAlignment="1">
      <alignment horizontal="center"/>
    </xf>
    <xf numFmtId="0" fontId="1" fillId="0" borderId="0" xfId="0" applyFont="1" applyAlignment="1">
      <alignment horizontal="left"/>
    </xf>
    <xf numFmtId="14" fontId="0" fillId="5" borderId="0" xfId="0" applyNumberFormat="1" applyFill="1"/>
    <xf numFmtId="0" fontId="17" fillId="5" borderId="4" xfId="0" applyFont="1" applyFill="1" applyBorder="1" applyAlignment="1">
      <alignment horizontal="center"/>
    </xf>
    <xf numFmtId="0" fontId="28" fillId="5" borderId="4" xfId="0" applyFont="1" applyFill="1" applyBorder="1" applyAlignment="1">
      <alignment horizontal="center"/>
    </xf>
    <xf numFmtId="0" fontId="28" fillId="5" borderId="4" xfId="0" applyFont="1" applyFill="1" applyBorder="1"/>
    <xf numFmtId="0" fontId="28" fillId="5" borderId="5" xfId="0" applyFont="1" applyFill="1" applyBorder="1"/>
    <xf numFmtId="0" fontId="5" fillId="5" borderId="0" xfId="0" applyFont="1" applyFill="1"/>
    <xf numFmtId="49" fontId="0" fillId="5" borderId="0" xfId="0" applyNumberFormat="1" applyFill="1"/>
    <xf numFmtId="0" fontId="1" fillId="5" borderId="4" xfId="0" applyFont="1" applyFill="1" applyBorder="1"/>
    <xf numFmtId="0" fontId="1" fillId="5" borderId="5" xfId="0" applyFont="1" applyFill="1" applyBorder="1"/>
    <xf numFmtId="0" fontId="5" fillId="5" borderId="4" xfId="0" applyFont="1" applyFill="1" applyBorder="1" applyAlignment="1">
      <alignment horizontal="center"/>
    </xf>
    <xf numFmtId="0" fontId="28" fillId="5" borderId="4" xfId="0" applyFont="1" applyFill="1" applyBorder="1" applyAlignment="1">
      <alignment horizontal="right"/>
    </xf>
    <xf numFmtId="0" fontId="2" fillId="5" borderId="4" xfId="0" applyFont="1" applyFill="1" applyBorder="1" applyAlignment="1">
      <alignment horizontal="center"/>
    </xf>
    <xf numFmtId="0" fontId="4" fillId="5" borderId="4" xfId="0" applyFont="1" applyFill="1" applyBorder="1" applyAlignment="1">
      <alignment horizontal="center"/>
    </xf>
    <xf numFmtId="0" fontId="4" fillId="5" borderId="0" xfId="0" applyFont="1" applyFill="1"/>
    <xf numFmtId="0" fontId="1" fillId="5" borderId="4" xfId="0" applyFont="1" applyFill="1" applyBorder="1" applyAlignment="1">
      <alignment horizontal="right"/>
    </xf>
    <xf numFmtId="0" fontId="4" fillId="5" borderId="4" xfId="0" applyFont="1" applyFill="1" applyBorder="1"/>
    <xf numFmtId="0" fontId="23" fillId="5" borderId="4" xfId="0" applyFont="1" applyFill="1" applyBorder="1" applyAlignment="1">
      <alignment horizontal="center"/>
    </xf>
    <xf numFmtId="0" fontId="0" fillId="5" borderId="4" xfId="0" applyFill="1" applyBorder="1"/>
    <xf numFmtId="0" fontId="1" fillId="5" borderId="4" xfId="0" quotePrefix="1" applyFont="1" applyFill="1" applyBorder="1"/>
    <xf numFmtId="0" fontId="24" fillId="5" borderId="4" xfId="0" applyFont="1" applyFill="1" applyBorder="1" applyAlignment="1">
      <alignment horizontal="center"/>
    </xf>
    <xf numFmtId="0" fontId="3" fillId="5" borderId="4" xfId="0" applyFont="1" applyFill="1" applyBorder="1" applyAlignment="1">
      <alignment horizontal="center"/>
    </xf>
    <xf numFmtId="0" fontId="3" fillId="5" borderId="0" xfId="0" applyFont="1" applyFill="1"/>
    <xf numFmtId="0" fontId="0" fillId="5" borderId="0" xfId="0" applyFill="1" applyAlignment="1">
      <alignment horizontal="right"/>
    </xf>
    <xf numFmtId="0" fontId="28" fillId="5" borderId="4" xfId="0" applyFont="1" applyFill="1" applyBorder="1" applyAlignment="1">
      <alignment horizontal="left"/>
    </xf>
    <xf numFmtId="0" fontId="22" fillId="5" borderId="4" xfId="0" applyFont="1" applyFill="1" applyBorder="1" applyAlignment="1">
      <alignment horizontal="center"/>
    </xf>
    <xf numFmtId="0" fontId="0" fillId="5" borderId="4" xfId="0" applyFill="1" applyBorder="1" applyAlignment="1">
      <alignment horizontal="center"/>
    </xf>
    <xf numFmtId="0" fontId="25" fillId="5" borderId="4" xfId="0" applyFont="1" applyFill="1" applyBorder="1"/>
    <xf numFmtId="0" fontId="30" fillId="5" borderId="4" xfId="0" applyFont="1" applyFill="1" applyBorder="1" applyAlignment="1">
      <alignment horizontal="right"/>
    </xf>
    <xf numFmtId="0" fontId="30" fillId="5" borderId="4" xfId="0" applyFont="1" applyFill="1" applyBorder="1"/>
    <xf numFmtId="0" fontId="0" fillId="5" borderId="5" xfId="0" applyFill="1" applyBorder="1"/>
    <xf numFmtId="0" fontId="30" fillId="5" borderId="4" xfId="0" applyFont="1" applyFill="1" applyBorder="1" applyAlignment="1">
      <alignment horizontal="center"/>
    </xf>
    <xf numFmtId="0" fontId="1" fillId="5" borderId="5" xfId="0" applyFont="1" applyFill="1" applyBorder="1" applyAlignment="1">
      <alignment horizontal="center"/>
    </xf>
    <xf numFmtId="0" fontId="28" fillId="5" borderId="5" xfId="0" applyFont="1" applyFill="1" applyBorder="1" applyAlignment="1">
      <alignment horizontal="center"/>
    </xf>
    <xf numFmtId="0" fontId="1" fillId="6" borderId="5" xfId="0" applyFont="1" applyFill="1" applyBorder="1"/>
    <xf numFmtId="0" fontId="28" fillId="5" borderId="5" xfId="0" applyFont="1" applyFill="1" applyBorder="1" applyAlignment="1">
      <alignment horizontal="right"/>
    </xf>
    <xf numFmtId="0" fontId="28" fillId="0" borderId="5" xfId="0" applyFont="1" applyBorder="1" applyAlignment="1">
      <alignment horizontal="right"/>
    </xf>
    <xf numFmtId="0" fontId="1" fillId="0" borderId="5" xfId="0" applyFont="1" applyBorder="1" applyAlignment="1">
      <alignment horizontal="center"/>
    </xf>
    <xf numFmtId="0" fontId="1" fillId="0" borderId="5" xfId="0" applyFont="1" applyBorder="1" applyAlignment="1">
      <alignment horizontal="right"/>
    </xf>
    <xf numFmtId="0" fontId="1" fillId="5" borderId="5" xfId="0" applyFont="1" applyFill="1" applyBorder="1" applyAlignment="1">
      <alignment horizontal="right"/>
    </xf>
    <xf numFmtId="0" fontId="28" fillId="0" borderId="5" xfId="0" applyFont="1" applyBorder="1" applyAlignment="1">
      <alignment horizontal="center"/>
    </xf>
    <xf numFmtId="0" fontId="28" fillId="5" borderId="5" xfId="0" applyFont="1" applyFill="1" applyBorder="1" applyAlignment="1">
      <alignment horizontal="left"/>
    </xf>
    <xf numFmtId="0" fontId="30" fillId="5" borderId="5" xfId="0" applyFont="1" applyFill="1" applyBorder="1" applyAlignment="1">
      <alignment horizontal="right"/>
    </xf>
    <xf numFmtId="0" fontId="30" fillId="5" borderId="5" xfId="0" applyFont="1" applyFill="1" applyBorder="1" applyAlignment="1">
      <alignment horizontal="center"/>
    </xf>
    <xf numFmtId="0" fontId="0" fillId="17" borderId="0" xfId="0" applyFill="1"/>
    <xf numFmtId="14" fontId="0" fillId="17" borderId="0" xfId="0" applyNumberFormat="1" applyFill="1"/>
    <xf numFmtId="0" fontId="1" fillId="17" borderId="4" xfId="0" applyFont="1" applyFill="1" applyBorder="1"/>
    <xf numFmtId="0" fontId="1" fillId="17" borderId="5" xfId="0" applyFont="1" applyFill="1" applyBorder="1"/>
    <xf numFmtId="0" fontId="5" fillId="17" borderId="0" xfId="0" applyFont="1" applyFill="1"/>
    <xf numFmtId="49" fontId="0" fillId="17" borderId="0" xfId="0" applyNumberFormat="1" applyFill="1"/>
    <xf numFmtId="0" fontId="28" fillId="6" borderId="4" xfId="0" applyFont="1" applyFill="1" applyBorder="1"/>
    <xf numFmtId="0" fontId="1" fillId="2" borderId="2" xfId="0" applyFont="1" applyFill="1" applyBorder="1" applyAlignment="1">
      <alignment horizontal="left"/>
    </xf>
    <xf numFmtId="0" fontId="28" fillId="17" borderId="4" xfId="0" applyFont="1" applyFill="1" applyBorder="1" applyAlignment="1">
      <alignment horizontal="center"/>
    </xf>
    <xf numFmtId="0" fontId="28" fillId="17" borderId="4" xfId="0" quotePrefix="1" applyFont="1" applyFill="1" applyBorder="1"/>
    <xf numFmtId="0" fontId="0" fillId="17" borderId="0" xfId="0" applyFill="1" applyAlignment="1">
      <alignment horizontal="center"/>
    </xf>
    <xf numFmtId="0" fontId="4" fillId="17" borderId="4" xfId="0" applyFont="1" applyFill="1" applyBorder="1" applyAlignment="1">
      <alignment horizontal="center"/>
    </xf>
    <xf numFmtId="0" fontId="28" fillId="17" borderId="5" xfId="0" applyFont="1" applyFill="1" applyBorder="1" applyAlignment="1">
      <alignment horizontal="center"/>
    </xf>
    <xf numFmtId="0" fontId="32" fillId="0" borderId="0" xfId="0" applyFont="1" applyAlignment="1">
      <alignment horizontal="left" vertical="center" wrapText="1"/>
    </xf>
    <xf numFmtId="0" fontId="0" fillId="0" borderId="0" xfId="0" applyAlignment="1">
      <alignment horizontal="left" vertical="center" wrapText="1" indent="1"/>
    </xf>
    <xf numFmtId="0" fontId="33" fillId="0" borderId="40" xfId="0" applyFont="1" applyBorder="1" applyAlignment="1">
      <alignment horizontal="right" vertical="top" wrapText="1"/>
    </xf>
    <xf numFmtId="0" fontId="34" fillId="0" borderId="40" xfId="0" applyFont="1" applyBorder="1" applyAlignment="1">
      <alignment vertical="top" wrapText="1"/>
    </xf>
    <xf numFmtId="0" fontId="35" fillId="0" borderId="0" xfId="0" applyFont="1" applyAlignment="1">
      <alignment horizontal="right" vertical="center" wrapText="1"/>
    </xf>
    <xf numFmtId="0" fontId="1" fillId="0" borderId="0" xfId="0" applyFont="1" applyAlignment="1">
      <alignment horizontal="right" vertical="center" wrapText="1" indent="1"/>
    </xf>
    <xf numFmtId="0" fontId="33" fillId="0" borderId="41" xfId="0" applyFont="1" applyBorder="1" applyAlignment="1">
      <alignment horizontal="right" wrapText="1"/>
    </xf>
    <xf numFmtId="0" fontId="33" fillId="0" borderId="41" xfId="0" applyFont="1" applyBorder="1" applyAlignment="1">
      <alignment horizontal="center" wrapText="1"/>
    </xf>
    <xf numFmtId="0" fontId="1" fillId="17" borderId="4" xfId="0" applyFont="1" applyFill="1" applyBorder="1" applyAlignment="1">
      <alignment horizontal="right"/>
    </xf>
    <xf numFmtId="0" fontId="0" fillId="17" borderId="4" xfId="0" applyFill="1" applyBorder="1"/>
    <xf numFmtId="0" fontId="2" fillId="17" borderId="4" xfId="0" applyFont="1" applyFill="1" applyBorder="1" applyAlignment="1">
      <alignment horizontal="center"/>
    </xf>
    <xf numFmtId="0" fontId="17" fillId="17" borderId="4" xfId="0" applyFont="1" applyFill="1" applyBorder="1" applyAlignment="1">
      <alignment horizontal="center"/>
    </xf>
    <xf numFmtId="0" fontId="1" fillId="17" borderId="4" xfId="0" quotePrefix="1" applyFont="1" applyFill="1" applyBorder="1"/>
    <xf numFmtId="0" fontId="28" fillId="17" borderId="5" xfId="0" applyFont="1" applyFill="1" applyBorder="1"/>
    <xf numFmtId="0" fontId="1" fillId="17" borderId="5" xfId="0" applyFont="1" applyFill="1" applyBorder="1" applyAlignment="1">
      <alignment horizontal="right"/>
    </xf>
    <xf numFmtId="0" fontId="1" fillId="17" borderId="5" xfId="0" applyFont="1" applyFill="1" applyBorder="1" applyAlignment="1">
      <alignment horizontal="center"/>
    </xf>
    <xf numFmtId="0" fontId="0" fillId="6" borderId="5" xfId="0" applyFill="1" applyBorder="1"/>
    <xf numFmtId="0" fontId="30" fillId="5" borderId="5" xfId="0" applyFont="1" applyFill="1" applyBorder="1"/>
    <xf numFmtId="0" fontId="16" fillId="5" borderId="4" xfId="2" applyFill="1" applyBorder="1" applyAlignment="1"/>
    <xf numFmtId="14" fontId="34" fillId="0" borderId="40" xfId="0" applyNumberFormat="1" applyFont="1" applyBorder="1" applyAlignment="1">
      <alignment horizontal="left" vertical="top" wrapText="1"/>
    </xf>
    <xf numFmtId="0" fontId="28" fillId="5" borderId="4" xfId="0" quotePrefix="1" applyFont="1" applyFill="1" applyBorder="1"/>
    <xf numFmtId="0" fontId="5" fillId="17" borderId="4" xfId="0" applyFont="1" applyFill="1" applyBorder="1" applyAlignment="1">
      <alignment horizontal="center"/>
    </xf>
    <xf numFmtId="0" fontId="1" fillId="22" borderId="4" xfId="0" applyFont="1" applyFill="1" applyBorder="1"/>
    <xf numFmtId="0" fontId="28" fillId="22" borderId="4" xfId="0" applyFont="1" applyFill="1" applyBorder="1"/>
    <xf numFmtId="0" fontId="1" fillId="2" borderId="0" xfId="0" applyFont="1" applyFill="1" applyAlignment="1">
      <alignment horizontal="center"/>
    </xf>
    <xf numFmtId="0" fontId="0" fillId="6" borderId="0" xfId="0" applyFill="1"/>
    <xf numFmtId="0" fontId="0" fillId="6" borderId="0" xfId="0" quotePrefix="1" applyFill="1"/>
    <xf numFmtId="1" fontId="0" fillId="6" borderId="0" xfId="0" applyNumberFormat="1" applyFill="1"/>
    <xf numFmtId="1" fontId="0" fillId="0" borderId="38" xfId="0" applyNumberFormat="1" applyBorder="1"/>
    <xf numFmtId="0" fontId="28" fillId="5" borderId="15" xfId="0" applyFont="1" applyFill="1" applyBorder="1" applyAlignment="1">
      <alignment horizontal="center"/>
    </xf>
    <xf numFmtId="0" fontId="16" fillId="14" borderId="9" xfId="2" applyFill="1" applyBorder="1" applyAlignment="1">
      <alignment horizontal="center"/>
    </xf>
    <xf numFmtId="0" fontId="11" fillId="23" borderId="14" xfId="0" applyFont="1" applyFill="1" applyBorder="1" applyAlignment="1">
      <alignment horizontal="right" vertical="center"/>
    </xf>
    <xf numFmtId="0" fontId="12" fillId="6" borderId="13" xfId="0" applyFont="1" applyFill="1" applyBorder="1" applyAlignment="1">
      <alignment vertical="center"/>
    </xf>
    <xf numFmtId="0" fontId="3" fillId="17" borderId="4" xfId="0" applyFont="1" applyFill="1" applyBorder="1" applyAlignment="1">
      <alignment horizontal="center"/>
    </xf>
    <xf numFmtId="0" fontId="0" fillId="17" borderId="4" xfId="0" applyFill="1" applyBorder="1" applyAlignment="1">
      <alignment horizontal="center"/>
    </xf>
    <xf numFmtId="0" fontId="0" fillId="17" borderId="4" xfId="0" applyFill="1" applyBorder="1" applyAlignment="1">
      <alignment horizontal="right"/>
    </xf>
    <xf numFmtId="0" fontId="0" fillId="17" borderId="5" xfId="0" applyFill="1" applyBorder="1" applyAlignment="1">
      <alignment horizontal="right"/>
    </xf>
    <xf numFmtId="0" fontId="0" fillId="17" borderId="5" xfId="0" applyFill="1" applyBorder="1"/>
    <xf numFmtId="0" fontId="30" fillId="17" borderId="4" xfId="0" applyFont="1" applyFill="1" applyBorder="1"/>
    <xf numFmtId="0" fontId="16" fillId="17" borderId="9" xfId="2" applyFill="1" applyBorder="1" applyAlignment="1">
      <alignment horizontal="center"/>
    </xf>
    <xf numFmtId="0" fontId="0" fillId="21" borderId="0" xfId="0" applyFill="1"/>
    <xf numFmtId="14" fontId="0" fillId="21" borderId="0" xfId="0" applyNumberFormat="1" applyFill="1"/>
    <xf numFmtId="0" fontId="23" fillId="21" borderId="4" xfId="0" applyFont="1" applyFill="1" applyBorder="1" applyAlignment="1">
      <alignment horizontal="center"/>
    </xf>
    <xf numFmtId="0" fontId="0" fillId="21" borderId="4" xfId="0" applyFill="1" applyBorder="1"/>
    <xf numFmtId="0" fontId="1" fillId="21" borderId="5" xfId="0" applyFont="1" applyFill="1" applyBorder="1" applyAlignment="1">
      <alignment horizontal="center"/>
    </xf>
    <xf numFmtId="0" fontId="1" fillId="21" borderId="5" xfId="0" applyFont="1" applyFill="1" applyBorder="1"/>
    <xf numFmtId="0" fontId="1" fillId="21" borderId="4" xfId="0" applyFont="1" applyFill="1" applyBorder="1"/>
    <xf numFmtId="49" fontId="0" fillId="21" borderId="0" xfId="0" applyNumberFormat="1" applyFill="1"/>
    <xf numFmtId="0" fontId="28" fillId="21" borderId="4" xfId="0" applyFont="1" applyFill="1" applyBorder="1"/>
    <xf numFmtId="0" fontId="0" fillId="20" borderId="0" xfId="0" applyFill="1"/>
    <xf numFmtId="14" fontId="0" fillId="20" borderId="0" xfId="0" applyNumberFormat="1" applyFill="1"/>
    <xf numFmtId="0" fontId="4" fillId="20" borderId="4" xfId="0" applyFont="1" applyFill="1" applyBorder="1" applyAlignment="1">
      <alignment horizontal="center"/>
    </xf>
    <xf numFmtId="0" fontId="1" fillId="20" borderId="4" xfId="0" applyFont="1" applyFill="1" applyBorder="1"/>
    <xf numFmtId="0" fontId="1" fillId="20" borderId="5" xfId="0" applyFont="1" applyFill="1" applyBorder="1"/>
    <xf numFmtId="0" fontId="16" fillId="20" borderId="9" xfId="2" applyFill="1" applyBorder="1" applyAlignment="1">
      <alignment horizontal="center"/>
    </xf>
    <xf numFmtId="0" fontId="28" fillId="20" borderId="4" xfId="0" applyFont="1" applyFill="1" applyBorder="1"/>
    <xf numFmtId="49" fontId="0" fillId="20" borderId="0" xfId="0" applyNumberFormat="1" applyFill="1"/>
    <xf numFmtId="0" fontId="0" fillId="2" borderId="0" xfId="0" applyFill="1"/>
    <xf numFmtId="14" fontId="0" fillId="2" borderId="0" xfId="0" applyNumberFormat="1" applyFill="1"/>
    <xf numFmtId="0" fontId="23" fillId="2" borderId="4" xfId="0" applyFont="1" applyFill="1" applyBorder="1" applyAlignment="1">
      <alignment horizontal="center"/>
    </xf>
    <xf numFmtId="0" fontId="0" fillId="2" borderId="4" xfId="0" applyFill="1" applyBorder="1"/>
    <xf numFmtId="0" fontId="0" fillId="2" borderId="4" xfId="0" applyFill="1" applyBorder="1" applyAlignment="1">
      <alignment horizontal="center"/>
    </xf>
    <xf numFmtId="0" fontId="1" fillId="2" borderId="5" xfId="0" applyFont="1" applyFill="1" applyBorder="1" applyAlignment="1">
      <alignment horizontal="center"/>
    </xf>
    <xf numFmtId="0" fontId="1" fillId="2" borderId="5" xfId="0" applyFont="1" applyFill="1" applyBorder="1"/>
    <xf numFmtId="0" fontId="1" fillId="2" borderId="4" xfId="0" applyFont="1" applyFill="1" applyBorder="1"/>
    <xf numFmtId="0" fontId="30" fillId="2" borderId="4" xfId="0" applyFont="1" applyFill="1" applyBorder="1"/>
    <xf numFmtId="49" fontId="0" fillId="2" borderId="0" xfId="0" applyNumberFormat="1" applyFill="1"/>
    <xf numFmtId="0" fontId="28" fillId="2" borderId="4" xfId="0" applyFont="1" applyFill="1" applyBorder="1"/>
    <xf numFmtId="0" fontId="0" fillId="2" borderId="4" xfId="0" quotePrefix="1" applyFill="1" applyBorder="1"/>
    <xf numFmtId="0" fontId="4" fillId="21" borderId="4" xfId="0" applyFont="1" applyFill="1" applyBorder="1" applyAlignment="1">
      <alignment horizontal="center"/>
    </xf>
    <xf numFmtId="0" fontId="4" fillId="21" borderId="4" xfId="0" applyFont="1" applyFill="1" applyBorder="1"/>
    <xf numFmtId="0" fontId="4" fillId="21" borderId="0" xfId="0" applyFont="1" applyFill="1"/>
    <xf numFmtId="0" fontId="0" fillId="21" borderId="0" xfId="0" applyFill="1" applyAlignment="1">
      <alignment horizontal="center"/>
    </xf>
    <xf numFmtId="0" fontId="28" fillId="21" borderId="4" xfId="0" applyFont="1" applyFill="1" applyBorder="1" applyAlignment="1">
      <alignment horizontal="center"/>
    </xf>
    <xf numFmtId="0" fontId="28" fillId="21" borderId="5" xfId="0" applyFont="1" applyFill="1" applyBorder="1" applyAlignment="1">
      <alignment horizontal="center"/>
    </xf>
    <xf numFmtId="0" fontId="28" fillId="20" borderId="4" xfId="0" applyFont="1" applyFill="1" applyBorder="1" applyAlignment="1">
      <alignment horizontal="center"/>
    </xf>
    <xf numFmtId="0" fontId="28" fillId="20" borderId="5" xfId="0" applyFont="1" applyFill="1" applyBorder="1" applyAlignment="1">
      <alignment horizontal="center"/>
    </xf>
    <xf numFmtId="0" fontId="4" fillId="20" borderId="0" xfId="0" applyFont="1" applyFill="1"/>
    <xf numFmtId="0" fontId="0" fillId="20" borderId="0" xfId="0" applyFill="1" applyAlignment="1">
      <alignment horizontal="center"/>
    </xf>
    <xf numFmtId="0" fontId="0" fillId="2" borderId="5" xfId="0" applyFill="1" applyBorder="1"/>
    <xf numFmtId="0" fontId="30" fillId="2" borderId="4" xfId="0" applyFont="1" applyFill="1" applyBorder="1" applyAlignment="1">
      <alignment horizontal="center"/>
    </xf>
    <xf numFmtId="0" fontId="30" fillId="2" borderId="5" xfId="0" applyFont="1" applyFill="1" applyBorder="1" applyAlignment="1">
      <alignment horizontal="center"/>
    </xf>
    <xf numFmtId="0" fontId="1" fillId="21" borderId="4" xfId="0" applyFont="1" applyFill="1" applyBorder="1" applyAlignment="1">
      <alignment horizontal="right"/>
    </xf>
    <xf numFmtId="0" fontId="1" fillId="21" borderId="5" xfId="0" applyFont="1" applyFill="1" applyBorder="1" applyAlignment="1">
      <alignment horizontal="right"/>
    </xf>
    <xf numFmtId="0" fontId="0" fillId="2" borderId="0" xfId="0" applyFill="1" applyAlignment="1">
      <alignment horizontal="center"/>
    </xf>
    <xf numFmtId="0" fontId="1" fillId="21" borderId="4" xfId="0" quotePrefix="1" applyFont="1" applyFill="1" applyBorder="1"/>
    <xf numFmtId="0" fontId="28" fillId="24" borderId="4" xfId="0" applyFont="1" applyFill="1" applyBorder="1"/>
    <xf numFmtId="0" fontId="28" fillId="24" borderId="4" xfId="0" applyFont="1" applyFill="1" applyBorder="1" applyAlignment="1">
      <alignment horizontal="center"/>
    </xf>
    <xf numFmtId="0" fontId="1" fillId="17" borderId="42" xfId="0" applyFont="1" applyFill="1" applyBorder="1"/>
    <xf numFmtId="0" fontId="1" fillId="20" borderId="4" xfId="0" applyFont="1" applyFill="1" applyBorder="1" applyAlignment="1">
      <alignment horizontal="right"/>
    </xf>
    <xf numFmtId="0" fontId="1" fillId="20" borderId="5" xfId="0" applyFont="1" applyFill="1" applyBorder="1" applyAlignment="1">
      <alignment horizontal="right"/>
    </xf>
    <xf numFmtId="0" fontId="22" fillId="2" borderId="4" xfId="0" applyFont="1" applyFill="1" applyBorder="1" applyAlignment="1">
      <alignment horizontal="center"/>
    </xf>
    <xf numFmtId="0" fontId="30" fillId="2" borderId="4" xfId="0" applyFont="1" applyFill="1" applyBorder="1" applyAlignment="1">
      <alignment horizontal="right"/>
    </xf>
    <xf numFmtId="0" fontId="30" fillId="2" borderId="5" xfId="0" applyFont="1" applyFill="1" applyBorder="1" applyAlignment="1">
      <alignment horizontal="right"/>
    </xf>
    <xf numFmtId="0" fontId="11" fillId="0" borderId="13" xfId="0" applyFont="1" applyBorder="1" applyAlignment="1">
      <alignment horizontal="left" vertical="center"/>
    </xf>
    <xf numFmtId="0" fontId="0" fillId="25" borderId="0" xfId="0" applyFill="1"/>
    <xf numFmtId="0" fontId="1" fillId="22" borderId="0" xfId="0" applyFont="1" applyFill="1" applyAlignment="1">
      <alignment horizontal="left"/>
    </xf>
    <xf numFmtId="0" fontId="30" fillId="0" borderId="4" xfId="0" applyFont="1" applyBorder="1" applyAlignment="1">
      <alignment horizontal="center"/>
    </xf>
    <xf numFmtId="0" fontId="30" fillId="0" borderId="5" xfId="0" applyFont="1" applyBorder="1"/>
    <xf numFmtId="0" fontId="30" fillId="6" borderId="5" xfId="0" applyFont="1" applyFill="1" applyBorder="1"/>
    <xf numFmtId="0" fontId="30" fillId="0" borderId="5" xfId="0" applyFont="1" applyBorder="1" applyAlignment="1">
      <alignment horizontal="center"/>
    </xf>
    <xf numFmtId="165" fontId="6" fillId="0" borderId="4" xfId="1" applyNumberFormat="1" applyFont="1" applyFill="1" applyBorder="1"/>
    <xf numFmtId="0" fontId="1" fillId="17" borderId="0" xfId="0" applyFont="1" applyFill="1" applyAlignment="1">
      <alignment horizontal="center"/>
    </xf>
    <xf numFmtId="0" fontId="1" fillId="21" borderId="0" xfId="0" applyFont="1" applyFill="1" applyAlignment="1">
      <alignment horizontal="center"/>
    </xf>
    <xf numFmtId="0" fontId="1" fillId="6" borderId="4" xfId="0" applyFont="1" applyFill="1" applyBorder="1"/>
    <xf numFmtId="0" fontId="0" fillId="6" borderId="4" xfId="0" applyFill="1" applyBorder="1"/>
    <xf numFmtId="0" fontId="4" fillId="6" borderId="4" xfId="0" applyFont="1" applyFill="1" applyBorder="1"/>
    <xf numFmtId="0" fontId="30" fillId="6" borderId="4" xfId="0" applyFont="1" applyFill="1" applyBorder="1"/>
    <xf numFmtId="165" fontId="28" fillId="0" borderId="4" xfId="1" applyNumberFormat="1" applyFont="1" applyFill="1" applyBorder="1"/>
    <xf numFmtId="1" fontId="1" fillId="0" borderId="4" xfId="0" applyNumberFormat="1" applyFont="1" applyBorder="1"/>
    <xf numFmtId="0" fontId="4" fillId="0" borderId="4" xfId="0" applyFont="1" applyBorder="1" applyAlignment="1">
      <alignment horizontal="right"/>
    </xf>
    <xf numFmtId="1" fontId="4" fillId="0" borderId="4" xfId="0" applyNumberFormat="1" applyFont="1" applyBorder="1"/>
    <xf numFmtId="1" fontId="0" fillId="0" borderId="4" xfId="0" applyNumberFormat="1" applyBorder="1"/>
    <xf numFmtId="1" fontId="28" fillId="0" borderId="4" xfId="0" applyNumberFormat="1" applyFont="1" applyBorder="1"/>
    <xf numFmtId="0" fontId="30" fillId="0" borderId="4" xfId="0" applyFont="1" applyBorder="1" applyAlignment="1">
      <alignment horizontal="right"/>
    </xf>
    <xf numFmtId="165" fontId="4" fillId="0" borderId="4" xfId="1" applyNumberFormat="1" applyFont="1" applyFill="1" applyBorder="1"/>
    <xf numFmtId="165" fontId="30" fillId="0" borderId="4" xfId="1" applyNumberFormat="1" applyFont="1" applyFill="1" applyBorder="1"/>
    <xf numFmtId="0" fontId="0" fillId="0" borderId="0" xfId="0" pivotButton="1"/>
    <xf numFmtId="1" fontId="0" fillId="0" borderId="0" xfId="0" applyNumberFormat="1"/>
    <xf numFmtId="0" fontId="16" fillId="14" borderId="0" xfId="2" applyFill="1" applyBorder="1" applyAlignment="1">
      <alignment horizontal="center"/>
    </xf>
    <xf numFmtId="0" fontId="16" fillId="17" borderId="0" xfId="2" applyFill="1" applyBorder="1" applyAlignment="1">
      <alignment horizontal="center"/>
    </xf>
    <xf numFmtId="0" fontId="16" fillId="20" borderId="0" xfId="2" applyFill="1" applyBorder="1" applyAlignment="1">
      <alignment horizontal="center"/>
    </xf>
    <xf numFmtId="0" fontId="16" fillId="14" borderId="9" xfId="2" applyFill="1" applyBorder="1" applyAlignment="1"/>
    <xf numFmtId="0" fontId="16" fillId="14" borderId="0" xfId="2" applyFill="1" applyBorder="1" applyAlignment="1"/>
    <xf numFmtId="0" fontId="16" fillId="17" borderId="0" xfId="2" applyFill="1" applyBorder="1" applyAlignment="1"/>
    <xf numFmtId="0" fontId="16" fillId="20" borderId="0" xfId="2" applyFill="1" applyBorder="1" applyAlignment="1"/>
    <xf numFmtId="1" fontId="1" fillId="0" borderId="0" xfId="0" applyNumberFormat="1" applyFont="1"/>
    <xf numFmtId="1" fontId="1" fillId="10" borderId="0" xfId="0" applyNumberFormat="1" applyFont="1" applyFill="1" applyAlignment="1">
      <alignment horizontal="center"/>
    </xf>
    <xf numFmtId="1" fontId="1" fillId="17" borderId="0" xfId="0" applyNumberFormat="1" applyFont="1" applyFill="1" applyAlignment="1">
      <alignment horizontal="center"/>
    </xf>
    <xf numFmtId="1" fontId="1" fillId="21" borderId="0" xfId="0" applyNumberFormat="1" applyFont="1" applyFill="1" applyAlignment="1">
      <alignment horizontal="center"/>
    </xf>
    <xf numFmtId="1" fontId="1" fillId="2" borderId="0" xfId="0" applyNumberFormat="1" applyFont="1" applyFill="1" applyAlignment="1">
      <alignment horizontal="center"/>
    </xf>
    <xf numFmtId="1" fontId="1" fillId="20" borderId="4" xfId="0" applyNumberFormat="1" applyFont="1" applyFill="1" applyBorder="1" applyAlignment="1">
      <alignment horizontal="center"/>
    </xf>
    <xf numFmtId="1" fontId="1" fillId="0" borderId="0" xfId="0" applyNumberFormat="1" applyFont="1" applyAlignment="1">
      <alignment horizontal="center"/>
    </xf>
    <xf numFmtId="0" fontId="1" fillId="13" borderId="6" xfId="0" applyFont="1" applyFill="1" applyBorder="1" applyAlignment="1">
      <alignment horizontal="center"/>
    </xf>
    <xf numFmtId="0" fontId="1" fillId="13" borderId="7" xfId="0" applyFont="1" applyFill="1" applyBorder="1" applyAlignment="1">
      <alignment horizontal="center"/>
    </xf>
    <xf numFmtId="0" fontId="1" fillId="13" borderId="8" xfId="0" applyFont="1" applyFill="1" applyBorder="1" applyAlignment="1">
      <alignment horizontal="center"/>
    </xf>
    <xf numFmtId="0" fontId="1" fillId="14" borderId="6" xfId="0" applyFont="1" applyFill="1" applyBorder="1" applyAlignment="1">
      <alignment horizontal="center"/>
    </xf>
    <xf numFmtId="0" fontId="1" fillId="14" borderId="7" xfId="0" applyFont="1" applyFill="1" applyBorder="1" applyAlignment="1">
      <alignment horizontal="center"/>
    </xf>
    <xf numFmtId="0" fontId="1" fillId="14" borderId="8" xfId="0" applyFont="1" applyFill="1" applyBorder="1" applyAlignment="1">
      <alignment horizontal="center"/>
    </xf>
    <xf numFmtId="0" fontId="1" fillId="13" borderId="1" xfId="0" applyFont="1" applyFill="1" applyBorder="1" applyAlignment="1">
      <alignment horizontal="center"/>
    </xf>
    <xf numFmtId="0" fontId="1" fillId="13" borderId="2" xfId="0" applyFont="1" applyFill="1" applyBorder="1" applyAlignment="1">
      <alignment horizontal="center"/>
    </xf>
    <xf numFmtId="0" fontId="1" fillId="13" borderId="3"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3" xfId="0" applyFont="1" applyFill="1" applyBorder="1" applyAlignment="1">
      <alignment horizontal="center"/>
    </xf>
    <xf numFmtId="0" fontId="1" fillId="0" borderId="19" xfId="0" applyFont="1" applyBorder="1"/>
    <xf numFmtId="0" fontId="1" fillId="0" borderId="20" xfId="0" applyFont="1" applyBorder="1"/>
    <xf numFmtId="0" fontId="1" fillId="0" borderId="21" xfId="0" applyFont="1" applyBorder="1"/>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0" borderId="10" xfId="0" applyFont="1" applyBorder="1"/>
    <xf numFmtId="0" fontId="1" fillId="0" borderId="0" xfId="0" applyFont="1"/>
    <xf numFmtId="0" fontId="1" fillId="0" borderId="11" xfId="0" applyFont="1" applyBorder="1"/>
    <xf numFmtId="0" fontId="1" fillId="10" borderId="1" xfId="0" applyFont="1" applyFill="1" applyBorder="1" applyAlignment="1">
      <alignment horizontal="left"/>
    </xf>
    <xf numFmtId="0" fontId="1" fillId="10" borderId="2" xfId="0" applyFont="1" applyFill="1" applyBorder="1" applyAlignment="1">
      <alignment horizontal="left"/>
    </xf>
    <xf numFmtId="0" fontId="1" fillId="10" borderId="3" xfId="0" applyFont="1" applyFill="1" applyBorder="1" applyAlignment="1">
      <alignment horizontal="left"/>
    </xf>
    <xf numFmtId="0" fontId="10" fillId="3" borderId="1" xfId="0" applyFont="1" applyFill="1" applyBorder="1" applyAlignment="1">
      <alignment horizontal="center" vertical="center"/>
    </xf>
    <xf numFmtId="0" fontId="10" fillId="3" borderId="22" xfId="0" applyFont="1" applyFill="1" applyBorder="1" applyAlignment="1">
      <alignment horizontal="center" vertical="center"/>
    </xf>
    <xf numFmtId="0" fontId="0" fillId="0" borderId="6" xfId="0" applyBorder="1" applyAlignment="1">
      <alignment vertical="top" wrapText="1"/>
    </xf>
    <xf numFmtId="0" fontId="0" fillId="0" borderId="8" xfId="0" applyBorder="1" applyAlignment="1">
      <alignment vertical="top" wrapText="1"/>
    </xf>
    <xf numFmtId="0" fontId="0" fillId="0" borderId="10" xfId="0" applyBorder="1" applyAlignment="1">
      <alignment vertical="top" wrapText="1"/>
    </xf>
    <xf numFmtId="0" fontId="0" fillId="0" borderId="11" xfId="0" applyBorder="1" applyAlignment="1">
      <alignment vertical="top" wrapText="1"/>
    </xf>
    <xf numFmtId="0" fontId="0" fillId="0" borderId="12" xfId="0" applyBorder="1" applyAlignment="1">
      <alignment vertical="top" wrapText="1"/>
    </xf>
    <xf numFmtId="0" fontId="0" fillId="0" borderId="13" xfId="0" applyBorder="1" applyAlignment="1">
      <alignment vertical="top" wrapText="1"/>
    </xf>
    <xf numFmtId="0" fontId="0" fillId="3" borderId="1" xfId="0" applyFill="1" applyBorder="1" applyAlignment="1">
      <alignment horizontal="center"/>
    </xf>
    <xf numFmtId="0" fontId="0" fillId="3" borderId="3" xfId="0" applyFill="1" applyBorder="1" applyAlignment="1">
      <alignment horizontal="center"/>
    </xf>
    <xf numFmtId="0" fontId="0" fillId="10" borderId="1" xfId="0" applyFill="1" applyBorder="1" applyAlignment="1">
      <alignment horizontal="center"/>
    </xf>
    <xf numFmtId="0" fontId="0" fillId="10" borderId="3" xfId="0" applyFill="1" applyBorder="1" applyAlignment="1">
      <alignment horizontal="center"/>
    </xf>
    <xf numFmtId="0" fontId="0" fillId="0" borderId="24" xfId="0" applyBorder="1" applyAlignment="1">
      <alignment horizontal="center" vertical="top"/>
    </xf>
    <xf numFmtId="0" fontId="0" fillId="0" borderId="30" xfId="0" applyBorder="1" applyAlignment="1">
      <alignment horizontal="center" vertical="top"/>
    </xf>
    <xf numFmtId="0" fontId="0" fillId="0" borderId="15" xfId="0" applyBorder="1" applyAlignment="1">
      <alignment horizontal="center" vertical="top"/>
    </xf>
    <xf numFmtId="0" fontId="1" fillId="19" borderId="1" xfId="0" applyFont="1" applyFill="1" applyBorder="1" applyAlignment="1">
      <alignment horizontal="center"/>
    </xf>
    <xf numFmtId="0" fontId="1" fillId="19" borderId="3" xfId="0" applyFont="1" applyFill="1" applyBorder="1" applyAlignment="1">
      <alignment horizontal="center"/>
    </xf>
    <xf numFmtId="0" fontId="15" fillId="0" borderId="6" xfId="0" applyFont="1" applyBorder="1" applyAlignment="1">
      <alignment horizontal="left" vertical="top" wrapText="1"/>
    </xf>
    <xf numFmtId="0" fontId="15" fillId="0" borderId="8" xfId="0" applyFont="1" applyBorder="1" applyAlignment="1">
      <alignment horizontal="left" vertical="top" wrapText="1"/>
    </xf>
    <xf numFmtId="0" fontId="15" fillId="0" borderId="10" xfId="0" applyFont="1" applyBorder="1" applyAlignment="1">
      <alignment horizontal="left" vertical="top" wrapText="1"/>
    </xf>
    <xf numFmtId="0" fontId="15" fillId="0" borderId="11" xfId="0" applyFont="1" applyBorder="1" applyAlignment="1">
      <alignment horizontal="left" vertical="top" wrapText="1"/>
    </xf>
    <xf numFmtId="0" fontId="15" fillId="0" borderId="12" xfId="0" applyFont="1" applyBorder="1" applyAlignment="1">
      <alignment horizontal="left" vertical="top" wrapText="1"/>
    </xf>
    <xf numFmtId="0" fontId="15" fillId="0" borderId="13" xfId="0" applyFont="1" applyBorder="1" applyAlignment="1">
      <alignment horizontal="left" vertical="top" wrapText="1"/>
    </xf>
    <xf numFmtId="0" fontId="1" fillId="17" borderId="1" xfId="0" applyFont="1" applyFill="1" applyBorder="1" applyAlignment="1">
      <alignment horizontal="center"/>
    </xf>
    <xf numFmtId="0" fontId="1" fillId="17" borderId="2" xfId="0" applyFont="1" applyFill="1" applyBorder="1" applyAlignment="1">
      <alignment horizontal="center"/>
    </xf>
    <xf numFmtId="0" fontId="1" fillId="18" borderId="2" xfId="0" applyFont="1" applyFill="1" applyBorder="1" applyAlignment="1">
      <alignment horizontal="center"/>
    </xf>
    <xf numFmtId="0" fontId="0" fillId="0" borderId="31" xfId="0" applyBorder="1" applyAlignment="1">
      <alignment horizontal="center" vertical="top"/>
    </xf>
    <xf numFmtId="0" fontId="0" fillId="0" borderId="32" xfId="0" applyBorder="1" applyAlignment="1">
      <alignment horizontal="center" vertical="top"/>
    </xf>
    <xf numFmtId="0" fontId="0" fillId="0" borderId="33" xfId="0" applyBorder="1" applyAlignment="1">
      <alignment horizontal="center" vertical="top"/>
    </xf>
    <xf numFmtId="0" fontId="1" fillId="11" borderId="1" xfId="0" applyFont="1" applyFill="1" applyBorder="1" applyAlignment="1">
      <alignment horizontal="center"/>
    </xf>
    <xf numFmtId="0" fontId="1" fillId="11" borderId="3" xfId="0" applyFont="1" applyFill="1" applyBorder="1" applyAlignment="1">
      <alignment horizontal="center"/>
    </xf>
    <xf numFmtId="0" fontId="18" fillId="5" borderId="1" xfId="0" applyFont="1" applyFill="1" applyBorder="1" applyAlignment="1">
      <alignment horizontal="center"/>
    </xf>
    <xf numFmtId="0" fontId="18" fillId="5" borderId="2" xfId="0" applyFont="1" applyFill="1" applyBorder="1" applyAlignment="1">
      <alignment horizontal="center"/>
    </xf>
    <xf numFmtId="0" fontId="18" fillId="5" borderId="3" xfId="0" applyFont="1" applyFill="1" applyBorder="1" applyAlignment="1">
      <alignment horizontal="center"/>
    </xf>
    <xf numFmtId="0" fontId="18" fillId="10" borderId="1" xfId="0" applyFont="1" applyFill="1" applyBorder="1" applyAlignment="1">
      <alignment horizontal="left"/>
    </xf>
    <xf numFmtId="0" fontId="18" fillId="10" borderId="2" xfId="0" applyFont="1" applyFill="1" applyBorder="1" applyAlignment="1">
      <alignment horizontal="left"/>
    </xf>
    <xf numFmtId="0" fontId="18" fillId="10" borderId="3" xfId="0" applyFont="1" applyFill="1" applyBorder="1" applyAlignment="1">
      <alignment horizontal="left"/>
    </xf>
  </cellXfs>
  <cellStyles count="3">
    <cellStyle name="Comma" xfId="1" builtinId="3"/>
    <cellStyle name="Hyperlink" xfId="2" builtinId="8"/>
    <cellStyle name="Normal" xfId="0" builtinId="0"/>
  </cellStyles>
  <dxfs count="38">
    <dxf>
      <fill>
        <patternFill>
          <bgColor theme="4" tint="0.59996337778862885"/>
        </patternFill>
      </fill>
    </dxf>
    <dxf>
      <fill>
        <patternFill>
          <bgColor theme="4" tint="0.59996337778862885"/>
        </patternFill>
      </fill>
    </dxf>
    <dxf>
      <fill>
        <patternFill>
          <bgColor theme="4"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FF"/>
      <color rgb="FFFF99FF"/>
      <color rgb="FFFF33CC"/>
      <color rgb="FF339933"/>
      <color rgb="FF0000FF"/>
      <color rgb="FF66FF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49</xdr:col>
          <xdr:colOff>9525</xdr:colOff>
          <xdr:row>2</xdr:row>
          <xdr:rowOff>180975</xdr:rowOff>
        </xdr:from>
        <xdr:to>
          <xdr:col>50</xdr:col>
          <xdr:colOff>0</xdr:colOff>
          <xdr:row>5</xdr:row>
          <xdr:rowOff>180975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Update Viking ID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P:\101.%20DATABASE%20FILES\0.%20Cars%20Inventoried%20Keep%20&amp;%20Toss%20Sheets\1240.%2065A-1.%20BMW%20X5%20(F15)%2014-18%20(1)%20SUV%20(2)%2014-18%20N55%20(3)%20Auto%20(4)%20AWD%20%5eL0%20RWD%20-%20Viking%20DB.xlsm" TargetMode="External"/><Relationship Id="rId1" Type="http://schemas.openxmlformats.org/officeDocument/2006/relationships/externalLinkPath" Target="1240.%2065A-1.%20BMW%20X5%20(F15)%2014-18%20(1)%20SUV%20(2)%2014-18%20N55%20(3)%20Auto%20(4)%20AWD%20%5eL0%20RWD%20-%20Viking%20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1. Template Stats"/>
      <sheetName val="2. Items to Test"/>
      <sheetName val="Item# &amp; Tag#"/>
      <sheetName val="3. Keep &amp; Toss Items"/>
      <sheetName val="3A. Print Tags View"/>
      <sheetName val="3B. Pusher View"/>
      <sheetName val="3C. Check for Part #"/>
      <sheetName val="3D. Pictures"/>
      <sheetName val="Sheet1"/>
      <sheetName val="3D-1. Picture Count Check"/>
      <sheetName val="8. Option Codes Decrypted"/>
      <sheetName val="4. FLAWs &amp; PERMANENT NOTES"/>
      <sheetName val="5. Review &amp; Tester Info to Get"/>
      <sheetName val="6A. Dismantler Info &amp; Time"/>
      <sheetName val="6B. BAD or INSPECT"/>
      <sheetName val="6C. Engine Compression Results"/>
      <sheetName val="Tickmarks"/>
    </sheetNames>
    <sheetDataSet>
      <sheetData sheetId="0"/>
      <sheetData sheetId="1">
        <row r="2">
          <cell r="C2" t="str">
            <v>1240. 14 BMW X5 (F15) 3.0T (N55) Auto RWD (Brown) (00793)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275.571072106482" createdVersion="8" refreshedVersion="8" minRefreshableVersion="3" recordCount="1018" xr:uid="{3493057A-D304-44AC-98F4-E5194E028134}">
  <cacheSource type="worksheet">
    <worksheetSource ref="A8:AX1026" sheet="3. Keep &amp; Toss Items"/>
  </cacheSource>
  <cacheFields count="48">
    <cacheField name="Tag" numFmtId="0">
      <sharedItems/>
    </cacheField>
    <cacheField name="Interchange" numFmtId="0">
      <sharedItems containsBlank="1"/>
    </cacheField>
    <cacheField name="Sub-Interchange" numFmtId="0">
      <sharedItems containsBlank="1"/>
    </cacheField>
    <cacheField name="Specific Tag" numFmtId="0">
      <sharedItems containsBlank="1" containsMixedTypes="1" containsNumber="1" containsInteger="1" minValue="0" maxValue="0"/>
    </cacheField>
    <cacheField name="Int. Cnt." numFmtId="0">
      <sharedItems containsBlank="1" containsMixedTypes="1" containsNumber="1" containsInteger="1" minValue="1" maxValue="6"/>
    </cacheField>
    <cacheField name="Last Analyzed By" numFmtId="0">
      <sharedItems containsBlank="1"/>
    </cacheField>
    <cacheField name="Last Analyze Date" numFmtId="0">
      <sharedItems containsNonDate="0" containsDate="1" containsString="0" containsBlank="1" minDate="2022-04-19T00:00:00" maxDate="2023-12-15T00:00:00"/>
    </cacheField>
    <cacheField name="Item Condition" numFmtId="0">
      <sharedItems containsBlank="1"/>
    </cacheField>
    <cacheField name="Notes" numFmtId="0">
      <sharedItems containsBlank="1"/>
    </cacheField>
    <cacheField name="TO DO" numFmtId="0">
      <sharedItems containsBlank="1"/>
    </cacheField>
    <cacheField name="Location" numFmtId="0">
      <sharedItems containsBlank="1"/>
    </cacheField>
    <cacheField name="Viking Type" numFmtId="0">
      <sharedItems containsBlank="1"/>
    </cacheField>
    <cacheField name="Interchange? (never, sometimes, always, always CPI+)" numFmtId="0">
      <sharedItems containsBlank="1"/>
    </cacheField>
    <cacheField name="Item-Num" numFmtId="0">
      <sharedItems containsString="0" containsBlank="1" containsNumber="1" containsInteger="1" minValue="1" maxValue="113"/>
    </cacheField>
    <cacheField name="Tag2" numFmtId="0">
      <sharedItems containsBlank="1"/>
    </cacheField>
    <cacheField name="Parts In" numFmtId="0">
      <sharedItems containsBlank="1"/>
    </cacheField>
    <cacheField name="Qty to Inv" numFmtId="0">
      <sharedItems containsString="0" containsBlank="1" containsNumber="1" containsInteger="1" minValue="1" maxValue="1"/>
    </cacheField>
    <cacheField name="Pic Name" numFmtId="0">
      <sharedItems containsBlank="1"/>
    </cacheField>
    <cacheField name="Pic" numFmtId="0">
      <sharedItems containsBlank="1"/>
    </cacheField>
    <cacheField name="Pic Qty" numFmtId="0">
      <sharedItems containsString="0" containsBlank="1" containsNumber="1" containsInteger="1" minValue="3" maxValue="20"/>
    </cacheField>
    <cacheField name="MNF Part Num" numFmtId="0">
      <sharedItems containsBlank="1" containsMixedTypes="1" containsNumber="1" containsInteger="1" minValue="6774110" maxValue="61319389075"/>
    </cacheField>
    <cacheField name="MNF Always Same" numFmtId="0">
      <sharedItems containsBlank="1"/>
    </cacheField>
    <cacheField name="Flaw" numFmtId="0">
      <sharedItems containsBlank="1"/>
    </cacheField>
    <cacheField name="Item Note" numFmtId="0">
      <sharedItems containsBlank="1"/>
    </cacheField>
    <cacheField name="Has Color" numFmtId="0">
      <sharedItems containsBlank="1"/>
    </cacheField>
    <cacheField name="Item Description (Tester &amp; Dismantlers)" numFmtId="0">
      <sharedItems containsBlank="1" count="354">
        <s v="Scuff Plates"/>
        <s v="Door Handle, Exterior - FRONT - LEFT"/>
        <s v="Door Latch, FRONT - LEFT Soft Close WITH Actuator SET 2"/>
        <s v="Door Latch, FRONT - LEFT WITHOUT Soft Close"/>
        <s v="Door Lock Cylinder - LEFT FRONT (put in module box for SET A)"/>
        <s v="Mirror, Door - FRONT LEFT"/>
        <s v="Switch, Window Master"/>
        <s v="Door Handle, Interior"/>
        <s v="Door Lock Unlock Switch, FRONT - LEFT"/>
        <s v="Door Panel"/>
        <s v="Trunk Release Switch"/>
        <s v="Window Motor &amp; Regulator"/>
        <s v="Door Handle, Exterior - REAR - LEFT"/>
        <s v="Door Latch, REAR - LEFT Soft Close WITH Actuator SET 2"/>
        <s v="Door Latch, REAR - LEFT WITHOUT Soft Close"/>
        <s v="Window Sun Shade, REAR - LEFT"/>
        <s v="Switch, Window"/>
        <s v="Door Handle, Exterior - FRONT - RIGHT"/>
        <s v="Door Latch, FRONT - RIGHT Soft Close WITH Actuator SET 2"/>
        <s v="Door Latch, FRONT - RIGHT WITHOUT Soft Close"/>
        <s v="Mirror, Door - FRONT RIGHT"/>
        <s v="Door Handle, Exterior - REAR - RIGHT"/>
        <s v="Door Latch, REAR - RIGHT Soft Close WITH Actuator SET 2"/>
        <s v="Door Latch, REAR - RIGHT WITHOUT Soft Close"/>
        <s v="Window Sun Shade, REAR - RIGHT"/>
        <s v="A/C Compressor"/>
        <s v="Air Induction Charge Pipe"/>
        <s v="Air Intake Upper Duct Tube"/>
        <s v="Alternator"/>
        <s v="Camshaft, Eccentric"/>
        <s v="Camshaft, Exhaust"/>
        <s v="Camshaft, Intake"/>
        <s v="Crank Shaft"/>
        <s v="Cylinder Head"/>
        <s v="Engine Assembly as FULL ASSEMBLY (keep &lt;125k) (w/o turbos if bad) (longblock if lots bad)"/>
        <s v="Engine Cylinder Block"/>
        <s v="Engine Mount Bracket SET 2"/>
        <s v="Engine Motor Mount SET 2"/>
        <s v="Engine Oil Level Sensor"/>
        <s v="Fuel Injector"/>
        <s v="Fuel Pump, High Pressure Engine Mounted"/>
        <s v="Fuel Pump, High Pressure Engine Mounted - LEFT or RIGHT (plug w/ all rounded corners)"/>
        <s v="Fuel Pump, High Pressure Engine Mounted - LEFT or RIGHT (plug with 1 flat side)"/>
        <s v="Fuel Rail"/>
        <s v="Fuel Rail - LEFT"/>
        <s v="Fuel Rail - RIGHT"/>
        <s v="Harmonic Balancer"/>
        <s v="Ignition Coils"/>
        <s v="Ignition Coils (Bosch)"/>
        <s v="Ignition Coils (Delphi)"/>
        <s v="Intake Manifold "/>
        <s v="Intake Manifold, LEFT"/>
        <s v="Intake Manifold, RIGHT"/>
        <s v="Oil Pan, Engine"/>
        <s v="Oil Pan, Engine UPPER"/>
        <s v="Oil Pan, Engine LOWER"/>
        <s v="Turbocharger"/>
        <s v="Oil Pressure Solenoid "/>
        <s v="Oil Pump "/>
        <s v="Oil Pump with Pickup Tube"/>
        <s v="Oxygen Sensor"/>
        <s v="VVT Timing Actuator Motor"/>
        <s v="Pistons"/>
        <s v="Power Steering Pump"/>
        <s v="Thermostat Housing"/>
        <s v="Timing Gear"/>
        <s v="Timing Gear, LEFT Head"/>
        <s v="Timing Gear, RIGHT Head"/>
        <s v="Valve Cover"/>
        <s v="Engine Cover"/>
        <s v="Air Filter Engine Cover Assembly"/>
        <s v="VVT Timing Solenoid"/>
        <s v="Water Pump, Electric (big, aluminum)"/>
        <s v="Water Pump, Electric (small, plastic)"/>
        <s v="Wiring Harness, Engine "/>
        <s v="Camshaft Position Sensor"/>
        <s v="Fuel Tank Ventilation Valve"/>
        <s v="Map Pressure Sensor"/>
        <s v="Starter"/>
        <s v="Tensioners &amp; Timing Guides (TOSS ALL)"/>
        <s v="Throttle Body"/>
        <s v="Knock Sensors"/>
        <s v="Exhaust Manifolds"/>
        <s v="Turbocharger Boost Solenoid Valves &amp; Bracket"/>
        <s v="Vacuum Pump"/>
        <s v="ABS Pump &amp; Module"/>
        <s v="Horns SET 2"/>
        <s v="Intercooler"/>
        <s v="Intercooler - LEFT with Hoses"/>
        <s v="Intercooler - RIGHT with Hoses"/>
        <s v="Power Brake Booster + Master Cylinder + Reservoir + Cap"/>
        <s v="Radiator Fan &amp; Shroud Assembly"/>
        <s v="Radiator, Primary One"/>
        <s v="Windshield Washer Spray Nozzles &amp; Rubber Hose"/>
        <s v="Wiper Arms, FRONT SET 2"/>
        <s v="Air Filter Cleaner Assembly"/>
        <s v="Coolant Expansion Reservoir Tank &amp; Cap"/>
        <s v="Radiator, A/C Condenser Radiator"/>
        <s v="Support Cross Bars, Engine Bays"/>
        <s v="Water Heater Coolant Control Valve Solenoid Pump"/>
        <s v="Wiper Motor &amp; Transmission Linkage"/>
        <s v="Bumper Impact Reinforcement Bar, REAR"/>
        <s v="Bumper Bar and Headlight Mounting Bracket, LEFT"/>
        <s v="Bumper Bar and Headlight Mounting Bracket, RIGHT"/>
        <s v="Bumper Reinforcement Bracket, FRONT"/>
        <s v="Grille, LOWER BUMPER - CENTER"/>
        <s v="Grille, LOWER BUMPER - ENDS"/>
        <s v="Grille, CENTER MIDDLE"/>
        <s v="Grille, UPPER KIDNEY GRILLE"/>
        <s v="Fuel Tank Door"/>
        <s v="Headlight Washer Squirters &amp; Cover Caps"/>
        <s v="PDC SET 4 With Harness, FRONT"/>
        <s v="PDC SET 4 With Harness, REAR"/>
        <s v="Roof Rails, SIDE-TO-SIDE as SET 2"/>
        <s v="Running Board &amp; Mount Bracket, LEFT"/>
        <s v="Running Board &amp; Mount Bracket, RIGHT"/>
        <s v="Spoiler with 3rd Brake Light IN"/>
        <s v="Spoiler 3rd Brake Light"/>
        <s v="Fenders"/>
        <s v="Gas Cap"/>
        <s v="License Plate Mounts, FRONT &amp; REAR"/>
        <s v="Reflectors, FENDER"/>
        <s v="Roof Rails, FRONT-TO-BACK"/>
        <s v="Shark Fin Cover &amp; Roof Antenna Module"/>
        <s v="Spoiler Winglet Moulding"/>
        <s v="Tow Hook"/>
        <s v="Tow Hook Covers, FRONT &amp; REAR"/>
        <s v="Hood Hinge"/>
        <s v="Hood Latches"/>
        <s v="Hood Upper Release Lever &amp; Cable &amp; Strikers as SET"/>
        <s v="Hood Emblem"/>
        <s v="Hood Shocks"/>
        <s v="Hood, Assembly"/>
        <s v="Climate Control Panel, Radio Control Panel, and Trim - FRONT"/>
        <s v="Climate Control Panel - REAR"/>
        <s v="Airbag, DASH - RIGHT (PASSENGER)"/>
        <s v="Airbag, KNEE - FRONT LEFT (DRIVER)"/>
        <s v="Airbag, KNEE - FRONT RIGHT (PASSENGER)"/>
        <s v="Airbag, ROOF - LEFT (DRIVER)"/>
        <s v="Airbag, ROOF - RIGHT (PASSENGER)"/>
        <s v="Airbag, STEERING WHEEL"/>
        <s v="Ambient Air Temperature Sensor"/>
        <s v="Blower Motor, FRONT FOOTWELL"/>
        <s v="Center Console Storage Compartment &amp; Lid"/>
        <s v="Center Console Cell Phone Cradle"/>
        <s v="Combination Switch Assembly"/>
        <s v="Cup Holder, FRONT CENTER CONSOLE"/>
        <s v="Dome Light, FRONT PRIMARY ONE"/>
        <s v="Shifter"/>
        <s v="Glove Box Assembly WITH Handle, FRONT RIGHT PRIMARY"/>
        <s v="Head Up Display Projector"/>
        <s v="Head Up Display Screen Projector Trim"/>
        <s v="Headlight Switch"/>
        <s v="I-Drive Navigation Radio Control Knob"/>
        <s v="I-Drive Navigation / Radio Control Knob &amp; Switch Panel TRIM"/>
        <s v="Mirror, REARVIEW"/>
        <s v="Navigation Display Screen"/>
        <s v="Owners Manual + Case"/>
        <s v="Radio / Stereo Receiver Unit"/>
        <s v="Speedometer"/>
        <s v="Steering Column Center Rod &amp; Lower U-Joint Shaft"/>
        <s v="Steering Wheel Vibration Control Module "/>
        <s v="Steering Wheel"/>
        <s v="Steering Wheel Switches SET 2 WITH Trim"/>
        <s v="Switch/Button, Engine Ignition Start/Stop Push Button"/>
        <s v="Traction Control Switch Panel"/>
        <s v="USB Aux Socket Port"/>
        <s v="Vent, DASH - FRONT CENTER with Hazard Button"/>
        <s v="Switch, Hazard Button"/>
        <s v="Vent, DASH - FRONT LEFT"/>
        <s v="Vent, DASH - FRONT RIGHT"/>
        <s v="Vent, DASH - REAR CENTER CONSOLE"/>
        <s v="Visors"/>
        <s v="A/C HVAC Blend Door Flap Motors &amp; Harness"/>
        <s v="Blower Motor Assembly, REAR &amp; CENTER CONSOLE"/>
        <s v="Dome Lights, ALL EXCEPT front primary one"/>
        <s v="Glove Box, LEFT FRONT DASH smaller one"/>
        <s v="Grab Handles / Oh Shit Bars"/>
        <s v="Microphone, Hands Free Roof Mounted Mics"/>
        <s v="Pedal, Gas Pedal"/>
        <s v="REAR CENTER CONSOLE Storage Tray, Trim Panel &amp; 12v Sockets"/>
        <s v="Speaker Grilles"/>
        <s v="Speedometer Instrument Gauge Cluster Trim"/>
        <s v="Steering Column Assembly &amp; Adjust Motors"/>
        <s v="Steering Wheel Adjust Switch With Steering Wheel Heater"/>
        <s v="Steering Wheel Adjust Switch Without Steering Wheel Heater"/>
        <s v="Vents, Pillar"/>
        <s v="Sunroof, Glass - PANORAMIC, FRONT"/>
        <s v="Sunroof, Glass - PANORAMIC, REAR"/>
        <s v="Sunroof, Motor"/>
        <s v="Sunroof, Assembly"/>
        <s v="3rd Brake Light"/>
        <s v="Fog Light, FRONT - LEFT"/>
        <s v="Fog Light, FRONT - RIGHT"/>
        <s v="Headlight TMS Control Module"/>
        <s v="Headlight, Daytime Running Light DRL Angel Eye Module"/>
        <s v="Headlight, FRONT - LEFT"/>
        <s v="Headlight, FRONT - RIGHT"/>
        <s v="Headlight, XENON Adaptive Control Module"/>
        <s v="Headlight, XENON Ballast Control Module, XENON"/>
        <s v="Headlight, Access Cover Cap SET 2"/>
        <s v="Taillight, QUARTER PANEL MOUNTED - LEFT"/>
        <s v="Taillight, QUARTER PANEL MOUNTED - RIGHT"/>
        <s v="Taillight, TRUNK MOUNTED - LEFT"/>
        <s v="Taillight, TRUNK MOUNTED - RIGHT"/>
        <s v="License Plate Lights"/>
        <s v="ABS ICM Integrated Chassis Management SRS Control Module"/>
        <s v="Amplifier, Bang &amp; Olufsen"/>
        <s v="Amplifier, Harman Kardon"/>
        <s v="Amplifier, HiFi"/>
        <s v="Blind Spot Alert Sensor Module, Master"/>
        <s v="Blind Spot Alert Sensor Module, Slave"/>
        <s v="Body Power Control Module"/>
        <s v="Camera, FRONT Bumper"/>
        <s v="Camera, Side"/>
        <s v="Engine Control Module"/>
        <s v="Exhaust Flap Servo Actuator Motor"/>
        <s v="Fuse Box, REAR ENGINE fuse box"/>
        <s v="Ignition Anti-Theft Key Detection Immobilizer Ring"/>
        <s v="Integrated Power Module"/>
        <s v="Key FOB + Skeleton Key"/>
        <s v="Keyless Entry Antenna SET 6"/>
        <s v="Keyless Entry Control Module (worthless solo)"/>
        <s v="Lane Departure Warning Camera"/>
        <s v="Lane Departure Warning Camera Control Module (Not The Camera)"/>
        <s v="Module &amp; Key SET A (ECM + BCM + Keyless Mod + FOB + LF Lock Cyl + Immobilizer Ring)"/>
        <s v="Park Assist Control Module PDC"/>
        <s v="Radio Remote Receiver Control Module"/>
        <s v="Rain Solar Light Sensor"/>
        <s v="Seat Control &amp; Memory Module, w/ Comfort Seat - FRONT LEFT"/>
        <s v="Seat Control &amp; Memory Module, w/ Comfort Seat - FRONT RIGHT"/>
        <s v="Seat Control &amp; Memory Module, w/o Comfort Seat - FRONT LEFT"/>
        <s v="Seat Control &amp; Memory Module, w/o Comfort Seat - FRONT RIGHT"/>
        <s v="Surround View Camera Control Module"/>
        <s v="Tailgate Trunk Control Module"/>
        <s v="Telematics Communication Control Module"/>
        <s v="Towing Control Module "/>
        <s v="Voltage Converter Control Module"/>
        <s v="Airbag Module, PRIMARY (black plastic white on top)(KEEP ALUMINUM MODULE SAYS &quot;AIRBAG&quot;)"/>
        <s v="Fuel Pump Control Module"/>
        <s v="Antenna Amplifier Control Module, BACKUP one"/>
        <s v="Antenna Amplifier Control Module, PRIMARY one"/>
        <s v="Antenna Noise Filter Control Module"/>
        <s v="Bus Interface Control Module"/>
        <s v="Cooling Fan Relay Module"/>
        <s v="Crash Sensors"/>
        <s v="Front Power Distribution Terminal Module"/>
        <s v="i-Drive Navigation / Radio Knob Control Module"/>
        <s v="Fuse Box, FRONT"/>
        <s v="Lojack Vehicle Recovery Transmitter Module &amp; Cable"/>
        <s v="Positive Battery Junction Box"/>
        <s v="Seat Control Module - REAR"/>
        <s v="Steering Column Control Module"/>
        <s v="Speakers SET - Harman Kardon"/>
        <s v="Speakers SET - Bang &amp; Olufsen"/>
        <s v="Speakers - BMW Branded Ones"/>
        <s v="Trim Set, Entire Vehicle"/>
        <s v="Airbag, SEATS"/>
        <s v="Seatbelt Buckle, FRONT - LEFT"/>
        <s v="Seatbelt Retractor, FRONT - LEFT"/>
        <s v="Seatbelt, Buckles REAR 2ND ROW - SET 3"/>
        <s v="Seatbelt, Retractors REAR 2nd ROW - LEFT &amp; RIGHT SET 2"/>
        <s v="Seatbelt Buckle, FRONT - RIGHT"/>
        <s v="Seatbelt Retractor, FRONT - RIGHT"/>
        <s v="Headrest, FRONT - LEFT"/>
        <s v="Seat Adjust Switch, FRONT - LEFT"/>
        <s v="Seat Cushions, FRONT LEFT - LOWER"/>
        <s v="Seat Cushions, FRONT LEFT - UPPER"/>
        <s v="Seat Track WITH Motors, FRONT LEFT"/>
        <s v="Headrests, REAR 2nd ROW SET 3"/>
        <s v="Rear Arm Rest &amp; Cup Holder"/>
        <s v="Seat Cushions, ALL REAR"/>
        <s v="Headrest, FRONT - RIGHT"/>
        <s v="Seat Adjust Switch, FRONT - RIGHT"/>
        <s v="Seat Cushions, FRONT RIGHT - LOWER"/>
        <s v="Seat Cushions, FRONT RIGHT - UPPER"/>
        <s v="Seat Track WITH Motors, FRONT RIGHT"/>
        <s v="Driveshaft, REAR - RWD"/>
        <s v="Driveshaft, REAR - AWD"/>
        <s v="Driveshaft, REAR - AWD "/>
        <s v="Sway Bar / Stabilizer Bar, FRONT w/ Dynamic Drive"/>
        <s v="Axle Shafts, FRONT - LEFT"/>
        <s v="Axle Shafts, FRONT - RIGHT"/>
        <s v="Control Arms, FRONT - LOWER LEFT FORWARD + REARWARD SET 2"/>
        <s v="Control Arms, FRONT - LOWER RIGHT FORWARD + REARWARD SET 2"/>
        <s v="Control Arms, FRONT - UPPER &quot;U&quot; WISHBONE ONES as SET 2"/>
        <s v="Control Arms, REAR - LEFT SET 3"/>
        <s v="Control Arms, REAR - RIGHT SET 3"/>
        <s v="Differential, FRONT"/>
        <s v="Differential, REAR"/>
        <s v="Driveshaft, FRONT"/>
        <s v="Emergency Parking Brake Actuator"/>
        <s v="Height Level Sensors, FRONT - LEFT"/>
        <s v="Height Level Sensors, FRONT - RIGHT"/>
        <s v="Height Level Sensors, REAR - LEFT"/>
        <s v="Height Level Sensors, REAR - RIGHT"/>
        <s v="Muffler Tips SET 2"/>
        <s v="Shock Struts, FRONT SET 2"/>
        <s v="Shock Struts, REAR - LEFT (Adaptive)"/>
        <s v="Shock Struts, REAR - RIGHT (Adaptive)"/>
        <s v="Shock Struts, REAR SET 2 (WITHOUT Adaptive)"/>
        <s v="Springs, REAR Shock Springs as SET 2 WITH Gromets"/>
        <s v="Springs, REAR - LEFT"/>
        <s v="Springs, REAR - RIGHT"/>
        <s v="Steering Gear Rack &amp; Pinion Wire Harness"/>
        <s v="Steering Gear Rack &amp; Pinion"/>
        <s v="Axle Shafts, REAR - TOSS ALL"/>
        <s v="Brake Calipers"/>
        <s v="Brake Rotors"/>
        <s v="Charcoal Canister / Evap Box"/>
        <s v="Spindle / Knuckles"/>
        <s v="Subframe / Crossmember, REAR"/>
        <s v="Sway Bar / Stabilizer Bar, REAR"/>
        <s v="Automatic Flywheel Flex Plate"/>
        <s v="Torque Converter"/>
        <s v="Transfer Case"/>
        <s v="Transfer Case Shift Motor"/>
        <s v="Transmission Oil Cooler"/>
        <s v="Transmission Oil Pump, Mechanical"/>
        <s v="Transmission Oil Pump, Hydraulic"/>
        <s v="Valve Body"/>
        <s v="Transmission Assembly "/>
        <s v="Guibos"/>
        <s v="Oil Pan, Transmission"/>
        <s v="Transmission Crossmember Mount Bracket"/>
        <s v="Trunk Latch WITH Soft Close Actuator Motor &amp; Cables"/>
        <s v="Trunk Handle (WITH Camera Slot)"/>
        <s v="Trunk Handle (WITHOUT Camera Slot)"/>
        <s v="Battery Cable, NEGATIVE With IBS Module ON"/>
        <s v="Battery Cable, POSITIVE &amp; Attached Junction Bracket, THE SMALL ONE"/>
        <s v="Battery Cable, POSITIVE &amp; Attached Terminal Bracket, THE BIG PRIMARY ONE"/>
        <s v="Camera, REAR Backup Camera"/>
        <s v="Cargo Cover, Large Retractable"/>
        <s v="Trunk Assembly - LOWER TAILGATE"/>
        <s v="Trunk Electric Shock"/>
        <s v="Trunk Emblem"/>
        <s v="Wiper Motor, Trunk"/>
        <s v="Trunk Assembly - UPPER TRUNK"/>
        <s v="Cargo Hooks"/>
        <s v="Cargo Net"/>
        <s v="Cargo Rails"/>
        <s v="Negative Battery Cable"/>
        <s v="Positive Battery Distribution Box"/>
        <s v="Switch/Button, Trunk Open Close Switch Button"/>
        <s v="Wiper Arm, REAR"/>
        <s v="Wheels (ask DRF - tons of options)"/>
        <s v="Wheels SET 4 (560-86059 x2 &amp; 560-86054 x2)"/>
        <s v="Wheel, FRONT - LEFT or RIGHT"/>
        <s v="Wheel, REAR - LEFT or RIGHT"/>
        <s v="TPMS Tire Pressure Sensor SET 4"/>
        <s v="Wheel Lock Nuts &amp; Key"/>
        <s v="Lug Nuts"/>
        <s v="Wheel Speed Sensors"/>
        <m/>
      </sharedItems>
    </cacheField>
    <cacheField name="Item Description (Posters &amp; Website)" numFmtId="0">
      <sharedItems containsBlank="1"/>
    </cacheField>
    <cacheField name="How To Keep &amp; Dismantler Notes" numFmtId="0">
      <sharedItems containsBlank="1"/>
    </cacheField>
    <cacheField name="How To Keep" numFmtId="0">
      <sharedItems containsBlank="1"/>
    </cacheField>
    <cacheField name="Dismantler Notes" numFmtId="0">
      <sharedItems containsBlank="1"/>
    </cacheField>
    <cacheField name="Single or SET" numFmtId="0">
      <sharedItems containsBlank="1"/>
    </cacheField>
    <cacheField name="Poster Notes" numFmtId="0">
      <sharedItems containsBlank="1" containsMixedTypes="1" containsNumber="1" containsInteger="1" minValue="8626487" maxValue="51627304605"/>
    </cacheField>
    <cacheField name="Price" numFmtId="0">
      <sharedItems containsBlank="1" containsMixedTypes="1" containsNumber="1" containsInteger="1" minValue="39" maxValue="6000"/>
    </cacheField>
    <cacheField name="Checked Range" numFmtId="0">
      <sharedItems containsBlank="1"/>
    </cacheField>
    <cacheField name="Chassis" numFmtId="0">
      <sharedItems containsBlank="1"/>
    </cacheField>
    <cacheField name="Sub-Chassis" numFmtId="0">
      <sharedItems containsBlank="1"/>
    </cacheField>
    <cacheField name="Mike Test Notes" numFmtId="0">
      <sharedItems containsBlank="1"/>
    </cacheField>
    <cacheField name="Interchange Category" numFmtId="0">
      <sharedItems containsBlank="1" containsMixedTypes="1" containsNumber="1" containsInteger="1" minValue="118" maxValue="613"/>
    </cacheField>
    <cacheField name="-" numFmtId="0">
      <sharedItems containsBlank="1"/>
    </cacheField>
    <cacheField name="Interchange Number" numFmtId="0">
      <sharedItems containsBlank="1" containsMixedTypes="1" containsNumber="1" containsInteger="1" minValue="194" maxValue="999940"/>
    </cacheField>
    <cacheField name="Interchange2" numFmtId="0">
      <sharedItems containsBlank="1"/>
    </cacheField>
    <cacheField name="Option" numFmtId="0">
      <sharedItems containsBlank="1"/>
    </cacheField>
    <cacheField name="Chassis2" numFmtId="0">
      <sharedItems containsBlank="1"/>
    </cacheField>
    <cacheField name="Fits" numFmtId="0">
      <sharedItems containsBlank="1"/>
    </cacheField>
    <cacheField name="Options" numFmtId="0">
      <sharedItems containsBlank="1"/>
    </cacheField>
    <cacheField name="Viking Interchange" numFmtId="0">
      <sharedItems containsBlank="1"/>
    </cacheField>
    <cacheField name="Unique ID" numFmtId="0">
      <sharedItems containsBlank="1"/>
    </cacheField>
    <cacheField name="Viking ID"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8">
  <r>
    <s v=""/>
    <s v=""/>
    <m/>
    <m/>
    <s v=""/>
    <s v="ENF"/>
    <d v="2022-05-02T00:00:00"/>
    <m/>
    <m/>
    <s v="KEEP"/>
    <s v="Doors-ALL"/>
    <s v="Scuff Plate"/>
    <s v="never"/>
    <m/>
    <m/>
    <m/>
    <m/>
    <s v=". Scuff Plates SET 4"/>
    <m/>
    <m/>
    <m/>
    <m/>
    <m/>
    <m/>
    <m/>
    <x v="0"/>
    <s v="Scuff Plates SET 4"/>
    <s v="SET4, if some bad sell SET2, toss singles"/>
    <s v="SET4, if some bad sell SET2, toss singles"/>
    <m/>
    <s v="SET/4"/>
    <m/>
    <n v="100"/>
    <s v="14-18 ALL"/>
    <s v="BMW X5 (F15) (14-18)"/>
    <s v="F15 ALL"/>
    <m/>
    <m/>
    <m/>
    <m/>
    <m/>
    <m/>
    <m/>
    <m/>
    <m/>
    <m/>
    <m/>
    <s v=""/>
  </r>
  <r>
    <s v=""/>
    <s v=""/>
    <m/>
    <m/>
    <s v=""/>
    <s v="ENF"/>
    <d v="2022-05-02T00:00:00"/>
    <m/>
    <m/>
    <s v="KEEP"/>
    <s v="Doors-ALL"/>
    <s v="Scuff Plate"/>
    <s v="never"/>
    <m/>
    <m/>
    <m/>
    <m/>
    <s v=". Scuff Plates SET 2"/>
    <m/>
    <m/>
    <m/>
    <m/>
    <m/>
    <m/>
    <m/>
    <x v="0"/>
    <s v="Scuff Plates SET 2"/>
    <s v="SET4, if some bad sell SET2, toss singles"/>
    <s v="SET4, if some bad sell SET2, toss singles"/>
    <m/>
    <s v="SET/2"/>
    <m/>
    <n v="60"/>
    <s v="14-18 ALL"/>
    <s v="BMW X5 (F15) (14-18)"/>
    <s v="F15 ALL"/>
    <m/>
    <m/>
    <m/>
    <m/>
    <m/>
    <m/>
    <m/>
    <m/>
    <m/>
    <m/>
    <m/>
    <s v=""/>
  </r>
  <r>
    <s v="A47"/>
    <s v="129-52061"/>
    <s v="129-52061-1"/>
    <m/>
    <n v="2"/>
    <s v="ENF"/>
    <d v="2022-04-19T00:00:00"/>
    <m/>
    <s v="DRF Check"/>
    <s v="KEEP"/>
    <s v="Doors-LF"/>
    <s v="Door Handle, Exterior"/>
    <s v="always"/>
    <n v="37"/>
    <s v="A47"/>
    <s v="Box 3"/>
    <n v="1"/>
    <s v="A47. Door Handle, Exterior - FRONT - LEFT"/>
    <s v="PIC"/>
    <n v="5"/>
    <s v="51217401211, 7401211, 51217433843, 7433843"/>
    <s v="Yes"/>
    <m/>
    <m/>
    <m/>
    <x v="1"/>
    <s v="Door Handle, Exterior - FRONT - LEFT"/>
    <s v="on base w/ cable, remove lock cyl &amp; put w/ SET A"/>
    <s v="on base w/ cable, remove lock cyl &amp; put w/ SET A"/>
    <m/>
    <s v="single"/>
    <s v="left front &amp; rear are identical fitment (except LF has lock cylinder)"/>
    <n v="150"/>
    <s v="14-18 ALL"/>
    <s v="BMW X5 (F15) (14-18)"/>
    <s v="F15 ALL"/>
    <m/>
    <n v="129"/>
    <s v="-"/>
    <n v="52061"/>
    <s v="129-52061"/>
    <s v="w/ comfort access"/>
    <m/>
    <m/>
    <m/>
    <m/>
    <m/>
    <s v=""/>
  </r>
  <r>
    <s v=""/>
    <s v="129-52063"/>
    <s v="129-52063-1"/>
    <m/>
    <n v="2"/>
    <s v="ENF"/>
    <d v="2022-04-19T00:00:00"/>
    <m/>
    <s v="DRF Check"/>
    <s v="KEEP"/>
    <s v="Doors-LF"/>
    <s v="Door Handle, Exterior"/>
    <s v="always"/>
    <m/>
    <m/>
    <m/>
    <m/>
    <s v=". Door Handle, Exterior - FRONT - LEFT"/>
    <m/>
    <m/>
    <s v="51217401209, 7401209, 51217396305, 7396305"/>
    <s v="Yes"/>
    <m/>
    <m/>
    <m/>
    <x v="1"/>
    <s v="Door Handle, Exterior - FRONT - LEFT"/>
    <s v="on base w/ cable, remove lock cyl &amp; put w/ SET A"/>
    <s v="on base w/ cable, remove lock cyl &amp; put w/ SET A"/>
    <m/>
    <s v="single"/>
    <s v="left front &amp; rear are identical fitment (except LF has lock cylinder)"/>
    <n v="120"/>
    <s v="14-18 ALL"/>
    <s v="BMW X5 (F15) (14-18)"/>
    <s v="F15 ALL"/>
    <m/>
    <n v="129"/>
    <s v="-"/>
    <n v="52063"/>
    <s v="129-52063"/>
    <s v="w/o comfort access"/>
    <m/>
    <m/>
    <m/>
    <m/>
    <m/>
    <s v=""/>
  </r>
  <r>
    <s v="A30"/>
    <s v="285-999723"/>
    <m/>
    <m/>
    <n v="1"/>
    <s v="ENF"/>
    <d v="2022-04-19T00:00:00"/>
    <m/>
    <m/>
    <s v="KEEP"/>
    <s v="Doors-LF"/>
    <s v="Door Latch"/>
    <s v="always CPI+"/>
    <n v="20"/>
    <s v="A30"/>
    <s v="Box 2"/>
    <n v="1"/>
    <s v="A30. Door Latch, FRONT - LEFT Soft Close WITH Actuator SET 2"/>
    <s v="PIC"/>
    <n v="6"/>
    <s v="51217281945, 7281945, 51207323781, 7323781"/>
    <s v="Yes"/>
    <m/>
    <m/>
    <m/>
    <x v="2"/>
    <s v="Door Latch, FRONT - LEFT Soft Close WITH Actuator SET 2"/>
    <s v="w/ cable + white actuator motor | toss both if 1 bad"/>
    <s v="w/ cable + white actuator motor"/>
    <s v="toss both if 1 bad"/>
    <s v="single"/>
    <m/>
    <n v="250"/>
    <s v="14-18 ALL"/>
    <s v="BMW X5 (F15) (14-18)"/>
    <s v="F15 ALL"/>
    <m/>
    <n v="285"/>
    <s v="-"/>
    <n v="999723"/>
    <s v="285-999723"/>
    <s v="w/ soft close"/>
    <m/>
    <m/>
    <m/>
    <m/>
    <m/>
    <s v=""/>
  </r>
  <r>
    <s v=""/>
    <s v="285-999717"/>
    <m/>
    <m/>
    <n v="1"/>
    <s v="ENF"/>
    <d v="2022-04-19T00:00:00"/>
    <m/>
    <m/>
    <s v="KEEP"/>
    <s v="Doors-LF"/>
    <s v="Door Latch"/>
    <s v="always CPI+"/>
    <m/>
    <m/>
    <m/>
    <m/>
    <s v=". Door Latch, FRONT - LEFT WITHOUT Soft Close"/>
    <m/>
    <m/>
    <s v="51217281931, 7281931"/>
    <s v="Yes"/>
    <m/>
    <m/>
    <m/>
    <x v="3"/>
    <s v="Door Latch, FRONT - LEFT WITHOUT Soft Close"/>
    <s v="w/ cable"/>
    <s v="w/ cable"/>
    <m/>
    <s v="single"/>
    <m/>
    <n v="78"/>
    <s v="14-18 ALL"/>
    <s v="BMW X5 (F15) (14-18)"/>
    <s v="F15 ALL"/>
    <m/>
    <n v="285"/>
    <s v="-"/>
    <n v="999717"/>
    <s v="285-999717"/>
    <s v="w/o soft close"/>
    <m/>
    <m/>
    <m/>
    <m/>
    <m/>
    <s v=""/>
  </r>
  <r>
    <s v=""/>
    <s v=""/>
    <m/>
    <m/>
    <s v=""/>
    <s v="ENF"/>
    <d v="2022-05-03T00:00:00"/>
    <m/>
    <m/>
    <s v="KEEP"/>
    <s v="Doors-LF"/>
    <s v="Lock Cylinder"/>
    <s v="never"/>
    <m/>
    <m/>
    <m/>
    <m/>
    <s v=". Door Lock Cylinder - LEFT FRONT (put in module box for SET A)"/>
    <m/>
    <m/>
    <m/>
    <m/>
    <m/>
    <m/>
    <m/>
    <x v="4"/>
    <s v="Door Lock Cylinder - LEFT FRONT (put in module box for SET A)"/>
    <s v=""/>
    <m/>
    <m/>
    <s v="single"/>
    <s v="SET A: 100% sure NOT required, but worthless solo - no $ change if missing)"/>
    <s v="SET A (xxx)"/>
    <s v="14-18 ALL"/>
    <s v="BMW X5 (F15) (14-18)"/>
    <s v="F15 ALL"/>
    <m/>
    <m/>
    <m/>
    <m/>
    <m/>
    <m/>
    <m/>
    <m/>
    <m/>
    <m/>
    <m/>
    <s v=""/>
  </r>
  <r>
    <s v=""/>
    <s v="128-11745"/>
    <m/>
    <m/>
    <n v="1"/>
    <s v="ENF"/>
    <d v="2022-04-19T00:00:00"/>
    <m/>
    <s v="DRF Check"/>
    <s v="KEEP"/>
    <s v="Doors-LF"/>
    <s v="Mirror, Door"/>
    <s v="always"/>
    <m/>
    <m/>
    <m/>
    <m/>
    <s v=". Mirror, Door - FRONT LEFT"/>
    <m/>
    <m/>
    <m/>
    <m/>
    <m/>
    <m/>
    <m/>
    <x v="5"/>
    <s v="Mirror, Door - FRONT LEFT"/>
    <s v=""/>
    <m/>
    <m/>
    <s v="single"/>
    <m/>
    <n v="1000"/>
    <s v="14-18 ALL"/>
    <s v="BMW X5 (F15) (14-18)"/>
    <s v="F15 ALL"/>
    <m/>
    <n v="128"/>
    <s v="-"/>
    <n v="11745"/>
    <s v="128-11745"/>
    <s v="w/ auto dimming, w/ blind spot, w/ surround view, w/ high gloss"/>
    <m/>
    <m/>
    <m/>
    <m/>
    <m/>
    <s v=""/>
  </r>
  <r>
    <s v=""/>
    <s v="128-11751"/>
    <m/>
    <m/>
    <n v="1"/>
    <s v="ENF"/>
    <d v="2022-04-19T00:00:00"/>
    <m/>
    <s v="DRF Check"/>
    <s v="KEEP"/>
    <s v="Doors-LF"/>
    <s v="Mirror, Door"/>
    <s v="always"/>
    <m/>
    <m/>
    <m/>
    <m/>
    <s v=". Mirror, Door - FRONT LEFT"/>
    <m/>
    <m/>
    <m/>
    <m/>
    <m/>
    <m/>
    <m/>
    <x v="5"/>
    <s v="Mirror, Door - FRONT LEFT"/>
    <s v=""/>
    <m/>
    <m/>
    <s v="single"/>
    <m/>
    <n v="1000"/>
    <s v="14-18 ALL"/>
    <s v="BMW X5 (F15) (14-18)"/>
    <s v="F15 ALL"/>
    <m/>
    <n v="128"/>
    <s v="-"/>
    <n v="11751"/>
    <s v="128-11751"/>
    <s v="w/ auto dimming, w/ blind spot, w/ surround view, w/o high gloss"/>
    <m/>
    <m/>
    <m/>
    <m/>
    <m/>
    <s v=""/>
  </r>
  <r>
    <s v=""/>
    <s v="128-11753"/>
    <m/>
    <m/>
    <n v="1"/>
    <s v="ENF"/>
    <d v="2022-04-19T00:00:00"/>
    <m/>
    <s v="DRF Check"/>
    <s v="KEEP"/>
    <s v="Doors-LF"/>
    <s v="Mirror, Door"/>
    <s v="always"/>
    <m/>
    <m/>
    <m/>
    <m/>
    <s v=". Mirror, Door - FRONT LEFT"/>
    <m/>
    <m/>
    <m/>
    <m/>
    <m/>
    <m/>
    <m/>
    <x v="5"/>
    <s v="Mirror, Door - FRONT LEFT"/>
    <s v=""/>
    <m/>
    <m/>
    <s v="single"/>
    <m/>
    <n v="750"/>
    <s v="14-18 ALL"/>
    <s v="BMW X5 (F15) (14-18)"/>
    <s v="F15 ALL"/>
    <m/>
    <n v="128"/>
    <s v="-"/>
    <n v="11753"/>
    <s v="128-11753"/>
    <s v="w/ auto dimming, w/ blind spot, w/o surround view, w/ high gloss"/>
    <m/>
    <m/>
    <m/>
    <m/>
    <m/>
    <s v=""/>
  </r>
  <r>
    <s v=""/>
    <s v="128-11755"/>
    <m/>
    <m/>
    <n v="1"/>
    <s v="ENF"/>
    <d v="2022-04-19T00:00:00"/>
    <m/>
    <s v="DRF Check"/>
    <s v="KEEP"/>
    <s v="Doors-LF"/>
    <s v="Mirror, Door"/>
    <s v="always"/>
    <m/>
    <m/>
    <m/>
    <m/>
    <s v=". Mirror, Door - FRONT LEFT"/>
    <m/>
    <m/>
    <m/>
    <m/>
    <m/>
    <m/>
    <m/>
    <x v="5"/>
    <s v="Mirror, Door - FRONT LEFT"/>
    <s v=""/>
    <m/>
    <m/>
    <s v="single"/>
    <m/>
    <n v="750"/>
    <s v="14-18 ALL"/>
    <s v="BMW X5 (F15) (14-18)"/>
    <s v="F15 ALL"/>
    <m/>
    <n v="128"/>
    <s v="-"/>
    <n v="11755"/>
    <s v="128-11755"/>
    <s v="w/ auto dimming, w/ blind spot, w/o surround view, w/o high gloss"/>
    <m/>
    <m/>
    <m/>
    <m/>
    <m/>
    <s v=""/>
  </r>
  <r>
    <s v=""/>
    <s v="128-11757"/>
    <m/>
    <m/>
    <n v="1"/>
    <s v="ENF"/>
    <d v="2022-04-19T00:00:00"/>
    <m/>
    <s v="DRF Check"/>
    <s v="KEEP"/>
    <s v="Doors-LF"/>
    <s v="Mirror, Door"/>
    <s v="always"/>
    <m/>
    <m/>
    <m/>
    <m/>
    <s v=". Mirror, Door - FRONT LEFT"/>
    <m/>
    <m/>
    <m/>
    <m/>
    <m/>
    <m/>
    <m/>
    <x v="5"/>
    <s v="Mirror, Door - FRONT LEFT"/>
    <s v=""/>
    <m/>
    <m/>
    <s v="single"/>
    <m/>
    <n v="800"/>
    <s v="14-18 ALL"/>
    <s v="BMW X5 (F15) (14-18)"/>
    <s v="F15 ALL"/>
    <m/>
    <n v="128"/>
    <s v="-"/>
    <n v="11757"/>
    <s v="128-11757"/>
    <s v="w/ auto dimming, w/o blind spot, w/ surround view, w/ high gloss"/>
    <m/>
    <m/>
    <m/>
    <m/>
    <m/>
    <s v=""/>
  </r>
  <r>
    <s v=""/>
    <s v="128-11759"/>
    <m/>
    <m/>
    <n v="1"/>
    <s v="ENF"/>
    <d v="2022-04-19T00:00:00"/>
    <m/>
    <s v="DRF Check"/>
    <s v="KEEP"/>
    <s v="Doors-LF"/>
    <s v="Mirror, Door"/>
    <s v="always"/>
    <m/>
    <m/>
    <m/>
    <m/>
    <s v=". Mirror, Door - FRONT LEFT"/>
    <m/>
    <m/>
    <m/>
    <m/>
    <m/>
    <m/>
    <m/>
    <x v="5"/>
    <s v="Mirror, Door - FRONT LEFT"/>
    <s v=""/>
    <m/>
    <m/>
    <s v="single"/>
    <m/>
    <n v="800"/>
    <s v="14-18 ALL"/>
    <s v="BMW X5 (F15) (14-18)"/>
    <s v="F15 ALL"/>
    <m/>
    <n v="128"/>
    <s v="-"/>
    <n v="11759"/>
    <s v="128-11759"/>
    <s v="w/ auto dimming, w/o blind spot, w/ surround view, w/o high gloss"/>
    <m/>
    <m/>
    <m/>
    <m/>
    <m/>
    <s v=""/>
  </r>
  <r>
    <s v=""/>
    <s v="128-11761"/>
    <m/>
    <m/>
    <n v="1"/>
    <s v="ENF"/>
    <d v="2022-04-19T00:00:00"/>
    <m/>
    <s v="DRF Check"/>
    <s v="KEEP"/>
    <s v="Doors-LF"/>
    <s v="Mirror, Door"/>
    <s v="always"/>
    <m/>
    <m/>
    <m/>
    <m/>
    <s v=". Mirror, Door - FRONT LEFT"/>
    <m/>
    <m/>
    <m/>
    <m/>
    <m/>
    <m/>
    <m/>
    <x v="5"/>
    <s v="Mirror, Door - FRONT LEFT"/>
    <s v=""/>
    <m/>
    <m/>
    <s v="single"/>
    <m/>
    <n v="700"/>
    <s v="14-18 ALL"/>
    <s v="BMW X5 (F15) (14-18)"/>
    <s v="F15 ALL"/>
    <m/>
    <n v="128"/>
    <s v="-"/>
    <n v="11761"/>
    <s v="128-11761"/>
    <s v="w/ auto dimming, w/o blind spot, w/o surround view, w/ high gloss"/>
    <m/>
    <m/>
    <m/>
    <m/>
    <m/>
    <s v=""/>
  </r>
  <r>
    <s v="A116"/>
    <s v="128-11763"/>
    <m/>
    <m/>
    <n v="1"/>
    <s v="ENF"/>
    <d v="2022-04-19T00:00:00"/>
    <m/>
    <s v="DRF Check"/>
    <s v="KEEP"/>
    <s v="Doors-LF"/>
    <s v="Mirror, Door"/>
    <s v="always"/>
    <n v="106"/>
    <s v="A116"/>
    <s v="FLAW"/>
    <n v="1"/>
    <s v="A116. Mirror, Door - FRONT LEFT"/>
    <s v="PIC"/>
    <n v="6"/>
    <s v="51167363919, 7363919, 51167365113, 7365113, 51167354634, 7354634"/>
    <s v="Yes"/>
    <s v="scratches in paint finish"/>
    <m/>
    <m/>
    <x v="5"/>
    <s v="Mirror, Door - FRONT LEFT"/>
    <s v=""/>
    <m/>
    <m/>
    <s v="single"/>
    <m/>
    <n v="700"/>
    <s v="14-18 ALL"/>
    <s v="BMW X5 (F15) (14-18)"/>
    <s v="F15 ALL"/>
    <m/>
    <n v="128"/>
    <s v="-"/>
    <n v="11763"/>
    <s v="128-11763"/>
    <s v="w/ auto dimming, w/o blind spot, w/o surround view, w/o high gloss"/>
    <m/>
    <m/>
    <m/>
    <m/>
    <m/>
    <s v=""/>
  </r>
  <r>
    <s v=""/>
    <s v="128-11765"/>
    <m/>
    <m/>
    <n v="1"/>
    <s v="ENF"/>
    <d v="2022-04-19T00:00:00"/>
    <m/>
    <s v="DRF Check"/>
    <s v="KEEP"/>
    <s v="Doors-LF"/>
    <s v="Mirror, Door"/>
    <s v="always"/>
    <m/>
    <m/>
    <m/>
    <m/>
    <s v=". Mirror, Door - FRONT LEFT"/>
    <m/>
    <m/>
    <m/>
    <m/>
    <m/>
    <m/>
    <m/>
    <x v="5"/>
    <s v="Mirror, Door - FRONT LEFT"/>
    <s v=""/>
    <m/>
    <m/>
    <s v="single"/>
    <m/>
    <n v="700"/>
    <s v="14-18 ALL"/>
    <s v="BMW X5 (F15) (14-18)"/>
    <s v="F15 ALL"/>
    <m/>
    <n v="128"/>
    <s v="-"/>
    <n v="11765"/>
    <s v="128-11765"/>
    <s v="w/o auto dimming, w/o blind spot, w/o surround view, w/ high gloss"/>
    <m/>
    <m/>
    <m/>
    <m/>
    <m/>
    <s v=""/>
  </r>
  <r>
    <s v=""/>
    <s v="128-11767"/>
    <m/>
    <m/>
    <n v="1"/>
    <s v="ENF"/>
    <d v="2022-04-19T00:00:00"/>
    <m/>
    <s v="DRF Check"/>
    <s v="KEEP"/>
    <s v="Doors-LF"/>
    <s v="Mirror, Door"/>
    <s v="always"/>
    <m/>
    <m/>
    <m/>
    <m/>
    <s v=". Mirror, Door - FRONT LEFT"/>
    <m/>
    <m/>
    <m/>
    <m/>
    <m/>
    <m/>
    <m/>
    <x v="5"/>
    <s v="Mirror, Door - FRONT LEFT"/>
    <s v=""/>
    <m/>
    <m/>
    <s v="single"/>
    <m/>
    <n v="700"/>
    <s v="14-18 ALL"/>
    <s v="BMW X5 (F15) (14-18)"/>
    <s v="F15 ALL"/>
    <m/>
    <n v="128"/>
    <s v="-"/>
    <n v="11767"/>
    <s v="128-11767"/>
    <s v="w/o auto dimming, w/o blind spot, w/o surround view, w/o high gloss"/>
    <m/>
    <m/>
    <m/>
    <m/>
    <m/>
    <s v=""/>
  </r>
  <r>
    <s v="A58"/>
    <s v="641-54182"/>
    <m/>
    <m/>
    <n v="1"/>
    <s v="ENF"/>
    <d v="2023-10-19T00:00:00"/>
    <m/>
    <s v="DRF Check"/>
    <s v="KEEP"/>
    <s v="Doors-LF"/>
    <s v="Switch Button"/>
    <s v="always"/>
    <n v="48"/>
    <s v="A58"/>
    <s v="Box 3"/>
    <n v="1"/>
    <s v="A58. Switch, Window Master"/>
    <s v="PIC"/>
    <n v="5"/>
    <s v="61319297349, 9297349"/>
    <s v="Yes"/>
    <m/>
    <m/>
    <m/>
    <x v="6"/>
    <s v="Switch, Window Master"/>
    <s v="remove &amp; toss trim"/>
    <s v="remove &amp; toss trim"/>
    <m/>
    <s v="single"/>
    <m/>
    <n v="45"/>
    <s v="14-18 ALL"/>
    <s v="BMW X5 (F15) (14-18)"/>
    <s v="F15 ALL"/>
    <m/>
    <s v="641"/>
    <s v="-"/>
    <n v="54182"/>
    <s v="641-54182"/>
    <s v="w/ power fold"/>
    <m/>
    <m/>
    <m/>
    <m/>
    <m/>
    <s v=""/>
  </r>
  <r>
    <s v=""/>
    <s v="641-54183"/>
    <m/>
    <m/>
    <n v="1"/>
    <s v="ENF"/>
    <d v="2023-10-19T00:00:00"/>
    <m/>
    <s v="DRF Check"/>
    <s v="KEEP"/>
    <s v="Doors-LF"/>
    <s v="Switch Button"/>
    <s v="always"/>
    <m/>
    <m/>
    <m/>
    <m/>
    <s v=". Switch, Window Master"/>
    <m/>
    <m/>
    <s v="61319297348, 9297348"/>
    <s v="Yes"/>
    <m/>
    <m/>
    <m/>
    <x v="6"/>
    <s v="Switch, Window Master"/>
    <s v="remove &amp; toss trim"/>
    <s v="remove &amp; toss trim"/>
    <m/>
    <s v="single"/>
    <m/>
    <n v="45"/>
    <s v="14-18 ALL"/>
    <s v="BMW X5 (F15) (14-18)"/>
    <s v="F15 ALL"/>
    <m/>
    <s v="641"/>
    <s v="-"/>
    <n v="54183"/>
    <s v="641-54183"/>
    <s v="w/o power fold"/>
    <m/>
    <m/>
    <m/>
    <m/>
    <m/>
    <s v=""/>
  </r>
  <r>
    <s v=""/>
    <s v=""/>
    <m/>
    <m/>
    <s v=""/>
    <s v="ENF"/>
    <d v="2022-04-19T00:00:00"/>
    <m/>
    <m/>
    <s v="Toss"/>
    <s v="Doors-LF"/>
    <s v="Door Handle, Interior"/>
    <s v="never"/>
    <m/>
    <m/>
    <m/>
    <m/>
    <s v=". Door Handle, Interior"/>
    <m/>
    <m/>
    <m/>
    <m/>
    <m/>
    <m/>
    <m/>
    <x v="7"/>
    <s v="Door Handle, Interior"/>
    <s v="if trim doesn't remove easy put handle w/ trim SET"/>
    <s v="if trim doesn't remove easy put handle w/ trim SET"/>
    <m/>
    <s v="single"/>
    <m/>
    <m/>
    <s v="14-18 ALL"/>
    <s v="BMW X5 (F15) (14-18)"/>
    <s v="F15 ALL"/>
    <m/>
    <m/>
    <m/>
    <m/>
    <m/>
    <m/>
    <m/>
    <m/>
    <m/>
    <m/>
    <m/>
    <s v=""/>
  </r>
  <r>
    <s v=""/>
    <s v=""/>
    <m/>
    <m/>
    <s v=""/>
    <s v="AJR"/>
    <d v="2023-01-10T00:00:00"/>
    <m/>
    <m/>
    <s v="Toss"/>
    <s v="Doors-LF"/>
    <s v="Switch Button"/>
    <s v="sometimes"/>
    <m/>
    <m/>
    <m/>
    <m/>
    <s v=". Door Lock Unlock Switch, FRONT - LEFT"/>
    <m/>
    <m/>
    <m/>
    <m/>
    <m/>
    <m/>
    <m/>
    <x v="8"/>
    <s v="Door Lock Unlock Switch, FRONT - LEFT"/>
    <s v=""/>
    <m/>
    <m/>
    <s v="single"/>
    <m/>
    <m/>
    <s v="14-18 ALL"/>
    <s v="BMW X5 (F15) (14-18)"/>
    <s v="F15 ALL"/>
    <m/>
    <m/>
    <s v="-"/>
    <m/>
    <m/>
    <m/>
    <m/>
    <m/>
    <m/>
    <m/>
    <m/>
    <s v=""/>
  </r>
  <r>
    <s v=""/>
    <s v=""/>
    <m/>
    <m/>
    <s v=""/>
    <s v="ENF"/>
    <d v="2022-04-19T00:00:00"/>
    <m/>
    <m/>
    <s v="Toss"/>
    <s v="Doors-LF"/>
    <s v="Door Panel"/>
    <s v="never"/>
    <m/>
    <m/>
    <m/>
    <m/>
    <s v=". Door Panel"/>
    <m/>
    <m/>
    <m/>
    <m/>
    <m/>
    <m/>
    <m/>
    <x v="9"/>
    <s v="Door Panel"/>
    <s v=""/>
    <m/>
    <m/>
    <s v="single"/>
    <m/>
    <m/>
    <s v="14-18 ALL"/>
    <s v="BMW X5 (F15) (14-18)"/>
    <s v="F15 ALL"/>
    <m/>
    <m/>
    <m/>
    <m/>
    <m/>
    <m/>
    <m/>
    <m/>
    <m/>
    <m/>
    <m/>
    <s v=""/>
  </r>
  <r>
    <s v=""/>
    <s v=""/>
    <m/>
    <m/>
    <s v=""/>
    <s v="DRF"/>
    <d v="2023-01-02T00:00:00"/>
    <m/>
    <m/>
    <s v="Toss"/>
    <s v="Doors-LF"/>
    <s v="Switch Button"/>
    <s v="sometimes"/>
    <m/>
    <m/>
    <m/>
    <m/>
    <s v=". Trunk Release Switch"/>
    <m/>
    <m/>
    <m/>
    <m/>
    <m/>
    <m/>
    <m/>
    <x v="10"/>
    <s v="Trunk Release Switch"/>
    <s v="front left door mounted"/>
    <m/>
    <s v="front left door mounted"/>
    <s v="single"/>
    <m/>
    <m/>
    <s v="14-18 ALL"/>
    <s v="BMW X5 (F15) (14-18)"/>
    <s v="F15 ALL"/>
    <m/>
    <m/>
    <s v="-"/>
    <m/>
    <m/>
    <m/>
    <m/>
    <m/>
    <m/>
    <m/>
    <m/>
    <s v=""/>
  </r>
  <r>
    <s v=""/>
    <s v=""/>
    <m/>
    <m/>
    <s v=""/>
    <s v="ENF"/>
    <d v="2022-04-19T00:00:00"/>
    <m/>
    <m/>
    <s v="Toss"/>
    <s v="Doors-LF"/>
    <s v="Window Motor &amp; Regulator"/>
    <s v="always"/>
    <m/>
    <m/>
    <m/>
    <m/>
    <s v=". Window Motor &amp; Regulator"/>
    <m/>
    <m/>
    <m/>
    <m/>
    <m/>
    <m/>
    <m/>
    <x v="11"/>
    <s v="Window Motor &amp; Regulator"/>
    <s v=""/>
    <m/>
    <m/>
    <s v="single"/>
    <m/>
    <m/>
    <s v="14-18 ALL"/>
    <s v="BMW X5 (F15) (14-18)"/>
    <s v="F15 ALL"/>
    <m/>
    <m/>
    <s v="-"/>
    <m/>
    <m/>
    <m/>
    <m/>
    <m/>
    <m/>
    <m/>
    <m/>
    <s v=""/>
  </r>
  <r>
    <s v="A49"/>
    <s v="129-52061"/>
    <s v="129-52061-2"/>
    <m/>
    <n v="2"/>
    <s v="ENF"/>
    <d v="2022-04-19T00:00:00"/>
    <m/>
    <s v="DRF Check"/>
    <s v="KEEP"/>
    <s v="Doors-LR"/>
    <s v="Door Handle, Exterior"/>
    <s v="always"/>
    <n v="39"/>
    <s v="A49"/>
    <s v="Box 3"/>
    <n v="1"/>
    <s v="A49. Door Handle, Exterior - REAR - LEFT"/>
    <s v="PIC"/>
    <n v="5"/>
    <s v="51217401211, 7401211, 51217433843, 7433843"/>
    <s v="Yes"/>
    <m/>
    <m/>
    <m/>
    <x v="12"/>
    <s v="Door Handle, Exterior - REAR - LEFT"/>
    <s v="on base w/ cable"/>
    <s v="on base w/ cable"/>
    <m/>
    <s v="single"/>
    <s v="left front &amp; rear are identical fitment (except LF has lock cylinder)"/>
    <n v="140"/>
    <s v="14-18 ALL"/>
    <s v="BMW X5 (F15) (14-18)"/>
    <s v="F15 ALL"/>
    <m/>
    <s v="129"/>
    <s v="-"/>
    <n v="52061"/>
    <s v="129-52061"/>
    <s v="w/ comfort access"/>
    <m/>
    <m/>
    <m/>
    <m/>
    <m/>
    <s v=""/>
  </r>
  <r>
    <s v=""/>
    <s v="129-52063"/>
    <s v="129-52063-2"/>
    <m/>
    <n v="2"/>
    <s v="ENF"/>
    <d v="2022-04-19T00:00:00"/>
    <m/>
    <s v="DRF Check"/>
    <s v="KEEP"/>
    <s v="Doors-LR"/>
    <s v="Door Handle, Exterior"/>
    <s v="always"/>
    <m/>
    <m/>
    <m/>
    <m/>
    <s v=". Door Handle, Exterior - REAR - LEFT"/>
    <m/>
    <m/>
    <s v="51217401209, 7401209, 51217396305, 7396305"/>
    <s v="Yes"/>
    <m/>
    <m/>
    <m/>
    <x v="12"/>
    <s v="Door Handle, Exterior - REAR - LEFT"/>
    <s v="on base w/ cable"/>
    <s v="on base w/ cable"/>
    <m/>
    <s v="single"/>
    <s v="left front &amp; rear are identical fitment"/>
    <n v="120"/>
    <s v="14-18 ALL"/>
    <s v="BMW X5 (F15) (14-18)"/>
    <s v="F15 ALL"/>
    <m/>
    <s v="129"/>
    <s v="-"/>
    <n v="52063"/>
    <s v="129-52063"/>
    <s v="w/o comfort access"/>
    <m/>
    <m/>
    <m/>
    <m/>
    <m/>
    <s v=""/>
  </r>
  <r>
    <s v="A28"/>
    <s v="286-999771"/>
    <m/>
    <m/>
    <n v="1"/>
    <s v="ENF"/>
    <d v="2022-04-19T00:00:00"/>
    <m/>
    <m/>
    <s v="KEEP"/>
    <s v="Doors-LR"/>
    <s v="Door Latch"/>
    <s v="always"/>
    <n v="18"/>
    <s v="A28"/>
    <s v="Box 2"/>
    <n v="1"/>
    <s v="A28. Door Latch, REAR - LEFT Soft Close WITH Actuator SET 2"/>
    <s v="PIC"/>
    <n v="5"/>
    <s v="51227281955, 7281955, 51207323783, 7323783"/>
    <s v="Yes"/>
    <m/>
    <m/>
    <m/>
    <x v="13"/>
    <s v="Door Latch, REAR - LEFT Soft Close WITH Actuator SET 2"/>
    <s v="w/ cable + white actuator motor | toss both if 1 bad"/>
    <s v="w/ cable + white actuator motor"/>
    <s v="toss both if 1 bad"/>
    <s v="single"/>
    <m/>
    <n v="245"/>
    <s v="14-18 ALL"/>
    <s v="BMW X5 (F15) (14-18)"/>
    <s v="F15 ALL"/>
    <m/>
    <n v="286"/>
    <s v="-"/>
    <n v="999771"/>
    <s v="286-999771"/>
    <s v="w/ soft close"/>
    <m/>
    <m/>
    <m/>
    <m/>
    <m/>
    <s v=""/>
  </r>
  <r>
    <s v=""/>
    <s v="286-999763"/>
    <m/>
    <m/>
    <n v="1"/>
    <s v="ENF"/>
    <d v="2022-04-19T00:00:00"/>
    <m/>
    <m/>
    <s v="KEEP"/>
    <s v="Doors-LR"/>
    <s v="Door Latch"/>
    <s v="always"/>
    <m/>
    <m/>
    <m/>
    <m/>
    <s v=". Door Latch, REAR - LEFT WITHOUT Soft Close"/>
    <m/>
    <m/>
    <s v="51227281941, 7281941"/>
    <s v="Yes"/>
    <m/>
    <m/>
    <m/>
    <x v="14"/>
    <s v="Door Latch, REAR - LEFT WITHOUT Soft Close"/>
    <s v="w/ cable"/>
    <s v="w/ cable"/>
    <m/>
    <s v="single"/>
    <m/>
    <n v="75"/>
    <s v="14-18 ALL"/>
    <s v="BMW X5 (F15) (14-18)"/>
    <s v="F15 ALL"/>
    <m/>
    <n v="286"/>
    <s v="-"/>
    <n v="999763"/>
    <s v="286-999763"/>
    <s v="w/o soft close"/>
    <m/>
    <m/>
    <m/>
    <m/>
    <m/>
    <s v=""/>
  </r>
  <r>
    <s v=""/>
    <s v="263-999496"/>
    <m/>
    <m/>
    <n v="1"/>
    <s v="AJR"/>
    <d v="2022-09-07T00:00:00"/>
    <m/>
    <m/>
    <s v="KEEP"/>
    <s v="Doors-LR"/>
    <s v="Window Sun Shade"/>
    <s v="always CPI+"/>
    <m/>
    <m/>
    <m/>
    <m/>
    <s v=". Window Sun Shade, REAR - LEFT"/>
    <m/>
    <m/>
    <m/>
    <m/>
    <m/>
    <m/>
    <m/>
    <x v="15"/>
    <s v="Window Sun Shade, REAR - LEFT"/>
    <s v=""/>
    <m/>
    <m/>
    <s v="single"/>
    <m/>
    <n v="190"/>
    <s v="14-18 ALL"/>
    <s v="BMW X5 (F15) (14-18)"/>
    <s v="F15 ALL"/>
    <m/>
    <s v="263"/>
    <s v="-"/>
    <n v="999496"/>
    <s v="263-999496"/>
    <m/>
    <m/>
    <m/>
    <m/>
    <m/>
    <m/>
    <s v=""/>
  </r>
  <r>
    <s v=""/>
    <s v=""/>
    <m/>
    <m/>
    <s v=""/>
    <s v="ENF"/>
    <d v="2022-04-19T00:00:00"/>
    <m/>
    <m/>
    <s v="Toss"/>
    <s v="Doors-LR"/>
    <s v="Door Handle, Interior"/>
    <s v="never"/>
    <m/>
    <m/>
    <m/>
    <m/>
    <s v=". Door Handle, Interior"/>
    <m/>
    <m/>
    <m/>
    <m/>
    <m/>
    <m/>
    <m/>
    <x v="7"/>
    <s v="Door Handle, Interior"/>
    <s v="if trim doesn't remove easy put handle w/ trim SET"/>
    <s v="if trim doesn't remove easy put handle w/ trim SET"/>
    <m/>
    <s v="single"/>
    <m/>
    <m/>
    <s v="14-18 ALL"/>
    <s v="BMW X5 (F15) (14-18)"/>
    <s v="F15 ALL"/>
    <m/>
    <m/>
    <m/>
    <m/>
    <m/>
    <m/>
    <m/>
    <m/>
    <m/>
    <m/>
    <m/>
    <s v=""/>
  </r>
  <r>
    <s v=""/>
    <s v=""/>
    <m/>
    <m/>
    <s v=""/>
    <s v="ENF"/>
    <d v="2022-04-19T00:00:00"/>
    <m/>
    <m/>
    <s v="Toss"/>
    <s v="Doors-LR"/>
    <s v="Door Panel"/>
    <s v="never"/>
    <m/>
    <m/>
    <m/>
    <m/>
    <s v=". Door Panel"/>
    <m/>
    <m/>
    <m/>
    <m/>
    <m/>
    <m/>
    <m/>
    <x v="9"/>
    <s v="Door Panel"/>
    <s v=""/>
    <m/>
    <m/>
    <s v="single"/>
    <m/>
    <m/>
    <s v="14-18 ALL"/>
    <s v="BMW X5 (F15) (14-18)"/>
    <s v="F15 ALL"/>
    <m/>
    <m/>
    <m/>
    <m/>
    <m/>
    <m/>
    <m/>
    <m/>
    <m/>
    <m/>
    <m/>
    <s v=""/>
  </r>
  <r>
    <s v=""/>
    <s v=""/>
    <m/>
    <m/>
    <s v=""/>
    <s v="ENF"/>
    <d v="2022-04-19T00:00:00"/>
    <m/>
    <m/>
    <s v="Toss"/>
    <s v="Doors-LR"/>
    <s v="Switch Button"/>
    <s v="never"/>
    <m/>
    <m/>
    <m/>
    <m/>
    <s v=". Switch, Window"/>
    <m/>
    <m/>
    <m/>
    <m/>
    <m/>
    <m/>
    <m/>
    <x v="16"/>
    <s v="Switch, Window"/>
    <s v=""/>
    <m/>
    <m/>
    <s v="single"/>
    <m/>
    <m/>
    <s v="14-18 ALL"/>
    <s v="BMW X5 (F15) (14-18)"/>
    <s v="F15 ALL"/>
    <m/>
    <m/>
    <m/>
    <m/>
    <m/>
    <m/>
    <m/>
    <m/>
    <m/>
    <m/>
    <m/>
    <s v=""/>
  </r>
  <r>
    <s v=""/>
    <s v=""/>
    <m/>
    <m/>
    <s v=""/>
    <s v="ENF"/>
    <d v="2022-04-19T00:00:00"/>
    <m/>
    <m/>
    <s v="Toss"/>
    <s v="Doors-LR"/>
    <s v="Window Motor &amp; Regulator"/>
    <s v="always"/>
    <m/>
    <m/>
    <m/>
    <m/>
    <s v=". Window Motor &amp; Regulator"/>
    <m/>
    <m/>
    <m/>
    <m/>
    <m/>
    <m/>
    <m/>
    <x v="11"/>
    <s v="Window Motor &amp; Regulator"/>
    <s v=""/>
    <m/>
    <m/>
    <s v="single"/>
    <m/>
    <m/>
    <s v="14-18 ALL"/>
    <s v="BMW X5 (F15) (14-18)"/>
    <s v="F15 ALL"/>
    <m/>
    <m/>
    <s v="-"/>
    <m/>
    <m/>
    <m/>
    <m/>
    <m/>
    <m/>
    <m/>
    <m/>
    <s v=""/>
  </r>
  <r>
    <s v="A118"/>
    <s v="129-52060"/>
    <s v="129-52060-1"/>
    <m/>
    <n v="2"/>
    <s v="ENF"/>
    <d v="2022-04-19T00:00:00"/>
    <m/>
    <s v="DRF Check"/>
    <s v="KEEP"/>
    <s v="Doors-RF"/>
    <s v="Door Handle, Exterior"/>
    <s v="always"/>
    <n v="108"/>
    <s v="A118"/>
    <s v="FLAW"/>
    <n v="1"/>
    <s v="A118. Door Handle, Exterior - FRONT - RIGHT"/>
    <s v="PIC"/>
    <n v="6"/>
    <s v="51217401212, 7401212, 51217433844, 7433844"/>
    <s v="Yes"/>
    <s v="scratches, scuffs"/>
    <m/>
    <m/>
    <x v="17"/>
    <s v="Door Handle, Exterior - FRONT - RIGHT"/>
    <s v="on base w/ cable"/>
    <s v="on base w/ cable"/>
    <m/>
    <s v="single"/>
    <s v="right front &amp; rear are identical fitment"/>
    <n v="175"/>
    <s v="14-18 ALL"/>
    <s v="BMW X5 (F15) (14-18)"/>
    <s v="F15 ALL"/>
    <m/>
    <s v="129"/>
    <s v="-"/>
    <n v="52060"/>
    <s v="129-52060"/>
    <s v="w/ comfort access"/>
    <m/>
    <m/>
    <m/>
    <m/>
    <m/>
    <s v=""/>
  </r>
  <r>
    <s v=""/>
    <s v="129-52062"/>
    <s v="129-52062-1"/>
    <m/>
    <n v="2"/>
    <s v="ENF"/>
    <d v="2022-04-19T00:00:00"/>
    <m/>
    <s v="DRF Check"/>
    <s v="KEEP"/>
    <s v="Doors-RF"/>
    <s v="Door Handle, Exterior"/>
    <s v="always"/>
    <m/>
    <m/>
    <m/>
    <m/>
    <s v=". Door Handle, Exterior - FRONT - RIGHT"/>
    <m/>
    <m/>
    <s v="51217401210, 7401210, 51217396306, 7396306"/>
    <s v="Yes"/>
    <m/>
    <m/>
    <m/>
    <x v="17"/>
    <s v="Door Handle, Exterior - FRONT - RIGHT"/>
    <s v="on base w/ cable"/>
    <s v="on base w/ cable"/>
    <m/>
    <s v="single"/>
    <s v="right front &amp; rear are identical fitment"/>
    <n v="140"/>
    <s v="14-18 ALL"/>
    <s v="BMW X5 (F15) (14-18)"/>
    <s v="F15 ALL"/>
    <m/>
    <s v="129"/>
    <s v="-"/>
    <n v="52062"/>
    <s v="129-52062"/>
    <s v="w/o comfort access"/>
    <m/>
    <m/>
    <m/>
    <m/>
    <m/>
    <s v=""/>
  </r>
  <r>
    <s v="A29"/>
    <s v="285-999722"/>
    <m/>
    <m/>
    <n v="1"/>
    <s v="ENF"/>
    <d v="2022-04-19T00:00:00"/>
    <m/>
    <m/>
    <s v="KEEP"/>
    <s v="Doors-RF"/>
    <s v="Door Latch"/>
    <s v="always"/>
    <n v="19"/>
    <s v="A29"/>
    <s v="Box 2"/>
    <n v="1"/>
    <s v="A29. Door Latch, FRONT - RIGHT Soft Close WITH Actuator SET 2"/>
    <s v="PIC"/>
    <n v="7"/>
    <s v="51217281948, 7281948, 51207323782, 7323782"/>
    <s v="Yes"/>
    <m/>
    <m/>
    <m/>
    <x v="18"/>
    <s v="Door Latch, FRONT - RIGHT Soft Close WITH Actuator SET 2"/>
    <s v="w/ cable + white actuator motor | toss both if 1 bad"/>
    <s v="w/ cable + white actuator motor"/>
    <s v="toss both if 1 bad"/>
    <s v="single"/>
    <m/>
    <n v="250"/>
    <s v="14-18 ALL"/>
    <s v="BMW X5 (F15) (14-18)"/>
    <s v="F15 ALL"/>
    <m/>
    <n v="285"/>
    <s v="-"/>
    <n v="999722"/>
    <s v="285-999722"/>
    <s v="w/ soft close"/>
    <m/>
    <m/>
    <m/>
    <m/>
    <m/>
    <s v=""/>
  </r>
  <r>
    <s v=""/>
    <s v="285-999716"/>
    <m/>
    <m/>
    <n v="1"/>
    <s v="ENF"/>
    <d v="2022-04-19T00:00:00"/>
    <m/>
    <m/>
    <s v="KEEP"/>
    <s v="Doors-RF"/>
    <s v="Door Latch"/>
    <s v="always"/>
    <m/>
    <m/>
    <m/>
    <m/>
    <s v=". Door Latch, FRONT - RIGHT WITHOUT Soft Close"/>
    <m/>
    <m/>
    <s v="51217281934, 7281934"/>
    <s v="Yes"/>
    <m/>
    <m/>
    <m/>
    <x v="19"/>
    <s v="Door Latch, FRONT - RIGHT WITHOUT Soft Close"/>
    <s v="w/ cable"/>
    <s v="w/ cable"/>
    <m/>
    <s v="single"/>
    <m/>
    <n v="78"/>
    <s v="14-18 ALL"/>
    <s v="BMW X5 (F15) (14-18)"/>
    <s v="F15 ALL"/>
    <m/>
    <n v="285"/>
    <s v="-"/>
    <n v="999716"/>
    <s v="285-999716"/>
    <s v="w/o soft close"/>
    <m/>
    <m/>
    <m/>
    <m/>
    <m/>
    <s v=""/>
  </r>
  <r>
    <s v=""/>
    <s v="128-11744"/>
    <m/>
    <m/>
    <n v="1"/>
    <s v="ENF"/>
    <d v="2022-04-19T00:00:00"/>
    <m/>
    <s v="DRF Check"/>
    <s v="KEEP"/>
    <s v="Doors-RF"/>
    <s v="Mirror, Door"/>
    <s v="always"/>
    <m/>
    <m/>
    <m/>
    <m/>
    <s v=". Mirror, Door - FRONT RIGHT"/>
    <m/>
    <m/>
    <m/>
    <m/>
    <m/>
    <m/>
    <m/>
    <x v="20"/>
    <s v="Mirror, Door - FRONT RIGHT"/>
    <s v=""/>
    <m/>
    <m/>
    <s v="single"/>
    <m/>
    <n v="1000"/>
    <s v="14-18 ALL"/>
    <s v="BMW X5 (F15) (14-18)"/>
    <s v="F15 ALL"/>
    <m/>
    <n v="128"/>
    <s v="-"/>
    <n v="11744"/>
    <s v="128-11744"/>
    <s v="w/ auto dimming, w/ blind spot, w/ surround view, w/ high gloss"/>
    <m/>
    <m/>
    <m/>
    <m/>
    <m/>
    <s v=""/>
  </r>
  <r>
    <s v=""/>
    <s v="128-11750"/>
    <m/>
    <m/>
    <n v="1"/>
    <s v="ENF"/>
    <d v="2022-04-19T00:00:00"/>
    <m/>
    <s v="DRF Check"/>
    <s v="KEEP"/>
    <s v="Doors-RF"/>
    <s v="Mirror, Door"/>
    <s v="always"/>
    <m/>
    <m/>
    <m/>
    <m/>
    <s v=". Mirror, Door - FRONT RIGHT"/>
    <m/>
    <m/>
    <m/>
    <m/>
    <m/>
    <m/>
    <m/>
    <x v="20"/>
    <s v="Mirror, Door - FRONT RIGHT"/>
    <s v=""/>
    <m/>
    <m/>
    <s v="single"/>
    <m/>
    <n v="1000"/>
    <s v="14-18 ALL"/>
    <s v="BMW X5 (F15) (14-18)"/>
    <s v="F15 ALL"/>
    <m/>
    <n v="128"/>
    <s v="-"/>
    <n v="11750"/>
    <s v="128-11750"/>
    <s v="w/ auto dimming, w/ blind spot, w/ surround view, w/o high gloss"/>
    <m/>
    <m/>
    <m/>
    <m/>
    <m/>
    <s v=""/>
  </r>
  <r>
    <s v=""/>
    <s v="128-11752"/>
    <m/>
    <m/>
    <n v="1"/>
    <s v="ENF"/>
    <d v="2022-04-19T00:00:00"/>
    <m/>
    <s v="DRF Check"/>
    <s v="KEEP"/>
    <s v="Doors-RF"/>
    <s v="Mirror, Door"/>
    <s v="always"/>
    <m/>
    <m/>
    <m/>
    <m/>
    <s v=". Mirror, Door - FRONT RIGHT"/>
    <m/>
    <m/>
    <m/>
    <m/>
    <m/>
    <m/>
    <m/>
    <x v="20"/>
    <s v="Mirror, Door - FRONT RIGHT"/>
    <s v=""/>
    <m/>
    <m/>
    <s v="single"/>
    <m/>
    <n v="750"/>
    <s v="14-18 ALL"/>
    <s v="BMW X5 (F15) (14-18)"/>
    <s v="F15 ALL"/>
    <m/>
    <n v="128"/>
    <s v="-"/>
    <n v="11752"/>
    <s v="128-11752"/>
    <s v="w/ auto dimming, w/ blind spot, w/o surround view, w/ high gloss"/>
    <m/>
    <m/>
    <m/>
    <m/>
    <m/>
    <s v=""/>
  </r>
  <r>
    <s v=""/>
    <s v="128-11754"/>
    <m/>
    <m/>
    <n v="1"/>
    <s v="ENF"/>
    <d v="2022-04-19T00:00:00"/>
    <m/>
    <s v="DRF Check"/>
    <s v="KEEP"/>
    <s v="Doors-RF"/>
    <s v="Mirror, Door"/>
    <s v="always"/>
    <m/>
    <m/>
    <m/>
    <m/>
    <s v=". Mirror, Door - FRONT RIGHT"/>
    <m/>
    <m/>
    <m/>
    <m/>
    <m/>
    <m/>
    <m/>
    <x v="20"/>
    <s v="Mirror, Door - FRONT RIGHT"/>
    <s v=""/>
    <m/>
    <m/>
    <s v="single"/>
    <m/>
    <n v="750"/>
    <s v="14-18 ALL"/>
    <s v="BMW X5 (F15) (14-18)"/>
    <s v="F15 ALL"/>
    <m/>
    <n v="128"/>
    <s v="-"/>
    <n v="11754"/>
    <s v="128-11754"/>
    <s v="w/ auto dimming, w/ blind spot, w/o surround view, w/o high gloss"/>
    <m/>
    <m/>
    <m/>
    <m/>
    <m/>
    <s v=""/>
  </r>
  <r>
    <s v=""/>
    <s v="128-11756"/>
    <m/>
    <m/>
    <n v="1"/>
    <s v="ENF"/>
    <d v="2022-04-19T00:00:00"/>
    <m/>
    <s v="DRF Check"/>
    <s v="KEEP"/>
    <s v="Doors-RF"/>
    <s v="Mirror, Door"/>
    <s v="always"/>
    <m/>
    <m/>
    <m/>
    <m/>
    <s v=". Mirror, Door - FRONT RIGHT"/>
    <m/>
    <m/>
    <m/>
    <m/>
    <m/>
    <m/>
    <m/>
    <x v="20"/>
    <s v="Mirror, Door - FRONT RIGHT"/>
    <s v=""/>
    <m/>
    <m/>
    <s v="single"/>
    <m/>
    <n v="800"/>
    <s v="14-18 ALL"/>
    <s v="BMW X5 (F15) (14-18)"/>
    <s v="F15 ALL"/>
    <m/>
    <n v="128"/>
    <s v="-"/>
    <n v="11756"/>
    <s v="128-11756"/>
    <s v="w/ auto dimming, w/o blind spot, w/ surround view, w/ high gloss"/>
    <m/>
    <m/>
    <m/>
    <m/>
    <m/>
    <s v=""/>
  </r>
  <r>
    <s v=""/>
    <s v="128-11758"/>
    <m/>
    <m/>
    <n v="1"/>
    <s v="ENF"/>
    <d v="2022-04-19T00:00:00"/>
    <m/>
    <s v="DRF Check"/>
    <s v="KEEP"/>
    <s v="Doors-RF"/>
    <s v="Mirror, Door"/>
    <s v="always"/>
    <m/>
    <m/>
    <m/>
    <m/>
    <s v=". Mirror, Door - FRONT RIGHT"/>
    <m/>
    <m/>
    <m/>
    <m/>
    <m/>
    <m/>
    <m/>
    <x v="20"/>
    <s v="Mirror, Door - FRONT RIGHT"/>
    <s v=""/>
    <m/>
    <m/>
    <s v="single"/>
    <m/>
    <n v="800"/>
    <s v="14-18 ALL"/>
    <s v="BMW X5 (F15) (14-18)"/>
    <s v="F15 ALL"/>
    <m/>
    <n v="128"/>
    <s v="-"/>
    <n v="11758"/>
    <s v="128-11758"/>
    <s v="w/ auto dimming, w/o blind spot, w/ surround view, w/o high gloss"/>
    <m/>
    <m/>
    <m/>
    <m/>
    <m/>
    <s v=""/>
  </r>
  <r>
    <s v=""/>
    <s v="128-11760"/>
    <m/>
    <m/>
    <n v="1"/>
    <s v="ENF"/>
    <d v="2022-04-19T00:00:00"/>
    <m/>
    <s v="DRF Check"/>
    <s v="KEEP"/>
    <s v="Doors-RF"/>
    <s v="Mirror, Door"/>
    <s v="always"/>
    <m/>
    <m/>
    <m/>
    <m/>
    <s v=". Mirror, Door - FRONT RIGHT"/>
    <m/>
    <m/>
    <m/>
    <m/>
    <m/>
    <m/>
    <m/>
    <x v="20"/>
    <s v="Mirror, Door - FRONT RIGHT"/>
    <s v=""/>
    <m/>
    <m/>
    <s v="single"/>
    <m/>
    <n v="700"/>
    <s v="14-18 ALL"/>
    <s v="BMW X5 (F15) (14-18)"/>
    <s v="F15 ALL"/>
    <m/>
    <n v="128"/>
    <s v="-"/>
    <n v="11760"/>
    <s v="128-11760"/>
    <s v="w/ auto dimming, w/o blind spot, w/o surround view, w/ high gloss"/>
    <m/>
    <m/>
    <m/>
    <m/>
    <m/>
    <s v=""/>
  </r>
  <r>
    <s v="A111"/>
    <s v="128-11762"/>
    <m/>
    <m/>
    <n v="1"/>
    <s v="ENF"/>
    <d v="2022-04-19T00:00:00"/>
    <m/>
    <s v="DRF Check"/>
    <s v="KEEP"/>
    <s v="Doors-RF"/>
    <s v="Mirror, Door"/>
    <s v="always"/>
    <n v="101"/>
    <s v="A111"/>
    <s v="FLAW"/>
    <n v="1"/>
    <s v="A111. Mirror, Door - FRONT RIGHT"/>
    <s v="PIC"/>
    <n v="7"/>
    <s v="51167363920, 7363920, 51167365114, 7365114, 51167354631, 7354631"/>
    <s v="Yes"/>
    <s v="very tiny pits in paint finish"/>
    <m/>
    <m/>
    <x v="20"/>
    <s v="Mirror, Door - FRONT RIGHT"/>
    <s v=""/>
    <m/>
    <m/>
    <s v="single"/>
    <m/>
    <n v="700"/>
    <s v="14-18 ALL"/>
    <s v="BMW X5 (F15) (14-18)"/>
    <s v="F15 ALL"/>
    <m/>
    <n v="128"/>
    <s v="-"/>
    <n v="11762"/>
    <s v="128-11762"/>
    <s v="w/ auto dimming, w/o blind spot, w/o surround view, w/o high gloss"/>
    <m/>
    <m/>
    <m/>
    <m/>
    <m/>
    <s v=""/>
  </r>
  <r>
    <s v=""/>
    <s v="128-11764"/>
    <m/>
    <m/>
    <n v="1"/>
    <s v="ENF"/>
    <d v="2022-04-19T00:00:00"/>
    <m/>
    <s v="DRF Check"/>
    <s v="KEEP"/>
    <s v="Doors-RF"/>
    <s v="Mirror, Door"/>
    <s v="always"/>
    <m/>
    <m/>
    <m/>
    <m/>
    <s v=". Mirror, Door - FRONT RIGHT"/>
    <m/>
    <m/>
    <m/>
    <m/>
    <m/>
    <m/>
    <m/>
    <x v="20"/>
    <s v="Mirror, Door - FRONT RIGHT"/>
    <s v=""/>
    <m/>
    <m/>
    <s v="single"/>
    <m/>
    <n v="700"/>
    <s v="14-18 ALL"/>
    <s v="BMW X5 (F15) (14-18)"/>
    <s v="F15 ALL"/>
    <m/>
    <n v="128"/>
    <s v="-"/>
    <n v="11764"/>
    <s v="128-11764"/>
    <s v="w/o auto dimming, w/o blind spot, w/o surround view, w/ high gloss"/>
    <m/>
    <m/>
    <m/>
    <m/>
    <m/>
    <s v=""/>
  </r>
  <r>
    <s v=""/>
    <s v="128-11766"/>
    <m/>
    <m/>
    <n v="1"/>
    <s v="ENF"/>
    <d v="2022-04-19T00:00:00"/>
    <m/>
    <s v="DRF Check"/>
    <s v="KEEP"/>
    <s v="Doors-RF"/>
    <s v="Mirror, Door"/>
    <s v="always"/>
    <m/>
    <m/>
    <m/>
    <m/>
    <s v=". Mirror, Door - FRONT RIGHT"/>
    <m/>
    <m/>
    <m/>
    <m/>
    <m/>
    <m/>
    <m/>
    <x v="20"/>
    <s v="Mirror, Door - FRONT RIGHT"/>
    <s v=""/>
    <m/>
    <m/>
    <s v="single"/>
    <m/>
    <n v="700"/>
    <s v="14-18 ALL"/>
    <s v="BMW X5 (F15) (14-18)"/>
    <s v="F15 ALL"/>
    <m/>
    <n v="128"/>
    <s v="-"/>
    <n v="11766"/>
    <s v="128-11766"/>
    <s v="w/o auto dimming, w/o blind spot, w/o surround view, w/o high gloss"/>
    <m/>
    <m/>
    <m/>
    <m/>
    <m/>
    <s v=""/>
  </r>
  <r>
    <s v=""/>
    <s v=""/>
    <m/>
    <m/>
    <s v=""/>
    <s v="ENF"/>
    <d v="2022-04-19T00:00:00"/>
    <m/>
    <m/>
    <s v="Toss"/>
    <s v="Doors-RF"/>
    <s v="Door Handle, Interior"/>
    <s v="never"/>
    <m/>
    <m/>
    <m/>
    <m/>
    <s v=". Door Handle, Interior"/>
    <m/>
    <m/>
    <m/>
    <m/>
    <m/>
    <m/>
    <m/>
    <x v="7"/>
    <s v="Door Handle, Interior"/>
    <s v="if trim doesn't remove easy put handle w/ trim SET"/>
    <s v="if trim doesn't remove easy put handle w/ trim SET"/>
    <m/>
    <s v="single"/>
    <m/>
    <m/>
    <s v="14-18 ALL"/>
    <s v="BMW X5 (F15) (14-18)"/>
    <s v="F15 ALL"/>
    <m/>
    <m/>
    <m/>
    <m/>
    <m/>
    <m/>
    <m/>
    <m/>
    <m/>
    <m/>
    <m/>
    <s v=""/>
  </r>
  <r>
    <s v=""/>
    <s v=""/>
    <m/>
    <m/>
    <s v=""/>
    <s v="ENF"/>
    <d v="2022-04-19T00:00:00"/>
    <m/>
    <m/>
    <s v="Toss"/>
    <s v="Doors-RF"/>
    <s v="Door Panel"/>
    <s v="never"/>
    <m/>
    <m/>
    <m/>
    <m/>
    <s v=". Door Panel"/>
    <m/>
    <m/>
    <m/>
    <m/>
    <m/>
    <m/>
    <m/>
    <x v="9"/>
    <s v="Door Panel"/>
    <s v=""/>
    <m/>
    <m/>
    <s v="single"/>
    <m/>
    <m/>
    <s v="14-18 ALL"/>
    <s v="BMW X5 (F15) (14-18)"/>
    <s v="F15 ALL"/>
    <m/>
    <m/>
    <m/>
    <m/>
    <m/>
    <m/>
    <m/>
    <m/>
    <m/>
    <m/>
    <m/>
    <s v=""/>
  </r>
  <r>
    <s v=""/>
    <s v=""/>
    <m/>
    <m/>
    <s v=""/>
    <s v="ENF"/>
    <d v="2022-04-19T00:00:00"/>
    <m/>
    <m/>
    <s v="Toss"/>
    <s v="Doors-RF"/>
    <s v="Switch Button"/>
    <s v="never"/>
    <m/>
    <m/>
    <m/>
    <m/>
    <s v=". Switch, Window"/>
    <m/>
    <m/>
    <m/>
    <m/>
    <m/>
    <m/>
    <m/>
    <x v="16"/>
    <s v="Switch, Window"/>
    <s v=""/>
    <m/>
    <m/>
    <s v="single"/>
    <m/>
    <m/>
    <s v="14-18 ALL"/>
    <s v="BMW X5 (F15) (14-18)"/>
    <s v="F15 ALL"/>
    <m/>
    <m/>
    <m/>
    <m/>
    <m/>
    <m/>
    <m/>
    <m/>
    <m/>
    <m/>
    <m/>
    <s v=""/>
  </r>
  <r>
    <s v=""/>
    <s v=""/>
    <m/>
    <m/>
    <s v=""/>
    <s v="ENF"/>
    <d v="2022-04-19T00:00:00"/>
    <m/>
    <m/>
    <s v="Toss"/>
    <s v="Doors-RF"/>
    <s v="Window Motor &amp; Regulator"/>
    <s v="always"/>
    <m/>
    <m/>
    <m/>
    <m/>
    <s v=". Window Motor &amp; Regulator"/>
    <m/>
    <m/>
    <m/>
    <m/>
    <m/>
    <m/>
    <m/>
    <x v="11"/>
    <s v="Window Motor &amp; Regulator"/>
    <s v=""/>
    <m/>
    <m/>
    <s v="single"/>
    <m/>
    <m/>
    <s v="14-18 ALL"/>
    <s v="BMW X5 (F15) (14-18)"/>
    <s v="F15 ALL"/>
    <m/>
    <m/>
    <s v="-"/>
    <m/>
    <m/>
    <m/>
    <m/>
    <m/>
    <m/>
    <m/>
    <m/>
    <s v=""/>
  </r>
  <r>
    <s v="A52"/>
    <s v="129-52060"/>
    <s v="129-52060-2"/>
    <m/>
    <n v="2"/>
    <s v="ENF"/>
    <d v="2022-04-19T00:00:00"/>
    <m/>
    <s v="DRF Check"/>
    <s v="KEEP"/>
    <s v="Doors-RR"/>
    <s v="Door Handle, Exterior"/>
    <s v="always"/>
    <n v="42"/>
    <s v="A52"/>
    <s v="Box 3"/>
    <n v="1"/>
    <s v="A52. Door Handle, Exterior - REAR - RIGHT"/>
    <s v="PIC"/>
    <n v="5"/>
    <s v="51217401212, 7401212, 51217433844, 7433844"/>
    <s v="Yes"/>
    <m/>
    <m/>
    <m/>
    <x v="21"/>
    <s v="Door Handle, Exterior - REAR - RIGHT"/>
    <s v="on base w/ cable"/>
    <s v="on base w/ cable"/>
    <m/>
    <s v="single"/>
    <s v="right front &amp; rear are identical fitment"/>
    <n v="175"/>
    <s v="14-18 ALL"/>
    <s v="BMW X5 (F15) (14-18)"/>
    <s v="F15 ALL"/>
    <m/>
    <s v="129"/>
    <s v="-"/>
    <n v="52060"/>
    <s v="129-52060"/>
    <s v="w/ comfort access"/>
    <m/>
    <m/>
    <m/>
    <m/>
    <m/>
    <s v=""/>
  </r>
  <r>
    <s v=""/>
    <s v="129-52062"/>
    <s v="129-52062-2"/>
    <m/>
    <n v="2"/>
    <s v="ENF"/>
    <d v="2022-04-19T00:00:00"/>
    <m/>
    <s v="DRF Check"/>
    <s v="KEEP"/>
    <s v="Doors-RR"/>
    <s v="Door Handle, Exterior"/>
    <s v="always"/>
    <m/>
    <m/>
    <m/>
    <m/>
    <s v=". Door Handle, Exterior - REAR - RIGHT"/>
    <m/>
    <m/>
    <s v="51217401210, 7401210, 51217396306, 7396306"/>
    <s v="Yes"/>
    <m/>
    <m/>
    <m/>
    <x v="21"/>
    <s v="Door Handle, Exterior - REAR - RIGHT"/>
    <s v="on base w/ cable"/>
    <s v="on base w/ cable"/>
    <m/>
    <s v="single"/>
    <s v="right front &amp; rear are identical fitment"/>
    <n v="140"/>
    <s v="14-18 ALL"/>
    <s v="BMW X5 (F15) (14-18)"/>
    <s v="F15 ALL"/>
    <m/>
    <s v="129"/>
    <s v="-"/>
    <n v="52062"/>
    <s v="129-52062"/>
    <s v="w/o comfort access"/>
    <m/>
    <m/>
    <m/>
    <m/>
    <m/>
    <s v=""/>
  </r>
  <r>
    <s v="A27"/>
    <s v="286-999770"/>
    <m/>
    <m/>
    <n v="1"/>
    <s v="ENF"/>
    <d v="2022-04-19T00:00:00"/>
    <m/>
    <m/>
    <s v="KEEP"/>
    <s v="Doors-RR"/>
    <s v="Door Latch"/>
    <s v="always"/>
    <n v="17"/>
    <s v="A27"/>
    <s v="Box 2"/>
    <n v="1"/>
    <s v="A27. Door Latch, REAR - RIGHT Soft Close WITH Actuator SET 2"/>
    <s v="PIC"/>
    <n v="6"/>
    <s v="51227281956, 7281956, 51207323784, 7323784"/>
    <s v="Yes"/>
    <m/>
    <m/>
    <m/>
    <x v="22"/>
    <s v="Door Latch, REAR - RIGHT Soft Close WITH Actuator SET 2"/>
    <s v="w/ cable + white actuator motor | toss both if 1 bad"/>
    <s v="w/ cable + white actuator motor"/>
    <s v="toss both if 1 bad"/>
    <s v="single"/>
    <m/>
    <n v="245"/>
    <s v="14-18 ALL"/>
    <s v="BMW X5 (F15) (14-18)"/>
    <s v="F15 ALL"/>
    <m/>
    <n v="286"/>
    <s v="-"/>
    <n v="999770"/>
    <s v="286-999770"/>
    <s v="w/ soft close"/>
    <m/>
    <m/>
    <m/>
    <m/>
    <m/>
    <s v=""/>
  </r>
  <r>
    <s v=""/>
    <s v="286-999762"/>
    <m/>
    <m/>
    <n v="1"/>
    <s v="ENF"/>
    <d v="2022-04-19T00:00:00"/>
    <m/>
    <m/>
    <s v="KEEP"/>
    <s v="Doors-RR"/>
    <s v="Door Latch"/>
    <s v="always"/>
    <m/>
    <m/>
    <m/>
    <m/>
    <s v=". Door Latch, REAR - RIGHT WITHOUT Soft Close"/>
    <m/>
    <m/>
    <s v="51227281942, 7281942"/>
    <s v="Yes"/>
    <m/>
    <m/>
    <m/>
    <x v="23"/>
    <s v="Door Latch, REAR - RIGHT WITHOUT Soft Close"/>
    <s v="w/ cable"/>
    <s v="w/ cable"/>
    <m/>
    <s v="single"/>
    <m/>
    <n v="75"/>
    <s v="14-18 ALL"/>
    <s v="BMW X5 (F15) (14-18)"/>
    <s v="F15 ALL"/>
    <m/>
    <n v="286"/>
    <s v="-"/>
    <n v="999762"/>
    <s v="286-999762"/>
    <s v="w/o soft close"/>
    <m/>
    <m/>
    <m/>
    <m/>
    <m/>
    <s v=""/>
  </r>
  <r>
    <s v=""/>
    <s v="263-999495"/>
    <m/>
    <m/>
    <n v="1"/>
    <s v="ENF"/>
    <d v="2023-10-09T00:00:00"/>
    <m/>
    <m/>
    <s v="KEEP"/>
    <s v="Doors-RR"/>
    <s v="Window Sun Shade"/>
    <s v="always"/>
    <m/>
    <m/>
    <m/>
    <m/>
    <s v=". Window Sun Shade, REAR - RIGHT"/>
    <m/>
    <m/>
    <m/>
    <m/>
    <m/>
    <m/>
    <m/>
    <x v="24"/>
    <s v="Window Sun Shade, REAR - RIGHT"/>
    <s v=""/>
    <m/>
    <m/>
    <s v="single"/>
    <m/>
    <n v="190"/>
    <s v="14-18 ALL"/>
    <s v="BMW X5 (F15) (14-18)"/>
    <s v="F15 ALL"/>
    <m/>
    <s v="263"/>
    <s v="-"/>
    <n v="999495"/>
    <s v="263-999495"/>
    <m/>
    <m/>
    <m/>
    <m/>
    <m/>
    <m/>
    <s v=""/>
  </r>
  <r>
    <s v=""/>
    <s v=""/>
    <m/>
    <m/>
    <s v=""/>
    <s v="ENF"/>
    <d v="2022-04-19T00:00:00"/>
    <m/>
    <m/>
    <s v="Toss"/>
    <s v="Doors-RR"/>
    <s v="Door Handle, Interior"/>
    <s v="never"/>
    <m/>
    <m/>
    <m/>
    <m/>
    <s v=". Door Handle, Interior"/>
    <m/>
    <m/>
    <m/>
    <m/>
    <m/>
    <m/>
    <m/>
    <x v="7"/>
    <s v="Door Handle, Interior"/>
    <s v="if trim doesn't remove easy put handle w/ trim SET"/>
    <s v="if trim doesn't remove easy put handle w/ trim SET"/>
    <m/>
    <s v="single"/>
    <m/>
    <m/>
    <s v="14-18 ALL"/>
    <s v="BMW X5 (F15) (14-18)"/>
    <s v="F15 ALL"/>
    <m/>
    <m/>
    <m/>
    <m/>
    <m/>
    <m/>
    <m/>
    <m/>
    <m/>
    <m/>
    <m/>
    <s v=""/>
  </r>
  <r>
    <s v=""/>
    <s v=""/>
    <m/>
    <m/>
    <s v=""/>
    <s v="ENF"/>
    <d v="2022-04-19T00:00:00"/>
    <m/>
    <m/>
    <s v="Toss"/>
    <s v="Doors-RR"/>
    <s v="Door Panel"/>
    <s v="never"/>
    <m/>
    <m/>
    <m/>
    <m/>
    <s v=". Door Panel"/>
    <m/>
    <m/>
    <m/>
    <m/>
    <m/>
    <m/>
    <m/>
    <x v="9"/>
    <s v="Door Panel"/>
    <s v=""/>
    <m/>
    <m/>
    <s v="single"/>
    <m/>
    <m/>
    <s v="14-18 ALL"/>
    <s v="BMW X5 (F15) (14-18)"/>
    <s v="F15 ALL"/>
    <m/>
    <m/>
    <m/>
    <m/>
    <m/>
    <m/>
    <m/>
    <m/>
    <m/>
    <m/>
    <m/>
    <s v=""/>
  </r>
  <r>
    <s v=""/>
    <s v=""/>
    <m/>
    <m/>
    <s v=""/>
    <s v="ENF"/>
    <d v="2022-04-19T00:00:00"/>
    <m/>
    <m/>
    <s v="Toss"/>
    <s v="Doors-RR"/>
    <s v="Switch Button"/>
    <s v="never"/>
    <m/>
    <m/>
    <m/>
    <m/>
    <s v=". Switch, Window"/>
    <m/>
    <m/>
    <m/>
    <m/>
    <m/>
    <m/>
    <m/>
    <x v="16"/>
    <s v="Switch, Window"/>
    <s v=""/>
    <m/>
    <m/>
    <s v="single"/>
    <m/>
    <m/>
    <s v="14-18 ALL"/>
    <s v="BMW X5 (F15) (14-18)"/>
    <s v="F15 ALL"/>
    <m/>
    <m/>
    <m/>
    <m/>
    <m/>
    <m/>
    <m/>
    <m/>
    <m/>
    <m/>
    <m/>
    <s v=""/>
  </r>
  <r>
    <s v=""/>
    <s v=""/>
    <m/>
    <m/>
    <s v=""/>
    <s v="ENF"/>
    <d v="2022-04-19T00:00:00"/>
    <m/>
    <m/>
    <s v="Toss"/>
    <s v="Doors-RR"/>
    <s v="Window Motor &amp; Regulator"/>
    <s v="always"/>
    <m/>
    <m/>
    <m/>
    <m/>
    <s v=". Window Motor &amp; Regulator"/>
    <m/>
    <m/>
    <m/>
    <m/>
    <m/>
    <m/>
    <m/>
    <x v="11"/>
    <s v="Window Motor &amp; Regulator"/>
    <s v=""/>
    <m/>
    <m/>
    <s v="single"/>
    <m/>
    <m/>
    <s v="14-18 ALL"/>
    <s v="BMW X5 (F15) (14-18)"/>
    <s v="F15 ALL"/>
    <m/>
    <m/>
    <s v="-"/>
    <m/>
    <m/>
    <m/>
    <m/>
    <m/>
    <m/>
    <m/>
    <m/>
    <s v=""/>
  </r>
  <r>
    <s v=""/>
    <s v="682-50388"/>
    <m/>
    <m/>
    <n v="1"/>
    <s v="ENF"/>
    <d v="2022-04-19T00:00:00"/>
    <m/>
    <m/>
    <s v="KEEP"/>
    <s v="Engine"/>
    <s v="A/C Compressor"/>
    <s v="always"/>
    <m/>
    <m/>
    <m/>
    <m/>
    <s v=". A/C Compressor"/>
    <m/>
    <m/>
    <m/>
    <m/>
    <m/>
    <m/>
    <m/>
    <x v="25"/>
    <s v="A/C Compressor"/>
    <s v=""/>
    <m/>
    <m/>
    <s v="single"/>
    <m/>
    <n v="150"/>
    <s v="14-18 3.0T N55"/>
    <s v="BMW X5 (F15) (14-18)"/>
    <s v="14-18 3.0T N55 (RWD &amp; AWD)"/>
    <m/>
    <s v="682"/>
    <s v="-"/>
    <n v="50388"/>
    <s v="682-50388"/>
    <s v="14-18 3.0T N55"/>
    <m/>
    <m/>
    <m/>
    <m/>
    <m/>
    <s v=""/>
  </r>
  <r>
    <s v=""/>
    <s v="682-50335"/>
    <m/>
    <m/>
    <n v="1"/>
    <s v="ENF"/>
    <d v="2023-11-15T00:00:00"/>
    <m/>
    <m/>
    <s v="KEEP"/>
    <s v="Engine"/>
    <s v="A/C Compressor"/>
    <s v="always"/>
    <m/>
    <m/>
    <m/>
    <m/>
    <s v=". A/C Compressor"/>
    <m/>
    <m/>
    <m/>
    <m/>
    <m/>
    <m/>
    <m/>
    <x v="25"/>
    <s v="A/C Compressor"/>
    <s v=""/>
    <m/>
    <m/>
    <s v="single"/>
    <m/>
    <n v="95"/>
    <s v="14-18 4.4TT N63T"/>
    <s v="BMW X5 (F15) (14-18)"/>
    <s v="14-18 3.0T N55 (RWD &amp; AWD)"/>
    <m/>
    <s v="682"/>
    <s v="-"/>
    <n v="50335"/>
    <s v="682-50335"/>
    <s v="14-16 4.4TT"/>
    <m/>
    <m/>
    <m/>
    <m/>
    <m/>
    <s v=""/>
  </r>
  <r>
    <s v=""/>
    <s v="682-69515"/>
    <m/>
    <m/>
    <n v="1"/>
    <s v="ENF"/>
    <d v="2023-11-15T00:00:00"/>
    <m/>
    <m/>
    <s v="KEEP"/>
    <s v="Engine"/>
    <s v="A/C Compressor"/>
    <s v="always"/>
    <m/>
    <m/>
    <m/>
    <m/>
    <s v=". A/C Compressor"/>
    <m/>
    <m/>
    <m/>
    <m/>
    <m/>
    <m/>
    <m/>
    <x v="25"/>
    <s v="A/C Compressor"/>
    <s v=""/>
    <m/>
    <m/>
    <s v="single"/>
    <m/>
    <n v="250"/>
    <s v="14-18 4.4TT N63T"/>
    <s v="BMW X5 (F15) (14-18)"/>
    <s v="14-18 3.0T N55 (RWD &amp; AWD)"/>
    <m/>
    <s v="682"/>
    <s v="-"/>
    <n v="69515"/>
    <s v="682-69515"/>
    <s v="17-18 4.4TT"/>
    <m/>
    <m/>
    <m/>
    <m/>
    <m/>
    <s v=""/>
  </r>
  <r>
    <s v=""/>
    <s v=""/>
    <m/>
    <m/>
    <s v=""/>
    <s v="AJR"/>
    <d v="2023-06-22T00:00:00"/>
    <m/>
    <m/>
    <s v="KEEP"/>
    <s v="Engine"/>
    <s v="Air Pipe"/>
    <s v="never"/>
    <m/>
    <m/>
    <m/>
    <m/>
    <s v=". Air Induction Charge Pipe"/>
    <m/>
    <m/>
    <m/>
    <m/>
    <m/>
    <m/>
    <m/>
    <x v="26"/>
    <s v="Air Induction Charge Pipe"/>
    <s v=""/>
    <m/>
    <m/>
    <s v="single"/>
    <n v="8626487"/>
    <n v="105"/>
    <s v="14-18 3.0T N55"/>
    <s v="BMW X5 (F15) (14-18)"/>
    <s v="14-18 3.0T N55 (RWD &amp; AWD)"/>
    <m/>
    <m/>
    <m/>
    <m/>
    <m/>
    <m/>
    <m/>
    <m/>
    <m/>
    <m/>
    <m/>
    <s v=""/>
  </r>
  <r>
    <s v=""/>
    <s v=""/>
    <m/>
    <m/>
    <s v=""/>
    <s v="AJR"/>
    <d v="2023-06-22T00:00:00"/>
    <m/>
    <m/>
    <s v="KEEP"/>
    <s v="Engine"/>
    <s v="Air Pipe"/>
    <s v="never"/>
    <m/>
    <m/>
    <m/>
    <m/>
    <s v=". Air Intake Upper Duct Tube"/>
    <m/>
    <m/>
    <m/>
    <m/>
    <m/>
    <m/>
    <m/>
    <x v="27"/>
    <s v="Air Intake Upper Duct Tube"/>
    <s v="2 Pieces Keep Together"/>
    <s v="2 Pieces Keep Together"/>
    <m/>
    <s v="single"/>
    <n v="13717605585"/>
    <n v="125"/>
    <s v="14-18 3.0T N55"/>
    <s v="BMW X5 (F15) (14-18)"/>
    <s v="14-18 3.0T N55 (RWD &amp; AWD)"/>
    <m/>
    <m/>
    <m/>
    <m/>
    <m/>
    <m/>
    <m/>
    <m/>
    <m/>
    <m/>
    <m/>
    <s v=""/>
  </r>
  <r>
    <s v=""/>
    <s v="601-60994"/>
    <m/>
    <m/>
    <n v="1"/>
    <s v="ENF"/>
    <d v="2022-04-19T00:00:00"/>
    <m/>
    <m/>
    <s v="KEEP"/>
    <s v="Engine"/>
    <s v="Alternator"/>
    <s v="always"/>
    <m/>
    <m/>
    <m/>
    <m/>
    <s v=". Alternator"/>
    <m/>
    <m/>
    <m/>
    <m/>
    <m/>
    <m/>
    <m/>
    <x v="28"/>
    <s v="Alternator"/>
    <s v=""/>
    <m/>
    <m/>
    <s v="single"/>
    <m/>
    <n v="100"/>
    <s v="14-18 3.0T N55"/>
    <s v="BMW X5 (F15) (14-18)"/>
    <s v="14-18 3.0T N55 (RWD &amp; AWD)"/>
    <m/>
    <s v="601"/>
    <s v="-"/>
    <n v="60994"/>
    <s v="601-60994"/>
    <m/>
    <m/>
    <m/>
    <m/>
    <m/>
    <m/>
    <s v=""/>
  </r>
  <r>
    <s v=""/>
    <s v="601-61009"/>
    <m/>
    <m/>
    <n v="1"/>
    <s v="ENF"/>
    <d v="2023-11-15T00:00:00"/>
    <m/>
    <m/>
    <s v="KEEP"/>
    <s v="Engine"/>
    <s v="Alternator"/>
    <s v="always"/>
    <m/>
    <m/>
    <m/>
    <m/>
    <s v=". Alternator"/>
    <m/>
    <m/>
    <s v="12317606628, 7606628"/>
    <s v="Yes"/>
    <m/>
    <m/>
    <m/>
    <x v="28"/>
    <s v="Alternator"/>
    <s v=""/>
    <m/>
    <m/>
    <s v="single"/>
    <m/>
    <n v="100"/>
    <s v="14-18 4.4TT N63T"/>
    <s v="BMW X5 (F15) (14-18)"/>
    <s v="14-18 4.4TT N63T"/>
    <m/>
    <s v="601"/>
    <s v="-"/>
    <n v="61009"/>
    <s v="601-61009"/>
    <m/>
    <m/>
    <m/>
    <m/>
    <m/>
    <m/>
    <s v=""/>
  </r>
  <r>
    <s v=""/>
    <s v=""/>
    <m/>
    <m/>
    <s v=""/>
    <s v="DRF"/>
    <d v="2023-06-14T00:00:00"/>
    <s v="INSPECT ALWAYS"/>
    <m/>
    <s v="KEEP"/>
    <s v="Engine"/>
    <s v="Camshaft"/>
    <s v="always"/>
    <m/>
    <m/>
    <m/>
    <m/>
    <s v=". Camshaft, Eccentric"/>
    <m/>
    <m/>
    <m/>
    <m/>
    <m/>
    <m/>
    <m/>
    <x v="29"/>
    <s v="Camshaft, Eccentric"/>
    <s v="on head unless parting out"/>
    <s v="on head unless parting out"/>
    <m/>
    <s v="single"/>
    <m/>
    <n v="175"/>
    <s v="14-18 3.0T N55"/>
    <s v="BMW X5 (F15) (14-18)"/>
    <s v="14-18 3.0T N55 (RWD &amp; AWD)"/>
    <m/>
    <m/>
    <s v="-"/>
    <m/>
    <m/>
    <m/>
    <m/>
    <m/>
    <m/>
    <m/>
    <m/>
    <s v=""/>
  </r>
  <r>
    <s v=""/>
    <s v=""/>
    <m/>
    <m/>
    <s v=""/>
    <s v="DRF"/>
    <d v="2023-06-14T00:00:00"/>
    <s v="INSPECT ALWAYS"/>
    <m/>
    <s v="KEEP"/>
    <s v="Engine"/>
    <s v="Camshaft"/>
    <s v="always"/>
    <m/>
    <m/>
    <m/>
    <m/>
    <s v=". Camshaft, Exhaust"/>
    <m/>
    <m/>
    <m/>
    <m/>
    <m/>
    <m/>
    <m/>
    <x v="30"/>
    <s v="Camshaft, Exhaust"/>
    <s v="on head unless parting out"/>
    <s v="on head unless parting out"/>
    <m/>
    <s v="single"/>
    <m/>
    <n v="240"/>
    <s v="14-18 3.0T N55"/>
    <s v="BMW X5 (F15) (14-18)"/>
    <s v="14-18 3.0T N55 (RWD &amp; AWD)"/>
    <m/>
    <m/>
    <s v="-"/>
    <m/>
    <m/>
    <m/>
    <m/>
    <m/>
    <m/>
    <m/>
    <m/>
    <s v=""/>
  </r>
  <r>
    <s v=""/>
    <s v=""/>
    <m/>
    <m/>
    <s v=""/>
    <s v="DRF"/>
    <d v="2023-06-14T00:00:00"/>
    <s v="INSPECT ALWAYS"/>
    <m/>
    <s v="KEEP"/>
    <s v="Engine"/>
    <s v="Camshaft"/>
    <s v="always"/>
    <m/>
    <m/>
    <m/>
    <m/>
    <s v=". Camshaft, Intake"/>
    <m/>
    <m/>
    <m/>
    <m/>
    <m/>
    <m/>
    <m/>
    <x v="31"/>
    <s v="Camshaft, Intake"/>
    <s v="on head unless parting out"/>
    <s v="on head unless parting out"/>
    <m/>
    <s v="single"/>
    <m/>
    <n v="400"/>
    <s v="14-18 3.0T N55"/>
    <s v="BMW X5 (F15) (14-18)"/>
    <s v="14-18 3.0T N55 (RWD &amp; AWD)"/>
    <m/>
    <m/>
    <s v="-"/>
    <m/>
    <m/>
    <m/>
    <m/>
    <m/>
    <m/>
    <m/>
    <m/>
    <s v=""/>
  </r>
  <r>
    <s v=""/>
    <s v=""/>
    <m/>
    <m/>
    <s v=""/>
    <s v="ENF"/>
    <d v="2022-04-19T00:00:00"/>
    <s v="INSPECT ALWAYS"/>
    <m/>
    <s v="KEEP"/>
    <s v="Engine"/>
    <s v="Crank Shaft"/>
    <s v="never"/>
    <m/>
    <m/>
    <m/>
    <m/>
    <s v=". Crank Shaft"/>
    <m/>
    <m/>
    <m/>
    <m/>
    <m/>
    <m/>
    <m/>
    <x v="32"/>
    <s v="Crank Shaft"/>
    <s v=""/>
    <m/>
    <m/>
    <s v="single"/>
    <m/>
    <n v="1600"/>
    <s v="14-18 3.0T N55"/>
    <s v="BMW X5 (F15) (14-18)"/>
    <s v="14-18 3.0T N55 (RWD &amp; AWD)"/>
    <s v="INSPECT ALWAYS"/>
    <m/>
    <m/>
    <m/>
    <m/>
    <m/>
    <m/>
    <m/>
    <m/>
    <m/>
    <m/>
    <s v=""/>
  </r>
  <r>
    <s v=""/>
    <s v="306-50551"/>
    <m/>
    <m/>
    <n v="1"/>
    <s v="ENF"/>
    <d v="2022-04-19T00:00:00"/>
    <s v="INSPECT ALWAYS"/>
    <m/>
    <s v="KEEP"/>
    <s v="Engine"/>
    <s v="Cylinder Head"/>
    <s v="always"/>
    <m/>
    <m/>
    <m/>
    <m/>
    <s v=". Cylinder Head"/>
    <m/>
    <m/>
    <m/>
    <m/>
    <m/>
    <m/>
    <m/>
    <x v="33"/>
    <s v="Cylinder Head"/>
    <s v=""/>
    <m/>
    <m/>
    <s v="single"/>
    <m/>
    <n v="1250"/>
    <s v="14-18 3.0T N55"/>
    <s v="BMW X5 (F15) (14-18)"/>
    <s v="14-18 3.0T N55 (RWD &amp; AWD)"/>
    <s v="INSPECT ALWAYS"/>
    <s v="306"/>
    <s v="-"/>
    <n v="50551"/>
    <s v="306-50551"/>
    <m/>
    <m/>
    <m/>
    <m/>
    <m/>
    <m/>
    <s v=""/>
  </r>
  <r>
    <s v="A109"/>
    <s v="300-70932"/>
    <s v="300-70932-1"/>
    <m/>
    <n v="3"/>
    <s v="ENF"/>
    <d v="2023-06-07T00:00:00"/>
    <s v="INSPECT ALWAYS"/>
    <s v="WHOLE &lt;125k"/>
    <s v="KEEP"/>
    <s v="Engine"/>
    <s v="Engine Assembly"/>
    <s v="always"/>
    <n v="99"/>
    <s v="A109"/>
    <s v="Engine"/>
    <n v="1"/>
    <s v="A109. Engine Assembly as FULL ASSEMBLY"/>
    <s v="PIC"/>
    <n v="14"/>
    <s v="11002285394, 2285394"/>
    <s v="Yes"/>
    <m/>
    <m/>
    <m/>
    <x v="34"/>
    <s v="Engine Assembly as FULL ASSEMBLY"/>
    <s v="keep only &lt;125k, sell long block if accessories bad"/>
    <s v="keep only &lt;125k, sell long block if accessories bad"/>
    <m/>
    <s v="single"/>
    <m/>
    <n v="6000"/>
    <s v="14-18 3.0T N55"/>
    <s v="BMW X5 (F15) (14-18)"/>
    <s v="14-18 3.0T N55 (RWD &amp; AWD)"/>
    <s v="INSPECT ALWAYS"/>
    <s v="300"/>
    <s v="-"/>
    <n v="70932"/>
    <s v="300-70932"/>
    <m/>
    <m/>
    <m/>
    <m/>
    <m/>
    <m/>
    <s v=""/>
  </r>
  <r>
    <s v=""/>
    <s v="300-70932"/>
    <s v="300-70932-2"/>
    <m/>
    <n v="3"/>
    <s v="ENF"/>
    <d v="2023-06-07T00:00:00"/>
    <s v="INSPECT ALWAYS"/>
    <s v="WHOLE &lt;125k"/>
    <s v="KEEP"/>
    <s v="Engine"/>
    <s v="Engine Assembly"/>
    <s v="always"/>
    <m/>
    <m/>
    <m/>
    <m/>
    <s v=". Engine Assembly as FULL ASSEMBLY WITHOUT TURBOS"/>
    <m/>
    <m/>
    <m/>
    <m/>
    <m/>
    <m/>
    <m/>
    <x v="34"/>
    <s v="Engine Assembly as FULL ASSEMBLY WITHOUT TURBOS"/>
    <s v="keep only &lt;125k, sell long block if accessories bad"/>
    <s v="keep only &lt;125k, sell long block if accessories bad"/>
    <m/>
    <s v="single"/>
    <m/>
    <n v="5500"/>
    <s v="14-18 3.0T N55"/>
    <s v="BMW X5 (F15) (14-18)"/>
    <s v="14-18 3.0T N55 (RWD &amp; AWD)"/>
    <s v="INSPECT ALWAYS"/>
    <s v="300"/>
    <s v="-"/>
    <n v="70932"/>
    <s v="300-70932"/>
    <m/>
    <m/>
    <m/>
    <m/>
    <m/>
    <m/>
    <s v=""/>
  </r>
  <r>
    <s v=""/>
    <s v="300-70932"/>
    <s v="300-70932-3"/>
    <m/>
    <n v="3"/>
    <s v="ENF"/>
    <d v="2023-06-07T00:00:00"/>
    <s v="INSPECT ALWAYS"/>
    <s v="WHOLE &lt;125k"/>
    <s v="KEEP"/>
    <s v="Engine"/>
    <s v="Engine Assembly"/>
    <s v="always"/>
    <m/>
    <m/>
    <m/>
    <m/>
    <s v=". Engine Assembly as LONG BLOCK"/>
    <m/>
    <m/>
    <m/>
    <m/>
    <m/>
    <m/>
    <m/>
    <x v="34"/>
    <s v="Engine Assembly as LONG BLOCK"/>
    <s v="keep only &lt;125k, sell long block if accessories bad"/>
    <s v="keep only &lt;125k, sell long block if accessories bad"/>
    <m/>
    <s v="single"/>
    <m/>
    <n v="4500"/>
    <s v="14-18 3.0T N55"/>
    <s v="BMW X5 (F15) (14-18)"/>
    <s v="14-18 3.0T N55 (RWD &amp; AWD)"/>
    <s v="INSPECT ALWAYS"/>
    <s v="300"/>
    <s v="-"/>
    <n v="70932"/>
    <s v="300-70932"/>
    <m/>
    <m/>
    <m/>
    <m/>
    <m/>
    <m/>
    <s v=""/>
  </r>
  <r>
    <s v=""/>
    <s v=""/>
    <m/>
    <m/>
    <s v=""/>
    <s v="ENF"/>
    <d v="2022-04-19T00:00:00"/>
    <s v="INSPECT ALWAYS"/>
    <m/>
    <s v="KEEP"/>
    <s v="Engine"/>
    <s v="Engine Block"/>
    <s v="always"/>
    <m/>
    <m/>
    <m/>
    <m/>
    <s v=". Engine Cylinder Block"/>
    <m/>
    <m/>
    <m/>
    <m/>
    <m/>
    <m/>
    <m/>
    <x v="35"/>
    <s v="Engine Cylinder Block"/>
    <s v="leave crank cradle ON"/>
    <s v="leave crank cradle ON"/>
    <m/>
    <s v="single"/>
    <m/>
    <n v="750"/>
    <s v="14-18 3.0T N55"/>
    <s v="BMW X5 (F15) (14-18)"/>
    <s v="14-18 3.0T N55 (RWD &amp; AWD)"/>
    <s v="INSPECT ALWAYS"/>
    <m/>
    <s v="-"/>
    <m/>
    <m/>
    <m/>
    <m/>
    <m/>
    <m/>
    <m/>
    <m/>
    <s v=""/>
  </r>
  <r>
    <s v=""/>
    <s v=""/>
    <m/>
    <m/>
    <s v=""/>
    <s v="AJR"/>
    <d v="2023-06-22T00:00:00"/>
    <m/>
    <m/>
    <s v="KEEP"/>
    <s v="Engine"/>
    <s v="Engine Mounts &amp; Brackets"/>
    <s v="never"/>
    <m/>
    <m/>
    <m/>
    <m/>
    <s v=". Engine Mount Bracket SET 2"/>
    <m/>
    <m/>
    <m/>
    <m/>
    <m/>
    <m/>
    <m/>
    <x v="36"/>
    <s v="Engine Mount Bracket SET 2"/>
    <s v="SET2, toss both if 1 bad | triangle shaped metal ones"/>
    <s v="SET2, toss both if 1 bad"/>
    <s v="triangle shaped metal ones"/>
    <s v="SET/2"/>
    <m/>
    <n v="120"/>
    <s v="14-18 3.0T N55"/>
    <s v="BMW X5 (F15) (14-18)"/>
    <s v="14-18 3.0T N55 (RWD &amp; AWD)"/>
    <m/>
    <m/>
    <m/>
    <m/>
    <m/>
    <m/>
    <m/>
    <m/>
    <m/>
    <m/>
    <m/>
    <s v=""/>
  </r>
  <r>
    <s v=""/>
    <s v=""/>
    <m/>
    <m/>
    <s v=""/>
    <s v="ENF"/>
    <d v="2023-11-14T00:00:00"/>
    <m/>
    <m/>
    <s v="KEEP"/>
    <s v="Engine"/>
    <s v="Engine Mounts &amp; Brackets"/>
    <s v="never"/>
    <m/>
    <m/>
    <m/>
    <m/>
    <s v=". Engine Motor Mount SET 2"/>
    <m/>
    <m/>
    <n v="6780653"/>
    <s v="Yes"/>
    <m/>
    <m/>
    <m/>
    <x v="37"/>
    <s v="Engine Motor Mount SET 2"/>
    <s v="SET2, toss both if 1 bad | black metal w/ rubber, leaks=toss"/>
    <s v="SET2, toss both if 1 bad"/>
    <s v="black metal w/ rubber, leaks=toss"/>
    <s v="SET/2"/>
    <m/>
    <n v="65"/>
    <s v="14-18 4.4TT N63T"/>
    <s v="BMW X5 (F15) (14-18)"/>
    <s v="14-18 4.4TT N63T"/>
    <m/>
    <m/>
    <m/>
    <m/>
    <m/>
    <m/>
    <m/>
    <m/>
    <m/>
    <m/>
    <m/>
    <s v=""/>
  </r>
  <r>
    <s v=""/>
    <s v=""/>
    <m/>
    <m/>
    <s v=""/>
    <s v="ENF"/>
    <d v="2023-11-14T00:00:00"/>
    <m/>
    <m/>
    <s v="KEEP"/>
    <s v="Engine"/>
    <s v="Sensor"/>
    <s v="never"/>
    <m/>
    <m/>
    <m/>
    <m/>
    <s v=". Engine Oil Level Sensor"/>
    <m/>
    <m/>
    <m/>
    <m/>
    <m/>
    <m/>
    <m/>
    <x v="38"/>
    <s v="Engine Oil Level Sensor"/>
    <s v=""/>
    <m/>
    <m/>
    <s v="single"/>
    <m/>
    <n v="75"/>
    <s v="14-18 3.0T N55 &amp; 4.4TT N63T"/>
    <s v="BMW X5 (F15) (14-18)"/>
    <s v="14-18 3.0T N55 (RWD &amp; AWD) | 14-18 4.4TT N63T"/>
    <m/>
    <m/>
    <m/>
    <m/>
    <m/>
    <m/>
    <s v="F15"/>
    <s v="14-18 3.0T N55 &amp; 4.4TT N63T"/>
    <s v="ALL"/>
    <s v="F15-14-18 3.0T N55 &amp; 4.4TT N63T-ALL"/>
    <s v="Viking1"/>
    <s v="F15-14-18 3.0T N55 &amp; 4.4TT N63T-ALL-Viking1"/>
  </r>
  <r>
    <s v=""/>
    <s v="322-67441"/>
    <m/>
    <m/>
    <n v="3"/>
    <s v="ENF"/>
    <d v="2022-04-19T00:00:00"/>
    <s v="INSPECT ALWAYS"/>
    <m/>
    <s v="KEEP"/>
    <s v="Engine"/>
    <s v="Fuel Injector"/>
    <s v="always"/>
    <m/>
    <m/>
    <m/>
    <m/>
    <s v=". Fuel Injector SET 6"/>
    <m/>
    <m/>
    <m/>
    <m/>
    <m/>
    <m/>
    <m/>
    <x v="39"/>
    <s v="Fuel Injector SET 6"/>
    <s v="SET 6, sell SET 4 &amp; singles if 1 bad | note broken caps"/>
    <s v="SET 6, sell SET 4 &amp; singles if 1 bad"/>
    <s v="note broken caps"/>
    <s v="SET/6"/>
    <m/>
    <n v="200"/>
    <s v="14-18 3.0T N55"/>
    <s v="BMW X5 (F15) (14-18)"/>
    <s v="14-18 3.0T N55 (RWD &amp; AWD)"/>
    <s v="INSPECT ALWAYS"/>
    <s v="322"/>
    <s v="-"/>
    <n v="67441"/>
    <s v="322-67441"/>
    <s v="14-16 X5 3.0T N55"/>
    <m/>
    <m/>
    <m/>
    <m/>
    <m/>
    <s v=""/>
  </r>
  <r>
    <s v=""/>
    <s v="322-67441"/>
    <m/>
    <m/>
    <n v="3"/>
    <s v="ENF"/>
    <d v="2022-04-19T00:00:00"/>
    <s v="INSPECT ALWAYS"/>
    <m/>
    <s v="KEEP"/>
    <s v="Engine"/>
    <s v="Fuel Injector"/>
    <s v="always"/>
    <m/>
    <m/>
    <m/>
    <m/>
    <s v=". Fuel Injector SET 4"/>
    <m/>
    <m/>
    <m/>
    <m/>
    <m/>
    <m/>
    <m/>
    <x v="39"/>
    <s v="Fuel Injector SET 4"/>
    <s v="note broken caps"/>
    <m/>
    <s v="note broken caps"/>
    <s v="SET/4"/>
    <m/>
    <n v="125"/>
    <s v="14-18 3.0T N55"/>
    <s v="BMW X5 (F15) (14-18)"/>
    <s v="14-18 3.0T N55 (RWD &amp; AWD)"/>
    <s v="INSPECT ALWAYS"/>
    <s v="322"/>
    <s v="-"/>
    <n v="67441"/>
    <s v="322-67441"/>
    <s v="14-16 X5 3.0T N55"/>
    <m/>
    <m/>
    <m/>
    <m/>
    <m/>
    <s v=""/>
  </r>
  <r>
    <s v=""/>
    <s v="322-67441"/>
    <m/>
    <m/>
    <n v="3"/>
    <s v="ENF"/>
    <d v="2022-04-19T00:00:00"/>
    <s v="INSPECT ALWAYS"/>
    <m/>
    <s v="KEEP"/>
    <s v="Engine"/>
    <s v="Fuel Injector"/>
    <s v="always"/>
    <m/>
    <m/>
    <m/>
    <m/>
    <s v=". Fuel Injector SINGLE"/>
    <m/>
    <m/>
    <m/>
    <m/>
    <m/>
    <m/>
    <m/>
    <x v="39"/>
    <s v="Fuel Injector SINGLE"/>
    <s v="note broken caps"/>
    <m/>
    <s v="note broken caps"/>
    <s v="single"/>
    <m/>
    <n v="45"/>
    <s v="14-18 3.0T N55"/>
    <s v="BMW X5 (F15) (14-18)"/>
    <s v="14-18 3.0T N55 (RWD &amp; AWD)"/>
    <s v="INSPECT ALWAYS"/>
    <s v="322"/>
    <s v="-"/>
    <n v="67441"/>
    <s v="322-67441"/>
    <s v="14-16 X5 3.0T N55"/>
    <m/>
    <m/>
    <m/>
    <m/>
    <m/>
    <s v=""/>
  </r>
  <r>
    <s v=""/>
    <s v="322-50296"/>
    <m/>
    <m/>
    <n v="3"/>
    <s v="ENF"/>
    <d v="2022-04-19T00:00:00"/>
    <s v="INSPECT ALWAYS"/>
    <m/>
    <s v="KEEP"/>
    <s v="Engine"/>
    <s v="Fuel Injector"/>
    <s v="always"/>
    <m/>
    <m/>
    <m/>
    <m/>
    <s v=". Fuel Injector SET 6"/>
    <m/>
    <m/>
    <m/>
    <m/>
    <m/>
    <m/>
    <m/>
    <x v="39"/>
    <s v="Fuel Injector SET 6"/>
    <s v="SET 6, sell SET 4 &amp; singles if 1 bad | note broken caps"/>
    <s v="SET 6, sell SET 4 &amp; singles if 1 bad"/>
    <s v="note broken caps"/>
    <s v="SET/6"/>
    <m/>
    <n v="175"/>
    <s v="14-18 3.0T N55"/>
    <s v="BMW X5 (F15) (14-18)"/>
    <s v="14-18 3.0T N55 (RWD &amp; AWD)"/>
    <s v="INSPECT ALWAYS"/>
    <s v="322"/>
    <s v="-"/>
    <n v="50296"/>
    <s v="322-50296"/>
    <s v="17-18 X5 3.0T N55"/>
    <m/>
    <m/>
    <m/>
    <m/>
    <m/>
    <s v=""/>
  </r>
  <r>
    <s v=""/>
    <s v="322-50296"/>
    <m/>
    <m/>
    <n v="3"/>
    <s v="ENF"/>
    <d v="2022-04-19T00:00:00"/>
    <s v="INSPECT ALWAYS"/>
    <m/>
    <s v="KEEP"/>
    <s v="Engine"/>
    <s v="Fuel Injector"/>
    <s v="always"/>
    <m/>
    <m/>
    <m/>
    <m/>
    <s v=". Fuel Injector SET 4"/>
    <m/>
    <m/>
    <m/>
    <m/>
    <m/>
    <m/>
    <m/>
    <x v="39"/>
    <s v="Fuel Injector SET 4"/>
    <s v="note broken caps"/>
    <m/>
    <s v="note broken caps"/>
    <s v="SET/4"/>
    <m/>
    <n v="125"/>
    <s v="14-18 3.0T N55"/>
    <s v="BMW X5 (F15) (14-18)"/>
    <s v="14-18 3.0T N55 (RWD &amp; AWD)"/>
    <s v="INSPECT ALWAYS"/>
    <s v="322"/>
    <s v="-"/>
    <n v="50296"/>
    <s v="322-50296"/>
    <s v="17-18 X5 3.0T N55"/>
    <m/>
    <m/>
    <m/>
    <m/>
    <m/>
    <s v=""/>
  </r>
  <r>
    <s v=""/>
    <s v="322-50296"/>
    <m/>
    <m/>
    <n v="3"/>
    <s v="ENF"/>
    <d v="2022-04-19T00:00:00"/>
    <s v="INSPECT ALWAYS"/>
    <m/>
    <s v="KEEP"/>
    <s v="Engine"/>
    <s v="Fuel Injector"/>
    <s v="always"/>
    <m/>
    <m/>
    <m/>
    <m/>
    <s v=". Fuel Injector SINGLE"/>
    <m/>
    <m/>
    <m/>
    <m/>
    <m/>
    <m/>
    <m/>
    <x v="39"/>
    <s v="Fuel Injector SINGLE"/>
    <s v="note broken caps"/>
    <m/>
    <s v="note broken caps"/>
    <s v="single"/>
    <m/>
    <n v="45"/>
    <s v="14-18 3.0T N55"/>
    <s v="BMW X5 (F15) (14-18)"/>
    <s v="14-18 3.0T N55 (RWD &amp; AWD)"/>
    <s v="INSPECT ALWAYS"/>
    <s v="322"/>
    <s v="-"/>
    <n v="50296"/>
    <s v="322-50296"/>
    <s v="17-18 X5 3.0T N55"/>
    <m/>
    <m/>
    <m/>
    <m/>
    <m/>
    <s v=""/>
  </r>
  <r>
    <s v=""/>
    <s v="322-67465"/>
    <m/>
    <m/>
    <n v="3"/>
    <s v="ENF"/>
    <d v="2023-11-14T00:00:00"/>
    <s v="INSPECT ALWAYS"/>
    <m/>
    <s v="KEEP"/>
    <s v="Engine"/>
    <s v="Fuel Injector"/>
    <s v="always"/>
    <m/>
    <m/>
    <m/>
    <m/>
    <s v=". Fuel Injector SET 8"/>
    <m/>
    <m/>
    <m/>
    <m/>
    <m/>
    <m/>
    <m/>
    <x v="39"/>
    <s v="Fuel Injector SET 8"/>
    <s v="SET 8, sell SET 4 &amp; singles if 1 bad | note broken caps"/>
    <s v="SET 8, sell SET 4 &amp; singles if 1 bad"/>
    <s v="note broken caps"/>
    <s v="SET/8"/>
    <m/>
    <n v="600"/>
    <s v="14-18 4.4TT N63T"/>
    <s v="BMW X5 (F15) (14-18)"/>
    <s v="14-18 4.4TT N63T"/>
    <s v="INSPECT ALWAYS"/>
    <s v="322"/>
    <s v="-"/>
    <n v="67465"/>
    <s v="322-67465"/>
    <m/>
    <m/>
    <m/>
    <m/>
    <m/>
    <m/>
    <s v=""/>
  </r>
  <r>
    <s v=""/>
    <s v="322-67465"/>
    <m/>
    <m/>
    <n v="3"/>
    <s v="ENF"/>
    <d v="2023-11-14T00:00:00"/>
    <s v="INSPECT ALWAYS"/>
    <m/>
    <s v="KEEP"/>
    <s v="Engine"/>
    <s v="Fuel Injector"/>
    <s v="always"/>
    <m/>
    <m/>
    <m/>
    <m/>
    <s v=". Fuel Injector SET 4"/>
    <m/>
    <m/>
    <m/>
    <m/>
    <m/>
    <m/>
    <m/>
    <x v="39"/>
    <s v="Fuel Injector SET 4"/>
    <s v="note broken caps"/>
    <m/>
    <s v="note broken caps"/>
    <s v="SET/4"/>
    <m/>
    <n v="250"/>
    <s v="14-18 4.4TT N63T"/>
    <s v="BMW X5 (F15) (14-18)"/>
    <s v="14-18 4.4TT N63T"/>
    <s v="INSPECT ALWAYS"/>
    <s v="322"/>
    <s v="-"/>
    <n v="67465"/>
    <s v="322-67465"/>
    <m/>
    <m/>
    <m/>
    <m/>
    <m/>
    <m/>
    <s v=""/>
  </r>
  <r>
    <s v=""/>
    <s v="322-67465"/>
    <m/>
    <m/>
    <n v="3"/>
    <s v="ENF"/>
    <d v="2023-11-14T00:00:00"/>
    <s v="INSPECT ALWAYS"/>
    <m/>
    <s v="KEEP"/>
    <s v="Engine"/>
    <s v="Fuel Injector"/>
    <s v="always"/>
    <m/>
    <m/>
    <m/>
    <m/>
    <s v=". Fuel Injector SINGLE"/>
    <m/>
    <m/>
    <m/>
    <m/>
    <m/>
    <m/>
    <m/>
    <x v="39"/>
    <s v="Fuel Injector SINGLE"/>
    <s v="note broken caps"/>
    <m/>
    <s v="note broken caps"/>
    <s v="single"/>
    <m/>
    <n v="50"/>
    <s v="14-18 4.4TT N63T"/>
    <s v="BMW X5 (F15) (14-18)"/>
    <s v="14-18 4.4TT N63T"/>
    <s v="INSPECT ALWAYS"/>
    <s v="322"/>
    <s v="-"/>
    <n v="67465"/>
    <s v="322-67465"/>
    <m/>
    <m/>
    <m/>
    <m/>
    <m/>
    <m/>
    <s v=""/>
  </r>
  <r>
    <s v=""/>
    <s v="323-59654"/>
    <m/>
    <m/>
    <n v="1"/>
    <s v="AJR"/>
    <d v="2023-06-30T00:00:00"/>
    <m/>
    <m/>
    <s v="KEEP"/>
    <s v="Engine"/>
    <s v="Fuel Pump, High Pressure"/>
    <s v="always"/>
    <m/>
    <m/>
    <m/>
    <m/>
    <s v=". Fuel Pump, High Pressure Engine Mounted"/>
    <m/>
    <m/>
    <m/>
    <m/>
    <m/>
    <m/>
    <m/>
    <x v="40"/>
    <s v="Fuel Pump, High Pressure Engine Mounted"/>
    <s v=""/>
    <m/>
    <m/>
    <s v="single"/>
    <m/>
    <n v="100"/>
    <s v="14-18 3.0T N55"/>
    <s v="BMW X5 (F15) (14-18)"/>
    <s v="14-18 3.0T N55 (RWD &amp; AWD)"/>
    <m/>
    <s v="323"/>
    <s v="-"/>
    <n v="59654"/>
    <s v="323-59654"/>
    <m/>
    <m/>
    <m/>
    <m/>
    <m/>
    <m/>
    <s v=""/>
  </r>
  <r>
    <s v=""/>
    <s v="323-59473"/>
    <m/>
    <n v="0"/>
    <n v="4"/>
    <s v="ENF"/>
    <d v="2023-11-15T00:00:00"/>
    <m/>
    <m/>
    <s v="KEEP"/>
    <s v="Engine"/>
    <s v="Fuel Pump, High Pressure"/>
    <s v="always"/>
    <m/>
    <m/>
    <m/>
    <m/>
    <s v=". Fuel Pump, High Pressure Engine Mounted - LEFT or RIGHT (plug w/ all rounded corners)"/>
    <m/>
    <m/>
    <s v="13518604232, 8604232"/>
    <s v="Yes"/>
    <m/>
    <m/>
    <m/>
    <x v="41"/>
    <s v="Fuel Pump, High Pressure Engine Mounted - LEFT or RIGHT (plug w/ all rounded corners)"/>
    <s v="with roller cap, tag as SINGLE | 2 per car (identical)"/>
    <s v="with roller cap, tag as SINGLE"/>
    <s v="2 per car (identical)"/>
    <s v="single"/>
    <s v="1 of 2 (2 rows here for entering both as singles)"/>
    <n v="95"/>
    <s v="14-18 4.4TT N63T"/>
    <s v="BMW X5 (F15) (14-18)"/>
    <s v="14-18 4.4TT N63T"/>
    <m/>
    <s v="323"/>
    <s v="-"/>
    <n v="59473"/>
    <s v="323-59473"/>
    <m/>
    <m/>
    <m/>
    <m/>
    <m/>
    <m/>
    <s v=""/>
  </r>
  <r>
    <s v=""/>
    <s v="323-59473"/>
    <m/>
    <n v="0"/>
    <n v="4"/>
    <s v="ENF"/>
    <d v="2023-11-15T00:00:00"/>
    <m/>
    <m/>
    <s v="KEEP"/>
    <s v="Engine"/>
    <s v="Fuel Pump, High Pressure"/>
    <s v="always"/>
    <m/>
    <m/>
    <m/>
    <m/>
    <s v=". Fuel Pump, High Pressure Engine Mounted - LEFT or RIGHT (plug w/ all rounded corners)"/>
    <m/>
    <m/>
    <s v="13518604232, 8604232"/>
    <s v="Yes"/>
    <m/>
    <m/>
    <m/>
    <x v="41"/>
    <s v="Fuel Pump, High Pressure Engine Mounted - LEFT or RIGHT (plug w/ all rounded corners)"/>
    <s v="with roller cap, tag as SINGLE | 2 per car (identical)"/>
    <s v="with roller cap, tag as SINGLE"/>
    <s v="2 per car (identical)"/>
    <s v="single"/>
    <s v="2 of 2 (2 rows here for entering both as singles)"/>
    <n v="95"/>
    <s v="14-18 4.4TT N63T"/>
    <s v="BMW X5 (F15) (14-18)"/>
    <s v="14-18 4.4TT N63T"/>
    <m/>
    <s v="323"/>
    <s v="-"/>
    <n v="59473"/>
    <s v="323-59473"/>
    <m/>
    <m/>
    <m/>
    <m/>
    <m/>
    <m/>
    <s v=""/>
  </r>
  <r>
    <s v=""/>
    <s v="323-59473"/>
    <m/>
    <n v="0"/>
    <n v="4"/>
    <s v="ENF"/>
    <d v="2023-11-15T00:00:00"/>
    <m/>
    <m/>
    <s v="KEEP"/>
    <s v="Engine"/>
    <s v="Fuel Pump, High Pressure"/>
    <s v="always"/>
    <m/>
    <m/>
    <m/>
    <m/>
    <s v=". Fuel Pump, High Pressure Engine Mounted - LEFT or RIGHT (plug with 1 flat side)"/>
    <m/>
    <m/>
    <s v="13518604232, 8604232"/>
    <s v="Yes"/>
    <m/>
    <m/>
    <m/>
    <x v="42"/>
    <s v="Fuel Pump, High Pressure Engine Mounted - LEFT or RIGHT (plug with 1 flat side)"/>
    <s v="with roller cap, tag as SINGLE | 2 per car (identical)"/>
    <s v="with roller cap, tag as SINGLE"/>
    <s v="2 per car (identical)"/>
    <s v="single"/>
    <s v="1 of 2 (2 rows here for entering both as singles)"/>
    <n v="95"/>
    <s v="14-18 4.4TT N63T"/>
    <s v="BMW X5 (F15) (14-18)"/>
    <s v="14-18 4.4TT N63T"/>
    <m/>
    <s v="323"/>
    <s v="-"/>
    <n v="59473"/>
    <s v="323-59473"/>
    <m/>
    <m/>
    <m/>
    <m/>
    <m/>
    <m/>
    <s v=""/>
  </r>
  <r>
    <s v=""/>
    <s v="323-59473"/>
    <m/>
    <n v="0"/>
    <n v="4"/>
    <s v="ENF"/>
    <d v="2023-11-15T00:00:00"/>
    <m/>
    <m/>
    <s v="KEEP"/>
    <s v="Engine"/>
    <s v="Fuel Pump, High Pressure"/>
    <s v="always"/>
    <m/>
    <m/>
    <m/>
    <m/>
    <s v=". Fuel Pump, High Pressure Engine Mounted - LEFT or RIGHT (plug with 1 flat side)"/>
    <m/>
    <m/>
    <s v="13518604232, 8604232"/>
    <s v="Yes"/>
    <m/>
    <m/>
    <m/>
    <x v="42"/>
    <s v="Fuel Pump, High Pressure Engine Mounted - LEFT or RIGHT (plug with 1 flat side)"/>
    <s v="with roller cap, tag as SINGLE | 2 per car (identical)"/>
    <s v="with roller cap, tag as SINGLE"/>
    <s v="2 per car (identical)"/>
    <s v="single"/>
    <s v="2 of 2 (2 rows here for entering both as singles)"/>
    <n v="95"/>
    <s v="14-18 4.4TT N63T"/>
    <s v="BMW X5 (F15) (14-18)"/>
    <s v="14-18 4.4TT N63T"/>
    <m/>
    <s v="323"/>
    <s v="-"/>
    <n v="59473"/>
    <s v="323-59473"/>
    <m/>
    <m/>
    <m/>
    <m/>
    <m/>
    <m/>
    <s v=""/>
  </r>
  <r>
    <s v=""/>
    <s v=""/>
    <m/>
    <m/>
    <s v=""/>
    <s v="ENF"/>
    <d v="2023-11-15T00:00:00"/>
    <m/>
    <m/>
    <s v="KEEP"/>
    <s v="Engine"/>
    <s v="Fuel Rail"/>
    <s v="never"/>
    <m/>
    <m/>
    <m/>
    <m/>
    <s v=". Fuel Rail"/>
    <m/>
    <m/>
    <m/>
    <m/>
    <m/>
    <m/>
    <m/>
    <x v="43"/>
    <s v="Fuel Rail"/>
    <s v=""/>
    <m/>
    <m/>
    <s v="single"/>
    <m/>
    <n v="95"/>
    <s v="14-18 3.0T N55"/>
    <s v="BMW X5 (F15) (14-18)"/>
    <s v="14-18 3.0T N55 (RWD &amp; AWD)"/>
    <m/>
    <m/>
    <m/>
    <m/>
    <m/>
    <m/>
    <s v="F15"/>
    <s v="14-18 4.4TT N63T"/>
    <s v="ALL"/>
    <s v="F15-14-18 4.4TT N63T-ALL"/>
    <s v="Viking2"/>
    <s v="F15-14-18 4.4TT N63T-ALL-Viking2"/>
  </r>
  <r>
    <s v=""/>
    <s v=""/>
    <m/>
    <m/>
    <s v=""/>
    <s v="ENF"/>
    <d v="2023-11-15T00:00:00"/>
    <m/>
    <m/>
    <s v="KEEP"/>
    <s v="Engine"/>
    <s v="Fuel Rail"/>
    <s v="never"/>
    <m/>
    <m/>
    <m/>
    <m/>
    <s v=". Fuel Rail - LEFT"/>
    <m/>
    <m/>
    <s v="13210627574, 0261545072"/>
    <s v="Yes"/>
    <m/>
    <m/>
    <m/>
    <x v="44"/>
    <s v="Fuel Rail - LEFT"/>
    <s v="tag as SINGLE"/>
    <s v="tag as SINGLE"/>
    <m/>
    <s v="single"/>
    <m/>
    <n v="120"/>
    <s v="14-18 4.4TT N63T"/>
    <s v="BMW X5 (F15) (14-18)"/>
    <s v="14-18 4.4TT N63T"/>
    <m/>
    <m/>
    <m/>
    <m/>
    <m/>
    <m/>
    <s v="F15"/>
    <s v="14-18 4.4TT N63T"/>
    <s v="ALL"/>
    <s v="F15-14-18 4.4TT N63T-ALL"/>
    <s v="Viking3"/>
    <s v="F15-14-18 4.4TT N63T-ALL-Viking3"/>
  </r>
  <r>
    <s v=""/>
    <s v=""/>
    <m/>
    <m/>
    <s v=""/>
    <s v="ENF"/>
    <d v="2023-11-15T00:00:00"/>
    <m/>
    <m/>
    <s v="KEEP"/>
    <s v="Engine"/>
    <s v="Fuel Rail"/>
    <s v="never"/>
    <m/>
    <m/>
    <m/>
    <m/>
    <s v=". Fuel Rail - RIGHT"/>
    <m/>
    <m/>
    <s v="13111730134, 0261545072"/>
    <s v="Yes"/>
    <m/>
    <m/>
    <m/>
    <x v="45"/>
    <s v="Fuel Rail - RIGHT"/>
    <s v="tag as SINGLE"/>
    <s v="tag as SINGLE"/>
    <m/>
    <s v="single"/>
    <m/>
    <n v="120"/>
    <s v="14-18 4.4TT N63T"/>
    <s v="BMW X5 (F15) (14-18)"/>
    <s v="14-18 4.4TT N63T"/>
    <m/>
    <m/>
    <m/>
    <m/>
    <m/>
    <m/>
    <s v="F15"/>
    <s v="14-18 4.4TT N63T"/>
    <s v="ALL"/>
    <s v="F15-14-18 4.4TT N63T-ALL"/>
    <s v="Viking4"/>
    <s v="F15-14-18 4.4TT N63T-ALL-Viking4"/>
  </r>
  <r>
    <s v=""/>
    <s v="309-50677"/>
    <m/>
    <m/>
    <n v="1"/>
    <s v="ENF"/>
    <d v="2022-04-19T00:00:00"/>
    <m/>
    <m/>
    <s v="KEEP"/>
    <s v="Engine"/>
    <s v="Harmonic Balancer"/>
    <s v="always"/>
    <m/>
    <m/>
    <m/>
    <m/>
    <s v=". Harmonic Balancer"/>
    <m/>
    <m/>
    <m/>
    <m/>
    <m/>
    <m/>
    <m/>
    <x v="46"/>
    <s v="Harmonic Balancer"/>
    <s v="Harmonic Balancer | Harmonic Balancer"/>
    <s v="Harmonic Balancer"/>
    <s v="Harmonic Balancer"/>
    <s v="single"/>
    <m/>
    <n v="225"/>
    <s v="14-18 3.0T N55"/>
    <s v="BMW X5 (F15) (14-18)"/>
    <s v="14-18 3.0T N55 (RWD &amp; AWD)"/>
    <m/>
    <s v="309"/>
    <s v="-"/>
    <n v="50677"/>
    <s v="309-50677"/>
    <m/>
    <m/>
    <m/>
    <m/>
    <m/>
    <m/>
    <s v=""/>
  </r>
  <r>
    <s v=""/>
    <s v="309-50638"/>
    <m/>
    <m/>
    <n v="1"/>
    <s v="ENF"/>
    <d v="2023-11-15T00:00:00"/>
    <m/>
    <m/>
    <s v="Toss"/>
    <s v="Engine"/>
    <s v="Harmonic Balancer"/>
    <s v="always"/>
    <m/>
    <m/>
    <m/>
    <m/>
    <s v=". Harmonic Balancer"/>
    <m/>
    <m/>
    <m/>
    <m/>
    <m/>
    <m/>
    <m/>
    <x v="46"/>
    <s v="Harmonic Balancer"/>
    <s v="Harmonic Balancer | Harmonic Balancer"/>
    <s v="Harmonic Balancer"/>
    <s v="Harmonic Balancer"/>
    <s v="single"/>
    <m/>
    <m/>
    <s v="14-18 4.4TT N63T"/>
    <s v="BMW X5 (F15) (14-18)"/>
    <s v="14-18 4.4TT N63T"/>
    <m/>
    <s v="309"/>
    <s v="-"/>
    <n v="50638"/>
    <s v="309-50638"/>
    <m/>
    <m/>
    <m/>
    <m/>
    <m/>
    <m/>
    <s v=""/>
  </r>
  <r>
    <s v=""/>
    <s v="610-50203"/>
    <s v="610-50203-1"/>
    <m/>
    <n v="2"/>
    <s v="ENF"/>
    <d v="2022-04-19T00:00:00"/>
    <m/>
    <m/>
    <s v="KEEP"/>
    <s v="Engine"/>
    <s v="Ignition Coils"/>
    <s v="always"/>
    <m/>
    <m/>
    <m/>
    <m/>
    <s v=". Ignition Coils SET 6"/>
    <m/>
    <m/>
    <m/>
    <m/>
    <m/>
    <m/>
    <m/>
    <x v="47"/>
    <s v="Ignition Coils SET 6"/>
    <s v="SET 6, if some bad sell SET 4, toss singles"/>
    <s v="SET 6, if some bad sell SET 4, toss singles"/>
    <m/>
    <s v="SET/6"/>
    <s v="SET/4 (45, 49, 54)"/>
    <n v="75"/>
    <s v="14-18 3.0T N55"/>
    <s v="BMW X5 (F15) (14-18)"/>
    <s v="14-18 3.0T N55 (RWD &amp; AWD)"/>
    <m/>
    <s v="610"/>
    <s v="-"/>
    <n v="50203"/>
    <s v="610-50203"/>
    <m/>
    <m/>
    <m/>
    <m/>
    <m/>
    <m/>
    <s v=""/>
  </r>
  <r>
    <s v=""/>
    <s v="610-50203"/>
    <s v="610-50203-2"/>
    <m/>
    <n v="2"/>
    <s v="ENF"/>
    <d v="2022-04-19T00:00:00"/>
    <m/>
    <m/>
    <s v="KEEP"/>
    <s v="Engine"/>
    <s v="Ignition Coils"/>
    <s v="always"/>
    <m/>
    <m/>
    <m/>
    <m/>
    <s v=". Ignition Coils SET 4"/>
    <m/>
    <m/>
    <m/>
    <m/>
    <m/>
    <m/>
    <m/>
    <x v="47"/>
    <s v="Ignition Coils SET 4"/>
    <s v=""/>
    <m/>
    <m/>
    <s v="SET/4"/>
    <m/>
    <n v="49"/>
    <s v="14-18 3.0T N55"/>
    <s v="BMW X5 (F15) (14-18)"/>
    <s v="14-18 3.0T N55 (RWD &amp; AWD)"/>
    <m/>
    <s v="610"/>
    <s v="-"/>
    <n v="50203"/>
    <s v="610-50203"/>
    <m/>
    <m/>
    <m/>
    <m/>
    <m/>
    <m/>
    <s v=""/>
  </r>
  <r>
    <s v=""/>
    <s v="610-50126"/>
    <m/>
    <m/>
    <n v="1"/>
    <s v="ENF"/>
    <d v="2023-11-15T00:00:00"/>
    <m/>
    <m/>
    <s v="KEEP"/>
    <s v="Engine"/>
    <s v="Ignition Coils"/>
    <s v="always"/>
    <m/>
    <m/>
    <m/>
    <m/>
    <s v=". Ignition Coils SET 8 (Bosch)"/>
    <m/>
    <m/>
    <m/>
    <s v="No"/>
    <m/>
    <m/>
    <m/>
    <x v="48"/>
    <s v="Ignition Coils SET 8 (Bosch)"/>
    <s v="SET 8, if 1 bad toss all"/>
    <s v="SET 8, if 1 bad toss all"/>
    <m/>
    <s v="SET/8"/>
    <m/>
    <n v="75"/>
    <s v="14-18 4.4TT N63T"/>
    <s v="BMW X5 (F15) (14-18)"/>
    <s v="14-18 4.4TT N63T"/>
    <m/>
    <s v="610"/>
    <s v="-"/>
    <n v="50126"/>
    <s v="610-50126"/>
    <s v="14-16 Bosch"/>
    <m/>
    <m/>
    <m/>
    <m/>
    <m/>
    <s v=""/>
  </r>
  <r>
    <s v=""/>
    <s v="610-58805"/>
    <m/>
    <m/>
    <n v="3"/>
    <s v="ENF"/>
    <d v="2023-11-15T00:00:00"/>
    <m/>
    <m/>
    <s v="KEEP"/>
    <s v="Engine"/>
    <s v="Ignition Coils"/>
    <s v="always"/>
    <m/>
    <m/>
    <m/>
    <m/>
    <s v=". Ignition Coils SET 8 (Delphi)"/>
    <m/>
    <m/>
    <s v="12138611236, 8611236"/>
    <s v="Yes"/>
    <m/>
    <m/>
    <m/>
    <x v="49"/>
    <s v="Ignition Coils SET 8 (Delphi)"/>
    <s v="SET 8, if some bad sell SET 4 &amp; singles"/>
    <s v="SET 8, if some bad sell SET 4 &amp; singles"/>
    <m/>
    <s v="SET/8"/>
    <m/>
    <n v="200"/>
    <s v="14-18 4.4TT N63T"/>
    <s v="BMW X5 (F15) (14-18)"/>
    <s v="14-18 4.4TT N63T"/>
    <m/>
    <s v="610"/>
    <s v="-"/>
    <n v="58805"/>
    <s v="610-58805"/>
    <s v="16-18 Delphi"/>
    <m/>
    <m/>
    <m/>
    <m/>
    <m/>
    <s v=""/>
  </r>
  <r>
    <s v=""/>
    <s v="610-58805"/>
    <m/>
    <m/>
    <n v="3"/>
    <s v="ENF"/>
    <d v="2023-11-15T00:00:00"/>
    <m/>
    <m/>
    <s v="KEEP"/>
    <s v="Engine"/>
    <s v="Ignition Coils"/>
    <s v="always"/>
    <m/>
    <m/>
    <m/>
    <m/>
    <s v=". Ignition Coils SET 4 (Delphi)"/>
    <m/>
    <m/>
    <s v="12138611236, 8611236"/>
    <s v="Yes"/>
    <m/>
    <m/>
    <m/>
    <x v="49"/>
    <s v="Ignition Coils SET 4 (Delphi)"/>
    <s v=""/>
    <m/>
    <m/>
    <s v="SET/4"/>
    <m/>
    <n v="120"/>
    <s v="14-18 4.4TT N63T"/>
    <s v="BMW X5 (F15) (14-18)"/>
    <s v="14-18 4.4TT N63T"/>
    <m/>
    <s v="610"/>
    <s v="-"/>
    <n v="58805"/>
    <s v="610-58805"/>
    <s v="16-18 Delphi"/>
    <m/>
    <m/>
    <m/>
    <m/>
    <m/>
    <s v=""/>
  </r>
  <r>
    <s v=""/>
    <s v="610-58805"/>
    <m/>
    <m/>
    <n v="3"/>
    <s v="ENF"/>
    <d v="2023-11-15T00:00:00"/>
    <m/>
    <m/>
    <s v="KEEP"/>
    <s v="Engine"/>
    <s v="Ignition Coils"/>
    <s v="always"/>
    <m/>
    <m/>
    <m/>
    <m/>
    <s v=". Ignition Coil SINGLE (Delphi)"/>
    <m/>
    <m/>
    <s v="12138611236, 8611236"/>
    <s v="Yes"/>
    <m/>
    <m/>
    <m/>
    <x v="49"/>
    <s v="Ignition Coil SINGLE (Delphi)"/>
    <s v=""/>
    <m/>
    <m/>
    <s v="single"/>
    <m/>
    <n v="55"/>
    <s v="14-18 4.4TT N63T"/>
    <s v="BMW X5 (F15) (14-18)"/>
    <s v="14-18 4.4TT N63T"/>
    <m/>
    <s v="610"/>
    <s v="-"/>
    <n v="58805"/>
    <s v="610-58805"/>
    <s v="16-18 Delphi"/>
    <m/>
    <m/>
    <m/>
    <m/>
    <m/>
    <s v=""/>
  </r>
  <r>
    <s v=""/>
    <s v="329-50523"/>
    <m/>
    <m/>
    <n v="1"/>
    <s v="AJR"/>
    <d v="2023-06-22T00:00:00"/>
    <m/>
    <m/>
    <s v="KEEP"/>
    <s v="Engine"/>
    <s v="Intake Manifold "/>
    <s v="always"/>
    <m/>
    <m/>
    <m/>
    <m/>
    <s v=". Intake Manifold "/>
    <m/>
    <m/>
    <m/>
    <m/>
    <m/>
    <m/>
    <m/>
    <x v="50"/>
    <s v="Intake Manifold "/>
    <s v=""/>
    <m/>
    <m/>
    <s v="single"/>
    <m/>
    <n v="90"/>
    <s v="14-18 3.0T N55"/>
    <s v="BMW X5 (F15) (14-18)"/>
    <s v="14-18 3.0T N55 (RWD &amp; AWD)"/>
    <m/>
    <s v="329"/>
    <s v="-"/>
    <n v="50523"/>
    <s v="329-50523"/>
    <m/>
    <m/>
    <m/>
    <m/>
    <m/>
    <m/>
    <s v=""/>
  </r>
  <r>
    <s v=""/>
    <s v="329-59979"/>
    <m/>
    <m/>
    <n v="1"/>
    <s v="ENF"/>
    <d v="2023-11-14T00:00:00"/>
    <m/>
    <m/>
    <s v="KEEP"/>
    <s v="Engine"/>
    <s v="Intake Manifold "/>
    <s v="always"/>
    <m/>
    <m/>
    <m/>
    <m/>
    <s v=". Intake Manifold, LEFT"/>
    <m/>
    <m/>
    <s v="11617601434, 7601434"/>
    <s v="Yes"/>
    <m/>
    <m/>
    <m/>
    <x v="51"/>
    <s v="Intake Manifold, LEFT"/>
    <s v=""/>
    <m/>
    <m/>
    <s v="single"/>
    <m/>
    <n v="100"/>
    <s v="14-18 4.4TT N63T"/>
    <s v="BMW X5 (F15) (14-18)"/>
    <s v="14-18 4.4TT N63T"/>
    <m/>
    <s v="329"/>
    <s v="-"/>
    <n v="59979"/>
    <s v="329-59979"/>
    <m/>
    <m/>
    <m/>
    <m/>
    <m/>
    <m/>
    <s v=""/>
  </r>
  <r>
    <s v=""/>
    <s v="329-59978"/>
    <m/>
    <m/>
    <n v="1"/>
    <s v="ENF"/>
    <d v="2023-11-14T00:00:00"/>
    <m/>
    <m/>
    <s v="KEEP"/>
    <s v="Engine"/>
    <s v="Intake Manifold "/>
    <s v="always"/>
    <m/>
    <m/>
    <m/>
    <m/>
    <s v=". Intake Manifold, RIGHT"/>
    <m/>
    <m/>
    <s v="11617601432, 7601432"/>
    <s v="Yes"/>
    <m/>
    <m/>
    <m/>
    <x v="52"/>
    <s v="Intake Manifold, RIGHT"/>
    <s v=""/>
    <m/>
    <m/>
    <s v="single"/>
    <m/>
    <n v="100"/>
    <s v="14-18 4.4TT N63T"/>
    <s v="BMW X5 (F15) (14-18)"/>
    <s v="14-18 4.4TT N63T"/>
    <m/>
    <s v="329"/>
    <s v="-"/>
    <n v="59978"/>
    <s v="329-59978"/>
    <m/>
    <m/>
    <m/>
    <m/>
    <m/>
    <m/>
    <s v=""/>
  </r>
  <r>
    <s v=""/>
    <s v="311-59542"/>
    <m/>
    <m/>
    <n v="1"/>
    <s v="ENF"/>
    <d v="2022-04-19T00:00:00"/>
    <s v="INSPECT ALWAYS"/>
    <m/>
    <s v="KEEP"/>
    <s v="Engine"/>
    <s v="Oil Pan, Engine"/>
    <s v="always"/>
    <m/>
    <m/>
    <m/>
    <m/>
    <s v=". Oil Pan, Engine"/>
    <m/>
    <m/>
    <m/>
    <m/>
    <m/>
    <m/>
    <m/>
    <x v="53"/>
    <s v="Oil Pan, Engine"/>
    <s v="w/ drain bolt | check drain bolt &amp; hole for threading"/>
    <s v="w/ drain bolt"/>
    <s v="check drain bolt &amp; hole for threading"/>
    <s v="single"/>
    <m/>
    <n v="750"/>
    <s v="14-18 3.0T N55"/>
    <s v="BMW X5 (F15) (14-18)"/>
    <s v="14-18 3.0T N55 (RWD &amp; AWD)"/>
    <s v="INSPECT ALWAYS"/>
    <s v="311"/>
    <s v="-"/>
    <n v="59542"/>
    <s v="311-59542"/>
    <m/>
    <m/>
    <m/>
    <m/>
    <m/>
    <m/>
    <s v=""/>
  </r>
  <r>
    <s v=""/>
    <s v="311-50312"/>
    <m/>
    <m/>
    <n v="1"/>
    <s v="ENF"/>
    <d v="2023-11-15T00:00:00"/>
    <s v="INSPECT ALWAYS"/>
    <m/>
    <s v="KEEP"/>
    <s v="Engine"/>
    <s v="Oil Pan, Engine"/>
    <s v="always"/>
    <m/>
    <m/>
    <m/>
    <m/>
    <s v=". Oil Pan, Engine UPPER"/>
    <m/>
    <m/>
    <s v="11137621072, 7621072, 11137566800, 7566800"/>
    <s v="Yes"/>
    <m/>
    <m/>
    <m/>
    <x v="54"/>
    <s v="Oil Pan, Engine UPPER"/>
    <s v="sell lower separately, tag as single"/>
    <s v="sell lower separately, tag as single"/>
    <m/>
    <s v="single"/>
    <m/>
    <n v="500"/>
    <s v="14-18 4.4TT N63T"/>
    <s v="BMW X5 (F15) (14-18)"/>
    <s v="14-18 4.4TT N63T"/>
    <s v="INSPECT ALWAYS"/>
    <s v="311"/>
    <s v="-"/>
    <n v="50312"/>
    <s v="311-50312"/>
    <m/>
    <m/>
    <m/>
    <m/>
    <m/>
    <m/>
    <s v=""/>
  </r>
  <r>
    <s v=""/>
    <s v="311-50313"/>
    <m/>
    <m/>
    <n v="1"/>
    <s v="ENF"/>
    <d v="2023-11-15T00:00:00"/>
    <s v="INSPECT ALWAYS"/>
    <m/>
    <s v="KEEP"/>
    <s v="Engine"/>
    <s v="Oil Pan, Engine"/>
    <s v="always"/>
    <m/>
    <m/>
    <m/>
    <m/>
    <s v=". Oil Pan, Engine LOWER"/>
    <m/>
    <m/>
    <s v="11137566803, 7566803"/>
    <s v="Yes"/>
    <m/>
    <m/>
    <m/>
    <x v="55"/>
    <s v="Oil Pan, Engine LOWER"/>
    <s v="w/ bolt, upper solo, tag single | check bolt+hole for threading"/>
    <s v="w/ bolt, upper solo, tag single"/>
    <s v="check bolt+hole for threading"/>
    <s v="single"/>
    <m/>
    <n v="200"/>
    <s v="14-18 4.4TT N63T"/>
    <s v="BMW X5 (F15) (14-18)"/>
    <s v="14-18 4.4TT N63T"/>
    <s v="INSPECT ALWAYS"/>
    <s v="311"/>
    <s v="-"/>
    <n v="50313"/>
    <s v="311-50313"/>
    <m/>
    <m/>
    <m/>
    <m/>
    <m/>
    <m/>
    <s v=""/>
  </r>
  <r>
    <s v=""/>
    <s v="321-53372"/>
    <m/>
    <n v="0"/>
    <n v="2"/>
    <s v="ENF"/>
    <d v="2023-11-15T00:00:00"/>
    <s v="INSPECT ALWAYS"/>
    <m/>
    <s v="KEEP"/>
    <s v="Engine"/>
    <s v="Turbo"/>
    <s v="always"/>
    <m/>
    <m/>
    <m/>
    <m/>
    <s v=". Turbocharger"/>
    <m/>
    <m/>
    <s v="11657646093, 7646093, 11657605047, 7605047, 11652470354, 2470354"/>
    <s v="Yes"/>
    <m/>
    <m/>
    <m/>
    <x v="56"/>
    <s v="Turbocharger"/>
    <s v="tag as SINGLE | 2 per car (identical)"/>
    <s v="tag as SINGLE"/>
    <s v="2 per car (identical)"/>
    <s v="single"/>
    <s v="1 of 2 (2 rows here for entering both as singles)"/>
    <n v="265"/>
    <s v="14-18 4.4TT N63T"/>
    <s v="BMW X5 (F15) (14-18)"/>
    <s v="14-18 4.4TT N63T"/>
    <s v="INSPECT ALWAYS"/>
    <n v="321"/>
    <s v="-"/>
    <n v="53372"/>
    <s v="321-53372"/>
    <m/>
    <m/>
    <m/>
    <m/>
    <m/>
    <m/>
    <s v=""/>
  </r>
  <r>
    <s v=""/>
    <s v="321-53372"/>
    <m/>
    <n v="0"/>
    <n v="2"/>
    <s v="ENF"/>
    <d v="2023-11-15T00:00:00"/>
    <s v="INSPECT ALWAYS"/>
    <m/>
    <s v="KEEP"/>
    <s v="Engine"/>
    <s v="Turbo"/>
    <s v="always"/>
    <m/>
    <m/>
    <m/>
    <m/>
    <s v=". Turbocharger"/>
    <m/>
    <m/>
    <s v="11657646093, 7646093, 11657605047, 7605047, 11652470354, 2470354"/>
    <s v="Yes"/>
    <m/>
    <m/>
    <m/>
    <x v="56"/>
    <s v="Turbocharger"/>
    <s v="tag as SINGLE | 2 per car (identical)"/>
    <s v="tag as SINGLE"/>
    <s v="2 per car (identical)"/>
    <s v="single"/>
    <s v="2 of 2 (2 rows here for entering both as singles)"/>
    <n v="265"/>
    <s v="14-18 4.4TT N63T"/>
    <s v="BMW X5 (F15) (14-18)"/>
    <s v="14-18 4.4TT N63T"/>
    <s v="INSPECT ALWAYS"/>
    <n v="321"/>
    <s v="-"/>
    <n v="53372"/>
    <s v="321-53372"/>
    <m/>
    <m/>
    <m/>
    <m/>
    <m/>
    <m/>
    <s v=""/>
  </r>
  <r>
    <s v=""/>
    <s v=""/>
    <m/>
    <m/>
    <s v=""/>
    <s v="AJR"/>
    <d v="2023-06-22T00:00:00"/>
    <m/>
    <m/>
    <s v="KEEP"/>
    <s v="Engine"/>
    <s v="Oil Pressure Solenoid "/>
    <s v="never"/>
    <m/>
    <m/>
    <m/>
    <m/>
    <s v=". Oil Pressure Solenoid "/>
    <m/>
    <m/>
    <m/>
    <m/>
    <m/>
    <m/>
    <m/>
    <x v="57"/>
    <s v="Oil Pressure Solenoid "/>
    <s v=""/>
    <m/>
    <m/>
    <s v="single"/>
    <m/>
    <n v="55"/>
    <s v="14-18 ALL"/>
    <s v="BMW X5 (F15) (14-18)"/>
    <s v="F15 ALL"/>
    <m/>
    <m/>
    <m/>
    <m/>
    <m/>
    <m/>
    <m/>
    <m/>
    <m/>
    <m/>
    <m/>
    <s v=""/>
  </r>
  <r>
    <s v=""/>
    <s v=""/>
    <m/>
    <m/>
    <s v=""/>
    <s v="ENF"/>
    <d v="2023-11-15T00:00:00"/>
    <m/>
    <m/>
    <s v="KEEP"/>
    <s v="Engine"/>
    <s v="Oil Pump "/>
    <s v="never"/>
    <m/>
    <m/>
    <m/>
    <m/>
    <s v=". Oil Pump "/>
    <m/>
    <m/>
    <n v="7613549"/>
    <s v="Yes"/>
    <m/>
    <m/>
    <m/>
    <x v="58"/>
    <s v="Oil Pump "/>
    <s v="toss pickup tube"/>
    <s v="toss pickup tube"/>
    <m/>
    <s v="single"/>
    <m/>
    <n v="100"/>
    <s v="14-18 3.0T N55"/>
    <s v="BMW X5 (F15) (14-18)"/>
    <s v="14-18 3.0T N55 (RWD &amp; AWD)"/>
    <m/>
    <m/>
    <m/>
    <m/>
    <m/>
    <m/>
    <m/>
    <m/>
    <m/>
    <m/>
    <m/>
    <s v=""/>
  </r>
  <r>
    <s v=""/>
    <s v=""/>
    <m/>
    <m/>
    <s v=""/>
    <s v="ENF"/>
    <d v="2023-11-15T00:00:00"/>
    <m/>
    <m/>
    <s v="KEEP"/>
    <s v="Engine"/>
    <s v="Oil Pump "/>
    <s v="never"/>
    <m/>
    <m/>
    <m/>
    <m/>
    <s v=". Oil Pump with Pickup Tube"/>
    <m/>
    <m/>
    <n v="7643256"/>
    <s v="Yes"/>
    <m/>
    <m/>
    <m/>
    <x v="59"/>
    <s v="Oil Pump with Pickup Tube"/>
    <s v="with pickup tube ON, sell same price if missing"/>
    <s v="with pickup tube ON, sell same price if missing"/>
    <m/>
    <s v="single"/>
    <m/>
    <n v="95"/>
    <s v="14-18 4.4TT N63T"/>
    <s v="BMW X5 (F15) (14-18)"/>
    <s v="14-18 4.4TT N63T"/>
    <m/>
    <m/>
    <m/>
    <m/>
    <m/>
    <m/>
    <m/>
    <m/>
    <m/>
    <m/>
    <m/>
    <s v=""/>
  </r>
  <r>
    <s v="A44"/>
    <s v=""/>
    <m/>
    <m/>
    <s v=""/>
    <s v="AJR"/>
    <d v="2022-05-10T00:00:00"/>
    <m/>
    <m/>
    <s v="KEEP"/>
    <s v="Engine"/>
    <s v="Sensor"/>
    <s v="never"/>
    <n v="34"/>
    <s v="A44"/>
    <s v="Box 2"/>
    <n v="1"/>
    <s v="A44. Oxygen Sensor SET 2"/>
    <s v="PIC"/>
    <n v="5"/>
    <s v="7596908, 7645875"/>
    <s v="Yes"/>
    <m/>
    <m/>
    <m/>
    <x v="60"/>
    <s v="Oxygen Sensor SET 2"/>
    <s v="SET 2, toss both if 1 bad | remove w/ correct wrench"/>
    <s v="SET 2, toss both if 1 bad"/>
    <s v="remove w/ correct wrench"/>
    <s v="SET/2"/>
    <m/>
    <n v="75"/>
    <s v="14-18 3.0T N55"/>
    <s v="BMW X5 (F15) (14-18)"/>
    <s v="14-18 3.0T N55 (RWD &amp; AWD)"/>
    <m/>
    <m/>
    <m/>
    <m/>
    <m/>
    <m/>
    <s v="F15"/>
    <s v="14-18 3.0L N55"/>
    <s v="ALL"/>
    <s v="F15-14-18 3.0L N55-ALL"/>
    <s v="Viking5"/>
    <s v="F15-14-18 3.0L N55-ALL-Viking5"/>
  </r>
  <r>
    <s v=""/>
    <s v=""/>
    <m/>
    <m/>
    <s v=""/>
    <s v="ENF"/>
    <d v="2023-11-15T00:00:00"/>
    <m/>
    <m/>
    <s v="KEEP"/>
    <s v="Engine"/>
    <s v="Sensor"/>
    <s v="never"/>
    <m/>
    <m/>
    <m/>
    <m/>
    <s v=". Oxygen Sensor SET 4"/>
    <m/>
    <m/>
    <s v="7576673, 7614322"/>
    <s v="Yes"/>
    <m/>
    <m/>
    <m/>
    <x v="60"/>
    <s v="Oxygen Sensor SET 4"/>
    <s v="SET 2, toss all if 1 bad | remove w/ correct wrench"/>
    <s v="SET 2, toss all if 1 bad"/>
    <s v="remove w/ correct wrench"/>
    <s v="SET/4"/>
    <m/>
    <n v="120"/>
    <s v="14-18 4.4TT N63T"/>
    <s v="BMW X5 (F15) (14-18)"/>
    <s v="14-18 4.4TT N63T"/>
    <m/>
    <m/>
    <m/>
    <m/>
    <m/>
    <m/>
    <s v="F15"/>
    <s v="14-18 4.4TT N63T"/>
    <s v="ALL"/>
    <s v="F15-14-18 4.4TT N63T-ALL"/>
    <s v="Viking6"/>
    <s v="F15-14-18 4.4TT N63T-ALL-Viking6"/>
  </r>
  <r>
    <s v=""/>
    <s v=""/>
    <m/>
    <n v="0"/>
    <s v=""/>
    <s v="ENF"/>
    <d v="2023-11-15T00:00:00"/>
    <m/>
    <m/>
    <s v="KEEP"/>
    <s v="Engine"/>
    <s v="VVT Timing Actuator"/>
    <s v="never"/>
    <m/>
    <m/>
    <m/>
    <m/>
    <s v=". VVT Timing Actuator Motor"/>
    <m/>
    <m/>
    <n v="7605025"/>
    <s v="Yes"/>
    <m/>
    <m/>
    <m/>
    <x v="61"/>
    <s v="VVT Timing Actuator Motor"/>
    <s v="tag as SINGLE | 2 per car (identical)"/>
    <s v="tag as SINGLE"/>
    <s v="2 per car (identical)"/>
    <s v="single"/>
    <s v="1 of 2 (2 rows here for entering both as singles)"/>
    <n v="55"/>
    <s v="14-18 4.4TT N63T"/>
    <s v="BMW X5 (F15) (14-18)"/>
    <s v="14-18 4.4TT N63T"/>
    <m/>
    <m/>
    <m/>
    <m/>
    <m/>
    <m/>
    <s v="F15"/>
    <s v="14-18 4.4TT N63T"/>
    <s v="ALL"/>
    <s v="F15-14-18 4.4TT N63T-ALL"/>
    <s v="Viking7"/>
    <s v="F15-14-18 4.4TT N63T-ALL-Viking7"/>
  </r>
  <r>
    <s v=""/>
    <s v=""/>
    <m/>
    <n v="0"/>
    <s v=""/>
    <s v="ENF"/>
    <d v="2023-11-15T00:00:00"/>
    <m/>
    <m/>
    <s v="KEEP"/>
    <s v="Engine"/>
    <s v="VVT Timing Actuator"/>
    <s v="never"/>
    <m/>
    <m/>
    <m/>
    <m/>
    <s v=". VVT Timing Actuator Motor"/>
    <m/>
    <m/>
    <n v="7605025"/>
    <s v="Yes"/>
    <m/>
    <m/>
    <m/>
    <x v="61"/>
    <s v="VVT Timing Actuator Motor"/>
    <s v="tag as SINGLE | 2 per car (identical)"/>
    <s v="tag as SINGLE"/>
    <s v="2 per car (identical)"/>
    <s v="single"/>
    <s v="2 of 2 (2 rows here for entering both as singles)"/>
    <n v="55"/>
    <s v="14-18 4.4TT N63T"/>
    <s v="BMW X5 (F15) (14-18)"/>
    <s v="14-18 4.4TT N63T"/>
    <m/>
    <m/>
    <m/>
    <m/>
    <m/>
    <m/>
    <s v="F15"/>
    <s v="14-18 4.4TT N63T"/>
    <s v="ALL"/>
    <s v="F15-14-18 4.4TT N63T-ALL"/>
    <s v="Viking8"/>
    <s v="F15-14-18 4.4TT N63T-ALL-Viking8"/>
  </r>
  <r>
    <s v=""/>
    <s v="304-999565"/>
    <s v="304-999565-1"/>
    <m/>
    <n v="3"/>
    <s v="ENF"/>
    <d v="2022-04-19T00:00:00"/>
    <s v="INSPECT ALWAYS"/>
    <m/>
    <s v="KEEP"/>
    <s v="Engine"/>
    <s v="Pistons"/>
    <s v="always"/>
    <m/>
    <m/>
    <m/>
    <m/>
    <s v=". Pistons &amp; Rods SET 6"/>
    <m/>
    <m/>
    <m/>
    <m/>
    <m/>
    <m/>
    <m/>
    <x v="62"/>
    <s v="Pistons &amp; Rods SET 6"/>
    <s v="SET 6, sell singles if 1 bad, sell rods SET6 if pistons bad"/>
    <s v="SET 6, sell singles if 1 bad, sell rods SET6 if pistons bad"/>
    <m/>
    <s v="SET/6"/>
    <m/>
    <n v="850"/>
    <s v="14-18 3.0T N55"/>
    <s v="BMW X5 (F15) (14-18)"/>
    <s v="14-18 3.0T N55 (RWD &amp; AWD)"/>
    <s v="INSPECT ALWAYS"/>
    <s v="304"/>
    <s v="-"/>
    <n v="999565"/>
    <s v="304-999565"/>
    <m/>
    <m/>
    <m/>
    <m/>
    <m/>
    <m/>
    <s v=""/>
  </r>
  <r>
    <s v=""/>
    <s v="304-999565"/>
    <s v="304-999565-2"/>
    <m/>
    <n v="3"/>
    <s v="ENF"/>
    <d v="2022-04-19T00:00:00"/>
    <s v="INSPECT ALWAYS"/>
    <m/>
    <s v="KEEP"/>
    <s v="Engine"/>
    <s v="Pistons"/>
    <s v="always"/>
    <m/>
    <m/>
    <m/>
    <m/>
    <s v=". Pistons Single"/>
    <m/>
    <m/>
    <m/>
    <m/>
    <m/>
    <m/>
    <m/>
    <x v="62"/>
    <s v="Pistons Single"/>
    <s v=""/>
    <m/>
    <m/>
    <s v="single"/>
    <m/>
    <n v="150"/>
    <s v="14-18 3.0T N55"/>
    <s v="BMW X5 (F15) (14-18)"/>
    <s v="14-18 3.0T N55 (RWD &amp; AWD)"/>
    <s v="INSPECT ALWAYS"/>
    <s v="304"/>
    <s v="-"/>
    <n v="999565"/>
    <s v="304-999565"/>
    <m/>
    <m/>
    <m/>
    <m/>
    <m/>
    <m/>
    <s v=""/>
  </r>
  <r>
    <s v=""/>
    <s v="304-999565"/>
    <s v="304-999565-3"/>
    <m/>
    <n v="3"/>
    <s v="ENF"/>
    <d v="2022-04-19T00:00:00"/>
    <s v="INSPECT ALWAYS"/>
    <m/>
    <s v="KEEP"/>
    <s v="Engine"/>
    <s v="Pistons"/>
    <s v="always"/>
    <m/>
    <m/>
    <m/>
    <m/>
    <s v=". Piston Rod SET 6"/>
    <m/>
    <m/>
    <m/>
    <m/>
    <m/>
    <m/>
    <m/>
    <x v="62"/>
    <s v="Piston Rod SET 6"/>
    <s v=""/>
    <m/>
    <m/>
    <s v="SET/6"/>
    <m/>
    <n v="200"/>
    <s v="14-18 3.0T N55"/>
    <s v="BMW X5 (F15) (14-18)"/>
    <s v="14-18 3.0T N55 (RWD &amp; AWD)"/>
    <s v="INSPECT ALWAYS"/>
    <s v="304"/>
    <s v="-"/>
    <n v="999565"/>
    <s v="304-999565"/>
    <m/>
    <m/>
    <m/>
    <m/>
    <m/>
    <m/>
    <s v=""/>
  </r>
  <r>
    <s v=""/>
    <s v="304-999555"/>
    <s v="304-999555-1"/>
    <m/>
    <n v="6"/>
    <s v="ENF"/>
    <d v="2022-04-19T00:00:00"/>
    <s v="INSPECT ALWAYS"/>
    <m/>
    <s v="KEEP"/>
    <s v="Engine"/>
    <s v="Pistons"/>
    <s v="always"/>
    <m/>
    <m/>
    <m/>
    <m/>
    <s v=". Pistons &amp; Rods SET 8"/>
    <m/>
    <m/>
    <m/>
    <m/>
    <m/>
    <m/>
    <m/>
    <x v="62"/>
    <s v="Pistons &amp; Rods SET 8"/>
    <s v="SET 8, sell singles if 1 bad, sell rods SET 8 if pistons bad"/>
    <s v="SET 8, sell singles if 1 bad, sell rods SET 8 if pistons bad"/>
    <m/>
    <s v="SET/8"/>
    <m/>
    <n v="1200"/>
    <s v="14-18 4.4TT N63T"/>
    <s v="BMW X5 (F15) (14-18)"/>
    <s v="14-18 4.4TT N63T"/>
    <s v="INSPECT ALWAYS"/>
    <s v="304"/>
    <s v="-"/>
    <n v="999555"/>
    <s v="304-999555"/>
    <m/>
    <m/>
    <m/>
    <m/>
    <m/>
    <m/>
    <s v=""/>
  </r>
  <r>
    <s v=""/>
    <s v="304-999555"/>
    <s v="304-999555-2"/>
    <m/>
    <n v="6"/>
    <s v="ENF"/>
    <d v="2022-04-19T00:00:00"/>
    <s v="INSPECT ALWAYS"/>
    <m/>
    <s v="KEEP"/>
    <s v="Engine"/>
    <s v="Pistons"/>
    <s v="always"/>
    <m/>
    <m/>
    <m/>
    <m/>
    <s v=". Pistons &amp; Rods SET 4"/>
    <m/>
    <m/>
    <m/>
    <m/>
    <m/>
    <m/>
    <m/>
    <x v="62"/>
    <s v="Pistons &amp; Rods SET 4"/>
    <s v=""/>
    <m/>
    <m/>
    <s v="SET/4"/>
    <m/>
    <n v="600"/>
    <s v="14-18 4.4TT N63T"/>
    <s v="BMW X5 (F15) (14-18)"/>
    <s v="14-18 4.4TT N63T"/>
    <s v="INSPECT ALWAYS"/>
    <s v="304"/>
    <s v="-"/>
    <n v="999555"/>
    <s v="304-999555"/>
    <m/>
    <m/>
    <m/>
    <m/>
    <m/>
    <m/>
    <s v=""/>
  </r>
  <r>
    <s v=""/>
    <s v="304-999555"/>
    <s v="304-999555-3"/>
    <m/>
    <n v="6"/>
    <s v="ENF"/>
    <d v="2022-04-19T00:00:00"/>
    <s v="INSPECT ALWAYS"/>
    <m/>
    <s v="KEEP"/>
    <s v="Engine"/>
    <s v="Pistons"/>
    <s v="always"/>
    <m/>
    <m/>
    <m/>
    <m/>
    <s v=". Pistons Single"/>
    <m/>
    <m/>
    <m/>
    <m/>
    <m/>
    <m/>
    <m/>
    <x v="62"/>
    <s v="Pistons Single"/>
    <s v=""/>
    <m/>
    <m/>
    <s v="single"/>
    <m/>
    <n v="150"/>
    <s v="14-18 4.4TT N63T"/>
    <s v="BMW X5 (F15) (14-18)"/>
    <s v="14-18 4.4TT N63T"/>
    <s v="INSPECT ALWAYS"/>
    <s v="304"/>
    <s v="-"/>
    <n v="999555"/>
    <s v="304-999555"/>
    <m/>
    <m/>
    <m/>
    <m/>
    <m/>
    <m/>
    <s v=""/>
  </r>
  <r>
    <s v=""/>
    <s v="304-999555"/>
    <s v="304-999555-4"/>
    <m/>
    <n v="6"/>
    <s v="ENF"/>
    <d v="2022-04-19T00:00:00"/>
    <s v="INSPECT ALWAYS"/>
    <m/>
    <s v="KEEP"/>
    <s v="Engine"/>
    <s v="Pistons"/>
    <s v="always"/>
    <m/>
    <m/>
    <m/>
    <m/>
    <s v=". Pistons Rods SET 8"/>
    <m/>
    <m/>
    <m/>
    <m/>
    <m/>
    <m/>
    <m/>
    <x v="62"/>
    <s v="Pistons Rods SET 8"/>
    <s v=""/>
    <m/>
    <m/>
    <s v="SET/8"/>
    <m/>
    <n v="400"/>
    <s v="14-18 4.4TT N63T"/>
    <s v="BMW X5 (F15) (14-18)"/>
    <s v="14-18 4.4TT N63T"/>
    <s v="INSPECT ALWAYS"/>
    <s v="304"/>
    <s v="-"/>
    <n v="999555"/>
    <s v="304-999555"/>
    <m/>
    <m/>
    <m/>
    <m/>
    <m/>
    <m/>
    <s v=""/>
  </r>
  <r>
    <s v=""/>
    <s v="304-999555"/>
    <s v="304-999555-5"/>
    <m/>
    <n v="6"/>
    <s v="ENF"/>
    <d v="2022-04-19T00:00:00"/>
    <s v="INSPECT ALWAYS"/>
    <m/>
    <s v="KEEP"/>
    <s v="Engine"/>
    <s v="Pistons"/>
    <s v="always"/>
    <m/>
    <m/>
    <m/>
    <m/>
    <s v=". Pistons Rods SET 4"/>
    <m/>
    <m/>
    <m/>
    <m/>
    <m/>
    <m/>
    <m/>
    <x v="62"/>
    <s v="Pistons Rods SET 4"/>
    <s v=""/>
    <m/>
    <m/>
    <s v="SET/4"/>
    <m/>
    <n v="250"/>
    <s v="14-18 4.4TT N63T"/>
    <s v="BMW X5 (F15) (14-18)"/>
    <s v="14-18 4.4TT N63T"/>
    <s v="INSPECT ALWAYS"/>
    <s v="304"/>
    <s v="-"/>
    <n v="999555"/>
    <s v="304-999555"/>
    <m/>
    <m/>
    <m/>
    <m/>
    <m/>
    <m/>
    <s v=""/>
  </r>
  <r>
    <s v=""/>
    <s v="304-999555"/>
    <s v="304-999555-6"/>
    <m/>
    <n v="6"/>
    <s v="ENF"/>
    <d v="2022-04-19T00:00:00"/>
    <s v="INSPECT ALWAYS"/>
    <m/>
    <s v="KEEP"/>
    <s v="Engine"/>
    <s v="Pistons"/>
    <s v="always"/>
    <m/>
    <m/>
    <m/>
    <m/>
    <s v=". Piston Rods Single"/>
    <m/>
    <m/>
    <m/>
    <m/>
    <m/>
    <m/>
    <m/>
    <x v="62"/>
    <s v="Piston Rods Single"/>
    <s v=""/>
    <m/>
    <m/>
    <s v="single"/>
    <m/>
    <n v="95"/>
    <s v="14-18 4.4TT N63T"/>
    <s v="BMW X5 (F15) (14-18)"/>
    <s v="14-18 4.4TT N63T"/>
    <s v="INSPECT ALWAYS"/>
    <s v="304"/>
    <s v="-"/>
    <n v="999555"/>
    <s v="304-999555"/>
    <m/>
    <m/>
    <m/>
    <m/>
    <m/>
    <m/>
    <s v=""/>
  </r>
  <r>
    <s v=""/>
    <s v="553-50399"/>
    <m/>
    <m/>
    <n v="1"/>
    <s v="ENF"/>
    <d v="2022-04-19T00:00:00"/>
    <m/>
    <m/>
    <s v="KEEP"/>
    <s v="Engine"/>
    <s v="Power Steering Pump"/>
    <s v="always"/>
    <m/>
    <m/>
    <m/>
    <m/>
    <s v=". Power Steering Pump (WITH Active Suspension Adaptive Drive)"/>
    <m/>
    <m/>
    <m/>
    <m/>
    <m/>
    <m/>
    <m/>
    <x v="63"/>
    <s v="Power Steering Pump (WITH Active Suspension Adaptive Drive)"/>
    <s v="w/ Pulley"/>
    <s v="w/ Pulley"/>
    <m/>
    <s v="single"/>
    <m/>
    <n v="400"/>
    <s v="14-18 3.0T N55"/>
    <s v="BMW X5 (F15) (14-18)"/>
    <s v="14-18 3.0T N55 (RWD &amp; AWD)"/>
    <m/>
    <s v="553"/>
    <s v="-"/>
    <n v="50399"/>
    <s v="553-50399"/>
    <s v="w/ active suspension (adaptive drive)"/>
    <m/>
    <m/>
    <m/>
    <m/>
    <m/>
    <s v=""/>
  </r>
  <r>
    <s v=""/>
    <s v="553-50401"/>
    <m/>
    <m/>
    <n v="1"/>
    <s v="ENF"/>
    <d v="2022-04-19T00:00:00"/>
    <m/>
    <m/>
    <s v="KEEP"/>
    <s v="Engine"/>
    <s v="Power Steering Pump"/>
    <s v="always"/>
    <m/>
    <m/>
    <m/>
    <m/>
    <s v=". Power Steering Pump (WITHOUT Active Suspension WITH Active Steering)"/>
    <m/>
    <m/>
    <m/>
    <m/>
    <m/>
    <m/>
    <m/>
    <x v="63"/>
    <s v="Power Steering Pump (WITHOUT Active Suspension WITH Active Steering)"/>
    <s v="w/ Pulley"/>
    <s v="w/ Pulley"/>
    <m/>
    <s v="single"/>
    <m/>
    <n v="250"/>
    <s v="14-18 3.0T N55"/>
    <s v="BMW X5 (F15) (14-18)"/>
    <s v="14-18 3.0T N55 (RWD &amp; AWD)"/>
    <m/>
    <s v="553"/>
    <s v="-"/>
    <n v="50401"/>
    <s v="553-50401"/>
    <s v="w/o active suspension, w/ active steering"/>
    <m/>
    <m/>
    <m/>
    <m/>
    <m/>
    <s v=""/>
  </r>
  <r>
    <s v=""/>
    <s v="553-59280"/>
    <m/>
    <m/>
    <n v="1"/>
    <s v="ENF"/>
    <d v="2022-04-19T00:00:00"/>
    <m/>
    <m/>
    <s v="KEEP"/>
    <s v="Engine"/>
    <s v="Power Steering Pump"/>
    <s v="always"/>
    <m/>
    <m/>
    <m/>
    <m/>
    <s v=". Power Steering Pump (WITHOUT Active Suspension WITHOUT Active Steering)"/>
    <m/>
    <m/>
    <m/>
    <m/>
    <m/>
    <m/>
    <m/>
    <x v="63"/>
    <s v="Power Steering Pump (WITHOUT Active Suspension WITHOUT Active Steering)"/>
    <s v="w/ Pulley"/>
    <s v="w/ Pulley"/>
    <m/>
    <s v="single"/>
    <m/>
    <n v="250"/>
    <s v="14-18 3.0T N55"/>
    <s v="BMW X5 (F15) (14-18)"/>
    <s v="14-18 3.0T N55 (RWD &amp; AWD)"/>
    <m/>
    <s v="553"/>
    <s v="-"/>
    <n v="59280"/>
    <s v="553-59280"/>
    <s v="w/o active suspension, w/o active steering"/>
    <m/>
    <m/>
    <m/>
    <m/>
    <m/>
    <s v=""/>
  </r>
  <r>
    <s v=""/>
    <s v=""/>
    <m/>
    <m/>
    <s v=""/>
    <s v="AJR"/>
    <d v="2023-06-22T00:00:00"/>
    <m/>
    <m/>
    <s v="KEEP"/>
    <s v="Engine"/>
    <s v="Thermostat Housing"/>
    <s v="never"/>
    <m/>
    <m/>
    <m/>
    <m/>
    <s v=". Thermostat Housing"/>
    <m/>
    <m/>
    <m/>
    <m/>
    <m/>
    <m/>
    <m/>
    <x v="64"/>
    <s v="Thermostat Housing"/>
    <s v=""/>
    <m/>
    <m/>
    <s v="single"/>
    <m/>
    <n v="45"/>
    <s v="14-18 3.0T N55"/>
    <s v="BMW X5 (F15) (14-18)"/>
    <s v="14-18 3.0T N55 (RWD &amp; AWD)"/>
    <m/>
    <m/>
    <m/>
    <m/>
    <m/>
    <m/>
    <m/>
    <m/>
    <m/>
    <m/>
    <m/>
    <s v=""/>
  </r>
  <r>
    <s v=""/>
    <s v=""/>
    <m/>
    <m/>
    <s v=""/>
    <s v="ENF"/>
    <d v="2023-11-15T00:00:00"/>
    <m/>
    <m/>
    <s v="KEEP"/>
    <s v="Engine"/>
    <s v="Timing Gear"/>
    <s v="always"/>
    <m/>
    <m/>
    <m/>
    <m/>
    <s v=". Timing Gear SET 2"/>
    <m/>
    <m/>
    <s v="11367583208, 7583208, 11367583207, 7583207"/>
    <s v="Yes"/>
    <m/>
    <m/>
    <m/>
    <x v="65"/>
    <s v="Timing Gear SET 2"/>
    <s v="head if good, SET2 if not, single if 1 bad | mark side &amp; int/exh"/>
    <s v="head if good, SET2 if not, single if 1 bad"/>
    <s v="mark side &amp; int/exh"/>
    <s v="SET2"/>
    <m/>
    <n v="125"/>
    <s v="14-18 3.0T N55"/>
    <s v="BMW X5 (F15) (14-18)"/>
    <s v="14-18 3.0T N55 (RWD &amp; AWD)"/>
    <m/>
    <m/>
    <s v="-"/>
    <m/>
    <m/>
    <m/>
    <m/>
    <m/>
    <m/>
    <m/>
    <m/>
    <s v=""/>
  </r>
  <r>
    <s v=""/>
    <s v=""/>
    <m/>
    <m/>
    <s v=""/>
    <s v="ENF"/>
    <d v="2023-11-15T00:00:00"/>
    <m/>
    <m/>
    <s v="KEEP"/>
    <s v="Engine"/>
    <s v="Timing Gear"/>
    <s v="always"/>
    <m/>
    <m/>
    <m/>
    <m/>
    <s v=". Timing Gear - INTAKE"/>
    <m/>
    <m/>
    <s v="11367583207, 7583207"/>
    <s v="Yes"/>
    <m/>
    <m/>
    <m/>
    <x v="65"/>
    <s v="Timing Gear - INTAKE"/>
    <s v=""/>
    <m/>
    <m/>
    <s v="single"/>
    <m/>
    <n v="85"/>
    <s v="14-18 3.0T N55"/>
    <s v="BMW X5 (F15) (14-18)"/>
    <s v="14-18 3.0T N55 (RWD &amp; AWD)"/>
    <m/>
    <m/>
    <s v="-"/>
    <m/>
    <m/>
    <m/>
    <m/>
    <m/>
    <m/>
    <m/>
    <m/>
    <s v=""/>
  </r>
  <r>
    <s v=""/>
    <s v=""/>
    <m/>
    <m/>
    <s v=""/>
    <s v="ENF"/>
    <d v="2023-11-15T00:00:00"/>
    <m/>
    <m/>
    <s v="KEEP"/>
    <s v="Engine"/>
    <s v="Timing Gear"/>
    <s v="always"/>
    <m/>
    <m/>
    <m/>
    <m/>
    <s v=". Timing Gear - EXHAUST"/>
    <m/>
    <m/>
    <s v="11367583208, 7583208"/>
    <s v="Yes"/>
    <m/>
    <m/>
    <m/>
    <x v="65"/>
    <s v="Timing Gear - EXHAUST"/>
    <s v=""/>
    <m/>
    <m/>
    <s v="single"/>
    <m/>
    <n v="85"/>
    <s v="14-18 3.0T N55"/>
    <s v="BMW X5 (F15) (14-18)"/>
    <s v="14-18 3.0T N55 (RWD &amp; AWD)"/>
    <m/>
    <m/>
    <s v="-"/>
    <m/>
    <m/>
    <m/>
    <m/>
    <m/>
    <m/>
    <m/>
    <m/>
    <s v=""/>
  </r>
  <r>
    <s v=""/>
    <s v=""/>
    <m/>
    <m/>
    <s v=""/>
    <s v="ENF"/>
    <d v="2023-11-15T00:00:00"/>
    <m/>
    <m/>
    <s v="KEEP"/>
    <s v="Engine"/>
    <s v="Timing Gear"/>
    <s v="always"/>
    <m/>
    <m/>
    <m/>
    <m/>
    <s v=". Timing Gear SET 2 - LEFT"/>
    <m/>
    <m/>
    <s v="11367600085, 7600085, 11367600086, 7600086"/>
    <s v="Yes"/>
    <m/>
    <m/>
    <m/>
    <x v="66"/>
    <s v="Timing Gear SET 2 - LEFT"/>
    <s v="head if good, SET2 if not, single if 1 bad | mark side &amp; int/exh"/>
    <s v="head if good, SET2 if not, single if 1 bad"/>
    <s v="mark side &amp; int/exh"/>
    <s v="SET2"/>
    <m/>
    <n v="250"/>
    <s v="14-18 4.4TT N63T"/>
    <s v="BMW X5 (F15) (14-18)"/>
    <s v="14-18 4.4TT N63T"/>
    <m/>
    <m/>
    <s v="-"/>
    <m/>
    <m/>
    <m/>
    <m/>
    <m/>
    <m/>
    <m/>
    <m/>
    <s v=""/>
  </r>
  <r>
    <s v=""/>
    <s v=""/>
    <m/>
    <m/>
    <s v=""/>
    <s v="ENF"/>
    <d v="2023-11-15T00:00:00"/>
    <m/>
    <m/>
    <s v="KEEP"/>
    <s v="Engine"/>
    <s v="Timing Gear"/>
    <s v="always"/>
    <m/>
    <m/>
    <m/>
    <m/>
    <s v=". Timing Gear - LEFT, INTAKE"/>
    <m/>
    <m/>
    <s v="11367600085, 7600085"/>
    <s v="Yes"/>
    <m/>
    <m/>
    <m/>
    <x v="66"/>
    <s v="Timing Gear - LEFT, INTAKE"/>
    <s v=""/>
    <m/>
    <m/>
    <s v="single"/>
    <m/>
    <n v="145"/>
    <s v="14-18 4.4TT N63T"/>
    <s v="BMW X5 (F15) (14-18)"/>
    <s v="14-18 4.4TT N63T"/>
    <m/>
    <m/>
    <s v="-"/>
    <m/>
    <m/>
    <m/>
    <m/>
    <m/>
    <m/>
    <m/>
    <m/>
    <s v=""/>
  </r>
  <r>
    <s v=""/>
    <s v=""/>
    <m/>
    <m/>
    <s v=""/>
    <s v="ENF"/>
    <d v="2023-11-15T00:00:00"/>
    <m/>
    <m/>
    <s v="KEEP"/>
    <s v="Engine"/>
    <s v="Timing Gear"/>
    <s v="always"/>
    <m/>
    <m/>
    <m/>
    <m/>
    <s v=". Timing Gear - LEFT, EXHAUST"/>
    <m/>
    <m/>
    <s v="11367600086, 7600086"/>
    <s v="Yes"/>
    <m/>
    <m/>
    <m/>
    <x v="66"/>
    <s v="Timing Gear - LEFT, EXHAUST"/>
    <s v=""/>
    <m/>
    <m/>
    <s v="single"/>
    <m/>
    <n v="145"/>
    <s v="14-18 4.4TT N63T"/>
    <s v="BMW X5 (F15) (14-18)"/>
    <s v="14-18 4.4TT N63T"/>
    <m/>
    <m/>
    <s v="-"/>
    <m/>
    <m/>
    <m/>
    <m/>
    <m/>
    <m/>
    <m/>
    <m/>
    <s v=""/>
  </r>
  <r>
    <s v=""/>
    <s v=""/>
    <m/>
    <m/>
    <s v=""/>
    <s v="ENF"/>
    <d v="2023-11-15T00:00:00"/>
    <m/>
    <m/>
    <s v="KEEP"/>
    <s v="Engine"/>
    <s v="Timing Gear"/>
    <s v="always"/>
    <m/>
    <m/>
    <m/>
    <m/>
    <s v=". Timing Gear SET 2 - RIGHT"/>
    <m/>
    <m/>
    <s v="11367600085, 7600085, 11367600086, 7600086"/>
    <s v="Yes"/>
    <m/>
    <m/>
    <m/>
    <x v="67"/>
    <s v="Timing Gear SET 2 - RIGHT"/>
    <s v="head if good, SET2 if not, single if 1 bad | mark side &amp; int/exh"/>
    <s v="head if good, SET2 if not, single if 1 bad"/>
    <s v="mark side &amp; int/exh"/>
    <s v="SET2"/>
    <m/>
    <n v="250"/>
    <s v="14-18 4.4TT N63T"/>
    <s v="BMW X5 (F15) (14-18)"/>
    <s v="14-18 4.4TT N63T"/>
    <m/>
    <m/>
    <s v="-"/>
    <m/>
    <m/>
    <m/>
    <m/>
    <m/>
    <m/>
    <m/>
    <m/>
    <s v=""/>
  </r>
  <r>
    <s v=""/>
    <s v=""/>
    <m/>
    <m/>
    <s v=""/>
    <s v="ENF"/>
    <d v="2023-11-15T00:00:00"/>
    <m/>
    <m/>
    <s v="KEEP"/>
    <s v="Engine"/>
    <s v="Timing Gear"/>
    <s v="always"/>
    <m/>
    <m/>
    <m/>
    <m/>
    <s v=". Timing Gear - RIGHT, INTAKE"/>
    <m/>
    <m/>
    <s v="11367600085, 7600085"/>
    <s v="Yes"/>
    <m/>
    <m/>
    <m/>
    <x v="67"/>
    <s v="Timing Gear - RIGHT, INTAKE"/>
    <s v=""/>
    <m/>
    <m/>
    <s v="single"/>
    <m/>
    <n v="145"/>
    <s v="14-18 4.4TT N63T"/>
    <s v="BMW X5 (F15) (14-18)"/>
    <s v="14-18 4.4TT N63T"/>
    <m/>
    <m/>
    <s v="-"/>
    <m/>
    <m/>
    <m/>
    <m/>
    <m/>
    <m/>
    <m/>
    <m/>
    <s v=""/>
  </r>
  <r>
    <s v=""/>
    <s v=""/>
    <m/>
    <m/>
    <s v=""/>
    <s v="ENF"/>
    <d v="2023-11-15T00:00:00"/>
    <m/>
    <m/>
    <s v="KEEP"/>
    <s v="Engine"/>
    <s v="Timing Gear"/>
    <s v="always"/>
    <m/>
    <m/>
    <m/>
    <m/>
    <s v=". Timing Gear - RIGHT, EXHAUST"/>
    <m/>
    <m/>
    <s v="11367600086, 7600086"/>
    <s v="Yes"/>
    <m/>
    <m/>
    <m/>
    <x v="67"/>
    <s v="Timing Gear - RIGHT, EXHAUST"/>
    <s v=""/>
    <m/>
    <m/>
    <s v="single"/>
    <m/>
    <n v="145"/>
    <s v="14-18 4.4TT N63T"/>
    <s v="BMW X5 (F15) (14-18)"/>
    <s v="14-18 4.4TT N63T"/>
    <m/>
    <m/>
    <s v="-"/>
    <m/>
    <m/>
    <m/>
    <m/>
    <m/>
    <m/>
    <m/>
    <m/>
    <s v=""/>
  </r>
  <r>
    <s v=""/>
    <s v="350-999773"/>
    <m/>
    <m/>
    <n v="1"/>
    <s v="ENF"/>
    <d v="2022-04-19T00:00:00"/>
    <m/>
    <m/>
    <s v="KEEP"/>
    <s v="Engine"/>
    <s v="Valve Cover"/>
    <s v="always CPI+"/>
    <m/>
    <m/>
    <m/>
    <m/>
    <s v=". Valve Cover"/>
    <m/>
    <m/>
    <m/>
    <m/>
    <m/>
    <m/>
    <m/>
    <x v="68"/>
    <s v="Valve Cover"/>
    <s v=""/>
    <m/>
    <m/>
    <s v="single"/>
    <m/>
    <n v="120"/>
    <s v="14-18 3.0T N55"/>
    <s v="BMW X5 (F15) (14-18)"/>
    <s v="14-18 3.0T N55 (RWD &amp; AWD)"/>
    <m/>
    <s v="350"/>
    <s v="-"/>
    <n v="999773"/>
    <s v="350-999773"/>
    <m/>
    <m/>
    <m/>
    <m/>
    <m/>
    <m/>
    <s v=""/>
  </r>
  <r>
    <s v=""/>
    <s v="350-998912"/>
    <m/>
    <m/>
    <n v="3"/>
    <s v="ENF"/>
    <d v="2023-11-14T00:00:00"/>
    <m/>
    <m/>
    <s v="KEEP"/>
    <s v="Engine"/>
    <s v="Engine Cover"/>
    <s v="always CPI+"/>
    <m/>
    <m/>
    <m/>
    <m/>
    <s v=". Engine Cover SET 2"/>
    <m/>
    <m/>
    <s v="13717634293, 7634293"/>
    <s v="Yes"/>
    <m/>
    <m/>
    <m/>
    <x v="69"/>
    <s v="Engine Cover SET 2"/>
    <s v="SET2, single if 1 bad"/>
    <s v="SET2, single if 1 bad"/>
    <m/>
    <s v="SET/2"/>
    <m/>
    <n v="225"/>
    <s v="14-18 4.4TT N63T"/>
    <s v="BMW X5 (F15) (14-18)"/>
    <s v="14-18 4.4TT N63T"/>
    <m/>
    <s v="350"/>
    <s v="-"/>
    <n v="998912"/>
    <s v="350-998912"/>
    <m/>
    <m/>
    <m/>
    <m/>
    <m/>
    <m/>
    <s v=""/>
  </r>
  <r>
    <s v=""/>
    <s v="350-998912"/>
    <m/>
    <m/>
    <n v="3"/>
    <s v="ENF"/>
    <d v="2023-11-14T00:00:00"/>
    <m/>
    <m/>
    <s v="KEEP"/>
    <s v="Engine"/>
    <s v="Engine Cover"/>
    <s v="always CPI+"/>
    <m/>
    <m/>
    <m/>
    <m/>
    <s v=". Engine Cover, Primary"/>
    <m/>
    <m/>
    <s v="13717634293, 7634293"/>
    <s v="Yes"/>
    <m/>
    <m/>
    <m/>
    <x v="69"/>
    <s v="Engine Cover, Primary"/>
    <s v=""/>
    <m/>
    <m/>
    <s v="single"/>
    <m/>
    <n v="150"/>
    <s v="14-18 4.4TT N63T"/>
    <s v="BMW X5 (F15) (14-18)"/>
    <s v="14-18 4.4TT N63T"/>
    <m/>
    <s v="350"/>
    <s v="-"/>
    <n v="998912"/>
    <s v="350-998912"/>
    <m/>
    <m/>
    <m/>
    <m/>
    <m/>
    <m/>
    <s v=""/>
  </r>
  <r>
    <s v=""/>
    <s v="350-998912"/>
    <m/>
    <m/>
    <n v="3"/>
    <s v="ENF"/>
    <d v="2023-11-14T00:00:00"/>
    <m/>
    <m/>
    <s v="KEEP"/>
    <s v="Engine"/>
    <s v="Engine Cover"/>
    <s v="always CPI+"/>
    <m/>
    <m/>
    <m/>
    <m/>
    <s v=". Engine Cover, Trim Piece With Emblem"/>
    <m/>
    <m/>
    <s v="NPN"/>
    <s v="Yes"/>
    <m/>
    <m/>
    <m/>
    <x v="69"/>
    <s v="Engine Cover, Trim Piece With Emblem"/>
    <s v="located on air filter box (toss that, but keep trim)"/>
    <m/>
    <s v="located on air filter box (toss that, but keep trim)"/>
    <s v="single"/>
    <m/>
    <n v="125"/>
    <s v="14-18 4.4TT N63T"/>
    <s v="BMW X5 (F15) (14-18)"/>
    <s v="14-18 4.4TT N63T"/>
    <m/>
    <s v="350"/>
    <s v="-"/>
    <n v="998912"/>
    <s v="350-998912"/>
    <m/>
    <m/>
    <m/>
    <m/>
    <m/>
    <m/>
    <s v=""/>
  </r>
  <r>
    <s v=""/>
    <s v=""/>
    <m/>
    <m/>
    <s v=""/>
    <s v="ENF"/>
    <d v="2022-04-19T00:00:00"/>
    <m/>
    <m/>
    <s v="Toss"/>
    <s v="Engine"/>
    <s v="Starter"/>
    <s v="always"/>
    <m/>
    <m/>
    <m/>
    <m/>
    <s v=". Air Filter Engine Cover Assembly"/>
    <m/>
    <m/>
    <m/>
    <m/>
    <m/>
    <m/>
    <m/>
    <x v="70"/>
    <s v="Air Filter Engine Cover Assembly"/>
    <s v="toss this, but keep the top trim w/ engine cover"/>
    <m/>
    <s v="toss this, but keep the top trim w/ engine cover"/>
    <m/>
    <m/>
    <m/>
    <s v="14-18 3.0T N55 &amp; 4.4TT N63T"/>
    <s v="BMW X5 (F15) (14-18)"/>
    <s v="14-18 3.0T N55 (RWD &amp; AWD) | 14-18 4.4TT N63T"/>
    <m/>
    <m/>
    <s v="-"/>
    <m/>
    <m/>
    <m/>
    <m/>
    <m/>
    <m/>
    <m/>
    <m/>
    <s v=""/>
  </r>
  <r>
    <s v=""/>
    <s v=""/>
    <m/>
    <n v="0"/>
    <s v=""/>
    <s v="ENF"/>
    <d v="2023-11-15T00:00:00"/>
    <m/>
    <m/>
    <s v="KEEP"/>
    <s v="Engine"/>
    <s v="VVT Timing Solenoid"/>
    <s v="never"/>
    <m/>
    <m/>
    <m/>
    <m/>
    <s v=". VVT Timing Solenoid SET 2"/>
    <m/>
    <m/>
    <s v="11368605123, 8605123"/>
    <s v="Yes"/>
    <m/>
    <m/>
    <m/>
    <x v="71"/>
    <s v="VVT Timing Solenoid SET 2"/>
    <s v="SET 2, for V8 do 2 sets of SET 2 | 2 per head (ALL identical)"/>
    <s v="SET 2, for V8 do 2 sets of SET 2"/>
    <s v="2 per head (ALL identical)"/>
    <s v="SET/2"/>
    <s v="1 of 2 (2 rows here for entering both as singles)"/>
    <n v="60"/>
    <s v="14-18 3.0T N55, 14-18 4.4TT N63T"/>
    <s v="BMW X5 (F15) (14-18)"/>
    <s v="14-18 3.0T N55 (RWD &amp; AWD) | 14-18 4.4TT N63T"/>
    <m/>
    <m/>
    <m/>
    <m/>
    <m/>
    <m/>
    <m/>
    <m/>
    <m/>
    <m/>
    <m/>
    <s v=""/>
  </r>
  <r>
    <s v=""/>
    <s v=""/>
    <m/>
    <n v="0"/>
    <s v=""/>
    <s v="ENF"/>
    <d v="2023-11-15T00:00:00"/>
    <m/>
    <m/>
    <s v="KEEP"/>
    <s v="Engine"/>
    <s v="VVT Timing Solenoid"/>
    <s v="never"/>
    <m/>
    <m/>
    <m/>
    <m/>
    <s v=". VVT Timing Solenoid SET 2"/>
    <m/>
    <m/>
    <s v="11368605123, 8605123"/>
    <s v="Yes"/>
    <m/>
    <m/>
    <m/>
    <x v="71"/>
    <s v="VVT Timing Solenoid SET 2"/>
    <s v="SET 2, for V8 do 2 sets of SET 2 | 2 per head (ALL identical)"/>
    <s v="SET 2, for V8 do 2 sets of SET 2"/>
    <s v="2 per head (ALL identical)"/>
    <s v="SET/2"/>
    <s v="2 of 2 (2 rows here for entering both as singles)"/>
    <n v="60"/>
    <s v="14-18 3.0T N55, 14-18 4.4TT N63T"/>
    <s v="BMW X5 (F15) (14-18)"/>
    <s v="14-18 3.0T N55 (RWD &amp; AWD) | 14-18 4.4TT N63T"/>
    <m/>
    <m/>
    <m/>
    <m/>
    <m/>
    <m/>
    <m/>
    <m/>
    <m/>
    <m/>
    <m/>
    <s v=""/>
  </r>
  <r>
    <s v=""/>
    <s v="324-58675"/>
    <m/>
    <m/>
    <n v="1"/>
    <s v="AJR"/>
    <d v="2023-06-22T00:00:00"/>
    <m/>
    <m/>
    <s v="KEEP"/>
    <s v="Engine"/>
    <s v="Water Pump"/>
    <s v="always"/>
    <m/>
    <m/>
    <m/>
    <m/>
    <s v=". Water Pump, Electric (big, aluminum)"/>
    <m/>
    <m/>
    <m/>
    <m/>
    <m/>
    <m/>
    <m/>
    <x v="72"/>
    <s v="Water Pump, Electric (big, aluminum)"/>
    <s v=""/>
    <m/>
    <m/>
    <s v="single"/>
    <m/>
    <n v="125"/>
    <s v="14-18 3.0T N55"/>
    <s v="BMW X5 (F15) (14-18)"/>
    <s v="14-18 3.0T N55 (RWD &amp; AWD)"/>
    <m/>
    <s v="324"/>
    <s v="-"/>
    <n v="58675"/>
    <s v="324-58675"/>
    <m/>
    <m/>
    <m/>
    <m/>
    <m/>
    <m/>
    <s v=""/>
  </r>
  <r>
    <s v=""/>
    <s v=""/>
    <m/>
    <m/>
    <s v=""/>
    <s v="AJR"/>
    <d v="2023-06-22T00:00:00"/>
    <m/>
    <m/>
    <s v="KEEP"/>
    <s v="Engine"/>
    <s v="Water Pump"/>
    <s v="always"/>
    <m/>
    <m/>
    <m/>
    <m/>
    <s v=". Water Pump, Electric (small, plastic)"/>
    <m/>
    <m/>
    <m/>
    <m/>
    <m/>
    <m/>
    <m/>
    <x v="73"/>
    <s v="Water Pump, Electric (small, plastic)"/>
    <s v="leave on bracket"/>
    <s v="leave on bracket"/>
    <m/>
    <s v="single"/>
    <m/>
    <n v="55"/>
    <s v="14-18 3.0T N55 &amp; 4.4TT N63T"/>
    <s v="BMW X5 (F15) (14-18)"/>
    <s v="14-18 3.0T N55 (RWD &amp; AWD) | 14-18 4.4TT N63T"/>
    <m/>
    <m/>
    <m/>
    <m/>
    <m/>
    <m/>
    <s v="F15"/>
    <s v="14-18 3.0L N55, 14-18 4.4TT N63T"/>
    <s v="ALL"/>
    <s v="F15-14-18 3.0L N55, 14-18 4.4TT N63T-ALL"/>
    <s v="Viking9"/>
    <s v="F15-14-18 3.0L N55, 14-18 4.4TT N63T-ALL-Viking9"/>
  </r>
  <r>
    <s v=""/>
    <s v=""/>
    <m/>
    <m/>
    <s v=""/>
    <s v="AJR"/>
    <d v="2023-06-22T00:00:00"/>
    <s v="INSPECT ALWAYS"/>
    <m/>
    <s v="KEEP"/>
    <s v="Engine"/>
    <s v="Wiring Harness, Engine "/>
    <s v="never"/>
    <m/>
    <m/>
    <m/>
    <m/>
    <s v=". Wiring Harness, Engine "/>
    <m/>
    <m/>
    <m/>
    <m/>
    <m/>
    <m/>
    <m/>
    <x v="74"/>
    <s v="Wiring Harness, Engine "/>
    <s v=""/>
    <m/>
    <m/>
    <s v="single"/>
    <m/>
    <n v="200"/>
    <s v="14-18 3.0T N55"/>
    <s v="BMW X5 (F15) (14-18)"/>
    <s v="14-18 3.0T N55 (RWD &amp; AWD)"/>
    <s v="INSPECT ALWAYS"/>
    <m/>
    <m/>
    <m/>
    <m/>
    <m/>
    <m/>
    <m/>
    <m/>
    <m/>
    <m/>
    <s v=""/>
  </r>
  <r>
    <s v=""/>
    <s v=""/>
    <m/>
    <m/>
    <s v=""/>
    <s v="ENF"/>
    <d v="2023-11-15T00:00:00"/>
    <m/>
    <m/>
    <s v="Toss"/>
    <s v="Engine"/>
    <s v="Wiring Harness, Engine "/>
    <s v="never"/>
    <m/>
    <m/>
    <m/>
    <m/>
    <s v=". Wiring Harness, Engine "/>
    <m/>
    <m/>
    <m/>
    <m/>
    <m/>
    <m/>
    <m/>
    <x v="74"/>
    <s v="Wiring Harness, Engine "/>
    <s v=""/>
    <m/>
    <m/>
    <m/>
    <m/>
    <m/>
    <s v="14-18 4.4TT N63T"/>
    <s v="BMW X5 (F15) (14-18)"/>
    <s v="14-18 4.4TT N63T"/>
    <m/>
    <m/>
    <m/>
    <m/>
    <m/>
    <m/>
    <m/>
    <m/>
    <m/>
    <m/>
    <m/>
    <s v=""/>
  </r>
  <r>
    <s v=""/>
    <s v=""/>
    <m/>
    <m/>
    <s v=""/>
    <s v="AJR"/>
    <d v="2023-06-22T00:00:00"/>
    <m/>
    <m/>
    <s v="Toss"/>
    <s v="Engine"/>
    <s v="Sensor"/>
    <s v="never"/>
    <m/>
    <m/>
    <m/>
    <m/>
    <s v=". Camshaft Position Sensor"/>
    <m/>
    <m/>
    <m/>
    <m/>
    <m/>
    <m/>
    <m/>
    <x v="75"/>
    <s v="Camshaft Position Sensor"/>
    <s v=""/>
    <m/>
    <m/>
    <m/>
    <m/>
    <m/>
    <s v="14-18 ALL"/>
    <s v="BMW X5 (F15) (14-18)"/>
    <s v="F15 ALL"/>
    <m/>
    <m/>
    <m/>
    <m/>
    <m/>
    <m/>
    <m/>
    <m/>
    <m/>
    <m/>
    <m/>
    <s v=""/>
  </r>
  <r>
    <s v=""/>
    <s v=""/>
    <m/>
    <m/>
    <s v=""/>
    <s v="AJR"/>
    <d v="2023-06-22T00:00:00"/>
    <m/>
    <m/>
    <s v="Toss"/>
    <s v="Engine"/>
    <s v="Fuel Tank Ventilation Valve"/>
    <s v="never"/>
    <m/>
    <m/>
    <m/>
    <m/>
    <s v=". Fuel Tank Ventilation Valve"/>
    <m/>
    <m/>
    <m/>
    <m/>
    <m/>
    <m/>
    <m/>
    <x v="76"/>
    <s v="Fuel Tank Ventilation Valve"/>
    <s v=""/>
    <m/>
    <m/>
    <m/>
    <m/>
    <m/>
    <s v="14-18 ALL"/>
    <s v="BMW X5 (F15) (14-18)"/>
    <s v="F15 ALL"/>
    <m/>
    <m/>
    <m/>
    <m/>
    <m/>
    <m/>
    <m/>
    <m/>
    <m/>
    <m/>
    <m/>
    <s v=""/>
  </r>
  <r>
    <s v=""/>
    <s v=""/>
    <m/>
    <m/>
    <s v=""/>
    <s v="AJR"/>
    <d v="2023-06-22T00:00:00"/>
    <m/>
    <m/>
    <s v="Toss"/>
    <s v="Engine"/>
    <s v="Sensor"/>
    <s v="never"/>
    <m/>
    <m/>
    <m/>
    <m/>
    <s v=". Map Pressure Sensor"/>
    <m/>
    <m/>
    <m/>
    <m/>
    <m/>
    <m/>
    <m/>
    <x v="77"/>
    <s v="Map Pressure Sensor"/>
    <s v=""/>
    <m/>
    <m/>
    <m/>
    <m/>
    <m/>
    <s v="14-18 ALL"/>
    <s v="BMW X5 (F15) (14-18)"/>
    <s v="F15 ALL"/>
    <m/>
    <m/>
    <m/>
    <m/>
    <m/>
    <m/>
    <m/>
    <m/>
    <m/>
    <m/>
    <m/>
    <s v=""/>
  </r>
  <r>
    <s v=""/>
    <s v=""/>
    <m/>
    <m/>
    <s v=""/>
    <s v="ENF"/>
    <d v="2022-04-19T00:00:00"/>
    <m/>
    <m/>
    <s v="Toss"/>
    <s v="Engine"/>
    <s v="Starter"/>
    <s v="always"/>
    <m/>
    <m/>
    <m/>
    <m/>
    <s v=". Starter"/>
    <m/>
    <m/>
    <m/>
    <m/>
    <m/>
    <m/>
    <m/>
    <x v="78"/>
    <s v="Starter"/>
    <s v=""/>
    <m/>
    <m/>
    <m/>
    <m/>
    <m/>
    <s v="14-18 3.0T N55 &amp; 4.4TT N63T"/>
    <s v="BMW X5 (F15) (14-18)"/>
    <s v="14-18 3.0T N55 (RWD &amp; AWD) | 14-18 4.4TT N63T"/>
    <m/>
    <m/>
    <s v="-"/>
    <m/>
    <m/>
    <m/>
    <m/>
    <m/>
    <m/>
    <m/>
    <m/>
    <s v=""/>
  </r>
  <r>
    <s v=""/>
    <s v=""/>
    <m/>
    <m/>
    <s v=""/>
    <s v="ENF"/>
    <d v="2022-04-19T00:00:00"/>
    <m/>
    <m/>
    <s v="Toss"/>
    <s v="Engine"/>
    <s v="Tensioners &amp; Timing Guides"/>
    <s v="never"/>
    <m/>
    <m/>
    <m/>
    <m/>
    <s v=". Tensioners &amp; Timing Guides (TOSS ALL)"/>
    <m/>
    <m/>
    <m/>
    <m/>
    <m/>
    <m/>
    <m/>
    <x v="79"/>
    <s v="Tensioners &amp; Timing Guides (TOSS ALL)"/>
    <s v=""/>
    <m/>
    <m/>
    <m/>
    <m/>
    <m/>
    <s v="14-18 ALL"/>
    <s v="BMW X5 (F15) (14-18)"/>
    <s v="F15 ALL"/>
    <m/>
    <m/>
    <m/>
    <m/>
    <m/>
    <m/>
    <m/>
    <m/>
    <m/>
    <m/>
    <m/>
    <s v=""/>
  </r>
  <r>
    <s v=""/>
    <s v=""/>
    <m/>
    <m/>
    <s v=""/>
    <s v="ENF"/>
    <d v="2022-04-19T00:00:00"/>
    <m/>
    <m/>
    <s v="Toss"/>
    <s v="Engine"/>
    <s v="Throttle Body"/>
    <s v="always"/>
    <m/>
    <m/>
    <m/>
    <m/>
    <s v=". Throttle Body"/>
    <m/>
    <m/>
    <m/>
    <m/>
    <m/>
    <m/>
    <m/>
    <x v="80"/>
    <s v="Throttle Body"/>
    <s v=""/>
    <m/>
    <m/>
    <m/>
    <m/>
    <m/>
    <s v="14-18 3.0T N55 &amp; 4.4TT N63T"/>
    <s v="BMW X5 (F15) (14-18)"/>
    <s v="14-18 3.0T N55 (RWD &amp; AWD) | 14-18 4.4TT N63T"/>
    <m/>
    <m/>
    <s v="-"/>
    <m/>
    <m/>
    <m/>
    <m/>
    <m/>
    <m/>
    <m/>
    <m/>
    <s v=""/>
  </r>
  <r>
    <s v=""/>
    <s v=""/>
    <m/>
    <m/>
    <s v=""/>
    <s v="ENF"/>
    <d v="2023-11-15T00:00:00"/>
    <m/>
    <m/>
    <s v="Toss"/>
    <s v="Engine"/>
    <s v="Sensor"/>
    <s v="always"/>
    <m/>
    <m/>
    <m/>
    <m/>
    <s v=". Knock Sensors"/>
    <m/>
    <m/>
    <m/>
    <m/>
    <m/>
    <m/>
    <m/>
    <x v="81"/>
    <s v="Knock Sensors"/>
    <s v=""/>
    <m/>
    <m/>
    <m/>
    <m/>
    <m/>
    <s v="14-18 ALL"/>
    <s v="BMW X5 (F15) (14-18)"/>
    <s v="F15 ALL"/>
    <m/>
    <m/>
    <s v="-"/>
    <m/>
    <m/>
    <m/>
    <m/>
    <m/>
    <m/>
    <m/>
    <m/>
    <s v=""/>
  </r>
  <r>
    <s v=""/>
    <s v=""/>
    <m/>
    <m/>
    <s v=""/>
    <s v="ENF"/>
    <d v="2023-11-15T00:00:00"/>
    <m/>
    <m/>
    <s v="Toss"/>
    <s v="Engine"/>
    <s v="Exhaust Manifold"/>
    <s v="always"/>
    <m/>
    <m/>
    <m/>
    <m/>
    <s v=". Exhaust Manifolds"/>
    <m/>
    <m/>
    <m/>
    <m/>
    <m/>
    <m/>
    <m/>
    <x v="82"/>
    <s v="Exhaust Manifolds"/>
    <s v=""/>
    <m/>
    <m/>
    <m/>
    <m/>
    <m/>
    <s v="14-18 4.4TT N63T"/>
    <s v="BMW X5 (F15) (14-18)"/>
    <s v="14-18 4.4TT N63T"/>
    <m/>
    <m/>
    <s v="-"/>
    <m/>
    <m/>
    <m/>
    <m/>
    <m/>
    <m/>
    <m/>
    <m/>
    <s v=""/>
  </r>
  <r>
    <s v=""/>
    <s v=""/>
    <m/>
    <m/>
    <s v=""/>
    <s v="ENF"/>
    <d v="2023-11-15T00:00:00"/>
    <m/>
    <m/>
    <s v="Toss"/>
    <s v="Engine"/>
    <s v="Boost Solenoid"/>
    <s v="always"/>
    <m/>
    <m/>
    <m/>
    <m/>
    <s v=". Turbocharger Boost Solenoid Valves &amp; Bracket"/>
    <m/>
    <m/>
    <m/>
    <m/>
    <m/>
    <m/>
    <m/>
    <x v="83"/>
    <s v="Turbocharger Boost Solenoid Valves &amp; Bracket"/>
    <s v="2 black plastic solenoids on metal bracket"/>
    <m/>
    <s v="2 black plastic solenoids on metal bracket"/>
    <m/>
    <m/>
    <m/>
    <s v="14-18 4.4TT N63T"/>
    <s v="BMW X5 (F15) (14-18)"/>
    <s v="14-18 4.4TT N63T"/>
    <m/>
    <m/>
    <s v="-"/>
    <m/>
    <m/>
    <m/>
    <m/>
    <m/>
    <m/>
    <m/>
    <m/>
    <s v=""/>
  </r>
  <r>
    <s v=""/>
    <s v="372-50259"/>
    <m/>
    <m/>
    <n v="1"/>
    <s v="ENF"/>
    <d v="2023-11-15T00:00:00"/>
    <m/>
    <m/>
    <s v="Toss"/>
    <s v="Engine"/>
    <s v="Vacuum Pump"/>
    <s v="always"/>
    <m/>
    <m/>
    <m/>
    <m/>
    <s v=". Vacuum Pump"/>
    <m/>
    <m/>
    <m/>
    <m/>
    <m/>
    <m/>
    <m/>
    <x v="84"/>
    <s v="Vacuum Pump"/>
    <s v=""/>
    <m/>
    <m/>
    <m/>
    <m/>
    <m/>
    <s v="14-18 4.4TT N63T"/>
    <s v="BMW X5 (F15) (14-18)"/>
    <s v="14-18 4.4TT N63T"/>
    <m/>
    <n v="372"/>
    <s v="-"/>
    <n v="50259"/>
    <s v="372-50259"/>
    <m/>
    <m/>
    <m/>
    <m/>
    <m/>
    <m/>
    <s v=""/>
  </r>
  <r>
    <s v=""/>
    <s v="545-53674"/>
    <m/>
    <m/>
    <n v="1"/>
    <s v="ENF"/>
    <d v="2022-04-29T00:00:00"/>
    <m/>
    <m/>
    <s v="KEEP"/>
    <s v="Eng Bay"/>
    <s v="ABS Pump &amp; Module"/>
    <s v="always"/>
    <m/>
    <m/>
    <m/>
    <m/>
    <s v=". ABS Pump &amp; Module"/>
    <m/>
    <m/>
    <m/>
    <m/>
    <m/>
    <m/>
    <m/>
    <x v="85"/>
    <s v="ABS Pump &amp; Module"/>
    <s v=""/>
    <m/>
    <m/>
    <s v="single"/>
    <m/>
    <n v="400"/>
    <s v="14-18 ALL Except 2.0L"/>
    <s v="BMW X5 (F15) (14-18)"/>
    <s v="14-18 3.0T N55 (RWD &amp; AWD) | 14-18 4.4TT N63T | 14-18 3.0T Diesel N57Y"/>
    <m/>
    <s v="545"/>
    <s v="-"/>
    <n v="53674"/>
    <s v="545-53674"/>
    <s v="w/ adaptive cruise"/>
    <m/>
    <m/>
    <m/>
    <m/>
    <m/>
    <s v=""/>
  </r>
  <r>
    <s v="A16"/>
    <s v="545-53340"/>
    <m/>
    <m/>
    <n v="1"/>
    <s v="ENF"/>
    <d v="2022-04-29T00:00:00"/>
    <m/>
    <m/>
    <s v="KEEP"/>
    <s v="Eng Bay"/>
    <s v="ABS Pump &amp; Module"/>
    <s v="always"/>
    <n v="6"/>
    <s v="A16"/>
    <s v="Box 1"/>
    <n v="1"/>
    <s v="A16. ABS Pump &amp; Module"/>
    <s v="PIC"/>
    <n v="5"/>
    <s v="34516866243, 6866243"/>
    <s v="No"/>
    <m/>
    <m/>
    <m/>
    <x v="85"/>
    <s v="ABS Pump &amp; Module"/>
    <s v=""/>
    <m/>
    <m/>
    <s v="single"/>
    <m/>
    <n v="115"/>
    <s v="14-18 ALL Except 2.0L"/>
    <s v="BMW X5 (F15) (14-18)"/>
    <s v="14-18 3.0T N55 (RWD &amp; AWD) | 14-18 4.4TT N63T | 14-18 3.0T Diesel N57Y"/>
    <m/>
    <s v="545"/>
    <s v="-"/>
    <n v="53340"/>
    <s v="545-53340"/>
    <s v="w/o adaptive cruise"/>
    <m/>
    <m/>
    <m/>
    <m/>
    <m/>
    <s v=""/>
  </r>
  <r>
    <s v=""/>
    <s v="613-998926"/>
    <m/>
    <m/>
    <n v="1"/>
    <s v="ENF"/>
    <d v="2022-05-03T00:00:00"/>
    <m/>
    <m/>
    <s v="KEEP"/>
    <s v="Eng Bay"/>
    <s v="Horn"/>
    <s v="always CPI+"/>
    <m/>
    <m/>
    <m/>
    <m/>
    <s v=". Horns SET 2"/>
    <m/>
    <m/>
    <m/>
    <m/>
    <m/>
    <m/>
    <m/>
    <x v="86"/>
    <s v="Horns SET 2"/>
    <s v="Metal brackets ON, toss both if 1 bad"/>
    <s v="Metal brackets ON, toss both if 1 bad"/>
    <m/>
    <s v="SET/2"/>
    <s v="Same price if brackets missing"/>
    <n v="75"/>
    <s v="14-18 ALL"/>
    <s v="BMW X5 (F15) (14-18)"/>
    <s v="F15 ALL"/>
    <m/>
    <n v="613"/>
    <s v="-"/>
    <n v="998926"/>
    <s v="613-998926"/>
    <m/>
    <m/>
    <m/>
    <m/>
    <m/>
    <m/>
    <s v=""/>
  </r>
  <r>
    <s v="A104"/>
    <s v="317-50194"/>
    <m/>
    <m/>
    <n v="1"/>
    <s v="ENF"/>
    <d v="2023-11-15T00:00:00"/>
    <m/>
    <m/>
    <s v="KEEP"/>
    <s v="Eng Bay"/>
    <s v="Intercooler"/>
    <s v="sometimes"/>
    <n v="94"/>
    <s v="A104"/>
    <s v="Box Bulk 1"/>
    <n v="1"/>
    <s v="A104. Intercooler"/>
    <s v="PIC"/>
    <n v="5"/>
    <s v="17517809321, 7809321"/>
    <s v="Yes"/>
    <m/>
    <m/>
    <m/>
    <x v="87"/>
    <s v="Intercooler"/>
    <s v="It's big one w/ plastic hoses on each end"/>
    <m/>
    <s v="It's big one w/ plastic hoses on each end"/>
    <s v="single"/>
    <m/>
    <n v="150"/>
    <s v="14-18 3.0T N55 &amp; N57"/>
    <s v="BMW X5 (F15) (14-18)"/>
    <s v="14-18 3.0T N55 (RWD &amp; AWD) | 14-18 3.0T Diesel N57Y"/>
    <m/>
    <s v="317"/>
    <s v="-"/>
    <n v="50194"/>
    <s v="317-50194"/>
    <m/>
    <m/>
    <m/>
    <m/>
    <m/>
    <m/>
    <s v=""/>
  </r>
  <r>
    <s v=""/>
    <s v="317-50196"/>
    <m/>
    <m/>
    <n v="1"/>
    <s v="ENF"/>
    <d v="2023-11-15T00:00:00"/>
    <m/>
    <m/>
    <s v="KEEP"/>
    <s v="Eng Bay"/>
    <s v="Intercooler"/>
    <s v="sometimes"/>
    <m/>
    <m/>
    <m/>
    <m/>
    <s v=". Intercooler - LEFT with Hoses"/>
    <m/>
    <m/>
    <s v="13717575405, 7575405, 17517575403, 7575403"/>
    <s v="Yes"/>
    <m/>
    <m/>
    <m/>
    <x v="88"/>
    <s v="Intercooler - LEFT with Hoses"/>
    <s v="rubber hoses ON - toss if bad/missing, sell/tag SINGLE"/>
    <s v="rubber hoses ON - toss if bad/missing, sell/tag SINGLE"/>
    <m/>
    <s v="single"/>
    <m/>
    <n v="75"/>
    <s v="14-18 4.4TT N63T"/>
    <s v="BMW X5 (F15) (14-18)"/>
    <s v="14-18 4.4TT N63T"/>
    <m/>
    <s v="317"/>
    <s v="-"/>
    <n v="50196"/>
    <s v="317-50196"/>
    <m/>
    <m/>
    <m/>
    <m/>
    <m/>
    <m/>
    <s v=""/>
  </r>
  <r>
    <s v=""/>
    <s v="317-50195"/>
    <m/>
    <m/>
    <n v="1"/>
    <s v="ENF"/>
    <d v="2023-11-15T00:00:00"/>
    <m/>
    <m/>
    <s v="KEEP"/>
    <s v="Eng Bay"/>
    <s v="Intercooler"/>
    <s v="sometimes"/>
    <m/>
    <m/>
    <m/>
    <m/>
    <s v=". Intercooler - RIGHT with Hoses"/>
    <m/>
    <m/>
    <s v="13717575406, 7575406, 17517575404, 7575404"/>
    <s v="Yes"/>
    <m/>
    <m/>
    <m/>
    <x v="89"/>
    <s v="Intercooler - RIGHT with Hoses"/>
    <s v="rubber hoses ON - toss if bad/missing, sell/tag SINGLE"/>
    <s v="rubber hoses ON - toss if bad/missing, sell/tag SINGLE"/>
    <m/>
    <s v="single"/>
    <m/>
    <n v="75"/>
    <s v="14-18 4.4TT N63T"/>
    <s v="BMW X5 (F15) (14-18)"/>
    <s v="14-18 4.4TT N63T"/>
    <m/>
    <s v="317"/>
    <s v="-"/>
    <n v="50195"/>
    <s v="317-50195"/>
    <m/>
    <m/>
    <m/>
    <m/>
    <m/>
    <m/>
    <s v=""/>
  </r>
  <r>
    <s v="A103"/>
    <s v="540-59227"/>
    <m/>
    <m/>
    <n v="1"/>
    <s v="ENF"/>
    <d v="2022-04-29T00:00:00"/>
    <m/>
    <m/>
    <s v="KEEP"/>
    <s v="Eng Bay"/>
    <s v="Brake Booster &amp; Master Cylinder"/>
    <s v="always"/>
    <n v="93"/>
    <s v="A103"/>
    <s v="Box Bulk 1"/>
    <n v="1"/>
    <s v="A103. Power Brake Booster + Master Cylinder + Reservoir + Cap"/>
    <s v="PIC"/>
    <n v="5"/>
    <s v="34336864074, 6864074, 34336772930, 6772930, 34336771718, 6771718"/>
    <s v="Yes"/>
    <m/>
    <m/>
    <m/>
    <x v="90"/>
    <s v="Power Brake Booster + Master Cylinder + Reservoir + Cap"/>
    <s v=""/>
    <m/>
    <m/>
    <s v="single"/>
    <s v="POSTERS: Put under power brake booster interchange or fitment wrong"/>
    <n v="130"/>
    <s v="14-18 ALL Except 2.0L"/>
    <s v="BMW X5 (F15) (14-18)"/>
    <s v="14-18 3.0T N55 (RWD &amp; AWD) | 14-18 4.4TT N63T | 14-18 3.0T Diesel N57Y"/>
    <m/>
    <s v="540"/>
    <s v="-"/>
    <n v="59227"/>
    <s v="540-59227"/>
    <m/>
    <m/>
    <m/>
    <m/>
    <m/>
    <m/>
    <s v=""/>
  </r>
  <r>
    <s v="A90"/>
    <s v="674-60229"/>
    <s v="674-60229-1"/>
    <m/>
    <n v="3"/>
    <s v="ENF"/>
    <d v="2022-04-29T00:00:00"/>
    <m/>
    <m/>
    <s v="KEEP"/>
    <s v="Eng Bay"/>
    <s v="Radiator Fan"/>
    <s v="always"/>
    <n v="80"/>
    <s v="A90"/>
    <s v="Box Bulk 1"/>
    <n v="1"/>
    <s v="A90. Radiator Fan &amp; Shroud Assembly"/>
    <s v="PIC"/>
    <n v="8"/>
    <s v="17427634471, 7634471, 7629131, 67327634608, 7634608"/>
    <s v="Yes"/>
    <m/>
    <m/>
    <m/>
    <x v="91"/>
    <s v="Radiator Fan &amp; Shroud Assembly"/>
    <s v="sell fan + motor if shroud bad, sell motor if rest bad"/>
    <s v="sell fan + motor if shroud bad, sell motor if rest bad"/>
    <m/>
    <s v="single"/>
    <m/>
    <n v="550"/>
    <s v="14-18 ALL Except 4.4TT"/>
    <s v="BMW X5 (F15) (14-18)"/>
    <s v="14-18 3.0T N55 (RWD &amp; AWD) | 16-18 2.0T Gas | 14-18 3.0T Diesel N57Y"/>
    <m/>
    <s v="674"/>
    <s v="-"/>
    <n v="60229"/>
    <s v="674-60229"/>
    <m/>
    <m/>
    <m/>
    <m/>
    <m/>
    <m/>
    <s v=""/>
  </r>
  <r>
    <s v=""/>
    <s v="674-60229"/>
    <s v="674-60229-2"/>
    <m/>
    <n v="3"/>
    <s v="ENF"/>
    <d v="2022-04-29T00:00:00"/>
    <m/>
    <m/>
    <s v="KEEP"/>
    <s v="Eng Bay"/>
    <s v="Radiator Fan"/>
    <s v="always"/>
    <m/>
    <m/>
    <m/>
    <m/>
    <s v=". Radiator Fan Motor &amp; Fan Blade"/>
    <m/>
    <m/>
    <m/>
    <m/>
    <m/>
    <m/>
    <m/>
    <x v="91"/>
    <s v="Radiator Fan Motor &amp; Fan Blade"/>
    <s v="sell full assembly if good"/>
    <s v="sell full assembly if good"/>
    <m/>
    <s v="single"/>
    <m/>
    <n v="295"/>
    <s v="14-18 ALL Except 4.4TT"/>
    <s v="BMW X5 (F15) (14-18)"/>
    <s v="14-18 3.0T N55 (RWD &amp; AWD) | 16-18 2.0T Gas | 14-18 3.0T Diesel N57Y"/>
    <m/>
    <s v="674"/>
    <s v="-"/>
    <n v="60229"/>
    <s v="674-60229"/>
    <m/>
    <m/>
    <m/>
    <m/>
    <m/>
    <m/>
    <s v=""/>
  </r>
  <r>
    <s v=""/>
    <s v="674-60229"/>
    <s v="674-60229-3"/>
    <m/>
    <n v="3"/>
    <s v="ENF"/>
    <d v="2022-04-29T00:00:00"/>
    <m/>
    <m/>
    <s v="KEEP"/>
    <s v="Eng Bay"/>
    <s v="Radiator Fan"/>
    <s v="always"/>
    <m/>
    <m/>
    <m/>
    <m/>
    <s v=". Radiator Fan Motor"/>
    <m/>
    <m/>
    <m/>
    <m/>
    <m/>
    <m/>
    <m/>
    <x v="91"/>
    <s v="Radiator Fan Motor"/>
    <s v="sell full assembly if good"/>
    <s v="sell full assembly if good"/>
    <m/>
    <s v="single"/>
    <m/>
    <n v="195"/>
    <s v="14-18 ALL Except 4.4TT"/>
    <s v="BMW X5 (F15) (14-18)"/>
    <s v="14-18 3.0T N55 (RWD &amp; AWD) | 16-18 2.0T Gas | 14-18 3.0T Diesel N57Y"/>
    <m/>
    <s v="674"/>
    <s v="-"/>
    <n v="60229"/>
    <s v="674-60229"/>
    <m/>
    <m/>
    <m/>
    <m/>
    <m/>
    <m/>
    <s v=""/>
  </r>
  <r>
    <s v=""/>
    <s v="675-59726"/>
    <m/>
    <m/>
    <n v="1"/>
    <s v="ENF"/>
    <d v="2022-04-29T00:00:00"/>
    <m/>
    <m/>
    <s v="KEEP"/>
    <s v="Eng Bay"/>
    <s v="Radiators &amp; Condensors"/>
    <s v="always"/>
    <m/>
    <m/>
    <m/>
    <m/>
    <s v=". Radiator, Primary One"/>
    <m/>
    <m/>
    <m/>
    <m/>
    <m/>
    <m/>
    <m/>
    <x v="92"/>
    <s v="Radiator, Primary One"/>
    <s v="It's the thicker / bigger one"/>
    <m/>
    <s v="It's the thicker / bigger one"/>
    <s v="single"/>
    <m/>
    <n v="225"/>
    <s v="14-18 3.0T N55 &amp; N57"/>
    <s v="BMW X5 (F15) (14-18)"/>
    <s v="14-18 3.0T N55 (RWD &amp; AWD) | 14-18 3.0T Diesel N57Y"/>
    <m/>
    <s v="675"/>
    <s v="-"/>
    <n v="59726"/>
    <s v="675-59726"/>
    <s v="14-16 partial"/>
    <m/>
    <m/>
    <m/>
    <m/>
    <m/>
    <s v=""/>
  </r>
  <r>
    <s v=""/>
    <s v="675-59919"/>
    <m/>
    <m/>
    <n v="1"/>
    <s v="ENF"/>
    <d v="2022-04-29T00:00:00"/>
    <m/>
    <m/>
    <s v="KEEP"/>
    <s v="Eng Bay"/>
    <s v="Radiators &amp; Condensors"/>
    <s v="always"/>
    <m/>
    <m/>
    <m/>
    <m/>
    <s v=". Radiator, Primary One"/>
    <m/>
    <m/>
    <m/>
    <m/>
    <m/>
    <m/>
    <m/>
    <x v="92"/>
    <s v="Radiator, Primary One"/>
    <s v="It's the thicker / bigger one"/>
    <m/>
    <s v="It's the thicker / bigger one"/>
    <s v="single"/>
    <m/>
    <n v="225"/>
    <s v="14-18 3.0T N55 &amp; N57"/>
    <s v="BMW X5 (F15) (14-18)"/>
    <s v="14-18 3.0T N55 (RWD &amp; AWD) | 14-18 3.0T Diesel N57Y"/>
    <m/>
    <s v="675"/>
    <s v="-"/>
    <n v="59919"/>
    <s v="675-59919"/>
    <s v="16 partial - 18"/>
    <m/>
    <m/>
    <m/>
    <m/>
    <m/>
    <s v=""/>
  </r>
  <r>
    <s v="A42"/>
    <s v=""/>
    <m/>
    <m/>
    <s v=""/>
    <s v="ENF"/>
    <d v="2023-11-18T00:00:00"/>
    <m/>
    <m/>
    <s v="KEEP"/>
    <s v="Eng Bay"/>
    <s v="Windshield Washer Spray Nozzles"/>
    <s v="never"/>
    <n v="32"/>
    <s v="A42"/>
    <s v="Box 2"/>
    <n v="1"/>
    <s v="A42. Windshield Washer Spray Nozzles &amp; Rubber Hose"/>
    <s v="PIC"/>
    <n v="4"/>
    <n v="7292659"/>
    <s v="Yes"/>
    <m/>
    <m/>
    <m/>
    <x v="93"/>
    <s v="Windshield Washer Spray Nozzles &amp; Rubber Hose"/>
    <s v="toss both if 1 bad"/>
    <s v="toss both if 1 bad"/>
    <m/>
    <s v="single"/>
    <m/>
    <n v="125"/>
    <s v="14-18 ALL"/>
    <s v="BMW X5 (F15) (14-18)"/>
    <s v="F15 ALL"/>
    <m/>
    <m/>
    <m/>
    <m/>
    <m/>
    <m/>
    <s v="F15"/>
    <s v="14-18"/>
    <s v="ALL"/>
    <s v="F15-14-18-ALL"/>
    <s v="Viking10"/>
    <s v="F15-14-18-ALL-Viking10"/>
  </r>
  <r>
    <s v="A26"/>
    <s v="626-997571"/>
    <m/>
    <m/>
    <n v="1"/>
    <s v="ENF"/>
    <d v="2022-04-23T00:00:00"/>
    <m/>
    <m/>
    <s v="KEEP"/>
    <s v="Eng Bay"/>
    <s v="Wiper Arm"/>
    <s v="always"/>
    <n v="16"/>
    <s v="A26"/>
    <s v="Box 1"/>
    <n v="1"/>
    <s v="A26. Wiper Arms, FRONT SET 2"/>
    <s v="PIC"/>
    <n v="5"/>
    <s v="61617304069, 7304069, 61617304071, 7304071"/>
    <s v="Yes"/>
    <m/>
    <m/>
    <m/>
    <x v="94"/>
    <s v="Wiper Arms, FRONT SET 2"/>
    <s v="toss both if 1 bad"/>
    <s v="toss both if 1 bad"/>
    <m/>
    <s v="SET/2"/>
    <m/>
    <n v="100"/>
    <s v="14-18 ALL"/>
    <s v="BMW X5 (F15) (14-18)"/>
    <s v="F15 ALL"/>
    <m/>
    <s v="626"/>
    <s v="-"/>
    <n v="997571"/>
    <s v="626-997571"/>
    <m/>
    <m/>
    <m/>
    <m/>
    <m/>
    <m/>
    <s v=""/>
  </r>
  <r>
    <s v=""/>
    <s v=""/>
    <m/>
    <m/>
    <s v=""/>
    <s v="AJR"/>
    <d v="2023-06-22T00:00:00"/>
    <m/>
    <m/>
    <s v="Toss"/>
    <s v="Eng Bay"/>
    <s v="Air Filter Box"/>
    <s v="always CPI+"/>
    <m/>
    <m/>
    <m/>
    <m/>
    <s v=". Air Filter Cleaner Assembly"/>
    <m/>
    <m/>
    <m/>
    <m/>
    <m/>
    <m/>
    <m/>
    <x v="95"/>
    <s v="Air Filter Cleaner Assembly"/>
    <s v=""/>
    <m/>
    <m/>
    <s v="single"/>
    <m/>
    <m/>
    <s v="14-18 3.0T N55"/>
    <s v="BMW X5 (F15) (14-18)"/>
    <s v="14-18 3.0T N55 (RWD &amp; AWD)"/>
    <m/>
    <m/>
    <s v="-"/>
    <m/>
    <m/>
    <m/>
    <m/>
    <m/>
    <m/>
    <m/>
    <m/>
    <s v=""/>
  </r>
  <r>
    <s v=""/>
    <s v=""/>
    <m/>
    <m/>
    <s v=""/>
    <s v="ENF"/>
    <d v="2022-05-02T00:00:00"/>
    <m/>
    <m/>
    <s v="Toss"/>
    <s v="Eng Bay"/>
    <s v="Reservoir Tank"/>
    <s v="always CPI+"/>
    <m/>
    <m/>
    <m/>
    <m/>
    <s v=". Coolant Expansion Reservoir Tank &amp; Cap"/>
    <m/>
    <m/>
    <m/>
    <m/>
    <m/>
    <m/>
    <m/>
    <x v="96"/>
    <s v="Coolant Expansion Reservoir Tank &amp; Cap"/>
    <s v=""/>
    <m/>
    <m/>
    <s v="single"/>
    <m/>
    <m/>
    <s v="14-18 ALL"/>
    <s v="BMW X5 (F15) (14-18)"/>
    <s v="F15 ALL"/>
    <m/>
    <m/>
    <s v="-"/>
    <m/>
    <m/>
    <m/>
    <m/>
    <m/>
    <m/>
    <m/>
    <m/>
    <s v=""/>
  </r>
  <r>
    <s v=""/>
    <s v=""/>
    <m/>
    <m/>
    <s v=""/>
    <s v="ENF"/>
    <d v="2022-04-29T00:00:00"/>
    <m/>
    <m/>
    <s v="Toss"/>
    <s v="Eng Bay"/>
    <s v="Radiators &amp; Condensors"/>
    <s v="sometimes"/>
    <m/>
    <m/>
    <m/>
    <m/>
    <s v=". Radiator, A/C Condenser Radiator"/>
    <m/>
    <m/>
    <m/>
    <m/>
    <m/>
    <m/>
    <m/>
    <x v="97"/>
    <s v="Radiator, A/C Condenser Radiator"/>
    <s v="the smaller skinnier one"/>
    <m/>
    <s v="the smaller skinnier one"/>
    <s v="single"/>
    <m/>
    <m/>
    <s v="14-18 3.0T N55"/>
    <s v="BMW X5 (F15) (14-18)"/>
    <s v="14-18 3.0T N55 (RWD &amp; AWD)"/>
    <m/>
    <m/>
    <s v="-"/>
    <m/>
    <m/>
    <m/>
    <m/>
    <m/>
    <m/>
    <m/>
    <m/>
    <s v=""/>
  </r>
  <r>
    <s v=""/>
    <s v=""/>
    <m/>
    <m/>
    <s v=""/>
    <s v="ENF"/>
    <d v="2022-05-03T00:00:00"/>
    <m/>
    <m/>
    <s v="Toss"/>
    <s v="Eng Bay"/>
    <s v="Engine Bay Support Bars"/>
    <s v="never"/>
    <m/>
    <m/>
    <m/>
    <m/>
    <s v=". Support Cross Bars, Engine Bays"/>
    <m/>
    <m/>
    <m/>
    <m/>
    <m/>
    <m/>
    <m/>
    <x v="98"/>
    <s v="Support Cross Bars, Engine Bays"/>
    <s v="all aluminum big long one &amp; 2 smaller identical ones"/>
    <m/>
    <s v="all aluminum big long one &amp; 2 smaller identical ones"/>
    <s v="single"/>
    <m/>
    <m/>
    <s v="14-18 ALL"/>
    <s v="BMW X5 (F15) (14-18)"/>
    <s v="F15 ALL"/>
    <m/>
    <m/>
    <m/>
    <m/>
    <m/>
    <m/>
    <m/>
    <m/>
    <m/>
    <m/>
    <m/>
    <s v=""/>
  </r>
  <r>
    <s v=""/>
    <s v=""/>
    <m/>
    <m/>
    <s v=""/>
    <s v="ENF"/>
    <d v="2022-05-02T00:00:00"/>
    <m/>
    <m/>
    <s v="Toss"/>
    <s v="Eng Bay"/>
    <s v="Water &amp; Coolant Pump"/>
    <s v="never"/>
    <m/>
    <m/>
    <m/>
    <m/>
    <s v=". Water Heater Coolant Control Valve Solenoid Pump"/>
    <m/>
    <m/>
    <m/>
    <m/>
    <m/>
    <m/>
    <m/>
    <x v="99"/>
    <s v="Water Heater Coolant Control Valve Solenoid Pump"/>
    <s v="small black w/ 2 solenoids &amp; 3 tubes coming off it"/>
    <m/>
    <s v="small black w/ 2 solenoids &amp; 3 tubes coming off it"/>
    <s v="single"/>
    <m/>
    <m/>
    <s v="14-18 ALL"/>
    <s v="BMW X5 (F15) (14-18)"/>
    <s v="F15 ALL"/>
    <m/>
    <m/>
    <m/>
    <m/>
    <m/>
    <m/>
    <m/>
    <m/>
    <m/>
    <m/>
    <m/>
    <s v=""/>
  </r>
  <r>
    <s v=""/>
    <s v=""/>
    <m/>
    <m/>
    <s v=""/>
    <s v="ENF"/>
    <d v="2022-04-23T00:00:00"/>
    <m/>
    <m/>
    <s v="Toss"/>
    <s v="Eng Bay"/>
    <s v="Wiper Motors &amp; Linkages"/>
    <s v="always"/>
    <m/>
    <m/>
    <m/>
    <m/>
    <s v=". Wiper Motor &amp; Transmission Linkage"/>
    <m/>
    <m/>
    <m/>
    <m/>
    <m/>
    <m/>
    <m/>
    <x v="100"/>
    <s v="Wiper Motor &amp; Transmission Linkage"/>
    <s v=""/>
    <m/>
    <m/>
    <s v="single"/>
    <m/>
    <m/>
    <s v="14-18 ALL"/>
    <s v="BMW X5 (F15) (14-18)"/>
    <s v="F15 ALL"/>
    <m/>
    <m/>
    <s v="-"/>
    <m/>
    <m/>
    <m/>
    <m/>
    <m/>
    <m/>
    <m/>
    <m/>
    <s v=""/>
  </r>
  <r>
    <s v=""/>
    <s v=""/>
    <m/>
    <m/>
    <s v=""/>
    <s v="ENF"/>
    <d v="2023-11-03T00:00:00"/>
    <m/>
    <m/>
    <s v="Toss"/>
    <s v="Exterior"/>
    <s v="Bumpers &amp; Reinforcements"/>
    <s v="sometimes"/>
    <m/>
    <m/>
    <m/>
    <m/>
    <s v=". Bumper Impact Reinforcement Bar, REAR"/>
    <m/>
    <m/>
    <m/>
    <m/>
    <m/>
    <m/>
    <m/>
    <x v="101"/>
    <s v="Bumper Impact Reinforcement Bar, REAR"/>
    <s v=""/>
    <m/>
    <m/>
    <m/>
    <m/>
    <m/>
    <s v="14-18 ALL"/>
    <s v="BMW X5 (F15) (14-18)"/>
    <s v="F15 ALL"/>
    <m/>
    <m/>
    <s v="-"/>
    <m/>
    <m/>
    <m/>
    <m/>
    <m/>
    <m/>
    <s v="F15-14-18-ALL"/>
    <s v="Viking84"/>
    <s v="F15-14-18-ALL-Viking84"/>
  </r>
  <r>
    <s v=""/>
    <s v=""/>
    <m/>
    <m/>
    <s v=""/>
    <s v="ENF"/>
    <d v="2023-11-14T00:00:00"/>
    <m/>
    <m/>
    <s v="KEEP"/>
    <s v="Exterior"/>
    <s v="Bumpers &amp; Reinforcements"/>
    <s v="sometimes"/>
    <m/>
    <m/>
    <m/>
    <m/>
    <s v=". Bumper Bar and Headlight Mounting Bracket, LEFT"/>
    <m/>
    <m/>
    <m/>
    <m/>
    <m/>
    <m/>
    <m/>
    <x v="102"/>
    <s v="Bumper Bar and Headlight Mounting Bracket, LEFT"/>
    <s v=""/>
    <m/>
    <m/>
    <s v="single"/>
    <m/>
    <n v="150"/>
    <s v="14-18 ALL"/>
    <s v="BMW X5 (F15) (14-18)"/>
    <s v="F15 ALL"/>
    <m/>
    <m/>
    <s v="-"/>
    <m/>
    <m/>
    <m/>
    <s v="F15"/>
    <s v="14-18"/>
    <s v="ALL"/>
    <s v="F15-14-18-ALL"/>
    <s v="Viking11"/>
    <s v="F15-14-18-ALL-Viking11"/>
  </r>
  <r>
    <s v=""/>
    <s v=""/>
    <m/>
    <m/>
    <s v=""/>
    <s v="ENF"/>
    <d v="2023-11-14T00:00:00"/>
    <m/>
    <m/>
    <s v="KEEP"/>
    <s v="Exterior"/>
    <s v="Bumpers &amp; Reinforcements"/>
    <s v="sometimes"/>
    <m/>
    <m/>
    <m/>
    <m/>
    <s v=". Bumper Bar and Headlight Mounting Bracket, RIGHT"/>
    <m/>
    <m/>
    <m/>
    <m/>
    <m/>
    <m/>
    <m/>
    <x v="103"/>
    <s v="Bumper Bar and Headlight Mounting Bracket, RIGHT"/>
    <s v=""/>
    <m/>
    <m/>
    <s v="single"/>
    <m/>
    <n v="150"/>
    <s v="14-18 ALL"/>
    <s v="BMW X5 (F15) (14-18)"/>
    <s v="F15 ALL"/>
    <m/>
    <m/>
    <s v="-"/>
    <m/>
    <m/>
    <m/>
    <s v="F15"/>
    <s v="14-18"/>
    <s v="ALL"/>
    <s v="F15-14-18-ALL"/>
    <s v="Viking12"/>
    <s v="F15-14-18-ALL-Viking12"/>
  </r>
  <r>
    <s v=""/>
    <s v=""/>
    <m/>
    <m/>
    <s v=""/>
    <s v="AJR"/>
    <d v="2023-03-08T00:00:00"/>
    <m/>
    <m/>
    <s v="KEEP"/>
    <s v="Exterior"/>
    <s v="Bumpers &amp; Reinforcements"/>
    <s v="sometimes"/>
    <m/>
    <m/>
    <m/>
    <m/>
    <s v=". Bumper Reinforcement Bracket, FRONT SET 2"/>
    <m/>
    <m/>
    <m/>
    <m/>
    <m/>
    <m/>
    <m/>
    <x v="104"/>
    <s v="Bumper Reinforcement Bracket, FRONT SET 2"/>
    <s v="SET 2, sell singles if 1 bad"/>
    <s v="SET 2, sell singles if 1 bad"/>
    <m/>
    <s v="SET/2"/>
    <m/>
    <n v="160"/>
    <s v="14-18 ALL"/>
    <s v="BMW X5 (F15) (14-18)"/>
    <s v="F15 ALL"/>
    <m/>
    <m/>
    <s v="-"/>
    <m/>
    <m/>
    <m/>
    <m/>
    <m/>
    <m/>
    <m/>
    <m/>
    <s v=""/>
  </r>
  <r>
    <s v=""/>
    <s v=""/>
    <m/>
    <m/>
    <s v=""/>
    <s v="AJR"/>
    <d v="2023-03-08T00:00:00"/>
    <m/>
    <m/>
    <s v="KEEP"/>
    <s v="Exterior"/>
    <s v="Bumpers &amp; Reinforcements"/>
    <s v="sometimes"/>
    <m/>
    <m/>
    <m/>
    <m/>
    <s v=". Bumper Reinforcement Bracket, FRONT - LEFT"/>
    <m/>
    <m/>
    <m/>
    <m/>
    <m/>
    <m/>
    <m/>
    <x v="104"/>
    <s v="Bumper Reinforcement Bracket, FRONT - LEFT"/>
    <s v=""/>
    <m/>
    <m/>
    <s v="single"/>
    <m/>
    <n v="90"/>
    <s v="14-18 ALL"/>
    <s v="BMW X5 (F15) (14-18)"/>
    <s v="F15 ALL"/>
    <m/>
    <m/>
    <s v="-"/>
    <m/>
    <m/>
    <m/>
    <m/>
    <m/>
    <m/>
    <m/>
    <m/>
    <s v=""/>
  </r>
  <r>
    <s v=""/>
    <s v=""/>
    <m/>
    <m/>
    <s v=""/>
    <s v="AJR"/>
    <d v="2023-03-08T00:00:00"/>
    <m/>
    <m/>
    <s v="KEEP"/>
    <s v="Exterior"/>
    <s v="Bumpers &amp; Reinforcements"/>
    <s v="sometimes"/>
    <m/>
    <m/>
    <m/>
    <m/>
    <s v=". Bumper Reinforcement Bracket, FRONT - RIGHT"/>
    <m/>
    <m/>
    <m/>
    <m/>
    <m/>
    <m/>
    <m/>
    <x v="104"/>
    <s v="Bumper Reinforcement Bracket, FRONT - RIGHT"/>
    <s v=""/>
    <m/>
    <m/>
    <s v="single"/>
    <m/>
    <n v="90"/>
    <s v="14-18 ALL"/>
    <s v="BMW X5 (F15) (14-18)"/>
    <s v="F15 ALL"/>
    <m/>
    <m/>
    <s v="-"/>
    <m/>
    <m/>
    <m/>
    <m/>
    <m/>
    <m/>
    <m/>
    <m/>
    <s v=""/>
  </r>
  <r>
    <s v=""/>
    <s v="104-60051"/>
    <m/>
    <m/>
    <n v="1"/>
    <s v="ENF"/>
    <d v="2023-10-10T00:00:00"/>
    <m/>
    <m/>
    <s v="KEEP"/>
    <s v="Exterior"/>
    <s v="Grille"/>
    <s v="always"/>
    <m/>
    <m/>
    <m/>
    <m/>
    <s v=". Grille, LOWER BUMPER - CENTER"/>
    <m/>
    <m/>
    <m/>
    <m/>
    <m/>
    <m/>
    <m/>
    <x v="105"/>
    <s v="Grille, LOWER BUMPER - CENTER"/>
    <s v=""/>
    <m/>
    <m/>
    <s v="single"/>
    <m/>
    <n v="150"/>
    <s v="14-18 ALL"/>
    <s v="BMW X5 (F15) (14-18)"/>
    <s v="F15 ALL"/>
    <m/>
    <s v="104"/>
    <s v="-"/>
    <n v="60051"/>
    <s v="104-60051"/>
    <s v="w/ M-aero, w/ adaptive cruise"/>
    <m/>
    <m/>
    <m/>
    <m/>
    <m/>
    <s v=""/>
  </r>
  <r>
    <s v=""/>
    <s v="104-60052"/>
    <m/>
    <m/>
    <n v="1"/>
    <s v="ENF"/>
    <d v="2023-10-10T00:00:00"/>
    <m/>
    <m/>
    <s v="KEEP"/>
    <s v="Exterior"/>
    <s v="Grille"/>
    <s v="always"/>
    <m/>
    <m/>
    <m/>
    <m/>
    <s v=". Grille, LOWER BUMPER - CENTER"/>
    <m/>
    <m/>
    <m/>
    <m/>
    <m/>
    <m/>
    <m/>
    <x v="105"/>
    <s v="Grille, LOWER BUMPER - CENTER"/>
    <s v=""/>
    <m/>
    <m/>
    <s v="single"/>
    <m/>
    <n v="150"/>
    <s v="14-18 ALL"/>
    <s v="BMW X5 (F15) (14-18)"/>
    <s v="F15 ALL"/>
    <m/>
    <s v="104"/>
    <s v="-"/>
    <n v="60052"/>
    <s v="104-60052"/>
    <s v="w/ M-aero, w/o adaptive cruise"/>
    <m/>
    <m/>
    <m/>
    <m/>
    <m/>
    <s v=""/>
  </r>
  <r>
    <s v=""/>
    <s v="104-60053A"/>
    <m/>
    <m/>
    <n v="1"/>
    <s v="ENF"/>
    <d v="2023-10-10T00:00:00"/>
    <m/>
    <m/>
    <s v="KEEP"/>
    <s v="Exterior"/>
    <s v="Grille"/>
    <s v="always"/>
    <m/>
    <m/>
    <m/>
    <m/>
    <s v=". Grille, LOWER BUMPER - CENTER"/>
    <m/>
    <m/>
    <m/>
    <m/>
    <m/>
    <m/>
    <m/>
    <x v="105"/>
    <s v="Grille, LOWER BUMPER - CENTER"/>
    <s v=""/>
    <m/>
    <m/>
    <s v="single"/>
    <m/>
    <n v="150"/>
    <s v="14-18 ALL"/>
    <s v="BMW X5 (F15) (14-18)"/>
    <s v="F15 ALL"/>
    <m/>
    <s v="104"/>
    <s v="-"/>
    <s v="60053A"/>
    <s v="104-60053A"/>
    <s v="w/o M-aero, w/ adaptive cruise, w/ bar design, black"/>
    <m/>
    <m/>
    <m/>
    <m/>
    <m/>
    <s v=""/>
  </r>
  <r>
    <s v=""/>
    <s v="104-60053B"/>
    <m/>
    <m/>
    <n v="1"/>
    <s v="ENF"/>
    <d v="2023-10-10T00:00:00"/>
    <m/>
    <m/>
    <s v="KEEP"/>
    <s v="Exterior"/>
    <s v="Grille"/>
    <s v="always"/>
    <m/>
    <m/>
    <m/>
    <m/>
    <s v=". Grille, LOWER BUMPER - CENTER"/>
    <m/>
    <m/>
    <m/>
    <m/>
    <m/>
    <m/>
    <m/>
    <x v="105"/>
    <s v="Grille, LOWER BUMPER - CENTER"/>
    <s v=""/>
    <m/>
    <m/>
    <s v="single"/>
    <m/>
    <n v="150"/>
    <s v="14-18 ALL"/>
    <s v="BMW X5 (F15) (14-18)"/>
    <s v="F15 ALL"/>
    <m/>
    <s v="104"/>
    <s v="-"/>
    <s v="60053B"/>
    <s v="104-60053B"/>
    <s v="w/o M-aero, w/ adaptive cruise, w/ bar design, black w/ chrome edges"/>
    <m/>
    <m/>
    <m/>
    <m/>
    <m/>
    <s v=""/>
  </r>
  <r>
    <s v=""/>
    <s v="104-60053C"/>
    <m/>
    <m/>
    <n v="1"/>
    <s v="ENF"/>
    <d v="2023-10-10T00:00:00"/>
    <m/>
    <m/>
    <s v="KEEP"/>
    <s v="Exterior"/>
    <s v="Grille"/>
    <s v="always"/>
    <m/>
    <m/>
    <m/>
    <m/>
    <s v=". Grille, LOWER BUMPER - CENTER"/>
    <m/>
    <m/>
    <m/>
    <m/>
    <m/>
    <m/>
    <m/>
    <x v="105"/>
    <s v="Grille, LOWER BUMPER - CENTER"/>
    <s v=""/>
    <m/>
    <m/>
    <s v="single"/>
    <m/>
    <n v="150"/>
    <s v="14-18 ALL"/>
    <s v="BMW X5 (F15) (14-18)"/>
    <s v="F15 ALL"/>
    <m/>
    <s v="104"/>
    <s v="-"/>
    <s v="60053C"/>
    <s v="104-60053C"/>
    <s v="w/o M-aero, w/ adaptive cruise, w/ tab design"/>
    <m/>
    <m/>
    <m/>
    <m/>
    <m/>
    <s v=""/>
  </r>
  <r>
    <s v=""/>
    <s v="104-60054A"/>
    <m/>
    <m/>
    <n v="1"/>
    <s v="ENF"/>
    <d v="2023-10-10T00:00:00"/>
    <m/>
    <m/>
    <s v="KEEP"/>
    <s v="Exterior"/>
    <s v="Grille"/>
    <s v="always"/>
    <m/>
    <m/>
    <m/>
    <m/>
    <s v=". Grille, LOWER BUMPER - CENTER"/>
    <m/>
    <m/>
    <m/>
    <m/>
    <m/>
    <m/>
    <m/>
    <x v="105"/>
    <s v="Grille, LOWER BUMPER - CENTER"/>
    <s v=""/>
    <m/>
    <m/>
    <s v="single"/>
    <m/>
    <n v="150"/>
    <s v="14-18 ALL"/>
    <s v="BMW X5 (F15) (14-18)"/>
    <s v="F15 ALL"/>
    <m/>
    <s v="104"/>
    <s v="-"/>
    <s v="60054A"/>
    <s v="104-60054A"/>
    <s v="w/o M-aero, w/o adaptive cruise, w/ bar design, black"/>
    <m/>
    <m/>
    <m/>
    <m/>
    <m/>
    <s v=""/>
  </r>
  <r>
    <s v=""/>
    <s v="104-60054B"/>
    <m/>
    <m/>
    <n v="1"/>
    <s v="ENF"/>
    <d v="2023-10-10T00:00:00"/>
    <m/>
    <m/>
    <s v="KEEP"/>
    <s v="Exterior"/>
    <s v="Grille"/>
    <s v="always"/>
    <m/>
    <m/>
    <m/>
    <m/>
    <s v=". Grille, LOWER BUMPER - CENTER"/>
    <m/>
    <m/>
    <m/>
    <m/>
    <m/>
    <m/>
    <m/>
    <x v="105"/>
    <s v="Grille, LOWER BUMPER - CENTER"/>
    <s v=""/>
    <m/>
    <m/>
    <s v="single"/>
    <m/>
    <n v="150"/>
    <s v="14-18 ALL"/>
    <s v="BMW X5 (F15) (14-18)"/>
    <s v="F15 ALL"/>
    <m/>
    <s v="104"/>
    <s v="-"/>
    <s v="60054B"/>
    <s v="104-60054B"/>
    <s v="w/o M-aero, w/o adaptive cruise, w/ bar design, black w/ chrome edges"/>
    <m/>
    <m/>
    <m/>
    <m/>
    <m/>
    <s v=""/>
  </r>
  <r>
    <s v=""/>
    <s v="104-60054C"/>
    <m/>
    <m/>
    <n v="1"/>
    <s v="ENF"/>
    <d v="2023-10-10T00:00:00"/>
    <m/>
    <m/>
    <s v="KEEP"/>
    <s v="Exterior"/>
    <s v="Grille"/>
    <s v="always"/>
    <m/>
    <m/>
    <m/>
    <m/>
    <s v=". Grille, LOWER BUMPER - CENTER"/>
    <m/>
    <m/>
    <m/>
    <m/>
    <m/>
    <m/>
    <m/>
    <x v="105"/>
    <s v="Grille, LOWER BUMPER - CENTER"/>
    <s v=""/>
    <m/>
    <m/>
    <s v="single"/>
    <m/>
    <n v="150"/>
    <s v="14-18 ALL"/>
    <s v="BMW X5 (F15) (14-18)"/>
    <s v="F15 ALL"/>
    <m/>
    <s v="104"/>
    <s v="-"/>
    <s v="60054C"/>
    <s v="104-60054C"/>
    <s v="w/o M-aero, w/o adaptive cruise, w/ tab design"/>
    <m/>
    <m/>
    <m/>
    <m/>
    <m/>
    <s v=""/>
  </r>
  <r>
    <s v=""/>
    <s v="104-60056A"/>
    <s v="104-60056A-1"/>
    <m/>
    <n v="2"/>
    <s v="ENF"/>
    <d v="2023-10-10T00:00:00"/>
    <m/>
    <m/>
    <s v="KEEP"/>
    <s v="Exterior"/>
    <s v="Grille"/>
    <s v="always"/>
    <m/>
    <m/>
    <m/>
    <m/>
    <s v=". Grille, LOWER BUMPER - ENDS SET 2"/>
    <m/>
    <m/>
    <m/>
    <m/>
    <m/>
    <m/>
    <m/>
    <x v="106"/>
    <s v="Grille, LOWER BUMPER - ENDS SET 2"/>
    <s v="SET 2, sell single if 1 bad"/>
    <s v="SET 2, sell single if 1 bad"/>
    <m/>
    <s v="SET/2"/>
    <m/>
    <n v="125"/>
    <s v="14-18 ALL"/>
    <s v="BMW X5 (F15) (14-18)"/>
    <s v="F15 ALL"/>
    <m/>
    <s v="104"/>
    <s v="-"/>
    <s v="60056A"/>
    <s v="104-60056A"/>
    <s v="w/ M-aero, w/ closed grid, SET/2"/>
    <m/>
    <m/>
    <m/>
    <m/>
    <m/>
    <s v=""/>
  </r>
  <r>
    <s v=""/>
    <s v="104-60056A"/>
    <s v="104-60056A-2"/>
    <m/>
    <n v="2"/>
    <s v="ENF"/>
    <d v="2023-10-10T00:00:00"/>
    <m/>
    <m/>
    <s v="KEEP"/>
    <s v="Exterior"/>
    <s v="Grille"/>
    <s v="always"/>
    <m/>
    <m/>
    <m/>
    <m/>
    <s v=". Grille, LOWER BUMPER - END - LEFT"/>
    <m/>
    <m/>
    <m/>
    <m/>
    <m/>
    <m/>
    <m/>
    <x v="106"/>
    <s v="Grille, LOWER BUMPER - END - LEFT"/>
    <s v=""/>
    <m/>
    <m/>
    <s v="single"/>
    <m/>
    <n v="75"/>
    <s v="14-18 ALL"/>
    <s v="BMW X5 (F15) (14-18)"/>
    <s v="F15 ALL"/>
    <m/>
    <s v="104"/>
    <s v="-"/>
    <s v="60056A"/>
    <s v="104-60056A"/>
    <s v="w/ M-aero, w/ closed grid, LEFT"/>
    <m/>
    <m/>
    <m/>
    <m/>
    <m/>
    <s v=""/>
  </r>
  <r>
    <s v=""/>
    <s v="104-60055A"/>
    <m/>
    <m/>
    <n v="1"/>
    <s v="ENF"/>
    <d v="2023-10-10T00:00:00"/>
    <m/>
    <m/>
    <s v="KEEP"/>
    <s v="Exterior"/>
    <s v="Grille"/>
    <s v="always"/>
    <m/>
    <m/>
    <m/>
    <m/>
    <s v=". Grille, LOWER BUMPER - END - RIGHT"/>
    <m/>
    <m/>
    <m/>
    <m/>
    <m/>
    <m/>
    <m/>
    <x v="106"/>
    <s v="Grille, LOWER BUMPER - END - RIGHT"/>
    <s v=""/>
    <m/>
    <m/>
    <s v="single"/>
    <m/>
    <n v="75"/>
    <s v="14-18 ALL"/>
    <s v="BMW X5 (F15) (14-18)"/>
    <s v="F15 ALL"/>
    <m/>
    <s v="104"/>
    <s v="-"/>
    <s v="60055A"/>
    <s v="104-60055A"/>
    <s v="w/ M-aero, w/ closed grid, RIGHT"/>
    <m/>
    <m/>
    <m/>
    <m/>
    <m/>
    <s v=""/>
  </r>
  <r>
    <s v=""/>
    <s v="104-60056B"/>
    <s v="104-60056B-1"/>
    <m/>
    <n v="2"/>
    <s v="ENF"/>
    <d v="2023-10-10T00:00:00"/>
    <m/>
    <m/>
    <s v="KEEP"/>
    <s v="Exterior"/>
    <s v="Grille"/>
    <s v="always"/>
    <m/>
    <m/>
    <m/>
    <m/>
    <s v=". Grille, LOWER BUMPER - ENDS SET 2"/>
    <m/>
    <m/>
    <m/>
    <m/>
    <m/>
    <m/>
    <m/>
    <x v="106"/>
    <s v="Grille, LOWER BUMPER - ENDS SET 2"/>
    <s v="SET 2, sell single if 1 bad"/>
    <s v="SET 2, sell single if 1 bad"/>
    <m/>
    <s v="SET/2"/>
    <m/>
    <n v="125"/>
    <s v="14-18 ALL"/>
    <s v="BMW X5 (F15) (14-18)"/>
    <s v="F15 ALL"/>
    <m/>
    <s v="104"/>
    <s v="-"/>
    <s v="60056B"/>
    <s v="104-60056B"/>
    <s v="w/ M-aero, w/ open grid, SET/2"/>
    <m/>
    <m/>
    <m/>
    <m/>
    <m/>
    <s v=""/>
  </r>
  <r>
    <s v=""/>
    <s v="104-60056B"/>
    <s v="104-60056B-2"/>
    <m/>
    <n v="2"/>
    <s v="ENF"/>
    <d v="2023-10-10T00:00:00"/>
    <m/>
    <m/>
    <s v="KEEP"/>
    <s v="Exterior"/>
    <s v="Grille"/>
    <s v="always"/>
    <m/>
    <m/>
    <m/>
    <m/>
    <s v=". Grille, LOWER BUMPER - END - LEFT"/>
    <m/>
    <m/>
    <m/>
    <m/>
    <m/>
    <m/>
    <m/>
    <x v="106"/>
    <s v="Grille, LOWER BUMPER - END - LEFT"/>
    <s v=""/>
    <m/>
    <m/>
    <s v="single"/>
    <m/>
    <n v="75"/>
    <s v="14-18 ALL"/>
    <s v="BMW X5 (F15) (14-18)"/>
    <s v="F15 ALL"/>
    <m/>
    <s v="104"/>
    <s v="-"/>
    <s v="60056B"/>
    <s v="104-60056B"/>
    <s v="w/ M-aero, w/ open grid, LEFT"/>
    <m/>
    <m/>
    <m/>
    <m/>
    <m/>
    <s v=""/>
  </r>
  <r>
    <s v=""/>
    <s v="104-60055B"/>
    <m/>
    <m/>
    <n v="1"/>
    <s v="ENF"/>
    <d v="2023-10-10T00:00:00"/>
    <m/>
    <m/>
    <s v="KEEP"/>
    <s v="Exterior"/>
    <s v="Grille"/>
    <s v="always"/>
    <m/>
    <m/>
    <m/>
    <m/>
    <s v=". Grille, LOWER BUMPER - END - RIGHT"/>
    <m/>
    <m/>
    <m/>
    <m/>
    <m/>
    <m/>
    <m/>
    <x v="106"/>
    <s v="Grille, LOWER BUMPER - END - RIGHT"/>
    <s v=""/>
    <m/>
    <m/>
    <s v="single"/>
    <m/>
    <n v="75"/>
    <s v="14-18 ALL"/>
    <s v="BMW X5 (F15) (14-18)"/>
    <s v="F15 ALL"/>
    <m/>
    <s v="104"/>
    <s v="-"/>
    <s v="60055B"/>
    <s v="104-60055B"/>
    <s v="w/ M-aero, w/ open grid, RIGHT"/>
    <m/>
    <m/>
    <m/>
    <m/>
    <m/>
    <s v=""/>
  </r>
  <r>
    <s v=""/>
    <s v="104-60058A"/>
    <s v="104-60058A-1"/>
    <m/>
    <n v="2"/>
    <s v="ENF"/>
    <d v="2023-10-10T00:00:00"/>
    <m/>
    <m/>
    <s v="KEEP"/>
    <s v="Exterior"/>
    <s v="Grille"/>
    <s v="always"/>
    <m/>
    <m/>
    <m/>
    <m/>
    <s v=". Grille, LOWER BUMPER - ENDS SET 2"/>
    <m/>
    <m/>
    <m/>
    <m/>
    <m/>
    <m/>
    <m/>
    <x v="106"/>
    <s v="Grille, LOWER BUMPER - ENDS SET 2"/>
    <s v="SET 2, sell single if 1 bad"/>
    <s v="SET 2, sell single if 1 bad"/>
    <m/>
    <s v="SET/2"/>
    <m/>
    <n v="125"/>
    <s v="14-18 ALL"/>
    <s v="BMW X5 (F15) (14-18)"/>
    <s v="F15 ALL"/>
    <m/>
    <s v="104"/>
    <s v="-"/>
    <s v="60058A"/>
    <s v="104-60058A"/>
    <s v="w/o M-Aero, w/ bar design, w/ closed grid, SET/2"/>
    <m/>
    <m/>
    <m/>
    <m/>
    <m/>
    <s v=""/>
  </r>
  <r>
    <s v=""/>
    <s v="104-60058A"/>
    <s v="104-60058A-2"/>
    <m/>
    <n v="2"/>
    <s v="ENF"/>
    <d v="2023-10-10T00:00:00"/>
    <m/>
    <m/>
    <s v="KEEP"/>
    <s v="Exterior"/>
    <s v="Grille"/>
    <s v="always"/>
    <m/>
    <m/>
    <m/>
    <m/>
    <s v=". Grille, LOWER BUMPER - END - LEFT"/>
    <m/>
    <m/>
    <m/>
    <m/>
    <m/>
    <m/>
    <m/>
    <x v="106"/>
    <s v="Grille, LOWER BUMPER - END - LEFT"/>
    <s v=""/>
    <m/>
    <m/>
    <s v="single"/>
    <m/>
    <n v="75"/>
    <s v="14-18 ALL"/>
    <s v="BMW X5 (F15) (14-18)"/>
    <s v="F15 ALL"/>
    <m/>
    <s v="104"/>
    <s v="-"/>
    <s v="60058A"/>
    <s v="104-60058A"/>
    <s v="w/o M-Aero, w/ bar design, w/ closed grid, LEFT"/>
    <m/>
    <m/>
    <m/>
    <m/>
    <m/>
    <s v=""/>
  </r>
  <r>
    <s v=""/>
    <s v="104-60057A"/>
    <m/>
    <m/>
    <n v="1"/>
    <s v="ENF"/>
    <d v="2023-10-10T00:00:00"/>
    <m/>
    <m/>
    <s v="KEEP"/>
    <s v="Exterior"/>
    <s v="Grille"/>
    <s v="always"/>
    <m/>
    <m/>
    <m/>
    <m/>
    <s v=". Grille, LOWER BUMPER - END - RIGHT"/>
    <m/>
    <m/>
    <m/>
    <m/>
    <m/>
    <m/>
    <m/>
    <x v="106"/>
    <s v="Grille, LOWER BUMPER - END - RIGHT"/>
    <s v=""/>
    <m/>
    <m/>
    <s v="single"/>
    <m/>
    <n v="75"/>
    <s v="14-18 ALL"/>
    <s v="BMW X5 (F15) (14-18)"/>
    <s v="F15 ALL"/>
    <m/>
    <s v="104"/>
    <s v="-"/>
    <s v="60057A"/>
    <s v="104-60057A"/>
    <s v="w/o M-Aero, w/ bar design, w/ closed grid, RIGHT"/>
    <m/>
    <m/>
    <m/>
    <m/>
    <m/>
    <s v=""/>
  </r>
  <r>
    <s v=""/>
    <s v="104-60058B"/>
    <s v="104-60058B-1"/>
    <m/>
    <n v="2"/>
    <s v="ENF"/>
    <d v="2023-10-10T00:00:00"/>
    <m/>
    <m/>
    <s v="KEEP"/>
    <s v="Exterior"/>
    <s v="Grille"/>
    <s v="always"/>
    <m/>
    <m/>
    <m/>
    <m/>
    <s v=". Grille, LOWER BUMPER - ENDS SET 2"/>
    <m/>
    <m/>
    <m/>
    <m/>
    <m/>
    <m/>
    <m/>
    <x v="106"/>
    <s v="Grille, LOWER BUMPER - ENDS SET 2"/>
    <s v="SET 2, sell single if 1 bad"/>
    <s v="SET 2, sell single if 1 bad"/>
    <m/>
    <s v="SET/2"/>
    <m/>
    <n v="125"/>
    <s v="14-18 ALL"/>
    <s v="BMW X5 (F15) (14-18)"/>
    <s v="F15 ALL"/>
    <m/>
    <s v="104"/>
    <s v="-"/>
    <s v="60058B"/>
    <s v="104-60058B"/>
    <s v="w/o M-Aero, w/ bar design, w/ open grid, SET/2"/>
    <m/>
    <m/>
    <m/>
    <m/>
    <m/>
    <s v=""/>
  </r>
  <r>
    <s v=""/>
    <s v="104-60058B"/>
    <s v="104-60058B-2"/>
    <m/>
    <n v="2"/>
    <s v="ENF"/>
    <d v="2023-10-10T00:00:00"/>
    <m/>
    <m/>
    <s v="KEEP"/>
    <s v="Exterior"/>
    <s v="Grille"/>
    <s v="always"/>
    <m/>
    <m/>
    <m/>
    <m/>
    <s v=". Grille, LOWER BUMPER - END - LEFT"/>
    <m/>
    <m/>
    <m/>
    <m/>
    <m/>
    <m/>
    <m/>
    <x v="106"/>
    <s v="Grille, LOWER BUMPER - END - LEFT"/>
    <s v=""/>
    <m/>
    <m/>
    <s v="single"/>
    <m/>
    <n v="75"/>
    <s v="14-18 ALL"/>
    <s v="BMW X5 (F15) (14-18)"/>
    <s v="F15 ALL"/>
    <m/>
    <s v="104"/>
    <s v="-"/>
    <s v="60058B"/>
    <s v="104-60058B"/>
    <s v="w/o M-Aero, w/ bar design, w/ open grid, LEFT"/>
    <m/>
    <m/>
    <m/>
    <m/>
    <m/>
    <s v=""/>
  </r>
  <r>
    <s v=""/>
    <s v="104-60057B"/>
    <m/>
    <m/>
    <n v="1"/>
    <s v="ENF"/>
    <d v="2023-10-10T00:00:00"/>
    <m/>
    <m/>
    <s v="KEEP"/>
    <s v="Exterior"/>
    <s v="Grille"/>
    <s v="always"/>
    <m/>
    <m/>
    <m/>
    <m/>
    <s v=". Grille, LOWER BUMPER - END - RIGHT"/>
    <m/>
    <m/>
    <m/>
    <m/>
    <m/>
    <m/>
    <m/>
    <x v="106"/>
    <s v="Grille, LOWER BUMPER - END - RIGHT"/>
    <s v=""/>
    <m/>
    <m/>
    <s v="single"/>
    <m/>
    <n v="75"/>
    <s v="14-18 ALL"/>
    <s v="BMW X5 (F15) (14-18)"/>
    <s v="F15 ALL"/>
    <m/>
    <s v="104"/>
    <s v="-"/>
    <s v="60057B"/>
    <s v="104-60057B"/>
    <s v="w/o M-Aero, w/ bar design, w/ open grid, RIGHT"/>
    <m/>
    <m/>
    <m/>
    <m/>
    <m/>
    <s v=""/>
  </r>
  <r>
    <s v=""/>
    <s v="104-60058C"/>
    <s v="104-60058C-1"/>
    <m/>
    <n v="2"/>
    <s v="ENF"/>
    <d v="2023-10-10T00:00:00"/>
    <m/>
    <m/>
    <s v="KEEP"/>
    <s v="Exterior"/>
    <s v="Grille"/>
    <s v="always"/>
    <m/>
    <m/>
    <m/>
    <m/>
    <s v=". Grille, LOWER BUMPER - ENDS SET 2"/>
    <m/>
    <m/>
    <m/>
    <m/>
    <m/>
    <m/>
    <m/>
    <x v="106"/>
    <s v="Grille, LOWER BUMPER - ENDS SET 2"/>
    <s v="SET 2, sell single if 1 bad"/>
    <s v="SET 2, sell single if 1 bad"/>
    <m/>
    <s v="SET/2"/>
    <m/>
    <n v="125"/>
    <s v="14-18 ALL"/>
    <s v="BMW X5 (F15) (14-18)"/>
    <s v="F15 ALL"/>
    <m/>
    <s v="104"/>
    <s v="-"/>
    <s v="60058C"/>
    <s v="104-60058C"/>
    <s v="w/o M-Aero, w/ tab design, w/ closed grid, SET/2"/>
    <m/>
    <m/>
    <m/>
    <m/>
    <m/>
    <s v=""/>
  </r>
  <r>
    <s v=""/>
    <s v="104-60058C"/>
    <s v="104-60058C-2"/>
    <m/>
    <n v="2"/>
    <s v="ENF"/>
    <d v="2023-10-10T00:00:00"/>
    <m/>
    <m/>
    <s v="KEEP"/>
    <s v="Exterior"/>
    <s v="Grille"/>
    <s v="always"/>
    <m/>
    <m/>
    <m/>
    <m/>
    <s v=". Grille, LOWER BUMPER - END - LEFT"/>
    <m/>
    <m/>
    <m/>
    <m/>
    <m/>
    <m/>
    <m/>
    <x v="106"/>
    <s v="Grille, LOWER BUMPER - END - LEFT"/>
    <s v=""/>
    <m/>
    <m/>
    <s v="single"/>
    <m/>
    <n v="75"/>
    <s v="14-18 ALL"/>
    <s v="BMW X5 (F15) (14-18)"/>
    <s v="F15 ALL"/>
    <m/>
    <s v="104"/>
    <s v="-"/>
    <s v="60058C"/>
    <s v="104-60058C"/>
    <s v="w/o M-Aero, w/ tab design, w/ closed grid, LEFT"/>
    <m/>
    <m/>
    <m/>
    <m/>
    <m/>
    <s v=""/>
  </r>
  <r>
    <s v=""/>
    <s v="104-60057C"/>
    <m/>
    <m/>
    <n v="1"/>
    <s v="ENF"/>
    <d v="2023-10-10T00:00:00"/>
    <m/>
    <m/>
    <s v="KEEP"/>
    <s v="Exterior"/>
    <s v="Grille"/>
    <s v="always"/>
    <m/>
    <m/>
    <m/>
    <m/>
    <s v=". Grille, LOWER BUMPER - END - RIGHT"/>
    <m/>
    <m/>
    <m/>
    <m/>
    <m/>
    <m/>
    <m/>
    <x v="106"/>
    <s v="Grille, LOWER BUMPER - END - RIGHT"/>
    <s v=""/>
    <m/>
    <m/>
    <s v="single"/>
    <m/>
    <n v="75"/>
    <s v="14-18 ALL"/>
    <s v="BMW X5 (F15) (14-18)"/>
    <s v="F15 ALL"/>
    <m/>
    <s v="104"/>
    <s v="-"/>
    <s v="60057C"/>
    <s v="104-60057C"/>
    <s v="w/o M-Aero, w/ tab design, w/ closed grid, RIGHT"/>
    <m/>
    <m/>
    <m/>
    <m/>
    <m/>
    <s v=""/>
  </r>
  <r>
    <s v=""/>
    <s v="104-60058D"/>
    <s v="104-60058D-1"/>
    <m/>
    <n v="2"/>
    <s v="ENF"/>
    <d v="2023-10-10T00:00:00"/>
    <m/>
    <m/>
    <s v="KEEP"/>
    <s v="Exterior"/>
    <s v="Grille"/>
    <s v="always"/>
    <m/>
    <m/>
    <m/>
    <m/>
    <s v=". Grille, LOWER BUMPER - ENDS SET 2"/>
    <m/>
    <m/>
    <m/>
    <m/>
    <m/>
    <m/>
    <m/>
    <x v="106"/>
    <s v="Grille, LOWER BUMPER - ENDS SET 2"/>
    <s v="SET 2, sell single if 1 bad"/>
    <s v="SET 2, sell single if 1 bad"/>
    <m/>
    <s v="SET/2"/>
    <m/>
    <n v="125"/>
    <s v="14-18 ALL"/>
    <s v="BMW X5 (F15) (14-18)"/>
    <s v="F15 ALL"/>
    <m/>
    <s v="104"/>
    <s v="-"/>
    <s v="60058D"/>
    <s v="104-60058D"/>
    <s v="w/o M-Aero, w/ tab design, w/ open grid, SET/2"/>
    <m/>
    <m/>
    <m/>
    <m/>
    <m/>
    <s v=""/>
  </r>
  <r>
    <s v=""/>
    <s v="104-60058D"/>
    <s v="104-60058D-2"/>
    <m/>
    <n v="2"/>
    <s v="ENF"/>
    <d v="2023-10-10T00:00:00"/>
    <m/>
    <m/>
    <s v="KEEP"/>
    <s v="Exterior"/>
    <s v="Grille"/>
    <s v="always"/>
    <m/>
    <m/>
    <m/>
    <m/>
    <s v=". Grille, LOWER BUMPER - END - LEFT"/>
    <m/>
    <m/>
    <m/>
    <m/>
    <m/>
    <m/>
    <m/>
    <x v="106"/>
    <s v="Grille, LOWER BUMPER - END - LEFT"/>
    <s v=""/>
    <m/>
    <m/>
    <s v="single"/>
    <m/>
    <n v="75"/>
    <s v="14-18 ALL"/>
    <s v="BMW X5 (F15) (14-18)"/>
    <s v="F15 ALL"/>
    <m/>
    <s v="104"/>
    <s v="-"/>
    <s v="60058D"/>
    <s v="104-60058D"/>
    <s v="w/o M-Aero, w/ tab design, w/ open grid, LEFT"/>
    <m/>
    <m/>
    <m/>
    <m/>
    <m/>
    <s v=""/>
  </r>
  <r>
    <s v=""/>
    <s v="104-60057D"/>
    <m/>
    <m/>
    <n v="1"/>
    <s v="ENF"/>
    <d v="2023-10-10T00:00:00"/>
    <m/>
    <m/>
    <s v="KEEP"/>
    <s v="Exterior"/>
    <s v="Grille"/>
    <s v="always"/>
    <m/>
    <m/>
    <m/>
    <m/>
    <s v=". Grille, LOWER BUMPER - END - RIGHT"/>
    <m/>
    <m/>
    <m/>
    <m/>
    <m/>
    <m/>
    <m/>
    <x v="106"/>
    <s v="Grille, LOWER BUMPER - END - RIGHT"/>
    <s v=""/>
    <m/>
    <m/>
    <s v="single"/>
    <m/>
    <n v="75"/>
    <s v="14-18 ALL"/>
    <s v="BMW X5 (F15) (14-18)"/>
    <s v="F15 ALL"/>
    <m/>
    <s v="104"/>
    <s v="-"/>
    <s v="60057D"/>
    <s v="104-60057D"/>
    <s v="w/o M-Aero, w/ tab design, w/ open grid, RIGHT"/>
    <m/>
    <m/>
    <m/>
    <m/>
    <m/>
    <s v=""/>
  </r>
  <r>
    <s v=""/>
    <s v="104-60049"/>
    <m/>
    <m/>
    <n v="1"/>
    <s v="ENF"/>
    <d v="2023-10-17T00:00:00"/>
    <m/>
    <m/>
    <s v="KEEP"/>
    <s v="Exterior"/>
    <s v="Grille"/>
    <s v="always"/>
    <m/>
    <m/>
    <m/>
    <m/>
    <s v=". Grille, CENTER MIDDLE"/>
    <m/>
    <m/>
    <m/>
    <m/>
    <m/>
    <m/>
    <m/>
    <x v="107"/>
    <s v="Grille, CENTER MIDDLE"/>
    <s v=""/>
    <m/>
    <m/>
    <s v="single"/>
    <m/>
    <n v="125"/>
    <s v="14-18 ALL"/>
    <s v="BMW X5 (F15) (14-18)"/>
    <s v="F15 ALL"/>
    <m/>
    <s v="104"/>
    <s v="-"/>
    <n v="60049"/>
    <s v="104-60049"/>
    <s v="w/ M-aero"/>
    <m/>
    <m/>
    <m/>
    <m/>
    <m/>
    <s v=""/>
  </r>
  <r>
    <s v=""/>
    <s v="104-60050A"/>
    <m/>
    <m/>
    <n v="1"/>
    <s v="ENF"/>
    <d v="2023-10-17T00:00:00"/>
    <m/>
    <m/>
    <s v="KEEP"/>
    <s v="Exterior"/>
    <s v="Grille"/>
    <s v="always"/>
    <m/>
    <m/>
    <m/>
    <m/>
    <s v=". Grille, CENTER MIDDLE"/>
    <m/>
    <m/>
    <m/>
    <m/>
    <m/>
    <m/>
    <m/>
    <x v="107"/>
    <s v="Grille, CENTER MIDDLE"/>
    <s v=""/>
    <m/>
    <m/>
    <s v="single"/>
    <m/>
    <n v="125"/>
    <s v="14-18 ALL"/>
    <s v="BMW X5 (F15) (14-18)"/>
    <s v="F15 ALL"/>
    <m/>
    <s v="104"/>
    <s v="-"/>
    <s v="60050A"/>
    <s v="104-60050A"/>
    <s v="w/o M-aero, w/ bar design"/>
    <m/>
    <m/>
    <m/>
    <m/>
    <m/>
    <s v=""/>
  </r>
  <r>
    <s v=""/>
    <s v="104-60050B"/>
    <m/>
    <m/>
    <n v="1"/>
    <s v="ENF"/>
    <d v="2023-10-17T00:00:00"/>
    <m/>
    <m/>
    <s v="KEEP"/>
    <s v="Exterior"/>
    <s v="Grille"/>
    <s v="always"/>
    <m/>
    <m/>
    <m/>
    <m/>
    <s v=". Grille, CENTER MIDDLE"/>
    <m/>
    <m/>
    <m/>
    <m/>
    <m/>
    <m/>
    <m/>
    <x v="107"/>
    <s v="Grille, CENTER MIDDLE"/>
    <s v=""/>
    <m/>
    <m/>
    <s v="single"/>
    <m/>
    <n v="125"/>
    <s v="14-18 ALL"/>
    <s v="BMW X5 (F15) (14-18)"/>
    <s v="F15 ALL"/>
    <m/>
    <s v="104"/>
    <s v="-"/>
    <s v="60050B"/>
    <s v="104-60050B"/>
    <s v="w/o M-aero, w/ tab design"/>
    <m/>
    <m/>
    <m/>
    <m/>
    <m/>
    <s v=""/>
  </r>
  <r>
    <s v=""/>
    <s v="104-60041C"/>
    <s v="104-60041C-1"/>
    <m/>
    <n v="2"/>
    <s v="ENF"/>
    <d v="2023-10-17T00:00:00"/>
    <m/>
    <m/>
    <s v="KEEP"/>
    <s v="Exterior"/>
    <s v="Grille"/>
    <s v="always"/>
    <m/>
    <m/>
    <m/>
    <m/>
    <s v=". Grille, UPPER KIDNEY GRILLE SET 2"/>
    <m/>
    <m/>
    <m/>
    <m/>
    <m/>
    <m/>
    <m/>
    <x v="108"/>
    <s v="Grille, UPPER KIDNEY GRILLE SET 2"/>
    <s v="SET 2, sell single if 1 bad"/>
    <s v="SET 2, sell single if 1 bad"/>
    <m/>
    <s v="SET/2"/>
    <m/>
    <n v="150"/>
    <s v="14-18 ALL"/>
    <s v="BMW X5 (F15) (14-18)"/>
    <s v="F15 ALL"/>
    <m/>
    <s v="104"/>
    <s v="-"/>
    <s v="60041C"/>
    <s v="104-60041C"/>
    <s v="w/ night vision, w/ chrome surround, w/ aluminum matte center fins, SET/2"/>
    <m/>
    <m/>
    <m/>
    <m/>
    <m/>
    <s v=""/>
  </r>
  <r>
    <s v=""/>
    <s v="104-60041C"/>
    <s v="104-60041C-2"/>
    <m/>
    <n v="2"/>
    <s v="ENF"/>
    <d v="2023-10-17T00:00:00"/>
    <m/>
    <m/>
    <s v="KEEP"/>
    <s v="Exterior"/>
    <s v="Grille"/>
    <s v="always"/>
    <m/>
    <m/>
    <m/>
    <m/>
    <s v=". Grille, UPPER KIDNEY GRILLE, LEFT"/>
    <m/>
    <m/>
    <m/>
    <m/>
    <m/>
    <m/>
    <m/>
    <x v="108"/>
    <s v="Grille, UPPER KIDNEY GRILLE, LEFT"/>
    <s v=""/>
    <m/>
    <m/>
    <s v="single"/>
    <m/>
    <n v="75"/>
    <s v="14-18 ALL"/>
    <s v="BMW X5 (F15) (14-18)"/>
    <s v="F15 ALL"/>
    <m/>
    <s v="104"/>
    <s v="-"/>
    <s v="60041C"/>
    <s v="104-60041C"/>
    <s v="w/ night vision, w/ chrome surround, w/ aluminum matte center fins, LEFT"/>
    <m/>
    <m/>
    <m/>
    <m/>
    <m/>
    <s v=""/>
  </r>
  <r>
    <s v=""/>
    <s v="104-60040C"/>
    <m/>
    <m/>
    <n v="1"/>
    <s v="ENF"/>
    <d v="2023-10-17T00:00:00"/>
    <m/>
    <m/>
    <s v="KEEP"/>
    <s v="Exterior"/>
    <s v="Grille"/>
    <s v="always"/>
    <m/>
    <m/>
    <m/>
    <m/>
    <s v=". Grille, UPPER KIDNEY GRILLE, RIGHT"/>
    <m/>
    <m/>
    <m/>
    <m/>
    <m/>
    <m/>
    <m/>
    <x v="108"/>
    <s v="Grille, UPPER KIDNEY GRILLE, RIGHT"/>
    <s v=""/>
    <m/>
    <m/>
    <s v="single"/>
    <m/>
    <n v="75"/>
    <s v="14-18 ALL"/>
    <s v="BMW X5 (F15) (14-18)"/>
    <s v="F15 ALL"/>
    <m/>
    <s v="104"/>
    <s v="-"/>
    <s v="60040C"/>
    <s v="104-60040C"/>
    <s v="w/ &amp; w/o night vision, w/ chrome surround, w/ aluminum matte center fins, RIGHT"/>
    <m/>
    <m/>
    <m/>
    <m/>
    <m/>
    <s v=""/>
  </r>
  <r>
    <s v=""/>
    <s v="104-60041A"/>
    <m/>
    <m/>
    <n v="2"/>
    <s v="ENF"/>
    <d v="2023-10-17T00:00:00"/>
    <m/>
    <m/>
    <s v="KEEP"/>
    <s v="Exterior"/>
    <s v="Grille"/>
    <s v="always"/>
    <m/>
    <m/>
    <m/>
    <m/>
    <s v=". Grille, UPPER KIDNEY GRILLE SET 2"/>
    <m/>
    <m/>
    <m/>
    <m/>
    <m/>
    <m/>
    <m/>
    <x v="108"/>
    <s v="Grille, UPPER KIDNEY GRILLE SET 2"/>
    <s v="SET 2, sell single if 1 bad"/>
    <s v="SET 2, sell single if 1 bad"/>
    <m/>
    <s v="SET/2"/>
    <m/>
    <n v="150"/>
    <s v="14-18 ALL"/>
    <s v="BMW X5 (F15) (14-18)"/>
    <s v="F15 ALL"/>
    <m/>
    <s v="104"/>
    <s v="-"/>
    <s v="60041A"/>
    <s v="104-60041A"/>
    <s v="w/ night vision, w/ chrome surround, w/ black center fins, SET/2"/>
    <m/>
    <m/>
    <m/>
    <m/>
    <m/>
    <s v=""/>
  </r>
  <r>
    <s v=""/>
    <s v="104-60041A"/>
    <m/>
    <m/>
    <n v="2"/>
    <s v="ENF"/>
    <d v="2023-10-17T00:00:00"/>
    <m/>
    <m/>
    <s v="KEEP"/>
    <s v="Exterior"/>
    <s v="Grille"/>
    <s v="always"/>
    <m/>
    <m/>
    <m/>
    <m/>
    <s v=". Grille, UPPER KIDNEY GRILLE, LEFT"/>
    <m/>
    <m/>
    <m/>
    <m/>
    <m/>
    <m/>
    <m/>
    <x v="108"/>
    <s v="Grille, UPPER KIDNEY GRILLE, LEFT"/>
    <s v=""/>
    <m/>
    <m/>
    <s v="single"/>
    <m/>
    <n v="75"/>
    <s v="14-18 ALL"/>
    <s v="BMW X5 (F15) (14-18)"/>
    <s v="F15 ALL"/>
    <m/>
    <s v="104"/>
    <s v="-"/>
    <s v="60041A"/>
    <s v="104-60041A"/>
    <s v="w/ night vision, w/ chrome surround, w/ black center fins, LEFT"/>
    <m/>
    <m/>
    <m/>
    <m/>
    <m/>
    <s v=""/>
  </r>
  <r>
    <s v=""/>
    <s v="104-60040A"/>
    <m/>
    <m/>
    <n v="1"/>
    <s v="ENF"/>
    <d v="2023-10-17T00:00:00"/>
    <m/>
    <m/>
    <s v="KEEP"/>
    <s v="Exterior"/>
    <s v="Grille"/>
    <s v="always"/>
    <m/>
    <m/>
    <m/>
    <m/>
    <s v=". Grille, UPPER KIDNEY GRILLE, RIGHT"/>
    <m/>
    <m/>
    <m/>
    <m/>
    <m/>
    <m/>
    <m/>
    <x v="108"/>
    <s v="Grille, UPPER KIDNEY GRILLE, RIGHT"/>
    <s v=""/>
    <m/>
    <m/>
    <s v="single"/>
    <m/>
    <n v="75"/>
    <s v="14-18 ALL"/>
    <s v="BMW X5 (F15) (14-18)"/>
    <s v="F15 ALL"/>
    <m/>
    <s v="104"/>
    <s v="-"/>
    <s v="60040A"/>
    <s v="104-60040A"/>
    <s v="w/ &amp; w/o night vision, w/ chrome surround, w/ black center fins, RIGHT"/>
    <m/>
    <m/>
    <m/>
    <m/>
    <m/>
    <s v=""/>
  </r>
  <r>
    <s v=""/>
    <s v="104-60041B"/>
    <m/>
    <m/>
    <n v="2"/>
    <s v="ENF"/>
    <d v="2023-10-17T00:00:00"/>
    <m/>
    <m/>
    <s v="KEEP"/>
    <s v="Exterior"/>
    <s v="Grille"/>
    <s v="always"/>
    <m/>
    <m/>
    <m/>
    <m/>
    <s v=". Grille, UPPER KIDNEY GRILLE SET 2"/>
    <m/>
    <m/>
    <m/>
    <m/>
    <m/>
    <m/>
    <m/>
    <x v="108"/>
    <s v="Grille, UPPER KIDNEY GRILLE SET 2"/>
    <s v="SET 2, sell single if 1 bad"/>
    <s v="SET 2, sell single if 1 bad"/>
    <m/>
    <s v="SET/2"/>
    <m/>
    <n v="150"/>
    <s v="14-18 ALL"/>
    <s v="BMW X5 (F15) (14-18)"/>
    <s v="F15 ALL"/>
    <m/>
    <s v="104"/>
    <s v="-"/>
    <s v="60041B"/>
    <s v="104-60041B"/>
    <s v="w/ night vision, w/ chrome surround, w/ chrome edge center fins, SET/2"/>
    <m/>
    <m/>
    <m/>
    <m/>
    <m/>
    <s v=""/>
  </r>
  <r>
    <s v=""/>
    <s v="104-60041B"/>
    <m/>
    <m/>
    <n v="2"/>
    <s v="ENF"/>
    <d v="2023-10-17T00:00:00"/>
    <m/>
    <m/>
    <s v="KEEP"/>
    <s v="Exterior"/>
    <s v="Grille"/>
    <s v="always"/>
    <m/>
    <m/>
    <m/>
    <m/>
    <s v=". Grille, UPPER KIDNEY GRILLE, LEFT"/>
    <m/>
    <m/>
    <m/>
    <m/>
    <m/>
    <m/>
    <m/>
    <x v="108"/>
    <s v="Grille, UPPER KIDNEY GRILLE, LEFT"/>
    <s v=""/>
    <m/>
    <m/>
    <s v="single"/>
    <m/>
    <n v="75"/>
    <s v="14-18 ALL"/>
    <s v="BMW X5 (F15) (14-18)"/>
    <s v="F15 ALL"/>
    <m/>
    <s v="104"/>
    <s v="-"/>
    <s v="60041B"/>
    <s v="104-60041B"/>
    <s v="w/ night vision, w/ chrome surround, w/ chrome edge center fins, LEFT"/>
    <m/>
    <m/>
    <m/>
    <m/>
    <m/>
    <s v=""/>
  </r>
  <r>
    <s v=""/>
    <s v="104-60040B"/>
    <m/>
    <m/>
    <n v="1"/>
    <s v="ENF"/>
    <d v="2023-10-17T00:00:00"/>
    <m/>
    <m/>
    <s v="KEEP"/>
    <s v="Exterior"/>
    <s v="Grille"/>
    <s v="always"/>
    <m/>
    <m/>
    <m/>
    <m/>
    <s v=". Grille, UPPER KIDNEY GRILLE, RIGHT"/>
    <m/>
    <m/>
    <m/>
    <m/>
    <m/>
    <m/>
    <m/>
    <x v="108"/>
    <s v="Grille, UPPER KIDNEY GRILLE, RIGHT"/>
    <s v=""/>
    <m/>
    <m/>
    <s v="single"/>
    <m/>
    <n v="75"/>
    <s v="14-18 ALL"/>
    <s v="BMW X5 (F15) (14-18)"/>
    <s v="F15 ALL"/>
    <m/>
    <s v="104"/>
    <s v="-"/>
    <s v="60040B"/>
    <s v="104-60040B"/>
    <s v="w/ &amp; w/o night vision, w/ chrome surround, w/ chrome edge center fins, RIGHT"/>
    <m/>
    <m/>
    <m/>
    <m/>
    <m/>
    <s v=""/>
  </r>
  <r>
    <s v=""/>
    <s v="104-60045"/>
    <m/>
    <m/>
    <n v="2"/>
    <s v="ENF"/>
    <d v="2023-10-17T00:00:00"/>
    <m/>
    <m/>
    <s v="KEEP"/>
    <s v="Exterior"/>
    <s v="Grille"/>
    <s v="always"/>
    <m/>
    <m/>
    <m/>
    <m/>
    <s v=". Grille, UPPER KIDNEY GRILLE SET 2"/>
    <m/>
    <m/>
    <m/>
    <m/>
    <m/>
    <m/>
    <m/>
    <x v="108"/>
    <s v="Grille, UPPER KIDNEY GRILLE SET 2"/>
    <s v="SET 2, sell single if 1 bad"/>
    <s v="SET 2, sell single if 1 bad"/>
    <m/>
    <s v="SET/2"/>
    <m/>
    <n v="125"/>
    <s v="14-18 ALL"/>
    <s v="BMW X5 (F15) (14-18)"/>
    <s v="F15 ALL"/>
    <m/>
    <s v="104"/>
    <s v="-"/>
    <n v="60045"/>
    <s v="104-60045"/>
    <s v="w/o night vision, w/ black surround, SET/2"/>
    <m/>
    <m/>
    <m/>
    <m/>
    <m/>
    <s v=""/>
  </r>
  <r>
    <s v=""/>
    <s v="104-60045"/>
    <m/>
    <m/>
    <n v="2"/>
    <s v="ENF"/>
    <d v="2023-10-17T00:00:00"/>
    <m/>
    <m/>
    <s v="KEEP"/>
    <s v="Exterior"/>
    <s v="Grille"/>
    <s v="always"/>
    <m/>
    <m/>
    <m/>
    <m/>
    <s v=". Grille, UPPER KIDNEY GRILLE, LEFT"/>
    <m/>
    <m/>
    <m/>
    <m/>
    <m/>
    <m/>
    <m/>
    <x v="108"/>
    <s v="Grille, UPPER KIDNEY GRILLE, LEFT"/>
    <s v=""/>
    <m/>
    <m/>
    <s v="single"/>
    <m/>
    <n v="75"/>
    <s v="14-18 ALL"/>
    <s v="BMW X5 (F15) (14-18)"/>
    <s v="F15 ALL"/>
    <m/>
    <s v="104"/>
    <s v="-"/>
    <n v="60045"/>
    <s v="104-60045"/>
    <s v="w/o night vision, w/ black surround, LEFT"/>
    <m/>
    <m/>
    <m/>
    <m/>
    <m/>
    <s v=""/>
  </r>
  <r>
    <s v=""/>
    <s v="104-60044"/>
    <m/>
    <m/>
    <n v="1"/>
    <s v="ENF"/>
    <d v="2023-10-17T00:00:00"/>
    <m/>
    <m/>
    <s v="KEEP"/>
    <s v="Exterior"/>
    <s v="Grille"/>
    <s v="always"/>
    <m/>
    <m/>
    <m/>
    <m/>
    <s v=". Grille, UPPER KIDNEY GRILLE, RIGHT"/>
    <m/>
    <m/>
    <m/>
    <m/>
    <m/>
    <m/>
    <m/>
    <x v="108"/>
    <s v="Grille, UPPER KIDNEY GRILLE, RIGHT"/>
    <s v=""/>
    <m/>
    <m/>
    <s v="single"/>
    <m/>
    <n v="75"/>
    <s v="14-18 ALL"/>
    <s v="BMW X5 (F15) (14-18)"/>
    <s v="F15 ALL"/>
    <m/>
    <s v="104"/>
    <s v="-"/>
    <n v="60044"/>
    <s v="104-60044"/>
    <s v="w/o night vision, w/ black surround, RIGHT"/>
    <m/>
    <m/>
    <m/>
    <m/>
    <m/>
    <s v=""/>
  </r>
  <r>
    <s v=""/>
    <s v="104-60046C"/>
    <m/>
    <m/>
    <n v="2"/>
    <s v="ENF"/>
    <d v="2023-10-17T00:00:00"/>
    <m/>
    <m/>
    <s v="KEEP"/>
    <s v="Exterior"/>
    <s v="Grille"/>
    <s v="always"/>
    <m/>
    <m/>
    <m/>
    <m/>
    <s v=". Grille, UPPER KIDNEY GRILLE SET 2"/>
    <m/>
    <m/>
    <m/>
    <m/>
    <m/>
    <m/>
    <m/>
    <x v="108"/>
    <s v="Grille, UPPER KIDNEY GRILLE SET 2"/>
    <s v="SET 2, sell single if 1 bad"/>
    <s v="SET 2, sell single if 1 bad"/>
    <m/>
    <s v="SET/2"/>
    <m/>
    <n v="125"/>
    <s v="14-18 ALL"/>
    <s v="BMW X5 (F15) (14-18)"/>
    <s v="F15 ALL"/>
    <m/>
    <s v="104"/>
    <s v="-"/>
    <s v="60046C"/>
    <s v="104-60046C"/>
    <s v="w/o night vision, w/ chrome surround, w/ aluminum matte center fins, SET/2"/>
    <m/>
    <m/>
    <m/>
    <m/>
    <m/>
    <s v=""/>
  </r>
  <r>
    <s v=""/>
    <s v="104-60046C"/>
    <m/>
    <m/>
    <n v="2"/>
    <s v="ENF"/>
    <d v="2023-10-17T00:00:00"/>
    <m/>
    <m/>
    <s v="KEEP"/>
    <s v="Exterior"/>
    <s v="Grille"/>
    <s v="always"/>
    <m/>
    <m/>
    <m/>
    <m/>
    <s v=". Grille, UPPER KIDNEY GRILLE, LEFT"/>
    <m/>
    <m/>
    <m/>
    <m/>
    <m/>
    <m/>
    <m/>
    <x v="108"/>
    <s v="Grille, UPPER KIDNEY GRILLE, LEFT"/>
    <s v=""/>
    <m/>
    <m/>
    <s v="single"/>
    <m/>
    <n v="75"/>
    <s v="14-18 ALL"/>
    <s v="BMW X5 (F15) (14-18)"/>
    <s v="F15 ALL"/>
    <m/>
    <s v="104"/>
    <s v="-"/>
    <s v="60046C"/>
    <s v="104-60046C"/>
    <s v="w/o night vision, w/ chrome surround, w/ aluminum matte center fins, LEFT"/>
    <m/>
    <m/>
    <m/>
    <m/>
    <m/>
    <s v=""/>
  </r>
  <r>
    <s v=""/>
    <s v="104-60046A"/>
    <m/>
    <m/>
    <n v="2"/>
    <s v="ENF"/>
    <d v="2023-10-17T00:00:00"/>
    <m/>
    <m/>
    <s v="KEEP"/>
    <s v="Exterior"/>
    <s v="Grille"/>
    <s v="always"/>
    <m/>
    <m/>
    <m/>
    <m/>
    <s v=". Grille, UPPER KIDNEY GRILLE SET 2"/>
    <m/>
    <m/>
    <m/>
    <m/>
    <m/>
    <m/>
    <m/>
    <x v="108"/>
    <s v="Grille, UPPER KIDNEY GRILLE SET 2"/>
    <s v="SET 2, sell single if 1 bad"/>
    <s v="SET 2, sell single if 1 bad"/>
    <m/>
    <s v="SET/2"/>
    <m/>
    <n v="125"/>
    <s v="14-18 ALL"/>
    <s v="BMW X5 (F15) (14-18)"/>
    <s v="F15 ALL"/>
    <m/>
    <s v="104"/>
    <s v="-"/>
    <s v="60046A"/>
    <s v="104-60046A"/>
    <s v="w/o night vision, w/ chrome surround, w/ black center fins, SET/2"/>
    <m/>
    <m/>
    <m/>
    <m/>
    <m/>
    <s v=""/>
  </r>
  <r>
    <s v=""/>
    <s v="104-60046A"/>
    <m/>
    <m/>
    <n v="2"/>
    <s v="ENF"/>
    <d v="2023-10-17T00:00:00"/>
    <m/>
    <m/>
    <s v="KEEP"/>
    <s v="Exterior"/>
    <s v="Grille"/>
    <s v="always"/>
    <m/>
    <m/>
    <m/>
    <m/>
    <s v=". Grille, UPPER KIDNEY GRILLE, LEFT"/>
    <m/>
    <m/>
    <m/>
    <m/>
    <m/>
    <m/>
    <m/>
    <x v="108"/>
    <s v="Grille, UPPER KIDNEY GRILLE, LEFT"/>
    <s v=""/>
    <m/>
    <m/>
    <s v="single"/>
    <m/>
    <n v="75"/>
    <s v="14-18 ALL"/>
    <s v="BMW X5 (F15) (14-18)"/>
    <s v="F15 ALL"/>
    <m/>
    <s v="104"/>
    <s v="-"/>
    <s v="60046A"/>
    <s v="104-60046A"/>
    <s v="w/o night vision, w/ chrome surround, w/ black center fins, LEFT"/>
    <m/>
    <m/>
    <m/>
    <m/>
    <m/>
    <s v=""/>
  </r>
  <r>
    <s v=""/>
    <s v="104-60046B"/>
    <m/>
    <m/>
    <n v="2"/>
    <s v="ENF"/>
    <d v="2023-10-17T00:00:00"/>
    <m/>
    <m/>
    <s v="KEEP"/>
    <s v="Exterior"/>
    <s v="Grille"/>
    <s v="always"/>
    <m/>
    <m/>
    <m/>
    <m/>
    <s v=". Grille, UPPER KIDNEY GRILLE SET 2"/>
    <m/>
    <m/>
    <m/>
    <m/>
    <m/>
    <m/>
    <m/>
    <x v="108"/>
    <s v="Grille, UPPER KIDNEY GRILLE SET 2"/>
    <s v="SET 2, sell single if 1 bad"/>
    <s v="SET 2, sell single if 1 bad"/>
    <m/>
    <s v="SET/2"/>
    <m/>
    <n v="125"/>
    <s v="14-18 ALL"/>
    <s v="BMW X5 (F15) (14-18)"/>
    <s v="F15 ALL"/>
    <m/>
    <s v="104"/>
    <s v="-"/>
    <s v="60046B"/>
    <s v="104-60046B"/>
    <s v="w/o night vision, w/ chrome surround, w/ chrome edge center fins, SET/2"/>
    <m/>
    <m/>
    <m/>
    <m/>
    <m/>
    <s v=""/>
  </r>
  <r>
    <s v=""/>
    <s v="104-60046B"/>
    <m/>
    <m/>
    <n v="2"/>
    <s v="ENF"/>
    <d v="2023-10-17T00:00:00"/>
    <m/>
    <m/>
    <s v="KEEP"/>
    <s v="Exterior"/>
    <s v="Grille"/>
    <s v="always"/>
    <m/>
    <m/>
    <m/>
    <m/>
    <s v=". Grille, UPPER KIDNEY GRILLE, LEFT"/>
    <m/>
    <m/>
    <m/>
    <m/>
    <m/>
    <m/>
    <m/>
    <x v="108"/>
    <s v="Grille, UPPER KIDNEY GRILLE, LEFT"/>
    <s v=""/>
    <m/>
    <m/>
    <s v="single"/>
    <m/>
    <n v="75"/>
    <s v="14-18 ALL"/>
    <s v="BMW X5 (F15) (14-18)"/>
    <s v="F15 ALL"/>
    <m/>
    <s v="104"/>
    <s v="-"/>
    <s v="60046B"/>
    <s v="104-60046B"/>
    <s v="w/o night vision, w/ chrome surround, w/ chrome edge center fins, LEFT"/>
    <m/>
    <m/>
    <m/>
    <m/>
    <m/>
    <s v=""/>
  </r>
  <r>
    <s v="A119"/>
    <s v="177-999001"/>
    <m/>
    <m/>
    <n v="1"/>
    <s v="ENF"/>
    <d v="2022-04-19T00:00:00"/>
    <m/>
    <s v="DRF Check"/>
    <s v="KEEP"/>
    <s v="Exterior"/>
    <s v="Fuel Tank Door"/>
    <s v="always CPI+"/>
    <n v="109"/>
    <s v="A119"/>
    <s v="FLAW"/>
    <n v="1"/>
    <s v="A119. Fuel Tank Door"/>
    <s v="PIC"/>
    <n v="4"/>
    <s v="51917312316, 7312316"/>
    <s v="Yes"/>
    <s v="scratches, scuffs"/>
    <m/>
    <m/>
    <x v="109"/>
    <s v="Fuel Tank Door"/>
    <s v="just door, toss housing"/>
    <s v="just door, toss housing"/>
    <m/>
    <s v="single"/>
    <m/>
    <n v="65"/>
    <s v="14-18 ALL"/>
    <s v="BMW X5 (F15) (14-18)"/>
    <s v="F15 ALL"/>
    <m/>
    <s v="177"/>
    <s v="-"/>
    <n v="999001"/>
    <s v="177-999001"/>
    <m/>
    <m/>
    <m/>
    <m/>
    <m/>
    <m/>
    <s v=""/>
  </r>
  <r>
    <s v=""/>
    <s v=""/>
    <m/>
    <m/>
    <s v=""/>
    <s v="AJR"/>
    <d v="2022-09-07T00:00:00"/>
    <m/>
    <m/>
    <s v="KEEP"/>
    <s v="Exterior"/>
    <s v="Headlight Washer"/>
    <s v="never"/>
    <m/>
    <m/>
    <m/>
    <m/>
    <s v=". Headlight Washer Squirters &amp; Cover Caps SET 2"/>
    <m/>
    <m/>
    <m/>
    <m/>
    <m/>
    <m/>
    <m/>
    <x v="110"/>
    <s v="Headlight Washer Squirters &amp; Cover Caps SET 2"/>
    <s v="SET 2, toss both if 1 bad"/>
    <s v="SET 2, toss both if 1 bad"/>
    <m/>
    <s v="SET/2"/>
    <m/>
    <n v="75"/>
    <s v="14-18 ALL"/>
    <s v="BMW X5 (F15) (14-18)"/>
    <s v="F15 ALL"/>
    <m/>
    <m/>
    <m/>
    <m/>
    <m/>
    <m/>
    <m/>
    <m/>
    <m/>
    <m/>
    <m/>
    <s v=""/>
  </r>
  <r>
    <s v=""/>
    <s v=""/>
    <m/>
    <m/>
    <s v=""/>
    <s v="ENF"/>
    <d v="2022-04-29T00:00:00"/>
    <m/>
    <m/>
    <s v="KEEP"/>
    <s v="Exterior"/>
    <s v="PDC Sensor"/>
    <s v="never"/>
    <m/>
    <m/>
    <m/>
    <m/>
    <s v=". PDC SET 4 With Harness, FRONT"/>
    <m/>
    <m/>
    <m/>
    <m/>
    <m/>
    <m/>
    <m/>
    <x v="111"/>
    <s v="PDC SET 4 With Harness, FRONT"/>
    <s v="if harness bad still SET 4 or SET 2-TOSS singles"/>
    <s v="if harness bad still SET 4 or SET 2-TOSS singles"/>
    <m/>
    <s v="SET/4 w/ Harness"/>
    <m/>
    <n v="300"/>
    <s v="14-18 ALL"/>
    <s v="BMW X5 (F15) (14-18)"/>
    <s v="F15 ALL"/>
    <m/>
    <m/>
    <m/>
    <m/>
    <m/>
    <m/>
    <s v="F15"/>
    <s v="14-18"/>
    <s v="ALL"/>
    <s v="F15-14-18-ALL"/>
    <s v="Viking13"/>
    <s v="F15-14-18-ALL-Viking13"/>
  </r>
  <r>
    <s v=""/>
    <s v=""/>
    <m/>
    <m/>
    <s v=""/>
    <s v="ENF"/>
    <d v="2022-04-29T00:00:00"/>
    <m/>
    <m/>
    <s v="KEEP"/>
    <s v="Exterior"/>
    <s v="PDC Sensor"/>
    <s v="never"/>
    <m/>
    <m/>
    <m/>
    <m/>
    <s v=". PDC Sensor SET 4, FRONT"/>
    <m/>
    <m/>
    <m/>
    <m/>
    <m/>
    <m/>
    <m/>
    <x v="111"/>
    <s v="PDC Sensor SET 4, FRONT"/>
    <s v=""/>
    <m/>
    <m/>
    <s v="SET/4"/>
    <m/>
    <n v="160"/>
    <s v="14-18 ALL"/>
    <s v="BMW X5 (F15) (14-18)"/>
    <s v="F15 ALL"/>
    <m/>
    <m/>
    <m/>
    <m/>
    <m/>
    <m/>
    <s v="F15"/>
    <s v="14-18"/>
    <s v="ALL"/>
    <s v="F15-14-18-ALL"/>
    <s v="Viking14"/>
    <s v="F15-14-18-ALL-Viking14"/>
  </r>
  <r>
    <s v=""/>
    <s v=""/>
    <m/>
    <m/>
    <s v=""/>
    <s v="ENF"/>
    <d v="2022-04-29T00:00:00"/>
    <m/>
    <m/>
    <s v="KEEP"/>
    <s v="Exterior"/>
    <s v="PDC Sensor"/>
    <s v="never"/>
    <m/>
    <m/>
    <m/>
    <m/>
    <s v=". PDC Sensor SET 2, FRONT"/>
    <m/>
    <m/>
    <m/>
    <m/>
    <m/>
    <m/>
    <m/>
    <x v="111"/>
    <s v="PDC Sensor SET 2, FRONT"/>
    <s v=""/>
    <m/>
    <m/>
    <s v="SET/2"/>
    <m/>
    <n v="80"/>
    <s v="14-18 ALL"/>
    <s v="BMW X5 (F15) (14-18)"/>
    <s v="F15 ALL"/>
    <m/>
    <m/>
    <m/>
    <m/>
    <m/>
    <m/>
    <s v="F15"/>
    <s v="14-18"/>
    <s v="ALL"/>
    <s v="F15-14-18-ALL"/>
    <s v="Viking15"/>
    <s v="F15-14-18-ALL-Viking15"/>
  </r>
  <r>
    <s v="A23"/>
    <s v=""/>
    <m/>
    <m/>
    <s v=""/>
    <s v="ENF"/>
    <d v="2022-04-29T00:00:00"/>
    <m/>
    <m/>
    <s v="KEEP"/>
    <s v="Exterior"/>
    <s v="PDC Sensor"/>
    <s v="never"/>
    <n v="13"/>
    <s v="A23"/>
    <s v="Box 1"/>
    <n v="1"/>
    <s v="A23. PDC SET 4 With Harness, REAR"/>
    <s v="PIC"/>
    <n v="5"/>
    <n v="9306090"/>
    <s v="No"/>
    <m/>
    <m/>
    <m/>
    <x v="112"/>
    <s v="PDC SET 4 With Harness, REAR"/>
    <s v="if harness bad still SET 4 or SET 2-TOSS singles"/>
    <s v="if harness bad still SET 4 or SET 2-TOSS singles"/>
    <m/>
    <s v="SET/4 w/ Harness"/>
    <m/>
    <n v="250"/>
    <s v="14-18 ALL"/>
    <s v="BMW X5 (F15) (14-18)"/>
    <s v="F15 ALL"/>
    <m/>
    <m/>
    <m/>
    <m/>
    <m/>
    <m/>
    <s v="F15"/>
    <s v="14-18"/>
    <s v="ALL"/>
    <s v="F15-14-18-ALL"/>
    <s v="Viking16"/>
    <s v="F15-14-18-ALL-Viking16"/>
  </r>
  <r>
    <s v=""/>
    <s v=""/>
    <m/>
    <m/>
    <s v=""/>
    <s v="ENF"/>
    <d v="2022-04-29T00:00:00"/>
    <m/>
    <m/>
    <s v="KEEP"/>
    <s v="Exterior"/>
    <s v="PDC Sensor"/>
    <s v="never"/>
    <m/>
    <m/>
    <m/>
    <m/>
    <s v=". PDC Sensor SET 4, REAR"/>
    <m/>
    <m/>
    <m/>
    <m/>
    <m/>
    <m/>
    <m/>
    <x v="112"/>
    <s v="PDC Sensor SET 4, REAR"/>
    <s v=""/>
    <m/>
    <m/>
    <s v="SET/4"/>
    <m/>
    <n v="150"/>
    <s v="14-18 ALL"/>
    <s v="BMW X5 (F15) (14-18)"/>
    <s v="F15 ALL"/>
    <m/>
    <m/>
    <m/>
    <m/>
    <m/>
    <m/>
    <s v="F15"/>
    <s v="14-18"/>
    <s v="ALL"/>
    <s v="F15-14-18-ALL"/>
    <s v="Viking17"/>
    <s v="F15-14-18-ALL-Viking17"/>
  </r>
  <r>
    <s v=""/>
    <s v=""/>
    <m/>
    <m/>
    <s v=""/>
    <s v="ENF"/>
    <d v="2022-04-29T00:00:00"/>
    <m/>
    <m/>
    <s v="KEEP"/>
    <s v="Exterior"/>
    <s v="PDC Sensor"/>
    <s v="never"/>
    <m/>
    <m/>
    <m/>
    <m/>
    <s v=". PDC Sensor SET 2, REAR"/>
    <m/>
    <m/>
    <m/>
    <m/>
    <m/>
    <m/>
    <m/>
    <x v="112"/>
    <s v="PDC Sensor SET 2, REAR"/>
    <s v=""/>
    <m/>
    <m/>
    <s v="SET/2"/>
    <m/>
    <n v="75"/>
    <s v="14-18 ALL"/>
    <s v="BMW X5 (F15) (14-18)"/>
    <s v="F15 ALL"/>
    <m/>
    <m/>
    <m/>
    <m/>
    <m/>
    <m/>
    <s v="F15"/>
    <s v="14-18"/>
    <s v="ALL"/>
    <s v="F15-14-18-ALL"/>
    <s v="Viking18"/>
    <s v="F15-14-18-ALL-Viking18"/>
  </r>
  <r>
    <s v=""/>
    <s v=""/>
    <m/>
    <m/>
    <s v=""/>
    <s v="ENF"/>
    <d v="2022-04-29T00:00:00"/>
    <m/>
    <m/>
    <s v="KEEP"/>
    <s v="Exterior"/>
    <s v="Roof Rack"/>
    <s v="never"/>
    <m/>
    <m/>
    <m/>
    <m/>
    <s v=". Roof Rails, SIDE-TO-SIDE as SET 2"/>
    <m/>
    <m/>
    <m/>
    <m/>
    <m/>
    <m/>
    <m/>
    <x v="113"/>
    <s v="Roof Rails, SIDE-TO-SIDE as SET 2"/>
    <s v="SET 2, toss both if 1 bad | these are the shorter cross bars"/>
    <s v="SET 2, toss both if 1 bad"/>
    <s v="these are the shorter cross bars"/>
    <s v="SET/2"/>
    <m/>
    <n v="350"/>
    <s v="14-18 ALL"/>
    <s v="BMW X5 (F15) (14-18)"/>
    <s v="F15 ALL"/>
    <m/>
    <m/>
    <m/>
    <m/>
    <m/>
    <m/>
    <m/>
    <m/>
    <m/>
    <m/>
    <m/>
    <s v=""/>
  </r>
  <r>
    <s v=""/>
    <s v=""/>
    <m/>
    <m/>
    <s v=""/>
    <s v="ENF"/>
    <d v="2023-11-14T00:00:00"/>
    <m/>
    <m/>
    <s v="KEEP"/>
    <s v="Exterior"/>
    <s v="Running Board"/>
    <s v="always CPI+"/>
    <m/>
    <m/>
    <m/>
    <m/>
    <s v=". Running Board &amp; Mount Bracket, LEFT"/>
    <m/>
    <m/>
    <m/>
    <m/>
    <m/>
    <m/>
    <m/>
    <x v="114"/>
    <s v="Running Board &amp; Mount Bracket, LEFT"/>
    <s v=""/>
    <m/>
    <m/>
    <s v="single"/>
    <m/>
    <n v="350"/>
    <s v="14-18 ALL"/>
    <s v="BMW X5 (F15) (14-18)"/>
    <s v="F15 ALL"/>
    <m/>
    <m/>
    <s v="-"/>
    <m/>
    <m/>
    <m/>
    <s v="F15"/>
    <s v="14-18"/>
    <s v="ALL"/>
    <s v="F15-14-18-ALL"/>
    <s v="Viking19"/>
    <s v="F15-14-18-ALL-Viking19"/>
  </r>
  <r>
    <s v=""/>
    <s v=""/>
    <m/>
    <m/>
    <s v=""/>
    <s v="ENF"/>
    <d v="2023-11-14T00:00:00"/>
    <m/>
    <m/>
    <s v="KEEP"/>
    <s v="Exterior"/>
    <s v="Running Board"/>
    <s v="always CPI+"/>
    <m/>
    <m/>
    <m/>
    <m/>
    <s v=". Running Board &amp; Mount Bracket, RIGHT"/>
    <m/>
    <m/>
    <m/>
    <m/>
    <m/>
    <m/>
    <m/>
    <x v="115"/>
    <s v="Running Board &amp; Mount Bracket, RIGHT"/>
    <s v=""/>
    <m/>
    <m/>
    <s v="single"/>
    <m/>
    <n v="350"/>
    <s v="14-18 ALL"/>
    <s v="BMW X5 (F15) (14-18)"/>
    <s v="F15 ALL"/>
    <m/>
    <m/>
    <s v="-"/>
    <m/>
    <m/>
    <m/>
    <s v="F15"/>
    <s v="14-18"/>
    <s v="ALL"/>
    <s v="F15-14-18-ALL"/>
    <s v="Viking20"/>
    <s v="F15-14-18-ALL-Viking20"/>
  </r>
  <r>
    <s v="A91"/>
    <s v="169-53399"/>
    <m/>
    <m/>
    <n v="1"/>
    <s v="ENF"/>
    <d v="2022-04-29T00:00:00"/>
    <m/>
    <m/>
    <s v="KEEP"/>
    <s v="Exterior"/>
    <s v="Spoiler"/>
    <s v="always"/>
    <n v="81"/>
    <s v="A91"/>
    <s v="Box Bulk 1"/>
    <n v="1"/>
    <s v="A91. Spoiler with 3rd Brake Light IN"/>
    <s v="PIC"/>
    <n v="7"/>
    <s v="51627294468, 7294468, 51317381572, 7381572"/>
    <s v="Yes"/>
    <s v="chips, scratches, scuffs in clear coat"/>
    <m/>
    <m/>
    <x v="116"/>
    <s v="Spoiler with 3rd Brake Light IN"/>
    <s v="brake light IN | spoiler bad = light solo, light bad = toss spoiler"/>
    <s v="brake light IN"/>
    <s v="spoiler bad = light solo, light bad = toss spoiler"/>
    <s v="single"/>
    <m/>
    <n v="595"/>
    <s v="14-18 ALL"/>
    <s v="BMW X5 (F15) (14-18)"/>
    <s v="F15 ALL"/>
    <m/>
    <s v="169"/>
    <s v="-"/>
    <n v="53399"/>
    <s v="169-53399"/>
    <m/>
    <m/>
    <m/>
    <m/>
    <m/>
    <m/>
    <s v=""/>
  </r>
  <r>
    <s v=""/>
    <s v=""/>
    <m/>
    <m/>
    <s v=""/>
    <s v="ENF"/>
    <d v="2022-04-29T00:00:00"/>
    <m/>
    <m/>
    <s v="KEEP"/>
    <s v="Exterior"/>
    <s v="Spoiler"/>
    <s v="always"/>
    <m/>
    <m/>
    <m/>
    <m/>
    <s v=". Spoiler 3rd Brake Light"/>
    <m/>
    <m/>
    <m/>
    <m/>
    <m/>
    <m/>
    <m/>
    <x v="117"/>
    <s v="Spoiler 3rd Brake Light"/>
    <s v="in spoilder if good"/>
    <s v="in spoilder if good"/>
    <m/>
    <s v="single"/>
    <m/>
    <n v="125"/>
    <s v="14-18 ALL"/>
    <s v="BMW X5 (F15) (14-18)"/>
    <s v="F15 ALL"/>
    <m/>
    <m/>
    <m/>
    <m/>
    <m/>
    <m/>
    <m/>
    <m/>
    <m/>
    <m/>
    <m/>
    <s v=""/>
  </r>
  <r>
    <s v=""/>
    <s v=""/>
    <m/>
    <m/>
    <s v=""/>
    <s v="ENF"/>
    <d v="2022-04-19T00:00:00"/>
    <m/>
    <m/>
    <s v="Toss"/>
    <s v="Exterior"/>
    <s v="Fender"/>
    <s v="always"/>
    <m/>
    <m/>
    <m/>
    <m/>
    <s v=". Fenders"/>
    <m/>
    <m/>
    <m/>
    <m/>
    <m/>
    <m/>
    <m/>
    <x v="118"/>
    <s v="Fenders"/>
    <s v="TOSS BOTH"/>
    <s v="TOSS BOTH"/>
    <m/>
    <s v="single"/>
    <m/>
    <m/>
    <s v="14-18 ALL"/>
    <s v="BMW X5 (F15) (14-18)"/>
    <s v="F15 ALL"/>
    <m/>
    <m/>
    <s v="-"/>
    <m/>
    <m/>
    <m/>
    <m/>
    <m/>
    <m/>
    <m/>
    <m/>
    <s v=""/>
  </r>
  <r>
    <s v=""/>
    <s v=""/>
    <m/>
    <m/>
    <s v=""/>
    <s v="ENF"/>
    <d v="2022-05-02T00:00:00"/>
    <m/>
    <m/>
    <s v="Toss"/>
    <s v="Exterior"/>
    <s v="Gas Cap"/>
    <s v="never"/>
    <m/>
    <m/>
    <m/>
    <m/>
    <s v=". Gas Cap"/>
    <m/>
    <m/>
    <m/>
    <m/>
    <m/>
    <m/>
    <m/>
    <x v="119"/>
    <s v="Gas Cap"/>
    <s v=""/>
    <m/>
    <m/>
    <s v="single"/>
    <m/>
    <m/>
    <s v="14-18 ALL"/>
    <s v="BMW X5 (F15) (14-18)"/>
    <s v="F15 ALL"/>
    <m/>
    <m/>
    <m/>
    <m/>
    <m/>
    <m/>
    <m/>
    <m/>
    <m/>
    <m/>
    <m/>
    <s v=""/>
  </r>
  <r>
    <s v=""/>
    <s v=""/>
    <m/>
    <m/>
    <s v=""/>
    <s v="ENF"/>
    <d v="2022-05-03T00:00:00"/>
    <m/>
    <m/>
    <s v="Toss"/>
    <s v="Exterior"/>
    <s v="License Plate Mount"/>
    <s v="never"/>
    <m/>
    <m/>
    <m/>
    <m/>
    <s v=". License Plate Mounts, FRONT &amp; REAR"/>
    <m/>
    <m/>
    <m/>
    <m/>
    <m/>
    <m/>
    <m/>
    <x v="120"/>
    <s v="License Plate Mounts, FRONT &amp; REAR"/>
    <s v=""/>
    <m/>
    <m/>
    <s v="single"/>
    <m/>
    <m/>
    <s v="14-18 ALL"/>
    <s v="BMW X5 (F15) (14-18)"/>
    <s v="F15 ALL"/>
    <m/>
    <m/>
    <m/>
    <m/>
    <m/>
    <m/>
    <m/>
    <m/>
    <m/>
    <m/>
    <m/>
    <s v=""/>
  </r>
  <r>
    <s v=""/>
    <s v=""/>
    <m/>
    <m/>
    <s v=""/>
    <s v="ENF"/>
    <d v="2022-05-02T00:00:00"/>
    <m/>
    <m/>
    <s v="Toss"/>
    <s v="Exterior"/>
    <s v="Reflectors"/>
    <s v="never"/>
    <m/>
    <m/>
    <m/>
    <m/>
    <s v=". Reflectors, FENDER"/>
    <m/>
    <m/>
    <m/>
    <m/>
    <m/>
    <m/>
    <m/>
    <x v="121"/>
    <s v="Reflectors, FENDER"/>
    <s v=""/>
    <m/>
    <m/>
    <s v="single"/>
    <m/>
    <m/>
    <s v="14-18 ALL"/>
    <s v="BMW X5 (F15) (14-18)"/>
    <s v="F15 ALL"/>
    <m/>
    <m/>
    <m/>
    <m/>
    <m/>
    <m/>
    <m/>
    <m/>
    <m/>
    <m/>
    <m/>
    <s v=""/>
  </r>
  <r>
    <s v=""/>
    <s v=""/>
    <m/>
    <m/>
    <s v=""/>
    <s v="ENF"/>
    <d v="2022-04-29T00:00:00"/>
    <m/>
    <m/>
    <s v="Toss"/>
    <s v="Exterior"/>
    <s v="Roof Rack"/>
    <s v="never"/>
    <m/>
    <m/>
    <m/>
    <m/>
    <s v=". Roof Rails, FRONT-TO-BACK"/>
    <m/>
    <m/>
    <m/>
    <m/>
    <m/>
    <m/>
    <m/>
    <x v="122"/>
    <s v="Roof Rails, FRONT-TO-BACK"/>
    <s v="big long ones black in color - CHECK BOX any other style"/>
    <m/>
    <s v="big long ones black in color - CHECK BOX any other style"/>
    <s v="single"/>
    <m/>
    <m/>
    <s v="14-18 ALL"/>
    <s v="BMW X5 (F15) (14-18)"/>
    <s v="F15 ALL"/>
    <m/>
    <m/>
    <m/>
    <m/>
    <m/>
    <m/>
    <m/>
    <m/>
    <m/>
    <m/>
    <m/>
    <s v=""/>
  </r>
  <r>
    <s v=""/>
    <s v=""/>
    <m/>
    <m/>
    <s v=""/>
    <s v="ENF"/>
    <d v="2022-04-29T00:00:00"/>
    <m/>
    <m/>
    <s v="Toss"/>
    <s v="Exterior"/>
    <s v="Antenna &amp; Cover"/>
    <s v="sometimes"/>
    <m/>
    <m/>
    <m/>
    <m/>
    <s v=". Shark Fin Cover &amp; Roof Antenna Module"/>
    <m/>
    <m/>
    <m/>
    <m/>
    <m/>
    <m/>
    <m/>
    <x v="123"/>
    <s v="Shark Fin Cover &amp; Roof Antenna Module"/>
    <s v=""/>
    <m/>
    <m/>
    <s v="single"/>
    <m/>
    <m/>
    <s v="14-18 ALL"/>
    <s v="BMW X5 (F15) (14-18)"/>
    <s v="F15 ALL"/>
    <m/>
    <m/>
    <m/>
    <m/>
    <m/>
    <m/>
    <m/>
    <m/>
    <m/>
    <m/>
    <m/>
    <s v=""/>
  </r>
  <r>
    <s v=""/>
    <s v=""/>
    <m/>
    <m/>
    <s v=""/>
    <s v="AJR"/>
    <d v="2023-03-08T00:00:00"/>
    <m/>
    <m/>
    <s v="Toss"/>
    <s v="Exterior"/>
    <s v="Spoiler"/>
    <s v="always"/>
    <m/>
    <m/>
    <m/>
    <m/>
    <s v=". Spoiler Winglet Moulding"/>
    <m/>
    <m/>
    <m/>
    <m/>
    <m/>
    <m/>
    <m/>
    <x v="124"/>
    <s v="Spoiler Winglet Moulding"/>
    <s v="TOSS BOTH"/>
    <s v="TOSS BOTH"/>
    <m/>
    <s v="single"/>
    <n v="51627304605"/>
    <m/>
    <s v="14-18 ALL"/>
    <s v="BMW X5 (F15) (14-18)"/>
    <s v="F15 ALL"/>
    <m/>
    <m/>
    <m/>
    <m/>
    <m/>
    <m/>
    <m/>
    <m/>
    <m/>
    <m/>
    <m/>
    <s v=""/>
  </r>
  <r>
    <s v=""/>
    <s v=""/>
    <m/>
    <m/>
    <s v=""/>
    <s v="AJR"/>
    <d v="2023-03-13T00:00:00"/>
    <m/>
    <m/>
    <s v="Toss"/>
    <s v="Exterior"/>
    <s v="Tow Hook &amp; Cover Caps"/>
    <s v="never"/>
    <m/>
    <m/>
    <m/>
    <m/>
    <s v=". Tow Hook"/>
    <m/>
    <m/>
    <m/>
    <m/>
    <m/>
    <m/>
    <m/>
    <x v="125"/>
    <s v="Tow Hook"/>
    <s v=""/>
    <m/>
    <m/>
    <s v="single"/>
    <m/>
    <m/>
    <s v="14-18 ALL"/>
    <s v="BMW X5 (F15) (14-18)"/>
    <s v="F15 ALL"/>
    <m/>
    <m/>
    <m/>
    <m/>
    <m/>
    <m/>
    <m/>
    <m/>
    <m/>
    <m/>
    <m/>
    <s v=""/>
  </r>
  <r>
    <s v=""/>
    <s v=""/>
    <m/>
    <m/>
    <s v=""/>
    <s v="AJR"/>
    <d v="2022-09-07T00:00:00"/>
    <m/>
    <m/>
    <s v="Toss"/>
    <s v="Exterior"/>
    <s v="Tow Hook &amp; Cover Caps"/>
    <s v="never"/>
    <m/>
    <m/>
    <m/>
    <m/>
    <s v=". Tow Hook Covers, FRONT &amp; REAR"/>
    <m/>
    <m/>
    <m/>
    <m/>
    <m/>
    <m/>
    <m/>
    <x v="126"/>
    <s v="Tow Hook Covers, FRONT &amp; REAR"/>
    <s v=""/>
    <m/>
    <m/>
    <s v="single"/>
    <m/>
    <m/>
    <s v="14-18 ALL"/>
    <s v="BMW X5 (F15) (14-18)"/>
    <s v="F15 ALL"/>
    <m/>
    <m/>
    <m/>
    <m/>
    <m/>
    <m/>
    <m/>
    <m/>
    <m/>
    <m/>
    <m/>
    <s v=""/>
  </r>
  <r>
    <s v=""/>
    <s v="118-999779"/>
    <m/>
    <m/>
    <n v="2"/>
    <s v="ENF"/>
    <d v="2022-05-02T00:00:00"/>
    <m/>
    <m/>
    <s v="KEEP"/>
    <s v="Hood"/>
    <s v="Hood Hardware"/>
    <s v="always CPI+"/>
    <m/>
    <m/>
    <m/>
    <m/>
    <s v=". Hood Hinge SET 2"/>
    <m/>
    <m/>
    <m/>
    <m/>
    <m/>
    <m/>
    <m/>
    <x v="127"/>
    <s v="Hood Hinge SET 2"/>
    <s v="SET 2, sell single if 1 bad"/>
    <s v="SET 2, sell single if 1 bad"/>
    <m/>
    <s v="SET/2"/>
    <s v="If single (65, 85, 95)"/>
    <n v="160"/>
    <s v="14-18 ALL"/>
    <s v="BMW X5 (F15) (14-18)"/>
    <s v="F15 ALL"/>
    <m/>
    <n v="118"/>
    <s v="-"/>
    <n v="999779"/>
    <s v="118-999779"/>
    <s v="SET/2"/>
    <m/>
    <m/>
    <m/>
    <m/>
    <m/>
    <s v=""/>
  </r>
  <r>
    <s v=""/>
    <s v="118-999779"/>
    <m/>
    <m/>
    <n v="2"/>
    <s v="ENF"/>
    <d v="2022-05-02T00:00:00"/>
    <m/>
    <m/>
    <s v="KEEP"/>
    <s v="Hood"/>
    <s v="Hood Hardware"/>
    <s v="always CPI+"/>
    <m/>
    <m/>
    <m/>
    <m/>
    <s v=". Hood Hinge, LEFT"/>
    <m/>
    <m/>
    <m/>
    <m/>
    <m/>
    <m/>
    <m/>
    <x v="127"/>
    <s v="Hood Hinge, LEFT"/>
    <s v=""/>
    <m/>
    <m/>
    <s v="single"/>
    <m/>
    <n v="85"/>
    <s v="14-18 ALL"/>
    <s v="BMW X5 (F15) (14-18)"/>
    <s v="F15 ALL"/>
    <m/>
    <n v="118"/>
    <s v="-"/>
    <n v="999779"/>
    <s v="118-999779"/>
    <s v="LEFT"/>
    <m/>
    <m/>
    <m/>
    <m/>
    <m/>
    <s v=""/>
  </r>
  <r>
    <s v=""/>
    <s v="118-999778"/>
    <m/>
    <m/>
    <n v="1"/>
    <s v="ENF"/>
    <d v="2022-05-02T00:00:00"/>
    <m/>
    <m/>
    <s v="KEEP"/>
    <s v="Hood"/>
    <s v="Hood Hardware"/>
    <s v="always CPI+"/>
    <m/>
    <m/>
    <m/>
    <m/>
    <s v=". Hood Hinge, RIGHT"/>
    <m/>
    <m/>
    <m/>
    <m/>
    <m/>
    <m/>
    <m/>
    <x v="127"/>
    <s v="Hood Hinge, RIGHT"/>
    <s v=""/>
    <m/>
    <m/>
    <s v="single"/>
    <m/>
    <n v="85"/>
    <s v="14-18 ALL"/>
    <s v="BMW X5 (F15) (14-18)"/>
    <s v="F15 ALL"/>
    <m/>
    <n v="118"/>
    <s v="-"/>
    <n v="999778"/>
    <s v="118-999778"/>
    <s v="RIGHT"/>
    <m/>
    <m/>
    <m/>
    <m/>
    <m/>
    <s v=""/>
  </r>
  <r>
    <s v="A35"/>
    <s v=""/>
    <m/>
    <m/>
    <s v=""/>
    <s v="ENF"/>
    <d v="2022-05-02T00:00:00"/>
    <m/>
    <m/>
    <s v="KEEP"/>
    <s v="Hood"/>
    <s v="Hood Hardware"/>
    <s v="never"/>
    <n v="25"/>
    <s v="A35"/>
    <s v="Box 2"/>
    <n v="1"/>
    <s v="A35. Hood Latches SET 2 WITH Cables"/>
    <s v="PIC"/>
    <n v="5"/>
    <n v="7367535"/>
    <s v="No"/>
    <m/>
    <m/>
    <m/>
    <x v="128"/>
    <s v="Hood Latches SET 2 WITH Cables"/>
    <s v="SET 2 w/ cables, sell hood latches SET 2 if cables bad"/>
    <s v="SET 2 w/ cables, sell hood latches SET 2 if cables bad"/>
    <m/>
    <s v="SET/2 &amp; Cables"/>
    <m/>
    <n v="74"/>
    <s v="14-18 ALL"/>
    <s v="BMW X5 (F15) (14-18)"/>
    <s v="F15 ALL"/>
    <m/>
    <m/>
    <m/>
    <m/>
    <m/>
    <m/>
    <s v="F15"/>
    <s v="14-18"/>
    <s v="ALL"/>
    <s v="F15-14-18-ALL"/>
    <s v="Viking21"/>
    <s v="F15-14-18-ALL-Viking21"/>
  </r>
  <r>
    <s v=""/>
    <s v=""/>
    <m/>
    <m/>
    <s v=""/>
    <s v="ENF"/>
    <d v="2022-05-02T00:00:00"/>
    <m/>
    <m/>
    <s v="KEEP"/>
    <s v="Hood"/>
    <s v="Hood Hardware"/>
    <s v="never"/>
    <m/>
    <m/>
    <m/>
    <m/>
    <s v=". Hood Latches SET 2 WITHOUT Cables"/>
    <m/>
    <m/>
    <m/>
    <m/>
    <m/>
    <m/>
    <m/>
    <x v="128"/>
    <s v="Hood Latches SET 2 WITHOUT Cables"/>
    <s v="SET 2"/>
    <s v="SET 2"/>
    <m/>
    <s v="SET/2"/>
    <m/>
    <n v="60"/>
    <s v="14-18 ALL"/>
    <s v="BMW X5 (F15) (14-18)"/>
    <s v="F15 ALL"/>
    <m/>
    <m/>
    <m/>
    <m/>
    <m/>
    <m/>
    <s v="F15"/>
    <s v="14-18"/>
    <s v="ALL"/>
    <s v="F15-14-18-ALL"/>
    <s v="Viking22"/>
    <s v="F15-14-18-ALL-Viking22"/>
  </r>
  <r>
    <s v="A33"/>
    <s v=""/>
    <m/>
    <m/>
    <s v=""/>
    <s v="AJR"/>
    <d v="2022-09-07T00:00:00"/>
    <m/>
    <m/>
    <s v="KEEP"/>
    <s v="Hood"/>
    <s v="Hood Hardware"/>
    <s v="never"/>
    <n v="23"/>
    <s v="A33"/>
    <s v="Box 2"/>
    <n v="1"/>
    <s v="A33. Hood Upper Release Lever &amp; Cable &amp; Strikers as SET"/>
    <s v="PIC"/>
    <n v="9"/>
    <s v="51237308076, 7308076, 7294536"/>
    <s v="No"/>
    <m/>
    <m/>
    <m/>
    <x v="129"/>
    <s v="Hood Upper Release Lever &amp; Cable &amp; Strikers as SET"/>
    <s v="if 1 bad toss all"/>
    <s v="if 1 bad toss all"/>
    <m/>
    <s v="SET"/>
    <m/>
    <n v="94"/>
    <s v="14-18 ALL"/>
    <s v="BMW X5 (F15) (14-18)"/>
    <s v="F15 ALL"/>
    <m/>
    <m/>
    <m/>
    <m/>
    <m/>
    <m/>
    <s v="F15"/>
    <s v="14-18"/>
    <s v="ALL"/>
    <s v="F15-14-18-ALL"/>
    <s v="Viking23"/>
    <s v="F15-14-18-ALL-Viking23"/>
  </r>
  <r>
    <s v=""/>
    <s v=""/>
    <m/>
    <m/>
    <s v=""/>
    <s v="ENF"/>
    <d v="2022-05-03T00:00:00"/>
    <m/>
    <m/>
    <s v="Toss"/>
    <s v="Hood"/>
    <s v="Hood Hardware"/>
    <s v="never"/>
    <m/>
    <m/>
    <m/>
    <m/>
    <s v=". Hood Emblem"/>
    <m/>
    <m/>
    <m/>
    <m/>
    <m/>
    <m/>
    <m/>
    <x v="130"/>
    <s v="Hood Emblem"/>
    <s v=""/>
    <m/>
    <m/>
    <s v="single"/>
    <m/>
    <m/>
    <s v="14-18 ALL"/>
    <s v="BMW X5 (F15) (14-18)"/>
    <s v="F15 ALL"/>
    <m/>
    <m/>
    <m/>
    <m/>
    <m/>
    <m/>
    <m/>
    <m/>
    <m/>
    <m/>
    <m/>
    <s v=""/>
  </r>
  <r>
    <s v=""/>
    <s v=""/>
    <m/>
    <m/>
    <s v=""/>
    <s v="ENF"/>
    <d v="2022-05-02T00:00:00"/>
    <m/>
    <m/>
    <s v="Toss"/>
    <s v="Hood"/>
    <s v="Hood Hardware"/>
    <s v="never"/>
    <m/>
    <m/>
    <m/>
    <m/>
    <s v=". Hood Shocks"/>
    <m/>
    <m/>
    <m/>
    <m/>
    <m/>
    <m/>
    <m/>
    <x v="131"/>
    <s v="Hood Shocks"/>
    <s v="TOSS BOTH"/>
    <s v="TOSS BOTH"/>
    <m/>
    <s v="single"/>
    <m/>
    <m/>
    <s v="14-18 ALL"/>
    <s v="BMW X5 (F15) (14-18)"/>
    <s v="F15 ALL"/>
    <m/>
    <m/>
    <m/>
    <m/>
    <m/>
    <m/>
    <m/>
    <m/>
    <m/>
    <m/>
    <m/>
    <s v=""/>
  </r>
  <r>
    <s v=""/>
    <s v=""/>
    <m/>
    <m/>
    <s v=""/>
    <s v="ENF"/>
    <d v="2022-04-19T00:00:00"/>
    <m/>
    <m/>
    <s v="Toss"/>
    <s v="Hood"/>
    <s v="Hood, Assembly"/>
    <s v="always"/>
    <m/>
    <m/>
    <m/>
    <m/>
    <s v=". Hood, Assembly"/>
    <m/>
    <m/>
    <m/>
    <m/>
    <m/>
    <m/>
    <m/>
    <x v="132"/>
    <s v="Hood, Assembly"/>
    <s v="Part out then toss"/>
    <m/>
    <s v="Part out then toss"/>
    <s v="single"/>
    <m/>
    <m/>
    <s v="14-18 ALL"/>
    <s v="BMW X5 (F15) (14-18)"/>
    <s v="F15 ALL"/>
    <m/>
    <m/>
    <m/>
    <m/>
    <m/>
    <m/>
    <m/>
    <m/>
    <m/>
    <m/>
    <m/>
    <s v=""/>
  </r>
  <r>
    <s v=""/>
    <s v="655-72539"/>
    <m/>
    <m/>
    <n v="1"/>
    <s v="ENF"/>
    <d v="2022-05-03T00:00:00"/>
    <m/>
    <m/>
    <s v="KEEP"/>
    <s v="Interior"/>
    <s v="Climate &amp; Radio Controls"/>
    <s v="always"/>
    <m/>
    <m/>
    <m/>
    <m/>
    <s v=". Climate Control Panel, Radio Control Panel, and Trim - FRONT"/>
    <m/>
    <m/>
    <m/>
    <m/>
    <m/>
    <m/>
    <m/>
    <x v="133"/>
    <s v="Climate Control Panel, Radio Control Panel, and Trim - FRONT"/>
    <s v="keep together unless 1 bad"/>
    <s v="keep together unless 1 bad"/>
    <m/>
    <s v="single"/>
    <m/>
    <n v="295"/>
    <s v="14-18 ALL"/>
    <s v="BMW X5 (F15) (14-18)"/>
    <s v="F15 ALL"/>
    <m/>
    <s v="655"/>
    <s v="-"/>
    <n v="72539"/>
    <s v="655-72539"/>
    <s v="w/ auto temp control, w/ heated &amp; cooled front seats"/>
    <m/>
    <m/>
    <m/>
    <m/>
    <m/>
    <s v=""/>
  </r>
  <r>
    <s v="A121"/>
    <s v="655-72540"/>
    <m/>
    <m/>
    <n v="1"/>
    <s v="ENF"/>
    <d v="2022-05-03T00:00:00"/>
    <m/>
    <m/>
    <s v="KEEP"/>
    <s v="Interior"/>
    <s v="Climate &amp; Radio Controls"/>
    <s v="always"/>
    <n v="111"/>
    <s v="A121"/>
    <s v="FLAW"/>
    <n v="1"/>
    <s v="A121. Climate Control Panel, Radio Control Panel, and Trim - FRONT"/>
    <s v="PIC"/>
    <n v="8"/>
    <s v="64119321714, 9321714"/>
    <s v="No"/>
    <s v="button wear"/>
    <m/>
    <m/>
    <x v="133"/>
    <s v="Climate Control Panel, Radio Control Panel, and Trim - FRONT"/>
    <s v="keep together unless 1 bad"/>
    <s v="keep together unless 1 bad"/>
    <m/>
    <s v="single"/>
    <m/>
    <n v="295"/>
    <s v="14-18 ALL"/>
    <s v="BMW X5 (F15) (14-18)"/>
    <s v="F15 ALL"/>
    <m/>
    <s v="655"/>
    <s v="-"/>
    <n v="72540"/>
    <s v="655-72540"/>
    <s v="w/ auto temp control, w/o heated &amp; cooled front seats (ENF this has HEATED seats, but no cooled seats)"/>
    <m/>
    <m/>
    <m/>
    <m/>
    <m/>
    <s v=""/>
  </r>
  <r>
    <s v=""/>
    <s v="655-72541"/>
    <m/>
    <m/>
    <n v="1"/>
    <s v="ENF"/>
    <d v="2022-05-03T00:00:00"/>
    <m/>
    <m/>
    <s v="KEEP"/>
    <s v="Interior"/>
    <s v="Climate &amp; Radio Controls"/>
    <s v="always"/>
    <m/>
    <m/>
    <m/>
    <m/>
    <s v=". Climate Control Panel, Radio Control Panel, and Trim - FRONT"/>
    <m/>
    <m/>
    <m/>
    <m/>
    <m/>
    <m/>
    <m/>
    <x v="133"/>
    <s v="Climate Control Panel, Radio Control Panel, and Trim - FRONT"/>
    <s v="keep together unless 1 bad"/>
    <s v="keep together unless 1 bad"/>
    <m/>
    <s v="single"/>
    <m/>
    <n v="295"/>
    <s v="14-18 ALL"/>
    <s v="BMW X5 (F15) (14-18)"/>
    <s v="F15 ALL"/>
    <m/>
    <s v="655"/>
    <s v="-"/>
    <n v="72541"/>
    <s v="655-72541"/>
    <s v="w/o auto temp control 14-15 partial"/>
    <m/>
    <m/>
    <m/>
    <m/>
    <m/>
    <s v=""/>
  </r>
  <r>
    <s v=""/>
    <s v="655-72546"/>
    <m/>
    <m/>
    <n v="1"/>
    <s v="ENF"/>
    <d v="2022-05-03T00:00:00"/>
    <m/>
    <m/>
    <s v="KEEP"/>
    <s v="Interior"/>
    <s v="Climate &amp; Radio Controls"/>
    <s v="always"/>
    <m/>
    <m/>
    <m/>
    <m/>
    <s v=". Climate Control Panel, Radio Control Panel, and Trim - FRONT"/>
    <m/>
    <m/>
    <m/>
    <m/>
    <m/>
    <m/>
    <m/>
    <x v="133"/>
    <s v="Climate Control Panel, Radio Control Panel, and Trim - FRONT"/>
    <s v="keep together unless 1 bad"/>
    <s v="keep together unless 1 bad"/>
    <m/>
    <s v="single"/>
    <m/>
    <n v="295"/>
    <s v="14-18 ALL"/>
    <s v="BMW X5 (F15) (14-18)"/>
    <s v="F15 ALL"/>
    <m/>
    <s v="655"/>
    <s v="-"/>
    <n v="72546"/>
    <s v="655-72546"/>
    <s v="w/o auto temp control 15 partial-18"/>
    <m/>
    <m/>
    <m/>
    <m/>
    <m/>
    <s v=""/>
  </r>
  <r>
    <s v=""/>
    <s v="655-72542"/>
    <m/>
    <m/>
    <n v="1"/>
    <s v="ENF"/>
    <d v="2022-05-03T00:00:00"/>
    <m/>
    <m/>
    <s v="KEEP"/>
    <s v="Interior"/>
    <s v="Climate &amp; Radio Controls"/>
    <s v="always"/>
    <m/>
    <m/>
    <m/>
    <m/>
    <s v=". Climate Control Panel - REAR"/>
    <m/>
    <m/>
    <m/>
    <m/>
    <m/>
    <m/>
    <m/>
    <x v="134"/>
    <s v="Climate Control Panel - REAR"/>
    <s v=""/>
    <m/>
    <m/>
    <s v="single"/>
    <m/>
    <n v="198"/>
    <s v="14-18 ALL"/>
    <s v="BMW X5 (F15) (14-18)"/>
    <s v="F15 ALL"/>
    <m/>
    <s v="655"/>
    <s v="-"/>
    <n v="72542"/>
    <s v="655-72542"/>
    <s v="w/ heated rear seats"/>
    <m/>
    <m/>
    <m/>
    <m/>
    <m/>
    <s v=""/>
  </r>
  <r>
    <s v=""/>
    <s v="655-72543"/>
    <m/>
    <m/>
    <n v="1"/>
    <s v="ENF"/>
    <d v="2022-05-03T00:00:00"/>
    <m/>
    <m/>
    <s v="KEEP"/>
    <s v="Interior"/>
    <s v="Climate &amp; Radio Controls"/>
    <s v="always"/>
    <m/>
    <m/>
    <m/>
    <m/>
    <s v=". Climate Control Panel - REAR"/>
    <m/>
    <m/>
    <m/>
    <m/>
    <m/>
    <m/>
    <m/>
    <x v="134"/>
    <s v="Climate Control Panel - REAR"/>
    <s v=""/>
    <m/>
    <m/>
    <s v="single"/>
    <m/>
    <n v="198"/>
    <s v="14-18 ALL"/>
    <s v="BMW X5 (F15) (14-18)"/>
    <s v="F15 ALL"/>
    <m/>
    <s v="655"/>
    <s v="-"/>
    <n v="72543"/>
    <s v="655-72543"/>
    <s v="w/o heated rear seats"/>
    <m/>
    <m/>
    <m/>
    <m/>
    <m/>
    <s v=""/>
  </r>
  <r>
    <s v="A18"/>
    <s v="253-67828"/>
    <m/>
    <m/>
    <n v="1"/>
    <s v="ENF"/>
    <d v="2022-04-20T00:00:00"/>
    <m/>
    <m/>
    <s v="KEEP"/>
    <s v="Interior"/>
    <s v="Airbag"/>
    <s v="always"/>
    <n v="8"/>
    <s v="A18"/>
    <s v="Box 1"/>
    <n v="1"/>
    <s v="A18. Airbag, DASH - RIGHT (PASSENGER)"/>
    <s v="PIC"/>
    <n v="5"/>
    <s v="1034335, 1026516"/>
    <s v="Yes"/>
    <m/>
    <m/>
    <m/>
    <x v="135"/>
    <s v="Airbag, DASH - RIGHT (PASSENGER)"/>
    <s v=""/>
    <m/>
    <m/>
    <s v="single"/>
    <m/>
    <n v="195"/>
    <s v="14-18 ALL"/>
    <s v="BMW X5 (F15) (14-18)"/>
    <s v="F15 ALL"/>
    <m/>
    <s v="253"/>
    <s v="-"/>
    <n v="67828"/>
    <s v="253-67828"/>
    <m/>
    <m/>
    <m/>
    <m/>
    <m/>
    <m/>
    <s v=""/>
  </r>
  <r>
    <s v="A12"/>
    <s v="253-67827"/>
    <m/>
    <m/>
    <n v="1"/>
    <s v="ENF"/>
    <d v="2022-04-20T00:00:00"/>
    <m/>
    <m/>
    <s v="KEEP"/>
    <s v="Interior"/>
    <s v="Airbag"/>
    <s v="always"/>
    <n v="2"/>
    <s v="A12"/>
    <s v="Box 1"/>
    <n v="1"/>
    <s v="A12. Airbag, KNEE - FRONT LEFT (DRIVER)"/>
    <s v="PIC"/>
    <n v="6"/>
    <s v="72129311690, 9311690"/>
    <s v="Yes"/>
    <m/>
    <m/>
    <m/>
    <x v="136"/>
    <s v="Airbag, KNEE - FRONT LEFT (DRIVER)"/>
    <s v=""/>
    <m/>
    <m/>
    <s v="single"/>
    <m/>
    <n v="275"/>
    <s v="14-18 ALL"/>
    <s v="BMW X5 (F15) (14-18)"/>
    <s v="F15 ALL"/>
    <m/>
    <s v="253"/>
    <s v="-"/>
    <n v="67827"/>
    <s v="253-67827"/>
    <m/>
    <m/>
    <m/>
    <m/>
    <m/>
    <m/>
    <s v=""/>
  </r>
  <r>
    <s v="A14"/>
    <s v="253-67831"/>
    <m/>
    <m/>
    <n v="1"/>
    <s v="ENF"/>
    <d v="2022-04-20T00:00:00"/>
    <m/>
    <m/>
    <s v="KEEP"/>
    <s v="Interior"/>
    <s v="Airbag"/>
    <s v="always"/>
    <n v="4"/>
    <s v="A14"/>
    <s v="Box 1"/>
    <n v="1"/>
    <s v="A14. Airbag, KNEE - FRONT RIGHT (PASSENGER)"/>
    <s v="PIC"/>
    <n v="5"/>
    <s v="72129311683, 9311683"/>
    <s v="Yes"/>
    <m/>
    <m/>
    <m/>
    <x v="137"/>
    <s v="Airbag, KNEE - FRONT RIGHT (PASSENGER)"/>
    <s v=""/>
    <m/>
    <m/>
    <s v="single"/>
    <m/>
    <n v="175"/>
    <s v="14-18 ALL"/>
    <s v="BMW X5 (F15) (14-18)"/>
    <s v="F15 ALL"/>
    <m/>
    <s v="253"/>
    <s v="-"/>
    <n v="67831"/>
    <s v="253-67831"/>
    <m/>
    <m/>
    <m/>
    <m/>
    <m/>
    <m/>
    <s v=""/>
  </r>
  <r>
    <s v="A22"/>
    <s v="253-67825"/>
    <m/>
    <m/>
    <n v="1"/>
    <s v="ENF"/>
    <d v="2022-04-20T00:00:00"/>
    <m/>
    <m/>
    <s v="KEEP"/>
    <s v="Interior"/>
    <s v="Airbag"/>
    <s v="always"/>
    <n v="12"/>
    <s v="A22"/>
    <s v="Box 1"/>
    <n v="1"/>
    <s v="A22. Airbag, ROOF - LEFT (DRIVER)"/>
    <s v="PIC"/>
    <n v="5"/>
    <s v="72127325697, 7325697"/>
    <s v="Yes"/>
    <m/>
    <m/>
    <m/>
    <x v="138"/>
    <s v="Airbag, ROOF - LEFT (DRIVER)"/>
    <s v=""/>
    <m/>
    <m/>
    <s v="single"/>
    <m/>
    <n v="345"/>
    <s v="14-18 ALL"/>
    <s v="BMW X5 (F15) (14-18)"/>
    <s v="F15 ALL"/>
    <m/>
    <s v="253"/>
    <s v="-"/>
    <n v="67825"/>
    <s v="253-67825"/>
    <m/>
    <m/>
    <m/>
    <m/>
    <m/>
    <m/>
    <s v=""/>
  </r>
  <r>
    <s v="A20"/>
    <s v="253-67829"/>
    <m/>
    <m/>
    <n v="1"/>
    <s v="ENF"/>
    <d v="2022-04-20T00:00:00"/>
    <m/>
    <m/>
    <s v="KEEP"/>
    <s v="Interior"/>
    <s v="Airbag"/>
    <s v="always"/>
    <n v="10"/>
    <s v="A20"/>
    <s v="Box 1"/>
    <n v="1"/>
    <s v="A20. Airbag, ROOF - RIGHT (PASSENGER)"/>
    <s v="PIC"/>
    <n v="5"/>
    <s v="72127325698, 7325698"/>
    <s v="Yes"/>
    <m/>
    <m/>
    <m/>
    <x v="139"/>
    <s v="Airbag, ROOF - RIGHT (PASSENGER)"/>
    <s v=""/>
    <m/>
    <m/>
    <s v="single"/>
    <m/>
    <n v="345"/>
    <s v="14-18 ALL"/>
    <s v="BMW X5 (F15) (14-18)"/>
    <s v="F15 ALL"/>
    <m/>
    <s v="253"/>
    <s v="-"/>
    <n v="67829"/>
    <s v="253-67829"/>
    <m/>
    <m/>
    <m/>
    <m/>
    <m/>
    <m/>
    <s v=""/>
  </r>
  <r>
    <s v=""/>
    <s v="253-67822"/>
    <m/>
    <m/>
    <n v="1"/>
    <s v="ENF"/>
    <d v="2022-04-20T00:00:00"/>
    <m/>
    <m/>
    <s v="KEEP"/>
    <s v="Interior"/>
    <s v="Airbag"/>
    <s v="always"/>
    <m/>
    <m/>
    <m/>
    <m/>
    <s v=". Airbag, STEERING WHEEL"/>
    <m/>
    <m/>
    <m/>
    <m/>
    <m/>
    <m/>
    <m/>
    <x v="140"/>
    <s v="Airbag, STEERING WHEEL"/>
    <s v=""/>
    <m/>
    <m/>
    <s v="single"/>
    <m/>
    <n v="450"/>
    <s v="14-18 ALL"/>
    <s v="BMW X5 (F15) (14-18)"/>
    <s v="F15 ALL"/>
    <m/>
    <s v="253"/>
    <s v="-"/>
    <n v="67822"/>
    <s v="253-67822"/>
    <s v="w/ M-aero"/>
    <m/>
    <m/>
    <m/>
    <m/>
    <m/>
    <s v=""/>
  </r>
  <r>
    <s v=""/>
    <s v="253-53466"/>
    <m/>
    <m/>
    <n v="1"/>
    <s v="ENF"/>
    <d v="2022-04-20T00:00:00"/>
    <m/>
    <m/>
    <s v="KEEP"/>
    <s v="Interior"/>
    <s v="Airbag"/>
    <s v="always"/>
    <m/>
    <m/>
    <m/>
    <m/>
    <s v=". Airbag, STEERING WHEEL"/>
    <m/>
    <m/>
    <m/>
    <m/>
    <m/>
    <m/>
    <m/>
    <x v="140"/>
    <s v="Airbag, STEERING WHEEL"/>
    <s v=""/>
    <m/>
    <m/>
    <s v="single"/>
    <m/>
    <n v="375"/>
    <s v="14-18 ALL"/>
    <s v="BMW X5 (F15) (14-18)"/>
    <s v="F15 ALL"/>
    <m/>
    <s v="253"/>
    <s v="-"/>
    <n v="53466"/>
    <s v="253-53466"/>
    <s v="w/o M-aero, w/ diesel, w/ thumb rests"/>
    <m/>
    <m/>
    <m/>
    <m/>
    <m/>
    <s v=""/>
  </r>
  <r>
    <s v=""/>
    <s v="253-67823"/>
    <m/>
    <m/>
    <n v="1"/>
    <s v="ENF"/>
    <d v="2022-04-20T00:00:00"/>
    <m/>
    <m/>
    <s v="KEEP"/>
    <s v="Interior"/>
    <s v="Airbag"/>
    <s v="always"/>
    <m/>
    <m/>
    <m/>
    <m/>
    <s v=". Airbag, STEERING WHEEL"/>
    <m/>
    <m/>
    <m/>
    <m/>
    <m/>
    <m/>
    <m/>
    <x v="140"/>
    <s v="Airbag, STEERING WHEEL"/>
    <s v=""/>
    <m/>
    <m/>
    <s v="single"/>
    <m/>
    <n v="375"/>
    <s v="14-18 ALL"/>
    <s v="BMW X5 (F15) (14-18)"/>
    <s v="F15 ALL"/>
    <m/>
    <s v="253"/>
    <s v="-"/>
    <n v="67823"/>
    <s v="253-67823"/>
    <s v="w/o M-aero, w/ diesel, w/o thumb rests"/>
    <m/>
    <m/>
    <m/>
    <m/>
    <m/>
    <s v=""/>
  </r>
  <r>
    <s v=""/>
    <s v="253-67824"/>
    <m/>
    <m/>
    <n v="1"/>
    <s v="ENF"/>
    <d v="2022-04-20T00:00:00"/>
    <m/>
    <m/>
    <s v="KEEP"/>
    <s v="Interior"/>
    <s v="Airbag"/>
    <s v="always"/>
    <m/>
    <m/>
    <m/>
    <m/>
    <s v=". Airbag, STEERING WHEEL"/>
    <m/>
    <m/>
    <m/>
    <m/>
    <m/>
    <m/>
    <m/>
    <x v="140"/>
    <s v="Airbag, STEERING WHEEL"/>
    <s v=""/>
    <m/>
    <m/>
    <s v="single"/>
    <m/>
    <n v="375"/>
    <s v="14-18 ALL"/>
    <s v="BMW X5 (F15) (14-18)"/>
    <s v="F15 ALL"/>
    <m/>
    <s v="253"/>
    <s v="-"/>
    <n v="67824"/>
    <s v="253-67824"/>
    <s v="w/o M-aero, w/o diesel, w/ thumb rests"/>
    <m/>
    <m/>
    <m/>
    <m/>
    <m/>
    <s v=""/>
  </r>
  <r>
    <s v="A62"/>
    <s v="253-67961"/>
    <m/>
    <m/>
    <n v="1"/>
    <s v="ENF"/>
    <d v="2022-04-20T00:00:00"/>
    <m/>
    <m/>
    <s v="KEEP"/>
    <s v="Interior"/>
    <s v="Airbag"/>
    <s v="always"/>
    <n v="52"/>
    <s v="A62"/>
    <s v="Box 3"/>
    <n v="1"/>
    <s v="A62. Airbag, STEERING WHEEL"/>
    <s v="PIC"/>
    <n v="4"/>
    <s v="32306888432, 6888432"/>
    <s v="Yes"/>
    <m/>
    <m/>
    <m/>
    <x v="140"/>
    <s v="Airbag, STEERING WHEEL"/>
    <s v=""/>
    <m/>
    <m/>
    <s v="single"/>
    <m/>
    <n v="375"/>
    <s v="14-18 ALL"/>
    <s v="BMW X5 (F15) (14-18)"/>
    <s v="F15 ALL"/>
    <m/>
    <s v="253"/>
    <s v="-"/>
    <n v="67961"/>
    <s v="253-67961"/>
    <s v="w/o M-aero, w/o diesel, w/o thumb rests"/>
    <m/>
    <m/>
    <m/>
    <m/>
    <m/>
    <s v=""/>
  </r>
  <r>
    <s v=""/>
    <s v=""/>
    <m/>
    <m/>
    <s v=""/>
    <s v="ENF"/>
    <d v="2022-05-02T00:00:00"/>
    <m/>
    <m/>
    <s v="KEEP"/>
    <s v="Interior"/>
    <s v="Sensor"/>
    <s v="never"/>
    <m/>
    <m/>
    <m/>
    <m/>
    <s v=". Ambient Air Temperature Sensor"/>
    <m/>
    <m/>
    <m/>
    <m/>
    <m/>
    <m/>
    <m/>
    <x v="141"/>
    <s v="Ambient Air Temperature Sensor"/>
    <s v="small black w/ a purple front"/>
    <m/>
    <s v="small black w/ a purple front"/>
    <s v="single"/>
    <m/>
    <n v="48"/>
    <s v="14-18 ALL"/>
    <s v="BMW X5 (F15) (14-18)"/>
    <s v="F15 ALL"/>
    <m/>
    <m/>
    <m/>
    <m/>
    <m/>
    <m/>
    <m/>
    <m/>
    <m/>
    <m/>
    <m/>
    <s v=""/>
  </r>
  <r>
    <s v="A19"/>
    <s v="615-58781"/>
    <m/>
    <m/>
    <n v="1"/>
    <s v="ENF"/>
    <d v="2022-05-02T00:00:00"/>
    <m/>
    <m/>
    <s v="KEEP"/>
    <s v="Interior"/>
    <s v="Blower Motor"/>
    <s v="always"/>
    <n v="9"/>
    <s v="A19"/>
    <s v="Box 1"/>
    <n v="1"/>
    <s v="A19. Blower Motor, FRONT FOOTWELL"/>
    <s v="PIC"/>
    <n v="4"/>
    <s v="64119349769, 9349769, 9276112"/>
    <s v="Yes"/>
    <m/>
    <m/>
    <m/>
    <x v="142"/>
    <s v="Blower Motor, FRONT FOOTWELL"/>
    <s v="w/ resistor, toss both if 1 bad"/>
    <s v="w/ resistor, toss both if 1 bad"/>
    <m/>
    <s v="single"/>
    <m/>
    <n v="95"/>
    <s v="14-18 ALL"/>
    <s v="BMW X5 (F15) (14-18)"/>
    <s v="F15 ALL"/>
    <m/>
    <s v="615"/>
    <s v="-"/>
    <n v="58781"/>
    <s v="615-58781"/>
    <m/>
    <m/>
    <m/>
    <m/>
    <m/>
    <m/>
    <s v=""/>
  </r>
  <r>
    <s v=""/>
    <s v=""/>
    <m/>
    <m/>
    <s v=""/>
    <s v="ENF"/>
    <d v="2022-05-03T00:00:00"/>
    <m/>
    <s v="DRF Check"/>
    <s v="KEEP"/>
    <s v="Interior"/>
    <s v="Center Console Storage Compartment"/>
    <s v="never"/>
    <m/>
    <m/>
    <m/>
    <m/>
    <s v=". Center Console Storage Compartment &amp; Lid"/>
    <m/>
    <m/>
    <m/>
    <m/>
    <m/>
    <m/>
    <m/>
    <x v="143"/>
    <s v="Center Console Storage Compartment &amp; Lid"/>
    <s v="keep switches &amp; mats IN"/>
    <s v="keep switches &amp; mats IN"/>
    <m/>
    <s v="single"/>
    <m/>
    <n v="200"/>
    <s v="14-18 ALL"/>
    <s v="BMW X5 (F15) (14-18)"/>
    <s v="F15 ALL"/>
    <m/>
    <m/>
    <m/>
    <m/>
    <m/>
    <m/>
    <m/>
    <m/>
    <m/>
    <m/>
    <m/>
    <s v=""/>
  </r>
  <r>
    <s v="A36"/>
    <s v=""/>
    <m/>
    <m/>
    <s v=""/>
    <s v="ENF"/>
    <d v="2023-11-18T00:00:00"/>
    <m/>
    <m/>
    <s v="KEEP"/>
    <s v="Interior"/>
    <s v="Cell Phone Cradle"/>
    <s v="never"/>
    <n v="26"/>
    <s v="A36"/>
    <s v="Box 2"/>
    <n v="1"/>
    <s v="A36. Center Console Cell Phone Cradle"/>
    <s v="PIC"/>
    <n v="4"/>
    <s v="NPN"/>
    <s v="Yes"/>
    <m/>
    <m/>
    <m/>
    <x v="144"/>
    <s v="Center Console Cell Phone Cradle"/>
    <s v=""/>
    <m/>
    <m/>
    <s v="single"/>
    <m/>
    <n v="75"/>
    <s v="14-18 ALL"/>
    <s v="BMW X5 (F15) (14-18)"/>
    <s v="F15 ALL"/>
    <m/>
    <m/>
    <m/>
    <m/>
    <m/>
    <m/>
    <s v="F15"/>
    <s v="14-18"/>
    <s v="ALL"/>
    <s v="F15-14-18-ALL"/>
    <s v="Viking24"/>
    <s v="F15-14-18-ALL-Viking24"/>
  </r>
  <r>
    <s v=""/>
    <s v="629-61109"/>
    <m/>
    <m/>
    <n v="1"/>
    <s v="ENF"/>
    <d v="2022-05-03T00:00:00"/>
    <m/>
    <m/>
    <s v="KEEP"/>
    <s v="Interior"/>
    <s v="Combination Switch"/>
    <s v="always"/>
    <m/>
    <m/>
    <m/>
    <m/>
    <s v=". Combination Switch Assembly"/>
    <m/>
    <m/>
    <m/>
    <m/>
    <m/>
    <m/>
    <m/>
    <x v="145"/>
    <s v="Combination Switch Assembly"/>
    <s v="assembly, but toss steering wheel adjust switch"/>
    <s v="assembly, but toss steering wheel adjust switch"/>
    <m/>
    <s v="single"/>
    <m/>
    <n v="148"/>
    <s v="14-18 ALL"/>
    <s v="BMW X5 (F15) (14-18)"/>
    <s v="F15 ALL"/>
    <m/>
    <s v="629"/>
    <s v="-"/>
    <n v="61109"/>
    <s v="629-61109"/>
    <s v="w/ US market, w/ heated steering wheel, w/ auto high beam"/>
    <m/>
    <m/>
    <m/>
    <m/>
    <m/>
    <s v=""/>
  </r>
  <r>
    <s v="A51"/>
    <s v="629-61110"/>
    <m/>
    <m/>
    <n v="1"/>
    <s v="ENF"/>
    <d v="2022-05-03T00:00:00"/>
    <m/>
    <m/>
    <s v="KEEP"/>
    <s v="Interior"/>
    <s v="Combination Switch"/>
    <s v="always"/>
    <n v="41"/>
    <s v="A51"/>
    <s v="Box 3"/>
    <n v="1"/>
    <s v="A51. Combination Switch Assembly"/>
    <s v="PIC"/>
    <n v="6"/>
    <s v="61319313911, 9313911, 61319320136, 9320136"/>
    <s v="No"/>
    <m/>
    <m/>
    <m/>
    <x v="145"/>
    <s v="Combination Switch Assembly"/>
    <s v="assembly, but toss steering wheel adjust switch"/>
    <s v="assembly, but toss steering wheel adjust switch"/>
    <m/>
    <s v="single"/>
    <m/>
    <n v="148"/>
    <s v="14-18 ALL"/>
    <s v="BMW X5 (F15) (14-18)"/>
    <s v="F15 ALL"/>
    <m/>
    <s v="629"/>
    <s v="-"/>
    <n v="61110"/>
    <s v="629-61110"/>
    <s v="w/ US market, w/ heated steering wheel, w/o auto high beam"/>
    <m/>
    <m/>
    <m/>
    <m/>
    <m/>
    <s v=""/>
  </r>
  <r>
    <s v=""/>
    <s v="629-61111"/>
    <m/>
    <m/>
    <n v="1"/>
    <s v="ENF"/>
    <d v="2022-05-03T00:00:00"/>
    <m/>
    <m/>
    <s v="KEEP"/>
    <s v="Interior"/>
    <s v="Combination Switch"/>
    <s v="always"/>
    <m/>
    <m/>
    <m/>
    <m/>
    <s v=". Combination Switch Assembly"/>
    <m/>
    <m/>
    <m/>
    <m/>
    <m/>
    <m/>
    <m/>
    <x v="145"/>
    <s v="Combination Switch Assembly"/>
    <s v="assembly, but toss steering wheel adjust switch"/>
    <s v="assembly, but toss steering wheel adjust switch"/>
    <m/>
    <s v="single"/>
    <m/>
    <n v="148"/>
    <s v="14-18 ALL"/>
    <s v="BMW X5 (F15) (14-18)"/>
    <s v="F15 ALL"/>
    <m/>
    <s v="629"/>
    <s v="-"/>
    <n v="61111"/>
    <s v="629-61111"/>
    <s v="w/ US market, w/o heated steering wheel, w/ auto high beam"/>
    <m/>
    <m/>
    <m/>
    <m/>
    <m/>
    <s v=""/>
  </r>
  <r>
    <s v=""/>
    <s v="629-61112"/>
    <m/>
    <m/>
    <n v="1"/>
    <s v="ENF"/>
    <d v="2022-05-03T00:00:00"/>
    <m/>
    <m/>
    <s v="KEEP"/>
    <s v="Interior"/>
    <s v="Combination Switch"/>
    <s v="always"/>
    <m/>
    <m/>
    <m/>
    <m/>
    <s v=". Combination Switch Assembly"/>
    <m/>
    <m/>
    <m/>
    <m/>
    <m/>
    <m/>
    <m/>
    <x v="145"/>
    <s v="Combination Switch Assembly"/>
    <s v="assembly, but toss steering wheel adjust switch"/>
    <s v="assembly, but toss steering wheel adjust switch"/>
    <m/>
    <s v="single"/>
    <m/>
    <n v="148"/>
    <s v="14-18 ALL"/>
    <s v="BMW X5 (F15) (14-18)"/>
    <s v="F15 ALL"/>
    <m/>
    <s v="629"/>
    <s v="-"/>
    <n v="61112"/>
    <s v="629-61112"/>
    <s v="w/ US market, w/o heated steering wheel, w/o auto high beam"/>
    <m/>
    <m/>
    <m/>
    <m/>
    <m/>
    <s v=""/>
  </r>
  <r>
    <s v=""/>
    <s v=""/>
    <m/>
    <m/>
    <s v=""/>
    <s v="ENF"/>
    <d v="2022-05-03T00:00:00"/>
    <m/>
    <s v="DRF Check"/>
    <s v="KEEP"/>
    <s v="Interior"/>
    <s v="Cup Holder"/>
    <s v="never"/>
    <m/>
    <m/>
    <m/>
    <m/>
    <s v=". Cup Holder, FRONT CENTER CONSOLE"/>
    <m/>
    <m/>
    <m/>
    <m/>
    <m/>
    <m/>
    <m/>
    <x v="146"/>
    <s v="Cup Holder, FRONT CENTER CONSOLE"/>
    <s v="leave all components in | one w/ roll up door"/>
    <s v="leave all components in"/>
    <s v="one w/ roll up door"/>
    <s v="single"/>
    <m/>
    <n v="128"/>
    <s v="14-18 ALL"/>
    <s v="BMW X5 (F15) (14-18)"/>
    <s v="F15 ALL"/>
    <m/>
    <m/>
    <m/>
    <m/>
    <m/>
    <m/>
    <m/>
    <m/>
    <m/>
    <m/>
    <m/>
    <s v=""/>
  </r>
  <r>
    <s v="A61"/>
    <s v=""/>
    <m/>
    <m/>
    <s v=""/>
    <s v="ENF"/>
    <d v="2022-05-02T00:00:00"/>
    <m/>
    <m/>
    <s v="KEEP"/>
    <s v="Interior"/>
    <s v="Lights (other than headlight &amp; taillight)"/>
    <s v="never"/>
    <n v="51"/>
    <s v="A61"/>
    <s v="Box 3"/>
    <n v="1"/>
    <s v="A61. Dome Light, FRONT PRIMARY ONE"/>
    <s v="PIC"/>
    <n v="5"/>
    <n v="9319967"/>
    <s v="Yes"/>
    <m/>
    <m/>
    <m/>
    <x v="147"/>
    <s v="Dome Light, FRONT PRIMARY ONE"/>
    <s v=""/>
    <m/>
    <m/>
    <s v="single"/>
    <m/>
    <n v="150"/>
    <s v="14-18 ALL"/>
    <s v="BMW X5 (F15) (14-18)"/>
    <s v="F15 ALL"/>
    <m/>
    <m/>
    <m/>
    <m/>
    <m/>
    <m/>
    <s v="F15"/>
    <s v="14-18"/>
    <s v="ALL"/>
    <s v="F15-14-18-ALL"/>
    <s v="Viking25"/>
    <s v="F15-14-18-ALL-Viking25"/>
  </r>
  <r>
    <s v=""/>
    <s v="242-999155"/>
    <m/>
    <m/>
    <n v="1"/>
    <s v="ENF"/>
    <d v="2022-05-03T00:00:00"/>
    <m/>
    <s v="DRF Check"/>
    <s v="KEEP"/>
    <s v="Interior"/>
    <s v="Shifter"/>
    <s v="always CPI+"/>
    <m/>
    <m/>
    <m/>
    <m/>
    <s v=". Shifter"/>
    <m/>
    <m/>
    <m/>
    <m/>
    <m/>
    <m/>
    <m/>
    <x v="148"/>
    <s v="Shifter"/>
    <s v="w/ parking switch &amp; trim (they are worthless solo)"/>
    <s v="w/ parking switch &amp; trim (they are worthless solo)"/>
    <m/>
    <s v="single"/>
    <m/>
    <n v="275"/>
    <s v="14-18 ALL"/>
    <s v="BMW X5 (F15) (14-18)"/>
    <s v="F15 ALL"/>
    <m/>
    <n v="242"/>
    <s v="-"/>
    <n v="999155"/>
    <s v="242-999155"/>
    <s v="w/o sport gearbox, w/ ceramic finish"/>
    <m/>
    <m/>
    <m/>
    <m/>
    <m/>
    <s v=""/>
  </r>
  <r>
    <s v=""/>
    <s v="242-999156"/>
    <m/>
    <m/>
    <n v="1"/>
    <s v="ENF"/>
    <d v="2022-05-03T00:00:00"/>
    <m/>
    <s v="DRF Check"/>
    <s v="KEEP"/>
    <s v="Interior"/>
    <s v="Shifter"/>
    <s v="always CPI+"/>
    <m/>
    <m/>
    <m/>
    <m/>
    <s v=". Shifter"/>
    <m/>
    <m/>
    <m/>
    <m/>
    <m/>
    <m/>
    <m/>
    <x v="148"/>
    <s v="Shifter"/>
    <s v="w/ parking switch &amp; trim (they are worthless solo)"/>
    <s v="w/ parking switch &amp; trim (they are worthless solo)"/>
    <m/>
    <s v="single"/>
    <m/>
    <n v="175"/>
    <s v="14-18 ALL"/>
    <s v="BMW X5 (F15) (14-18)"/>
    <s v="F15 ALL"/>
    <m/>
    <n v="242"/>
    <s v="-"/>
    <n v="999156"/>
    <s v="242-999156"/>
    <s v="w/o sport gearbox, w/o ceramic finish"/>
    <m/>
    <m/>
    <m/>
    <m/>
    <m/>
    <s v=""/>
  </r>
  <r>
    <s v=""/>
    <s v="242-999154"/>
    <m/>
    <m/>
    <n v="1"/>
    <s v="ENF"/>
    <d v="2022-05-03T00:00:00"/>
    <m/>
    <s v="DRF Check"/>
    <s v="KEEP"/>
    <s v="Interior"/>
    <s v="Shifter"/>
    <s v="always CPI+"/>
    <m/>
    <m/>
    <m/>
    <m/>
    <s v=". Shifter"/>
    <m/>
    <m/>
    <m/>
    <m/>
    <m/>
    <m/>
    <m/>
    <x v="148"/>
    <s v="Shifter"/>
    <s v="w/ parking switch &amp; trim (they are worthless solo)"/>
    <s v="w/ parking switch &amp; trim (they are worthless solo)"/>
    <m/>
    <s v="single"/>
    <m/>
    <n v="275"/>
    <s v="14-18 ALL"/>
    <s v="BMW X5 (F15) (14-18)"/>
    <s v="F15 ALL"/>
    <m/>
    <n v="242"/>
    <s v="-"/>
    <n v="999154"/>
    <s v="242-999154"/>
    <s v="w/ sport gearbox, w/ ceramic finish"/>
    <m/>
    <m/>
    <m/>
    <m/>
    <m/>
    <s v=""/>
  </r>
  <r>
    <s v=""/>
    <s v="242-999153"/>
    <m/>
    <m/>
    <n v="1"/>
    <s v="ENF"/>
    <d v="2022-05-03T00:00:00"/>
    <m/>
    <s v="DRF Check"/>
    <s v="KEEP"/>
    <s v="Interior"/>
    <s v="Shifter"/>
    <s v="always CPI+"/>
    <m/>
    <m/>
    <m/>
    <m/>
    <s v=". Shifter"/>
    <m/>
    <m/>
    <m/>
    <m/>
    <m/>
    <m/>
    <m/>
    <x v="148"/>
    <s v="Shifter"/>
    <s v="w/ parking switch &amp; trim (they are worthless solo)"/>
    <s v="w/ parking switch &amp; trim (they are worthless solo)"/>
    <m/>
    <s v="single"/>
    <m/>
    <n v="175"/>
    <s v="14-18 ALL"/>
    <s v="BMW X5 (F15) (14-18)"/>
    <s v="F15 ALL"/>
    <m/>
    <n v="242"/>
    <s v="-"/>
    <n v="999153"/>
    <s v="242-999153"/>
    <s v="w/ sport gearbox, w/o ceramic finish"/>
    <m/>
    <m/>
    <m/>
    <m/>
    <m/>
    <s v=""/>
  </r>
  <r>
    <s v="A85"/>
    <s v=""/>
    <m/>
    <m/>
    <s v=""/>
    <s v="ENF"/>
    <d v="2022-05-03T00:00:00"/>
    <m/>
    <s v="DRF Check"/>
    <s v="KEEP"/>
    <s v="Interior"/>
    <s v="Glove Box"/>
    <s v="always CPI+"/>
    <n v="75"/>
    <s v="A85"/>
    <s v="Box 5"/>
    <n v="1"/>
    <s v="A85. Glove Box Assembly WITH Handle, FRONT RIGHT PRIMARY"/>
    <s v="PIC"/>
    <n v="5"/>
    <s v="51459276266, 9276266"/>
    <s v="Yes"/>
    <m/>
    <m/>
    <s v="Black"/>
    <x v="149"/>
    <s v="Glove Box Assembly WITH Handle, FRONT RIGHT PRIMARY"/>
    <s v="toss the left dash smaller one"/>
    <s v="toss the left dash smaller one"/>
    <m/>
    <s v="single"/>
    <m/>
    <n v="195"/>
    <s v="14-18 ALL"/>
    <s v="BMW X5 (F15) (14-18)"/>
    <s v="F15 ALL"/>
    <m/>
    <m/>
    <s v="-"/>
    <m/>
    <m/>
    <m/>
    <s v="F15"/>
    <s v="14-18"/>
    <s v="ALL"/>
    <s v="F15-14-18-ALL"/>
    <s v="Viking26"/>
    <s v="F15-14-18-ALL-Viking26"/>
  </r>
  <r>
    <s v=""/>
    <s v="596-892"/>
    <m/>
    <m/>
    <n v="1"/>
    <s v="AJR"/>
    <d v="2022-09-07T00:00:00"/>
    <m/>
    <m/>
    <s v="KEEP"/>
    <s v="Interior"/>
    <s v="Head Up Display Projector"/>
    <s v="always"/>
    <m/>
    <m/>
    <m/>
    <m/>
    <s v=". Head Up Display Projector"/>
    <m/>
    <m/>
    <m/>
    <m/>
    <m/>
    <m/>
    <m/>
    <x v="150"/>
    <s v="Head Up Display Projector"/>
    <s v="remove trim sell separately"/>
    <s v="remove trim sell separately"/>
    <m/>
    <s v="single"/>
    <m/>
    <n v="195"/>
    <s v="14-18 ALL"/>
    <s v="BMW X5 (F15) (14-18)"/>
    <s v="F15 ALL"/>
    <m/>
    <s v="596"/>
    <s v="-"/>
    <n v="892"/>
    <s v="596-892"/>
    <m/>
    <m/>
    <m/>
    <m/>
    <m/>
    <m/>
    <s v=""/>
  </r>
  <r>
    <s v=""/>
    <s v=""/>
    <m/>
    <m/>
    <s v=""/>
    <s v="AJR"/>
    <d v="2022-09-07T00:00:00"/>
    <m/>
    <m/>
    <s v="KEEP"/>
    <s v="Interior"/>
    <s v="Trim, NOT Part of SET"/>
    <s v="never"/>
    <m/>
    <m/>
    <m/>
    <m/>
    <s v=". Head Up Display Screen Projector Trim"/>
    <m/>
    <m/>
    <m/>
    <m/>
    <m/>
    <m/>
    <m/>
    <x v="151"/>
    <s v="Head Up Display Screen Projector Trim"/>
    <s v=""/>
    <m/>
    <m/>
    <s v="single"/>
    <m/>
    <n v="50"/>
    <s v="14-18 ALL"/>
    <s v="BMW X5 (F15) (14-18)"/>
    <s v="F15 ALL"/>
    <m/>
    <m/>
    <m/>
    <m/>
    <m/>
    <m/>
    <m/>
    <m/>
    <m/>
    <m/>
    <m/>
    <s v=""/>
  </r>
  <r>
    <s v="A67"/>
    <s v=""/>
    <m/>
    <m/>
    <s v=""/>
    <s v="ENF"/>
    <d v="2022-05-03T00:00:00"/>
    <m/>
    <m/>
    <s v="KEEP"/>
    <s v="Interior"/>
    <s v="Switch Button"/>
    <s v="sometimes CPI+"/>
    <n v="57"/>
    <s v="A67"/>
    <s v="Box 3"/>
    <n v="1"/>
    <s v="A67. Headlight Switch"/>
    <s v="PIC"/>
    <n v="4"/>
    <n v="9311721"/>
    <s v="No"/>
    <m/>
    <m/>
    <m/>
    <x v="152"/>
    <s v="Headlight Switch"/>
    <s v=""/>
    <m/>
    <m/>
    <s v="single"/>
    <m/>
    <n v="48"/>
    <s v="14-18 ALL"/>
    <s v="BMW X5 (F15) (14-18)"/>
    <s v="F15 ALL"/>
    <m/>
    <m/>
    <s v="-"/>
    <m/>
    <m/>
    <m/>
    <s v="F15"/>
    <s v="14-18"/>
    <s v="ALL"/>
    <s v="F15-14-18-ALL"/>
    <s v="Viking27"/>
    <s v="F15-14-18-ALL-Viking27"/>
  </r>
  <r>
    <s v=""/>
    <s v=""/>
    <m/>
    <m/>
    <s v=""/>
    <s v="ENF"/>
    <d v="2022-05-03T00:00:00"/>
    <m/>
    <m/>
    <s v="KEEP"/>
    <s v="Interior"/>
    <s v="Switch Button"/>
    <s v="sometimes"/>
    <m/>
    <m/>
    <m/>
    <m/>
    <s v=". I-Drive Navigation Radio Control Knob"/>
    <m/>
    <m/>
    <m/>
    <m/>
    <m/>
    <m/>
    <m/>
    <x v="153"/>
    <s v="I-Drive Navigation Radio Control Knob"/>
    <s v="sell trim &amp; traction panel solo"/>
    <s v="sell trim &amp; traction panel solo"/>
    <m/>
    <s v="single"/>
    <m/>
    <n v="300"/>
    <s v="14-18 ALL"/>
    <s v="BMW X5 (F15) (14-18)"/>
    <s v="F15 ALL"/>
    <m/>
    <m/>
    <s v="-"/>
    <m/>
    <m/>
    <s v="w/ ceramic finish"/>
    <s v="F15"/>
    <s v="14-18"/>
    <s v="ALL"/>
    <s v="F15-14-18-ALL"/>
    <s v="Viking28"/>
    <s v="F15-14-18-ALL-Viking28"/>
  </r>
  <r>
    <s v="A69"/>
    <s v=""/>
    <m/>
    <m/>
    <s v=""/>
    <s v="ENF"/>
    <d v="2022-05-03T00:00:00"/>
    <m/>
    <m/>
    <s v="KEEP"/>
    <s v="Interior"/>
    <s v="Switch Button"/>
    <s v="sometimes"/>
    <n v="59"/>
    <s v="A69"/>
    <s v="Box 3"/>
    <n v="1"/>
    <s v="A69. I-Drive Navigation Radio Control Knob"/>
    <s v="PIC"/>
    <n v="4"/>
    <s v="65829320288, 9320288"/>
    <s v="No"/>
    <m/>
    <m/>
    <m/>
    <x v="153"/>
    <s v="I-Drive Navigation Radio Control Knob"/>
    <s v="sell trim &amp; traction panel solo"/>
    <s v="sell trim &amp; traction panel solo"/>
    <m/>
    <s v="single"/>
    <m/>
    <n v="175"/>
    <s v="14-18 ALL"/>
    <s v="BMW X5 (F15) (14-18)"/>
    <s v="F15 ALL"/>
    <m/>
    <m/>
    <s v="-"/>
    <m/>
    <m/>
    <s v="w/o ceramic finish"/>
    <s v="F15"/>
    <s v="14-18"/>
    <s v="ALL"/>
    <s v="F15-14-18-ALL"/>
    <s v="Viking29"/>
    <s v="F15-14-18-ALL-Viking29"/>
  </r>
  <r>
    <s v=""/>
    <s v=""/>
    <m/>
    <m/>
    <s v=""/>
    <s v="ENF"/>
    <d v="2022-05-03T00:00:00"/>
    <m/>
    <m/>
    <s v="KEEP"/>
    <s v="Interior"/>
    <s v="Control Knob"/>
    <s v="never"/>
    <m/>
    <m/>
    <m/>
    <m/>
    <s v=". I-Drive Navigation / Radio Control Knob &amp; Switch Panel TRIM"/>
    <m/>
    <m/>
    <m/>
    <m/>
    <m/>
    <m/>
    <m/>
    <x v="154"/>
    <s v="I-Drive Navigation / Radio Control Knob &amp; Switch Panel TRIM"/>
    <s v="sell knob &amp; traction control switch panel each solo"/>
    <s v="sell knob &amp; traction control switch panel each solo"/>
    <m/>
    <s v="single"/>
    <m/>
    <n v="80"/>
    <s v="14-18 ALL"/>
    <s v="BMW X5 (F15) (14-18)"/>
    <s v="F15 ALL"/>
    <m/>
    <m/>
    <m/>
    <m/>
    <m/>
    <m/>
    <m/>
    <m/>
    <m/>
    <m/>
    <m/>
    <s v=""/>
  </r>
  <r>
    <s v=""/>
    <s v="267-51530"/>
    <m/>
    <m/>
    <n v="1"/>
    <s v="ENF"/>
    <d v="2022-05-03T00:00:00"/>
    <m/>
    <m/>
    <s v="KEEP"/>
    <s v="Interior"/>
    <s v="Mirror, REARVIEW"/>
    <s v="always"/>
    <m/>
    <m/>
    <m/>
    <m/>
    <s v=". Mirror, REARVIEW"/>
    <m/>
    <m/>
    <m/>
    <m/>
    <m/>
    <m/>
    <s v="[YES-ENTER]"/>
    <x v="155"/>
    <s v="Mirror, REARVIEW"/>
    <s v=""/>
    <m/>
    <m/>
    <s v="single"/>
    <m/>
    <n v="68"/>
    <s v="14-18 ALL"/>
    <s v="BMW X5 (F15) (14-18)"/>
    <s v="F15 ALL"/>
    <m/>
    <s v="267"/>
    <s v="-"/>
    <n v="51530"/>
    <s v="267-51530"/>
    <s v="w/ garage opener, w/ auto high beam"/>
    <m/>
    <m/>
    <m/>
    <m/>
    <m/>
    <s v=""/>
  </r>
  <r>
    <s v="A64"/>
    <s v="267-51293"/>
    <m/>
    <m/>
    <n v="1"/>
    <s v="ENF"/>
    <d v="2022-05-03T00:00:00"/>
    <m/>
    <m/>
    <s v="KEEP"/>
    <s v="Interior"/>
    <s v="Mirror, REARVIEW"/>
    <s v="always"/>
    <n v="54"/>
    <s v="A64"/>
    <s v="Box 3"/>
    <n v="1"/>
    <s v="A64. Mirror, REARVIEW"/>
    <s v="PIC"/>
    <n v="6"/>
    <s v="51169320305, 9320305"/>
    <s v="Yes"/>
    <m/>
    <m/>
    <s v="Black"/>
    <x v="155"/>
    <s v="Mirror, REARVIEW"/>
    <s v=""/>
    <m/>
    <m/>
    <s v="single"/>
    <m/>
    <n v="68"/>
    <s v="14-18 ALL"/>
    <s v="BMW X5 (F15) (14-18)"/>
    <s v="F15 ALL"/>
    <m/>
    <s v="267"/>
    <s v="-"/>
    <n v="51293"/>
    <s v="267-51293"/>
    <s v="w/ garage opener, w/o auto high beam"/>
    <m/>
    <m/>
    <m/>
    <m/>
    <m/>
    <s v=""/>
  </r>
  <r>
    <s v=""/>
    <s v="267-51531"/>
    <m/>
    <m/>
    <n v="1"/>
    <s v="ENF"/>
    <d v="2022-05-03T00:00:00"/>
    <m/>
    <m/>
    <s v="KEEP"/>
    <s v="Interior"/>
    <s v="Mirror, REARVIEW"/>
    <s v="always"/>
    <m/>
    <m/>
    <m/>
    <m/>
    <s v=". Mirror, REARVIEW"/>
    <m/>
    <m/>
    <m/>
    <m/>
    <m/>
    <m/>
    <s v="[YES-ENTER]"/>
    <x v="155"/>
    <s v="Mirror, REARVIEW"/>
    <s v=""/>
    <m/>
    <m/>
    <s v="single"/>
    <m/>
    <n v="68"/>
    <s v="14-18 ALL"/>
    <s v="BMW X5 (F15) (14-18)"/>
    <s v="F15 ALL"/>
    <m/>
    <s v="267"/>
    <s v="-"/>
    <n v="51531"/>
    <s v="267-51531"/>
    <s v="w/o garage opener, w/ auto high beam"/>
    <m/>
    <m/>
    <m/>
    <m/>
    <m/>
    <s v=""/>
  </r>
  <r>
    <s v=""/>
    <s v="267-51243"/>
    <m/>
    <m/>
    <n v="1"/>
    <s v="ENF"/>
    <d v="2022-05-03T00:00:00"/>
    <m/>
    <m/>
    <s v="KEEP"/>
    <s v="Interior"/>
    <s v="Mirror, REARVIEW"/>
    <s v="always"/>
    <m/>
    <m/>
    <m/>
    <m/>
    <s v=". Mirror, REARVIEW"/>
    <m/>
    <m/>
    <m/>
    <m/>
    <m/>
    <m/>
    <s v="[YES-ENTER]"/>
    <x v="155"/>
    <s v="Mirror, REARVIEW"/>
    <s v=""/>
    <m/>
    <m/>
    <s v="single"/>
    <m/>
    <n v="68"/>
    <s v="14-18 ALL"/>
    <s v="BMW X5 (F15) (14-18)"/>
    <s v="F15 ALL"/>
    <m/>
    <s v="267"/>
    <s v="-"/>
    <n v="51243"/>
    <s v="267-51243"/>
    <s v="w/o garage opener, w/o auto high beam"/>
    <m/>
    <m/>
    <m/>
    <m/>
    <m/>
    <s v=""/>
  </r>
  <r>
    <s v="A48"/>
    <s v="594-1775"/>
    <m/>
    <m/>
    <n v="1"/>
    <s v="ENF"/>
    <d v="2022-05-03T00:00:00"/>
    <m/>
    <m/>
    <s v="KEEP"/>
    <s v="Interior"/>
    <s v="Navigation Display Screen"/>
    <s v="always"/>
    <n v="38"/>
    <s v="A48"/>
    <s v="Box 3"/>
    <n v="1"/>
    <s v="A48. Navigation Display Screen"/>
    <s v="PIC"/>
    <n v="5"/>
    <s v="65509296939, 9296939"/>
    <s v="No"/>
    <m/>
    <m/>
    <m/>
    <x v="156"/>
    <s v="Navigation Display Screen"/>
    <s v=""/>
    <m/>
    <m/>
    <s v="single"/>
    <m/>
    <n v="495"/>
    <s v="14-18 ALL"/>
    <s v="BMW X5 (F15) (14-18)"/>
    <s v="F15 ALL"/>
    <m/>
    <s v="594"/>
    <s v="-"/>
    <n v="1775"/>
    <s v="594-1775"/>
    <s v="14-16 10.25&quot;"/>
    <m/>
    <m/>
    <m/>
    <m/>
    <m/>
    <s v=""/>
  </r>
  <r>
    <s v=""/>
    <s v="594-10061"/>
    <m/>
    <m/>
    <n v="1"/>
    <s v="ENF"/>
    <d v="2022-05-03T00:00:00"/>
    <m/>
    <m/>
    <s v="KEEP"/>
    <s v="Interior"/>
    <s v="Navigation Display Screen"/>
    <s v="always"/>
    <m/>
    <m/>
    <m/>
    <m/>
    <s v=". Navigation Display Screen"/>
    <m/>
    <m/>
    <m/>
    <m/>
    <m/>
    <m/>
    <m/>
    <x v="156"/>
    <s v="Navigation Display Screen"/>
    <s v=""/>
    <m/>
    <m/>
    <s v="single"/>
    <m/>
    <n v="750"/>
    <s v="14-18 ALL"/>
    <s v="BMW X5 (F15) (14-18)"/>
    <s v="F15 ALL"/>
    <m/>
    <s v="594"/>
    <s v="-"/>
    <n v="10061"/>
    <s v="594-10061"/>
    <s v="17-18 10.25&quot;"/>
    <m/>
    <m/>
    <m/>
    <m/>
    <m/>
    <s v=""/>
  </r>
  <r>
    <s v=""/>
    <s v="594-1774"/>
    <m/>
    <m/>
    <n v="1"/>
    <s v="ENF"/>
    <d v="2022-05-03T00:00:00"/>
    <m/>
    <m/>
    <s v="KEEP"/>
    <s v="Interior"/>
    <s v="Navigation Display Screen"/>
    <s v="always"/>
    <m/>
    <m/>
    <m/>
    <m/>
    <s v=". Navigation Display Screen"/>
    <m/>
    <m/>
    <m/>
    <m/>
    <m/>
    <m/>
    <m/>
    <x v="156"/>
    <s v="Navigation Display Screen"/>
    <s v=""/>
    <m/>
    <m/>
    <s v="single"/>
    <m/>
    <n v="495"/>
    <s v="14-18 ALL"/>
    <s v="BMW X5 (F15) (14-18)"/>
    <s v="F15 ALL"/>
    <m/>
    <s v="594"/>
    <s v="-"/>
    <n v="1774"/>
    <s v="594-1774"/>
    <s v="14-18 6.5&quot;"/>
    <m/>
    <m/>
    <m/>
    <m/>
    <m/>
    <s v=""/>
  </r>
  <r>
    <s v=""/>
    <s v=""/>
    <m/>
    <m/>
    <s v=""/>
    <s v="ENF"/>
    <d v="2023-11-15T00:00:00"/>
    <m/>
    <m/>
    <s v="KEEP"/>
    <s v="Interior"/>
    <s v="Owners Manual"/>
    <s v="never"/>
    <m/>
    <m/>
    <m/>
    <m/>
    <s v=". Owners Manual + Case"/>
    <m/>
    <m/>
    <m/>
    <m/>
    <m/>
    <m/>
    <m/>
    <x v="157"/>
    <s v="Owners Manual + Case"/>
    <s v="toss both if 1 bad (barely worth selling)"/>
    <s v="toss both if 1 bad (barely worth selling)"/>
    <m/>
    <s v="single"/>
    <m/>
    <n v="60"/>
    <s v="14-18 ALL"/>
    <s v="BMW X5 (F15) (14-18)"/>
    <s v="F15 ALL"/>
    <m/>
    <m/>
    <m/>
    <m/>
    <m/>
    <m/>
    <m/>
    <m/>
    <m/>
    <m/>
    <m/>
    <s v=""/>
  </r>
  <r>
    <s v=""/>
    <s v="638-72259"/>
    <m/>
    <m/>
    <n v="1"/>
    <s v="ENF"/>
    <d v="2022-05-03T00:00:00"/>
    <m/>
    <m/>
    <s v="KEEP"/>
    <s v="Interior"/>
    <s v="Radio"/>
    <s v="always"/>
    <m/>
    <m/>
    <m/>
    <m/>
    <s v=". Radio / Stereo Receiver Unit"/>
    <m/>
    <m/>
    <m/>
    <m/>
    <m/>
    <m/>
    <m/>
    <x v="158"/>
    <s v="Radio / Stereo Receiver Unit"/>
    <s v=""/>
    <m/>
    <m/>
    <s v="single"/>
    <m/>
    <n v="175"/>
    <s v="14-18 ALL"/>
    <s v="BMW X5 (F15) (14-18)"/>
    <s v="F15 ALL"/>
    <m/>
    <s v="638"/>
    <s v="-"/>
    <n v="72259"/>
    <s v="638-72259"/>
    <s v="14-16 w/ DVD changer"/>
    <m/>
    <m/>
    <m/>
    <m/>
    <m/>
    <s v=""/>
  </r>
  <r>
    <s v="A72"/>
    <s v="638-72260"/>
    <m/>
    <m/>
    <n v="1"/>
    <s v="ENF"/>
    <d v="2022-05-03T00:00:00"/>
    <m/>
    <m/>
    <s v="KEEP"/>
    <s v="Interior"/>
    <s v="Radio"/>
    <s v="always"/>
    <n v="62"/>
    <s v="A72"/>
    <s v="Box 4"/>
    <n v="1"/>
    <s v="A72. Radio / Stereo Receiver Unit"/>
    <s v="PIC"/>
    <n v="5"/>
    <s v="65129327320, 9327320"/>
    <s v="No"/>
    <m/>
    <m/>
    <m/>
    <x v="158"/>
    <s v="Radio / Stereo Receiver Unit"/>
    <s v=""/>
    <m/>
    <m/>
    <s v="single"/>
    <m/>
    <n v="175"/>
    <s v="14-18 ALL"/>
    <s v="BMW X5 (F15) (14-18)"/>
    <s v="F15 ALL"/>
    <m/>
    <s v="638"/>
    <s v="-"/>
    <n v="72260"/>
    <s v="638-72260"/>
    <s v="14-16 w/o DVD changer"/>
    <m/>
    <m/>
    <m/>
    <m/>
    <m/>
    <s v=""/>
  </r>
  <r>
    <s v=""/>
    <s v="638-73944"/>
    <m/>
    <m/>
    <n v="1"/>
    <s v="ENF"/>
    <d v="2022-05-03T00:00:00"/>
    <m/>
    <m/>
    <s v="KEEP"/>
    <s v="Interior"/>
    <s v="Radio"/>
    <s v="always"/>
    <m/>
    <m/>
    <m/>
    <m/>
    <s v=". Radio / Stereo Receiver Unit"/>
    <m/>
    <m/>
    <m/>
    <m/>
    <m/>
    <m/>
    <m/>
    <x v="158"/>
    <s v="Radio / Stereo Receiver Unit"/>
    <s v=""/>
    <m/>
    <m/>
    <s v="single"/>
    <m/>
    <n v="800"/>
    <s v="14-18 ALL"/>
    <s v="BMW X5 (F15) (14-18)"/>
    <s v="F15 ALL"/>
    <m/>
    <s v="638"/>
    <s v="-"/>
    <n v="73944"/>
    <s v="638-73944"/>
    <s v="17-18"/>
    <m/>
    <m/>
    <m/>
    <m/>
    <m/>
    <s v=""/>
  </r>
  <r>
    <s v=""/>
    <s v="257-66543"/>
    <m/>
    <m/>
    <n v="1"/>
    <s v="ENF"/>
    <d v="2022-05-03T00:00:00"/>
    <m/>
    <m/>
    <s v="KEEP"/>
    <s v="Interior"/>
    <s v="Speedometer"/>
    <s v="always"/>
    <m/>
    <m/>
    <m/>
    <m/>
    <s v=". Speedometer"/>
    <m/>
    <m/>
    <m/>
    <m/>
    <m/>
    <m/>
    <m/>
    <x v="159"/>
    <s v="Speedometer"/>
    <s v=""/>
    <m/>
    <m/>
    <s v="single"/>
    <m/>
    <n v="325"/>
    <s v="14-18 ALL"/>
    <s v="BMW X5 (F15) (14-18)"/>
    <s v="F15 ALL"/>
    <m/>
    <s v="257"/>
    <s v="-"/>
    <n v="66543"/>
    <s v="257-66543"/>
    <s v="14-18 w/ MPH, w/ display screen below gauges, w/ diesel"/>
    <m/>
    <m/>
    <m/>
    <m/>
    <m/>
    <s v=""/>
  </r>
  <r>
    <s v="A79"/>
    <s v="257-66546"/>
    <m/>
    <m/>
    <n v="1"/>
    <s v="ENF"/>
    <d v="2022-05-03T00:00:00"/>
    <m/>
    <m/>
    <s v="KEEP"/>
    <s v="Interior"/>
    <s v="Speedometer"/>
    <s v="always"/>
    <n v="69"/>
    <s v="A79"/>
    <s v="Box 4"/>
    <n v="1"/>
    <s v="A79. Speedometer"/>
    <s v="PIC"/>
    <n v="6"/>
    <s v="62109339894, 9339894"/>
    <s v="No"/>
    <m/>
    <m/>
    <m/>
    <x v="159"/>
    <s v="Speedometer"/>
    <s v=""/>
    <m/>
    <m/>
    <s v="single"/>
    <m/>
    <n v="120"/>
    <s v="14-18 ALL"/>
    <s v="BMW X5 (F15) (14-18)"/>
    <s v="F15 ALL"/>
    <m/>
    <s v="257"/>
    <s v="-"/>
    <n v="66546"/>
    <s v="257-66546"/>
    <s v="14-18 w/ MPH, w/ display screen below gauges, w/ gasoline"/>
    <m/>
    <m/>
    <m/>
    <m/>
    <m/>
    <s v=""/>
  </r>
  <r>
    <s v=""/>
    <s v="257-66429"/>
    <m/>
    <m/>
    <n v="1"/>
    <s v="ENF"/>
    <d v="2022-05-03T00:00:00"/>
    <m/>
    <m/>
    <s v="KEEP"/>
    <s v="Interior"/>
    <s v="Speedometer"/>
    <s v="always"/>
    <m/>
    <m/>
    <m/>
    <m/>
    <s v=". Speedometer"/>
    <m/>
    <m/>
    <m/>
    <m/>
    <m/>
    <m/>
    <m/>
    <x v="159"/>
    <s v="Speedometer"/>
    <s v=""/>
    <m/>
    <m/>
    <s v="single"/>
    <m/>
    <n v="250"/>
    <s v="14-18 ALL"/>
    <s v="BMW X5 (F15) (14-18)"/>
    <s v="F15 ALL"/>
    <m/>
    <s v="257"/>
    <s v="-"/>
    <n v="66429"/>
    <s v="257-66429"/>
    <s v="14-18 w/ MPH, w/o display screen below gauges, w/ lane departure, w/ diesel"/>
    <m/>
    <m/>
    <m/>
    <m/>
    <m/>
    <s v=""/>
  </r>
  <r>
    <s v=""/>
    <s v="257-66413"/>
    <m/>
    <m/>
    <n v="1"/>
    <s v="ENF"/>
    <d v="2022-05-03T00:00:00"/>
    <m/>
    <m/>
    <s v="KEEP"/>
    <s v="Interior"/>
    <s v="Speedometer"/>
    <s v="always"/>
    <m/>
    <m/>
    <m/>
    <m/>
    <s v=". Speedometer"/>
    <m/>
    <m/>
    <m/>
    <m/>
    <m/>
    <m/>
    <m/>
    <x v="159"/>
    <s v="Speedometer"/>
    <s v=""/>
    <m/>
    <m/>
    <s v="single"/>
    <m/>
    <n v="100"/>
    <s v="14-18 ALL"/>
    <s v="BMW X5 (F15) (14-18)"/>
    <s v="F15 ALL"/>
    <m/>
    <s v="257"/>
    <s v="-"/>
    <n v="66413"/>
    <s v="257-66413"/>
    <s v="14-17 w/ MPH, w/o display screen below gauges, w/ lane departure, w/ gasoline"/>
    <m/>
    <m/>
    <m/>
    <m/>
    <m/>
    <s v=""/>
  </r>
  <r>
    <s v=""/>
    <s v="257-68008"/>
    <m/>
    <m/>
    <n v="1"/>
    <s v="ENF"/>
    <d v="2022-05-03T00:00:00"/>
    <m/>
    <m/>
    <s v="KEEP"/>
    <s v="Interior"/>
    <s v="Speedometer"/>
    <s v="always"/>
    <m/>
    <m/>
    <m/>
    <m/>
    <s v=". Speedometer"/>
    <m/>
    <m/>
    <m/>
    <m/>
    <m/>
    <m/>
    <m/>
    <x v="159"/>
    <s v="Speedometer"/>
    <s v=""/>
    <m/>
    <m/>
    <s v="single"/>
    <m/>
    <n v="125"/>
    <s v="14-18 ALL"/>
    <s v="BMW X5 (F15) (14-18)"/>
    <s v="F15 ALL"/>
    <m/>
    <s v="257"/>
    <s v="-"/>
    <n v="68008"/>
    <s v="257-68008"/>
    <s v="18 w/ MPH, w/o display screen below gauges, w/ gasoline"/>
    <m/>
    <m/>
    <m/>
    <m/>
    <m/>
    <s v=""/>
  </r>
  <r>
    <s v=""/>
    <s v="257-66549"/>
    <m/>
    <m/>
    <n v="1"/>
    <s v="ENF"/>
    <d v="2022-05-03T00:00:00"/>
    <m/>
    <m/>
    <s v="KEEP"/>
    <s v="Interior"/>
    <s v="Speedometer"/>
    <s v="always"/>
    <m/>
    <m/>
    <m/>
    <m/>
    <s v=". Speedometer"/>
    <m/>
    <m/>
    <m/>
    <m/>
    <m/>
    <m/>
    <m/>
    <x v="159"/>
    <s v="Speedometer"/>
    <s v=""/>
    <m/>
    <m/>
    <s v="single"/>
    <m/>
    <n v="245"/>
    <s v="14-18 ALL"/>
    <s v="BMW X5 (F15) (14-18)"/>
    <s v="F15 ALL"/>
    <m/>
    <s v="257"/>
    <s v="-"/>
    <n v="66549"/>
    <s v="257-66549"/>
    <s v="14 w/ MPH, w/o display screen below gauges, w/o lane departure warning, w/ diesel"/>
    <m/>
    <m/>
    <m/>
    <m/>
    <m/>
    <s v=""/>
  </r>
  <r>
    <s v=""/>
    <s v="257-66551"/>
    <m/>
    <m/>
    <n v="1"/>
    <s v="ENF"/>
    <d v="2022-05-03T00:00:00"/>
    <m/>
    <m/>
    <s v="KEEP"/>
    <s v="Interior"/>
    <s v="Speedometer"/>
    <s v="always"/>
    <m/>
    <m/>
    <m/>
    <m/>
    <s v=". Speedometer"/>
    <m/>
    <m/>
    <m/>
    <m/>
    <m/>
    <m/>
    <m/>
    <x v="159"/>
    <s v="Speedometer"/>
    <s v=""/>
    <m/>
    <m/>
    <s v="single"/>
    <m/>
    <n v="125"/>
    <s v="14-18 ALL"/>
    <s v="BMW X5 (F15) (14-18)"/>
    <s v="F15 ALL"/>
    <m/>
    <s v="257"/>
    <s v="-"/>
    <n v="66551"/>
    <s v="257-66551"/>
    <s v="14 thru 6/30/14 w/ MPH, w/o display screen below gauges, w/o lane departure warning, w/ gasoline"/>
    <m/>
    <m/>
    <m/>
    <m/>
    <m/>
    <s v=""/>
  </r>
  <r>
    <s v=""/>
    <s v="257-66562"/>
    <m/>
    <m/>
    <n v="1"/>
    <s v="ENF"/>
    <d v="2022-05-03T00:00:00"/>
    <m/>
    <m/>
    <s v="KEEP"/>
    <s v="Interior"/>
    <s v="Speedometer"/>
    <s v="always"/>
    <m/>
    <m/>
    <m/>
    <m/>
    <s v=". Speedometer"/>
    <m/>
    <m/>
    <m/>
    <m/>
    <m/>
    <m/>
    <m/>
    <x v="159"/>
    <s v="Speedometer"/>
    <s v=""/>
    <m/>
    <m/>
    <s v="single"/>
    <m/>
    <n v="115"/>
    <s v="14-18 ALL"/>
    <s v="BMW X5 (F15) (14-18)"/>
    <s v="F15 ALL"/>
    <m/>
    <s v="257"/>
    <s v="-"/>
    <n v="66562"/>
    <s v="257-66562"/>
    <s v="14 from 7/1/14 w/ MPH, w/o display screen below gauges, w/o lane departure warning, w/ gasoline"/>
    <m/>
    <m/>
    <m/>
    <m/>
    <m/>
    <s v=""/>
  </r>
  <r>
    <s v=""/>
    <s v="257-66552"/>
    <m/>
    <m/>
    <n v="1"/>
    <s v="ENF"/>
    <d v="2022-05-03T00:00:00"/>
    <m/>
    <m/>
    <s v="KEEP"/>
    <s v="Interior"/>
    <s v="Speedometer"/>
    <s v="always"/>
    <m/>
    <m/>
    <m/>
    <m/>
    <s v=". Speedometer"/>
    <m/>
    <m/>
    <m/>
    <m/>
    <m/>
    <m/>
    <m/>
    <x v="159"/>
    <s v="Speedometer"/>
    <s v=""/>
    <m/>
    <m/>
    <s v="single"/>
    <m/>
    <n v="750"/>
    <s v="14-18 ALL"/>
    <s v="BMW X5 (F15) (14-18)"/>
    <s v="F15 ALL"/>
    <m/>
    <s v="257"/>
    <s v="-"/>
    <n v="66552"/>
    <s v="257-66552"/>
    <s v="14-16 w/ all digital (no analog)"/>
    <m/>
    <m/>
    <m/>
    <m/>
    <m/>
    <s v=""/>
  </r>
  <r>
    <s v=""/>
    <s v="257-68030"/>
    <m/>
    <m/>
    <n v="1"/>
    <s v="ENF"/>
    <d v="2022-05-03T00:00:00"/>
    <m/>
    <m/>
    <s v="KEEP"/>
    <s v="Interior"/>
    <s v="Speedometer"/>
    <s v="always"/>
    <m/>
    <m/>
    <m/>
    <m/>
    <s v=". Speedometer"/>
    <m/>
    <m/>
    <m/>
    <m/>
    <m/>
    <m/>
    <m/>
    <x v="159"/>
    <s v="Speedometer"/>
    <s v=""/>
    <m/>
    <m/>
    <s v="single"/>
    <m/>
    <n v="1000"/>
    <s v="14-18 ALL"/>
    <s v="BMW X5 (F15) (14-18)"/>
    <s v="F15 ALL"/>
    <m/>
    <s v="257"/>
    <s v="-"/>
    <n v="68030"/>
    <s v="257-68030"/>
    <s v="17-18 w/ all digital (no analog)"/>
    <m/>
    <m/>
    <m/>
    <m/>
    <m/>
    <s v=""/>
  </r>
  <r>
    <s v=""/>
    <s v=""/>
    <m/>
    <m/>
    <s v=""/>
    <s v="ENF"/>
    <d v="2022-05-02T00:00:00"/>
    <m/>
    <m/>
    <s v="KEEP"/>
    <s v="Interior"/>
    <s v="Steering Column Shaft"/>
    <s v="never"/>
    <m/>
    <m/>
    <m/>
    <m/>
    <s v=". Steering Column Center Rod &amp; Lower U-Joint Shaft SET 2"/>
    <m/>
    <m/>
    <m/>
    <m/>
    <m/>
    <m/>
    <m/>
    <x v="160"/>
    <s v="Steering Column Center Rod &amp; Lower U-Joint Shaft SET 2"/>
    <s v="SET 2, sell singles if 1 bad"/>
    <s v="SET 2, sell singles if 1 bad"/>
    <m/>
    <s v="SET/2"/>
    <m/>
    <n v="100"/>
    <s v="14-18 ALL"/>
    <s v="BMW X5 (F15) (14-18)"/>
    <s v="F15 ALL"/>
    <m/>
    <m/>
    <m/>
    <m/>
    <m/>
    <m/>
    <s v="F15"/>
    <s v="14-18"/>
    <s v="ALL"/>
    <s v="F15-14-18-ALL"/>
    <s v="Viking30"/>
    <s v="F15-14-18-ALL-Viking30"/>
  </r>
  <r>
    <s v=""/>
    <s v=""/>
    <m/>
    <m/>
    <s v=""/>
    <s v="ENF"/>
    <d v="2022-05-02T00:00:00"/>
    <m/>
    <m/>
    <s v="KEEP"/>
    <s v="Interior"/>
    <s v="Steering Column Shaft"/>
    <s v="never"/>
    <m/>
    <m/>
    <m/>
    <m/>
    <s v=". Steering Column Center Rod Shaft"/>
    <m/>
    <m/>
    <m/>
    <m/>
    <m/>
    <m/>
    <m/>
    <x v="160"/>
    <s v="Steering Column Center Rod Shaft"/>
    <s v=""/>
    <m/>
    <m/>
    <s v="single"/>
    <m/>
    <n v="58"/>
    <s v="14-18 ALL"/>
    <s v="BMW X5 (F15) (14-18)"/>
    <s v="F15 ALL"/>
    <m/>
    <m/>
    <m/>
    <m/>
    <m/>
    <m/>
    <s v="F15"/>
    <s v="14-18"/>
    <s v="ALL"/>
    <s v="F15-14-18-ALL"/>
    <s v="Viking31"/>
    <s v="F15-14-18-ALL-Viking31"/>
  </r>
  <r>
    <s v="A25"/>
    <s v=""/>
    <m/>
    <m/>
    <s v=""/>
    <s v="ENF"/>
    <d v="2022-05-02T00:00:00"/>
    <m/>
    <m/>
    <s v="KEEP"/>
    <s v="Interior"/>
    <s v="Steering Column Shaft"/>
    <s v="never"/>
    <n v="15"/>
    <s v="A25"/>
    <s v="Box 1"/>
    <n v="1"/>
    <s v="A25. Steering Column Lower U-Joint Shaft"/>
    <s v="PIC"/>
    <n v="4"/>
    <n v="6774110"/>
    <s v="Yes"/>
    <m/>
    <m/>
    <m/>
    <x v="160"/>
    <s v="Steering Column Lower U-Joint Shaft"/>
    <s v=""/>
    <m/>
    <m/>
    <s v="single"/>
    <m/>
    <n v="75"/>
    <s v="14-18 ALL"/>
    <s v="BMW X5 (F15) (14-18)"/>
    <s v="F15 ALL"/>
    <m/>
    <m/>
    <m/>
    <m/>
    <m/>
    <m/>
    <s v="F15"/>
    <s v="14-18"/>
    <s v="ALL"/>
    <s v="F15-14-18-ALL"/>
    <s v="Viking32"/>
    <s v="F15-14-18-ALL-Viking32"/>
  </r>
  <r>
    <s v=""/>
    <s v=""/>
    <m/>
    <m/>
    <s v=""/>
    <s v="AJR"/>
    <d v="2023-03-09T00:00:00"/>
    <m/>
    <m/>
    <s v="KEEP"/>
    <s v="Interior"/>
    <s v="Module"/>
    <s v="never"/>
    <m/>
    <m/>
    <m/>
    <m/>
    <s v=". Steering Wheel Vibration Control Module "/>
    <m/>
    <m/>
    <m/>
    <m/>
    <m/>
    <m/>
    <m/>
    <x v="161"/>
    <s v="Steering Wheel Vibration Control Module "/>
    <s v=""/>
    <m/>
    <m/>
    <s v="single"/>
    <m/>
    <n v="180"/>
    <s v="14-18 ALL"/>
    <s v="BMW X5 (F15) (14-18)"/>
    <s v="F15 ALL"/>
    <m/>
    <m/>
    <m/>
    <m/>
    <m/>
    <m/>
    <m/>
    <m/>
    <m/>
    <m/>
    <m/>
    <s v=""/>
  </r>
  <r>
    <s v=""/>
    <s v="235-992176"/>
    <m/>
    <m/>
    <n v="1"/>
    <s v="ENF"/>
    <d v="2022-05-03T00:00:00"/>
    <m/>
    <m/>
    <s v="KEEP"/>
    <s v="Interior"/>
    <s v="Steering Wheel"/>
    <s v="always CPI+"/>
    <m/>
    <m/>
    <m/>
    <m/>
    <s v=". Steering Wheel"/>
    <m/>
    <m/>
    <m/>
    <m/>
    <m/>
    <m/>
    <s v="[YES-ENTER]"/>
    <x v="162"/>
    <s v="Steering Wheel"/>
    <s v="Switches &amp; Trim ON | wheel bad sell switches+trim or solo"/>
    <s v="Switches &amp; Trim ON"/>
    <s v="wheel bad sell switches+trim or solo"/>
    <s v="single"/>
    <m/>
    <n v="695"/>
    <s v="14-18 ALL"/>
    <s v="BMW X5 (F15) (14-18)"/>
    <s v="F15 ALL"/>
    <m/>
    <n v="235"/>
    <s v="-"/>
    <n v="992176"/>
    <s v="235-992176"/>
    <s v="w/ X5M w/ M sport, w/ heated"/>
    <m/>
    <m/>
    <m/>
    <m/>
    <m/>
    <s v=""/>
  </r>
  <r>
    <s v=""/>
    <s v="235-992177"/>
    <m/>
    <m/>
    <n v="1"/>
    <s v="ENF"/>
    <d v="2022-05-03T00:00:00"/>
    <m/>
    <m/>
    <s v="KEEP"/>
    <s v="Interior"/>
    <s v="Steering Wheel"/>
    <s v="always CPI+"/>
    <m/>
    <m/>
    <m/>
    <m/>
    <s v=". Steering Wheel"/>
    <m/>
    <m/>
    <m/>
    <m/>
    <m/>
    <m/>
    <s v="[YES-ENTER]"/>
    <x v="162"/>
    <s v="Steering Wheel"/>
    <s v="Switches &amp; Trim ON | wheel bad sell switches+trim or solo"/>
    <s v="Switches &amp; Trim ON"/>
    <s v="wheel bad sell switches+trim or solo"/>
    <s v="single"/>
    <m/>
    <n v="695"/>
    <s v="14-18 ALL"/>
    <s v="BMW X5 (F15) (14-18)"/>
    <s v="F15 ALL"/>
    <m/>
    <n v="235"/>
    <s v="-"/>
    <n v="992177"/>
    <s v="235-992177"/>
    <s v="w/ X5M w/ M sport, w/o heated"/>
    <m/>
    <m/>
    <m/>
    <m/>
    <m/>
    <s v=""/>
  </r>
  <r>
    <s v=""/>
    <s v="235-992178"/>
    <m/>
    <m/>
    <n v="1"/>
    <s v="ENF"/>
    <d v="2022-05-03T00:00:00"/>
    <m/>
    <m/>
    <s v="KEEP"/>
    <s v="Interior"/>
    <s v="Steering Wheel"/>
    <s v="always CPI+"/>
    <m/>
    <m/>
    <m/>
    <m/>
    <s v=". Steering Wheel"/>
    <m/>
    <m/>
    <m/>
    <m/>
    <m/>
    <m/>
    <s v="[YES-ENTER]"/>
    <x v="162"/>
    <s v="Steering Wheel"/>
    <s v="Switches &amp; Trim ON | wheel bad sell switches+trim or solo"/>
    <s v="Switches &amp; Trim ON"/>
    <s v="wheel bad sell switches+trim or solo"/>
    <s v="single"/>
    <m/>
    <n v="175"/>
    <s v="14-18 ALL"/>
    <s v="BMW X5 (F15) (14-18)"/>
    <s v="F15 ALL"/>
    <m/>
    <n v="235"/>
    <s v="-"/>
    <n v="992178"/>
    <s v="235-992178"/>
    <s v="w/o sport, w/ heated, w/ lane warning"/>
    <m/>
    <m/>
    <m/>
    <m/>
    <m/>
    <s v=""/>
  </r>
  <r>
    <s v="A117"/>
    <s v="235-992180"/>
    <m/>
    <m/>
    <n v="1"/>
    <s v="ENF"/>
    <d v="2022-05-03T00:00:00"/>
    <m/>
    <m/>
    <s v="KEEP"/>
    <s v="Interior"/>
    <s v="Steering Wheel"/>
    <s v="always CPI+"/>
    <n v="107"/>
    <s v="A117"/>
    <s v="FLAW"/>
    <n v="1"/>
    <s v="A117. Steering Wheel"/>
    <s v="PIC"/>
    <n v="6"/>
    <s v="32306881302, 6881302, 32306868758, 6868758, 32306876776, 6876776"/>
    <s v="Yes"/>
    <s v="leather wear"/>
    <m/>
    <s v="Black"/>
    <x v="162"/>
    <s v="Steering Wheel"/>
    <s v="Switches &amp; Trim ON | wheel bad sell switches+trim or solo"/>
    <s v="Switches &amp; Trim ON"/>
    <s v="wheel bad sell switches+trim or solo"/>
    <s v="single"/>
    <m/>
    <n v="175"/>
    <s v="14-18 ALL"/>
    <s v="BMW X5 (F15) (14-18)"/>
    <s v="F15 ALL"/>
    <m/>
    <n v="235"/>
    <s v="-"/>
    <n v="992180"/>
    <s v="235-992180"/>
    <s v="w/o sport, w/ heated, w/o lane warning"/>
    <m/>
    <m/>
    <m/>
    <m/>
    <m/>
    <s v=""/>
  </r>
  <r>
    <s v=""/>
    <s v="235-992179"/>
    <m/>
    <m/>
    <n v="1"/>
    <s v="ENF"/>
    <d v="2022-05-03T00:00:00"/>
    <m/>
    <m/>
    <s v="KEEP"/>
    <s v="Interior"/>
    <s v="Steering Wheel"/>
    <s v="always CPI+"/>
    <m/>
    <m/>
    <m/>
    <m/>
    <s v=". Steering Wheel"/>
    <m/>
    <m/>
    <m/>
    <m/>
    <m/>
    <m/>
    <s v="[YES-ENTER]"/>
    <x v="162"/>
    <s v="Steering Wheel"/>
    <s v="Switches &amp; Trim ON | wheel bad sell switches+trim or solo"/>
    <s v="Switches &amp; Trim ON"/>
    <s v="wheel bad sell switches+trim or solo"/>
    <s v="single"/>
    <m/>
    <n v="175"/>
    <s v="14-18 ALL"/>
    <s v="BMW X5 (F15) (14-18)"/>
    <s v="F15 ALL"/>
    <m/>
    <n v="235"/>
    <s v="-"/>
    <n v="992179"/>
    <s v="235-992179"/>
    <s v="w/o sport, w/o heated, w/ lane warning"/>
    <m/>
    <m/>
    <m/>
    <m/>
    <m/>
    <s v=""/>
  </r>
  <r>
    <s v=""/>
    <s v="235-992181"/>
    <m/>
    <m/>
    <n v="1"/>
    <s v="ENF"/>
    <d v="2022-05-03T00:00:00"/>
    <m/>
    <m/>
    <s v="KEEP"/>
    <s v="Interior"/>
    <s v="Steering Wheel"/>
    <s v="always CPI+"/>
    <m/>
    <m/>
    <m/>
    <m/>
    <s v=". Steering Wheel"/>
    <m/>
    <m/>
    <m/>
    <m/>
    <m/>
    <m/>
    <s v="[YES-ENTER]"/>
    <x v="162"/>
    <s v="Steering Wheel"/>
    <s v="Switches &amp; Trim ON | wheel bad sell switches+trim or solo"/>
    <s v="Switches &amp; Trim ON"/>
    <s v="wheel bad sell switches+trim or solo"/>
    <s v="single"/>
    <m/>
    <n v="175"/>
    <s v="14-18 ALL"/>
    <s v="BMW X5 (F15) (14-18)"/>
    <s v="F15 ALL"/>
    <m/>
    <n v="235"/>
    <s v="-"/>
    <n v="992181"/>
    <s v="235-992181"/>
    <s v="w/o sport, w/o heated, w/o lane warning"/>
    <m/>
    <m/>
    <m/>
    <m/>
    <m/>
    <s v=""/>
  </r>
  <r>
    <s v=""/>
    <s v="235-992182"/>
    <m/>
    <m/>
    <n v="1"/>
    <s v="ENF"/>
    <d v="2022-05-03T00:00:00"/>
    <m/>
    <m/>
    <s v="KEEP"/>
    <s v="Interior"/>
    <s v="Steering Wheel"/>
    <s v="always CPI+"/>
    <m/>
    <m/>
    <m/>
    <m/>
    <s v=". Steering Wheel"/>
    <m/>
    <m/>
    <m/>
    <m/>
    <m/>
    <m/>
    <s v="[YES-ENTER]"/>
    <x v="162"/>
    <s v="Steering Wheel"/>
    <s v="Switches &amp; Trim ON | wheel bad sell switches+trim or solo"/>
    <s v="Switches &amp; Trim ON"/>
    <s v="wheel bad sell switches+trim or solo"/>
    <s v="single"/>
    <m/>
    <n v="175"/>
    <s v="14-18 ALL"/>
    <s v="BMW X5 (F15) (14-18)"/>
    <s v="F15 ALL"/>
    <m/>
    <n v="235"/>
    <s v="-"/>
    <n v="992182"/>
    <s v="235-992182"/>
    <s v="w/ sport, w/ heated, w/ lane warning"/>
    <m/>
    <m/>
    <m/>
    <m/>
    <m/>
    <s v=""/>
  </r>
  <r>
    <s v=""/>
    <s v="235-992185"/>
    <m/>
    <m/>
    <n v="1"/>
    <s v="ENF"/>
    <d v="2022-05-03T00:00:00"/>
    <m/>
    <m/>
    <s v="KEEP"/>
    <s v="Interior"/>
    <s v="Steering Wheel"/>
    <s v="always CPI+"/>
    <m/>
    <m/>
    <m/>
    <m/>
    <s v=". Steering Wheel"/>
    <m/>
    <m/>
    <m/>
    <m/>
    <m/>
    <m/>
    <s v="[YES-ENTER]"/>
    <x v="162"/>
    <s v="Steering Wheel"/>
    <s v="Switches &amp; Trim ON | wheel bad sell switches+trim or solo"/>
    <s v="Switches &amp; Trim ON"/>
    <s v="wheel bad sell switches+trim or solo"/>
    <s v="single"/>
    <m/>
    <n v="175"/>
    <s v="14-18 ALL"/>
    <s v="BMW X5 (F15) (14-18)"/>
    <s v="F15 ALL"/>
    <m/>
    <n v="235"/>
    <s v="-"/>
    <n v="992185"/>
    <s v="235-992185"/>
    <s v="w/ sport, w/ heated, w/o lane warning"/>
    <m/>
    <m/>
    <m/>
    <m/>
    <m/>
    <s v=""/>
  </r>
  <r>
    <s v=""/>
    <s v="235-992183"/>
    <m/>
    <m/>
    <n v="1"/>
    <s v="ENF"/>
    <d v="2022-05-03T00:00:00"/>
    <m/>
    <m/>
    <s v="KEEP"/>
    <s v="Interior"/>
    <s v="Steering Wheel"/>
    <s v="always CPI+"/>
    <m/>
    <m/>
    <m/>
    <m/>
    <s v=". Steering Wheel"/>
    <m/>
    <m/>
    <m/>
    <m/>
    <m/>
    <m/>
    <s v="[YES-ENTER]"/>
    <x v="162"/>
    <s v="Steering Wheel"/>
    <s v="Switches &amp; Trim ON | wheel bad sell switches+trim or solo"/>
    <s v="Switches &amp; Trim ON"/>
    <s v="wheel bad sell switches+trim or solo"/>
    <s v="single"/>
    <m/>
    <n v="175"/>
    <s v="14-18 ALL"/>
    <s v="BMW X5 (F15) (14-18)"/>
    <s v="F15 ALL"/>
    <m/>
    <n v="235"/>
    <s v="-"/>
    <n v="992183"/>
    <s v="235-992183"/>
    <s v="w/ sport, w/o heated, w/ lane warning"/>
    <m/>
    <m/>
    <m/>
    <m/>
    <m/>
    <s v=""/>
  </r>
  <r>
    <s v=""/>
    <s v="235-992184"/>
    <m/>
    <m/>
    <n v="1"/>
    <s v="ENF"/>
    <d v="2022-05-03T00:00:00"/>
    <m/>
    <m/>
    <s v="KEEP"/>
    <s v="Interior"/>
    <s v="Steering Wheel"/>
    <s v="always CPI+"/>
    <m/>
    <m/>
    <m/>
    <m/>
    <s v=". Steering Wheel"/>
    <m/>
    <m/>
    <m/>
    <m/>
    <m/>
    <m/>
    <s v="[YES-ENTER]"/>
    <x v="162"/>
    <s v="Steering Wheel"/>
    <s v="Switches &amp; Trim ON | wheel bad sell switches+trim or solo"/>
    <s v="Switches &amp; Trim ON"/>
    <s v="wheel bad sell switches+trim or solo"/>
    <s v="single"/>
    <m/>
    <n v="175"/>
    <s v="14-18 ALL"/>
    <s v="BMW X5 (F15) (14-18)"/>
    <s v="F15 ALL"/>
    <m/>
    <n v="235"/>
    <s v="-"/>
    <n v="992184"/>
    <s v="235-992184"/>
    <s v="w/ sport, w/o heated, w/o lane warning"/>
    <m/>
    <m/>
    <m/>
    <m/>
    <m/>
    <s v=""/>
  </r>
  <r>
    <s v=""/>
    <s v="235-992187"/>
    <m/>
    <m/>
    <n v="1"/>
    <s v="ENF"/>
    <d v="2022-05-03T00:00:00"/>
    <m/>
    <m/>
    <s v="KEEP"/>
    <s v="Interior"/>
    <s v="Steering Wheel"/>
    <s v="always CPI+"/>
    <m/>
    <m/>
    <m/>
    <m/>
    <s v=". Steering Wheel"/>
    <m/>
    <m/>
    <m/>
    <m/>
    <m/>
    <m/>
    <s v="[YES-ENTER]"/>
    <x v="162"/>
    <s v="Steering Wheel"/>
    <s v="Switches &amp; Trim ON | wheel bad sell switches+trim or solo"/>
    <s v="Switches &amp; Trim ON"/>
    <s v="wheel bad sell switches+trim or solo"/>
    <s v="single"/>
    <m/>
    <n v="695"/>
    <s v="14-18 ALL"/>
    <s v="BMW X5 (F15) (14-18)"/>
    <s v="F15 ALL"/>
    <m/>
    <n v="235"/>
    <s v="-"/>
    <n v="992187"/>
    <s v="235-992187"/>
    <s v="w/ sDrive35i, w/ M Sport, w/ heated"/>
    <m/>
    <m/>
    <m/>
    <m/>
    <m/>
    <s v=""/>
  </r>
  <r>
    <s v=""/>
    <s v="235-992188"/>
    <m/>
    <m/>
    <n v="1"/>
    <s v="ENF"/>
    <d v="2022-05-03T00:00:00"/>
    <m/>
    <m/>
    <s v="KEEP"/>
    <s v="Interior"/>
    <s v="Steering Wheel"/>
    <s v="always CPI+"/>
    <m/>
    <m/>
    <m/>
    <m/>
    <s v=". Steering Wheel"/>
    <m/>
    <m/>
    <m/>
    <m/>
    <m/>
    <m/>
    <s v="[YES-ENTER]"/>
    <x v="162"/>
    <s v="Steering Wheel"/>
    <s v="Switches &amp; Trim ON | wheel bad sell switches+trim or solo"/>
    <s v="Switches &amp; Trim ON"/>
    <s v="wheel bad sell switches+trim or solo"/>
    <s v="single"/>
    <m/>
    <n v="695"/>
    <s v="14-18 ALL"/>
    <s v="BMW X5 (F15) (14-18)"/>
    <s v="F15 ALL"/>
    <m/>
    <n v="235"/>
    <s v="-"/>
    <n v="992188"/>
    <s v="235-992188"/>
    <s v="w/ sDrive35i, w/ M Sport, w/o heated"/>
    <m/>
    <m/>
    <m/>
    <m/>
    <m/>
    <s v=""/>
  </r>
  <r>
    <s v=""/>
    <s v=""/>
    <m/>
    <m/>
    <s v=""/>
    <s v="ENF"/>
    <d v="2022-05-03T00:00:00"/>
    <m/>
    <m/>
    <s v="KEEP"/>
    <s v="Interior"/>
    <s v="Steering Wheel Switches"/>
    <s v="always CPI+"/>
    <m/>
    <m/>
    <m/>
    <m/>
    <s v=". Steering Wheel Switches SET 2 WITH Trim"/>
    <m/>
    <m/>
    <m/>
    <m/>
    <m/>
    <m/>
    <m/>
    <x v="163"/>
    <s v="Steering Wheel Switches SET 2 WITH Trim"/>
    <s v="keep ON wheel if selling, w/ trim if trim good"/>
    <s v="keep ON wheel if selling, w/ trim if trim good"/>
    <m/>
    <s v="single"/>
    <m/>
    <n v="140"/>
    <s v="14-18 ALL"/>
    <s v="BMW X5 (F15) (14-18)"/>
    <s v="F15 ALL"/>
    <m/>
    <m/>
    <m/>
    <m/>
    <m/>
    <m/>
    <m/>
    <m/>
    <m/>
    <m/>
    <m/>
    <s v=""/>
  </r>
  <r>
    <s v=""/>
    <s v=""/>
    <m/>
    <m/>
    <s v=""/>
    <s v="ENF"/>
    <d v="2022-05-03T00:00:00"/>
    <m/>
    <m/>
    <s v="KEEP"/>
    <s v="Interior"/>
    <s v="Steering Wheel Switches"/>
    <s v="always CPI+"/>
    <m/>
    <m/>
    <m/>
    <m/>
    <s v=". Steering Wheel Switches SET 2 WITHOUT Trim"/>
    <m/>
    <m/>
    <m/>
    <m/>
    <m/>
    <m/>
    <m/>
    <x v="163"/>
    <s v="Steering Wheel Switches SET 2 WITHOUT Trim"/>
    <s v="keep ON wheel if selling that"/>
    <s v="keep ON wheel if selling that"/>
    <m/>
    <s v="single"/>
    <m/>
    <n v="100"/>
    <s v="14-18 ALL"/>
    <s v="BMW X5 (F15) (14-18)"/>
    <s v="F15 ALL"/>
    <m/>
    <m/>
    <m/>
    <m/>
    <m/>
    <m/>
    <m/>
    <m/>
    <m/>
    <m/>
    <m/>
    <s v=""/>
  </r>
  <r>
    <s v=""/>
    <s v=""/>
    <m/>
    <m/>
    <s v=""/>
    <s v="ENF"/>
    <d v="2022-05-03T00:00:00"/>
    <m/>
    <m/>
    <s v="KEEP"/>
    <s v="Interior"/>
    <s v="Trim, NOT Part of SET"/>
    <s v="always CPI+"/>
    <m/>
    <m/>
    <m/>
    <m/>
    <s v=". Steering Wheel Trim"/>
    <m/>
    <m/>
    <m/>
    <m/>
    <m/>
    <m/>
    <m/>
    <x v="163"/>
    <s v="Steering Wheel Trim"/>
    <s v="keep ON wheel if selling that"/>
    <s v="keep ON wheel if selling that"/>
    <m/>
    <s v="single"/>
    <m/>
    <n v="90"/>
    <s v="14-18 ALL"/>
    <s v="BMW X5 (F15) (14-18)"/>
    <s v="F15 ALL"/>
    <m/>
    <m/>
    <m/>
    <m/>
    <m/>
    <m/>
    <m/>
    <m/>
    <m/>
    <m/>
    <m/>
    <s v=""/>
  </r>
  <r>
    <s v=""/>
    <s v=""/>
    <m/>
    <m/>
    <s v=""/>
    <s v="ENF"/>
    <d v="2022-05-03T00:00:00"/>
    <m/>
    <m/>
    <s v="KEEP"/>
    <s v="Interior"/>
    <s v="Switch Button"/>
    <s v="never"/>
    <m/>
    <m/>
    <m/>
    <m/>
    <s v=". Switch/Button, Engine Ignition Start/Stop Push Button"/>
    <m/>
    <m/>
    <m/>
    <m/>
    <m/>
    <m/>
    <m/>
    <x v="164"/>
    <s v="Switch/Button, Engine Ignition Start/Stop Push Button"/>
    <s v=""/>
    <m/>
    <m/>
    <s v="single"/>
    <s v="SET A Considerations: ENF 5/3/22 90% sure NOT required for SET A"/>
    <n v="39"/>
    <s v="14-18 ALL"/>
    <s v="BMW X5 (F15) (14-18)"/>
    <s v="F15 ALL"/>
    <m/>
    <m/>
    <m/>
    <m/>
    <m/>
    <m/>
    <m/>
    <m/>
    <m/>
    <m/>
    <m/>
    <s v=""/>
  </r>
  <r>
    <s v="A55"/>
    <s v=""/>
    <m/>
    <m/>
    <s v=""/>
    <s v="ENF"/>
    <d v="2022-05-03T00:00:00"/>
    <m/>
    <m/>
    <s v="KEEP"/>
    <s v="Interior"/>
    <s v="Switch Button"/>
    <s v="never"/>
    <n v="45"/>
    <s v="A55"/>
    <s v="Box 3"/>
    <n v="1"/>
    <s v="A55. Traction Control Switch Panel"/>
    <s v="PIC"/>
    <n v="5"/>
    <n v="9262718"/>
    <s v="Yes"/>
    <m/>
    <m/>
    <m/>
    <x v="165"/>
    <s v="Traction Control Switch Panel"/>
    <s v="remove trim panel &amp; sell knob &amp; trim panel each solo"/>
    <s v="remove trim panel &amp; sell knob &amp; trim panel each solo"/>
    <m/>
    <s v="single"/>
    <m/>
    <n v="95"/>
    <s v="14-18 ALL"/>
    <s v="BMW X5 (F15) (14-18)"/>
    <s v="F15 ALL"/>
    <m/>
    <m/>
    <m/>
    <m/>
    <m/>
    <m/>
    <s v="F15"/>
    <s v="14-18"/>
    <s v="ALL"/>
    <s v="F15-14-18-ALL"/>
    <s v="Viking33"/>
    <s v="F15-14-18-ALL-Viking33"/>
  </r>
  <r>
    <s v=""/>
    <s v=""/>
    <m/>
    <m/>
    <s v=""/>
    <s v="AJR"/>
    <d v="2022-09-07T00:00:00"/>
    <m/>
    <m/>
    <s v="KEEP"/>
    <s v="Interior"/>
    <s v="USB Aux Socket Port"/>
    <s v="never"/>
    <m/>
    <m/>
    <m/>
    <m/>
    <s v=". USB Aux Socket Port"/>
    <m/>
    <m/>
    <m/>
    <m/>
    <m/>
    <m/>
    <m/>
    <x v="166"/>
    <s v="USB Aux Socket Port"/>
    <s v=""/>
    <m/>
    <m/>
    <s v="single"/>
    <m/>
    <n v="45"/>
    <s v="14-18 ALL"/>
    <s v="BMW X5 (F15) (14-18)"/>
    <s v="F15 ALL"/>
    <m/>
    <m/>
    <m/>
    <m/>
    <m/>
    <m/>
    <m/>
    <m/>
    <m/>
    <m/>
    <m/>
    <s v=""/>
  </r>
  <r>
    <s v="A46"/>
    <s v=""/>
    <m/>
    <m/>
    <s v=""/>
    <s v="ENF"/>
    <d v="2022-05-03T00:00:00"/>
    <m/>
    <m/>
    <s v="KEEP"/>
    <s v="Interior"/>
    <s v="Vent"/>
    <s v="never"/>
    <n v="36"/>
    <s v="A46"/>
    <s v="Box 3"/>
    <n v="1"/>
    <s v="A46. Vent, DASH - FRONT CENTER with Hazard Button"/>
    <s v="PIC"/>
    <n v="5"/>
    <n v="9252648"/>
    <s v="Yes"/>
    <m/>
    <m/>
    <m/>
    <x v="167"/>
    <s v="Vent, DASH - FRONT CENTER with Hazard Button"/>
    <s v="with hazard button | sell hazard button solo if vent bad"/>
    <s v="with hazard button"/>
    <s v="sell hazard button solo if vent bad"/>
    <s v="single"/>
    <m/>
    <n v="125"/>
    <s v="14-18 ALL"/>
    <s v="BMW X5 (F15) (14-18)"/>
    <s v="F15 ALL"/>
    <m/>
    <m/>
    <m/>
    <m/>
    <m/>
    <m/>
    <s v="F15"/>
    <s v="14-18"/>
    <s v="ALL"/>
    <s v="F15-14-18-ALL"/>
    <s v="Viking34"/>
    <s v="F15-14-18-ALL-Viking34"/>
  </r>
  <r>
    <s v=""/>
    <s v=""/>
    <m/>
    <m/>
    <s v=""/>
    <s v="ENF"/>
    <d v="2022-05-03T00:00:00"/>
    <m/>
    <m/>
    <s v="KEEP"/>
    <s v="Interior"/>
    <s v="Switch Button"/>
    <s v="never"/>
    <m/>
    <m/>
    <m/>
    <m/>
    <s v=". Switch, Hazard Button"/>
    <m/>
    <m/>
    <n v="61319389075"/>
    <s v="Yes"/>
    <m/>
    <m/>
    <m/>
    <x v="168"/>
    <s v="Switch, Hazard Button"/>
    <s v="keep in vent if selling that"/>
    <s v="keep in vent if selling that"/>
    <m/>
    <s v="single"/>
    <m/>
    <n v="125"/>
    <s v="14-18 ALL"/>
    <s v="BMW X5 (F15) (14-18)"/>
    <s v="F15 ALL"/>
    <m/>
    <m/>
    <m/>
    <m/>
    <m/>
    <m/>
    <s v="F15"/>
    <s v="14-18"/>
    <s v="ALL"/>
    <s v="F15-14-18-ALL"/>
    <s v="Viking35"/>
    <s v="F15-14-18-ALL-Viking35"/>
  </r>
  <r>
    <s v="A59"/>
    <s v=""/>
    <m/>
    <m/>
    <s v=""/>
    <s v="ENF"/>
    <d v="2022-05-03T00:00:00"/>
    <m/>
    <m/>
    <s v="KEEP"/>
    <s v="Interior"/>
    <s v="Vent"/>
    <s v="never"/>
    <n v="49"/>
    <s v="A59"/>
    <s v="Box 3"/>
    <n v="1"/>
    <s v="A59. Vent, DASH - FRONT LEFT"/>
    <s v="PIC"/>
    <n v="4"/>
    <n v="9252649"/>
    <s v="Yes"/>
    <m/>
    <m/>
    <m/>
    <x v="169"/>
    <s v="Vent, DASH - FRONT LEFT"/>
    <s v=""/>
    <m/>
    <m/>
    <s v="single"/>
    <m/>
    <n v="100"/>
    <s v="14-18 ALL"/>
    <s v="BMW X5 (F15) (14-18)"/>
    <s v="F15 ALL"/>
    <m/>
    <m/>
    <m/>
    <m/>
    <m/>
    <m/>
    <s v="F15"/>
    <s v="14-18"/>
    <s v="ALL"/>
    <s v="F15-14-18-ALL"/>
    <s v="Viking36"/>
    <s v="F15-14-18-ALL-Viking36"/>
  </r>
  <r>
    <s v="A65"/>
    <s v=""/>
    <m/>
    <m/>
    <s v=""/>
    <s v="ENF"/>
    <d v="2022-05-03T00:00:00"/>
    <m/>
    <m/>
    <s v="KEEP"/>
    <s v="Interior"/>
    <s v="Vent"/>
    <s v="never"/>
    <n v="55"/>
    <s v="A65"/>
    <s v="Box 3"/>
    <n v="1"/>
    <s v="A65. Vent, DASH - FRONT RIGHT"/>
    <s v="PIC"/>
    <n v="4"/>
    <n v="9252650"/>
    <s v="Yes"/>
    <m/>
    <m/>
    <m/>
    <x v="170"/>
    <s v="Vent, DASH - FRONT RIGHT"/>
    <s v=""/>
    <m/>
    <m/>
    <s v="single"/>
    <m/>
    <n v="90"/>
    <s v="14-18 ALL"/>
    <s v="BMW X5 (F15) (14-18)"/>
    <s v="F15 ALL"/>
    <m/>
    <m/>
    <m/>
    <m/>
    <m/>
    <m/>
    <s v="F15"/>
    <s v="14-18"/>
    <s v="ALL"/>
    <s v="F15-14-18-ALL"/>
    <s v="Viking37"/>
    <s v="F15-14-18-ALL-Viking37"/>
  </r>
  <r>
    <s v=""/>
    <s v=""/>
    <m/>
    <m/>
    <s v=""/>
    <s v="ENF"/>
    <d v="2022-05-03T00:00:00"/>
    <m/>
    <m/>
    <s v="KEEP"/>
    <s v="Interior"/>
    <s v="Vent"/>
    <s v="never"/>
    <m/>
    <m/>
    <m/>
    <m/>
    <s v=". Vent, DASH - REAR CENTER CONSOLE"/>
    <m/>
    <m/>
    <m/>
    <m/>
    <m/>
    <m/>
    <m/>
    <x v="171"/>
    <s v="Vent, DASH - REAR CENTER CONSOLE"/>
    <s v=""/>
    <m/>
    <m/>
    <s v="single"/>
    <m/>
    <n v="80"/>
    <s v="14-18 ALL"/>
    <s v="BMW X5 (F15) (14-18)"/>
    <s v="F15 ALL"/>
    <m/>
    <m/>
    <m/>
    <m/>
    <m/>
    <m/>
    <m/>
    <m/>
    <m/>
    <m/>
    <m/>
    <s v=""/>
  </r>
  <r>
    <s v=""/>
    <s v="268-11967"/>
    <m/>
    <m/>
    <n v="1"/>
    <s v="ENF"/>
    <d v="2022-04-19T00:00:00"/>
    <m/>
    <s v="DRF Check"/>
    <s v="KEEP"/>
    <s v="Interior"/>
    <s v="Visors"/>
    <s v="always"/>
    <m/>
    <m/>
    <m/>
    <m/>
    <s v=". Visors SET 2 WITH Visor Clips if Good (toss all if 1 visor bad)"/>
    <m/>
    <m/>
    <m/>
    <m/>
    <m/>
    <m/>
    <s v="[YES-ENTER]"/>
    <x v="172"/>
    <s v="Visors SET 2 WITH Visor Clips if Good (toss all if 1 visor bad)"/>
    <s v="SET2 WITH Visor Clips if Good (toss all if 1 visor bad)"/>
    <s v="SET2 WITH Visor Clips if Good (toss all if 1 visor bad)"/>
    <m/>
    <s v="SET/2"/>
    <s v="Same price if visor clips bad (they're just worthless solo so throwing in)"/>
    <n v="115"/>
    <s v="14-18 ALL"/>
    <s v="BMW X5 (F15) (14-18)"/>
    <s v="F15 ALL"/>
    <m/>
    <s v="268"/>
    <s v="-"/>
    <n v="11967"/>
    <s v="268-11967"/>
    <m/>
    <m/>
    <m/>
    <m/>
    <m/>
    <m/>
    <s v=""/>
  </r>
  <r>
    <s v=""/>
    <s v=""/>
    <m/>
    <m/>
    <s v=""/>
    <s v="ENF"/>
    <d v="2022-05-02T00:00:00"/>
    <m/>
    <m/>
    <s v="Toss"/>
    <s v="Interior"/>
    <s v="HVAC Blend Door Flaps"/>
    <s v="never"/>
    <m/>
    <m/>
    <m/>
    <m/>
    <s v=". A/C HVAC Blend Door Flap Motors &amp; Harness"/>
    <m/>
    <m/>
    <m/>
    <m/>
    <m/>
    <m/>
    <m/>
    <x v="173"/>
    <s v="A/C HVAC Blend Door Flap Motors &amp; Harness"/>
    <s v="TOSS ALL"/>
    <s v="TOSS ALL"/>
    <m/>
    <s v="single"/>
    <m/>
    <m/>
    <s v="14-18 ALL"/>
    <s v="BMW X5 (F15) (14-18)"/>
    <s v="F15 ALL"/>
    <m/>
    <m/>
    <m/>
    <m/>
    <m/>
    <m/>
    <m/>
    <m/>
    <m/>
    <m/>
    <m/>
    <s v=""/>
  </r>
  <r>
    <s v=""/>
    <s v=""/>
    <m/>
    <m/>
    <s v=""/>
    <s v="ENF"/>
    <d v="2022-05-03T00:00:00"/>
    <m/>
    <m/>
    <s v="Toss"/>
    <s v="Interior"/>
    <s v="Blower Motor"/>
    <s v="sometimes"/>
    <m/>
    <m/>
    <m/>
    <m/>
    <s v=". Blower Motor Assembly, REAR &amp; CENTER CONSOLE"/>
    <m/>
    <m/>
    <m/>
    <m/>
    <m/>
    <m/>
    <m/>
    <x v="174"/>
    <s v="Blower Motor Assembly, REAR &amp; CENTER CONSOLE"/>
    <s v="TOSS BOTH including resistors (KEEP front blower)"/>
    <s v="TOSS BOTH including resistors (KEEP front blower)"/>
    <m/>
    <s v="single"/>
    <m/>
    <m/>
    <s v="14-18 ALL"/>
    <s v="BMW X5 (F15) (14-18)"/>
    <s v="F15 ALL"/>
    <m/>
    <m/>
    <s v="-"/>
    <m/>
    <m/>
    <m/>
    <m/>
    <m/>
    <m/>
    <m/>
    <m/>
    <s v=""/>
  </r>
  <r>
    <s v=""/>
    <s v=""/>
    <m/>
    <m/>
    <s v=""/>
    <s v="ENF"/>
    <d v="2022-05-02T00:00:00"/>
    <m/>
    <m/>
    <s v="Toss"/>
    <s v="Interior"/>
    <s v="Lights (other than headlight &amp; taillight)"/>
    <s v="never"/>
    <m/>
    <m/>
    <m/>
    <m/>
    <s v=". Dome Lights, ALL EXCEPT front primary one"/>
    <m/>
    <m/>
    <m/>
    <m/>
    <m/>
    <m/>
    <m/>
    <x v="175"/>
    <s v="Dome Lights, ALL EXCEPT front primary one"/>
    <s v="keep primary front center roof, toss all others"/>
    <s v="keep primary front center roof, toss all others"/>
    <m/>
    <s v="single"/>
    <m/>
    <m/>
    <s v="14-18 ALL"/>
    <s v="BMW X5 (F15) (14-18)"/>
    <s v="F15 ALL"/>
    <m/>
    <m/>
    <m/>
    <m/>
    <m/>
    <m/>
    <m/>
    <m/>
    <m/>
    <m/>
    <m/>
    <s v=""/>
  </r>
  <r>
    <s v=""/>
    <s v=""/>
    <m/>
    <m/>
    <s v=""/>
    <s v="ENF"/>
    <d v="2022-05-03T00:00:00"/>
    <m/>
    <m/>
    <s v="Toss"/>
    <s v="Interior"/>
    <s v="Glove Box"/>
    <s v="never"/>
    <m/>
    <m/>
    <m/>
    <m/>
    <s v=". Glove Box, LEFT FRONT DASH smaller one"/>
    <m/>
    <m/>
    <m/>
    <m/>
    <m/>
    <m/>
    <m/>
    <x v="176"/>
    <s v="Glove Box, LEFT FRONT DASH smaller one"/>
    <s v="DO KEEP the primary RF dash one"/>
    <m/>
    <s v="DO KEEP the primary RF dash one"/>
    <s v="single"/>
    <m/>
    <m/>
    <s v="14-18 ALL"/>
    <s v="BMW X5 (F15) (14-18)"/>
    <s v="F15 ALL"/>
    <m/>
    <m/>
    <m/>
    <m/>
    <m/>
    <m/>
    <m/>
    <m/>
    <m/>
    <m/>
    <m/>
    <s v=""/>
  </r>
  <r>
    <s v=""/>
    <s v=""/>
    <m/>
    <m/>
    <s v=""/>
    <s v="ENF"/>
    <d v="2022-05-02T00:00:00"/>
    <m/>
    <m/>
    <s v="Toss"/>
    <s v="Interior"/>
    <s v="Grab Handles"/>
    <s v="never"/>
    <m/>
    <m/>
    <m/>
    <m/>
    <s v=". Grab Handles / Oh Shit Bars"/>
    <m/>
    <m/>
    <m/>
    <m/>
    <m/>
    <m/>
    <m/>
    <x v="177"/>
    <s v="Grab Handles / Oh Shit Bars"/>
    <s v="TOSS ALL"/>
    <s v="TOSS ALL"/>
    <m/>
    <s v="single"/>
    <m/>
    <m/>
    <s v="14-18 ALL"/>
    <s v="BMW X5 (F15) (14-18)"/>
    <s v="F15 ALL"/>
    <m/>
    <m/>
    <m/>
    <m/>
    <m/>
    <m/>
    <m/>
    <m/>
    <m/>
    <m/>
    <m/>
    <s v=""/>
  </r>
  <r>
    <s v=""/>
    <s v=""/>
    <m/>
    <m/>
    <s v=""/>
    <s v="ENF"/>
    <d v="2022-05-02T00:00:00"/>
    <m/>
    <m/>
    <s v="Toss"/>
    <s v="Interior"/>
    <s v="Microphone"/>
    <s v="never"/>
    <m/>
    <m/>
    <m/>
    <m/>
    <s v=". Microphone, Hands Free Roof Mounted Mics"/>
    <m/>
    <m/>
    <m/>
    <m/>
    <m/>
    <m/>
    <m/>
    <x v="178"/>
    <s v="Microphone, Hands Free Roof Mounted Mics"/>
    <s v="TOSS ALL"/>
    <s v="TOSS ALL"/>
    <m/>
    <s v="single"/>
    <m/>
    <m/>
    <s v="14-18 ALL"/>
    <s v="BMW X5 (F15) (14-18)"/>
    <s v="F15 ALL"/>
    <m/>
    <m/>
    <m/>
    <m/>
    <m/>
    <m/>
    <m/>
    <m/>
    <m/>
    <m/>
    <m/>
    <s v=""/>
  </r>
  <r>
    <s v=""/>
    <s v=""/>
    <m/>
    <m/>
    <s v=""/>
    <s v="ENF"/>
    <d v="2022-05-02T00:00:00"/>
    <m/>
    <m/>
    <s v="Toss"/>
    <s v="Interior"/>
    <s v="Pedal"/>
    <s v="never"/>
    <m/>
    <m/>
    <m/>
    <m/>
    <s v=". Pedal, Gas Pedal"/>
    <m/>
    <m/>
    <m/>
    <m/>
    <m/>
    <m/>
    <m/>
    <x v="179"/>
    <s v="Pedal, Gas Pedal"/>
    <s v=""/>
    <m/>
    <m/>
    <s v="single"/>
    <m/>
    <m/>
    <s v="14-18 ALL"/>
    <s v="BMW X5 (F15) (14-18)"/>
    <s v="F15 ALL"/>
    <m/>
    <m/>
    <m/>
    <m/>
    <m/>
    <m/>
    <m/>
    <m/>
    <m/>
    <m/>
    <m/>
    <s v=""/>
  </r>
  <r>
    <s v=""/>
    <s v=""/>
    <m/>
    <m/>
    <s v=""/>
    <s v="ENF"/>
    <d v="2022-05-03T00:00:00"/>
    <m/>
    <m/>
    <s v="Toss"/>
    <s v="Interior"/>
    <s v="Center Console Storage Compartment"/>
    <s v="never"/>
    <m/>
    <m/>
    <m/>
    <m/>
    <s v=". REAR CENTER CONSOLE Storage Tray, Trim Panel &amp; 12v Sockets"/>
    <m/>
    <m/>
    <m/>
    <m/>
    <m/>
    <m/>
    <m/>
    <x v="180"/>
    <s v="REAR CENTER CONSOLE Storage Tray, Trim Panel &amp; 12v Sockets"/>
    <s v="TOSS, but DO KEEP vent &amp; climate control"/>
    <s v="TOSS, but DO KEEP vent &amp; climate control"/>
    <m/>
    <s v="single"/>
    <m/>
    <m/>
    <s v="14-18 ALL"/>
    <s v="BMW X5 (F15) (14-18)"/>
    <s v="F15 ALL"/>
    <m/>
    <m/>
    <m/>
    <m/>
    <m/>
    <m/>
    <m/>
    <m/>
    <m/>
    <m/>
    <m/>
    <s v=""/>
  </r>
  <r>
    <s v=""/>
    <s v=""/>
    <m/>
    <m/>
    <s v=""/>
    <s v="ENF"/>
    <d v="2022-05-03T00:00:00"/>
    <m/>
    <m/>
    <s v="Toss"/>
    <s v="Interior"/>
    <s v="Speaker Grilles"/>
    <s v="never"/>
    <m/>
    <m/>
    <m/>
    <m/>
    <s v=". Speaker Grilles"/>
    <m/>
    <m/>
    <m/>
    <m/>
    <m/>
    <m/>
    <m/>
    <x v="181"/>
    <s v="Speaker Grilles"/>
    <s v="TOSS ALL"/>
    <s v="TOSS ALL"/>
    <m/>
    <s v="single"/>
    <m/>
    <m/>
    <s v="14-18 ALL"/>
    <s v="BMW X5 (F15) (14-18)"/>
    <s v="F15 ALL"/>
    <m/>
    <m/>
    <m/>
    <m/>
    <m/>
    <m/>
    <m/>
    <m/>
    <m/>
    <m/>
    <m/>
    <s v=""/>
  </r>
  <r>
    <s v=""/>
    <s v=""/>
    <m/>
    <m/>
    <s v=""/>
    <s v="ENF"/>
    <d v="2022-05-03T00:00:00"/>
    <m/>
    <m/>
    <s v="Toss"/>
    <s v="Interior"/>
    <s v="Trim, NOT Part of SET"/>
    <s v="never"/>
    <m/>
    <m/>
    <m/>
    <m/>
    <s v=". Speedometer Instrument Gauge Cluster Trim"/>
    <m/>
    <m/>
    <m/>
    <m/>
    <m/>
    <m/>
    <m/>
    <x v="182"/>
    <s v="Speedometer Instrument Gauge Cluster Trim"/>
    <s v="big plastic piece"/>
    <m/>
    <s v="big plastic piece"/>
    <s v="single"/>
    <m/>
    <m/>
    <s v="14-18 ALL"/>
    <s v="BMW X5 (F15) (14-18)"/>
    <s v="F15 ALL"/>
    <m/>
    <m/>
    <m/>
    <m/>
    <m/>
    <m/>
    <m/>
    <m/>
    <m/>
    <m/>
    <m/>
    <s v=""/>
  </r>
  <r>
    <s v=""/>
    <s v=""/>
    <m/>
    <m/>
    <s v=""/>
    <s v="ENF"/>
    <d v="2022-05-02T00:00:00"/>
    <m/>
    <m/>
    <s v="Toss"/>
    <s v="Interior"/>
    <s v="Steering Column Assembly &amp; Motors"/>
    <s v="never"/>
    <m/>
    <m/>
    <m/>
    <m/>
    <s v=". Steering Column Assembly &amp; Adjust Motors"/>
    <m/>
    <m/>
    <m/>
    <m/>
    <m/>
    <m/>
    <m/>
    <x v="183"/>
    <s v="Steering Column Assembly &amp; Adjust Motors"/>
    <s v="TOSS ALL | big primary one"/>
    <s v="TOSS ALL"/>
    <s v="big primary one"/>
    <s v="single"/>
    <m/>
    <m/>
    <s v="14-18 ALL"/>
    <s v="BMW X5 (F15) (14-18)"/>
    <s v="F15 ALL"/>
    <m/>
    <m/>
    <m/>
    <m/>
    <m/>
    <m/>
    <m/>
    <m/>
    <m/>
    <m/>
    <m/>
    <s v=""/>
  </r>
  <r>
    <s v="A56"/>
    <s v=""/>
    <m/>
    <m/>
    <s v=""/>
    <s v="ENF"/>
    <d v="2023-10-19T00:00:00"/>
    <m/>
    <m/>
    <s v="KEEP"/>
    <s v="Interior"/>
    <s v="Switch Button"/>
    <s v="never"/>
    <n v="46"/>
    <s v="A56"/>
    <s v="Box 3"/>
    <n v="1"/>
    <s v="A56. Steering Wheel Adjust Switch With Steering Wheel Heater"/>
    <s v="PIC"/>
    <n v="5"/>
    <n v="9267367"/>
    <s v="Yes"/>
    <m/>
    <m/>
    <m/>
    <x v="184"/>
    <s v="Steering Wheel Adjust Switch With Steering Wheel Heater"/>
    <s v=""/>
    <m/>
    <m/>
    <s v="single"/>
    <m/>
    <n v="80"/>
    <s v="14-18 ALL"/>
    <s v="BMW X5 (F15) (14-18)"/>
    <s v="F15 ALL"/>
    <m/>
    <m/>
    <m/>
    <m/>
    <m/>
    <s v="w/ steering wheel heater"/>
    <s v="F15"/>
    <s v="14-18"/>
    <s v="ALL"/>
    <s v="F15-14-18-ALL"/>
    <s v="Viking38"/>
    <s v="F15-14-18-ALL-Viking38"/>
  </r>
  <r>
    <s v=""/>
    <s v=""/>
    <m/>
    <m/>
    <s v=""/>
    <s v="ENF"/>
    <d v="2023-10-19T00:00:00"/>
    <m/>
    <m/>
    <s v="KEEP"/>
    <s v="Interior"/>
    <s v="Switch Button"/>
    <s v="never"/>
    <m/>
    <m/>
    <m/>
    <m/>
    <s v=". Steering Wheel Adjust Switch Without Steering Wheel Heater"/>
    <m/>
    <m/>
    <m/>
    <m/>
    <m/>
    <m/>
    <m/>
    <x v="185"/>
    <s v="Steering Wheel Adjust Switch Without Steering Wheel Heater"/>
    <s v=""/>
    <m/>
    <m/>
    <s v="single"/>
    <m/>
    <n v="45"/>
    <s v="14-18 ALL"/>
    <s v="BMW X5 (F15) (14-18)"/>
    <s v="F15 ALL"/>
    <m/>
    <m/>
    <m/>
    <m/>
    <m/>
    <s v="w/o steering wheel heater"/>
    <s v="F15"/>
    <s v="14-18"/>
    <s v="ALL"/>
    <s v="F15-14-18-ALL"/>
    <s v="Viking39"/>
    <s v="F15-14-18-ALL-Viking39"/>
  </r>
  <r>
    <s v=""/>
    <s v=""/>
    <m/>
    <m/>
    <s v=""/>
    <s v="ENF"/>
    <d v="2022-05-02T00:00:00"/>
    <m/>
    <m/>
    <s v="Toss"/>
    <s v="Interior"/>
    <s v="Vent"/>
    <s v="never"/>
    <m/>
    <m/>
    <m/>
    <m/>
    <s v=". Vents, Pillar"/>
    <m/>
    <m/>
    <m/>
    <m/>
    <m/>
    <m/>
    <m/>
    <x v="186"/>
    <s v="Vents, Pillar"/>
    <s v="TOSS ALL"/>
    <s v="TOSS ALL"/>
    <m/>
    <s v="single"/>
    <m/>
    <m/>
    <s v="14-18 ALL"/>
    <s v="BMW X5 (F15) (14-18)"/>
    <s v="F15 ALL"/>
    <m/>
    <m/>
    <m/>
    <m/>
    <m/>
    <m/>
    <m/>
    <m/>
    <m/>
    <m/>
    <m/>
    <s v=""/>
  </r>
  <r>
    <s v="A97"/>
    <s v="288-50844"/>
    <m/>
    <m/>
    <n v="1"/>
    <s v="ENF"/>
    <d v="2022-04-19T00:00:00"/>
    <m/>
    <m/>
    <s v="KEEP"/>
    <s v="Int Roof"/>
    <s v="Sunroof"/>
    <s v="always"/>
    <n v="87"/>
    <s v="A97"/>
    <s v="Box Bulk 1"/>
    <n v="1"/>
    <s v="A97. Sunroof, Glass - PANORAMIC, FRONT"/>
    <s v="PIC"/>
    <n v="6"/>
    <s v="54137386959, 7386959"/>
    <s v="Yes"/>
    <m/>
    <m/>
    <m/>
    <x v="187"/>
    <s v="Sunroof, Glass - PANORAMIC, FRONT"/>
    <s v=""/>
    <m/>
    <m/>
    <s v="single"/>
    <m/>
    <n v="550"/>
    <s v="14-18 ALL"/>
    <s v="BMW X5 (F15) (14-18)"/>
    <s v="F15 ALL"/>
    <m/>
    <s v="288"/>
    <s v="-"/>
    <n v="50844"/>
    <s v="288-50844"/>
    <m/>
    <m/>
    <m/>
    <m/>
    <m/>
    <m/>
    <s v=""/>
  </r>
  <r>
    <s v="A98"/>
    <s v="288-50845"/>
    <m/>
    <m/>
    <n v="1"/>
    <s v="ENF"/>
    <d v="2022-04-19T00:00:00"/>
    <m/>
    <m/>
    <s v="KEEP"/>
    <s v="Int Roof"/>
    <s v="Sunroof"/>
    <s v="always"/>
    <n v="88"/>
    <s v="A98"/>
    <s v="Box Bulk 1"/>
    <n v="1"/>
    <s v="A98. Sunroof, Glass - PANORAMIC, REAR"/>
    <s v="PIC"/>
    <n v="6"/>
    <s v="54137386961, 7386961"/>
    <s v="Yes"/>
    <m/>
    <m/>
    <m/>
    <x v="188"/>
    <s v="Sunroof, Glass - PANORAMIC, REAR"/>
    <s v=""/>
    <m/>
    <m/>
    <s v="single"/>
    <m/>
    <n v="295"/>
    <s v="14-18 ALL"/>
    <s v="BMW X5 (F15) (14-18)"/>
    <s v="F15 ALL"/>
    <m/>
    <s v="288"/>
    <s v="-"/>
    <n v="50845"/>
    <s v="288-50845"/>
    <m/>
    <m/>
    <m/>
    <m/>
    <m/>
    <m/>
    <s v=""/>
  </r>
  <r>
    <s v="A37"/>
    <s v="628-999907"/>
    <s v="628-999907-1"/>
    <s v="A37"/>
    <n v="2"/>
    <s v="ENF"/>
    <d v="2022-04-19T00:00:00"/>
    <m/>
    <m/>
    <s v="KEEP"/>
    <s v="Int Roof"/>
    <s v="Sunroof"/>
    <s v="always"/>
    <n v="27"/>
    <s v="A37"/>
    <s v="Box 2"/>
    <n v="1"/>
    <s v="A37. Sunroof, Motor (1 of 2)"/>
    <s v="PIC"/>
    <n v="4"/>
    <s v="67617316396, 7316396"/>
    <s v="No"/>
    <m/>
    <m/>
    <m/>
    <x v="189"/>
    <s v="Sunroof, Motor (1 of 2)"/>
    <s v="tag as SINGLE | 2 per car (identical)"/>
    <s v="tag as SINGLE"/>
    <s v="2 per car (identical)"/>
    <s v="single"/>
    <s v="1 of 2 (2 rows here for entering both as singles)"/>
    <n v="45"/>
    <s v="14-18 ALL"/>
    <s v="BMW X5 (F15) (14-18)"/>
    <s v="F15 ALL"/>
    <m/>
    <s v="628"/>
    <s v="-"/>
    <n v="999907"/>
    <s v="628-999907"/>
    <m/>
    <m/>
    <m/>
    <m/>
    <m/>
    <m/>
    <s v=""/>
  </r>
  <r>
    <s v="A38"/>
    <s v="628-999907"/>
    <s v="628-999907-1"/>
    <s v="A38"/>
    <n v="2"/>
    <s v="ENF"/>
    <d v="2022-04-19T00:00:00"/>
    <m/>
    <m/>
    <s v="KEEP"/>
    <s v="Int Roof"/>
    <s v="Sunroof"/>
    <s v="always"/>
    <n v="28"/>
    <s v="A38"/>
    <s v="Box 2"/>
    <n v="1"/>
    <s v="A38. Sunroof, Motor (2 of 2)"/>
    <s v="PIC"/>
    <n v="4"/>
    <s v="67617316396, 7316396"/>
    <s v="No"/>
    <m/>
    <m/>
    <m/>
    <x v="189"/>
    <s v="Sunroof, Motor (2 of 2)"/>
    <s v="tag as SINGLE | 2 per car (identical)"/>
    <s v="tag as SINGLE"/>
    <s v="2 per car (identical)"/>
    <s v="single"/>
    <s v="2 of 2 (2 rows here for entering both as singles)"/>
    <n v="45"/>
    <s v="14-18 ALL"/>
    <s v="BMW X5 (F15) (14-18)"/>
    <s v="F15 ALL"/>
    <m/>
    <s v="628"/>
    <s v="-"/>
    <n v="999907"/>
    <s v="628-999907"/>
    <m/>
    <m/>
    <m/>
    <m/>
    <m/>
    <m/>
    <s v=""/>
  </r>
  <r>
    <s v=""/>
    <s v=""/>
    <m/>
    <m/>
    <s v=""/>
    <s v="ENF"/>
    <d v="2022-04-19T00:00:00"/>
    <m/>
    <m/>
    <s v="Parts"/>
    <s v="Int Roof"/>
    <s v="Sunroof"/>
    <s v="always"/>
    <m/>
    <m/>
    <m/>
    <m/>
    <s v=". Sunroof, Assembly"/>
    <m/>
    <m/>
    <m/>
    <m/>
    <m/>
    <m/>
    <m/>
    <x v="190"/>
    <s v="Sunroof, Assembly"/>
    <s v=""/>
    <m/>
    <m/>
    <s v="single"/>
    <m/>
    <m/>
    <s v="14-18 ALL"/>
    <s v="BMW X5 (F15) (14-18)"/>
    <s v="F15 ALL"/>
    <m/>
    <m/>
    <s v="-"/>
    <m/>
    <m/>
    <m/>
    <m/>
    <m/>
    <m/>
    <m/>
    <m/>
    <s v=""/>
  </r>
  <r>
    <s v=""/>
    <s v=""/>
    <m/>
    <m/>
    <s v=""/>
    <s v="ENF"/>
    <d v="2022-04-29T00:00:00"/>
    <m/>
    <m/>
    <s v="KEEP"/>
    <s v="Lights"/>
    <s v="Taillight"/>
    <s v="never"/>
    <m/>
    <m/>
    <m/>
    <m/>
    <s v=". 3rd Brake Light"/>
    <m/>
    <m/>
    <m/>
    <m/>
    <m/>
    <m/>
    <m/>
    <x v="191"/>
    <s v="3rd Brake Light"/>
    <s v="IN spoiler if selling that - if not can sell solo"/>
    <s v="IN spoiler if selling that - if not can sell solo"/>
    <m/>
    <s v="single"/>
    <m/>
    <n v="125"/>
    <s v="14-18 ALL"/>
    <s v="BMW X5 (F15) (14-18)"/>
    <s v="F15 ALL"/>
    <m/>
    <m/>
    <m/>
    <m/>
    <m/>
    <m/>
    <m/>
    <m/>
    <m/>
    <m/>
    <m/>
    <s v=""/>
  </r>
  <r>
    <s v=""/>
    <s v="116-60560"/>
    <m/>
    <m/>
    <n v="1"/>
    <s v="ENF"/>
    <d v="2022-04-20T00:00:00"/>
    <m/>
    <m/>
    <s v="KEEP"/>
    <s v="Lights"/>
    <s v="Fog Light"/>
    <s v="always"/>
    <m/>
    <m/>
    <m/>
    <m/>
    <s v=". Fog Light, FRONT - LEFT"/>
    <m/>
    <m/>
    <m/>
    <m/>
    <m/>
    <m/>
    <m/>
    <x v="192"/>
    <s v="Fog Light, FRONT - LEFT"/>
    <s v=""/>
    <m/>
    <m/>
    <s v="single"/>
    <m/>
    <n v="85"/>
    <s v="14-18 ALL"/>
    <s v="BMW X5 (F15) (14-18)"/>
    <s v="F15 ALL"/>
    <m/>
    <s v="116"/>
    <s v="-"/>
    <n v="60560"/>
    <s v="116-60560"/>
    <s v="w/o night vision, LEFT"/>
    <m/>
    <m/>
    <m/>
    <m/>
    <m/>
    <s v=""/>
  </r>
  <r>
    <s v=""/>
    <s v="116-60559"/>
    <m/>
    <m/>
    <n v="1"/>
    <s v="ENF"/>
    <d v="2022-04-20T00:00:00"/>
    <m/>
    <m/>
    <s v="KEEP"/>
    <s v="Lights"/>
    <s v="Fog Light"/>
    <s v="always"/>
    <m/>
    <m/>
    <m/>
    <m/>
    <s v=". Fog Light, FRONT - RIGHT"/>
    <m/>
    <m/>
    <m/>
    <m/>
    <m/>
    <m/>
    <m/>
    <x v="193"/>
    <s v="Fog Light, FRONT - RIGHT"/>
    <s v=""/>
    <m/>
    <m/>
    <s v="single"/>
    <m/>
    <n v="85"/>
    <s v="14-18 ALL"/>
    <s v="BMW X5 (F15) (14-18)"/>
    <s v="F15 ALL"/>
    <m/>
    <s v="116"/>
    <s v="-"/>
    <n v="60559"/>
    <s v="116-60559"/>
    <s v="w/o night vision, RIGHT"/>
    <m/>
    <m/>
    <m/>
    <m/>
    <m/>
    <s v=""/>
  </r>
  <r>
    <s v=""/>
    <s v="116-60562"/>
    <m/>
    <m/>
    <n v="1"/>
    <s v="ENF"/>
    <d v="2022-04-20T00:00:00"/>
    <m/>
    <m/>
    <s v="KEEP"/>
    <s v="Lights"/>
    <s v="Fog Light"/>
    <s v="always"/>
    <m/>
    <m/>
    <m/>
    <m/>
    <s v=". Fog Light, FRONT - LEFT"/>
    <m/>
    <m/>
    <m/>
    <m/>
    <m/>
    <m/>
    <m/>
    <x v="192"/>
    <s v="Fog Light, FRONT - LEFT"/>
    <s v=""/>
    <m/>
    <m/>
    <s v="single"/>
    <m/>
    <n v="200"/>
    <s v="14-18 ALL"/>
    <s v="BMW X5 (F15) (14-18)"/>
    <s v="F15 ALL"/>
    <m/>
    <s v="116"/>
    <s v="-"/>
    <n v="60562"/>
    <s v="116-60562"/>
    <s v="w/ night vision, LEFT"/>
    <m/>
    <m/>
    <m/>
    <m/>
    <m/>
    <s v=""/>
  </r>
  <r>
    <s v=""/>
    <s v="116-60561"/>
    <m/>
    <m/>
    <n v="1"/>
    <s v="ENF"/>
    <d v="2022-04-20T00:00:00"/>
    <m/>
    <m/>
    <s v="KEEP"/>
    <s v="Lights"/>
    <s v="Fog Light"/>
    <s v="always"/>
    <m/>
    <m/>
    <m/>
    <m/>
    <s v=". Fog Light, FRONT - RIGHT"/>
    <m/>
    <m/>
    <m/>
    <m/>
    <m/>
    <m/>
    <m/>
    <x v="193"/>
    <s v="Fog Light, FRONT - RIGHT"/>
    <s v=""/>
    <m/>
    <m/>
    <s v="single"/>
    <m/>
    <n v="200"/>
    <s v="14-18 ALL"/>
    <s v="BMW X5 (F15) (14-18)"/>
    <s v="F15 ALL"/>
    <m/>
    <s v="116"/>
    <s v="-"/>
    <n v="60561"/>
    <s v="116-60561"/>
    <s v="w/ night vision, RIGHT"/>
    <m/>
    <m/>
    <m/>
    <m/>
    <m/>
    <s v=""/>
  </r>
  <r>
    <s v=""/>
    <s v=""/>
    <m/>
    <m/>
    <s v=""/>
    <s v="AJR"/>
    <d v="2022-05-10T00:00:00"/>
    <m/>
    <m/>
    <s v="KEEP"/>
    <s v="Lights"/>
    <s v="Headlight Parts"/>
    <s v="always"/>
    <m/>
    <m/>
    <m/>
    <m/>
    <s v=". Headlight TMS Control Module"/>
    <m/>
    <m/>
    <m/>
    <m/>
    <m/>
    <m/>
    <m/>
    <x v="194"/>
    <s v="Headlight TMS Control Module"/>
    <s v="has visible circuit board"/>
    <m/>
    <s v="has visible circuit board"/>
    <s v="single"/>
    <m/>
    <n v="160"/>
    <s v="14-18 ALL"/>
    <s v="BMW X5 (F15) (14-18)"/>
    <s v="F15 ALL"/>
    <m/>
    <m/>
    <s v="-"/>
    <m/>
    <m/>
    <m/>
    <m/>
    <m/>
    <m/>
    <m/>
    <m/>
    <s v=""/>
  </r>
  <r>
    <s v=""/>
    <s v=""/>
    <m/>
    <m/>
    <s v=""/>
    <s v="AJR"/>
    <d v="2022-12-27T00:00:00"/>
    <m/>
    <m/>
    <s v="KEEP"/>
    <s v="Lights"/>
    <s v="Headlight Parts"/>
    <s v="always"/>
    <m/>
    <m/>
    <m/>
    <m/>
    <s v=". Headlight, Daytime Running Light DRL Angel Eye Module"/>
    <m/>
    <m/>
    <m/>
    <m/>
    <m/>
    <m/>
    <m/>
    <x v="195"/>
    <s v="Headlight, Daytime Running Light DRL Angel Eye Module"/>
    <s v="2 per car, bag/sell as SINGLES"/>
    <s v="2 per car, bag/sell as SINGLES"/>
    <m/>
    <s v="single"/>
    <m/>
    <n v="40"/>
    <s v="14-18 ALL"/>
    <s v="BMW X5 (F15) (14-18)"/>
    <s v="F15 ALL"/>
    <m/>
    <m/>
    <s v="-"/>
    <m/>
    <m/>
    <m/>
    <m/>
    <m/>
    <m/>
    <m/>
    <m/>
    <s v=""/>
  </r>
  <r>
    <s v=""/>
    <s v="114-60265"/>
    <m/>
    <m/>
    <n v="1"/>
    <s v="ENF"/>
    <d v="2023-10-20T00:00:00"/>
    <m/>
    <s v="DRF Check"/>
    <s v="KEEP"/>
    <s v="Lights"/>
    <s v="Headlight"/>
    <s v="always"/>
    <m/>
    <m/>
    <m/>
    <m/>
    <s v=". Headlight, FRONT - LEFT"/>
    <m/>
    <m/>
    <s v="63117381141, 7381141"/>
    <s v="Yes"/>
    <m/>
    <m/>
    <m/>
    <x v="196"/>
    <s v="Headlight, FRONT - LEFT"/>
    <s v="bad=keep ballast, adapt mod|toss LED mod &amp; plastic bracket"/>
    <s v="bad=keep ballast, adapt mod|toss LED mod &amp; plastic bracket"/>
    <m/>
    <s v="single"/>
    <m/>
    <n v="1500"/>
    <s v="14-18 ALL"/>
    <s v="BMW X5 (F15) (14-18)"/>
    <s v="F15 ALL"/>
    <m/>
    <s v="114"/>
    <s v="-"/>
    <n v="60265"/>
    <s v="114-60265"/>
    <s v="LED, 14-15 thru 6/30/15, LEFT"/>
    <m/>
    <m/>
    <m/>
    <m/>
    <m/>
    <s v=""/>
  </r>
  <r>
    <s v=""/>
    <s v="114-60264"/>
    <m/>
    <m/>
    <n v="1"/>
    <s v="ENF"/>
    <d v="2023-10-20T00:00:00"/>
    <m/>
    <s v="DRF Check"/>
    <s v="KEEP"/>
    <s v="Lights"/>
    <s v="Headlight"/>
    <s v="always"/>
    <m/>
    <m/>
    <m/>
    <m/>
    <s v=". Headlight, FRONT - RIGHT"/>
    <m/>
    <m/>
    <s v="63117381142, 7381142"/>
    <s v="Yes"/>
    <m/>
    <m/>
    <m/>
    <x v="197"/>
    <s v="Headlight, FRONT - RIGHT"/>
    <s v="bad=keep ballast, adapt mod|toss LED mod &amp; plastic bracket"/>
    <s v="bad=keep ballast, adapt mod|toss LED mod &amp; plastic bracket"/>
    <m/>
    <s v="single"/>
    <m/>
    <n v="1500"/>
    <s v="14-18 ALL"/>
    <s v="BMW X5 (F15) (14-18)"/>
    <s v="F15 ALL"/>
    <m/>
    <s v="114"/>
    <s v="-"/>
    <n v="60264"/>
    <s v="114-60264"/>
    <s v="LED, 14-15 thru 6/30/15, RIGHT"/>
    <m/>
    <m/>
    <m/>
    <m/>
    <m/>
    <s v=""/>
  </r>
  <r>
    <s v=""/>
    <s v="114-60686"/>
    <m/>
    <m/>
    <n v="1"/>
    <s v="ENF"/>
    <d v="2023-10-20T00:00:00"/>
    <m/>
    <s v="DRF Check"/>
    <s v="KEEP"/>
    <s v="Lights"/>
    <s v="Headlight"/>
    <s v="always"/>
    <m/>
    <m/>
    <m/>
    <m/>
    <s v=". Headlight, FRONT - LEFT"/>
    <m/>
    <m/>
    <s v="63117442651, 7442651"/>
    <s v="Yes"/>
    <m/>
    <m/>
    <m/>
    <x v="196"/>
    <s v="Headlight, FRONT - LEFT"/>
    <s v="bad=keep ballast, adapt mod|toss LED mod &amp; plastic bracket"/>
    <s v="bad=keep ballast, adapt mod|toss LED mod &amp; plastic bracket"/>
    <m/>
    <s v="single"/>
    <m/>
    <n v="1500"/>
    <s v="14-18 ALL"/>
    <s v="BMW X5 (F15) (14-18)"/>
    <s v="F15 ALL"/>
    <m/>
    <s v="114"/>
    <s v="-"/>
    <n v="60686"/>
    <s v="114-60686"/>
    <s v="LED, 15-18 from 7/1/15, LEFT"/>
    <m/>
    <m/>
    <m/>
    <m/>
    <m/>
    <s v=""/>
  </r>
  <r>
    <s v=""/>
    <s v="114-60685"/>
    <m/>
    <m/>
    <n v="1"/>
    <s v="ENF"/>
    <d v="2023-10-20T00:00:00"/>
    <m/>
    <s v="DRF Check"/>
    <s v="KEEP"/>
    <s v="Lights"/>
    <s v="Headlight"/>
    <s v="always"/>
    <m/>
    <m/>
    <m/>
    <m/>
    <s v=". Headlight, FRONT - RIGHT"/>
    <m/>
    <m/>
    <s v="63117442652, 7442652"/>
    <s v="Yes"/>
    <m/>
    <m/>
    <m/>
    <x v="197"/>
    <s v="Headlight, FRONT - RIGHT"/>
    <s v="bad=keep ballast, adapt mod|toss LED mod &amp; plastic bracket"/>
    <s v="bad=keep ballast, adapt mod|toss LED mod &amp; plastic bracket"/>
    <m/>
    <s v="single"/>
    <m/>
    <n v="1500"/>
    <s v="14-18 ALL"/>
    <s v="BMW X5 (F15) (14-18)"/>
    <s v="F15 ALL"/>
    <m/>
    <s v="114"/>
    <s v="-"/>
    <n v="60685"/>
    <s v="114-60685"/>
    <s v="LED, 15-18 from 7/1/15, RIGHT"/>
    <m/>
    <m/>
    <m/>
    <m/>
    <m/>
    <s v=""/>
  </r>
  <r>
    <s v="A83"/>
    <s v="114-60267"/>
    <m/>
    <m/>
    <n v="1"/>
    <s v="ENF"/>
    <d v="2022-04-20T00:00:00"/>
    <m/>
    <s v="DRF Check"/>
    <s v="KEEP"/>
    <s v="Lights"/>
    <s v="Headlight"/>
    <s v="always"/>
    <n v="73"/>
    <s v="A83"/>
    <s v="Box 5"/>
    <n v="1"/>
    <s v="A83. Headlight, FRONT - LEFT"/>
    <s v="PIC"/>
    <n v="5"/>
    <s v="63117317109, 7317109"/>
    <s v="Yes"/>
    <m/>
    <m/>
    <m/>
    <x v="196"/>
    <s v="Headlight, FRONT - LEFT"/>
    <s v="bad=keep ballast, adapt mod|toss LED mod &amp; plastic bracket"/>
    <s v="bad=keep ballast, adapt mod|toss LED mod &amp; plastic bracket"/>
    <m/>
    <s v="single"/>
    <m/>
    <n v="1295"/>
    <s v="14-18 ALL"/>
    <s v="BMW X5 (F15) (14-18)"/>
    <s v="F15 ALL"/>
    <m/>
    <s v="114"/>
    <s v="-"/>
    <n v="60267"/>
    <s v="114-60267"/>
    <s v="Xenon, LEFT"/>
    <m/>
    <m/>
    <m/>
    <m/>
    <m/>
    <s v=""/>
  </r>
  <r>
    <s v=""/>
    <s v="114-60266"/>
    <m/>
    <m/>
    <n v="1"/>
    <s v="ENF"/>
    <d v="2022-04-20T00:00:00"/>
    <m/>
    <s v="DRF Check"/>
    <s v="KEEP"/>
    <s v="Lights"/>
    <s v="Headlight"/>
    <s v="always"/>
    <m/>
    <m/>
    <m/>
    <m/>
    <s v=". Headlight, FRONT - RIGHT"/>
    <m/>
    <m/>
    <m/>
    <m/>
    <m/>
    <m/>
    <m/>
    <x v="197"/>
    <s v="Headlight, FRONT - RIGHT"/>
    <s v="bad=keep ballast, adapt mod|toss LED mod &amp; plastic bracket"/>
    <s v="bad=keep ballast, adapt mod|toss LED mod &amp; plastic bracket"/>
    <m/>
    <s v="single"/>
    <m/>
    <n v="1295"/>
    <s v="14-18 ALL"/>
    <s v="BMW X5 (F15) (14-18)"/>
    <s v="F15 ALL"/>
    <m/>
    <s v="114"/>
    <s v="-"/>
    <n v="60266"/>
    <s v="114-60266"/>
    <s v="Xenon, RIGHT"/>
    <m/>
    <m/>
    <m/>
    <m/>
    <m/>
    <s v=""/>
  </r>
  <r>
    <s v=""/>
    <s v="591-74049"/>
    <m/>
    <m/>
    <n v="1"/>
    <s v="AJR"/>
    <d v="2022-12-27T00:00:00"/>
    <m/>
    <m/>
    <s v="KEEP"/>
    <s v="Lights"/>
    <s v="Headlight Parts"/>
    <s v="always"/>
    <m/>
    <m/>
    <m/>
    <m/>
    <s v=". Headlight, XENON Adaptive Control Module"/>
    <m/>
    <m/>
    <m/>
    <m/>
    <m/>
    <m/>
    <m/>
    <x v="198"/>
    <s v="Headlight, XENON Adaptive Control Module"/>
    <s v="black plastic w/ vents &amp; visible circuit board"/>
    <m/>
    <s v="black plastic w/ vents &amp; visible circuit board"/>
    <s v="single"/>
    <m/>
    <n v="200"/>
    <s v="14-18 ALL"/>
    <s v="BMW X5 (F15) (14-18)"/>
    <s v="F15 ALL"/>
    <m/>
    <s v="591"/>
    <s v="-"/>
    <n v="74049"/>
    <s v="591-74049"/>
    <s v="Xenon"/>
    <m/>
    <m/>
    <m/>
    <m/>
    <m/>
    <s v=""/>
  </r>
  <r>
    <s v=""/>
    <s v="591-71543"/>
    <m/>
    <m/>
    <n v="1"/>
    <s v="AJR"/>
    <d v="2022-12-27T00:00:00"/>
    <m/>
    <m/>
    <s v="KEEP"/>
    <s v="Lights"/>
    <s v="Headlight Parts"/>
    <s v="always"/>
    <m/>
    <m/>
    <m/>
    <m/>
    <s v=". Headlight, XENON Ballast Control Module, XENON"/>
    <m/>
    <m/>
    <m/>
    <m/>
    <m/>
    <m/>
    <m/>
    <x v="199"/>
    <s v="Headlight, XENON Ballast Control Module, XENON"/>
    <s v="shiny silver metal"/>
    <m/>
    <s v="shiny silver metal"/>
    <s v="single"/>
    <m/>
    <n v="50"/>
    <s v="14-18 ALL"/>
    <s v="BMW X5 (F15) (14-18)"/>
    <s v="F15 ALL"/>
    <m/>
    <s v="591"/>
    <s v="-"/>
    <n v="71543"/>
    <s v="591-71543"/>
    <s v="Xenon"/>
    <m/>
    <m/>
    <m/>
    <m/>
    <m/>
    <s v=""/>
  </r>
  <r>
    <s v=""/>
    <s v=""/>
    <m/>
    <m/>
    <s v=""/>
    <s v="ENF"/>
    <d v="2023-11-14T00:00:00"/>
    <m/>
    <m/>
    <s v="KEEP"/>
    <s v="Lights"/>
    <s v="Headlight Parts"/>
    <s v="always"/>
    <m/>
    <m/>
    <m/>
    <m/>
    <s v=". Headlight, Access Cover Cap SET 2"/>
    <m/>
    <m/>
    <m/>
    <m/>
    <m/>
    <m/>
    <m/>
    <x v="200"/>
    <s v="Headlight, Access Cover Cap SET 2"/>
    <s v="on light unless bad, x2 per light sell SET2, toss singles"/>
    <s v="on light unless bad, x2 per light sell SET2, toss singles"/>
    <m/>
    <s v="single"/>
    <m/>
    <n v="60"/>
    <s v="14-18 ALL"/>
    <s v="BMW X5 (F15) (14-18)"/>
    <s v="F15 ALL"/>
    <m/>
    <m/>
    <s v="-"/>
    <m/>
    <m/>
    <s v="w/o steering wheel heater"/>
    <s v="F15"/>
    <s v="14-18"/>
    <s v="ALL"/>
    <s v="F15-14-18-ALL"/>
    <s v="Viking40"/>
    <s v="F15-14-18-ALL-Viking40"/>
  </r>
  <r>
    <s v="A112"/>
    <s v="166-60725"/>
    <m/>
    <m/>
    <n v="1"/>
    <s v="ENF"/>
    <d v="2022-04-20T00:00:00"/>
    <m/>
    <s v="DRF Check"/>
    <s v="KEEP"/>
    <s v="Lights"/>
    <s v="Taillight"/>
    <s v="always"/>
    <n v="102"/>
    <s v="A112"/>
    <s v="FLAW"/>
    <n v="1"/>
    <s v="A112. Taillight, QUARTER PANEL MOUNTED - LEFT"/>
    <s v="PIC"/>
    <n v="7"/>
    <s v="63217290103, 7290103"/>
    <s v="No"/>
    <s v="scuffs, scratches"/>
    <m/>
    <m/>
    <x v="201"/>
    <s v="Taillight, QUARTER PANEL MOUNTED - LEFT"/>
    <s v=""/>
    <m/>
    <m/>
    <s v="single"/>
    <m/>
    <n v="235"/>
    <s v="14-18 ALL"/>
    <s v="BMW X5 (F15) (14-18)"/>
    <s v="F15 ALL"/>
    <m/>
    <s v="166"/>
    <s v="-"/>
    <n v="60725"/>
    <s v="166-60725"/>
    <m/>
    <m/>
    <m/>
    <m/>
    <m/>
    <m/>
    <s v=""/>
  </r>
  <r>
    <s v=""/>
    <s v="166-60724"/>
    <m/>
    <m/>
    <n v="1"/>
    <s v="ENF"/>
    <d v="2022-04-20T00:00:00"/>
    <m/>
    <s v="DRF Check"/>
    <s v="KEEP"/>
    <s v="Lights"/>
    <s v="Taillight"/>
    <s v="always"/>
    <m/>
    <m/>
    <m/>
    <m/>
    <s v=". Taillight, QUARTER PANEL MOUNTED - RIGHT"/>
    <m/>
    <m/>
    <m/>
    <m/>
    <m/>
    <m/>
    <m/>
    <x v="202"/>
    <s v="Taillight, QUARTER PANEL MOUNTED - RIGHT"/>
    <s v=""/>
    <m/>
    <m/>
    <s v="single"/>
    <m/>
    <n v="235"/>
    <s v="14-18 ALL"/>
    <s v="BMW X5 (F15) (14-18)"/>
    <s v="F15 ALL"/>
    <m/>
    <s v="166"/>
    <s v="-"/>
    <n v="60724"/>
    <s v="166-60724"/>
    <m/>
    <m/>
    <m/>
    <m/>
    <m/>
    <m/>
    <s v=""/>
  </r>
  <r>
    <s v="A113"/>
    <s v="166-60727"/>
    <m/>
    <m/>
    <n v="1"/>
    <s v="ENF"/>
    <d v="2022-04-20T00:00:00"/>
    <m/>
    <s v="DRF Check"/>
    <s v="KEEP"/>
    <s v="Lights"/>
    <s v="Taillight"/>
    <s v="always"/>
    <n v="103"/>
    <s v="A113"/>
    <s v="FLAW"/>
    <n v="1"/>
    <s v="A113. Taillight, TRUNK MOUNTED - LEFT"/>
    <s v="PIC"/>
    <n v="6"/>
    <s v="63217329045, 7329045"/>
    <s v="No"/>
    <s v="scuffs, scratches"/>
    <m/>
    <m/>
    <x v="203"/>
    <s v="Taillight, TRUNK MOUNTED - LEFT"/>
    <s v=""/>
    <m/>
    <m/>
    <s v="single"/>
    <m/>
    <n v="250"/>
    <s v="14-18 ALL"/>
    <s v="BMW X5 (F15) (14-18)"/>
    <s v="F15 ALL"/>
    <m/>
    <s v="166"/>
    <s v="-"/>
    <n v="60727"/>
    <s v="166-60727"/>
    <m/>
    <m/>
    <m/>
    <m/>
    <m/>
    <m/>
    <s v=""/>
  </r>
  <r>
    <s v="A115"/>
    <s v="166-60726"/>
    <m/>
    <m/>
    <n v="1"/>
    <s v="ENF"/>
    <d v="2022-04-20T00:00:00"/>
    <m/>
    <s v="DRF Check"/>
    <s v="KEEP"/>
    <s v="Lights"/>
    <s v="Taillight"/>
    <s v="always"/>
    <n v="105"/>
    <s v="A115"/>
    <s v="FLAW"/>
    <n v="1"/>
    <s v="A115. Taillight, TRUNK MOUNTED - RIGHT"/>
    <s v="PIC"/>
    <n v="5"/>
    <s v="63217329046, 7329046"/>
    <s v="No"/>
    <s v="scuffs, scratches"/>
    <m/>
    <m/>
    <x v="204"/>
    <s v="Taillight, TRUNK MOUNTED - RIGHT"/>
    <s v=""/>
    <m/>
    <m/>
    <s v="single"/>
    <m/>
    <n v="250"/>
    <s v="14-18 ALL"/>
    <s v="BMW X5 (F15) (14-18)"/>
    <s v="F15 ALL"/>
    <m/>
    <s v="166"/>
    <s v="-"/>
    <n v="60726"/>
    <s v="166-60726"/>
    <m/>
    <m/>
    <m/>
    <m/>
    <m/>
    <m/>
    <s v=""/>
  </r>
  <r>
    <s v=""/>
    <s v=""/>
    <m/>
    <m/>
    <s v=""/>
    <s v="ENF"/>
    <d v="2022-04-20T00:00:00"/>
    <m/>
    <m/>
    <s v="Toss"/>
    <s v="Lights"/>
    <s v="Lights (other than headlight &amp; taillight)"/>
    <s v="never"/>
    <m/>
    <m/>
    <m/>
    <m/>
    <s v=". License Plate Lights"/>
    <m/>
    <m/>
    <m/>
    <m/>
    <m/>
    <m/>
    <m/>
    <x v="205"/>
    <s v="License Plate Lights"/>
    <s v="TOSS BOTH"/>
    <s v="TOSS BOTH"/>
    <m/>
    <s v="single"/>
    <m/>
    <m/>
    <s v="14-18 ALL"/>
    <s v="BMW X5 (F15) (14-18)"/>
    <s v="F15 ALL"/>
    <m/>
    <m/>
    <m/>
    <m/>
    <m/>
    <m/>
    <m/>
    <m/>
    <m/>
    <m/>
    <m/>
    <s v=""/>
  </r>
  <r>
    <s v=""/>
    <s v="591-74060"/>
    <m/>
    <m/>
    <n v="1"/>
    <s v="ENF"/>
    <d v="2023-11-17T00:00:00"/>
    <m/>
    <m/>
    <s v="KEEP"/>
    <s v="Module"/>
    <s v="Module"/>
    <s v="sometimes"/>
    <m/>
    <m/>
    <m/>
    <m/>
    <s v=". ABS ICM Integrated Chassis Management SRS Control Module"/>
    <m/>
    <m/>
    <m/>
    <m/>
    <m/>
    <m/>
    <m/>
    <x v="206"/>
    <s v="ABS ICM Integrated Chassis Management SRS Control Module"/>
    <s v="looks like an airbag module"/>
    <m/>
    <s v="looks like an airbag module"/>
    <s v="single"/>
    <m/>
    <n v="350"/>
    <s v="14-18 ALL"/>
    <s v="BMW X5 (F15) (14-18)"/>
    <s v="F15 ALL"/>
    <m/>
    <s v="591"/>
    <s v="-"/>
    <n v="74060"/>
    <s v="591-74060"/>
    <s v="w/ lane departure"/>
    <m/>
    <m/>
    <m/>
    <m/>
    <m/>
    <s v=""/>
  </r>
  <r>
    <s v=""/>
    <s v="591-74064"/>
    <m/>
    <m/>
    <n v="1"/>
    <s v="ENF"/>
    <d v="2023-11-17T00:00:00"/>
    <m/>
    <m/>
    <s v="KEEP"/>
    <s v="Module"/>
    <s v="Module"/>
    <s v="sometimes"/>
    <m/>
    <m/>
    <m/>
    <m/>
    <s v=". ABS ICM Integrated Chassis Management SRS Control Module"/>
    <m/>
    <m/>
    <m/>
    <m/>
    <m/>
    <m/>
    <m/>
    <x v="206"/>
    <s v="ABS ICM Integrated Chassis Management SRS Control Module"/>
    <s v="looks like an airbag module"/>
    <m/>
    <s v="looks like an airbag module"/>
    <s v="single"/>
    <m/>
    <n v="250"/>
    <s v="14-18 ALL"/>
    <s v="BMW X5 (F15) (14-18)"/>
    <s v="F15 ALL"/>
    <m/>
    <s v="591"/>
    <s v="-"/>
    <n v="74064"/>
    <s v="591-74064"/>
    <s v="w/o lane departure, w/ active steering"/>
    <m/>
    <m/>
    <m/>
    <m/>
    <m/>
    <s v=""/>
  </r>
  <r>
    <s v="A74"/>
    <s v="591-74062"/>
    <m/>
    <m/>
    <n v="1"/>
    <s v="ENF"/>
    <d v="2023-11-17T00:00:00"/>
    <m/>
    <m/>
    <s v="KEEP"/>
    <s v="Module"/>
    <s v="Module"/>
    <s v="sometimes"/>
    <n v="64"/>
    <s v="A74"/>
    <s v="Box 4"/>
    <n v="1"/>
    <s v="A74. ABS ICM Integrated Chassis Management SRS Control Module"/>
    <s v="PIC"/>
    <n v="4"/>
    <s v="34526866567, 6866567"/>
    <s v="No"/>
    <m/>
    <m/>
    <m/>
    <x v="206"/>
    <s v="ABS ICM Integrated Chassis Management SRS Control Module"/>
    <s v="looks like an airbag module"/>
    <m/>
    <s v="looks like an airbag module"/>
    <s v="single"/>
    <m/>
    <n v="125"/>
    <s v="14-18 ALL"/>
    <s v="BMW X5 (F15) (14-18)"/>
    <s v="F15 ALL"/>
    <m/>
    <s v="591"/>
    <s v="-"/>
    <n v="74062"/>
    <s v="591-74062"/>
    <s v="w/o lane departure, w/o active steering"/>
    <m/>
    <m/>
    <m/>
    <m/>
    <m/>
    <s v=""/>
  </r>
  <r>
    <s v=""/>
    <s v="638-72906"/>
    <m/>
    <m/>
    <n v="1"/>
    <s v="ENF"/>
    <d v="2023-11-17T00:00:00"/>
    <m/>
    <m/>
    <s v="KEEP"/>
    <s v="Module"/>
    <s v="Amplifier"/>
    <s v="always"/>
    <m/>
    <m/>
    <m/>
    <m/>
    <s v=". Amplifier, Bang &amp; Olufsen"/>
    <m/>
    <m/>
    <m/>
    <m/>
    <m/>
    <m/>
    <m/>
    <x v="207"/>
    <s v="Amplifier, Bang &amp; Olufsen"/>
    <s v=""/>
    <m/>
    <m/>
    <s v="single"/>
    <m/>
    <n v="975"/>
    <s v="14-18 ALL"/>
    <s v="BMW X5 (F15) (14-18)"/>
    <s v="F15 ALL"/>
    <m/>
    <s v="638"/>
    <s v="-"/>
    <n v="72906"/>
    <s v="638-72906"/>
    <s v="14-18 Bang &amp; Olufsen"/>
    <m/>
    <m/>
    <m/>
    <m/>
    <m/>
    <s v=""/>
  </r>
  <r>
    <s v=""/>
    <s v="638-59327"/>
    <m/>
    <m/>
    <n v="1"/>
    <s v="ENF"/>
    <d v="2023-11-17T00:00:00"/>
    <m/>
    <m/>
    <s v="KEEP"/>
    <s v="Module"/>
    <s v="Amplifier"/>
    <s v="always"/>
    <m/>
    <m/>
    <m/>
    <m/>
    <s v=". Amplifier, Harman Kardon"/>
    <m/>
    <m/>
    <m/>
    <m/>
    <m/>
    <m/>
    <m/>
    <x v="208"/>
    <s v="Amplifier, Harman Kardon"/>
    <s v=""/>
    <m/>
    <m/>
    <s v="single"/>
    <m/>
    <n v="695"/>
    <s v="14-18 ALL"/>
    <s v="BMW X5 (F15) (14-18)"/>
    <s v="F15 ALL"/>
    <m/>
    <s v="638"/>
    <s v="-"/>
    <n v="59327"/>
    <s v="638-59327"/>
    <s v="14-16 Harman Kardon"/>
    <m/>
    <m/>
    <m/>
    <m/>
    <m/>
    <s v=""/>
  </r>
  <r>
    <s v=""/>
    <s v="638-74034"/>
    <m/>
    <m/>
    <n v="1"/>
    <s v="ENF"/>
    <d v="2023-11-17T00:00:00"/>
    <m/>
    <m/>
    <s v="KEEP"/>
    <s v="Module"/>
    <s v="Amplifier"/>
    <s v="always"/>
    <m/>
    <m/>
    <m/>
    <m/>
    <s v=". Amplifier, Harman Kardon"/>
    <m/>
    <m/>
    <m/>
    <m/>
    <m/>
    <m/>
    <m/>
    <x v="208"/>
    <s v="Amplifier, Harman Kardon"/>
    <s v=""/>
    <m/>
    <m/>
    <s v="single"/>
    <m/>
    <n v="750"/>
    <s v="14-18 ALL"/>
    <s v="BMW X5 (F15) (14-18)"/>
    <s v="F15 ALL"/>
    <m/>
    <s v="638"/>
    <s v="-"/>
    <n v="74034"/>
    <s v="638-74034"/>
    <s v="17-18 Harman Kardon"/>
    <m/>
    <m/>
    <m/>
    <m/>
    <m/>
    <s v=""/>
  </r>
  <r>
    <s v="A73"/>
    <s v="638-72908"/>
    <m/>
    <m/>
    <n v="1"/>
    <s v="ENF"/>
    <d v="2023-11-17T00:00:00"/>
    <m/>
    <m/>
    <s v="KEEP"/>
    <s v="Module"/>
    <s v="Amplifier"/>
    <s v="always"/>
    <n v="63"/>
    <s v="A73"/>
    <s v="Box 4"/>
    <n v="1"/>
    <s v="A73. Amplifier, HiFi"/>
    <s v="PIC"/>
    <n v="4"/>
    <s v="65129321075, 9321075"/>
    <s v="Yes"/>
    <m/>
    <m/>
    <m/>
    <x v="209"/>
    <s v="Amplifier, HiFi"/>
    <s v=""/>
    <m/>
    <m/>
    <s v="single"/>
    <m/>
    <n v="95"/>
    <s v="14-18 ALL"/>
    <s v="BMW X5 (F15) (14-18)"/>
    <s v="F15 ALL"/>
    <m/>
    <s v="638"/>
    <s v="-"/>
    <n v="72908"/>
    <s v="638-72908"/>
    <s v="14-18 Hifi"/>
    <m/>
    <m/>
    <m/>
    <m/>
    <m/>
    <s v=""/>
  </r>
  <r>
    <s v=""/>
    <s v="596-10444"/>
    <m/>
    <m/>
    <n v="1"/>
    <s v="ENF"/>
    <d v="2023-11-17T00:00:00"/>
    <m/>
    <m/>
    <s v="KEEP"/>
    <s v="Module"/>
    <s v="Module"/>
    <s v="sometimes"/>
    <m/>
    <m/>
    <m/>
    <m/>
    <s v=". Blind Spot Alert Sensor Module, Master"/>
    <m/>
    <m/>
    <m/>
    <m/>
    <m/>
    <m/>
    <m/>
    <x v="210"/>
    <s v="Blind Spot Alert Sensor Module, Master"/>
    <s v=""/>
    <m/>
    <m/>
    <s v="single"/>
    <s v="Posters: 2014 not fitted for anything &amp; 15-18 only have X5M fitment"/>
    <n v="150"/>
    <s v="14-18 ALL"/>
    <s v="BMW X5 (F15) (14-18)"/>
    <s v="F15 ALL"/>
    <m/>
    <s v="596"/>
    <s v="-"/>
    <n v="10444"/>
    <s v="596-10444"/>
    <m/>
    <m/>
    <m/>
    <m/>
    <m/>
    <m/>
    <s v=""/>
  </r>
  <r>
    <s v=""/>
    <s v="596-10443"/>
    <m/>
    <m/>
    <n v="1"/>
    <s v="ENF"/>
    <d v="2023-11-17T00:00:00"/>
    <m/>
    <m/>
    <s v="KEEP"/>
    <s v="Module"/>
    <s v="Module"/>
    <s v="sometimes"/>
    <m/>
    <m/>
    <m/>
    <m/>
    <s v=". Blind Spot Alert Sensor Module, Slave"/>
    <m/>
    <m/>
    <m/>
    <m/>
    <m/>
    <m/>
    <m/>
    <x v="211"/>
    <s v="Blind Spot Alert Sensor Module, Slave"/>
    <s v=""/>
    <m/>
    <m/>
    <s v="single"/>
    <s v="Posters: 2014 not fitted for anything &amp; 15-18 only have X5M fitment"/>
    <n v="150"/>
    <s v="14-18 ALL"/>
    <s v="BMW X5 (F15) (14-18)"/>
    <s v="F15 ALL"/>
    <m/>
    <s v="596"/>
    <s v="-"/>
    <n v="10443"/>
    <s v="596-10443"/>
    <m/>
    <m/>
    <m/>
    <m/>
    <m/>
    <m/>
    <s v=""/>
  </r>
  <r>
    <s v=""/>
    <s v="591-74037"/>
    <m/>
    <m/>
    <n v="1"/>
    <s v="ENF"/>
    <d v="2022-05-03T00:00:00"/>
    <m/>
    <m/>
    <s v="KEEP"/>
    <s v="Module"/>
    <s v="Module"/>
    <s v="sometimes"/>
    <m/>
    <m/>
    <m/>
    <m/>
    <s v=". Body Power Control Module"/>
    <m/>
    <m/>
    <m/>
    <m/>
    <m/>
    <m/>
    <m/>
    <x v="212"/>
    <s v="Body Power Control Module"/>
    <s v="w/ SET A unless no set (REQUIRED)"/>
    <s v="w/ SET A unless no set (REQUIRED)"/>
    <m/>
    <s v="single"/>
    <s v="SET A: ENF 5/3/22 100% sure REQUIRED"/>
    <n v="300"/>
    <s v="14-18 ALL"/>
    <s v="BMW X5 (F15) (14-18)"/>
    <s v="F15 ALL"/>
    <m/>
    <s v="591"/>
    <s v="-"/>
    <n v="74037"/>
    <s v="591-74037"/>
    <m/>
    <m/>
    <m/>
    <m/>
    <m/>
    <m/>
    <s v=""/>
  </r>
  <r>
    <s v=""/>
    <s v=""/>
    <m/>
    <m/>
    <s v=""/>
    <s v="ENF"/>
    <d v="2022-05-03T00:00:00"/>
    <m/>
    <m/>
    <s v="KEEP"/>
    <s v="Module"/>
    <s v="Camera"/>
    <s v="always"/>
    <m/>
    <m/>
    <m/>
    <m/>
    <s v=". Camera, FRONT Bumper"/>
    <m/>
    <m/>
    <m/>
    <m/>
    <m/>
    <m/>
    <m/>
    <x v="213"/>
    <s v="Camera, FRONT Bumper"/>
    <s v=""/>
    <m/>
    <m/>
    <s v="single"/>
    <s v="NOTE: Front Bumper &amp; Rear Trunk Handle Cameras are IDENTICAL"/>
    <n v="225"/>
    <s v="14-18 ALL"/>
    <s v="BMW X5 (F15) (14-18)"/>
    <s v="F15 ALL"/>
    <m/>
    <m/>
    <s v="-"/>
    <m/>
    <m/>
    <m/>
    <m/>
    <m/>
    <m/>
    <m/>
    <m/>
    <s v=""/>
  </r>
  <r>
    <s v=""/>
    <s v=""/>
    <m/>
    <m/>
    <s v=""/>
    <s v="ENF"/>
    <d v="2022-05-03T00:00:00"/>
    <m/>
    <m/>
    <s v="KEEP"/>
    <s v="Module"/>
    <s v="Camera"/>
    <s v="always"/>
    <m/>
    <m/>
    <m/>
    <m/>
    <s v=". Camera, Side"/>
    <m/>
    <m/>
    <m/>
    <m/>
    <m/>
    <m/>
    <m/>
    <x v="214"/>
    <s v="Camera, Side"/>
    <s v="mark location"/>
    <m/>
    <s v="mark location"/>
    <s v="single"/>
    <s v="NOTE: Front Bumper &amp; Rear Trunk Handle Cameras are IDENTICAL"/>
    <n v="225"/>
    <s v="14-18 ALL"/>
    <s v="BMW X5 (F15) (14-18)"/>
    <s v="F15 ALL"/>
    <m/>
    <m/>
    <s v="-"/>
    <m/>
    <m/>
    <m/>
    <m/>
    <m/>
    <m/>
    <m/>
    <m/>
    <s v=""/>
  </r>
  <r>
    <s v=""/>
    <s v="590-62356"/>
    <s v="590-62356-1"/>
    <m/>
    <n v="2"/>
    <s v="ENF"/>
    <d v="2022-05-03T00:00:00"/>
    <m/>
    <m/>
    <s v="KEEP"/>
    <s v="Module"/>
    <s v="Module"/>
    <s v="always"/>
    <m/>
    <m/>
    <m/>
    <m/>
    <s v=". Engine Control Module"/>
    <m/>
    <m/>
    <m/>
    <m/>
    <m/>
    <m/>
    <m/>
    <x v="215"/>
    <s v="Engine Control Module"/>
    <s v="w/ SET A unless no set (REQUIRED)"/>
    <s v="w/ SET A unless no set (REQUIRED)"/>
    <m/>
    <s v="single"/>
    <s v="SET A: ENF 5/3/22 100% sure REQUIRED"/>
    <n v="325"/>
    <s v="14-18 3.0T N55"/>
    <s v="BMW X5 (F15) (14-18)"/>
    <s v="14-18 3.0T N55 (RWD &amp; AWD)"/>
    <m/>
    <s v="590"/>
    <s v="-"/>
    <n v="62356"/>
    <s v="590-62356"/>
    <m/>
    <m/>
    <m/>
    <m/>
    <m/>
    <m/>
    <s v=""/>
  </r>
  <r>
    <s v=""/>
    <s v=""/>
    <m/>
    <m/>
    <s v=""/>
    <s v="ENF"/>
    <d v="2022-05-03T00:00:00"/>
    <m/>
    <m/>
    <s v="KEEP"/>
    <s v="Module"/>
    <s v="Exhaust Components"/>
    <s v="never"/>
    <m/>
    <m/>
    <m/>
    <m/>
    <s v=". Exhaust Flap Servo Actuator Motor"/>
    <m/>
    <m/>
    <m/>
    <m/>
    <m/>
    <m/>
    <m/>
    <x v="216"/>
    <s v="Exhaust Flap Servo Actuator Motor"/>
    <s v=""/>
    <m/>
    <m/>
    <s v="single"/>
    <m/>
    <n v="48"/>
    <s v="14-18 ALL"/>
    <s v="BMW X5 (F15) (14-18)"/>
    <s v="F15 ALL"/>
    <m/>
    <m/>
    <m/>
    <m/>
    <m/>
    <m/>
    <m/>
    <m/>
    <m/>
    <m/>
    <m/>
    <s v=""/>
  </r>
  <r>
    <s v=""/>
    <s v="646-10185"/>
    <m/>
    <m/>
    <n v="1"/>
    <s v="ENF"/>
    <d v="2022-05-03T00:00:00"/>
    <m/>
    <m/>
    <s v="KEEP"/>
    <s v="Module"/>
    <s v="Fuse &amp; Junction Boxes"/>
    <s v="sometimes"/>
    <m/>
    <m/>
    <m/>
    <m/>
    <s v=". Fuse Box, REAR ENGINE fuse box"/>
    <m/>
    <m/>
    <m/>
    <m/>
    <m/>
    <m/>
    <m/>
    <x v="217"/>
    <s v="Fuse Box, REAR ENGINE fuse box"/>
    <s v="~10x6&quot; flat black plastic (in rear but it's for engine)"/>
    <m/>
    <s v="~10x6&quot; flat black plastic (in rear but it's for engine)"/>
    <s v="single"/>
    <m/>
    <n v="75"/>
    <s v="14-18 ALL"/>
    <s v="BMW X5 (F15) (14-18)"/>
    <s v="F15 ALL"/>
    <m/>
    <s v="646"/>
    <s v="-"/>
    <n v="10185"/>
    <s v="646-10185"/>
    <m/>
    <m/>
    <m/>
    <m/>
    <m/>
    <m/>
    <s v=""/>
  </r>
  <r>
    <s v=""/>
    <s v=""/>
    <m/>
    <m/>
    <s v=""/>
    <s v="ENF"/>
    <d v="2022-05-03T00:00:00"/>
    <m/>
    <m/>
    <s v="KEEP"/>
    <s v="Module"/>
    <s v="Ignition Switch Components"/>
    <s v="never"/>
    <m/>
    <m/>
    <m/>
    <m/>
    <s v=". Ignition Anti-Theft Key Detection Immobilizer Ring"/>
    <m/>
    <m/>
    <m/>
    <m/>
    <m/>
    <m/>
    <m/>
    <x v="218"/>
    <s v="Ignition Anti-Theft Key Detection Immobilizer Ring"/>
    <s v="w/ SET A unless no set (NOT REQUIRED)"/>
    <s v="w/ SET A unless no set (NOT REQUIRED)"/>
    <m/>
    <s v="single"/>
    <s v="SET A: ENF 5/3/22 100% sure NOT required, worthless solo so include"/>
    <s v="worthless solo"/>
    <s v="14-18 ALL"/>
    <s v="BMW X5 (F15) (14-18)"/>
    <s v="F15 ALL"/>
    <m/>
    <m/>
    <m/>
    <m/>
    <m/>
    <m/>
    <m/>
    <m/>
    <m/>
    <m/>
    <m/>
    <s v=""/>
  </r>
  <r>
    <s v="A123"/>
    <s v=""/>
    <m/>
    <m/>
    <s v=""/>
    <s v="ENF"/>
    <d v="2022-05-03T00:00:00"/>
    <m/>
    <m/>
    <s v="KEEP"/>
    <s v="Module"/>
    <s v="Module"/>
    <s v="sometimes"/>
    <n v="113"/>
    <s v="A123"/>
    <s v="Box 4"/>
    <n v="1"/>
    <s v="A123. Integrated Power Module"/>
    <s v="PIC"/>
    <n v="3"/>
    <s v="12637591534, 7591534"/>
    <s v="Yes"/>
    <m/>
    <m/>
    <m/>
    <x v="219"/>
    <s v="Integrated Power Module"/>
    <s v=""/>
    <m/>
    <m/>
    <s v="single"/>
    <m/>
    <n v="69"/>
    <s v="14-18 ALL"/>
    <s v="BMW X5 (F15) (14-18)"/>
    <s v="14-18 3.0T N55 (RWD &amp; AWD) | 14-18 3.0T Diesel N57Y | 16-18 2.0T Gas"/>
    <m/>
    <m/>
    <s v="-"/>
    <m/>
    <m/>
    <m/>
    <s v="F15"/>
    <s v="14-18"/>
    <s v="ALL but 4.4TT"/>
    <s v="F15-14-18-ALL but 4.4TT"/>
    <s v="Viking41"/>
    <s v="F15-14-18-ALL but 4.4TT-Viking41"/>
  </r>
  <r>
    <s v=""/>
    <s v=""/>
    <m/>
    <m/>
    <s v=""/>
    <s v="ENF"/>
    <d v="2023-11-15T00:00:00"/>
    <m/>
    <m/>
    <s v="KEEP"/>
    <s v="Module"/>
    <s v="Module"/>
    <s v="sometimes"/>
    <m/>
    <m/>
    <m/>
    <m/>
    <s v=". Integrated Power Module"/>
    <m/>
    <m/>
    <m/>
    <m/>
    <m/>
    <m/>
    <m/>
    <x v="219"/>
    <s v="Integrated Power Module"/>
    <s v=""/>
    <m/>
    <m/>
    <s v="single"/>
    <m/>
    <n v="60"/>
    <s v="14-18 ALL"/>
    <s v="BMW X5 (F15) (14-18)"/>
    <s v="14-18 4.4TT N63T"/>
    <m/>
    <m/>
    <s v="-"/>
    <m/>
    <m/>
    <m/>
    <s v="F15"/>
    <s v="14-18"/>
    <s v="4.4TT"/>
    <s v="F15-14-18-4.4TT"/>
    <s v="Viking42"/>
    <s v="F15-14-18-4.4TT-Viking42"/>
  </r>
  <r>
    <s v=""/>
    <s v=""/>
    <m/>
    <m/>
    <s v=""/>
    <s v="ENF"/>
    <d v="2022-05-03T00:00:00"/>
    <m/>
    <m/>
    <s v="KEEP"/>
    <s v="Module"/>
    <s v="Key Fob"/>
    <s v="never"/>
    <m/>
    <m/>
    <m/>
    <m/>
    <s v=". Key FOB + Skeleton Key"/>
    <m/>
    <m/>
    <m/>
    <m/>
    <m/>
    <m/>
    <m/>
    <x v="220"/>
    <s v="Key FOB + Skeleton Key"/>
    <s v="w/ SET A unless no set (REQUIRED)"/>
    <s v="w/ SET A unless no set (REQUIRED)"/>
    <m/>
    <s v="single"/>
    <s v="SET A: ENF 5/3/22 100% sure REQUIRED"/>
    <n v="75"/>
    <s v="14-18 ALL"/>
    <s v="BMW X5 (F15) (14-18)"/>
    <s v="F15 ALL"/>
    <m/>
    <m/>
    <m/>
    <m/>
    <m/>
    <m/>
    <m/>
    <m/>
    <m/>
    <m/>
    <m/>
    <s v=""/>
  </r>
  <r>
    <s v=""/>
    <s v=""/>
    <m/>
    <m/>
    <s v=""/>
    <s v="ENF"/>
    <d v="2022-05-03T00:00:00"/>
    <m/>
    <m/>
    <s v="KEEP"/>
    <s v="Module"/>
    <s v="Module"/>
    <s v="never"/>
    <m/>
    <m/>
    <m/>
    <m/>
    <s v=". Keyless Entry Antenna SET 6"/>
    <m/>
    <m/>
    <m/>
    <m/>
    <m/>
    <m/>
    <m/>
    <x v="221"/>
    <s v="Keyless Entry Antenna SET 6"/>
    <s v=""/>
    <m/>
    <m/>
    <s v="SET/6"/>
    <m/>
    <n v="58"/>
    <s v="14-18 ALL"/>
    <s v="BMW X5 (F15) (14-18)"/>
    <s v="F15 ALL"/>
    <m/>
    <m/>
    <m/>
    <m/>
    <m/>
    <m/>
    <m/>
    <m/>
    <m/>
    <m/>
    <m/>
    <s v=""/>
  </r>
  <r>
    <s v=""/>
    <s v=""/>
    <m/>
    <m/>
    <s v=""/>
    <s v="ENF"/>
    <d v="2022-05-03T00:00:00"/>
    <m/>
    <m/>
    <s v="KEEP"/>
    <s v="Module"/>
    <s v="Module"/>
    <s v="sometimes"/>
    <m/>
    <m/>
    <m/>
    <m/>
    <s v=". Keyless Entry Control Module (worthless solo)"/>
    <m/>
    <m/>
    <m/>
    <m/>
    <m/>
    <m/>
    <m/>
    <x v="222"/>
    <s v="Keyless Entry Control Module (worthless solo)"/>
    <s v="w/ SET A unless no set (NOT REQUIRED)"/>
    <s v="w/ SET A unless no set (NOT REQUIRED)"/>
    <m/>
    <s v="single"/>
    <s v="SET A: ENF 5/3/22 about 75% sure NOT required, worthless solo so INCLUDE"/>
    <s v="worthless solo"/>
    <s v="14-18 ALL"/>
    <s v="BMW X5 (F15) (14-18)"/>
    <s v="F15 ALL"/>
    <m/>
    <m/>
    <s v="-"/>
    <m/>
    <m/>
    <m/>
    <m/>
    <m/>
    <m/>
    <m/>
    <m/>
    <s v=""/>
  </r>
  <r>
    <s v=""/>
    <s v="596-893"/>
    <m/>
    <m/>
    <n v="1"/>
    <s v="AJR"/>
    <d v="2023-03-08T00:00:00"/>
    <m/>
    <m/>
    <s v="KEEP"/>
    <s v="Module"/>
    <s v="Camera"/>
    <s v="sometimes"/>
    <m/>
    <m/>
    <m/>
    <m/>
    <s v=". Lane Departure Warning Camera"/>
    <m/>
    <m/>
    <m/>
    <m/>
    <m/>
    <m/>
    <m/>
    <x v="223"/>
    <s v="Lane Departure Warning Camera"/>
    <s v=""/>
    <m/>
    <m/>
    <s v="single"/>
    <m/>
    <n v="150"/>
    <s v="14-18 ALL"/>
    <s v="BMW X5 (F15) (14-18)"/>
    <s v="F15 ALL"/>
    <m/>
    <s v="596"/>
    <s v="-"/>
    <n v="893"/>
    <s v="596-893"/>
    <m/>
    <m/>
    <m/>
    <m/>
    <m/>
    <m/>
    <s v=""/>
  </r>
  <r>
    <s v=""/>
    <s v="591-72653"/>
    <m/>
    <m/>
    <n v="1"/>
    <s v="AJR"/>
    <d v="2023-03-09T00:00:00"/>
    <m/>
    <m/>
    <s v="KEEP"/>
    <s v="Module"/>
    <s v="Module"/>
    <s v="sometimes"/>
    <m/>
    <m/>
    <m/>
    <m/>
    <s v=". Lane Departure Warning Camera Control Module (Not The Camera)"/>
    <m/>
    <m/>
    <m/>
    <m/>
    <m/>
    <m/>
    <m/>
    <x v="224"/>
    <s v="Lane Departure Warning Camera Control Module (Not The Camera)"/>
    <s v=""/>
    <m/>
    <m/>
    <s v="single"/>
    <m/>
    <n v="45"/>
    <s v="14-18 ALL"/>
    <s v="BMW X5 (F15) (14-18)"/>
    <s v="F15 ALL"/>
    <m/>
    <s v="591"/>
    <s v="-"/>
    <n v="72653"/>
    <s v="591-72653"/>
    <m/>
    <m/>
    <m/>
    <m/>
    <m/>
    <m/>
    <s v=""/>
  </r>
  <r>
    <s v="A71"/>
    <s v="590-62356"/>
    <s v="590-62356-2"/>
    <m/>
    <n v="2"/>
    <s v="ENF"/>
    <d v="2022-05-03T00:00:00"/>
    <m/>
    <m/>
    <s v="KEEP"/>
    <s v="Module"/>
    <s v="Module &amp; Key SET"/>
    <s v="sometimes"/>
    <n v="61"/>
    <s v="A71"/>
    <s v="Box 4"/>
    <n v="1"/>
    <s v="A71. Module &amp; Key SET A (ECM + BCM + Keyless Mod + FOB + LF Lock Cyl + Immobilizer Ring)"/>
    <s v="PIC"/>
    <n v="9"/>
    <s v="12148626762, 8626762, 61359343371, 9343371"/>
    <s v="No"/>
    <m/>
    <m/>
    <m/>
    <x v="225"/>
    <s v="Module &amp; Key SET A (ECM + BCM + Keyless Mod + FOB + LF Lock Cyl + Immobilizer Ring)"/>
    <s v="This is SET A"/>
    <s v="This is SET A"/>
    <m/>
    <s v="SET"/>
    <s v="This is actual SET A pricing"/>
    <n v="995"/>
    <s v="14-18 3.0T N55"/>
    <s v="BMW X5 (F15) (14-18)"/>
    <s v="14-18 3.0T N55 (RWD &amp; AWD)"/>
    <m/>
    <s v="590"/>
    <s v="-"/>
    <n v="62356"/>
    <s v="590-62356"/>
    <m/>
    <m/>
    <m/>
    <m/>
    <m/>
    <m/>
    <s v=""/>
  </r>
  <r>
    <s v="A78"/>
    <s v="591-74039"/>
    <m/>
    <m/>
    <n v="1"/>
    <s v="ENF"/>
    <d v="2022-05-03T00:00:00"/>
    <m/>
    <m/>
    <s v="KEEP"/>
    <s v="Module"/>
    <s v="Module"/>
    <s v="sometimes"/>
    <n v="68"/>
    <s v="A78"/>
    <s v="Box 4"/>
    <n v="1"/>
    <s v="A78. Park Assist Control Module PDC"/>
    <s v="PIC"/>
    <n v="3"/>
    <s v="66339327352, 9327352"/>
    <s v="No"/>
    <m/>
    <m/>
    <m/>
    <x v="226"/>
    <s v="Park Assist Control Module PDC"/>
    <s v=""/>
    <m/>
    <m/>
    <s v="single"/>
    <m/>
    <n v="60"/>
    <s v="14-18 ALL"/>
    <s v="BMW X5 (F15) (14-18)"/>
    <s v="F15 ALL"/>
    <m/>
    <s v="591"/>
    <s v="-"/>
    <n v="74039"/>
    <s v="591-74039"/>
    <m/>
    <m/>
    <m/>
    <m/>
    <m/>
    <m/>
    <s v=""/>
  </r>
  <r>
    <s v=""/>
    <s v=""/>
    <m/>
    <m/>
    <s v=""/>
    <s v="AJR"/>
    <d v="2022-09-08T00:00:00"/>
    <m/>
    <m/>
    <s v="KEEP"/>
    <s v="Module"/>
    <s v="Module"/>
    <s v="sometimes"/>
    <m/>
    <m/>
    <m/>
    <m/>
    <s v=". Radio Remote Receiver Control Module"/>
    <m/>
    <m/>
    <m/>
    <m/>
    <m/>
    <m/>
    <m/>
    <x v="227"/>
    <s v="Radio Remote Receiver Control Module"/>
    <s v=""/>
    <m/>
    <m/>
    <s v="single"/>
    <m/>
    <n v="45"/>
    <s v="14-18 ALL"/>
    <s v="BMW X5 (F15) (14-18)"/>
    <s v="F15 ALL"/>
    <m/>
    <m/>
    <s v="-"/>
    <m/>
    <m/>
    <m/>
    <m/>
    <m/>
    <m/>
    <m/>
    <m/>
    <s v=""/>
  </r>
  <r>
    <s v=""/>
    <s v=""/>
    <m/>
    <m/>
    <s v=""/>
    <s v="ENF"/>
    <d v="2022-05-03T00:00:00"/>
    <m/>
    <m/>
    <s v="KEEP"/>
    <s v="Module"/>
    <s v="Module"/>
    <s v="never"/>
    <m/>
    <m/>
    <m/>
    <m/>
    <s v=". Rain Solar Light Sensor"/>
    <m/>
    <m/>
    <m/>
    <m/>
    <m/>
    <m/>
    <m/>
    <x v="228"/>
    <s v="Rain Solar Light Sensor"/>
    <s v="mounted on windshield"/>
    <m/>
    <s v="mounted on windshield"/>
    <s v="single"/>
    <m/>
    <n v="49"/>
    <s v="14-18 ALL"/>
    <s v="BMW X5 (F15) (14-18)"/>
    <s v="F15 ALL"/>
    <m/>
    <m/>
    <m/>
    <m/>
    <m/>
    <m/>
    <m/>
    <m/>
    <m/>
    <m/>
    <m/>
    <s v=""/>
  </r>
  <r>
    <s v=""/>
    <s v="591-74854"/>
    <s v="591-74854-1"/>
    <m/>
    <n v="2"/>
    <s v="ENF"/>
    <d v="2023-10-17T00:00:00"/>
    <m/>
    <m/>
    <s v="KEEP"/>
    <s v="Module"/>
    <s v="Module"/>
    <s v="sometimes"/>
    <m/>
    <m/>
    <m/>
    <m/>
    <s v=". Seat Control &amp; Memory Module, w/ Comfort Seat - FRONT LEFT"/>
    <m/>
    <m/>
    <m/>
    <m/>
    <m/>
    <m/>
    <m/>
    <x v="229"/>
    <s v="Seat Control &amp; Memory Module, w/ Comfort Seat - FRONT LEFT"/>
    <s v="toss if without comfort seats, note LF &amp; RF are same"/>
    <s v="toss if without comfort seats, note LF &amp; RF are same"/>
    <m/>
    <s v="single"/>
    <s v="NOTE: LF &amp; RF are IDENTICAL"/>
    <n v="150"/>
    <s v="14-18 ALL"/>
    <s v="BMW X5 (F15) (14-18)"/>
    <s v="F15 ALL"/>
    <m/>
    <s v="591"/>
    <s v="-"/>
    <n v="74854"/>
    <s v="591-74854"/>
    <s v="w/ comfort seats"/>
    <m/>
    <m/>
    <m/>
    <m/>
    <m/>
    <s v=""/>
  </r>
  <r>
    <s v=""/>
    <s v="591-74854"/>
    <s v="591-74854-2"/>
    <m/>
    <n v="2"/>
    <s v="ENF"/>
    <d v="2023-10-17T00:00:00"/>
    <m/>
    <m/>
    <s v="KEEP"/>
    <s v="Module"/>
    <s v="Module"/>
    <s v="sometimes"/>
    <m/>
    <m/>
    <m/>
    <m/>
    <s v=". Seat Control &amp; Memory Module, w/ Comfort Seat - FRONT RIGHT"/>
    <m/>
    <m/>
    <m/>
    <m/>
    <m/>
    <m/>
    <m/>
    <x v="230"/>
    <s v="Seat Control &amp; Memory Module, w/ Comfort Seat - FRONT RIGHT"/>
    <s v="toss if without comfort seats, note LF &amp; RF are same"/>
    <s v="toss if without comfort seats, note LF &amp; RF are same"/>
    <m/>
    <s v="single"/>
    <s v="NOTE: LF &amp; RF are IDENTICAL"/>
    <n v="150"/>
    <s v="14-18 ALL"/>
    <s v="BMW X5 (F15) (14-18)"/>
    <s v="F15 ALL"/>
    <m/>
    <s v="591"/>
    <s v="-"/>
    <n v="74854"/>
    <s v="591-74854"/>
    <s v="w/ comfort seats"/>
    <m/>
    <m/>
    <m/>
    <m/>
    <m/>
    <s v=""/>
  </r>
  <r>
    <s v=""/>
    <s v="591-62201"/>
    <m/>
    <m/>
    <n v="2"/>
    <s v="ENF"/>
    <d v="2023-10-17T00:00:00"/>
    <m/>
    <m/>
    <s v="Toss"/>
    <s v="Module"/>
    <s v="Module"/>
    <s v="sometimes"/>
    <m/>
    <m/>
    <m/>
    <m/>
    <s v=". Seat Control &amp; Memory Module, w/o Comfort Seat - FRONT LEFT"/>
    <m/>
    <m/>
    <m/>
    <m/>
    <m/>
    <m/>
    <m/>
    <x v="231"/>
    <s v="Seat Control &amp; Memory Module, w/o Comfort Seat - FRONT LEFT"/>
    <s v="keep if comfort seats, note LF &amp; RF are same"/>
    <s v="keep if comfort seats, note LF &amp; RF are same"/>
    <m/>
    <s v="single"/>
    <s v="NOTE: LF &amp; RF are IDENTICAL"/>
    <m/>
    <s v="14-18 ALL"/>
    <s v="BMW X5 (F15) (14-18)"/>
    <s v="F15 ALL"/>
    <m/>
    <s v="591"/>
    <s v="-"/>
    <n v="62201"/>
    <s v="591-62201"/>
    <s v="w/o comfort seats"/>
    <m/>
    <m/>
    <m/>
    <m/>
    <m/>
    <s v=""/>
  </r>
  <r>
    <s v=""/>
    <s v="591-62201"/>
    <m/>
    <m/>
    <n v="2"/>
    <s v="ENF"/>
    <d v="2023-10-17T00:00:00"/>
    <m/>
    <m/>
    <s v="Toss"/>
    <s v="Module"/>
    <s v="Module"/>
    <s v="sometimes"/>
    <m/>
    <m/>
    <m/>
    <m/>
    <s v=". Seat Control &amp; Memory Module, w/o Comfort Seat - FRONT RIGHT"/>
    <m/>
    <m/>
    <m/>
    <m/>
    <m/>
    <m/>
    <m/>
    <x v="232"/>
    <s v="Seat Control &amp; Memory Module, w/o Comfort Seat - FRONT RIGHT"/>
    <s v="keep if comfort seats, note LF &amp; RF are same"/>
    <s v="keep if comfort seats, note LF &amp; RF are same"/>
    <m/>
    <s v="single"/>
    <s v="NOTE: LF &amp; RF are IDENTICAL"/>
    <m/>
    <s v="14-18 ALL"/>
    <s v="BMW X5 (F15) (14-18)"/>
    <s v="F15 ALL"/>
    <m/>
    <s v="591"/>
    <s v="-"/>
    <n v="62201"/>
    <s v="591-62201"/>
    <s v="w/o comfort seats"/>
    <m/>
    <m/>
    <m/>
    <m/>
    <m/>
    <s v=""/>
  </r>
  <r>
    <s v=""/>
    <s v="591-74065"/>
    <m/>
    <m/>
    <n v="1"/>
    <s v="ENF"/>
    <d v="2022-05-03T00:00:00"/>
    <m/>
    <m/>
    <s v="KEEP"/>
    <s v="Module"/>
    <s v="Module"/>
    <s v="sometimes"/>
    <m/>
    <m/>
    <m/>
    <m/>
    <s v=". Surround View Camera Control Module"/>
    <m/>
    <m/>
    <m/>
    <m/>
    <m/>
    <m/>
    <m/>
    <x v="233"/>
    <s v="Surround View Camera Control Module"/>
    <s v="aluminum w/ 1 black &amp; 1 white plug"/>
    <m/>
    <s v="aluminum w/ 1 black &amp; 1 white plug"/>
    <s v="single"/>
    <m/>
    <n v="115"/>
    <s v="14-18 ALL"/>
    <s v="BMW X5 (F15) (14-18)"/>
    <s v="F15 ALL"/>
    <m/>
    <s v="591"/>
    <s v="-"/>
    <n v="74065"/>
    <s v="591-74065"/>
    <m/>
    <m/>
    <m/>
    <m/>
    <m/>
    <m/>
    <s v=""/>
  </r>
  <r>
    <s v="A77"/>
    <s v="591-74058"/>
    <m/>
    <m/>
    <n v="1"/>
    <s v="ENF"/>
    <d v="2022-05-03T00:00:00"/>
    <m/>
    <m/>
    <s v="KEEP"/>
    <s v="Module"/>
    <s v="Module"/>
    <s v="sometimes"/>
    <n v="67"/>
    <s v="A77"/>
    <s v="Box 4"/>
    <n v="1"/>
    <s v="A77. Tailgate Trunk Control Module"/>
    <s v="PIC"/>
    <n v="3"/>
    <s v="61357384722, 7384722"/>
    <s v="No"/>
    <m/>
    <m/>
    <m/>
    <x v="234"/>
    <s v="Tailgate Trunk Control Module"/>
    <s v=""/>
    <m/>
    <m/>
    <s v="single"/>
    <m/>
    <n v="135"/>
    <s v="14-18 ALL"/>
    <s v="BMW X5 (F15) (14-18)"/>
    <s v="F15 ALL"/>
    <m/>
    <s v="591"/>
    <s v="-"/>
    <n v="74058"/>
    <s v="591-74058"/>
    <m/>
    <m/>
    <m/>
    <m/>
    <m/>
    <m/>
    <s v=""/>
  </r>
  <r>
    <s v=""/>
    <s v="591-74038"/>
    <m/>
    <m/>
    <n v="1"/>
    <s v="ENF"/>
    <d v="2023-10-17T00:00:00"/>
    <m/>
    <m/>
    <s v="Toss"/>
    <s v="Module"/>
    <s v="Module"/>
    <s v="sometimes"/>
    <m/>
    <m/>
    <m/>
    <m/>
    <s v=". Telematics Communication Control Module"/>
    <m/>
    <m/>
    <m/>
    <m/>
    <m/>
    <m/>
    <m/>
    <x v="235"/>
    <s v="Telematics Communication Control Module"/>
    <s v=""/>
    <m/>
    <m/>
    <s v="single"/>
    <m/>
    <m/>
    <s v="14-18 ALL"/>
    <s v="BMW X5 (F15) (14-18)"/>
    <s v="F15 ALL"/>
    <m/>
    <s v="591"/>
    <s v="-"/>
    <n v="74038"/>
    <s v="591-74038"/>
    <m/>
    <m/>
    <m/>
    <m/>
    <m/>
    <m/>
    <s v=""/>
  </r>
  <r>
    <s v=""/>
    <s v=""/>
    <m/>
    <m/>
    <s v=""/>
    <s v="AJR"/>
    <d v="2022-12-27T00:00:00"/>
    <m/>
    <m/>
    <s v="KEEP"/>
    <s v="Module"/>
    <s v="Module"/>
    <s v="sometimes"/>
    <m/>
    <m/>
    <m/>
    <m/>
    <s v=". Towing Control Module "/>
    <m/>
    <m/>
    <m/>
    <m/>
    <m/>
    <m/>
    <m/>
    <x v="236"/>
    <s v="Towing Control Module "/>
    <s v=""/>
    <m/>
    <m/>
    <s v="single"/>
    <m/>
    <n v="150"/>
    <s v="14-18 ALL"/>
    <s v="BMW X5 (F15) (14-18)"/>
    <s v="F15 ALL"/>
    <m/>
    <m/>
    <s v="-"/>
    <m/>
    <m/>
    <m/>
    <m/>
    <m/>
    <m/>
    <m/>
    <m/>
    <s v=""/>
  </r>
  <r>
    <s v="A75"/>
    <s v="660-50116"/>
    <m/>
    <m/>
    <n v="1"/>
    <s v="ENF"/>
    <d v="2023-10-17T00:00:00"/>
    <m/>
    <m/>
    <s v="KEEP"/>
    <s v="Module"/>
    <s v="Module"/>
    <s v="sometimes"/>
    <n v="65"/>
    <s v="A75"/>
    <s v="Box 4"/>
    <n v="1"/>
    <s v="A75. Voltage Converter Control Module"/>
    <s v="PIC"/>
    <n v="4"/>
    <s v="61429310452, 9310452"/>
    <s v="No"/>
    <m/>
    <m/>
    <m/>
    <x v="237"/>
    <s v="Voltage Converter Control Module"/>
    <s v=""/>
    <m/>
    <m/>
    <s v="single"/>
    <m/>
    <n v="85"/>
    <s v="14-18 ALL"/>
    <s v="BMW X5 (F15) (14-18)"/>
    <s v="F15 ALL"/>
    <m/>
    <s v="660"/>
    <s v="-"/>
    <n v="50116"/>
    <s v="660-50116"/>
    <m/>
    <m/>
    <m/>
    <m/>
    <m/>
    <m/>
    <s v=""/>
  </r>
  <r>
    <s v=""/>
    <s v=""/>
    <m/>
    <m/>
    <s v=""/>
    <s v="ENF"/>
    <d v="2022-05-03T00:00:00"/>
    <m/>
    <m/>
    <s v="Toss"/>
    <s v="Module"/>
    <s v="Module"/>
    <s v="sometimes"/>
    <m/>
    <m/>
    <m/>
    <m/>
    <s v=". Airbag Control Module, PRIMARY (plastic module w/ white on top and rest is black) (DO KEEP THE ALUMINUM MODULE THAT SAYS &quot;AIRBAG&quot; - HIGH $$)"/>
    <m/>
    <m/>
    <m/>
    <m/>
    <m/>
    <m/>
    <m/>
    <x v="238"/>
    <s v="Airbag Control Module, PRIMARY (plastic module w/ white on top and rest is black) (DO KEEP THE ALUMINUM MODULE THAT SAYS &quot;AIRBAG&quot; - HIGH $$)"/>
    <s v=""/>
    <m/>
    <m/>
    <s v="single"/>
    <m/>
    <m/>
    <s v="14-18 ALL"/>
    <s v="BMW X5 (F15) (14-18)"/>
    <s v="F15 ALL"/>
    <m/>
    <m/>
    <m/>
    <m/>
    <m/>
    <m/>
    <m/>
    <m/>
    <m/>
    <m/>
    <m/>
    <s v=""/>
  </r>
  <r>
    <s v=""/>
    <s v=""/>
    <m/>
    <m/>
    <s v=""/>
    <s v="ENF"/>
    <d v="2022-05-03T00:00:00"/>
    <m/>
    <m/>
    <s v="Toss"/>
    <s v="Module"/>
    <s v="Module"/>
    <s v="sometimes"/>
    <m/>
    <m/>
    <m/>
    <m/>
    <s v=". Fuel Pump Control Module"/>
    <m/>
    <m/>
    <m/>
    <m/>
    <m/>
    <m/>
    <m/>
    <x v="239"/>
    <s v="Fuel Pump Control Module"/>
    <s v=""/>
    <m/>
    <m/>
    <s v="single"/>
    <m/>
    <m/>
    <s v="14-18 ALL"/>
    <s v="BMW X5 (F15) (14-18)"/>
    <s v="F15 ALL"/>
    <m/>
    <m/>
    <m/>
    <m/>
    <m/>
    <m/>
    <m/>
    <m/>
    <m/>
    <m/>
    <m/>
    <s v=""/>
  </r>
  <r>
    <s v=""/>
    <s v=""/>
    <m/>
    <m/>
    <s v=""/>
    <s v="ENF"/>
    <d v="2022-05-03T00:00:00"/>
    <m/>
    <m/>
    <s v="Toss"/>
    <s v="Module"/>
    <s v="Module"/>
    <s v="never"/>
    <m/>
    <m/>
    <m/>
    <m/>
    <s v=". Antenna Amplifier Control Module, BACKUP one"/>
    <m/>
    <m/>
    <m/>
    <m/>
    <m/>
    <m/>
    <m/>
    <x v="240"/>
    <s v="Antenna Amplifier Control Module, BACKUP one"/>
    <s v="square black plastic"/>
    <m/>
    <s v="square black plastic"/>
    <s v="single"/>
    <m/>
    <m/>
    <s v="14-18 ALL"/>
    <s v="BMW X5 (F15) (14-18)"/>
    <s v="F15 ALL"/>
    <m/>
    <m/>
    <m/>
    <m/>
    <m/>
    <m/>
    <m/>
    <m/>
    <m/>
    <m/>
    <m/>
    <s v=""/>
  </r>
  <r>
    <s v=""/>
    <s v=""/>
    <m/>
    <m/>
    <s v=""/>
    <s v="ENF"/>
    <d v="2022-05-03T00:00:00"/>
    <m/>
    <m/>
    <s v="Toss"/>
    <s v="Module"/>
    <s v="Module"/>
    <s v="never"/>
    <m/>
    <m/>
    <m/>
    <m/>
    <s v=". Antenna Amplifier Control Module, PRIMARY one"/>
    <m/>
    <m/>
    <m/>
    <m/>
    <m/>
    <m/>
    <m/>
    <x v="241"/>
    <s v="Antenna Amplifier Control Module, PRIMARY one"/>
    <s v="rectangular black plastic"/>
    <m/>
    <s v="rectangular black plastic"/>
    <s v="single"/>
    <m/>
    <m/>
    <s v="14-18 ALL"/>
    <s v="BMW X5 (F15) (14-18)"/>
    <s v="F15 ALL"/>
    <m/>
    <m/>
    <m/>
    <m/>
    <m/>
    <m/>
    <m/>
    <m/>
    <m/>
    <m/>
    <m/>
    <s v=""/>
  </r>
  <r>
    <s v=""/>
    <s v=""/>
    <m/>
    <m/>
    <s v=""/>
    <s v="ENF"/>
    <d v="2022-04-29T00:00:00"/>
    <m/>
    <m/>
    <s v="Toss"/>
    <s v="Module"/>
    <s v="Module"/>
    <s v="never"/>
    <m/>
    <m/>
    <m/>
    <m/>
    <s v=". Antenna Noise Filter Control Module"/>
    <m/>
    <m/>
    <m/>
    <m/>
    <m/>
    <m/>
    <m/>
    <x v="242"/>
    <s v="Antenna Noise Filter Control Module"/>
    <s v="mounted left rear roof"/>
    <m/>
    <s v="mounted left rear roof"/>
    <s v="single"/>
    <m/>
    <m/>
    <s v="14-18 ALL"/>
    <s v="BMW X5 (F15) (14-18)"/>
    <s v="F15 ALL"/>
    <m/>
    <m/>
    <m/>
    <m/>
    <m/>
    <m/>
    <m/>
    <m/>
    <m/>
    <m/>
    <m/>
    <s v=""/>
  </r>
  <r>
    <s v=""/>
    <s v=""/>
    <m/>
    <m/>
    <s v=""/>
    <s v="ENF"/>
    <d v="2022-05-03T00:00:00"/>
    <m/>
    <m/>
    <s v="Toss"/>
    <s v="Module"/>
    <s v="Module"/>
    <s v="never"/>
    <m/>
    <m/>
    <m/>
    <m/>
    <s v=". Bus Interface Control Module"/>
    <m/>
    <m/>
    <m/>
    <m/>
    <m/>
    <m/>
    <m/>
    <x v="243"/>
    <s v="Bus Interface Control Module"/>
    <s v="TOSS BOTH | look like ribbed black legos in shape / size"/>
    <s v="TOSS BOTH"/>
    <s v="look like ribbed black legos in shape / size"/>
    <s v="single"/>
    <m/>
    <m/>
    <s v="14-18 ALL"/>
    <s v="BMW X5 (F15) (14-18)"/>
    <s v="F15 ALL"/>
    <m/>
    <m/>
    <m/>
    <m/>
    <m/>
    <m/>
    <m/>
    <m/>
    <m/>
    <m/>
    <m/>
    <s v=""/>
  </r>
  <r>
    <s v=""/>
    <s v=""/>
    <m/>
    <m/>
    <s v=""/>
    <s v="ENF"/>
    <d v="2022-05-03T00:00:00"/>
    <m/>
    <m/>
    <s v="Toss"/>
    <s v="Module"/>
    <s v="Module"/>
    <s v="never"/>
    <m/>
    <m/>
    <m/>
    <m/>
    <s v=". Cooling Fan Relay Module"/>
    <m/>
    <m/>
    <m/>
    <m/>
    <m/>
    <m/>
    <m/>
    <x v="244"/>
    <s v="Cooling Fan Relay Module"/>
    <s v=""/>
    <m/>
    <m/>
    <s v="single"/>
    <m/>
    <m/>
    <s v="14-18 ALL"/>
    <s v="BMW X5 (F15) (14-18)"/>
    <s v="F15 ALL"/>
    <m/>
    <m/>
    <m/>
    <m/>
    <m/>
    <m/>
    <m/>
    <m/>
    <m/>
    <m/>
    <m/>
    <s v=""/>
  </r>
  <r>
    <s v=""/>
    <s v=""/>
    <m/>
    <m/>
    <s v=""/>
    <s v="ENF"/>
    <d v="2022-05-03T00:00:00"/>
    <m/>
    <m/>
    <s v="Toss"/>
    <s v="Module"/>
    <s v="Sensors"/>
    <s v="never"/>
    <m/>
    <m/>
    <m/>
    <m/>
    <s v=". Crash Sensors"/>
    <m/>
    <m/>
    <m/>
    <m/>
    <m/>
    <m/>
    <m/>
    <x v="245"/>
    <s v="Crash Sensors"/>
    <s v="TOSS ALL"/>
    <s v="TOSS ALL"/>
    <m/>
    <s v="single"/>
    <m/>
    <m/>
    <s v="14-18 ALL"/>
    <s v="BMW X5 (F15) (14-18)"/>
    <s v="F15 ALL"/>
    <m/>
    <m/>
    <m/>
    <m/>
    <m/>
    <m/>
    <m/>
    <m/>
    <m/>
    <m/>
    <m/>
    <s v=""/>
  </r>
  <r>
    <s v=""/>
    <s v=""/>
    <m/>
    <m/>
    <s v=""/>
    <s v="ENF"/>
    <d v="2022-05-03T00:00:00"/>
    <m/>
    <m/>
    <s v="Toss"/>
    <s v="Module"/>
    <s v="Module"/>
    <s v="never"/>
    <m/>
    <m/>
    <m/>
    <m/>
    <s v=". Front Power Distribution Terminal Module"/>
    <m/>
    <m/>
    <m/>
    <m/>
    <m/>
    <m/>
    <m/>
    <x v="246"/>
    <s v="Front Power Distribution Terminal Module"/>
    <s v="flat black plastic module 4x3&quot; w/ 3 red wires going to it"/>
    <m/>
    <s v="flat black plastic module 4x3&quot; w/ 3 red wires going to it"/>
    <s v="single"/>
    <m/>
    <m/>
    <s v="14-18 ALL"/>
    <s v="BMW X5 (F15) (14-18)"/>
    <s v="F15 ALL"/>
    <m/>
    <m/>
    <m/>
    <m/>
    <m/>
    <m/>
    <m/>
    <m/>
    <m/>
    <m/>
    <m/>
    <s v=""/>
  </r>
  <r>
    <s v=""/>
    <s v=""/>
    <m/>
    <m/>
    <s v=""/>
    <s v="ENF"/>
    <d v="2022-05-03T00:00:00"/>
    <m/>
    <m/>
    <s v="Toss"/>
    <s v="Module"/>
    <s v="Control Knob"/>
    <s v="never"/>
    <m/>
    <m/>
    <m/>
    <m/>
    <s v=". i-Drive Navigation / Radio Knob Control Module"/>
    <m/>
    <m/>
    <m/>
    <m/>
    <m/>
    <m/>
    <m/>
    <x v="247"/>
    <s v="i-Drive Navigation / Radio Knob Control Module"/>
    <s v=""/>
    <m/>
    <m/>
    <s v="single"/>
    <m/>
    <m/>
    <s v="14-18 ALL"/>
    <s v="BMW X5 (F15) (14-18)"/>
    <s v="F15 ALL"/>
    <m/>
    <m/>
    <m/>
    <m/>
    <m/>
    <m/>
    <m/>
    <m/>
    <m/>
    <m/>
    <m/>
    <s v=""/>
  </r>
  <r>
    <s v=""/>
    <s v=""/>
    <m/>
    <m/>
    <s v=""/>
    <s v="ENF"/>
    <d v="2023-11-15T00:00:00"/>
    <m/>
    <m/>
    <s v="Toss"/>
    <s v="Module"/>
    <s v="Fuse &amp; Junction Boxes"/>
    <s v="sometimes"/>
    <m/>
    <m/>
    <m/>
    <m/>
    <s v=". Fuse Box, FRONT"/>
    <m/>
    <m/>
    <m/>
    <m/>
    <m/>
    <m/>
    <m/>
    <x v="248"/>
    <s v="Fuse Box, FRONT"/>
    <s v=""/>
    <m/>
    <m/>
    <m/>
    <m/>
    <m/>
    <s v="14-18 ALL"/>
    <s v="BMW X5 (F15) (14-18)"/>
    <s v="F15 ALL"/>
    <m/>
    <m/>
    <s v="-"/>
    <m/>
    <m/>
    <m/>
    <m/>
    <m/>
    <m/>
    <m/>
    <m/>
    <s v=""/>
  </r>
  <r>
    <s v=""/>
    <s v=""/>
    <m/>
    <m/>
    <s v=""/>
    <s v="ENF"/>
    <d v="2022-04-29T00:00:00"/>
    <m/>
    <m/>
    <s v="Toss"/>
    <s v="Module"/>
    <s v="Module"/>
    <s v="never"/>
    <m/>
    <m/>
    <m/>
    <m/>
    <s v=". Lojack Vehicle Recovery Transmitter Module &amp; Cable"/>
    <m/>
    <m/>
    <m/>
    <m/>
    <m/>
    <m/>
    <m/>
    <x v="249"/>
    <s v="Lojack Vehicle Recovery Transmitter Module &amp; Cable"/>
    <s v="TOSS BOTH | mounted RR wheel well"/>
    <s v="TOSS BOTH"/>
    <s v="mounted RR wheel well"/>
    <s v="single"/>
    <m/>
    <m/>
    <s v="14-18 ALL"/>
    <s v="BMW X5 (F15) (14-18)"/>
    <s v="F15 ALL"/>
    <m/>
    <m/>
    <m/>
    <m/>
    <m/>
    <m/>
    <m/>
    <m/>
    <m/>
    <m/>
    <m/>
    <s v=""/>
  </r>
  <r>
    <s v=""/>
    <s v=""/>
    <m/>
    <m/>
    <s v=""/>
    <s v="ENF"/>
    <d v="2022-05-03T00:00:00"/>
    <m/>
    <m/>
    <s v="Toss"/>
    <s v="Module"/>
    <s v="Fuse &amp; Junction Boxes"/>
    <s v="never"/>
    <m/>
    <m/>
    <m/>
    <m/>
    <s v=". Positive Battery Junction Box"/>
    <m/>
    <m/>
    <m/>
    <m/>
    <m/>
    <m/>
    <m/>
    <x v="250"/>
    <s v="Positive Battery Junction Box"/>
    <s v="5x5 inch black plastic w/ a small red battery cable"/>
    <m/>
    <s v="5x5 inch black plastic w/ a small red battery cable"/>
    <s v="single"/>
    <m/>
    <m/>
    <s v="14-18 ALL"/>
    <s v="BMW X5 (F15) (14-18)"/>
    <s v="F15 ALL"/>
    <m/>
    <m/>
    <m/>
    <m/>
    <m/>
    <m/>
    <m/>
    <m/>
    <m/>
    <m/>
    <m/>
    <s v=""/>
  </r>
  <r>
    <s v=""/>
    <s v=""/>
    <m/>
    <m/>
    <s v=""/>
    <s v="ENF"/>
    <d v="2022-05-03T00:00:00"/>
    <m/>
    <m/>
    <s v="Toss"/>
    <s v="Module"/>
    <s v="Module"/>
    <s v="sometimes"/>
    <m/>
    <m/>
    <m/>
    <m/>
    <s v=". Seat Control Module - REAR"/>
    <m/>
    <m/>
    <m/>
    <m/>
    <m/>
    <m/>
    <m/>
    <x v="251"/>
    <s v="Seat Control Module - REAR"/>
    <s v=""/>
    <m/>
    <m/>
    <s v="single"/>
    <m/>
    <m/>
    <s v="14-18 ALL"/>
    <s v="BMW X5 (F15) (14-18)"/>
    <s v="F15 ALL"/>
    <m/>
    <m/>
    <s v="-"/>
    <m/>
    <m/>
    <m/>
    <m/>
    <m/>
    <m/>
    <m/>
    <m/>
    <s v=""/>
  </r>
  <r>
    <s v=""/>
    <s v=""/>
    <m/>
    <m/>
    <s v=""/>
    <s v="ENF"/>
    <d v="2022-05-03T00:00:00"/>
    <m/>
    <m/>
    <s v="Toss"/>
    <s v="Module"/>
    <s v="Module"/>
    <s v="never"/>
    <m/>
    <m/>
    <m/>
    <m/>
    <s v=". Steering Column Control Module"/>
    <m/>
    <m/>
    <m/>
    <m/>
    <m/>
    <m/>
    <m/>
    <x v="252"/>
    <s v="Steering Column Control Module"/>
    <s v="toss black plastic sleeve on it too"/>
    <s v="toss black plastic sleeve on it too"/>
    <m/>
    <s v="single"/>
    <m/>
    <m/>
    <s v="14-18 ALL"/>
    <s v="BMW X5 (F15) (14-18)"/>
    <s v="F15 ALL"/>
    <m/>
    <m/>
    <m/>
    <m/>
    <m/>
    <m/>
    <m/>
    <m/>
    <m/>
    <m/>
    <m/>
    <s v=""/>
  </r>
  <r>
    <s v=""/>
    <s v=""/>
    <m/>
    <m/>
    <s v=""/>
    <s v="AJR"/>
    <d v="2023-03-28T00:00:00"/>
    <s v="TEST ALWAYS"/>
    <m/>
    <s v="KEEP"/>
    <s v="Multiple"/>
    <s v="Speakers"/>
    <s v="never"/>
    <m/>
    <m/>
    <m/>
    <m/>
    <s v=". Speakers SET - Harman Kardon"/>
    <m/>
    <m/>
    <m/>
    <m/>
    <m/>
    <m/>
    <m/>
    <x v="253"/>
    <s v="Speakers SET - Harman Kardon"/>
    <s v="KEEP Harman or Bang &amp; Olufsen, TOSS BMW Branded"/>
    <m/>
    <s v="KEEP Harman or Bang &amp; Olufsen, TOSS BMW Branded"/>
    <s v="single"/>
    <m/>
    <n v="450"/>
    <s v="14-18 ALL"/>
    <s v="BMW X5 (F15) (14-18)"/>
    <s v="F15 ALL"/>
    <s v="TEST ALWAYS"/>
    <m/>
    <m/>
    <m/>
    <m/>
    <m/>
    <m/>
    <m/>
    <m/>
    <m/>
    <m/>
    <s v=""/>
  </r>
  <r>
    <s v=""/>
    <s v=""/>
    <m/>
    <m/>
    <s v=""/>
    <s v="AJR"/>
    <d v="2023-03-28T00:00:00"/>
    <s v="TEST ALWAYS"/>
    <m/>
    <s v="KEEP"/>
    <s v="Multiple"/>
    <s v="Speakers"/>
    <s v="never"/>
    <m/>
    <m/>
    <m/>
    <m/>
    <s v=". Speakers SET - Bang &amp; Olufsen"/>
    <m/>
    <m/>
    <m/>
    <m/>
    <m/>
    <m/>
    <m/>
    <x v="254"/>
    <s v="Speakers SET - Bang &amp; Olufsen"/>
    <s v="KEEP Harman or Bang &amp; Olufsen, TOSS BMW Branded"/>
    <m/>
    <s v="KEEP Harman or Bang &amp; Olufsen, TOSS BMW Branded"/>
    <s v="single"/>
    <m/>
    <s v="Check"/>
    <s v="14-18 ALL"/>
    <s v="BMW X5 (F15) (14-18)"/>
    <s v="F15 ALL"/>
    <s v="TEST ALWAYS"/>
    <m/>
    <m/>
    <m/>
    <m/>
    <m/>
    <m/>
    <m/>
    <m/>
    <m/>
    <m/>
    <s v=""/>
  </r>
  <r>
    <s v=""/>
    <s v=""/>
    <m/>
    <m/>
    <s v=""/>
    <s v="AJR"/>
    <d v="2023-03-28T00:00:00"/>
    <m/>
    <m/>
    <s v="Toss"/>
    <s v="Multiple"/>
    <s v="Speakers"/>
    <s v="never"/>
    <m/>
    <m/>
    <m/>
    <m/>
    <s v=". Speakers - BMW Branded Ones"/>
    <m/>
    <m/>
    <m/>
    <m/>
    <m/>
    <m/>
    <m/>
    <x v="255"/>
    <s v="Speakers - BMW Branded Ones"/>
    <s v="TOSS BMW Branded Ones | KEEP Harman or Bang"/>
    <s v="TOSS BMW Branded Ones"/>
    <s v="KEEP Harman or Bang"/>
    <s v="single"/>
    <m/>
    <m/>
    <s v="14-18 ALL"/>
    <s v="BMW X5 (F15) (14-18)"/>
    <s v="F15 ALL"/>
    <s v="TEST ALWAYS"/>
    <m/>
    <m/>
    <m/>
    <m/>
    <m/>
    <m/>
    <m/>
    <m/>
    <m/>
    <m/>
    <s v=""/>
  </r>
  <r>
    <s v="A110"/>
    <s v=""/>
    <m/>
    <m/>
    <s v=""/>
    <s v="ENF"/>
    <d v="2022-04-19T00:00:00"/>
    <m/>
    <s v="DRF Check"/>
    <s v="KEEP"/>
    <s v="Multiple"/>
    <s v="Trim (part of SET)"/>
    <s v="never"/>
    <n v="100"/>
    <s v="A110"/>
    <s v="FLAW"/>
    <n v="1"/>
    <s v="A110. Trim Set, Entire Vehicle"/>
    <s v="PIC"/>
    <n v="20"/>
    <s v="5187100, 5187200, 5187600, 927047406, 7292182, 7292181, 5187500, 1236964, 1236967"/>
    <s v="No"/>
    <s v="scratches, scuffs"/>
    <m/>
    <m/>
    <x v="256"/>
    <s v="Trim Set, Entire Vehicle"/>
    <s v=""/>
    <m/>
    <m/>
    <s v="SET"/>
    <m/>
    <n v="495"/>
    <s v="14-18 ALL"/>
    <s v="BMW X5 (F15) (14-18)"/>
    <s v="F15 ALL"/>
    <m/>
    <m/>
    <m/>
    <m/>
    <m/>
    <m/>
    <s v="F15"/>
    <s v="14-18"/>
    <s v="ALL"/>
    <s v="F15-14-18-ALL"/>
    <s v="Viking43"/>
    <s v="F15-14-18-ALL-Viking43"/>
  </r>
  <r>
    <s v=""/>
    <s v=""/>
    <m/>
    <m/>
    <s v=""/>
    <s v="ENF"/>
    <d v="2022-04-20T00:00:00"/>
    <m/>
    <m/>
    <s v="Toss"/>
    <s v="Multiple"/>
    <s v="Airbag"/>
    <s v="always"/>
    <m/>
    <m/>
    <m/>
    <m/>
    <s v=". Airbag, SEATS"/>
    <m/>
    <m/>
    <m/>
    <m/>
    <m/>
    <m/>
    <m/>
    <x v="257"/>
    <s v="Airbag, SEATS"/>
    <s v="TOSS BOTH | keep in seat cushions if selling those"/>
    <s v="TOSS BOTH"/>
    <s v="keep in seat cushions if selling those"/>
    <s v="single"/>
    <m/>
    <m/>
    <s v="14-18 ALL"/>
    <s v="BMW X5 (F15) (14-18)"/>
    <s v="F15 ALL"/>
    <m/>
    <m/>
    <s v="-"/>
    <m/>
    <m/>
    <m/>
    <m/>
    <m/>
    <m/>
    <m/>
    <m/>
    <s v=""/>
  </r>
  <r>
    <s v="A66"/>
    <s v="210-53562"/>
    <s v="210-53562-1"/>
    <m/>
    <n v="2"/>
    <s v="ENF"/>
    <d v="2022-04-22T00:00:00"/>
    <m/>
    <m/>
    <s v="KEEP"/>
    <s v="Seatbelt-LF"/>
    <s v="Seatbelt, Buckle"/>
    <s v="always"/>
    <n v="56"/>
    <s v="A66"/>
    <s v="Box 3"/>
    <n v="1"/>
    <s v="A66. Seatbelt Buckle, FRONT - LEFT"/>
    <s v="PIC"/>
    <n v="4"/>
    <s v="72117297131, 7297131"/>
    <s v="Yes"/>
    <m/>
    <m/>
    <m/>
    <x v="258"/>
    <s v="Seatbelt Buckle, FRONT - LEFT"/>
    <s v=""/>
    <m/>
    <m/>
    <s v="single"/>
    <s v="Posters: note LF &amp; RF seat belt buckles are identical"/>
    <n v="80"/>
    <s v="14-18 ALL"/>
    <s v="BMW X5 (F15) (14-18)"/>
    <s v="F15 ALL"/>
    <m/>
    <s v="210"/>
    <s v="-"/>
    <n v="53562"/>
    <s v="210-53562"/>
    <m/>
    <m/>
    <m/>
    <m/>
    <m/>
    <m/>
    <s v=""/>
  </r>
  <r>
    <s v=""/>
    <s v="210-53851"/>
    <m/>
    <m/>
    <n v="1"/>
    <s v="ENF"/>
    <d v="2022-04-22T00:00:00"/>
    <m/>
    <m/>
    <s v="KEEP"/>
    <s v="Seatbelt-LF"/>
    <s v="Seatbelt, Retractor"/>
    <s v="always"/>
    <m/>
    <m/>
    <m/>
    <m/>
    <s v=". Seatbelt Retractor, FRONT - LEFT"/>
    <m/>
    <m/>
    <m/>
    <m/>
    <m/>
    <m/>
    <s v="[YES-ENTER]"/>
    <x v="259"/>
    <s v="Seatbelt Retractor, FRONT - LEFT"/>
    <s v="remove from &amp; toss pillar"/>
    <s v="remove from &amp; toss pillar"/>
    <m/>
    <s v="single"/>
    <m/>
    <n v="250"/>
    <s v="14-18 ALL"/>
    <s v="BMW X5 (F15) (14-18)"/>
    <s v="F15 ALL"/>
    <m/>
    <s v="210"/>
    <s v="-"/>
    <n v="53851"/>
    <s v="210-53851"/>
    <s v="w/ active protection"/>
    <m/>
    <m/>
    <m/>
    <m/>
    <m/>
    <s v=""/>
  </r>
  <r>
    <s v="A50"/>
    <s v="210-53565"/>
    <m/>
    <m/>
    <n v="1"/>
    <s v="ENF"/>
    <d v="2022-04-22T00:00:00"/>
    <m/>
    <m/>
    <s v="KEEP"/>
    <s v="Seatbelt-LF"/>
    <s v="Seatbelt, Retractor"/>
    <s v="always"/>
    <n v="40"/>
    <s v="A50"/>
    <s v="Box 3"/>
    <n v="1"/>
    <s v="A50. Seatbelt Retractor, FRONT - LEFT"/>
    <s v="PIC"/>
    <n v="4"/>
    <s v="72117343637, 7343637"/>
    <s v="Yes"/>
    <m/>
    <m/>
    <s v="Black"/>
    <x v="259"/>
    <s v="Seatbelt Retractor, FRONT - LEFT"/>
    <s v="remove from &amp; toss pillar"/>
    <s v="remove from &amp; toss pillar"/>
    <m/>
    <s v="single"/>
    <m/>
    <n v="250"/>
    <s v="14-18 ALL"/>
    <s v="BMW X5 (F15) (14-18)"/>
    <s v="F15 ALL"/>
    <m/>
    <s v="210"/>
    <s v="-"/>
    <n v="53565"/>
    <s v="210-53565"/>
    <s v="w/o active protection"/>
    <m/>
    <m/>
    <m/>
    <m/>
    <m/>
    <s v=""/>
  </r>
  <r>
    <s v="A70"/>
    <s v=""/>
    <m/>
    <m/>
    <s v=""/>
    <s v="ENF"/>
    <d v="2022-04-22T00:00:00"/>
    <m/>
    <m/>
    <s v="KEEP"/>
    <s v="Seatbelt-Rear"/>
    <s v="Seatbelt, Buckle"/>
    <s v="never"/>
    <n v="60"/>
    <s v="A70"/>
    <s v="Box 3"/>
    <n v="1"/>
    <s v="A70. Seatbelt, Buckles REAR 2ND ROW - SET 3"/>
    <s v="PIC"/>
    <n v="3"/>
    <s v="7318459, 7318063"/>
    <s v="Yes"/>
    <m/>
    <m/>
    <m/>
    <x v="260"/>
    <s v="Seatbelt, Buckles REAR 2ND ROW - SET 3"/>
    <s v=""/>
    <m/>
    <m/>
    <s v="SET/3"/>
    <m/>
    <n v="80"/>
    <s v="14-18 ALL"/>
    <s v="BMW X5 (F15) (14-18)"/>
    <s v="F15 ALL"/>
    <m/>
    <m/>
    <m/>
    <m/>
    <m/>
    <m/>
    <s v="F15"/>
    <s v="14-18"/>
    <s v="ALL"/>
    <s v="F15-14-18-ALL"/>
    <s v="Viking44"/>
    <s v="F15-14-18-ALL-Viking44"/>
  </r>
  <r>
    <s v="A68"/>
    <s v=""/>
    <m/>
    <m/>
    <s v=""/>
    <s v="ENF"/>
    <d v="2022-04-22T00:00:00"/>
    <m/>
    <m/>
    <s v="KEEP"/>
    <s v="Seatbelt-Rear"/>
    <s v="Seatbelt, Retractor"/>
    <s v="never"/>
    <n v="58"/>
    <s v="A68"/>
    <s v="Box 3"/>
    <n v="1"/>
    <s v="A68. Seatbelt, Retractors REAR 2nd ROW - LEFT &amp; RIGHT SET 2"/>
    <s v="PIC"/>
    <n v="3"/>
    <s v="7318376, 7318375"/>
    <s v="Yes"/>
    <m/>
    <m/>
    <s v="Black"/>
    <x v="261"/>
    <s v="Seatbelt, Retractors REAR 2nd ROW - LEFT &amp; RIGHT SET 2"/>
    <s v="skip middle (it has to be cut out)"/>
    <s v="skip middle (it has to be cut out)"/>
    <m/>
    <s v="SET/2"/>
    <m/>
    <n v="100"/>
    <s v="14-18 ALL"/>
    <s v="BMW X5 (F15) (14-18)"/>
    <s v="F15 ALL"/>
    <m/>
    <m/>
    <m/>
    <m/>
    <m/>
    <m/>
    <s v="F15"/>
    <s v="14-18"/>
    <s v="ALL"/>
    <s v="F15-14-18-ALL"/>
    <s v="Viking45"/>
    <s v="F15-14-18-ALL-Viking45"/>
  </r>
  <r>
    <s v="A60"/>
    <s v="210-53562"/>
    <s v="210-53562-2"/>
    <m/>
    <n v="2"/>
    <s v="ENF"/>
    <d v="2022-04-22T00:00:00"/>
    <m/>
    <m/>
    <s v="KEEP"/>
    <s v="Seatbelt-RF"/>
    <s v="Seatbelt, Buckle"/>
    <s v="always"/>
    <n v="50"/>
    <s v="A60"/>
    <s v="Box 3"/>
    <n v="1"/>
    <s v="A60. Seatbelt Buckle, FRONT - RIGHT"/>
    <s v="PIC"/>
    <n v="4"/>
    <s v="72117297131, 7297131"/>
    <s v="Yes"/>
    <m/>
    <m/>
    <m/>
    <x v="262"/>
    <s v="Seatbelt Buckle, FRONT - RIGHT"/>
    <s v=""/>
    <m/>
    <m/>
    <s v="single"/>
    <s v="Posters: note LF &amp; RF seat belt buckles are identical"/>
    <n v="80"/>
    <s v="14-18 ALL"/>
    <s v="BMW X5 (F15) (14-18)"/>
    <s v="F15 ALL"/>
    <m/>
    <s v="210"/>
    <s v="-"/>
    <n v="53562"/>
    <s v="210-53562"/>
    <m/>
    <m/>
    <m/>
    <m/>
    <m/>
    <m/>
    <s v=""/>
  </r>
  <r>
    <s v=""/>
    <s v="210-53852"/>
    <m/>
    <m/>
    <n v="1"/>
    <s v="ENF"/>
    <d v="2022-04-22T00:00:00"/>
    <m/>
    <m/>
    <s v="KEEP"/>
    <s v="Seatbelt-RF"/>
    <s v="Seatbelt, Retractor"/>
    <s v="always"/>
    <m/>
    <m/>
    <m/>
    <m/>
    <s v=". Seatbelt Retractor, FRONT - RIGHT"/>
    <m/>
    <m/>
    <m/>
    <m/>
    <m/>
    <m/>
    <s v="[YES-ENTER]"/>
    <x v="263"/>
    <s v="Seatbelt Retractor, FRONT - RIGHT"/>
    <s v="remove from &amp; toss pillar"/>
    <s v="remove from &amp; toss pillar"/>
    <m/>
    <s v="single"/>
    <m/>
    <n v="200"/>
    <s v="14-18 ALL"/>
    <s v="BMW X5 (F15) (14-18)"/>
    <s v="F15 ALL"/>
    <m/>
    <s v="210"/>
    <s v="-"/>
    <n v="53852"/>
    <s v="210-53852"/>
    <s v="w/ active protection"/>
    <m/>
    <m/>
    <m/>
    <m/>
    <m/>
    <s v=""/>
  </r>
  <r>
    <s v="A63"/>
    <s v="210-53566"/>
    <m/>
    <m/>
    <n v="1"/>
    <s v="ENF"/>
    <d v="2022-04-22T00:00:00"/>
    <m/>
    <m/>
    <s v="KEEP"/>
    <s v="Seatbelt-RF"/>
    <s v="Seatbelt, Retractor"/>
    <s v="always"/>
    <n v="53"/>
    <s v="A63"/>
    <s v="Box 3"/>
    <n v="1"/>
    <s v="A63. Seatbelt Retractor, FRONT - RIGHT"/>
    <s v="PIC"/>
    <n v="4"/>
    <s v="72117343638, 7343638"/>
    <s v="Yes"/>
    <m/>
    <m/>
    <s v="Black"/>
    <x v="263"/>
    <s v="Seatbelt Retractor, FRONT - RIGHT"/>
    <s v="remove from &amp; toss pillar"/>
    <s v="remove from &amp; toss pillar"/>
    <m/>
    <s v="single"/>
    <m/>
    <n v="200"/>
    <s v="14-18 ALL"/>
    <s v="BMW X5 (F15) (14-18)"/>
    <s v="F15 ALL"/>
    <m/>
    <s v="210"/>
    <s v="-"/>
    <n v="53566"/>
    <s v="210-53566"/>
    <s v="w/o active protection"/>
    <m/>
    <m/>
    <m/>
    <m/>
    <m/>
    <s v=""/>
  </r>
  <r>
    <s v="A82"/>
    <s v=""/>
    <m/>
    <m/>
    <s v=""/>
    <s v="ENF"/>
    <d v="2022-04-22T00:00:00"/>
    <m/>
    <s v="DRF Check"/>
    <s v="KEEP"/>
    <s v="Seat-LF"/>
    <s v="Headrest"/>
    <s v="never"/>
    <n v="72"/>
    <s v="A82"/>
    <s v="Box 5"/>
    <n v="1"/>
    <s v="A82. Headrest, FRONT - LEFT (ACTIVE)"/>
    <s v="PIC"/>
    <n v="6"/>
    <s v="NPN"/>
    <s v="Yes"/>
    <m/>
    <m/>
    <m/>
    <x v="264"/>
    <s v="Headrest, FRONT - LEFT (ACTIVE)"/>
    <s v="tag as SINGLE"/>
    <s v="tag as SINGLE"/>
    <m/>
    <s v="single"/>
    <m/>
    <n v="175"/>
    <s v="14-18 ALL"/>
    <s v="BMW X5 (F15) (14-18)"/>
    <s v="F15 ALL"/>
    <m/>
    <m/>
    <m/>
    <m/>
    <m/>
    <m/>
    <s v="F15"/>
    <s v="14-18"/>
    <s v="ALL"/>
    <s v="F15-14-18-ALL"/>
    <s v="Viking46"/>
    <s v="F15-14-18-ALL-Viking46"/>
  </r>
  <r>
    <s v=""/>
    <s v=""/>
    <m/>
    <m/>
    <s v=""/>
    <s v="ENF"/>
    <d v="2022-04-22T00:00:00"/>
    <m/>
    <s v="DRF Check"/>
    <s v="KEEP"/>
    <s v="Seat-LF"/>
    <s v="Headrest"/>
    <s v="never"/>
    <m/>
    <m/>
    <m/>
    <m/>
    <m/>
    <m/>
    <m/>
    <m/>
    <m/>
    <m/>
    <m/>
    <m/>
    <x v="264"/>
    <s v="Headrest, FRONT - LEFT (STANDARD)"/>
    <s v="tag as SINGLE"/>
    <s v="tag as SINGLE"/>
    <m/>
    <s v="single"/>
    <m/>
    <n v="135"/>
    <s v="14-18 ALL"/>
    <s v="BMW X5 (F15) (14-18)"/>
    <s v="F15 ALL"/>
    <m/>
    <m/>
    <m/>
    <m/>
    <m/>
    <m/>
    <s v="F15"/>
    <s v="14-18"/>
    <s v="ALL"/>
    <s v="F15-14-18-ALL"/>
    <s v="Viking47"/>
    <s v="F15-14-18-ALL-Viking47"/>
  </r>
  <r>
    <s v="A57"/>
    <s v=""/>
    <m/>
    <m/>
    <s v=""/>
    <s v="ENF"/>
    <d v="2022-05-03T00:00:00"/>
    <m/>
    <s v="DRF Check"/>
    <s v="KEEP"/>
    <s v="Seat-LF"/>
    <s v="Seat Switch"/>
    <s v="never"/>
    <n v="47"/>
    <s v="A57"/>
    <s v="Box 3"/>
    <n v="1"/>
    <s v="A57. Seat Adjust Switch, FRONT - LEFT"/>
    <s v="PIC"/>
    <n v="4"/>
    <n v="9347403"/>
    <s v="Yes"/>
    <m/>
    <m/>
    <s v="Black"/>
    <x v="265"/>
    <s v="Seat Adjust Switch, FRONT - LEFT"/>
    <s v=""/>
    <m/>
    <m/>
    <s v="single"/>
    <m/>
    <n v="180"/>
    <s v="14-18 ALL"/>
    <s v="BMW X5 (F15) (14-18)"/>
    <s v="F15 ALL"/>
    <m/>
    <m/>
    <m/>
    <m/>
    <m/>
    <m/>
    <s v="F15"/>
    <s v="14-18"/>
    <s v="ALL"/>
    <s v="F15-14-18-ALL"/>
    <s v="Viking48"/>
    <s v="F15-14-18-ALL-Viking48"/>
  </r>
  <r>
    <s v=""/>
    <s v=""/>
    <m/>
    <m/>
    <s v=""/>
    <s v="ENF"/>
    <d v="2022-04-22T00:00:00"/>
    <m/>
    <s v="DRF Check"/>
    <s v="KEEP"/>
    <s v="Seat-LF"/>
    <s v="Seat Cushion"/>
    <s v="never"/>
    <m/>
    <m/>
    <m/>
    <m/>
    <s v=". Seat Cushions, FRONT LEFT - LOWER"/>
    <m/>
    <m/>
    <m/>
    <m/>
    <m/>
    <m/>
    <m/>
    <x v="266"/>
    <s v="Seat Cushions, FRONT LEFT - LOWER"/>
    <s v=""/>
    <m/>
    <m/>
    <s v="single"/>
    <m/>
    <n v="250"/>
    <s v="14-18 ALL"/>
    <s v="BMW X5 (F15) (14-18)"/>
    <s v="F15 ALL"/>
    <m/>
    <m/>
    <m/>
    <m/>
    <m/>
    <m/>
    <s v="F15"/>
    <s v="14-18"/>
    <s v="ALL"/>
    <s v="F15-14-18-ALL"/>
    <s v="Viking49"/>
    <s v="F15-14-18-ALL-Viking49"/>
  </r>
  <r>
    <s v=""/>
    <s v=""/>
    <m/>
    <m/>
    <s v=""/>
    <s v="ENF"/>
    <d v="2022-04-22T00:00:00"/>
    <m/>
    <s v="DRF Check"/>
    <s v="KEEP"/>
    <s v="Seat-LF"/>
    <s v="Seat Cushion"/>
    <s v="never"/>
    <m/>
    <m/>
    <m/>
    <m/>
    <s v=". Seat Cushions, FRONT LEFT - UPPER"/>
    <m/>
    <m/>
    <m/>
    <m/>
    <m/>
    <m/>
    <m/>
    <x v="267"/>
    <s v="Seat Cushions, FRONT LEFT - UPPER"/>
    <s v=""/>
    <m/>
    <m/>
    <s v="single"/>
    <m/>
    <n v="225"/>
    <s v="14-18 ALL"/>
    <s v="BMW X5 (F15) (14-18)"/>
    <s v="F15 ALL"/>
    <m/>
    <m/>
    <m/>
    <m/>
    <m/>
    <m/>
    <s v="F15"/>
    <s v="14-18"/>
    <s v="ALL"/>
    <s v="F15-14-18-ALL"/>
    <s v="Viking50"/>
    <s v="F15-14-18-ALL-Viking50"/>
  </r>
  <r>
    <s v="A106"/>
    <s v=""/>
    <m/>
    <m/>
    <s v=""/>
    <s v="ENF"/>
    <d v="2022-04-22T00:00:00"/>
    <m/>
    <m/>
    <s v="KEEP"/>
    <s v="Seat-LF"/>
    <s v="Seat Track"/>
    <s v="always"/>
    <n v="96"/>
    <s v="A106"/>
    <s v="Box Bulk 1"/>
    <n v="1"/>
    <s v="A106. Seat Track WITH Motors, FRONT LEFT"/>
    <s v="PIC"/>
    <n v="9"/>
    <s v="52107329931, 7329931"/>
    <s v="No"/>
    <m/>
    <m/>
    <m/>
    <x v="268"/>
    <s v="Seat Track WITH Motors, FRONT LEFT"/>
    <s v="toss all if motors or track bad"/>
    <s v="toss all if motors or track bad"/>
    <m/>
    <s v="single"/>
    <m/>
    <n v="325"/>
    <s v="14-18 ALL"/>
    <s v="BMW X5 (F15) (14-18)"/>
    <s v="F15 ALL"/>
    <m/>
    <m/>
    <s v="-"/>
    <m/>
    <m/>
    <m/>
    <s v="F15"/>
    <s v="14-18"/>
    <s v="ALL"/>
    <s v="F15-14-18-ALL"/>
    <s v="Viking51"/>
    <s v="F15-14-18-ALL-Viking51"/>
  </r>
  <r>
    <s v="A81"/>
    <s v=""/>
    <m/>
    <m/>
    <s v=""/>
    <s v="AJR"/>
    <d v="2022-09-07T00:00:00"/>
    <m/>
    <s v="DRF Check"/>
    <s v="KEEP"/>
    <s v="Seat Rear"/>
    <s v="Headrest"/>
    <s v="never"/>
    <n v="71"/>
    <s v="A81"/>
    <s v="Box 5"/>
    <n v="1"/>
    <s v="A81. Headrests, REAR 2nd ROW SET 3"/>
    <s v="PIC"/>
    <n v="5"/>
    <s v="NPN"/>
    <s v="Yes"/>
    <m/>
    <m/>
    <m/>
    <x v="269"/>
    <s v="Headrests, REAR 2nd ROW SET 3"/>
    <s v="SET 3, sell SINGLES if some bad"/>
    <s v="SET 3, sell SINGLES if some bad"/>
    <m/>
    <s v="SET/3"/>
    <m/>
    <n v="300"/>
    <s v="14-18 ALL"/>
    <s v="BMW X5 (F15) (14-18)"/>
    <s v="F15 ALL"/>
    <m/>
    <m/>
    <m/>
    <m/>
    <m/>
    <m/>
    <s v="F15"/>
    <s v="14-18"/>
    <s v="ALL"/>
    <s v="F15-14-18-ALL"/>
    <s v="Viking52"/>
    <s v="F15-14-18-ALL-Viking52"/>
  </r>
  <r>
    <s v=""/>
    <s v=""/>
    <m/>
    <m/>
    <s v=""/>
    <s v="AJR"/>
    <d v="2022-09-07T00:00:00"/>
    <m/>
    <s v="DRF Check"/>
    <s v="KEEP"/>
    <s v="Seat Rear"/>
    <s v="Headrest"/>
    <s v="never"/>
    <m/>
    <m/>
    <m/>
    <m/>
    <s v=". Headrests, REAR 2nd ROW - LEFT"/>
    <m/>
    <m/>
    <m/>
    <m/>
    <m/>
    <m/>
    <m/>
    <x v="269"/>
    <s v="Headrests, REAR 2nd ROW - LEFT"/>
    <s v="sell SET 3 unless some bad/missing"/>
    <s v="sell SET 3 unless some bad/missing"/>
    <m/>
    <s v="SET/3"/>
    <m/>
    <n v="125"/>
    <s v="14-18 ALL"/>
    <s v="BMW X5 (F15) (14-18)"/>
    <s v="F15 ALL"/>
    <m/>
    <m/>
    <m/>
    <m/>
    <m/>
    <m/>
    <s v="F15"/>
    <s v="14-18"/>
    <s v="ALL"/>
    <s v="F15-14-18-ALL"/>
    <s v="Viking53"/>
    <s v="F15-14-18-ALL-Viking53"/>
  </r>
  <r>
    <s v=""/>
    <s v=""/>
    <m/>
    <m/>
    <s v=""/>
    <s v="AJR"/>
    <d v="2022-09-07T00:00:00"/>
    <m/>
    <s v="DRF Check"/>
    <s v="KEEP"/>
    <s v="Seat Rear"/>
    <s v="Headrest"/>
    <s v="never"/>
    <m/>
    <m/>
    <m/>
    <m/>
    <s v=". Headrests, REAR 2nd ROW - RIGHT"/>
    <m/>
    <m/>
    <m/>
    <m/>
    <m/>
    <m/>
    <m/>
    <x v="269"/>
    <s v="Headrests, REAR 2nd ROW - RIGHT"/>
    <s v="sell SET 3 unless some bad/missing"/>
    <s v="sell SET 3 unless some bad/missing"/>
    <m/>
    <s v="SET/3"/>
    <m/>
    <n v="125"/>
    <s v="14-18 ALL"/>
    <s v="BMW X5 (F15) (14-18)"/>
    <s v="F15 ALL"/>
    <m/>
    <m/>
    <m/>
    <m/>
    <m/>
    <m/>
    <s v="F15"/>
    <s v="14-18"/>
    <s v="ALL"/>
    <s v="F15-14-18-ALL"/>
    <s v="Viking54"/>
    <s v="F15-14-18-ALL-Viking54"/>
  </r>
  <r>
    <s v=""/>
    <s v=""/>
    <m/>
    <m/>
    <s v=""/>
    <s v="AJR"/>
    <d v="2022-09-07T00:00:00"/>
    <m/>
    <s v="DRF Check"/>
    <s v="KEEP"/>
    <s v="Seat Rear"/>
    <s v="Headrest"/>
    <s v="never"/>
    <m/>
    <m/>
    <m/>
    <m/>
    <s v=". Headrests, REAR 2nd ROW - CENTER"/>
    <m/>
    <m/>
    <m/>
    <m/>
    <m/>
    <m/>
    <m/>
    <x v="269"/>
    <s v="Headrests, REAR 2nd ROW - CENTER"/>
    <s v="sell SET 3 unless some bad/missing"/>
    <s v="sell SET 3 unless some bad/missing"/>
    <m/>
    <s v="SET/3"/>
    <m/>
    <n v="175"/>
    <s v="14-18 ALL"/>
    <s v="BMW X5 (F15) (14-18)"/>
    <s v="F15 ALL"/>
    <m/>
    <m/>
    <m/>
    <m/>
    <m/>
    <m/>
    <s v="F15"/>
    <s v="14-18"/>
    <s v="ALL"/>
    <s v="F15-14-18-ALL"/>
    <s v="Viking55"/>
    <s v="F15-14-18-ALL-Viking55"/>
  </r>
  <r>
    <s v="A45"/>
    <s v=""/>
    <m/>
    <m/>
    <s v=""/>
    <s v="ENF"/>
    <d v="2022-04-29T00:00:00"/>
    <m/>
    <m/>
    <s v="KEEP"/>
    <s v="Seat Rear"/>
    <s v="Arm Rest"/>
    <s v="never"/>
    <n v="35"/>
    <s v="A45"/>
    <s v="Box 3"/>
    <n v="1"/>
    <s v="A45. Rear Arm Rest &amp; Cup Holder"/>
    <s v="PIC"/>
    <n v="5"/>
    <s v="NPN"/>
    <s v="Yes"/>
    <m/>
    <m/>
    <m/>
    <x v="270"/>
    <s v="Rear Arm Rest &amp; Cup Holder"/>
    <s v=""/>
    <m/>
    <m/>
    <s v="single"/>
    <m/>
    <n v="175"/>
    <s v="14-18 ALL"/>
    <s v="BMW X5 (F15) (14-18)"/>
    <s v="F15 ALL"/>
    <m/>
    <m/>
    <m/>
    <m/>
    <m/>
    <m/>
    <s v="F15"/>
    <s v="14-18"/>
    <s v="ALL"/>
    <s v="F15-14-18-ALL"/>
    <s v="Viking56"/>
    <s v="F15-14-18-ALL-Viking56"/>
  </r>
  <r>
    <s v=""/>
    <s v=""/>
    <m/>
    <m/>
    <s v=""/>
    <s v="ENF"/>
    <d v="2022-04-22T00:00:00"/>
    <m/>
    <m/>
    <s v="Toss"/>
    <s v="Seat Rear"/>
    <s v="Seat Cushion"/>
    <s v="never"/>
    <m/>
    <m/>
    <m/>
    <m/>
    <s v=". Seat Cushions, ALL REAR"/>
    <m/>
    <m/>
    <m/>
    <m/>
    <m/>
    <m/>
    <m/>
    <x v="271"/>
    <s v="Seat Cushions, ALL REAR"/>
    <s v="toss side bolster cushions, keep cup holder/arm rest"/>
    <s v="toss side bolster cushions, keep cup holder/arm rest"/>
    <m/>
    <s v="single"/>
    <m/>
    <m/>
    <s v="14-18 ALL"/>
    <s v="BMW X5 (F15) (14-18)"/>
    <s v="F15 ALL"/>
    <m/>
    <m/>
    <m/>
    <m/>
    <m/>
    <m/>
    <m/>
    <m/>
    <m/>
    <m/>
    <m/>
    <s v=""/>
  </r>
  <r>
    <s v="A80"/>
    <s v=""/>
    <m/>
    <m/>
    <s v=""/>
    <s v="ENF"/>
    <d v="2022-04-22T00:00:00"/>
    <m/>
    <s v="DRF Check"/>
    <s v="KEEP"/>
    <s v="Seat-RF"/>
    <s v="Headrest"/>
    <s v="never"/>
    <n v="70"/>
    <s v="A80"/>
    <s v="Box 5"/>
    <n v="1"/>
    <s v="A80. Headrest, FRONT - RIGHT (ACTIVE)"/>
    <s v="PIC"/>
    <n v="6"/>
    <s v="NPN"/>
    <s v="Yes"/>
    <m/>
    <m/>
    <m/>
    <x v="272"/>
    <s v="Headrest, FRONT - RIGHT (ACTIVE)"/>
    <s v="tag as SINGLE"/>
    <s v="tag as SINGLE"/>
    <m/>
    <s v="single"/>
    <m/>
    <n v="165"/>
    <s v="14-18 ALL"/>
    <s v="BMW X5 (F15) (14-18)"/>
    <s v="F15 ALL"/>
    <m/>
    <m/>
    <m/>
    <m/>
    <m/>
    <m/>
    <s v="F15"/>
    <s v="14-18"/>
    <s v="ALL"/>
    <s v="F15-14-18-ALL"/>
    <s v="Viking57"/>
    <s v="F15-14-18-ALL-Viking57"/>
  </r>
  <r>
    <s v=""/>
    <s v=""/>
    <m/>
    <m/>
    <s v=""/>
    <s v="ENF"/>
    <d v="2022-04-22T00:00:00"/>
    <m/>
    <s v="DRF Check"/>
    <s v="KEEP"/>
    <s v="Seat-RF"/>
    <s v="Headrest"/>
    <s v="never"/>
    <m/>
    <m/>
    <m/>
    <m/>
    <m/>
    <m/>
    <m/>
    <m/>
    <m/>
    <m/>
    <m/>
    <m/>
    <x v="272"/>
    <s v="Headrest, FRONT - RIGHT (STANDARD)"/>
    <s v="tag as SINGLE"/>
    <s v="tag as SINGLE"/>
    <m/>
    <s v="single"/>
    <m/>
    <n v="125"/>
    <s v="14-18 ALL"/>
    <s v="BMW X5 (F15) (14-18)"/>
    <s v="F15 ALL"/>
    <m/>
    <m/>
    <m/>
    <m/>
    <m/>
    <m/>
    <s v="F15"/>
    <s v="14-18"/>
    <s v="ALL"/>
    <s v="F15-14-18-ALL"/>
    <s v="Viking58"/>
    <s v="F15-14-18-ALL-Viking58"/>
  </r>
  <r>
    <s v="A54"/>
    <s v=""/>
    <m/>
    <m/>
    <s v=""/>
    <s v="ENF"/>
    <d v="2022-05-03T00:00:00"/>
    <m/>
    <s v="DRF Check"/>
    <s v="KEEP"/>
    <s v="Seat-RF"/>
    <s v="Seat Switch"/>
    <s v="never"/>
    <n v="44"/>
    <s v="A54"/>
    <s v="Box 3"/>
    <n v="1"/>
    <s v="A54. Seat Adjust Switch, FRONT - RIGHT"/>
    <s v="PIC"/>
    <n v="4"/>
    <n v="9276464"/>
    <s v="Yes"/>
    <m/>
    <m/>
    <s v="Black"/>
    <x v="273"/>
    <s v="Seat Adjust Switch, FRONT - RIGHT"/>
    <s v=""/>
    <m/>
    <m/>
    <s v="single"/>
    <m/>
    <n v="125"/>
    <s v="14-18 ALL"/>
    <s v="BMW X5 (F15) (14-18)"/>
    <s v="F15 ALL"/>
    <m/>
    <m/>
    <m/>
    <m/>
    <m/>
    <m/>
    <s v="F15"/>
    <s v="14-18"/>
    <s v="ALL"/>
    <s v="F15-14-18-ALL"/>
    <s v="Viking59"/>
    <s v="F15-14-18-ALL-Viking59"/>
  </r>
  <r>
    <s v=""/>
    <s v=""/>
    <m/>
    <m/>
    <s v=""/>
    <s v="ENF"/>
    <d v="2022-04-22T00:00:00"/>
    <m/>
    <s v="DRF Check"/>
    <s v="KEEP"/>
    <s v="Seat-RF"/>
    <s v="Seat Cushion"/>
    <s v="never"/>
    <m/>
    <m/>
    <m/>
    <m/>
    <s v=". Seat Cushions, FRONT RIGHT - LOWER"/>
    <m/>
    <m/>
    <m/>
    <m/>
    <m/>
    <m/>
    <m/>
    <x v="274"/>
    <s v="Seat Cushions, FRONT RIGHT - LOWER"/>
    <s v=""/>
    <m/>
    <m/>
    <s v="single"/>
    <m/>
    <n v="175"/>
    <s v="14-18 ALL"/>
    <s v="BMW X5 (F15) (14-18)"/>
    <s v="F15 ALL"/>
    <m/>
    <m/>
    <m/>
    <m/>
    <m/>
    <m/>
    <s v="F15"/>
    <s v="14-18"/>
    <s v="ALL"/>
    <s v="F15-14-18-ALL"/>
    <s v="Viking60"/>
    <s v="F15-14-18-ALL-Viking60"/>
  </r>
  <r>
    <s v="A86"/>
    <s v=""/>
    <m/>
    <m/>
    <s v=""/>
    <s v="ENF"/>
    <d v="2022-04-22T00:00:00"/>
    <m/>
    <s v="DRF Check"/>
    <s v="KEEP"/>
    <s v="Seat-RF"/>
    <s v="Seat Cushion"/>
    <s v="never"/>
    <n v="76"/>
    <s v="A86"/>
    <s v="Box 5"/>
    <n v="1"/>
    <s v="A86. Seat Cushions, FRONT RIGHT - UPPER"/>
    <s v="PIC"/>
    <n v="6"/>
    <s v="NPN"/>
    <s v="Yes"/>
    <m/>
    <m/>
    <m/>
    <x v="275"/>
    <s v="Seat Cushions, FRONT RIGHT - UPPER"/>
    <s v=""/>
    <m/>
    <m/>
    <s v="single"/>
    <m/>
    <n v="175"/>
    <s v="14-18 ALL"/>
    <s v="BMW X5 (F15) (14-18)"/>
    <s v="F15 ALL"/>
    <m/>
    <m/>
    <m/>
    <m/>
    <m/>
    <m/>
    <s v="F15"/>
    <s v="14-18"/>
    <s v="ALL"/>
    <s v="F15-14-18-ALL"/>
    <s v="Viking61"/>
    <s v="F15-14-18-ALL-Viking61"/>
  </r>
  <r>
    <s v="A105"/>
    <s v=""/>
    <m/>
    <m/>
    <s v=""/>
    <s v="ENF"/>
    <d v="2022-04-22T00:00:00"/>
    <m/>
    <m/>
    <s v="KEEP"/>
    <s v="Seat-RF"/>
    <s v="Seat Track"/>
    <s v="always"/>
    <n v="95"/>
    <s v="A105"/>
    <s v="Box Bulk 1"/>
    <n v="1"/>
    <s v="A105. Seat Track WITH Motors, FRONT RIGHT"/>
    <s v="PIC"/>
    <n v="8"/>
    <s v="52107299678, 7299678"/>
    <s v="No"/>
    <m/>
    <m/>
    <m/>
    <x v="276"/>
    <s v="Seat Track WITH Motors, FRONT RIGHT"/>
    <s v="toss all if motors or track bad"/>
    <s v="toss all if motors or track bad"/>
    <m/>
    <s v="single"/>
    <m/>
    <n v="230"/>
    <s v="14-18 ALL"/>
    <s v="BMW X5 (F15) (14-18)"/>
    <s v="F15 ALL"/>
    <m/>
    <m/>
    <s v="-"/>
    <m/>
    <m/>
    <m/>
    <s v="F15"/>
    <s v="14-18"/>
    <s v="ALL"/>
    <s v="F15-14-18-ALL"/>
    <s v="Viking62"/>
    <s v="F15-14-18-ALL-Viking62"/>
  </r>
  <r>
    <s v="A94"/>
    <s v="431-59702"/>
    <m/>
    <m/>
    <n v="1"/>
    <s v="ENF"/>
    <d v="2022-04-23T00:00:00"/>
    <s v="INSPECT ALWAYS"/>
    <s v="DRF Chk Opt"/>
    <s v="KEEP"/>
    <s v="Susp."/>
    <s v="Driveshaft, REAR"/>
    <s v="always"/>
    <n v="84"/>
    <s v="A94"/>
    <s v="Box Bulk 1"/>
    <n v="1"/>
    <s v="A94. Driveshaft, REAR - RWD"/>
    <s v="PIC"/>
    <n v="5"/>
    <s v="26107636431, 7636431"/>
    <s v="No"/>
    <m/>
    <m/>
    <m/>
    <x v="277"/>
    <s v="Driveshaft, REAR - RWD"/>
    <s v="keep all RWD ones"/>
    <s v="keep all RWD ones"/>
    <m/>
    <s v="single"/>
    <m/>
    <n v="250"/>
    <s v="14-18 3.0T N55 (RWD &amp; AWD)"/>
    <s v="BMW X5 (F15) (14-18)"/>
    <s v="F15 ALL"/>
    <m/>
    <n v="431"/>
    <s v="-"/>
    <n v="59702"/>
    <s v="431-59702"/>
    <m/>
    <m/>
    <m/>
    <m/>
    <m/>
    <m/>
    <s v=""/>
  </r>
  <r>
    <s v=""/>
    <s v="431-59823"/>
    <m/>
    <m/>
    <n v="1"/>
    <s v="ENF"/>
    <d v="2022-04-23T00:00:00"/>
    <s v="INSPECT ALWAYS"/>
    <s v="DRF Chk Opt"/>
    <s v="KEEP"/>
    <s v="Susp."/>
    <s v="Driveshaft, REAR"/>
    <s v="always"/>
    <m/>
    <m/>
    <m/>
    <m/>
    <s v=". Driveshaft, REAR - AWD"/>
    <m/>
    <m/>
    <m/>
    <m/>
    <m/>
    <m/>
    <m/>
    <x v="278"/>
    <s v="Driveshaft, REAR - AWD"/>
    <s v="keep AWD 16-18 1412mm part# 7636785, toss all other"/>
    <s v="keep AWD 16-18 1412mm part# 7636785, toss all other"/>
    <m/>
    <s v="single"/>
    <m/>
    <n v="450"/>
    <s v="14-18 3.0T N55 (RWD &amp; AWD)"/>
    <s v="BMW X5 (F15) (14-18)"/>
    <s v="F15 ALL"/>
    <m/>
    <n v="431"/>
    <s v="-"/>
    <n v="59823"/>
    <s v="431-59823"/>
    <m/>
    <m/>
    <m/>
    <m/>
    <m/>
    <m/>
    <s v=""/>
  </r>
  <r>
    <s v=""/>
    <s v=""/>
    <m/>
    <m/>
    <s v=""/>
    <s v="ENF"/>
    <d v="2022-04-23T00:00:00"/>
    <m/>
    <s v="DRF Chk Opt"/>
    <s v="Toss"/>
    <s v="Susp."/>
    <s v="Driveshaft, REAR"/>
    <s v="always"/>
    <m/>
    <m/>
    <m/>
    <m/>
    <s v=". Driveshaft, REAR - AWD "/>
    <m/>
    <m/>
    <m/>
    <m/>
    <m/>
    <m/>
    <m/>
    <x v="279"/>
    <s v="Driveshaft, REAR - AWD "/>
    <s v="TOSS 14-15 ALL AWD &amp; 16-18 AWD part# 7589129, 7589128"/>
    <s v="TOSS 14-15 ALL AWD &amp; 16-18 AWD part# 7589129, 7589128"/>
    <m/>
    <s v="single"/>
    <m/>
    <m/>
    <s v="14-18 3.0T N55 (RWD &amp; AWD)"/>
    <s v="BMW X5 (F15) (14-18)"/>
    <s v="F15 ALL"/>
    <m/>
    <m/>
    <m/>
    <m/>
    <m/>
    <m/>
    <m/>
    <m/>
    <m/>
    <m/>
    <m/>
    <s v=""/>
  </r>
  <r>
    <s v=""/>
    <s v=""/>
    <m/>
    <m/>
    <s v=""/>
    <s v="ENF"/>
    <d v="2022-04-29T00:00:00"/>
    <m/>
    <s v="DRF Chk Opt"/>
    <s v="KEEP"/>
    <s v="Susp."/>
    <s v="Sway Bar"/>
    <s v="always"/>
    <m/>
    <m/>
    <m/>
    <m/>
    <s v=". Sway Bar / Stabilizer Bar, FRONT w/ Dynamic Drive"/>
    <m/>
    <m/>
    <m/>
    <m/>
    <m/>
    <m/>
    <m/>
    <x v="280"/>
    <s v="Sway Bar / Stabilizer Bar, FRONT w/ Dynamic Drive"/>
    <s v="keep dynamic drive, TOSS w/o dynamic drive"/>
    <s v="keep dynamic drive, TOSS w/o dynamic drive"/>
    <m/>
    <s v="single"/>
    <m/>
    <n v="320"/>
    <s v="14-18 ALL"/>
    <s v="BMW X5 (F15) (14-18)"/>
    <s v="F15 ALL"/>
    <m/>
    <m/>
    <s v="-"/>
    <m/>
    <m/>
    <m/>
    <m/>
    <m/>
    <m/>
    <m/>
    <m/>
    <s v=""/>
  </r>
  <r>
    <s v=""/>
    <s v=""/>
    <m/>
    <m/>
    <s v=""/>
    <s v="ENF"/>
    <d v="2022-04-29T00:00:00"/>
    <m/>
    <s v="DRF Chk Opt"/>
    <s v="Toss"/>
    <s v="Susp."/>
    <s v="Sway Bar"/>
    <s v="always"/>
    <m/>
    <m/>
    <m/>
    <m/>
    <s v=". Sway Bar / Stabilizer Bar, FRONT w/ Dynamic Drive"/>
    <m/>
    <m/>
    <m/>
    <m/>
    <m/>
    <m/>
    <m/>
    <x v="280"/>
    <s v="Sway Bar / Stabilizer Bar, FRONT w/ Dynamic Drive"/>
    <s v="keep dynamic drive, TOSS w/o dynamic drive"/>
    <s v="keep dynamic drive, TOSS w/o dynamic drive"/>
    <m/>
    <s v="single"/>
    <m/>
    <m/>
    <s v="14-18 ALL"/>
    <s v="BMW X5 (F15) (14-18)"/>
    <s v="F15 ALL"/>
    <m/>
    <m/>
    <s v="-"/>
    <m/>
    <m/>
    <m/>
    <m/>
    <m/>
    <m/>
    <m/>
    <m/>
    <s v=""/>
  </r>
  <r>
    <s v=""/>
    <s v="447-62278"/>
    <m/>
    <m/>
    <n v="1"/>
    <s v="ENF"/>
    <d v="2022-04-22T00:00:00"/>
    <m/>
    <m/>
    <s v="KEEP"/>
    <s v="Susp."/>
    <s v="Axle Shaft"/>
    <s v="always"/>
    <m/>
    <m/>
    <m/>
    <m/>
    <s v=". Axle Shafts, FRONT - LEFT"/>
    <m/>
    <m/>
    <m/>
    <m/>
    <m/>
    <m/>
    <m/>
    <x v="281"/>
    <s v="Axle Shafts, FRONT - LEFT"/>
    <s v=""/>
    <m/>
    <m/>
    <s v="single"/>
    <m/>
    <n v="400"/>
    <s v="14-18 3.0T N55"/>
    <s v="BMW X5 (F15) (14-18)"/>
    <s v="14-18 3.0T N55 (RWD &amp; AWD)"/>
    <m/>
    <s v="447"/>
    <s v="-"/>
    <n v="62278"/>
    <s v="447-62278"/>
    <m/>
    <m/>
    <m/>
    <m/>
    <m/>
    <m/>
    <s v=""/>
  </r>
  <r>
    <s v=""/>
    <s v="447-62277"/>
    <m/>
    <m/>
    <n v="1"/>
    <s v="ENF"/>
    <d v="2022-04-22T00:00:00"/>
    <m/>
    <m/>
    <s v="KEEP"/>
    <s v="Susp."/>
    <s v="Axle Shaft"/>
    <s v="always"/>
    <m/>
    <m/>
    <m/>
    <m/>
    <s v=". Axle Shafts, FRONT - RIGHT"/>
    <m/>
    <m/>
    <m/>
    <m/>
    <m/>
    <m/>
    <m/>
    <x v="282"/>
    <s v="Axle Shafts, FRONT - RIGHT"/>
    <s v=""/>
    <m/>
    <m/>
    <s v="single"/>
    <m/>
    <n v="350"/>
    <s v="14-18 3.0T N55"/>
    <s v="BMW X5 (F15) (14-18)"/>
    <s v="14-18 3.0T N55 (RWD &amp; AWD)"/>
    <m/>
    <s v="447"/>
    <s v="-"/>
    <n v="62277"/>
    <s v="447-62277"/>
    <m/>
    <m/>
    <m/>
    <m/>
    <m/>
    <m/>
    <s v=""/>
  </r>
  <r>
    <s v=""/>
    <s v="512-59488"/>
    <s v="512-59488-1"/>
    <m/>
    <n v="2"/>
    <s v="ENF"/>
    <d v="2022-05-02T00:00:00"/>
    <m/>
    <m/>
    <s v="KEEP"/>
    <s v="Susp."/>
    <s v="Control Arm"/>
    <s v="always"/>
    <m/>
    <m/>
    <m/>
    <m/>
    <s v=". Control Arms, FRONT - LOWER LEFT FORWARD + REARWARD SET 2"/>
    <m/>
    <m/>
    <m/>
    <m/>
    <m/>
    <m/>
    <m/>
    <x v="283"/>
    <s v="Control Arms, FRONT - LOWER LEFT FORWARD + REARWARD SET 2"/>
    <s v="SET 2, sell singles if 1 bad, sell upper &quot;U&quot; separate"/>
    <s v="SET 2, sell singles if 1 bad, sell upper &quot;U&quot; separate"/>
    <m/>
    <s v="SET/2"/>
    <s v="POSTERS: Inventory under 512"/>
    <n v="180"/>
    <s v="14-18 ALL"/>
    <s v="BMW X5 (F15) (14-18)"/>
    <s v="F15 ALL"/>
    <m/>
    <s v="512"/>
    <s v="-"/>
    <n v="59488"/>
    <s v="512-59488"/>
    <s v="w/ active steering"/>
    <m/>
    <m/>
    <m/>
    <m/>
    <m/>
    <s v=""/>
  </r>
  <r>
    <s v=""/>
    <s v="512-59488"/>
    <s v="512-59488-2"/>
    <m/>
    <n v="2"/>
    <s v="ENF"/>
    <d v="2022-05-02T00:00:00"/>
    <m/>
    <m/>
    <s v="KEEP"/>
    <s v="Susp."/>
    <s v="Control Arm"/>
    <s v="always"/>
    <m/>
    <m/>
    <m/>
    <m/>
    <s v=". Control Arms, FRONT - LOWER LEFT, FORWARD"/>
    <m/>
    <m/>
    <m/>
    <m/>
    <m/>
    <m/>
    <m/>
    <x v="283"/>
    <s v="Control Arms, FRONT - LOWER LEFT, FORWARD"/>
    <s v=""/>
    <m/>
    <m/>
    <s v="single"/>
    <m/>
    <n v="110"/>
    <s v="14-18 ALL"/>
    <s v="BMW X5 (F15) (14-18)"/>
    <s v="F15 ALL"/>
    <m/>
    <s v="512"/>
    <s v="-"/>
    <n v="59488"/>
    <s v="512-59488"/>
    <s v="w/ active steering"/>
    <m/>
    <m/>
    <m/>
    <m/>
    <m/>
    <s v=""/>
  </r>
  <r>
    <s v=""/>
    <s v="512-59490"/>
    <m/>
    <m/>
    <n v="1"/>
    <s v="ENF"/>
    <d v="2022-05-02T00:00:00"/>
    <m/>
    <m/>
    <s v="KEEP"/>
    <s v="Susp."/>
    <s v="Control Arm"/>
    <s v="always"/>
    <m/>
    <m/>
    <m/>
    <m/>
    <s v=". Control Arms, FRONT - LOWER LEFT, FORWARD"/>
    <m/>
    <m/>
    <m/>
    <m/>
    <m/>
    <m/>
    <m/>
    <x v="283"/>
    <s v="Control Arms, FRONT - LOWER LEFT, FORWARD"/>
    <s v=""/>
    <m/>
    <m/>
    <s v="single"/>
    <m/>
    <n v="110"/>
    <s v="14-18 ALL"/>
    <s v="BMW X5 (F15) (14-18)"/>
    <s v="F15 ALL"/>
    <m/>
    <s v="512"/>
    <s v="-"/>
    <n v="59490"/>
    <s v="512-59490"/>
    <s v="w/o active steering"/>
    <m/>
    <m/>
    <m/>
    <m/>
    <m/>
    <s v=""/>
  </r>
  <r>
    <s v=""/>
    <s v="512-59492"/>
    <m/>
    <m/>
    <n v="1"/>
    <s v="ENF"/>
    <d v="2022-05-02T00:00:00"/>
    <m/>
    <m/>
    <s v="KEEP"/>
    <s v="Susp."/>
    <s v="Control Arm"/>
    <s v="always"/>
    <m/>
    <m/>
    <m/>
    <m/>
    <s v=". Control Arms, FRONT - LOWER LEFT, REARWARD"/>
    <m/>
    <m/>
    <m/>
    <m/>
    <m/>
    <m/>
    <m/>
    <x v="283"/>
    <s v="Control Arms, FRONT - LOWER LEFT, REARWARD"/>
    <s v=""/>
    <m/>
    <m/>
    <s v="single"/>
    <m/>
    <n v="110"/>
    <s v="14-18 ALL"/>
    <s v="BMW X5 (F15) (14-18)"/>
    <s v="F15 ALL"/>
    <m/>
    <s v="512"/>
    <s v="-"/>
    <n v="59492"/>
    <s v="512-59492"/>
    <m/>
    <m/>
    <m/>
    <m/>
    <m/>
    <m/>
    <s v=""/>
  </r>
  <r>
    <s v=""/>
    <s v="512-59487"/>
    <s v="512-59487-1"/>
    <m/>
    <n v="2"/>
    <s v="ENF"/>
    <d v="2022-05-02T00:00:00"/>
    <m/>
    <m/>
    <s v="KEEP"/>
    <s v="Susp."/>
    <s v="Control Arm"/>
    <s v="always"/>
    <m/>
    <m/>
    <m/>
    <m/>
    <s v=". Control Arms, FRONT - LOWER RIGHT FORWARD + REARWARD SET 2"/>
    <m/>
    <m/>
    <m/>
    <m/>
    <m/>
    <m/>
    <m/>
    <x v="284"/>
    <s v="Control Arms, FRONT - LOWER RIGHT FORWARD + REARWARD SET 2"/>
    <s v="SET 2, sell singles if 1 bad, sell upper &quot;U&quot; separate"/>
    <s v="SET 2, sell singles if 1 bad, sell upper &quot;U&quot; separate"/>
    <m/>
    <s v="SET/2"/>
    <s v="POSTERS: Inventory under 512"/>
    <n v="180"/>
    <s v="14-18 ALL"/>
    <s v="BMW X5 (F15) (14-18)"/>
    <s v="F15 ALL"/>
    <m/>
    <s v="512"/>
    <s v="-"/>
    <n v="59487"/>
    <s v="512-59487"/>
    <s v="w/ active steering"/>
    <m/>
    <m/>
    <m/>
    <m/>
    <m/>
    <s v=""/>
  </r>
  <r>
    <s v=""/>
    <s v="512-59487"/>
    <s v="512-59487-2"/>
    <m/>
    <n v="2"/>
    <s v="ENF"/>
    <d v="2022-05-02T00:00:00"/>
    <m/>
    <m/>
    <s v="KEEP"/>
    <s v="Susp."/>
    <s v="Control Arm"/>
    <s v="always"/>
    <m/>
    <m/>
    <m/>
    <m/>
    <s v=". Control Arms, FRONT - LOWER RIGHT, FORWARD"/>
    <m/>
    <m/>
    <m/>
    <m/>
    <m/>
    <m/>
    <m/>
    <x v="284"/>
    <s v="Control Arms, FRONT - LOWER RIGHT, FORWARD"/>
    <s v=""/>
    <m/>
    <m/>
    <s v="single"/>
    <m/>
    <n v="110"/>
    <s v="14-18 ALL"/>
    <s v="BMW X5 (F15) (14-18)"/>
    <s v="F15 ALL"/>
    <m/>
    <s v="512"/>
    <s v="-"/>
    <n v="59487"/>
    <s v="512-59487"/>
    <s v="w/ active steering"/>
    <m/>
    <m/>
    <m/>
    <m/>
    <m/>
    <s v=""/>
  </r>
  <r>
    <s v=""/>
    <s v="512-59489"/>
    <m/>
    <m/>
    <n v="1"/>
    <s v="ENF"/>
    <d v="2022-05-02T00:00:00"/>
    <m/>
    <m/>
    <s v="KEEP"/>
    <s v="Susp."/>
    <s v="Control Arm"/>
    <s v="always"/>
    <m/>
    <m/>
    <m/>
    <m/>
    <s v=". Control Arms, FRONT - LOWER RIGHT, FORWARD"/>
    <m/>
    <m/>
    <m/>
    <m/>
    <m/>
    <m/>
    <m/>
    <x v="284"/>
    <s v="Control Arms, FRONT - LOWER RIGHT, FORWARD"/>
    <s v=""/>
    <m/>
    <m/>
    <s v="single"/>
    <m/>
    <n v="110"/>
    <s v="14-18 ALL"/>
    <s v="BMW X5 (F15) (14-18)"/>
    <s v="F15 ALL"/>
    <m/>
    <s v="512"/>
    <s v="-"/>
    <n v="59489"/>
    <s v="512-59489"/>
    <s v="w/o active steering"/>
    <m/>
    <m/>
    <m/>
    <m/>
    <m/>
    <s v=""/>
  </r>
  <r>
    <s v=""/>
    <s v="512-59491"/>
    <m/>
    <m/>
    <n v="1"/>
    <s v="ENF"/>
    <d v="2022-05-02T00:00:00"/>
    <m/>
    <m/>
    <s v="KEEP"/>
    <s v="Susp."/>
    <s v="Control Arm"/>
    <s v="always"/>
    <m/>
    <m/>
    <m/>
    <m/>
    <s v=". Control Arms, FRONT - LOWER RIGHT, REARWARD"/>
    <m/>
    <m/>
    <m/>
    <m/>
    <m/>
    <m/>
    <m/>
    <x v="284"/>
    <s v="Control Arms, FRONT - LOWER RIGHT, REARWARD"/>
    <s v=""/>
    <m/>
    <m/>
    <s v="single"/>
    <m/>
    <n v="110"/>
    <s v="14-18 ALL"/>
    <s v="BMW X5 (F15) (14-18)"/>
    <s v="F15 ALL"/>
    <m/>
    <s v="512"/>
    <s v="-"/>
    <n v="59491"/>
    <s v="512-59491"/>
    <m/>
    <m/>
    <m/>
    <m/>
    <m/>
    <m/>
    <s v=""/>
  </r>
  <r>
    <s v=""/>
    <s v="511-50148"/>
    <s v="511-50148-1"/>
    <m/>
    <n v="2"/>
    <s v="ENF"/>
    <d v="2022-05-02T00:00:00"/>
    <m/>
    <m/>
    <s v="KEEP"/>
    <s v="Susp."/>
    <s v="Control Arm"/>
    <s v="always"/>
    <m/>
    <m/>
    <m/>
    <m/>
    <s v=". Control Arms, FRONT - UPPER &quot;U&quot; WISHBONE ONES as SET 2"/>
    <m/>
    <m/>
    <m/>
    <m/>
    <m/>
    <m/>
    <m/>
    <x v="285"/>
    <s v="Control Arms, FRONT - UPPER &quot;U&quot; WISHBONE ONES as SET 2"/>
    <s v="SET 2, sell singles if 1 bad"/>
    <s v="SET 2, sell singles if 1 bad"/>
    <m/>
    <s v="SET/2"/>
    <m/>
    <n v="80"/>
    <s v="14-18 ALL"/>
    <s v="BMW X5 (F15) (14-18)"/>
    <s v="F15 ALL"/>
    <m/>
    <n v="511"/>
    <s v="-"/>
    <n v="50148"/>
    <s v="511-50148"/>
    <m/>
    <m/>
    <m/>
    <m/>
    <m/>
    <m/>
    <s v=""/>
  </r>
  <r>
    <s v="A13"/>
    <s v="511-50148"/>
    <s v="511-50148-2"/>
    <m/>
    <n v="2"/>
    <s v="ENF"/>
    <d v="2022-05-02T00:00:00"/>
    <m/>
    <m/>
    <s v="KEEP"/>
    <s v="Susp."/>
    <s v="Control Arm"/>
    <s v="always"/>
    <n v="3"/>
    <s v="A13"/>
    <s v="Box 1"/>
    <n v="1"/>
    <s v="A13. Control Arms, FRONT - UPPER &quot;U&quot; WISHBONE, LEFT"/>
    <s v="PIC"/>
    <n v="5"/>
    <s v="31126863785, 6863785"/>
    <s v="Yes"/>
    <m/>
    <m/>
    <m/>
    <x v="285"/>
    <s v="Control Arms, FRONT - UPPER &quot;U&quot; WISHBONE, LEFT"/>
    <s v=""/>
    <m/>
    <m/>
    <s v="single"/>
    <m/>
    <n v="48"/>
    <s v="14-18 ALL"/>
    <s v="BMW X5 (F15) (14-18)"/>
    <s v="F15 ALL"/>
    <m/>
    <n v="511"/>
    <s v="-"/>
    <n v="50148"/>
    <s v="511-50148"/>
    <m/>
    <m/>
    <m/>
    <m/>
    <m/>
    <m/>
    <s v=""/>
  </r>
  <r>
    <s v="A21"/>
    <s v="511-50147"/>
    <m/>
    <m/>
    <n v="1"/>
    <s v="ENF"/>
    <d v="2022-05-02T00:00:00"/>
    <m/>
    <m/>
    <s v="KEEP"/>
    <s v="Susp."/>
    <s v="Control Arm"/>
    <s v="always"/>
    <n v="11"/>
    <s v="A21"/>
    <s v="Box 1"/>
    <n v="1"/>
    <s v="A21. Control Arms, FRONT - UPPER &quot;U&quot; WISHBONE, RIGHT"/>
    <s v="PIC"/>
    <n v="5"/>
    <s v="31126863786, 6863786"/>
    <s v="Yes"/>
    <m/>
    <m/>
    <m/>
    <x v="285"/>
    <s v="Control Arms, FRONT - UPPER &quot;U&quot; WISHBONE, RIGHT"/>
    <s v=""/>
    <m/>
    <m/>
    <s v="single"/>
    <m/>
    <n v="48"/>
    <s v="14-18 ALL"/>
    <s v="BMW X5 (F15) (14-18)"/>
    <s v="F15 ALL"/>
    <m/>
    <n v="511"/>
    <s v="-"/>
    <n v="50147"/>
    <s v="511-50147"/>
    <m/>
    <m/>
    <m/>
    <m/>
    <m/>
    <m/>
    <s v=""/>
  </r>
  <r>
    <s v=""/>
    <s v="513-50296"/>
    <s v="513-50296-1"/>
    <m/>
    <n v="2"/>
    <s v="ENF"/>
    <d v="2022-05-02T00:00:00"/>
    <m/>
    <m/>
    <s v="KEEP"/>
    <s v="Susp."/>
    <s v="Control Arm"/>
    <s v="always"/>
    <m/>
    <m/>
    <m/>
    <m/>
    <s v=". Control Arms, REAR - LEFT SET 3"/>
    <m/>
    <m/>
    <m/>
    <m/>
    <m/>
    <m/>
    <m/>
    <x v="286"/>
    <s v="Control Arms, REAR - LEFT SET 3"/>
    <s v="SET 3, keep only big one if 1 bad"/>
    <s v="SET 3, keep only big one if 1 bad"/>
    <m/>
    <s v="SET/3"/>
    <s v="POSTERS: Inventory under 513"/>
    <n v="150"/>
    <s v="14-18 ALL"/>
    <s v="BMW X5 (F15) (14-18)"/>
    <s v="F15 ALL"/>
    <m/>
    <n v="513"/>
    <s v="-"/>
    <n v="50296"/>
    <s v="513-50296"/>
    <m/>
    <m/>
    <m/>
    <m/>
    <m/>
    <m/>
    <s v=""/>
  </r>
  <r>
    <s v="A99"/>
    <s v="513-50296"/>
    <s v="513-50296-2"/>
    <m/>
    <n v="2"/>
    <s v="ENF"/>
    <d v="2022-05-02T00:00:00"/>
    <m/>
    <m/>
    <s v="KEEP"/>
    <s v="Susp."/>
    <s v="Control Arm"/>
    <s v="always"/>
    <n v="89"/>
    <s v="A99"/>
    <s v="Box Bulk 1"/>
    <n v="1"/>
    <s v="A99. Control Arms, REAR - LEFT Large Control Arm"/>
    <s v="PIC"/>
    <n v="5"/>
    <s v="33326770953, 6770953"/>
    <s v="No"/>
    <m/>
    <m/>
    <m/>
    <x v="286"/>
    <s v="Control Arms, REAR - LEFT Large Control Arm"/>
    <s v=""/>
    <m/>
    <m/>
    <s v="single"/>
    <s v="POSTERS: Inventory under 513"/>
    <n v="100"/>
    <s v="14-18 ALL"/>
    <s v="BMW X5 (F15) (14-18)"/>
    <s v="F15 ALL"/>
    <m/>
    <n v="513"/>
    <s v="-"/>
    <n v="50296"/>
    <s v="513-50296"/>
    <m/>
    <m/>
    <m/>
    <m/>
    <m/>
    <m/>
    <s v=""/>
  </r>
  <r>
    <s v=""/>
    <s v="513-50295"/>
    <s v="513-50295-1"/>
    <m/>
    <n v="2"/>
    <s v="ENF"/>
    <d v="2022-05-02T00:00:00"/>
    <m/>
    <m/>
    <s v="KEEP"/>
    <s v="Susp."/>
    <s v="Control Arm"/>
    <s v="always"/>
    <m/>
    <m/>
    <m/>
    <m/>
    <s v=". Control Arms, REAR - RIGHT SET 3"/>
    <m/>
    <m/>
    <m/>
    <m/>
    <m/>
    <m/>
    <m/>
    <x v="287"/>
    <s v="Control Arms, REAR - RIGHT SET 3"/>
    <s v="SET 3, keep only big one if 1 bad"/>
    <s v="SET 3, keep only big one if 1 bad"/>
    <m/>
    <s v="SET/3"/>
    <s v="POSTERS: Inventory under 513"/>
    <n v="150"/>
    <s v="14-18 ALL"/>
    <s v="BMW X5 (F15) (14-18)"/>
    <s v="F15 ALL"/>
    <m/>
    <n v="513"/>
    <s v="-"/>
    <n v="50295"/>
    <s v="513-50295"/>
    <m/>
    <m/>
    <m/>
    <m/>
    <m/>
    <m/>
    <s v=""/>
  </r>
  <r>
    <s v="A100"/>
    <s v="513-50295"/>
    <s v="513-50295-2"/>
    <m/>
    <n v="2"/>
    <s v="ENF"/>
    <d v="2022-05-02T00:00:00"/>
    <m/>
    <m/>
    <s v="KEEP"/>
    <s v="Susp."/>
    <s v="Control Arm"/>
    <s v="always"/>
    <n v="90"/>
    <s v="A100"/>
    <s v="Box Bulk 1"/>
    <n v="1"/>
    <s v="A100. Control Arms, REAR - RIGHT Large Control Arm"/>
    <s v="PIC"/>
    <n v="5"/>
    <s v="33326770954, 6770954"/>
    <s v="No"/>
    <m/>
    <m/>
    <m/>
    <x v="287"/>
    <s v="Control Arms, REAR - RIGHT Large Control Arm"/>
    <s v=""/>
    <m/>
    <m/>
    <s v="single"/>
    <s v="POSTERS: Inventory under 513"/>
    <n v="100"/>
    <s v="14-18 ALL"/>
    <s v="BMW X5 (F15) (14-18)"/>
    <s v="F15 ALL"/>
    <m/>
    <n v="513"/>
    <s v="-"/>
    <n v="50295"/>
    <s v="513-50295"/>
    <m/>
    <m/>
    <m/>
    <m/>
    <m/>
    <m/>
    <s v=""/>
  </r>
  <r>
    <s v=""/>
    <s v="440-59360"/>
    <m/>
    <m/>
    <n v="1"/>
    <s v="ENF"/>
    <d v="2022-04-23T00:00:00"/>
    <m/>
    <m/>
    <s v="KEEP"/>
    <s v="Susp."/>
    <s v="Differential, FRONT"/>
    <s v="always"/>
    <m/>
    <m/>
    <m/>
    <m/>
    <s v=". Differential, FRONT"/>
    <m/>
    <m/>
    <m/>
    <m/>
    <m/>
    <m/>
    <m/>
    <x v="288"/>
    <s v="Differential, FRONT"/>
    <s v=""/>
    <m/>
    <m/>
    <s v="single"/>
    <m/>
    <n v="245"/>
    <s v="14-18 ALL"/>
    <s v="BMW X5 (F15) (14-18)"/>
    <s v="14-18 3.0T N55 (RWD &amp; AWD) | 16-18 2.0T Gas | 14-18 3.0T Diesel N57Y"/>
    <m/>
    <s v="440"/>
    <s v="-"/>
    <n v="59360"/>
    <s v="440-59360"/>
    <m/>
    <m/>
    <m/>
    <m/>
    <m/>
    <m/>
    <s v=""/>
  </r>
  <r>
    <s v=""/>
    <s v="440-50569"/>
    <m/>
    <m/>
    <n v="1"/>
    <s v="ENF"/>
    <d v="2023-11-15T00:00:00"/>
    <m/>
    <m/>
    <s v="KEEP"/>
    <s v="Susp."/>
    <s v="Differential, FRONT"/>
    <s v="always"/>
    <m/>
    <m/>
    <m/>
    <m/>
    <s v=". Differential, FRONT"/>
    <m/>
    <m/>
    <m/>
    <m/>
    <m/>
    <m/>
    <m/>
    <x v="288"/>
    <s v="Differential, FRONT"/>
    <s v=""/>
    <m/>
    <m/>
    <s v="single"/>
    <m/>
    <n v="275"/>
    <s v="14-18 ALL"/>
    <s v="BMW X5 (F15) (14-18)"/>
    <s v="14-18 4.4TT N63T"/>
    <m/>
    <s v="440"/>
    <s v="-"/>
    <n v="50569"/>
    <s v="440-50569"/>
    <m/>
    <m/>
    <m/>
    <m/>
    <m/>
    <m/>
    <s v=""/>
  </r>
  <r>
    <s v=""/>
    <s v="440-50572"/>
    <m/>
    <m/>
    <n v="1"/>
    <s v="ENF"/>
    <d v="2022-04-23T00:00:00"/>
    <m/>
    <m/>
    <s v="KEEP"/>
    <s v="Susp."/>
    <s v="Differential, REAR"/>
    <s v="always"/>
    <m/>
    <m/>
    <m/>
    <m/>
    <s v=". Differential, REAR"/>
    <m/>
    <m/>
    <m/>
    <m/>
    <m/>
    <m/>
    <m/>
    <x v="289"/>
    <s v="Differential, REAR"/>
    <s v=""/>
    <m/>
    <m/>
    <s v="single"/>
    <m/>
    <n v="900"/>
    <s v="14-18 ALL"/>
    <s v="BMW X5 (F15) (14-18)"/>
    <s v="14-18 3.0T N55 (RWD &amp; AWD) | 16-18 2.0T Gas | 14-18 3.0T Diesel N57Y"/>
    <m/>
    <s v="440"/>
    <s v="-"/>
    <n v="50572"/>
    <s v="440-50572"/>
    <s v="3.0T N55 AWD, w/ adaptive suspension |3.0T Diesel, w/ adaptive suspension | 4.4TT w/ adaptive suspension"/>
    <m/>
    <m/>
    <m/>
    <m/>
    <m/>
    <s v=""/>
  </r>
  <r>
    <s v=""/>
    <s v="440-59426"/>
    <m/>
    <m/>
    <n v="1"/>
    <s v="ENF"/>
    <d v="2022-04-23T00:00:00"/>
    <m/>
    <m/>
    <s v="KEEP"/>
    <s v="Susp."/>
    <s v="Differential, REAR"/>
    <s v="always"/>
    <m/>
    <m/>
    <m/>
    <m/>
    <s v=". Differential, REAR"/>
    <m/>
    <m/>
    <m/>
    <m/>
    <m/>
    <m/>
    <m/>
    <x v="289"/>
    <s v="Differential, REAR"/>
    <s v=""/>
    <m/>
    <m/>
    <s v="single"/>
    <m/>
    <n v="750"/>
    <s v="14-18 ALL"/>
    <s v="BMW X5 (F15) (14-18)"/>
    <s v="14-18 3.0T N55 (RWD &amp; AWD) | 16-18 2.0T Gas | 14-18 3.0T Diesel N57Y"/>
    <m/>
    <s v="440"/>
    <s v="-"/>
    <n v="59426"/>
    <s v="440-59426"/>
    <s v="3.0T N55 AWD, w/o adaptive suspension |3.0T Diesel, w/o adaptive suspension | 2.0T"/>
    <m/>
    <m/>
    <m/>
    <m/>
    <m/>
    <s v=""/>
  </r>
  <r>
    <s v="A108"/>
    <s v="440-59427"/>
    <m/>
    <m/>
    <n v="1"/>
    <s v="ENF"/>
    <d v="2022-04-23T00:00:00"/>
    <m/>
    <m/>
    <s v="KEEP"/>
    <s v="Susp."/>
    <s v="Differential, REAR"/>
    <s v="always"/>
    <n v="98"/>
    <s v="A108"/>
    <s v="Engine"/>
    <n v="1"/>
    <s v="A108. Differential, REAR"/>
    <s v="PIC"/>
    <n v="6"/>
    <s v="33107636996, 7636996"/>
    <s v="No"/>
    <m/>
    <m/>
    <m/>
    <x v="289"/>
    <s v="Differential, REAR"/>
    <s v=""/>
    <m/>
    <m/>
    <s v="single"/>
    <m/>
    <n v="500"/>
    <s v="14-18 ALL"/>
    <s v="BMW X5 (F15) (14-18)"/>
    <s v="14-18 3.0T N55 (RWD &amp; AWD) | 14-18 4.4TT N63T"/>
    <m/>
    <s v="440"/>
    <s v="-"/>
    <n v="59427"/>
    <s v="440-59427"/>
    <s v="3.0T N55 RWD | 4.4TT w/o adaptive suspension"/>
    <m/>
    <m/>
    <m/>
    <m/>
    <m/>
    <s v=""/>
  </r>
  <r>
    <s v=""/>
    <s v="430-50149"/>
    <m/>
    <m/>
    <n v="1"/>
    <s v="ENF"/>
    <d v="2023-10-17T00:00:00"/>
    <m/>
    <m/>
    <s v="KEEP"/>
    <s v="Susp."/>
    <s v="Driveshaft, FRONT"/>
    <s v="always"/>
    <m/>
    <m/>
    <m/>
    <m/>
    <s v=". Driveshaft, FRONT"/>
    <m/>
    <m/>
    <m/>
    <m/>
    <m/>
    <m/>
    <m/>
    <x v="290"/>
    <s v="Driveshaft, FRONT"/>
    <s v=""/>
    <m/>
    <m/>
    <s v="single"/>
    <m/>
    <n v="100"/>
    <s v="14-18 ALL Except 2.0L"/>
    <s v="BMW X5 (F15) (14-18)"/>
    <s v="14-18 3.0T N55 (RWD &amp; AWD) | 14-18 4.4TT N63T | 14-18 3.0T Diesel N57Y"/>
    <m/>
    <s v="430"/>
    <s v="-"/>
    <n v="50149"/>
    <s v="430-50149"/>
    <m/>
    <m/>
    <m/>
    <m/>
    <m/>
    <m/>
    <s v=""/>
  </r>
  <r>
    <s v="A102"/>
    <s v=""/>
    <m/>
    <m/>
    <s v=""/>
    <s v="ENF"/>
    <d v="2022-05-02T00:00:00"/>
    <m/>
    <m/>
    <s v="KEEP"/>
    <s v="Susp."/>
    <s v="Parking Brake Actuator"/>
    <s v="never"/>
    <n v="92"/>
    <s v="A102"/>
    <s v="Box Bulk 1"/>
    <n v="1"/>
    <s v="A102. Emergency Parking Brake Actuator"/>
    <s v="PIC"/>
    <n v="5"/>
    <s v="34436795145, 6795145"/>
    <s v="Yes"/>
    <m/>
    <m/>
    <m/>
    <x v="291"/>
    <s v="Emergency Parking Brake Actuator"/>
    <s v="WITH cables ON"/>
    <s v="WITH cables ON"/>
    <m/>
    <s v="single"/>
    <m/>
    <n v="350"/>
    <s v="14-18 ALL"/>
    <s v="BMW X5 (F15) (14-18)"/>
    <s v="F15 ALL"/>
    <m/>
    <m/>
    <m/>
    <m/>
    <m/>
    <m/>
    <s v="F15"/>
    <s v="14-18"/>
    <s v="ALL"/>
    <s v="F15-14-18-ALL"/>
    <s v="Viking63"/>
    <s v="F15-14-18-ALL-Viking63"/>
  </r>
  <r>
    <s v="A40"/>
    <s v=""/>
    <m/>
    <m/>
    <s v=""/>
    <s v="ENF"/>
    <d v="2022-05-02T00:00:00"/>
    <m/>
    <m/>
    <s v="KEEP"/>
    <s v="Susp."/>
    <s v="Sensor"/>
    <s v="never"/>
    <n v="30"/>
    <s v="A40"/>
    <s v="Box 2"/>
    <n v="1"/>
    <s v="A40. Height Level Sensors, FRONT - LEFT"/>
    <s v="PIC"/>
    <n v="3"/>
    <s v="6853747, 6854863"/>
    <s v="No"/>
    <m/>
    <m/>
    <m/>
    <x v="292"/>
    <s v="Height Level Sensors, FRONT - LEFT"/>
    <s v="leave arms on, mark location each obtained from"/>
    <s v="leave arms on, mark location each obtained from"/>
    <m/>
    <s v="single"/>
    <m/>
    <n v="75"/>
    <s v="14-18 ALL"/>
    <s v="BMW X5 (F15) (14-18)"/>
    <s v="F15 ALL"/>
    <m/>
    <m/>
    <m/>
    <m/>
    <m/>
    <m/>
    <s v="F15"/>
    <s v="14-18"/>
    <s v="ALL"/>
    <s v="F15-14-18-ALL"/>
    <s v="Viking64"/>
    <s v="F15-14-18-ALL-Viking64"/>
  </r>
  <r>
    <s v=""/>
    <s v=""/>
    <m/>
    <m/>
    <s v=""/>
    <s v="ENF"/>
    <d v="2022-05-02T00:00:00"/>
    <m/>
    <m/>
    <s v="KEEP"/>
    <s v="Susp."/>
    <s v="Sensor"/>
    <s v="never"/>
    <m/>
    <m/>
    <m/>
    <m/>
    <s v=". Height Level Sensors, FRONT - RIGHT"/>
    <m/>
    <m/>
    <s v="Check Part"/>
    <s v="No"/>
    <m/>
    <m/>
    <m/>
    <x v="293"/>
    <s v="Height Level Sensors, FRONT - RIGHT"/>
    <s v="leave arms on, mark location each obtained from"/>
    <s v="leave arms on, mark location each obtained from"/>
    <m/>
    <s v="single"/>
    <m/>
    <n v="75"/>
    <s v="14-18 ALL"/>
    <s v="BMW X5 (F15) (14-18)"/>
    <s v="F15 ALL"/>
    <m/>
    <m/>
    <m/>
    <m/>
    <m/>
    <m/>
    <s v="F15"/>
    <s v="14-18"/>
    <s v="ALL"/>
    <s v="F15-14-18-ALL"/>
    <s v="Viking65"/>
    <s v="F15-14-18-ALL-Viking65"/>
  </r>
  <r>
    <s v="A41"/>
    <s v=""/>
    <m/>
    <m/>
    <s v=""/>
    <s v="ENF"/>
    <d v="2022-05-02T00:00:00"/>
    <m/>
    <m/>
    <s v="KEEP"/>
    <s v="Susp."/>
    <s v="Sensor"/>
    <s v="never"/>
    <n v="31"/>
    <s v="A41"/>
    <s v="Box 2"/>
    <n v="1"/>
    <s v="A41. Height Level Sensors, REAR - LEFT"/>
    <s v="PIC"/>
    <n v="4"/>
    <s v="6853747, 6752797"/>
    <s v="No"/>
    <m/>
    <m/>
    <m/>
    <x v="294"/>
    <s v="Height Level Sensors, REAR - LEFT"/>
    <s v="leave arms on, mark location each obtained from"/>
    <s v="leave arms on, mark location each obtained from"/>
    <m/>
    <s v="single"/>
    <m/>
    <n v="75"/>
    <s v="14-18 ALL"/>
    <s v="BMW X5 (F15) (14-18)"/>
    <s v="F15 ALL"/>
    <m/>
    <m/>
    <m/>
    <m/>
    <m/>
    <m/>
    <s v="F15"/>
    <s v="14-18"/>
    <s v="ALL"/>
    <s v="F15-14-18-ALL"/>
    <s v="Viking66"/>
    <s v="F15-14-18-ALL-Viking66"/>
  </r>
  <r>
    <s v=""/>
    <s v=""/>
    <m/>
    <m/>
    <s v=""/>
    <s v="ENF"/>
    <d v="2022-05-02T00:00:00"/>
    <m/>
    <m/>
    <s v="KEEP"/>
    <s v="Susp."/>
    <s v="Sensor"/>
    <s v="never"/>
    <m/>
    <m/>
    <m/>
    <m/>
    <s v=". Height Level Sensors, REAR - RIGHT"/>
    <m/>
    <m/>
    <s v="Check Part"/>
    <s v="No"/>
    <m/>
    <m/>
    <m/>
    <x v="295"/>
    <s v="Height Level Sensors, REAR - RIGHT"/>
    <s v="leave arms on, mark location each obtained from"/>
    <s v="leave arms on, mark location each obtained from"/>
    <m/>
    <s v="single"/>
    <m/>
    <n v="75"/>
    <s v="14-18 ALL"/>
    <s v="BMW X5 (F15) (14-18)"/>
    <s v="F15 ALL"/>
    <m/>
    <m/>
    <m/>
    <m/>
    <m/>
    <m/>
    <s v="F15"/>
    <s v="14-18"/>
    <s v="ALL"/>
    <s v="F15-14-18-ALL"/>
    <s v="Viking67"/>
    <s v="F15-14-18-ALL-Viking67"/>
  </r>
  <r>
    <s v="A17"/>
    <s v=""/>
    <m/>
    <m/>
    <s v=""/>
    <s v="ENF"/>
    <d v="2022-05-02T00:00:00"/>
    <m/>
    <m/>
    <s v="KEEP"/>
    <s v="Susp."/>
    <s v="Exhaust Components"/>
    <s v="never"/>
    <n v="7"/>
    <s v="A17"/>
    <s v="Box 1"/>
    <n v="1"/>
    <s v="A17. Muffler Tips SET 2"/>
    <s v="PIC"/>
    <n v="4"/>
    <n v="7633311"/>
    <s v="Yes"/>
    <m/>
    <m/>
    <m/>
    <x v="296"/>
    <s v="Muffler Tips SET 2"/>
    <s v="toss both if 1 bad"/>
    <s v="toss both if 1 bad"/>
    <m/>
    <s v="SET/2"/>
    <m/>
    <n v="98"/>
    <s v="14-18 ALL"/>
    <s v="BMW X5 (F15) (14-18)"/>
    <s v="F15 ALL"/>
    <m/>
    <m/>
    <m/>
    <m/>
    <m/>
    <m/>
    <s v="F15"/>
    <s v="14-18"/>
    <s v="3.0T N55"/>
    <s v="F15-14-18-3.0T N55"/>
    <s v="Viking68"/>
    <s v="F15-14-18-3.0T N55-Viking68"/>
  </r>
  <r>
    <s v=""/>
    <s v="527-61348"/>
    <s v="527-61348-1"/>
    <m/>
    <n v="2"/>
    <s v="ENF"/>
    <d v="2023-10-17T00:00:00"/>
    <m/>
    <m/>
    <s v="KEEP"/>
    <s v="Susp."/>
    <s v="Shock Struts, FRONT"/>
    <s v="always"/>
    <m/>
    <m/>
    <m/>
    <m/>
    <s v=". Shock Struts, FRONT SET 2"/>
    <m/>
    <m/>
    <m/>
    <m/>
    <m/>
    <m/>
    <m/>
    <x v="297"/>
    <s v="Shock Struts, FRONT SET 2"/>
    <s v="SET 2, sell singles if 1 bad"/>
    <s v="SET 2, sell singles if 1 bad"/>
    <m/>
    <s v="SET/2"/>
    <m/>
    <n v="800"/>
    <s v="14-18 3.0T N55 (RWD &amp; AWD)"/>
    <s v="BMW X5 (F15) (14-18)"/>
    <s v="14-18 3.0T N55 (RWD &amp; AWD)"/>
    <m/>
    <s v="527"/>
    <s v="-"/>
    <n v="61348"/>
    <s v="527-61348"/>
    <s v="3.0T gas &amp; diesel, w/ adaptive M suspension, w/ dynamic control, w/ AWD, SET/2"/>
    <m/>
    <m/>
    <m/>
    <m/>
    <m/>
    <s v=""/>
  </r>
  <r>
    <s v=""/>
    <s v="527-61348"/>
    <s v="527-61348-2"/>
    <m/>
    <n v="2"/>
    <s v="ENF"/>
    <d v="2023-10-17T00:00:00"/>
    <m/>
    <m/>
    <s v="KEEP"/>
    <s v="Susp."/>
    <s v="Shock Struts, FRONT"/>
    <s v="always"/>
    <m/>
    <m/>
    <m/>
    <m/>
    <s v=". Shock Struts, FRONT - LEFT"/>
    <m/>
    <m/>
    <m/>
    <m/>
    <m/>
    <m/>
    <m/>
    <x v="297"/>
    <s v="Shock Struts, FRONT - LEFT"/>
    <s v=""/>
    <m/>
    <m/>
    <s v="single"/>
    <m/>
    <n v="450"/>
    <s v="14-18 3.0T N55 (RWD &amp; AWD)"/>
    <s v="BMW X5 (F15) (14-18)"/>
    <s v="14-18 3.0T N55 (RWD &amp; AWD)"/>
    <m/>
    <s v="527"/>
    <s v="-"/>
    <n v="61348"/>
    <s v="527-61348"/>
    <s v="3.0T gas &amp; diesel, w/ adaptive M suspension, w/ dynamic control, w/ AWD, LEFT"/>
    <m/>
    <m/>
    <m/>
    <m/>
    <m/>
    <s v=""/>
  </r>
  <r>
    <s v=""/>
    <s v="527-61347"/>
    <m/>
    <m/>
    <n v="1"/>
    <s v="ENF"/>
    <d v="2023-10-17T00:00:00"/>
    <m/>
    <m/>
    <s v="KEEP"/>
    <s v="Susp."/>
    <s v="Shock Struts, FRONT"/>
    <s v="always"/>
    <m/>
    <m/>
    <m/>
    <m/>
    <s v=". Shock Struts, FRONT - RIGHT"/>
    <m/>
    <m/>
    <m/>
    <m/>
    <m/>
    <m/>
    <m/>
    <x v="297"/>
    <s v="Shock Struts, FRONT - RIGHT"/>
    <s v=""/>
    <m/>
    <m/>
    <s v="single"/>
    <m/>
    <n v="450"/>
    <s v="14-18 3.0T N55 (RWD &amp; AWD)"/>
    <s v="BMW X5 (F15) (14-18)"/>
    <s v="14-18 3.0T N55 (RWD &amp; AWD)"/>
    <m/>
    <s v="527"/>
    <s v="-"/>
    <n v="61347"/>
    <s v="527-61347"/>
    <s v="3.0T gas &amp; diesel, w/ adaptive M suspension, w/ dynamic control, w/ AWD, RIGHT"/>
    <m/>
    <m/>
    <m/>
    <m/>
    <m/>
    <s v=""/>
  </r>
  <r>
    <s v=""/>
    <s v="527-61352"/>
    <s v="527-61352-1"/>
    <m/>
    <n v="2"/>
    <s v="ENF"/>
    <d v="2023-10-17T00:00:00"/>
    <m/>
    <m/>
    <s v="KEEP"/>
    <s v="Susp."/>
    <s v="Shock Struts, FRONT"/>
    <s v="always"/>
    <m/>
    <m/>
    <m/>
    <m/>
    <s v=". Shock Struts, FRONT SET 2"/>
    <m/>
    <m/>
    <m/>
    <m/>
    <m/>
    <m/>
    <m/>
    <x v="297"/>
    <s v="Shock Struts, FRONT SET 2"/>
    <s v="SET 2, sell singles if 1 bad"/>
    <s v="SET 2, sell singles if 1 bad"/>
    <m/>
    <s v="SET/2"/>
    <m/>
    <n v="750"/>
    <s v="14-18 3.0T N55 (RWD &amp; AWD), 14-18 4.4TT N63T"/>
    <s v="BMW X5 (F15) (14-18)"/>
    <s v="14-18 3.0T N55 (RWD &amp; AWD) | 14-18 4.4TT N63T"/>
    <m/>
    <s v="527"/>
    <s v="-"/>
    <n v="61352"/>
    <s v="527-61352"/>
    <s v="w/ adaptive M suspension, w/o dynamic control, w/ AWD, SET/2"/>
    <m/>
    <m/>
    <m/>
    <m/>
    <m/>
    <s v=""/>
  </r>
  <r>
    <s v=""/>
    <s v="527-61352"/>
    <s v="527-61352-2"/>
    <m/>
    <n v="2"/>
    <s v="ENF"/>
    <d v="2023-10-17T00:00:00"/>
    <m/>
    <m/>
    <s v="KEEP"/>
    <s v="Susp."/>
    <s v="Shock Struts, FRONT"/>
    <s v="always"/>
    <m/>
    <m/>
    <m/>
    <m/>
    <s v=". Shock Struts, FRONT - LEFT"/>
    <m/>
    <m/>
    <m/>
    <m/>
    <m/>
    <m/>
    <m/>
    <x v="297"/>
    <s v="Shock Struts, FRONT - LEFT"/>
    <s v=""/>
    <m/>
    <m/>
    <s v="single"/>
    <m/>
    <n v="400"/>
    <s v="14-18 3.0T N55 (RWD &amp; AWD), 14-18 4.4TT N63T"/>
    <s v="BMW X5 (F15) (14-18)"/>
    <s v="14-18 3.0T N55 (RWD &amp; AWD) | 14-18 4.4TT N63T"/>
    <m/>
    <s v="527"/>
    <s v="-"/>
    <n v="61352"/>
    <s v="527-61352"/>
    <s v="w/ adaptive M suspension, w/o dynamic control, w/ AWD, LEFT"/>
    <m/>
    <m/>
    <m/>
    <m/>
    <m/>
    <s v=""/>
  </r>
  <r>
    <s v=""/>
    <s v="527-61351"/>
    <m/>
    <m/>
    <n v="1"/>
    <s v="ENF"/>
    <d v="2023-10-17T00:00:00"/>
    <m/>
    <m/>
    <s v="KEEP"/>
    <s v="Susp."/>
    <s v="Shock Struts, FRONT"/>
    <s v="always"/>
    <m/>
    <m/>
    <m/>
    <m/>
    <s v=". Shock Struts, FRONT - RIGHT"/>
    <m/>
    <m/>
    <m/>
    <m/>
    <m/>
    <m/>
    <m/>
    <x v="297"/>
    <s v="Shock Struts, FRONT - RIGHT"/>
    <s v=""/>
    <m/>
    <m/>
    <s v="single"/>
    <m/>
    <n v="400"/>
    <s v="14-18 3.0T N55 (RWD &amp; AWD), 14-18 4.4TT N63T"/>
    <s v="BMW X5 (F15) (14-18)"/>
    <s v="14-18 3.0T N55 (RWD &amp; AWD) | 14-18 4.4TT N63T"/>
    <m/>
    <s v="527"/>
    <s v="-"/>
    <n v="61351"/>
    <s v="527-61351"/>
    <s v="w/ adaptive M suspension, w/o dynamic control, w/ AWD, RIGHT"/>
    <m/>
    <m/>
    <m/>
    <m/>
    <m/>
    <s v=""/>
  </r>
  <r>
    <s v=""/>
    <s v="527-61354"/>
    <s v="527-61354-1"/>
    <m/>
    <n v="2"/>
    <s v="ENF"/>
    <d v="2022-04-23T00:00:00"/>
    <m/>
    <m/>
    <s v="KEEP"/>
    <s v="Susp."/>
    <s v="Shock Struts, FRONT"/>
    <s v="always"/>
    <m/>
    <m/>
    <m/>
    <m/>
    <s v=". Shock Struts, FRONT SET 2"/>
    <m/>
    <m/>
    <m/>
    <m/>
    <m/>
    <m/>
    <m/>
    <x v="297"/>
    <s v="Shock Struts, FRONT SET 2"/>
    <s v="SET 2, sell singles if 1 bad"/>
    <s v="SET 2, sell singles if 1 bad"/>
    <m/>
    <s v="SET/2"/>
    <m/>
    <n v="575"/>
    <s v="14-18 3.0T N55 (RWD &amp; AWD)"/>
    <s v="BMW X5 (F15) (14-18)"/>
    <s v="14-18 3.0T N55 (RWD &amp; AWD)"/>
    <m/>
    <s v="527"/>
    <s v="-"/>
    <n v="61354"/>
    <s v="527-61354"/>
    <s v="3.0T gas &amp; diesel, w/o adaptive M suspension, w/ AWD, SET/2"/>
    <m/>
    <m/>
    <m/>
    <m/>
    <m/>
    <s v=""/>
  </r>
  <r>
    <s v=""/>
    <s v="527-61354"/>
    <s v="527-61354-2"/>
    <m/>
    <n v="2"/>
    <s v="ENF"/>
    <d v="2022-04-23T00:00:00"/>
    <m/>
    <m/>
    <s v="KEEP"/>
    <s v="Susp."/>
    <s v="Shock Struts, FRONT"/>
    <s v="always"/>
    <m/>
    <m/>
    <m/>
    <m/>
    <s v=". Shock Struts, FRONT - LEFT"/>
    <m/>
    <m/>
    <m/>
    <m/>
    <m/>
    <m/>
    <m/>
    <x v="297"/>
    <s v="Shock Struts, FRONT - LEFT"/>
    <s v=""/>
    <m/>
    <m/>
    <s v="single"/>
    <m/>
    <n v="295"/>
    <s v="14-18 3.0T N55 (RWD &amp; AWD)"/>
    <s v="BMW X5 (F15) (14-18)"/>
    <s v="14-18 3.0T N55 (RWD &amp; AWD)"/>
    <m/>
    <s v="527"/>
    <s v="-"/>
    <n v="61354"/>
    <s v="527-61354"/>
    <s v="3.0T gas &amp; diesel, w/o adaptive M suspension, w/ AWD, LEFT"/>
    <m/>
    <m/>
    <m/>
    <m/>
    <m/>
    <s v=""/>
  </r>
  <r>
    <s v=""/>
    <s v="527-61353"/>
    <m/>
    <m/>
    <n v="1"/>
    <s v="ENF"/>
    <d v="2022-04-23T00:00:00"/>
    <m/>
    <m/>
    <s v="KEEP"/>
    <s v="Susp."/>
    <s v="Shock Struts, FRONT"/>
    <s v="always"/>
    <m/>
    <m/>
    <m/>
    <m/>
    <s v=". Shock Struts, FRONT - RIGHT"/>
    <m/>
    <m/>
    <m/>
    <m/>
    <m/>
    <m/>
    <m/>
    <x v="297"/>
    <s v="Shock Struts, FRONT - RIGHT"/>
    <s v=""/>
    <m/>
    <m/>
    <s v="single"/>
    <m/>
    <n v="295"/>
    <s v="14-18 3.0T N55 (RWD &amp; AWD)"/>
    <s v="BMW X5 (F15) (14-18)"/>
    <s v="14-18 3.0T N55 (RWD &amp; AWD)"/>
    <m/>
    <s v="527"/>
    <s v="-"/>
    <n v="61353"/>
    <s v="527-61353"/>
    <s v="3.0T gas &amp; diesel, w/o adaptive M suspension, w/ AWD, RIGHT"/>
    <m/>
    <m/>
    <m/>
    <m/>
    <m/>
    <s v=""/>
  </r>
  <r>
    <s v=""/>
    <s v="527-61356"/>
    <s v="527-61356-1"/>
    <m/>
    <n v="2"/>
    <s v="ENF"/>
    <d v="2023-10-17T00:00:00"/>
    <m/>
    <m/>
    <s v="KEEP"/>
    <s v="Susp."/>
    <s v="Shock Struts, FRONT"/>
    <s v="always"/>
    <m/>
    <m/>
    <m/>
    <m/>
    <s v=". Shock Struts, FRONT SET 2"/>
    <m/>
    <m/>
    <m/>
    <m/>
    <m/>
    <m/>
    <m/>
    <x v="297"/>
    <s v="Shock Struts, FRONT SET 2"/>
    <s v="SET 2, sell singles if 1 bad"/>
    <s v="SET 2, sell singles if 1 bad"/>
    <m/>
    <s v="SET/2"/>
    <m/>
    <n v="575"/>
    <s v="14-18 3.0T N55 (RWD &amp; AWD)"/>
    <s v="BMW X5 (F15) (14-18)"/>
    <s v="14-18 3.0T N55 (RWD &amp; AWD)"/>
    <m/>
    <s v="527"/>
    <s v="-"/>
    <n v="61356"/>
    <s v="527-61356"/>
    <s v="3.0T gas &amp; diesel, w/o adaptive M suspension, w/ RWD, SET/2"/>
    <m/>
    <m/>
    <m/>
    <m/>
    <m/>
    <s v=""/>
  </r>
  <r>
    <s v=""/>
    <s v="527-61356"/>
    <s v="527-61356-2"/>
    <m/>
    <n v="2"/>
    <s v="ENF"/>
    <d v="2023-10-17T00:00:00"/>
    <m/>
    <m/>
    <s v="KEEP"/>
    <s v="Susp."/>
    <s v="Shock Struts, FRONT"/>
    <s v="always"/>
    <m/>
    <m/>
    <m/>
    <m/>
    <s v=". Shock Struts, FRONT - LEFT"/>
    <m/>
    <m/>
    <m/>
    <m/>
    <m/>
    <m/>
    <m/>
    <x v="297"/>
    <s v="Shock Struts, FRONT - LEFT"/>
    <s v=""/>
    <m/>
    <m/>
    <s v="single"/>
    <m/>
    <n v="295"/>
    <s v="14-18 3.0T N55 (RWD &amp; AWD)"/>
    <s v="BMW X5 (F15) (14-18)"/>
    <s v="14-18 3.0T N55 (RWD &amp; AWD)"/>
    <m/>
    <s v="527"/>
    <s v="-"/>
    <n v="61356"/>
    <s v="527-61356"/>
    <s v="3.0T gas &amp; diesel, w/o adaptive M suspension, w/ RWD, LEFT"/>
    <m/>
    <m/>
    <m/>
    <m/>
    <m/>
    <s v=""/>
  </r>
  <r>
    <s v=""/>
    <s v="527-61355"/>
    <m/>
    <m/>
    <n v="1"/>
    <s v="ENF"/>
    <d v="2023-10-17T00:00:00"/>
    <m/>
    <m/>
    <s v="KEEP"/>
    <s v="Susp."/>
    <s v="Shock Struts, FRONT"/>
    <s v="always"/>
    <m/>
    <m/>
    <m/>
    <m/>
    <s v=". Shock Struts, FRONT - RIGHT"/>
    <m/>
    <m/>
    <m/>
    <m/>
    <m/>
    <m/>
    <m/>
    <x v="297"/>
    <s v="Shock Struts, FRONT - RIGHT"/>
    <s v=""/>
    <m/>
    <m/>
    <s v="single"/>
    <m/>
    <n v="295"/>
    <s v="14-18 3.0T N55 (RWD &amp; AWD)"/>
    <s v="BMW X5 (F15) (14-18)"/>
    <s v="14-18 3.0T N55 (RWD &amp; AWD)"/>
    <m/>
    <s v="527"/>
    <s v="-"/>
    <n v="61355"/>
    <s v="527-61355"/>
    <s v="3.0T gas &amp; diesel, w/o adaptive M suspension, w/ RWD, RIGHT"/>
    <m/>
    <m/>
    <m/>
    <m/>
    <m/>
    <s v=""/>
  </r>
  <r>
    <s v=""/>
    <s v="527-61350"/>
    <s v="527-61350-1"/>
    <m/>
    <n v="2"/>
    <s v="ENF"/>
    <d v="2023-11-14T00:00:00"/>
    <m/>
    <m/>
    <s v="KEEP"/>
    <s v="Susp."/>
    <s v="Shock Struts, FRONT"/>
    <s v="always"/>
    <m/>
    <m/>
    <m/>
    <m/>
    <s v=". Shock Struts, FRONT SET 2"/>
    <m/>
    <m/>
    <m/>
    <m/>
    <m/>
    <m/>
    <m/>
    <x v="297"/>
    <s v="Shock Struts, FRONT SET 2"/>
    <s v="SET 2, sell singles if 1 bad"/>
    <s v="SET 2, sell singles if 1 bad"/>
    <m/>
    <s v="SET/2"/>
    <m/>
    <n v="800"/>
    <s v="14-18 4.4TT N63T"/>
    <s v="BMW X5 (F15) (14-18)"/>
    <s v="14-18 4.4TT N63T"/>
    <m/>
    <s v="527"/>
    <s v="-"/>
    <n v="61350"/>
    <s v="527-61350"/>
    <s v="4.4TT gas, w/ adaptive M suspension, w/ dynamic control, SET/2"/>
    <m/>
    <m/>
    <m/>
    <m/>
    <m/>
    <s v=""/>
  </r>
  <r>
    <s v=""/>
    <s v="527-61350"/>
    <s v="527-61350-2"/>
    <m/>
    <n v="2"/>
    <s v="ENF"/>
    <d v="2023-11-14T00:00:00"/>
    <m/>
    <m/>
    <s v="KEEP"/>
    <s v="Susp."/>
    <s v="Shock Struts, FRONT"/>
    <s v="always"/>
    <m/>
    <m/>
    <m/>
    <m/>
    <s v=". Shock Struts, FRONT - LEFT"/>
    <m/>
    <m/>
    <m/>
    <m/>
    <m/>
    <m/>
    <m/>
    <x v="297"/>
    <s v="Shock Struts, FRONT - LEFT"/>
    <s v=""/>
    <m/>
    <m/>
    <s v="single"/>
    <m/>
    <n v="400"/>
    <s v="14-18 4.4TT N63T"/>
    <s v="BMW X5 (F15) (14-18)"/>
    <s v="14-18 4.4TT N63T"/>
    <m/>
    <s v="527"/>
    <s v="-"/>
    <n v="61350"/>
    <s v="527-61350"/>
    <s v="4.4TT gas, w/ adaptive M suspension, w/ dynamic control, LEFT"/>
    <m/>
    <m/>
    <m/>
    <m/>
    <m/>
    <s v=""/>
  </r>
  <r>
    <s v=""/>
    <s v="527-61349"/>
    <m/>
    <m/>
    <n v="1"/>
    <s v="ENF"/>
    <d v="2023-11-14T00:00:00"/>
    <m/>
    <m/>
    <s v="KEEP"/>
    <s v="Susp."/>
    <s v="Shock Struts, FRONT"/>
    <s v="always"/>
    <m/>
    <m/>
    <m/>
    <m/>
    <s v=". Shock Struts, FRONT - RIGHT"/>
    <m/>
    <m/>
    <m/>
    <m/>
    <m/>
    <m/>
    <m/>
    <x v="297"/>
    <s v="Shock Struts, FRONT - RIGHT"/>
    <s v=""/>
    <m/>
    <m/>
    <s v="single"/>
    <m/>
    <n v="400"/>
    <s v="14-18 4.4TT N63T"/>
    <s v="BMW X5 (F15) (14-18)"/>
    <s v="14-18 4.4TT N63T"/>
    <m/>
    <s v="527"/>
    <s v="-"/>
    <n v="61349"/>
    <s v="527-61349"/>
    <s v="4.4TT gas, w/ adaptive M suspension, w/ dynamic control, RIGHT"/>
    <m/>
    <m/>
    <m/>
    <m/>
    <m/>
    <s v=""/>
  </r>
  <r>
    <s v=""/>
    <s v="527-61358"/>
    <s v="527-61358-1"/>
    <m/>
    <n v="2"/>
    <s v="ENF"/>
    <d v="2023-11-14T00:00:00"/>
    <m/>
    <m/>
    <s v="KEEP"/>
    <s v="Susp."/>
    <s v="Shock Struts, FRONT"/>
    <s v="always"/>
    <m/>
    <m/>
    <m/>
    <m/>
    <s v=". Shock Struts, FRONT SET 2"/>
    <m/>
    <m/>
    <m/>
    <m/>
    <m/>
    <m/>
    <m/>
    <x v="297"/>
    <s v="Shock Struts, FRONT SET 2"/>
    <s v="SET 2, sell singles if 1 bad"/>
    <s v="SET 2, sell singles if 1 bad"/>
    <m/>
    <s v="SET/2"/>
    <m/>
    <n v="650"/>
    <s v="14-18 4.4TT N63T"/>
    <s v="BMW X5 (F15) (14-18)"/>
    <s v="14-18 4.4TT N63T"/>
    <m/>
    <s v="527"/>
    <s v="-"/>
    <n v="61358"/>
    <s v="527-61358"/>
    <s v="4.4TT gas, w/o adaptive M suspension, SET/2"/>
    <m/>
    <m/>
    <m/>
    <m/>
    <m/>
    <s v=""/>
  </r>
  <r>
    <s v=""/>
    <s v="527-61358"/>
    <s v="527-61358-2"/>
    <m/>
    <n v="2"/>
    <s v="ENF"/>
    <d v="2023-11-14T00:00:00"/>
    <m/>
    <m/>
    <s v="KEEP"/>
    <s v="Susp."/>
    <s v="Shock Struts, FRONT"/>
    <s v="always"/>
    <m/>
    <m/>
    <m/>
    <m/>
    <s v=". Shock Struts, FRONT - LEFT"/>
    <m/>
    <m/>
    <m/>
    <m/>
    <m/>
    <m/>
    <m/>
    <x v="297"/>
    <s v="Shock Struts, FRONT - LEFT"/>
    <s v=""/>
    <m/>
    <m/>
    <s v="single"/>
    <m/>
    <n v="350"/>
    <s v="14-18 4.4TT N63T"/>
    <s v="BMW X5 (F15) (14-18)"/>
    <s v="14-18 4.4TT N63T"/>
    <m/>
    <s v="527"/>
    <s v="-"/>
    <n v="61358"/>
    <s v="527-61358"/>
    <s v="4.4TT gas, w/o adaptive M suspension, LEFT"/>
    <m/>
    <m/>
    <m/>
    <m/>
    <m/>
    <s v=""/>
  </r>
  <r>
    <s v=""/>
    <s v="527-61357"/>
    <m/>
    <m/>
    <n v="1"/>
    <s v="ENF"/>
    <d v="2023-11-14T00:00:00"/>
    <m/>
    <m/>
    <s v="KEEP"/>
    <s v="Susp."/>
    <s v="Shock Struts, FRONT"/>
    <s v="always"/>
    <m/>
    <m/>
    <m/>
    <m/>
    <s v=". Shock Struts, FRONT - RIGHT"/>
    <m/>
    <m/>
    <m/>
    <m/>
    <m/>
    <m/>
    <m/>
    <x v="297"/>
    <s v="Shock Struts, FRONT - RIGHT"/>
    <s v=""/>
    <m/>
    <m/>
    <s v="single"/>
    <m/>
    <n v="350"/>
    <s v="14-18 4.4TT N63T"/>
    <s v="BMW X5 (F15) (14-18)"/>
    <s v="14-18 4.4TT N63T"/>
    <m/>
    <s v="527"/>
    <s v="-"/>
    <n v="61357"/>
    <s v="527-61357"/>
    <s v="4.4TT gas, w/o adaptive M suspension, RIGHT"/>
    <m/>
    <m/>
    <m/>
    <m/>
    <m/>
    <s v=""/>
  </r>
  <r>
    <s v=""/>
    <s v=""/>
    <m/>
    <m/>
    <s v=""/>
    <s v="ENF"/>
    <d v="2022-04-23T00:00:00"/>
    <m/>
    <m/>
    <s v="KEEP"/>
    <s v="Susp."/>
    <s v="Shock Struts, REAR"/>
    <s v="sometimes"/>
    <m/>
    <m/>
    <m/>
    <m/>
    <s v=". Shock Struts, REAR - LEFT (Adaptive)"/>
    <m/>
    <m/>
    <m/>
    <m/>
    <m/>
    <m/>
    <m/>
    <x v="298"/>
    <s v="Shock Struts, REAR - LEFT (Adaptive)"/>
    <s v="tag as SINGLE"/>
    <s v="tag as SINGLE"/>
    <m/>
    <s v="single"/>
    <m/>
    <n v="350"/>
    <s v="14-18 ALL"/>
    <s v="BMW X5 (F15) (14-18)"/>
    <s v="F15 ALL"/>
    <m/>
    <m/>
    <m/>
    <m/>
    <m/>
    <m/>
    <m/>
    <m/>
    <m/>
    <m/>
    <m/>
    <s v=""/>
  </r>
  <r>
    <s v=""/>
    <s v=""/>
    <m/>
    <m/>
    <s v=""/>
    <s v="ENF"/>
    <d v="2022-04-23T00:00:00"/>
    <m/>
    <m/>
    <s v="KEEP"/>
    <s v="Susp."/>
    <s v="Shock Struts, REAR"/>
    <s v="sometimes"/>
    <m/>
    <m/>
    <m/>
    <m/>
    <s v=". Shock Struts, REAR - RIGHT (Adaptive)"/>
    <m/>
    <m/>
    <m/>
    <m/>
    <m/>
    <m/>
    <m/>
    <x v="299"/>
    <s v="Shock Struts, REAR - RIGHT (Adaptive)"/>
    <s v="tag as SINGLE"/>
    <s v="tag as SINGLE"/>
    <m/>
    <s v="single"/>
    <m/>
    <n v="350"/>
    <s v="14-18 ALL"/>
    <s v="BMW X5 (F15) (14-18)"/>
    <s v="F15 ALL"/>
    <m/>
    <m/>
    <m/>
    <m/>
    <m/>
    <m/>
    <m/>
    <m/>
    <m/>
    <m/>
    <m/>
    <s v=""/>
  </r>
  <r>
    <s v=""/>
    <s v=""/>
    <m/>
    <m/>
    <s v=""/>
    <s v="ENF"/>
    <d v="2022-04-23T00:00:00"/>
    <m/>
    <m/>
    <s v="KEEP"/>
    <s v="Susp."/>
    <s v="Shock Struts, REAR"/>
    <s v="sometimes"/>
    <m/>
    <m/>
    <m/>
    <m/>
    <s v=". Shock Struts, REAR SET 2 (WITHOUT Adaptive)"/>
    <m/>
    <m/>
    <m/>
    <m/>
    <m/>
    <m/>
    <m/>
    <x v="300"/>
    <s v="Shock Struts, REAR SET 2 (WITHOUT Adaptive)"/>
    <s v="SET 2, toss both if 1 bad"/>
    <s v="SET 2, toss both if 1 bad"/>
    <m/>
    <s v="SET/2"/>
    <m/>
    <n v="160"/>
    <s v="14-18 ALL"/>
    <s v="BMW X5 (F15) (14-18)"/>
    <s v="F15 ALL"/>
    <m/>
    <m/>
    <m/>
    <m/>
    <m/>
    <m/>
    <m/>
    <m/>
    <m/>
    <m/>
    <m/>
    <s v=""/>
  </r>
  <r>
    <s v="A101"/>
    <s v=""/>
    <m/>
    <m/>
    <s v=""/>
    <s v="ENF"/>
    <d v="2022-05-02T00:00:00"/>
    <m/>
    <m/>
    <s v="KEEP"/>
    <s v="Susp."/>
    <s v="Shock Springs"/>
    <s v="never"/>
    <n v="91"/>
    <s v="A101"/>
    <s v="Box Bulk 1"/>
    <n v="1"/>
    <s v="A101. Springs, REAR Shock Springs as SET 2 WITH Gromets"/>
    <s v="PIC"/>
    <n v="5"/>
    <s v="NPN"/>
    <s v="Yes"/>
    <m/>
    <m/>
    <m/>
    <x v="301"/>
    <s v="Springs, REAR Shock Springs as SET 2 WITH Gromets"/>
    <s v="sell singles if 1 bad, sell even if gromets missing"/>
    <s v="sell singles if 1 bad, sell even if gromets missing"/>
    <m/>
    <s v="SET/2"/>
    <m/>
    <n v="200"/>
    <s v="14-18 ALL"/>
    <s v="BMW X5 (F15) (14-18)"/>
    <s v="F15 ALL"/>
    <m/>
    <m/>
    <m/>
    <m/>
    <m/>
    <m/>
    <s v="F15"/>
    <s v="14-18"/>
    <s v="ALL"/>
    <s v="F15-14-18-ALL"/>
    <s v="Viking69"/>
    <s v="F15-14-18-ALL-Viking69"/>
  </r>
  <r>
    <s v=""/>
    <s v=""/>
    <m/>
    <m/>
    <s v=""/>
    <s v="ENF"/>
    <d v="2022-05-02T00:00:00"/>
    <m/>
    <m/>
    <s v="KEEP"/>
    <s v="Susp."/>
    <s v="Shock Springs"/>
    <s v="never"/>
    <m/>
    <m/>
    <m/>
    <m/>
    <s v=". Springs, REAR - LEFT"/>
    <m/>
    <m/>
    <m/>
    <m/>
    <m/>
    <m/>
    <m/>
    <x v="302"/>
    <s v="Springs, REAR - LEFT"/>
    <s v=""/>
    <m/>
    <m/>
    <s v="single"/>
    <m/>
    <n v="80"/>
    <s v="14-18 ALL"/>
    <s v="BMW X5 (F15) (14-18)"/>
    <s v="F15 ALL"/>
    <m/>
    <m/>
    <m/>
    <m/>
    <m/>
    <m/>
    <s v="F15"/>
    <s v="14-18"/>
    <s v="ALL"/>
    <s v="F15-14-18-ALL"/>
    <s v="Viking70"/>
    <s v="F15-14-18-ALL-Viking70"/>
  </r>
  <r>
    <s v=""/>
    <s v=""/>
    <m/>
    <m/>
    <s v=""/>
    <s v="ENF"/>
    <d v="2022-05-02T00:00:00"/>
    <m/>
    <m/>
    <s v="KEEP"/>
    <s v="Susp."/>
    <s v="Shock Springs"/>
    <s v="never"/>
    <m/>
    <m/>
    <m/>
    <m/>
    <s v=". Springs, REAR - RIGHT"/>
    <m/>
    <m/>
    <m/>
    <m/>
    <m/>
    <m/>
    <m/>
    <x v="303"/>
    <s v="Springs, REAR - RIGHT"/>
    <s v=""/>
    <m/>
    <m/>
    <s v="single"/>
    <m/>
    <n v="80"/>
    <s v="14-18 ALL"/>
    <s v="BMW X5 (F15) (14-18)"/>
    <s v="F15 ALL"/>
    <m/>
    <m/>
    <m/>
    <m/>
    <m/>
    <m/>
    <s v="F15"/>
    <s v="14-18"/>
    <s v="ALL"/>
    <s v="F15-14-18-ALL"/>
    <s v="Viking71"/>
    <s v="F15-14-18-ALL-Viking71"/>
  </r>
  <r>
    <s v=""/>
    <m/>
    <m/>
    <m/>
    <s v=""/>
    <s v="ENF"/>
    <d v="2023-11-14T00:00:00"/>
    <m/>
    <m/>
    <s v="Toss"/>
    <s v="Susp."/>
    <s v="Steering Gear Rack &amp; Pinion"/>
    <s v="always"/>
    <m/>
    <m/>
    <m/>
    <m/>
    <s v=". Steering Gear Rack &amp; Pinion Wire Harness"/>
    <m/>
    <m/>
    <m/>
    <m/>
    <m/>
    <m/>
    <m/>
    <x v="304"/>
    <s v="Steering Gear Rack &amp; Pinion Wire Harness"/>
    <s v="has to be cut, and not worth selling cut for $85"/>
    <m/>
    <s v="has to be cut, and not worth selling cut for $85"/>
    <m/>
    <m/>
    <m/>
    <s v="14-18 ALL"/>
    <s v="BMW X5 (F15) (14-18)"/>
    <s v="F15 ALL"/>
    <m/>
    <m/>
    <m/>
    <m/>
    <m/>
    <m/>
    <m/>
    <m/>
    <m/>
    <m/>
    <m/>
    <s v=""/>
  </r>
  <r>
    <s v=""/>
    <s v="551-60087"/>
    <m/>
    <m/>
    <n v="1"/>
    <s v="ENF"/>
    <d v="2022-04-23T00:00:00"/>
    <m/>
    <m/>
    <s v="KEEP"/>
    <s v="Susp."/>
    <s v="Steering Gear Rack &amp; Pinion"/>
    <s v="always"/>
    <m/>
    <m/>
    <m/>
    <m/>
    <s v=". Steering Gear Rack &amp; Pinion"/>
    <m/>
    <m/>
    <m/>
    <m/>
    <m/>
    <m/>
    <m/>
    <x v="305"/>
    <s v="Steering Gear Rack &amp; Pinion"/>
    <s v=""/>
    <m/>
    <m/>
    <s v="single"/>
    <m/>
    <n v="1500"/>
    <s v="14-18 ALL"/>
    <s v="BMW X5 (F15) (14-18)"/>
    <s v="F15 ALL"/>
    <m/>
    <s v="551"/>
    <s v="-"/>
    <n v="60087"/>
    <s v="551-60087"/>
    <s v="3.0T Diesel &amp; 4.4TT w/ active steering"/>
    <m/>
    <m/>
    <m/>
    <m/>
    <m/>
    <s v=""/>
  </r>
  <r>
    <s v=""/>
    <s v="551-60088"/>
    <m/>
    <m/>
    <n v="1"/>
    <s v="ENF"/>
    <d v="2022-04-23T00:00:00"/>
    <m/>
    <m/>
    <s v="KEEP"/>
    <s v="Susp."/>
    <s v="Steering Gear Rack &amp; Pinion"/>
    <s v="always"/>
    <m/>
    <m/>
    <m/>
    <m/>
    <s v=". Steering Gear Rack &amp; Pinion"/>
    <m/>
    <m/>
    <m/>
    <m/>
    <m/>
    <m/>
    <m/>
    <x v="305"/>
    <s v="Steering Gear Rack &amp; Pinion"/>
    <s v=""/>
    <m/>
    <m/>
    <s v="single"/>
    <m/>
    <n v="1500"/>
    <s v="14-18 ALL"/>
    <s v="BMW X5 (F15) (14-18)"/>
    <s v="F15 ALL"/>
    <m/>
    <s v="551"/>
    <s v="-"/>
    <n v="60088"/>
    <s v="551-60088"/>
    <s v="3.0T Gas, w/ active steering"/>
    <m/>
    <m/>
    <m/>
    <m/>
    <m/>
    <s v=""/>
  </r>
  <r>
    <s v="A93"/>
    <s v="551-60089"/>
    <m/>
    <m/>
    <n v="1"/>
    <s v="ENF"/>
    <d v="2022-04-23T00:00:00"/>
    <m/>
    <m/>
    <s v="KEEP"/>
    <s v="Susp."/>
    <s v="Steering Gear"/>
    <s v="always"/>
    <n v="83"/>
    <s v="A93"/>
    <s v="Box Bulk 1"/>
    <n v="1"/>
    <s v="A93. Steering Gear Rack &amp; Pinion"/>
    <s v="PIC"/>
    <n v="7"/>
    <s v="32106866277, 6866277"/>
    <s v="No"/>
    <m/>
    <m/>
    <m/>
    <x v="305"/>
    <s v="Steering Gear Rack &amp; Pinion"/>
    <s v=""/>
    <m/>
    <m/>
    <s v="single"/>
    <m/>
    <n v="790"/>
    <s v="14-18 ALL"/>
    <s v="BMW X5 (F15) (14-18)"/>
    <s v="F15 ALL"/>
    <m/>
    <s v="551"/>
    <s v="-"/>
    <n v="60089"/>
    <s v="551-60089"/>
    <s v="ALL w/o active steering"/>
    <m/>
    <m/>
    <m/>
    <m/>
    <m/>
    <s v=""/>
  </r>
  <r>
    <s v=""/>
    <s v=""/>
    <m/>
    <m/>
    <s v=""/>
    <s v="ENF"/>
    <d v="2022-04-22T00:00:00"/>
    <m/>
    <m/>
    <s v="Toss"/>
    <s v="Susp."/>
    <s v="Axle Shaft"/>
    <s v="always"/>
    <m/>
    <m/>
    <m/>
    <m/>
    <s v=". Axle Shafts, REAR - TOSS ALL"/>
    <m/>
    <m/>
    <m/>
    <m/>
    <m/>
    <m/>
    <m/>
    <x v="306"/>
    <s v="Axle Shafts, REAR - TOSS ALL"/>
    <s v="TOSS ALL"/>
    <s v="TOSS ALL"/>
    <m/>
    <s v="single"/>
    <m/>
    <m/>
    <s v="14-18 ALL"/>
    <s v="BMW X5 (F15) (14-18)"/>
    <s v="F15 ALL"/>
    <m/>
    <m/>
    <s v="-"/>
    <m/>
    <m/>
    <m/>
    <m/>
    <m/>
    <m/>
    <m/>
    <m/>
    <s v=""/>
  </r>
  <r>
    <s v=""/>
    <s v=""/>
    <m/>
    <m/>
    <s v=""/>
    <s v="ENF"/>
    <d v="2023-12-14T00:00:00"/>
    <m/>
    <m/>
    <s v="Toss"/>
    <s v="Susp."/>
    <s v="Brake Calipers"/>
    <s v="always"/>
    <m/>
    <m/>
    <m/>
    <m/>
    <s v=". Brake Calipers"/>
    <m/>
    <m/>
    <m/>
    <m/>
    <m/>
    <m/>
    <m/>
    <x v="307"/>
    <s v="Brake Calipers"/>
    <s v="TOSS ALL except ///M ones"/>
    <s v="TOSS ALL except ///M ones"/>
    <m/>
    <s v="single"/>
    <m/>
    <m/>
    <s v="14-18 ALL"/>
    <s v="BMW X5 (F15) (14-18)"/>
    <s v="F15 ALL | 14-18 3.0T N55 (RWD &amp; AWD) | 14-18 4.4TT N63T | 14-18 3.0T Diesel N57Y | 16-18 2.0T Gas"/>
    <m/>
    <m/>
    <s v="-"/>
    <m/>
    <m/>
    <m/>
    <m/>
    <m/>
    <m/>
    <m/>
    <m/>
    <s v=""/>
  </r>
  <r>
    <s v=""/>
    <s v=""/>
    <m/>
    <m/>
    <s v=""/>
    <s v="ENF"/>
    <d v="2022-04-22T00:00:00"/>
    <m/>
    <m/>
    <s v="Toss"/>
    <s v="Susp."/>
    <s v="Brake Rotors"/>
    <s v="never"/>
    <m/>
    <m/>
    <m/>
    <m/>
    <s v=". Brake Rotors"/>
    <m/>
    <m/>
    <m/>
    <m/>
    <m/>
    <m/>
    <m/>
    <x v="308"/>
    <s v="Brake Rotors"/>
    <s v="TOSS ALL (not needed for sizing)"/>
    <s v="TOSS ALL (not needed for sizing)"/>
    <m/>
    <s v="single"/>
    <m/>
    <m/>
    <s v="14-18 ALL"/>
    <s v="BMW X5 (F15) (14-18)"/>
    <s v="F15 ALL"/>
    <m/>
    <m/>
    <m/>
    <m/>
    <m/>
    <m/>
    <m/>
    <m/>
    <m/>
    <m/>
    <m/>
    <s v=""/>
  </r>
  <r>
    <s v=""/>
    <s v=""/>
    <m/>
    <m/>
    <s v=""/>
    <s v="ENF"/>
    <d v="2022-04-29T00:00:00"/>
    <m/>
    <m/>
    <s v="Toss"/>
    <s v="Susp."/>
    <s v="Charcoal Canister"/>
    <s v="sometimes"/>
    <m/>
    <m/>
    <m/>
    <m/>
    <s v=". Charcoal Canister / Evap Box"/>
    <m/>
    <m/>
    <m/>
    <m/>
    <m/>
    <m/>
    <m/>
    <x v="309"/>
    <s v="Charcoal Canister / Evap Box"/>
    <s v=""/>
    <m/>
    <m/>
    <s v="single"/>
    <m/>
    <m/>
    <s v="14-18 ALL"/>
    <s v="BMW X5 (F15) (14-18)"/>
    <s v="F15 ALL"/>
    <m/>
    <m/>
    <s v="-"/>
    <m/>
    <m/>
    <m/>
    <m/>
    <m/>
    <m/>
    <m/>
    <m/>
    <s v=""/>
  </r>
  <r>
    <s v=""/>
    <s v=""/>
    <m/>
    <m/>
    <s v=""/>
    <s v="ENF"/>
    <d v="2022-04-23T00:00:00"/>
    <m/>
    <m/>
    <s v="Toss"/>
    <s v="Susp."/>
    <s v="Spindle / Knuckles"/>
    <s v="always"/>
    <m/>
    <m/>
    <m/>
    <m/>
    <s v=". Spindle / Knuckles"/>
    <m/>
    <m/>
    <m/>
    <m/>
    <m/>
    <m/>
    <m/>
    <x v="310"/>
    <s v="Spindle / Knuckles"/>
    <s v="TOSS ALL"/>
    <s v="TOSS ALL"/>
    <m/>
    <s v="single"/>
    <m/>
    <m/>
    <s v="14-18 ALL"/>
    <s v="BMW X5 (F15) (14-18)"/>
    <s v="F15 ALL"/>
    <m/>
    <m/>
    <s v="-"/>
    <m/>
    <m/>
    <m/>
    <m/>
    <m/>
    <m/>
    <m/>
    <m/>
    <s v=""/>
  </r>
  <r>
    <s v=""/>
    <s v=""/>
    <m/>
    <m/>
    <s v=""/>
    <s v="ENF"/>
    <d v="2022-04-29T00:00:00"/>
    <m/>
    <m/>
    <s v="Toss"/>
    <s v="Susp."/>
    <s v="Subframe Mounts &amp; Crossmember"/>
    <s v="never"/>
    <m/>
    <m/>
    <m/>
    <m/>
    <s v=". Subframe / Crossmember, REAR"/>
    <m/>
    <m/>
    <m/>
    <m/>
    <m/>
    <m/>
    <m/>
    <x v="311"/>
    <s v="Subframe / Crossmember, REAR"/>
    <s v="really BIG one diff mounts to"/>
    <m/>
    <s v="really BIG one diff mounts to"/>
    <s v="single"/>
    <m/>
    <m/>
    <s v="14-18 ALL"/>
    <s v="BMW X5 (F15) (14-18)"/>
    <s v="F15 ALL"/>
    <m/>
    <m/>
    <m/>
    <m/>
    <m/>
    <m/>
    <m/>
    <m/>
    <m/>
    <m/>
    <m/>
    <s v=""/>
  </r>
  <r>
    <s v=""/>
    <s v=""/>
    <m/>
    <m/>
    <s v=""/>
    <s v="ENF"/>
    <d v="2022-04-29T00:00:00"/>
    <m/>
    <m/>
    <s v="Toss"/>
    <s v="Susp."/>
    <s v="Sway Bar"/>
    <s v="always"/>
    <m/>
    <m/>
    <m/>
    <m/>
    <s v=". Sway Bar / Stabilizer Bar, REAR"/>
    <m/>
    <m/>
    <m/>
    <m/>
    <m/>
    <m/>
    <m/>
    <x v="312"/>
    <s v="Sway Bar / Stabilizer Bar, REAR"/>
    <s v="TOSS ALL (even dynamic ones)"/>
    <s v="TOSS ALL (even dynamic ones)"/>
    <m/>
    <s v="single"/>
    <m/>
    <m/>
    <s v="14-18 ALL"/>
    <s v="BMW X5 (F15) (14-18)"/>
    <s v="F15 ALL"/>
    <m/>
    <m/>
    <s v="-"/>
    <m/>
    <m/>
    <m/>
    <m/>
    <m/>
    <m/>
    <m/>
    <m/>
    <s v=""/>
  </r>
  <r>
    <s v=""/>
    <s v=""/>
    <m/>
    <m/>
    <s v=""/>
    <s v="ENF"/>
    <d v="2023-10-17T00:00:00"/>
    <m/>
    <m/>
    <s v="Toss"/>
    <s v="Trans"/>
    <s v="Flywheel"/>
    <s v="always"/>
    <m/>
    <m/>
    <m/>
    <m/>
    <s v=". Automatic Flywheel Flex Plate"/>
    <m/>
    <m/>
    <m/>
    <m/>
    <m/>
    <m/>
    <m/>
    <x v="313"/>
    <s v="Automatic Flywheel Flex Plate"/>
    <s v=""/>
    <m/>
    <m/>
    <m/>
    <m/>
    <m/>
    <s v="14-18 3.0T N55 Auto AWD &amp; RWD, 14-18 4.4TT N63T"/>
    <s v="BMW X5 (F15) (14-18)"/>
    <s v="14-18 3.0T N55 (RWD &amp; AWD) | 14-18 4.4TT N63T"/>
    <m/>
    <m/>
    <m/>
    <m/>
    <m/>
    <m/>
    <m/>
    <m/>
    <m/>
    <m/>
    <m/>
    <s v=""/>
  </r>
  <r>
    <s v=""/>
    <s v="407-999939"/>
    <m/>
    <m/>
    <n v="1"/>
    <s v="ENF"/>
    <d v="2022-04-23T00:00:00"/>
    <m/>
    <m/>
    <s v="KEEP"/>
    <s v="Trans"/>
    <s v="Torque Converter"/>
    <s v="sometimes CPI+"/>
    <m/>
    <m/>
    <m/>
    <m/>
    <s v=". Torque Converter"/>
    <m/>
    <m/>
    <m/>
    <m/>
    <m/>
    <m/>
    <m/>
    <x v="314"/>
    <s v="Torque Converter"/>
    <s v=""/>
    <m/>
    <m/>
    <s v="single"/>
    <m/>
    <n v="250"/>
    <s v="14-18 3.0T N55 (RWD &amp; AWD)"/>
    <s v="BMW X5 (F15) (14-18)"/>
    <s v="14-18 3.0T N55 (RWD &amp; AWD)"/>
    <m/>
    <s v="407"/>
    <s v="-"/>
    <n v="999939"/>
    <s v="407-999939"/>
    <s v="from 10/2013"/>
    <m/>
    <m/>
    <m/>
    <m/>
    <m/>
    <s v=""/>
  </r>
  <r>
    <s v="A92"/>
    <s v="407-999940"/>
    <m/>
    <m/>
    <n v="1"/>
    <s v="ENF"/>
    <d v="2022-04-23T00:00:00"/>
    <m/>
    <m/>
    <s v="KEEP"/>
    <s v="Trans"/>
    <s v="Torque Converter"/>
    <s v="sometimes CPI+"/>
    <n v="82"/>
    <s v="A92"/>
    <s v="Box Bulk 1"/>
    <n v="1"/>
    <s v="A92. Torque Converter"/>
    <s v="PIC"/>
    <n v="4"/>
    <s v="24408632180, 8632180"/>
    <s v="Yes"/>
    <m/>
    <m/>
    <m/>
    <x v="314"/>
    <s v="Torque Converter"/>
    <s v=""/>
    <m/>
    <m/>
    <s v="single"/>
    <m/>
    <n v="250"/>
    <s v="14-18 3.0T N55 (RWD &amp; AWD)"/>
    <s v="BMW X5 (F15) (14-18)"/>
    <s v="14-18 3.0T N55 (RWD &amp; AWD)"/>
    <m/>
    <s v="407"/>
    <s v="-"/>
    <n v="999940"/>
    <s v="407-999940"/>
    <s v="to 10/2013"/>
    <m/>
    <m/>
    <m/>
    <m/>
    <m/>
    <s v=""/>
  </r>
  <r>
    <s v=""/>
    <s v="407-999933"/>
    <m/>
    <m/>
    <n v="1"/>
    <s v="ENF"/>
    <d v="2023-11-15T00:00:00"/>
    <m/>
    <m/>
    <s v="KEEP"/>
    <s v="Trans"/>
    <s v="Torque Converter"/>
    <s v="sometimes CPI+"/>
    <m/>
    <m/>
    <m/>
    <m/>
    <s v=". Torque Converter"/>
    <m/>
    <m/>
    <s v="24407647833, 7647833, 24408632178, 8632178, 24407544926, 7544926, 24408612861, 8612861"/>
    <s v="Yes"/>
    <m/>
    <m/>
    <m/>
    <x v="314"/>
    <s v="Torque Converter"/>
    <s v=""/>
    <m/>
    <m/>
    <s v="single"/>
    <m/>
    <n v="245"/>
    <s v="14-18 4.4TT N63T"/>
    <s v="BMW X5 (F15) (14-18)"/>
    <s v="14-18 4.4TT N63T"/>
    <m/>
    <s v="407"/>
    <s v="-"/>
    <n v="999933"/>
    <s v="407-999933"/>
    <m/>
    <m/>
    <m/>
    <m/>
    <m/>
    <m/>
    <s v=""/>
  </r>
  <r>
    <s v=""/>
    <s v="412-59249"/>
    <m/>
    <m/>
    <n v="1"/>
    <s v="AJR"/>
    <d v="2022-09-27T00:00:00"/>
    <m/>
    <m/>
    <s v="KEEP"/>
    <s v="Trans"/>
    <s v="Transfer Case"/>
    <s v="always"/>
    <m/>
    <m/>
    <m/>
    <m/>
    <s v=". Transfer Case"/>
    <m/>
    <m/>
    <m/>
    <m/>
    <m/>
    <m/>
    <m/>
    <x v="315"/>
    <s v="Transfer Case"/>
    <s v="sell shift motor separately"/>
    <s v="sell shift motor separately"/>
    <m/>
    <s v="single"/>
    <s v="POSTERS: Add &quot;Note: shift motor NOT included&quot;"/>
    <n v="695"/>
    <s v="14-18 ALL"/>
    <s v="BMW X5 (F15) (14-18)"/>
    <s v="F15 ALL"/>
    <m/>
    <s v="412"/>
    <s v="-"/>
    <n v="59249"/>
    <s v="412-59249"/>
    <s v="All except 4.4TT"/>
    <m/>
    <m/>
    <m/>
    <m/>
    <m/>
    <s v=""/>
  </r>
  <r>
    <s v=""/>
    <s v="412-59298"/>
    <m/>
    <m/>
    <n v="1"/>
    <s v="AJR"/>
    <d v="2022-09-27T00:00:00"/>
    <m/>
    <m/>
    <s v="KEEP"/>
    <s v="Trans"/>
    <s v="Transfer Case"/>
    <s v="always"/>
    <m/>
    <m/>
    <m/>
    <m/>
    <s v=". Transfer Case"/>
    <m/>
    <m/>
    <m/>
    <m/>
    <m/>
    <m/>
    <m/>
    <x v="315"/>
    <s v="Transfer Case"/>
    <s v="sell shift motor separately"/>
    <s v="sell shift motor separately"/>
    <m/>
    <s v="single"/>
    <s v="POSTERS: Add &quot;Note: shift motor NOT included&quot;"/>
    <n v="1500"/>
    <s v="14-18 ALL"/>
    <s v="BMW X5 (F15) (14-18)"/>
    <s v="F15 ALL"/>
    <m/>
    <s v="412"/>
    <s v="-"/>
    <n v="59298"/>
    <s v="412-59298"/>
    <s v="4.4TT"/>
    <m/>
    <m/>
    <m/>
    <m/>
    <m/>
    <s v=""/>
  </r>
  <r>
    <s v=""/>
    <s v="420-194"/>
    <m/>
    <m/>
    <n v="1"/>
    <s v="ENF"/>
    <d v="2023-11-15T00:00:00"/>
    <m/>
    <m/>
    <s v="KEEP"/>
    <s v="Trans"/>
    <s v="Transfer Case"/>
    <s v="always"/>
    <m/>
    <m/>
    <m/>
    <m/>
    <s v=". Transfer Case Shift Motor"/>
    <m/>
    <m/>
    <s v="27607542211, 7542211"/>
    <s v="No"/>
    <m/>
    <m/>
    <m/>
    <x v="316"/>
    <s v="Transfer Case Shift Motor"/>
    <s v=""/>
    <m/>
    <m/>
    <s v="single"/>
    <m/>
    <n v="200"/>
    <s v="14-18 ALL"/>
    <s v="BMW X5 (F15) (14-18)"/>
    <s v="F15 ALL"/>
    <m/>
    <n v="420"/>
    <s v="-"/>
    <n v="194"/>
    <s v="420-194"/>
    <m/>
    <m/>
    <m/>
    <m/>
    <m/>
    <m/>
    <s v=""/>
  </r>
  <r>
    <s v="A43"/>
    <s v="414-999923"/>
    <m/>
    <m/>
    <n v="1"/>
    <s v="AJR"/>
    <d v="2022-05-10T00:00:00"/>
    <m/>
    <m/>
    <s v="KEEP"/>
    <s v="Trans"/>
    <s v="Oil Cooler, Transmission"/>
    <s v="sometimes CPI+"/>
    <n v="33"/>
    <s v="A43"/>
    <s v="Box 2"/>
    <n v="1"/>
    <s v="A43. Transmission Oil Cooler"/>
    <s v="PIC"/>
    <n v="5"/>
    <s v="17217647315, 7647315"/>
    <s v="Yes"/>
    <m/>
    <m/>
    <m/>
    <x v="317"/>
    <s v="Transmission Oil Cooler"/>
    <s v=""/>
    <m/>
    <m/>
    <s v="single"/>
    <m/>
    <n v="100"/>
    <s v="14-18 ALL"/>
    <s v="BMW X5 (F15) (14-18)"/>
    <s v="F15 ALL"/>
    <m/>
    <s v="414"/>
    <s v="-"/>
    <n v="999923"/>
    <s v="414-999923"/>
    <m/>
    <m/>
    <m/>
    <m/>
    <m/>
    <m/>
    <s v=""/>
  </r>
  <r>
    <s v="A95"/>
    <s v=""/>
    <m/>
    <m/>
    <s v=""/>
    <s v="ENF"/>
    <d v="2022-05-06T00:00:00"/>
    <m/>
    <m/>
    <s v="KEEP"/>
    <s v="Trans"/>
    <s v="Oil Pump, Transmission - Mechanical"/>
    <s v="always"/>
    <n v="85"/>
    <s v="A95"/>
    <s v="Box Bulk 1"/>
    <n v="1"/>
    <s v="A95. Transmission Oil Pump, Mechanical"/>
    <s v="PIC"/>
    <n v="6"/>
    <s v="1090310089, 1090110045"/>
    <s v="Yes"/>
    <m/>
    <m/>
    <m/>
    <x v="318"/>
    <s v="Transmission Oil Pump, Mechanical"/>
    <s v=""/>
    <m/>
    <m/>
    <s v="single"/>
    <m/>
    <n v="250"/>
    <s v="14-18 ALL"/>
    <s v="BMW X5 (F15) (14-18)"/>
    <s v="F15 ALL"/>
    <m/>
    <m/>
    <s v="-"/>
    <m/>
    <m/>
    <m/>
    <s v="F15"/>
    <s v="14-18"/>
    <s v="3.0T N55"/>
    <s v="F15-14-18-3.0T N55"/>
    <s v="Viking72"/>
    <s v="F15-14-18-3.0T N55-Viking72"/>
  </r>
  <r>
    <s v="A15"/>
    <s v=""/>
    <m/>
    <m/>
    <s v=""/>
    <s v="AJR"/>
    <d v="2023-06-30T00:00:00"/>
    <m/>
    <m/>
    <s v="KEEP"/>
    <s v="Trans"/>
    <s v="Oil Pump, Transmission - Hydraulic"/>
    <s v="always"/>
    <n v="5"/>
    <s v="A15"/>
    <s v="Box 1"/>
    <n v="1"/>
    <s v="A15. Transmission Oil Pump, Hydraulic"/>
    <s v="PIC"/>
    <n v="3"/>
    <s v="0501333558"/>
    <s v="Yes"/>
    <m/>
    <m/>
    <m/>
    <x v="319"/>
    <s v="Transmission Oil Pump, Hydraulic"/>
    <s v=""/>
    <m/>
    <m/>
    <s v="single"/>
    <m/>
    <n v="75"/>
    <s v="14-18 ALL"/>
    <s v="BMW X5 (F15) (14-18)"/>
    <s v="F15 ALL"/>
    <m/>
    <m/>
    <s v="-"/>
    <m/>
    <m/>
    <m/>
    <s v="F15"/>
    <s v="14-18"/>
    <s v="3.0T N55"/>
    <s v="F15-14-18-3.0T N55"/>
    <s v="Viking73"/>
    <s v="F15-14-18-3.0T N55-Viking73"/>
  </r>
  <r>
    <s v=""/>
    <s v="400-62503"/>
    <m/>
    <m/>
    <n v="1"/>
    <s v="ENF"/>
    <d v="2022-04-23T00:00:00"/>
    <m/>
    <m/>
    <s v="KEEP"/>
    <s v="Trans"/>
    <s v="Valve Body"/>
    <s v="always"/>
    <m/>
    <m/>
    <m/>
    <m/>
    <s v=". Valve Body"/>
    <m/>
    <m/>
    <m/>
    <m/>
    <m/>
    <m/>
    <m/>
    <x v="320"/>
    <s v="Valve Body"/>
    <s v=""/>
    <m/>
    <m/>
    <s v="single"/>
    <m/>
    <n v="650"/>
    <s v="14-18 ALL"/>
    <s v="BMW X5 (F15) (14-18)"/>
    <s v="F15 ALL"/>
    <m/>
    <n v="400"/>
    <s v="-"/>
    <n v="62503"/>
    <s v="400-62503"/>
    <s v="3.0T w/ AWD, thru 9/2013"/>
    <m/>
    <m/>
    <m/>
    <m/>
    <m/>
    <s v=""/>
  </r>
  <r>
    <s v=""/>
    <s v="400-62833"/>
    <m/>
    <m/>
    <n v="1"/>
    <s v="ENF"/>
    <d v="2022-04-23T00:00:00"/>
    <m/>
    <m/>
    <s v="KEEP"/>
    <s v="Trans"/>
    <s v="Valve Body"/>
    <s v="always"/>
    <m/>
    <m/>
    <m/>
    <m/>
    <s v=". Valve Body"/>
    <m/>
    <m/>
    <m/>
    <m/>
    <m/>
    <m/>
    <m/>
    <x v="320"/>
    <s v="Valve Body"/>
    <s v=""/>
    <m/>
    <m/>
    <s v="single"/>
    <m/>
    <n v="650"/>
    <s v="14-18 ALL"/>
    <s v="BMW X5 (F15) (14-18)"/>
    <s v="F15 ALL"/>
    <m/>
    <n v="400"/>
    <s v="-"/>
    <n v="62833"/>
    <s v="400-62833"/>
    <s v="3.0T w/ AWD, from 10/2013 &amp; thru 3/2014"/>
    <m/>
    <m/>
    <m/>
    <m/>
    <m/>
    <s v=""/>
  </r>
  <r>
    <s v=""/>
    <s v="400-62834"/>
    <m/>
    <m/>
    <n v="1"/>
    <s v="ENF"/>
    <d v="2022-04-23T00:00:00"/>
    <m/>
    <m/>
    <s v="KEEP"/>
    <s v="Trans"/>
    <s v="Valve Body"/>
    <s v="always"/>
    <m/>
    <m/>
    <m/>
    <m/>
    <s v=". Valve Body"/>
    <m/>
    <m/>
    <m/>
    <m/>
    <m/>
    <m/>
    <m/>
    <x v="320"/>
    <s v="Valve Body"/>
    <s v=""/>
    <m/>
    <m/>
    <s v="single"/>
    <m/>
    <n v="650"/>
    <s v="14-18 ALL"/>
    <s v="BMW X5 (F15) (14-18)"/>
    <s v="F15 ALL"/>
    <m/>
    <n v="400"/>
    <s v="-"/>
    <n v="62834"/>
    <s v="400-62834"/>
    <s v="3.0T w/ AWD, from 4/2014 &amp; thru 3/31/2015"/>
    <m/>
    <m/>
    <m/>
    <m/>
    <m/>
    <s v=""/>
  </r>
  <r>
    <s v=""/>
    <s v="400-63134"/>
    <m/>
    <m/>
    <n v="1"/>
    <s v="ENF"/>
    <d v="2022-04-23T00:00:00"/>
    <m/>
    <m/>
    <s v="KEEP"/>
    <s v="Trans"/>
    <s v="Valve Body"/>
    <s v="always"/>
    <m/>
    <m/>
    <m/>
    <m/>
    <s v=". Valve Body"/>
    <m/>
    <m/>
    <m/>
    <m/>
    <m/>
    <m/>
    <m/>
    <x v="320"/>
    <s v="Valve Body"/>
    <s v=""/>
    <m/>
    <m/>
    <s v="single"/>
    <m/>
    <n v="650"/>
    <s v="14-18 ALL"/>
    <s v="BMW X5 (F15) (14-18)"/>
    <s v="F15 ALL"/>
    <m/>
    <n v="400"/>
    <s v="-"/>
    <n v="63134"/>
    <s v="400-63134"/>
    <s v="3.0T w/ AWD, from 4/1/2015"/>
    <m/>
    <m/>
    <m/>
    <m/>
    <m/>
    <s v=""/>
  </r>
  <r>
    <s v=""/>
    <s v="400-62835"/>
    <m/>
    <m/>
    <n v="1"/>
    <s v="ENF"/>
    <d v="2022-04-23T00:00:00"/>
    <m/>
    <m/>
    <s v="KEEP"/>
    <s v="Trans"/>
    <s v="Valve Body"/>
    <s v="always"/>
    <m/>
    <m/>
    <m/>
    <m/>
    <s v=". Valve Body"/>
    <m/>
    <m/>
    <m/>
    <m/>
    <m/>
    <m/>
    <m/>
    <x v="320"/>
    <s v="Valve Body"/>
    <s v=""/>
    <m/>
    <m/>
    <s v="single"/>
    <m/>
    <n v="650"/>
    <s v="14-18 ALL"/>
    <s v="BMW X5 (F15) (14-18)"/>
    <s v="F15 ALL"/>
    <m/>
    <n v="400"/>
    <s v="-"/>
    <n v="62835"/>
    <s v="400-62835"/>
    <s v="3.0T w/ RWD, thru 9/2013"/>
    <m/>
    <m/>
    <m/>
    <m/>
    <m/>
    <s v=""/>
  </r>
  <r>
    <s v="A96"/>
    <s v="400-62777"/>
    <m/>
    <m/>
    <n v="1"/>
    <s v="ENF"/>
    <d v="2022-04-23T00:00:00"/>
    <m/>
    <m/>
    <s v="KEEP"/>
    <s v="Trans"/>
    <s v="Valve Body"/>
    <s v="always"/>
    <n v="86"/>
    <s v="A96"/>
    <s v="Box Bulk 1"/>
    <n v="1"/>
    <s v="A96. Valve Body"/>
    <s v="PIC"/>
    <n v="6"/>
    <s v="0260550074, 6058008114"/>
    <s v="No"/>
    <m/>
    <m/>
    <m/>
    <x v="320"/>
    <s v="Valve Body"/>
    <s v=""/>
    <m/>
    <m/>
    <s v="single"/>
    <m/>
    <n v="650"/>
    <s v="14-18 ALL"/>
    <s v="BMW X5 (F15) (14-18)"/>
    <s v="F15 ALL"/>
    <m/>
    <n v="400"/>
    <s v="-"/>
    <n v="62777"/>
    <s v="400-62777"/>
    <s v="3.0T w/ RWD, from 10/1/2013 &amp; thru 10/31/2013"/>
    <m/>
    <m/>
    <m/>
    <m/>
    <m/>
    <s v=""/>
  </r>
  <r>
    <s v=""/>
    <s v="400-62722"/>
    <m/>
    <m/>
    <n v="1"/>
    <s v="ENF"/>
    <d v="2022-04-23T00:00:00"/>
    <m/>
    <m/>
    <s v="KEEP"/>
    <s v="Trans"/>
    <s v="Valve Body"/>
    <s v="always"/>
    <m/>
    <m/>
    <m/>
    <m/>
    <s v=". Valve Body"/>
    <m/>
    <m/>
    <m/>
    <m/>
    <m/>
    <m/>
    <m/>
    <x v="320"/>
    <s v="Valve Body"/>
    <s v=""/>
    <m/>
    <m/>
    <s v="single"/>
    <m/>
    <n v="650"/>
    <s v="14-18 ALL"/>
    <s v="BMW X5 (F15) (14-18)"/>
    <s v="F15 ALL"/>
    <m/>
    <n v="400"/>
    <s v="-"/>
    <n v="62722"/>
    <s v="400-62722"/>
    <s v="3.0T w/ RWD, from 11/2013"/>
    <m/>
    <m/>
    <m/>
    <m/>
    <m/>
    <s v=""/>
  </r>
  <r>
    <s v=""/>
    <s v=""/>
    <m/>
    <m/>
    <s v=""/>
    <s v="ENF"/>
    <d v="2022-04-19T00:00:00"/>
    <m/>
    <m/>
    <s v="Parts"/>
    <s v="Trans"/>
    <s v="Transmission Assembly "/>
    <s v="always"/>
    <m/>
    <m/>
    <m/>
    <m/>
    <s v=". Transmission Assembly "/>
    <m/>
    <m/>
    <m/>
    <m/>
    <m/>
    <m/>
    <m/>
    <x v="321"/>
    <s v="Transmission Assembly "/>
    <s v=""/>
    <m/>
    <m/>
    <s v="single"/>
    <m/>
    <m/>
    <s v="14-18 3.0T N55 (RWD &amp; AWD)"/>
    <s v="BMW X5 (F15) (14-18)"/>
    <s v="14-18 3.0T N55 (RWD &amp; AWD)"/>
    <m/>
    <m/>
    <s v="-"/>
    <m/>
    <m/>
    <m/>
    <m/>
    <m/>
    <m/>
    <m/>
    <m/>
    <s v=""/>
  </r>
  <r>
    <s v=""/>
    <s v=""/>
    <m/>
    <m/>
    <s v=""/>
    <s v="ENF"/>
    <d v="2022-04-23T00:00:00"/>
    <m/>
    <m/>
    <s v="Toss"/>
    <s v="Trans"/>
    <s v="Guibos"/>
    <s v="never"/>
    <m/>
    <m/>
    <m/>
    <m/>
    <s v=". Guibos"/>
    <m/>
    <m/>
    <m/>
    <m/>
    <m/>
    <m/>
    <m/>
    <x v="322"/>
    <s v="Guibos"/>
    <s v="TOSS ALL"/>
    <s v="TOSS ALL"/>
    <m/>
    <s v="single"/>
    <m/>
    <m/>
    <s v="14-18 ALL"/>
    <s v="BMW X5 (F15) (14-18)"/>
    <s v="F15 ALL"/>
    <m/>
    <m/>
    <m/>
    <m/>
    <m/>
    <m/>
    <m/>
    <m/>
    <m/>
    <m/>
    <m/>
    <s v=""/>
  </r>
  <r>
    <s v=""/>
    <s v=""/>
    <m/>
    <m/>
    <s v=""/>
    <s v="ENF"/>
    <d v="2022-04-23T00:00:00"/>
    <m/>
    <m/>
    <s v="Toss"/>
    <s v="Trans"/>
    <s v="Oil Pan, Transmission"/>
    <s v="sometimes CPI+"/>
    <m/>
    <m/>
    <m/>
    <m/>
    <s v=". Oil Pan, Transmission"/>
    <m/>
    <m/>
    <m/>
    <m/>
    <m/>
    <m/>
    <m/>
    <x v="323"/>
    <s v="Oil Pan, Transmission"/>
    <s v=""/>
    <m/>
    <m/>
    <s v="single"/>
    <m/>
    <m/>
    <s v="14-18 ALL"/>
    <s v="BMW X5 (F15) (14-18)"/>
    <s v="F15 ALL"/>
    <m/>
    <m/>
    <s v="-"/>
    <m/>
    <m/>
    <m/>
    <m/>
    <m/>
    <m/>
    <m/>
    <m/>
    <s v=""/>
  </r>
  <r>
    <s v=""/>
    <s v=""/>
    <m/>
    <m/>
    <s v=""/>
    <s v="AJR"/>
    <d v="2022-05-02T00:00:00"/>
    <m/>
    <m/>
    <s v="Toss"/>
    <s v="Trans"/>
    <s v="Subframe Mounts &amp; Crossmember"/>
    <s v="never"/>
    <m/>
    <m/>
    <m/>
    <m/>
    <s v=". Transmission Crossmember Mount Bracket"/>
    <m/>
    <m/>
    <m/>
    <m/>
    <m/>
    <m/>
    <m/>
    <x v="324"/>
    <s v="Transmission Crossmember Mount Bracket"/>
    <s v=""/>
    <m/>
    <m/>
    <s v="single"/>
    <m/>
    <m/>
    <s v="14-18 ALL"/>
    <s v="BMW X5 (F15) (14-18)"/>
    <s v="F15 ALL"/>
    <m/>
    <m/>
    <m/>
    <m/>
    <m/>
    <m/>
    <m/>
    <m/>
    <m/>
    <m/>
    <m/>
    <s v=""/>
  </r>
  <r>
    <s v="A39"/>
    <s v=""/>
    <m/>
    <m/>
    <s v=""/>
    <s v="ENF"/>
    <d v="2023-10-18T00:00:00"/>
    <m/>
    <m/>
    <s v="KEEP"/>
    <s v="Trunk"/>
    <s v="Trunk Hardware"/>
    <s v="never"/>
    <n v="29"/>
    <s v="A39"/>
    <s v="Box 2"/>
    <n v="1"/>
    <s v="A39. Trunk Latch WITH Soft Close Actuator Motor &amp; Cables"/>
    <s v="PIC"/>
    <n v="7"/>
    <s v="51244817123, 4817123"/>
    <s v="No"/>
    <m/>
    <m/>
    <m/>
    <x v="325"/>
    <s v="Trunk Latch WITH Soft Close Actuator Motor &amp; Cables"/>
    <s v=""/>
    <m/>
    <m/>
    <s v="SET"/>
    <m/>
    <n v="150"/>
    <s v="14-18 ALL"/>
    <s v="BMW X5 (F15) (14-18)"/>
    <s v="F15 ALL"/>
    <m/>
    <m/>
    <m/>
    <m/>
    <m/>
    <m/>
    <s v="F15"/>
    <s v="14-18"/>
    <s v="ALL"/>
    <s v="F15-14-18-ALL"/>
    <s v="Viking74"/>
    <s v="F15-14-18-ALL-Viking74"/>
  </r>
  <r>
    <s v=""/>
    <s v=""/>
    <m/>
    <m/>
    <s v=""/>
    <s v="AJR"/>
    <d v="2023-06-22T00:00:00"/>
    <m/>
    <s v="DRF Check"/>
    <s v="KEEP"/>
    <s v="Trunk"/>
    <s v="Trunk Hardware"/>
    <s v="never"/>
    <m/>
    <m/>
    <m/>
    <m/>
    <s v=". Trunk Handle (WITH Camera Slot)"/>
    <m/>
    <m/>
    <m/>
    <m/>
    <m/>
    <m/>
    <m/>
    <x v="326"/>
    <s v="Trunk Handle (WITH Camera Slot)"/>
    <s v="remove camera &amp; sell solo, toss one w/o camera slot"/>
    <s v="remove camera &amp; sell solo, toss one w/o camera slot"/>
    <m/>
    <s v="single"/>
    <m/>
    <n v="58"/>
    <s v="14-18 ALL"/>
    <s v="BMW X5 (F15) (14-18)"/>
    <s v="F15 ALL"/>
    <m/>
    <m/>
    <m/>
    <m/>
    <m/>
    <m/>
    <m/>
    <m/>
    <m/>
    <m/>
    <m/>
    <s v=""/>
  </r>
  <r>
    <s v=""/>
    <s v=""/>
    <m/>
    <m/>
    <s v=""/>
    <s v="AJR"/>
    <d v="2023-06-22T00:00:00"/>
    <m/>
    <m/>
    <s v="Toss"/>
    <s v="Trunk"/>
    <s v="Trunk Hardware"/>
    <s v="never"/>
    <m/>
    <m/>
    <m/>
    <m/>
    <s v=". Trunk Handle (WITHOUT Camera Slot)"/>
    <m/>
    <m/>
    <m/>
    <m/>
    <m/>
    <m/>
    <m/>
    <x v="327"/>
    <s v="Trunk Handle (WITHOUT Camera Slot)"/>
    <s v="keep one with camera slot &amp; sell camera solo"/>
    <s v="keep one with camera slot &amp; sell camera solo"/>
    <m/>
    <s v="single"/>
    <m/>
    <m/>
    <s v="14-18 ALL"/>
    <s v="BMW X5 (F15) (14-18)"/>
    <s v="F15 ALL"/>
    <m/>
    <m/>
    <m/>
    <m/>
    <m/>
    <m/>
    <m/>
    <m/>
    <m/>
    <m/>
    <m/>
    <s v=""/>
  </r>
  <r>
    <s v="A31"/>
    <s v=""/>
    <m/>
    <m/>
    <s v=""/>
    <s v="ENF"/>
    <d v="2022-05-03T00:00:00"/>
    <m/>
    <m/>
    <s v="KEEP"/>
    <s v="Trunk"/>
    <s v="Battery Cable"/>
    <s v="never"/>
    <n v="21"/>
    <s v="A31"/>
    <s v="Box 2"/>
    <n v="1"/>
    <s v="A31. Battery Cable, NEGATIVE With IBS Module ON"/>
    <s v="PIC"/>
    <n v="4"/>
    <s v="12429329739, 9329739"/>
    <s v="Yes"/>
    <m/>
    <m/>
    <m/>
    <x v="328"/>
    <s v="Battery Cable, NEGATIVE With IBS Module ON"/>
    <s v="toss both if 1 bad"/>
    <m/>
    <s v="toss both if 1 bad"/>
    <s v="single"/>
    <m/>
    <n v="65"/>
    <s v="14-18 ALL"/>
    <s v="BMW X5 (F15) (14-18)"/>
    <s v="F15 ALL"/>
    <m/>
    <m/>
    <m/>
    <m/>
    <m/>
    <m/>
    <s v="F15"/>
    <s v="14-18"/>
    <s v="ALL"/>
    <s v="F15-14-18-ALL"/>
    <s v="Viking75"/>
    <s v="F15-14-18-ALL-Viking75"/>
  </r>
  <r>
    <s v=""/>
    <s v=""/>
    <m/>
    <m/>
    <s v=""/>
    <s v="ENF"/>
    <d v="2022-05-02T00:00:00"/>
    <m/>
    <m/>
    <s v="KEEP"/>
    <s v="Trunk"/>
    <s v="Battery Cable"/>
    <s v="never"/>
    <m/>
    <m/>
    <m/>
    <m/>
    <s v=". Battery Cable, POSITIVE &amp; Attached Junction Bracket, THE SMALL ONE"/>
    <m/>
    <m/>
    <m/>
    <m/>
    <m/>
    <m/>
    <m/>
    <x v="329"/>
    <s v="Battery Cable, POSITIVE &amp; Attached Junction Bracket, THE SMALL ONE"/>
    <s v="short red/black cable w/ black terminal | small one"/>
    <s v="short red/black cable w/ black terminal"/>
    <s v="small one"/>
    <s v="single"/>
    <m/>
    <n v="48"/>
    <s v="14-18 ALL"/>
    <s v="BMW X5 (F15) (14-18)"/>
    <s v="F15 ALL"/>
    <m/>
    <m/>
    <m/>
    <m/>
    <m/>
    <m/>
    <s v="F15"/>
    <s v="14-18"/>
    <s v="ALL"/>
    <s v="F15-14-18-ALL"/>
    <s v="Viking76"/>
    <s v="F15-14-18-ALL-Viking76"/>
  </r>
  <r>
    <s v="A32"/>
    <s v=""/>
    <m/>
    <m/>
    <s v=""/>
    <s v="ENF"/>
    <d v="2022-05-02T00:00:00"/>
    <m/>
    <m/>
    <s v="KEEP"/>
    <s v="Trunk"/>
    <s v="Battery Cable"/>
    <s v="never"/>
    <n v="22"/>
    <s v="A32"/>
    <s v="Box 2"/>
    <n v="1"/>
    <s v="A32. Battery Cable, POSITIVE &amp; Attached Terminal Bracket, THE BIG PRIMARY ONE"/>
    <s v="PIC"/>
    <n v="4"/>
    <n v="9322056"/>
    <s v="Yes"/>
    <m/>
    <m/>
    <m/>
    <x v="330"/>
    <s v="Battery Cable, POSITIVE &amp; Attached Terminal Bracket, THE BIG PRIMARY ONE"/>
    <s v="thicker red cable w/ red terminal | BIG ONE"/>
    <s v="thicker red cable w/ red terminal"/>
    <s v="BIG ONE"/>
    <s v="single"/>
    <m/>
    <n v="150"/>
    <s v="14-18 ALL"/>
    <s v="BMW X5 (F15) (14-18)"/>
    <s v="F15 ALL"/>
    <m/>
    <m/>
    <m/>
    <m/>
    <m/>
    <m/>
    <s v="F15"/>
    <s v="14-18"/>
    <s v="ALL"/>
    <s v="F15-14-18-ALL"/>
    <s v="Viking77"/>
    <s v="F15-14-18-ALL-Viking77"/>
  </r>
  <r>
    <s v="A76"/>
    <s v="596-894"/>
    <m/>
    <m/>
    <n v="1"/>
    <s v="ENF"/>
    <d v="2023-10-19T00:00:00"/>
    <m/>
    <m/>
    <s v="KEEP"/>
    <s v="Trunk"/>
    <s v="Camera"/>
    <s v="sometimes"/>
    <n v="66"/>
    <s v="A76"/>
    <s v="Box 4"/>
    <n v="1"/>
    <s v="A76. Camera, REAR Backup Camera"/>
    <s v="PIC"/>
    <n v="4"/>
    <s v="06932935001, 1327011118, 90846804"/>
    <s v="No"/>
    <m/>
    <m/>
    <m/>
    <x v="331"/>
    <s v="Camera, REAR Backup Camera"/>
    <s v="remove from trunk handle &amp; sell each solo | mark location"/>
    <s v="remove from trunk handle &amp; sell each solo"/>
    <s v="mark location"/>
    <s v="single"/>
    <m/>
    <n v="225"/>
    <s v="14-18 ALL"/>
    <s v="BMW X5 (F15) (14-18)"/>
    <s v="F15 ALL"/>
    <m/>
    <n v="596"/>
    <s v="-"/>
    <n v="894"/>
    <s v="596-894"/>
    <m/>
    <m/>
    <m/>
    <m/>
    <m/>
    <m/>
    <s v=""/>
  </r>
  <r>
    <s v="A122"/>
    <s v=""/>
    <m/>
    <m/>
    <s v=""/>
    <s v="ENF"/>
    <d v="2022-05-03T00:00:00"/>
    <m/>
    <s v="DRF Check"/>
    <s v="KEEP"/>
    <s v="Trunk"/>
    <s v="Trunk Interior Hardware"/>
    <s v="never"/>
    <n v="112"/>
    <s v="A122"/>
    <s v="FLAW"/>
    <n v="1"/>
    <s v="A122. Cargo Cover, Large Retractable"/>
    <s v="PIC"/>
    <n v="8"/>
    <s v="NPN"/>
    <s v="Yes"/>
    <s v="scuffs on frame"/>
    <m/>
    <s v="Black"/>
    <x v="332"/>
    <s v="Cargo Cover, Large Retractable"/>
    <s v="only keep if minor flaws or better"/>
    <s v="only keep if minor flaws or better"/>
    <m/>
    <s v="single"/>
    <m/>
    <n v="195"/>
    <s v="14-18 ALL"/>
    <s v="BMW X5 (F15) (14-18)"/>
    <s v="F15 ALL"/>
    <m/>
    <m/>
    <m/>
    <m/>
    <m/>
    <m/>
    <s v="F15"/>
    <s v="14-18"/>
    <s v="ALL"/>
    <s v="F15-14-18-ALL"/>
    <s v="Viking78"/>
    <s v="F15-14-18-ALL-Viking78"/>
  </r>
  <r>
    <s v="A107"/>
    <s v="170-60923"/>
    <m/>
    <m/>
    <n v="1"/>
    <s v="ENF"/>
    <d v="2022-04-23T00:00:00"/>
    <m/>
    <m/>
    <s v="KEEP"/>
    <s v="Trunk"/>
    <s v="Tailgate, Lower"/>
    <s v="always"/>
    <n v="97"/>
    <s v="A107"/>
    <s v="Box Bulk 1"/>
    <n v="1"/>
    <s v="A107. Trunk Assembly - LOWER TAILGATE"/>
    <s v="PIC"/>
    <n v="8"/>
    <s v="41007378123, 7378123"/>
    <s v="Yes"/>
    <m/>
    <m/>
    <m/>
    <x v="333"/>
    <s v="Trunk Assembly - LOWER TAILGATE"/>
    <s v=""/>
    <m/>
    <m/>
    <s v="single"/>
    <m/>
    <n v="850"/>
    <s v="14-18 ALL"/>
    <s v="BMW X5 (F15) (14-18)"/>
    <s v="F15 ALL"/>
    <m/>
    <s v="170"/>
    <s v="-"/>
    <n v="60923"/>
    <s v="170-60923"/>
    <m/>
    <m/>
    <m/>
    <m/>
    <m/>
    <m/>
    <s v=""/>
  </r>
  <r>
    <s v="A11"/>
    <s v=""/>
    <m/>
    <m/>
    <s v=""/>
    <s v="ENF"/>
    <d v="2022-05-02T00:00:00"/>
    <m/>
    <m/>
    <s v="KEEP"/>
    <s v="Trunk"/>
    <s v="Trunk Hardware"/>
    <s v="never"/>
    <n v="1"/>
    <s v="A11"/>
    <s v="Box 1"/>
    <n v="1"/>
    <s v="A11. Trunk Electric Shock SET 2"/>
    <s v="PIC"/>
    <n v="5"/>
    <s v="7294469, 7361878"/>
    <s v="Yes"/>
    <m/>
    <m/>
    <m/>
    <x v="334"/>
    <s v="Trunk Electric Shock SET 2"/>
    <s v="SET 2, sell singles if 1 bad"/>
    <s v="SET 2, sell singles if 1 bad"/>
    <m/>
    <s v="SET/2"/>
    <m/>
    <n v="225"/>
    <s v="14-18 ALL"/>
    <s v="BMW X5 (F15) (14-18)"/>
    <s v="F15 ALL"/>
    <m/>
    <m/>
    <m/>
    <m/>
    <m/>
    <m/>
    <s v="F15"/>
    <s v="14-18"/>
    <s v="ALL"/>
    <s v="F15-14-18-ALL"/>
    <s v="Viking79"/>
    <s v="F15-14-18-ALL-Viking79"/>
  </r>
  <r>
    <s v=""/>
    <s v=""/>
    <m/>
    <m/>
    <s v=""/>
    <s v="ENF"/>
    <d v="2022-05-02T00:00:00"/>
    <m/>
    <m/>
    <s v="KEEP"/>
    <s v="Trunk"/>
    <s v="Trunk Hardware"/>
    <s v="never"/>
    <m/>
    <m/>
    <m/>
    <m/>
    <s v=". Trunk Electric Shock, LEFT"/>
    <m/>
    <m/>
    <m/>
    <m/>
    <m/>
    <m/>
    <m/>
    <x v="334"/>
    <s v="Trunk Electric Shock, LEFT"/>
    <s v=""/>
    <m/>
    <m/>
    <s v="single"/>
    <m/>
    <n v="120"/>
    <s v="14-18 ALL"/>
    <s v="BMW X5 (F15) (14-18)"/>
    <s v="F15 ALL"/>
    <m/>
    <m/>
    <m/>
    <m/>
    <m/>
    <m/>
    <s v="F15"/>
    <s v="14-18"/>
    <s v="ALL"/>
    <s v="F15-14-18-ALL"/>
    <s v="Viking80"/>
    <s v="F15-14-18-ALL-Viking80"/>
  </r>
  <r>
    <s v=""/>
    <s v=""/>
    <m/>
    <m/>
    <s v=""/>
    <s v="ENF"/>
    <d v="2022-05-02T00:00:00"/>
    <m/>
    <m/>
    <s v="KEEP"/>
    <s v="Trunk"/>
    <s v="Trunk Hardware"/>
    <s v="never"/>
    <m/>
    <m/>
    <m/>
    <m/>
    <s v=". Trunk Electric Shock, RIGHT"/>
    <m/>
    <m/>
    <m/>
    <m/>
    <m/>
    <m/>
    <m/>
    <x v="334"/>
    <s v="Trunk Electric Shock, RIGHT"/>
    <s v=""/>
    <m/>
    <m/>
    <s v="single"/>
    <m/>
    <n v="120"/>
    <s v="14-18 ALL"/>
    <s v="BMW X5 (F15) (14-18)"/>
    <s v="F15 ALL"/>
    <m/>
    <m/>
    <m/>
    <m/>
    <m/>
    <m/>
    <s v="F15"/>
    <s v="14-18"/>
    <s v="ALL"/>
    <s v="F15-14-18-ALL"/>
    <s v="Viking81"/>
    <s v="F15-14-18-ALL-Viking81"/>
  </r>
  <r>
    <s v="A53"/>
    <s v=""/>
    <m/>
    <m/>
    <s v=""/>
    <s v="ENF"/>
    <d v="2022-05-03T00:00:00"/>
    <m/>
    <s v="DRF Check"/>
    <s v="KEEP"/>
    <s v="Trunk"/>
    <s v="Trunk Hardware"/>
    <s v="never"/>
    <n v="43"/>
    <s v="A53"/>
    <s v="Box 3"/>
    <n v="1"/>
    <s v="A53. Trunk Emblem"/>
    <s v="PIC"/>
    <n v="4"/>
    <s v="51147294465, 7294465"/>
    <s v="Yes"/>
    <m/>
    <m/>
    <m/>
    <x v="335"/>
    <s v="Trunk Emblem"/>
    <s v=""/>
    <m/>
    <m/>
    <s v="single"/>
    <m/>
    <n v="45"/>
    <s v="14-18 ALL"/>
    <s v="BMW X5 (F15) (14-18)"/>
    <s v="F15 ALL"/>
    <m/>
    <m/>
    <m/>
    <m/>
    <m/>
    <m/>
    <s v="F15"/>
    <s v="14-18"/>
    <s v="ALL"/>
    <s v="F15-14-18-ALL"/>
    <s v="Viking82"/>
    <s v="F15-14-18-ALL-Viking82"/>
  </r>
  <r>
    <s v="A34"/>
    <s v="618-56287"/>
    <m/>
    <m/>
    <n v="1"/>
    <s v="ENF"/>
    <d v="2022-04-23T00:00:00"/>
    <m/>
    <m/>
    <s v="KEEP"/>
    <s v="Trunk"/>
    <s v="Wiper Motor"/>
    <s v="always"/>
    <n v="24"/>
    <s v="A34"/>
    <s v="Box 2"/>
    <n v="1"/>
    <s v="A34. Wiper Motor, Trunk"/>
    <s v="PIC"/>
    <n v="4"/>
    <s v="61627318710, 7318710"/>
    <s v="Yes"/>
    <m/>
    <m/>
    <m/>
    <x v="336"/>
    <s v="Wiper Motor, Trunk"/>
    <s v=""/>
    <m/>
    <m/>
    <s v="single"/>
    <m/>
    <n v="100"/>
    <s v="14-18 ALL"/>
    <s v="BMW X5 (F15) (14-18)"/>
    <s v="F15 ALL"/>
    <m/>
    <s v="618"/>
    <s v="-"/>
    <n v="56287"/>
    <s v="618-56287"/>
    <m/>
    <m/>
    <m/>
    <m/>
    <m/>
    <m/>
    <s v=""/>
  </r>
  <r>
    <s v=""/>
    <s v=""/>
    <m/>
    <m/>
    <s v=""/>
    <s v="ENF"/>
    <d v="2022-04-23T00:00:00"/>
    <m/>
    <m/>
    <s v="Parts"/>
    <s v="Trunk"/>
    <s v="Trunk Assembly"/>
    <s v="always"/>
    <m/>
    <m/>
    <m/>
    <m/>
    <s v=". Trunk Assembly - UPPER TRUNK"/>
    <m/>
    <m/>
    <m/>
    <m/>
    <m/>
    <m/>
    <m/>
    <x v="337"/>
    <s v="Trunk Assembly - UPPER TRUNK"/>
    <s v="part out"/>
    <s v="part out"/>
    <m/>
    <s v="single"/>
    <m/>
    <m/>
    <s v="14-18 ALL"/>
    <s v="BMW X5 (F15) (14-18)"/>
    <s v="F15 ALL"/>
    <m/>
    <m/>
    <s v="-"/>
    <m/>
    <m/>
    <m/>
    <m/>
    <m/>
    <m/>
    <m/>
    <m/>
    <s v=""/>
  </r>
  <r>
    <s v=""/>
    <s v=""/>
    <m/>
    <m/>
    <s v=""/>
    <s v="ENF"/>
    <d v="2022-05-03T00:00:00"/>
    <m/>
    <m/>
    <s v="Toss"/>
    <s v="Trunk"/>
    <s v="Trunk Interior Hardware"/>
    <s v="never"/>
    <m/>
    <m/>
    <m/>
    <m/>
    <s v=". Cargo Hooks"/>
    <m/>
    <m/>
    <m/>
    <m/>
    <m/>
    <m/>
    <m/>
    <x v="338"/>
    <s v="Cargo Hooks"/>
    <s v="TOSS ALL | these are the 4 that slide on rails"/>
    <s v="TOSS ALL"/>
    <s v="these are the 4 that slide on rails"/>
    <s v="single"/>
    <m/>
    <m/>
    <s v="14-18 ALL"/>
    <s v="BMW X5 (F15) (14-18)"/>
    <s v="F15 ALL"/>
    <m/>
    <m/>
    <m/>
    <m/>
    <m/>
    <m/>
    <m/>
    <m/>
    <m/>
    <m/>
    <m/>
    <s v=""/>
  </r>
  <r>
    <s v=""/>
    <s v=""/>
    <m/>
    <m/>
    <s v=""/>
    <s v="ENF"/>
    <d v="2022-05-03T00:00:00"/>
    <m/>
    <m/>
    <s v="Toss"/>
    <s v="Trunk"/>
    <s v="Trunk Interior Hardware"/>
    <s v="never"/>
    <m/>
    <m/>
    <m/>
    <m/>
    <s v=". Cargo Net"/>
    <m/>
    <m/>
    <m/>
    <m/>
    <m/>
    <m/>
    <m/>
    <x v="339"/>
    <s v="Cargo Net"/>
    <s v=""/>
    <m/>
    <m/>
    <s v="single"/>
    <m/>
    <m/>
    <s v="14-18 ALL"/>
    <s v="BMW X5 (F15) (14-18)"/>
    <s v="F15 ALL"/>
    <m/>
    <m/>
    <m/>
    <m/>
    <m/>
    <m/>
    <m/>
    <m/>
    <m/>
    <m/>
    <m/>
    <s v=""/>
  </r>
  <r>
    <s v=""/>
    <s v=""/>
    <m/>
    <m/>
    <s v=""/>
    <s v="ENF"/>
    <d v="2022-05-03T00:00:00"/>
    <m/>
    <m/>
    <s v="Toss"/>
    <s v="Trunk"/>
    <s v="Trunk Interior Hardware"/>
    <s v="never"/>
    <m/>
    <m/>
    <m/>
    <m/>
    <s v=". Cargo Rails"/>
    <m/>
    <m/>
    <m/>
    <m/>
    <m/>
    <m/>
    <m/>
    <x v="340"/>
    <s v="Cargo Rails"/>
    <s v="TOSS BOTH | the 2 trunk aluminum ones"/>
    <s v="TOSS BOTH"/>
    <s v="the 2 trunk aluminum ones"/>
    <s v="single"/>
    <m/>
    <m/>
    <s v="14-18 ALL"/>
    <s v="BMW X5 (F15) (14-18)"/>
    <s v="F15 ALL"/>
    <m/>
    <m/>
    <m/>
    <m/>
    <m/>
    <m/>
    <m/>
    <m/>
    <m/>
    <m/>
    <m/>
    <s v=""/>
  </r>
  <r>
    <s v=""/>
    <s v=""/>
    <m/>
    <m/>
    <s v=""/>
    <s v="ENF"/>
    <d v="2022-04-20T00:00:00"/>
    <m/>
    <m/>
    <s v="Toss"/>
    <s v="Trunk"/>
    <s v="Lights (other than headlight &amp; taillight)"/>
    <s v="never"/>
    <m/>
    <m/>
    <m/>
    <m/>
    <s v=". License Plate Lights"/>
    <m/>
    <m/>
    <m/>
    <m/>
    <m/>
    <m/>
    <m/>
    <x v="205"/>
    <s v="License Plate Lights"/>
    <s v="TOSS BOTH"/>
    <s v="TOSS BOTH"/>
    <m/>
    <s v="single"/>
    <m/>
    <m/>
    <s v="14-18 ALL"/>
    <s v="BMW X5 (F15) (14-18)"/>
    <s v="F15 ALL"/>
    <m/>
    <m/>
    <m/>
    <m/>
    <m/>
    <m/>
    <m/>
    <m/>
    <m/>
    <m/>
    <m/>
    <s v=""/>
  </r>
  <r>
    <s v=""/>
    <s v=""/>
    <m/>
    <m/>
    <s v=""/>
    <s v="AJR"/>
    <d v="2023-03-08T00:00:00"/>
    <m/>
    <m/>
    <s v="Toss"/>
    <s v="Trunk"/>
    <s v="Battery Cable"/>
    <s v="never"/>
    <m/>
    <m/>
    <m/>
    <m/>
    <s v=". Negative Battery Cable"/>
    <m/>
    <m/>
    <m/>
    <m/>
    <m/>
    <m/>
    <m/>
    <x v="341"/>
    <s v="Negative Battery Cable"/>
    <s v="standard brown cable no module"/>
    <m/>
    <s v="standard brown cable no module"/>
    <s v="single"/>
    <n v="9255047"/>
    <m/>
    <s v="14-18 ALL"/>
    <s v="BMW X5 (F15) (14-18)"/>
    <s v="F15 ALL"/>
    <m/>
    <m/>
    <m/>
    <m/>
    <m/>
    <m/>
    <m/>
    <m/>
    <m/>
    <m/>
    <m/>
    <s v=""/>
  </r>
  <r>
    <s v=""/>
    <s v=""/>
    <m/>
    <m/>
    <s v=""/>
    <s v="ENF"/>
    <d v="2022-05-03T00:00:00"/>
    <m/>
    <m/>
    <s v="Toss"/>
    <s v="Trunk"/>
    <s v="Fuse &amp; Junction Boxes"/>
    <s v="never"/>
    <m/>
    <m/>
    <m/>
    <m/>
    <s v=". Positive Battery Distribution Box"/>
    <m/>
    <m/>
    <m/>
    <m/>
    <m/>
    <m/>
    <m/>
    <x v="342"/>
    <s v="Positive Battery Distribution Box"/>
    <s v="6x6 inch flat w/ red plastic on top &amp; black on bottom"/>
    <m/>
    <s v="6x6 inch flat w/ red plastic on top &amp; black on bottom"/>
    <s v="single"/>
    <m/>
    <m/>
    <s v="14-18 ALL"/>
    <s v="BMW X5 (F15) (14-18)"/>
    <s v="F15 ALL"/>
    <m/>
    <m/>
    <m/>
    <m/>
    <m/>
    <m/>
    <m/>
    <m/>
    <m/>
    <m/>
    <m/>
    <s v=""/>
  </r>
  <r>
    <s v=""/>
    <s v=""/>
    <m/>
    <m/>
    <s v=""/>
    <s v="ENF"/>
    <d v="2022-05-03T00:00:00"/>
    <m/>
    <m/>
    <s v="Toss"/>
    <s v="Trunk"/>
    <s v="Switch Button"/>
    <s v="never"/>
    <m/>
    <m/>
    <m/>
    <m/>
    <s v=". Switch/Button, Trunk Open Close Switch Button"/>
    <m/>
    <m/>
    <m/>
    <m/>
    <m/>
    <m/>
    <m/>
    <x v="343"/>
    <s v="Switch/Button, Trunk Open Close Switch Button"/>
    <s v="trunk mounted"/>
    <m/>
    <s v="trunk mounted"/>
    <s v="single"/>
    <m/>
    <m/>
    <s v="14-18 ALL"/>
    <s v="BMW X5 (F15) (14-18)"/>
    <s v="F15 ALL"/>
    <m/>
    <m/>
    <m/>
    <m/>
    <m/>
    <m/>
    <m/>
    <m/>
    <m/>
    <m/>
    <m/>
    <s v=""/>
  </r>
  <r>
    <s v=""/>
    <s v=""/>
    <m/>
    <m/>
    <s v=""/>
    <s v="ENF"/>
    <d v="2022-04-23T00:00:00"/>
    <m/>
    <m/>
    <s v="Toss"/>
    <s v="Trunk"/>
    <s v="Wiper Arm"/>
    <s v="always CPI+"/>
    <m/>
    <m/>
    <m/>
    <m/>
    <s v=". Wiper Arm, REAR"/>
    <m/>
    <m/>
    <m/>
    <m/>
    <m/>
    <m/>
    <m/>
    <x v="344"/>
    <s v="Wiper Arm, REAR"/>
    <s v=""/>
    <m/>
    <m/>
    <s v="single"/>
    <m/>
    <m/>
    <s v="14-18 ALL"/>
    <s v="BMW X5 (F15) (14-18)"/>
    <s v="F15 ALL"/>
    <m/>
    <m/>
    <s v="-"/>
    <m/>
    <m/>
    <m/>
    <m/>
    <m/>
    <m/>
    <m/>
    <m/>
    <s v=""/>
  </r>
  <r>
    <s v=""/>
    <s v=""/>
    <m/>
    <m/>
    <s v=""/>
    <s v="ENF"/>
    <d v="2022-05-03T00:00:00"/>
    <m/>
    <s v="DRF Check"/>
    <s v="Vary"/>
    <s v="Wheel"/>
    <s v="Wheels"/>
    <s v="always"/>
    <m/>
    <m/>
    <m/>
    <m/>
    <s v=". Wheels (ask DRF - tons of options)"/>
    <m/>
    <m/>
    <m/>
    <m/>
    <m/>
    <m/>
    <m/>
    <x v="345"/>
    <s v="Wheels (ask DRF - tons of options)"/>
    <s v=""/>
    <m/>
    <m/>
    <s v="single"/>
    <m/>
    <s v="Ask DRF"/>
    <s v="14-18 ALL"/>
    <s v="BMW X5 (F15) (14-18)"/>
    <s v="F15 ALL"/>
    <m/>
    <m/>
    <s v="-"/>
    <m/>
    <m/>
    <m/>
    <m/>
    <m/>
    <m/>
    <m/>
    <m/>
    <s v=""/>
  </r>
  <r>
    <s v=""/>
    <s v="560-86054"/>
    <s v="560-86054-1"/>
    <m/>
    <n v="3"/>
    <s v="ENF"/>
    <d v="2023-10-20T00:00:00"/>
    <m/>
    <m/>
    <s v="KEEP"/>
    <s v="Wheel"/>
    <s v="Wheels"/>
    <s v="always"/>
    <m/>
    <m/>
    <m/>
    <m/>
    <s v=". Wheels SET 4 (560-86059 x2 &amp; 560-86054 x2)"/>
    <m/>
    <m/>
    <s v="36116858528, 6858528, 36116858527, 6858527"/>
    <s v="Yes"/>
    <m/>
    <m/>
    <m/>
    <x v="346"/>
    <s v="Wheels SET 4 (560-86059 x2 &amp; 560-86054 x2)"/>
    <s v="sell as SET/4, but sell singles if 1 bad"/>
    <s v="sell as SET/4, but sell singles if 1 bad"/>
    <m/>
    <s v="SET 4"/>
    <m/>
    <n v="1000"/>
    <s v="14-18 ALL"/>
    <s v="BMW X5 (F15) (14-18)"/>
    <s v="NEVER"/>
    <m/>
    <n v="560"/>
    <s v="-"/>
    <n v="86054"/>
    <s v="560-86054"/>
    <m/>
    <m/>
    <m/>
    <m/>
    <m/>
    <m/>
    <s v=""/>
  </r>
  <r>
    <s v="A87"/>
    <s v="560-86054"/>
    <s v="560-86054-2"/>
    <s v="A87"/>
    <n v="3"/>
    <s v="ENF"/>
    <d v="2023-10-20T00:00:00"/>
    <m/>
    <m/>
    <s v="KEEP"/>
    <s v="Wheel"/>
    <s v="Wheels"/>
    <s v="always"/>
    <n v="77"/>
    <s v="A87"/>
    <s v="Box Bulk 1"/>
    <n v="1"/>
    <s v="A87. Wheel, FRONT - LEFT or RIGHT"/>
    <s v="PIC"/>
    <n v="9"/>
    <s v="36116858527, 6858527"/>
    <s v="Yes"/>
    <s v="scuffs, scratches, curb rash"/>
    <s v="marked 2"/>
    <m/>
    <x v="347"/>
    <s v="Wheel, FRONT - LEFT or RIGHT"/>
    <s v=""/>
    <m/>
    <m/>
    <s v="single"/>
    <m/>
    <n v="350"/>
    <s v="14-18 ALL"/>
    <s v="BMW X5 (F15) (14-18)"/>
    <s v="NEVER"/>
    <m/>
    <n v="560"/>
    <s v="-"/>
    <n v="86054"/>
    <s v="560-86054"/>
    <m/>
    <m/>
    <m/>
    <m/>
    <m/>
    <m/>
    <s v=""/>
  </r>
  <r>
    <s v="A88"/>
    <s v="560-86054"/>
    <s v="560-86054-2"/>
    <s v="A88"/>
    <n v="3"/>
    <s v="ENF"/>
    <d v="2023-10-20T00:00:00"/>
    <m/>
    <m/>
    <s v="KEEP"/>
    <s v="Wheel"/>
    <s v="Wheels"/>
    <s v="always"/>
    <n v="78"/>
    <s v="A88"/>
    <s v="Box Bulk 1"/>
    <n v="1"/>
    <s v="A88. Wheel, FRONT - LEFT or RIGHT"/>
    <s v="PIC"/>
    <n v="9"/>
    <s v="36116858527, 6858527"/>
    <s v="Yes"/>
    <s v="scuffs, scratches, curb rash"/>
    <s v="marked 3"/>
    <m/>
    <x v="347"/>
    <s v="Wheel, FRONT - LEFT or RIGHT"/>
    <s v=""/>
    <m/>
    <m/>
    <s v="single"/>
    <m/>
    <n v="350"/>
    <s v="14-18 ALL"/>
    <s v="BMW X5 (F15) (14-18)"/>
    <s v="NEVER"/>
    <m/>
    <n v="560"/>
    <s v="-"/>
    <n v="86054"/>
    <s v="560-86054"/>
    <m/>
    <m/>
    <m/>
    <m/>
    <m/>
    <m/>
    <s v=""/>
  </r>
  <r>
    <s v="A89"/>
    <s v="560-86059"/>
    <m/>
    <m/>
    <n v="2"/>
    <s v="ENF"/>
    <d v="2023-10-20T00:00:00"/>
    <m/>
    <m/>
    <s v="KEEP"/>
    <s v="Wheel"/>
    <s v="Wheels"/>
    <s v="always"/>
    <n v="79"/>
    <s v="A89"/>
    <s v="Box Bulk 1"/>
    <n v="1"/>
    <s v="A89. Wheel, REAR - LEFT or RIGHT"/>
    <s v="PIC"/>
    <n v="9"/>
    <s v="36116858528, 6858528"/>
    <s v="Yes"/>
    <s v="scuffs, scratches, curb rash"/>
    <s v="marked 1"/>
    <m/>
    <x v="348"/>
    <s v="Wheel, REAR - LEFT or RIGHT"/>
    <s v=""/>
    <m/>
    <m/>
    <s v="single"/>
    <m/>
    <n v="350"/>
    <s v="14-18 ALL"/>
    <s v="BMW X5 (F15) (14-18)"/>
    <s v="NEVER"/>
    <m/>
    <n v="560"/>
    <s v="-"/>
    <n v="86059"/>
    <s v="560-86059"/>
    <m/>
    <m/>
    <m/>
    <m/>
    <m/>
    <m/>
    <s v=""/>
  </r>
  <r>
    <s v=""/>
    <s v="560-86059"/>
    <m/>
    <m/>
    <n v="2"/>
    <s v="ENF"/>
    <d v="2023-10-20T00:00:00"/>
    <m/>
    <m/>
    <s v="KEEP"/>
    <s v="Wheel"/>
    <s v="Wheels"/>
    <s v="always"/>
    <m/>
    <m/>
    <m/>
    <m/>
    <s v=". Wheel, REAR - LEFT or RIGHT"/>
    <m/>
    <m/>
    <s v="36116858528, 6858528"/>
    <s v="Yes"/>
    <m/>
    <s v="marked (INSERT)"/>
    <m/>
    <x v="348"/>
    <s v="Wheel, REAR - LEFT or RIGHT"/>
    <s v=""/>
    <m/>
    <m/>
    <s v="single"/>
    <m/>
    <n v="350"/>
    <s v="14-18 ALL"/>
    <s v="BMW X5 (F15) (14-18)"/>
    <s v="NEVER"/>
    <m/>
    <n v="560"/>
    <s v="-"/>
    <n v="86059"/>
    <s v="560-86059"/>
    <m/>
    <m/>
    <m/>
    <m/>
    <m/>
    <m/>
    <s v=""/>
  </r>
  <r>
    <s v="A24"/>
    <s v=""/>
    <m/>
    <m/>
    <s v=""/>
    <s v="AJR"/>
    <d v="2023-01-10T00:00:00"/>
    <m/>
    <m/>
    <s v="KEEP"/>
    <s v="Wheel"/>
    <s v="Module"/>
    <s v="never"/>
    <n v="14"/>
    <s v="A24"/>
    <s v="Box 1"/>
    <n v="1"/>
    <s v="A24. TPMS Tire Pressure Sensor SET 4"/>
    <s v="PIC"/>
    <n v="3"/>
    <n v="6855539"/>
    <s v="Yes"/>
    <m/>
    <m/>
    <m/>
    <x v="349"/>
    <s v="TPMS Tire Pressure Sensor SET 4"/>
    <s v="if 1 bad toss all"/>
    <s v="if 1 bad toss all"/>
    <m/>
    <s v="SET/4"/>
    <m/>
    <n v="75"/>
    <s v="14-18 ALL"/>
    <s v="BMW X5 (F15) (14-18)"/>
    <s v="F15 ALL"/>
    <m/>
    <m/>
    <m/>
    <m/>
    <m/>
    <m/>
    <s v="F15"/>
    <s v="14-18"/>
    <s v="ALL"/>
    <s v="F15-14-18-ALL"/>
    <s v="Viking83"/>
    <s v="F15-14-18-ALL-Viking83"/>
  </r>
  <r>
    <s v=""/>
    <s v=""/>
    <m/>
    <m/>
    <s v=""/>
    <s v="AJR"/>
    <d v="2023-03-13T00:00:00"/>
    <m/>
    <m/>
    <s v="KEEP"/>
    <s v="Wheel"/>
    <s v="Lug Nuts"/>
    <s v="never"/>
    <m/>
    <m/>
    <m/>
    <m/>
    <s v=". Wheel Lock Nuts &amp; Key"/>
    <m/>
    <m/>
    <m/>
    <m/>
    <m/>
    <m/>
    <m/>
    <x v="350"/>
    <s v="Wheel Lock Nuts &amp; Key"/>
    <s v="if 1 missing toss all"/>
    <s v="if 1 missing toss all"/>
    <m/>
    <s v="single"/>
    <m/>
    <n v="70"/>
    <s v="14-18 ALL"/>
    <s v="BMW X5 (F15) (14-18)"/>
    <s v="F15 ALL"/>
    <m/>
    <m/>
    <m/>
    <m/>
    <m/>
    <m/>
    <m/>
    <m/>
    <m/>
    <m/>
    <m/>
    <s v=""/>
  </r>
  <r>
    <s v=""/>
    <s v=""/>
    <m/>
    <m/>
    <s v=""/>
    <s v="ENF"/>
    <d v="2022-04-23T00:00:00"/>
    <m/>
    <m/>
    <s v="Toss"/>
    <s v="Wheel"/>
    <s v="Lug Nuts"/>
    <s v="never"/>
    <m/>
    <m/>
    <m/>
    <m/>
    <s v=". Lug Nuts"/>
    <m/>
    <m/>
    <m/>
    <m/>
    <m/>
    <m/>
    <m/>
    <x v="351"/>
    <s v="Lug Nuts"/>
    <s v=""/>
    <m/>
    <m/>
    <s v="single"/>
    <m/>
    <m/>
    <s v="14-18 ALL"/>
    <s v="BMW X5 (F15) (14-18)"/>
    <s v="F15 ALL"/>
    <m/>
    <m/>
    <m/>
    <m/>
    <m/>
    <m/>
    <m/>
    <m/>
    <m/>
    <m/>
    <m/>
    <s v=""/>
  </r>
  <r>
    <s v=""/>
    <s v=""/>
    <m/>
    <m/>
    <s v=""/>
    <s v="ENF"/>
    <d v="2022-04-23T00:00:00"/>
    <m/>
    <m/>
    <s v="Toss"/>
    <s v="Wheel"/>
    <s v="Sensors"/>
    <s v="never"/>
    <m/>
    <m/>
    <m/>
    <m/>
    <s v=". Wheel Speed Sensors"/>
    <m/>
    <m/>
    <m/>
    <m/>
    <m/>
    <m/>
    <m/>
    <x v="352"/>
    <s v="Wheel Speed Sensors"/>
    <s v="TOSS ALL"/>
    <s v="TOSS ALL"/>
    <m/>
    <s v="single"/>
    <m/>
    <m/>
    <s v="14-18 ALL"/>
    <s v="BMW X5 (F15) (14-18)"/>
    <s v="F15 ALL"/>
    <m/>
    <m/>
    <m/>
    <m/>
    <m/>
    <m/>
    <m/>
    <m/>
    <m/>
    <m/>
    <m/>
    <s v=""/>
  </r>
  <r>
    <s v=""/>
    <m/>
    <m/>
    <m/>
    <m/>
    <m/>
    <m/>
    <m/>
    <m/>
    <m/>
    <m/>
    <m/>
    <m/>
    <m/>
    <m/>
    <m/>
    <m/>
    <m/>
    <m/>
    <m/>
    <m/>
    <m/>
    <m/>
    <m/>
    <m/>
    <x v="353"/>
    <m/>
    <m/>
    <m/>
    <m/>
    <m/>
    <m/>
    <m/>
    <m/>
    <m/>
    <m/>
    <m/>
    <m/>
    <s v="-"/>
    <m/>
    <m/>
    <m/>
    <m/>
    <m/>
    <m/>
    <m/>
    <m/>
    <m/>
  </r>
  <r>
    <s v=""/>
    <m/>
    <m/>
    <m/>
    <m/>
    <m/>
    <m/>
    <m/>
    <m/>
    <m/>
    <m/>
    <m/>
    <m/>
    <m/>
    <m/>
    <m/>
    <m/>
    <m/>
    <m/>
    <m/>
    <m/>
    <m/>
    <m/>
    <m/>
    <m/>
    <x v="353"/>
    <m/>
    <m/>
    <m/>
    <m/>
    <m/>
    <m/>
    <m/>
    <m/>
    <m/>
    <m/>
    <m/>
    <m/>
    <s v="-"/>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r>
    <s v=""/>
    <m/>
    <m/>
    <m/>
    <m/>
    <m/>
    <m/>
    <m/>
    <m/>
    <m/>
    <m/>
    <m/>
    <m/>
    <m/>
    <m/>
    <m/>
    <m/>
    <m/>
    <m/>
    <m/>
    <m/>
    <m/>
    <m/>
    <m/>
    <m/>
    <x v="353"/>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AABFB3-EC20-447F-B62B-772D87B0C761}"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C356" firstHeaderRow="0" firstDataRow="1" firstDataCol="1"/>
  <pivotFields count="48">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55">
        <item x="191"/>
        <item x="25"/>
        <item x="173"/>
        <item x="206"/>
        <item x="85"/>
        <item x="95"/>
        <item x="70"/>
        <item x="26"/>
        <item x="27"/>
        <item x="238"/>
        <item x="135"/>
        <item x="136"/>
        <item x="137"/>
        <item x="138"/>
        <item x="139"/>
        <item x="257"/>
        <item x="140"/>
        <item x="28"/>
        <item x="141"/>
        <item x="207"/>
        <item x="208"/>
        <item x="209"/>
        <item x="240"/>
        <item x="241"/>
        <item x="242"/>
        <item x="313"/>
        <item x="281"/>
        <item x="282"/>
        <item x="306"/>
        <item x="328"/>
        <item x="329"/>
        <item x="330"/>
        <item x="210"/>
        <item x="211"/>
        <item x="174"/>
        <item x="142"/>
        <item x="212"/>
        <item x="307"/>
        <item x="308"/>
        <item x="102"/>
        <item x="103"/>
        <item x="101"/>
        <item x="104"/>
        <item x="243"/>
        <item x="213"/>
        <item x="331"/>
        <item x="214"/>
        <item x="75"/>
        <item x="29"/>
        <item x="30"/>
        <item x="31"/>
        <item x="332"/>
        <item x="338"/>
        <item x="339"/>
        <item x="340"/>
        <item x="144"/>
        <item x="143"/>
        <item x="309"/>
        <item x="134"/>
        <item x="133"/>
        <item x="145"/>
        <item x="283"/>
        <item x="284"/>
        <item x="285"/>
        <item x="286"/>
        <item x="287"/>
        <item x="96"/>
        <item x="244"/>
        <item x="32"/>
        <item x="245"/>
        <item x="146"/>
        <item x="33"/>
        <item x="288"/>
        <item x="289"/>
        <item x="147"/>
        <item x="175"/>
        <item x="1"/>
        <item x="17"/>
        <item x="12"/>
        <item x="21"/>
        <item x="7"/>
        <item x="2"/>
        <item x="3"/>
        <item x="18"/>
        <item x="19"/>
        <item x="13"/>
        <item x="14"/>
        <item x="22"/>
        <item x="23"/>
        <item x="4"/>
        <item x="8"/>
        <item x="9"/>
        <item x="290"/>
        <item x="278"/>
        <item x="279"/>
        <item x="277"/>
        <item x="291"/>
        <item x="34"/>
        <item x="215"/>
        <item x="69"/>
        <item x="35"/>
        <item x="37"/>
        <item x="36"/>
        <item x="38"/>
        <item x="216"/>
        <item x="82"/>
        <item x="118"/>
        <item x="192"/>
        <item x="193"/>
        <item x="246"/>
        <item x="39"/>
        <item x="239"/>
        <item x="40"/>
        <item x="41"/>
        <item x="42"/>
        <item x="43"/>
        <item x="44"/>
        <item x="45"/>
        <item x="109"/>
        <item x="76"/>
        <item x="248"/>
        <item x="217"/>
        <item x="119"/>
        <item x="149"/>
        <item x="176"/>
        <item x="177"/>
        <item x="107"/>
        <item x="105"/>
        <item x="106"/>
        <item x="108"/>
        <item x="322"/>
        <item x="46"/>
        <item x="150"/>
        <item x="151"/>
        <item x="152"/>
        <item x="194"/>
        <item x="110"/>
        <item x="200"/>
        <item x="195"/>
        <item x="196"/>
        <item x="197"/>
        <item x="198"/>
        <item x="199"/>
        <item x="264"/>
        <item x="272"/>
        <item x="269"/>
        <item x="292"/>
        <item x="293"/>
        <item x="294"/>
        <item x="295"/>
        <item x="130"/>
        <item x="127"/>
        <item x="128"/>
        <item x="131"/>
        <item x="129"/>
        <item x="132"/>
        <item x="86"/>
        <item x="154"/>
        <item x="247"/>
        <item x="153"/>
        <item x="218"/>
        <item x="47"/>
        <item x="48"/>
        <item x="49"/>
        <item x="50"/>
        <item x="51"/>
        <item x="52"/>
        <item x="219"/>
        <item x="87"/>
        <item x="88"/>
        <item x="89"/>
        <item x="220"/>
        <item x="221"/>
        <item x="222"/>
        <item x="81"/>
        <item x="223"/>
        <item x="224"/>
        <item x="205"/>
        <item x="120"/>
        <item x="249"/>
        <item x="351"/>
        <item x="77"/>
        <item x="178"/>
        <item x="5"/>
        <item x="20"/>
        <item x="155"/>
        <item x="225"/>
        <item x="296"/>
        <item x="156"/>
        <item x="341"/>
        <item x="53"/>
        <item x="55"/>
        <item x="54"/>
        <item x="323"/>
        <item x="57"/>
        <item x="58"/>
        <item x="59"/>
        <item x="157"/>
        <item x="60"/>
        <item x="226"/>
        <item x="111"/>
        <item x="112"/>
        <item x="179"/>
        <item x="62"/>
        <item x="342"/>
        <item x="250"/>
        <item x="90"/>
        <item x="63"/>
        <item x="91"/>
        <item x="97"/>
        <item x="92"/>
        <item x="158"/>
        <item x="227"/>
        <item x="228"/>
        <item x="270"/>
        <item x="180"/>
        <item x="121"/>
        <item x="122"/>
        <item x="113"/>
        <item x="114"/>
        <item x="115"/>
        <item x="0"/>
        <item x="265"/>
        <item x="273"/>
        <item x="229"/>
        <item x="230"/>
        <item x="231"/>
        <item x="232"/>
        <item x="251"/>
        <item x="271"/>
        <item x="266"/>
        <item x="267"/>
        <item x="274"/>
        <item x="275"/>
        <item x="268"/>
        <item x="276"/>
        <item x="258"/>
        <item x="262"/>
        <item x="259"/>
        <item x="263"/>
        <item x="260"/>
        <item x="261"/>
        <item x="123"/>
        <item x="148"/>
        <item x="297"/>
        <item x="298"/>
        <item x="299"/>
        <item x="300"/>
        <item x="181"/>
        <item x="255"/>
        <item x="254"/>
        <item x="253"/>
        <item x="159"/>
        <item x="182"/>
        <item x="310"/>
        <item x="117"/>
        <item x="124"/>
        <item x="116"/>
        <item x="302"/>
        <item x="303"/>
        <item x="301"/>
        <item x="78"/>
        <item x="183"/>
        <item x="160"/>
        <item x="252"/>
        <item x="305"/>
        <item x="304"/>
        <item x="162"/>
        <item x="184"/>
        <item x="185"/>
        <item x="163"/>
        <item x="161"/>
        <item x="311"/>
        <item x="190"/>
        <item x="187"/>
        <item x="188"/>
        <item x="189"/>
        <item x="98"/>
        <item x="233"/>
        <item x="280"/>
        <item x="312"/>
        <item x="168"/>
        <item x="16"/>
        <item x="6"/>
        <item x="164"/>
        <item x="343"/>
        <item x="234"/>
        <item x="201"/>
        <item x="202"/>
        <item x="203"/>
        <item x="204"/>
        <item x="235"/>
        <item x="79"/>
        <item x="64"/>
        <item x="80"/>
        <item x="65"/>
        <item x="66"/>
        <item x="67"/>
        <item x="314"/>
        <item x="125"/>
        <item x="126"/>
        <item x="236"/>
        <item x="349"/>
        <item x="165"/>
        <item x="315"/>
        <item x="316"/>
        <item x="321"/>
        <item x="324"/>
        <item x="317"/>
        <item x="319"/>
        <item x="318"/>
        <item x="256"/>
        <item x="333"/>
        <item x="337"/>
        <item x="334"/>
        <item x="335"/>
        <item x="326"/>
        <item x="327"/>
        <item x="325"/>
        <item x="10"/>
        <item x="56"/>
        <item x="83"/>
        <item x="166"/>
        <item x="84"/>
        <item x="320"/>
        <item x="68"/>
        <item x="167"/>
        <item x="169"/>
        <item x="170"/>
        <item x="171"/>
        <item x="186"/>
        <item x="172"/>
        <item x="237"/>
        <item x="61"/>
        <item x="71"/>
        <item x="99"/>
        <item x="72"/>
        <item x="73"/>
        <item x="350"/>
        <item x="352"/>
        <item x="347"/>
        <item x="348"/>
        <item x="345"/>
        <item x="346"/>
        <item x="11"/>
        <item x="15"/>
        <item x="24"/>
        <item x="93"/>
        <item x="344"/>
        <item x="94"/>
        <item x="100"/>
        <item x="336"/>
        <item x="74"/>
        <item x="353"/>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5"/>
  </rowFields>
  <rowItems count="35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t="grand">
      <x/>
    </i>
  </rowItems>
  <colFields count="1">
    <field x="-2"/>
  </colFields>
  <colItems count="2">
    <i>
      <x/>
    </i>
    <i i="1">
      <x v="1"/>
    </i>
  </colItems>
  <dataFields count="2">
    <dataField name="Average of Price" fld="32" subtotal="average" baseField="25" baseItem="215" numFmtId="1"/>
    <dataField name="Count of Price" fld="3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V558" dT="2023-11-16T00:55:17.88" personId="{00000000-0000-0000-0000-000000000000}" id="{EC939F65-CCCC-4306-AFEE-1C52F67BEC0E}">
    <text>ENF 11/15/23: just a note for myself when I inventory this car, this is the part # on this actual part for folder 1270.</text>
  </threadedComment>
</ThreadedComments>
</file>

<file path=xl/threadedComments/threadedComment2.xml><?xml version="1.0" encoding="utf-8"?>
<ThreadedComments xmlns="http://schemas.microsoft.com/office/spreadsheetml/2018/threadedcomments" xmlns:x="http://schemas.openxmlformats.org/spreadsheetml/2006/main">
  <threadedComment ref="V339" dT="2023-11-16T00:55:17.88" personId="{00000000-0000-0000-0000-000000000000}" id="{FA23316F-C09A-4517-88A9-42694C1CFCDA}">
    <text>ENF 11/15/23: just a note for myself when I inventory this car, this is the part # on this actual part for folder 1270.</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htsa.gov/recall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7" Type="http://schemas.microsoft.com/office/2017/10/relationships/threadedComment" Target="../threadedComments/threadedComment1.xml"/><Relationship Id="rId2" Type="http://schemas.openxmlformats.org/officeDocument/2006/relationships/printerSettings" Target="../printerSettings/printerSettings3.bin"/><Relationship Id="rId1" Type="http://schemas.openxmlformats.org/officeDocument/2006/relationships/hyperlink" Target="https://viking-pictures.s3.us-west-1.amazonaws.com/AA1155/A47.+Door+Handle%2C+Exterior+-+FRONT+-+LEFT+(1).JPG"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viking-pictures.s3.us-west-1.amazonaws.com/AA1155/A47.+Door+Handle%2C+Exterior+-+FRONT+-+LEFT+(1).JPG" TargetMode="External"/><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hyperlink" Target="https://viking-pictures.s3.us-west-1.amazonaws.com/AA1155/A11.+Trunk+Electric+Shock+SET2+(1).JPG" TargetMode="External"/><Relationship Id="rId2" Type="http://schemas.openxmlformats.org/officeDocument/2006/relationships/hyperlink" Target="https://viking-pictures.s3.us-west-1.amazonaws.com/AA1155/A11.+Trunk+Electric+Shock+SET2+(1).JPG" TargetMode="External"/><Relationship Id="rId1" Type="http://schemas.openxmlformats.org/officeDocument/2006/relationships/hyperlink" Target="https://viking-pictures.s3.us-west-1.amazonaws.com/AA1155/A11.+Trunk+Electric+Shock+SET2+(1).JPG" TargetMode="External"/><Relationship Id="rId4"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A8750-2256-43DE-BE7B-F1D336D8B20A}">
  <sheetPr codeName="Sheet11"/>
  <dimension ref="B1:W84"/>
  <sheetViews>
    <sheetView showGridLines="0" workbookViewId="0">
      <selection activeCell="C50" sqref="C50"/>
    </sheetView>
  </sheetViews>
  <sheetFormatPr defaultRowHeight="15" x14ac:dyDescent="0.25"/>
  <cols>
    <col min="2" max="2" width="19.85546875" bestFit="1" customWidth="1"/>
    <col min="3" max="3" width="92.42578125" bestFit="1" customWidth="1"/>
    <col min="4" max="4" width="13.7109375" customWidth="1"/>
    <col min="5" max="5" width="22.5703125" customWidth="1"/>
    <col min="6" max="6" width="22.85546875" customWidth="1"/>
    <col min="7" max="13" width="17.85546875" customWidth="1"/>
    <col min="19" max="19" width="16.140625" bestFit="1" customWidth="1"/>
    <col min="20" max="20" width="18.42578125" bestFit="1" customWidth="1"/>
    <col min="21" max="21" width="11" customWidth="1"/>
    <col min="22" max="22" width="12.7109375" customWidth="1"/>
  </cols>
  <sheetData>
    <row r="1" spans="2:23" ht="30.75" thickBot="1" x14ac:dyDescent="0.3">
      <c r="D1" s="46" t="s">
        <v>260</v>
      </c>
      <c r="E1" s="46" t="s">
        <v>261</v>
      </c>
      <c r="F1" s="46" t="s">
        <v>262</v>
      </c>
      <c r="G1" s="46" t="s">
        <v>325</v>
      </c>
      <c r="H1" s="46" t="s">
        <v>326</v>
      </c>
      <c r="I1" s="46" t="s">
        <v>328</v>
      </c>
    </row>
    <row r="2" spans="2:23" ht="15.75" thickBot="1" x14ac:dyDescent="0.3">
      <c r="B2" s="40" t="s">
        <v>88</v>
      </c>
      <c r="C2" s="49" t="s">
        <v>510</v>
      </c>
      <c r="D2" s="65" t="e">
        <f>SUM('3. Keep &amp; Toss Items'!#REF!)</f>
        <v>#REF!</v>
      </c>
      <c r="E2" s="47">
        <v>0.15</v>
      </c>
      <c r="F2" s="66" t="e">
        <f>D2*(1-E2)</f>
        <v>#REF!</v>
      </c>
      <c r="G2" s="95" t="e">
        <f>AVERAGEIF($T$6:$T$84,"YES",U6:U84)</f>
        <v>#DIV/0!</v>
      </c>
      <c r="H2" s="96" t="e">
        <f>AVERAGEIF($T$6:$T$84,"YES",V6:V84)</f>
        <v>#DIV/0!</v>
      </c>
      <c r="I2" s="96" t="e">
        <f>G2/H2</f>
        <v>#DIV/0!</v>
      </c>
    </row>
    <row r="3" spans="2:23" ht="15.75" thickBot="1" x14ac:dyDescent="0.3">
      <c r="B3" s="41" t="s">
        <v>89</v>
      </c>
      <c r="C3" s="39">
        <f>COUNTA(C6:C86)</f>
        <v>6</v>
      </c>
    </row>
    <row r="4" spans="2:23" ht="15.75" thickBot="1" x14ac:dyDescent="0.3">
      <c r="G4" s="387" t="s">
        <v>319</v>
      </c>
      <c r="H4" s="388"/>
      <c r="I4" s="388"/>
      <c r="J4" s="388"/>
      <c r="K4" s="388"/>
      <c r="L4" s="388"/>
      <c r="M4" s="389"/>
      <c r="N4" s="390" t="s">
        <v>320</v>
      </c>
      <c r="O4" s="391"/>
      <c r="P4" s="391"/>
      <c r="Q4" s="391"/>
      <c r="R4" s="392"/>
      <c r="S4" s="393" t="s">
        <v>323</v>
      </c>
      <c r="T4" s="394"/>
      <c r="U4" s="394"/>
      <c r="V4" s="394"/>
      <c r="W4" s="395"/>
    </row>
    <row r="5" spans="2:23" s="33" customFormat="1" ht="30.75" thickBot="1" x14ac:dyDescent="0.3">
      <c r="C5" s="48" t="s">
        <v>92</v>
      </c>
      <c r="D5" s="34" t="s">
        <v>93</v>
      </c>
      <c r="E5" s="34" t="s">
        <v>263</v>
      </c>
      <c r="F5" s="34" t="s">
        <v>264</v>
      </c>
      <c r="G5" s="80" t="s">
        <v>314</v>
      </c>
      <c r="H5" s="81" t="s">
        <v>5</v>
      </c>
      <c r="I5" s="81" t="s">
        <v>142</v>
      </c>
      <c r="J5" s="81" t="s">
        <v>312</v>
      </c>
      <c r="K5" s="81" t="s">
        <v>204</v>
      </c>
      <c r="L5" s="81" t="s">
        <v>313</v>
      </c>
      <c r="M5" s="73" t="s">
        <v>318</v>
      </c>
      <c r="N5" s="83" t="s">
        <v>59</v>
      </c>
      <c r="O5" s="84" t="s">
        <v>58</v>
      </c>
      <c r="P5" s="84" t="s">
        <v>63</v>
      </c>
      <c r="Q5" s="84" t="s">
        <v>62</v>
      </c>
      <c r="R5" s="82" t="s">
        <v>315</v>
      </c>
      <c r="S5" s="91" t="s">
        <v>481</v>
      </c>
      <c r="T5" s="79" t="s">
        <v>324</v>
      </c>
      <c r="U5" s="79" t="s">
        <v>321</v>
      </c>
      <c r="V5" s="79" t="s">
        <v>322</v>
      </c>
      <c r="W5" s="74" t="s">
        <v>327</v>
      </c>
    </row>
    <row r="6" spans="2:23" x14ac:dyDescent="0.25">
      <c r="B6" s="42" t="s">
        <v>91</v>
      </c>
      <c r="C6" s="36" t="s">
        <v>398</v>
      </c>
      <c r="D6" s="15" t="s">
        <v>397</v>
      </c>
      <c r="E6" s="78" t="s">
        <v>265</v>
      </c>
      <c r="F6" s="78" t="s">
        <v>265</v>
      </c>
      <c r="G6" s="85"/>
      <c r="H6" s="70"/>
      <c r="I6" s="70"/>
      <c r="J6" s="70"/>
      <c r="K6" s="70"/>
      <c r="L6" s="86"/>
      <c r="M6" s="89">
        <f>SUM(G6:L6)</f>
        <v>0</v>
      </c>
      <c r="N6" s="87"/>
      <c r="O6" s="71"/>
      <c r="P6" s="71"/>
      <c r="Q6" s="88"/>
      <c r="R6" s="92">
        <f>SUM(N6:Q6)</f>
        <v>0</v>
      </c>
      <c r="S6" s="77"/>
      <c r="T6" s="10"/>
      <c r="U6" s="94"/>
      <c r="V6" s="88"/>
      <c r="W6" s="76" t="e">
        <f>U6/V6</f>
        <v>#DIV/0!</v>
      </c>
    </row>
    <row r="7" spans="2:23" x14ac:dyDescent="0.25">
      <c r="B7" s="37" t="s">
        <v>90</v>
      </c>
      <c r="C7" s="35" t="s">
        <v>488</v>
      </c>
      <c r="D7" s="10" t="s">
        <v>489</v>
      </c>
      <c r="E7" s="173" t="s">
        <v>498</v>
      </c>
      <c r="F7" s="173" t="s">
        <v>498</v>
      </c>
      <c r="G7" s="87"/>
      <c r="H7" s="71"/>
      <c r="I7" s="71"/>
      <c r="J7" s="71"/>
      <c r="K7" s="71"/>
      <c r="L7" s="88"/>
      <c r="M7" s="90">
        <f t="shared" ref="M7:M70" si="0">SUM(G7:L7)</f>
        <v>0</v>
      </c>
      <c r="N7" s="87"/>
      <c r="O7" s="71"/>
      <c r="P7" s="71"/>
      <c r="Q7" s="88"/>
      <c r="R7" s="93">
        <f t="shared" ref="R7:R70" si="1">SUM(N7:Q7)</f>
        <v>0</v>
      </c>
      <c r="S7" s="77"/>
      <c r="T7" s="10"/>
      <c r="U7" s="94"/>
      <c r="V7" s="88"/>
      <c r="W7" s="76" t="e">
        <f t="shared" ref="W7:W70" si="2">U7/V7</f>
        <v>#DIV/0!</v>
      </c>
    </row>
    <row r="8" spans="2:23" x14ac:dyDescent="0.25">
      <c r="B8" s="37" t="s">
        <v>90</v>
      </c>
      <c r="C8" s="35" t="s">
        <v>505</v>
      </c>
      <c r="D8" s="10" t="s">
        <v>506</v>
      </c>
      <c r="E8" s="10" t="s">
        <v>512</v>
      </c>
      <c r="F8" s="10" t="s">
        <v>512</v>
      </c>
      <c r="G8" s="87"/>
      <c r="H8" s="71"/>
      <c r="I8" s="71"/>
      <c r="J8" s="71"/>
      <c r="K8" s="71"/>
      <c r="L8" s="88"/>
      <c r="M8" s="90">
        <f t="shared" si="0"/>
        <v>0</v>
      </c>
      <c r="N8" s="87"/>
      <c r="O8" s="71"/>
      <c r="P8" s="71"/>
      <c r="Q8" s="88"/>
      <c r="R8" s="93">
        <f t="shared" si="1"/>
        <v>0</v>
      </c>
      <c r="S8" s="77"/>
      <c r="T8" s="10"/>
      <c r="U8" s="94"/>
      <c r="V8" s="88"/>
      <c r="W8" s="76" t="e">
        <f t="shared" si="2"/>
        <v>#DIV/0!</v>
      </c>
    </row>
    <row r="9" spans="2:23" x14ac:dyDescent="0.25">
      <c r="B9" s="37" t="s">
        <v>90</v>
      </c>
      <c r="C9" s="35" t="s">
        <v>511</v>
      </c>
      <c r="D9" s="10" t="s">
        <v>508</v>
      </c>
      <c r="E9" s="10" t="s">
        <v>512</v>
      </c>
      <c r="F9" s="10" t="s">
        <v>512</v>
      </c>
      <c r="G9" s="87"/>
      <c r="H9" s="71"/>
      <c r="I9" s="71"/>
      <c r="J9" s="71"/>
      <c r="K9" s="71"/>
      <c r="L9" s="88"/>
      <c r="M9" s="90">
        <f t="shared" si="0"/>
        <v>0</v>
      </c>
      <c r="N9" s="87"/>
      <c r="O9" s="71"/>
      <c r="P9" s="71"/>
      <c r="Q9" s="88"/>
      <c r="R9" s="93">
        <f t="shared" si="1"/>
        <v>0</v>
      </c>
      <c r="S9" s="77"/>
      <c r="T9" s="10"/>
      <c r="U9" s="94"/>
      <c r="V9" s="88"/>
      <c r="W9" s="76" t="e">
        <f t="shared" si="2"/>
        <v>#DIV/0!</v>
      </c>
    </row>
    <row r="10" spans="2:23" x14ac:dyDescent="0.25">
      <c r="B10" s="37" t="s">
        <v>90</v>
      </c>
      <c r="C10" s="35" t="s">
        <v>527</v>
      </c>
      <c r="D10" s="10" t="s">
        <v>512</v>
      </c>
      <c r="E10" s="10"/>
      <c r="F10" s="75"/>
      <c r="G10" s="87"/>
      <c r="H10" s="71"/>
      <c r="I10" s="71"/>
      <c r="J10" s="71"/>
      <c r="K10" s="71"/>
      <c r="L10" s="88"/>
      <c r="M10" s="90">
        <f t="shared" si="0"/>
        <v>0</v>
      </c>
      <c r="N10" s="87"/>
      <c r="O10" s="71"/>
      <c r="P10" s="71"/>
      <c r="Q10" s="88"/>
      <c r="R10" s="93">
        <f t="shared" si="1"/>
        <v>0</v>
      </c>
      <c r="S10" s="77"/>
      <c r="T10" s="10"/>
      <c r="U10" s="94"/>
      <c r="V10" s="88"/>
      <c r="W10" s="76" t="e">
        <f t="shared" si="2"/>
        <v>#DIV/0!</v>
      </c>
    </row>
    <row r="11" spans="2:23" x14ac:dyDescent="0.25">
      <c r="B11" s="37" t="s">
        <v>90</v>
      </c>
      <c r="C11" s="35" t="s">
        <v>534</v>
      </c>
      <c r="D11" s="10" t="s">
        <v>528</v>
      </c>
      <c r="E11" s="10"/>
      <c r="F11" s="75"/>
      <c r="G11" s="87"/>
      <c r="H11" s="71"/>
      <c r="I11" s="71"/>
      <c r="J11" s="71"/>
      <c r="K11" s="71"/>
      <c r="L11" s="88"/>
      <c r="M11" s="90">
        <f t="shared" si="0"/>
        <v>0</v>
      </c>
      <c r="N11" s="87"/>
      <c r="O11" s="71"/>
      <c r="P11" s="71"/>
      <c r="Q11" s="88"/>
      <c r="R11" s="93">
        <f t="shared" si="1"/>
        <v>0</v>
      </c>
      <c r="S11" s="77"/>
      <c r="T11" s="10"/>
      <c r="U11" s="94"/>
      <c r="V11" s="88"/>
      <c r="W11" s="76" t="e">
        <f t="shared" si="2"/>
        <v>#DIV/0!</v>
      </c>
    </row>
    <row r="12" spans="2:23" x14ac:dyDescent="0.25">
      <c r="B12" s="37" t="s">
        <v>90</v>
      </c>
      <c r="C12" s="35"/>
      <c r="D12" s="10"/>
      <c r="E12" s="10"/>
      <c r="F12" s="75"/>
      <c r="G12" s="87"/>
      <c r="H12" s="71"/>
      <c r="I12" s="71"/>
      <c r="J12" s="71"/>
      <c r="K12" s="71"/>
      <c r="L12" s="88"/>
      <c r="M12" s="90">
        <f t="shared" si="0"/>
        <v>0</v>
      </c>
      <c r="N12" s="87"/>
      <c r="O12" s="71"/>
      <c r="P12" s="71"/>
      <c r="Q12" s="88"/>
      <c r="R12" s="93">
        <f t="shared" si="1"/>
        <v>0</v>
      </c>
      <c r="S12" s="77"/>
      <c r="T12" s="10"/>
      <c r="U12" s="94"/>
      <c r="V12" s="88"/>
      <c r="W12" s="76" t="e">
        <f t="shared" si="2"/>
        <v>#DIV/0!</v>
      </c>
    </row>
    <row r="13" spans="2:23" x14ac:dyDescent="0.25">
      <c r="B13" s="37" t="s">
        <v>90</v>
      </c>
      <c r="C13" s="35"/>
      <c r="D13" s="10"/>
      <c r="E13" s="10"/>
      <c r="F13" s="75"/>
      <c r="G13" s="87"/>
      <c r="H13" s="71"/>
      <c r="I13" s="71"/>
      <c r="J13" s="71"/>
      <c r="K13" s="71"/>
      <c r="L13" s="88"/>
      <c r="M13" s="90">
        <f t="shared" si="0"/>
        <v>0</v>
      </c>
      <c r="N13" s="87"/>
      <c r="O13" s="71"/>
      <c r="P13" s="71"/>
      <c r="Q13" s="88"/>
      <c r="R13" s="93">
        <f t="shared" si="1"/>
        <v>0</v>
      </c>
      <c r="S13" s="77"/>
      <c r="T13" s="10"/>
      <c r="U13" s="94"/>
      <c r="V13" s="88"/>
      <c r="W13" s="76" t="e">
        <f t="shared" si="2"/>
        <v>#DIV/0!</v>
      </c>
    </row>
    <row r="14" spans="2:23" x14ac:dyDescent="0.25">
      <c r="B14" s="37" t="s">
        <v>90</v>
      </c>
      <c r="C14" s="35"/>
      <c r="D14" s="10"/>
      <c r="E14" s="10"/>
      <c r="F14" s="75"/>
      <c r="G14" s="87"/>
      <c r="H14" s="71"/>
      <c r="I14" s="71"/>
      <c r="J14" s="71"/>
      <c r="K14" s="71"/>
      <c r="L14" s="88"/>
      <c r="M14" s="90">
        <f t="shared" si="0"/>
        <v>0</v>
      </c>
      <c r="N14" s="87"/>
      <c r="O14" s="71"/>
      <c r="P14" s="71"/>
      <c r="Q14" s="88"/>
      <c r="R14" s="93">
        <f t="shared" si="1"/>
        <v>0</v>
      </c>
      <c r="S14" s="77"/>
      <c r="T14" s="10"/>
      <c r="U14" s="94"/>
      <c r="V14" s="88"/>
      <c r="W14" s="76" t="e">
        <f t="shared" si="2"/>
        <v>#DIV/0!</v>
      </c>
    </row>
    <row r="15" spans="2:23" x14ac:dyDescent="0.25">
      <c r="B15" s="37" t="s">
        <v>90</v>
      </c>
      <c r="C15" s="35"/>
      <c r="D15" s="10"/>
      <c r="E15" s="10"/>
      <c r="F15" s="75"/>
      <c r="G15" s="87"/>
      <c r="H15" s="71"/>
      <c r="I15" s="71"/>
      <c r="J15" s="71"/>
      <c r="K15" s="71"/>
      <c r="L15" s="88"/>
      <c r="M15" s="90">
        <f t="shared" si="0"/>
        <v>0</v>
      </c>
      <c r="N15" s="87"/>
      <c r="O15" s="71"/>
      <c r="P15" s="71"/>
      <c r="Q15" s="88"/>
      <c r="R15" s="93">
        <f t="shared" si="1"/>
        <v>0</v>
      </c>
      <c r="S15" s="77"/>
      <c r="T15" s="10"/>
      <c r="U15" s="94"/>
      <c r="V15" s="88"/>
      <c r="W15" s="76" t="e">
        <f t="shared" si="2"/>
        <v>#DIV/0!</v>
      </c>
    </row>
    <row r="16" spans="2:23" x14ac:dyDescent="0.25">
      <c r="B16" s="37" t="s">
        <v>90</v>
      </c>
      <c r="C16" s="35"/>
      <c r="D16" s="10"/>
      <c r="E16" s="10"/>
      <c r="F16" s="75"/>
      <c r="G16" s="87"/>
      <c r="H16" s="71"/>
      <c r="I16" s="71"/>
      <c r="J16" s="71"/>
      <c r="K16" s="71"/>
      <c r="L16" s="88"/>
      <c r="M16" s="90">
        <f t="shared" si="0"/>
        <v>0</v>
      </c>
      <c r="N16" s="87"/>
      <c r="O16" s="71"/>
      <c r="P16" s="71"/>
      <c r="Q16" s="88"/>
      <c r="R16" s="93">
        <f t="shared" si="1"/>
        <v>0</v>
      </c>
      <c r="S16" s="77"/>
      <c r="T16" s="10"/>
      <c r="U16" s="94"/>
      <c r="V16" s="88"/>
      <c r="W16" s="76" t="e">
        <f t="shared" si="2"/>
        <v>#DIV/0!</v>
      </c>
    </row>
    <row r="17" spans="2:23" x14ac:dyDescent="0.25">
      <c r="B17" s="37" t="s">
        <v>90</v>
      </c>
      <c r="C17" s="35"/>
      <c r="D17" s="10"/>
      <c r="E17" s="10"/>
      <c r="F17" s="75"/>
      <c r="G17" s="87"/>
      <c r="H17" s="71"/>
      <c r="I17" s="71"/>
      <c r="J17" s="71"/>
      <c r="K17" s="71"/>
      <c r="L17" s="88"/>
      <c r="M17" s="90">
        <f t="shared" si="0"/>
        <v>0</v>
      </c>
      <c r="N17" s="87"/>
      <c r="O17" s="71"/>
      <c r="P17" s="71"/>
      <c r="Q17" s="88"/>
      <c r="R17" s="93">
        <f t="shared" si="1"/>
        <v>0</v>
      </c>
      <c r="S17" s="77"/>
      <c r="T17" s="10"/>
      <c r="U17" s="94"/>
      <c r="V17" s="88"/>
      <c r="W17" s="76" t="e">
        <f t="shared" si="2"/>
        <v>#DIV/0!</v>
      </c>
    </row>
    <row r="18" spans="2:23" x14ac:dyDescent="0.25">
      <c r="B18" s="37" t="s">
        <v>90</v>
      </c>
      <c r="C18" s="35"/>
      <c r="D18" s="10"/>
      <c r="E18" s="10"/>
      <c r="F18" s="75"/>
      <c r="G18" s="87"/>
      <c r="H18" s="71"/>
      <c r="I18" s="71"/>
      <c r="J18" s="71"/>
      <c r="K18" s="71"/>
      <c r="L18" s="88"/>
      <c r="M18" s="90">
        <f t="shared" si="0"/>
        <v>0</v>
      </c>
      <c r="N18" s="87"/>
      <c r="O18" s="71"/>
      <c r="P18" s="71"/>
      <c r="Q18" s="88"/>
      <c r="R18" s="93">
        <f t="shared" si="1"/>
        <v>0</v>
      </c>
      <c r="S18" s="77"/>
      <c r="T18" s="10"/>
      <c r="U18" s="94"/>
      <c r="V18" s="88"/>
      <c r="W18" s="76" t="e">
        <f t="shared" si="2"/>
        <v>#DIV/0!</v>
      </c>
    </row>
    <row r="19" spans="2:23" x14ac:dyDescent="0.25">
      <c r="B19" s="37" t="s">
        <v>90</v>
      </c>
      <c r="C19" s="35"/>
      <c r="D19" s="10"/>
      <c r="E19" s="10"/>
      <c r="F19" s="75"/>
      <c r="G19" s="87"/>
      <c r="H19" s="71"/>
      <c r="I19" s="71"/>
      <c r="J19" s="71"/>
      <c r="K19" s="71"/>
      <c r="L19" s="88"/>
      <c r="M19" s="90">
        <f t="shared" si="0"/>
        <v>0</v>
      </c>
      <c r="N19" s="87"/>
      <c r="O19" s="71"/>
      <c r="P19" s="71"/>
      <c r="Q19" s="88"/>
      <c r="R19" s="93">
        <f t="shared" si="1"/>
        <v>0</v>
      </c>
      <c r="S19" s="77"/>
      <c r="T19" s="10"/>
      <c r="U19" s="94"/>
      <c r="V19" s="88"/>
      <c r="W19" s="76" t="e">
        <f t="shared" si="2"/>
        <v>#DIV/0!</v>
      </c>
    </row>
    <row r="20" spans="2:23" x14ac:dyDescent="0.25">
      <c r="B20" s="37" t="s">
        <v>90</v>
      </c>
      <c r="C20" s="35"/>
      <c r="D20" s="10"/>
      <c r="E20" s="10"/>
      <c r="F20" s="75"/>
      <c r="G20" s="87"/>
      <c r="H20" s="71"/>
      <c r="I20" s="71"/>
      <c r="J20" s="71"/>
      <c r="K20" s="71"/>
      <c r="L20" s="88"/>
      <c r="M20" s="90">
        <f t="shared" si="0"/>
        <v>0</v>
      </c>
      <c r="N20" s="87"/>
      <c r="O20" s="71"/>
      <c r="P20" s="71"/>
      <c r="Q20" s="88"/>
      <c r="R20" s="93">
        <f t="shared" si="1"/>
        <v>0</v>
      </c>
      <c r="S20" s="77"/>
      <c r="T20" s="10"/>
      <c r="U20" s="94"/>
      <c r="V20" s="88"/>
      <c r="W20" s="76" t="e">
        <f t="shared" si="2"/>
        <v>#DIV/0!</v>
      </c>
    </row>
    <row r="21" spans="2:23" x14ac:dyDescent="0.25">
      <c r="B21" s="37" t="s">
        <v>90</v>
      </c>
      <c r="C21" s="35"/>
      <c r="D21" s="10"/>
      <c r="E21" s="10"/>
      <c r="F21" s="75"/>
      <c r="G21" s="87"/>
      <c r="H21" s="71"/>
      <c r="I21" s="71"/>
      <c r="J21" s="71"/>
      <c r="K21" s="71"/>
      <c r="L21" s="88"/>
      <c r="M21" s="90">
        <f t="shared" si="0"/>
        <v>0</v>
      </c>
      <c r="N21" s="87"/>
      <c r="O21" s="71"/>
      <c r="P21" s="71"/>
      <c r="Q21" s="88"/>
      <c r="R21" s="93">
        <f t="shared" si="1"/>
        <v>0</v>
      </c>
      <c r="S21" s="77"/>
      <c r="T21" s="10"/>
      <c r="U21" s="94"/>
      <c r="V21" s="88"/>
      <c r="W21" s="76" t="e">
        <f t="shared" si="2"/>
        <v>#DIV/0!</v>
      </c>
    </row>
    <row r="22" spans="2:23" x14ac:dyDescent="0.25">
      <c r="B22" s="37" t="s">
        <v>90</v>
      </c>
      <c r="C22" s="35"/>
      <c r="D22" s="10"/>
      <c r="E22" s="10"/>
      <c r="F22" s="75"/>
      <c r="G22" s="87"/>
      <c r="H22" s="71"/>
      <c r="I22" s="71"/>
      <c r="J22" s="71"/>
      <c r="K22" s="71"/>
      <c r="L22" s="88"/>
      <c r="M22" s="90">
        <f t="shared" si="0"/>
        <v>0</v>
      </c>
      <c r="N22" s="87"/>
      <c r="O22" s="71"/>
      <c r="P22" s="71"/>
      <c r="Q22" s="88"/>
      <c r="R22" s="93">
        <f t="shared" si="1"/>
        <v>0</v>
      </c>
      <c r="S22" s="77"/>
      <c r="T22" s="10"/>
      <c r="U22" s="94"/>
      <c r="V22" s="88"/>
      <c r="W22" s="76" t="e">
        <f t="shared" si="2"/>
        <v>#DIV/0!</v>
      </c>
    </row>
    <row r="23" spans="2:23" x14ac:dyDescent="0.25">
      <c r="B23" s="37" t="s">
        <v>90</v>
      </c>
      <c r="C23" s="35"/>
      <c r="D23" s="10"/>
      <c r="E23" s="10"/>
      <c r="F23" s="75"/>
      <c r="G23" s="87"/>
      <c r="H23" s="71"/>
      <c r="I23" s="71"/>
      <c r="J23" s="71"/>
      <c r="K23" s="71"/>
      <c r="L23" s="88"/>
      <c r="M23" s="90">
        <f t="shared" si="0"/>
        <v>0</v>
      </c>
      <c r="N23" s="87"/>
      <c r="O23" s="71"/>
      <c r="P23" s="71"/>
      <c r="Q23" s="88"/>
      <c r="R23" s="93">
        <f t="shared" si="1"/>
        <v>0</v>
      </c>
      <c r="S23" s="77"/>
      <c r="T23" s="10"/>
      <c r="U23" s="94"/>
      <c r="V23" s="88"/>
      <c r="W23" s="76" t="e">
        <f t="shared" si="2"/>
        <v>#DIV/0!</v>
      </c>
    </row>
    <row r="24" spans="2:23" x14ac:dyDescent="0.25">
      <c r="B24" s="37" t="s">
        <v>90</v>
      </c>
      <c r="C24" s="35"/>
      <c r="D24" s="10"/>
      <c r="E24" s="10"/>
      <c r="F24" s="75"/>
      <c r="G24" s="87"/>
      <c r="H24" s="71"/>
      <c r="I24" s="71"/>
      <c r="J24" s="71"/>
      <c r="K24" s="71"/>
      <c r="L24" s="88"/>
      <c r="M24" s="90">
        <f t="shared" si="0"/>
        <v>0</v>
      </c>
      <c r="N24" s="87"/>
      <c r="O24" s="71"/>
      <c r="P24" s="71"/>
      <c r="Q24" s="88"/>
      <c r="R24" s="93">
        <f t="shared" si="1"/>
        <v>0</v>
      </c>
      <c r="S24" s="77"/>
      <c r="T24" s="10"/>
      <c r="U24" s="94"/>
      <c r="V24" s="88"/>
      <c r="W24" s="76" t="e">
        <f t="shared" si="2"/>
        <v>#DIV/0!</v>
      </c>
    </row>
    <row r="25" spans="2:23" x14ac:dyDescent="0.25">
      <c r="B25" s="37" t="s">
        <v>90</v>
      </c>
      <c r="C25" s="35"/>
      <c r="D25" s="10"/>
      <c r="E25" s="10"/>
      <c r="F25" s="75"/>
      <c r="G25" s="87"/>
      <c r="H25" s="71"/>
      <c r="I25" s="71"/>
      <c r="J25" s="71"/>
      <c r="K25" s="71"/>
      <c r="L25" s="88"/>
      <c r="M25" s="90">
        <f t="shared" si="0"/>
        <v>0</v>
      </c>
      <c r="N25" s="87"/>
      <c r="O25" s="71"/>
      <c r="P25" s="71"/>
      <c r="Q25" s="88"/>
      <c r="R25" s="93">
        <f t="shared" si="1"/>
        <v>0</v>
      </c>
      <c r="S25" s="77"/>
      <c r="T25" s="10"/>
      <c r="U25" s="94"/>
      <c r="V25" s="88"/>
      <c r="W25" s="76" t="e">
        <f t="shared" si="2"/>
        <v>#DIV/0!</v>
      </c>
    </row>
    <row r="26" spans="2:23" x14ac:dyDescent="0.25">
      <c r="B26" s="37" t="s">
        <v>90</v>
      </c>
      <c r="C26" s="35"/>
      <c r="D26" s="10"/>
      <c r="E26" s="10"/>
      <c r="F26" s="75"/>
      <c r="G26" s="87"/>
      <c r="H26" s="71"/>
      <c r="I26" s="71"/>
      <c r="J26" s="71"/>
      <c r="K26" s="71"/>
      <c r="L26" s="88"/>
      <c r="M26" s="90">
        <f t="shared" si="0"/>
        <v>0</v>
      </c>
      <c r="N26" s="87"/>
      <c r="O26" s="71"/>
      <c r="P26" s="71"/>
      <c r="Q26" s="88"/>
      <c r="R26" s="93">
        <f t="shared" si="1"/>
        <v>0</v>
      </c>
      <c r="S26" s="77"/>
      <c r="T26" s="10"/>
      <c r="U26" s="94"/>
      <c r="V26" s="88"/>
      <c r="W26" s="76" t="e">
        <f t="shared" si="2"/>
        <v>#DIV/0!</v>
      </c>
    </row>
    <row r="27" spans="2:23" x14ac:dyDescent="0.25">
      <c r="B27" s="37" t="s">
        <v>90</v>
      </c>
      <c r="C27" s="35"/>
      <c r="D27" s="10"/>
      <c r="E27" s="10"/>
      <c r="F27" s="75"/>
      <c r="G27" s="87"/>
      <c r="H27" s="71"/>
      <c r="I27" s="71"/>
      <c r="J27" s="71"/>
      <c r="K27" s="71"/>
      <c r="L27" s="88"/>
      <c r="M27" s="90">
        <f t="shared" si="0"/>
        <v>0</v>
      </c>
      <c r="N27" s="87"/>
      <c r="O27" s="71"/>
      <c r="P27" s="71"/>
      <c r="Q27" s="88"/>
      <c r="R27" s="93">
        <f t="shared" si="1"/>
        <v>0</v>
      </c>
      <c r="S27" s="77"/>
      <c r="T27" s="10"/>
      <c r="U27" s="94"/>
      <c r="V27" s="88"/>
      <c r="W27" s="76" t="e">
        <f t="shared" si="2"/>
        <v>#DIV/0!</v>
      </c>
    </row>
    <row r="28" spans="2:23" x14ac:dyDescent="0.25">
      <c r="B28" s="37" t="s">
        <v>90</v>
      </c>
      <c r="C28" s="35"/>
      <c r="D28" s="10"/>
      <c r="E28" s="10"/>
      <c r="F28" s="75"/>
      <c r="G28" s="87"/>
      <c r="H28" s="71"/>
      <c r="I28" s="71"/>
      <c r="J28" s="71"/>
      <c r="K28" s="71"/>
      <c r="L28" s="88"/>
      <c r="M28" s="90">
        <f t="shared" si="0"/>
        <v>0</v>
      </c>
      <c r="N28" s="87"/>
      <c r="O28" s="71"/>
      <c r="P28" s="71"/>
      <c r="Q28" s="88"/>
      <c r="R28" s="93">
        <f t="shared" si="1"/>
        <v>0</v>
      </c>
      <c r="S28" s="77"/>
      <c r="T28" s="10"/>
      <c r="U28" s="94"/>
      <c r="V28" s="88"/>
      <c r="W28" s="76" t="e">
        <f t="shared" si="2"/>
        <v>#DIV/0!</v>
      </c>
    </row>
    <row r="29" spans="2:23" x14ac:dyDescent="0.25">
      <c r="B29" s="37" t="s">
        <v>90</v>
      </c>
      <c r="C29" s="35"/>
      <c r="D29" s="10"/>
      <c r="E29" s="10"/>
      <c r="F29" s="75"/>
      <c r="G29" s="87"/>
      <c r="H29" s="71"/>
      <c r="I29" s="71"/>
      <c r="J29" s="71"/>
      <c r="K29" s="71"/>
      <c r="L29" s="88"/>
      <c r="M29" s="90">
        <f t="shared" si="0"/>
        <v>0</v>
      </c>
      <c r="N29" s="87"/>
      <c r="O29" s="71"/>
      <c r="P29" s="71"/>
      <c r="Q29" s="88"/>
      <c r="R29" s="93">
        <f t="shared" si="1"/>
        <v>0</v>
      </c>
      <c r="S29" s="77"/>
      <c r="T29" s="10"/>
      <c r="U29" s="94"/>
      <c r="V29" s="88"/>
      <c r="W29" s="76" t="e">
        <f t="shared" si="2"/>
        <v>#DIV/0!</v>
      </c>
    </row>
    <row r="30" spans="2:23" x14ac:dyDescent="0.25">
      <c r="B30" s="37" t="s">
        <v>90</v>
      </c>
      <c r="C30" s="35"/>
      <c r="D30" s="10"/>
      <c r="E30" s="10"/>
      <c r="F30" s="75"/>
      <c r="G30" s="87"/>
      <c r="H30" s="71"/>
      <c r="I30" s="71"/>
      <c r="J30" s="71"/>
      <c r="K30" s="71"/>
      <c r="L30" s="88"/>
      <c r="M30" s="90">
        <f t="shared" si="0"/>
        <v>0</v>
      </c>
      <c r="N30" s="87"/>
      <c r="O30" s="71"/>
      <c r="P30" s="71"/>
      <c r="Q30" s="88"/>
      <c r="R30" s="93">
        <f t="shared" si="1"/>
        <v>0</v>
      </c>
      <c r="S30" s="77"/>
      <c r="T30" s="10"/>
      <c r="U30" s="94"/>
      <c r="V30" s="88"/>
      <c r="W30" s="76" t="e">
        <f t="shared" si="2"/>
        <v>#DIV/0!</v>
      </c>
    </row>
    <row r="31" spans="2:23" x14ac:dyDescent="0.25">
      <c r="B31" s="37" t="s">
        <v>90</v>
      </c>
      <c r="C31" s="35"/>
      <c r="D31" s="10"/>
      <c r="E31" s="10"/>
      <c r="F31" s="75"/>
      <c r="G31" s="87"/>
      <c r="H31" s="71"/>
      <c r="I31" s="71"/>
      <c r="J31" s="71"/>
      <c r="K31" s="71"/>
      <c r="L31" s="88"/>
      <c r="M31" s="90">
        <f t="shared" si="0"/>
        <v>0</v>
      </c>
      <c r="N31" s="87"/>
      <c r="O31" s="71"/>
      <c r="P31" s="71"/>
      <c r="Q31" s="88"/>
      <c r="R31" s="93">
        <f t="shared" si="1"/>
        <v>0</v>
      </c>
      <c r="S31" s="77"/>
      <c r="T31" s="10"/>
      <c r="U31" s="94"/>
      <c r="V31" s="88"/>
      <c r="W31" s="76" t="e">
        <f t="shared" si="2"/>
        <v>#DIV/0!</v>
      </c>
    </row>
    <row r="32" spans="2:23" x14ac:dyDescent="0.25">
      <c r="B32" s="37" t="s">
        <v>90</v>
      </c>
      <c r="C32" s="35"/>
      <c r="D32" s="10"/>
      <c r="E32" s="10"/>
      <c r="F32" s="75"/>
      <c r="G32" s="87"/>
      <c r="H32" s="71"/>
      <c r="I32" s="71"/>
      <c r="J32" s="71"/>
      <c r="K32" s="71"/>
      <c r="L32" s="88"/>
      <c r="M32" s="90">
        <f t="shared" si="0"/>
        <v>0</v>
      </c>
      <c r="N32" s="87"/>
      <c r="O32" s="71"/>
      <c r="P32" s="71"/>
      <c r="Q32" s="88"/>
      <c r="R32" s="93">
        <f t="shared" si="1"/>
        <v>0</v>
      </c>
      <c r="S32" s="77"/>
      <c r="T32" s="10"/>
      <c r="U32" s="94"/>
      <c r="V32" s="88"/>
      <c r="W32" s="76" t="e">
        <f t="shared" si="2"/>
        <v>#DIV/0!</v>
      </c>
    </row>
    <row r="33" spans="2:23" x14ac:dyDescent="0.25">
      <c r="B33" s="37" t="s">
        <v>90</v>
      </c>
      <c r="C33" s="35"/>
      <c r="D33" s="10"/>
      <c r="E33" s="10"/>
      <c r="F33" s="75"/>
      <c r="G33" s="87"/>
      <c r="H33" s="71"/>
      <c r="I33" s="71"/>
      <c r="J33" s="71"/>
      <c r="K33" s="71"/>
      <c r="L33" s="88"/>
      <c r="M33" s="90">
        <f t="shared" si="0"/>
        <v>0</v>
      </c>
      <c r="N33" s="87"/>
      <c r="O33" s="71"/>
      <c r="P33" s="71"/>
      <c r="Q33" s="88"/>
      <c r="R33" s="93">
        <f t="shared" si="1"/>
        <v>0</v>
      </c>
      <c r="S33" s="77"/>
      <c r="T33" s="10"/>
      <c r="U33" s="94"/>
      <c r="V33" s="88"/>
      <c r="W33" s="76" t="e">
        <f t="shared" si="2"/>
        <v>#DIV/0!</v>
      </c>
    </row>
    <row r="34" spans="2:23" x14ac:dyDescent="0.25">
      <c r="B34" s="37" t="s">
        <v>90</v>
      </c>
      <c r="C34" s="35"/>
      <c r="D34" s="10"/>
      <c r="E34" s="10"/>
      <c r="F34" s="75"/>
      <c r="G34" s="87"/>
      <c r="H34" s="71"/>
      <c r="I34" s="71"/>
      <c r="J34" s="71"/>
      <c r="K34" s="71"/>
      <c r="L34" s="88"/>
      <c r="M34" s="90">
        <f t="shared" si="0"/>
        <v>0</v>
      </c>
      <c r="N34" s="87"/>
      <c r="O34" s="71"/>
      <c r="P34" s="71"/>
      <c r="Q34" s="88"/>
      <c r="R34" s="93">
        <f t="shared" si="1"/>
        <v>0</v>
      </c>
      <c r="S34" s="77"/>
      <c r="T34" s="10"/>
      <c r="U34" s="94"/>
      <c r="V34" s="88"/>
      <c r="W34" s="76" t="e">
        <f t="shared" si="2"/>
        <v>#DIV/0!</v>
      </c>
    </row>
    <row r="35" spans="2:23" x14ac:dyDescent="0.25">
      <c r="B35" s="37" t="s">
        <v>90</v>
      </c>
      <c r="C35" s="35"/>
      <c r="D35" s="10"/>
      <c r="E35" s="10"/>
      <c r="F35" s="75"/>
      <c r="G35" s="87"/>
      <c r="H35" s="71"/>
      <c r="I35" s="71"/>
      <c r="J35" s="71"/>
      <c r="K35" s="71"/>
      <c r="L35" s="88"/>
      <c r="M35" s="90">
        <f t="shared" si="0"/>
        <v>0</v>
      </c>
      <c r="N35" s="87"/>
      <c r="O35" s="71"/>
      <c r="P35" s="71"/>
      <c r="Q35" s="88"/>
      <c r="R35" s="93">
        <f t="shared" si="1"/>
        <v>0</v>
      </c>
      <c r="S35" s="77"/>
      <c r="T35" s="10"/>
      <c r="U35" s="94"/>
      <c r="V35" s="88"/>
      <c r="W35" s="76" t="e">
        <f t="shared" si="2"/>
        <v>#DIV/0!</v>
      </c>
    </row>
    <row r="36" spans="2:23" x14ac:dyDescent="0.25">
      <c r="B36" s="37" t="s">
        <v>90</v>
      </c>
      <c r="C36" s="35"/>
      <c r="D36" s="10"/>
      <c r="E36" s="10"/>
      <c r="F36" s="75"/>
      <c r="G36" s="87"/>
      <c r="H36" s="71"/>
      <c r="I36" s="71"/>
      <c r="J36" s="71"/>
      <c r="K36" s="71"/>
      <c r="L36" s="88"/>
      <c r="M36" s="90">
        <f t="shared" si="0"/>
        <v>0</v>
      </c>
      <c r="N36" s="87"/>
      <c r="O36" s="71"/>
      <c r="P36" s="71"/>
      <c r="Q36" s="88"/>
      <c r="R36" s="93">
        <f t="shared" si="1"/>
        <v>0</v>
      </c>
      <c r="S36" s="77"/>
      <c r="T36" s="10"/>
      <c r="U36" s="94"/>
      <c r="V36" s="88"/>
      <c r="W36" s="76" t="e">
        <f t="shared" si="2"/>
        <v>#DIV/0!</v>
      </c>
    </row>
    <row r="37" spans="2:23" x14ac:dyDescent="0.25">
      <c r="B37" s="37" t="s">
        <v>90</v>
      </c>
      <c r="C37" s="35"/>
      <c r="D37" s="10"/>
      <c r="E37" s="10"/>
      <c r="F37" s="75"/>
      <c r="G37" s="87"/>
      <c r="H37" s="71"/>
      <c r="I37" s="71"/>
      <c r="J37" s="71"/>
      <c r="K37" s="71"/>
      <c r="L37" s="88"/>
      <c r="M37" s="90">
        <f t="shared" si="0"/>
        <v>0</v>
      </c>
      <c r="N37" s="87"/>
      <c r="O37" s="71"/>
      <c r="P37" s="71"/>
      <c r="Q37" s="88"/>
      <c r="R37" s="93">
        <f t="shared" si="1"/>
        <v>0</v>
      </c>
      <c r="S37" s="77"/>
      <c r="T37" s="10"/>
      <c r="U37" s="94"/>
      <c r="V37" s="88"/>
      <c r="W37" s="76" t="e">
        <f t="shared" si="2"/>
        <v>#DIV/0!</v>
      </c>
    </row>
    <row r="38" spans="2:23" x14ac:dyDescent="0.25">
      <c r="B38" s="37" t="s">
        <v>90</v>
      </c>
      <c r="C38" s="35"/>
      <c r="D38" s="10"/>
      <c r="E38" s="10"/>
      <c r="F38" s="75"/>
      <c r="G38" s="87"/>
      <c r="H38" s="71"/>
      <c r="I38" s="71"/>
      <c r="J38" s="71"/>
      <c r="K38" s="71"/>
      <c r="L38" s="88"/>
      <c r="M38" s="90">
        <f t="shared" si="0"/>
        <v>0</v>
      </c>
      <c r="N38" s="87"/>
      <c r="O38" s="71"/>
      <c r="P38" s="71"/>
      <c r="Q38" s="88"/>
      <c r="R38" s="93">
        <f t="shared" si="1"/>
        <v>0</v>
      </c>
      <c r="S38" s="77"/>
      <c r="T38" s="10"/>
      <c r="U38" s="94"/>
      <c r="V38" s="88"/>
      <c r="W38" s="76" t="e">
        <f t="shared" si="2"/>
        <v>#DIV/0!</v>
      </c>
    </row>
    <row r="39" spans="2:23" x14ac:dyDescent="0.25">
      <c r="B39" s="37" t="s">
        <v>90</v>
      </c>
      <c r="C39" s="35"/>
      <c r="D39" s="10"/>
      <c r="E39" s="10"/>
      <c r="F39" s="75"/>
      <c r="G39" s="87"/>
      <c r="H39" s="71"/>
      <c r="I39" s="71"/>
      <c r="J39" s="71"/>
      <c r="K39" s="71"/>
      <c r="L39" s="88"/>
      <c r="M39" s="90">
        <f t="shared" si="0"/>
        <v>0</v>
      </c>
      <c r="N39" s="87"/>
      <c r="O39" s="71"/>
      <c r="P39" s="71"/>
      <c r="Q39" s="88"/>
      <c r="R39" s="93">
        <f t="shared" si="1"/>
        <v>0</v>
      </c>
      <c r="S39" s="77"/>
      <c r="T39" s="10"/>
      <c r="U39" s="94"/>
      <c r="V39" s="88"/>
      <c r="W39" s="76" t="e">
        <f t="shared" si="2"/>
        <v>#DIV/0!</v>
      </c>
    </row>
    <row r="40" spans="2:23" x14ac:dyDescent="0.25">
      <c r="B40" s="37" t="s">
        <v>90</v>
      </c>
      <c r="C40" s="35"/>
      <c r="D40" s="10"/>
      <c r="E40" s="10"/>
      <c r="F40" s="75"/>
      <c r="G40" s="87"/>
      <c r="H40" s="71"/>
      <c r="I40" s="71"/>
      <c r="J40" s="71"/>
      <c r="K40" s="71"/>
      <c r="L40" s="88"/>
      <c r="M40" s="90">
        <f t="shared" si="0"/>
        <v>0</v>
      </c>
      <c r="N40" s="87"/>
      <c r="O40" s="71"/>
      <c r="P40" s="71"/>
      <c r="Q40" s="88"/>
      <c r="R40" s="93">
        <f t="shared" si="1"/>
        <v>0</v>
      </c>
      <c r="S40" s="77"/>
      <c r="T40" s="10"/>
      <c r="U40" s="94"/>
      <c r="V40" s="88"/>
      <c r="W40" s="76" t="e">
        <f t="shared" si="2"/>
        <v>#DIV/0!</v>
      </c>
    </row>
    <row r="41" spans="2:23" x14ac:dyDescent="0.25">
      <c r="B41" s="37" t="s">
        <v>90</v>
      </c>
      <c r="C41" s="35"/>
      <c r="D41" s="10"/>
      <c r="E41" s="10"/>
      <c r="F41" s="75"/>
      <c r="G41" s="87"/>
      <c r="H41" s="71"/>
      <c r="I41" s="71"/>
      <c r="J41" s="71"/>
      <c r="K41" s="71"/>
      <c r="L41" s="88"/>
      <c r="M41" s="90">
        <f t="shared" si="0"/>
        <v>0</v>
      </c>
      <c r="N41" s="87"/>
      <c r="O41" s="71"/>
      <c r="P41" s="71"/>
      <c r="Q41" s="88"/>
      <c r="R41" s="93">
        <f t="shared" si="1"/>
        <v>0</v>
      </c>
      <c r="S41" s="77"/>
      <c r="T41" s="10"/>
      <c r="U41" s="94"/>
      <c r="V41" s="88"/>
      <c r="W41" s="76" t="e">
        <f t="shared" si="2"/>
        <v>#DIV/0!</v>
      </c>
    </row>
    <row r="42" spans="2:23" x14ac:dyDescent="0.25">
      <c r="B42" s="37" t="s">
        <v>90</v>
      </c>
      <c r="C42" s="35"/>
      <c r="D42" s="10"/>
      <c r="E42" s="10"/>
      <c r="F42" s="75"/>
      <c r="G42" s="87"/>
      <c r="H42" s="71"/>
      <c r="I42" s="71"/>
      <c r="J42" s="71"/>
      <c r="K42" s="71"/>
      <c r="L42" s="88"/>
      <c r="M42" s="90">
        <f t="shared" si="0"/>
        <v>0</v>
      </c>
      <c r="N42" s="87"/>
      <c r="O42" s="71"/>
      <c r="P42" s="71"/>
      <c r="Q42" s="88"/>
      <c r="R42" s="93">
        <f t="shared" si="1"/>
        <v>0</v>
      </c>
      <c r="S42" s="77"/>
      <c r="T42" s="10"/>
      <c r="U42" s="94"/>
      <c r="V42" s="88"/>
      <c r="W42" s="76" t="e">
        <f t="shared" si="2"/>
        <v>#DIV/0!</v>
      </c>
    </row>
    <row r="43" spans="2:23" x14ac:dyDescent="0.25">
      <c r="B43" s="37" t="s">
        <v>90</v>
      </c>
      <c r="C43" s="35"/>
      <c r="D43" s="10"/>
      <c r="E43" s="10"/>
      <c r="F43" s="75"/>
      <c r="G43" s="87"/>
      <c r="H43" s="71"/>
      <c r="I43" s="71"/>
      <c r="J43" s="71"/>
      <c r="K43" s="71"/>
      <c r="L43" s="88"/>
      <c r="M43" s="90">
        <f t="shared" si="0"/>
        <v>0</v>
      </c>
      <c r="N43" s="87"/>
      <c r="O43" s="71"/>
      <c r="P43" s="71"/>
      <c r="Q43" s="88"/>
      <c r="R43" s="93">
        <f t="shared" si="1"/>
        <v>0</v>
      </c>
      <c r="S43" s="77"/>
      <c r="T43" s="10"/>
      <c r="U43" s="94"/>
      <c r="V43" s="88"/>
      <c r="W43" s="76" t="e">
        <f t="shared" si="2"/>
        <v>#DIV/0!</v>
      </c>
    </row>
    <row r="44" spans="2:23" x14ac:dyDescent="0.25">
      <c r="B44" s="37" t="s">
        <v>90</v>
      </c>
      <c r="C44" s="35"/>
      <c r="D44" s="10"/>
      <c r="E44" s="10"/>
      <c r="F44" s="75"/>
      <c r="G44" s="87"/>
      <c r="H44" s="71"/>
      <c r="I44" s="71"/>
      <c r="J44" s="71"/>
      <c r="K44" s="71"/>
      <c r="L44" s="88"/>
      <c r="M44" s="90">
        <f t="shared" si="0"/>
        <v>0</v>
      </c>
      <c r="N44" s="87"/>
      <c r="O44" s="71"/>
      <c r="P44" s="71"/>
      <c r="Q44" s="88"/>
      <c r="R44" s="93">
        <f t="shared" si="1"/>
        <v>0</v>
      </c>
      <c r="S44" s="77"/>
      <c r="T44" s="10"/>
      <c r="U44" s="94"/>
      <c r="V44" s="88"/>
      <c r="W44" s="76" t="e">
        <f t="shared" si="2"/>
        <v>#DIV/0!</v>
      </c>
    </row>
    <row r="45" spans="2:23" x14ac:dyDescent="0.25">
      <c r="B45" s="37" t="s">
        <v>90</v>
      </c>
      <c r="C45" s="35"/>
      <c r="D45" s="10"/>
      <c r="E45" s="10"/>
      <c r="F45" s="75"/>
      <c r="G45" s="87"/>
      <c r="H45" s="71"/>
      <c r="I45" s="71"/>
      <c r="J45" s="71"/>
      <c r="K45" s="71"/>
      <c r="L45" s="88"/>
      <c r="M45" s="90">
        <f t="shared" si="0"/>
        <v>0</v>
      </c>
      <c r="N45" s="87"/>
      <c r="O45" s="71"/>
      <c r="P45" s="71"/>
      <c r="Q45" s="88"/>
      <c r="R45" s="93">
        <f t="shared" si="1"/>
        <v>0</v>
      </c>
      <c r="S45" s="77"/>
      <c r="T45" s="10"/>
      <c r="U45" s="94"/>
      <c r="V45" s="88"/>
      <c r="W45" s="76" t="e">
        <f t="shared" si="2"/>
        <v>#DIV/0!</v>
      </c>
    </row>
    <row r="46" spans="2:23" x14ac:dyDescent="0.25">
      <c r="B46" s="37" t="s">
        <v>90</v>
      </c>
      <c r="C46" s="35"/>
      <c r="D46" s="10"/>
      <c r="E46" s="10"/>
      <c r="F46" s="75"/>
      <c r="G46" s="87"/>
      <c r="H46" s="71"/>
      <c r="I46" s="71"/>
      <c r="J46" s="71"/>
      <c r="K46" s="71"/>
      <c r="L46" s="88"/>
      <c r="M46" s="90">
        <f t="shared" si="0"/>
        <v>0</v>
      </c>
      <c r="N46" s="87"/>
      <c r="O46" s="71"/>
      <c r="P46" s="71"/>
      <c r="Q46" s="88"/>
      <c r="R46" s="93">
        <f t="shared" si="1"/>
        <v>0</v>
      </c>
      <c r="S46" s="77"/>
      <c r="T46" s="10"/>
      <c r="U46" s="94"/>
      <c r="V46" s="88"/>
      <c r="W46" s="76" t="e">
        <f t="shared" si="2"/>
        <v>#DIV/0!</v>
      </c>
    </row>
    <row r="47" spans="2:23" x14ac:dyDescent="0.25">
      <c r="B47" s="37" t="s">
        <v>90</v>
      </c>
      <c r="C47" s="35"/>
      <c r="D47" s="10"/>
      <c r="E47" s="10"/>
      <c r="F47" s="75"/>
      <c r="G47" s="87"/>
      <c r="H47" s="71"/>
      <c r="I47" s="71"/>
      <c r="J47" s="71"/>
      <c r="K47" s="71"/>
      <c r="L47" s="88"/>
      <c r="M47" s="90">
        <f t="shared" si="0"/>
        <v>0</v>
      </c>
      <c r="N47" s="87"/>
      <c r="O47" s="71"/>
      <c r="P47" s="71"/>
      <c r="Q47" s="88"/>
      <c r="R47" s="93">
        <f t="shared" si="1"/>
        <v>0</v>
      </c>
      <c r="S47" s="77"/>
      <c r="T47" s="10"/>
      <c r="U47" s="94"/>
      <c r="V47" s="88"/>
      <c r="W47" s="76" t="e">
        <f t="shared" si="2"/>
        <v>#DIV/0!</v>
      </c>
    </row>
    <row r="48" spans="2:23" x14ac:dyDescent="0.25">
      <c r="B48" s="37" t="s">
        <v>90</v>
      </c>
      <c r="C48" s="35"/>
      <c r="D48" s="10"/>
      <c r="E48" s="10"/>
      <c r="F48" s="75"/>
      <c r="G48" s="87"/>
      <c r="H48" s="71"/>
      <c r="I48" s="71"/>
      <c r="J48" s="71"/>
      <c r="K48" s="71"/>
      <c r="L48" s="88"/>
      <c r="M48" s="90">
        <f t="shared" si="0"/>
        <v>0</v>
      </c>
      <c r="N48" s="87"/>
      <c r="O48" s="71"/>
      <c r="P48" s="71"/>
      <c r="Q48" s="88"/>
      <c r="R48" s="93">
        <f t="shared" si="1"/>
        <v>0</v>
      </c>
      <c r="S48" s="77"/>
      <c r="T48" s="10"/>
      <c r="U48" s="94"/>
      <c r="V48" s="88"/>
      <c r="W48" s="76" t="e">
        <f t="shared" si="2"/>
        <v>#DIV/0!</v>
      </c>
    </row>
    <row r="49" spans="2:23" x14ac:dyDescent="0.25">
      <c r="B49" s="37" t="s">
        <v>90</v>
      </c>
      <c r="C49" s="35"/>
      <c r="D49" s="10"/>
      <c r="E49" s="10"/>
      <c r="F49" s="75"/>
      <c r="G49" s="87"/>
      <c r="H49" s="71"/>
      <c r="I49" s="71"/>
      <c r="J49" s="71"/>
      <c r="K49" s="71"/>
      <c r="L49" s="88"/>
      <c r="M49" s="90">
        <f t="shared" si="0"/>
        <v>0</v>
      </c>
      <c r="N49" s="87"/>
      <c r="O49" s="71"/>
      <c r="P49" s="71"/>
      <c r="Q49" s="88"/>
      <c r="R49" s="93">
        <f t="shared" si="1"/>
        <v>0</v>
      </c>
      <c r="S49" s="77"/>
      <c r="T49" s="10"/>
      <c r="U49" s="94"/>
      <c r="V49" s="88"/>
      <c r="W49" s="76" t="e">
        <f t="shared" si="2"/>
        <v>#DIV/0!</v>
      </c>
    </row>
    <row r="50" spans="2:23" x14ac:dyDescent="0.25">
      <c r="B50" s="37" t="s">
        <v>90</v>
      </c>
      <c r="C50" s="35"/>
      <c r="D50" s="10"/>
      <c r="E50" s="10"/>
      <c r="F50" s="75"/>
      <c r="G50" s="87"/>
      <c r="H50" s="71"/>
      <c r="I50" s="71"/>
      <c r="J50" s="71"/>
      <c r="K50" s="71"/>
      <c r="L50" s="88"/>
      <c r="M50" s="90">
        <f t="shared" si="0"/>
        <v>0</v>
      </c>
      <c r="N50" s="87"/>
      <c r="O50" s="71"/>
      <c r="P50" s="71"/>
      <c r="Q50" s="88"/>
      <c r="R50" s="93">
        <f t="shared" si="1"/>
        <v>0</v>
      </c>
      <c r="S50" s="77"/>
      <c r="T50" s="10"/>
      <c r="U50" s="94"/>
      <c r="V50" s="88"/>
      <c r="W50" s="76" t="e">
        <f t="shared" si="2"/>
        <v>#DIV/0!</v>
      </c>
    </row>
    <row r="51" spans="2:23" x14ac:dyDescent="0.25">
      <c r="B51" s="37" t="s">
        <v>90</v>
      </c>
      <c r="C51" s="35"/>
      <c r="D51" s="10"/>
      <c r="E51" s="10"/>
      <c r="F51" s="75"/>
      <c r="G51" s="87"/>
      <c r="H51" s="71"/>
      <c r="I51" s="71"/>
      <c r="J51" s="71"/>
      <c r="K51" s="71"/>
      <c r="L51" s="88"/>
      <c r="M51" s="90">
        <f t="shared" si="0"/>
        <v>0</v>
      </c>
      <c r="N51" s="87"/>
      <c r="O51" s="71"/>
      <c r="P51" s="71"/>
      <c r="Q51" s="88"/>
      <c r="R51" s="93">
        <f t="shared" si="1"/>
        <v>0</v>
      </c>
      <c r="S51" s="77"/>
      <c r="T51" s="10"/>
      <c r="U51" s="94"/>
      <c r="V51" s="88"/>
      <c r="W51" s="76" t="e">
        <f t="shared" si="2"/>
        <v>#DIV/0!</v>
      </c>
    </row>
    <row r="52" spans="2:23" x14ac:dyDescent="0.25">
      <c r="B52" s="37" t="s">
        <v>90</v>
      </c>
      <c r="C52" s="35"/>
      <c r="D52" s="10"/>
      <c r="E52" s="10"/>
      <c r="F52" s="75"/>
      <c r="G52" s="87"/>
      <c r="H52" s="71"/>
      <c r="I52" s="71"/>
      <c r="J52" s="71"/>
      <c r="K52" s="71"/>
      <c r="L52" s="88"/>
      <c r="M52" s="90">
        <f t="shared" si="0"/>
        <v>0</v>
      </c>
      <c r="N52" s="87"/>
      <c r="O52" s="71"/>
      <c r="P52" s="71"/>
      <c r="Q52" s="88"/>
      <c r="R52" s="93">
        <f t="shared" si="1"/>
        <v>0</v>
      </c>
      <c r="S52" s="77"/>
      <c r="T52" s="10"/>
      <c r="U52" s="94"/>
      <c r="V52" s="88"/>
      <c r="W52" s="76" t="e">
        <f t="shared" si="2"/>
        <v>#DIV/0!</v>
      </c>
    </row>
    <row r="53" spans="2:23" x14ac:dyDescent="0.25">
      <c r="B53" s="37" t="s">
        <v>90</v>
      </c>
      <c r="C53" s="35"/>
      <c r="D53" s="10"/>
      <c r="E53" s="10"/>
      <c r="F53" s="75"/>
      <c r="G53" s="87"/>
      <c r="H53" s="71"/>
      <c r="I53" s="71"/>
      <c r="J53" s="71"/>
      <c r="K53" s="71"/>
      <c r="L53" s="88"/>
      <c r="M53" s="90">
        <f t="shared" si="0"/>
        <v>0</v>
      </c>
      <c r="N53" s="87"/>
      <c r="O53" s="71"/>
      <c r="P53" s="71"/>
      <c r="Q53" s="88"/>
      <c r="R53" s="93">
        <f t="shared" si="1"/>
        <v>0</v>
      </c>
      <c r="S53" s="77"/>
      <c r="T53" s="10"/>
      <c r="U53" s="94"/>
      <c r="V53" s="88"/>
      <c r="W53" s="76" t="e">
        <f t="shared" si="2"/>
        <v>#DIV/0!</v>
      </c>
    </row>
    <row r="54" spans="2:23" x14ac:dyDescent="0.25">
      <c r="B54" s="37" t="s">
        <v>90</v>
      </c>
      <c r="C54" s="35"/>
      <c r="D54" s="10"/>
      <c r="E54" s="10"/>
      <c r="F54" s="75"/>
      <c r="G54" s="87"/>
      <c r="H54" s="71"/>
      <c r="I54" s="71"/>
      <c r="J54" s="71"/>
      <c r="K54" s="71"/>
      <c r="L54" s="88"/>
      <c r="M54" s="90">
        <f t="shared" si="0"/>
        <v>0</v>
      </c>
      <c r="N54" s="87"/>
      <c r="O54" s="71"/>
      <c r="P54" s="71"/>
      <c r="Q54" s="88"/>
      <c r="R54" s="93">
        <f t="shared" si="1"/>
        <v>0</v>
      </c>
      <c r="S54" s="77"/>
      <c r="T54" s="10"/>
      <c r="U54" s="94"/>
      <c r="V54" s="88"/>
      <c r="W54" s="76" t="e">
        <f t="shared" si="2"/>
        <v>#DIV/0!</v>
      </c>
    </row>
    <row r="55" spans="2:23" x14ac:dyDescent="0.25">
      <c r="B55" s="37" t="s">
        <v>90</v>
      </c>
      <c r="C55" s="35"/>
      <c r="D55" s="10"/>
      <c r="E55" s="10"/>
      <c r="F55" s="75"/>
      <c r="G55" s="87"/>
      <c r="H55" s="71"/>
      <c r="I55" s="71"/>
      <c r="J55" s="71"/>
      <c r="K55" s="71"/>
      <c r="L55" s="88"/>
      <c r="M55" s="90">
        <f t="shared" si="0"/>
        <v>0</v>
      </c>
      <c r="N55" s="87"/>
      <c r="O55" s="71"/>
      <c r="P55" s="71"/>
      <c r="Q55" s="88"/>
      <c r="R55" s="93">
        <f t="shared" si="1"/>
        <v>0</v>
      </c>
      <c r="S55" s="77"/>
      <c r="T55" s="10"/>
      <c r="U55" s="94"/>
      <c r="V55" s="88"/>
      <c r="W55" s="76" t="e">
        <f t="shared" si="2"/>
        <v>#DIV/0!</v>
      </c>
    </row>
    <row r="56" spans="2:23" x14ac:dyDescent="0.25">
      <c r="B56" s="37" t="s">
        <v>90</v>
      </c>
      <c r="C56" s="35"/>
      <c r="D56" s="10"/>
      <c r="E56" s="10"/>
      <c r="F56" s="75"/>
      <c r="G56" s="87"/>
      <c r="H56" s="71"/>
      <c r="I56" s="71"/>
      <c r="J56" s="71"/>
      <c r="K56" s="71"/>
      <c r="L56" s="88"/>
      <c r="M56" s="90">
        <f t="shared" si="0"/>
        <v>0</v>
      </c>
      <c r="N56" s="87"/>
      <c r="O56" s="71"/>
      <c r="P56" s="71"/>
      <c r="Q56" s="88"/>
      <c r="R56" s="93">
        <f t="shared" si="1"/>
        <v>0</v>
      </c>
      <c r="S56" s="77"/>
      <c r="T56" s="10"/>
      <c r="U56" s="94"/>
      <c r="V56" s="88"/>
      <c r="W56" s="76" t="e">
        <f t="shared" si="2"/>
        <v>#DIV/0!</v>
      </c>
    </row>
    <row r="57" spans="2:23" x14ac:dyDescent="0.25">
      <c r="B57" s="37" t="s">
        <v>90</v>
      </c>
      <c r="C57" s="35"/>
      <c r="D57" s="10"/>
      <c r="E57" s="10"/>
      <c r="F57" s="75"/>
      <c r="G57" s="87"/>
      <c r="H57" s="71"/>
      <c r="I57" s="71"/>
      <c r="J57" s="71"/>
      <c r="K57" s="71"/>
      <c r="L57" s="88"/>
      <c r="M57" s="90">
        <f t="shared" si="0"/>
        <v>0</v>
      </c>
      <c r="N57" s="87"/>
      <c r="O57" s="71"/>
      <c r="P57" s="71"/>
      <c r="Q57" s="88"/>
      <c r="R57" s="93">
        <f t="shared" si="1"/>
        <v>0</v>
      </c>
      <c r="S57" s="77"/>
      <c r="T57" s="10"/>
      <c r="U57" s="94"/>
      <c r="V57" s="88"/>
      <c r="W57" s="76" t="e">
        <f t="shared" si="2"/>
        <v>#DIV/0!</v>
      </c>
    </row>
    <row r="58" spans="2:23" x14ac:dyDescent="0.25">
      <c r="B58" s="37" t="s">
        <v>90</v>
      </c>
      <c r="C58" s="35"/>
      <c r="D58" s="10"/>
      <c r="E58" s="10"/>
      <c r="F58" s="75"/>
      <c r="G58" s="87"/>
      <c r="H58" s="71"/>
      <c r="I58" s="71"/>
      <c r="J58" s="71"/>
      <c r="K58" s="71"/>
      <c r="L58" s="88"/>
      <c r="M58" s="90">
        <f t="shared" si="0"/>
        <v>0</v>
      </c>
      <c r="N58" s="87"/>
      <c r="O58" s="71"/>
      <c r="P58" s="71"/>
      <c r="Q58" s="88"/>
      <c r="R58" s="93">
        <f t="shared" si="1"/>
        <v>0</v>
      </c>
      <c r="S58" s="77"/>
      <c r="T58" s="10"/>
      <c r="U58" s="94"/>
      <c r="V58" s="88"/>
      <c r="W58" s="76" t="e">
        <f t="shared" si="2"/>
        <v>#DIV/0!</v>
      </c>
    </row>
    <row r="59" spans="2:23" x14ac:dyDescent="0.25">
      <c r="B59" s="37" t="s">
        <v>90</v>
      </c>
      <c r="C59" s="35"/>
      <c r="D59" s="10"/>
      <c r="E59" s="10"/>
      <c r="F59" s="75"/>
      <c r="G59" s="87"/>
      <c r="H59" s="71"/>
      <c r="I59" s="71"/>
      <c r="J59" s="71"/>
      <c r="K59" s="71"/>
      <c r="L59" s="88"/>
      <c r="M59" s="90">
        <f t="shared" si="0"/>
        <v>0</v>
      </c>
      <c r="N59" s="87"/>
      <c r="O59" s="71"/>
      <c r="P59" s="71"/>
      <c r="Q59" s="88"/>
      <c r="R59" s="93">
        <f t="shared" si="1"/>
        <v>0</v>
      </c>
      <c r="S59" s="77"/>
      <c r="T59" s="10"/>
      <c r="U59" s="94"/>
      <c r="V59" s="88"/>
      <c r="W59" s="76" t="e">
        <f t="shared" si="2"/>
        <v>#DIV/0!</v>
      </c>
    </row>
    <row r="60" spans="2:23" x14ac:dyDescent="0.25">
      <c r="B60" s="37" t="s">
        <v>90</v>
      </c>
      <c r="C60" s="35"/>
      <c r="D60" s="10"/>
      <c r="E60" s="10"/>
      <c r="F60" s="75"/>
      <c r="G60" s="87"/>
      <c r="H60" s="71"/>
      <c r="I60" s="71"/>
      <c r="J60" s="71"/>
      <c r="K60" s="71"/>
      <c r="L60" s="88"/>
      <c r="M60" s="90">
        <f t="shared" si="0"/>
        <v>0</v>
      </c>
      <c r="N60" s="87"/>
      <c r="O60" s="71"/>
      <c r="P60" s="71"/>
      <c r="Q60" s="88"/>
      <c r="R60" s="93">
        <f t="shared" si="1"/>
        <v>0</v>
      </c>
      <c r="S60" s="77"/>
      <c r="T60" s="10"/>
      <c r="U60" s="94"/>
      <c r="V60" s="88"/>
      <c r="W60" s="76" t="e">
        <f t="shared" si="2"/>
        <v>#DIV/0!</v>
      </c>
    </row>
    <row r="61" spans="2:23" x14ac:dyDescent="0.25">
      <c r="B61" s="37" t="s">
        <v>90</v>
      </c>
      <c r="C61" s="35"/>
      <c r="D61" s="10"/>
      <c r="E61" s="10"/>
      <c r="F61" s="75"/>
      <c r="G61" s="87"/>
      <c r="H61" s="71"/>
      <c r="I61" s="71"/>
      <c r="J61" s="71"/>
      <c r="K61" s="71"/>
      <c r="L61" s="88"/>
      <c r="M61" s="90">
        <f t="shared" si="0"/>
        <v>0</v>
      </c>
      <c r="N61" s="87"/>
      <c r="O61" s="71"/>
      <c r="P61" s="71"/>
      <c r="Q61" s="88"/>
      <c r="R61" s="93">
        <f t="shared" si="1"/>
        <v>0</v>
      </c>
      <c r="S61" s="77"/>
      <c r="T61" s="10"/>
      <c r="U61" s="94"/>
      <c r="V61" s="88"/>
      <c r="W61" s="76" t="e">
        <f t="shared" si="2"/>
        <v>#DIV/0!</v>
      </c>
    </row>
    <row r="62" spans="2:23" x14ac:dyDescent="0.25">
      <c r="B62" s="37" t="s">
        <v>90</v>
      </c>
      <c r="C62" s="35"/>
      <c r="D62" s="10"/>
      <c r="E62" s="10"/>
      <c r="F62" s="75"/>
      <c r="G62" s="87"/>
      <c r="H62" s="71"/>
      <c r="I62" s="71"/>
      <c r="J62" s="71"/>
      <c r="K62" s="71"/>
      <c r="L62" s="88"/>
      <c r="M62" s="90">
        <f t="shared" si="0"/>
        <v>0</v>
      </c>
      <c r="N62" s="87"/>
      <c r="O62" s="71"/>
      <c r="P62" s="71"/>
      <c r="Q62" s="88"/>
      <c r="R62" s="93">
        <f t="shared" si="1"/>
        <v>0</v>
      </c>
      <c r="S62" s="77"/>
      <c r="T62" s="10"/>
      <c r="U62" s="94"/>
      <c r="V62" s="88"/>
      <c r="W62" s="76" t="e">
        <f t="shared" si="2"/>
        <v>#DIV/0!</v>
      </c>
    </row>
    <row r="63" spans="2:23" x14ac:dyDescent="0.25">
      <c r="B63" s="37" t="s">
        <v>90</v>
      </c>
      <c r="C63" s="35"/>
      <c r="D63" s="10"/>
      <c r="E63" s="10"/>
      <c r="F63" s="75"/>
      <c r="G63" s="87"/>
      <c r="H63" s="71"/>
      <c r="I63" s="71"/>
      <c r="J63" s="71"/>
      <c r="K63" s="71"/>
      <c r="L63" s="88"/>
      <c r="M63" s="90">
        <f t="shared" si="0"/>
        <v>0</v>
      </c>
      <c r="N63" s="87"/>
      <c r="O63" s="71"/>
      <c r="P63" s="71"/>
      <c r="Q63" s="88"/>
      <c r="R63" s="93">
        <f t="shared" si="1"/>
        <v>0</v>
      </c>
      <c r="S63" s="77"/>
      <c r="T63" s="10"/>
      <c r="U63" s="94"/>
      <c r="V63" s="88"/>
      <c r="W63" s="76" t="e">
        <f t="shared" si="2"/>
        <v>#DIV/0!</v>
      </c>
    </row>
    <row r="64" spans="2:23" x14ac:dyDescent="0.25">
      <c r="B64" s="37" t="s">
        <v>90</v>
      </c>
      <c r="C64" s="35"/>
      <c r="D64" s="10"/>
      <c r="E64" s="10"/>
      <c r="F64" s="75"/>
      <c r="G64" s="87"/>
      <c r="H64" s="71"/>
      <c r="I64" s="71"/>
      <c r="J64" s="71"/>
      <c r="K64" s="71"/>
      <c r="L64" s="88"/>
      <c r="M64" s="90">
        <f t="shared" si="0"/>
        <v>0</v>
      </c>
      <c r="N64" s="87"/>
      <c r="O64" s="71"/>
      <c r="P64" s="71"/>
      <c r="Q64" s="88"/>
      <c r="R64" s="93">
        <f t="shared" si="1"/>
        <v>0</v>
      </c>
      <c r="S64" s="77"/>
      <c r="T64" s="10"/>
      <c r="U64" s="94"/>
      <c r="V64" s="88"/>
      <c r="W64" s="76" t="e">
        <f t="shared" si="2"/>
        <v>#DIV/0!</v>
      </c>
    </row>
    <row r="65" spans="2:23" x14ac:dyDescent="0.25">
      <c r="B65" s="37" t="s">
        <v>90</v>
      </c>
      <c r="C65" s="35"/>
      <c r="D65" s="10"/>
      <c r="E65" s="10"/>
      <c r="F65" s="75"/>
      <c r="G65" s="87"/>
      <c r="H65" s="71"/>
      <c r="I65" s="71"/>
      <c r="J65" s="71"/>
      <c r="K65" s="71"/>
      <c r="L65" s="88"/>
      <c r="M65" s="90">
        <f t="shared" si="0"/>
        <v>0</v>
      </c>
      <c r="N65" s="87"/>
      <c r="O65" s="71"/>
      <c r="P65" s="71"/>
      <c r="Q65" s="88"/>
      <c r="R65" s="93">
        <f t="shared" si="1"/>
        <v>0</v>
      </c>
      <c r="S65" s="77"/>
      <c r="T65" s="10"/>
      <c r="U65" s="94"/>
      <c r="V65" s="88"/>
      <c r="W65" s="76" t="e">
        <f t="shared" si="2"/>
        <v>#DIV/0!</v>
      </c>
    </row>
    <row r="66" spans="2:23" x14ac:dyDescent="0.25">
      <c r="B66" s="37" t="s">
        <v>90</v>
      </c>
      <c r="C66" s="35"/>
      <c r="D66" s="10"/>
      <c r="E66" s="10"/>
      <c r="F66" s="75"/>
      <c r="G66" s="87"/>
      <c r="H66" s="71"/>
      <c r="I66" s="71"/>
      <c r="J66" s="71"/>
      <c r="K66" s="71"/>
      <c r="L66" s="88"/>
      <c r="M66" s="90">
        <f t="shared" si="0"/>
        <v>0</v>
      </c>
      <c r="N66" s="87"/>
      <c r="O66" s="71"/>
      <c r="P66" s="71"/>
      <c r="Q66" s="88"/>
      <c r="R66" s="93">
        <f t="shared" si="1"/>
        <v>0</v>
      </c>
      <c r="S66" s="77"/>
      <c r="T66" s="10"/>
      <c r="U66" s="94"/>
      <c r="V66" s="88"/>
      <c r="W66" s="76" t="e">
        <f t="shared" si="2"/>
        <v>#DIV/0!</v>
      </c>
    </row>
    <row r="67" spans="2:23" x14ac:dyDescent="0.25">
      <c r="B67" s="37" t="s">
        <v>90</v>
      </c>
      <c r="C67" s="35"/>
      <c r="D67" s="10"/>
      <c r="E67" s="10"/>
      <c r="F67" s="75"/>
      <c r="G67" s="87"/>
      <c r="H67" s="71"/>
      <c r="I67" s="71"/>
      <c r="J67" s="71"/>
      <c r="K67" s="71"/>
      <c r="L67" s="88"/>
      <c r="M67" s="90">
        <f t="shared" si="0"/>
        <v>0</v>
      </c>
      <c r="N67" s="87"/>
      <c r="O67" s="71"/>
      <c r="P67" s="71"/>
      <c r="Q67" s="88"/>
      <c r="R67" s="93">
        <f t="shared" si="1"/>
        <v>0</v>
      </c>
      <c r="S67" s="77"/>
      <c r="T67" s="10"/>
      <c r="U67" s="94"/>
      <c r="V67" s="88"/>
      <c r="W67" s="76" t="e">
        <f t="shared" si="2"/>
        <v>#DIV/0!</v>
      </c>
    </row>
    <row r="68" spans="2:23" x14ac:dyDescent="0.25">
      <c r="B68" s="37" t="s">
        <v>90</v>
      </c>
      <c r="C68" s="35"/>
      <c r="D68" s="10"/>
      <c r="E68" s="10"/>
      <c r="F68" s="75"/>
      <c r="G68" s="87"/>
      <c r="H68" s="71"/>
      <c r="I68" s="71"/>
      <c r="J68" s="71"/>
      <c r="K68" s="71"/>
      <c r="L68" s="88"/>
      <c r="M68" s="90">
        <f t="shared" si="0"/>
        <v>0</v>
      </c>
      <c r="N68" s="87"/>
      <c r="O68" s="71"/>
      <c r="P68" s="71"/>
      <c r="Q68" s="88"/>
      <c r="R68" s="93">
        <f t="shared" si="1"/>
        <v>0</v>
      </c>
      <c r="S68" s="77"/>
      <c r="T68" s="10"/>
      <c r="U68" s="94"/>
      <c r="V68" s="88"/>
      <c r="W68" s="76" t="e">
        <f t="shared" si="2"/>
        <v>#DIV/0!</v>
      </c>
    </row>
    <row r="69" spans="2:23" x14ac:dyDescent="0.25">
      <c r="B69" s="37" t="s">
        <v>90</v>
      </c>
      <c r="C69" s="35"/>
      <c r="D69" s="10"/>
      <c r="E69" s="10"/>
      <c r="F69" s="75"/>
      <c r="G69" s="87"/>
      <c r="H69" s="71"/>
      <c r="I69" s="71"/>
      <c r="J69" s="71"/>
      <c r="K69" s="71"/>
      <c r="L69" s="88"/>
      <c r="M69" s="90">
        <f t="shared" si="0"/>
        <v>0</v>
      </c>
      <c r="N69" s="87"/>
      <c r="O69" s="71"/>
      <c r="P69" s="71"/>
      <c r="Q69" s="88"/>
      <c r="R69" s="93">
        <f t="shared" si="1"/>
        <v>0</v>
      </c>
      <c r="S69" s="77"/>
      <c r="T69" s="10"/>
      <c r="U69" s="94"/>
      <c r="V69" s="88"/>
      <c r="W69" s="76" t="e">
        <f t="shared" si="2"/>
        <v>#DIV/0!</v>
      </c>
    </row>
    <row r="70" spans="2:23" x14ac:dyDescent="0.25">
      <c r="B70" s="37" t="s">
        <v>90</v>
      </c>
      <c r="C70" s="35"/>
      <c r="D70" s="10"/>
      <c r="E70" s="10"/>
      <c r="F70" s="75"/>
      <c r="G70" s="87"/>
      <c r="H70" s="71"/>
      <c r="I70" s="71"/>
      <c r="J70" s="71"/>
      <c r="K70" s="71"/>
      <c r="L70" s="88"/>
      <c r="M70" s="90">
        <f t="shared" si="0"/>
        <v>0</v>
      </c>
      <c r="N70" s="87"/>
      <c r="O70" s="71"/>
      <c r="P70" s="71"/>
      <c r="Q70" s="88"/>
      <c r="R70" s="93">
        <f t="shared" si="1"/>
        <v>0</v>
      </c>
      <c r="S70" s="77"/>
      <c r="T70" s="10"/>
      <c r="U70" s="94"/>
      <c r="V70" s="88"/>
      <c r="W70" s="76" t="e">
        <f t="shared" si="2"/>
        <v>#DIV/0!</v>
      </c>
    </row>
    <row r="71" spans="2:23" x14ac:dyDescent="0.25">
      <c r="B71" s="37" t="s">
        <v>90</v>
      </c>
      <c r="C71" s="35"/>
      <c r="D71" s="10"/>
      <c r="E71" s="10"/>
      <c r="F71" s="75"/>
      <c r="G71" s="87"/>
      <c r="H71" s="71"/>
      <c r="I71" s="71"/>
      <c r="J71" s="71"/>
      <c r="K71" s="71"/>
      <c r="L71" s="88"/>
      <c r="M71" s="90">
        <f t="shared" ref="M71:M84" si="3">SUM(G71:L71)</f>
        <v>0</v>
      </c>
      <c r="N71" s="87"/>
      <c r="O71" s="71"/>
      <c r="P71" s="71"/>
      <c r="Q71" s="88"/>
      <c r="R71" s="93">
        <f t="shared" ref="R71:R84" si="4">SUM(N71:Q71)</f>
        <v>0</v>
      </c>
      <c r="S71" s="77"/>
      <c r="T71" s="10"/>
      <c r="U71" s="94"/>
      <c r="V71" s="88"/>
      <c r="W71" s="76" t="e">
        <f t="shared" ref="W71:W84" si="5">U71/V71</f>
        <v>#DIV/0!</v>
      </c>
    </row>
    <row r="72" spans="2:23" x14ac:dyDescent="0.25">
      <c r="B72" s="37" t="s">
        <v>90</v>
      </c>
      <c r="C72" s="35"/>
      <c r="D72" s="10"/>
      <c r="E72" s="10"/>
      <c r="F72" s="75"/>
      <c r="G72" s="87"/>
      <c r="H72" s="71"/>
      <c r="I72" s="71"/>
      <c r="J72" s="71"/>
      <c r="K72" s="71"/>
      <c r="L72" s="88"/>
      <c r="M72" s="90">
        <f t="shared" si="3"/>
        <v>0</v>
      </c>
      <c r="N72" s="87"/>
      <c r="O72" s="71"/>
      <c r="P72" s="71"/>
      <c r="Q72" s="88"/>
      <c r="R72" s="93">
        <f t="shared" si="4"/>
        <v>0</v>
      </c>
      <c r="S72" s="77"/>
      <c r="T72" s="10"/>
      <c r="U72" s="94"/>
      <c r="V72" s="88"/>
      <c r="W72" s="76" t="e">
        <f t="shared" si="5"/>
        <v>#DIV/0!</v>
      </c>
    </row>
    <row r="73" spans="2:23" x14ac:dyDescent="0.25">
      <c r="B73" s="37" t="s">
        <v>90</v>
      </c>
      <c r="C73" s="35"/>
      <c r="D73" s="10"/>
      <c r="E73" s="10"/>
      <c r="F73" s="75"/>
      <c r="G73" s="87"/>
      <c r="H73" s="71"/>
      <c r="I73" s="71"/>
      <c r="J73" s="71"/>
      <c r="K73" s="71"/>
      <c r="L73" s="88"/>
      <c r="M73" s="90">
        <f t="shared" si="3"/>
        <v>0</v>
      </c>
      <c r="N73" s="87"/>
      <c r="O73" s="71"/>
      <c r="P73" s="71"/>
      <c r="Q73" s="88"/>
      <c r="R73" s="93">
        <f t="shared" si="4"/>
        <v>0</v>
      </c>
      <c r="S73" s="77"/>
      <c r="T73" s="10"/>
      <c r="U73" s="94"/>
      <c r="V73" s="88"/>
      <c r="W73" s="76" t="e">
        <f t="shared" si="5"/>
        <v>#DIV/0!</v>
      </c>
    </row>
    <row r="74" spans="2:23" x14ac:dyDescent="0.25">
      <c r="B74" s="37" t="s">
        <v>90</v>
      </c>
      <c r="C74" s="35"/>
      <c r="D74" s="10"/>
      <c r="E74" s="10"/>
      <c r="F74" s="75"/>
      <c r="G74" s="87"/>
      <c r="H74" s="71"/>
      <c r="I74" s="71"/>
      <c r="J74" s="71"/>
      <c r="K74" s="71"/>
      <c r="L74" s="88"/>
      <c r="M74" s="90">
        <f t="shared" si="3"/>
        <v>0</v>
      </c>
      <c r="N74" s="87"/>
      <c r="O74" s="71"/>
      <c r="P74" s="71"/>
      <c r="Q74" s="88"/>
      <c r="R74" s="93">
        <f t="shared" si="4"/>
        <v>0</v>
      </c>
      <c r="S74" s="77"/>
      <c r="T74" s="10"/>
      <c r="U74" s="94"/>
      <c r="V74" s="88"/>
      <c r="W74" s="76" t="e">
        <f t="shared" si="5"/>
        <v>#DIV/0!</v>
      </c>
    </row>
    <row r="75" spans="2:23" x14ac:dyDescent="0.25">
      <c r="B75" s="37" t="s">
        <v>90</v>
      </c>
      <c r="C75" s="35"/>
      <c r="D75" s="10"/>
      <c r="E75" s="10"/>
      <c r="F75" s="75"/>
      <c r="G75" s="87"/>
      <c r="H75" s="71"/>
      <c r="I75" s="71"/>
      <c r="J75" s="71"/>
      <c r="K75" s="71"/>
      <c r="L75" s="88"/>
      <c r="M75" s="90">
        <f t="shared" si="3"/>
        <v>0</v>
      </c>
      <c r="N75" s="87"/>
      <c r="O75" s="71"/>
      <c r="P75" s="71"/>
      <c r="Q75" s="88"/>
      <c r="R75" s="93">
        <f t="shared" si="4"/>
        <v>0</v>
      </c>
      <c r="S75" s="77"/>
      <c r="T75" s="10"/>
      <c r="U75" s="94"/>
      <c r="V75" s="88"/>
      <c r="W75" s="76" t="e">
        <f t="shared" si="5"/>
        <v>#DIV/0!</v>
      </c>
    </row>
    <row r="76" spans="2:23" x14ac:dyDescent="0.25">
      <c r="B76" s="37" t="s">
        <v>90</v>
      </c>
      <c r="C76" s="35"/>
      <c r="D76" s="10"/>
      <c r="E76" s="10"/>
      <c r="F76" s="75"/>
      <c r="G76" s="87"/>
      <c r="H76" s="71"/>
      <c r="I76" s="71"/>
      <c r="J76" s="71"/>
      <c r="K76" s="71"/>
      <c r="L76" s="88"/>
      <c r="M76" s="90">
        <f t="shared" si="3"/>
        <v>0</v>
      </c>
      <c r="N76" s="87"/>
      <c r="O76" s="71"/>
      <c r="P76" s="71"/>
      <c r="Q76" s="88"/>
      <c r="R76" s="93">
        <f t="shared" si="4"/>
        <v>0</v>
      </c>
      <c r="S76" s="77"/>
      <c r="T76" s="10"/>
      <c r="U76" s="94"/>
      <c r="V76" s="88"/>
      <c r="W76" s="76" t="e">
        <f t="shared" si="5"/>
        <v>#DIV/0!</v>
      </c>
    </row>
    <row r="77" spans="2:23" x14ac:dyDescent="0.25">
      <c r="B77" s="37" t="s">
        <v>90</v>
      </c>
      <c r="C77" s="35"/>
      <c r="D77" s="10"/>
      <c r="E77" s="10"/>
      <c r="F77" s="75"/>
      <c r="G77" s="87"/>
      <c r="H77" s="71"/>
      <c r="I77" s="71"/>
      <c r="J77" s="71"/>
      <c r="K77" s="71"/>
      <c r="L77" s="88"/>
      <c r="M77" s="90">
        <f t="shared" si="3"/>
        <v>0</v>
      </c>
      <c r="N77" s="87"/>
      <c r="O77" s="71"/>
      <c r="P77" s="71"/>
      <c r="Q77" s="88"/>
      <c r="R77" s="93">
        <f t="shared" si="4"/>
        <v>0</v>
      </c>
      <c r="S77" s="77"/>
      <c r="T77" s="10"/>
      <c r="U77" s="94"/>
      <c r="V77" s="88"/>
      <c r="W77" s="76" t="e">
        <f t="shared" si="5"/>
        <v>#DIV/0!</v>
      </c>
    </row>
    <row r="78" spans="2:23" x14ac:dyDescent="0.25">
      <c r="B78" s="37" t="s">
        <v>90</v>
      </c>
      <c r="C78" s="35"/>
      <c r="D78" s="10"/>
      <c r="E78" s="10"/>
      <c r="F78" s="75"/>
      <c r="G78" s="87"/>
      <c r="H78" s="71"/>
      <c r="I78" s="71"/>
      <c r="J78" s="71"/>
      <c r="K78" s="71"/>
      <c r="L78" s="88"/>
      <c r="M78" s="90">
        <f t="shared" si="3"/>
        <v>0</v>
      </c>
      <c r="N78" s="87"/>
      <c r="O78" s="71"/>
      <c r="P78" s="71"/>
      <c r="Q78" s="88"/>
      <c r="R78" s="93">
        <f t="shared" si="4"/>
        <v>0</v>
      </c>
      <c r="S78" s="77"/>
      <c r="T78" s="10"/>
      <c r="U78" s="94"/>
      <c r="V78" s="88"/>
      <c r="W78" s="76" t="e">
        <f t="shared" si="5"/>
        <v>#DIV/0!</v>
      </c>
    </row>
    <row r="79" spans="2:23" x14ac:dyDescent="0.25">
      <c r="B79" s="37" t="s">
        <v>90</v>
      </c>
      <c r="C79" s="35"/>
      <c r="D79" s="10"/>
      <c r="E79" s="10"/>
      <c r="F79" s="75"/>
      <c r="G79" s="87"/>
      <c r="H79" s="71"/>
      <c r="I79" s="71"/>
      <c r="J79" s="71"/>
      <c r="K79" s="71"/>
      <c r="L79" s="88"/>
      <c r="M79" s="90">
        <f t="shared" si="3"/>
        <v>0</v>
      </c>
      <c r="N79" s="87"/>
      <c r="O79" s="71"/>
      <c r="P79" s="71"/>
      <c r="Q79" s="88"/>
      <c r="R79" s="93">
        <f t="shared" si="4"/>
        <v>0</v>
      </c>
      <c r="S79" s="77"/>
      <c r="T79" s="10"/>
      <c r="U79" s="94"/>
      <c r="V79" s="88"/>
      <c r="W79" s="76" t="e">
        <f t="shared" si="5"/>
        <v>#DIV/0!</v>
      </c>
    </row>
    <row r="80" spans="2:23" x14ac:dyDescent="0.25">
      <c r="B80" s="37" t="s">
        <v>90</v>
      </c>
      <c r="C80" s="35"/>
      <c r="D80" s="10"/>
      <c r="E80" s="10"/>
      <c r="F80" s="75"/>
      <c r="G80" s="87"/>
      <c r="H80" s="71"/>
      <c r="I80" s="71"/>
      <c r="J80" s="71"/>
      <c r="K80" s="71"/>
      <c r="L80" s="88"/>
      <c r="M80" s="90">
        <f t="shared" si="3"/>
        <v>0</v>
      </c>
      <c r="N80" s="87"/>
      <c r="O80" s="71"/>
      <c r="P80" s="71"/>
      <c r="Q80" s="88"/>
      <c r="R80" s="93">
        <f t="shared" si="4"/>
        <v>0</v>
      </c>
      <c r="S80" s="77"/>
      <c r="T80" s="10"/>
      <c r="U80" s="94"/>
      <c r="V80" s="88"/>
      <c r="W80" s="76" t="e">
        <f t="shared" si="5"/>
        <v>#DIV/0!</v>
      </c>
    </row>
    <row r="81" spans="2:23" x14ac:dyDescent="0.25">
      <c r="B81" s="37" t="s">
        <v>90</v>
      </c>
      <c r="C81" s="35"/>
      <c r="D81" s="10"/>
      <c r="E81" s="10"/>
      <c r="F81" s="75"/>
      <c r="G81" s="87"/>
      <c r="H81" s="71"/>
      <c r="I81" s="71"/>
      <c r="J81" s="71"/>
      <c r="K81" s="71"/>
      <c r="L81" s="88"/>
      <c r="M81" s="90">
        <f t="shared" si="3"/>
        <v>0</v>
      </c>
      <c r="N81" s="87"/>
      <c r="O81" s="71"/>
      <c r="P81" s="71"/>
      <c r="Q81" s="88"/>
      <c r="R81" s="93">
        <f t="shared" si="4"/>
        <v>0</v>
      </c>
      <c r="S81" s="77"/>
      <c r="T81" s="10"/>
      <c r="U81" s="94"/>
      <c r="V81" s="88"/>
      <c r="W81" s="76" t="e">
        <f t="shared" si="5"/>
        <v>#DIV/0!</v>
      </c>
    </row>
    <row r="82" spans="2:23" x14ac:dyDescent="0.25">
      <c r="B82" s="37" t="s">
        <v>90</v>
      </c>
      <c r="C82" s="35"/>
      <c r="D82" s="10"/>
      <c r="E82" s="10"/>
      <c r="F82" s="75"/>
      <c r="G82" s="87"/>
      <c r="H82" s="71"/>
      <c r="I82" s="71"/>
      <c r="J82" s="71"/>
      <c r="K82" s="71"/>
      <c r="L82" s="88"/>
      <c r="M82" s="90">
        <f t="shared" si="3"/>
        <v>0</v>
      </c>
      <c r="N82" s="87"/>
      <c r="O82" s="71"/>
      <c r="P82" s="71"/>
      <c r="Q82" s="88"/>
      <c r="R82" s="93">
        <f t="shared" si="4"/>
        <v>0</v>
      </c>
      <c r="S82" s="77"/>
      <c r="T82" s="10"/>
      <c r="U82" s="94"/>
      <c r="V82" s="88"/>
      <c r="W82" s="76" t="e">
        <f t="shared" si="5"/>
        <v>#DIV/0!</v>
      </c>
    </row>
    <row r="83" spans="2:23" x14ac:dyDescent="0.25">
      <c r="B83" s="37" t="s">
        <v>90</v>
      </c>
      <c r="C83" s="35"/>
      <c r="D83" s="10"/>
      <c r="E83" s="10"/>
      <c r="F83" s="75"/>
      <c r="G83" s="87"/>
      <c r="H83" s="71"/>
      <c r="I83" s="71"/>
      <c r="J83" s="71"/>
      <c r="K83" s="71"/>
      <c r="L83" s="88"/>
      <c r="M83" s="90">
        <f t="shared" si="3"/>
        <v>0</v>
      </c>
      <c r="N83" s="87"/>
      <c r="O83" s="71"/>
      <c r="P83" s="71"/>
      <c r="Q83" s="88"/>
      <c r="R83" s="93">
        <f t="shared" si="4"/>
        <v>0</v>
      </c>
      <c r="S83" s="77"/>
      <c r="T83" s="10"/>
      <c r="U83" s="94"/>
      <c r="V83" s="88"/>
      <c r="W83" s="76" t="e">
        <f t="shared" si="5"/>
        <v>#DIV/0!</v>
      </c>
    </row>
    <row r="84" spans="2:23" ht="15.75" thickBot="1" x14ac:dyDescent="0.3">
      <c r="B84" s="38" t="s">
        <v>90</v>
      </c>
      <c r="C84" s="35"/>
      <c r="D84" s="10"/>
      <c r="E84" s="10"/>
      <c r="F84" s="10"/>
      <c r="G84" s="71"/>
      <c r="H84" s="71"/>
      <c r="I84" s="71"/>
      <c r="J84" s="71"/>
      <c r="K84" s="71"/>
      <c r="L84" s="88"/>
      <c r="M84" s="90">
        <f t="shared" si="3"/>
        <v>0</v>
      </c>
      <c r="N84" s="87"/>
      <c r="O84" s="71"/>
      <c r="P84" s="71"/>
      <c r="Q84" s="88"/>
      <c r="R84" s="93">
        <f t="shared" si="4"/>
        <v>0</v>
      </c>
      <c r="S84" s="77"/>
      <c r="T84" s="10"/>
      <c r="U84" s="94"/>
      <c r="V84" s="88"/>
      <c r="W84" s="76" t="e">
        <f t="shared" si="5"/>
        <v>#DIV/0!</v>
      </c>
    </row>
  </sheetData>
  <mergeCells count="3">
    <mergeCell ref="G4:M4"/>
    <mergeCell ref="N4:R4"/>
    <mergeCell ref="S4:W4"/>
  </mergeCells>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E6868-053B-4825-8938-C2ACA769E8D1}">
  <sheetPr codeName="Sheet2">
    <pageSetUpPr fitToPage="1"/>
  </sheetPr>
  <dimension ref="B1:I171"/>
  <sheetViews>
    <sheetView showGridLines="0" zoomScale="85" zoomScaleNormal="85" workbookViewId="0">
      <selection activeCell="C2" sqref="C2"/>
    </sheetView>
  </sheetViews>
  <sheetFormatPr defaultRowHeight="15" x14ac:dyDescent="0.25"/>
  <cols>
    <col min="1" max="1" width="1.7109375" customWidth="1"/>
    <col min="2" max="2" width="34.5703125" bestFit="1" customWidth="1"/>
    <col min="3" max="3" width="89.85546875" customWidth="1"/>
    <col min="4" max="6" width="5.140625" customWidth="1"/>
    <col min="7" max="7" width="55.28515625" customWidth="1"/>
    <col min="8" max="8" width="11.5703125" bestFit="1" customWidth="1"/>
  </cols>
  <sheetData>
    <row r="1" spans="2:9" ht="8.25" customHeight="1" thickBot="1" x14ac:dyDescent="0.3"/>
    <row r="2" spans="2:9" ht="15.75" thickBot="1" x14ac:dyDescent="0.3">
      <c r="B2" s="102" t="s">
        <v>61</v>
      </c>
      <c r="C2" s="7" t="s">
        <v>2224</v>
      </c>
      <c r="E2" s="402" t="s">
        <v>94</v>
      </c>
      <c r="F2" s="403"/>
      <c r="G2" s="404"/>
      <c r="I2" s="102" t="s">
        <v>352</v>
      </c>
    </row>
    <row r="3" spans="2:9" ht="15.75" thickBot="1" x14ac:dyDescent="0.3">
      <c r="B3" s="102" t="s">
        <v>95</v>
      </c>
      <c r="C3" s="105" t="s">
        <v>2225</v>
      </c>
      <c r="E3" s="405" t="s">
        <v>96</v>
      </c>
      <c r="F3" s="406"/>
      <c r="G3" s="407"/>
      <c r="I3" t="s">
        <v>353</v>
      </c>
    </row>
    <row r="4" spans="2:9" ht="15.75" thickBot="1" x14ac:dyDescent="0.3">
      <c r="B4" s="102" t="s">
        <v>97</v>
      </c>
      <c r="C4" s="23" t="s">
        <v>2226</v>
      </c>
      <c r="E4" s="405" t="s">
        <v>98</v>
      </c>
      <c r="F4" s="406"/>
      <c r="G4" s="407"/>
    </row>
    <row r="5" spans="2:9" ht="15.75" thickBot="1" x14ac:dyDescent="0.3">
      <c r="B5" s="102" t="s">
        <v>99</v>
      </c>
      <c r="C5" s="23" t="s">
        <v>2227</v>
      </c>
      <c r="E5" s="405" t="s">
        <v>100</v>
      </c>
      <c r="F5" s="406"/>
      <c r="G5" s="407"/>
    </row>
    <row r="6" spans="2:9" ht="15.75" thickBot="1" x14ac:dyDescent="0.3">
      <c r="B6" s="102" t="s">
        <v>101</v>
      </c>
      <c r="C6" s="43" t="s">
        <v>2228</v>
      </c>
      <c r="E6" s="405" t="s">
        <v>102</v>
      </c>
      <c r="F6" s="406"/>
      <c r="G6" s="407"/>
    </row>
    <row r="7" spans="2:9" ht="15.75" thickBot="1" x14ac:dyDescent="0.3">
      <c r="B7" s="102" t="s">
        <v>103</v>
      </c>
      <c r="C7" s="101" t="s">
        <v>2229</v>
      </c>
      <c r="E7" s="399" t="s">
        <v>104</v>
      </c>
      <c r="F7" s="400"/>
      <c r="G7" s="401"/>
    </row>
    <row r="8" spans="2:9" ht="15.75" thickBot="1" x14ac:dyDescent="0.3">
      <c r="B8" s="102" t="s">
        <v>105</v>
      </c>
      <c r="C8" s="113">
        <v>131571</v>
      </c>
    </row>
    <row r="9" spans="2:9" ht="15.75" thickBot="1" x14ac:dyDescent="0.3">
      <c r="B9" s="102" t="s">
        <v>106</v>
      </c>
      <c r="C9" s="100"/>
    </row>
    <row r="10" spans="2:9" ht="15.75" thickBot="1" x14ac:dyDescent="0.3">
      <c r="B10" s="102" t="s">
        <v>107</v>
      </c>
      <c r="C10" s="29"/>
    </row>
    <row r="11" spans="2:9" ht="15.75" thickBot="1" x14ac:dyDescent="0.3">
      <c r="B11" s="102" t="s">
        <v>108</v>
      </c>
      <c r="C11" s="29"/>
    </row>
    <row r="12" spans="2:9" ht="15.75" thickBot="1" x14ac:dyDescent="0.3">
      <c r="B12" s="102" t="s">
        <v>393</v>
      </c>
      <c r="C12" s="133" t="s">
        <v>2230</v>
      </c>
      <c r="D12" s="134" t="s">
        <v>394</v>
      </c>
    </row>
    <row r="13" spans="2:9" ht="15.75" thickBot="1" x14ac:dyDescent="0.3">
      <c r="B13" s="102" t="s">
        <v>395</v>
      </c>
      <c r="C13" s="133" t="s">
        <v>2231</v>
      </c>
    </row>
    <row r="14" spans="2:9" ht="15.75" thickBot="1" x14ac:dyDescent="0.3">
      <c r="B14" s="102" t="s">
        <v>396</v>
      </c>
      <c r="C14" s="133" t="s">
        <v>2231</v>
      </c>
    </row>
    <row r="15" spans="2:9" ht="15.75" thickBot="1" x14ac:dyDescent="0.3"/>
    <row r="16" spans="2:9" ht="15.75" thickBot="1" x14ac:dyDescent="0.3">
      <c r="B16" s="102"/>
      <c r="C16" s="44"/>
      <c r="D16" s="396" t="s">
        <v>109</v>
      </c>
      <c r="E16" s="397"/>
      <c r="F16" s="398"/>
      <c r="H16" s="45"/>
    </row>
    <row r="17" spans="2:8" s="1" customFormat="1" ht="15.75" thickBot="1" x14ac:dyDescent="0.3">
      <c r="B17" s="2" t="s">
        <v>110</v>
      </c>
      <c r="C17" s="9" t="s">
        <v>0</v>
      </c>
      <c r="D17" s="9" t="s">
        <v>111</v>
      </c>
      <c r="E17" s="9" t="s">
        <v>112</v>
      </c>
      <c r="F17" s="9" t="s">
        <v>113</v>
      </c>
      <c r="G17" s="17" t="s">
        <v>2</v>
      </c>
      <c r="H17" s="1" t="s">
        <v>340</v>
      </c>
    </row>
    <row r="18" spans="2:8" x14ac:dyDescent="0.25">
      <c r="B18" s="10" t="s">
        <v>46</v>
      </c>
      <c r="C18" s="10" t="s">
        <v>114</v>
      </c>
      <c r="D18" s="10"/>
      <c r="E18" s="10"/>
      <c r="F18" s="10"/>
      <c r="G18" s="10"/>
      <c r="H18" s="45" t="s">
        <v>334</v>
      </c>
    </row>
    <row r="19" spans="2:8" x14ac:dyDescent="0.25">
      <c r="B19" s="10" t="s">
        <v>46</v>
      </c>
      <c r="C19" s="10" t="s">
        <v>115</v>
      </c>
      <c r="D19" s="10"/>
      <c r="E19" s="10"/>
      <c r="F19" s="10"/>
      <c r="G19" s="10"/>
      <c r="H19" s="45" t="s">
        <v>334</v>
      </c>
    </row>
    <row r="20" spans="2:8" x14ac:dyDescent="0.25">
      <c r="B20" s="10" t="s">
        <v>46</v>
      </c>
      <c r="C20" s="10" t="s">
        <v>341</v>
      </c>
      <c r="D20" s="10"/>
      <c r="E20" s="10"/>
      <c r="F20" s="10"/>
      <c r="G20" s="10"/>
      <c r="H20" s="45" t="s">
        <v>334</v>
      </c>
    </row>
    <row r="21" spans="2:8" x14ac:dyDescent="0.25">
      <c r="B21" s="10" t="s">
        <v>46</v>
      </c>
      <c r="C21" s="10" t="s">
        <v>342</v>
      </c>
      <c r="D21" s="10"/>
      <c r="E21" s="10"/>
      <c r="F21" s="10"/>
      <c r="G21" s="10"/>
      <c r="H21" s="45" t="s">
        <v>332</v>
      </c>
    </row>
    <row r="22" spans="2:8" x14ac:dyDescent="0.25">
      <c r="B22" s="10" t="s">
        <v>46</v>
      </c>
      <c r="C22" s="10" t="s">
        <v>116</v>
      </c>
      <c r="D22" s="10"/>
      <c r="E22" s="10"/>
      <c r="F22" s="10"/>
      <c r="G22" s="10"/>
      <c r="H22" s="45" t="s">
        <v>334</v>
      </c>
    </row>
    <row r="23" spans="2:8" x14ac:dyDescent="0.25">
      <c r="B23" s="15" t="s">
        <v>46</v>
      </c>
      <c r="C23" s="15" t="s">
        <v>117</v>
      </c>
      <c r="D23" s="15"/>
      <c r="E23" s="15"/>
      <c r="F23" s="15"/>
      <c r="G23" s="15"/>
      <c r="H23" s="45" t="s">
        <v>334</v>
      </c>
    </row>
    <row r="24" spans="2:8" x14ac:dyDescent="0.25">
      <c r="B24" s="10" t="s">
        <v>46</v>
      </c>
      <c r="C24" s="10" t="s">
        <v>118</v>
      </c>
      <c r="D24" s="10"/>
      <c r="E24" s="10"/>
      <c r="F24" s="10"/>
      <c r="G24" s="10"/>
      <c r="H24" s="45" t="s">
        <v>334</v>
      </c>
    </row>
    <row r="25" spans="2:8" x14ac:dyDescent="0.25">
      <c r="B25" s="10" t="s">
        <v>46</v>
      </c>
      <c r="C25" s="10" t="s">
        <v>343</v>
      </c>
      <c r="D25" s="10"/>
      <c r="E25" s="10"/>
      <c r="F25" s="10"/>
      <c r="G25" s="10"/>
      <c r="H25" s="45" t="s">
        <v>334</v>
      </c>
    </row>
    <row r="26" spans="2:8" x14ac:dyDescent="0.25">
      <c r="B26" s="10" t="s">
        <v>46</v>
      </c>
      <c r="C26" s="10" t="s">
        <v>344</v>
      </c>
      <c r="D26" s="10"/>
      <c r="E26" s="10"/>
      <c r="F26" s="10"/>
      <c r="G26" s="10"/>
      <c r="H26" s="45" t="s">
        <v>332</v>
      </c>
    </row>
    <row r="27" spans="2:8" x14ac:dyDescent="0.25">
      <c r="B27" s="10" t="s">
        <v>46</v>
      </c>
      <c r="C27" s="10" t="s">
        <v>119</v>
      </c>
      <c r="D27" s="10"/>
      <c r="E27" s="10"/>
      <c r="F27" s="10"/>
      <c r="G27" s="10"/>
      <c r="H27" s="45" t="s">
        <v>334</v>
      </c>
    </row>
    <row r="28" spans="2:8" x14ac:dyDescent="0.25">
      <c r="B28" s="10" t="s">
        <v>46</v>
      </c>
      <c r="C28" s="10" t="s">
        <v>120</v>
      </c>
      <c r="D28" s="10"/>
      <c r="E28" s="10"/>
      <c r="F28" s="10"/>
      <c r="G28" s="10"/>
      <c r="H28" s="45" t="s">
        <v>334</v>
      </c>
    </row>
    <row r="29" spans="2:8" x14ac:dyDescent="0.25">
      <c r="B29" s="10" t="s">
        <v>46</v>
      </c>
      <c r="C29" s="10" t="s">
        <v>121</v>
      </c>
      <c r="D29" s="10"/>
      <c r="E29" s="10"/>
      <c r="F29" s="10"/>
      <c r="G29" s="10"/>
      <c r="H29" s="45" t="s">
        <v>334</v>
      </c>
    </row>
    <row r="30" spans="2:8" x14ac:dyDescent="0.25">
      <c r="B30" s="10" t="s">
        <v>46</v>
      </c>
      <c r="C30" s="10" t="s">
        <v>122</v>
      </c>
      <c r="D30" s="10"/>
      <c r="E30" s="10"/>
      <c r="F30" s="10"/>
      <c r="G30" s="10"/>
      <c r="H30" s="45" t="s">
        <v>334</v>
      </c>
    </row>
    <row r="31" spans="2:8" x14ac:dyDescent="0.25">
      <c r="B31" s="10" t="s">
        <v>46</v>
      </c>
      <c r="C31" s="10" t="s">
        <v>123</v>
      </c>
      <c r="D31" s="10"/>
      <c r="E31" s="10"/>
      <c r="F31" s="10"/>
      <c r="G31" s="10"/>
      <c r="H31" s="45" t="s">
        <v>334</v>
      </c>
    </row>
    <row r="32" spans="2:8" x14ac:dyDescent="0.25">
      <c r="B32" s="10" t="s">
        <v>46</v>
      </c>
      <c r="C32" s="10" t="s">
        <v>124</v>
      </c>
      <c r="D32" s="10"/>
      <c r="E32" s="10"/>
      <c r="F32" s="10"/>
      <c r="G32" s="10"/>
      <c r="H32" s="45" t="s">
        <v>334</v>
      </c>
    </row>
    <row r="33" spans="2:9" x14ac:dyDescent="0.25">
      <c r="B33" s="10" t="s">
        <v>46</v>
      </c>
      <c r="C33" s="10" t="s">
        <v>125</v>
      </c>
      <c r="D33" s="10"/>
      <c r="E33" s="10"/>
      <c r="F33" s="10"/>
      <c r="G33" s="10"/>
      <c r="H33" s="45" t="s">
        <v>334</v>
      </c>
    </row>
    <row r="34" spans="2:9" x14ac:dyDescent="0.25">
      <c r="B34" s="10" t="s">
        <v>46</v>
      </c>
      <c r="C34" s="10" t="s">
        <v>126</v>
      </c>
      <c r="D34" s="10"/>
      <c r="E34" s="10"/>
      <c r="F34" s="10"/>
      <c r="G34" s="10"/>
      <c r="H34" s="45" t="s">
        <v>334</v>
      </c>
    </row>
    <row r="35" spans="2:9" x14ac:dyDescent="0.25">
      <c r="B35" s="10" t="s">
        <v>46</v>
      </c>
      <c r="C35" s="10" t="s">
        <v>127</v>
      </c>
      <c r="D35" s="10"/>
      <c r="E35" s="10"/>
      <c r="F35" s="10"/>
      <c r="G35" s="10"/>
      <c r="H35" s="45" t="s">
        <v>334</v>
      </c>
      <c r="I35" s="45"/>
    </row>
    <row r="36" spans="2:9" x14ac:dyDescent="0.25">
      <c r="B36" s="10" t="s">
        <v>46</v>
      </c>
      <c r="C36" s="10" t="s">
        <v>128</v>
      </c>
      <c r="D36" s="10"/>
      <c r="E36" s="10"/>
      <c r="F36" s="10"/>
      <c r="G36" s="10"/>
      <c r="H36" s="45" t="s">
        <v>334</v>
      </c>
      <c r="I36" s="45"/>
    </row>
    <row r="37" spans="2:9" x14ac:dyDescent="0.25">
      <c r="B37" s="10" t="s">
        <v>46</v>
      </c>
      <c r="C37" s="10" t="s">
        <v>129</v>
      </c>
      <c r="D37" s="10"/>
      <c r="E37" s="10"/>
      <c r="F37" s="10"/>
      <c r="G37" s="10"/>
      <c r="H37" s="45" t="s">
        <v>334</v>
      </c>
    </row>
    <row r="38" spans="2:9" x14ac:dyDescent="0.25">
      <c r="B38" s="10" t="s">
        <v>46</v>
      </c>
      <c r="C38" s="10" t="s">
        <v>45</v>
      </c>
      <c r="D38" s="10"/>
      <c r="E38" s="10"/>
      <c r="F38" s="10"/>
      <c r="G38" s="10"/>
      <c r="H38" s="45" t="s">
        <v>334</v>
      </c>
    </row>
    <row r="39" spans="2:9" x14ac:dyDescent="0.25">
      <c r="B39" s="10" t="s">
        <v>46</v>
      </c>
      <c r="C39" s="10" t="s">
        <v>336</v>
      </c>
      <c r="D39" s="10"/>
      <c r="E39" s="10"/>
      <c r="F39" s="10"/>
      <c r="G39" s="10"/>
      <c r="H39" s="45" t="s">
        <v>334</v>
      </c>
    </row>
    <row r="40" spans="2:9" x14ac:dyDescent="0.25">
      <c r="B40" s="10" t="s">
        <v>46</v>
      </c>
      <c r="C40" s="10" t="s">
        <v>337</v>
      </c>
      <c r="D40" s="10"/>
      <c r="E40" s="10"/>
      <c r="F40" s="10"/>
      <c r="G40" s="10"/>
      <c r="H40" s="45" t="s">
        <v>334</v>
      </c>
    </row>
    <row r="41" spans="2:9" x14ac:dyDescent="0.25">
      <c r="B41" s="10" t="s">
        <v>46</v>
      </c>
      <c r="C41" s="10" t="s">
        <v>130</v>
      </c>
      <c r="D41" s="10"/>
      <c r="E41" s="10"/>
      <c r="F41" s="10"/>
      <c r="G41" s="10"/>
      <c r="H41" s="45" t="s">
        <v>334</v>
      </c>
    </row>
    <row r="42" spans="2:9" x14ac:dyDescent="0.25">
      <c r="B42" s="10" t="s">
        <v>46</v>
      </c>
      <c r="C42" s="10" t="s">
        <v>131</v>
      </c>
      <c r="D42" s="10"/>
      <c r="E42" s="10"/>
      <c r="F42" s="10"/>
      <c r="G42" s="10"/>
      <c r="H42" s="45" t="s">
        <v>334</v>
      </c>
    </row>
    <row r="43" spans="2:9" x14ac:dyDescent="0.25">
      <c r="B43" s="10" t="s">
        <v>46</v>
      </c>
      <c r="C43" s="10" t="s">
        <v>345</v>
      </c>
      <c r="D43" s="10"/>
      <c r="E43" s="10"/>
      <c r="F43" s="10"/>
      <c r="G43" s="10"/>
      <c r="H43" s="45" t="s">
        <v>334</v>
      </c>
    </row>
    <row r="44" spans="2:9" x14ac:dyDescent="0.25">
      <c r="B44" s="10" t="s">
        <v>46</v>
      </c>
      <c r="C44" s="10" t="s">
        <v>132</v>
      </c>
      <c r="D44" s="10"/>
      <c r="E44" s="10"/>
      <c r="F44" s="10"/>
      <c r="G44" s="10"/>
      <c r="H44" s="45" t="s">
        <v>334</v>
      </c>
    </row>
    <row r="45" spans="2:9" x14ac:dyDescent="0.25">
      <c r="B45" s="10" t="s">
        <v>46</v>
      </c>
      <c r="C45" s="10" t="s">
        <v>133</v>
      </c>
      <c r="D45" s="10"/>
      <c r="E45" s="10"/>
      <c r="F45" s="10"/>
      <c r="G45" s="10"/>
      <c r="H45" s="45" t="s">
        <v>334</v>
      </c>
    </row>
    <row r="46" spans="2:9" x14ac:dyDescent="0.25">
      <c r="B46" s="10" t="s">
        <v>46</v>
      </c>
      <c r="C46" s="10" t="s">
        <v>134</v>
      </c>
      <c r="D46" s="10"/>
      <c r="E46" s="10"/>
      <c r="F46" s="10"/>
      <c r="G46" s="10"/>
      <c r="H46" s="45" t="s">
        <v>334</v>
      </c>
    </row>
    <row r="47" spans="2:9" x14ac:dyDescent="0.25">
      <c r="B47" s="10" t="s">
        <v>46</v>
      </c>
      <c r="C47" s="10" t="s">
        <v>135</v>
      </c>
      <c r="D47" s="10"/>
      <c r="E47" s="10"/>
      <c r="F47" s="10"/>
      <c r="G47" s="10"/>
      <c r="H47" s="45" t="s">
        <v>334</v>
      </c>
    </row>
    <row r="48" spans="2:9" x14ac:dyDescent="0.25">
      <c r="B48" s="10" t="s">
        <v>46</v>
      </c>
      <c r="C48" s="10" t="s">
        <v>136</v>
      </c>
      <c r="D48" s="10"/>
      <c r="E48" s="10"/>
      <c r="F48" s="10"/>
      <c r="G48" s="10"/>
      <c r="H48" s="45" t="s">
        <v>334</v>
      </c>
    </row>
    <row r="49" spans="2:8" x14ac:dyDescent="0.25">
      <c r="B49" s="10" t="s">
        <v>46</v>
      </c>
      <c r="C49" s="10" t="s">
        <v>137</v>
      </c>
      <c r="D49" s="10"/>
      <c r="E49" s="10"/>
      <c r="F49" s="10"/>
      <c r="G49" s="10"/>
      <c r="H49" s="45" t="s">
        <v>334</v>
      </c>
    </row>
    <row r="50" spans="2:8" x14ac:dyDescent="0.25">
      <c r="B50" s="10" t="s">
        <v>46</v>
      </c>
      <c r="C50" s="10" t="s">
        <v>138</v>
      </c>
      <c r="D50" s="10"/>
      <c r="E50" s="10"/>
      <c r="F50" s="10"/>
      <c r="G50" s="10"/>
      <c r="H50" s="45" t="s">
        <v>334</v>
      </c>
    </row>
    <row r="51" spans="2:8" x14ac:dyDescent="0.25">
      <c r="B51" s="10" t="s">
        <v>46</v>
      </c>
      <c r="C51" s="10" t="s">
        <v>139</v>
      </c>
      <c r="D51" s="10"/>
      <c r="E51" s="10"/>
      <c r="F51" s="10"/>
      <c r="G51" s="10"/>
      <c r="H51" s="45" t="s">
        <v>334</v>
      </c>
    </row>
    <row r="52" spans="2:8" x14ac:dyDescent="0.25">
      <c r="B52" s="10" t="s">
        <v>46</v>
      </c>
      <c r="C52" s="10" t="s">
        <v>140</v>
      </c>
      <c r="D52" s="10"/>
      <c r="E52" s="10"/>
      <c r="F52" s="10"/>
      <c r="G52" s="10"/>
      <c r="H52" s="45" t="s">
        <v>334</v>
      </c>
    </row>
    <row r="53" spans="2:8" x14ac:dyDescent="0.25">
      <c r="B53" s="10" t="s">
        <v>46</v>
      </c>
      <c r="C53" s="10" t="s">
        <v>141</v>
      </c>
      <c r="D53" s="10"/>
      <c r="E53" s="10"/>
      <c r="F53" s="10"/>
      <c r="G53" s="10"/>
      <c r="H53" s="45" t="s">
        <v>346</v>
      </c>
    </row>
    <row r="54" spans="2:8" x14ac:dyDescent="0.25">
      <c r="B54" s="10" t="s">
        <v>142</v>
      </c>
      <c r="C54" s="10" t="s">
        <v>143</v>
      </c>
      <c r="D54" s="10"/>
      <c r="E54" s="10"/>
      <c r="F54" s="10"/>
      <c r="G54" s="10"/>
      <c r="H54" s="45" t="s">
        <v>334</v>
      </c>
    </row>
    <row r="55" spans="2:8" x14ac:dyDescent="0.25">
      <c r="B55" s="10" t="s">
        <v>142</v>
      </c>
      <c r="C55" s="10" t="s">
        <v>144</v>
      </c>
      <c r="D55" s="10"/>
      <c r="E55" s="10"/>
      <c r="F55" s="10"/>
      <c r="G55" s="10"/>
      <c r="H55" s="45" t="s">
        <v>334</v>
      </c>
    </row>
    <row r="56" spans="2:8" x14ac:dyDescent="0.25">
      <c r="B56" s="10" t="s">
        <v>142</v>
      </c>
      <c r="C56" s="10" t="s">
        <v>145</v>
      </c>
      <c r="D56" s="10"/>
      <c r="E56" s="10"/>
      <c r="F56" s="10"/>
      <c r="G56" s="10"/>
      <c r="H56" s="45" t="s">
        <v>334</v>
      </c>
    </row>
    <row r="57" spans="2:8" x14ac:dyDescent="0.25">
      <c r="B57" s="10" t="s">
        <v>142</v>
      </c>
      <c r="C57" s="10" t="s">
        <v>146</v>
      </c>
      <c r="D57" s="10"/>
      <c r="E57" s="10"/>
      <c r="F57" s="10"/>
      <c r="G57" s="10"/>
      <c r="H57" s="45" t="s">
        <v>334</v>
      </c>
    </row>
    <row r="58" spans="2:8" x14ac:dyDescent="0.25">
      <c r="B58" s="10" t="s">
        <v>142</v>
      </c>
      <c r="C58" s="10" t="s">
        <v>147</v>
      </c>
      <c r="D58" s="10"/>
      <c r="E58" s="10"/>
      <c r="F58" s="10"/>
      <c r="G58" s="10"/>
      <c r="H58" s="45" t="s">
        <v>334</v>
      </c>
    </row>
    <row r="59" spans="2:8" x14ac:dyDescent="0.25">
      <c r="B59" s="10" t="s">
        <v>142</v>
      </c>
      <c r="C59" s="10" t="s">
        <v>148</v>
      </c>
      <c r="D59" s="10"/>
      <c r="E59" s="10"/>
      <c r="F59" s="10"/>
      <c r="G59" s="10"/>
      <c r="H59" s="45" t="s">
        <v>334</v>
      </c>
    </row>
    <row r="60" spans="2:8" x14ac:dyDescent="0.25">
      <c r="B60" s="10" t="s">
        <v>142</v>
      </c>
      <c r="C60" s="10" t="s">
        <v>149</v>
      </c>
      <c r="D60" s="10"/>
      <c r="E60" s="10"/>
      <c r="F60" s="10"/>
      <c r="G60" s="10"/>
      <c r="H60" s="45" t="s">
        <v>334</v>
      </c>
    </row>
    <row r="61" spans="2:8" x14ac:dyDescent="0.25">
      <c r="B61" s="10" t="s">
        <v>142</v>
      </c>
      <c r="C61" s="10" t="s">
        <v>150</v>
      </c>
      <c r="D61" s="10"/>
      <c r="E61" s="10"/>
      <c r="F61" s="10"/>
      <c r="G61" s="10"/>
      <c r="H61" s="45" t="s">
        <v>334</v>
      </c>
    </row>
    <row r="62" spans="2:8" x14ac:dyDescent="0.25">
      <c r="B62" s="10" t="s">
        <v>142</v>
      </c>
      <c r="C62" s="10" t="s">
        <v>151</v>
      </c>
      <c r="D62" s="10"/>
      <c r="E62" s="10"/>
      <c r="F62" s="10"/>
      <c r="G62" s="10"/>
      <c r="H62" s="45" t="s">
        <v>334</v>
      </c>
    </row>
    <row r="63" spans="2:8" x14ac:dyDescent="0.25">
      <c r="B63" s="10" t="s">
        <v>142</v>
      </c>
      <c r="C63" s="10" t="s">
        <v>347</v>
      </c>
      <c r="D63" s="10"/>
      <c r="E63" s="10"/>
      <c r="F63" s="10"/>
      <c r="G63" s="10"/>
      <c r="H63" s="45" t="s">
        <v>334</v>
      </c>
    </row>
    <row r="64" spans="2:8" x14ac:dyDescent="0.25">
      <c r="B64" s="10" t="s">
        <v>142</v>
      </c>
      <c r="C64" s="10" t="s">
        <v>152</v>
      </c>
      <c r="D64" s="10"/>
      <c r="E64" s="10"/>
      <c r="F64" s="10"/>
      <c r="G64" s="10"/>
      <c r="H64" s="45" t="s">
        <v>334</v>
      </c>
    </row>
    <row r="65" spans="2:8" x14ac:dyDescent="0.25">
      <c r="B65" s="10" t="s">
        <v>142</v>
      </c>
      <c r="C65" s="10" t="s">
        <v>153</v>
      </c>
      <c r="D65" s="10"/>
      <c r="E65" s="10"/>
      <c r="F65" s="10"/>
      <c r="G65" s="10"/>
      <c r="H65" s="45" t="s">
        <v>334</v>
      </c>
    </row>
    <row r="66" spans="2:8" x14ac:dyDescent="0.25">
      <c r="B66" s="10" t="s">
        <v>142</v>
      </c>
      <c r="C66" s="10" t="s">
        <v>154</v>
      </c>
      <c r="D66" s="10"/>
      <c r="E66" s="10"/>
      <c r="F66" s="10"/>
      <c r="G66" s="10"/>
      <c r="H66" s="45" t="s">
        <v>334</v>
      </c>
    </row>
    <row r="67" spans="2:8" x14ac:dyDescent="0.25">
      <c r="B67" s="10" t="s">
        <v>142</v>
      </c>
      <c r="C67" s="10" t="s">
        <v>155</v>
      </c>
      <c r="D67" s="10"/>
      <c r="E67" s="10"/>
      <c r="F67" s="10"/>
      <c r="G67" s="10"/>
      <c r="H67" s="45" t="s">
        <v>334</v>
      </c>
    </row>
    <row r="68" spans="2:8" x14ac:dyDescent="0.25">
      <c r="B68" s="10" t="s">
        <v>142</v>
      </c>
      <c r="C68" s="10" t="s">
        <v>156</v>
      </c>
      <c r="D68" s="10"/>
      <c r="E68" s="10"/>
      <c r="F68" s="10"/>
      <c r="G68" s="10"/>
      <c r="H68" s="45" t="s">
        <v>334</v>
      </c>
    </row>
    <row r="69" spans="2:8" x14ac:dyDescent="0.25">
      <c r="B69" s="10" t="s">
        <v>142</v>
      </c>
      <c r="C69" s="10" t="s">
        <v>157</v>
      </c>
      <c r="D69" s="10"/>
      <c r="E69" s="10"/>
      <c r="F69" s="10"/>
      <c r="G69" s="10"/>
      <c r="H69" s="45" t="s">
        <v>334</v>
      </c>
    </row>
    <row r="70" spans="2:8" x14ac:dyDescent="0.25">
      <c r="B70" s="10" t="s">
        <v>142</v>
      </c>
      <c r="C70" s="10" t="s">
        <v>158</v>
      </c>
      <c r="D70" s="10"/>
      <c r="E70" s="10"/>
      <c r="F70" s="10"/>
      <c r="G70" s="10"/>
      <c r="H70" s="45" t="s">
        <v>334</v>
      </c>
    </row>
    <row r="71" spans="2:8" x14ac:dyDescent="0.25">
      <c r="B71" s="10" t="s">
        <v>142</v>
      </c>
      <c r="C71" s="10" t="s">
        <v>159</v>
      </c>
      <c r="D71" s="10"/>
      <c r="E71" s="10"/>
      <c r="F71" s="10"/>
      <c r="G71" s="10"/>
      <c r="H71" s="45" t="s">
        <v>334</v>
      </c>
    </row>
    <row r="72" spans="2:8" x14ac:dyDescent="0.25">
      <c r="B72" s="10" t="s">
        <v>142</v>
      </c>
      <c r="C72" s="10" t="s">
        <v>160</v>
      </c>
      <c r="D72" s="10"/>
      <c r="E72" s="10"/>
      <c r="F72" s="10"/>
      <c r="G72" s="10"/>
      <c r="H72" s="45" t="s">
        <v>334</v>
      </c>
    </row>
    <row r="73" spans="2:8" x14ac:dyDescent="0.25">
      <c r="B73" s="10" t="s">
        <v>142</v>
      </c>
      <c r="C73" s="10" t="s">
        <v>161</v>
      </c>
      <c r="D73" s="10"/>
      <c r="E73" s="10"/>
      <c r="F73" s="10"/>
      <c r="G73" s="10"/>
      <c r="H73" s="45" t="s">
        <v>334</v>
      </c>
    </row>
    <row r="74" spans="2:8" x14ac:dyDescent="0.25">
      <c r="B74" s="10" t="s">
        <v>142</v>
      </c>
      <c r="C74" s="10" t="s">
        <v>162</v>
      </c>
      <c r="D74" s="10"/>
      <c r="E74" s="10"/>
      <c r="F74" s="10"/>
      <c r="G74" s="10"/>
      <c r="H74" s="45" t="s">
        <v>334</v>
      </c>
    </row>
    <row r="75" spans="2:8" x14ac:dyDescent="0.25">
      <c r="B75" s="10" t="s">
        <v>142</v>
      </c>
      <c r="C75" s="10" t="s">
        <v>163</v>
      </c>
      <c r="D75" s="10"/>
      <c r="E75" s="10"/>
      <c r="F75" s="10"/>
      <c r="G75" s="10"/>
      <c r="H75" s="45" t="s">
        <v>334</v>
      </c>
    </row>
    <row r="76" spans="2:8" x14ac:dyDescent="0.25">
      <c r="B76" s="10" t="s">
        <v>142</v>
      </c>
      <c r="C76" s="10" t="s">
        <v>164</v>
      </c>
      <c r="D76" s="10"/>
      <c r="E76" s="10"/>
      <c r="F76" s="10"/>
      <c r="G76" s="10"/>
      <c r="H76" s="45" t="s">
        <v>334</v>
      </c>
    </row>
    <row r="77" spans="2:8" x14ac:dyDescent="0.25">
      <c r="B77" s="10" t="s">
        <v>142</v>
      </c>
      <c r="C77" s="10" t="s">
        <v>165</v>
      </c>
      <c r="D77" s="10"/>
      <c r="E77" s="10"/>
      <c r="F77" s="10"/>
      <c r="G77" s="10"/>
      <c r="H77" s="45" t="s">
        <v>334</v>
      </c>
    </row>
    <row r="78" spans="2:8" x14ac:dyDescent="0.25">
      <c r="B78" s="10" t="s">
        <v>142</v>
      </c>
      <c r="C78" s="10" t="s">
        <v>166</v>
      </c>
      <c r="D78" s="10"/>
      <c r="E78" s="10"/>
      <c r="F78" s="10"/>
      <c r="G78" s="10"/>
      <c r="H78" s="45" t="s">
        <v>334</v>
      </c>
    </row>
    <row r="79" spans="2:8" x14ac:dyDescent="0.25">
      <c r="B79" s="10" t="s">
        <v>142</v>
      </c>
      <c r="C79" s="10" t="s">
        <v>167</v>
      </c>
      <c r="D79" s="10"/>
      <c r="E79" s="10"/>
      <c r="F79" s="10"/>
      <c r="G79" s="10"/>
      <c r="H79" s="45" t="s">
        <v>334</v>
      </c>
    </row>
    <row r="80" spans="2:8" x14ac:dyDescent="0.25">
      <c r="B80" s="10" t="s">
        <v>168</v>
      </c>
      <c r="C80" s="10" t="s">
        <v>169</v>
      </c>
      <c r="D80" s="10"/>
      <c r="E80" s="10"/>
      <c r="F80" s="10"/>
      <c r="G80" s="10"/>
      <c r="H80" s="45" t="s">
        <v>334</v>
      </c>
    </row>
    <row r="81" spans="2:8" x14ac:dyDescent="0.25">
      <c r="B81" s="10" t="s">
        <v>168</v>
      </c>
      <c r="C81" s="10" t="s">
        <v>170</v>
      </c>
      <c r="D81" s="10"/>
      <c r="E81" s="10"/>
      <c r="F81" s="10"/>
      <c r="G81" s="10"/>
      <c r="H81" s="45" t="s">
        <v>334</v>
      </c>
    </row>
    <row r="82" spans="2:8" x14ac:dyDescent="0.25">
      <c r="B82" s="10" t="s">
        <v>168</v>
      </c>
      <c r="C82" s="10" t="s">
        <v>171</v>
      </c>
      <c r="D82" s="10"/>
      <c r="E82" s="10"/>
      <c r="F82" s="10"/>
      <c r="G82" s="10"/>
      <c r="H82" s="45" t="s">
        <v>334</v>
      </c>
    </row>
    <row r="83" spans="2:8" x14ac:dyDescent="0.25">
      <c r="B83" s="10" t="s">
        <v>168</v>
      </c>
      <c r="C83" s="10" t="s">
        <v>172</v>
      </c>
      <c r="D83" s="10"/>
      <c r="E83" s="10"/>
      <c r="F83" s="10"/>
      <c r="G83" s="10"/>
      <c r="H83" s="45" t="s">
        <v>334</v>
      </c>
    </row>
    <row r="84" spans="2:8" x14ac:dyDescent="0.25">
      <c r="B84" s="10" t="s">
        <v>168</v>
      </c>
      <c r="C84" s="10" t="s">
        <v>173</v>
      </c>
      <c r="D84" s="10"/>
      <c r="E84" s="10"/>
      <c r="F84" s="10"/>
      <c r="G84" s="10"/>
      <c r="H84" s="45" t="s">
        <v>334</v>
      </c>
    </row>
    <row r="85" spans="2:8" x14ac:dyDescent="0.25">
      <c r="B85" s="10" t="s">
        <v>168</v>
      </c>
      <c r="C85" s="10" t="s">
        <v>482</v>
      </c>
      <c r="D85" s="10"/>
      <c r="E85" s="10"/>
      <c r="F85" s="10"/>
      <c r="G85" s="10"/>
      <c r="H85" s="45" t="s">
        <v>333</v>
      </c>
    </row>
    <row r="86" spans="2:8" x14ac:dyDescent="0.25">
      <c r="B86" s="10" t="s">
        <v>168</v>
      </c>
      <c r="C86" s="10" t="s">
        <v>483</v>
      </c>
      <c r="D86" s="10"/>
      <c r="E86" s="10"/>
      <c r="F86" s="10"/>
      <c r="G86" s="10"/>
      <c r="H86" s="45" t="s">
        <v>333</v>
      </c>
    </row>
    <row r="87" spans="2:8" x14ac:dyDescent="0.25">
      <c r="B87" s="10" t="s">
        <v>168</v>
      </c>
      <c r="C87" s="10" t="s">
        <v>174</v>
      </c>
      <c r="D87" s="10"/>
      <c r="E87" s="10"/>
      <c r="F87" s="10"/>
      <c r="G87" s="10"/>
      <c r="H87" s="45" t="s">
        <v>334</v>
      </c>
    </row>
    <row r="88" spans="2:8" x14ac:dyDescent="0.25">
      <c r="B88" s="10" t="s">
        <v>168</v>
      </c>
      <c r="C88" s="10" t="s">
        <v>175</v>
      </c>
      <c r="D88" s="10"/>
      <c r="E88" s="10"/>
      <c r="F88" s="10"/>
      <c r="G88" s="10"/>
      <c r="H88" s="45" t="s">
        <v>334</v>
      </c>
    </row>
    <row r="89" spans="2:8" x14ac:dyDescent="0.25">
      <c r="B89" s="10" t="s">
        <v>50</v>
      </c>
      <c r="C89" s="10" t="s">
        <v>176</v>
      </c>
      <c r="D89" s="10"/>
      <c r="E89" s="10"/>
      <c r="F89" s="10"/>
      <c r="G89" s="10"/>
      <c r="H89" s="45" t="s">
        <v>333</v>
      </c>
    </row>
    <row r="90" spans="2:8" x14ac:dyDescent="0.25">
      <c r="B90" s="10" t="s">
        <v>50</v>
      </c>
      <c r="C90" s="10" t="s">
        <v>177</v>
      </c>
      <c r="D90" s="10"/>
      <c r="E90" s="10"/>
      <c r="F90" s="10"/>
      <c r="G90" s="10"/>
      <c r="H90" s="45" t="s">
        <v>334</v>
      </c>
    </row>
    <row r="91" spans="2:8" x14ac:dyDescent="0.25">
      <c r="B91" s="10" t="s">
        <v>50</v>
      </c>
      <c r="C91" s="10" t="s">
        <v>348</v>
      </c>
      <c r="D91" s="10"/>
      <c r="E91" s="10"/>
      <c r="F91" s="10"/>
      <c r="G91" s="10"/>
      <c r="H91" s="45" t="s">
        <v>334</v>
      </c>
    </row>
    <row r="92" spans="2:8" x14ac:dyDescent="0.25">
      <c r="B92" s="10" t="s">
        <v>50</v>
      </c>
      <c r="C92" s="10" t="s">
        <v>349</v>
      </c>
      <c r="D92" s="10"/>
      <c r="E92" s="10"/>
      <c r="F92" s="10"/>
      <c r="G92" s="10"/>
      <c r="H92" s="45" t="s">
        <v>334</v>
      </c>
    </row>
    <row r="93" spans="2:8" x14ac:dyDescent="0.25">
      <c r="B93" s="10" t="s">
        <v>48</v>
      </c>
      <c r="C93" s="10" t="s">
        <v>178</v>
      </c>
      <c r="D93" s="10"/>
      <c r="E93" s="10"/>
      <c r="F93" s="10"/>
      <c r="G93" s="10"/>
      <c r="H93" s="45" t="s">
        <v>334</v>
      </c>
    </row>
    <row r="94" spans="2:8" x14ac:dyDescent="0.25">
      <c r="B94" s="10" t="s">
        <v>48</v>
      </c>
      <c r="C94" s="10" t="s">
        <v>179</v>
      </c>
      <c r="D94" s="10"/>
      <c r="E94" s="10"/>
      <c r="F94" s="10"/>
      <c r="G94" s="10"/>
      <c r="H94" s="45" t="s">
        <v>334</v>
      </c>
    </row>
    <row r="95" spans="2:8" x14ac:dyDescent="0.25">
      <c r="B95" s="10" t="s">
        <v>48</v>
      </c>
      <c r="C95" s="10" t="s">
        <v>180</v>
      </c>
      <c r="D95" s="10"/>
      <c r="E95" s="10"/>
      <c r="F95" s="10"/>
      <c r="G95" s="10"/>
      <c r="H95" s="45" t="s">
        <v>334</v>
      </c>
    </row>
    <row r="96" spans="2:8" x14ac:dyDescent="0.25">
      <c r="B96" s="10" t="s">
        <v>48</v>
      </c>
      <c r="C96" s="10" t="s">
        <v>181</v>
      </c>
      <c r="D96" s="10"/>
      <c r="E96" s="10"/>
      <c r="F96" s="10"/>
      <c r="G96" s="10"/>
      <c r="H96" s="45" t="s">
        <v>333</v>
      </c>
    </row>
    <row r="97" spans="2:8" x14ac:dyDescent="0.25">
      <c r="B97" s="10" t="s">
        <v>182</v>
      </c>
      <c r="C97" s="10" t="s">
        <v>183</v>
      </c>
      <c r="D97" s="10"/>
      <c r="E97" s="10"/>
      <c r="F97" s="10"/>
      <c r="G97" s="10"/>
      <c r="H97" s="45" t="s">
        <v>334</v>
      </c>
    </row>
    <row r="98" spans="2:8" x14ac:dyDescent="0.25">
      <c r="B98" s="10" t="s">
        <v>182</v>
      </c>
      <c r="C98" s="10" t="s">
        <v>184</v>
      </c>
      <c r="D98" s="10"/>
      <c r="E98" s="10"/>
      <c r="F98" s="10"/>
      <c r="G98" s="10"/>
      <c r="H98" s="45" t="s">
        <v>334</v>
      </c>
    </row>
    <row r="99" spans="2:8" x14ac:dyDescent="0.25">
      <c r="B99" s="10" t="s">
        <v>182</v>
      </c>
      <c r="C99" s="10" t="s">
        <v>185</v>
      </c>
      <c r="D99" s="10"/>
      <c r="E99" s="10"/>
      <c r="F99" s="10"/>
      <c r="G99" s="10"/>
      <c r="H99" s="45" t="s">
        <v>334</v>
      </c>
    </row>
    <row r="100" spans="2:8" x14ac:dyDescent="0.25">
      <c r="B100" s="10" t="s">
        <v>182</v>
      </c>
      <c r="C100" s="10" t="s">
        <v>186</v>
      </c>
      <c r="D100" s="10"/>
      <c r="E100" s="10"/>
      <c r="F100" s="10"/>
      <c r="G100" s="10"/>
      <c r="H100" s="45" t="s">
        <v>334</v>
      </c>
    </row>
    <row r="101" spans="2:8" x14ac:dyDescent="0.25">
      <c r="B101" s="10" t="s">
        <v>182</v>
      </c>
      <c r="C101" s="10" t="s">
        <v>187</v>
      </c>
      <c r="D101" s="10"/>
      <c r="E101" s="10"/>
      <c r="F101" s="10"/>
      <c r="G101" s="10"/>
      <c r="H101" s="45" t="s">
        <v>334</v>
      </c>
    </row>
    <row r="102" spans="2:8" x14ac:dyDescent="0.25">
      <c r="B102" s="10" t="s">
        <v>188</v>
      </c>
      <c r="C102" s="10" t="s">
        <v>189</v>
      </c>
      <c r="D102" s="10"/>
      <c r="E102" s="10"/>
      <c r="F102" s="10"/>
      <c r="G102" s="10"/>
      <c r="H102" s="45" t="s">
        <v>334</v>
      </c>
    </row>
    <row r="103" spans="2:8" x14ac:dyDescent="0.25">
      <c r="B103" s="10" t="s">
        <v>188</v>
      </c>
      <c r="C103" s="10" t="s">
        <v>190</v>
      </c>
      <c r="D103" s="10"/>
      <c r="E103" s="10"/>
      <c r="F103" s="10"/>
      <c r="G103" s="10"/>
      <c r="H103" s="45" t="s">
        <v>334</v>
      </c>
    </row>
    <row r="104" spans="2:8" x14ac:dyDescent="0.25">
      <c r="B104" s="10" t="s">
        <v>191</v>
      </c>
      <c r="C104" s="10" t="s">
        <v>192</v>
      </c>
      <c r="D104" s="10"/>
      <c r="E104" s="10"/>
      <c r="F104" s="10"/>
      <c r="G104" s="10"/>
      <c r="H104" s="45" t="s">
        <v>334</v>
      </c>
    </row>
    <row r="105" spans="2:8" x14ac:dyDescent="0.25">
      <c r="B105" s="10" t="s">
        <v>193</v>
      </c>
      <c r="C105" s="10" t="s">
        <v>194</v>
      </c>
      <c r="D105" s="10"/>
      <c r="E105" s="10"/>
      <c r="F105" s="10"/>
      <c r="G105" s="10"/>
      <c r="H105" s="45" t="s">
        <v>334</v>
      </c>
    </row>
    <row r="106" spans="2:8" x14ac:dyDescent="0.25">
      <c r="B106" s="10" t="s">
        <v>193</v>
      </c>
      <c r="C106" s="10" t="s">
        <v>195</v>
      </c>
      <c r="D106" s="10"/>
      <c r="E106" s="10"/>
      <c r="F106" s="10"/>
      <c r="G106" s="10"/>
      <c r="H106" s="45" t="s">
        <v>334</v>
      </c>
    </row>
    <row r="107" spans="2:8" x14ac:dyDescent="0.25">
      <c r="B107" s="10" t="s">
        <v>193</v>
      </c>
      <c r="C107" s="10" t="s">
        <v>196</v>
      </c>
      <c r="D107" s="10"/>
      <c r="E107" s="10"/>
      <c r="F107" s="10"/>
      <c r="G107" s="10"/>
      <c r="H107" s="45" t="s">
        <v>334</v>
      </c>
    </row>
    <row r="108" spans="2:8" x14ac:dyDescent="0.25">
      <c r="B108" s="10" t="s">
        <v>193</v>
      </c>
      <c r="C108" s="10" t="s">
        <v>197</v>
      </c>
      <c r="D108" s="10"/>
      <c r="E108" s="10"/>
      <c r="F108" s="10"/>
      <c r="G108" s="10"/>
      <c r="H108" s="45" t="s">
        <v>334</v>
      </c>
    </row>
    <row r="109" spans="2:8" x14ac:dyDescent="0.25">
      <c r="B109" s="10" t="s">
        <v>193</v>
      </c>
      <c r="C109" s="10" t="s">
        <v>198</v>
      </c>
      <c r="D109" s="10"/>
      <c r="E109" s="10"/>
      <c r="F109" s="10"/>
      <c r="G109" s="10"/>
      <c r="H109" s="45" t="s">
        <v>334</v>
      </c>
    </row>
    <row r="110" spans="2:8" x14ac:dyDescent="0.25">
      <c r="B110" s="10" t="s">
        <v>193</v>
      </c>
      <c r="C110" s="10" t="s">
        <v>199</v>
      </c>
      <c r="D110" s="10"/>
      <c r="E110" s="10"/>
      <c r="F110" s="10"/>
      <c r="G110" s="10"/>
      <c r="H110" s="45" t="s">
        <v>334</v>
      </c>
    </row>
    <row r="111" spans="2:8" x14ac:dyDescent="0.25">
      <c r="B111" s="10" t="s">
        <v>193</v>
      </c>
      <c r="C111" s="10" t="s">
        <v>200</v>
      </c>
      <c r="D111" s="10"/>
      <c r="E111" s="10"/>
      <c r="F111" s="10"/>
      <c r="G111" s="10"/>
      <c r="H111" s="45" t="s">
        <v>334</v>
      </c>
    </row>
    <row r="112" spans="2:8" x14ac:dyDescent="0.25">
      <c r="B112" s="10" t="s">
        <v>193</v>
      </c>
      <c r="C112" s="10" t="s">
        <v>201</v>
      </c>
      <c r="D112" s="10"/>
      <c r="E112" s="10"/>
      <c r="F112" s="10"/>
      <c r="G112" s="10"/>
      <c r="H112" s="45" t="s">
        <v>334</v>
      </c>
    </row>
    <row r="113" spans="2:8" x14ac:dyDescent="0.25">
      <c r="B113" s="10" t="s">
        <v>193</v>
      </c>
      <c r="C113" s="10" t="s">
        <v>202</v>
      </c>
      <c r="D113" s="10"/>
      <c r="E113" s="10"/>
      <c r="F113" s="10"/>
      <c r="G113" s="10"/>
      <c r="H113" s="45" t="s">
        <v>334</v>
      </c>
    </row>
    <row r="114" spans="2:8" x14ac:dyDescent="0.25">
      <c r="B114" s="10" t="s">
        <v>193</v>
      </c>
      <c r="C114" s="10" t="s">
        <v>203</v>
      </c>
      <c r="D114" s="10"/>
      <c r="E114" s="10"/>
      <c r="F114" s="10"/>
      <c r="G114" s="10"/>
      <c r="H114" s="45" t="s">
        <v>334</v>
      </c>
    </row>
    <row r="115" spans="2:8" x14ac:dyDescent="0.25">
      <c r="B115" s="10" t="s">
        <v>204</v>
      </c>
      <c r="C115" s="10" t="s">
        <v>205</v>
      </c>
      <c r="D115" s="10"/>
      <c r="E115" s="10"/>
      <c r="F115" s="10"/>
      <c r="G115" s="10"/>
      <c r="H115" s="45" t="s">
        <v>334</v>
      </c>
    </row>
    <row r="116" spans="2:8" x14ac:dyDescent="0.25">
      <c r="B116" s="10" t="s">
        <v>204</v>
      </c>
      <c r="C116" s="10" t="s">
        <v>206</v>
      </c>
      <c r="D116" s="10"/>
      <c r="E116" s="10"/>
      <c r="F116" s="10"/>
      <c r="G116" s="10"/>
      <c r="H116" s="45" t="s">
        <v>334</v>
      </c>
    </row>
    <row r="117" spans="2:8" x14ac:dyDescent="0.25">
      <c r="B117" s="10" t="s">
        <v>204</v>
      </c>
      <c r="C117" s="10" t="s">
        <v>207</v>
      </c>
      <c r="D117" s="10"/>
      <c r="E117" s="10"/>
      <c r="F117" s="10"/>
      <c r="G117" s="10"/>
      <c r="H117" s="45" t="s">
        <v>334</v>
      </c>
    </row>
    <row r="118" spans="2:8" x14ac:dyDescent="0.25">
      <c r="B118" s="10" t="s">
        <v>204</v>
      </c>
      <c r="C118" s="10" t="s">
        <v>208</v>
      </c>
      <c r="D118" s="10"/>
      <c r="E118" s="10"/>
      <c r="F118" s="10"/>
      <c r="G118" s="10"/>
      <c r="H118" s="45" t="s">
        <v>334</v>
      </c>
    </row>
    <row r="119" spans="2:8" x14ac:dyDescent="0.25">
      <c r="B119" s="10" t="s">
        <v>204</v>
      </c>
      <c r="C119" s="10" t="s">
        <v>209</v>
      </c>
      <c r="D119" s="10"/>
      <c r="E119" s="10"/>
      <c r="F119" s="10"/>
      <c r="G119" s="10"/>
      <c r="H119" s="45" t="s">
        <v>334</v>
      </c>
    </row>
    <row r="120" spans="2:8" x14ac:dyDescent="0.25">
      <c r="B120" s="10" t="s">
        <v>204</v>
      </c>
      <c r="C120" s="10" t="s">
        <v>210</v>
      </c>
      <c r="D120" s="10"/>
      <c r="E120" s="10"/>
      <c r="F120" s="10"/>
      <c r="G120" s="10"/>
      <c r="H120" s="45" t="s">
        <v>334</v>
      </c>
    </row>
    <row r="121" spans="2:8" x14ac:dyDescent="0.25">
      <c r="B121" s="10" t="s">
        <v>204</v>
      </c>
      <c r="C121" s="10" t="s">
        <v>211</v>
      </c>
      <c r="D121" s="10"/>
      <c r="E121" s="10"/>
      <c r="F121" s="10"/>
      <c r="G121" s="10"/>
      <c r="H121" s="45" t="s">
        <v>334</v>
      </c>
    </row>
    <row r="122" spans="2:8" x14ac:dyDescent="0.25">
      <c r="B122" s="10" t="s">
        <v>6</v>
      </c>
      <c r="C122" s="10" t="s">
        <v>212</v>
      </c>
      <c r="D122" s="10"/>
      <c r="E122" s="10"/>
      <c r="F122" s="10"/>
      <c r="G122" s="10"/>
      <c r="H122" s="45" t="s">
        <v>334</v>
      </c>
    </row>
    <row r="123" spans="2:8" x14ac:dyDescent="0.25">
      <c r="B123" s="10" t="s">
        <v>6</v>
      </c>
      <c r="C123" s="10" t="s">
        <v>213</v>
      </c>
      <c r="D123" s="10"/>
      <c r="E123" s="10"/>
      <c r="F123" s="10"/>
      <c r="G123" s="10"/>
      <c r="H123" s="45" t="s">
        <v>334</v>
      </c>
    </row>
    <row r="124" spans="2:8" x14ac:dyDescent="0.25">
      <c r="B124" s="10" t="s">
        <v>6</v>
      </c>
      <c r="C124" s="10" t="s">
        <v>219</v>
      </c>
      <c r="D124" s="10"/>
      <c r="E124" s="10"/>
      <c r="F124" s="10"/>
      <c r="G124" s="10"/>
      <c r="H124" s="45" t="s">
        <v>334</v>
      </c>
    </row>
    <row r="125" spans="2:8" x14ac:dyDescent="0.25">
      <c r="B125" s="10" t="s">
        <v>6</v>
      </c>
      <c r="C125" s="10" t="s">
        <v>214</v>
      </c>
      <c r="D125" s="10"/>
      <c r="E125" s="10"/>
      <c r="F125" s="10"/>
      <c r="G125" s="10"/>
      <c r="H125" s="45" t="s">
        <v>334</v>
      </c>
    </row>
    <row r="126" spans="2:8" x14ac:dyDescent="0.25">
      <c r="B126" s="10" t="s">
        <v>6</v>
      </c>
      <c r="C126" s="10" t="s">
        <v>215</v>
      </c>
      <c r="D126" s="10"/>
      <c r="E126" s="10"/>
      <c r="F126" s="10"/>
      <c r="G126" s="10"/>
      <c r="H126" s="45" t="s">
        <v>333</v>
      </c>
    </row>
    <row r="127" spans="2:8" x14ac:dyDescent="0.25">
      <c r="B127" s="10" t="s">
        <v>6</v>
      </c>
      <c r="C127" s="10" t="s">
        <v>216</v>
      </c>
      <c r="D127" s="10"/>
      <c r="E127" s="10"/>
      <c r="F127" s="10"/>
      <c r="G127" s="10"/>
      <c r="H127" s="45" t="s">
        <v>334</v>
      </c>
    </row>
    <row r="128" spans="2:8" x14ac:dyDescent="0.25">
      <c r="B128" s="10" t="s">
        <v>6</v>
      </c>
      <c r="C128" s="10" t="s">
        <v>217</v>
      </c>
      <c r="D128" s="10"/>
      <c r="E128" s="10"/>
      <c r="F128" s="10"/>
      <c r="G128" s="10"/>
      <c r="H128" s="45" t="s">
        <v>334</v>
      </c>
    </row>
    <row r="129" spans="2:9" x14ac:dyDescent="0.25">
      <c r="B129" s="10" t="s">
        <v>6</v>
      </c>
      <c r="C129" s="10" t="s">
        <v>218</v>
      </c>
      <c r="D129" s="10"/>
      <c r="E129" s="10"/>
      <c r="F129" s="10"/>
      <c r="G129" s="10"/>
      <c r="H129" s="45" t="s">
        <v>333</v>
      </c>
    </row>
    <row r="130" spans="2:9" x14ac:dyDescent="0.25">
      <c r="B130" s="10" t="s">
        <v>6</v>
      </c>
      <c r="C130" s="10" t="s">
        <v>484</v>
      </c>
      <c r="D130" s="10"/>
      <c r="E130" s="10"/>
      <c r="F130" s="10"/>
      <c r="G130" s="10"/>
      <c r="H130" s="45" t="s">
        <v>334</v>
      </c>
    </row>
    <row r="131" spans="2:9" x14ac:dyDescent="0.25">
      <c r="B131" s="10" t="s">
        <v>6</v>
      </c>
      <c r="C131" s="10" t="s">
        <v>220</v>
      </c>
      <c r="D131" s="10"/>
      <c r="E131" s="10"/>
      <c r="F131" s="10"/>
      <c r="G131" s="10"/>
      <c r="H131" s="45" t="s">
        <v>333</v>
      </c>
    </row>
    <row r="132" spans="2:9" x14ac:dyDescent="0.25">
      <c r="B132" s="10" t="s">
        <v>6</v>
      </c>
      <c r="C132" s="10" t="s">
        <v>221</v>
      </c>
      <c r="D132" s="10"/>
      <c r="E132" s="10"/>
      <c r="F132" s="10"/>
      <c r="G132" s="10"/>
      <c r="H132" s="45" t="s">
        <v>334</v>
      </c>
    </row>
    <row r="133" spans="2:9" x14ac:dyDescent="0.25">
      <c r="B133" s="10" t="s">
        <v>6</v>
      </c>
      <c r="C133" s="10" t="s">
        <v>350</v>
      </c>
      <c r="D133" s="10"/>
      <c r="E133" s="10"/>
      <c r="F133" s="10"/>
      <c r="G133" s="10"/>
      <c r="H133" s="45" t="s">
        <v>334</v>
      </c>
      <c r="I133" s="45"/>
    </row>
    <row r="134" spans="2:9" x14ac:dyDescent="0.25">
      <c r="B134" s="10" t="s">
        <v>6</v>
      </c>
      <c r="C134" s="10" t="s">
        <v>222</v>
      </c>
      <c r="D134" s="10"/>
      <c r="E134" s="10"/>
      <c r="F134" s="10"/>
      <c r="G134" s="10"/>
      <c r="H134" s="45" t="s">
        <v>333</v>
      </c>
    </row>
    <row r="135" spans="2:9" x14ac:dyDescent="0.25">
      <c r="B135" s="10" t="s">
        <v>6</v>
      </c>
      <c r="C135" s="10" t="s">
        <v>339</v>
      </c>
      <c r="D135" s="10"/>
      <c r="E135" s="10"/>
      <c r="F135" s="10"/>
      <c r="G135" s="10"/>
      <c r="H135" s="45" t="s">
        <v>334</v>
      </c>
      <c r="I135" s="45"/>
    </row>
    <row r="136" spans="2:9" x14ac:dyDescent="0.25">
      <c r="B136" s="10" t="s">
        <v>6</v>
      </c>
      <c r="C136" s="10" t="s">
        <v>338</v>
      </c>
      <c r="D136" s="10"/>
      <c r="E136" s="10"/>
      <c r="F136" s="10"/>
      <c r="G136" s="10"/>
      <c r="H136" s="45" t="s">
        <v>334</v>
      </c>
    </row>
    <row r="137" spans="2:9" x14ac:dyDescent="0.25">
      <c r="B137" s="10" t="s">
        <v>6</v>
      </c>
      <c r="C137" s="10" t="s">
        <v>223</v>
      </c>
      <c r="D137" s="10"/>
      <c r="E137" s="10"/>
      <c r="F137" s="10"/>
      <c r="G137" s="10"/>
      <c r="H137" s="45" t="s">
        <v>334</v>
      </c>
    </row>
    <row r="138" spans="2:9" x14ac:dyDescent="0.25">
      <c r="B138" s="10" t="s">
        <v>224</v>
      </c>
      <c r="C138" s="10" t="s">
        <v>351</v>
      </c>
      <c r="D138" s="10"/>
      <c r="E138" s="10"/>
      <c r="F138" s="10"/>
      <c r="G138" s="10"/>
      <c r="H138" s="45" t="s">
        <v>333</v>
      </c>
    </row>
    <row r="139" spans="2:9" x14ac:dyDescent="0.25">
      <c r="B139" s="10" t="s">
        <v>224</v>
      </c>
      <c r="C139" s="10" t="s">
        <v>225</v>
      </c>
      <c r="D139" s="10"/>
      <c r="E139" s="10"/>
      <c r="F139" s="10"/>
      <c r="G139" s="10"/>
      <c r="H139" s="45" t="s">
        <v>334</v>
      </c>
    </row>
    <row r="140" spans="2:9" x14ac:dyDescent="0.25">
      <c r="B140" s="10" t="s">
        <v>226</v>
      </c>
      <c r="C140" s="10" t="s">
        <v>227</v>
      </c>
      <c r="D140" s="10"/>
      <c r="E140" s="10"/>
      <c r="F140" s="10"/>
      <c r="G140" s="10"/>
      <c r="H140" s="45" t="s">
        <v>333</v>
      </c>
    </row>
    <row r="141" spans="2:9" x14ac:dyDescent="0.25">
      <c r="B141" s="10" t="s">
        <v>226</v>
      </c>
      <c r="C141" s="10" t="s">
        <v>228</v>
      </c>
      <c r="D141" s="10"/>
      <c r="E141" s="10"/>
      <c r="F141" s="10"/>
      <c r="G141" s="10"/>
      <c r="H141" s="45" t="s">
        <v>333</v>
      </c>
    </row>
    <row r="142" spans="2:9" x14ac:dyDescent="0.25">
      <c r="B142" s="10" t="s">
        <v>226</v>
      </c>
      <c r="C142" s="10" t="s">
        <v>229</v>
      </c>
      <c r="D142" s="10"/>
      <c r="E142" s="10"/>
      <c r="F142" s="10"/>
      <c r="G142" s="10"/>
      <c r="H142" s="45" t="s">
        <v>333</v>
      </c>
    </row>
    <row r="143" spans="2:9" x14ac:dyDescent="0.25">
      <c r="B143" s="10" t="s">
        <v>226</v>
      </c>
      <c r="C143" s="10" t="s">
        <v>230</v>
      </c>
      <c r="D143" s="10"/>
      <c r="E143" s="10"/>
      <c r="F143" s="10"/>
      <c r="G143" s="10"/>
      <c r="H143" s="45" t="s">
        <v>334</v>
      </c>
    </row>
    <row r="144" spans="2:9" x14ac:dyDescent="0.25">
      <c r="B144" s="10" t="s">
        <v>226</v>
      </c>
      <c r="C144" s="10" t="s">
        <v>231</v>
      </c>
      <c r="D144" s="10"/>
      <c r="E144" s="10"/>
      <c r="F144" s="10"/>
      <c r="G144" s="10"/>
      <c r="H144" s="45" t="s">
        <v>333</v>
      </c>
    </row>
    <row r="145" spans="2:8" x14ac:dyDescent="0.25">
      <c r="B145" s="10" t="s">
        <v>226</v>
      </c>
      <c r="C145" s="10" t="s">
        <v>232</v>
      </c>
      <c r="D145" s="10"/>
      <c r="E145" s="10"/>
      <c r="F145" s="10"/>
      <c r="G145" s="10"/>
      <c r="H145" s="45" t="s">
        <v>333</v>
      </c>
    </row>
    <row r="146" spans="2:8" x14ac:dyDescent="0.25">
      <c r="B146" s="10" t="s">
        <v>226</v>
      </c>
      <c r="C146" s="10" t="s">
        <v>233</v>
      </c>
      <c r="D146" s="10"/>
      <c r="E146" s="10"/>
      <c r="F146" s="10"/>
      <c r="G146" s="10"/>
      <c r="H146" s="45" t="s">
        <v>333</v>
      </c>
    </row>
    <row r="147" spans="2:8" x14ac:dyDescent="0.25">
      <c r="B147" s="10" t="s">
        <v>226</v>
      </c>
      <c r="C147" s="10" t="s">
        <v>234</v>
      </c>
      <c r="D147" s="10"/>
      <c r="E147" s="10"/>
      <c r="F147" s="10"/>
      <c r="G147" s="10"/>
      <c r="H147" s="45" t="s">
        <v>333</v>
      </c>
    </row>
    <row r="148" spans="2:8" x14ac:dyDescent="0.25">
      <c r="B148" s="10" t="s">
        <v>226</v>
      </c>
      <c r="C148" s="10" t="s">
        <v>235</v>
      </c>
      <c r="D148" s="10"/>
      <c r="E148" s="10"/>
      <c r="F148" s="10"/>
      <c r="G148" s="10"/>
      <c r="H148" s="45" t="s">
        <v>333</v>
      </c>
    </row>
    <row r="149" spans="2:8" x14ac:dyDescent="0.25">
      <c r="B149" s="10" t="s">
        <v>226</v>
      </c>
      <c r="C149" s="10" t="s">
        <v>236</v>
      </c>
      <c r="D149" s="10"/>
      <c r="E149" s="10"/>
      <c r="F149" s="10"/>
      <c r="G149" s="10"/>
      <c r="H149" s="45" t="s">
        <v>333</v>
      </c>
    </row>
    <row r="150" spans="2:8" x14ac:dyDescent="0.25">
      <c r="B150" s="10" t="s">
        <v>237</v>
      </c>
      <c r="C150" s="10" t="s">
        <v>238</v>
      </c>
      <c r="D150" s="10"/>
      <c r="E150" s="10"/>
      <c r="F150" s="10"/>
      <c r="G150" s="10"/>
      <c r="H150" s="45" t="s">
        <v>332</v>
      </c>
    </row>
    <row r="151" spans="2:8" x14ac:dyDescent="0.25">
      <c r="B151" s="10" t="s">
        <v>237</v>
      </c>
      <c r="C151" s="10" t="s">
        <v>239</v>
      </c>
      <c r="D151" s="10"/>
      <c r="E151" s="10"/>
      <c r="F151" s="10"/>
      <c r="G151" s="10"/>
      <c r="H151" s="45" t="s">
        <v>332</v>
      </c>
    </row>
    <row r="152" spans="2:8" x14ac:dyDescent="0.25">
      <c r="B152" s="10" t="s">
        <v>237</v>
      </c>
      <c r="C152" s="10" t="s">
        <v>240</v>
      </c>
      <c r="D152" s="10"/>
      <c r="E152" s="10"/>
      <c r="F152" s="10"/>
      <c r="G152" s="10"/>
      <c r="H152" s="45" t="s">
        <v>332</v>
      </c>
    </row>
    <row r="153" spans="2:8" x14ac:dyDescent="0.25">
      <c r="B153" s="10" t="s">
        <v>237</v>
      </c>
      <c r="C153" s="10" t="s">
        <v>241</v>
      </c>
      <c r="D153" s="10"/>
      <c r="E153" s="10"/>
      <c r="F153" s="10"/>
      <c r="G153" s="10"/>
      <c r="H153" s="45" t="s">
        <v>332</v>
      </c>
    </row>
    <row r="154" spans="2:8" x14ac:dyDescent="0.25">
      <c r="B154" s="10" t="s">
        <v>237</v>
      </c>
      <c r="C154" s="10" t="s">
        <v>242</v>
      </c>
      <c r="D154" s="10"/>
      <c r="E154" s="10"/>
      <c r="F154" s="10"/>
      <c r="G154" s="10"/>
      <c r="H154" s="45" t="s">
        <v>332</v>
      </c>
    </row>
    <row r="155" spans="2:8" x14ac:dyDescent="0.25">
      <c r="B155" s="10" t="s">
        <v>237</v>
      </c>
      <c r="C155" s="10" t="s">
        <v>243</v>
      </c>
      <c r="D155" s="10"/>
      <c r="E155" s="10"/>
      <c r="F155" s="10"/>
      <c r="G155" s="10"/>
      <c r="H155" s="45" t="s">
        <v>332</v>
      </c>
    </row>
    <row r="156" spans="2:8" x14ac:dyDescent="0.25">
      <c r="B156" s="10" t="s">
        <v>237</v>
      </c>
      <c r="C156" s="10" t="s">
        <v>244</v>
      </c>
      <c r="D156" s="10"/>
      <c r="E156" s="10"/>
      <c r="F156" s="10"/>
      <c r="G156" s="10"/>
      <c r="H156" s="45" t="s">
        <v>332</v>
      </c>
    </row>
    <row r="157" spans="2:8" x14ac:dyDescent="0.25">
      <c r="B157" s="10" t="s">
        <v>245</v>
      </c>
      <c r="C157" s="10" t="s">
        <v>246</v>
      </c>
      <c r="D157" s="10"/>
      <c r="E157" s="10"/>
      <c r="F157" s="10"/>
      <c r="G157" s="10"/>
      <c r="H157" s="45" t="s">
        <v>332</v>
      </c>
    </row>
    <row r="158" spans="2:8" x14ac:dyDescent="0.25">
      <c r="B158" s="10" t="s">
        <v>245</v>
      </c>
      <c r="C158" s="10" t="s">
        <v>247</v>
      </c>
      <c r="D158" s="10"/>
      <c r="E158" s="10"/>
      <c r="F158" s="10"/>
      <c r="G158" s="10"/>
      <c r="H158" s="45" t="s">
        <v>332</v>
      </c>
    </row>
    <row r="159" spans="2:8" x14ac:dyDescent="0.25">
      <c r="B159" s="10" t="s">
        <v>248</v>
      </c>
      <c r="C159" s="10" t="s">
        <v>249</v>
      </c>
      <c r="D159" s="10"/>
      <c r="E159" s="10"/>
      <c r="F159" s="10"/>
      <c r="G159" s="10"/>
      <c r="H159" s="45" t="s">
        <v>334</v>
      </c>
    </row>
    <row r="160" spans="2:8" x14ac:dyDescent="0.25">
      <c r="B160" s="10" t="s">
        <v>248</v>
      </c>
      <c r="C160" s="10" t="s">
        <v>250</v>
      </c>
      <c r="D160" s="10"/>
      <c r="E160" s="10"/>
      <c r="F160" s="10"/>
      <c r="G160" s="10"/>
      <c r="H160" s="45" t="s">
        <v>334</v>
      </c>
    </row>
    <row r="161" spans="2:8" x14ac:dyDescent="0.25">
      <c r="B161" s="10" t="s">
        <v>248</v>
      </c>
      <c r="C161" s="10" t="s">
        <v>251</v>
      </c>
      <c r="D161" s="10"/>
      <c r="E161" s="10"/>
      <c r="F161" s="10"/>
      <c r="G161" s="10"/>
      <c r="H161" s="45" t="s">
        <v>333</v>
      </c>
    </row>
    <row r="162" spans="2:8" x14ac:dyDescent="0.25">
      <c r="B162" s="10" t="s">
        <v>248</v>
      </c>
      <c r="C162" s="10" t="s">
        <v>252</v>
      </c>
      <c r="D162" s="10"/>
      <c r="E162" s="10"/>
      <c r="F162" s="10"/>
      <c r="G162" s="10"/>
      <c r="H162" s="45" t="s">
        <v>333</v>
      </c>
    </row>
    <row r="163" spans="2:8" x14ac:dyDescent="0.25">
      <c r="B163" s="10" t="s">
        <v>253</v>
      </c>
      <c r="C163" s="10" t="s">
        <v>254</v>
      </c>
      <c r="D163" s="10"/>
      <c r="E163" s="10"/>
      <c r="F163" s="10"/>
      <c r="G163" s="10"/>
      <c r="H163" s="45" t="s">
        <v>333</v>
      </c>
    </row>
    <row r="164" spans="2:8" x14ac:dyDescent="0.25">
      <c r="B164" s="10" t="s">
        <v>255</v>
      </c>
      <c r="C164" s="10"/>
      <c r="D164" s="10"/>
      <c r="E164" s="10"/>
      <c r="F164" s="10"/>
      <c r="G164" s="10"/>
      <c r="H164" s="45"/>
    </row>
    <row r="165" spans="2:8" x14ac:dyDescent="0.25">
      <c r="B165" s="10" t="s">
        <v>255</v>
      </c>
      <c r="C165" s="10"/>
      <c r="D165" s="10"/>
      <c r="E165" s="10"/>
      <c r="F165" s="10"/>
      <c r="G165" s="10"/>
      <c r="H165" s="45"/>
    </row>
    <row r="166" spans="2:8" x14ac:dyDescent="0.25">
      <c r="B166" s="10" t="s">
        <v>255</v>
      </c>
      <c r="C166" s="10"/>
      <c r="D166" s="10"/>
      <c r="E166" s="10"/>
      <c r="F166" s="10"/>
      <c r="G166" s="10"/>
      <c r="H166" s="45"/>
    </row>
    <row r="167" spans="2:8" x14ac:dyDescent="0.25">
      <c r="B167" s="10" t="s">
        <v>255</v>
      </c>
      <c r="C167" s="10"/>
      <c r="D167" s="10"/>
      <c r="E167" s="10"/>
      <c r="F167" s="10"/>
      <c r="G167" s="10"/>
      <c r="H167" s="45"/>
    </row>
    <row r="168" spans="2:8" ht="15.75" thickBot="1" x14ac:dyDescent="0.3">
      <c r="H168" s="45"/>
    </row>
    <row r="169" spans="2:8" ht="15.75" thickBot="1" x14ac:dyDescent="0.3">
      <c r="B169" s="22" t="s">
        <v>256</v>
      </c>
      <c r="H169" s="45"/>
    </row>
    <row r="170" spans="2:8" x14ac:dyDescent="0.25">
      <c r="B170" s="15" t="s">
        <v>256</v>
      </c>
      <c r="C170" s="10" t="s">
        <v>257</v>
      </c>
      <c r="D170" s="10"/>
      <c r="E170" s="10"/>
      <c r="F170" s="10"/>
      <c r="G170" s="10"/>
      <c r="H170" s="45" t="s">
        <v>332</v>
      </c>
    </row>
    <row r="171" spans="2:8" x14ac:dyDescent="0.25">
      <c r="B171" s="10" t="s">
        <v>258</v>
      </c>
      <c r="C171" s="10" t="s">
        <v>259</v>
      </c>
      <c r="D171" s="10"/>
      <c r="E171" s="10"/>
      <c r="F171" s="10"/>
      <c r="G171" s="10"/>
      <c r="H171" s="45" t="s">
        <v>332</v>
      </c>
    </row>
  </sheetData>
  <mergeCells count="7">
    <mergeCell ref="D16:F16"/>
    <mergeCell ref="E7:G7"/>
    <mergeCell ref="E2:G2"/>
    <mergeCell ref="E3:G3"/>
    <mergeCell ref="E4:G4"/>
    <mergeCell ref="E5:G5"/>
    <mergeCell ref="E6:G6"/>
  </mergeCells>
  <hyperlinks>
    <hyperlink ref="D12" r:id="rId1" xr:uid="{3B641ADA-1F88-4959-AFF4-FFB078576CDC}"/>
  </hyperlinks>
  <pageMargins left="0.7" right="0.7" top="0.75" bottom="0.75" header="0.3" footer="0.3"/>
  <pageSetup scale="10" fitToHeight="0" orientation="landscape" horizontalDpi="4294967293" r:id="rId2"/>
  <headerFooter>
    <oddFooter>&amp;C&amp;P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AX1488"/>
  <sheetViews>
    <sheetView topLeftCell="AH1" zoomScale="85" zoomScaleNormal="85" workbookViewId="0">
      <pane ySplit="8" topLeftCell="A72" activePane="bottomLeft" state="frozen"/>
      <selection activeCell="G43" sqref="G43"/>
      <selection pane="bottomLeft" activeCell="AN94" sqref="AN94"/>
    </sheetView>
  </sheetViews>
  <sheetFormatPr defaultRowHeight="15" outlineLevelCol="2" x14ac:dyDescent="0.25"/>
  <cols>
    <col min="1" max="1" width="19.5703125" bestFit="1" customWidth="1"/>
    <col min="2" max="2" width="17.28515625" bestFit="1" customWidth="1"/>
    <col min="3" max="3" width="20.28515625" bestFit="1" customWidth="1"/>
    <col min="4" max="5" width="19.5703125" bestFit="1" customWidth="1"/>
    <col min="6" max="6" width="17" bestFit="1" customWidth="1"/>
    <col min="7" max="7" width="19.5703125" customWidth="1"/>
    <col min="8" max="8" width="20.7109375" bestFit="1" customWidth="1"/>
    <col min="9" max="9" width="17" bestFit="1" customWidth="1"/>
    <col min="10" max="10" width="17.28515625" bestFit="1" customWidth="1"/>
    <col min="11" max="11" width="12.85546875" customWidth="1"/>
    <col min="12" max="12" width="49.28515625" customWidth="1"/>
    <col min="13" max="13" width="49.28515625" style="102" customWidth="1"/>
    <col min="14" max="14" width="9.5703125" style="102" bestFit="1" customWidth="1"/>
    <col min="15" max="16" width="9.5703125" style="102" customWidth="1"/>
    <col min="17" max="17" width="31.140625" style="102" customWidth="1"/>
    <col min="18" max="18" width="7.7109375" style="102" bestFit="1" customWidth="1"/>
    <col min="19" max="19" width="8.85546875" style="102" customWidth="1"/>
    <col min="20" max="20" width="8.5703125" style="102" bestFit="1" customWidth="1"/>
    <col min="21" max="21" width="9.5703125" style="102" customWidth="1" outlineLevel="1"/>
    <col min="22" max="23" width="14.140625" style="102" bestFit="1" customWidth="1"/>
    <col min="24" max="24" width="14.140625" style="102" bestFit="1" customWidth="1" outlineLevel="1"/>
    <col min="25" max="25" width="14.140625" style="102" bestFit="1" customWidth="1"/>
    <col min="26" max="26" width="14.140625" style="102" bestFit="1" customWidth="1" outlineLevel="1"/>
    <col min="27" max="27" width="89.7109375" bestFit="1" customWidth="1"/>
    <col min="28" max="28" width="100.140625" customWidth="1"/>
    <col min="29" max="29" width="52.85546875" customWidth="1"/>
    <col min="30" max="30" width="47.42578125" customWidth="1" outlineLevel="1"/>
    <col min="31" max="31" width="54.140625" bestFit="1" customWidth="1" outlineLevel="1"/>
    <col min="32" max="32" width="17.28515625" customWidth="1" outlineLevel="1"/>
    <col min="33" max="33" width="69.42578125" customWidth="1" outlineLevel="1"/>
    <col min="34" max="34" width="12.5703125" customWidth="1" outlineLevel="1"/>
    <col min="35" max="35" width="8.140625" style="372" bestFit="1" customWidth="1" outlineLevel="1"/>
    <col min="36" max="37" width="22.42578125" style="3" customWidth="1" outlineLevel="1"/>
    <col min="38" max="38" width="34" style="3" customWidth="1" outlineLevel="1"/>
    <col min="39" max="39" width="26" customWidth="1" outlineLevel="2"/>
    <col min="40" max="40" width="24.7109375" style="45" customWidth="1" outlineLevel="1"/>
    <col min="41" max="41" width="3" customWidth="1" outlineLevel="1"/>
    <col min="42" max="42" width="9.140625" customWidth="1" outlineLevel="1"/>
    <col min="43" max="43" width="11.140625" customWidth="1" outlineLevel="1"/>
    <col min="44" max="44" width="19" customWidth="1" outlineLevel="1"/>
    <col min="45" max="45" width="17.28515625" customWidth="1" outlineLevel="1"/>
    <col min="46" max="47" width="19.140625" customWidth="1" outlineLevel="1"/>
    <col min="48" max="48" width="37.140625" customWidth="1" outlineLevel="1"/>
    <col min="49" max="50" width="19.140625" customWidth="1" outlineLevel="1"/>
  </cols>
  <sheetData>
    <row r="1" spans="1:50" ht="15.75" thickBot="1" x14ac:dyDescent="0.3">
      <c r="H1" s="22" t="s">
        <v>77</v>
      </c>
      <c r="I1" s="408" t="str">
        <f>'1. Template Stats'!C2</f>
        <v>65A. BMW X5 (F15) 14-18 (1) SUV (2) 14-18 N55 (3) Auto (4) RWD/AWD</v>
      </c>
      <c r="J1" s="409"/>
      <c r="K1" s="409"/>
      <c r="L1" s="409"/>
      <c r="M1" s="409"/>
      <c r="N1" s="409"/>
      <c r="O1" s="409"/>
      <c r="P1" s="409"/>
      <c r="Q1" s="409"/>
      <c r="R1" s="409"/>
      <c r="S1" s="409"/>
      <c r="T1" s="409"/>
      <c r="U1" s="409"/>
      <c r="V1" s="409"/>
      <c r="W1" s="409"/>
      <c r="X1" s="409"/>
      <c r="Y1" s="409"/>
      <c r="Z1" s="409"/>
      <c r="AA1" s="409"/>
      <c r="AB1" s="409"/>
      <c r="AC1" s="409"/>
      <c r="AD1" s="410"/>
      <c r="AE1" s="187"/>
      <c r="AF1" s="187"/>
      <c r="AG1" s="136" t="s">
        <v>292</v>
      </c>
      <c r="AH1" s="153" t="str">
        <f>'5. Review &amp; Tester Info to Get'!$C$40</f>
        <v>1/8TH</v>
      </c>
      <c r="AI1" s="386"/>
    </row>
    <row r="2" spans="1:50" ht="15.75" thickBot="1" x14ac:dyDescent="0.3">
      <c r="H2" s="408" t="str">
        <f>'2. Items to Test'!C2</f>
        <v>1270. 14 BMW X5 SUV (F15) 4.4TT (N63) Auto (Sophisto Gray) AWD (71781)</v>
      </c>
      <c r="I2" s="409"/>
      <c r="J2" s="409"/>
      <c r="K2" s="409"/>
      <c r="L2" s="409"/>
      <c r="M2" s="409"/>
      <c r="N2" s="409"/>
      <c r="O2" s="409"/>
      <c r="P2" s="409"/>
      <c r="Q2" s="409"/>
      <c r="R2" s="409"/>
      <c r="S2" s="409"/>
      <c r="T2" s="409"/>
      <c r="U2" s="409"/>
      <c r="V2" s="409"/>
      <c r="W2" s="409"/>
      <c r="X2" s="409"/>
      <c r="Y2" s="409"/>
      <c r="Z2" s="409"/>
      <c r="AA2" s="409"/>
      <c r="AB2" s="409"/>
      <c r="AC2" s="409"/>
      <c r="AD2" s="409"/>
      <c r="AE2" s="187"/>
      <c r="AF2" s="187"/>
      <c r="AG2" s="154" t="s">
        <v>78</v>
      </c>
      <c r="AH2" s="155">
        <f>'2. Items to Test'!$C$8</f>
        <v>131571</v>
      </c>
      <c r="AI2" s="381"/>
      <c r="AX2" s="175" t="s">
        <v>2473</v>
      </c>
    </row>
    <row r="3" spans="1:50" x14ac:dyDescent="0.25">
      <c r="H3" s="197"/>
      <c r="I3" s="196" t="s">
        <v>566</v>
      </c>
      <c r="J3" s="197"/>
      <c r="K3" s="196" t="s">
        <v>566</v>
      </c>
      <c r="L3" s="196" t="s">
        <v>566</v>
      </c>
      <c r="M3" s="197"/>
      <c r="N3" s="197"/>
      <c r="O3" s="197"/>
      <c r="P3" s="197"/>
      <c r="Q3" s="197"/>
      <c r="R3" s="197"/>
      <c r="S3" s="197"/>
      <c r="U3" s="197"/>
      <c r="W3" s="197"/>
      <c r="AA3" s="196" t="s">
        <v>566</v>
      </c>
      <c r="AB3" s="196" t="s">
        <v>566</v>
      </c>
      <c r="AC3" s="356"/>
      <c r="AD3" s="197"/>
      <c r="AE3" s="197"/>
      <c r="AF3" s="197"/>
      <c r="AG3" s="28"/>
      <c r="AH3" s="196" t="s">
        <v>566</v>
      </c>
      <c r="AI3" s="382"/>
      <c r="AM3" s="196" t="s">
        <v>566</v>
      </c>
    </row>
    <row r="4" spans="1:50" x14ac:dyDescent="0.25">
      <c r="H4" s="197"/>
      <c r="I4" s="197"/>
      <c r="J4" s="197"/>
      <c r="K4" s="195" t="s">
        <v>567</v>
      </c>
      <c r="L4" s="195" t="s">
        <v>567</v>
      </c>
      <c r="M4" s="197"/>
      <c r="N4" s="195" t="s">
        <v>567</v>
      </c>
      <c r="O4" s="195" t="s">
        <v>567</v>
      </c>
      <c r="P4" s="195" t="s">
        <v>567</v>
      </c>
      <c r="Q4" s="195" t="s">
        <v>567</v>
      </c>
      <c r="R4" s="195"/>
      <c r="S4" s="195"/>
      <c r="T4" s="300"/>
      <c r="U4" s="195" t="s">
        <v>567</v>
      </c>
      <c r="V4" s="195" t="s">
        <v>567</v>
      </c>
      <c r="W4" s="195" t="s">
        <v>567</v>
      </c>
      <c r="X4" s="195" t="s">
        <v>567</v>
      </c>
      <c r="Y4" s="195" t="s">
        <v>567</v>
      </c>
      <c r="Z4" s="195" t="s">
        <v>567</v>
      </c>
      <c r="AA4" s="195" t="s">
        <v>567</v>
      </c>
      <c r="AB4" s="195" t="s">
        <v>567</v>
      </c>
      <c r="AC4" s="357"/>
      <c r="AD4" s="197"/>
      <c r="AE4" s="197"/>
      <c r="AF4" s="195" t="s">
        <v>567</v>
      </c>
      <c r="AG4" s="195" t="s">
        <v>567</v>
      </c>
      <c r="AH4" s="195" t="s">
        <v>567</v>
      </c>
      <c r="AI4" s="383"/>
      <c r="AM4" s="195" t="s">
        <v>567</v>
      </c>
      <c r="AQ4" s="195" t="s">
        <v>567</v>
      </c>
      <c r="AR4" s="195" t="s">
        <v>567</v>
      </c>
    </row>
    <row r="5" spans="1:50" x14ac:dyDescent="0.25">
      <c r="A5" t="s">
        <v>2474</v>
      </c>
      <c r="B5" t="s">
        <v>2473</v>
      </c>
      <c r="C5" t="s">
        <v>2473</v>
      </c>
      <c r="D5" t="s">
        <v>2474</v>
      </c>
      <c r="E5" t="s">
        <v>2474</v>
      </c>
      <c r="F5" t="s">
        <v>2473</v>
      </c>
      <c r="G5" t="s">
        <v>2473</v>
      </c>
      <c r="H5" t="s">
        <v>2473</v>
      </c>
      <c r="I5" t="s">
        <v>2475</v>
      </c>
      <c r="J5" t="s">
        <v>2473</v>
      </c>
      <c r="K5" t="s">
        <v>2473</v>
      </c>
      <c r="L5" t="s">
        <v>2473</v>
      </c>
      <c r="M5" t="s">
        <v>2473</v>
      </c>
      <c r="N5" t="s">
        <v>2474</v>
      </c>
      <c r="O5" t="s">
        <v>2474</v>
      </c>
      <c r="P5" t="s">
        <v>2474</v>
      </c>
      <c r="Q5" s="350" t="s">
        <v>2476</v>
      </c>
      <c r="R5" t="s">
        <v>2473</v>
      </c>
      <c r="S5"/>
      <c r="T5"/>
      <c r="U5" t="s">
        <v>2474</v>
      </c>
      <c r="V5" t="s">
        <v>2473</v>
      </c>
      <c r="W5" t="s">
        <v>2473</v>
      </c>
      <c r="X5" t="s">
        <v>2474</v>
      </c>
      <c r="Y5" t="s">
        <v>2473</v>
      </c>
      <c r="Z5" s="350" t="s">
        <v>2476</v>
      </c>
      <c r="AA5" t="s">
        <v>2473</v>
      </c>
      <c r="AB5" t="s">
        <v>2473</v>
      </c>
      <c r="AD5" t="s">
        <v>2473</v>
      </c>
      <c r="AE5" t="s">
        <v>2473</v>
      </c>
      <c r="AF5" t="s">
        <v>2473</v>
      </c>
      <c r="AG5" t="s">
        <v>2473</v>
      </c>
      <c r="AH5" t="s">
        <v>2473</v>
      </c>
      <c r="AJ5" t="s">
        <v>2473</v>
      </c>
      <c r="AK5" t="s">
        <v>2473</v>
      </c>
      <c r="AL5" t="s">
        <v>2473</v>
      </c>
      <c r="AM5" t="s">
        <v>2474</v>
      </c>
      <c r="AN5" t="s">
        <v>2473</v>
      </c>
      <c r="AO5" t="s">
        <v>2473</v>
      </c>
      <c r="AP5" t="s">
        <v>2473</v>
      </c>
      <c r="AQ5" t="s">
        <v>2473</v>
      </c>
      <c r="AR5" t="s">
        <v>2473</v>
      </c>
      <c r="AS5" t="s">
        <v>2474</v>
      </c>
      <c r="AT5" t="s">
        <v>2474</v>
      </c>
      <c r="AU5" t="s">
        <v>2474</v>
      </c>
      <c r="AV5" t="s">
        <v>2473</v>
      </c>
      <c r="AW5" t="s">
        <v>2473</v>
      </c>
    </row>
    <row r="6" spans="1:50" x14ac:dyDescent="0.25">
      <c r="H6" s="193" t="s">
        <v>565</v>
      </c>
      <c r="I6" s="197"/>
      <c r="J6" s="193" t="s">
        <v>565</v>
      </c>
      <c r="K6" s="193" t="s">
        <v>565</v>
      </c>
      <c r="L6" s="193" t="s">
        <v>565</v>
      </c>
      <c r="M6" s="197"/>
      <c r="N6" s="197"/>
      <c r="O6" s="197"/>
      <c r="P6" s="197"/>
      <c r="Q6" s="197"/>
      <c r="R6" s="197"/>
      <c r="S6" s="197"/>
      <c r="U6" s="197"/>
      <c r="W6" s="197"/>
      <c r="AA6" s="193" t="s">
        <v>565</v>
      </c>
      <c r="AB6" s="193" t="s">
        <v>565</v>
      </c>
      <c r="AC6" s="193"/>
      <c r="AD6" s="193" t="s">
        <v>565</v>
      </c>
      <c r="AE6" s="193" t="s">
        <v>565</v>
      </c>
      <c r="AF6" s="193" t="s">
        <v>565</v>
      </c>
      <c r="AG6" s="28"/>
      <c r="AH6" s="193" t="s">
        <v>565</v>
      </c>
      <c r="AI6" s="384"/>
      <c r="AM6" s="193" t="s">
        <v>565</v>
      </c>
    </row>
    <row r="7" spans="1:50" ht="15.75" thickBot="1" x14ac:dyDescent="0.3">
      <c r="A7" s="194" t="s">
        <v>2472</v>
      </c>
      <c r="B7" s="194" t="s">
        <v>2472</v>
      </c>
      <c r="C7" s="194" t="s">
        <v>2472</v>
      </c>
      <c r="D7" s="194" t="s">
        <v>2472</v>
      </c>
      <c r="E7" s="194" t="s">
        <v>2472</v>
      </c>
      <c r="F7" s="194" t="s">
        <v>355</v>
      </c>
      <c r="G7" s="194" t="s">
        <v>355</v>
      </c>
      <c r="H7" s="194" t="s">
        <v>355</v>
      </c>
      <c r="I7" s="194" t="s">
        <v>355</v>
      </c>
      <c r="J7" s="194" t="s">
        <v>355</v>
      </c>
      <c r="K7" s="194" t="s">
        <v>355</v>
      </c>
      <c r="L7" s="194" t="s">
        <v>355</v>
      </c>
      <c r="M7" s="194" t="s">
        <v>355</v>
      </c>
      <c r="N7" s="194" t="s">
        <v>355</v>
      </c>
      <c r="O7" s="194" t="s">
        <v>355</v>
      </c>
      <c r="P7" s="194" t="s">
        <v>355</v>
      </c>
      <c r="Q7" s="194" t="s">
        <v>355</v>
      </c>
      <c r="R7" s="194" t="s">
        <v>2848</v>
      </c>
      <c r="S7" s="194" t="s">
        <v>2847</v>
      </c>
      <c r="T7" s="194" t="s">
        <v>2847</v>
      </c>
      <c r="U7" s="194" t="s">
        <v>355</v>
      </c>
      <c r="V7" s="194" t="s">
        <v>355</v>
      </c>
      <c r="W7" s="194" t="s">
        <v>355</v>
      </c>
      <c r="X7" s="194" t="s">
        <v>355</v>
      </c>
      <c r="Y7" s="194" t="s">
        <v>355</v>
      </c>
      <c r="Z7" s="194" t="s">
        <v>355</v>
      </c>
      <c r="AA7" s="194" t="s">
        <v>355</v>
      </c>
      <c r="AB7" s="194" t="s">
        <v>355</v>
      </c>
      <c r="AC7" s="194"/>
      <c r="AD7" s="194" t="s">
        <v>355</v>
      </c>
      <c r="AE7" s="194" t="s">
        <v>355</v>
      </c>
      <c r="AF7" s="194" t="s">
        <v>355</v>
      </c>
      <c r="AG7" s="194" t="s">
        <v>355</v>
      </c>
      <c r="AH7" s="194" t="s">
        <v>355</v>
      </c>
      <c r="AI7" s="385"/>
      <c r="AJ7" s="194" t="s">
        <v>355</v>
      </c>
      <c r="AK7" s="194" t="s">
        <v>355</v>
      </c>
      <c r="AL7" s="194" t="s">
        <v>355</v>
      </c>
      <c r="AM7" s="194" t="s">
        <v>355</v>
      </c>
      <c r="AN7" s="194" t="s">
        <v>355</v>
      </c>
      <c r="AO7" s="194" t="s">
        <v>355</v>
      </c>
      <c r="AP7" s="194" t="s">
        <v>355</v>
      </c>
      <c r="AQ7" s="194" t="s">
        <v>355</v>
      </c>
      <c r="AR7" s="194" t="s">
        <v>355</v>
      </c>
      <c r="AS7" s="194" t="s">
        <v>355</v>
      </c>
      <c r="AT7" s="194" t="s">
        <v>355</v>
      </c>
      <c r="AU7" s="194" t="s">
        <v>355</v>
      </c>
      <c r="AV7" s="194" t="s">
        <v>355</v>
      </c>
      <c r="AW7" s="194" t="s">
        <v>355</v>
      </c>
      <c r="AX7" s="194"/>
    </row>
    <row r="8" spans="1:50" s="1" customFormat="1" ht="15.75" thickBot="1" x14ac:dyDescent="0.3">
      <c r="A8" s="1" t="s">
        <v>1372</v>
      </c>
      <c r="B8" s="1" t="s">
        <v>579</v>
      </c>
      <c r="C8" s="1" t="s">
        <v>2363</v>
      </c>
      <c r="D8" s="1" t="s">
        <v>2141</v>
      </c>
      <c r="E8" s="1" t="s">
        <v>2084</v>
      </c>
      <c r="F8" s="1" t="s">
        <v>538</v>
      </c>
      <c r="G8" s="1" t="s">
        <v>539</v>
      </c>
      <c r="H8" s="2" t="s">
        <v>330</v>
      </c>
      <c r="I8" s="9" t="s">
        <v>2</v>
      </c>
      <c r="J8" s="9" t="s">
        <v>2770</v>
      </c>
      <c r="K8" s="9" t="s">
        <v>1</v>
      </c>
      <c r="L8" s="9" t="s">
        <v>2752</v>
      </c>
      <c r="M8" s="9" t="s">
        <v>561</v>
      </c>
      <c r="N8" s="9" t="s">
        <v>1025</v>
      </c>
      <c r="O8" s="9" t="s">
        <v>1372</v>
      </c>
      <c r="P8" s="9" t="s">
        <v>1034</v>
      </c>
      <c r="Q8" s="9" t="s">
        <v>912</v>
      </c>
      <c r="R8" s="9" t="s">
        <v>2850</v>
      </c>
      <c r="S8" s="9" t="s">
        <v>2148</v>
      </c>
      <c r="T8" s="9" t="s">
        <v>2849</v>
      </c>
      <c r="U8" s="9" t="s">
        <v>911</v>
      </c>
      <c r="V8" s="9" t="s">
        <v>1036</v>
      </c>
      <c r="W8" s="248" t="s">
        <v>1037</v>
      </c>
      <c r="X8" s="9" t="s">
        <v>1348</v>
      </c>
      <c r="Y8" s="9" t="s">
        <v>2461</v>
      </c>
      <c r="Z8" s="9" t="s">
        <v>2076</v>
      </c>
      <c r="AA8" s="9" t="s">
        <v>2749</v>
      </c>
      <c r="AB8" s="9" t="s">
        <v>2748</v>
      </c>
      <c r="AC8" s="9" t="s">
        <v>2773</v>
      </c>
      <c r="AD8" s="9" t="s">
        <v>550</v>
      </c>
      <c r="AE8" s="9" t="s">
        <v>549</v>
      </c>
      <c r="AF8" s="9" t="s">
        <v>540</v>
      </c>
      <c r="AG8" s="9" t="s">
        <v>545</v>
      </c>
      <c r="AH8" s="17" t="s">
        <v>3</v>
      </c>
      <c r="AI8" s="384" t="s">
        <v>2851</v>
      </c>
      <c r="AJ8" s="4" t="s">
        <v>60</v>
      </c>
      <c r="AK8" s="4" t="s">
        <v>525</v>
      </c>
      <c r="AL8" s="4" t="s">
        <v>2174</v>
      </c>
      <c r="AM8" s="98" t="s">
        <v>28</v>
      </c>
      <c r="AN8" s="1" t="s">
        <v>568</v>
      </c>
      <c r="AO8" s="1" t="s">
        <v>572</v>
      </c>
      <c r="AP8" s="1" t="s">
        <v>594</v>
      </c>
      <c r="AQ8" s="1" t="s">
        <v>579</v>
      </c>
      <c r="AR8" s="1" t="s">
        <v>569</v>
      </c>
      <c r="AS8" s="1" t="s">
        <v>525</v>
      </c>
      <c r="AT8" s="1" t="s">
        <v>2365</v>
      </c>
      <c r="AU8" s="1" t="s">
        <v>2364</v>
      </c>
      <c r="AV8" s="1" t="s">
        <v>1027</v>
      </c>
      <c r="AW8" s="1" t="s">
        <v>2366</v>
      </c>
      <c r="AX8" s="1" t="s">
        <v>2083</v>
      </c>
    </row>
    <row r="9" spans="1:50" x14ac:dyDescent="0.25">
      <c r="A9" s="190" t="str">
        <f t="shared" ref="A9:A68" si="0">IF(O9&lt;&gt;"",O9,"")</f>
        <v/>
      </c>
      <c r="B9" s="241" t="str">
        <f>IF(AQ9&lt;&gt;"",AQ9,"")</f>
        <v/>
      </c>
      <c r="C9" s="241"/>
      <c r="D9" s="241"/>
      <c r="E9" s="241" t="str">
        <f t="shared" ref="E9:E72" si="1">IF(B9&lt;&gt;"",COUNTIF($B$9:$B$2241,B9),"")</f>
        <v/>
      </c>
      <c r="F9" s="241" t="s">
        <v>535</v>
      </c>
      <c r="G9" s="242">
        <v>44683</v>
      </c>
      <c r="H9" s="243"/>
      <c r="I9" s="243"/>
      <c r="J9" s="244" t="s">
        <v>402</v>
      </c>
      <c r="K9" s="244" t="s">
        <v>2753</v>
      </c>
      <c r="L9" s="244" t="s">
        <v>552</v>
      </c>
      <c r="M9" s="244" t="s">
        <v>559</v>
      </c>
      <c r="N9" s="244"/>
      <c r="O9" s="244"/>
      <c r="P9" s="244"/>
      <c r="Q9" s="244" t="str">
        <f t="shared" ref="Q9:Q72" si="2">CONCATENATE(O9,". ",AB9)</f>
        <v>. Scuff Plates SET 4</v>
      </c>
      <c r="R9" s="244"/>
      <c r="S9" s="244" t="str">
        <f t="shared" ref="S9:S10" si="3">IF(T9&lt;&gt;"",HYPERLINK(T9,"E.G."),"")</f>
        <v/>
      </c>
      <c r="T9" s="244" t="str">
        <f>IF(O9&lt;&gt;"",_xlfn.XLOOKUP(O9,'3D. Pictures'!B:B,'3D. Pictures'!E:E,"NOT FOUND",0,1),"")</f>
        <v/>
      </c>
      <c r="U9" s="244"/>
      <c r="V9" s="244"/>
      <c r="W9" s="244"/>
      <c r="X9" s="244"/>
      <c r="Y9" s="206"/>
      <c r="Z9" s="244"/>
      <c r="AA9" s="244" t="s">
        <v>2750</v>
      </c>
      <c r="AB9" s="244" t="s">
        <v>2509</v>
      </c>
      <c r="AC9" s="231" t="str">
        <f>_xlfn.TEXTJOIN(" | ",TRUE,AD9,AE9)</f>
        <v>SET4, if some bad sell SET2, toss singles</v>
      </c>
      <c r="AD9" s="244" t="s">
        <v>1199</v>
      </c>
      <c r="AE9" s="244"/>
      <c r="AF9" s="244" t="s">
        <v>541</v>
      </c>
      <c r="AG9" s="243"/>
      <c r="AH9" s="16">
        <v>100</v>
      </c>
      <c r="AI9" s="380">
        <f>IF(ISTEXT(AH9), AH9, IFERROR(AVERAGEIF(AA:AA, AA9, AH:AH), ""))</f>
        <v>80</v>
      </c>
      <c r="AJ9" s="246" t="s">
        <v>408</v>
      </c>
      <c r="AK9" s="246" t="s">
        <v>425</v>
      </c>
      <c r="AL9" s="246" t="s">
        <v>2175</v>
      </c>
      <c r="AM9" s="241"/>
      <c r="AN9" s="241"/>
      <c r="AO9" s="241"/>
      <c r="AP9" s="241"/>
      <c r="AQ9" s="241"/>
      <c r="AR9" s="241"/>
      <c r="AS9" s="241"/>
      <c r="AT9" s="241"/>
      <c r="AU9" s="241"/>
      <c r="AV9" s="241"/>
      <c r="AW9" s="241"/>
      <c r="AX9" s="279" t="str">
        <f t="shared" ref="AX9:AX68" si="4">IF(AW9&lt;&gt;"",_xlfn.TEXTJOIN("-",TRUE,AV9,AW9),"")</f>
        <v/>
      </c>
    </row>
    <row r="10" spans="1:50" ht="15.75" thickBot="1" x14ac:dyDescent="0.3">
      <c r="A10" s="190" t="str">
        <f t="shared" si="0"/>
        <v/>
      </c>
      <c r="B10" s="241" t="str">
        <f t="shared" ref="B10:B68" si="5">IF(AQ10&lt;&gt;"",AQ10,"")</f>
        <v/>
      </c>
      <c r="C10" s="241"/>
      <c r="D10" s="241"/>
      <c r="E10" s="241" t="str">
        <f t="shared" si="1"/>
        <v/>
      </c>
      <c r="F10" s="241" t="s">
        <v>535</v>
      </c>
      <c r="G10" s="242">
        <v>44683</v>
      </c>
      <c r="H10" s="243"/>
      <c r="I10" s="243"/>
      <c r="J10" s="244" t="s">
        <v>402</v>
      </c>
      <c r="K10" s="244" t="s">
        <v>2753</v>
      </c>
      <c r="L10" s="244" t="s">
        <v>552</v>
      </c>
      <c r="M10" s="244" t="s">
        <v>559</v>
      </c>
      <c r="N10" s="244"/>
      <c r="O10" s="244"/>
      <c r="P10" s="244"/>
      <c r="Q10" s="244" t="str">
        <f t="shared" si="2"/>
        <v>. Scuff Plates SET 2</v>
      </c>
      <c r="R10" s="342"/>
      <c r="S10" s="342" t="str">
        <f t="shared" si="3"/>
        <v/>
      </c>
      <c r="T10" s="342" t="str">
        <f>IF(O10&lt;&gt;"",_xlfn.XLOOKUP(O10,'3D. Pictures'!B:B,'3D. Pictures'!E:E,"NOT FOUND",0,1),"")</f>
        <v/>
      </c>
      <c r="U10" s="244"/>
      <c r="V10" s="244"/>
      <c r="W10" s="244"/>
      <c r="X10" s="244"/>
      <c r="Y10" s="206"/>
      <c r="Z10" s="244"/>
      <c r="AA10" s="244" t="s">
        <v>2750</v>
      </c>
      <c r="AB10" s="244" t="s">
        <v>2478</v>
      </c>
      <c r="AC10" s="231" t="str">
        <f>_xlfn.TEXTJOIN(" | ",TRUE,AD10,AE10)</f>
        <v>SET4, if some bad sell SET2, toss singles</v>
      </c>
      <c r="AD10" s="244" t="s">
        <v>1199</v>
      </c>
      <c r="AE10" s="244"/>
      <c r="AF10" s="244" t="s">
        <v>544</v>
      </c>
      <c r="AG10" s="243"/>
      <c r="AH10" s="16">
        <v>60</v>
      </c>
      <c r="AI10" s="380">
        <f>IF(ISTEXT(AH10), AH10, IFERROR(AVERAGEIF(AA:AA, AA10, AH:AH), ""))</f>
        <v>80</v>
      </c>
      <c r="AJ10" s="246" t="s">
        <v>408</v>
      </c>
      <c r="AK10" s="246" t="s">
        <v>425</v>
      </c>
      <c r="AL10" s="246" t="s">
        <v>2175</v>
      </c>
      <c r="AM10" s="241"/>
      <c r="AN10" s="241"/>
      <c r="AO10" s="241"/>
      <c r="AP10" s="241"/>
      <c r="AQ10" s="241"/>
      <c r="AR10" s="241"/>
      <c r="AS10" s="241"/>
      <c r="AT10" s="241"/>
      <c r="AU10" s="241"/>
      <c r="AV10" s="241"/>
      <c r="AW10" s="241"/>
      <c r="AX10" s="279" t="str">
        <f t="shared" si="4"/>
        <v/>
      </c>
    </row>
    <row r="11" spans="1:50" ht="15.75" thickBot="1" x14ac:dyDescent="0.3">
      <c r="A11" s="190" t="str">
        <f t="shared" si="0"/>
        <v>A47</v>
      </c>
      <c r="B11" s="279" t="str">
        <f t="shared" si="5"/>
        <v>129-52061</v>
      </c>
      <c r="C11" s="279" t="s">
        <v>2085</v>
      </c>
      <c r="D11" s="279"/>
      <c r="E11" s="279">
        <f t="shared" si="1"/>
        <v>2</v>
      </c>
      <c r="F11" s="190" t="s">
        <v>535</v>
      </c>
      <c r="G11" s="198">
        <v>44670</v>
      </c>
      <c r="H11" s="207"/>
      <c r="I11" s="200" t="s">
        <v>7</v>
      </c>
      <c r="J11" s="201" t="s">
        <v>402</v>
      </c>
      <c r="K11" s="201" t="s">
        <v>2754</v>
      </c>
      <c r="L11" s="201" t="s">
        <v>551</v>
      </c>
      <c r="M11" s="200" t="s">
        <v>558</v>
      </c>
      <c r="N11" s="200">
        <v>37</v>
      </c>
      <c r="O11" s="230" t="s">
        <v>949</v>
      </c>
      <c r="P11" s="230" t="s">
        <v>1204</v>
      </c>
      <c r="Q11" s="231" t="str">
        <f t="shared" si="2"/>
        <v>A47. Door Handle, Exterior - FRONT - LEFT</v>
      </c>
      <c r="R11" s="284" t="str">
        <f>HYPERLINK(VLOOKUP(O11,'3D. Pictures'!$B$3:$E$500,4,FALSE),"PIC")</f>
        <v>PIC</v>
      </c>
      <c r="S11" s="284" t="str">
        <f>IF(T11&lt;&gt;"",HYPERLINK(T11,"E.G."),"")</f>
        <v>E.G.</v>
      </c>
      <c r="T11" s="376" t="str">
        <f>IF(O11&lt;&gt;"",_xlfn.XLOOKUP(O11,'3D. Pictures'!B:B,'3D. Pictures'!E:E,"NOT FOUND",0,1),"")</f>
        <v>https://viking-pictures.s3.us-west-1.amazonaws.com/AA1155/A47.+Door+Handle%2C+Exterior+-+FRONT+-+LEFT+(1).JPG</v>
      </c>
      <c r="U11" s="283">
        <v>5</v>
      </c>
      <c r="V11" s="201" t="s">
        <v>1213</v>
      </c>
      <c r="W11" s="200" t="s">
        <v>111</v>
      </c>
      <c r="X11" s="201"/>
      <c r="Y11" s="201"/>
      <c r="Z11" s="201"/>
      <c r="AA11" s="201" t="s">
        <v>578</v>
      </c>
      <c r="AB11" s="201" t="s">
        <v>578</v>
      </c>
      <c r="AC11" s="247" t="str">
        <f t="shared" ref="AC11:AC74" si="6">_xlfn.TEXTJOIN(" | ",TRUE,AD11,AE11)</f>
        <v>on base w/ cable, remove lock cyl &amp; put w/ SET A</v>
      </c>
      <c r="AD11" s="201" t="s">
        <v>564</v>
      </c>
      <c r="AE11" s="201"/>
      <c r="AF11" s="201" t="s">
        <v>543</v>
      </c>
      <c r="AG11" s="201" t="s">
        <v>583</v>
      </c>
      <c r="AH11" s="362">
        <v>150</v>
      </c>
      <c r="AI11" s="380">
        <f>IF(ISTEXT(AH11), AH11, IFERROR(AVERAGEIF(AA:AA, AA11, AH:AH), ""))</f>
        <v>135</v>
      </c>
      <c r="AJ11" s="204" t="s">
        <v>408</v>
      </c>
      <c r="AK11" s="204" t="s">
        <v>425</v>
      </c>
      <c r="AL11" s="204" t="s">
        <v>2175</v>
      </c>
      <c r="AM11" s="203"/>
      <c r="AN11" s="191">
        <v>129</v>
      </c>
      <c r="AO11" s="190" t="s">
        <v>572</v>
      </c>
      <c r="AP11" s="190">
        <v>52061</v>
      </c>
      <c r="AQ11" s="190" t="str">
        <f>CONCATENATE(AN11,AO11,AP11)</f>
        <v>129-52061</v>
      </c>
      <c r="AR11" s="190" t="s">
        <v>570</v>
      </c>
      <c r="AS11" s="190"/>
      <c r="AT11" s="190"/>
      <c r="AU11" s="190"/>
      <c r="AV11" s="190"/>
      <c r="AW11" s="190"/>
      <c r="AX11" s="279" t="str">
        <f t="shared" si="4"/>
        <v/>
      </c>
    </row>
    <row r="12" spans="1:50" ht="15.75" thickBot="1" x14ac:dyDescent="0.3">
      <c r="A12" s="190" t="str">
        <f t="shared" si="0"/>
        <v/>
      </c>
      <c r="B12" s="279" t="str">
        <f t="shared" si="5"/>
        <v>129-52063</v>
      </c>
      <c r="C12" s="279" t="s">
        <v>2087</v>
      </c>
      <c r="D12" s="279"/>
      <c r="E12" s="279">
        <f t="shared" si="1"/>
        <v>2</v>
      </c>
      <c r="F12" s="190" t="s">
        <v>535</v>
      </c>
      <c r="G12" s="198">
        <v>44670</v>
      </c>
      <c r="H12" s="207"/>
      <c r="I12" s="200" t="s">
        <v>7</v>
      </c>
      <c r="J12" s="201" t="s">
        <v>402</v>
      </c>
      <c r="K12" s="201" t="s">
        <v>2754</v>
      </c>
      <c r="L12" s="201" t="s">
        <v>551</v>
      </c>
      <c r="M12" s="200" t="s">
        <v>558</v>
      </c>
      <c r="N12" s="200"/>
      <c r="O12" s="230"/>
      <c r="P12" s="230"/>
      <c r="Q12" s="231" t="str">
        <f t="shared" si="2"/>
        <v>. Door Handle, Exterior - FRONT - LEFT</v>
      </c>
      <c r="R12" s="231"/>
      <c r="S12" s="231" t="str">
        <f t="shared" ref="S12:S75" si="7">IF(T12&lt;&gt;"",HYPERLINK(T12,"E.G."),"")</f>
        <v/>
      </c>
      <c r="T12" s="231" t="str">
        <f>IF(O12&lt;&gt;"",_xlfn.XLOOKUP(O12,'3D. Pictures'!B:B,'3D. Pictures'!E:E,"NOT FOUND",0,1),"")</f>
        <v/>
      </c>
      <c r="U12" s="200"/>
      <c r="V12" s="205" t="s">
        <v>1219</v>
      </c>
      <c r="W12" s="200" t="s">
        <v>111</v>
      </c>
      <c r="X12" s="201"/>
      <c r="Y12" s="201"/>
      <c r="Z12" s="201"/>
      <c r="AA12" s="201" t="s">
        <v>578</v>
      </c>
      <c r="AB12" s="201" t="s">
        <v>578</v>
      </c>
      <c r="AC12" s="247" t="str">
        <f t="shared" si="6"/>
        <v>on base w/ cable, remove lock cyl &amp; put w/ SET A</v>
      </c>
      <c r="AD12" s="201" t="s">
        <v>564</v>
      </c>
      <c r="AE12" s="201"/>
      <c r="AF12" s="201" t="s">
        <v>543</v>
      </c>
      <c r="AG12" s="201" t="s">
        <v>583</v>
      </c>
      <c r="AH12" s="362">
        <v>120</v>
      </c>
      <c r="AI12" s="380">
        <f>IF(ISTEXT(AH12), AH12, IFERROR(AVERAGEIF(AA:AA, AA12, AH:AH), ""))</f>
        <v>135</v>
      </c>
      <c r="AJ12" s="204" t="s">
        <v>408</v>
      </c>
      <c r="AK12" s="204" t="s">
        <v>425</v>
      </c>
      <c r="AL12" s="204" t="s">
        <v>2175</v>
      </c>
      <c r="AM12" s="203"/>
      <c r="AN12" s="191">
        <v>129</v>
      </c>
      <c r="AO12" s="190" t="s">
        <v>572</v>
      </c>
      <c r="AP12" s="190">
        <v>52063</v>
      </c>
      <c r="AQ12" s="190" t="str">
        <f>CONCATENATE(AN12,AO12,AP12)</f>
        <v>129-52063</v>
      </c>
      <c r="AR12" s="190" t="s">
        <v>571</v>
      </c>
      <c r="AS12" s="190"/>
      <c r="AT12" s="190"/>
      <c r="AU12" s="190"/>
      <c r="AV12" s="190"/>
      <c r="AW12" s="190"/>
      <c r="AX12" s="279" t="str">
        <f t="shared" si="4"/>
        <v/>
      </c>
    </row>
    <row r="13" spans="1:50" ht="15.75" thickBot="1" x14ac:dyDescent="0.3">
      <c r="A13" s="190" t="str">
        <f t="shared" si="0"/>
        <v>A30</v>
      </c>
      <c r="B13" s="279" t="str">
        <f t="shared" si="5"/>
        <v>285-999723</v>
      </c>
      <c r="C13" s="279"/>
      <c r="D13" s="279"/>
      <c r="E13" s="279">
        <f t="shared" si="1"/>
        <v>1</v>
      </c>
      <c r="F13" s="190" t="s">
        <v>535</v>
      </c>
      <c r="G13" s="198">
        <v>44670</v>
      </c>
      <c r="H13" s="205"/>
      <c r="I13" s="205"/>
      <c r="J13" s="205" t="s">
        <v>402</v>
      </c>
      <c r="K13" s="205" t="s">
        <v>2754</v>
      </c>
      <c r="L13" s="205" t="s">
        <v>553</v>
      </c>
      <c r="M13" s="208" t="s">
        <v>560</v>
      </c>
      <c r="N13" s="208">
        <v>20</v>
      </c>
      <c r="O13" s="232" t="s">
        <v>932</v>
      </c>
      <c r="P13" s="232" t="s">
        <v>1168</v>
      </c>
      <c r="Q13" s="231" t="str">
        <f t="shared" si="2"/>
        <v>A30. Door Latch, FRONT - LEFT Soft Close WITH Actuator SET 2</v>
      </c>
      <c r="R13" s="284" t="str">
        <f>HYPERLINK(VLOOKUP(O13,'3D. Pictures'!$B$3:$E$500,4,FALSE),"PIC")</f>
        <v>PIC</v>
      </c>
      <c r="S13" s="284" t="str">
        <f t="shared" si="7"/>
        <v>E.G.</v>
      </c>
      <c r="T13" s="377" t="str">
        <f>IF(O13&lt;&gt;"",_xlfn.XLOOKUP(O13,'3D. Pictures'!B:B,'3D. Pictures'!E:E,"NOT FOUND",0,1),"")</f>
        <v>https://viking-pictures.s3.us-west-1.amazonaws.com/AA1155/A30.+Door+Latch%2C+FRONT+-+LEFT+Soft+Close+WITH+Actuator+SET+2+(1).JPG</v>
      </c>
      <c r="U13" s="208">
        <v>6</v>
      </c>
      <c r="V13" s="201" t="s">
        <v>1177</v>
      </c>
      <c r="W13" s="208" t="s">
        <v>111</v>
      </c>
      <c r="X13" s="201"/>
      <c r="Y13" s="201"/>
      <c r="Z13" s="201"/>
      <c r="AA13" s="205" t="s">
        <v>2479</v>
      </c>
      <c r="AB13" s="205" t="s">
        <v>2479</v>
      </c>
      <c r="AC13" s="358" t="str">
        <f t="shared" si="6"/>
        <v>w/ cable + white actuator motor | toss both if 1 bad</v>
      </c>
      <c r="AD13" s="205" t="s">
        <v>2774</v>
      </c>
      <c r="AE13" s="205" t="s">
        <v>1159</v>
      </c>
      <c r="AF13" s="201" t="s">
        <v>543</v>
      </c>
      <c r="AG13" s="205"/>
      <c r="AH13" s="167">
        <v>250</v>
      </c>
      <c r="AI13" s="380">
        <f t="shared" ref="AI13:AI76" si="8">IF(ISTEXT(AH13), AH13, IFERROR(AVERAGEIF(AA:AA, AA13, AH:AH), ""))</f>
        <v>250</v>
      </c>
      <c r="AJ13" s="204" t="s">
        <v>408</v>
      </c>
      <c r="AK13" s="204" t="s">
        <v>425</v>
      </c>
      <c r="AL13" s="204" t="s">
        <v>2175</v>
      </c>
      <c r="AM13" s="190"/>
      <c r="AN13" s="191">
        <v>285</v>
      </c>
      <c r="AO13" s="190" t="s">
        <v>572</v>
      </c>
      <c r="AP13" s="190">
        <v>999723</v>
      </c>
      <c r="AQ13" s="190" t="str">
        <f>CONCATENATE(AN13,AO13,AP13)</f>
        <v>285-999723</v>
      </c>
      <c r="AR13" s="190" t="s">
        <v>595</v>
      </c>
      <c r="AS13" s="190"/>
      <c r="AT13" s="190"/>
      <c r="AU13" s="190"/>
      <c r="AV13" s="190"/>
      <c r="AW13" s="190"/>
      <c r="AX13" s="279" t="str">
        <f t="shared" si="4"/>
        <v/>
      </c>
    </row>
    <row r="14" spans="1:50" x14ac:dyDescent="0.25">
      <c r="A14" s="190" t="str">
        <f t="shared" si="0"/>
        <v/>
      </c>
      <c r="B14" s="279" t="str">
        <f t="shared" si="5"/>
        <v>285-999717</v>
      </c>
      <c r="C14" s="279"/>
      <c r="D14" s="279"/>
      <c r="E14" s="279">
        <f t="shared" si="1"/>
        <v>1</v>
      </c>
      <c r="F14" s="190" t="s">
        <v>535</v>
      </c>
      <c r="G14" s="198">
        <v>44670</v>
      </c>
      <c r="H14" s="205"/>
      <c r="I14" s="205"/>
      <c r="J14" s="205" t="s">
        <v>402</v>
      </c>
      <c r="K14" s="205" t="s">
        <v>2754</v>
      </c>
      <c r="L14" s="205" t="s">
        <v>553</v>
      </c>
      <c r="M14" s="208" t="s">
        <v>560</v>
      </c>
      <c r="N14" s="208"/>
      <c r="O14" s="232"/>
      <c r="P14" s="232"/>
      <c r="Q14" s="231" t="str">
        <f t="shared" si="2"/>
        <v>. Door Latch, FRONT - LEFT WITHOUT Soft Close</v>
      </c>
      <c r="R14" s="231"/>
      <c r="S14" s="231" t="str">
        <f t="shared" si="7"/>
        <v/>
      </c>
      <c r="T14" s="231" t="str">
        <f>IF(O14&lt;&gt;"",_xlfn.XLOOKUP(O14,'3D. Pictures'!B:B,'3D. Pictures'!E:E,"NOT FOUND",0,1),"")</f>
        <v/>
      </c>
      <c r="U14" s="208"/>
      <c r="V14" s="201" t="s">
        <v>1178</v>
      </c>
      <c r="W14" s="208" t="s">
        <v>111</v>
      </c>
      <c r="X14" s="201"/>
      <c r="Y14" s="201"/>
      <c r="Z14" s="201"/>
      <c r="AA14" s="205" t="s">
        <v>1174</v>
      </c>
      <c r="AB14" s="205" t="s">
        <v>1174</v>
      </c>
      <c r="AC14" s="358" t="str">
        <f t="shared" si="6"/>
        <v>w/ cable</v>
      </c>
      <c r="AD14" s="205" t="s">
        <v>597</v>
      </c>
      <c r="AE14" s="205"/>
      <c r="AF14" s="201" t="s">
        <v>543</v>
      </c>
      <c r="AG14" s="205"/>
      <c r="AH14" s="167">
        <v>78</v>
      </c>
      <c r="AI14" s="380">
        <f t="shared" si="8"/>
        <v>78</v>
      </c>
      <c r="AJ14" s="204" t="s">
        <v>408</v>
      </c>
      <c r="AK14" s="204" t="s">
        <v>425</v>
      </c>
      <c r="AL14" s="204" t="s">
        <v>2175</v>
      </c>
      <c r="AM14" s="190"/>
      <c r="AN14" s="191">
        <v>285</v>
      </c>
      <c r="AO14" s="190" t="s">
        <v>572</v>
      </c>
      <c r="AP14" s="190">
        <v>999717</v>
      </c>
      <c r="AQ14" s="190" t="str">
        <f>CONCATENATE(AN14,AO14,AP14)</f>
        <v>285-999717</v>
      </c>
      <c r="AR14" s="190" t="s">
        <v>596</v>
      </c>
      <c r="AS14" s="190"/>
      <c r="AT14" s="190"/>
      <c r="AU14" s="190"/>
      <c r="AV14" s="190"/>
      <c r="AW14" s="190"/>
      <c r="AX14" s="279" t="str">
        <f t="shared" si="4"/>
        <v/>
      </c>
    </row>
    <row r="15" spans="1:50" x14ac:dyDescent="0.25">
      <c r="A15" s="190" t="str">
        <f t="shared" si="0"/>
        <v/>
      </c>
      <c r="B15" s="279" t="str">
        <f t="shared" si="5"/>
        <v/>
      </c>
      <c r="C15" s="279"/>
      <c r="D15" s="279"/>
      <c r="E15" s="279" t="str">
        <f t="shared" si="1"/>
        <v/>
      </c>
      <c r="F15" t="s">
        <v>535</v>
      </c>
      <c r="G15" s="188">
        <v>44684</v>
      </c>
      <c r="H15" s="16"/>
      <c r="I15" s="16"/>
      <c r="J15" s="16" t="s">
        <v>402</v>
      </c>
      <c r="K15" s="166" t="s">
        <v>2754</v>
      </c>
      <c r="L15" s="16" t="s">
        <v>554</v>
      </c>
      <c r="M15" s="166" t="s">
        <v>559</v>
      </c>
      <c r="N15" s="166"/>
      <c r="O15" s="166"/>
      <c r="P15" s="166"/>
      <c r="Q15" s="231" t="str">
        <f t="shared" si="2"/>
        <v>. Door Lock Cylinder - LEFT FRONT (put in module box for SET A)</v>
      </c>
      <c r="R15" s="231"/>
      <c r="S15" s="231" t="str">
        <f t="shared" si="7"/>
        <v/>
      </c>
      <c r="T15" s="231" t="str">
        <f>IF(O15&lt;&gt;"",_xlfn.XLOOKUP(O15,'3D. Pictures'!B:B,'3D. Pictures'!E:E,"NOT FOUND",0,1),"")</f>
        <v/>
      </c>
      <c r="U15" s="166"/>
      <c r="V15" s="166"/>
      <c r="W15" s="166"/>
      <c r="X15" s="166"/>
      <c r="Y15" s="166"/>
      <c r="Z15" s="166"/>
      <c r="AA15" s="16" t="s">
        <v>470</v>
      </c>
      <c r="AB15" s="16" t="s">
        <v>470</v>
      </c>
      <c r="AC15" s="358" t="str">
        <f t="shared" si="6"/>
        <v/>
      </c>
      <c r="AD15" s="16"/>
      <c r="AE15" s="16"/>
      <c r="AF15" s="168" t="s">
        <v>543</v>
      </c>
      <c r="AG15" s="16" t="s">
        <v>471</v>
      </c>
      <c r="AH15" s="167" t="s">
        <v>2854</v>
      </c>
      <c r="AI15" s="380" t="str">
        <f t="shared" si="8"/>
        <v>SET A</v>
      </c>
      <c r="AJ15" s="3" t="s">
        <v>408</v>
      </c>
      <c r="AK15" s="3" t="s">
        <v>425</v>
      </c>
      <c r="AL15" s="204" t="s">
        <v>2175</v>
      </c>
      <c r="AN15"/>
      <c r="AX15" s="279" t="str">
        <f t="shared" si="4"/>
        <v/>
      </c>
    </row>
    <row r="16" spans="1:50" x14ac:dyDescent="0.25">
      <c r="A16" s="190" t="str">
        <f t="shared" si="0"/>
        <v/>
      </c>
      <c r="B16" s="279" t="str">
        <f t="shared" si="5"/>
        <v>128-11745</v>
      </c>
      <c r="C16" s="279"/>
      <c r="D16" s="279"/>
      <c r="E16" s="279">
        <f t="shared" si="1"/>
        <v>1</v>
      </c>
      <c r="F16" s="190" t="s">
        <v>535</v>
      </c>
      <c r="G16" s="198">
        <v>44670</v>
      </c>
      <c r="H16" s="199"/>
      <c r="I16" s="200" t="s">
        <v>7</v>
      </c>
      <c r="J16" s="201" t="s">
        <v>402</v>
      </c>
      <c r="K16" s="202" t="s">
        <v>2754</v>
      </c>
      <c r="L16" s="201" t="s">
        <v>49</v>
      </c>
      <c r="M16" s="200" t="s">
        <v>558</v>
      </c>
      <c r="N16" s="200"/>
      <c r="O16" s="230"/>
      <c r="P16" s="230"/>
      <c r="Q16" s="231" t="str">
        <f t="shared" si="2"/>
        <v>. Mirror, Door - FRONT LEFT</v>
      </c>
      <c r="R16" s="231"/>
      <c r="S16" s="231" t="str">
        <f t="shared" si="7"/>
        <v/>
      </c>
      <c r="T16" s="231" t="str">
        <f>IF(O16&lt;&gt;"",_xlfn.XLOOKUP(O16,'3D. Pictures'!B:B,'3D. Pictures'!E:E,"NOT FOUND",0,1),"")</f>
        <v/>
      </c>
      <c r="U16" s="200"/>
      <c r="V16" s="201"/>
      <c r="W16" s="200"/>
      <c r="X16" s="201"/>
      <c r="Y16" s="201"/>
      <c r="Z16" s="201"/>
      <c r="AA16" s="201" t="s">
        <v>1350</v>
      </c>
      <c r="AB16" s="201" t="s">
        <v>1350</v>
      </c>
      <c r="AC16" s="247" t="str">
        <f t="shared" si="6"/>
        <v/>
      </c>
      <c r="AD16" s="201"/>
      <c r="AE16" s="201"/>
      <c r="AF16" s="201" t="s">
        <v>543</v>
      </c>
      <c r="AG16" s="201"/>
      <c r="AH16" s="362">
        <v>1000</v>
      </c>
      <c r="AI16" s="380">
        <f t="shared" si="8"/>
        <v>790</v>
      </c>
      <c r="AJ16" s="204" t="s">
        <v>408</v>
      </c>
      <c r="AK16" s="204" t="s">
        <v>425</v>
      </c>
      <c r="AL16" s="204" t="s">
        <v>2175</v>
      </c>
      <c r="AM16" s="190"/>
      <c r="AN16" s="191">
        <v>128</v>
      </c>
      <c r="AO16" s="190" t="s">
        <v>572</v>
      </c>
      <c r="AP16" s="190">
        <v>11745</v>
      </c>
      <c r="AQ16" s="190" t="str">
        <f t="shared" ref="AQ16:AQ27" si="9">CONCATENATE(AN16,AO16,AP16)</f>
        <v>128-11745</v>
      </c>
      <c r="AR16" s="190" t="s">
        <v>584</v>
      </c>
      <c r="AS16" s="190"/>
      <c r="AT16" s="190"/>
      <c r="AU16" s="190"/>
      <c r="AV16" s="190"/>
      <c r="AW16" s="190"/>
      <c r="AX16" s="279" t="str">
        <f t="shared" si="4"/>
        <v/>
      </c>
    </row>
    <row r="17" spans="1:50" x14ac:dyDescent="0.25">
      <c r="A17" s="190" t="str">
        <f t="shared" si="0"/>
        <v/>
      </c>
      <c r="B17" s="279" t="str">
        <f t="shared" si="5"/>
        <v>128-11751</v>
      </c>
      <c r="C17" s="279"/>
      <c r="D17" s="279"/>
      <c r="E17" s="279">
        <f t="shared" si="1"/>
        <v>1</v>
      </c>
      <c r="F17" s="190" t="s">
        <v>535</v>
      </c>
      <c r="G17" s="198">
        <v>44670</v>
      </c>
      <c r="H17" s="199"/>
      <c r="I17" s="200" t="s">
        <v>7</v>
      </c>
      <c r="J17" s="201" t="s">
        <v>402</v>
      </c>
      <c r="K17" s="202" t="s">
        <v>2754</v>
      </c>
      <c r="L17" s="201" t="s">
        <v>49</v>
      </c>
      <c r="M17" s="200" t="s">
        <v>558</v>
      </c>
      <c r="N17" s="200"/>
      <c r="O17" s="230"/>
      <c r="P17" s="230"/>
      <c r="Q17" s="231" t="str">
        <f t="shared" si="2"/>
        <v>. Mirror, Door - FRONT LEFT</v>
      </c>
      <c r="R17" s="231"/>
      <c r="S17" s="231" t="str">
        <f t="shared" si="7"/>
        <v/>
      </c>
      <c r="T17" s="231" t="str">
        <f>IF(O17&lt;&gt;"",_xlfn.XLOOKUP(O17,'3D. Pictures'!B:B,'3D. Pictures'!E:E,"NOT FOUND",0,1),"")</f>
        <v/>
      </c>
      <c r="U17" s="200"/>
      <c r="V17" s="201"/>
      <c r="W17" s="200"/>
      <c r="X17" s="201"/>
      <c r="Y17" s="201"/>
      <c r="Z17" s="201"/>
      <c r="AA17" s="201" t="s">
        <v>1350</v>
      </c>
      <c r="AB17" s="201" t="s">
        <v>1350</v>
      </c>
      <c r="AC17" s="247" t="str">
        <f t="shared" si="6"/>
        <v/>
      </c>
      <c r="AD17" s="201"/>
      <c r="AE17" s="201"/>
      <c r="AF17" s="201" t="s">
        <v>543</v>
      </c>
      <c r="AG17" s="201"/>
      <c r="AH17" s="362">
        <v>1000</v>
      </c>
      <c r="AI17" s="380">
        <f t="shared" si="8"/>
        <v>790</v>
      </c>
      <c r="AJ17" s="204" t="s">
        <v>408</v>
      </c>
      <c r="AK17" s="204" t="s">
        <v>425</v>
      </c>
      <c r="AL17" s="204" t="s">
        <v>2175</v>
      </c>
      <c r="AM17" s="190"/>
      <c r="AN17" s="191">
        <v>128</v>
      </c>
      <c r="AO17" s="190" t="s">
        <v>572</v>
      </c>
      <c r="AP17" s="190">
        <v>11751</v>
      </c>
      <c r="AQ17" s="190" t="str">
        <f t="shared" si="9"/>
        <v>128-11751</v>
      </c>
      <c r="AR17" s="190" t="s">
        <v>585</v>
      </c>
      <c r="AS17" s="190"/>
      <c r="AT17" s="190"/>
      <c r="AU17" s="190"/>
      <c r="AV17" s="190"/>
      <c r="AW17" s="190"/>
      <c r="AX17" s="279" t="str">
        <f t="shared" si="4"/>
        <v/>
      </c>
    </row>
    <row r="18" spans="1:50" x14ac:dyDescent="0.25">
      <c r="A18" s="190" t="str">
        <f t="shared" si="0"/>
        <v/>
      </c>
      <c r="B18" s="279" t="str">
        <f t="shared" si="5"/>
        <v>128-11753</v>
      </c>
      <c r="C18" s="279"/>
      <c r="D18" s="279"/>
      <c r="E18" s="279">
        <f t="shared" si="1"/>
        <v>1</v>
      </c>
      <c r="F18" s="190" t="s">
        <v>535</v>
      </c>
      <c r="G18" s="198">
        <v>44670</v>
      </c>
      <c r="H18" s="199"/>
      <c r="I18" s="200" t="s">
        <v>7</v>
      </c>
      <c r="J18" s="201" t="s">
        <v>402</v>
      </c>
      <c r="K18" s="202" t="s">
        <v>2754</v>
      </c>
      <c r="L18" s="201" t="s">
        <v>49</v>
      </c>
      <c r="M18" s="200" t="s">
        <v>558</v>
      </c>
      <c r="N18" s="200"/>
      <c r="O18" s="230"/>
      <c r="P18" s="230"/>
      <c r="Q18" s="231" t="str">
        <f t="shared" si="2"/>
        <v>. Mirror, Door - FRONT LEFT</v>
      </c>
      <c r="R18" s="231"/>
      <c r="S18" s="231" t="str">
        <f t="shared" si="7"/>
        <v/>
      </c>
      <c r="T18" s="231" t="str">
        <f>IF(O18&lt;&gt;"",_xlfn.XLOOKUP(O18,'3D. Pictures'!B:B,'3D. Pictures'!E:E,"NOT FOUND",0,1),"")</f>
        <v/>
      </c>
      <c r="U18" s="200"/>
      <c r="V18" s="201"/>
      <c r="W18" s="200"/>
      <c r="X18" s="201"/>
      <c r="Y18" s="201"/>
      <c r="Z18" s="201"/>
      <c r="AA18" s="201" t="s">
        <v>1350</v>
      </c>
      <c r="AB18" s="201" t="s">
        <v>1350</v>
      </c>
      <c r="AC18" s="247" t="str">
        <f t="shared" si="6"/>
        <v/>
      </c>
      <c r="AD18" s="201"/>
      <c r="AE18" s="201"/>
      <c r="AF18" s="201" t="s">
        <v>543</v>
      </c>
      <c r="AG18" s="201"/>
      <c r="AH18" s="362">
        <v>750</v>
      </c>
      <c r="AI18" s="380">
        <f t="shared" si="8"/>
        <v>790</v>
      </c>
      <c r="AJ18" s="204" t="s">
        <v>408</v>
      </c>
      <c r="AK18" s="204" t="s">
        <v>425</v>
      </c>
      <c r="AL18" s="204" t="s">
        <v>2175</v>
      </c>
      <c r="AM18" s="190"/>
      <c r="AN18" s="191">
        <v>128</v>
      </c>
      <c r="AO18" s="190" t="s">
        <v>572</v>
      </c>
      <c r="AP18" s="190">
        <v>11753</v>
      </c>
      <c r="AQ18" s="190" t="str">
        <f t="shared" si="9"/>
        <v>128-11753</v>
      </c>
      <c r="AR18" s="190" t="s">
        <v>586</v>
      </c>
      <c r="AS18" s="190"/>
      <c r="AT18" s="190"/>
      <c r="AU18" s="190"/>
      <c r="AV18" s="190"/>
      <c r="AW18" s="190"/>
      <c r="AX18" s="279" t="str">
        <f t="shared" si="4"/>
        <v/>
      </c>
    </row>
    <row r="19" spans="1:50" x14ac:dyDescent="0.25">
      <c r="A19" s="190" t="str">
        <f t="shared" si="0"/>
        <v/>
      </c>
      <c r="B19" s="279" t="str">
        <f t="shared" si="5"/>
        <v>128-11755</v>
      </c>
      <c r="C19" s="279"/>
      <c r="D19" s="279"/>
      <c r="E19" s="279">
        <f t="shared" si="1"/>
        <v>1</v>
      </c>
      <c r="F19" s="190" t="s">
        <v>535</v>
      </c>
      <c r="G19" s="198">
        <v>44670</v>
      </c>
      <c r="H19" s="199"/>
      <c r="I19" s="200" t="s">
        <v>7</v>
      </c>
      <c r="J19" s="201" t="s">
        <v>402</v>
      </c>
      <c r="K19" s="202" t="s">
        <v>2754</v>
      </c>
      <c r="L19" s="201" t="s">
        <v>49</v>
      </c>
      <c r="M19" s="200" t="s">
        <v>558</v>
      </c>
      <c r="N19" s="200"/>
      <c r="O19" s="230"/>
      <c r="P19" s="230"/>
      <c r="Q19" s="231" t="str">
        <f t="shared" si="2"/>
        <v>. Mirror, Door - FRONT LEFT</v>
      </c>
      <c r="R19" s="231"/>
      <c r="S19" s="231" t="str">
        <f t="shared" si="7"/>
        <v/>
      </c>
      <c r="T19" s="231" t="str">
        <f>IF(O19&lt;&gt;"",_xlfn.XLOOKUP(O19,'3D. Pictures'!B:B,'3D. Pictures'!E:E,"NOT FOUND",0,1),"")</f>
        <v/>
      </c>
      <c r="U19" s="200"/>
      <c r="V19" s="201"/>
      <c r="W19" s="200"/>
      <c r="X19" s="201"/>
      <c r="Y19" s="201"/>
      <c r="Z19" s="201"/>
      <c r="AA19" s="201" t="s">
        <v>1350</v>
      </c>
      <c r="AB19" s="201" t="s">
        <v>1350</v>
      </c>
      <c r="AC19" s="247" t="str">
        <f t="shared" si="6"/>
        <v/>
      </c>
      <c r="AD19" s="201"/>
      <c r="AE19" s="201"/>
      <c r="AF19" s="201" t="s">
        <v>543</v>
      </c>
      <c r="AG19" s="201"/>
      <c r="AH19" s="362">
        <v>750</v>
      </c>
      <c r="AI19" s="380">
        <f t="shared" si="8"/>
        <v>790</v>
      </c>
      <c r="AJ19" s="204" t="s">
        <v>408</v>
      </c>
      <c r="AK19" s="204" t="s">
        <v>425</v>
      </c>
      <c r="AL19" s="204" t="s">
        <v>2175</v>
      </c>
      <c r="AM19" s="190"/>
      <c r="AN19" s="191">
        <v>128</v>
      </c>
      <c r="AO19" s="190" t="s">
        <v>572</v>
      </c>
      <c r="AP19" s="190">
        <v>11755</v>
      </c>
      <c r="AQ19" s="190" t="str">
        <f t="shared" si="9"/>
        <v>128-11755</v>
      </c>
      <c r="AR19" s="190" t="s">
        <v>587</v>
      </c>
      <c r="AS19" s="190"/>
      <c r="AT19" s="190"/>
      <c r="AU19" s="190"/>
      <c r="AV19" s="190"/>
      <c r="AW19" s="190"/>
      <c r="AX19" s="279" t="str">
        <f t="shared" si="4"/>
        <v/>
      </c>
    </row>
    <row r="20" spans="1:50" x14ac:dyDescent="0.25">
      <c r="A20" s="190" t="str">
        <f t="shared" si="0"/>
        <v/>
      </c>
      <c r="B20" s="279" t="str">
        <f t="shared" si="5"/>
        <v>128-11757</v>
      </c>
      <c r="C20" s="279"/>
      <c r="D20" s="279"/>
      <c r="E20" s="279">
        <f t="shared" si="1"/>
        <v>1</v>
      </c>
      <c r="F20" s="190" t="s">
        <v>535</v>
      </c>
      <c r="G20" s="198">
        <v>44670</v>
      </c>
      <c r="H20" s="199"/>
      <c r="I20" s="200" t="s">
        <v>7</v>
      </c>
      <c r="J20" s="201" t="s">
        <v>402</v>
      </c>
      <c r="K20" s="202" t="s">
        <v>2754</v>
      </c>
      <c r="L20" s="201" t="s">
        <v>49</v>
      </c>
      <c r="M20" s="200" t="s">
        <v>558</v>
      </c>
      <c r="N20" s="200"/>
      <c r="O20" s="230"/>
      <c r="P20" s="230"/>
      <c r="Q20" s="231" t="str">
        <f t="shared" si="2"/>
        <v>. Mirror, Door - FRONT LEFT</v>
      </c>
      <c r="R20" s="231"/>
      <c r="S20" s="231" t="str">
        <f t="shared" si="7"/>
        <v/>
      </c>
      <c r="T20" s="231" t="str">
        <f>IF(O20&lt;&gt;"",_xlfn.XLOOKUP(O20,'3D. Pictures'!B:B,'3D. Pictures'!E:E,"NOT FOUND",0,1),"")</f>
        <v/>
      </c>
      <c r="U20" s="200"/>
      <c r="V20" s="201"/>
      <c r="W20" s="200"/>
      <c r="X20" s="201"/>
      <c r="Y20" s="201"/>
      <c r="Z20" s="201"/>
      <c r="AA20" s="201" t="s">
        <v>1350</v>
      </c>
      <c r="AB20" s="201" t="s">
        <v>1350</v>
      </c>
      <c r="AC20" s="247" t="str">
        <f t="shared" si="6"/>
        <v/>
      </c>
      <c r="AD20" s="201"/>
      <c r="AE20" s="201"/>
      <c r="AF20" s="201" t="s">
        <v>543</v>
      </c>
      <c r="AG20" s="201"/>
      <c r="AH20" s="362">
        <v>800</v>
      </c>
      <c r="AI20" s="380">
        <f t="shared" si="8"/>
        <v>790</v>
      </c>
      <c r="AJ20" s="204" t="s">
        <v>408</v>
      </c>
      <c r="AK20" s="204" t="s">
        <v>425</v>
      </c>
      <c r="AL20" s="204" t="s">
        <v>2175</v>
      </c>
      <c r="AM20" s="190"/>
      <c r="AN20" s="191">
        <v>128</v>
      </c>
      <c r="AO20" s="190" t="s">
        <v>572</v>
      </c>
      <c r="AP20" s="190">
        <v>11757</v>
      </c>
      <c r="AQ20" s="190" t="str">
        <f t="shared" si="9"/>
        <v>128-11757</v>
      </c>
      <c r="AR20" s="190" t="s">
        <v>588</v>
      </c>
      <c r="AS20" s="190"/>
      <c r="AT20" s="190"/>
      <c r="AU20" s="190"/>
      <c r="AV20" s="190"/>
      <c r="AW20" s="190"/>
      <c r="AX20" s="279" t="str">
        <f t="shared" si="4"/>
        <v/>
      </c>
    </row>
    <row r="21" spans="1:50" x14ac:dyDescent="0.25">
      <c r="A21" s="190" t="str">
        <f t="shared" si="0"/>
        <v/>
      </c>
      <c r="B21" s="279" t="str">
        <f t="shared" si="5"/>
        <v>128-11759</v>
      </c>
      <c r="C21" s="279"/>
      <c r="D21" s="279"/>
      <c r="E21" s="279">
        <f t="shared" si="1"/>
        <v>1</v>
      </c>
      <c r="F21" s="190" t="s">
        <v>535</v>
      </c>
      <c r="G21" s="198">
        <v>44670</v>
      </c>
      <c r="H21" s="199"/>
      <c r="I21" s="200" t="s">
        <v>7</v>
      </c>
      <c r="J21" s="201" t="s">
        <v>402</v>
      </c>
      <c r="K21" s="202" t="s">
        <v>2754</v>
      </c>
      <c r="L21" s="201" t="s">
        <v>49</v>
      </c>
      <c r="M21" s="200" t="s">
        <v>558</v>
      </c>
      <c r="N21" s="200"/>
      <c r="O21" s="230"/>
      <c r="P21" s="230"/>
      <c r="Q21" s="231" t="str">
        <f t="shared" si="2"/>
        <v>. Mirror, Door - FRONT LEFT</v>
      </c>
      <c r="R21" s="231"/>
      <c r="S21" s="231" t="str">
        <f t="shared" si="7"/>
        <v/>
      </c>
      <c r="T21" s="231" t="str">
        <f>IF(O21&lt;&gt;"",_xlfn.XLOOKUP(O21,'3D. Pictures'!B:B,'3D. Pictures'!E:E,"NOT FOUND",0,1),"")</f>
        <v/>
      </c>
      <c r="U21" s="200"/>
      <c r="V21" s="201"/>
      <c r="W21" s="200"/>
      <c r="X21" s="201"/>
      <c r="Y21" s="201"/>
      <c r="Z21" s="201"/>
      <c r="AA21" s="201" t="s">
        <v>1350</v>
      </c>
      <c r="AB21" s="201" t="s">
        <v>1350</v>
      </c>
      <c r="AC21" s="247" t="str">
        <f t="shared" si="6"/>
        <v/>
      </c>
      <c r="AD21" s="201"/>
      <c r="AE21" s="201"/>
      <c r="AF21" s="201" t="s">
        <v>543</v>
      </c>
      <c r="AG21" s="201"/>
      <c r="AH21" s="362">
        <v>800</v>
      </c>
      <c r="AI21" s="380">
        <f t="shared" si="8"/>
        <v>790</v>
      </c>
      <c r="AJ21" s="204" t="s">
        <v>408</v>
      </c>
      <c r="AK21" s="204" t="s">
        <v>425</v>
      </c>
      <c r="AL21" s="204" t="s">
        <v>2175</v>
      </c>
      <c r="AM21" s="190"/>
      <c r="AN21" s="191">
        <v>128</v>
      </c>
      <c r="AO21" s="190" t="s">
        <v>572</v>
      </c>
      <c r="AP21" s="190">
        <v>11759</v>
      </c>
      <c r="AQ21" s="190" t="str">
        <f t="shared" si="9"/>
        <v>128-11759</v>
      </c>
      <c r="AR21" s="190" t="s">
        <v>589</v>
      </c>
      <c r="AS21" s="190"/>
      <c r="AT21" s="190"/>
      <c r="AU21" s="190"/>
      <c r="AV21" s="190"/>
      <c r="AW21" s="190"/>
      <c r="AX21" s="279" t="str">
        <f t="shared" si="4"/>
        <v/>
      </c>
    </row>
    <row r="22" spans="1:50" ht="15.75" thickBot="1" x14ac:dyDescent="0.3">
      <c r="A22" s="190" t="str">
        <f t="shared" si="0"/>
        <v/>
      </c>
      <c r="B22" s="279" t="str">
        <f t="shared" si="5"/>
        <v>128-11761</v>
      </c>
      <c r="C22" s="279"/>
      <c r="D22" s="279"/>
      <c r="E22" s="279">
        <f t="shared" si="1"/>
        <v>1</v>
      </c>
      <c r="F22" s="190" t="s">
        <v>535</v>
      </c>
      <c r="G22" s="198">
        <v>44670</v>
      </c>
      <c r="H22" s="199"/>
      <c r="I22" s="200" t="s">
        <v>7</v>
      </c>
      <c r="J22" s="201" t="s">
        <v>402</v>
      </c>
      <c r="K22" s="202" t="s">
        <v>2754</v>
      </c>
      <c r="L22" s="201" t="s">
        <v>49</v>
      </c>
      <c r="M22" s="200" t="s">
        <v>558</v>
      </c>
      <c r="N22" s="200"/>
      <c r="O22" s="230"/>
      <c r="P22" s="230"/>
      <c r="Q22" s="231" t="str">
        <f t="shared" si="2"/>
        <v>. Mirror, Door - FRONT LEFT</v>
      </c>
      <c r="R22" s="231"/>
      <c r="S22" s="231" t="str">
        <f t="shared" si="7"/>
        <v/>
      </c>
      <c r="T22" s="231" t="str">
        <f>IF(O22&lt;&gt;"",_xlfn.XLOOKUP(O22,'3D. Pictures'!B:B,'3D. Pictures'!E:E,"NOT FOUND",0,1),"")</f>
        <v/>
      </c>
      <c r="U22" s="200"/>
      <c r="V22" s="201"/>
      <c r="W22" s="200"/>
      <c r="X22" s="201"/>
      <c r="Y22" s="201"/>
      <c r="Z22" s="201"/>
      <c r="AA22" s="201" t="s">
        <v>1350</v>
      </c>
      <c r="AB22" s="201" t="s">
        <v>1350</v>
      </c>
      <c r="AC22" s="247" t="str">
        <f t="shared" si="6"/>
        <v/>
      </c>
      <c r="AD22" s="201"/>
      <c r="AE22" s="201"/>
      <c r="AF22" s="201" t="s">
        <v>543</v>
      </c>
      <c r="AG22" s="201"/>
      <c r="AH22" s="362">
        <v>700</v>
      </c>
      <c r="AI22" s="380">
        <f t="shared" si="8"/>
        <v>790</v>
      </c>
      <c r="AJ22" s="204" t="s">
        <v>408</v>
      </c>
      <c r="AK22" s="204" t="s">
        <v>425</v>
      </c>
      <c r="AL22" s="204" t="s">
        <v>2175</v>
      </c>
      <c r="AM22" s="190"/>
      <c r="AN22" s="191">
        <v>128</v>
      </c>
      <c r="AO22" s="190" t="s">
        <v>572</v>
      </c>
      <c r="AP22" s="190">
        <v>11761</v>
      </c>
      <c r="AQ22" s="190" t="str">
        <f t="shared" si="9"/>
        <v>128-11761</v>
      </c>
      <c r="AR22" s="190" t="s">
        <v>590</v>
      </c>
      <c r="AS22" s="190"/>
      <c r="AT22" s="190"/>
      <c r="AU22" s="190"/>
      <c r="AV22" s="190"/>
      <c r="AW22" s="190"/>
      <c r="AX22" s="279" t="str">
        <f t="shared" si="4"/>
        <v/>
      </c>
    </row>
    <row r="23" spans="1:50" ht="15.75" thickBot="1" x14ac:dyDescent="0.3">
      <c r="A23" s="190" t="str">
        <f t="shared" si="0"/>
        <v>A116</v>
      </c>
      <c r="B23" s="279" t="str">
        <f t="shared" si="5"/>
        <v>128-11763</v>
      </c>
      <c r="C23" s="279"/>
      <c r="D23" s="279"/>
      <c r="E23" s="279">
        <f t="shared" si="1"/>
        <v>1</v>
      </c>
      <c r="F23" s="190" t="s">
        <v>535</v>
      </c>
      <c r="G23" s="198">
        <v>44670</v>
      </c>
      <c r="H23" s="199"/>
      <c r="I23" s="200" t="s">
        <v>7</v>
      </c>
      <c r="J23" s="201" t="s">
        <v>402</v>
      </c>
      <c r="K23" s="202" t="s">
        <v>2754</v>
      </c>
      <c r="L23" s="201" t="s">
        <v>49</v>
      </c>
      <c r="M23" s="200" t="s">
        <v>558</v>
      </c>
      <c r="N23" s="200">
        <v>106</v>
      </c>
      <c r="O23" s="230" t="s">
        <v>1018</v>
      </c>
      <c r="P23" s="230" t="s">
        <v>1307</v>
      </c>
      <c r="Q23" s="231" t="str">
        <f t="shared" si="2"/>
        <v>A116. Mirror, Door - FRONT LEFT</v>
      </c>
      <c r="R23" s="284" t="str">
        <f>HYPERLINK(VLOOKUP(O23,'3D. Pictures'!$B$3:$E$500,4,FALSE),"PIC")</f>
        <v>PIC</v>
      </c>
      <c r="S23" s="373" t="str">
        <f t="shared" si="7"/>
        <v>E.G.</v>
      </c>
      <c r="T23" s="377" t="str">
        <f>IF(O23&lt;&gt;"",_xlfn.XLOOKUP(O23,'3D. Pictures'!B:B,'3D. Pictures'!E:E,"NOT FOUND",0,1),"")</f>
        <v>https://viking-pictures.s3.us-west-1.amazonaws.com/AA1155/A116.+Mirror%2C+Door+-+FRONT+LEFT+(1).JPG</v>
      </c>
      <c r="U23" s="200">
        <v>6</v>
      </c>
      <c r="V23" s="201" t="s">
        <v>1354</v>
      </c>
      <c r="W23" s="200" t="s">
        <v>111</v>
      </c>
      <c r="X23" s="201" t="s">
        <v>2462</v>
      </c>
      <c r="Y23" s="201"/>
      <c r="Z23" s="201"/>
      <c r="AA23" s="201" t="s">
        <v>1350</v>
      </c>
      <c r="AB23" s="201" t="s">
        <v>1350</v>
      </c>
      <c r="AC23" s="247" t="str">
        <f t="shared" si="6"/>
        <v/>
      </c>
      <c r="AD23" s="201"/>
      <c r="AE23" s="201"/>
      <c r="AF23" s="201" t="s">
        <v>543</v>
      </c>
      <c r="AG23" s="201"/>
      <c r="AH23" s="362">
        <v>700</v>
      </c>
      <c r="AI23" s="380">
        <f t="shared" si="8"/>
        <v>790</v>
      </c>
      <c r="AJ23" s="204" t="s">
        <v>408</v>
      </c>
      <c r="AK23" s="204" t="s">
        <v>425</v>
      </c>
      <c r="AL23" s="204" t="s">
        <v>2175</v>
      </c>
      <c r="AM23" s="190"/>
      <c r="AN23" s="191">
        <v>128</v>
      </c>
      <c r="AO23" s="190" t="s">
        <v>572</v>
      </c>
      <c r="AP23" s="190">
        <v>11763</v>
      </c>
      <c r="AQ23" s="190" t="str">
        <f t="shared" si="9"/>
        <v>128-11763</v>
      </c>
      <c r="AR23" s="190" t="s">
        <v>591</v>
      </c>
      <c r="AS23" s="190"/>
      <c r="AT23" s="190"/>
      <c r="AU23" s="190"/>
      <c r="AV23" s="190"/>
      <c r="AW23" s="190"/>
      <c r="AX23" s="279" t="str">
        <f t="shared" si="4"/>
        <v/>
      </c>
    </row>
    <row r="24" spans="1:50" x14ac:dyDescent="0.25">
      <c r="A24" s="190" t="str">
        <f t="shared" si="0"/>
        <v/>
      </c>
      <c r="B24" s="279" t="str">
        <f t="shared" si="5"/>
        <v>128-11765</v>
      </c>
      <c r="C24" s="279"/>
      <c r="D24" s="279"/>
      <c r="E24" s="279">
        <f t="shared" si="1"/>
        <v>1</v>
      </c>
      <c r="F24" s="190" t="s">
        <v>535</v>
      </c>
      <c r="G24" s="198">
        <v>44670</v>
      </c>
      <c r="H24" s="199"/>
      <c r="I24" s="200" t="s">
        <v>7</v>
      </c>
      <c r="J24" s="201" t="s">
        <v>402</v>
      </c>
      <c r="K24" s="202" t="s">
        <v>2754</v>
      </c>
      <c r="L24" s="201" t="s">
        <v>49</v>
      </c>
      <c r="M24" s="200" t="s">
        <v>558</v>
      </c>
      <c r="N24" s="200"/>
      <c r="O24" s="230"/>
      <c r="P24" s="230"/>
      <c r="Q24" s="231" t="str">
        <f t="shared" si="2"/>
        <v>. Mirror, Door - FRONT LEFT</v>
      </c>
      <c r="R24" s="231"/>
      <c r="S24" s="231" t="str">
        <f t="shared" si="7"/>
        <v/>
      </c>
      <c r="T24" s="231" t="str">
        <f>IF(O24&lt;&gt;"",_xlfn.XLOOKUP(O24,'3D. Pictures'!B:B,'3D. Pictures'!E:E,"NOT FOUND",0,1),"")</f>
        <v/>
      </c>
      <c r="U24" s="200"/>
      <c r="V24" s="201"/>
      <c r="W24" s="200"/>
      <c r="X24" s="201"/>
      <c r="Y24" s="201"/>
      <c r="Z24" s="201"/>
      <c r="AA24" s="201" t="s">
        <v>1350</v>
      </c>
      <c r="AB24" s="201" t="s">
        <v>1350</v>
      </c>
      <c r="AC24" s="247" t="str">
        <f t="shared" si="6"/>
        <v/>
      </c>
      <c r="AD24" s="201"/>
      <c r="AE24" s="201"/>
      <c r="AF24" s="201" t="s">
        <v>543</v>
      </c>
      <c r="AG24" s="201"/>
      <c r="AH24" s="362">
        <v>700</v>
      </c>
      <c r="AI24" s="380">
        <f t="shared" si="8"/>
        <v>790</v>
      </c>
      <c r="AJ24" s="204" t="s">
        <v>408</v>
      </c>
      <c r="AK24" s="204" t="s">
        <v>425</v>
      </c>
      <c r="AL24" s="204" t="s">
        <v>2175</v>
      </c>
      <c r="AM24" s="190"/>
      <c r="AN24" s="191">
        <v>128</v>
      </c>
      <c r="AO24" s="190" t="s">
        <v>572</v>
      </c>
      <c r="AP24" s="190">
        <v>11765</v>
      </c>
      <c r="AQ24" s="190" t="str">
        <f t="shared" si="9"/>
        <v>128-11765</v>
      </c>
      <c r="AR24" s="190" t="s">
        <v>593</v>
      </c>
      <c r="AS24" s="190"/>
      <c r="AT24" s="190"/>
      <c r="AU24" s="190"/>
      <c r="AV24" s="190"/>
      <c r="AW24" s="190"/>
      <c r="AX24" s="279" t="str">
        <f t="shared" si="4"/>
        <v/>
      </c>
    </row>
    <row r="25" spans="1:50" ht="15.75" thickBot="1" x14ac:dyDescent="0.3">
      <c r="A25" s="190" t="str">
        <f t="shared" si="0"/>
        <v/>
      </c>
      <c r="B25" s="279" t="str">
        <f t="shared" si="5"/>
        <v>128-11767</v>
      </c>
      <c r="C25" s="279"/>
      <c r="D25" s="279"/>
      <c r="E25" s="279">
        <f t="shared" si="1"/>
        <v>1</v>
      </c>
      <c r="F25" s="190" t="s">
        <v>535</v>
      </c>
      <c r="G25" s="198">
        <v>44670</v>
      </c>
      <c r="H25" s="199"/>
      <c r="I25" s="200" t="s">
        <v>7</v>
      </c>
      <c r="J25" s="201" t="s">
        <v>402</v>
      </c>
      <c r="K25" s="202" t="s">
        <v>2754</v>
      </c>
      <c r="L25" s="201" t="s">
        <v>49</v>
      </c>
      <c r="M25" s="200" t="s">
        <v>558</v>
      </c>
      <c r="N25" s="200"/>
      <c r="O25" s="230"/>
      <c r="P25" s="230"/>
      <c r="Q25" s="231" t="str">
        <f t="shared" si="2"/>
        <v>. Mirror, Door - FRONT LEFT</v>
      </c>
      <c r="R25" s="231"/>
      <c r="S25" s="231" t="str">
        <f t="shared" si="7"/>
        <v/>
      </c>
      <c r="T25" s="231" t="str">
        <f>IF(O25&lt;&gt;"",_xlfn.XLOOKUP(O25,'3D. Pictures'!B:B,'3D. Pictures'!E:E,"NOT FOUND",0,1),"")</f>
        <v/>
      </c>
      <c r="U25" s="200"/>
      <c r="V25" s="201"/>
      <c r="W25" s="200"/>
      <c r="X25" s="201"/>
      <c r="Y25" s="201"/>
      <c r="Z25" s="201"/>
      <c r="AA25" s="201" t="s">
        <v>1350</v>
      </c>
      <c r="AB25" s="201" t="s">
        <v>1350</v>
      </c>
      <c r="AC25" s="247" t="str">
        <f t="shared" si="6"/>
        <v/>
      </c>
      <c r="AD25" s="201"/>
      <c r="AE25" s="201"/>
      <c r="AF25" s="201" t="s">
        <v>543</v>
      </c>
      <c r="AG25" s="201"/>
      <c r="AH25" s="362">
        <v>700</v>
      </c>
      <c r="AI25" s="380">
        <f t="shared" si="8"/>
        <v>790</v>
      </c>
      <c r="AJ25" s="204" t="s">
        <v>408</v>
      </c>
      <c r="AK25" s="204" t="s">
        <v>425</v>
      </c>
      <c r="AL25" s="204" t="s">
        <v>2175</v>
      </c>
      <c r="AM25" s="190"/>
      <c r="AN25" s="191">
        <v>128</v>
      </c>
      <c r="AO25" s="190" t="s">
        <v>572</v>
      </c>
      <c r="AP25" s="190">
        <v>11767</v>
      </c>
      <c r="AQ25" s="190" t="str">
        <f t="shared" si="9"/>
        <v>128-11767</v>
      </c>
      <c r="AR25" s="190" t="s">
        <v>592</v>
      </c>
      <c r="AS25" s="190"/>
      <c r="AT25" s="190"/>
      <c r="AU25" s="190"/>
      <c r="AV25" s="190"/>
      <c r="AW25" s="190"/>
      <c r="AX25" s="279" t="str">
        <f t="shared" si="4"/>
        <v/>
      </c>
    </row>
    <row r="26" spans="1:50" ht="15.75" thickBot="1" x14ac:dyDescent="0.3">
      <c r="A26" s="190" t="str">
        <f t="shared" si="0"/>
        <v>A58</v>
      </c>
      <c r="B26" s="279" t="str">
        <f t="shared" si="5"/>
        <v>641-54182</v>
      </c>
      <c r="C26" s="279"/>
      <c r="D26" s="279"/>
      <c r="E26" s="279">
        <f t="shared" si="1"/>
        <v>1</v>
      </c>
      <c r="F26" s="190" t="s">
        <v>535</v>
      </c>
      <c r="G26" s="198">
        <v>45218</v>
      </c>
      <c r="H26" s="199"/>
      <c r="I26" s="200" t="s">
        <v>7</v>
      </c>
      <c r="J26" s="201" t="s">
        <v>402</v>
      </c>
      <c r="K26" s="202" t="s">
        <v>2754</v>
      </c>
      <c r="L26" s="201" t="s">
        <v>1210</v>
      </c>
      <c r="M26" s="200" t="s">
        <v>558</v>
      </c>
      <c r="N26" s="200">
        <v>48</v>
      </c>
      <c r="O26" s="230" t="s">
        <v>960</v>
      </c>
      <c r="P26" s="230" t="s">
        <v>1204</v>
      </c>
      <c r="Q26" s="231" t="str">
        <f t="shared" si="2"/>
        <v>A58. Switch, Window Master</v>
      </c>
      <c r="R26" s="284" t="str">
        <f>HYPERLINK(VLOOKUP(O26,'3D. Pictures'!$B$3:$E$500,4,FALSE),"PIC")</f>
        <v>PIC</v>
      </c>
      <c r="S26" s="373" t="str">
        <f t="shared" si="7"/>
        <v>E.G.</v>
      </c>
      <c r="T26" s="377" t="str">
        <f>IF(O26&lt;&gt;"",_xlfn.XLOOKUP(O26,'3D. Pictures'!B:B,'3D. Pictures'!E:E,"NOT FOUND",0,1),"")</f>
        <v>https://viking-pictures.s3.us-west-1.amazonaws.com/AA1155/A58.+Switch%2C+Window+Master+(1).JPG</v>
      </c>
      <c r="U26" s="200">
        <v>5</v>
      </c>
      <c r="V26" s="201" t="s">
        <v>1238</v>
      </c>
      <c r="W26" s="200" t="s">
        <v>111</v>
      </c>
      <c r="X26" s="201"/>
      <c r="Y26" s="201"/>
      <c r="Z26" s="201"/>
      <c r="AA26" s="201" t="s">
        <v>575</v>
      </c>
      <c r="AB26" s="201" t="s">
        <v>575</v>
      </c>
      <c r="AC26" s="247" t="str">
        <f t="shared" si="6"/>
        <v>remove &amp; toss trim</v>
      </c>
      <c r="AD26" s="201" t="s">
        <v>574</v>
      </c>
      <c r="AE26" s="201"/>
      <c r="AF26" s="201" t="s">
        <v>543</v>
      </c>
      <c r="AG26" s="201"/>
      <c r="AH26" s="168">
        <v>45</v>
      </c>
      <c r="AI26" s="380">
        <f t="shared" si="8"/>
        <v>45</v>
      </c>
      <c r="AJ26" s="204" t="s">
        <v>408</v>
      </c>
      <c r="AK26" s="204" t="s">
        <v>425</v>
      </c>
      <c r="AL26" s="204" t="s">
        <v>2175</v>
      </c>
      <c r="AM26" s="190"/>
      <c r="AN26" s="191" t="s">
        <v>598</v>
      </c>
      <c r="AO26" s="190" t="s">
        <v>572</v>
      </c>
      <c r="AP26" s="190">
        <v>54182</v>
      </c>
      <c r="AQ26" s="190" t="str">
        <f t="shared" si="9"/>
        <v>641-54182</v>
      </c>
      <c r="AR26" s="190" t="s">
        <v>1236</v>
      </c>
      <c r="AS26" s="190"/>
      <c r="AT26" s="190"/>
      <c r="AU26" s="190"/>
      <c r="AV26" s="190"/>
      <c r="AW26" s="190"/>
      <c r="AX26" s="279" t="str">
        <f t="shared" si="4"/>
        <v/>
      </c>
    </row>
    <row r="27" spans="1:50" x14ac:dyDescent="0.25">
      <c r="A27" s="190" t="str">
        <f t="shared" si="0"/>
        <v/>
      </c>
      <c r="B27" s="279" t="str">
        <f t="shared" si="5"/>
        <v>641-54183</v>
      </c>
      <c r="C27" s="279"/>
      <c r="D27" s="279"/>
      <c r="E27" s="279">
        <f t="shared" si="1"/>
        <v>1</v>
      </c>
      <c r="F27" s="190" t="s">
        <v>535</v>
      </c>
      <c r="G27" s="198">
        <v>45218</v>
      </c>
      <c r="H27" s="199"/>
      <c r="I27" s="200" t="s">
        <v>7</v>
      </c>
      <c r="J27" s="201" t="s">
        <v>402</v>
      </c>
      <c r="K27" s="202" t="s">
        <v>2754</v>
      </c>
      <c r="L27" s="201" t="s">
        <v>1210</v>
      </c>
      <c r="M27" s="200" t="s">
        <v>558</v>
      </c>
      <c r="N27" s="200"/>
      <c r="O27" s="230"/>
      <c r="P27" s="230"/>
      <c r="Q27" s="231" t="str">
        <f t="shared" si="2"/>
        <v>. Switch, Window Master</v>
      </c>
      <c r="R27" s="231"/>
      <c r="S27" s="231" t="str">
        <f t="shared" si="7"/>
        <v/>
      </c>
      <c r="T27" s="231" t="str">
        <f>IF(O27&lt;&gt;"",_xlfn.XLOOKUP(O27,'3D. Pictures'!B:B,'3D. Pictures'!E:E,"NOT FOUND",0,1),"")</f>
        <v/>
      </c>
      <c r="U27" s="200"/>
      <c r="V27" s="201" t="s">
        <v>1239</v>
      </c>
      <c r="W27" s="200" t="s">
        <v>111</v>
      </c>
      <c r="X27" s="201"/>
      <c r="Y27" s="201"/>
      <c r="Z27" s="201"/>
      <c r="AA27" s="201" t="s">
        <v>575</v>
      </c>
      <c r="AB27" s="201" t="s">
        <v>575</v>
      </c>
      <c r="AC27" s="247" t="str">
        <f t="shared" si="6"/>
        <v>remove &amp; toss trim</v>
      </c>
      <c r="AD27" s="201" t="s">
        <v>574</v>
      </c>
      <c r="AE27" s="201"/>
      <c r="AF27" s="201" t="s">
        <v>543</v>
      </c>
      <c r="AG27" s="201"/>
      <c r="AH27" s="168">
        <v>45</v>
      </c>
      <c r="AI27" s="380">
        <f t="shared" si="8"/>
        <v>45</v>
      </c>
      <c r="AJ27" s="204" t="s">
        <v>408</v>
      </c>
      <c r="AK27" s="204" t="s">
        <v>425</v>
      </c>
      <c r="AL27" s="204" t="s">
        <v>2175</v>
      </c>
      <c r="AM27" s="190"/>
      <c r="AN27" s="191" t="s">
        <v>598</v>
      </c>
      <c r="AO27" s="190" t="s">
        <v>572</v>
      </c>
      <c r="AP27" s="190">
        <v>54183</v>
      </c>
      <c r="AQ27" s="190" t="str">
        <f t="shared" si="9"/>
        <v>641-54183</v>
      </c>
      <c r="AR27" s="190" t="s">
        <v>1237</v>
      </c>
      <c r="AS27" s="190"/>
      <c r="AT27" s="190"/>
      <c r="AU27" s="190"/>
      <c r="AV27" s="190"/>
      <c r="AW27" s="190"/>
      <c r="AX27" s="279" t="str">
        <f t="shared" si="4"/>
        <v/>
      </c>
    </row>
    <row r="28" spans="1:50" x14ac:dyDescent="0.25">
      <c r="A28" s="190" t="str">
        <f t="shared" si="0"/>
        <v/>
      </c>
      <c r="B28" s="279" t="str">
        <f t="shared" si="5"/>
        <v/>
      </c>
      <c r="C28" s="279"/>
      <c r="D28" s="279"/>
      <c r="E28" s="279" t="str">
        <f t="shared" si="1"/>
        <v/>
      </c>
      <c r="F28" t="s">
        <v>535</v>
      </c>
      <c r="G28" s="188">
        <v>44670</v>
      </c>
      <c r="H28" s="10"/>
      <c r="I28" s="10"/>
      <c r="J28" s="10" t="s">
        <v>405</v>
      </c>
      <c r="K28" s="15" t="s">
        <v>2754</v>
      </c>
      <c r="L28" s="10" t="s">
        <v>555</v>
      </c>
      <c r="M28" s="166" t="s">
        <v>559</v>
      </c>
      <c r="N28" s="166"/>
      <c r="O28" s="166"/>
      <c r="P28" s="166"/>
      <c r="Q28" s="231" t="str">
        <f t="shared" si="2"/>
        <v>. Door Handle, Interior</v>
      </c>
      <c r="R28" s="231"/>
      <c r="S28" s="231" t="str">
        <f t="shared" si="7"/>
        <v/>
      </c>
      <c r="T28" s="231" t="str">
        <f>IF(O28&lt;&gt;"",_xlfn.XLOOKUP(O28,'3D. Pictures'!B:B,'3D. Pictures'!E:E,"NOT FOUND",0,1),"")</f>
        <v/>
      </c>
      <c r="U28" s="166"/>
      <c r="V28" s="166"/>
      <c r="W28" s="166"/>
      <c r="X28" s="166"/>
      <c r="Y28" s="166"/>
      <c r="Z28" s="166"/>
      <c r="AA28" s="10" t="s">
        <v>555</v>
      </c>
      <c r="AB28" s="10" t="s">
        <v>555</v>
      </c>
      <c r="AC28" s="359" t="str">
        <f t="shared" si="6"/>
        <v>if trim doesn't remove easy put handle w/ trim SET</v>
      </c>
      <c r="AD28" s="10" t="s">
        <v>2806</v>
      </c>
      <c r="AE28" s="10"/>
      <c r="AF28" s="168" t="s">
        <v>543</v>
      </c>
      <c r="AG28" s="10"/>
      <c r="AH28" s="10"/>
      <c r="AI28" s="380" t="str">
        <f t="shared" si="8"/>
        <v/>
      </c>
      <c r="AJ28" s="3" t="s">
        <v>408</v>
      </c>
      <c r="AK28" s="3" t="s">
        <v>425</v>
      </c>
      <c r="AL28" s="204" t="s">
        <v>2175</v>
      </c>
      <c r="AN28"/>
      <c r="AX28" s="279" t="str">
        <f t="shared" si="4"/>
        <v/>
      </c>
    </row>
    <row r="29" spans="1:50" x14ac:dyDescent="0.25">
      <c r="A29" s="190" t="str">
        <f t="shared" si="0"/>
        <v/>
      </c>
      <c r="B29" s="279" t="str">
        <f t="shared" si="5"/>
        <v/>
      </c>
      <c r="C29" s="279"/>
      <c r="D29" s="279"/>
      <c r="E29" s="279" t="str">
        <f t="shared" si="1"/>
        <v/>
      </c>
      <c r="F29" t="s">
        <v>536</v>
      </c>
      <c r="G29" s="188">
        <v>44936</v>
      </c>
      <c r="H29" s="10"/>
      <c r="I29" s="10"/>
      <c r="J29" s="15" t="s">
        <v>405</v>
      </c>
      <c r="K29" s="10" t="s">
        <v>2754</v>
      </c>
      <c r="L29" s="201" t="s">
        <v>1210</v>
      </c>
      <c r="M29" s="189" t="s">
        <v>562</v>
      </c>
      <c r="N29" s="189"/>
      <c r="O29" s="233"/>
      <c r="P29" s="233"/>
      <c r="Q29" s="231" t="str">
        <f t="shared" si="2"/>
        <v>. Door Lock Unlock Switch, FRONT - LEFT</v>
      </c>
      <c r="R29" s="231"/>
      <c r="S29" s="231" t="str">
        <f t="shared" si="7"/>
        <v/>
      </c>
      <c r="T29" s="231" t="str">
        <f>IF(O29&lt;&gt;"",_xlfn.XLOOKUP(O29,'3D. Pictures'!B:B,'3D. Pictures'!E:E,"NOT FOUND",0,1),"")</f>
        <v/>
      </c>
      <c r="U29" s="189"/>
      <c r="V29" s="168"/>
      <c r="W29" s="189"/>
      <c r="X29" s="168"/>
      <c r="Y29" s="168"/>
      <c r="Z29" s="168"/>
      <c r="AA29" t="s">
        <v>2722</v>
      </c>
      <c r="AB29" t="s">
        <v>2722</v>
      </c>
      <c r="AC29" s="279" t="str">
        <f t="shared" si="6"/>
        <v/>
      </c>
      <c r="AD29" s="10"/>
      <c r="AE29" s="10"/>
      <c r="AF29" s="168" t="s">
        <v>543</v>
      </c>
      <c r="AG29" s="10"/>
      <c r="AH29" s="10"/>
      <c r="AI29" s="380" t="str">
        <f t="shared" si="8"/>
        <v/>
      </c>
      <c r="AJ29" s="3" t="s">
        <v>408</v>
      </c>
      <c r="AK29" s="3" t="s">
        <v>425</v>
      </c>
      <c r="AL29" s="204" t="s">
        <v>2175</v>
      </c>
      <c r="AN29"/>
      <c r="AO29" t="s">
        <v>572</v>
      </c>
      <c r="AX29" s="279" t="str">
        <f t="shared" si="4"/>
        <v/>
      </c>
    </row>
    <row r="30" spans="1:50" x14ac:dyDescent="0.25">
      <c r="A30" s="190" t="str">
        <f t="shared" si="0"/>
        <v/>
      </c>
      <c r="B30" s="279" t="str">
        <f t="shared" si="5"/>
        <v/>
      </c>
      <c r="C30" s="279"/>
      <c r="D30" s="279"/>
      <c r="E30" s="279" t="str">
        <f t="shared" si="1"/>
        <v/>
      </c>
      <c r="F30" t="s">
        <v>535</v>
      </c>
      <c r="G30" s="188">
        <v>44670</v>
      </c>
      <c r="H30" s="10"/>
      <c r="I30" s="10"/>
      <c r="J30" s="10" t="s">
        <v>405</v>
      </c>
      <c r="K30" s="10" t="s">
        <v>2754</v>
      </c>
      <c r="L30" s="10" t="s">
        <v>40</v>
      </c>
      <c r="M30" s="166" t="s">
        <v>559</v>
      </c>
      <c r="N30" s="166"/>
      <c r="O30" s="166"/>
      <c r="P30" s="166"/>
      <c r="Q30" s="231" t="str">
        <f t="shared" si="2"/>
        <v>. Door Panel</v>
      </c>
      <c r="R30" s="231"/>
      <c r="S30" s="231" t="str">
        <f t="shared" si="7"/>
        <v/>
      </c>
      <c r="T30" s="231" t="str">
        <f>IF(O30&lt;&gt;"",_xlfn.XLOOKUP(O30,'3D. Pictures'!B:B,'3D. Pictures'!E:E,"NOT FOUND",0,1),"")</f>
        <v/>
      </c>
      <c r="U30" s="166"/>
      <c r="V30" s="166"/>
      <c r="W30" s="166"/>
      <c r="X30" s="166"/>
      <c r="Y30" s="166"/>
      <c r="Z30" s="166"/>
      <c r="AA30" s="10" t="s">
        <v>40</v>
      </c>
      <c r="AB30" s="10" t="s">
        <v>40</v>
      </c>
      <c r="AC30" s="359" t="str">
        <f t="shared" si="6"/>
        <v/>
      </c>
      <c r="AD30" s="10"/>
      <c r="AE30" s="10"/>
      <c r="AF30" s="168" t="s">
        <v>543</v>
      </c>
      <c r="AG30" s="16"/>
      <c r="AH30" s="10"/>
      <c r="AI30" s="380" t="str">
        <f t="shared" si="8"/>
        <v/>
      </c>
      <c r="AJ30" s="3" t="s">
        <v>408</v>
      </c>
      <c r="AK30" s="3" t="s">
        <v>425</v>
      </c>
      <c r="AL30" s="204" t="s">
        <v>2175</v>
      </c>
      <c r="AN30"/>
      <c r="AX30" s="279" t="str">
        <f t="shared" si="4"/>
        <v/>
      </c>
    </row>
    <row r="31" spans="1:50" x14ac:dyDescent="0.25">
      <c r="A31" s="190" t="str">
        <f t="shared" si="0"/>
        <v/>
      </c>
      <c r="B31" s="279" t="str">
        <f t="shared" si="5"/>
        <v/>
      </c>
      <c r="C31" s="279"/>
      <c r="D31" s="279"/>
      <c r="E31" s="279" t="str">
        <f t="shared" si="1"/>
        <v/>
      </c>
      <c r="F31" t="s">
        <v>537</v>
      </c>
      <c r="G31" s="188">
        <v>44928</v>
      </c>
      <c r="H31" s="10"/>
      <c r="I31" s="10"/>
      <c r="J31" s="15" t="s">
        <v>405</v>
      </c>
      <c r="K31" s="10" t="s">
        <v>2754</v>
      </c>
      <c r="L31" s="201" t="s">
        <v>1210</v>
      </c>
      <c r="M31" s="189" t="s">
        <v>562</v>
      </c>
      <c r="N31" s="189"/>
      <c r="O31" s="233"/>
      <c r="P31" s="233"/>
      <c r="Q31" s="231" t="str">
        <f t="shared" si="2"/>
        <v>. Trunk Release Switch</v>
      </c>
      <c r="R31" s="231"/>
      <c r="S31" s="231" t="str">
        <f t="shared" si="7"/>
        <v/>
      </c>
      <c r="T31" s="231" t="str">
        <f>IF(O31&lt;&gt;"",_xlfn.XLOOKUP(O31,'3D. Pictures'!B:B,'3D. Pictures'!E:E,"NOT FOUND",0,1),"")</f>
        <v/>
      </c>
      <c r="U31" s="189"/>
      <c r="V31" s="168"/>
      <c r="W31" s="189"/>
      <c r="X31" s="168"/>
      <c r="Y31" s="168"/>
      <c r="Z31" s="168"/>
      <c r="AA31" s="10" t="s">
        <v>497</v>
      </c>
      <c r="AB31" s="10" t="s">
        <v>497</v>
      </c>
      <c r="AC31" s="359" t="str">
        <f t="shared" si="6"/>
        <v>front left door mounted</v>
      </c>
      <c r="AD31" s="10"/>
      <c r="AE31" s="10" t="s">
        <v>2664</v>
      </c>
      <c r="AF31" s="168" t="s">
        <v>543</v>
      </c>
      <c r="AG31" s="16"/>
      <c r="AH31" s="10"/>
      <c r="AI31" s="380" t="str">
        <f t="shared" si="8"/>
        <v/>
      </c>
      <c r="AJ31" s="3" t="s">
        <v>408</v>
      </c>
      <c r="AK31" s="3" t="s">
        <v>425</v>
      </c>
      <c r="AL31" s="204" t="s">
        <v>2175</v>
      </c>
      <c r="AN31"/>
      <c r="AO31" t="s">
        <v>572</v>
      </c>
      <c r="AX31" s="279" t="str">
        <f t="shared" si="4"/>
        <v/>
      </c>
    </row>
    <row r="32" spans="1:50" ht="15.75" thickBot="1" x14ac:dyDescent="0.3">
      <c r="A32" s="190" t="str">
        <f t="shared" si="0"/>
        <v/>
      </c>
      <c r="B32" s="279" t="str">
        <f t="shared" si="5"/>
        <v/>
      </c>
      <c r="C32" s="279"/>
      <c r="D32" s="279"/>
      <c r="E32" s="279" t="str">
        <f t="shared" si="1"/>
        <v/>
      </c>
      <c r="F32" t="s">
        <v>535</v>
      </c>
      <c r="G32" s="188">
        <v>44670</v>
      </c>
      <c r="H32" s="157"/>
      <c r="I32" s="174"/>
      <c r="J32" s="10" t="s">
        <v>405</v>
      </c>
      <c r="K32" s="15" t="s">
        <v>2754</v>
      </c>
      <c r="L32" s="10" t="s">
        <v>556</v>
      </c>
      <c r="M32" s="164" t="s">
        <v>558</v>
      </c>
      <c r="N32" s="164"/>
      <c r="O32" s="234"/>
      <c r="P32" s="234"/>
      <c r="Q32" s="231" t="str">
        <f t="shared" si="2"/>
        <v>. Window Motor &amp; Regulator</v>
      </c>
      <c r="R32" s="231"/>
      <c r="S32" s="231" t="str">
        <f t="shared" si="7"/>
        <v/>
      </c>
      <c r="T32" s="231" t="str">
        <f>IF(O32&lt;&gt;"",_xlfn.XLOOKUP(O32,'3D. Pictures'!B:B,'3D. Pictures'!E:E,"NOT FOUND",0,1),"")</f>
        <v/>
      </c>
      <c r="U32" s="164"/>
      <c r="V32" s="16"/>
      <c r="W32" s="164"/>
      <c r="X32" s="16"/>
      <c r="Y32" s="16"/>
      <c r="Z32" s="16"/>
      <c r="AA32" s="10" t="s">
        <v>556</v>
      </c>
      <c r="AB32" s="10" t="s">
        <v>556</v>
      </c>
      <c r="AC32" s="359" t="str">
        <f t="shared" si="6"/>
        <v/>
      </c>
      <c r="AD32" s="10"/>
      <c r="AE32" s="10"/>
      <c r="AF32" s="168" t="s">
        <v>543</v>
      </c>
      <c r="AG32" s="10"/>
      <c r="AH32" s="10"/>
      <c r="AI32" s="380" t="str">
        <f t="shared" si="8"/>
        <v/>
      </c>
      <c r="AJ32" s="3" t="s">
        <v>408</v>
      </c>
      <c r="AK32" s="3" t="s">
        <v>425</v>
      </c>
      <c r="AL32" s="204" t="s">
        <v>2175</v>
      </c>
      <c r="AN32"/>
      <c r="AO32" t="s">
        <v>572</v>
      </c>
      <c r="AX32" s="279" t="str">
        <f t="shared" si="4"/>
        <v/>
      </c>
    </row>
    <row r="33" spans="1:50" ht="15.75" thickBot="1" x14ac:dyDescent="0.3">
      <c r="A33" s="190" t="str">
        <f t="shared" si="0"/>
        <v>A49</v>
      </c>
      <c r="B33" s="279" t="str">
        <f t="shared" si="5"/>
        <v>129-52061</v>
      </c>
      <c r="C33" s="279" t="s">
        <v>2086</v>
      </c>
      <c r="D33" s="279"/>
      <c r="E33" s="279">
        <f t="shared" si="1"/>
        <v>2</v>
      </c>
      <c r="F33" s="190" t="s">
        <v>535</v>
      </c>
      <c r="G33" s="198">
        <v>44670</v>
      </c>
      <c r="H33" s="199"/>
      <c r="I33" s="200" t="s">
        <v>7</v>
      </c>
      <c r="J33" s="201" t="s">
        <v>402</v>
      </c>
      <c r="K33" s="202" t="s">
        <v>2755</v>
      </c>
      <c r="L33" s="201" t="s">
        <v>551</v>
      </c>
      <c r="M33" s="192" t="s">
        <v>558</v>
      </c>
      <c r="N33" s="192">
        <v>39</v>
      </c>
      <c r="O33" s="229" t="s">
        <v>951</v>
      </c>
      <c r="P33" s="229" t="s">
        <v>1204</v>
      </c>
      <c r="Q33" s="231" t="str">
        <f t="shared" si="2"/>
        <v>A49. Door Handle, Exterior - REAR - LEFT</v>
      </c>
      <c r="R33" s="284" t="str">
        <f>HYPERLINK(VLOOKUP(O33,'3D. Pictures'!$B$3:$E$500,4,FALSE),"PIC")</f>
        <v>PIC</v>
      </c>
      <c r="S33" s="373" t="str">
        <f t="shared" si="7"/>
        <v>E.G.</v>
      </c>
      <c r="T33" s="377" t="str">
        <f>IF(O33&lt;&gt;"",_xlfn.XLOOKUP(O33,'3D. Pictures'!B:B,'3D. Pictures'!E:E,"NOT FOUND",0,1),"")</f>
        <v>https://viking-pictures.s3.us-west-1.amazonaws.com/AA1155/A49.+Door+Handle%2C+Exterior+-+REAR+-+LEFT+(1).JPG</v>
      </c>
      <c r="U33" s="192">
        <v>5</v>
      </c>
      <c r="V33" s="201" t="s">
        <v>1213</v>
      </c>
      <c r="W33" s="192" t="s">
        <v>111</v>
      </c>
      <c r="X33" s="205"/>
      <c r="Y33" s="205"/>
      <c r="Z33" s="205"/>
      <c r="AA33" s="201" t="s">
        <v>576</v>
      </c>
      <c r="AB33" s="201" t="s">
        <v>576</v>
      </c>
      <c r="AC33" s="247" t="str">
        <f t="shared" si="6"/>
        <v>on base w/ cable</v>
      </c>
      <c r="AD33" s="201" t="s">
        <v>573</v>
      </c>
      <c r="AE33" s="201"/>
      <c r="AF33" s="201" t="s">
        <v>543</v>
      </c>
      <c r="AG33" s="201" t="s">
        <v>583</v>
      </c>
      <c r="AH33" s="362">
        <v>140</v>
      </c>
      <c r="AI33" s="380">
        <f t="shared" si="8"/>
        <v>130</v>
      </c>
      <c r="AJ33" s="204" t="s">
        <v>408</v>
      </c>
      <c r="AK33" s="204" t="s">
        <v>425</v>
      </c>
      <c r="AL33" s="204" t="s">
        <v>2175</v>
      </c>
      <c r="AM33" s="190"/>
      <c r="AN33" s="191" t="s">
        <v>599</v>
      </c>
      <c r="AO33" s="190" t="s">
        <v>572</v>
      </c>
      <c r="AP33" s="190">
        <v>52061</v>
      </c>
      <c r="AQ33" s="190" t="str">
        <f>CONCATENATE(AN33,AO33,AP33)</f>
        <v>129-52061</v>
      </c>
      <c r="AR33" s="190" t="s">
        <v>570</v>
      </c>
      <c r="AS33" s="190"/>
      <c r="AT33" s="190"/>
      <c r="AU33" s="190"/>
      <c r="AV33" s="190"/>
      <c r="AW33" s="190"/>
      <c r="AX33" s="279" t="str">
        <f t="shared" si="4"/>
        <v/>
      </c>
    </row>
    <row r="34" spans="1:50" ht="15.75" thickBot="1" x14ac:dyDescent="0.3">
      <c r="A34" s="190" t="str">
        <f t="shared" si="0"/>
        <v/>
      </c>
      <c r="B34" s="279" t="str">
        <f t="shared" si="5"/>
        <v>129-52063</v>
      </c>
      <c r="C34" s="279" t="s">
        <v>2088</v>
      </c>
      <c r="D34" s="279"/>
      <c r="E34" s="279">
        <f t="shared" si="1"/>
        <v>2</v>
      </c>
      <c r="F34" s="190" t="s">
        <v>535</v>
      </c>
      <c r="G34" s="198">
        <v>44670</v>
      </c>
      <c r="H34" s="199"/>
      <c r="I34" s="200" t="s">
        <v>7</v>
      </c>
      <c r="J34" s="201" t="s">
        <v>402</v>
      </c>
      <c r="K34" s="202" t="s">
        <v>2755</v>
      </c>
      <c r="L34" s="201" t="s">
        <v>551</v>
      </c>
      <c r="M34" s="192" t="s">
        <v>558</v>
      </c>
      <c r="N34" s="192"/>
      <c r="O34" s="229"/>
      <c r="P34" s="229"/>
      <c r="Q34" s="231" t="str">
        <f t="shared" si="2"/>
        <v>. Door Handle, Exterior - REAR - LEFT</v>
      </c>
      <c r="R34" s="231"/>
      <c r="S34" s="231" t="str">
        <f t="shared" si="7"/>
        <v/>
      </c>
      <c r="T34" s="231" t="str">
        <f>IF(O34&lt;&gt;"",_xlfn.XLOOKUP(O34,'3D. Pictures'!B:B,'3D. Pictures'!E:E,"NOT FOUND",0,1),"")</f>
        <v/>
      </c>
      <c r="U34" s="192"/>
      <c r="V34" s="205" t="s">
        <v>1219</v>
      </c>
      <c r="W34" s="200" t="s">
        <v>111</v>
      </c>
      <c r="X34" s="201"/>
      <c r="Y34" s="201"/>
      <c r="Z34" s="201"/>
      <c r="AA34" s="201" t="s">
        <v>576</v>
      </c>
      <c r="AB34" s="201" t="s">
        <v>576</v>
      </c>
      <c r="AC34" s="247" t="str">
        <f t="shared" si="6"/>
        <v>on base w/ cable</v>
      </c>
      <c r="AD34" s="201" t="s">
        <v>573</v>
      </c>
      <c r="AE34" s="201"/>
      <c r="AF34" s="201" t="s">
        <v>543</v>
      </c>
      <c r="AG34" s="201" t="s">
        <v>581</v>
      </c>
      <c r="AH34" s="362">
        <v>120</v>
      </c>
      <c r="AI34" s="380">
        <f t="shared" si="8"/>
        <v>130</v>
      </c>
      <c r="AJ34" s="204" t="s">
        <v>408</v>
      </c>
      <c r="AK34" s="204" t="s">
        <v>425</v>
      </c>
      <c r="AL34" s="204" t="s">
        <v>2175</v>
      </c>
      <c r="AM34" s="190"/>
      <c r="AN34" s="191" t="s">
        <v>599</v>
      </c>
      <c r="AO34" s="190" t="s">
        <v>572</v>
      </c>
      <c r="AP34" s="190">
        <v>52063</v>
      </c>
      <c r="AQ34" s="190" t="str">
        <f>CONCATENATE(AN34,AO34,AP34)</f>
        <v>129-52063</v>
      </c>
      <c r="AR34" s="190" t="s">
        <v>571</v>
      </c>
      <c r="AS34" s="190"/>
      <c r="AT34" s="190"/>
      <c r="AU34" s="190"/>
      <c r="AV34" s="190"/>
      <c r="AW34" s="190"/>
      <c r="AX34" s="279" t="str">
        <f t="shared" si="4"/>
        <v/>
      </c>
    </row>
    <row r="35" spans="1:50" ht="15.75" thickBot="1" x14ac:dyDescent="0.3">
      <c r="A35" s="190" t="str">
        <f t="shared" si="0"/>
        <v>A28</v>
      </c>
      <c r="B35" s="279" t="str">
        <f t="shared" si="5"/>
        <v>286-999771</v>
      </c>
      <c r="C35" s="279"/>
      <c r="D35" s="279"/>
      <c r="E35" s="279">
        <f t="shared" si="1"/>
        <v>1</v>
      </c>
      <c r="F35" s="190" t="s">
        <v>535</v>
      </c>
      <c r="G35" s="198">
        <v>44670</v>
      </c>
      <c r="H35" s="209"/>
      <c r="I35" s="205"/>
      <c r="J35" s="205" t="s">
        <v>402</v>
      </c>
      <c r="K35" s="206" t="s">
        <v>2755</v>
      </c>
      <c r="L35" s="205" t="s">
        <v>553</v>
      </c>
      <c r="M35" s="192" t="s">
        <v>558</v>
      </c>
      <c r="N35" s="192">
        <v>18</v>
      </c>
      <c r="O35" s="229" t="s">
        <v>930</v>
      </c>
      <c r="P35" s="229" t="s">
        <v>1168</v>
      </c>
      <c r="Q35" s="231" t="str">
        <f t="shared" si="2"/>
        <v>A28. Door Latch, REAR - LEFT Soft Close WITH Actuator SET 2</v>
      </c>
      <c r="R35" s="284" t="str">
        <f>HYPERLINK(VLOOKUP(O35,'3D. Pictures'!$B$3:$E$500,4,FALSE),"PIC")</f>
        <v>PIC</v>
      </c>
      <c r="S35" s="373" t="str">
        <f t="shared" si="7"/>
        <v>E.G.</v>
      </c>
      <c r="T35" s="377" t="str">
        <f>IF(O35&lt;&gt;"",_xlfn.XLOOKUP(O35,'3D. Pictures'!B:B,'3D. Pictures'!E:E,"NOT FOUND",0,1),"")</f>
        <v>https://viking-pictures.s3.us-west-1.amazonaws.com/AA1155/A28.+Door+Latch%2C+REAR+-+LEFT+Soft+Close+WITH+Actuator+SET+2+(1).JPG</v>
      </c>
      <c r="U35" s="192">
        <v>5</v>
      </c>
      <c r="V35" s="205" t="s">
        <v>1175</v>
      </c>
      <c r="W35" s="192" t="s">
        <v>111</v>
      </c>
      <c r="X35" s="205"/>
      <c r="Y35" s="205"/>
      <c r="Z35" s="205"/>
      <c r="AA35" s="205" t="s">
        <v>2480</v>
      </c>
      <c r="AB35" s="205" t="s">
        <v>2480</v>
      </c>
      <c r="AC35" s="358" t="str">
        <f t="shared" si="6"/>
        <v>w/ cable + white actuator motor | toss both if 1 bad</v>
      </c>
      <c r="AD35" s="205" t="s">
        <v>2774</v>
      </c>
      <c r="AE35" s="205" t="s">
        <v>1159</v>
      </c>
      <c r="AF35" s="201" t="s">
        <v>543</v>
      </c>
      <c r="AG35" s="205"/>
      <c r="AH35" s="167">
        <v>245</v>
      </c>
      <c r="AI35" s="380">
        <f t="shared" si="8"/>
        <v>245</v>
      </c>
      <c r="AJ35" s="204" t="s">
        <v>408</v>
      </c>
      <c r="AK35" s="204" t="s">
        <v>425</v>
      </c>
      <c r="AL35" s="204" t="s">
        <v>2175</v>
      </c>
      <c r="AM35" s="190"/>
      <c r="AN35" s="191">
        <v>286</v>
      </c>
      <c r="AO35" s="190" t="s">
        <v>572</v>
      </c>
      <c r="AP35" s="190">
        <v>999771</v>
      </c>
      <c r="AQ35" s="190" t="str">
        <f>CONCATENATE(AN35,AO35,AP35)</f>
        <v>286-999771</v>
      </c>
      <c r="AR35" s="190" t="s">
        <v>595</v>
      </c>
      <c r="AS35" s="190"/>
      <c r="AT35" s="190"/>
      <c r="AU35" s="190"/>
      <c r="AV35" s="190"/>
      <c r="AW35" s="190"/>
      <c r="AX35" s="279" t="str">
        <f t="shared" si="4"/>
        <v/>
      </c>
    </row>
    <row r="36" spans="1:50" x14ac:dyDescent="0.25">
      <c r="A36" s="190" t="str">
        <f t="shared" si="0"/>
        <v/>
      </c>
      <c r="B36" s="279" t="str">
        <f t="shared" si="5"/>
        <v>286-999763</v>
      </c>
      <c r="C36" s="279"/>
      <c r="D36" s="279"/>
      <c r="E36" s="279">
        <f t="shared" si="1"/>
        <v>1</v>
      </c>
      <c r="F36" s="190" t="s">
        <v>535</v>
      </c>
      <c r="G36" s="198">
        <v>44670</v>
      </c>
      <c r="H36" s="209"/>
      <c r="I36" s="205"/>
      <c r="J36" s="205" t="s">
        <v>402</v>
      </c>
      <c r="K36" s="206" t="s">
        <v>2755</v>
      </c>
      <c r="L36" s="205" t="s">
        <v>553</v>
      </c>
      <c r="M36" s="192" t="s">
        <v>558</v>
      </c>
      <c r="N36" s="192"/>
      <c r="O36" s="229"/>
      <c r="P36" s="229"/>
      <c r="Q36" s="231" t="str">
        <f t="shared" si="2"/>
        <v>. Door Latch, REAR - LEFT WITHOUT Soft Close</v>
      </c>
      <c r="R36" s="231"/>
      <c r="S36" s="231" t="str">
        <f t="shared" si="7"/>
        <v/>
      </c>
      <c r="T36" s="231" t="str">
        <f>IF(O36&lt;&gt;"",_xlfn.XLOOKUP(O36,'3D. Pictures'!B:B,'3D. Pictures'!E:E,"NOT FOUND",0,1),"")</f>
        <v/>
      </c>
      <c r="U36" s="192"/>
      <c r="V36" s="205" t="s">
        <v>1176</v>
      </c>
      <c r="W36" s="192" t="s">
        <v>111</v>
      </c>
      <c r="X36" s="205"/>
      <c r="Y36" s="205"/>
      <c r="Z36" s="205"/>
      <c r="AA36" s="205" t="s">
        <v>1173</v>
      </c>
      <c r="AB36" s="205" t="s">
        <v>1173</v>
      </c>
      <c r="AC36" s="358" t="str">
        <f t="shared" si="6"/>
        <v>w/ cable</v>
      </c>
      <c r="AD36" s="205" t="s">
        <v>597</v>
      </c>
      <c r="AE36" s="205"/>
      <c r="AF36" s="201" t="s">
        <v>543</v>
      </c>
      <c r="AG36" s="205"/>
      <c r="AH36" s="167">
        <v>75</v>
      </c>
      <c r="AI36" s="380">
        <f t="shared" si="8"/>
        <v>75</v>
      </c>
      <c r="AJ36" s="204" t="s">
        <v>408</v>
      </c>
      <c r="AK36" s="204" t="s">
        <v>425</v>
      </c>
      <c r="AL36" s="204" t="s">
        <v>2175</v>
      </c>
      <c r="AM36" s="190"/>
      <c r="AN36" s="191">
        <v>286</v>
      </c>
      <c r="AO36" s="190" t="s">
        <v>572</v>
      </c>
      <c r="AP36" s="190">
        <v>999763</v>
      </c>
      <c r="AQ36" s="190" t="str">
        <f>CONCATENATE(AN36,AO36,AP36)</f>
        <v>286-999763</v>
      </c>
      <c r="AR36" s="190" t="s">
        <v>596</v>
      </c>
      <c r="AS36" s="190"/>
      <c r="AT36" s="190"/>
      <c r="AU36" s="190"/>
      <c r="AV36" s="190"/>
      <c r="AW36" s="190"/>
      <c r="AX36" s="279" t="str">
        <f t="shared" si="4"/>
        <v/>
      </c>
    </row>
    <row r="37" spans="1:50" x14ac:dyDescent="0.25">
      <c r="A37" s="190" t="str">
        <f t="shared" si="0"/>
        <v/>
      </c>
      <c r="B37" s="279" t="str">
        <f t="shared" si="5"/>
        <v>263-999496</v>
      </c>
      <c r="C37" s="279"/>
      <c r="D37" s="279"/>
      <c r="E37" s="279">
        <f t="shared" si="1"/>
        <v>1</v>
      </c>
      <c r="F37" s="190" t="s">
        <v>536</v>
      </c>
      <c r="G37" s="198">
        <v>44811</v>
      </c>
      <c r="H37" s="210"/>
      <c r="I37" s="210"/>
      <c r="J37" s="206" t="s">
        <v>402</v>
      </c>
      <c r="K37" s="205" t="s">
        <v>2755</v>
      </c>
      <c r="L37" s="201" t="s">
        <v>490</v>
      </c>
      <c r="M37" s="208" t="s">
        <v>560</v>
      </c>
      <c r="N37" s="208"/>
      <c r="O37" s="232"/>
      <c r="P37" s="232"/>
      <c r="Q37" s="231" t="str">
        <f t="shared" si="2"/>
        <v>. Window Sun Shade, REAR - LEFT</v>
      </c>
      <c r="R37" s="231"/>
      <c r="S37" s="231" t="str">
        <f t="shared" si="7"/>
        <v/>
      </c>
      <c r="T37" s="231" t="str">
        <f>IF(O37&lt;&gt;"",_xlfn.XLOOKUP(O37,'3D. Pictures'!B:B,'3D. Pictures'!E:E,"NOT FOUND",0,1),"")</f>
        <v/>
      </c>
      <c r="U37" s="208"/>
      <c r="V37" s="201"/>
      <c r="W37" s="208"/>
      <c r="X37" s="201"/>
      <c r="Y37" s="201"/>
      <c r="Z37" s="201"/>
      <c r="AA37" s="201" t="s">
        <v>655</v>
      </c>
      <c r="AB37" s="201" t="s">
        <v>655</v>
      </c>
      <c r="AC37" s="247" t="str">
        <f t="shared" si="6"/>
        <v/>
      </c>
      <c r="AD37" s="201"/>
      <c r="AE37" s="201"/>
      <c r="AF37" s="201" t="s">
        <v>543</v>
      </c>
      <c r="AG37" s="201"/>
      <c r="AH37" s="168">
        <v>190</v>
      </c>
      <c r="AI37" s="380">
        <f t="shared" si="8"/>
        <v>190</v>
      </c>
      <c r="AJ37" s="204" t="s">
        <v>408</v>
      </c>
      <c r="AK37" s="204" t="s">
        <v>425</v>
      </c>
      <c r="AL37" s="204" t="s">
        <v>2175</v>
      </c>
      <c r="AM37" s="211"/>
      <c r="AN37" s="191" t="s">
        <v>600</v>
      </c>
      <c r="AO37" s="190" t="s">
        <v>572</v>
      </c>
      <c r="AP37" s="190">
        <v>999496</v>
      </c>
      <c r="AQ37" s="190" t="str">
        <f>CONCATENATE(AN37,AO37,AP37)</f>
        <v>263-999496</v>
      </c>
      <c r="AR37" s="190"/>
      <c r="AS37" s="190"/>
      <c r="AT37" s="190"/>
      <c r="AU37" s="190"/>
      <c r="AV37" s="190"/>
      <c r="AW37" s="190"/>
      <c r="AX37" s="279" t="str">
        <f t="shared" si="4"/>
        <v/>
      </c>
    </row>
    <row r="38" spans="1:50" x14ac:dyDescent="0.25">
      <c r="A38" s="190" t="str">
        <f t="shared" si="0"/>
        <v/>
      </c>
      <c r="B38" s="279" t="str">
        <f t="shared" si="5"/>
        <v/>
      </c>
      <c r="C38" s="279"/>
      <c r="D38" s="279"/>
      <c r="E38" s="279" t="str">
        <f t="shared" si="1"/>
        <v/>
      </c>
      <c r="F38" t="s">
        <v>535</v>
      </c>
      <c r="G38" s="188">
        <v>44670</v>
      </c>
      <c r="H38" s="10"/>
      <c r="I38" s="10"/>
      <c r="J38" s="10" t="s">
        <v>405</v>
      </c>
      <c r="K38" s="10" t="s">
        <v>2755</v>
      </c>
      <c r="L38" s="10" t="s">
        <v>555</v>
      </c>
      <c r="M38" s="16" t="s">
        <v>559</v>
      </c>
      <c r="N38" s="16"/>
      <c r="O38" s="166"/>
      <c r="P38" s="166"/>
      <c r="Q38" s="231" t="str">
        <f t="shared" si="2"/>
        <v>. Door Handle, Interior</v>
      </c>
      <c r="R38" s="231"/>
      <c r="S38" s="231" t="str">
        <f t="shared" si="7"/>
        <v/>
      </c>
      <c r="T38" s="231" t="str">
        <f>IF(O38&lt;&gt;"",_xlfn.XLOOKUP(O38,'3D. Pictures'!B:B,'3D. Pictures'!E:E,"NOT FOUND",0,1),"")</f>
        <v/>
      </c>
      <c r="U38" s="16"/>
      <c r="V38" s="16"/>
      <c r="W38" s="16"/>
      <c r="X38" s="16"/>
      <c r="Y38" s="16"/>
      <c r="Z38" s="16"/>
      <c r="AA38" s="10" t="s">
        <v>555</v>
      </c>
      <c r="AB38" s="10" t="s">
        <v>555</v>
      </c>
      <c r="AC38" s="359" t="str">
        <f t="shared" si="6"/>
        <v>if trim doesn't remove easy put handle w/ trim SET</v>
      </c>
      <c r="AD38" s="10" t="s">
        <v>2806</v>
      </c>
      <c r="AE38" s="10"/>
      <c r="AF38" s="168" t="s">
        <v>543</v>
      </c>
      <c r="AG38" s="16"/>
      <c r="AH38" s="16"/>
      <c r="AI38" s="380" t="str">
        <f t="shared" si="8"/>
        <v/>
      </c>
      <c r="AJ38" s="3" t="s">
        <v>408</v>
      </c>
      <c r="AK38" s="3" t="s">
        <v>425</v>
      </c>
      <c r="AL38" s="204" t="s">
        <v>2175</v>
      </c>
      <c r="AN38"/>
      <c r="AX38" s="279" t="str">
        <f t="shared" si="4"/>
        <v/>
      </c>
    </row>
    <row r="39" spans="1:50" x14ac:dyDescent="0.25">
      <c r="A39" s="190" t="str">
        <f t="shared" si="0"/>
        <v/>
      </c>
      <c r="B39" s="279" t="str">
        <f t="shared" si="5"/>
        <v/>
      </c>
      <c r="C39" s="279"/>
      <c r="D39" s="279"/>
      <c r="E39" s="279" t="str">
        <f t="shared" si="1"/>
        <v/>
      </c>
      <c r="F39" t="s">
        <v>535</v>
      </c>
      <c r="G39" s="188">
        <v>44670</v>
      </c>
      <c r="H39" s="10"/>
      <c r="I39" s="10"/>
      <c r="J39" s="10" t="s">
        <v>405</v>
      </c>
      <c r="K39" s="15" t="s">
        <v>2755</v>
      </c>
      <c r="L39" s="10" t="s">
        <v>40</v>
      </c>
      <c r="M39" s="16" t="s">
        <v>559</v>
      </c>
      <c r="N39" s="16"/>
      <c r="O39" s="166"/>
      <c r="P39" s="166"/>
      <c r="Q39" s="231" t="str">
        <f t="shared" si="2"/>
        <v>. Door Panel</v>
      </c>
      <c r="R39" s="231"/>
      <c r="S39" s="231" t="str">
        <f t="shared" si="7"/>
        <v/>
      </c>
      <c r="T39" s="231" t="str">
        <f>IF(O39&lt;&gt;"",_xlfn.XLOOKUP(O39,'3D. Pictures'!B:B,'3D. Pictures'!E:E,"NOT FOUND",0,1),"")</f>
        <v/>
      </c>
      <c r="U39" s="16"/>
      <c r="V39" s="16"/>
      <c r="W39" s="16"/>
      <c r="X39" s="16"/>
      <c r="Y39" s="16"/>
      <c r="Z39" s="16"/>
      <c r="AA39" s="10" t="s">
        <v>40</v>
      </c>
      <c r="AB39" s="10" t="s">
        <v>40</v>
      </c>
      <c r="AC39" s="359" t="str">
        <f t="shared" si="6"/>
        <v/>
      </c>
      <c r="AD39" s="10"/>
      <c r="AE39" s="10"/>
      <c r="AF39" s="168" t="s">
        <v>543</v>
      </c>
      <c r="AG39" s="10"/>
      <c r="AH39" s="10"/>
      <c r="AI39" s="380" t="str">
        <f t="shared" si="8"/>
        <v/>
      </c>
      <c r="AJ39" s="3" t="s">
        <v>408</v>
      </c>
      <c r="AK39" s="3" t="s">
        <v>425</v>
      </c>
      <c r="AL39" s="204" t="s">
        <v>2175</v>
      </c>
      <c r="AN39"/>
      <c r="AX39" s="279" t="str">
        <f t="shared" si="4"/>
        <v/>
      </c>
    </row>
    <row r="40" spans="1:50" x14ac:dyDescent="0.25">
      <c r="A40" s="190" t="str">
        <f t="shared" si="0"/>
        <v/>
      </c>
      <c r="B40" s="279" t="str">
        <f t="shared" si="5"/>
        <v/>
      </c>
      <c r="C40" s="279"/>
      <c r="D40" s="279"/>
      <c r="E40" s="279" t="str">
        <f t="shared" si="1"/>
        <v/>
      </c>
      <c r="F40" t="s">
        <v>535</v>
      </c>
      <c r="G40" s="188">
        <v>44670</v>
      </c>
      <c r="H40" s="159"/>
      <c r="I40" s="10"/>
      <c r="J40" s="10" t="s">
        <v>405</v>
      </c>
      <c r="K40" s="15" t="s">
        <v>2755</v>
      </c>
      <c r="L40" s="201" t="s">
        <v>1210</v>
      </c>
      <c r="M40" s="16" t="s">
        <v>559</v>
      </c>
      <c r="N40" s="16"/>
      <c r="O40" s="166"/>
      <c r="P40" s="166"/>
      <c r="Q40" s="231" t="str">
        <f t="shared" si="2"/>
        <v>. Switch, Window</v>
      </c>
      <c r="R40" s="231"/>
      <c r="S40" s="231" t="str">
        <f t="shared" si="7"/>
        <v/>
      </c>
      <c r="T40" s="231" t="str">
        <f>IF(O40&lt;&gt;"",_xlfn.XLOOKUP(O40,'3D. Pictures'!B:B,'3D. Pictures'!E:E,"NOT FOUND",0,1),"")</f>
        <v/>
      </c>
      <c r="U40" s="16"/>
      <c r="V40" s="16"/>
      <c r="W40" s="16"/>
      <c r="X40" s="16"/>
      <c r="Y40" s="16"/>
      <c r="Z40" s="16"/>
      <c r="AA40" s="10" t="s">
        <v>56</v>
      </c>
      <c r="AB40" s="10" t="s">
        <v>56</v>
      </c>
      <c r="AC40" s="359" t="str">
        <f t="shared" si="6"/>
        <v/>
      </c>
      <c r="AD40" s="10"/>
      <c r="AE40" s="10"/>
      <c r="AF40" s="168" t="s">
        <v>543</v>
      </c>
      <c r="AG40" s="10"/>
      <c r="AH40" s="10"/>
      <c r="AI40" s="380" t="str">
        <f t="shared" si="8"/>
        <v/>
      </c>
      <c r="AJ40" s="3" t="s">
        <v>408</v>
      </c>
      <c r="AK40" s="3" t="s">
        <v>425</v>
      </c>
      <c r="AL40" s="204" t="s">
        <v>2175</v>
      </c>
      <c r="AN40"/>
      <c r="AX40" s="279" t="str">
        <f t="shared" si="4"/>
        <v/>
      </c>
    </row>
    <row r="41" spans="1:50" ht="15.75" thickBot="1" x14ac:dyDescent="0.3">
      <c r="A41" s="190" t="str">
        <f t="shared" si="0"/>
        <v/>
      </c>
      <c r="B41" s="279" t="str">
        <f t="shared" si="5"/>
        <v/>
      </c>
      <c r="C41" s="279"/>
      <c r="D41" s="279"/>
      <c r="E41" s="279" t="str">
        <f t="shared" si="1"/>
        <v/>
      </c>
      <c r="F41" t="s">
        <v>535</v>
      </c>
      <c r="G41" s="188">
        <v>44670</v>
      </c>
      <c r="H41" s="157"/>
      <c r="I41" s="174"/>
      <c r="J41" s="10" t="s">
        <v>405</v>
      </c>
      <c r="K41" s="15" t="s">
        <v>2755</v>
      </c>
      <c r="L41" s="10" t="s">
        <v>556</v>
      </c>
      <c r="M41" s="164" t="s">
        <v>558</v>
      </c>
      <c r="N41" s="164"/>
      <c r="O41" s="234"/>
      <c r="P41" s="234"/>
      <c r="Q41" s="231" t="str">
        <f t="shared" si="2"/>
        <v>. Window Motor &amp; Regulator</v>
      </c>
      <c r="R41" s="231"/>
      <c r="S41" s="231" t="str">
        <f t="shared" si="7"/>
        <v/>
      </c>
      <c r="T41" s="231" t="str">
        <f>IF(O41&lt;&gt;"",_xlfn.XLOOKUP(O41,'3D. Pictures'!B:B,'3D. Pictures'!E:E,"NOT FOUND",0,1),"")</f>
        <v/>
      </c>
      <c r="U41" s="164"/>
      <c r="V41" s="16"/>
      <c r="W41" s="164"/>
      <c r="X41" s="16"/>
      <c r="Y41" s="16"/>
      <c r="Z41" s="16"/>
      <c r="AA41" s="10" t="s">
        <v>556</v>
      </c>
      <c r="AB41" s="10" t="s">
        <v>556</v>
      </c>
      <c r="AC41" s="359" t="str">
        <f t="shared" si="6"/>
        <v/>
      </c>
      <c r="AD41" s="10"/>
      <c r="AE41" s="10"/>
      <c r="AF41" s="168" t="s">
        <v>543</v>
      </c>
      <c r="AG41" s="10"/>
      <c r="AH41" s="10"/>
      <c r="AI41" s="380" t="str">
        <f t="shared" si="8"/>
        <v/>
      </c>
      <c r="AJ41" s="3" t="s">
        <v>408</v>
      </c>
      <c r="AK41" s="3" t="s">
        <v>425</v>
      </c>
      <c r="AL41" s="204" t="s">
        <v>2175</v>
      </c>
      <c r="AN41"/>
      <c r="AO41" t="s">
        <v>572</v>
      </c>
      <c r="AX41" s="279" t="str">
        <f t="shared" si="4"/>
        <v/>
      </c>
    </row>
    <row r="42" spans="1:50" ht="15.75" thickBot="1" x14ac:dyDescent="0.3">
      <c r="A42" s="190" t="str">
        <f t="shared" si="0"/>
        <v>A118</v>
      </c>
      <c r="B42" s="279" t="str">
        <f t="shared" si="5"/>
        <v>129-52060</v>
      </c>
      <c r="C42" s="279" t="s">
        <v>2089</v>
      </c>
      <c r="D42" s="279"/>
      <c r="E42" s="279">
        <f t="shared" si="1"/>
        <v>2</v>
      </c>
      <c r="F42" s="190" t="s">
        <v>535</v>
      </c>
      <c r="G42" s="198">
        <v>44670</v>
      </c>
      <c r="H42" s="199"/>
      <c r="I42" s="200" t="s">
        <v>7</v>
      </c>
      <c r="J42" s="201" t="s">
        <v>402</v>
      </c>
      <c r="K42" s="202" t="s">
        <v>2756</v>
      </c>
      <c r="L42" s="201" t="s">
        <v>551</v>
      </c>
      <c r="M42" s="200" t="s">
        <v>558</v>
      </c>
      <c r="N42" s="200">
        <v>108</v>
      </c>
      <c r="O42" s="230" t="s">
        <v>1020</v>
      </c>
      <c r="P42" s="230" t="s">
        <v>1307</v>
      </c>
      <c r="Q42" s="231" t="str">
        <f t="shared" si="2"/>
        <v>A118. Door Handle, Exterior - FRONT - RIGHT</v>
      </c>
      <c r="R42" s="284" t="str">
        <f>HYPERLINK(VLOOKUP(O42,'3D. Pictures'!$B$3:$E$500,4,FALSE),"PIC")</f>
        <v>PIC</v>
      </c>
      <c r="S42" s="373" t="str">
        <f t="shared" si="7"/>
        <v>E.G.</v>
      </c>
      <c r="T42" s="377" t="str">
        <f>IF(O42&lt;&gt;"",_xlfn.XLOOKUP(O42,'3D. Pictures'!B:B,'3D. Pictures'!E:E,"NOT FOUND",0,1),"")</f>
        <v>https://viking-pictures.s3.us-west-1.amazonaws.com/AA1155/A118.+Door+Handle%2C+Exterior+-+FRONT+-+RIGHT+(1).JPG</v>
      </c>
      <c r="U42" s="200">
        <v>6</v>
      </c>
      <c r="V42" s="205" t="s">
        <v>1218</v>
      </c>
      <c r="W42" s="200" t="s">
        <v>111</v>
      </c>
      <c r="X42" s="201" t="s">
        <v>2463</v>
      </c>
      <c r="Y42" s="201"/>
      <c r="Z42" s="201"/>
      <c r="AA42" s="201" t="s">
        <v>577</v>
      </c>
      <c r="AB42" s="201" t="s">
        <v>577</v>
      </c>
      <c r="AC42" s="247" t="str">
        <f t="shared" si="6"/>
        <v>on base w/ cable</v>
      </c>
      <c r="AD42" s="201" t="s">
        <v>573</v>
      </c>
      <c r="AE42" s="201"/>
      <c r="AF42" s="201" t="s">
        <v>543</v>
      </c>
      <c r="AG42" s="201" t="s">
        <v>582</v>
      </c>
      <c r="AH42" s="362">
        <v>175</v>
      </c>
      <c r="AI42" s="380">
        <f t="shared" si="8"/>
        <v>157.5</v>
      </c>
      <c r="AJ42" s="204" t="s">
        <v>408</v>
      </c>
      <c r="AK42" s="204" t="s">
        <v>425</v>
      </c>
      <c r="AL42" s="204" t="s">
        <v>2175</v>
      </c>
      <c r="AM42" s="190"/>
      <c r="AN42" s="191" t="s">
        <v>599</v>
      </c>
      <c r="AO42" s="190" t="s">
        <v>572</v>
      </c>
      <c r="AP42" s="190">
        <v>52060</v>
      </c>
      <c r="AQ42" s="190" t="str">
        <f>CONCATENATE(AN42,AO42,AP42)</f>
        <v>129-52060</v>
      </c>
      <c r="AR42" s="190" t="s">
        <v>570</v>
      </c>
      <c r="AS42" s="190"/>
      <c r="AT42" s="190"/>
      <c r="AU42" s="190"/>
      <c r="AV42" s="190"/>
      <c r="AW42" s="190"/>
      <c r="AX42" s="279" t="str">
        <f t="shared" si="4"/>
        <v/>
      </c>
    </row>
    <row r="43" spans="1:50" ht="15.75" thickBot="1" x14ac:dyDescent="0.3">
      <c r="A43" s="190" t="str">
        <f t="shared" si="0"/>
        <v/>
      </c>
      <c r="B43" s="279" t="str">
        <f t="shared" si="5"/>
        <v>129-52062</v>
      </c>
      <c r="C43" s="279" t="s">
        <v>2091</v>
      </c>
      <c r="D43" s="279"/>
      <c r="E43" s="279">
        <f t="shared" si="1"/>
        <v>2</v>
      </c>
      <c r="F43" s="190" t="s">
        <v>535</v>
      </c>
      <c r="G43" s="198">
        <v>44670</v>
      </c>
      <c r="H43" s="199"/>
      <c r="I43" s="200" t="s">
        <v>7</v>
      </c>
      <c r="J43" s="201" t="s">
        <v>402</v>
      </c>
      <c r="K43" s="202" t="s">
        <v>2756</v>
      </c>
      <c r="L43" s="201" t="s">
        <v>551</v>
      </c>
      <c r="M43" s="200" t="s">
        <v>558</v>
      </c>
      <c r="N43" s="200"/>
      <c r="O43" s="230"/>
      <c r="P43" s="230"/>
      <c r="Q43" s="231" t="str">
        <f t="shared" si="2"/>
        <v>. Door Handle, Exterior - FRONT - RIGHT</v>
      </c>
      <c r="R43" s="231"/>
      <c r="S43" s="231" t="str">
        <f t="shared" si="7"/>
        <v/>
      </c>
      <c r="T43" s="231" t="str">
        <f>IF(O43&lt;&gt;"",_xlfn.XLOOKUP(O43,'3D. Pictures'!B:B,'3D. Pictures'!E:E,"NOT FOUND",0,1),"")</f>
        <v/>
      </c>
      <c r="U43" s="200"/>
      <c r="V43" s="205" t="s">
        <v>1217</v>
      </c>
      <c r="W43" s="200" t="s">
        <v>111</v>
      </c>
      <c r="X43" s="201"/>
      <c r="Y43" s="201"/>
      <c r="Z43" s="201"/>
      <c r="AA43" s="201" t="s">
        <v>577</v>
      </c>
      <c r="AB43" s="201" t="s">
        <v>577</v>
      </c>
      <c r="AC43" s="247" t="str">
        <f t="shared" si="6"/>
        <v>on base w/ cable</v>
      </c>
      <c r="AD43" s="201" t="s">
        <v>573</v>
      </c>
      <c r="AE43" s="201"/>
      <c r="AF43" s="201" t="s">
        <v>543</v>
      </c>
      <c r="AG43" s="201" t="s">
        <v>582</v>
      </c>
      <c r="AH43" s="362">
        <v>140</v>
      </c>
      <c r="AI43" s="380">
        <f t="shared" si="8"/>
        <v>157.5</v>
      </c>
      <c r="AJ43" s="204" t="s">
        <v>408</v>
      </c>
      <c r="AK43" s="204" t="s">
        <v>425</v>
      </c>
      <c r="AL43" s="204" t="s">
        <v>2175</v>
      </c>
      <c r="AM43" s="190"/>
      <c r="AN43" s="191" t="s">
        <v>599</v>
      </c>
      <c r="AO43" s="190" t="s">
        <v>572</v>
      </c>
      <c r="AP43" s="190">
        <v>52062</v>
      </c>
      <c r="AQ43" s="190" t="str">
        <f>CONCATENATE(AN43,AO43,AP43)</f>
        <v>129-52062</v>
      </c>
      <c r="AR43" s="190" t="s">
        <v>571</v>
      </c>
      <c r="AS43" s="190"/>
      <c r="AT43" s="190"/>
      <c r="AU43" s="190"/>
      <c r="AV43" s="190"/>
      <c r="AW43" s="190"/>
      <c r="AX43" s="279" t="str">
        <f t="shared" si="4"/>
        <v/>
      </c>
    </row>
    <row r="44" spans="1:50" ht="15.75" thickBot="1" x14ac:dyDescent="0.3">
      <c r="A44" s="190" t="str">
        <f t="shared" si="0"/>
        <v>A29</v>
      </c>
      <c r="B44" s="279" t="str">
        <f t="shared" si="5"/>
        <v>285-999722</v>
      </c>
      <c r="C44" s="279"/>
      <c r="D44" s="279"/>
      <c r="E44" s="279">
        <f t="shared" si="1"/>
        <v>1</v>
      </c>
      <c r="F44" s="190" t="s">
        <v>535</v>
      </c>
      <c r="G44" s="198">
        <v>44670</v>
      </c>
      <c r="H44" s="205"/>
      <c r="I44" s="205"/>
      <c r="J44" s="205" t="s">
        <v>402</v>
      </c>
      <c r="K44" s="205" t="s">
        <v>2756</v>
      </c>
      <c r="L44" s="205" t="s">
        <v>553</v>
      </c>
      <c r="M44" s="192" t="s">
        <v>558</v>
      </c>
      <c r="N44" s="192">
        <v>19</v>
      </c>
      <c r="O44" s="229" t="s">
        <v>931</v>
      </c>
      <c r="P44" s="229" t="s">
        <v>1168</v>
      </c>
      <c r="Q44" s="231" t="str">
        <f t="shared" si="2"/>
        <v>A29. Door Latch, FRONT - RIGHT Soft Close WITH Actuator SET 2</v>
      </c>
      <c r="R44" s="284" t="str">
        <f>HYPERLINK(VLOOKUP(O44,'3D. Pictures'!$B$3:$E$500,4,FALSE),"PIC")</f>
        <v>PIC</v>
      </c>
      <c r="S44" s="373" t="str">
        <f t="shared" si="7"/>
        <v>E.G.</v>
      </c>
      <c r="T44" s="377" t="str">
        <f>IF(O44&lt;&gt;"",_xlfn.XLOOKUP(O44,'3D. Pictures'!B:B,'3D. Pictures'!E:E,"NOT FOUND",0,1),"")</f>
        <v>https://viking-pictures.s3.us-west-1.amazonaws.com/AA1155/A29.+Door+Latch%2C+FRONT+-+RIGHT+Soft+Close+WITH+Actuator+SET+2+(1).JPG</v>
      </c>
      <c r="U44" s="192">
        <v>7</v>
      </c>
      <c r="V44" s="205" t="s">
        <v>1179</v>
      </c>
      <c r="W44" s="192" t="s">
        <v>111</v>
      </c>
      <c r="X44" s="205"/>
      <c r="Y44" s="205"/>
      <c r="Z44" s="205"/>
      <c r="AA44" s="205" t="s">
        <v>2481</v>
      </c>
      <c r="AB44" s="205" t="s">
        <v>2481</v>
      </c>
      <c r="AC44" s="358" t="str">
        <f t="shared" si="6"/>
        <v>w/ cable + white actuator motor | toss both if 1 bad</v>
      </c>
      <c r="AD44" s="205" t="s">
        <v>2774</v>
      </c>
      <c r="AE44" s="205" t="s">
        <v>1159</v>
      </c>
      <c r="AF44" s="201" t="s">
        <v>543</v>
      </c>
      <c r="AG44" s="205"/>
      <c r="AH44" s="167">
        <v>250</v>
      </c>
      <c r="AI44" s="380">
        <f t="shared" si="8"/>
        <v>250</v>
      </c>
      <c r="AJ44" s="204" t="s">
        <v>408</v>
      </c>
      <c r="AK44" s="204" t="s">
        <v>425</v>
      </c>
      <c r="AL44" s="204" t="s">
        <v>2175</v>
      </c>
      <c r="AM44" s="190"/>
      <c r="AN44" s="191">
        <v>285</v>
      </c>
      <c r="AO44" s="190" t="s">
        <v>572</v>
      </c>
      <c r="AP44" s="190">
        <v>999722</v>
      </c>
      <c r="AQ44" s="190" t="str">
        <f>CONCATENATE(AN44,AO44,AP44)</f>
        <v>285-999722</v>
      </c>
      <c r="AR44" s="190" t="s">
        <v>595</v>
      </c>
      <c r="AS44" s="190"/>
      <c r="AT44" s="190"/>
      <c r="AU44" s="190"/>
      <c r="AV44" s="190"/>
      <c r="AW44" s="190"/>
      <c r="AX44" s="279" t="str">
        <f t="shared" si="4"/>
        <v/>
      </c>
    </row>
    <row r="45" spans="1:50" x14ac:dyDescent="0.25">
      <c r="A45" s="190" t="str">
        <f t="shared" si="0"/>
        <v/>
      </c>
      <c r="B45" s="279" t="str">
        <f t="shared" si="5"/>
        <v>285-999716</v>
      </c>
      <c r="C45" s="279"/>
      <c r="D45" s="279"/>
      <c r="E45" s="279">
        <f t="shared" si="1"/>
        <v>1</v>
      </c>
      <c r="F45" s="190" t="s">
        <v>535</v>
      </c>
      <c r="G45" s="198">
        <v>44670</v>
      </c>
      <c r="H45" s="205"/>
      <c r="I45" s="205"/>
      <c r="J45" s="205" t="s">
        <v>402</v>
      </c>
      <c r="K45" s="205" t="s">
        <v>2756</v>
      </c>
      <c r="L45" s="205" t="s">
        <v>553</v>
      </c>
      <c r="M45" s="192" t="s">
        <v>558</v>
      </c>
      <c r="N45" s="192"/>
      <c r="O45" s="229"/>
      <c r="P45" s="229"/>
      <c r="Q45" s="231" t="str">
        <f t="shared" si="2"/>
        <v>. Door Latch, FRONT - RIGHT WITHOUT Soft Close</v>
      </c>
      <c r="R45" s="231"/>
      <c r="S45" s="231" t="str">
        <f t="shared" si="7"/>
        <v/>
      </c>
      <c r="T45" s="231" t="str">
        <f>IF(O45&lt;&gt;"",_xlfn.XLOOKUP(O45,'3D. Pictures'!B:B,'3D. Pictures'!E:E,"NOT FOUND",0,1),"")</f>
        <v/>
      </c>
      <c r="U45" s="192"/>
      <c r="V45" s="205" t="s">
        <v>1180</v>
      </c>
      <c r="W45" s="192" t="s">
        <v>111</v>
      </c>
      <c r="X45" s="205"/>
      <c r="Y45" s="205"/>
      <c r="Z45" s="205"/>
      <c r="AA45" s="205" t="s">
        <v>1172</v>
      </c>
      <c r="AB45" s="205" t="s">
        <v>1172</v>
      </c>
      <c r="AC45" s="358" t="str">
        <f t="shared" si="6"/>
        <v>w/ cable</v>
      </c>
      <c r="AD45" s="205" t="s">
        <v>597</v>
      </c>
      <c r="AE45" s="205"/>
      <c r="AF45" s="201" t="s">
        <v>543</v>
      </c>
      <c r="AG45" s="205"/>
      <c r="AH45" s="167">
        <v>78</v>
      </c>
      <c r="AI45" s="380">
        <f t="shared" si="8"/>
        <v>78</v>
      </c>
      <c r="AJ45" s="204" t="s">
        <v>408</v>
      </c>
      <c r="AK45" s="204" t="s">
        <v>425</v>
      </c>
      <c r="AL45" s="204" t="s">
        <v>2175</v>
      </c>
      <c r="AM45" s="190"/>
      <c r="AN45" s="191">
        <v>285</v>
      </c>
      <c r="AO45" s="190" t="s">
        <v>572</v>
      </c>
      <c r="AP45" s="190">
        <v>999716</v>
      </c>
      <c r="AQ45" s="190" t="str">
        <f>CONCATENATE(AN45,AO45,AP45)</f>
        <v>285-999716</v>
      </c>
      <c r="AR45" s="190" t="s">
        <v>596</v>
      </c>
      <c r="AS45" s="190"/>
      <c r="AT45" s="190"/>
      <c r="AU45" s="190"/>
      <c r="AV45" s="190"/>
      <c r="AW45" s="190"/>
      <c r="AX45" s="279" t="str">
        <f t="shared" si="4"/>
        <v/>
      </c>
    </row>
    <row r="46" spans="1:50" x14ac:dyDescent="0.25">
      <c r="A46" s="190" t="str">
        <f t="shared" si="0"/>
        <v/>
      </c>
      <c r="B46" s="279" t="str">
        <f t="shared" si="5"/>
        <v>128-11744</v>
      </c>
      <c r="C46" s="279"/>
      <c r="D46" s="279"/>
      <c r="E46" s="279">
        <f t="shared" si="1"/>
        <v>1</v>
      </c>
      <c r="F46" s="190" t="s">
        <v>535</v>
      </c>
      <c r="G46" s="198">
        <v>44670</v>
      </c>
      <c r="H46" s="199"/>
      <c r="I46" s="200" t="s">
        <v>7</v>
      </c>
      <c r="J46" s="201" t="s">
        <v>402</v>
      </c>
      <c r="K46" s="202" t="s">
        <v>2756</v>
      </c>
      <c r="L46" s="201" t="s">
        <v>49</v>
      </c>
      <c r="M46" s="200" t="s">
        <v>558</v>
      </c>
      <c r="N46" s="200"/>
      <c r="O46" s="230"/>
      <c r="P46" s="230"/>
      <c r="Q46" s="231" t="str">
        <f t="shared" si="2"/>
        <v>. Mirror, Door - FRONT RIGHT</v>
      </c>
      <c r="R46" s="231"/>
      <c r="S46" s="231" t="str">
        <f t="shared" si="7"/>
        <v/>
      </c>
      <c r="T46" s="231" t="str">
        <f>IF(O46&lt;&gt;"",_xlfn.XLOOKUP(O46,'3D. Pictures'!B:B,'3D. Pictures'!E:E,"NOT FOUND",0,1),"")</f>
        <v/>
      </c>
      <c r="U46" s="200"/>
      <c r="V46" s="201"/>
      <c r="W46" s="200"/>
      <c r="X46" s="201"/>
      <c r="Y46" s="201"/>
      <c r="Z46" s="201"/>
      <c r="AA46" s="201" t="s">
        <v>1349</v>
      </c>
      <c r="AB46" s="201" t="s">
        <v>1349</v>
      </c>
      <c r="AC46" s="247" t="str">
        <f t="shared" si="6"/>
        <v/>
      </c>
      <c r="AD46" s="201"/>
      <c r="AE46" s="201"/>
      <c r="AF46" s="201" t="s">
        <v>543</v>
      </c>
      <c r="AG46" s="201"/>
      <c r="AH46" s="362">
        <v>1000</v>
      </c>
      <c r="AI46" s="380">
        <f t="shared" si="8"/>
        <v>790</v>
      </c>
      <c r="AJ46" s="204" t="s">
        <v>408</v>
      </c>
      <c r="AK46" s="204" t="s">
        <v>425</v>
      </c>
      <c r="AL46" s="204" t="s">
        <v>2175</v>
      </c>
      <c r="AM46" s="190"/>
      <c r="AN46" s="191">
        <v>128</v>
      </c>
      <c r="AO46" s="190" t="s">
        <v>572</v>
      </c>
      <c r="AP46" s="190">
        <v>11744</v>
      </c>
      <c r="AQ46" s="190" t="str">
        <f t="shared" ref="AQ46:AQ55" si="10">CONCATENATE(AN46,AO46,AP46)</f>
        <v>128-11744</v>
      </c>
      <c r="AR46" s="190" t="s">
        <v>584</v>
      </c>
      <c r="AS46" s="190"/>
      <c r="AT46" s="190"/>
      <c r="AU46" s="190"/>
      <c r="AV46" s="190"/>
      <c r="AW46" s="190"/>
      <c r="AX46" s="279" t="str">
        <f t="shared" si="4"/>
        <v/>
      </c>
    </row>
    <row r="47" spans="1:50" x14ac:dyDescent="0.25">
      <c r="A47" s="190" t="str">
        <f t="shared" si="0"/>
        <v/>
      </c>
      <c r="B47" s="279" t="str">
        <f t="shared" si="5"/>
        <v>128-11750</v>
      </c>
      <c r="C47" s="279"/>
      <c r="D47" s="279"/>
      <c r="E47" s="279">
        <f t="shared" si="1"/>
        <v>1</v>
      </c>
      <c r="F47" s="190" t="s">
        <v>535</v>
      </c>
      <c r="G47" s="198">
        <v>44670</v>
      </c>
      <c r="H47" s="199"/>
      <c r="I47" s="200" t="s">
        <v>7</v>
      </c>
      <c r="J47" s="201" t="s">
        <v>402</v>
      </c>
      <c r="K47" s="202" t="s">
        <v>2756</v>
      </c>
      <c r="L47" s="201" t="s">
        <v>49</v>
      </c>
      <c r="M47" s="200" t="s">
        <v>558</v>
      </c>
      <c r="N47" s="200"/>
      <c r="O47" s="230"/>
      <c r="P47" s="230"/>
      <c r="Q47" s="231" t="str">
        <f t="shared" si="2"/>
        <v>. Mirror, Door - FRONT RIGHT</v>
      </c>
      <c r="R47" s="231"/>
      <c r="S47" s="231" t="str">
        <f t="shared" si="7"/>
        <v/>
      </c>
      <c r="T47" s="231" t="str">
        <f>IF(O47&lt;&gt;"",_xlfn.XLOOKUP(O47,'3D. Pictures'!B:B,'3D. Pictures'!E:E,"NOT FOUND",0,1),"")</f>
        <v/>
      </c>
      <c r="U47" s="200"/>
      <c r="V47" s="201"/>
      <c r="W47" s="200"/>
      <c r="X47" s="201"/>
      <c r="Y47" s="201"/>
      <c r="Z47" s="201"/>
      <c r="AA47" s="201" t="s">
        <v>1349</v>
      </c>
      <c r="AB47" s="201" t="s">
        <v>1349</v>
      </c>
      <c r="AC47" s="247" t="str">
        <f t="shared" si="6"/>
        <v/>
      </c>
      <c r="AD47" s="201"/>
      <c r="AE47" s="201"/>
      <c r="AF47" s="201" t="s">
        <v>543</v>
      </c>
      <c r="AG47" s="201"/>
      <c r="AH47" s="362">
        <v>1000</v>
      </c>
      <c r="AI47" s="380">
        <f t="shared" si="8"/>
        <v>790</v>
      </c>
      <c r="AJ47" s="204" t="s">
        <v>408</v>
      </c>
      <c r="AK47" s="204" t="s">
        <v>425</v>
      </c>
      <c r="AL47" s="204" t="s">
        <v>2175</v>
      </c>
      <c r="AM47" s="190"/>
      <c r="AN47" s="191">
        <v>128</v>
      </c>
      <c r="AO47" s="190" t="s">
        <v>572</v>
      </c>
      <c r="AP47" s="190">
        <v>11750</v>
      </c>
      <c r="AQ47" s="190" t="str">
        <f t="shared" si="10"/>
        <v>128-11750</v>
      </c>
      <c r="AR47" s="190" t="s">
        <v>585</v>
      </c>
      <c r="AS47" s="190"/>
      <c r="AT47" s="190"/>
      <c r="AU47" s="190"/>
      <c r="AV47" s="190"/>
      <c r="AW47" s="190"/>
      <c r="AX47" s="279" t="str">
        <f t="shared" si="4"/>
        <v/>
      </c>
    </row>
    <row r="48" spans="1:50" x14ac:dyDescent="0.25">
      <c r="A48" s="190" t="str">
        <f t="shared" si="0"/>
        <v/>
      </c>
      <c r="B48" s="279" t="str">
        <f t="shared" si="5"/>
        <v>128-11752</v>
      </c>
      <c r="C48" s="279"/>
      <c r="D48" s="279"/>
      <c r="E48" s="279">
        <f t="shared" si="1"/>
        <v>1</v>
      </c>
      <c r="F48" s="190" t="s">
        <v>535</v>
      </c>
      <c r="G48" s="198">
        <v>44670</v>
      </c>
      <c r="H48" s="199"/>
      <c r="I48" s="200" t="s">
        <v>7</v>
      </c>
      <c r="J48" s="201" t="s">
        <v>402</v>
      </c>
      <c r="K48" s="202" t="s">
        <v>2756</v>
      </c>
      <c r="L48" s="201" t="s">
        <v>49</v>
      </c>
      <c r="M48" s="200" t="s">
        <v>558</v>
      </c>
      <c r="N48" s="200"/>
      <c r="O48" s="230"/>
      <c r="P48" s="230"/>
      <c r="Q48" s="231" t="str">
        <f t="shared" si="2"/>
        <v>. Mirror, Door - FRONT RIGHT</v>
      </c>
      <c r="R48" s="231"/>
      <c r="S48" s="231" t="str">
        <f t="shared" si="7"/>
        <v/>
      </c>
      <c r="T48" s="231" t="str">
        <f>IF(O48&lt;&gt;"",_xlfn.XLOOKUP(O48,'3D. Pictures'!B:B,'3D. Pictures'!E:E,"NOT FOUND",0,1),"")</f>
        <v/>
      </c>
      <c r="U48" s="200"/>
      <c r="V48" s="201"/>
      <c r="W48" s="200"/>
      <c r="X48" s="201"/>
      <c r="Y48" s="201"/>
      <c r="Z48" s="201"/>
      <c r="AA48" s="201" t="s">
        <v>1349</v>
      </c>
      <c r="AB48" s="201" t="s">
        <v>1349</v>
      </c>
      <c r="AC48" s="247" t="str">
        <f t="shared" si="6"/>
        <v/>
      </c>
      <c r="AD48" s="201"/>
      <c r="AE48" s="201"/>
      <c r="AF48" s="201" t="s">
        <v>543</v>
      </c>
      <c r="AG48" s="201"/>
      <c r="AH48" s="362">
        <v>750</v>
      </c>
      <c r="AI48" s="380">
        <f t="shared" si="8"/>
        <v>790</v>
      </c>
      <c r="AJ48" s="204" t="s">
        <v>408</v>
      </c>
      <c r="AK48" s="204" t="s">
        <v>425</v>
      </c>
      <c r="AL48" s="204" t="s">
        <v>2175</v>
      </c>
      <c r="AM48" s="190"/>
      <c r="AN48" s="191">
        <v>128</v>
      </c>
      <c r="AO48" s="190" t="s">
        <v>572</v>
      </c>
      <c r="AP48" s="190">
        <v>11752</v>
      </c>
      <c r="AQ48" s="190" t="str">
        <f t="shared" si="10"/>
        <v>128-11752</v>
      </c>
      <c r="AR48" s="190" t="s">
        <v>586</v>
      </c>
      <c r="AS48" s="190"/>
      <c r="AT48" s="190"/>
      <c r="AU48" s="190"/>
      <c r="AV48" s="190"/>
      <c r="AW48" s="190"/>
      <c r="AX48" s="279" t="str">
        <f t="shared" si="4"/>
        <v/>
      </c>
    </row>
    <row r="49" spans="1:50" x14ac:dyDescent="0.25">
      <c r="A49" s="190" t="str">
        <f t="shared" si="0"/>
        <v/>
      </c>
      <c r="B49" s="279" t="str">
        <f t="shared" si="5"/>
        <v>128-11754</v>
      </c>
      <c r="C49" s="279"/>
      <c r="D49" s="279"/>
      <c r="E49" s="279">
        <f t="shared" si="1"/>
        <v>1</v>
      </c>
      <c r="F49" s="190" t="s">
        <v>535</v>
      </c>
      <c r="G49" s="198">
        <v>44670</v>
      </c>
      <c r="H49" s="199"/>
      <c r="I49" s="200" t="s">
        <v>7</v>
      </c>
      <c r="J49" s="201" t="s">
        <v>402</v>
      </c>
      <c r="K49" s="202" t="s">
        <v>2756</v>
      </c>
      <c r="L49" s="201" t="s">
        <v>49</v>
      </c>
      <c r="M49" s="200" t="s">
        <v>558</v>
      </c>
      <c r="N49" s="200"/>
      <c r="O49" s="230"/>
      <c r="P49" s="230"/>
      <c r="Q49" s="231" t="str">
        <f t="shared" si="2"/>
        <v>. Mirror, Door - FRONT RIGHT</v>
      </c>
      <c r="R49" s="231"/>
      <c r="S49" s="231" t="str">
        <f t="shared" si="7"/>
        <v/>
      </c>
      <c r="T49" s="231" t="str">
        <f>IF(O49&lt;&gt;"",_xlfn.XLOOKUP(O49,'3D. Pictures'!B:B,'3D. Pictures'!E:E,"NOT FOUND",0,1),"")</f>
        <v/>
      </c>
      <c r="U49" s="200"/>
      <c r="V49" s="201"/>
      <c r="W49" s="200"/>
      <c r="X49" s="201"/>
      <c r="Y49" s="201"/>
      <c r="Z49" s="201"/>
      <c r="AA49" s="201" t="s">
        <v>1349</v>
      </c>
      <c r="AB49" s="201" t="s">
        <v>1349</v>
      </c>
      <c r="AC49" s="247" t="str">
        <f t="shared" si="6"/>
        <v/>
      </c>
      <c r="AD49" s="201"/>
      <c r="AE49" s="201"/>
      <c r="AF49" s="201" t="s">
        <v>543</v>
      </c>
      <c r="AG49" s="201"/>
      <c r="AH49" s="362">
        <v>750</v>
      </c>
      <c r="AI49" s="380">
        <f t="shared" si="8"/>
        <v>790</v>
      </c>
      <c r="AJ49" s="204" t="s">
        <v>408</v>
      </c>
      <c r="AK49" s="204" t="s">
        <v>425</v>
      </c>
      <c r="AL49" s="204" t="s">
        <v>2175</v>
      </c>
      <c r="AM49" s="190"/>
      <c r="AN49" s="191">
        <v>128</v>
      </c>
      <c r="AO49" s="190" t="s">
        <v>572</v>
      </c>
      <c r="AP49" s="190">
        <v>11754</v>
      </c>
      <c r="AQ49" s="190" t="str">
        <f t="shared" si="10"/>
        <v>128-11754</v>
      </c>
      <c r="AR49" s="190" t="s">
        <v>587</v>
      </c>
      <c r="AS49" s="190"/>
      <c r="AT49" s="190"/>
      <c r="AU49" s="190"/>
      <c r="AV49" s="190"/>
      <c r="AW49" s="190"/>
      <c r="AX49" s="279" t="str">
        <f t="shared" si="4"/>
        <v/>
      </c>
    </row>
    <row r="50" spans="1:50" x14ac:dyDescent="0.25">
      <c r="A50" s="190" t="str">
        <f t="shared" si="0"/>
        <v/>
      </c>
      <c r="B50" s="279" t="str">
        <f t="shared" si="5"/>
        <v>128-11756</v>
      </c>
      <c r="C50" s="279"/>
      <c r="D50" s="279"/>
      <c r="E50" s="279">
        <f t="shared" si="1"/>
        <v>1</v>
      </c>
      <c r="F50" s="190" t="s">
        <v>535</v>
      </c>
      <c r="G50" s="198">
        <v>44670</v>
      </c>
      <c r="H50" s="199"/>
      <c r="I50" s="200" t="s">
        <v>7</v>
      </c>
      <c r="J50" s="201" t="s">
        <v>402</v>
      </c>
      <c r="K50" s="202" t="s">
        <v>2756</v>
      </c>
      <c r="L50" s="201" t="s">
        <v>49</v>
      </c>
      <c r="M50" s="200" t="s">
        <v>558</v>
      </c>
      <c r="N50" s="200"/>
      <c r="O50" s="230"/>
      <c r="P50" s="230"/>
      <c r="Q50" s="231" t="str">
        <f t="shared" si="2"/>
        <v>. Mirror, Door - FRONT RIGHT</v>
      </c>
      <c r="R50" s="231"/>
      <c r="S50" s="231" t="str">
        <f t="shared" si="7"/>
        <v/>
      </c>
      <c r="T50" s="231" t="str">
        <f>IF(O50&lt;&gt;"",_xlfn.XLOOKUP(O50,'3D. Pictures'!B:B,'3D. Pictures'!E:E,"NOT FOUND",0,1),"")</f>
        <v/>
      </c>
      <c r="U50" s="200"/>
      <c r="V50" s="201"/>
      <c r="W50" s="200"/>
      <c r="X50" s="201"/>
      <c r="Y50" s="201"/>
      <c r="Z50" s="201"/>
      <c r="AA50" s="201" t="s">
        <v>1349</v>
      </c>
      <c r="AB50" s="201" t="s">
        <v>1349</v>
      </c>
      <c r="AC50" s="247" t="str">
        <f t="shared" si="6"/>
        <v/>
      </c>
      <c r="AD50" s="201"/>
      <c r="AE50" s="201"/>
      <c r="AF50" s="201" t="s">
        <v>543</v>
      </c>
      <c r="AG50" s="201"/>
      <c r="AH50" s="362">
        <v>800</v>
      </c>
      <c r="AI50" s="380">
        <f t="shared" si="8"/>
        <v>790</v>
      </c>
      <c r="AJ50" s="204" t="s">
        <v>408</v>
      </c>
      <c r="AK50" s="204" t="s">
        <v>425</v>
      </c>
      <c r="AL50" s="204" t="s">
        <v>2175</v>
      </c>
      <c r="AM50" s="190"/>
      <c r="AN50" s="191">
        <v>128</v>
      </c>
      <c r="AO50" s="190" t="s">
        <v>572</v>
      </c>
      <c r="AP50" s="190">
        <v>11756</v>
      </c>
      <c r="AQ50" s="190" t="str">
        <f t="shared" si="10"/>
        <v>128-11756</v>
      </c>
      <c r="AR50" s="190" t="s">
        <v>588</v>
      </c>
      <c r="AS50" s="190"/>
      <c r="AT50" s="190"/>
      <c r="AU50" s="190"/>
      <c r="AV50" s="190"/>
      <c r="AW50" s="190"/>
      <c r="AX50" s="279" t="str">
        <f t="shared" si="4"/>
        <v/>
      </c>
    </row>
    <row r="51" spans="1:50" x14ac:dyDescent="0.25">
      <c r="A51" s="190" t="str">
        <f t="shared" si="0"/>
        <v/>
      </c>
      <c r="B51" s="279" t="str">
        <f t="shared" si="5"/>
        <v>128-11758</v>
      </c>
      <c r="C51" s="279"/>
      <c r="D51" s="279"/>
      <c r="E51" s="279">
        <f t="shared" si="1"/>
        <v>1</v>
      </c>
      <c r="F51" s="190" t="s">
        <v>535</v>
      </c>
      <c r="G51" s="198">
        <v>44670</v>
      </c>
      <c r="H51" s="199"/>
      <c r="I51" s="200" t="s">
        <v>7</v>
      </c>
      <c r="J51" s="201" t="s">
        <v>402</v>
      </c>
      <c r="K51" s="202" t="s">
        <v>2756</v>
      </c>
      <c r="L51" s="201" t="s">
        <v>49</v>
      </c>
      <c r="M51" s="200" t="s">
        <v>558</v>
      </c>
      <c r="N51" s="200"/>
      <c r="O51" s="230"/>
      <c r="P51" s="230"/>
      <c r="Q51" s="231" t="str">
        <f t="shared" si="2"/>
        <v>. Mirror, Door - FRONT RIGHT</v>
      </c>
      <c r="R51" s="231"/>
      <c r="S51" s="231" t="str">
        <f t="shared" si="7"/>
        <v/>
      </c>
      <c r="T51" s="231" t="str">
        <f>IF(O51&lt;&gt;"",_xlfn.XLOOKUP(O51,'3D. Pictures'!B:B,'3D. Pictures'!E:E,"NOT FOUND",0,1),"")</f>
        <v/>
      </c>
      <c r="U51" s="200"/>
      <c r="V51" s="201"/>
      <c r="W51" s="200"/>
      <c r="X51" s="201"/>
      <c r="Y51" s="201"/>
      <c r="Z51" s="201"/>
      <c r="AA51" s="201" t="s">
        <v>1349</v>
      </c>
      <c r="AB51" s="201" t="s">
        <v>1349</v>
      </c>
      <c r="AC51" s="247" t="str">
        <f t="shared" si="6"/>
        <v/>
      </c>
      <c r="AD51" s="201"/>
      <c r="AE51" s="201"/>
      <c r="AF51" s="201" t="s">
        <v>543</v>
      </c>
      <c r="AG51" s="201"/>
      <c r="AH51" s="362">
        <v>800</v>
      </c>
      <c r="AI51" s="380">
        <f t="shared" si="8"/>
        <v>790</v>
      </c>
      <c r="AJ51" s="204" t="s">
        <v>408</v>
      </c>
      <c r="AK51" s="204" t="s">
        <v>425</v>
      </c>
      <c r="AL51" s="204" t="s">
        <v>2175</v>
      </c>
      <c r="AM51" s="190"/>
      <c r="AN51" s="191">
        <v>128</v>
      </c>
      <c r="AO51" s="190" t="s">
        <v>572</v>
      </c>
      <c r="AP51" s="190">
        <v>11758</v>
      </c>
      <c r="AQ51" s="190" t="str">
        <f t="shared" si="10"/>
        <v>128-11758</v>
      </c>
      <c r="AR51" s="190" t="s">
        <v>589</v>
      </c>
      <c r="AS51" s="190"/>
      <c r="AT51" s="190"/>
      <c r="AU51" s="190"/>
      <c r="AV51" s="190"/>
      <c r="AW51" s="190"/>
      <c r="AX51" s="279" t="str">
        <f t="shared" si="4"/>
        <v/>
      </c>
    </row>
    <row r="52" spans="1:50" ht="15.75" thickBot="1" x14ac:dyDescent="0.3">
      <c r="A52" s="190" t="str">
        <f t="shared" si="0"/>
        <v/>
      </c>
      <c r="B52" s="279" t="str">
        <f t="shared" si="5"/>
        <v>128-11760</v>
      </c>
      <c r="C52" s="279"/>
      <c r="D52" s="279"/>
      <c r="E52" s="279">
        <f t="shared" si="1"/>
        <v>1</v>
      </c>
      <c r="F52" s="190" t="s">
        <v>535</v>
      </c>
      <c r="G52" s="198">
        <v>44670</v>
      </c>
      <c r="H52" s="199"/>
      <c r="I52" s="200" t="s">
        <v>7</v>
      </c>
      <c r="J52" s="201" t="s">
        <v>402</v>
      </c>
      <c r="K52" s="202" t="s">
        <v>2756</v>
      </c>
      <c r="L52" s="201" t="s">
        <v>49</v>
      </c>
      <c r="M52" s="200" t="s">
        <v>558</v>
      </c>
      <c r="N52" s="200"/>
      <c r="O52" s="230"/>
      <c r="P52" s="230"/>
      <c r="Q52" s="231" t="str">
        <f t="shared" si="2"/>
        <v>. Mirror, Door - FRONT RIGHT</v>
      </c>
      <c r="R52" s="231"/>
      <c r="S52" s="231" t="str">
        <f t="shared" si="7"/>
        <v/>
      </c>
      <c r="T52" s="231" t="str">
        <f>IF(O52&lt;&gt;"",_xlfn.XLOOKUP(O52,'3D. Pictures'!B:B,'3D. Pictures'!E:E,"NOT FOUND",0,1),"")</f>
        <v/>
      </c>
      <c r="U52" s="200"/>
      <c r="V52" s="201"/>
      <c r="W52" s="200"/>
      <c r="X52" s="201"/>
      <c r="Y52" s="201"/>
      <c r="Z52" s="201"/>
      <c r="AA52" s="201" t="s">
        <v>1349</v>
      </c>
      <c r="AB52" s="201" t="s">
        <v>1349</v>
      </c>
      <c r="AC52" s="247" t="str">
        <f t="shared" si="6"/>
        <v/>
      </c>
      <c r="AD52" s="201"/>
      <c r="AE52" s="201"/>
      <c r="AF52" s="201" t="s">
        <v>543</v>
      </c>
      <c r="AG52" s="201"/>
      <c r="AH52" s="362">
        <v>700</v>
      </c>
      <c r="AI52" s="380">
        <f t="shared" si="8"/>
        <v>790</v>
      </c>
      <c r="AJ52" s="204" t="s">
        <v>408</v>
      </c>
      <c r="AK52" s="204" t="s">
        <v>425</v>
      </c>
      <c r="AL52" s="204" t="s">
        <v>2175</v>
      </c>
      <c r="AM52" s="190"/>
      <c r="AN52" s="191">
        <v>128</v>
      </c>
      <c r="AO52" s="190" t="s">
        <v>572</v>
      </c>
      <c r="AP52" s="190">
        <v>11760</v>
      </c>
      <c r="AQ52" s="190" t="str">
        <f t="shared" si="10"/>
        <v>128-11760</v>
      </c>
      <c r="AR52" s="190" t="s">
        <v>590</v>
      </c>
      <c r="AS52" s="190"/>
      <c r="AT52" s="190"/>
      <c r="AU52" s="190"/>
      <c r="AV52" s="190"/>
      <c r="AW52" s="190"/>
      <c r="AX52" s="279" t="str">
        <f t="shared" si="4"/>
        <v/>
      </c>
    </row>
    <row r="53" spans="1:50" ht="15.75" thickBot="1" x14ac:dyDescent="0.3">
      <c r="A53" s="190" t="str">
        <f t="shared" si="0"/>
        <v>A111</v>
      </c>
      <c r="B53" s="279" t="str">
        <f t="shared" si="5"/>
        <v>128-11762</v>
      </c>
      <c r="C53" s="279"/>
      <c r="D53" s="279"/>
      <c r="E53" s="279">
        <f t="shared" si="1"/>
        <v>1</v>
      </c>
      <c r="F53" s="190" t="s">
        <v>535</v>
      </c>
      <c r="G53" s="198">
        <v>44670</v>
      </c>
      <c r="H53" s="199"/>
      <c r="I53" s="200" t="s">
        <v>7</v>
      </c>
      <c r="J53" s="201" t="s">
        <v>402</v>
      </c>
      <c r="K53" s="202" t="s">
        <v>2756</v>
      </c>
      <c r="L53" s="201" t="s">
        <v>49</v>
      </c>
      <c r="M53" s="200" t="s">
        <v>558</v>
      </c>
      <c r="N53" s="200">
        <v>101</v>
      </c>
      <c r="O53" s="230" t="s">
        <v>1013</v>
      </c>
      <c r="P53" s="230" t="s">
        <v>1348</v>
      </c>
      <c r="Q53" s="231" t="str">
        <f t="shared" si="2"/>
        <v>A111. Mirror, Door - FRONT RIGHT</v>
      </c>
      <c r="R53" s="284" t="str">
        <f>HYPERLINK(VLOOKUP(O53,'3D. Pictures'!$B$3:$E$500,4,FALSE),"PIC")</f>
        <v>PIC</v>
      </c>
      <c r="S53" s="373" t="str">
        <f t="shared" si="7"/>
        <v>E.G.</v>
      </c>
      <c r="T53" s="377" t="str">
        <f>IF(O53&lt;&gt;"",_xlfn.XLOOKUP(O53,'3D. Pictures'!B:B,'3D. Pictures'!E:E,"NOT FOUND",0,1),"")</f>
        <v>https://viking-pictures.s3.us-west-1.amazonaws.com/AA1155/A111.+Mirror%2C+Door+-+FRONT+RIGHT+(1).JPG</v>
      </c>
      <c r="U53" s="200">
        <v>7</v>
      </c>
      <c r="V53" s="201" t="s">
        <v>1347</v>
      </c>
      <c r="W53" s="200" t="s">
        <v>111</v>
      </c>
      <c r="X53" s="201" t="s">
        <v>2464</v>
      </c>
      <c r="Y53" s="201"/>
      <c r="Z53" s="201"/>
      <c r="AA53" s="201" t="s">
        <v>1349</v>
      </c>
      <c r="AB53" s="201" t="s">
        <v>1349</v>
      </c>
      <c r="AC53" s="247" t="str">
        <f t="shared" si="6"/>
        <v/>
      </c>
      <c r="AD53" s="201"/>
      <c r="AE53" s="201"/>
      <c r="AF53" s="201" t="s">
        <v>543</v>
      </c>
      <c r="AG53" s="201"/>
      <c r="AH53" s="362">
        <v>700</v>
      </c>
      <c r="AI53" s="380">
        <f t="shared" si="8"/>
        <v>790</v>
      </c>
      <c r="AJ53" s="204" t="s">
        <v>408</v>
      </c>
      <c r="AK53" s="204" t="s">
        <v>425</v>
      </c>
      <c r="AL53" s="204" t="s">
        <v>2175</v>
      </c>
      <c r="AM53" s="190"/>
      <c r="AN53" s="191">
        <v>128</v>
      </c>
      <c r="AO53" s="190" t="s">
        <v>572</v>
      </c>
      <c r="AP53" s="190">
        <v>11762</v>
      </c>
      <c r="AQ53" s="190" t="str">
        <f t="shared" si="10"/>
        <v>128-11762</v>
      </c>
      <c r="AR53" s="190" t="s">
        <v>591</v>
      </c>
      <c r="AS53" s="190"/>
      <c r="AT53" s="190"/>
      <c r="AU53" s="190"/>
      <c r="AV53" s="190"/>
      <c r="AW53" s="190"/>
      <c r="AX53" s="279" t="str">
        <f t="shared" si="4"/>
        <v/>
      </c>
    </row>
    <row r="54" spans="1:50" x14ac:dyDescent="0.25">
      <c r="A54" s="190" t="str">
        <f t="shared" si="0"/>
        <v/>
      </c>
      <c r="B54" s="279" t="str">
        <f t="shared" si="5"/>
        <v>128-11764</v>
      </c>
      <c r="C54" s="279"/>
      <c r="D54" s="279"/>
      <c r="E54" s="279">
        <f t="shared" si="1"/>
        <v>1</v>
      </c>
      <c r="F54" s="190" t="s">
        <v>535</v>
      </c>
      <c r="G54" s="198">
        <v>44670</v>
      </c>
      <c r="H54" s="199"/>
      <c r="I54" s="200" t="s">
        <v>7</v>
      </c>
      <c r="J54" s="201" t="s">
        <v>402</v>
      </c>
      <c r="K54" s="202" t="s">
        <v>2756</v>
      </c>
      <c r="L54" s="201" t="s">
        <v>49</v>
      </c>
      <c r="M54" s="200" t="s">
        <v>558</v>
      </c>
      <c r="N54" s="200"/>
      <c r="O54" s="230"/>
      <c r="P54" s="230"/>
      <c r="Q54" s="231" t="str">
        <f t="shared" si="2"/>
        <v>. Mirror, Door - FRONT RIGHT</v>
      </c>
      <c r="R54" s="231"/>
      <c r="S54" s="231" t="str">
        <f t="shared" si="7"/>
        <v/>
      </c>
      <c r="T54" s="231" t="str">
        <f>IF(O54&lt;&gt;"",_xlfn.XLOOKUP(O54,'3D. Pictures'!B:B,'3D. Pictures'!E:E,"NOT FOUND",0,1),"")</f>
        <v/>
      </c>
      <c r="U54" s="200"/>
      <c r="V54" s="201"/>
      <c r="W54" s="200"/>
      <c r="X54" s="201"/>
      <c r="Y54" s="201"/>
      <c r="Z54" s="201"/>
      <c r="AA54" s="201" t="s">
        <v>1349</v>
      </c>
      <c r="AB54" s="201" t="s">
        <v>1349</v>
      </c>
      <c r="AC54" s="247" t="str">
        <f t="shared" si="6"/>
        <v/>
      </c>
      <c r="AD54" s="201"/>
      <c r="AE54" s="201"/>
      <c r="AF54" s="201" t="s">
        <v>543</v>
      </c>
      <c r="AG54" s="201"/>
      <c r="AH54" s="362">
        <v>700</v>
      </c>
      <c r="AI54" s="380">
        <f t="shared" si="8"/>
        <v>790</v>
      </c>
      <c r="AJ54" s="204" t="s">
        <v>408</v>
      </c>
      <c r="AK54" s="204" t="s">
        <v>425</v>
      </c>
      <c r="AL54" s="204" t="s">
        <v>2175</v>
      </c>
      <c r="AM54" s="190"/>
      <c r="AN54" s="191">
        <v>128</v>
      </c>
      <c r="AO54" s="190" t="s">
        <v>572</v>
      </c>
      <c r="AP54" s="190">
        <v>11764</v>
      </c>
      <c r="AQ54" s="190" t="str">
        <f t="shared" si="10"/>
        <v>128-11764</v>
      </c>
      <c r="AR54" s="190" t="s">
        <v>593</v>
      </c>
      <c r="AS54" s="190"/>
      <c r="AT54" s="190"/>
      <c r="AU54" s="190"/>
      <c r="AV54" s="190"/>
      <c r="AW54" s="190"/>
      <c r="AX54" s="279" t="str">
        <f t="shared" si="4"/>
        <v/>
      </c>
    </row>
    <row r="55" spans="1:50" x14ac:dyDescent="0.25">
      <c r="A55" s="190" t="str">
        <f t="shared" si="0"/>
        <v/>
      </c>
      <c r="B55" s="279" t="str">
        <f t="shared" si="5"/>
        <v>128-11766</v>
      </c>
      <c r="C55" s="279"/>
      <c r="D55" s="279"/>
      <c r="E55" s="279">
        <f t="shared" si="1"/>
        <v>1</v>
      </c>
      <c r="F55" s="190" t="s">
        <v>535</v>
      </c>
      <c r="G55" s="198">
        <v>44670</v>
      </c>
      <c r="H55" s="199"/>
      <c r="I55" s="200" t="s">
        <v>7</v>
      </c>
      <c r="J55" s="201" t="s">
        <v>402</v>
      </c>
      <c r="K55" s="202" t="s">
        <v>2756</v>
      </c>
      <c r="L55" s="201" t="s">
        <v>49</v>
      </c>
      <c r="M55" s="200" t="s">
        <v>558</v>
      </c>
      <c r="N55" s="200"/>
      <c r="O55" s="230"/>
      <c r="P55" s="230"/>
      <c r="Q55" s="231" t="str">
        <f t="shared" si="2"/>
        <v>. Mirror, Door - FRONT RIGHT</v>
      </c>
      <c r="R55" s="231"/>
      <c r="S55" s="231" t="str">
        <f t="shared" si="7"/>
        <v/>
      </c>
      <c r="T55" s="231" t="str">
        <f>IF(O55&lt;&gt;"",_xlfn.XLOOKUP(O55,'3D. Pictures'!B:B,'3D. Pictures'!E:E,"NOT FOUND",0,1),"")</f>
        <v/>
      </c>
      <c r="U55" s="200"/>
      <c r="V55" s="201"/>
      <c r="W55" s="200"/>
      <c r="X55" s="201"/>
      <c r="Y55" s="201"/>
      <c r="Z55" s="201"/>
      <c r="AA55" s="201" t="s">
        <v>1349</v>
      </c>
      <c r="AB55" s="201" t="s">
        <v>1349</v>
      </c>
      <c r="AC55" s="247" t="str">
        <f t="shared" si="6"/>
        <v/>
      </c>
      <c r="AD55" s="201"/>
      <c r="AE55" s="201"/>
      <c r="AF55" s="201" t="s">
        <v>543</v>
      </c>
      <c r="AG55" s="201"/>
      <c r="AH55" s="362">
        <v>700</v>
      </c>
      <c r="AI55" s="380">
        <f t="shared" si="8"/>
        <v>790</v>
      </c>
      <c r="AJ55" s="204" t="s">
        <v>408</v>
      </c>
      <c r="AK55" s="204" t="s">
        <v>425</v>
      </c>
      <c r="AL55" s="204" t="s">
        <v>2175</v>
      </c>
      <c r="AM55" s="190"/>
      <c r="AN55" s="191">
        <v>128</v>
      </c>
      <c r="AO55" s="190" t="s">
        <v>572</v>
      </c>
      <c r="AP55" s="190">
        <v>11766</v>
      </c>
      <c r="AQ55" s="190" t="str">
        <f t="shared" si="10"/>
        <v>128-11766</v>
      </c>
      <c r="AR55" s="190" t="s">
        <v>592</v>
      </c>
      <c r="AS55" s="190"/>
      <c r="AT55" s="190"/>
      <c r="AU55" s="190"/>
      <c r="AV55" s="190"/>
      <c r="AW55" s="190"/>
      <c r="AX55" s="279" t="str">
        <f t="shared" si="4"/>
        <v/>
      </c>
    </row>
    <row r="56" spans="1:50" x14ac:dyDescent="0.25">
      <c r="A56" s="190" t="str">
        <f t="shared" si="0"/>
        <v/>
      </c>
      <c r="B56" s="279" t="str">
        <f t="shared" si="5"/>
        <v/>
      </c>
      <c r="C56" s="279"/>
      <c r="D56" s="279"/>
      <c r="E56" s="279" t="str">
        <f t="shared" si="1"/>
        <v/>
      </c>
      <c r="F56" t="s">
        <v>535</v>
      </c>
      <c r="G56" s="188">
        <v>44670</v>
      </c>
      <c r="H56" s="10"/>
      <c r="I56" s="10"/>
      <c r="J56" s="10" t="s">
        <v>405</v>
      </c>
      <c r="K56" s="10" t="s">
        <v>2756</v>
      </c>
      <c r="L56" s="10" t="s">
        <v>555</v>
      </c>
      <c r="M56" s="16" t="s">
        <v>559</v>
      </c>
      <c r="N56" s="16"/>
      <c r="O56" s="166"/>
      <c r="P56" s="166"/>
      <c r="Q56" s="231" t="str">
        <f t="shared" si="2"/>
        <v>. Door Handle, Interior</v>
      </c>
      <c r="R56" s="231"/>
      <c r="S56" s="231" t="str">
        <f t="shared" si="7"/>
        <v/>
      </c>
      <c r="T56" s="231" t="str">
        <f>IF(O56&lt;&gt;"",_xlfn.XLOOKUP(O56,'3D. Pictures'!B:B,'3D. Pictures'!E:E,"NOT FOUND",0,1),"")</f>
        <v/>
      </c>
      <c r="U56" s="16"/>
      <c r="V56" s="16"/>
      <c r="W56" s="16"/>
      <c r="X56" s="16"/>
      <c r="Y56" s="16"/>
      <c r="Z56" s="16"/>
      <c r="AA56" s="10" t="s">
        <v>555</v>
      </c>
      <c r="AB56" s="10" t="s">
        <v>555</v>
      </c>
      <c r="AC56" s="359" t="str">
        <f t="shared" si="6"/>
        <v>if trim doesn't remove easy put handle w/ trim SET</v>
      </c>
      <c r="AD56" s="10" t="s">
        <v>2806</v>
      </c>
      <c r="AE56" s="10"/>
      <c r="AF56" s="168" t="s">
        <v>543</v>
      </c>
      <c r="AG56" s="10"/>
      <c r="AH56" s="10"/>
      <c r="AI56" s="380" t="str">
        <f t="shared" si="8"/>
        <v/>
      </c>
      <c r="AJ56" s="3" t="s">
        <v>408</v>
      </c>
      <c r="AK56" s="3" t="s">
        <v>425</v>
      </c>
      <c r="AL56" s="204" t="s">
        <v>2175</v>
      </c>
      <c r="AN56"/>
      <c r="AX56" s="279" t="str">
        <f t="shared" si="4"/>
        <v/>
      </c>
    </row>
    <row r="57" spans="1:50" x14ac:dyDescent="0.25">
      <c r="A57" s="190" t="str">
        <f t="shared" si="0"/>
        <v/>
      </c>
      <c r="B57" s="279" t="str">
        <f t="shared" si="5"/>
        <v/>
      </c>
      <c r="C57" s="279"/>
      <c r="D57" s="279"/>
      <c r="E57" s="279" t="str">
        <f t="shared" si="1"/>
        <v/>
      </c>
      <c r="F57" t="s">
        <v>535</v>
      </c>
      <c r="G57" s="188">
        <v>44670</v>
      </c>
      <c r="H57" s="10"/>
      <c r="I57" s="10"/>
      <c r="J57" s="10" t="s">
        <v>405</v>
      </c>
      <c r="K57" s="10" t="s">
        <v>2756</v>
      </c>
      <c r="L57" s="10" t="s">
        <v>40</v>
      </c>
      <c r="M57" s="16" t="s">
        <v>559</v>
      </c>
      <c r="N57" s="16"/>
      <c r="O57" s="166"/>
      <c r="P57" s="166"/>
      <c r="Q57" s="231" t="str">
        <f t="shared" si="2"/>
        <v>. Door Panel</v>
      </c>
      <c r="R57" s="231"/>
      <c r="S57" s="231" t="str">
        <f t="shared" si="7"/>
        <v/>
      </c>
      <c r="T57" s="231" t="str">
        <f>IF(O57&lt;&gt;"",_xlfn.XLOOKUP(O57,'3D. Pictures'!B:B,'3D. Pictures'!E:E,"NOT FOUND",0,1),"")</f>
        <v/>
      </c>
      <c r="U57" s="16"/>
      <c r="V57" s="16"/>
      <c r="W57" s="16"/>
      <c r="X57" s="16"/>
      <c r="Y57" s="16"/>
      <c r="Z57" s="16"/>
      <c r="AA57" s="10" t="s">
        <v>40</v>
      </c>
      <c r="AB57" s="10" t="s">
        <v>40</v>
      </c>
      <c r="AC57" s="359" t="str">
        <f t="shared" si="6"/>
        <v/>
      </c>
      <c r="AD57" s="10"/>
      <c r="AE57" s="10"/>
      <c r="AF57" s="168" t="s">
        <v>543</v>
      </c>
      <c r="AG57" s="10"/>
      <c r="AH57" s="10"/>
      <c r="AI57" s="380" t="str">
        <f t="shared" si="8"/>
        <v/>
      </c>
      <c r="AJ57" s="3" t="s">
        <v>408</v>
      </c>
      <c r="AK57" s="3" t="s">
        <v>425</v>
      </c>
      <c r="AL57" s="204" t="s">
        <v>2175</v>
      </c>
      <c r="AN57"/>
      <c r="AX57" s="279" t="str">
        <f t="shared" si="4"/>
        <v/>
      </c>
    </row>
    <row r="58" spans="1:50" x14ac:dyDescent="0.25">
      <c r="A58" s="190" t="str">
        <f t="shared" si="0"/>
        <v/>
      </c>
      <c r="B58" s="279" t="str">
        <f t="shared" si="5"/>
        <v/>
      </c>
      <c r="C58" s="279"/>
      <c r="D58" s="279"/>
      <c r="E58" s="279" t="str">
        <f t="shared" si="1"/>
        <v/>
      </c>
      <c r="F58" t="s">
        <v>535</v>
      </c>
      <c r="G58" s="188">
        <v>44670</v>
      </c>
      <c r="H58" s="159"/>
      <c r="I58" s="10"/>
      <c r="J58" s="10" t="s">
        <v>405</v>
      </c>
      <c r="K58" s="15" t="s">
        <v>2756</v>
      </c>
      <c r="L58" s="201" t="s">
        <v>1210</v>
      </c>
      <c r="M58" s="16" t="s">
        <v>559</v>
      </c>
      <c r="N58" s="16"/>
      <c r="O58" s="166"/>
      <c r="P58" s="166"/>
      <c r="Q58" s="231" t="str">
        <f t="shared" si="2"/>
        <v>. Switch, Window</v>
      </c>
      <c r="R58" s="231"/>
      <c r="S58" s="231" t="str">
        <f t="shared" si="7"/>
        <v/>
      </c>
      <c r="T58" s="231" t="str">
        <f>IF(O58&lt;&gt;"",_xlfn.XLOOKUP(O58,'3D. Pictures'!B:B,'3D. Pictures'!E:E,"NOT FOUND",0,1),"")</f>
        <v/>
      </c>
      <c r="U58" s="16"/>
      <c r="V58" s="16"/>
      <c r="W58" s="16"/>
      <c r="X58" s="16"/>
      <c r="Y58" s="16"/>
      <c r="Z58" s="16"/>
      <c r="AA58" s="10" t="s">
        <v>56</v>
      </c>
      <c r="AB58" s="10" t="s">
        <v>56</v>
      </c>
      <c r="AC58" s="359" t="str">
        <f t="shared" si="6"/>
        <v/>
      </c>
      <c r="AD58" s="10"/>
      <c r="AE58" s="10"/>
      <c r="AF58" s="168" t="s">
        <v>543</v>
      </c>
      <c r="AG58" s="10"/>
      <c r="AH58" s="10"/>
      <c r="AI58" s="380" t="str">
        <f t="shared" si="8"/>
        <v/>
      </c>
      <c r="AJ58" s="3" t="s">
        <v>408</v>
      </c>
      <c r="AK58" s="3" t="s">
        <v>425</v>
      </c>
      <c r="AL58" s="204" t="s">
        <v>2175</v>
      </c>
      <c r="AN58"/>
      <c r="AX58" s="279" t="str">
        <f t="shared" si="4"/>
        <v/>
      </c>
    </row>
    <row r="59" spans="1:50" ht="15.75" thickBot="1" x14ac:dyDescent="0.3">
      <c r="A59" s="190" t="str">
        <f t="shared" si="0"/>
        <v/>
      </c>
      <c r="B59" s="279" t="str">
        <f t="shared" si="5"/>
        <v/>
      </c>
      <c r="C59" s="279"/>
      <c r="D59" s="279"/>
      <c r="E59" s="279" t="str">
        <f t="shared" si="1"/>
        <v/>
      </c>
      <c r="F59" t="s">
        <v>535</v>
      </c>
      <c r="G59" s="188">
        <v>44670</v>
      </c>
      <c r="H59" s="157"/>
      <c r="I59" s="174"/>
      <c r="J59" s="10" t="s">
        <v>405</v>
      </c>
      <c r="K59" s="15" t="s">
        <v>2756</v>
      </c>
      <c r="L59" s="10" t="s">
        <v>556</v>
      </c>
      <c r="M59" s="164" t="s">
        <v>558</v>
      </c>
      <c r="N59" s="164"/>
      <c r="O59" s="234"/>
      <c r="P59" s="234"/>
      <c r="Q59" s="231" t="str">
        <f t="shared" si="2"/>
        <v>. Window Motor &amp; Regulator</v>
      </c>
      <c r="R59" s="231"/>
      <c r="S59" s="231" t="str">
        <f t="shared" si="7"/>
        <v/>
      </c>
      <c r="T59" s="231" t="str">
        <f>IF(O59&lt;&gt;"",_xlfn.XLOOKUP(O59,'3D. Pictures'!B:B,'3D. Pictures'!E:E,"NOT FOUND",0,1),"")</f>
        <v/>
      </c>
      <c r="U59" s="164"/>
      <c r="V59" s="16"/>
      <c r="W59" s="164"/>
      <c r="X59" s="16"/>
      <c r="Y59" s="16"/>
      <c r="Z59" s="16"/>
      <c r="AA59" s="10" t="s">
        <v>556</v>
      </c>
      <c r="AB59" s="10" t="s">
        <v>556</v>
      </c>
      <c r="AC59" s="359" t="str">
        <f t="shared" si="6"/>
        <v/>
      </c>
      <c r="AD59" s="10"/>
      <c r="AE59" s="10"/>
      <c r="AF59" s="168" t="s">
        <v>543</v>
      </c>
      <c r="AG59" s="10"/>
      <c r="AH59" s="10"/>
      <c r="AI59" s="380" t="str">
        <f t="shared" si="8"/>
        <v/>
      </c>
      <c r="AJ59" s="3" t="s">
        <v>408</v>
      </c>
      <c r="AK59" s="3" t="s">
        <v>425</v>
      </c>
      <c r="AL59" s="204" t="s">
        <v>2175</v>
      </c>
      <c r="AN59"/>
      <c r="AO59" t="s">
        <v>572</v>
      </c>
      <c r="AX59" s="279" t="str">
        <f t="shared" si="4"/>
        <v/>
      </c>
    </row>
    <row r="60" spans="1:50" ht="15.75" thickBot="1" x14ac:dyDescent="0.3">
      <c r="A60" s="190" t="str">
        <f t="shared" si="0"/>
        <v>A52</v>
      </c>
      <c r="B60" s="279" t="str">
        <f t="shared" si="5"/>
        <v>129-52060</v>
      </c>
      <c r="C60" s="279" t="s">
        <v>2090</v>
      </c>
      <c r="D60" s="279"/>
      <c r="E60" s="279">
        <f t="shared" si="1"/>
        <v>2</v>
      </c>
      <c r="F60" s="190" t="s">
        <v>535</v>
      </c>
      <c r="G60" s="198">
        <v>44670</v>
      </c>
      <c r="H60" s="199"/>
      <c r="I60" s="200" t="s">
        <v>7</v>
      </c>
      <c r="J60" s="201" t="s">
        <v>402</v>
      </c>
      <c r="K60" s="201" t="s">
        <v>2757</v>
      </c>
      <c r="L60" s="201" t="s">
        <v>551</v>
      </c>
      <c r="M60" s="192" t="s">
        <v>558</v>
      </c>
      <c r="N60" s="192">
        <v>42</v>
      </c>
      <c r="O60" s="229" t="s">
        <v>954</v>
      </c>
      <c r="P60" s="229" t="s">
        <v>1204</v>
      </c>
      <c r="Q60" s="231" t="str">
        <f t="shared" si="2"/>
        <v>A52. Door Handle, Exterior - REAR - RIGHT</v>
      </c>
      <c r="R60" s="284" t="str">
        <f>HYPERLINK(VLOOKUP(O60,'3D. Pictures'!$B$3:$E$500,4,FALSE),"PIC")</f>
        <v>PIC</v>
      </c>
      <c r="S60" s="373" t="str">
        <f t="shared" si="7"/>
        <v>E.G.</v>
      </c>
      <c r="T60" s="377" t="str">
        <f>IF(O60&lt;&gt;"",_xlfn.XLOOKUP(O60,'3D. Pictures'!B:B,'3D. Pictures'!E:E,"NOT FOUND",0,1),"")</f>
        <v>https://viking-pictures.s3.us-west-1.amazonaws.com/AA1155/A52.+Door+Handle%2C+Exterior+-+REAR+-+RIGHT+(1).JPG</v>
      </c>
      <c r="U60" s="192">
        <v>5</v>
      </c>
      <c r="V60" s="205" t="s">
        <v>1218</v>
      </c>
      <c r="W60" s="192" t="s">
        <v>111</v>
      </c>
      <c r="X60" s="205"/>
      <c r="Y60" s="205"/>
      <c r="Z60" s="205"/>
      <c r="AA60" s="201" t="s">
        <v>580</v>
      </c>
      <c r="AB60" s="201" t="s">
        <v>580</v>
      </c>
      <c r="AC60" s="247" t="str">
        <f t="shared" si="6"/>
        <v>on base w/ cable</v>
      </c>
      <c r="AD60" s="201" t="s">
        <v>573</v>
      </c>
      <c r="AE60" s="201"/>
      <c r="AF60" s="201" t="s">
        <v>543</v>
      </c>
      <c r="AG60" s="201" t="s">
        <v>582</v>
      </c>
      <c r="AH60" s="362">
        <v>175</v>
      </c>
      <c r="AI60" s="380">
        <f t="shared" si="8"/>
        <v>157.5</v>
      </c>
      <c r="AJ60" s="204" t="s">
        <v>408</v>
      </c>
      <c r="AK60" s="204" t="s">
        <v>425</v>
      </c>
      <c r="AL60" s="204" t="s">
        <v>2175</v>
      </c>
      <c r="AM60" s="190"/>
      <c r="AN60" s="191" t="s">
        <v>599</v>
      </c>
      <c r="AO60" s="190" t="s">
        <v>572</v>
      </c>
      <c r="AP60" s="190">
        <v>52060</v>
      </c>
      <c r="AQ60" s="190" t="str">
        <f>CONCATENATE(AN60,AO60,AP60)</f>
        <v>129-52060</v>
      </c>
      <c r="AR60" s="190" t="s">
        <v>570</v>
      </c>
      <c r="AS60" s="190"/>
      <c r="AT60" s="190"/>
      <c r="AU60" s="190"/>
      <c r="AV60" s="190"/>
      <c r="AW60" s="190"/>
      <c r="AX60" s="279" t="str">
        <f t="shared" si="4"/>
        <v/>
      </c>
    </row>
    <row r="61" spans="1:50" ht="15.75" thickBot="1" x14ac:dyDescent="0.3">
      <c r="A61" s="190" t="str">
        <f t="shared" si="0"/>
        <v/>
      </c>
      <c r="B61" s="279" t="str">
        <f t="shared" si="5"/>
        <v>129-52062</v>
      </c>
      <c r="C61" s="279" t="s">
        <v>2092</v>
      </c>
      <c r="D61" s="279"/>
      <c r="E61" s="279">
        <f t="shared" si="1"/>
        <v>2</v>
      </c>
      <c r="F61" s="190" t="s">
        <v>535</v>
      </c>
      <c r="G61" s="198">
        <v>44670</v>
      </c>
      <c r="H61" s="199"/>
      <c r="I61" s="200" t="s">
        <v>7</v>
      </c>
      <c r="J61" s="201" t="s">
        <v>402</v>
      </c>
      <c r="K61" s="201" t="s">
        <v>2757</v>
      </c>
      <c r="L61" s="201" t="s">
        <v>551</v>
      </c>
      <c r="M61" s="192" t="s">
        <v>558</v>
      </c>
      <c r="N61" s="192"/>
      <c r="O61" s="229"/>
      <c r="P61" s="229"/>
      <c r="Q61" s="231" t="str">
        <f t="shared" si="2"/>
        <v>. Door Handle, Exterior - REAR - RIGHT</v>
      </c>
      <c r="R61" s="231"/>
      <c r="S61" s="231" t="str">
        <f t="shared" si="7"/>
        <v/>
      </c>
      <c r="T61" s="231" t="str">
        <f>IF(O61&lt;&gt;"",_xlfn.XLOOKUP(O61,'3D. Pictures'!B:B,'3D. Pictures'!E:E,"NOT FOUND",0,1),"")</f>
        <v/>
      </c>
      <c r="U61" s="192"/>
      <c r="V61" s="205" t="s">
        <v>1217</v>
      </c>
      <c r="W61" s="192" t="s">
        <v>111</v>
      </c>
      <c r="X61" s="205"/>
      <c r="Y61" s="205"/>
      <c r="Z61" s="205"/>
      <c r="AA61" s="201" t="s">
        <v>580</v>
      </c>
      <c r="AB61" s="201" t="s">
        <v>580</v>
      </c>
      <c r="AC61" s="247" t="str">
        <f t="shared" si="6"/>
        <v>on base w/ cable</v>
      </c>
      <c r="AD61" s="201" t="s">
        <v>573</v>
      </c>
      <c r="AE61" s="201"/>
      <c r="AF61" s="201" t="s">
        <v>543</v>
      </c>
      <c r="AG61" s="201" t="s">
        <v>582</v>
      </c>
      <c r="AH61" s="362">
        <v>140</v>
      </c>
      <c r="AI61" s="380">
        <f t="shared" si="8"/>
        <v>157.5</v>
      </c>
      <c r="AJ61" s="204" t="s">
        <v>408</v>
      </c>
      <c r="AK61" s="204" t="s">
        <v>425</v>
      </c>
      <c r="AL61" s="204" t="s">
        <v>2175</v>
      </c>
      <c r="AM61" s="190"/>
      <c r="AN61" s="191" t="s">
        <v>599</v>
      </c>
      <c r="AO61" s="190" t="s">
        <v>572</v>
      </c>
      <c r="AP61" s="190">
        <v>52062</v>
      </c>
      <c r="AQ61" s="190" t="str">
        <f>CONCATENATE(AN61,AO61,AP61)</f>
        <v>129-52062</v>
      </c>
      <c r="AR61" s="190" t="s">
        <v>571</v>
      </c>
      <c r="AS61" s="190"/>
      <c r="AT61" s="190"/>
      <c r="AU61" s="190"/>
      <c r="AV61" s="190"/>
      <c r="AW61" s="190"/>
      <c r="AX61" s="279" t="str">
        <f t="shared" si="4"/>
        <v/>
      </c>
    </row>
    <row r="62" spans="1:50" ht="15.75" thickBot="1" x14ac:dyDescent="0.3">
      <c r="A62" s="190" t="str">
        <f t="shared" si="0"/>
        <v>A27</v>
      </c>
      <c r="B62" s="279" t="str">
        <f t="shared" si="5"/>
        <v>286-999770</v>
      </c>
      <c r="C62" s="279"/>
      <c r="D62" s="279"/>
      <c r="E62" s="279">
        <f t="shared" si="1"/>
        <v>1</v>
      </c>
      <c r="F62" s="190" t="s">
        <v>535</v>
      </c>
      <c r="G62" s="198">
        <v>44670</v>
      </c>
      <c r="H62" s="205"/>
      <c r="I62" s="205"/>
      <c r="J62" s="205" t="s">
        <v>402</v>
      </c>
      <c r="K62" s="205" t="s">
        <v>2757</v>
      </c>
      <c r="L62" s="205" t="s">
        <v>553</v>
      </c>
      <c r="M62" s="192" t="s">
        <v>558</v>
      </c>
      <c r="N62" s="192">
        <v>17</v>
      </c>
      <c r="O62" s="229" t="s">
        <v>929</v>
      </c>
      <c r="P62" s="229" t="s">
        <v>1168</v>
      </c>
      <c r="Q62" s="231" t="str">
        <f t="shared" si="2"/>
        <v>A27. Door Latch, REAR - RIGHT Soft Close WITH Actuator SET 2</v>
      </c>
      <c r="R62" s="284" t="str">
        <f>HYPERLINK(VLOOKUP(O62,'3D. Pictures'!$B$3:$E$500,4,FALSE),"PIC")</f>
        <v>PIC</v>
      </c>
      <c r="S62" s="373" t="str">
        <f t="shared" si="7"/>
        <v>E.G.</v>
      </c>
      <c r="T62" s="377" t="str">
        <f>IF(O62&lt;&gt;"",_xlfn.XLOOKUP(O62,'3D. Pictures'!B:B,'3D. Pictures'!E:E,"NOT FOUND",0,1),"")</f>
        <v>https://viking-pictures.s3.us-west-1.amazonaws.com/AA1155/A27.+Door+Latch%2C+REAR+-+RIGHT+Soft+Close+WITH+Actuator+SET+2+(1).JPG</v>
      </c>
      <c r="U62" s="192">
        <v>6</v>
      </c>
      <c r="V62" s="205" t="s">
        <v>1169</v>
      </c>
      <c r="W62" s="192" t="s">
        <v>111</v>
      </c>
      <c r="X62" s="205"/>
      <c r="Y62" s="205"/>
      <c r="Z62" s="205"/>
      <c r="AA62" s="205" t="s">
        <v>2482</v>
      </c>
      <c r="AB62" s="205" t="s">
        <v>2482</v>
      </c>
      <c r="AC62" s="358" t="str">
        <f t="shared" si="6"/>
        <v>w/ cable + white actuator motor | toss both if 1 bad</v>
      </c>
      <c r="AD62" s="205" t="s">
        <v>2774</v>
      </c>
      <c r="AE62" s="205" t="s">
        <v>1159</v>
      </c>
      <c r="AF62" s="201" t="s">
        <v>543</v>
      </c>
      <c r="AG62" s="205"/>
      <c r="AH62" s="167">
        <v>245</v>
      </c>
      <c r="AI62" s="380">
        <f t="shared" si="8"/>
        <v>245</v>
      </c>
      <c r="AJ62" s="204" t="s">
        <v>408</v>
      </c>
      <c r="AK62" s="204" t="s">
        <v>425</v>
      </c>
      <c r="AL62" s="204" t="s">
        <v>2175</v>
      </c>
      <c r="AM62" s="190"/>
      <c r="AN62" s="191">
        <v>286</v>
      </c>
      <c r="AO62" s="190" t="s">
        <v>572</v>
      </c>
      <c r="AP62" s="190">
        <v>999770</v>
      </c>
      <c r="AQ62" s="190" t="str">
        <f>CONCATENATE(AN62,AO62,AP62)</f>
        <v>286-999770</v>
      </c>
      <c r="AR62" s="190" t="s">
        <v>595</v>
      </c>
      <c r="AS62" s="190"/>
      <c r="AT62" s="190"/>
      <c r="AU62" s="190"/>
      <c r="AV62" s="190"/>
      <c r="AW62" s="190"/>
      <c r="AX62" s="279" t="str">
        <f t="shared" si="4"/>
        <v/>
      </c>
    </row>
    <row r="63" spans="1:50" x14ac:dyDescent="0.25">
      <c r="A63" s="190" t="str">
        <f t="shared" si="0"/>
        <v/>
      </c>
      <c r="B63" s="279" t="str">
        <f t="shared" si="5"/>
        <v>286-999762</v>
      </c>
      <c r="C63" s="279"/>
      <c r="D63" s="279"/>
      <c r="E63" s="279">
        <f t="shared" si="1"/>
        <v>1</v>
      </c>
      <c r="F63" s="190" t="s">
        <v>535</v>
      </c>
      <c r="G63" s="198">
        <v>44670</v>
      </c>
      <c r="H63" s="205"/>
      <c r="I63" s="205"/>
      <c r="J63" s="205" t="s">
        <v>402</v>
      </c>
      <c r="K63" s="205" t="s">
        <v>2757</v>
      </c>
      <c r="L63" s="205" t="s">
        <v>553</v>
      </c>
      <c r="M63" s="192" t="s">
        <v>558</v>
      </c>
      <c r="N63" s="192"/>
      <c r="O63" s="229"/>
      <c r="P63" s="229"/>
      <c r="Q63" s="231" t="str">
        <f t="shared" si="2"/>
        <v>. Door Latch, REAR - RIGHT WITHOUT Soft Close</v>
      </c>
      <c r="R63" s="231"/>
      <c r="S63" s="231" t="str">
        <f t="shared" si="7"/>
        <v/>
      </c>
      <c r="T63" s="231" t="str">
        <f>IF(O63&lt;&gt;"",_xlfn.XLOOKUP(O63,'3D. Pictures'!B:B,'3D. Pictures'!E:E,"NOT FOUND",0,1),"")</f>
        <v/>
      </c>
      <c r="U63" s="192"/>
      <c r="V63" s="205" t="s">
        <v>1171</v>
      </c>
      <c r="W63" s="192" t="s">
        <v>111</v>
      </c>
      <c r="X63" s="205"/>
      <c r="Y63" s="205"/>
      <c r="Z63" s="205"/>
      <c r="AA63" s="205" t="s">
        <v>1170</v>
      </c>
      <c r="AB63" s="205" t="s">
        <v>1170</v>
      </c>
      <c r="AC63" s="358" t="str">
        <f t="shared" si="6"/>
        <v>w/ cable</v>
      </c>
      <c r="AD63" s="205" t="s">
        <v>597</v>
      </c>
      <c r="AE63" s="205"/>
      <c r="AF63" s="201" t="s">
        <v>543</v>
      </c>
      <c r="AG63" s="205"/>
      <c r="AH63" s="167">
        <v>75</v>
      </c>
      <c r="AI63" s="380">
        <f t="shared" si="8"/>
        <v>75</v>
      </c>
      <c r="AJ63" s="204" t="s">
        <v>408</v>
      </c>
      <c r="AK63" s="204" t="s">
        <v>425</v>
      </c>
      <c r="AL63" s="204" t="s">
        <v>2175</v>
      </c>
      <c r="AM63" s="190"/>
      <c r="AN63" s="191">
        <v>286</v>
      </c>
      <c r="AO63" s="190" t="s">
        <v>572</v>
      </c>
      <c r="AP63" s="190">
        <v>999762</v>
      </c>
      <c r="AQ63" s="190" t="str">
        <f>CONCATENATE(AN63,AO63,AP63)</f>
        <v>286-999762</v>
      </c>
      <c r="AR63" s="190" t="s">
        <v>596</v>
      </c>
      <c r="AS63" s="190"/>
      <c r="AT63" s="190"/>
      <c r="AU63" s="190"/>
      <c r="AV63" s="190"/>
      <c r="AW63" s="190"/>
      <c r="AX63" s="279" t="str">
        <f t="shared" si="4"/>
        <v/>
      </c>
    </row>
    <row r="64" spans="1:50" x14ac:dyDescent="0.25">
      <c r="A64" s="190" t="str">
        <f t="shared" si="0"/>
        <v/>
      </c>
      <c r="B64" s="279" t="str">
        <f t="shared" si="5"/>
        <v>263-999495</v>
      </c>
      <c r="C64" s="279"/>
      <c r="D64" s="279"/>
      <c r="E64" s="279">
        <f t="shared" si="1"/>
        <v>1</v>
      </c>
      <c r="F64" s="190" t="s">
        <v>535</v>
      </c>
      <c r="G64" s="198">
        <v>45208</v>
      </c>
      <c r="H64" s="210"/>
      <c r="I64" s="210"/>
      <c r="J64" s="206" t="s">
        <v>402</v>
      </c>
      <c r="K64" s="205" t="s">
        <v>2757</v>
      </c>
      <c r="L64" s="201" t="s">
        <v>490</v>
      </c>
      <c r="M64" s="192" t="s">
        <v>558</v>
      </c>
      <c r="N64" s="192"/>
      <c r="O64" s="229"/>
      <c r="P64" s="229"/>
      <c r="Q64" s="231" t="str">
        <f t="shared" si="2"/>
        <v>. Window Sun Shade, REAR - RIGHT</v>
      </c>
      <c r="R64" s="231"/>
      <c r="S64" s="231" t="str">
        <f t="shared" si="7"/>
        <v/>
      </c>
      <c r="T64" s="231" t="str">
        <f>IF(O64&lt;&gt;"",_xlfn.XLOOKUP(O64,'3D. Pictures'!B:B,'3D. Pictures'!E:E,"NOT FOUND",0,1),"")</f>
        <v/>
      </c>
      <c r="U64" s="192"/>
      <c r="V64" s="205"/>
      <c r="W64" s="192"/>
      <c r="X64" s="205"/>
      <c r="Y64" s="205"/>
      <c r="Z64" s="205"/>
      <c r="AA64" s="201" t="s">
        <v>656</v>
      </c>
      <c r="AB64" s="201" t="s">
        <v>656</v>
      </c>
      <c r="AC64" s="247" t="str">
        <f t="shared" si="6"/>
        <v/>
      </c>
      <c r="AD64" s="201"/>
      <c r="AE64" s="201"/>
      <c r="AF64" s="201" t="s">
        <v>543</v>
      </c>
      <c r="AG64" s="201"/>
      <c r="AH64" s="168">
        <v>190</v>
      </c>
      <c r="AI64" s="380">
        <f t="shared" si="8"/>
        <v>190</v>
      </c>
      <c r="AJ64" s="204" t="s">
        <v>408</v>
      </c>
      <c r="AK64" s="204" t="s">
        <v>425</v>
      </c>
      <c r="AL64" s="204" t="s">
        <v>2175</v>
      </c>
      <c r="AM64" s="211"/>
      <c r="AN64" s="191" t="s">
        <v>600</v>
      </c>
      <c r="AO64" s="190" t="s">
        <v>572</v>
      </c>
      <c r="AP64" s="190">
        <v>999495</v>
      </c>
      <c r="AQ64" s="190" t="str">
        <f>CONCATENATE(AN64,AO64,AP64)</f>
        <v>263-999495</v>
      </c>
      <c r="AR64" s="190"/>
      <c r="AS64" s="190"/>
      <c r="AT64" s="190"/>
      <c r="AU64" s="190"/>
      <c r="AV64" s="190"/>
      <c r="AW64" s="190"/>
      <c r="AX64" s="279" t="str">
        <f t="shared" si="4"/>
        <v/>
      </c>
    </row>
    <row r="65" spans="1:50" x14ac:dyDescent="0.25">
      <c r="A65" s="190" t="str">
        <f t="shared" si="0"/>
        <v/>
      </c>
      <c r="B65" s="279" t="str">
        <f t="shared" si="5"/>
        <v/>
      </c>
      <c r="C65" s="279"/>
      <c r="D65" s="279"/>
      <c r="E65" s="279" t="str">
        <f t="shared" si="1"/>
        <v/>
      </c>
      <c r="F65" t="s">
        <v>535</v>
      </c>
      <c r="G65" s="188">
        <v>44670</v>
      </c>
      <c r="H65" s="10"/>
      <c r="I65" s="10"/>
      <c r="J65" s="10" t="s">
        <v>405</v>
      </c>
      <c r="K65" s="10" t="s">
        <v>2757</v>
      </c>
      <c r="L65" s="10" t="s">
        <v>555</v>
      </c>
      <c r="M65" s="168" t="s">
        <v>559</v>
      </c>
      <c r="N65" s="168"/>
      <c r="O65" s="171"/>
      <c r="P65" s="171"/>
      <c r="Q65" s="231" t="str">
        <f t="shared" si="2"/>
        <v>. Door Handle, Interior</v>
      </c>
      <c r="R65" s="231"/>
      <c r="S65" s="231" t="str">
        <f t="shared" si="7"/>
        <v/>
      </c>
      <c r="T65" s="231" t="str">
        <f>IF(O65&lt;&gt;"",_xlfn.XLOOKUP(O65,'3D. Pictures'!B:B,'3D. Pictures'!E:E,"NOT FOUND",0,1),"")</f>
        <v/>
      </c>
      <c r="U65" s="168"/>
      <c r="V65" s="168"/>
      <c r="W65" s="168"/>
      <c r="X65" s="168"/>
      <c r="Y65" s="168"/>
      <c r="Z65" s="168"/>
      <c r="AA65" s="10" t="s">
        <v>555</v>
      </c>
      <c r="AB65" s="10" t="s">
        <v>555</v>
      </c>
      <c r="AC65" s="359" t="str">
        <f t="shared" si="6"/>
        <v>if trim doesn't remove easy put handle w/ trim SET</v>
      </c>
      <c r="AD65" s="10" t="s">
        <v>2806</v>
      </c>
      <c r="AE65" s="10"/>
      <c r="AF65" s="168" t="s">
        <v>543</v>
      </c>
      <c r="AG65" s="10"/>
      <c r="AH65" s="10"/>
      <c r="AI65" s="380" t="str">
        <f t="shared" si="8"/>
        <v/>
      </c>
      <c r="AJ65" s="3" t="s">
        <v>408</v>
      </c>
      <c r="AK65" s="3" t="s">
        <v>425</v>
      </c>
      <c r="AL65" s="204" t="s">
        <v>2175</v>
      </c>
      <c r="AN65"/>
      <c r="AX65" s="279" t="str">
        <f t="shared" si="4"/>
        <v/>
      </c>
    </row>
    <row r="66" spans="1:50" x14ac:dyDescent="0.25">
      <c r="A66" s="190" t="str">
        <f t="shared" si="0"/>
        <v/>
      </c>
      <c r="B66" s="279" t="str">
        <f t="shared" si="5"/>
        <v/>
      </c>
      <c r="C66" s="279"/>
      <c r="D66" s="279"/>
      <c r="E66" s="279" t="str">
        <f t="shared" si="1"/>
        <v/>
      </c>
      <c r="F66" t="s">
        <v>535</v>
      </c>
      <c r="G66" s="188">
        <v>44670</v>
      </c>
      <c r="H66" s="10"/>
      <c r="I66" s="10"/>
      <c r="J66" s="10" t="s">
        <v>405</v>
      </c>
      <c r="K66" s="10" t="s">
        <v>2757</v>
      </c>
      <c r="L66" s="10" t="s">
        <v>40</v>
      </c>
      <c r="M66" s="168" t="s">
        <v>559</v>
      </c>
      <c r="N66" s="168"/>
      <c r="O66" s="171"/>
      <c r="P66" s="171"/>
      <c r="Q66" s="231" t="str">
        <f t="shared" si="2"/>
        <v>. Door Panel</v>
      </c>
      <c r="R66" s="231"/>
      <c r="S66" s="231" t="str">
        <f t="shared" si="7"/>
        <v/>
      </c>
      <c r="T66" s="231" t="str">
        <f>IF(O66&lt;&gt;"",_xlfn.XLOOKUP(O66,'3D. Pictures'!B:B,'3D. Pictures'!E:E,"NOT FOUND",0,1),"")</f>
        <v/>
      </c>
      <c r="U66" s="168"/>
      <c r="V66" s="168"/>
      <c r="W66" s="168"/>
      <c r="X66" s="168"/>
      <c r="Y66" s="168"/>
      <c r="Z66" s="168"/>
      <c r="AA66" s="10" t="s">
        <v>40</v>
      </c>
      <c r="AB66" s="10" t="s">
        <v>40</v>
      </c>
      <c r="AC66" s="359" t="str">
        <f t="shared" si="6"/>
        <v/>
      </c>
      <c r="AD66" s="10"/>
      <c r="AE66" s="10"/>
      <c r="AF66" s="168" t="s">
        <v>543</v>
      </c>
      <c r="AG66" s="10"/>
      <c r="AH66" s="10"/>
      <c r="AI66" s="380" t="str">
        <f t="shared" si="8"/>
        <v/>
      </c>
      <c r="AJ66" s="3" t="s">
        <v>408</v>
      </c>
      <c r="AK66" s="3" t="s">
        <v>425</v>
      </c>
      <c r="AL66" s="204" t="s">
        <v>2175</v>
      </c>
      <c r="AN66"/>
      <c r="AX66" s="279" t="str">
        <f t="shared" si="4"/>
        <v/>
      </c>
    </row>
    <row r="67" spans="1:50" x14ac:dyDescent="0.25">
      <c r="A67" s="190" t="str">
        <f t="shared" si="0"/>
        <v/>
      </c>
      <c r="B67" s="279" t="str">
        <f t="shared" si="5"/>
        <v/>
      </c>
      <c r="C67" s="279"/>
      <c r="D67" s="279"/>
      <c r="E67" s="279" t="str">
        <f t="shared" si="1"/>
        <v/>
      </c>
      <c r="F67" t="s">
        <v>535</v>
      </c>
      <c r="G67" s="188">
        <v>44670</v>
      </c>
      <c r="H67" s="159"/>
      <c r="I67" s="10"/>
      <c r="J67" s="10" t="s">
        <v>405</v>
      </c>
      <c r="K67" s="10" t="s">
        <v>2757</v>
      </c>
      <c r="L67" s="201" t="s">
        <v>1210</v>
      </c>
      <c r="M67" s="168" t="s">
        <v>559</v>
      </c>
      <c r="N67" s="168"/>
      <c r="O67" s="171"/>
      <c r="P67" s="171"/>
      <c r="Q67" s="231" t="str">
        <f t="shared" si="2"/>
        <v>. Switch, Window</v>
      </c>
      <c r="R67" s="231"/>
      <c r="S67" s="231" t="str">
        <f t="shared" si="7"/>
        <v/>
      </c>
      <c r="T67" s="231" t="str">
        <f>IF(O67&lt;&gt;"",_xlfn.XLOOKUP(O67,'3D. Pictures'!B:B,'3D. Pictures'!E:E,"NOT FOUND",0,1),"")</f>
        <v/>
      </c>
      <c r="U67" s="168"/>
      <c r="V67" s="168"/>
      <c r="W67" s="168"/>
      <c r="X67" s="168"/>
      <c r="Y67" s="168"/>
      <c r="Z67" s="168"/>
      <c r="AA67" s="10" t="s">
        <v>56</v>
      </c>
      <c r="AB67" s="10" t="s">
        <v>56</v>
      </c>
      <c r="AC67" s="359" t="str">
        <f t="shared" si="6"/>
        <v/>
      </c>
      <c r="AD67" s="10"/>
      <c r="AE67" s="10"/>
      <c r="AF67" s="168" t="s">
        <v>543</v>
      </c>
      <c r="AG67" s="10"/>
      <c r="AH67" s="10"/>
      <c r="AI67" s="380" t="str">
        <f t="shared" si="8"/>
        <v/>
      </c>
      <c r="AJ67" s="3" t="s">
        <v>408</v>
      </c>
      <c r="AK67" s="3" t="s">
        <v>425</v>
      </c>
      <c r="AL67" s="204" t="s">
        <v>2175</v>
      </c>
      <c r="AN67"/>
      <c r="AX67" s="279" t="str">
        <f t="shared" si="4"/>
        <v/>
      </c>
    </row>
    <row r="68" spans="1:50" x14ac:dyDescent="0.25">
      <c r="A68" s="190" t="str">
        <f t="shared" si="0"/>
        <v/>
      </c>
      <c r="B68" s="279" t="str">
        <f t="shared" si="5"/>
        <v/>
      </c>
      <c r="C68" s="279"/>
      <c r="D68" s="279"/>
      <c r="E68" s="279" t="str">
        <f t="shared" si="1"/>
        <v/>
      </c>
      <c r="F68" t="s">
        <v>535</v>
      </c>
      <c r="G68" s="188">
        <v>44670</v>
      </c>
      <c r="H68" s="157"/>
      <c r="I68" s="174"/>
      <c r="J68" s="10" t="s">
        <v>405</v>
      </c>
      <c r="K68" s="10" t="s">
        <v>2757</v>
      </c>
      <c r="L68" s="10" t="s">
        <v>556</v>
      </c>
      <c r="M68" s="164" t="s">
        <v>558</v>
      </c>
      <c r="N68" s="164"/>
      <c r="O68" s="234"/>
      <c r="P68" s="234"/>
      <c r="Q68" s="231" t="str">
        <f t="shared" si="2"/>
        <v>. Window Motor &amp; Regulator</v>
      </c>
      <c r="R68" s="231"/>
      <c r="S68" s="231" t="str">
        <f t="shared" si="7"/>
        <v/>
      </c>
      <c r="T68" s="231" t="str">
        <f>IF(O68&lt;&gt;"",_xlfn.XLOOKUP(O68,'3D. Pictures'!B:B,'3D. Pictures'!E:E,"NOT FOUND",0,1),"")</f>
        <v/>
      </c>
      <c r="U68" s="164"/>
      <c r="V68" s="16"/>
      <c r="W68" s="164"/>
      <c r="X68" s="16"/>
      <c r="Y68" s="16"/>
      <c r="Z68" s="16"/>
      <c r="AA68" s="10" t="s">
        <v>556</v>
      </c>
      <c r="AB68" s="10" t="s">
        <v>556</v>
      </c>
      <c r="AC68" s="359" t="str">
        <f t="shared" si="6"/>
        <v/>
      </c>
      <c r="AD68" s="10"/>
      <c r="AE68" s="10"/>
      <c r="AF68" s="168" t="s">
        <v>543</v>
      </c>
      <c r="AG68" s="10"/>
      <c r="AH68" s="10"/>
      <c r="AI68" s="380" t="str">
        <f t="shared" si="8"/>
        <v/>
      </c>
      <c r="AJ68" s="3" t="s">
        <v>408</v>
      </c>
      <c r="AK68" s="3" t="s">
        <v>425</v>
      </c>
      <c r="AL68" s="204" t="s">
        <v>2175</v>
      </c>
      <c r="AN68"/>
      <c r="AO68" t="s">
        <v>572</v>
      </c>
      <c r="AX68" s="279" t="str">
        <f t="shared" si="4"/>
        <v/>
      </c>
    </row>
    <row r="69" spans="1:50" x14ac:dyDescent="0.25">
      <c r="A69" s="190" t="str">
        <f t="shared" ref="A69:A129" si="11">IF(O69&lt;&gt;"",O69,"")</f>
        <v/>
      </c>
      <c r="B69" s="279" t="str">
        <f t="shared" ref="B69:B190" si="12">IF(AQ69&lt;&gt;"",AQ69,"")</f>
        <v>682-50388</v>
      </c>
      <c r="C69" s="279"/>
      <c r="D69" s="279"/>
      <c r="E69" s="279">
        <f t="shared" si="1"/>
        <v>1</v>
      </c>
      <c r="F69" s="190" t="s">
        <v>535</v>
      </c>
      <c r="G69" s="198">
        <v>44670</v>
      </c>
      <c r="H69" s="210"/>
      <c r="I69" s="205"/>
      <c r="J69" s="205" t="s">
        <v>402</v>
      </c>
      <c r="K69" s="205" t="s">
        <v>237</v>
      </c>
      <c r="L69" s="205" t="s">
        <v>358</v>
      </c>
      <c r="M69" s="192" t="s">
        <v>558</v>
      </c>
      <c r="N69" s="192"/>
      <c r="O69" s="229"/>
      <c r="P69" s="229"/>
      <c r="Q69" s="231" t="str">
        <f t="shared" si="2"/>
        <v>. A/C Compressor</v>
      </c>
      <c r="R69" s="231"/>
      <c r="S69" s="231" t="str">
        <f t="shared" si="7"/>
        <v/>
      </c>
      <c r="T69" s="231" t="str">
        <f>IF(O69&lt;&gt;"",_xlfn.XLOOKUP(O69,'3D. Pictures'!B:B,'3D. Pictures'!E:E,"NOT FOUND",0,1),"")</f>
        <v/>
      </c>
      <c r="U69" s="192"/>
      <c r="V69" s="205"/>
      <c r="W69" s="192"/>
      <c r="X69" s="205"/>
      <c r="Y69" s="205"/>
      <c r="Z69" s="205"/>
      <c r="AA69" s="205" t="s">
        <v>358</v>
      </c>
      <c r="AB69" s="205" t="s">
        <v>358</v>
      </c>
      <c r="AC69" s="358" t="str">
        <f t="shared" si="6"/>
        <v/>
      </c>
      <c r="AD69" s="205"/>
      <c r="AE69" s="205"/>
      <c r="AF69" s="201" t="s">
        <v>543</v>
      </c>
      <c r="AG69" s="205"/>
      <c r="AH69" s="18">
        <v>150</v>
      </c>
      <c r="AI69" s="380">
        <f t="shared" si="8"/>
        <v>165</v>
      </c>
      <c r="AJ69" s="204" t="s">
        <v>2176</v>
      </c>
      <c r="AK69" s="204" t="s">
        <v>425</v>
      </c>
      <c r="AL69" s="204" t="s">
        <v>2177</v>
      </c>
      <c r="AM69" s="190"/>
      <c r="AN69" s="191" t="s">
        <v>601</v>
      </c>
      <c r="AO69" s="190" t="s">
        <v>572</v>
      </c>
      <c r="AP69" s="190">
        <v>50388</v>
      </c>
      <c r="AQ69" s="190" t="str">
        <f>CONCATENATE(AN69,AO69,AP69)</f>
        <v>682-50388</v>
      </c>
      <c r="AR69" s="190" t="s">
        <v>2176</v>
      </c>
      <c r="AS69" s="190"/>
      <c r="AT69" s="190"/>
      <c r="AU69" s="190"/>
      <c r="AV69" s="190"/>
      <c r="AW69" s="190"/>
      <c r="AX69" s="279" t="str">
        <f t="shared" ref="AX69:AX101" si="13">IF(AW69&lt;&gt;"",_xlfn.TEXTJOIN("-",TRUE,AV69,AW69),"")</f>
        <v/>
      </c>
    </row>
    <row r="70" spans="1:50" x14ac:dyDescent="0.25">
      <c r="A70" s="190" t="str">
        <f t="shared" si="11"/>
        <v/>
      </c>
      <c r="B70" s="294" t="str">
        <f t="shared" ref="B70" si="14">IF(AQ70&lt;&gt;"",AQ70,"")</f>
        <v>682-50335</v>
      </c>
      <c r="C70" s="294"/>
      <c r="D70" s="279"/>
      <c r="E70" s="294">
        <f t="shared" si="1"/>
        <v>1</v>
      </c>
      <c r="F70" s="294" t="s">
        <v>535</v>
      </c>
      <c r="G70" s="295">
        <v>45245</v>
      </c>
      <c r="H70" s="296"/>
      <c r="I70" s="297"/>
      <c r="J70" s="300" t="s">
        <v>402</v>
      </c>
      <c r="K70" s="300" t="s">
        <v>237</v>
      </c>
      <c r="L70" s="300" t="s">
        <v>358</v>
      </c>
      <c r="M70" s="195" t="s">
        <v>558</v>
      </c>
      <c r="N70" s="195"/>
      <c r="O70" s="298"/>
      <c r="P70" s="298"/>
      <c r="Q70" s="299" t="str">
        <f t="shared" si="2"/>
        <v>. A/C Compressor</v>
      </c>
      <c r="R70" s="299"/>
      <c r="S70" s="299" t="str">
        <f t="shared" si="7"/>
        <v/>
      </c>
      <c r="T70" s="299" t="str">
        <f>IF(O70&lt;&gt;"",_xlfn.XLOOKUP(O70,'3D. Pictures'!B:B,'3D. Pictures'!E:E,"NOT FOUND",0,1),"")</f>
        <v/>
      </c>
      <c r="U70" s="195"/>
      <c r="V70" s="300"/>
      <c r="W70" s="195"/>
      <c r="X70" s="300"/>
      <c r="Y70" s="16"/>
      <c r="Z70" s="300"/>
      <c r="AA70" s="300" t="s">
        <v>358</v>
      </c>
      <c r="AB70" s="300" t="s">
        <v>358</v>
      </c>
      <c r="AC70" s="358" t="str">
        <f t="shared" si="6"/>
        <v/>
      </c>
      <c r="AD70" s="300"/>
      <c r="AE70" s="300"/>
      <c r="AF70" s="302" t="s">
        <v>543</v>
      </c>
      <c r="AG70" s="300"/>
      <c r="AH70" s="16">
        <v>95</v>
      </c>
      <c r="AI70" s="380">
        <f t="shared" si="8"/>
        <v>165</v>
      </c>
      <c r="AJ70" s="301" t="s">
        <v>2198</v>
      </c>
      <c r="AK70" s="301" t="s">
        <v>425</v>
      </c>
      <c r="AL70" s="301" t="s">
        <v>2177</v>
      </c>
      <c r="AM70" s="294"/>
      <c r="AN70" s="326" t="s">
        <v>601</v>
      </c>
      <c r="AO70" s="294" t="s">
        <v>572</v>
      </c>
      <c r="AP70" s="294">
        <v>50335</v>
      </c>
      <c r="AQ70" s="294" t="str">
        <f>CONCATENATE(AN70,AO70,AP70)</f>
        <v>682-50335</v>
      </c>
      <c r="AR70" s="294" t="s">
        <v>2323</v>
      </c>
      <c r="AS70" s="294"/>
      <c r="AT70" s="294"/>
      <c r="AU70" s="294"/>
      <c r="AV70" s="294"/>
      <c r="AW70" s="294"/>
      <c r="AX70" s="279" t="str">
        <f t="shared" si="13"/>
        <v/>
      </c>
    </row>
    <row r="71" spans="1:50" x14ac:dyDescent="0.25">
      <c r="A71" s="190" t="str">
        <f t="shared" si="11"/>
        <v/>
      </c>
      <c r="B71" s="294" t="str">
        <f t="shared" ref="B71" si="15">IF(AQ71&lt;&gt;"",AQ71,"")</f>
        <v>682-69515</v>
      </c>
      <c r="C71" s="294"/>
      <c r="D71" s="279"/>
      <c r="E71" s="294">
        <f t="shared" si="1"/>
        <v>1</v>
      </c>
      <c r="F71" s="294" t="s">
        <v>535</v>
      </c>
      <c r="G71" s="295">
        <v>45245</v>
      </c>
      <c r="H71" s="296"/>
      <c r="I71" s="297"/>
      <c r="J71" s="300" t="s">
        <v>402</v>
      </c>
      <c r="K71" s="300" t="s">
        <v>237</v>
      </c>
      <c r="L71" s="300" t="s">
        <v>358</v>
      </c>
      <c r="M71" s="195" t="s">
        <v>558</v>
      </c>
      <c r="N71" s="195"/>
      <c r="O71" s="298"/>
      <c r="P71" s="298"/>
      <c r="Q71" s="299" t="str">
        <f t="shared" si="2"/>
        <v>. A/C Compressor</v>
      </c>
      <c r="R71" s="299"/>
      <c r="S71" s="299" t="str">
        <f t="shared" si="7"/>
        <v/>
      </c>
      <c r="T71" s="299" t="str">
        <f>IF(O71&lt;&gt;"",_xlfn.XLOOKUP(O71,'3D. Pictures'!B:B,'3D. Pictures'!E:E,"NOT FOUND",0,1),"")</f>
        <v/>
      </c>
      <c r="U71" s="195"/>
      <c r="V71" s="300"/>
      <c r="W71" s="195"/>
      <c r="X71" s="300"/>
      <c r="Y71" s="16"/>
      <c r="Z71" s="300"/>
      <c r="AA71" s="300" t="s">
        <v>358</v>
      </c>
      <c r="AB71" s="300" t="s">
        <v>358</v>
      </c>
      <c r="AC71" s="358" t="str">
        <f t="shared" si="6"/>
        <v/>
      </c>
      <c r="AD71" s="300"/>
      <c r="AE71" s="300"/>
      <c r="AF71" s="302" t="s">
        <v>543</v>
      </c>
      <c r="AG71" s="300"/>
      <c r="AH71" s="16">
        <v>250</v>
      </c>
      <c r="AI71" s="380">
        <f t="shared" si="8"/>
        <v>165</v>
      </c>
      <c r="AJ71" s="301" t="s">
        <v>2198</v>
      </c>
      <c r="AK71" s="301" t="s">
        <v>425</v>
      </c>
      <c r="AL71" s="301" t="s">
        <v>2177</v>
      </c>
      <c r="AM71" s="294"/>
      <c r="AN71" s="326" t="s">
        <v>601</v>
      </c>
      <c r="AO71" s="294" t="s">
        <v>572</v>
      </c>
      <c r="AP71" s="294">
        <v>69515</v>
      </c>
      <c r="AQ71" s="294" t="str">
        <f>CONCATENATE(AN71,AO71,AP71)</f>
        <v>682-69515</v>
      </c>
      <c r="AR71" s="294" t="s">
        <v>2324</v>
      </c>
      <c r="AS71" s="294"/>
      <c r="AT71" s="294"/>
      <c r="AU71" s="294"/>
      <c r="AV71" s="294"/>
      <c r="AW71" s="294"/>
      <c r="AX71" s="279" t="str">
        <f t="shared" si="13"/>
        <v/>
      </c>
    </row>
    <row r="72" spans="1:50" x14ac:dyDescent="0.25">
      <c r="A72" s="190" t="str">
        <f t="shared" si="11"/>
        <v/>
      </c>
      <c r="B72" s="279" t="str">
        <f t="shared" si="12"/>
        <v/>
      </c>
      <c r="C72" s="279"/>
      <c r="D72" s="279"/>
      <c r="E72" s="279" t="str">
        <f t="shared" si="1"/>
        <v/>
      </c>
      <c r="F72" t="s">
        <v>536</v>
      </c>
      <c r="G72" s="188">
        <v>45099</v>
      </c>
      <c r="H72" s="10"/>
      <c r="I72" s="10"/>
      <c r="J72" s="16" t="s">
        <v>402</v>
      </c>
      <c r="K72" s="16" t="s">
        <v>237</v>
      </c>
      <c r="L72" s="16" t="s">
        <v>2665</v>
      </c>
      <c r="M72" s="16" t="s">
        <v>559</v>
      </c>
      <c r="N72" s="16"/>
      <c r="O72" s="166"/>
      <c r="P72" s="166"/>
      <c r="Q72" s="231" t="str">
        <f t="shared" si="2"/>
        <v>. Air Induction Charge Pipe</v>
      </c>
      <c r="R72" s="231"/>
      <c r="S72" s="231" t="str">
        <f t="shared" si="7"/>
        <v/>
      </c>
      <c r="T72" s="231" t="str">
        <f>IF(O72&lt;&gt;"",_xlfn.XLOOKUP(O72,'3D. Pictures'!B:B,'3D. Pictures'!E:E,"NOT FOUND",0,1),"")</f>
        <v/>
      </c>
      <c r="U72" s="16"/>
      <c r="V72" s="16"/>
      <c r="W72" s="16"/>
      <c r="X72" s="16"/>
      <c r="Y72" s="205"/>
      <c r="Z72" s="16"/>
      <c r="AA72" s="16" t="s">
        <v>523</v>
      </c>
      <c r="AB72" s="16" t="s">
        <v>523</v>
      </c>
      <c r="AC72" s="358" t="str">
        <f t="shared" si="6"/>
        <v/>
      </c>
      <c r="AD72" s="16"/>
      <c r="AE72" s="16"/>
      <c r="AF72" s="168" t="s">
        <v>543</v>
      </c>
      <c r="AG72" s="16">
        <v>8626487</v>
      </c>
      <c r="AH72" s="363">
        <v>105</v>
      </c>
      <c r="AI72" s="380">
        <f t="shared" si="8"/>
        <v>105</v>
      </c>
      <c r="AJ72" s="3" t="s">
        <v>2176</v>
      </c>
      <c r="AK72" s="3" t="s">
        <v>425</v>
      </c>
      <c r="AL72" s="204" t="s">
        <v>2177</v>
      </c>
      <c r="AN72"/>
      <c r="AX72" s="279" t="str">
        <f t="shared" si="13"/>
        <v/>
      </c>
    </row>
    <row r="73" spans="1:50" x14ac:dyDescent="0.25">
      <c r="A73" s="190" t="str">
        <f t="shared" si="11"/>
        <v/>
      </c>
      <c r="B73" s="279" t="str">
        <f t="shared" si="12"/>
        <v/>
      </c>
      <c r="C73" s="279"/>
      <c r="D73" s="279"/>
      <c r="E73" s="279" t="str">
        <f t="shared" ref="E73:E136" si="16">IF(B73&lt;&gt;"",COUNTIF($B$9:$B$2241,B73),"")</f>
        <v/>
      </c>
      <c r="F73" t="s">
        <v>536</v>
      </c>
      <c r="G73" s="188">
        <v>45099</v>
      </c>
      <c r="H73" s="10"/>
      <c r="I73" s="10"/>
      <c r="J73" s="16" t="s">
        <v>402</v>
      </c>
      <c r="K73" s="16" t="s">
        <v>237</v>
      </c>
      <c r="L73" s="16" t="s">
        <v>2665</v>
      </c>
      <c r="M73" s="16" t="s">
        <v>559</v>
      </c>
      <c r="N73" s="16"/>
      <c r="O73" s="166"/>
      <c r="P73" s="166"/>
      <c r="Q73" s="231" t="str">
        <f t="shared" ref="Q73:Q136" si="17">CONCATENATE(O73,". ",AB73)</f>
        <v>. Air Intake Upper Duct Tube</v>
      </c>
      <c r="R73" s="231"/>
      <c r="S73" s="231" t="str">
        <f t="shared" si="7"/>
        <v/>
      </c>
      <c r="T73" s="231" t="str">
        <f>IF(O73&lt;&gt;"",_xlfn.XLOOKUP(O73,'3D. Pictures'!B:B,'3D. Pictures'!E:E,"NOT FOUND",0,1),"")</f>
        <v/>
      </c>
      <c r="U73" s="16"/>
      <c r="V73" s="16"/>
      <c r="W73" s="16"/>
      <c r="X73" s="16"/>
      <c r="Y73" s="16"/>
      <c r="Z73" s="16"/>
      <c r="AA73" s="16" t="s">
        <v>2530</v>
      </c>
      <c r="AB73" s="16" t="s">
        <v>2530</v>
      </c>
      <c r="AC73" s="358" t="str">
        <f t="shared" si="6"/>
        <v>2 Pieces Keep Together</v>
      </c>
      <c r="AD73" s="16" t="s">
        <v>2529</v>
      </c>
      <c r="AE73" s="16"/>
      <c r="AF73" s="168" t="s">
        <v>543</v>
      </c>
      <c r="AG73" s="16">
        <v>13717605585</v>
      </c>
      <c r="AH73" s="363">
        <v>125</v>
      </c>
      <c r="AI73" s="380">
        <f t="shared" si="8"/>
        <v>125</v>
      </c>
      <c r="AJ73" s="3" t="s">
        <v>2176</v>
      </c>
      <c r="AK73" s="3" t="s">
        <v>425</v>
      </c>
      <c r="AL73" s="204" t="s">
        <v>2177</v>
      </c>
      <c r="AN73"/>
      <c r="AX73" s="279" t="str">
        <f t="shared" si="13"/>
        <v/>
      </c>
    </row>
    <row r="74" spans="1:50" x14ac:dyDescent="0.25">
      <c r="A74" s="190" t="str">
        <f t="shared" si="11"/>
        <v/>
      </c>
      <c r="B74" s="279" t="str">
        <f t="shared" si="12"/>
        <v>601-60994</v>
      </c>
      <c r="C74" s="279"/>
      <c r="D74" s="279"/>
      <c r="E74" s="279">
        <f t="shared" si="16"/>
        <v>1</v>
      </c>
      <c r="F74" s="190" t="s">
        <v>535</v>
      </c>
      <c r="G74" s="198">
        <v>44670</v>
      </c>
      <c r="H74" s="210"/>
      <c r="I74" s="205"/>
      <c r="J74" s="205" t="s">
        <v>402</v>
      </c>
      <c r="K74" s="205" t="s">
        <v>237</v>
      </c>
      <c r="L74" s="205" t="s">
        <v>44</v>
      </c>
      <c r="M74" s="192" t="s">
        <v>558</v>
      </c>
      <c r="N74" s="192"/>
      <c r="O74" s="229"/>
      <c r="P74" s="229"/>
      <c r="Q74" s="231" t="str">
        <f t="shared" si="17"/>
        <v>. Alternator</v>
      </c>
      <c r="R74" s="231"/>
      <c r="S74" s="231" t="str">
        <f t="shared" si="7"/>
        <v/>
      </c>
      <c r="T74" s="231" t="str">
        <f>IF(O74&lt;&gt;"",_xlfn.XLOOKUP(O74,'3D. Pictures'!B:B,'3D. Pictures'!E:E,"NOT FOUND",0,1),"")</f>
        <v/>
      </c>
      <c r="U74" s="192"/>
      <c r="V74" s="205"/>
      <c r="W74" s="192"/>
      <c r="X74" s="205"/>
      <c r="Y74" s="16"/>
      <c r="Z74" s="205"/>
      <c r="AA74" s="205" t="s">
        <v>44</v>
      </c>
      <c r="AB74" s="205" t="s">
        <v>44</v>
      </c>
      <c r="AC74" s="358" t="str">
        <f t="shared" si="6"/>
        <v/>
      </c>
      <c r="AD74" s="205"/>
      <c r="AE74" s="205"/>
      <c r="AF74" s="201" t="s">
        <v>543</v>
      </c>
      <c r="AG74" s="205"/>
      <c r="AH74" s="16">
        <v>100</v>
      </c>
      <c r="AI74" s="380">
        <f t="shared" si="8"/>
        <v>100</v>
      </c>
      <c r="AJ74" s="204" t="s">
        <v>2176</v>
      </c>
      <c r="AK74" s="204" t="s">
        <v>425</v>
      </c>
      <c r="AL74" s="204" t="s">
        <v>2177</v>
      </c>
      <c r="AM74" s="190"/>
      <c r="AN74" s="191" t="s">
        <v>602</v>
      </c>
      <c r="AO74" s="190" t="s">
        <v>572</v>
      </c>
      <c r="AP74" s="190">
        <v>60994</v>
      </c>
      <c r="AQ74" s="190" t="str">
        <f>CONCATENATE(AN74,AO74,AP74)</f>
        <v>601-60994</v>
      </c>
      <c r="AR74" s="190"/>
      <c r="AS74" s="190"/>
      <c r="AT74" s="190"/>
      <c r="AU74" s="190"/>
      <c r="AV74" s="190"/>
      <c r="AW74" s="190"/>
      <c r="AX74" s="279" t="str">
        <f t="shared" si="13"/>
        <v/>
      </c>
    </row>
    <row r="75" spans="1:50" x14ac:dyDescent="0.25">
      <c r="A75" s="190" t="str">
        <f t="shared" si="11"/>
        <v/>
      </c>
      <c r="B75" s="294" t="str">
        <f t="shared" ref="B75" si="18">IF(AQ75&lt;&gt;"",AQ75,"")</f>
        <v>601-61009</v>
      </c>
      <c r="C75" s="294"/>
      <c r="D75" s="279"/>
      <c r="E75" s="294">
        <f t="shared" si="16"/>
        <v>1</v>
      </c>
      <c r="F75" s="294" t="s">
        <v>535</v>
      </c>
      <c r="G75" s="295">
        <v>45245</v>
      </c>
      <c r="H75" s="296"/>
      <c r="I75" s="297"/>
      <c r="J75" s="300" t="s">
        <v>402</v>
      </c>
      <c r="K75" s="300" t="s">
        <v>237</v>
      </c>
      <c r="L75" s="300" t="s">
        <v>44</v>
      </c>
      <c r="M75" s="195" t="s">
        <v>558</v>
      </c>
      <c r="N75" s="195"/>
      <c r="O75" s="298"/>
      <c r="P75" s="298"/>
      <c r="Q75" s="299" t="str">
        <f t="shared" si="17"/>
        <v>. Alternator</v>
      </c>
      <c r="R75" s="299"/>
      <c r="S75" s="299" t="str">
        <f t="shared" si="7"/>
        <v/>
      </c>
      <c r="T75" s="299" t="str">
        <f>IF(O75&lt;&gt;"",_xlfn.XLOOKUP(O75,'3D. Pictures'!B:B,'3D. Pictures'!E:E,"NOT FOUND",0,1),"")</f>
        <v/>
      </c>
      <c r="U75" s="195"/>
      <c r="V75" s="300" t="s">
        <v>2322</v>
      </c>
      <c r="W75" s="195" t="s">
        <v>111</v>
      </c>
      <c r="X75" s="300"/>
      <c r="Y75" s="16"/>
      <c r="Z75" s="300"/>
      <c r="AA75" s="300" t="s">
        <v>44</v>
      </c>
      <c r="AB75" s="300" t="s">
        <v>44</v>
      </c>
      <c r="AC75" s="358" t="str">
        <f t="shared" ref="AC75:AC138" si="19">_xlfn.TEXTJOIN(" | ",TRUE,AD75,AE75)</f>
        <v/>
      </c>
      <c r="AD75" s="300"/>
      <c r="AE75" s="300"/>
      <c r="AF75" s="302" t="s">
        <v>543</v>
      </c>
      <c r="AG75" s="300"/>
      <c r="AH75" s="16">
        <v>100</v>
      </c>
      <c r="AI75" s="380">
        <f t="shared" si="8"/>
        <v>100</v>
      </c>
      <c r="AJ75" s="301" t="s">
        <v>2198</v>
      </c>
      <c r="AK75" s="301" t="s">
        <v>425</v>
      </c>
      <c r="AL75" s="301" t="s">
        <v>2198</v>
      </c>
      <c r="AM75" s="294"/>
      <c r="AN75" s="326" t="s">
        <v>602</v>
      </c>
      <c r="AO75" s="294" t="s">
        <v>572</v>
      </c>
      <c r="AP75" s="294">
        <v>61009</v>
      </c>
      <c r="AQ75" s="294" t="str">
        <f>CONCATENATE(AN75,AO75,AP75)</f>
        <v>601-61009</v>
      </c>
      <c r="AR75" s="294"/>
      <c r="AS75" s="294"/>
      <c r="AT75" s="294"/>
      <c r="AU75" s="294"/>
      <c r="AV75" s="294"/>
      <c r="AW75" s="294"/>
      <c r="AX75" s="279" t="str">
        <f t="shared" si="13"/>
        <v/>
      </c>
    </row>
    <row r="76" spans="1:50" x14ac:dyDescent="0.25">
      <c r="A76" s="190" t="str">
        <f t="shared" si="11"/>
        <v/>
      </c>
      <c r="B76" s="279" t="str">
        <f t="shared" si="12"/>
        <v/>
      </c>
      <c r="C76" s="279"/>
      <c r="D76" s="279"/>
      <c r="E76" s="279" t="str">
        <f t="shared" si="16"/>
        <v/>
      </c>
      <c r="F76" t="s">
        <v>537</v>
      </c>
      <c r="G76" s="188">
        <v>45091</v>
      </c>
      <c r="H76" s="19" t="s">
        <v>81</v>
      </c>
      <c r="I76" s="99"/>
      <c r="J76" s="99" t="s">
        <v>402</v>
      </c>
      <c r="K76" s="99" t="s">
        <v>237</v>
      </c>
      <c r="L76" s="99" t="s">
        <v>2666</v>
      </c>
      <c r="M76" s="164" t="s">
        <v>558</v>
      </c>
      <c r="N76" s="164"/>
      <c r="O76" s="234"/>
      <c r="P76" s="234"/>
      <c r="Q76" s="231" t="str">
        <f t="shared" si="17"/>
        <v>. Camshaft, Eccentric</v>
      </c>
      <c r="R76" s="231"/>
      <c r="S76" s="231" t="str">
        <f t="shared" ref="S76:S139" si="20">IF(T76&lt;&gt;"",HYPERLINK(T76,"E.G."),"")</f>
        <v/>
      </c>
      <c r="T76" s="231" t="str">
        <f>IF(O76&lt;&gt;"",_xlfn.XLOOKUP(O76,'3D. Pictures'!B:B,'3D. Pictures'!E:E,"NOT FOUND",0,1),"")</f>
        <v/>
      </c>
      <c r="U76" s="164"/>
      <c r="V76" s="16"/>
      <c r="W76" s="164"/>
      <c r="X76" s="16"/>
      <c r="Y76" s="16"/>
      <c r="Z76" s="16"/>
      <c r="AA76" s="99" t="s">
        <v>2532</v>
      </c>
      <c r="AB76" s="99" t="s">
        <v>2532</v>
      </c>
      <c r="AC76" s="360" t="str">
        <f t="shared" si="19"/>
        <v>on head unless parting out</v>
      </c>
      <c r="AD76" s="99" t="s">
        <v>2531</v>
      </c>
      <c r="AE76" s="99"/>
      <c r="AF76" s="168" t="s">
        <v>543</v>
      </c>
      <c r="AG76" s="99"/>
      <c r="AH76" s="364">
        <v>175</v>
      </c>
      <c r="AI76" s="380">
        <f t="shared" si="8"/>
        <v>175</v>
      </c>
      <c r="AJ76" s="181" t="s">
        <v>2176</v>
      </c>
      <c r="AK76" s="181" t="s">
        <v>425</v>
      </c>
      <c r="AL76" s="204" t="s">
        <v>2177</v>
      </c>
      <c r="AM76" s="182"/>
      <c r="AO76" t="s">
        <v>572</v>
      </c>
      <c r="AX76" s="279" t="str">
        <f t="shared" si="13"/>
        <v/>
      </c>
    </row>
    <row r="77" spans="1:50" x14ac:dyDescent="0.25">
      <c r="A77" s="190" t="str">
        <f t="shared" si="11"/>
        <v/>
      </c>
      <c r="B77" s="279" t="str">
        <f t="shared" si="12"/>
        <v/>
      </c>
      <c r="C77" s="279"/>
      <c r="D77" s="279"/>
      <c r="E77" s="279" t="str">
        <f t="shared" si="16"/>
        <v/>
      </c>
      <c r="F77" t="s">
        <v>537</v>
      </c>
      <c r="G77" s="188">
        <v>45091</v>
      </c>
      <c r="H77" s="19" t="s">
        <v>81</v>
      </c>
      <c r="I77" s="99"/>
      <c r="J77" s="99" t="s">
        <v>402</v>
      </c>
      <c r="K77" s="99" t="s">
        <v>237</v>
      </c>
      <c r="L77" s="99" t="s">
        <v>2666</v>
      </c>
      <c r="M77" s="164" t="s">
        <v>558</v>
      </c>
      <c r="N77" s="164"/>
      <c r="O77" s="234"/>
      <c r="P77" s="234"/>
      <c r="Q77" s="231" t="str">
        <f t="shared" si="17"/>
        <v>. Camshaft, Exhaust</v>
      </c>
      <c r="R77" s="231"/>
      <c r="S77" s="231" t="str">
        <f t="shared" si="20"/>
        <v/>
      </c>
      <c r="T77" s="231" t="str">
        <f>IF(O77&lt;&gt;"",_xlfn.XLOOKUP(O77,'3D. Pictures'!B:B,'3D. Pictures'!E:E,"NOT FOUND",0,1),"")</f>
        <v/>
      </c>
      <c r="U77" s="164"/>
      <c r="V77" s="16"/>
      <c r="W77" s="164"/>
      <c r="X77" s="16"/>
      <c r="Y77" s="205"/>
      <c r="Z77" s="16"/>
      <c r="AA77" s="99" t="s">
        <v>2533</v>
      </c>
      <c r="AB77" s="99" t="s">
        <v>2533</v>
      </c>
      <c r="AC77" s="360" t="str">
        <f t="shared" si="19"/>
        <v>on head unless parting out</v>
      </c>
      <c r="AD77" s="99" t="s">
        <v>2531</v>
      </c>
      <c r="AE77" s="99"/>
      <c r="AF77" s="168" t="s">
        <v>543</v>
      </c>
      <c r="AG77" s="99"/>
      <c r="AH77" s="364">
        <v>240</v>
      </c>
      <c r="AI77" s="380">
        <f t="shared" ref="AI77:AI140" si="21">IF(ISTEXT(AH77), AH77, IFERROR(AVERAGEIF(AA:AA, AA77, AH:AH), ""))</f>
        <v>240</v>
      </c>
      <c r="AJ77" s="181" t="s">
        <v>2176</v>
      </c>
      <c r="AK77" s="181" t="s">
        <v>425</v>
      </c>
      <c r="AL77" s="204" t="s">
        <v>2177</v>
      </c>
      <c r="AM77" s="182"/>
      <c r="AO77" t="s">
        <v>572</v>
      </c>
      <c r="AX77" s="279" t="str">
        <f t="shared" si="13"/>
        <v/>
      </c>
    </row>
    <row r="78" spans="1:50" x14ac:dyDescent="0.25">
      <c r="A78" s="190" t="str">
        <f t="shared" si="11"/>
        <v/>
      </c>
      <c r="B78" s="279" t="str">
        <f t="shared" si="12"/>
        <v/>
      </c>
      <c r="C78" s="279"/>
      <c r="D78" s="279"/>
      <c r="E78" s="279" t="str">
        <f t="shared" si="16"/>
        <v/>
      </c>
      <c r="F78" t="s">
        <v>537</v>
      </c>
      <c r="G78" s="188">
        <v>45091</v>
      </c>
      <c r="H78" s="19" t="s">
        <v>81</v>
      </c>
      <c r="I78" s="99"/>
      <c r="J78" s="99" t="s">
        <v>402</v>
      </c>
      <c r="K78" s="99" t="s">
        <v>237</v>
      </c>
      <c r="L78" s="99" t="s">
        <v>2666</v>
      </c>
      <c r="M78" s="164" t="s">
        <v>558</v>
      </c>
      <c r="N78" s="164"/>
      <c r="O78" s="234"/>
      <c r="P78" s="234"/>
      <c r="Q78" s="231" t="str">
        <f t="shared" si="17"/>
        <v>. Camshaft, Intake</v>
      </c>
      <c r="R78" s="231"/>
      <c r="S78" s="231" t="str">
        <f t="shared" si="20"/>
        <v/>
      </c>
      <c r="T78" s="231" t="str">
        <f>IF(O78&lt;&gt;"",_xlfn.XLOOKUP(O78,'3D. Pictures'!B:B,'3D. Pictures'!E:E,"NOT FOUND",0,1),"")</f>
        <v/>
      </c>
      <c r="U78" s="164"/>
      <c r="V78" s="16"/>
      <c r="W78" s="164"/>
      <c r="X78" s="16"/>
      <c r="Y78" s="205"/>
      <c r="Z78" s="16"/>
      <c r="AA78" s="99" t="s">
        <v>2534</v>
      </c>
      <c r="AB78" s="99" t="s">
        <v>2534</v>
      </c>
      <c r="AC78" s="360" t="str">
        <f t="shared" si="19"/>
        <v>on head unless parting out</v>
      </c>
      <c r="AD78" s="99" t="s">
        <v>2531</v>
      </c>
      <c r="AE78" s="99"/>
      <c r="AF78" s="168" t="s">
        <v>543</v>
      </c>
      <c r="AG78" s="99"/>
      <c r="AH78" s="364">
        <v>400</v>
      </c>
      <c r="AI78" s="380">
        <f t="shared" si="21"/>
        <v>400</v>
      </c>
      <c r="AJ78" s="181" t="s">
        <v>2176</v>
      </c>
      <c r="AK78" s="181" t="s">
        <v>425</v>
      </c>
      <c r="AL78" s="204" t="s">
        <v>2177</v>
      </c>
      <c r="AM78" s="182"/>
      <c r="AO78" t="s">
        <v>572</v>
      </c>
      <c r="AX78" s="279" t="str">
        <f t="shared" si="13"/>
        <v/>
      </c>
    </row>
    <row r="79" spans="1:50" x14ac:dyDescent="0.25">
      <c r="A79" s="190" t="str">
        <f t="shared" si="11"/>
        <v/>
      </c>
      <c r="B79" s="279" t="str">
        <f t="shared" si="12"/>
        <v/>
      </c>
      <c r="C79" s="279"/>
      <c r="D79" s="279"/>
      <c r="E79" s="279" t="str">
        <f t="shared" si="16"/>
        <v/>
      </c>
      <c r="F79" t="s">
        <v>535</v>
      </c>
      <c r="G79" s="188">
        <v>44670</v>
      </c>
      <c r="H79" s="19" t="s">
        <v>81</v>
      </c>
      <c r="I79" s="99"/>
      <c r="J79" s="99" t="s">
        <v>402</v>
      </c>
      <c r="K79" s="99" t="s">
        <v>237</v>
      </c>
      <c r="L79" s="99" t="s">
        <v>54</v>
      </c>
      <c r="M79" s="16" t="s">
        <v>559</v>
      </c>
      <c r="N79" s="16"/>
      <c r="O79" s="166"/>
      <c r="P79" s="166"/>
      <c r="Q79" s="231" t="str">
        <f t="shared" si="17"/>
        <v>. Crank Shaft</v>
      </c>
      <c r="R79" s="231"/>
      <c r="S79" s="231" t="str">
        <f t="shared" si="20"/>
        <v/>
      </c>
      <c r="T79" s="231" t="str">
        <f>IF(O79&lt;&gt;"",_xlfn.XLOOKUP(O79,'3D. Pictures'!B:B,'3D. Pictures'!E:E,"NOT FOUND",0,1),"")</f>
        <v/>
      </c>
      <c r="U79" s="16"/>
      <c r="V79" s="16"/>
      <c r="W79" s="16"/>
      <c r="X79" s="16"/>
      <c r="Y79" s="205"/>
      <c r="Z79" s="16"/>
      <c r="AA79" s="99" t="s">
        <v>54</v>
      </c>
      <c r="AB79" s="99" t="s">
        <v>54</v>
      </c>
      <c r="AC79" s="360" t="str">
        <f t="shared" si="19"/>
        <v/>
      </c>
      <c r="AD79" s="99"/>
      <c r="AE79" s="99"/>
      <c r="AF79" s="168" t="s">
        <v>543</v>
      </c>
      <c r="AG79" s="160"/>
      <c r="AH79" s="365">
        <v>1600</v>
      </c>
      <c r="AI79" s="380">
        <f t="shared" si="21"/>
        <v>1600</v>
      </c>
      <c r="AJ79" s="3" t="s">
        <v>2176</v>
      </c>
      <c r="AK79" s="3" t="s">
        <v>425</v>
      </c>
      <c r="AL79" s="204" t="s">
        <v>2177</v>
      </c>
      <c r="AM79" s="138" t="s">
        <v>81</v>
      </c>
      <c r="AN79"/>
      <c r="AX79" s="279" t="str">
        <f t="shared" si="13"/>
        <v/>
      </c>
    </row>
    <row r="80" spans="1:50" ht="15.75" thickBot="1" x14ac:dyDescent="0.3">
      <c r="A80" s="190" t="str">
        <f t="shared" si="11"/>
        <v/>
      </c>
      <c r="B80" s="279" t="str">
        <f t="shared" si="12"/>
        <v>306-50551</v>
      </c>
      <c r="C80" s="279"/>
      <c r="D80" s="279"/>
      <c r="E80" s="279">
        <f t="shared" si="16"/>
        <v>1</v>
      </c>
      <c r="F80" s="190" t="s">
        <v>535</v>
      </c>
      <c r="G80" s="198">
        <v>44670</v>
      </c>
      <c r="H80" s="210" t="s">
        <v>81</v>
      </c>
      <c r="I80" s="213"/>
      <c r="J80" s="213" t="s">
        <v>402</v>
      </c>
      <c r="K80" s="213" t="s">
        <v>237</v>
      </c>
      <c r="L80" s="213" t="s">
        <v>403</v>
      </c>
      <c r="M80" s="192" t="s">
        <v>558</v>
      </c>
      <c r="N80" s="192"/>
      <c r="O80" s="229"/>
      <c r="P80" s="229"/>
      <c r="Q80" s="231" t="str">
        <f t="shared" si="17"/>
        <v>. Cylinder Head</v>
      </c>
      <c r="R80" s="231"/>
      <c r="S80" s="231" t="str">
        <f t="shared" si="20"/>
        <v/>
      </c>
      <c r="T80" s="231" t="str">
        <f>IF(O80&lt;&gt;"",_xlfn.XLOOKUP(O80,'3D. Pictures'!B:B,'3D. Pictures'!E:E,"NOT FOUND",0,1),"")</f>
        <v/>
      </c>
      <c r="U80" s="192"/>
      <c r="V80" s="205"/>
      <c r="W80" s="192"/>
      <c r="X80" s="205"/>
      <c r="Y80" s="205"/>
      <c r="Z80" s="205"/>
      <c r="AA80" s="213" t="s">
        <v>403</v>
      </c>
      <c r="AB80" s="213" t="s">
        <v>403</v>
      </c>
      <c r="AC80" s="360" t="str">
        <f t="shared" si="19"/>
        <v/>
      </c>
      <c r="AD80" s="213"/>
      <c r="AE80" s="213"/>
      <c r="AF80" s="201" t="s">
        <v>543</v>
      </c>
      <c r="AG80" s="213"/>
      <c r="AH80" s="364">
        <v>1250</v>
      </c>
      <c r="AI80" s="380">
        <f t="shared" si="21"/>
        <v>1250</v>
      </c>
      <c r="AJ80" s="204" t="s">
        <v>2176</v>
      </c>
      <c r="AK80" s="204" t="s">
        <v>425</v>
      </c>
      <c r="AL80" s="204" t="s">
        <v>2177</v>
      </c>
      <c r="AM80" s="211" t="s">
        <v>81</v>
      </c>
      <c r="AN80" s="191" t="s">
        <v>603</v>
      </c>
      <c r="AO80" s="190" t="s">
        <v>572</v>
      </c>
      <c r="AP80" s="190">
        <v>50551</v>
      </c>
      <c r="AQ80" s="190" t="str">
        <f>CONCATENATE(AN80,AO80,AP80)</f>
        <v>306-50551</v>
      </c>
      <c r="AR80" s="190"/>
      <c r="AS80" s="190"/>
      <c r="AT80" s="190"/>
      <c r="AU80" s="190"/>
      <c r="AV80" s="190"/>
      <c r="AW80" s="190"/>
      <c r="AX80" s="279" t="str">
        <f t="shared" si="13"/>
        <v/>
      </c>
    </row>
    <row r="81" spans="1:50" ht="15.75" thickBot="1" x14ac:dyDescent="0.3">
      <c r="A81" s="190" t="str">
        <f t="shared" ref="A81" si="22">IF(O81&lt;&gt;"",O81,"")</f>
        <v>A109</v>
      </c>
      <c r="B81" s="279" t="str">
        <f t="shared" si="12"/>
        <v>300-70932</v>
      </c>
      <c r="C81" s="279" t="s">
        <v>2093</v>
      </c>
      <c r="D81" s="279"/>
      <c r="E81" s="279">
        <f t="shared" si="16"/>
        <v>3</v>
      </c>
      <c r="F81" s="190" t="s">
        <v>535</v>
      </c>
      <c r="G81" s="198">
        <v>45084</v>
      </c>
      <c r="H81" s="210" t="s">
        <v>81</v>
      </c>
      <c r="I81" s="213" t="s">
        <v>507</v>
      </c>
      <c r="J81" s="213" t="s">
        <v>402</v>
      </c>
      <c r="K81" s="213" t="s">
        <v>237</v>
      </c>
      <c r="L81" s="213" t="s">
        <v>1344</v>
      </c>
      <c r="M81" s="192" t="s">
        <v>558</v>
      </c>
      <c r="N81" s="192">
        <v>99</v>
      </c>
      <c r="O81" s="229" t="s">
        <v>1011</v>
      </c>
      <c r="P81" s="229" t="s">
        <v>237</v>
      </c>
      <c r="Q81" s="231" t="str">
        <f t="shared" si="17"/>
        <v>A109. Engine Assembly as FULL ASSEMBLY</v>
      </c>
      <c r="R81" s="284" t="str">
        <f>HYPERLINK(VLOOKUP(O81,'3D. Pictures'!$B$3:$E$500,4,FALSE),"PIC")</f>
        <v>PIC</v>
      </c>
      <c r="S81" s="373" t="str">
        <f t="shared" si="20"/>
        <v>E.G.</v>
      </c>
      <c r="T81" s="377" t="str">
        <f>IF(O81&lt;&gt;"",_xlfn.XLOOKUP(O81,'3D. Pictures'!B:B,'3D. Pictures'!E:E,"NOT FOUND",0,1),"")</f>
        <v>https://viking-pictures.s3.us-west-1.amazonaws.com/AA1155/A109.+Engine+Assembly+as+FULL+ASSEMBLY+(1).JPG</v>
      </c>
      <c r="U81" s="192">
        <v>14</v>
      </c>
      <c r="V81" s="205" t="s">
        <v>1342</v>
      </c>
      <c r="W81" s="192" t="s">
        <v>111</v>
      </c>
      <c r="X81" s="205"/>
      <c r="Y81" s="16"/>
      <c r="Z81" s="205"/>
      <c r="AA81" s="213" t="s">
        <v>2775</v>
      </c>
      <c r="AB81" s="213" t="s">
        <v>1343</v>
      </c>
      <c r="AC81" s="360" t="str">
        <f t="shared" si="19"/>
        <v>keep only &lt;125k, sell long block if accessories bad</v>
      </c>
      <c r="AD81" s="213" t="s">
        <v>2751</v>
      </c>
      <c r="AE81" s="213"/>
      <c r="AF81" s="201" t="s">
        <v>543</v>
      </c>
      <c r="AG81" s="213"/>
      <c r="AH81" s="99">
        <v>6000</v>
      </c>
      <c r="AI81" s="380">
        <f t="shared" si="21"/>
        <v>5333.333333333333</v>
      </c>
      <c r="AJ81" s="204" t="s">
        <v>2176</v>
      </c>
      <c r="AK81" s="204" t="s">
        <v>425</v>
      </c>
      <c r="AL81" s="204" t="s">
        <v>2177</v>
      </c>
      <c r="AM81" s="211" t="s">
        <v>81</v>
      </c>
      <c r="AN81" s="191" t="s">
        <v>604</v>
      </c>
      <c r="AO81" s="190" t="s">
        <v>572</v>
      </c>
      <c r="AP81" s="190">
        <v>70932</v>
      </c>
      <c r="AQ81" s="190" t="str">
        <f>CONCATENATE(AN81,AO81,AP81)</f>
        <v>300-70932</v>
      </c>
      <c r="AR81" s="190"/>
      <c r="AS81" s="190"/>
      <c r="AT81" s="190"/>
      <c r="AU81" s="190"/>
      <c r="AV81" s="190"/>
      <c r="AW81" s="190"/>
      <c r="AX81" s="279" t="str">
        <f t="shared" si="13"/>
        <v/>
      </c>
    </row>
    <row r="82" spans="1:50" x14ac:dyDescent="0.25">
      <c r="A82" s="190" t="str">
        <f t="shared" si="11"/>
        <v/>
      </c>
      <c r="B82" s="279" t="str">
        <f t="shared" si="12"/>
        <v>300-70932</v>
      </c>
      <c r="C82" s="279" t="s">
        <v>2094</v>
      </c>
      <c r="D82" s="279"/>
      <c r="E82" s="279">
        <f t="shared" si="16"/>
        <v>3</v>
      </c>
      <c r="F82" s="190" t="s">
        <v>535</v>
      </c>
      <c r="G82" s="198">
        <v>45084</v>
      </c>
      <c r="H82" s="210" t="s">
        <v>81</v>
      </c>
      <c r="I82" s="213" t="s">
        <v>507</v>
      </c>
      <c r="J82" s="213" t="s">
        <v>402</v>
      </c>
      <c r="K82" s="213" t="s">
        <v>237</v>
      </c>
      <c r="L82" s="213" t="s">
        <v>1344</v>
      </c>
      <c r="M82" s="192" t="s">
        <v>558</v>
      </c>
      <c r="N82" s="192"/>
      <c r="O82" s="229"/>
      <c r="P82" s="229"/>
      <c r="Q82" s="231" t="str">
        <f t="shared" si="17"/>
        <v>. Engine Assembly as FULL ASSEMBLY WITHOUT TURBOS</v>
      </c>
      <c r="R82" s="231"/>
      <c r="S82" s="231" t="str">
        <f t="shared" si="20"/>
        <v/>
      </c>
      <c r="T82" s="231" t="str">
        <f>IF(O82&lt;&gt;"",_xlfn.XLOOKUP(O82,'3D. Pictures'!B:B,'3D. Pictures'!E:E,"NOT FOUND",0,1),"")</f>
        <v/>
      </c>
      <c r="U82" s="192"/>
      <c r="V82" s="205"/>
      <c r="W82" s="192"/>
      <c r="X82" s="205"/>
      <c r="Y82" s="16"/>
      <c r="Z82" s="205"/>
      <c r="AA82" s="213" t="s">
        <v>2775</v>
      </c>
      <c r="AB82" s="213" t="s">
        <v>1346</v>
      </c>
      <c r="AC82" s="360" t="str">
        <f t="shared" si="19"/>
        <v>keep only &lt;125k, sell long block if accessories bad</v>
      </c>
      <c r="AD82" s="213" t="s">
        <v>2751</v>
      </c>
      <c r="AE82" s="213"/>
      <c r="AF82" s="201" t="s">
        <v>543</v>
      </c>
      <c r="AG82" s="213"/>
      <c r="AH82" s="99">
        <v>5500</v>
      </c>
      <c r="AI82" s="380">
        <f t="shared" si="21"/>
        <v>5333.333333333333</v>
      </c>
      <c r="AJ82" s="204" t="s">
        <v>2176</v>
      </c>
      <c r="AK82" s="204" t="s">
        <v>425</v>
      </c>
      <c r="AL82" s="204" t="s">
        <v>2177</v>
      </c>
      <c r="AM82" s="211" t="s">
        <v>81</v>
      </c>
      <c r="AN82" s="191" t="s">
        <v>604</v>
      </c>
      <c r="AO82" s="190" t="s">
        <v>572</v>
      </c>
      <c r="AP82" s="190">
        <v>70932</v>
      </c>
      <c r="AQ82" s="190" t="str">
        <f>CONCATENATE(AN82,AO82,AP82)</f>
        <v>300-70932</v>
      </c>
      <c r="AR82" s="190"/>
      <c r="AS82" s="190"/>
      <c r="AT82" s="190"/>
      <c r="AU82" s="190"/>
      <c r="AV82" s="190"/>
      <c r="AW82" s="190"/>
      <c r="AX82" s="279" t="str">
        <f t="shared" si="13"/>
        <v/>
      </c>
    </row>
    <row r="83" spans="1:50" x14ac:dyDescent="0.25">
      <c r="A83" s="190" t="str">
        <f t="shared" si="11"/>
        <v/>
      </c>
      <c r="B83" s="279" t="str">
        <f t="shared" si="12"/>
        <v>300-70932</v>
      </c>
      <c r="C83" s="279" t="s">
        <v>2095</v>
      </c>
      <c r="D83" s="279"/>
      <c r="E83" s="279">
        <f t="shared" si="16"/>
        <v>3</v>
      </c>
      <c r="F83" s="190" t="s">
        <v>535</v>
      </c>
      <c r="G83" s="198">
        <v>45084</v>
      </c>
      <c r="H83" s="210" t="s">
        <v>81</v>
      </c>
      <c r="I83" s="213" t="s">
        <v>507</v>
      </c>
      <c r="J83" s="213" t="s">
        <v>402</v>
      </c>
      <c r="K83" s="213" t="s">
        <v>237</v>
      </c>
      <c r="L83" s="213" t="s">
        <v>1344</v>
      </c>
      <c r="M83" s="192" t="s">
        <v>558</v>
      </c>
      <c r="N83" s="192"/>
      <c r="O83" s="229"/>
      <c r="P83" s="229"/>
      <c r="Q83" s="231" t="str">
        <f t="shared" si="17"/>
        <v>. Engine Assembly as LONG BLOCK</v>
      </c>
      <c r="R83" s="231"/>
      <c r="S83" s="231" t="str">
        <f t="shared" si="20"/>
        <v/>
      </c>
      <c r="T83" s="231" t="str">
        <f>IF(O83&lt;&gt;"",_xlfn.XLOOKUP(O83,'3D. Pictures'!B:B,'3D. Pictures'!E:E,"NOT FOUND",0,1),"")</f>
        <v/>
      </c>
      <c r="U83" s="192"/>
      <c r="V83" s="205"/>
      <c r="W83" s="192"/>
      <c r="X83" s="205"/>
      <c r="Y83" s="16"/>
      <c r="Z83" s="205"/>
      <c r="AA83" s="213" t="s">
        <v>2775</v>
      </c>
      <c r="AB83" s="213" t="s">
        <v>1345</v>
      </c>
      <c r="AC83" s="360" t="str">
        <f t="shared" si="19"/>
        <v>keep only &lt;125k, sell long block if accessories bad</v>
      </c>
      <c r="AD83" s="213" t="s">
        <v>2751</v>
      </c>
      <c r="AE83" s="213"/>
      <c r="AF83" s="201" t="s">
        <v>543</v>
      </c>
      <c r="AG83" s="213"/>
      <c r="AH83" s="99">
        <v>4500</v>
      </c>
      <c r="AI83" s="380">
        <f t="shared" si="21"/>
        <v>5333.333333333333</v>
      </c>
      <c r="AJ83" s="204" t="s">
        <v>2176</v>
      </c>
      <c r="AK83" s="204" t="s">
        <v>425</v>
      </c>
      <c r="AL83" s="204" t="s">
        <v>2177</v>
      </c>
      <c r="AM83" s="211" t="s">
        <v>81</v>
      </c>
      <c r="AN83" s="191" t="s">
        <v>604</v>
      </c>
      <c r="AO83" s="190" t="s">
        <v>572</v>
      </c>
      <c r="AP83" s="190">
        <v>70932</v>
      </c>
      <c r="AQ83" s="190" t="str">
        <f>CONCATENATE(AN83,AO83,AP83)</f>
        <v>300-70932</v>
      </c>
      <c r="AR83" s="190"/>
      <c r="AS83" s="190"/>
      <c r="AT83" s="190"/>
      <c r="AU83" s="190"/>
      <c r="AV83" s="190"/>
      <c r="AW83" s="190"/>
      <c r="AX83" s="279" t="str">
        <f t="shared" si="13"/>
        <v/>
      </c>
    </row>
    <row r="84" spans="1:50" x14ac:dyDescent="0.25">
      <c r="A84" s="190" t="str">
        <f t="shared" si="11"/>
        <v/>
      </c>
      <c r="B84" s="279" t="str">
        <f t="shared" si="12"/>
        <v/>
      </c>
      <c r="C84" s="279"/>
      <c r="D84" s="279"/>
      <c r="E84" s="279" t="str">
        <f t="shared" si="16"/>
        <v/>
      </c>
      <c r="F84" t="s">
        <v>535</v>
      </c>
      <c r="G84" s="188">
        <v>44670</v>
      </c>
      <c r="H84" s="19" t="s">
        <v>81</v>
      </c>
      <c r="I84" s="99"/>
      <c r="J84" s="99" t="s">
        <v>402</v>
      </c>
      <c r="K84" s="99" t="s">
        <v>237</v>
      </c>
      <c r="L84" s="99" t="s">
        <v>2667</v>
      </c>
      <c r="M84" s="164" t="s">
        <v>558</v>
      </c>
      <c r="N84" s="164"/>
      <c r="O84" s="234"/>
      <c r="P84" s="234"/>
      <c r="Q84" s="231" t="str">
        <f t="shared" si="17"/>
        <v>. Engine Cylinder Block</v>
      </c>
      <c r="R84" s="231"/>
      <c r="S84" s="231" t="str">
        <f t="shared" si="20"/>
        <v/>
      </c>
      <c r="T84" s="231" t="str">
        <f>IF(O84&lt;&gt;"",_xlfn.XLOOKUP(O84,'3D. Pictures'!B:B,'3D. Pictures'!E:E,"NOT FOUND",0,1),"")</f>
        <v/>
      </c>
      <c r="U84" s="164"/>
      <c r="V84" s="16"/>
      <c r="W84" s="164"/>
      <c r="X84" s="16"/>
      <c r="Y84" s="205"/>
      <c r="Z84" s="16"/>
      <c r="AA84" s="99" t="s">
        <v>2538</v>
      </c>
      <c r="AB84" s="99" t="s">
        <v>2538</v>
      </c>
      <c r="AC84" s="360" t="str">
        <f t="shared" si="19"/>
        <v>leave crank cradle ON</v>
      </c>
      <c r="AD84" s="99" t="s">
        <v>2535</v>
      </c>
      <c r="AE84" s="99"/>
      <c r="AF84" s="168" t="s">
        <v>543</v>
      </c>
      <c r="AG84" s="99"/>
      <c r="AH84" s="364">
        <v>750</v>
      </c>
      <c r="AI84" s="380">
        <f t="shared" si="21"/>
        <v>750</v>
      </c>
      <c r="AJ84" s="3" t="s">
        <v>2176</v>
      </c>
      <c r="AK84" s="3" t="s">
        <v>425</v>
      </c>
      <c r="AL84" s="204" t="s">
        <v>2177</v>
      </c>
      <c r="AM84" s="138" t="s">
        <v>81</v>
      </c>
      <c r="AO84" t="s">
        <v>572</v>
      </c>
      <c r="AX84" s="279" t="str">
        <f t="shared" si="13"/>
        <v/>
      </c>
    </row>
    <row r="85" spans="1:50" x14ac:dyDescent="0.25">
      <c r="A85" s="190" t="str">
        <f t="shared" si="11"/>
        <v/>
      </c>
      <c r="B85" s="279" t="str">
        <f t="shared" si="12"/>
        <v/>
      </c>
      <c r="C85" s="279"/>
      <c r="D85" s="279"/>
      <c r="E85" s="279" t="str">
        <f t="shared" si="16"/>
        <v/>
      </c>
      <c r="F85" t="s">
        <v>536</v>
      </c>
      <c r="G85" s="188">
        <v>45099</v>
      </c>
      <c r="H85" s="19"/>
      <c r="I85" s="16"/>
      <c r="J85" s="16" t="s">
        <v>402</v>
      </c>
      <c r="K85" s="16" t="s">
        <v>237</v>
      </c>
      <c r="L85" s="16" t="s">
        <v>2668</v>
      </c>
      <c r="M85" s="16" t="s">
        <v>559</v>
      </c>
      <c r="N85" s="16"/>
      <c r="O85" s="166"/>
      <c r="P85" s="166"/>
      <c r="Q85" s="231" t="str">
        <f t="shared" si="17"/>
        <v>. Engine Mount Bracket SET 2</v>
      </c>
      <c r="R85" s="231"/>
      <c r="S85" s="231" t="str">
        <f t="shared" si="20"/>
        <v/>
      </c>
      <c r="T85" s="231" t="str">
        <f>IF(O85&lt;&gt;"",_xlfn.XLOOKUP(O85,'3D. Pictures'!B:B,'3D. Pictures'!E:E,"NOT FOUND",0,1),"")</f>
        <v/>
      </c>
      <c r="U85" s="16"/>
      <c r="V85" s="16"/>
      <c r="W85" s="16"/>
      <c r="X85" s="16"/>
      <c r="Y85" s="205"/>
      <c r="Z85" s="16"/>
      <c r="AA85" s="16" t="s">
        <v>2536</v>
      </c>
      <c r="AB85" s="16" t="s">
        <v>2536</v>
      </c>
      <c r="AC85" s="358" t="str">
        <f t="shared" si="19"/>
        <v>SET2, toss both if 1 bad | triangle shaped metal ones</v>
      </c>
      <c r="AD85" s="16" t="s">
        <v>2223</v>
      </c>
      <c r="AE85" s="16" t="s">
        <v>2537</v>
      </c>
      <c r="AF85" s="168" t="s">
        <v>544</v>
      </c>
      <c r="AG85" s="16"/>
      <c r="AH85" s="363">
        <v>120</v>
      </c>
      <c r="AI85" s="380">
        <f t="shared" si="21"/>
        <v>120</v>
      </c>
      <c r="AJ85" s="3" t="s">
        <v>2176</v>
      </c>
      <c r="AK85" s="3" t="s">
        <v>425</v>
      </c>
      <c r="AL85" s="204" t="s">
        <v>2177</v>
      </c>
      <c r="AN85"/>
      <c r="AX85" s="279" t="str">
        <f t="shared" si="13"/>
        <v/>
      </c>
    </row>
    <row r="86" spans="1:50" x14ac:dyDescent="0.25">
      <c r="A86" s="190" t="str">
        <f t="shared" si="11"/>
        <v/>
      </c>
      <c r="B86" s="303" t="str">
        <f t="shared" ref="B86" si="23">IF(AQ86&lt;&gt;"",AQ86,"")</f>
        <v/>
      </c>
      <c r="C86" s="303"/>
      <c r="D86" s="303"/>
      <c r="E86" s="303" t="str">
        <f t="shared" si="16"/>
        <v/>
      </c>
      <c r="F86" s="303" t="s">
        <v>535</v>
      </c>
      <c r="G86" s="304">
        <v>45244</v>
      </c>
      <c r="H86" s="305"/>
      <c r="I86" s="306"/>
      <c r="J86" s="306" t="s">
        <v>402</v>
      </c>
      <c r="K86" s="306" t="s">
        <v>237</v>
      </c>
      <c r="L86" s="306" t="s">
        <v>2668</v>
      </c>
      <c r="M86" s="306" t="s">
        <v>559</v>
      </c>
      <c r="N86" s="306"/>
      <c r="O86" s="307"/>
      <c r="P86" s="307"/>
      <c r="Q86" s="307" t="str">
        <f t="shared" si="17"/>
        <v>. Engine Motor Mount SET 2</v>
      </c>
      <c r="R86" s="307"/>
      <c r="S86" s="307" t="str">
        <f t="shared" si="20"/>
        <v/>
      </c>
      <c r="T86" s="307" t="str">
        <f>IF(O86&lt;&gt;"",_xlfn.XLOOKUP(O86,'3D. Pictures'!B:B,'3D. Pictures'!E:E,"NOT FOUND",0,1),"")</f>
        <v/>
      </c>
      <c r="U86" s="306"/>
      <c r="V86" s="306">
        <v>6780653</v>
      </c>
      <c r="W86" s="194" t="s">
        <v>111</v>
      </c>
      <c r="X86" s="306"/>
      <c r="Y86" s="16"/>
      <c r="Z86" s="306"/>
      <c r="AA86" s="306" t="s">
        <v>2483</v>
      </c>
      <c r="AB86" s="306" t="s">
        <v>2483</v>
      </c>
      <c r="AC86" s="358" t="str">
        <f t="shared" si="19"/>
        <v>SET2, toss both if 1 bad | black metal w/ rubber, leaks=toss</v>
      </c>
      <c r="AD86" s="306" t="s">
        <v>2223</v>
      </c>
      <c r="AE86" s="306" t="s">
        <v>2781</v>
      </c>
      <c r="AF86" s="309" t="s">
        <v>544</v>
      </c>
      <c r="AG86" s="306"/>
      <c r="AH86" s="363">
        <v>65</v>
      </c>
      <c r="AI86" s="380">
        <f t="shared" si="21"/>
        <v>65</v>
      </c>
      <c r="AJ86" s="310" t="s">
        <v>2198</v>
      </c>
      <c r="AK86" s="310" t="s">
        <v>425</v>
      </c>
      <c r="AL86" s="310" t="s">
        <v>2198</v>
      </c>
      <c r="AM86" s="303"/>
      <c r="AN86" s="303"/>
      <c r="AO86" s="303"/>
      <c r="AP86" s="303"/>
      <c r="AQ86" s="303"/>
      <c r="AR86" s="303"/>
      <c r="AS86" s="303"/>
      <c r="AT86" s="303"/>
      <c r="AU86" s="303"/>
      <c r="AV86" s="303"/>
      <c r="AW86" s="303"/>
      <c r="AX86" s="279" t="str">
        <f t="shared" si="13"/>
        <v/>
      </c>
    </row>
    <row r="87" spans="1:50" x14ac:dyDescent="0.25">
      <c r="A87" s="190" t="str">
        <f t="shared" si="11"/>
        <v/>
      </c>
      <c r="B87" s="241" t="str">
        <f t="shared" si="12"/>
        <v/>
      </c>
      <c r="C87" s="241"/>
      <c r="D87" s="241"/>
      <c r="E87" s="241" t="str">
        <f t="shared" si="16"/>
        <v/>
      </c>
      <c r="F87" s="241" t="s">
        <v>535</v>
      </c>
      <c r="G87" s="242">
        <v>45244</v>
      </c>
      <c r="H87" s="252"/>
      <c r="I87" s="243"/>
      <c r="J87" s="243" t="s">
        <v>402</v>
      </c>
      <c r="K87" s="243" t="s">
        <v>237</v>
      </c>
      <c r="L87" s="243" t="s">
        <v>2715</v>
      </c>
      <c r="M87" s="243" t="s">
        <v>559</v>
      </c>
      <c r="N87" s="243"/>
      <c r="O87" s="244"/>
      <c r="P87" s="244"/>
      <c r="Q87" s="231" t="str">
        <f t="shared" si="17"/>
        <v>. Engine Oil Level Sensor</v>
      </c>
      <c r="R87" s="244"/>
      <c r="S87" s="244" t="str">
        <f t="shared" si="20"/>
        <v/>
      </c>
      <c r="T87" s="244" t="str">
        <f>IF(O87&lt;&gt;"",_xlfn.XLOOKUP(O87,'3D. Pictures'!B:B,'3D. Pictures'!E:E,"NOT FOUND",0,1),"")</f>
        <v/>
      </c>
      <c r="U87" s="243"/>
      <c r="V87" s="243"/>
      <c r="W87" s="243"/>
      <c r="X87" s="243"/>
      <c r="Y87" s="205"/>
      <c r="Z87" s="243"/>
      <c r="AA87" s="243" t="s">
        <v>85</v>
      </c>
      <c r="AB87" s="243" t="s">
        <v>85</v>
      </c>
      <c r="AC87" s="358" t="str">
        <f t="shared" si="19"/>
        <v/>
      </c>
      <c r="AD87" s="243"/>
      <c r="AE87" s="243"/>
      <c r="AF87" s="179" t="s">
        <v>543</v>
      </c>
      <c r="AG87" s="243"/>
      <c r="AH87" s="16">
        <v>75</v>
      </c>
      <c r="AI87" s="380">
        <f t="shared" si="21"/>
        <v>75</v>
      </c>
      <c r="AJ87" s="246" t="s">
        <v>2194</v>
      </c>
      <c r="AK87" s="246" t="s">
        <v>425</v>
      </c>
      <c r="AL87" s="246" t="s">
        <v>2631</v>
      </c>
      <c r="AM87" s="241"/>
      <c r="AN87" s="241"/>
      <c r="AO87" s="241"/>
      <c r="AP87" s="241"/>
      <c r="AQ87" s="241"/>
      <c r="AR87" s="241"/>
      <c r="AS87" s="241" t="s">
        <v>1028</v>
      </c>
      <c r="AT87" s="241" t="s">
        <v>2194</v>
      </c>
      <c r="AU87" s="241" t="s">
        <v>1030</v>
      </c>
      <c r="AV87" s="303" t="str">
        <f>CONCATENATE(AS87,"-",AT87,"-",AU87)</f>
        <v>F15-14-18 3.0T N55 &amp; 4.4TT N63T-ALL</v>
      </c>
      <c r="AW87" s="241" t="s">
        <v>2367</v>
      </c>
      <c r="AX87" s="279" t="str">
        <f>IF(AW87&lt;&gt;"",_xlfn.TEXTJOIN("-",TRUE,AV87,AW87),"")</f>
        <v>F15-14-18 3.0T N55 &amp; 4.4TT N63T-ALL-Viking1</v>
      </c>
    </row>
    <row r="88" spans="1:50" x14ac:dyDescent="0.25">
      <c r="A88" s="190" t="str">
        <f t="shared" si="11"/>
        <v/>
      </c>
      <c r="B88" s="279" t="str">
        <f t="shared" si="12"/>
        <v>322-67441</v>
      </c>
      <c r="C88" s="279"/>
      <c r="D88" s="279"/>
      <c r="E88" s="279">
        <f t="shared" si="16"/>
        <v>3</v>
      </c>
      <c r="F88" s="190" t="s">
        <v>535</v>
      </c>
      <c r="G88" s="198">
        <v>44670</v>
      </c>
      <c r="H88" s="210" t="s">
        <v>81</v>
      </c>
      <c r="I88" s="213"/>
      <c r="J88" s="213" t="s">
        <v>402</v>
      </c>
      <c r="K88" s="213" t="s">
        <v>237</v>
      </c>
      <c r="L88" s="213" t="s">
        <v>2182</v>
      </c>
      <c r="M88" s="192" t="s">
        <v>558</v>
      </c>
      <c r="N88" s="192"/>
      <c r="O88" s="229"/>
      <c r="P88" s="229"/>
      <c r="Q88" s="231" t="str">
        <f t="shared" si="17"/>
        <v>. Fuel Injector SET 6</v>
      </c>
      <c r="R88" s="231"/>
      <c r="S88" s="231" t="str">
        <f t="shared" si="20"/>
        <v/>
      </c>
      <c r="T88" s="231" t="str">
        <f>IF(O88&lt;&gt;"",_xlfn.XLOOKUP(O88,'3D. Pictures'!B:B,'3D. Pictures'!E:E,"NOT FOUND",0,1),"")</f>
        <v/>
      </c>
      <c r="U88" s="192"/>
      <c r="V88" s="205"/>
      <c r="W88" s="192"/>
      <c r="X88" s="205"/>
      <c r="Y88" s="205"/>
      <c r="Z88" s="205"/>
      <c r="AA88" s="213" t="s">
        <v>2182</v>
      </c>
      <c r="AB88" s="213" t="s">
        <v>2519</v>
      </c>
      <c r="AC88" s="360" t="str">
        <f t="shared" si="19"/>
        <v>SET 6, sell SET 4 &amp; singles if 1 bad | note broken caps</v>
      </c>
      <c r="AD88" s="213" t="s">
        <v>2776</v>
      </c>
      <c r="AE88" s="213" t="s">
        <v>2777</v>
      </c>
      <c r="AF88" s="201" t="s">
        <v>546</v>
      </c>
      <c r="AG88" s="213"/>
      <c r="AH88" s="99">
        <v>200</v>
      </c>
      <c r="AI88" s="380">
        <f t="shared" si="21"/>
        <v>179.44444444444446</v>
      </c>
      <c r="AJ88" s="204" t="s">
        <v>2176</v>
      </c>
      <c r="AK88" s="204" t="s">
        <v>425</v>
      </c>
      <c r="AL88" s="204" t="s">
        <v>2177</v>
      </c>
      <c r="AM88" s="211" t="s">
        <v>81</v>
      </c>
      <c r="AN88" s="191" t="s">
        <v>605</v>
      </c>
      <c r="AO88" s="190" t="s">
        <v>572</v>
      </c>
      <c r="AP88" s="190">
        <v>67441</v>
      </c>
      <c r="AQ88" s="190" t="str">
        <f t="shared" ref="AQ88:AQ97" si="24">CONCATENATE(AN88,AO88,AP88)</f>
        <v>322-67441</v>
      </c>
      <c r="AR88" s="190" t="s">
        <v>2180</v>
      </c>
      <c r="AS88" s="190"/>
      <c r="AT88" s="190"/>
      <c r="AU88" s="190"/>
      <c r="AV88" s="190"/>
      <c r="AW88" s="190"/>
      <c r="AX88" s="279" t="str">
        <f>IF(AW88&lt;&gt;"",_xlfn.TEXTJOIN("-",TRUE,AV88,AW88),"")</f>
        <v/>
      </c>
    </row>
    <row r="89" spans="1:50" x14ac:dyDescent="0.25">
      <c r="A89" s="190" t="str">
        <f t="shared" si="11"/>
        <v/>
      </c>
      <c r="B89" s="279" t="str">
        <f t="shared" ref="B89" si="25">IF(AQ89&lt;&gt;"",AQ89,"")</f>
        <v>322-67441</v>
      </c>
      <c r="C89" s="279"/>
      <c r="D89" s="279"/>
      <c r="E89" s="279">
        <f t="shared" si="16"/>
        <v>3</v>
      </c>
      <c r="F89" s="190" t="s">
        <v>535</v>
      </c>
      <c r="G89" s="198">
        <v>44670</v>
      </c>
      <c r="H89" s="210" t="s">
        <v>81</v>
      </c>
      <c r="I89" s="213"/>
      <c r="J89" s="213" t="s">
        <v>402</v>
      </c>
      <c r="K89" s="213" t="s">
        <v>237</v>
      </c>
      <c r="L89" s="213" t="s">
        <v>2182</v>
      </c>
      <c r="M89" s="192" t="s">
        <v>558</v>
      </c>
      <c r="N89" s="192"/>
      <c r="O89" s="229"/>
      <c r="P89" s="229"/>
      <c r="Q89" s="231" t="str">
        <f t="shared" si="17"/>
        <v>. Fuel Injector SET 4</v>
      </c>
      <c r="R89" s="231"/>
      <c r="S89" s="231" t="str">
        <f t="shared" si="20"/>
        <v/>
      </c>
      <c r="T89" s="231" t="str">
        <f>IF(O89&lt;&gt;"",_xlfn.XLOOKUP(O89,'3D. Pictures'!B:B,'3D. Pictures'!E:E,"NOT FOUND",0,1),"")</f>
        <v/>
      </c>
      <c r="U89" s="192"/>
      <c r="V89" s="205"/>
      <c r="W89" s="192"/>
      <c r="X89" s="205"/>
      <c r="Y89" s="205"/>
      <c r="Z89" s="205"/>
      <c r="AA89" s="213" t="s">
        <v>2182</v>
      </c>
      <c r="AB89" s="213" t="s">
        <v>2510</v>
      </c>
      <c r="AC89" s="360" t="str">
        <f t="shared" si="19"/>
        <v>note broken caps</v>
      </c>
      <c r="AD89" s="213"/>
      <c r="AE89" s="213" t="s">
        <v>2777</v>
      </c>
      <c r="AF89" s="201" t="s">
        <v>541</v>
      </c>
      <c r="AG89" s="213"/>
      <c r="AH89" s="99">
        <v>125</v>
      </c>
      <c r="AI89" s="380">
        <f t="shared" si="21"/>
        <v>179.44444444444446</v>
      </c>
      <c r="AJ89" s="204" t="s">
        <v>2176</v>
      </c>
      <c r="AK89" s="204" t="s">
        <v>425</v>
      </c>
      <c r="AL89" s="204" t="s">
        <v>2177</v>
      </c>
      <c r="AM89" s="211" t="s">
        <v>81</v>
      </c>
      <c r="AN89" s="191" t="s">
        <v>605</v>
      </c>
      <c r="AO89" s="190" t="s">
        <v>572</v>
      </c>
      <c r="AP89" s="190">
        <v>67441</v>
      </c>
      <c r="AQ89" s="190" t="str">
        <f t="shared" si="24"/>
        <v>322-67441</v>
      </c>
      <c r="AR89" s="190" t="s">
        <v>2180</v>
      </c>
      <c r="AS89" s="190"/>
      <c r="AT89" s="190"/>
      <c r="AU89" s="190"/>
      <c r="AV89" s="190"/>
      <c r="AW89" s="190"/>
      <c r="AX89" s="279" t="str">
        <f t="shared" si="13"/>
        <v/>
      </c>
    </row>
    <row r="90" spans="1:50" x14ac:dyDescent="0.25">
      <c r="A90" s="190" t="str">
        <f t="shared" si="11"/>
        <v/>
      </c>
      <c r="B90" s="279" t="str">
        <f t="shared" ref="B90" si="26">IF(AQ90&lt;&gt;"",AQ90,"")</f>
        <v>322-67441</v>
      </c>
      <c r="C90" s="279"/>
      <c r="D90" s="279"/>
      <c r="E90" s="279">
        <f t="shared" si="16"/>
        <v>3</v>
      </c>
      <c r="F90" s="190" t="s">
        <v>535</v>
      </c>
      <c r="G90" s="198">
        <v>44670</v>
      </c>
      <c r="H90" s="210" t="s">
        <v>81</v>
      </c>
      <c r="I90" s="213"/>
      <c r="J90" s="213" t="s">
        <v>402</v>
      </c>
      <c r="K90" s="213" t="s">
        <v>237</v>
      </c>
      <c r="L90" s="213" t="s">
        <v>2182</v>
      </c>
      <c r="M90" s="192" t="s">
        <v>558</v>
      </c>
      <c r="N90" s="192"/>
      <c r="O90" s="229"/>
      <c r="P90" s="229"/>
      <c r="Q90" s="231" t="str">
        <f t="shared" si="17"/>
        <v>. Fuel Injector SINGLE</v>
      </c>
      <c r="R90" s="231"/>
      <c r="S90" s="231" t="str">
        <f t="shared" si="20"/>
        <v/>
      </c>
      <c r="T90" s="231" t="str">
        <f>IF(O90&lt;&gt;"",_xlfn.XLOOKUP(O90,'3D. Pictures'!B:B,'3D. Pictures'!E:E,"NOT FOUND",0,1),"")</f>
        <v/>
      </c>
      <c r="U90" s="192"/>
      <c r="V90" s="205"/>
      <c r="W90" s="192"/>
      <c r="X90" s="205"/>
      <c r="Y90" s="205"/>
      <c r="Z90" s="205"/>
      <c r="AA90" s="213" t="s">
        <v>2182</v>
      </c>
      <c r="AB90" s="213" t="s">
        <v>2181</v>
      </c>
      <c r="AC90" s="360" t="str">
        <f t="shared" si="19"/>
        <v>note broken caps</v>
      </c>
      <c r="AD90" s="213"/>
      <c r="AE90" s="213" t="s">
        <v>2777</v>
      </c>
      <c r="AF90" s="201" t="s">
        <v>543</v>
      </c>
      <c r="AG90" s="213"/>
      <c r="AH90" s="99">
        <v>45</v>
      </c>
      <c r="AI90" s="380">
        <f t="shared" si="21"/>
        <v>179.44444444444446</v>
      </c>
      <c r="AJ90" s="204" t="s">
        <v>2176</v>
      </c>
      <c r="AK90" s="204" t="s">
        <v>425</v>
      </c>
      <c r="AL90" s="204" t="s">
        <v>2177</v>
      </c>
      <c r="AM90" s="211" t="s">
        <v>81</v>
      </c>
      <c r="AN90" s="191" t="s">
        <v>605</v>
      </c>
      <c r="AO90" s="190" t="s">
        <v>572</v>
      </c>
      <c r="AP90" s="190">
        <v>67441</v>
      </c>
      <c r="AQ90" s="190" t="str">
        <f t="shared" si="24"/>
        <v>322-67441</v>
      </c>
      <c r="AR90" s="190" t="s">
        <v>2180</v>
      </c>
      <c r="AS90" s="190"/>
      <c r="AT90" s="190"/>
      <c r="AU90" s="190"/>
      <c r="AV90" s="190"/>
      <c r="AW90" s="190"/>
      <c r="AX90" s="279" t="str">
        <f t="shared" si="13"/>
        <v/>
      </c>
    </row>
    <row r="91" spans="1:50" x14ac:dyDescent="0.25">
      <c r="A91" s="190" t="str">
        <f t="shared" si="11"/>
        <v/>
      </c>
      <c r="B91" s="279" t="str">
        <f t="shared" ref="B91" si="27">IF(AQ91&lt;&gt;"",AQ91,"")</f>
        <v>322-50296</v>
      </c>
      <c r="C91" s="279"/>
      <c r="D91" s="279"/>
      <c r="E91" s="279">
        <f t="shared" si="16"/>
        <v>3</v>
      </c>
      <c r="F91" s="190" t="s">
        <v>535</v>
      </c>
      <c r="G91" s="198">
        <v>44670</v>
      </c>
      <c r="H91" s="210" t="s">
        <v>81</v>
      </c>
      <c r="I91" s="213"/>
      <c r="J91" s="213" t="s">
        <v>402</v>
      </c>
      <c r="K91" s="213" t="s">
        <v>237</v>
      </c>
      <c r="L91" s="213" t="s">
        <v>2182</v>
      </c>
      <c r="M91" s="192" t="s">
        <v>558</v>
      </c>
      <c r="N91" s="192"/>
      <c r="O91" s="229"/>
      <c r="P91" s="229"/>
      <c r="Q91" s="231" t="str">
        <f t="shared" si="17"/>
        <v>. Fuel Injector SET 6</v>
      </c>
      <c r="R91" s="231"/>
      <c r="S91" s="231" t="str">
        <f t="shared" si="20"/>
        <v/>
      </c>
      <c r="T91" s="231" t="str">
        <f>IF(O91&lt;&gt;"",_xlfn.XLOOKUP(O91,'3D. Pictures'!B:B,'3D. Pictures'!E:E,"NOT FOUND",0,1),"")</f>
        <v/>
      </c>
      <c r="U91" s="192"/>
      <c r="V91" s="205"/>
      <c r="W91" s="192"/>
      <c r="X91" s="205"/>
      <c r="Y91" s="205"/>
      <c r="Z91" s="205"/>
      <c r="AA91" s="213" t="s">
        <v>2182</v>
      </c>
      <c r="AB91" s="213" t="s">
        <v>2519</v>
      </c>
      <c r="AC91" s="360" t="str">
        <f t="shared" si="19"/>
        <v>SET 6, sell SET 4 &amp; singles if 1 bad | note broken caps</v>
      </c>
      <c r="AD91" s="213" t="s">
        <v>2776</v>
      </c>
      <c r="AE91" s="213" t="s">
        <v>2777</v>
      </c>
      <c r="AF91" s="201" t="s">
        <v>546</v>
      </c>
      <c r="AG91" s="213"/>
      <c r="AH91" s="99">
        <v>175</v>
      </c>
      <c r="AI91" s="380">
        <f t="shared" si="21"/>
        <v>179.44444444444446</v>
      </c>
      <c r="AJ91" s="204" t="s">
        <v>2176</v>
      </c>
      <c r="AK91" s="204" t="s">
        <v>425</v>
      </c>
      <c r="AL91" s="204" t="s">
        <v>2177</v>
      </c>
      <c r="AM91" s="211" t="s">
        <v>81</v>
      </c>
      <c r="AN91" s="191" t="s">
        <v>605</v>
      </c>
      <c r="AO91" s="190" t="s">
        <v>572</v>
      </c>
      <c r="AP91" s="190">
        <v>50296</v>
      </c>
      <c r="AQ91" s="190" t="str">
        <f t="shared" si="24"/>
        <v>322-50296</v>
      </c>
      <c r="AR91" s="190" t="s">
        <v>2179</v>
      </c>
      <c r="AS91" s="190"/>
      <c r="AT91" s="190"/>
      <c r="AU91" s="190"/>
      <c r="AV91" s="190"/>
      <c r="AW91" s="190"/>
      <c r="AX91" s="279" t="str">
        <f t="shared" si="13"/>
        <v/>
      </c>
    </row>
    <row r="92" spans="1:50" x14ac:dyDescent="0.25">
      <c r="A92" s="190" t="str">
        <f t="shared" si="11"/>
        <v/>
      </c>
      <c r="B92" s="279" t="str">
        <f t="shared" ref="B92" si="28">IF(AQ92&lt;&gt;"",AQ92,"")</f>
        <v>322-50296</v>
      </c>
      <c r="C92" s="279"/>
      <c r="D92" s="279"/>
      <c r="E92" s="279">
        <f t="shared" si="16"/>
        <v>3</v>
      </c>
      <c r="F92" s="190" t="s">
        <v>535</v>
      </c>
      <c r="G92" s="198">
        <v>44670</v>
      </c>
      <c r="H92" s="210" t="s">
        <v>81</v>
      </c>
      <c r="I92" s="213"/>
      <c r="J92" s="213" t="s">
        <v>402</v>
      </c>
      <c r="K92" s="213" t="s">
        <v>237</v>
      </c>
      <c r="L92" s="213" t="s">
        <v>2182</v>
      </c>
      <c r="M92" s="192" t="s">
        <v>558</v>
      </c>
      <c r="N92" s="192"/>
      <c r="O92" s="229"/>
      <c r="P92" s="229"/>
      <c r="Q92" s="231" t="str">
        <f t="shared" si="17"/>
        <v>. Fuel Injector SET 4</v>
      </c>
      <c r="R92" s="231"/>
      <c r="S92" s="231" t="str">
        <f t="shared" si="20"/>
        <v/>
      </c>
      <c r="T92" s="231" t="str">
        <f>IF(O92&lt;&gt;"",_xlfn.XLOOKUP(O92,'3D. Pictures'!B:B,'3D. Pictures'!E:E,"NOT FOUND",0,1),"")</f>
        <v/>
      </c>
      <c r="U92" s="192"/>
      <c r="V92" s="205"/>
      <c r="W92" s="192"/>
      <c r="X92" s="205"/>
      <c r="Y92" s="16"/>
      <c r="Z92" s="205"/>
      <c r="AA92" s="213" t="s">
        <v>2182</v>
      </c>
      <c r="AB92" s="213" t="s">
        <v>2510</v>
      </c>
      <c r="AC92" s="360" t="str">
        <f t="shared" si="19"/>
        <v>note broken caps</v>
      </c>
      <c r="AD92" s="213"/>
      <c r="AE92" s="213" t="s">
        <v>2777</v>
      </c>
      <c r="AF92" s="201" t="s">
        <v>541</v>
      </c>
      <c r="AG92" s="213"/>
      <c r="AH92" s="99">
        <v>125</v>
      </c>
      <c r="AI92" s="380">
        <f t="shared" si="21"/>
        <v>179.44444444444446</v>
      </c>
      <c r="AJ92" s="204" t="s">
        <v>2176</v>
      </c>
      <c r="AK92" s="204" t="s">
        <v>425</v>
      </c>
      <c r="AL92" s="204" t="s">
        <v>2177</v>
      </c>
      <c r="AM92" s="211" t="s">
        <v>81</v>
      </c>
      <c r="AN92" s="191" t="s">
        <v>605</v>
      </c>
      <c r="AO92" s="190" t="s">
        <v>572</v>
      </c>
      <c r="AP92" s="190">
        <v>50296</v>
      </c>
      <c r="AQ92" s="190" t="str">
        <f t="shared" si="24"/>
        <v>322-50296</v>
      </c>
      <c r="AR92" s="190" t="s">
        <v>2179</v>
      </c>
      <c r="AS92" s="190"/>
      <c r="AT92" s="190"/>
      <c r="AU92" s="190"/>
      <c r="AV92" s="190"/>
      <c r="AW92" s="190"/>
      <c r="AX92" s="279" t="str">
        <f t="shared" si="13"/>
        <v/>
      </c>
    </row>
    <row r="93" spans="1:50" x14ac:dyDescent="0.25">
      <c r="A93" s="190" t="str">
        <f t="shared" si="11"/>
        <v/>
      </c>
      <c r="B93" s="279" t="str">
        <f t="shared" ref="B93" si="29">IF(AQ93&lt;&gt;"",AQ93,"")</f>
        <v>322-50296</v>
      </c>
      <c r="C93" s="279"/>
      <c r="D93" s="279"/>
      <c r="E93" s="279">
        <f t="shared" si="16"/>
        <v>3</v>
      </c>
      <c r="F93" s="190" t="s">
        <v>535</v>
      </c>
      <c r="G93" s="198">
        <v>44670</v>
      </c>
      <c r="H93" s="210" t="s">
        <v>81</v>
      </c>
      <c r="I93" s="213"/>
      <c r="J93" s="213" t="s">
        <v>402</v>
      </c>
      <c r="K93" s="213" t="s">
        <v>237</v>
      </c>
      <c r="L93" s="213" t="s">
        <v>2182</v>
      </c>
      <c r="M93" s="192" t="s">
        <v>558</v>
      </c>
      <c r="N93" s="192"/>
      <c r="O93" s="229"/>
      <c r="P93" s="229"/>
      <c r="Q93" s="231" t="str">
        <f t="shared" si="17"/>
        <v>. Fuel Injector SINGLE</v>
      </c>
      <c r="R93" s="231"/>
      <c r="S93" s="231" t="str">
        <f t="shared" si="20"/>
        <v/>
      </c>
      <c r="T93" s="231" t="str">
        <f>IF(O93&lt;&gt;"",_xlfn.XLOOKUP(O93,'3D. Pictures'!B:B,'3D. Pictures'!E:E,"NOT FOUND",0,1),"")</f>
        <v/>
      </c>
      <c r="U93" s="192"/>
      <c r="V93" s="205"/>
      <c r="W93" s="192"/>
      <c r="X93" s="205"/>
      <c r="Y93" s="16"/>
      <c r="Z93" s="205"/>
      <c r="AA93" s="213" t="s">
        <v>2182</v>
      </c>
      <c r="AB93" s="213" t="s">
        <v>2181</v>
      </c>
      <c r="AC93" s="360" t="str">
        <f t="shared" si="19"/>
        <v>note broken caps</v>
      </c>
      <c r="AD93" s="213"/>
      <c r="AE93" s="213" t="s">
        <v>2777</v>
      </c>
      <c r="AF93" s="201" t="s">
        <v>543</v>
      </c>
      <c r="AG93" s="213"/>
      <c r="AH93" s="99">
        <v>45</v>
      </c>
      <c r="AI93" s="380">
        <f t="shared" si="21"/>
        <v>179.44444444444446</v>
      </c>
      <c r="AJ93" s="204" t="s">
        <v>2176</v>
      </c>
      <c r="AK93" s="204" t="s">
        <v>425</v>
      </c>
      <c r="AL93" s="204" t="s">
        <v>2177</v>
      </c>
      <c r="AM93" s="211" t="s">
        <v>81</v>
      </c>
      <c r="AN93" s="191" t="s">
        <v>605</v>
      </c>
      <c r="AO93" s="190" t="s">
        <v>572</v>
      </c>
      <c r="AP93" s="190">
        <v>50296</v>
      </c>
      <c r="AQ93" s="190" t="str">
        <f t="shared" si="24"/>
        <v>322-50296</v>
      </c>
      <c r="AR93" s="190" t="s">
        <v>2179</v>
      </c>
      <c r="AS93" s="190"/>
      <c r="AT93" s="190"/>
      <c r="AU93" s="190"/>
      <c r="AV93" s="190"/>
      <c r="AW93" s="190"/>
      <c r="AX93" s="279" t="str">
        <f t="shared" si="13"/>
        <v/>
      </c>
    </row>
    <row r="94" spans="1:50" x14ac:dyDescent="0.25">
      <c r="A94" s="190" t="str">
        <f t="shared" si="11"/>
        <v/>
      </c>
      <c r="B94" s="294" t="str">
        <f t="shared" ref="B94" si="30">IF(AQ94&lt;&gt;"",AQ94,"")</f>
        <v>322-67465</v>
      </c>
      <c r="C94" s="294"/>
      <c r="D94" s="294"/>
      <c r="E94" s="294">
        <f t="shared" si="16"/>
        <v>3</v>
      </c>
      <c r="F94" s="294" t="s">
        <v>535</v>
      </c>
      <c r="G94" s="295">
        <v>45244</v>
      </c>
      <c r="H94" s="323" t="s">
        <v>81</v>
      </c>
      <c r="I94" s="324"/>
      <c r="J94" s="324" t="s">
        <v>402</v>
      </c>
      <c r="K94" s="324" t="s">
        <v>237</v>
      </c>
      <c r="L94" s="324" t="s">
        <v>2182</v>
      </c>
      <c r="M94" s="195" t="s">
        <v>558</v>
      </c>
      <c r="N94" s="195"/>
      <c r="O94" s="298"/>
      <c r="P94" s="298"/>
      <c r="Q94" s="299" t="str">
        <f t="shared" si="17"/>
        <v>. Fuel Injector SET 8</v>
      </c>
      <c r="R94" s="299"/>
      <c r="S94" s="299" t="str">
        <f t="shared" si="20"/>
        <v/>
      </c>
      <c r="T94" s="299" t="str">
        <f>IF(O94&lt;&gt;"",_xlfn.XLOOKUP(O94,'3D. Pictures'!B:B,'3D. Pictures'!E:E,"NOT FOUND",0,1),"")</f>
        <v/>
      </c>
      <c r="U94" s="195"/>
      <c r="V94" s="300"/>
      <c r="W94" s="195"/>
      <c r="X94" s="300"/>
      <c r="Y94" s="243"/>
      <c r="Z94" s="300"/>
      <c r="AA94" s="324" t="s">
        <v>2182</v>
      </c>
      <c r="AB94" s="324" t="s">
        <v>2520</v>
      </c>
      <c r="AC94" s="360" t="str">
        <f t="shared" si="19"/>
        <v>SET 8, sell SET 4 &amp; singles if 1 bad | note broken caps</v>
      </c>
      <c r="AD94" s="324" t="s">
        <v>2778</v>
      </c>
      <c r="AE94" s="324" t="s">
        <v>2777</v>
      </c>
      <c r="AF94" s="302" t="s">
        <v>2199</v>
      </c>
      <c r="AG94" s="324"/>
      <c r="AH94" s="99">
        <v>600</v>
      </c>
      <c r="AI94" s="380">
        <f t="shared" si="21"/>
        <v>179.44444444444446</v>
      </c>
      <c r="AJ94" s="301" t="s">
        <v>2198</v>
      </c>
      <c r="AK94" s="301" t="s">
        <v>425</v>
      </c>
      <c r="AL94" s="301" t="s">
        <v>2198</v>
      </c>
      <c r="AM94" s="325" t="s">
        <v>81</v>
      </c>
      <c r="AN94" s="326" t="s">
        <v>605</v>
      </c>
      <c r="AO94" s="294" t="s">
        <v>572</v>
      </c>
      <c r="AP94" s="294">
        <v>67465</v>
      </c>
      <c r="AQ94" s="294" t="str">
        <f t="shared" si="24"/>
        <v>322-67465</v>
      </c>
      <c r="AR94" s="294"/>
      <c r="AS94" s="294"/>
      <c r="AT94" s="294"/>
      <c r="AU94" s="294"/>
      <c r="AV94" s="294"/>
      <c r="AW94" s="294"/>
      <c r="AX94" s="279" t="str">
        <f t="shared" si="13"/>
        <v/>
      </c>
    </row>
    <row r="95" spans="1:50" x14ac:dyDescent="0.25">
      <c r="A95" s="190" t="str">
        <f t="shared" si="11"/>
        <v/>
      </c>
      <c r="B95" s="294" t="str">
        <f t="shared" ref="B95" si="31">IF(AQ95&lt;&gt;"",AQ95,"")</f>
        <v>322-67465</v>
      </c>
      <c r="C95" s="294"/>
      <c r="D95" s="294"/>
      <c r="E95" s="294">
        <f t="shared" si="16"/>
        <v>3</v>
      </c>
      <c r="F95" s="294" t="s">
        <v>535</v>
      </c>
      <c r="G95" s="295">
        <v>45244</v>
      </c>
      <c r="H95" s="323" t="s">
        <v>81</v>
      </c>
      <c r="I95" s="324"/>
      <c r="J95" s="324" t="s">
        <v>402</v>
      </c>
      <c r="K95" s="324" t="s">
        <v>237</v>
      </c>
      <c r="L95" s="324" t="s">
        <v>2182</v>
      </c>
      <c r="M95" s="195" t="s">
        <v>558</v>
      </c>
      <c r="N95" s="195"/>
      <c r="O95" s="298"/>
      <c r="P95" s="298"/>
      <c r="Q95" s="299" t="str">
        <f t="shared" si="17"/>
        <v>. Fuel Injector SET 4</v>
      </c>
      <c r="R95" s="299"/>
      <c r="S95" s="299" t="str">
        <f t="shared" si="20"/>
        <v/>
      </c>
      <c r="T95" s="299" t="str">
        <f>IF(O95&lt;&gt;"",_xlfn.XLOOKUP(O95,'3D. Pictures'!B:B,'3D. Pictures'!E:E,"NOT FOUND",0,1),"")</f>
        <v/>
      </c>
      <c r="U95" s="195"/>
      <c r="V95" s="300"/>
      <c r="W95" s="195"/>
      <c r="X95" s="300"/>
      <c r="Y95" s="205"/>
      <c r="Z95" s="300"/>
      <c r="AA95" s="324" t="s">
        <v>2182</v>
      </c>
      <c r="AB95" s="324" t="s">
        <v>2510</v>
      </c>
      <c r="AC95" s="360" t="str">
        <f t="shared" si="19"/>
        <v>note broken caps</v>
      </c>
      <c r="AD95" s="324"/>
      <c r="AE95" s="324" t="s">
        <v>2777</v>
      </c>
      <c r="AF95" s="302" t="s">
        <v>541</v>
      </c>
      <c r="AG95" s="324"/>
      <c r="AH95" s="99">
        <v>250</v>
      </c>
      <c r="AI95" s="380">
        <f t="shared" si="21"/>
        <v>179.44444444444446</v>
      </c>
      <c r="AJ95" s="301" t="s">
        <v>2198</v>
      </c>
      <c r="AK95" s="301" t="s">
        <v>425</v>
      </c>
      <c r="AL95" s="301" t="s">
        <v>2198</v>
      </c>
      <c r="AM95" s="325" t="s">
        <v>81</v>
      </c>
      <c r="AN95" s="326" t="s">
        <v>605</v>
      </c>
      <c r="AO95" s="294" t="s">
        <v>572</v>
      </c>
      <c r="AP95" s="294">
        <v>67465</v>
      </c>
      <c r="AQ95" s="294" t="str">
        <f t="shared" si="24"/>
        <v>322-67465</v>
      </c>
      <c r="AR95" s="294"/>
      <c r="AS95" s="294"/>
      <c r="AT95" s="294"/>
      <c r="AU95" s="294"/>
      <c r="AV95" s="294"/>
      <c r="AW95" s="294"/>
      <c r="AX95" s="279" t="str">
        <f t="shared" si="13"/>
        <v/>
      </c>
    </row>
    <row r="96" spans="1:50" x14ac:dyDescent="0.25">
      <c r="A96" s="190" t="str">
        <f t="shared" si="11"/>
        <v/>
      </c>
      <c r="B96" s="294" t="str">
        <f t="shared" ref="B96" si="32">IF(AQ96&lt;&gt;"",AQ96,"")</f>
        <v>322-67465</v>
      </c>
      <c r="C96" s="294"/>
      <c r="D96" s="294"/>
      <c r="E96" s="294">
        <f t="shared" si="16"/>
        <v>3</v>
      </c>
      <c r="F96" s="294" t="s">
        <v>535</v>
      </c>
      <c r="G96" s="295">
        <v>45244</v>
      </c>
      <c r="H96" s="323" t="s">
        <v>81</v>
      </c>
      <c r="I96" s="324"/>
      <c r="J96" s="324" t="s">
        <v>402</v>
      </c>
      <c r="K96" s="324" t="s">
        <v>237</v>
      </c>
      <c r="L96" s="324" t="s">
        <v>2182</v>
      </c>
      <c r="M96" s="195" t="s">
        <v>558</v>
      </c>
      <c r="N96" s="195"/>
      <c r="O96" s="298"/>
      <c r="P96" s="298"/>
      <c r="Q96" s="299" t="str">
        <f t="shared" si="17"/>
        <v>. Fuel Injector SINGLE</v>
      </c>
      <c r="R96" s="299"/>
      <c r="S96" s="299" t="str">
        <f t="shared" si="20"/>
        <v/>
      </c>
      <c r="T96" s="299" t="str">
        <f>IF(O96&lt;&gt;"",_xlfn.XLOOKUP(O96,'3D. Pictures'!B:B,'3D. Pictures'!E:E,"NOT FOUND",0,1),"")</f>
        <v/>
      </c>
      <c r="U96" s="195"/>
      <c r="V96" s="300"/>
      <c r="W96" s="195"/>
      <c r="X96" s="300"/>
      <c r="Y96" s="205"/>
      <c r="Z96" s="300"/>
      <c r="AA96" s="324" t="s">
        <v>2182</v>
      </c>
      <c r="AB96" s="324" t="s">
        <v>2181</v>
      </c>
      <c r="AC96" s="360" t="str">
        <f t="shared" si="19"/>
        <v>note broken caps</v>
      </c>
      <c r="AD96" s="324"/>
      <c r="AE96" s="324" t="s">
        <v>2777</v>
      </c>
      <c r="AF96" s="302" t="s">
        <v>543</v>
      </c>
      <c r="AG96" s="324"/>
      <c r="AH96" s="99">
        <v>50</v>
      </c>
      <c r="AI96" s="380">
        <f t="shared" si="21"/>
        <v>179.44444444444446</v>
      </c>
      <c r="AJ96" s="301" t="s">
        <v>2198</v>
      </c>
      <c r="AK96" s="301" t="s">
        <v>425</v>
      </c>
      <c r="AL96" s="301" t="s">
        <v>2198</v>
      </c>
      <c r="AM96" s="325" t="s">
        <v>81</v>
      </c>
      <c r="AN96" s="326" t="s">
        <v>605</v>
      </c>
      <c r="AO96" s="294" t="s">
        <v>572</v>
      </c>
      <c r="AP96" s="294">
        <v>67465</v>
      </c>
      <c r="AQ96" s="294" t="str">
        <f t="shared" si="24"/>
        <v>322-67465</v>
      </c>
      <c r="AR96" s="294"/>
      <c r="AS96" s="294"/>
      <c r="AT96" s="294"/>
      <c r="AU96" s="294"/>
      <c r="AV96" s="294"/>
      <c r="AW96" s="294"/>
      <c r="AX96" s="279" t="str">
        <f t="shared" si="13"/>
        <v/>
      </c>
    </row>
    <row r="97" spans="1:50" x14ac:dyDescent="0.25">
      <c r="A97" s="190" t="str">
        <f t="shared" si="11"/>
        <v/>
      </c>
      <c r="B97" s="279" t="str">
        <f t="shared" si="12"/>
        <v>323-59654</v>
      </c>
      <c r="C97" s="279"/>
      <c r="D97" s="279"/>
      <c r="E97" s="279">
        <f t="shared" si="16"/>
        <v>1</v>
      </c>
      <c r="F97" s="190" t="s">
        <v>536</v>
      </c>
      <c r="G97" s="198">
        <v>45107</v>
      </c>
      <c r="H97" s="205"/>
      <c r="I97" s="192"/>
      <c r="J97" s="205" t="s">
        <v>402</v>
      </c>
      <c r="K97" s="205" t="s">
        <v>237</v>
      </c>
      <c r="L97" s="205" t="s">
        <v>2669</v>
      </c>
      <c r="M97" s="192" t="s">
        <v>558</v>
      </c>
      <c r="N97" s="192"/>
      <c r="O97" s="229"/>
      <c r="P97" s="229"/>
      <c r="Q97" s="231" t="str">
        <f t="shared" si="17"/>
        <v>. Fuel Pump, High Pressure Engine Mounted</v>
      </c>
      <c r="R97" s="231"/>
      <c r="S97" s="231" t="str">
        <f t="shared" si="20"/>
        <v/>
      </c>
      <c r="T97" s="231" t="str">
        <f>IF(O97&lt;&gt;"",_xlfn.XLOOKUP(O97,'3D. Pictures'!B:B,'3D. Pictures'!E:E,"NOT FOUND",0,1),"")</f>
        <v/>
      </c>
      <c r="U97" s="192"/>
      <c r="V97" s="205"/>
      <c r="W97" s="192"/>
      <c r="X97" s="205"/>
      <c r="Y97" s="205"/>
      <c r="Z97" s="205"/>
      <c r="AA97" s="205" t="s">
        <v>521</v>
      </c>
      <c r="AB97" s="205" t="s">
        <v>521</v>
      </c>
      <c r="AC97" s="358" t="str">
        <f t="shared" si="19"/>
        <v/>
      </c>
      <c r="AD97" s="205"/>
      <c r="AE97" s="205"/>
      <c r="AF97" s="201" t="s">
        <v>543</v>
      </c>
      <c r="AG97" s="205"/>
      <c r="AH97" s="18">
        <v>100</v>
      </c>
      <c r="AI97" s="380">
        <f t="shared" si="21"/>
        <v>100</v>
      </c>
      <c r="AJ97" s="204" t="s">
        <v>2176</v>
      </c>
      <c r="AK97" s="204" t="s">
        <v>425</v>
      </c>
      <c r="AL97" s="204" t="s">
        <v>2177</v>
      </c>
      <c r="AM97" s="190"/>
      <c r="AN97" s="191" t="s">
        <v>606</v>
      </c>
      <c r="AO97" s="190" t="s">
        <v>572</v>
      </c>
      <c r="AP97" s="190">
        <v>59654</v>
      </c>
      <c r="AQ97" s="190" t="str">
        <f t="shared" si="24"/>
        <v>323-59654</v>
      </c>
      <c r="AR97" s="190"/>
      <c r="AS97" s="190"/>
      <c r="AT97" s="190"/>
      <c r="AU97" s="190"/>
      <c r="AV97" s="190"/>
      <c r="AW97" s="190"/>
      <c r="AX97" s="279" t="str">
        <f t="shared" si="13"/>
        <v/>
      </c>
    </row>
    <row r="98" spans="1:50" x14ac:dyDescent="0.25">
      <c r="A98" s="190" t="str">
        <f t="shared" si="11"/>
        <v/>
      </c>
      <c r="B98" s="294" t="str">
        <f t="shared" ref="B98" si="33">IF(AQ98&lt;&gt;"",AQ98,"")</f>
        <v>323-59473</v>
      </c>
      <c r="C98" s="294"/>
      <c r="D98" s="279">
        <f>O98</f>
        <v>0</v>
      </c>
      <c r="E98" s="294">
        <f t="shared" si="16"/>
        <v>4</v>
      </c>
      <c r="F98" s="294" t="s">
        <v>535</v>
      </c>
      <c r="G98" s="295">
        <v>45245</v>
      </c>
      <c r="H98" s="296"/>
      <c r="I98" s="297"/>
      <c r="J98" s="300" t="s">
        <v>402</v>
      </c>
      <c r="K98" s="300" t="s">
        <v>237</v>
      </c>
      <c r="L98" s="300" t="s">
        <v>2669</v>
      </c>
      <c r="M98" s="195" t="s">
        <v>558</v>
      </c>
      <c r="N98" s="195"/>
      <c r="O98" s="298"/>
      <c r="P98" s="298"/>
      <c r="Q98" s="299" t="str">
        <f t="shared" si="17"/>
        <v>. Fuel Pump, High Pressure Engine Mounted - LEFT or RIGHT (plug w/ all rounded corners)</v>
      </c>
      <c r="R98" s="299"/>
      <c r="S98" s="299" t="str">
        <f t="shared" si="20"/>
        <v/>
      </c>
      <c r="T98" s="299" t="str">
        <f>IF(O98&lt;&gt;"",_xlfn.XLOOKUP(O98,'3D. Pictures'!B:B,'3D. Pictures'!E:E,"NOT FOUND",0,1),"")</f>
        <v/>
      </c>
      <c r="U98" s="195"/>
      <c r="V98" s="300" t="s">
        <v>2306</v>
      </c>
      <c r="W98" s="195" t="s">
        <v>111</v>
      </c>
      <c r="X98" s="300"/>
      <c r="Y98" s="205"/>
      <c r="Z98" s="300"/>
      <c r="AA98" s="300" t="s">
        <v>2779</v>
      </c>
      <c r="AB98" s="300" t="s">
        <v>2779</v>
      </c>
      <c r="AC98" s="358" t="str">
        <f t="shared" si="19"/>
        <v>with roller cap, tag as SINGLE | 2 per car (identical)</v>
      </c>
      <c r="AD98" s="300" t="s">
        <v>2321</v>
      </c>
      <c r="AE98" s="300" t="s">
        <v>2318</v>
      </c>
      <c r="AF98" s="302" t="s">
        <v>543</v>
      </c>
      <c r="AG98" s="300" t="s">
        <v>2729</v>
      </c>
      <c r="AH98" s="16">
        <v>95</v>
      </c>
      <c r="AI98" s="380">
        <f t="shared" si="21"/>
        <v>95</v>
      </c>
      <c r="AJ98" s="301" t="s">
        <v>2198</v>
      </c>
      <c r="AK98" s="301" t="s">
        <v>425</v>
      </c>
      <c r="AL98" s="301" t="s">
        <v>2198</v>
      </c>
      <c r="AM98" s="294"/>
      <c r="AN98" s="326" t="s">
        <v>606</v>
      </c>
      <c r="AO98" s="294" t="s">
        <v>572</v>
      </c>
      <c r="AP98" s="294">
        <v>59473</v>
      </c>
      <c r="AQ98" s="294" t="str">
        <f t="shared" ref="AQ98" si="34">CONCATENATE(AN98,AO98,AP98)</f>
        <v>323-59473</v>
      </c>
      <c r="AR98" s="294"/>
      <c r="AS98" s="294"/>
      <c r="AT98" s="294"/>
      <c r="AU98" s="294"/>
      <c r="AV98" s="294"/>
      <c r="AW98" s="294"/>
      <c r="AX98" s="279" t="str">
        <f t="shared" si="13"/>
        <v/>
      </c>
    </row>
    <row r="99" spans="1:50" x14ac:dyDescent="0.25">
      <c r="A99" s="190" t="str">
        <f t="shared" si="11"/>
        <v/>
      </c>
      <c r="B99" s="294" t="str">
        <f t="shared" ref="B99:B100" si="35">IF(AQ99&lt;&gt;"",AQ99,"")</f>
        <v>323-59473</v>
      </c>
      <c r="C99" s="294"/>
      <c r="D99" s="279">
        <f>O99</f>
        <v>0</v>
      </c>
      <c r="E99" s="294">
        <f t="shared" si="16"/>
        <v>4</v>
      </c>
      <c r="F99" s="294" t="s">
        <v>535</v>
      </c>
      <c r="G99" s="295">
        <v>45245</v>
      </c>
      <c r="H99" s="296"/>
      <c r="I99" s="297"/>
      <c r="J99" s="300" t="s">
        <v>402</v>
      </c>
      <c r="K99" s="300" t="s">
        <v>237</v>
      </c>
      <c r="L99" s="300" t="s">
        <v>2669</v>
      </c>
      <c r="M99" s="195" t="s">
        <v>558</v>
      </c>
      <c r="N99" s="195"/>
      <c r="O99" s="298"/>
      <c r="P99" s="298"/>
      <c r="Q99" s="299" t="str">
        <f t="shared" si="17"/>
        <v>. Fuel Pump, High Pressure Engine Mounted - LEFT or RIGHT (plug w/ all rounded corners)</v>
      </c>
      <c r="R99" s="299"/>
      <c r="S99" s="299" t="str">
        <f t="shared" si="20"/>
        <v/>
      </c>
      <c r="T99" s="299" t="str">
        <f>IF(O99&lt;&gt;"",_xlfn.XLOOKUP(O99,'3D. Pictures'!B:B,'3D. Pictures'!E:E,"NOT FOUND",0,1),"")</f>
        <v/>
      </c>
      <c r="U99" s="195"/>
      <c r="V99" s="300" t="s">
        <v>2306</v>
      </c>
      <c r="W99" s="195" t="s">
        <v>111</v>
      </c>
      <c r="X99" s="300"/>
      <c r="Y99" s="205"/>
      <c r="Z99" s="300"/>
      <c r="AA99" s="300" t="s">
        <v>2779</v>
      </c>
      <c r="AB99" s="300" t="s">
        <v>2779</v>
      </c>
      <c r="AC99" s="358" t="str">
        <f t="shared" si="19"/>
        <v>with roller cap, tag as SINGLE | 2 per car (identical)</v>
      </c>
      <c r="AD99" s="300" t="s">
        <v>2321</v>
      </c>
      <c r="AE99" s="300" t="s">
        <v>2318</v>
      </c>
      <c r="AF99" s="302" t="s">
        <v>543</v>
      </c>
      <c r="AG99" s="300" t="s">
        <v>2730</v>
      </c>
      <c r="AH99" s="16">
        <v>95</v>
      </c>
      <c r="AI99" s="380">
        <f t="shared" si="21"/>
        <v>95</v>
      </c>
      <c r="AJ99" s="301" t="s">
        <v>2198</v>
      </c>
      <c r="AK99" s="301" t="s">
        <v>425</v>
      </c>
      <c r="AL99" s="301" t="s">
        <v>2198</v>
      </c>
      <c r="AM99" s="294"/>
      <c r="AN99" s="326" t="s">
        <v>606</v>
      </c>
      <c r="AO99" s="294" t="s">
        <v>572</v>
      </c>
      <c r="AP99" s="294">
        <v>59473</v>
      </c>
      <c r="AQ99" s="294" t="str">
        <f t="shared" ref="AQ99:AQ100" si="36">CONCATENATE(AN99,AO99,AP99)</f>
        <v>323-59473</v>
      </c>
      <c r="AR99" s="294"/>
      <c r="AS99" s="294"/>
      <c r="AT99" s="294"/>
      <c r="AU99" s="294"/>
      <c r="AV99" s="294"/>
      <c r="AW99" s="294"/>
      <c r="AX99" s="279" t="str">
        <f t="shared" si="13"/>
        <v/>
      </c>
    </row>
    <row r="100" spans="1:50" x14ac:dyDescent="0.25">
      <c r="A100" s="190" t="str">
        <f t="shared" si="11"/>
        <v/>
      </c>
      <c r="B100" s="294" t="str">
        <f t="shared" si="35"/>
        <v>323-59473</v>
      </c>
      <c r="C100" s="294"/>
      <c r="D100" s="279">
        <f>O100</f>
        <v>0</v>
      </c>
      <c r="E100" s="294">
        <f t="shared" si="16"/>
        <v>4</v>
      </c>
      <c r="F100" s="294" t="s">
        <v>535</v>
      </c>
      <c r="G100" s="295">
        <v>45245</v>
      </c>
      <c r="H100" s="296"/>
      <c r="I100" s="297"/>
      <c r="J100" s="300" t="s">
        <v>402</v>
      </c>
      <c r="K100" s="300" t="s">
        <v>237</v>
      </c>
      <c r="L100" s="300" t="s">
        <v>2669</v>
      </c>
      <c r="M100" s="195" t="s">
        <v>558</v>
      </c>
      <c r="N100" s="195"/>
      <c r="O100" s="298"/>
      <c r="P100" s="298"/>
      <c r="Q100" s="299" t="str">
        <f t="shared" si="17"/>
        <v>. Fuel Pump, High Pressure Engine Mounted - LEFT or RIGHT (plug with 1 flat side)</v>
      </c>
      <c r="R100" s="299"/>
      <c r="S100" s="299" t="str">
        <f t="shared" si="20"/>
        <v/>
      </c>
      <c r="T100" s="299" t="str">
        <f>IF(O100&lt;&gt;"",_xlfn.XLOOKUP(O100,'3D. Pictures'!B:B,'3D. Pictures'!E:E,"NOT FOUND",0,1),"")</f>
        <v/>
      </c>
      <c r="U100" s="195"/>
      <c r="V100" s="300" t="s">
        <v>2306</v>
      </c>
      <c r="W100" s="195" t="s">
        <v>111</v>
      </c>
      <c r="X100" s="300"/>
      <c r="Y100" s="205"/>
      <c r="Z100" s="300"/>
      <c r="AA100" s="300" t="s">
        <v>2728</v>
      </c>
      <c r="AB100" s="300" t="s">
        <v>2728</v>
      </c>
      <c r="AC100" s="358" t="str">
        <f t="shared" si="19"/>
        <v>with roller cap, tag as SINGLE | 2 per car (identical)</v>
      </c>
      <c r="AD100" s="300" t="s">
        <v>2321</v>
      </c>
      <c r="AE100" s="300" t="s">
        <v>2318</v>
      </c>
      <c r="AF100" s="302" t="s">
        <v>543</v>
      </c>
      <c r="AG100" s="300" t="s">
        <v>2729</v>
      </c>
      <c r="AH100" s="16">
        <v>95</v>
      </c>
      <c r="AI100" s="380">
        <f t="shared" si="21"/>
        <v>95</v>
      </c>
      <c r="AJ100" s="301" t="s">
        <v>2198</v>
      </c>
      <c r="AK100" s="301" t="s">
        <v>425</v>
      </c>
      <c r="AL100" s="301" t="s">
        <v>2198</v>
      </c>
      <c r="AM100" s="294"/>
      <c r="AN100" s="326" t="s">
        <v>606</v>
      </c>
      <c r="AO100" s="294" t="s">
        <v>572</v>
      </c>
      <c r="AP100" s="294">
        <v>59473</v>
      </c>
      <c r="AQ100" s="294" t="str">
        <f t="shared" si="36"/>
        <v>323-59473</v>
      </c>
      <c r="AR100" s="294"/>
      <c r="AS100" s="294"/>
      <c r="AT100" s="294"/>
      <c r="AU100" s="294"/>
      <c r="AV100" s="294"/>
      <c r="AW100" s="294"/>
      <c r="AX100" s="279" t="str">
        <f t="shared" si="13"/>
        <v/>
      </c>
    </row>
    <row r="101" spans="1:50" x14ac:dyDescent="0.25">
      <c r="A101" s="190" t="str">
        <f t="shared" si="11"/>
        <v/>
      </c>
      <c r="B101" s="294" t="str">
        <f t="shared" ref="B101" si="37">IF(AQ101&lt;&gt;"",AQ101,"")</f>
        <v>323-59473</v>
      </c>
      <c r="C101" s="294"/>
      <c r="D101" s="279">
        <f>O101</f>
        <v>0</v>
      </c>
      <c r="E101" s="294">
        <f t="shared" si="16"/>
        <v>4</v>
      </c>
      <c r="F101" s="294" t="s">
        <v>535</v>
      </c>
      <c r="G101" s="295">
        <v>45245</v>
      </c>
      <c r="H101" s="296"/>
      <c r="I101" s="297"/>
      <c r="J101" s="300" t="s">
        <v>402</v>
      </c>
      <c r="K101" s="300" t="s">
        <v>237</v>
      </c>
      <c r="L101" s="300" t="s">
        <v>2669</v>
      </c>
      <c r="M101" s="195" t="s">
        <v>558</v>
      </c>
      <c r="N101" s="195"/>
      <c r="O101" s="298"/>
      <c r="P101" s="298"/>
      <c r="Q101" s="299" t="str">
        <f t="shared" si="17"/>
        <v>. Fuel Pump, High Pressure Engine Mounted - LEFT or RIGHT (plug with 1 flat side)</v>
      </c>
      <c r="R101" s="299"/>
      <c r="S101" s="299" t="str">
        <f t="shared" si="20"/>
        <v/>
      </c>
      <c r="T101" s="299" t="str">
        <f>IF(O101&lt;&gt;"",_xlfn.XLOOKUP(O101,'3D. Pictures'!B:B,'3D. Pictures'!E:E,"NOT FOUND",0,1),"")</f>
        <v/>
      </c>
      <c r="U101" s="195"/>
      <c r="V101" s="300" t="s">
        <v>2306</v>
      </c>
      <c r="W101" s="195" t="s">
        <v>111</v>
      </c>
      <c r="X101" s="300"/>
      <c r="Y101" s="16"/>
      <c r="Z101" s="300"/>
      <c r="AA101" s="300" t="s">
        <v>2728</v>
      </c>
      <c r="AB101" s="300" t="s">
        <v>2728</v>
      </c>
      <c r="AC101" s="358" t="str">
        <f t="shared" si="19"/>
        <v>with roller cap, tag as SINGLE | 2 per car (identical)</v>
      </c>
      <c r="AD101" s="300" t="s">
        <v>2321</v>
      </c>
      <c r="AE101" s="300" t="s">
        <v>2318</v>
      </c>
      <c r="AF101" s="302" t="s">
        <v>543</v>
      </c>
      <c r="AG101" s="300" t="s">
        <v>2730</v>
      </c>
      <c r="AH101" s="16">
        <v>95</v>
      </c>
      <c r="AI101" s="380">
        <f t="shared" si="21"/>
        <v>95</v>
      </c>
      <c r="AJ101" s="301" t="s">
        <v>2198</v>
      </c>
      <c r="AK101" s="301" t="s">
        <v>425</v>
      </c>
      <c r="AL101" s="301" t="s">
        <v>2198</v>
      </c>
      <c r="AM101" s="294"/>
      <c r="AN101" s="326" t="s">
        <v>606</v>
      </c>
      <c r="AO101" s="294" t="s">
        <v>572</v>
      </c>
      <c r="AP101" s="294">
        <v>59473</v>
      </c>
      <c r="AQ101" s="294" t="str">
        <f t="shared" ref="AQ101" si="38">CONCATENATE(AN101,AO101,AP101)</f>
        <v>323-59473</v>
      </c>
      <c r="AR101" s="294"/>
      <c r="AS101" s="294"/>
      <c r="AT101" s="294"/>
      <c r="AU101" s="294"/>
      <c r="AV101" s="294"/>
      <c r="AW101" s="294"/>
      <c r="AX101" s="279" t="str">
        <f t="shared" si="13"/>
        <v/>
      </c>
    </row>
    <row r="102" spans="1:50" x14ac:dyDescent="0.25">
      <c r="A102" s="190" t="str">
        <f t="shared" si="11"/>
        <v/>
      </c>
      <c r="B102" s="303" t="str">
        <f t="shared" si="12"/>
        <v/>
      </c>
      <c r="C102" s="303"/>
      <c r="D102" s="303"/>
      <c r="E102" s="303" t="str">
        <f t="shared" si="16"/>
        <v/>
      </c>
      <c r="F102" s="303" t="s">
        <v>535</v>
      </c>
      <c r="G102" s="304">
        <v>45245</v>
      </c>
      <c r="H102" s="305"/>
      <c r="I102" s="306"/>
      <c r="J102" s="306" t="s">
        <v>402</v>
      </c>
      <c r="K102" s="306" t="s">
        <v>237</v>
      </c>
      <c r="L102" s="306" t="s">
        <v>514</v>
      </c>
      <c r="M102" s="306" t="s">
        <v>559</v>
      </c>
      <c r="N102" s="306"/>
      <c r="O102" s="307"/>
      <c r="P102" s="307"/>
      <c r="Q102" s="307" t="str">
        <f t="shared" si="17"/>
        <v>. Fuel Rail</v>
      </c>
      <c r="R102" s="307"/>
      <c r="S102" s="307" t="str">
        <f t="shared" si="20"/>
        <v/>
      </c>
      <c r="T102" s="307" t="str">
        <f>IF(O102&lt;&gt;"",_xlfn.XLOOKUP(O102,'3D. Pictures'!B:B,'3D. Pictures'!E:E,"NOT FOUND",0,1),"")</f>
        <v/>
      </c>
      <c r="U102" s="306"/>
      <c r="V102" s="306"/>
      <c r="W102" s="306"/>
      <c r="X102" s="306"/>
      <c r="Y102" s="16"/>
      <c r="Z102" s="306"/>
      <c r="AA102" s="306" t="s">
        <v>514</v>
      </c>
      <c r="AB102" s="306" t="s">
        <v>514</v>
      </c>
      <c r="AC102" s="358" t="str">
        <f t="shared" si="19"/>
        <v/>
      </c>
      <c r="AD102" s="306"/>
      <c r="AE102" s="306"/>
      <c r="AF102" s="309" t="s">
        <v>543</v>
      </c>
      <c r="AG102" s="306"/>
      <c r="AH102" s="16">
        <v>95</v>
      </c>
      <c r="AI102" s="380">
        <f t="shared" si="21"/>
        <v>95</v>
      </c>
      <c r="AJ102" s="310" t="s">
        <v>2176</v>
      </c>
      <c r="AK102" s="310" t="s">
        <v>425</v>
      </c>
      <c r="AL102" s="310" t="s">
        <v>2177</v>
      </c>
      <c r="AM102" s="303"/>
      <c r="AN102" s="303"/>
      <c r="AO102" s="303"/>
      <c r="AP102" s="303"/>
      <c r="AQ102" s="303"/>
      <c r="AR102" s="303"/>
      <c r="AS102" s="303" t="s">
        <v>1028</v>
      </c>
      <c r="AT102" s="303" t="s">
        <v>2198</v>
      </c>
      <c r="AU102" s="303" t="s">
        <v>1030</v>
      </c>
      <c r="AV102" s="303" t="str">
        <f>CONCATENATE(AS102,"-",AT102,"-",AU102)</f>
        <v>F15-14-18 4.4TT N63T-ALL</v>
      </c>
      <c r="AW102" s="303" t="s">
        <v>2368</v>
      </c>
      <c r="AX102" s="279" t="str">
        <f>IF(AW102&lt;&gt;"",_xlfn.TEXTJOIN("-",TRUE,AV102,AW102),"")</f>
        <v>F15-14-18 4.4TT N63T-ALL-Viking2</v>
      </c>
    </row>
    <row r="103" spans="1:50" x14ac:dyDescent="0.25">
      <c r="A103" s="190" t="str">
        <f t="shared" si="11"/>
        <v/>
      </c>
      <c r="B103" s="303" t="str">
        <f t="shared" ref="B103" si="39">IF(AQ103&lt;&gt;"",AQ103,"")</f>
        <v/>
      </c>
      <c r="C103" s="303"/>
      <c r="D103" s="303"/>
      <c r="E103" s="303" t="str">
        <f t="shared" si="16"/>
        <v/>
      </c>
      <c r="F103" s="303" t="s">
        <v>535</v>
      </c>
      <c r="G103" s="304">
        <v>45245</v>
      </c>
      <c r="H103" s="305"/>
      <c r="I103" s="306"/>
      <c r="J103" s="306" t="s">
        <v>402</v>
      </c>
      <c r="K103" s="306" t="s">
        <v>237</v>
      </c>
      <c r="L103" s="306" t="s">
        <v>514</v>
      </c>
      <c r="M103" s="306" t="s">
        <v>559</v>
      </c>
      <c r="N103" s="306"/>
      <c r="O103" s="307"/>
      <c r="P103" s="307"/>
      <c r="Q103" s="307" t="str">
        <f t="shared" si="17"/>
        <v>. Fuel Rail - LEFT</v>
      </c>
      <c r="R103" s="307"/>
      <c r="S103" s="307" t="str">
        <f t="shared" si="20"/>
        <v/>
      </c>
      <c r="T103" s="307" t="str">
        <f>IF(O103&lt;&gt;"",_xlfn.XLOOKUP(O103,'3D. Pictures'!B:B,'3D. Pictures'!E:E,"NOT FOUND",0,1),"")</f>
        <v/>
      </c>
      <c r="U103" s="306"/>
      <c r="V103" s="306" t="s">
        <v>2308</v>
      </c>
      <c r="W103" s="306" t="s">
        <v>111</v>
      </c>
      <c r="X103" s="306"/>
      <c r="Y103" s="205"/>
      <c r="Z103" s="306"/>
      <c r="AA103" s="306" t="s">
        <v>2282</v>
      </c>
      <c r="AB103" s="306" t="s">
        <v>2282</v>
      </c>
      <c r="AC103" s="358" t="str">
        <f t="shared" si="19"/>
        <v>tag as SINGLE</v>
      </c>
      <c r="AD103" s="306" t="s">
        <v>2320</v>
      </c>
      <c r="AE103" s="306"/>
      <c r="AF103" s="309" t="s">
        <v>543</v>
      </c>
      <c r="AG103" s="306"/>
      <c r="AH103" s="16">
        <v>120</v>
      </c>
      <c r="AI103" s="380">
        <f t="shared" si="21"/>
        <v>120</v>
      </c>
      <c r="AJ103" s="310" t="s">
        <v>2198</v>
      </c>
      <c r="AK103" s="310" t="s">
        <v>425</v>
      </c>
      <c r="AL103" s="310" t="s">
        <v>2198</v>
      </c>
      <c r="AM103" s="303"/>
      <c r="AN103" s="303"/>
      <c r="AO103" s="303"/>
      <c r="AP103" s="303"/>
      <c r="AQ103" s="303"/>
      <c r="AR103" s="303"/>
      <c r="AS103" s="303" t="s">
        <v>1028</v>
      </c>
      <c r="AT103" s="303" t="s">
        <v>2198</v>
      </c>
      <c r="AU103" s="303" t="s">
        <v>1030</v>
      </c>
      <c r="AV103" s="303" t="str">
        <f>CONCATENATE(AS103,"-",AT103,"-",AU103)</f>
        <v>F15-14-18 4.4TT N63T-ALL</v>
      </c>
      <c r="AW103" s="303" t="s">
        <v>2369</v>
      </c>
      <c r="AX103" s="279" t="str">
        <f t="shared" ref="AX103:AX166" si="40">IF(AW103&lt;&gt;"",_xlfn.TEXTJOIN("-",TRUE,AV103,AW103),"")</f>
        <v>F15-14-18 4.4TT N63T-ALL-Viking3</v>
      </c>
    </row>
    <row r="104" spans="1:50" x14ac:dyDescent="0.25">
      <c r="A104" s="190" t="str">
        <f t="shared" si="11"/>
        <v/>
      </c>
      <c r="B104" s="303" t="str">
        <f t="shared" ref="B104" si="41">IF(AQ104&lt;&gt;"",AQ104,"")</f>
        <v/>
      </c>
      <c r="C104" s="303"/>
      <c r="D104" s="303"/>
      <c r="E104" s="303" t="str">
        <f t="shared" si="16"/>
        <v/>
      </c>
      <c r="F104" s="303" t="s">
        <v>535</v>
      </c>
      <c r="G104" s="304">
        <v>45245</v>
      </c>
      <c r="H104" s="305"/>
      <c r="I104" s="306"/>
      <c r="J104" s="306" t="s">
        <v>402</v>
      </c>
      <c r="K104" s="306" t="s">
        <v>237</v>
      </c>
      <c r="L104" s="306" t="s">
        <v>514</v>
      </c>
      <c r="M104" s="306" t="s">
        <v>559</v>
      </c>
      <c r="N104" s="306"/>
      <c r="O104" s="307"/>
      <c r="P104" s="307"/>
      <c r="Q104" s="307" t="str">
        <f t="shared" si="17"/>
        <v>. Fuel Rail - RIGHT</v>
      </c>
      <c r="R104" s="307"/>
      <c r="S104" s="307" t="str">
        <f t="shared" si="20"/>
        <v/>
      </c>
      <c r="T104" s="307" t="str">
        <f>IF(O104&lt;&gt;"",_xlfn.XLOOKUP(O104,'3D. Pictures'!B:B,'3D. Pictures'!E:E,"NOT FOUND",0,1),"")</f>
        <v/>
      </c>
      <c r="U104" s="306"/>
      <c r="V104" s="306" t="s">
        <v>2307</v>
      </c>
      <c r="W104" s="306" t="s">
        <v>111</v>
      </c>
      <c r="X104" s="306"/>
      <c r="Y104" s="16"/>
      <c r="Z104" s="306"/>
      <c r="AA104" s="306" t="s">
        <v>2283</v>
      </c>
      <c r="AB104" s="306" t="s">
        <v>2283</v>
      </c>
      <c r="AC104" s="358" t="str">
        <f t="shared" si="19"/>
        <v>tag as SINGLE</v>
      </c>
      <c r="AD104" s="306" t="s">
        <v>2320</v>
      </c>
      <c r="AE104" s="306"/>
      <c r="AF104" s="309" t="s">
        <v>543</v>
      </c>
      <c r="AG104" s="306"/>
      <c r="AH104" s="16">
        <v>120</v>
      </c>
      <c r="AI104" s="380">
        <f t="shared" si="21"/>
        <v>120</v>
      </c>
      <c r="AJ104" s="310" t="s">
        <v>2198</v>
      </c>
      <c r="AK104" s="310" t="s">
        <v>425</v>
      </c>
      <c r="AL104" s="310" t="s">
        <v>2198</v>
      </c>
      <c r="AM104" s="303"/>
      <c r="AN104" s="303"/>
      <c r="AO104" s="303"/>
      <c r="AP104" s="303"/>
      <c r="AQ104" s="303"/>
      <c r="AR104" s="303"/>
      <c r="AS104" s="303" t="s">
        <v>1028</v>
      </c>
      <c r="AT104" s="303" t="s">
        <v>2198</v>
      </c>
      <c r="AU104" s="303" t="s">
        <v>1030</v>
      </c>
      <c r="AV104" s="303" t="str">
        <f>CONCATENATE(AS104,"-",AT104,"-",AU104)</f>
        <v>F15-14-18 4.4TT N63T-ALL</v>
      </c>
      <c r="AW104" s="303" t="s">
        <v>2370</v>
      </c>
      <c r="AX104" s="279" t="str">
        <f t="shared" si="40"/>
        <v>F15-14-18 4.4TT N63T-ALL-Viking4</v>
      </c>
    </row>
    <row r="105" spans="1:50" x14ac:dyDescent="0.25">
      <c r="A105" s="190" t="str">
        <f t="shared" si="11"/>
        <v/>
      </c>
      <c r="B105" s="279" t="str">
        <f t="shared" si="12"/>
        <v>309-50677</v>
      </c>
      <c r="C105" s="279"/>
      <c r="D105" s="279"/>
      <c r="E105" s="279">
        <f t="shared" si="16"/>
        <v>1</v>
      </c>
      <c r="F105" s="190" t="s">
        <v>535</v>
      </c>
      <c r="G105" s="198">
        <v>44670</v>
      </c>
      <c r="H105" s="210"/>
      <c r="I105" s="205"/>
      <c r="J105" s="205" t="s">
        <v>402</v>
      </c>
      <c r="K105" s="205" t="s">
        <v>237</v>
      </c>
      <c r="L105" s="205" t="s">
        <v>41</v>
      </c>
      <c r="M105" s="192" t="s">
        <v>558</v>
      </c>
      <c r="N105" s="192"/>
      <c r="O105" s="229"/>
      <c r="P105" s="229"/>
      <c r="Q105" s="231" t="str">
        <f t="shared" si="17"/>
        <v>. Harmonic Balancer</v>
      </c>
      <c r="R105" s="231"/>
      <c r="S105" s="231" t="str">
        <f t="shared" si="20"/>
        <v/>
      </c>
      <c r="T105" s="231" t="str">
        <f>IF(O105&lt;&gt;"",_xlfn.XLOOKUP(O105,'3D. Pictures'!B:B,'3D. Pictures'!E:E,"NOT FOUND",0,1),"")</f>
        <v/>
      </c>
      <c r="U105" s="192"/>
      <c r="V105" s="205"/>
      <c r="W105" s="192"/>
      <c r="X105" s="205"/>
      <c r="Y105" s="206"/>
      <c r="Z105" s="205"/>
      <c r="AA105" s="205" t="s">
        <v>41</v>
      </c>
      <c r="AB105" s="205" t="s">
        <v>41</v>
      </c>
      <c r="AC105" s="358" t="str">
        <f t="shared" si="19"/>
        <v>Harmonic Balancer | Harmonic Balancer</v>
      </c>
      <c r="AD105" s="205" t="s">
        <v>41</v>
      </c>
      <c r="AE105" s="205" t="s">
        <v>41</v>
      </c>
      <c r="AF105" s="201" t="s">
        <v>543</v>
      </c>
      <c r="AG105" s="205"/>
      <c r="AH105" s="16">
        <v>225</v>
      </c>
      <c r="AI105" s="380">
        <f t="shared" si="21"/>
        <v>225</v>
      </c>
      <c r="AJ105" s="204" t="s">
        <v>2176</v>
      </c>
      <c r="AK105" s="204" t="s">
        <v>425</v>
      </c>
      <c r="AL105" s="204" t="s">
        <v>2177</v>
      </c>
      <c r="AM105" s="190"/>
      <c r="AN105" s="191" t="s">
        <v>607</v>
      </c>
      <c r="AO105" s="190" t="s">
        <v>572</v>
      </c>
      <c r="AP105" s="190">
        <v>50677</v>
      </c>
      <c r="AQ105" s="190" t="str">
        <f t="shared" ref="AQ105:AQ116" si="42">CONCATENATE(AN105,AO105,AP105)</f>
        <v>309-50677</v>
      </c>
      <c r="AR105" s="190"/>
      <c r="AS105" s="190"/>
      <c r="AT105" s="190"/>
      <c r="AU105" s="190"/>
      <c r="AV105" s="190"/>
      <c r="AW105" s="190"/>
      <c r="AX105" s="279" t="str">
        <f t="shared" si="40"/>
        <v/>
      </c>
    </row>
    <row r="106" spans="1:50" x14ac:dyDescent="0.25">
      <c r="A106" s="190" t="str">
        <f t="shared" si="11"/>
        <v/>
      </c>
      <c r="B106" s="311" t="str">
        <f t="shared" ref="B106" si="43">IF(AQ106&lt;&gt;"",AQ106,"")</f>
        <v>309-50638</v>
      </c>
      <c r="C106" s="311"/>
      <c r="D106" s="311"/>
      <c r="E106" s="311">
        <f t="shared" si="16"/>
        <v>1</v>
      </c>
      <c r="F106" s="311" t="s">
        <v>535</v>
      </c>
      <c r="G106" s="312">
        <v>45245</v>
      </c>
      <c r="H106" s="313"/>
      <c r="I106" s="314"/>
      <c r="J106" s="314" t="s">
        <v>405</v>
      </c>
      <c r="K106" s="314" t="s">
        <v>237</v>
      </c>
      <c r="L106" s="314" t="s">
        <v>41</v>
      </c>
      <c r="M106" s="315" t="s">
        <v>558</v>
      </c>
      <c r="N106" s="193"/>
      <c r="O106" s="316"/>
      <c r="P106" s="316"/>
      <c r="Q106" s="317" t="str">
        <f t="shared" si="17"/>
        <v>. Harmonic Balancer</v>
      </c>
      <c r="R106" s="317"/>
      <c r="S106" s="317" t="str">
        <f t="shared" si="20"/>
        <v/>
      </c>
      <c r="T106" s="317" t="str">
        <f>IF(O106&lt;&gt;"",_xlfn.XLOOKUP(O106,'3D. Pictures'!B:B,'3D. Pictures'!E:E,"NOT FOUND",0,1),"")</f>
        <v/>
      </c>
      <c r="U106" s="193"/>
      <c r="V106" s="318"/>
      <c r="W106" s="193"/>
      <c r="X106" s="318"/>
      <c r="Y106" s="16"/>
      <c r="Z106" s="318"/>
      <c r="AA106" s="314" t="s">
        <v>41</v>
      </c>
      <c r="AB106" s="314" t="s">
        <v>41</v>
      </c>
      <c r="AC106" s="359" t="str">
        <f t="shared" si="19"/>
        <v>Harmonic Balancer | Harmonic Balancer</v>
      </c>
      <c r="AD106" s="314" t="s">
        <v>41</v>
      </c>
      <c r="AE106" s="314" t="s">
        <v>41</v>
      </c>
      <c r="AF106" s="319" t="s">
        <v>543</v>
      </c>
      <c r="AG106" s="314"/>
      <c r="AH106" s="10"/>
      <c r="AI106" s="380">
        <f t="shared" si="21"/>
        <v>225</v>
      </c>
      <c r="AJ106" s="320" t="s">
        <v>2198</v>
      </c>
      <c r="AK106" s="320" t="s">
        <v>425</v>
      </c>
      <c r="AL106" s="320" t="s">
        <v>2198</v>
      </c>
      <c r="AM106" s="311"/>
      <c r="AN106" s="311" t="s">
        <v>607</v>
      </c>
      <c r="AO106" s="311" t="s">
        <v>572</v>
      </c>
      <c r="AP106" s="311">
        <v>50638</v>
      </c>
      <c r="AQ106" s="311" t="str">
        <f t="shared" ref="AQ106" si="44">CONCATENATE(AN106,AO106,AP106)</f>
        <v>309-50638</v>
      </c>
      <c r="AR106" s="311"/>
      <c r="AS106" s="311"/>
      <c r="AT106" s="311"/>
      <c r="AU106" s="311"/>
      <c r="AV106" s="311"/>
      <c r="AW106" s="311"/>
      <c r="AX106" s="279" t="str">
        <f t="shared" si="40"/>
        <v/>
      </c>
    </row>
    <row r="107" spans="1:50" x14ac:dyDescent="0.25">
      <c r="A107" s="190" t="str">
        <f t="shared" si="11"/>
        <v/>
      </c>
      <c r="B107" s="279" t="str">
        <f t="shared" si="12"/>
        <v>610-50203</v>
      </c>
      <c r="C107" s="279" t="s">
        <v>2096</v>
      </c>
      <c r="D107" s="279"/>
      <c r="E107" s="279">
        <f t="shared" si="16"/>
        <v>2</v>
      </c>
      <c r="F107" s="190" t="s">
        <v>535</v>
      </c>
      <c r="G107" s="198">
        <v>44670</v>
      </c>
      <c r="H107" s="210"/>
      <c r="I107" s="205"/>
      <c r="J107" s="205" t="s">
        <v>402</v>
      </c>
      <c r="K107" s="205" t="s">
        <v>237</v>
      </c>
      <c r="L107" s="205" t="s">
        <v>666</v>
      </c>
      <c r="M107" s="192" t="s">
        <v>558</v>
      </c>
      <c r="N107" s="192"/>
      <c r="O107" s="229"/>
      <c r="P107" s="229"/>
      <c r="Q107" s="231" t="str">
        <f t="shared" si="17"/>
        <v>. Ignition Coils SET 6</v>
      </c>
      <c r="R107" s="231"/>
      <c r="S107" s="231" t="str">
        <f t="shared" si="20"/>
        <v/>
      </c>
      <c r="T107" s="231" t="str">
        <f>IF(O107&lt;&gt;"",_xlfn.XLOOKUP(O107,'3D. Pictures'!B:B,'3D. Pictures'!E:E,"NOT FOUND",0,1),"")</f>
        <v/>
      </c>
      <c r="U107" s="192"/>
      <c r="V107" s="205"/>
      <c r="W107" s="192"/>
      <c r="X107" s="205"/>
      <c r="Y107" s="16"/>
      <c r="Z107" s="205"/>
      <c r="AA107" s="205" t="s">
        <v>666</v>
      </c>
      <c r="AB107" s="205" t="s">
        <v>668</v>
      </c>
      <c r="AC107" s="358" t="str">
        <f t="shared" si="19"/>
        <v>SET 6, if some bad sell SET 4, toss singles</v>
      </c>
      <c r="AD107" s="205" t="s">
        <v>667</v>
      </c>
      <c r="AE107" s="205"/>
      <c r="AF107" s="201" t="s">
        <v>546</v>
      </c>
      <c r="AG107" s="205" t="s">
        <v>404</v>
      </c>
      <c r="AH107" s="16">
        <v>75</v>
      </c>
      <c r="AI107" s="380">
        <f t="shared" si="21"/>
        <v>62</v>
      </c>
      <c r="AJ107" s="204" t="s">
        <v>2176</v>
      </c>
      <c r="AK107" s="204" t="s">
        <v>425</v>
      </c>
      <c r="AL107" s="204" t="s">
        <v>2177</v>
      </c>
      <c r="AM107" s="190"/>
      <c r="AN107" s="191" t="s">
        <v>608</v>
      </c>
      <c r="AO107" s="190" t="s">
        <v>572</v>
      </c>
      <c r="AP107" s="190">
        <v>50203</v>
      </c>
      <c r="AQ107" s="190" t="str">
        <f t="shared" si="42"/>
        <v>610-50203</v>
      </c>
      <c r="AR107" s="190"/>
      <c r="AS107" s="190"/>
      <c r="AT107" s="190"/>
      <c r="AU107" s="190"/>
      <c r="AV107" s="190"/>
      <c r="AW107" s="190"/>
      <c r="AX107" s="279" t="str">
        <f t="shared" si="40"/>
        <v/>
      </c>
    </row>
    <row r="108" spans="1:50" x14ac:dyDescent="0.25">
      <c r="A108" s="190" t="str">
        <f t="shared" si="11"/>
        <v/>
      </c>
      <c r="B108" s="279" t="str">
        <f t="shared" si="12"/>
        <v>610-50203</v>
      </c>
      <c r="C108" s="279" t="s">
        <v>2097</v>
      </c>
      <c r="D108" s="279"/>
      <c r="E108" s="279">
        <f t="shared" si="16"/>
        <v>2</v>
      </c>
      <c r="F108" s="190" t="s">
        <v>535</v>
      </c>
      <c r="G108" s="198">
        <v>44670</v>
      </c>
      <c r="H108" s="210"/>
      <c r="I108" s="205"/>
      <c r="J108" s="205" t="s">
        <v>402</v>
      </c>
      <c r="K108" s="205" t="s">
        <v>237</v>
      </c>
      <c r="L108" s="205" t="s">
        <v>666</v>
      </c>
      <c r="M108" s="192" t="s">
        <v>558</v>
      </c>
      <c r="N108" s="192"/>
      <c r="O108" s="229"/>
      <c r="P108" s="229"/>
      <c r="Q108" s="231" t="str">
        <f t="shared" si="17"/>
        <v>. Ignition Coils SET 4</v>
      </c>
      <c r="R108" s="231"/>
      <c r="S108" s="231" t="str">
        <f t="shared" si="20"/>
        <v/>
      </c>
      <c r="T108" s="231" t="str">
        <f>IF(O108&lt;&gt;"",_xlfn.XLOOKUP(O108,'3D. Pictures'!B:B,'3D. Pictures'!E:E,"NOT FOUND",0,1),"")</f>
        <v/>
      </c>
      <c r="U108" s="192"/>
      <c r="V108" s="205"/>
      <c r="W108" s="192"/>
      <c r="X108" s="205"/>
      <c r="Y108" s="16"/>
      <c r="Z108" s="205"/>
      <c r="AA108" s="205" t="s">
        <v>666</v>
      </c>
      <c r="AB108" s="205" t="s">
        <v>670</v>
      </c>
      <c r="AC108" s="358" t="str">
        <f t="shared" si="19"/>
        <v/>
      </c>
      <c r="AD108" s="205"/>
      <c r="AE108" s="205"/>
      <c r="AF108" s="201" t="s">
        <v>541</v>
      </c>
      <c r="AG108" s="205"/>
      <c r="AH108" s="16">
        <v>49</v>
      </c>
      <c r="AI108" s="380">
        <f t="shared" si="21"/>
        <v>62</v>
      </c>
      <c r="AJ108" s="204" t="s">
        <v>2176</v>
      </c>
      <c r="AK108" s="204" t="s">
        <v>425</v>
      </c>
      <c r="AL108" s="204" t="s">
        <v>2177</v>
      </c>
      <c r="AM108" s="190"/>
      <c r="AN108" s="191" t="s">
        <v>608</v>
      </c>
      <c r="AO108" s="190" t="s">
        <v>572</v>
      </c>
      <c r="AP108" s="190">
        <v>50203</v>
      </c>
      <c r="AQ108" s="190" t="str">
        <f t="shared" si="42"/>
        <v>610-50203</v>
      </c>
      <c r="AR108" s="190"/>
      <c r="AS108" s="190"/>
      <c r="AT108" s="190"/>
      <c r="AU108" s="190"/>
      <c r="AV108" s="190"/>
      <c r="AW108" s="190"/>
      <c r="AX108" s="279" t="str">
        <f t="shared" si="40"/>
        <v/>
      </c>
    </row>
    <row r="109" spans="1:50" x14ac:dyDescent="0.25">
      <c r="A109" s="190" t="str">
        <f t="shared" si="11"/>
        <v/>
      </c>
      <c r="B109" s="294" t="str">
        <f t="shared" ref="B109" si="45">IF(AQ109&lt;&gt;"",AQ109,"")</f>
        <v>610-50126</v>
      </c>
      <c r="C109" s="294"/>
      <c r="D109" s="294"/>
      <c r="E109" s="294">
        <f t="shared" si="16"/>
        <v>1</v>
      </c>
      <c r="F109" s="294" t="s">
        <v>535</v>
      </c>
      <c r="G109" s="295">
        <v>45245</v>
      </c>
      <c r="H109" s="296"/>
      <c r="I109" s="297"/>
      <c r="J109" s="300" t="s">
        <v>402</v>
      </c>
      <c r="K109" s="300" t="s">
        <v>237</v>
      </c>
      <c r="L109" s="300" t="s">
        <v>666</v>
      </c>
      <c r="M109" s="195" t="s">
        <v>558</v>
      </c>
      <c r="N109" s="195"/>
      <c r="O109" s="298"/>
      <c r="P109" s="298"/>
      <c r="Q109" s="299" t="str">
        <f t="shared" si="17"/>
        <v>. Ignition Coils SET 8 (Bosch)</v>
      </c>
      <c r="R109" s="299"/>
      <c r="S109" s="299" t="str">
        <f t="shared" si="20"/>
        <v/>
      </c>
      <c r="T109" s="299" t="str">
        <f>IF(O109&lt;&gt;"",_xlfn.XLOOKUP(O109,'3D. Pictures'!B:B,'3D. Pictures'!E:E,"NOT FOUND",0,1),"")</f>
        <v/>
      </c>
      <c r="U109" s="195"/>
      <c r="V109" s="300"/>
      <c r="W109" s="195" t="s">
        <v>112</v>
      </c>
      <c r="X109" s="300"/>
      <c r="Y109" s="16"/>
      <c r="Z109" s="300"/>
      <c r="AA109" s="300" t="s">
        <v>2807</v>
      </c>
      <c r="AB109" s="300" t="s">
        <v>2731</v>
      </c>
      <c r="AC109" s="358" t="str">
        <f t="shared" si="19"/>
        <v>SET 8, if 1 bad toss all</v>
      </c>
      <c r="AD109" s="300" t="s">
        <v>2293</v>
      </c>
      <c r="AE109" s="300"/>
      <c r="AF109" s="302" t="s">
        <v>2199</v>
      </c>
      <c r="AG109" s="300"/>
      <c r="AH109" s="16">
        <v>75</v>
      </c>
      <c r="AI109" s="380">
        <f t="shared" si="21"/>
        <v>75</v>
      </c>
      <c r="AJ109" s="301" t="s">
        <v>2198</v>
      </c>
      <c r="AK109" s="301" t="s">
        <v>425</v>
      </c>
      <c r="AL109" s="301" t="s">
        <v>2198</v>
      </c>
      <c r="AM109" s="294"/>
      <c r="AN109" s="326" t="s">
        <v>608</v>
      </c>
      <c r="AO109" s="294" t="s">
        <v>572</v>
      </c>
      <c r="AP109" s="294">
        <v>50126</v>
      </c>
      <c r="AQ109" s="294" t="str">
        <f t="shared" ref="AQ109" si="46">CONCATENATE(AN109,AO109,AP109)</f>
        <v>610-50126</v>
      </c>
      <c r="AR109" s="294" t="s">
        <v>2294</v>
      </c>
      <c r="AS109" s="294"/>
      <c r="AT109" s="294"/>
      <c r="AU109" s="294"/>
      <c r="AV109" s="294"/>
      <c r="AW109" s="294"/>
      <c r="AX109" s="279" t="str">
        <f t="shared" si="40"/>
        <v/>
      </c>
    </row>
    <row r="110" spans="1:50" x14ac:dyDescent="0.25">
      <c r="A110" s="190" t="str">
        <f t="shared" si="11"/>
        <v/>
      </c>
      <c r="B110" s="294" t="str">
        <f t="shared" ref="B110" si="47">IF(AQ110&lt;&gt;"",AQ110,"")</f>
        <v>610-58805</v>
      </c>
      <c r="C110" s="294"/>
      <c r="D110" s="294"/>
      <c r="E110" s="294">
        <f t="shared" si="16"/>
        <v>3</v>
      </c>
      <c r="F110" s="294" t="s">
        <v>535</v>
      </c>
      <c r="G110" s="295">
        <v>45245</v>
      </c>
      <c r="H110" s="296"/>
      <c r="I110" s="297"/>
      <c r="J110" s="300" t="s">
        <v>402</v>
      </c>
      <c r="K110" s="300" t="s">
        <v>237</v>
      </c>
      <c r="L110" s="300" t="s">
        <v>666</v>
      </c>
      <c r="M110" s="195" t="s">
        <v>558</v>
      </c>
      <c r="N110" s="195"/>
      <c r="O110" s="298"/>
      <c r="P110" s="298"/>
      <c r="Q110" s="299" t="str">
        <f t="shared" si="17"/>
        <v>. Ignition Coils SET 8 (Delphi)</v>
      </c>
      <c r="R110" s="299"/>
      <c r="S110" s="299" t="str">
        <f t="shared" si="20"/>
        <v/>
      </c>
      <c r="T110" s="299" t="str">
        <f>IF(O110&lt;&gt;"",_xlfn.XLOOKUP(O110,'3D. Pictures'!B:B,'3D. Pictures'!E:E,"NOT FOUND",0,1),"")</f>
        <v/>
      </c>
      <c r="U110" s="195"/>
      <c r="V110" s="300" t="s">
        <v>2297</v>
      </c>
      <c r="W110" s="195" t="s">
        <v>111</v>
      </c>
      <c r="X110" s="300"/>
      <c r="Y110" s="16"/>
      <c r="Z110" s="300"/>
      <c r="AA110" s="300" t="s">
        <v>2808</v>
      </c>
      <c r="AB110" s="300" t="s">
        <v>2732</v>
      </c>
      <c r="AC110" s="358" t="str">
        <f t="shared" si="19"/>
        <v>SET 8, if some bad sell SET 4 &amp; singles</v>
      </c>
      <c r="AD110" s="300" t="s">
        <v>2296</v>
      </c>
      <c r="AE110" s="300"/>
      <c r="AF110" s="302" t="s">
        <v>2199</v>
      </c>
      <c r="AG110" s="300"/>
      <c r="AH110" s="16">
        <v>200</v>
      </c>
      <c r="AI110" s="380">
        <f t="shared" si="21"/>
        <v>125</v>
      </c>
      <c r="AJ110" s="301" t="s">
        <v>2198</v>
      </c>
      <c r="AK110" s="301" t="s">
        <v>425</v>
      </c>
      <c r="AL110" s="301" t="s">
        <v>2198</v>
      </c>
      <c r="AM110" s="294"/>
      <c r="AN110" s="326" t="s">
        <v>608</v>
      </c>
      <c r="AO110" s="294" t="s">
        <v>572</v>
      </c>
      <c r="AP110" s="294">
        <v>58805</v>
      </c>
      <c r="AQ110" s="294" t="str">
        <f t="shared" ref="AQ110" si="48">CONCATENATE(AN110,AO110,AP110)</f>
        <v>610-58805</v>
      </c>
      <c r="AR110" s="294" t="s">
        <v>2295</v>
      </c>
      <c r="AS110" s="294"/>
      <c r="AT110" s="294"/>
      <c r="AU110" s="294"/>
      <c r="AV110" s="294"/>
      <c r="AW110" s="294"/>
      <c r="AX110" s="279" t="str">
        <f t="shared" si="40"/>
        <v/>
      </c>
    </row>
    <row r="111" spans="1:50" x14ac:dyDescent="0.25">
      <c r="A111" s="190" t="str">
        <f t="shared" si="11"/>
        <v/>
      </c>
      <c r="B111" s="294" t="str">
        <f t="shared" ref="B111" si="49">IF(AQ111&lt;&gt;"",AQ111,"")</f>
        <v>610-58805</v>
      </c>
      <c r="C111" s="294"/>
      <c r="D111" s="294"/>
      <c r="E111" s="294">
        <f t="shared" si="16"/>
        <v>3</v>
      </c>
      <c r="F111" s="294" t="s">
        <v>535</v>
      </c>
      <c r="G111" s="295">
        <v>45245</v>
      </c>
      <c r="H111" s="296"/>
      <c r="I111" s="297"/>
      <c r="J111" s="300" t="s">
        <v>402</v>
      </c>
      <c r="K111" s="300" t="s">
        <v>237</v>
      </c>
      <c r="L111" s="300" t="s">
        <v>666</v>
      </c>
      <c r="M111" s="195" t="s">
        <v>558</v>
      </c>
      <c r="N111" s="195"/>
      <c r="O111" s="298"/>
      <c r="P111" s="298"/>
      <c r="Q111" s="299" t="str">
        <f t="shared" si="17"/>
        <v>. Ignition Coils SET 4 (Delphi)</v>
      </c>
      <c r="R111" s="299"/>
      <c r="S111" s="299" t="str">
        <f t="shared" si="20"/>
        <v/>
      </c>
      <c r="T111" s="299" t="str">
        <f>IF(O111&lt;&gt;"",_xlfn.XLOOKUP(O111,'3D. Pictures'!B:B,'3D. Pictures'!E:E,"NOT FOUND",0,1),"")</f>
        <v/>
      </c>
      <c r="U111" s="195"/>
      <c r="V111" s="300" t="s">
        <v>2297</v>
      </c>
      <c r="W111" s="195" t="s">
        <v>111</v>
      </c>
      <c r="X111" s="300"/>
      <c r="Y111" s="16"/>
      <c r="Z111" s="300"/>
      <c r="AA111" s="300" t="s">
        <v>2808</v>
      </c>
      <c r="AB111" s="300" t="s">
        <v>2733</v>
      </c>
      <c r="AC111" s="358" t="str">
        <f t="shared" si="19"/>
        <v/>
      </c>
      <c r="AD111" s="300"/>
      <c r="AE111" s="300"/>
      <c r="AF111" s="302" t="s">
        <v>541</v>
      </c>
      <c r="AG111" s="300"/>
      <c r="AH111" s="16">
        <v>120</v>
      </c>
      <c r="AI111" s="380">
        <f t="shared" si="21"/>
        <v>125</v>
      </c>
      <c r="AJ111" s="301" t="s">
        <v>2198</v>
      </c>
      <c r="AK111" s="301" t="s">
        <v>425</v>
      </c>
      <c r="AL111" s="301" t="s">
        <v>2198</v>
      </c>
      <c r="AM111" s="294"/>
      <c r="AN111" s="326" t="s">
        <v>608</v>
      </c>
      <c r="AO111" s="294" t="s">
        <v>572</v>
      </c>
      <c r="AP111" s="294">
        <v>58805</v>
      </c>
      <c r="AQ111" s="294" t="str">
        <f t="shared" ref="AQ111" si="50">CONCATENATE(AN111,AO111,AP111)</f>
        <v>610-58805</v>
      </c>
      <c r="AR111" s="294" t="s">
        <v>2295</v>
      </c>
      <c r="AS111" s="294"/>
      <c r="AT111" s="294"/>
      <c r="AU111" s="294"/>
      <c r="AV111" s="294"/>
      <c r="AW111" s="294"/>
      <c r="AX111" s="279" t="str">
        <f t="shared" si="40"/>
        <v/>
      </c>
    </row>
    <row r="112" spans="1:50" x14ac:dyDescent="0.25">
      <c r="A112" s="190" t="str">
        <f t="shared" si="11"/>
        <v/>
      </c>
      <c r="B112" s="294" t="str">
        <f t="shared" ref="B112" si="51">IF(AQ112&lt;&gt;"",AQ112,"")</f>
        <v>610-58805</v>
      </c>
      <c r="C112" s="294"/>
      <c r="D112" s="294"/>
      <c r="E112" s="294">
        <f t="shared" si="16"/>
        <v>3</v>
      </c>
      <c r="F112" s="294" t="s">
        <v>535</v>
      </c>
      <c r="G112" s="295">
        <v>45245</v>
      </c>
      <c r="H112" s="296"/>
      <c r="I112" s="297"/>
      <c r="J112" s="300" t="s">
        <v>402</v>
      </c>
      <c r="K112" s="300" t="s">
        <v>237</v>
      </c>
      <c r="L112" s="300" t="s">
        <v>666</v>
      </c>
      <c r="M112" s="195" t="s">
        <v>558</v>
      </c>
      <c r="N112" s="195"/>
      <c r="O112" s="298"/>
      <c r="P112" s="298"/>
      <c r="Q112" s="299" t="str">
        <f t="shared" si="17"/>
        <v>. Ignition Coil SINGLE (Delphi)</v>
      </c>
      <c r="R112" s="299"/>
      <c r="S112" s="299" t="str">
        <f t="shared" si="20"/>
        <v/>
      </c>
      <c r="T112" s="299" t="str">
        <f>IF(O112&lt;&gt;"",_xlfn.XLOOKUP(O112,'3D. Pictures'!B:B,'3D. Pictures'!E:E,"NOT FOUND",0,1),"")</f>
        <v/>
      </c>
      <c r="U112" s="195"/>
      <c r="V112" s="300" t="s">
        <v>2297</v>
      </c>
      <c r="W112" s="195" t="s">
        <v>111</v>
      </c>
      <c r="X112" s="300"/>
      <c r="Y112" s="16"/>
      <c r="Z112" s="300"/>
      <c r="AA112" s="300" t="s">
        <v>2808</v>
      </c>
      <c r="AB112" s="300" t="s">
        <v>2734</v>
      </c>
      <c r="AC112" s="358" t="str">
        <f t="shared" si="19"/>
        <v/>
      </c>
      <c r="AD112" s="300"/>
      <c r="AE112" s="300"/>
      <c r="AF112" s="302" t="s">
        <v>543</v>
      </c>
      <c r="AG112" s="300"/>
      <c r="AH112" s="16">
        <v>55</v>
      </c>
      <c r="AI112" s="380">
        <f t="shared" si="21"/>
        <v>125</v>
      </c>
      <c r="AJ112" s="301" t="s">
        <v>2198</v>
      </c>
      <c r="AK112" s="301" t="s">
        <v>425</v>
      </c>
      <c r="AL112" s="301" t="s">
        <v>2198</v>
      </c>
      <c r="AM112" s="294"/>
      <c r="AN112" s="326" t="s">
        <v>608</v>
      </c>
      <c r="AO112" s="294" t="s">
        <v>572</v>
      </c>
      <c r="AP112" s="294">
        <v>58805</v>
      </c>
      <c r="AQ112" s="294" t="str">
        <f t="shared" ref="AQ112" si="52">CONCATENATE(AN112,AO112,AP112)</f>
        <v>610-58805</v>
      </c>
      <c r="AR112" s="294" t="s">
        <v>2295</v>
      </c>
      <c r="AS112" s="294"/>
      <c r="AT112" s="294"/>
      <c r="AU112" s="294"/>
      <c r="AV112" s="294"/>
      <c r="AW112" s="294"/>
      <c r="AX112" s="279" t="str">
        <f t="shared" si="40"/>
        <v/>
      </c>
    </row>
    <row r="113" spans="1:50" x14ac:dyDescent="0.25">
      <c r="A113" s="190" t="str">
        <f t="shared" si="11"/>
        <v/>
      </c>
      <c r="B113" s="279" t="str">
        <f t="shared" si="12"/>
        <v>329-50523</v>
      </c>
      <c r="C113" s="279"/>
      <c r="D113" s="279"/>
      <c r="E113" s="279">
        <f t="shared" si="16"/>
        <v>1</v>
      </c>
      <c r="F113" s="190" t="s">
        <v>536</v>
      </c>
      <c r="G113" s="198">
        <v>45099</v>
      </c>
      <c r="H113" s="214"/>
      <c r="I113" s="215"/>
      <c r="J113" s="205" t="s">
        <v>402</v>
      </c>
      <c r="K113" s="205" t="s">
        <v>237</v>
      </c>
      <c r="L113" s="205" t="s">
        <v>515</v>
      </c>
      <c r="M113" s="192" t="s">
        <v>558</v>
      </c>
      <c r="N113" s="192"/>
      <c r="O113" s="229"/>
      <c r="P113" s="229"/>
      <c r="Q113" s="231" t="str">
        <f t="shared" si="17"/>
        <v xml:space="preserve">. Intake Manifold </v>
      </c>
      <c r="R113" s="231"/>
      <c r="S113" s="231" t="str">
        <f t="shared" si="20"/>
        <v/>
      </c>
      <c r="T113" s="231" t="str">
        <f>IF(O113&lt;&gt;"",_xlfn.XLOOKUP(O113,'3D. Pictures'!B:B,'3D. Pictures'!E:E,"NOT FOUND",0,1),"")</f>
        <v/>
      </c>
      <c r="U113" s="192"/>
      <c r="V113" s="205"/>
      <c r="W113" s="192"/>
      <c r="X113" s="205"/>
      <c r="Y113" s="205"/>
      <c r="Z113" s="205"/>
      <c r="AA113" s="205" t="s">
        <v>515</v>
      </c>
      <c r="AB113" s="205" t="s">
        <v>515</v>
      </c>
      <c r="AC113" s="358" t="str">
        <f t="shared" si="19"/>
        <v/>
      </c>
      <c r="AD113" s="205"/>
      <c r="AE113" s="205"/>
      <c r="AF113" s="201" t="s">
        <v>543</v>
      </c>
      <c r="AG113" s="205"/>
      <c r="AH113" s="16">
        <v>90</v>
      </c>
      <c r="AI113" s="380">
        <f t="shared" si="21"/>
        <v>90</v>
      </c>
      <c r="AJ113" s="204" t="s">
        <v>2176</v>
      </c>
      <c r="AK113" s="204" t="s">
        <v>425</v>
      </c>
      <c r="AL113" s="204" t="s">
        <v>2177</v>
      </c>
      <c r="AM113" s="190"/>
      <c r="AN113" s="191" t="s">
        <v>609</v>
      </c>
      <c r="AO113" s="190" t="s">
        <v>572</v>
      </c>
      <c r="AP113" s="190">
        <v>50523</v>
      </c>
      <c r="AQ113" s="190" t="str">
        <f t="shared" si="42"/>
        <v>329-50523</v>
      </c>
      <c r="AR113" s="190"/>
      <c r="AS113" s="190"/>
      <c r="AT113" s="190"/>
      <c r="AU113" s="190"/>
      <c r="AV113" s="190"/>
      <c r="AW113" s="190"/>
      <c r="AX113" s="279" t="str">
        <f t="shared" si="40"/>
        <v/>
      </c>
    </row>
    <row r="114" spans="1:50" x14ac:dyDescent="0.25">
      <c r="A114" s="190" t="str">
        <f t="shared" si="11"/>
        <v/>
      </c>
      <c r="B114" s="294" t="str">
        <f t="shared" ref="B114" si="53">IF(AQ114&lt;&gt;"",AQ114,"")</f>
        <v>329-59979</v>
      </c>
      <c r="C114" s="294"/>
      <c r="D114" s="294"/>
      <c r="E114" s="294">
        <f t="shared" si="16"/>
        <v>1</v>
      </c>
      <c r="F114" s="294" t="s">
        <v>535</v>
      </c>
      <c r="G114" s="295">
        <v>45244</v>
      </c>
      <c r="H114" s="296"/>
      <c r="I114" s="297"/>
      <c r="J114" s="300" t="s">
        <v>402</v>
      </c>
      <c r="K114" s="300" t="s">
        <v>237</v>
      </c>
      <c r="L114" s="300" t="s">
        <v>515</v>
      </c>
      <c r="M114" s="195" t="s">
        <v>558</v>
      </c>
      <c r="N114" s="195"/>
      <c r="O114" s="298"/>
      <c r="P114" s="298"/>
      <c r="Q114" s="299" t="str">
        <f t="shared" si="17"/>
        <v>. Intake Manifold, LEFT</v>
      </c>
      <c r="R114" s="299"/>
      <c r="S114" s="299" t="str">
        <f t="shared" si="20"/>
        <v/>
      </c>
      <c r="T114" s="299" t="str">
        <f>IF(O114&lt;&gt;"",_xlfn.XLOOKUP(O114,'3D. Pictures'!B:B,'3D. Pictures'!E:E,"NOT FOUND",0,1),"")</f>
        <v/>
      </c>
      <c r="U114" s="195"/>
      <c r="V114" s="300" t="s">
        <v>2221</v>
      </c>
      <c r="W114" s="195" t="s">
        <v>111</v>
      </c>
      <c r="X114" s="300"/>
      <c r="Y114" s="205"/>
      <c r="Z114" s="300"/>
      <c r="AA114" s="300" t="s">
        <v>2219</v>
      </c>
      <c r="AB114" s="300" t="s">
        <v>2219</v>
      </c>
      <c r="AC114" s="358" t="str">
        <f t="shared" si="19"/>
        <v/>
      </c>
      <c r="AD114" s="300"/>
      <c r="AE114" s="300"/>
      <c r="AF114" s="302" t="s">
        <v>543</v>
      </c>
      <c r="AG114" s="300"/>
      <c r="AH114" s="16">
        <v>100</v>
      </c>
      <c r="AI114" s="380">
        <f t="shared" si="21"/>
        <v>100</v>
      </c>
      <c r="AJ114" s="301" t="s">
        <v>2198</v>
      </c>
      <c r="AK114" s="301" t="s">
        <v>425</v>
      </c>
      <c r="AL114" s="301" t="s">
        <v>2198</v>
      </c>
      <c r="AM114" s="294"/>
      <c r="AN114" s="326" t="s">
        <v>609</v>
      </c>
      <c r="AO114" s="294" t="s">
        <v>572</v>
      </c>
      <c r="AP114" s="294">
        <v>59979</v>
      </c>
      <c r="AQ114" s="294" t="str">
        <f t="shared" si="42"/>
        <v>329-59979</v>
      </c>
      <c r="AR114" s="294"/>
      <c r="AS114" s="294"/>
      <c r="AT114" s="294"/>
      <c r="AU114" s="294"/>
      <c r="AV114" s="294"/>
      <c r="AW114" s="294"/>
      <c r="AX114" s="279" t="str">
        <f t="shared" si="40"/>
        <v/>
      </c>
    </row>
    <row r="115" spans="1:50" x14ac:dyDescent="0.25">
      <c r="A115" s="190" t="str">
        <f t="shared" si="11"/>
        <v/>
      </c>
      <c r="B115" s="294" t="str">
        <f t="shared" ref="B115" si="54">IF(AQ115&lt;&gt;"",AQ115,"")</f>
        <v>329-59978</v>
      </c>
      <c r="C115" s="294"/>
      <c r="D115" s="294"/>
      <c r="E115" s="294">
        <f t="shared" si="16"/>
        <v>1</v>
      </c>
      <c r="F115" s="294" t="s">
        <v>535</v>
      </c>
      <c r="G115" s="295">
        <v>45244</v>
      </c>
      <c r="H115" s="296"/>
      <c r="I115" s="297"/>
      <c r="J115" s="300" t="s">
        <v>402</v>
      </c>
      <c r="K115" s="300" t="s">
        <v>237</v>
      </c>
      <c r="L115" s="300" t="s">
        <v>515</v>
      </c>
      <c r="M115" s="195" t="s">
        <v>558</v>
      </c>
      <c r="N115" s="195"/>
      <c r="O115" s="298"/>
      <c r="P115" s="298"/>
      <c r="Q115" s="299" t="str">
        <f t="shared" si="17"/>
        <v>. Intake Manifold, RIGHT</v>
      </c>
      <c r="R115" s="299"/>
      <c r="S115" s="299" t="str">
        <f t="shared" si="20"/>
        <v/>
      </c>
      <c r="T115" s="299" t="str">
        <f>IF(O115&lt;&gt;"",_xlfn.XLOOKUP(O115,'3D. Pictures'!B:B,'3D. Pictures'!E:E,"NOT FOUND",0,1),"")</f>
        <v/>
      </c>
      <c r="U115" s="195"/>
      <c r="V115" s="300" t="s">
        <v>2222</v>
      </c>
      <c r="W115" s="195" t="s">
        <v>111</v>
      </c>
      <c r="X115" s="300"/>
      <c r="Y115" s="205"/>
      <c r="Z115" s="300"/>
      <c r="AA115" s="300" t="s">
        <v>2220</v>
      </c>
      <c r="AB115" s="300" t="s">
        <v>2220</v>
      </c>
      <c r="AC115" s="358" t="str">
        <f t="shared" si="19"/>
        <v/>
      </c>
      <c r="AD115" s="300"/>
      <c r="AE115" s="300"/>
      <c r="AF115" s="302" t="s">
        <v>543</v>
      </c>
      <c r="AG115" s="300"/>
      <c r="AH115" s="16">
        <v>100</v>
      </c>
      <c r="AI115" s="380">
        <f t="shared" si="21"/>
        <v>100</v>
      </c>
      <c r="AJ115" s="301" t="s">
        <v>2198</v>
      </c>
      <c r="AK115" s="301" t="s">
        <v>425</v>
      </c>
      <c r="AL115" s="301" t="s">
        <v>2198</v>
      </c>
      <c r="AM115" s="294"/>
      <c r="AN115" s="326" t="s">
        <v>609</v>
      </c>
      <c r="AO115" s="294" t="s">
        <v>572</v>
      </c>
      <c r="AP115" s="294">
        <v>59978</v>
      </c>
      <c r="AQ115" s="294" t="str">
        <f t="shared" si="42"/>
        <v>329-59978</v>
      </c>
      <c r="AR115" s="294"/>
      <c r="AS115" s="294"/>
      <c r="AT115" s="294"/>
      <c r="AU115" s="294"/>
      <c r="AV115" s="294"/>
      <c r="AW115" s="294"/>
      <c r="AX115" s="279" t="str">
        <f t="shared" si="40"/>
        <v/>
      </c>
    </row>
    <row r="116" spans="1:50" x14ac:dyDescent="0.25">
      <c r="A116" s="190" t="str">
        <f t="shared" si="11"/>
        <v/>
      </c>
      <c r="B116" s="279" t="str">
        <f t="shared" si="12"/>
        <v>311-59542</v>
      </c>
      <c r="C116" s="279"/>
      <c r="D116" s="279"/>
      <c r="E116" s="279">
        <f t="shared" si="16"/>
        <v>1</v>
      </c>
      <c r="F116" s="190" t="s">
        <v>535</v>
      </c>
      <c r="G116" s="198">
        <v>44670</v>
      </c>
      <c r="H116" s="210" t="s">
        <v>81</v>
      </c>
      <c r="I116" s="213"/>
      <c r="J116" s="213" t="s">
        <v>402</v>
      </c>
      <c r="K116" s="213" t="s">
        <v>237</v>
      </c>
      <c r="L116" s="213" t="s">
        <v>87</v>
      </c>
      <c r="M116" s="192" t="s">
        <v>558</v>
      </c>
      <c r="N116" s="192"/>
      <c r="O116" s="229"/>
      <c r="P116" s="229"/>
      <c r="Q116" s="231" t="str">
        <f t="shared" si="17"/>
        <v>. Oil Pan, Engine</v>
      </c>
      <c r="R116" s="231"/>
      <c r="S116" s="231" t="str">
        <f t="shared" si="20"/>
        <v/>
      </c>
      <c r="T116" s="231" t="str">
        <f>IF(O116&lt;&gt;"",_xlfn.XLOOKUP(O116,'3D. Pictures'!B:B,'3D. Pictures'!E:E,"NOT FOUND",0,1),"")</f>
        <v/>
      </c>
      <c r="U116" s="192"/>
      <c r="V116" s="205"/>
      <c r="W116" s="192"/>
      <c r="X116" s="205"/>
      <c r="Y116" s="205"/>
      <c r="Z116" s="205"/>
      <c r="AA116" s="213" t="s">
        <v>87</v>
      </c>
      <c r="AB116" s="213" t="s">
        <v>87</v>
      </c>
      <c r="AC116" s="360" t="str">
        <f t="shared" si="19"/>
        <v>w/ drain bolt | check drain bolt &amp; hole for threading</v>
      </c>
      <c r="AD116" s="213" t="s">
        <v>664</v>
      </c>
      <c r="AE116" s="213" t="s">
        <v>665</v>
      </c>
      <c r="AF116" s="201" t="s">
        <v>543</v>
      </c>
      <c r="AG116" s="213"/>
      <c r="AH116" s="99">
        <v>750</v>
      </c>
      <c r="AI116" s="380">
        <f t="shared" si="21"/>
        <v>750</v>
      </c>
      <c r="AJ116" s="204" t="s">
        <v>2176</v>
      </c>
      <c r="AK116" s="204" t="s">
        <v>425</v>
      </c>
      <c r="AL116" s="204" t="s">
        <v>2177</v>
      </c>
      <c r="AM116" s="211" t="s">
        <v>81</v>
      </c>
      <c r="AN116" s="191" t="s">
        <v>610</v>
      </c>
      <c r="AO116" s="190" t="s">
        <v>572</v>
      </c>
      <c r="AP116" s="190">
        <v>59542</v>
      </c>
      <c r="AQ116" s="190" t="str">
        <f t="shared" si="42"/>
        <v>311-59542</v>
      </c>
      <c r="AR116" s="190"/>
      <c r="AS116" s="190"/>
      <c r="AT116" s="190"/>
      <c r="AU116" s="190"/>
      <c r="AV116" s="190"/>
      <c r="AW116" s="190"/>
      <c r="AX116" s="279" t="str">
        <f t="shared" si="40"/>
        <v/>
      </c>
    </row>
    <row r="117" spans="1:50" x14ac:dyDescent="0.25">
      <c r="A117" s="190" t="str">
        <f t="shared" si="11"/>
        <v/>
      </c>
      <c r="B117" s="294" t="str">
        <f t="shared" ref="B117" si="55">IF(AQ117&lt;&gt;"",AQ117,"")</f>
        <v>311-50312</v>
      </c>
      <c r="C117" s="294"/>
      <c r="D117" s="294"/>
      <c r="E117" s="294">
        <f t="shared" si="16"/>
        <v>1</v>
      </c>
      <c r="F117" s="294" t="s">
        <v>535</v>
      </c>
      <c r="G117" s="295">
        <v>45245</v>
      </c>
      <c r="H117" s="323" t="s">
        <v>81</v>
      </c>
      <c r="I117" s="324"/>
      <c r="J117" s="324" t="s">
        <v>402</v>
      </c>
      <c r="K117" s="324" t="s">
        <v>237</v>
      </c>
      <c r="L117" s="324" t="s">
        <v>87</v>
      </c>
      <c r="M117" s="195" t="s">
        <v>558</v>
      </c>
      <c r="N117" s="195"/>
      <c r="O117" s="298"/>
      <c r="P117" s="298"/>
      <c r="Q117" s="299" t="str">
        <f t="shared" si="17"/>
        <v>. Oil Pan, Engine UPPER</v>
      </c>
      <c r="R117" s="299"/>
      <c r="S117" s="299" t="str">
        <f t="shared" si="20"/>
        <v/>
      </c>
      <c r="T117" s="299" t="str">
        <f>IF(O117&lt;&gt;"",_xlfn.XLOOKUP(O117,'3D. Pictures'!B:B,'3D. Pictures'!E:E,"NOT FOUND",0,1),"")</f>
        <v/>
      </c>
      <c r="U117" s="195"/>
      <c r="V117" s="300" t="s">
        <v>2317</v>
      </c>
      <c r="W117" s="195" t="s">
        <v>111</v>
      </c>
      <c r="X117" s="300"/>
      <c r="Y117" s="205"/>
      <c r="Z117" s="300"/>
      <c r="AA117" s="324" t="s">
        <v>2313</v>
      </c>
      <c r="AB117" s="324" t="s">
        <v>2313</v>
      </c>
      <c r="AC117" s="360" t="str">
        <f t="shared" si="19"/>
        <v>sell lower separately, tag as single</v>
      </c>
      <c r="AD117" s="324" t="s">
        <v>2315</v>
      </c>
      <c r="AE117" s="324"/>
      <c r="AF117" s="302" t="s">
        <v>543</v>
      </c>
      <c r="AG117" s="324"/>
      <c r="AH117" s="99">
        <v>500</v>
      </c>
      <c r="AI117" s="380">
        <f t="shared" si="21"/>
        <v>500</v>
      </c>
      <c r="AJ117" s="301" t="s">
        <v>2198</v>
      </c>
      <c r="AK117" s="301" t="s">
        <v>425</v>
      </c>
      <c r="AL117" s="301" t="s">
        <v>2198</v>
      </c>
      <c r="AM117" s="325" t="s">
        <v>81</v>
      </c>
      <c r="AN117" s="326" t="s">
        <v>610</v>
      </c>
      <c r="AO117" s="294" t="s">
        <v>572</v>
      </c>
      <c r="AP117" s="294">
        <v>50312</v>
      </c>
      <c r="AQ117" s="294" t="str">
        <f t="shared" ref="AQ117" si="56">CONCATENATE(AN117,AO117,AP117)</f>
        <v>311-50312</v>
      </c>
      <c r="AR117" s="294"/>
      <c r="AS117" s="294"/>
      <c r="AT117" s="294"/>
      <c r="AU117" s="294"/>
      <c r="AV117" s="294"/>
      <c r="AW117" s="294"/>
      <c r="AX117" s="279" t="str">
        <f t="shared" si="40"/>
        <v/>
      </c>
    </row>
    <row r="118" spans="1:50" x14ac:dyDescent="0.25">
      <c r="A118" s="190" t="str">
        <f t="shared" si="11"/>
        <v/>
      </c>
      <c r="B118" s="294" t="str">
        <f t="shared" ref="B118" si="57">IF(AQ118&lt;&gt;"",AQ118,"")</f>
        <v>311-50313</v>
      </c>
      <c r="C118" s="294"/>
      <c r="D118" s="294"/>
      <c r="E118" s="294">
        <f t="shared" si="16"/>
        <v>1</v>
      </c>
      <c r="F118" s="294" t="s">
        <v>535</v>
      </c>
      <c r="G118" s="295">
        <v>45245</v>
      </c>
      <c r="H118" s="323" t="s">
        <v>81</v>
      </c>
      <c r="I118" s="324"/>
      <c r="J118" s="324" t="s">
        <v>402</v>
      </c>
      <c r="K118" s="324" t="s">
        <v>237</v>
      </c>
      <c r="L118" s="324" t="s">
        <v>87</v>
      </c>
      <c r="M118" s="195" t="s">
        <v>558</v>
      </c>
      <c r="N118" s="195"/>
      <c r="O118" s="298"/>
      <c r="P118" s="298"/>
      <c r="Q118" s="299" t="str">
        <f t="shared" si="17"/>
        <v>. Oil Pan, Engine LOWER</v>
      </c>
      <c r="R118" s="299"/>
      <c r="S118" s="299" t="str">
        <f t="shared" si="20"/>
        <v/>
      </c>
      <c r="T118" s="299" t="str">
        <f>IF(O118&lt;&gt;"",_xlfn.XLOOKUP(O118,'3D. Pictures'!B:B,'3D. Pictures'!E:E,"NOT FOUND",0,1),"")</f>
        <v/>
      </c>
      <c r="U118" s="195"/>
      <c r="V118" s="300" t="s">
        <v>2316</v>
      </c>
      <c r="W118" s="195" t="s">
        <v>111</v>
      </c>
      <c r="X118" s="300"/>
      <c r="Y118" s="205"/>
      <c r="Z118" s="300"/>
      <c r="AA118" s="324" t="s">
        <v>2314</v>
      </c>
      <c r="AB118" s="324" t="s">
        <v>2314</v>
      </c>
      <c r="AC118" s="360" t="str">
        <f t="shared" si="19"/>
        <v>w/ bolt, upper solo, tag single | check bolt+hole for threading</v>
      </c>
      <c r="AD118" s="324" t="s">
        <v>2782</v>
      </c>
      <c r="AE118" s="324" t="s">
        <v>2783</v>
      </c>
      <c r="AF118" s="302" t="s">
        <v>543</v>
      </c>
      <c r="AG118" s="324"/>
      <c r="AH118" s="99">
        <v>200</v>
      </c>
      <c r="AI118" s="380">
        <f t="shared" si="21"/>
        <v>200</v>
      </c>
      <c r="AJ118" s="301" t="s">
        <v>2198</v>
      </c>
      <c r="AK118" s="301" t="s">
        <v>425</v>
      </c>
      <c r="AL118" s="301" t="s">
        <v>2198</v>
      </c>
      <c r="AM118" s="325" t="s">
        <v>81</v>
      </c>
      <c r="AN118" s="326" t="s">
        <v>610</v>
      </c>
      <c r="AO118" s="294" t="s">
        <v>572</v>
      </c>
      <c r="AP118" s="294">
        <v>50313</v>
      </c>
      <c r="AQ118" s="294" t="str">
        <f t="shared" ref="AQ118" si="58">CONCATENATE(AN118,AO118,AP118)</f>
        <v>311-50313</v>
      </c>
      <c r="AR118" s="294"/>
      <c r="AS118" s="294"/>
      <c r="AT118" s="294"/>
      <c r="AU118" s="294"/>
      <c r="AV118" s="294"/>
      <c r="AW118" s="294"/>
      <c r="AX118" s="279" t="str">
        <f t="shared" si="40"/>
        <v/>
      </c>
    </row>
    <row r="119" spans="1:50" x14ac:dyDescent="0.25">
      <c r="A119" s="190" t="str">
        <f t="shared" si="11"/>
        <v/>
      </c>
      <c r="B119" s="294" t="str">
        <f t="shared" ref="B119" si="59">IF(AQ119&lt;&gt;"",AQ119,"")</f>
        <v>321-53372</v>
      </c>
      <c r="C119" s="294"/>
      <c r="D119" s="279">
        <f>O119</f>
        <v>0</v>
      </c>
      <c r="E119" s="294">
        <f t="shared" si="16"/>
        <v>2</v>
      </c>
      <c r="F119" s="294" t="s">
        <v>535</v>
      </c>
      <c r="G119" s="295">
        <v>45245</v>
      </c>
      <c r="H119" s="323" t="s">
        <v>81</v>
      </c>
      <c r="I119" s="324"/>
      <c r="J119" s="324" t="s">
        <v>402</v>
      </c>
      <c r="K119" s="324" t="s">
        <v>237</v>
      </c>
      <c r="L119" s="324" t="s">
        <v>424</v>
      </c>
      <c r="M119" s="195" t="s">
        <v>558</v>
      </c>
      <c r="N119" s="195"/>
      <c r="O119" s="298"/>
      <c r="P119" s="298"/>
      <c r="Q119" s="299" t="str">
        <f t="shared" si="17"/>
        <v>. Turbocharger</v>
      </c>
      <c r="R119" s="299"/>
      <c r="S119" s="299" t="str">
        <f t="shared" si="20"/>
        <v/>
      </c>
      <c r="T119" s="299" t="str">
        <f>IF(O119&lt;&gt;"",_xlfn.XLOOKUP(O119,'3D. Pictures'!B:B,'3D. Pictures'!E:E,"NOT FOUND",0,1),"")</f>
        <v/>
      </c>
      <c r="U119" s="195"/>
      <c r="V119" s="300" t="s">
        <v>2319</v>
      </c>
      <c r="W119" s="195" t="s">
        <v>111</v>
      </c>
      <c r="X119" s="300"/>
      <c r="Y119" s="205"/>
      <c r="Z119" s="300"/>
      <c r="AA119" s="324" t="s">
        <v>2735</v>
      </c>
      <c r="AB119" s="324" t="s">
        <v>2735</v>
      </c>
      <c r="AC119" s="360" t="str">
        <f t="shared" si="19"/>
        <v>tag as SINGLE | 2 per car (identical)</v>
      </c>
      <c r="AD119" s="324" t="s">
        <v>2320</v>
      </c>
      <c r="AE119" s="324" t="s">
        <v>2318</v>
      </c>
      <c r="AF119" s="302" t="s">
        <v>543</v>
      </c>
      <c r="AG119" s="324" t="s">
        <v>2729</v>
      </c>
      <c r="AH119" s="99">
        <v>265</v>
      </c>
      <c r="AI119" s="380">
        <f t="shared" si="21"/>
        <v>265</v>
      </c>
      <c r="AJ119" s="301" t="s">
        <v>2198</v>
      </c>
      <c r="AK119" s="301" t="s">
        <v>425</v>
      </c>
      <c r="AL119" s="301" t="s">
        <v>2198</v>
      </c>
      <c r="AM119" s="325" t="s">
        <v>81</v>
      </c>
      <c r="AN119" s="326">
        <v>321</v>
      </c>
      <c r="AO119" s="294" t="s">
        <v>572</v>
      </c>
      <c r="AP119" s="294">
        <v>53372</v>
      </c>
      <c r="AQ119" s="294" t="str">
        <f t="shared" ref="AQ119" si="60">CONCATENATE(AN119,AO119,AP119)</f>
        <v>321-53372</v>
      </c>
      <c r="AR119" s="294"/>
      <c r="AS119" s="294"/>
      <c r="AT119" s="294"/>
      <c r="AU119" s="294"/>
      <c r="AV119" s="294"/>
      <c r="AW119" s="294"/>
      <c r="AX119" s="279" t="str">
        <f t="shared" si="40"/>
        <v/>
      </c>
    </row>
    <row r="120" spans="1:50" x14ac:dyDescent="0.25">
      <c r="A120" s="190" t="str">
        <f t="shared" si="11"/>
        <v/>
      </c>
      <c r="B120" s="294" t="str">
        <f t="shared" ref="B120" si="61">IF(AQ120&lt;&gt;"",AQ120,"")</f>
        <v>321-53372</v>
      </c>
      <c r="C120" s="294"/>
      <c r="D120" s="279">
        <f>O120</f>
        <v>0</v>
      </c>
      <c r="E120" s="294">
        <f t="shared" si="16"/>
        <v>2</v>
      </c>
      <c r="F120" s="294" t="s">
        <v>535</v>
      </c>
      <c r="G120" s="295">
        <v>45245</v>
      </c>
      <c r="H120" s="323" t="s">
        <v>81</v>
      </c>
      <c r="I120" s="324"/>
      <c r="J120" s="324" t="s">
        <v>402</v>
      </c>
      <c r="K120" s="324" t="s">
        <v>237</v>
      </c>
      <c r="L120" s="324" t="s">
        <v>424</v>
      </c>
      <c r="M120" s="195" t="s">
        <v>558</v>
      </c>
      <c r="N120" s="195"/>
      <c r="O120" s="298"/>
      <c r="P120" s="298"/>
      <c r="Q120" s="299" t="str">
        <f t="shared" si="17"/>
        <v>. Turbocharger</v>
      </c>
      <c r="R120" s="299"/>
      <c r="S120" s="299" t="str">
        <f t="shared" si="20"/>
        <v/>
      </c>
      <c r="T120" s="299" t="str">
        <f>IF(O120&lt;&gt;"",_xlfn.XLOOKUP(O120,'3D. Pictures'!B:B,'3D. Pictures'!E:E,"NOT FOUND",0,1),"")</f>
        <v/>
      </c>
      <c r="U120" s="195"/>
      <c r="V120" s="300" t="s">
        <v>2319</v>
      </c>
      <c r="W120" s="195" t="s">
        <v>111</v>
      </c>
      <c r="X120" s="300"/>
      <c r="Y120" s="205"/>
      <c r="Z120" s="300"/>
      <c r="AA120" s="324" t="s">
        <v>2735</v>
      </c>
      <c r="AB120" s="324" t="s">
        <v>2735</v>
      </c>
      <c r="AC120" s="360" t="str">
        <f t="shared" si="19"/>
        <v>tag as SINGLE | 2 per car (identical)</v>
      </c>
      <c r="AD120" s="324" t="s">
        <v>2320</v>
      </c>
      <c r="AE120" s="324" t="s">
        <v>2318</v>
      </c>
      <c r="AF120" s="302" t="s">
        <v>543</v>
      </c>
      <c r="AG120" s="324" t="s">
        <v>2730</v>
      </c>
      <c r="AH120" s="99">
        <v>265</v>
      </c>
      <c r="AI120" s="380">
        <f t="shared" si="21"/>
        <v>265</v>
      </c>
      <c r="AJ120" s="301" t="s">
        <v>2198</v>
      </c>
      <c r="AK120" s="301" t="s">
        <v>425</v>
      </c>
      <c r="AL120" s="301" t="s">
        <v>2198</v>
      </c>
      <c r="AM120" s="325" t="s">
        <v>81</v>
      </c>
      <c r="AN120" s="326">
        <v>321</v>
      </c>
      <c r="AO120" s="294" t="s">
        <v>572</v>
      </c>
      <c r="AP120" s="294">
        <v>53372</v>
      </c>
      <c r="AQ120" s="294" t="str">
        <f t="shared" ref="AQ120" si="62">CONCATENATE(AN120,AO120,AP120)</f>
        <v>321-53372</v>
      </c>
      <c r="AR120" s="294"/>
      <c r="AS120" s="294"/>
      <c r="AT120" s="294"/>
      <c r="AU120" s="294"/>
      <c r="AV120" s="294"/>
      <c r="AW120" s="294"/>
      <c r="AX120" s="279" t="str">
        <f t="shared" si="40"/>
        <v/>
      </c>
    </row>
    <row r="121" spans="1:50" x14ac:dyDescent="0.25">
      <c r="A121" s="190" t="str">
        <f t="shared" si="11"/>
        <v/>
      </c>
      <c r="B121" s="279" t="str">
        <f t="shared" si="12"/>
        <v/>
      </c>
      <c r="C121" s="279"/>
      <c r="D121" s="279"/>
      <c r="E121" s="279" t="str">
        <f t="shared" si="16"/>
        <v/>
      </c>
      <c r="F121" t="s">
        <v>536</v>
      </c>
      <c r="G121" s="188">
        <v>45099</v>
      </c>
      <c r="H121" s="10"/>
      <c r="I121" s="174"/>
      <c r="J121" s="16" t="s">
        <v>402</v>
      </c>
      <c r="K121" s="16" t="s">
        <v>237</v>
      </c>
      <c r="L121" s="16" t="s">
        <v>516</v>
      </c>
      <c r="M121" s="16" t="s">
        <v>559</v>
      </c>
      <c r="N121" s="16"/>
      <c r="O121" s="166"/>
      <c r="P121" s="166"/>
      <c r="Q121" s="231" t="str">
        <f t="shared" si="17"/>
        <v xml:space="preserve">. Oil Pressure Solenoid </v>
      </c>
      <c r="R121" s="231"/>
      <c r="S121" s="231" t="str">
        <f t="shared" si="20"/>
        <v/>
      </c>
      <c r="T121" s="231" t="str">
        <f>IF(O121&lt;&gt;"",_xlfn.XLOOKUP(O121,'3D. Pictures'!B:B,'3D. Pictures'!E:E,"NOT FOUND",0,1),"")</f>
        <v/>
      </c>
      <c r="U121" s="16"/>
      <c r="V121" s="16"/>
      <c r="W121" s="16"/>
      <c r="X121" s="16"/>
      <c r="Y121" s="205"/>
      <c r="Z121" s="16"/>
      <c r="AA121" s="16" t="s">
        <v>516</v>
      </c>
      <c r="AB121" s="16" t="s">
        <v>516</v>
      </c>
      <c r="AC121" s="358" t="str">
        <f t="shared" si="19"/>
        <v/>
      </c>
      <c r="AD121" s="16"/>
      <c r="AE121" s="16"/>
      <c r="AF121" s="168" t="s">
        <v>543</v>
      </c>
      <c r="AG121" s="16"/>
      <c r="AH121" s="16">
        <v>55</v>
      </c>
      <c r="AI121" s="380">
        <f t="shared" si="21"/>
        <v>55</v>
      </c>
      <c r="AJ121" s="3" t="s">
        <v>408</v>
      </c>
      <c r="AK121" s="3" t="s">
        <v>425</v>
      </c>
      <c r="AL121" s="204" t="s">
        <v>2175</v>
      </c>
      <c r="AN121"/>
      <c r="AX121" s="279" t="str">
        <f t="shared" si="40"/>
        <v/>
      </c>
    </row>
    <row r="122" spans="1:50" x14ac:dyDescent="0.25">
      <c r="A122" s="190" t="str">
        <f t="shared" si="11"/>
        <v/>
      </c>
      <c r="B122" s="303" t="str">
        <f t="shared" si="12"/>
        <v/>
      </c>
      <c r="C122" s="303"/>
      <c r="D122" s="303"/>
      <c r="E122" s="303" t="str">
        <f t="shared" si="16"/>
        <v/>
      </c>
      <c r="F122" s="303" t="s">
        <v>535</v>
      </c>
      <c r="G122" s="304">
        <v>45245</v>
      </c>
      <c r="H122" s="305"/>
      <c r="I122" s="306"/>
      <c r="J122" s="306" t="s">
        <v>402</v>
      </c>
      <c r="K122" s="306" t="s">
        <v>237</v>
      </c>
      <c r="L122" s="306" t="s">
        <v>389</v>
      </c>
      <c r="M122" s="306" t="s">
        <v>559</v>
      </c>
      <c r="N122" s="306"/>
      <c r="O122" s="307"/>
      <c r="P122" s="307"/>
      <c r="Q122" s="307" t="str">
        <f t="shared" si="17"/>
        <v xml:space="preserve">. Oil Pump </v>
      </c>
      <c r="R122" s="307"/>
      <c r="S122" s="307" t="str">
        <f t="shared" si="20"/>
        <v/>
      </c>
      <c r="T122" s="307" t="str">
        <f>IF(O122&lt;&gt;"",_xlfn.XLOOKUP(O122,'3D. Pictures'!B:B,'3D. Pictures'!E:E,"NOT FOUND",0,1),"")</f>
        <v/>
      </c>
      <c r="U122" s="306"/>
      <c r="V122" s="306">
        <v>7613549</v>
      </c>
      <c r="W122" s="306" t="s">
        <v>111</v>
      </c>
      <c r="X122" s="306"/>
      <c r="Y122" s="205"/>
      <c r="Z122" s="306"/>
      <c r="AA122" s="306" t="s">
        <v>389</v>
      </c>
      <c r="AB122" s="306" t="s">
        <v>389</v>
      </c>
      <c r="AC122" s="358" t="str">
        <f t="shared" si="19"/>
        <v>toss pickup tube</v>
      </c>
      <c r="AD122" s="306" t="s">
        <v>2311</v>
      </c>
      <c r="AE122" s="306"/>
      <c r="AF122" s="309" t="s">
        <v>543</v>
      </c>
      <c r="AG122" s="306"/>
      <c r="AH122" s="16">
        <v>100</v>
      </c>
      <c r="AI122" s="380">
        <f t="shared" si="21"/>
        <v>100</v>
      </c>
      <c r="AJ122" s="310" t="s">
        <v>2176</v>
      </c>
      <c r="AK122" s="310" t="s">
        <v>425</v>
      </c>
      <c r="AL122" s="310" t="s">
        <v>2177</v>
      </c>
      <c r="AM122" s="303"/>
      <c r="AN122" s="303"/>
      <c r="AO122" s="303"/>
      <c r="AP122" s="303"/>
      <c r="AQ122" s="303"/>
      <c r="AR122" s="303"/>
      <c r="AS122" s="303"/>
      <c r="AT122" s="303"/>
      <c r="AU122" s="303"/>
      <c r="AV122" s="303"/>
      <c r="AW122" s="303"/>
      <c r="AX122" s="279" t="str">
        <f t="shared" si="40"/>
        <v/>
      </c>
    </row>
    <row r="123" spans="1:50" ht="15.75" thickBot="1" x14ac:dyDescent="0.3">
      <c r="A123" s="190" t="str">
        <f t="shared" si="11"/>
        <v/>
      </c>
      <c r="B123" s="303" t="str">
        <f t="shared" ref="B123" si="63">IF(AQ123&lt;&gt;"",AQ123,"")</f>
        <v/>
      </c>
      <c r="C123" s="303"/>
      <c r="D123" s="303"/>
      <c r="E123" s="303" t="str">
        <f t="shared" si="16"/>
        <v/>
      </c>
      <c r="F123" s="303" t="s">
        <v>535</v>
      </c>
      <c r="G123" s="304">
        <v>45245</v>
      </c>
      <c r="H123" s="305"/>
      <c r="I123" s="306"/>
      <c r="J123" s="306" t="s">
        <v>402</v>
      </c>
      <c r="K123" s="306" t="s">
        <v>237</v>
      </c>
      <c r="L123" s="306" t="s">
        <v>389</v>
      </c>
      <c r="M123" s="306" t="s">
        <v>559</v>
      </c>
      <c r="N123" s="306"/>
      <c r="O123" s="307"/>
      <c r="P123" s="307"/>
      <c r="Q123" s="307" t="str">
        <f t="shared" si="17"/>
        <v>. Oil Pump with Pickup Tube</v>
      </c>
      <c r="R123" s="307"/>
      <c r="S123" s="307" t="str">
        <f t="shared" si="20"/>
        <v/>
      </c>
      <c r="T123" s="307" t="str">
        <f>IF(O123&lt;&gt;"",_xlfn.XLOOKUP(O123,'3D. Pictures'!B:B,'3D. Pictures'!E:E,"NOT FOUND",0,1),"")</f>
        <v/>
      </c>
      <c r="U123" s="306"/>
      <c r="V123" s="306">
        <v>7643256</v>
      </c>
      <c r="W123" s="306" t="s">
        <v>111</v>
      </c>
      <c r="X123" s="306"/>
      <c r="Y123" s="243"/>
      <c r="Z123" s="306"/>
      <c r="AA123" s="306" t="s">
        <v>2309</v>
      </c>
      <c r="AB123" s="306" t="s">
        <v>2309</v>
      </c>
      <c r="AC123" s="358" t="str">
        <f t="shared" si="19"/>
        <v>with pickup tube ON, sell same price if missing</v>
      </c>
      <c r="AD123" s="306" t="s">
        <v>2310</v>
      </c>
      <c r="AE123" s="306"/>
      <c r="AF123" s="309" t="s">
        <v>543</v>
      </c>
      <c r="AG123" s="306"/>
      <c r="AH123" s="16">
        <v>95</v>
      </c>
      <c r="AI123" s="380">
        <f t="shared" si="21"/>
        <v>95</v>
      </c>
      <c r="AJ123" s="310" t="s">
        <v>2198</v>
      </c>
      <c r="AK123" s="310" t="s">
        <v>425</v>
      </c>
      <c r="AL123" s="310" t="s">
        <v>2198</v>
      </c>
      <c r="AM123" s="303"/>
      <c r="AN123" s="303"/>
      <c r="AO123" s="303"/>
      <c r="AP123" s="303"/>
      <c r="AQ123" s="303"/>
      <c r="AR123" s="303"/>
      <c r="AS123" s="303"/>
      <c r="AT123" s="303"/>
      <c r="AU123" s="303"/>
      <c r="AV123" s="303"/>
      <c r="AW123" s="303"/>
      <c r="AX123" s="279" t="str">
        <f t="shared" si="40"/>
        <v/>
      </c>
    </row>
    <row r="124" spans="1:50" ht="15.75" thickBot="1" x14ac:dyDescent="0.3">
      <c r="A124" s="190" t="str">
        <f t="shared" si="11"/>
        <v>A44</v>
      </c>
      <c r="B124" s="241" t="str">
        <f t="shared" si="12"/>
        <v/>
      </c>
      <c r="C124" s="241"/>
      <c r="D124" s="241"/>
      <c r="E124" s="241" t="str">
        <f t="shared" si="16"/>
        <v/>
      </c>
      <c r="F124" s="241" t="s">
        <v>536</v>
      </c>
      <c r="G124" s="242">
        <v>44691</v>
      </c>
      <c r="H124" s="252"/>
      <c r="I124" s="243"/>
      <c r="J124" s="243" t="s">
        <v>402</v>
      </c>
      <c r="K124" s="243" t="s">
        <v>237</v>
      </c>
      <c r="L124" s="243" t="s">
        <v>2715</v>
      </c>
      <c r="M124" s="243" t="s">
        <v>559</v>
      </c>
      <c r="N124" s="243">
        <v>34</v>
      </c>
      <c r="O124" s="244" t="s">
        <v>946</v>
      </c>
      <c r="P124" s="244" t="s">
        <v>1168</v>
      </c>
      <c r="Q124" s="231" t="str">
        <f t="shared" si="17"/>
        <v>A44. Oxygen Sensor SET 2</v>
      </c>
      <c r="R124" s="293" t="str">
        <f>HYPERLINK(VLOOKUP(O124,'3D. Pictures'!$B$3:$E$500,4,FALSE),"PIC")</f>
        <v>PIC</v>
      </c>
      <c r="S124" s="374" t="str">
        <f t="shared" si="20"/>
        <v>E.G.</v>
      </c>
      <c r="T124" s="378" t="str">
        <f>IF(O124&lt;&gt;"",_xlfn.XLOOKUP(O124,'3D. Pictures'!B:B,'3D. Pictures'!E:E,"NOT FOUND",0,1),"")</f>
        <v>https://viking-pictures.s3.us-west-1.amazonaws.com/AA1155/A44.+Oxygen+Sensor+SET+2+(1).JPG</v>
      </c>
      <c r="U124" s="243">
        <v>5</v>
      </c>
      <c r="V124" s="243" t="s">
        <v>2153</v>
      </c>
      <c r="W124" s="243" t="s">
        <v>111</v>
      </c>
      <c r="X124" s="243"/>
      <c r="Y124" s="205"/>
      <c r="Z124" s="243"/>
      <c r="AA124" s="243" t="s">
        <v>2809</v>
      </c>
      <c r="AB124" s="243" t="s">
        <v>1369</v>
      </c>
      <c r="AC124" s="358" t="str">
        <f t="shared" si="19"/>
        <v>SET 2, toss both if 1 bad | remove w/ correct wrench</v>
      </c>
      <c r="AD124" s="243" t="s">
        <v>2551</v>
      </c>
      <c r="AE124" s="243" t="s">
        <v>658</v>
      </c>
      <c r="AF124" s="179" t="s">
        <v>544</v>
      </c>
      <c r="AG124" s="243"/>
      <c r="AH124" s="16">
        <v>75</v>
      </c>
      <c r="AI124" s="380">
        <f t="shared" si="21"/>
        <v>97.5</v>
      </c>
      <c r="AJ124" s="246" t="s">
        <v>2176</v>
      </c>
      <c r="AK124" s="246" t="s">
        <v>425</v>
      </c>
      <c r="AL124" s="246" t="s">
        <v>2177</v>
      </c>
      <c r="AM124" s="241"/>
      <c r="AN124" s="241"/>
      <c r="AO124" s="241"/>
      <c r="AP124" s="241"/>
      <c r="AQ124" s="241"/>
      <c r="AR124" s="241"/>
      <c r="AS124" s="241" t="s">
        <v>1028</v>
      </c>
      <c r="AT124" s="241" t="s">
        <v>513</v>
      </c>
      <c r="AU124" s="241" t="s">
        <v>1030</v>
      </c>
      <c r="AV124" s="303" t="str">
        <f t="shared" ref="AV124:AV127" si="64">CONCATENATE(AS124,"-",AT124,"-",AU124)</f>
        <v>F15-14-18 3.0L N55-ALL</v>
      </c>
      <c r="AW124" s="241" t="s">
        <v>2371</v>
      </c>
      <c r="AX124" s="279" t="str">
        <f t="shared" si="40"/>
        <v>F15-14-18 3.0L N55-ALL-Viking5</v>
      </c>
    </row>
    <row r="125" spans="1:50" x14ac:dyDescent="0.25">
      <c r="A125" s="190" t="str">
        <f t="shared" si="11"/>
        <v/>
      </c>
      <c r="B125" s="303" t="str">
        <f t="shared" ref="B125" si="65">IF(AQ125&lt;&gt;"",AQ125,"")</f>
        <v/>
      </c>
      <c r="C125" s="303"/>
      <c r="D125" s="303"/>
      <c r="E125" s="303" t="str">
        <f t="shared" si="16"/>
        <v/>
      </c>
      <c r="F125" s="303" t="s">
        <v>535</v>
      </c>
      <c r="G125" s="304">
        <v>45245</v>
      </c>
      <c r="H125" s="305"/>
      <c r="I125" s="306"/>
      <c r="J125" s="306" t="s">
        <v>402</v>
      </c>
      <c r="K125" s="306" t="s">
        <v>237</v>
      </c>
      <c r="L125" s="306" t="s">
        <v>2715</v>
      </c>
      <c r="M125" s="306" t="s">
        <v>559</v>
      </c>
      <c r="N125" s="306"/>
      <c r="O125" s="307"/>
      <c r="P125" s="307"/>
      <c r="Q125" s="307" t="str">
        <f t="shared" si="17"/>
        <v>. Oxygen Sensor SET 4</v>
      </c>
      <c r="R125" s="307"/>
      <c r="S125" s="307" t="str">
        <f t="shared" si="20"/>
        <v/>
      </c>
      <c r="T125" s="307" t="str">
        <f>IF(O125&lt;&gt;"",_xlfn.XLOOKUP(O125,'3D. Pictures'!B:B,'3D. Pictures'!E:E,"NOT FOUND",0,1),"")</f>
        <v/>
      </c>
      <c r="U125" s="306"/>
      <c r="V125" s="306" t="s">
        <v>2284</v>
      </c>
      <c r="W125" s="306" t="s">
        <v>111</v>
      </c>
      <c r="X125" s="306"/>
      <c r="Y125" s="16"/>
      <c r="Z125" s="306"/>
      <c r="AA125" s="306" t="s">
        <v>2809</v>
      </c>
      <c r="AB125" s="306" t="s">
        <v>2511</v>
      </c>
      <c r="AC125" s="358" t="str">
        <f t="shared" si="19"/>
        <v>SET 2, toss all if 1 bad | remove w/ correct wrench</v>
      </c>
      <c r="AD125" s="306" t="s">
        <v>2810</v>
      </c>
      <c r="AE125" s="306" t="s">
        <v>658</v>
      </c>
      <c r="AF125" s="309" t="s">
        <v>541</v>
      </c>
      <c r="AG125" s="306"/>
      <c r="AH125" s="16">
        <v>120</v>
      </c>
      <c r="AI125" s="380">
        <f t="shared" si="21"/>
        <v>97.5</v>
      </c>
      <c r="AJ125" s="310" t="s">
        <v>2198</v>
      </c>
      <c r="AK125" s="310" t="s">
        <v>425</v>
      </c>
      <c r="AL125" s="310" t="s">
        <v>2198</v>
      </c>
      <c r="AM125" s="303"/>
      <c r="AN125" s="303"/>
      <c r="AO125" s="303"/>
      <c r="AP125" s="303"/>
      <c r="AQ125" s="303"/>
      <c r="AR125" s="303"/>
      <c r="AS125" s="303" t="s">
        <v>1028</v>
      </c>
      <c r="AT125" s="303" t="s">
        <v>2198</v>
      </c>
      <c r="AU125" s="303" t="s">
        <v>1030</v>
      </c>
      <c r="AV125" s="303" t="str">
        <f t="shared" si="64"/>
        <v>F15-14-18 4.4TT N63T-ALL</v>
      </c>
      <c r="AW125" s="303" t="s">
        <v>2372</v>
      </c>
      <c r="AX125" s="279" t="str">
        <f t="shared" si="40"/>
        <v>F15-14-18 4.4TT N63T-ALL-Viking6</v>
      </c>
    </row>
    <row r="126" spans="1:50" x14ac:dyDescent="0.25">
      <c r="A126" s="190" t="str">
        <f t="shared" si="11"/>
        <v/>
      </c>
      <c r="B126" s="303" t="str">
        <f t="shared" ref="B126" si="66">IF(AQ126&lt;&gt;"",AQ126,"")</f>
        <v/>
      </c>
      <c r="C126" s="303"/>
      <c r="D126" s="279">
        <f>O126</f>
        <v>0</v>
      </c>
      <c r="E126" s="303" t="str">
        <f t="shared" si="16"/>
        <v/>
      </c>
      <c r="F126" s="303" t="s">
        <v>535</v>
      </c>
      <c r="G126" s="304">
        <v>45245</v>
      </c>
      <c r="H126" s="305"/>
      <c r="I126" s="306"/>
      <c r="J126" s="306" t="s">
        <v>402</v>
      </c>
      <c r="K126" s="306" t="s">
        <v>237</v>
      </c>
      <c r="L126" s="306" t="s">
        <v>2299</v>
      </c>
      <c r="M126" s="306" t="s">
        <v>559</v>
      </c>
      <c r="N126" s="306"/>
      <c r="O126" s="307"/>
      <c r="P126" s="307"/>
      <c r="Q126" s="307" t="str">
        <f t="shared" si="17"/>
        <v>. VVT Timing Actuator Motor</v>
      </c>
      <c r="R126" s="307"/>
      <c r="S126" s="307" t="str">
        <f t="shared" si="20"/>
        <v/>
      </c>
      <c r="T126" s="307" t="str">
        <f>IF(O126&lt;&gt;"",_xlfn.XLOOKUP(O126,'3D. Pictures'!B:B,'3D. Pictures'!E:E,"NOT FOUND",0,1),"")</f>
        <v/>
      </c>
      <c r="U126" s="306"/>
      <c r="V126" s="306">
        <v>7605025</v>
      </c>
      <c r="W126" s="306" t="s">
        <v>111</v>
      </c>
      <c r="X126" s="306"/>
      <c r="Y126" s="16"/>
      <c r="Z126" s="306"/>
      <c r="AA126" s="306" t="s">
        <v>2736</v>
      </c>
      <c r="AB126" s="306" t="s">
        <v>2736</v>
      </c>
      <c r="AC126" s="358" t="str">
        <f t="shared" si="19"/>
        <v>tag as SINGLE | 2 per car (identical)</v>
      </c>
      <c r="AD126" s="306" t="s">
        <v>2320</v>
      </c>
      <c r="AE126" s="306" t="s">
        <v>2318</v>
      </c>
      <c r="AF126" s="309" t="s">
        <v>543</v>
      </c>
      <c r="AG126" s="306" t="s">
        <v>2729</v>
      </c>
      <c r="AH126" s="16">
        <v>55</v>
      </c>
      <c r="AI126" s="380">
        <f t="shared" si="21"/>
        <v>55</v>
      </c>
      <c r="AJ126" s="310" t="s">
        <v>2198</v>
      </c>
      <c r="AK126" s="310" t="s">
        <v>425</v>
      </c>
      <c r="AL126" s="310" t="s">
        <v>2198</v>
      </c>
      <c r="AM126" s="303"/>
      <c r="AN126" s="303"/>
      <c r="AO126" s="303"/>
      <c r="AP126" s="303"/>
      <c r="AQ126" s="303"/>
      <c r="AR126" s="303"/>
      <c r="AS126" s="303" t="s">
        <v>1028</v>
      </c>
      <c r="AT126" s="303" t="s">
        <v>2198</v>
      </c>
      <c r="AU126" s="303" t="s">
        <v>1030</v>
      </c>
      <c r="AV126" s="303" t="str">
        <f t="shared" si="64"/>
        <v>F15-14-18 4.4TT N63T-ALL</v>
      </c>
      <c r="AW126" s="303" t="s">
        <v>2373</v>
      </c>
      <c r="AX126" s="279" t="str">
        <f t="shared" si="40"/>
        <v>F15-14-18 4.4TT N63T-ALL-Viking7</v>
      </c>
    </row>
    <row r="127" spans="1:50" x14ac:dyDescent="0.25">
      <c r="A127" s="190" t="str">
        <f t="shared" si="11"/>
        <v/>
      </c>
      <c r="B127" s="303" t="str">
        <f t="shared" ref="B127" si="67">IF(AQ127&lt;&gt;"",AQ127,"")</f>
        <v/>
      </c>
      <c r="C127" s="303"/>
      <c r="D127" s="279">
        <f>O127</f>
        <v>0</v>
      </c>
      <c r="E127" s="303" t="str">
        <f t="shared" si="16"/>
        <v/>
      </c>
      <c r="F127" s="303" t="s">
        <v>535</v>
      </c>
      <c r="G127" s="304">
        <v>45245</v>
      </c>
      <c r="H127" s="305"/>
      <c r="I127" s="306"/>
      <c r="J127" s="306" t="s">
        <v>402</v>
      </c>
      <c r="K127" s="306" t="s">
        <v>237</v>
      </c>
      <c r="L127" s="306" t="s">
        <v>2299</v>
      </c>
      <c r="M127" s="306" t="s">
        <v>559</v>
      </c>
      <c r="N127" s="306"/>
      <c r="O127" s="307"/>
      <c r="P127" s="307"/>
      <c r="Q127" s="307" t="str">
        <f t="shared" si="17"/>
        <v>. VVT Timing Actuator Motor</v>
      </c>
      <c r="R127" s="307"/>
      <c r="S127" s="307" t="str">
        <f t="shared" si="20"/>
        <v/>
      </c>
      <c r="T127" s="307" t="str">
        <f>IF(O127&lt;&gt;"",_xlfn.XLOOKUP(O127,'3D. Pictures'!B:B,'3D. Pictures'!E:E,"NOT FOUND",0,1),"")</f>
        <v/>
      </c>
      <c r="U127" s="306"/>
      <c r="V127" s="306">
        <v>7605025</v>
      </c>
      <c r="W127" s="306" t="s">
        <v>111</v>
      </c>
      <c r="X127" s="306"/>
      <c r="Y127" s="16"/>
      <c r="Z127" s="306"/>
      <c r="AA127" s="306" t="s">
        <v>2736</v>
      </c>
      <c r="AB127" s="306" t="s">
        <v>2736</v>
      </c>
      <c r="AC127" s="358" t="str">
        <f t="shared" si="19"/>
        <v>tag as SINGLE | 2 per car (identical)</v>
      </c>
      <c r="AD127" s="306" t="s">
        <v>2320</v>
      </c>
      <c r="AE127" s="306" t="s">
        <v>2318</v>
      </c>
      <c r="AF127" s="309" t="s">
        <v>543</v>
      </c>
      <c r="AG127" s="306" t="s">
        <v>2730</v>
      </c>
      <c r="AH127" s="16">
        <v>55</v>
      </c>
      <c r="AI127" s="380">
        <f t="shared" si="21"/>
        <v>55</v>
      </c>
      <c r="AJ127" s="310" t="s">
        <v>2198</v>
      </c>
      <c r="AK127" s="310" t="s">
        <v>425</v>
      </c>
      <c r="AL127" s="310" t="s">
        <v>2198</v>
      </c>
      <c r="AM127" s="303"/>
      <c r="AN127" s="303"/>
      <c r="AO127" s="303"/>
      <c r="AP127" s="303"/>
      <c r="AQ127" s="303"/>
      <c r="AR127" s="303"/>
      <c r="AS127" s="303" t="s">
        <v>1028</v>
      </c>
      <c r="AT127" s="303" t="s">
        <v>2198</v>
      </c>
      <c r="AU127" s="303" t="s">
        <v>1030</v>
      </c>
      <c r="AV127" s="303" t="str">
        <f t="shared" si="64"/>
        <v>F15-14-18 4.4TT N63T-ALL</v>
      </c>
      <c r="AW127" s="303" t="s">
        <v>2374</v>
      </c>
      <c r="AX127" s="279" t="str">
        <f t="shared" si="40"/>
        <v>F15-14-18 4.4TT N63T-ALL-Viking8</v>
      </c>
    </row>
    <row r="128" spans="1:50" x14ac:dyDescent="0.25">
      <c r="A128" s="190" t="str">
        <f t="shared" si="11"/>
        <v/>
      </c>
      <c r="B128" s="279" t="str">
        <f t="shared" si="12"/>
        <v>304-999565</v>
      </c>
      <c r="C128" s="279" t="s">
        <v>2098</v>
      </c>
      <c r="D128" s="279"/>
      <c r="E128" s="279">
        <f t="shared" si="16"/>
        <v>3</v>
      </c>
      <c r="F128" s="190" t="s">
        <v>535</v>
      </c>
      <c r="G128" s="198">
        <v>44670</v>
      </c>
      <c r="H128" s="210" t="s">
        <v>81</v>
      </c>
      <c r="I128" s="213"/>
      <c r="J128" s="213" t="s">
        <v>402</v>
      </c>
      <c r="K128" s="213" t="s">
        <v>237</v>
      </c>
      <c r="L128" s="213" t="s">
        <v>2670</v>
      </c>
      <c r="M128" s="192" t="s">
        <v>558</v>
      </c>
      <c r="N128" s="192"/>
      <c r="O128" s="229"/>
      <c r="P128" s="229"/>
      <c r="Q128" s="231" t="str">
        <f t="shared" si="17"/>
        <v>. Pistons &amp; Rods SET 6</v>
      </c>
      <c r="R128" s="231"/>
      <c r="S128" s="231" t="str">
        <f t="shared" si="20"/>
        <v/>
      </c>
      <c r="T128" s="231" t="str">
        <f>IF(O128&lt;&gt;"",_xlfn.XLOOKUP(O128,'3D. Pictures'!B:B,'3D. Pictures'!E:E,"NOT FOUND",0,1),"")</f>
        <v/>
      </c>
      <c r="U128" s="192"/>
      <c r="V128" s="205"/>
      <c r="W128" s="192"/>
      <c r="X128" s="205"/>
      <c r="Y128" s="16"/>
      <c r="Z128" s="205"/>
      <c r="AA128" s="213" t="s">
        <v>2853</v>
      </c>
      <c r="AB128" s="213" t="s">
        <v>2521</v>
      </c>
      <c r="AC128" s="360" t="str">
        <f t="shared" si="19"/>
        <v>SET 6, sell singles if 1 bad, sell rods SET6 if pistons bad</v>
      </c>
      <c r="AD128" s="213" t="s">
        <v>2811</v>
      </c>
      <c r="AE128" s="213"/>
      <c r="AF128" s="201" t="s">
        <v>546</v>
      </c>
      <c r="AG128" s="213"/>
      <c r="AH128" s="99">
        <v>850</v>
      </c>
      <c r="AI128" s="380">
        <f t="shared" si="21"/>
        <v>850</v>
      </c>
      <c r="AJ128" s="204" t="s">
        <v>2176</v>
      </c>
      <c r="AK128" s="204" t="s">
        <v>425</v>
      </c>
      <c r="AL128" s="204" t="s">
        <v>2177</v>
      </c>
      <c r="AM128" s="211" t="s">
        <v>81</v>
      </c>
      <c r="AN128" s="191" t="s">
        <v>611</v>
      </c>
      <c r="AO128" s="190" t="s">
        <v>572</v>
      </c>
      <c r="AP128" s="190">
        <v>999565</v>
      </c>
      <c r="AQ128" s="190" t="str">
        <f t="shared" ref="AQ128:AQ139" si="68">CONCATENATE(AN128,AO128,AP128)</f>
        <v>304-999565</v>
      </c>
      <c r="AR128" s="190"/>
      <c r="AS128" s="190"/>
      <c r="AT128" s="190"/>
      <c r="AU128" s="190"/>
      <c r="AV128" s="190"/>
      <c r="AW128" s="190"/>
      <c r="AX128" s="279" t="str">
        <f t="shared" si="40"/>
        <v/>
      </c>
    </row>
    <row r="129" spans="1:50" x14ac:dyDescent="0.25">
      <c r="A129" s="190" t="str">
        <f t="shared" si="11"/>
        <v/>
      </c>
      <c r="B129" s="279" t="str">
        <f t="shared" si="12"/>
        <v>304-999565</v>
      </c>
      <c r="C129" s="279" t="s">
        <v>2099</v>
      </c>
      <c r="D129" s="279"/>
      <c r="E129" s="279">
        <f t="shared" si="16"/>
        <v>3</v>
      </c>
      <c r="F129" s="190" t="s">
        <v>535</v>
      </c>
      <c r="G129" s="198">
        <v>44670</v>
      </c>
      <c r="H129" s="210" t="s">
        <v>81</v>
      </c>
      <c r="I129" s="213"/>
      <c r="J129" s="213" t="s">
        <v>402</v>
      </c>
      <c r="K129" s="213" t="s">
        <v>237</v>
      </c>
      <c r="L129" s="213" t="s">
        <v>2670</v>
      </c>
      <c r="M129" s="192" t="s">
        <v>558</v>
      </c>
      <c r="N129" s="192"/>
      <c r="O129" s="229"/>
      <c r="P129" s="229"/>
      <c r="Q129" s="231" t="str">
        <f t="shared" si="17"/>
        <v>. Pistons Single</v>
      </c>
      <c r="R129" s="231"/>
      <c r="S129" s="231" t="str">
        <f t="shared" si="20"/>
        <v/>
      </c>
      <c r="T129" s="231" t="str">
        <f>IF(O129&lt;&gt;"",_xlfn.XLOOKUP(O129,'3D. Pictures'!B:B,'3D. Pictures'!E:E,"NOT FOUND",0,1),"")</f>
        <v/>
      </c>
      <c r="U129" s="192"/>
      <c r="V129" s="205"/>
      <c r="W129" s="192"/>
      <c r="X129" s="205"/>
      <c r="Y129" s="16"/>
      <c r="Z129" s="205"/>
      <c r="AA129" s="213" t="s">
        <v>669</v>
      </c>
      <c r="AB129" s="213" t="s">
        <v>669</v>
      </c>
      <c r="AC129" s="360" t="str">
        <f t="shared" si="19"/>
        <v/>
      </c>
      <c r="AD129" s="213"/>
      <c r="AE129" s="213"/>
      <c r="AF129" s="201" t="s">
        <v>543</v>
      </c>
      <c r="AG129" s="213"/>
      <c r="AH129" s="99">
        <v>150</v>
      </c>
      <c r="AI129" s="380">
        <f t="shared" si="21"/>
        <v>150</v>
      </c>
      <c r="AJ129" s="204" t="s">
        <v>2176</v>
      </c>
      <c r="AK129" s="204" t="s">
        <v>425</v>
      </c>
      <c r="AL129" s="204" t="s">
        <v>2177</v>
      </c>
      <c r="AM129" s="211" t="s">
        <v>81</v>
      </c>
      <c r="AN129" s="191" t="s">
        <v>611</v>
      </c>
      <c r="AO129" s="190" t="s">
        <v>572</v>
      </c>
      <c r="AP129" s="190">
        <v>999565</v>
      </c>
      <c r="AQ129" s="190" t="str">
        <f t="shared" si="68"/>
        <v>304-999565</v>
      </c>
      <c r="AR129" s="190"/>
      <c r="AS129" s="190"/>
      <c r="AT129" s="190"/>
      <c r="AU129" s="190"/>
      <c r="AV129" s="190"/>
      <c r="AW129" s="190"/>
      <c r="AX129" s="279" t="str">
        <f t="shared" si="40"/>
        <v/>
      </c>
    </row>
    <row r="130" spans="1:50" x14ac:dyDescent="0.25">
      <c r="A130" s="190" t="str">
        <f t="shared" ref="A130:A193" si="69">IF(O130&lt;&gt;"",O130,"")</f>
        <v/>
      </c>
      <c r="B130" s="279" t="str">
        <f t="shared" si="12"/>
        <v>304-999565</v>
      </c>
      <c r="C130" s="279" t="s">
        <v>2100</v>
      </c>
      <c r="D130" s="279"/>
      <c r="E130" s="279">
        <f t="shared" si="16"/>
        <v>3</v>
      </c>
      <c r="F130" s="190" t="s">
        <v>535</v>
      </c>
      <c r="G130" s="198">
        <v>44670</v>
      </c>
      <c r="H130" s="210" t="s">
        <v>81</v>
      </c>
      <c r="I130" s="213"/>
      <c r="J130" s="213" t="s">
        <v>402</v>
      </c>
      <c r="K130" s="213" t="s">
        <v>237</v>
      </c>
      <c r="L130" s="213" t="s">
        <v>2670</v>
      </c>
      <c r="M130" s="192" t="s">
        <v>558</v>
      </c>
      <c r="N130" s="192"/>
      <c r="O130" s="229"/>
      <c r="P130" s="229"/>
      <c r="Q130" s="231" t="str">
        <f t="shared" si="17"/>
        <v>. Piston Rod SET 6</v>
      </c>
      <c r="R130" s="231"/>
      <c r="S130" s="231" t="str">
        <f t="shared" si="20"/>
        <v/>
      </c>
      <c r="T130" s="231" t="str">
        <f>IF(O130&lt;&gt;"",_xlfn.XLOOKUP(O130,'3D. Pictures'!B:B,'3D. Pictures'!E:E,"NOT FOUND",0,1),"")</f>
        <v/>
      </c>
      <c r="U130" s="192"/>
      <c r="V130" s="205"/>
      <c r="W130" s="192"/>
      <c r="X130" s="205"/>
      <c r="Y130" s="16"/>
      <c r="Z130" s="205"/>
      <c r="AA130" s="213" t="s">
        <v>2852</v>
      </c>
      <c r="AB130" s="213" t="s">
        <v>2522</v>
      </c>
      <c r="AC130" s="360" t="str">
        <f t="shared" si="19"/>
        <v>toss all if 1 bad</v>
      </c>
      <c r="AD130" s="213" t="s">
        <v>2281</v>
      </c>
      <c r="AE130" s="213"/>
      <c r="AF130" s="201" t="s">
        <v>546</v>
      </c>
      <c r="AG130" s="213"/>
      <c r="AH130" s="99">
        <v>200</v>
      </c>
      <c r="AI130" s="380">
        <f t="shared" si="21"/>
        <v>200</v>
      </c>
      <c r="AJ130" s="204" t="s">
        <v>2176</v>
      </c>
      <c r="AK130" s="204" t="s">
        <v>425</v>
      </c>
      <c r="AL130" s="204" t="s">
        <v>2177</v>
      </c>
      <c r="AM130" s="211" t="s">
        <v>81</v>
      </c>
      <c r="AN130" s="191" t="s">
        <v>611</v>
      </c>
      <c r="AO130" s="190" t="s">
        <v>572</v>
      </c>
      <c r="AP130" s="190">
        <v>999565</v>
      </c>
      <c r="AQ130" s="190" t="str">
        <f t="shared" si="68"/>
        <v>304-999565</v>
      </c>
      <c r="AR130" s="190"/>
      <c r="AS130" s="190"/>
      <c r="AT130" s="190"/>
      <c r="AU130" s="190"/>
      <c r="AV130" s="190"/>
      <c r="AW130" s="190"/>
      <c r="AX130" s="279" t="str">
        <f t="shared" si="40"/>
        <v/>
      </c>
    </row>
    <row r="131" spans="1:50" x14ac:dyDescent="0.25">
      <c r="A131" s="190" t="str">
        <f t="shared" si="69"/>
        <v/>
      </c>
      <c r="B131" s="294" t="str">
        <f t="shared" ref="B131:B134" si="70">IF(AQ131&lt;&gt;"",AQ131,"")</f>
        <v>304-999555</v>
      </c>
      <c r="C131" s="294" t="s">
        <v>2347</v>
      </c>
      <c r="D131" s="294"/>
      <c r="E131" s="294">
        <f t="shared" si="16"/>
        <v>6</v>
      </c>
      <c r="F131" s="294" t="s">
        <v>535</v>
      </c>
      <c r="G131" s="295">
        <v>44670</v>
      </c>
      <c r="H131" s="323" t="s">
        <v>81</v>
      </c>
      <c r="I131" s="324"/>
      <c r="J131" s="324" t="s">
        <v>402</v>
      </c>
      <c r="K131" s="324" t="s">
        <v>237</v>
      </c>
      <c r="L131" s="324" t="s">
        <v>2670</v>
      </c>
      <c r="M131" s="195" t="s">
        <v>558</v>
      </c>
      <c r="N131" s="195"/>
      <c r="O131" s="298"/>
      <c r="P131" s="298"/>
      <c r="Q131" s="299" t="str">
        <f t="shared" si="17"/>
        <v>. Pistons &amp; Rods SET 8</v>
      </c>
      <c r="R131" s="299"/>
      <c r="S131" s="299" t="str">
        <f t="shared" si="20"/>
        <v/>
      </c>
      <c r="T131" s="299" t="str">
        <f>IF(O131&lt;&gt;"",_xlfn.XLOOKUP(O131,'3D. Pictures'!B:B,'3D. Pictures'!E:E,"NOT FOUND",0,1),"")</f>
        <v/>
      </c>
      <c r="U131" s="195"/>
      <c r="V131" s="300"/>
      <c r="W131" s="195"/>
      <c r="X131" s="300"/>
      <c r="Y131" s="16"/>
      <c r="Z131" s="300"/>
      <c r="AA131" s="324" t="s">
        <v>2523</v>
      </c>
      <c r="AB131" s="324" t="s">
        <v>2523</v>
      </c>
      <c r="AC131" s="360" t="str">
        <f t="shared" si="19"/>
        <v>SET 8, sell singles if 1 bad, sell rods SET 8 if pistons bad</v>
      </c>
      <c r="AD131" s="324" t="s">
        <v>2812</v>
      </c>
      <c r="AE131" s="324"/>
      <c r="AF131" s="302" t="s">
        <v>2199</v>
      </c>
      <c r="AG131" s="324"/>
      <c r="AH131" s="99">
        <v>1200</v>
      </c>
      <c r="AI131" s="380">
        <f t="shared" si="21"/>
        <v>1200</v>
      </c>
      <c r="AJ131" s="301" t="s">
        <v>2198</v>
      </c>
      <c r="AK131" s="301" t="s">
        <v>425</v>
      </c>
      <c r="AL131" s="301" t="s">
        <v>2198</v>
      </c>
      <c r="AM131" s="325" t="s">
        <v>81</v>
      </c>
      <c r="AN131" s="326" t="s">
        <v>611</v>
      </c>
      <c r="AO131" s="294" t="s">
        <v>572</v>
      </c>
      <c r="AP131" s="294">
        <v>999555</v>
      </c>
      <c r="AQ131" s="294" t="str">
        <f t="shared" ref="AQ131:AQ134" si="71">CONCATENATE(AN131,AO131,AP131)</f>
        <v>304-999555</v>
      </c>
      <c r="AR131" s="294"/>
      <c r="AS131" s="294"/>
      <c r="AT131" s="294"/>
      <c r="AU131" s="294"/>
      <c r="AV131" s="294"/>
      <c r="AW131" s="294"/>
      <c r="AX131" s="279" t="str">
        <f t="shared" si="40"/>
        <v/>
      </c>
    </row>
    <row r="132" spans="1:50" x14ac:dyDescent="0.25">
      <c r="A132" s="190" t="str">
        <f t="shared" si="69"/>
        <v/>
      </c>
      <c r="B132" s="294" t="str">
        <f t="shared" ref="B132" si="72">IF(AQ132&lt;&gt;"",AQ132,"")</f>
        <v>304-999555</v>
      </c>
      <c r="C132" s="294" t="s">
        <v>2348</v>
      </c>
      <c r="D132" s="294"/>
      <c r="E132" s="294">
        <f t="shared" si="16"/>
        <v>6</v>
      </c>
      <c r="F132" s="294" t="s">
        <v>535</v>
      </c>
      <c r="G132" s="295">
        <v>44670</v>
      </c>
      <c r="H132" s="323" t="s">
        <v>81</v>
      </c>
      <c r="I132" s="324"/>
      <c r="J132" s="324" t="s">
        <v>402</v>
      </c>
      <c r="K132" s="324" t="s">
        <v>237</v>
      </c>
      <c r="L132" s="324" t="s">
        <v>2670</v>
      </c>
      <c r="M132" s="195" t="s">
        <v>558</v>
      </c>
      <c r="N132" s="195"/>
      <c r="O132" s="298"/>
      <c r="P132" s="298"/>
      <c r="Q132" s="299" t="str">
        <f t="shared" si="17"/>
        <v>. Pistons &amp; Rods SET 4</v>
      </c>
      <c r="R132" s="299"/>
      <c r="S132" s="299" t="str">
        <f t="shared" si="20"/>
        <v/>
      </c>
      <c r="T132" s="299" t="str">
        <f>IF(O132&lt;&gt;"",_xlfn.XLOOKUP(O132,'3D. Pictures'!B:B,'3D. Pictures'!E:E,"NOT FOUND",0,1),"")</f>
        <v/>
      </c>
      <c r="U132" s="195"/>
      <c r="V132" s="300"/>
      <c r="W132" s="195"/>
      <c r="X132" s="300"/>
      <c r="Y132" s="205"/>
      <c r="Z132" s="300"/>
      <c r="AA132" s="324" t="s">
        <v>2512</v>
      </c>
      <c r="AB132" s="324" t="s">
        <v>2512</v>
      </c>
      <c r="AC132" s="360" t="str">
        <f t="shared" si="19"/>
        <v/>
      </c>
      <c r="AD132" s="324"/>
      <c r="AE132" s="324"/>
      <c r="AF132" s="302" t="s">
        <v>541</v>
      </c>
      <c r="AG132" s="324"/>
      <c r="AH132" s="99">
        <v>600</v>
      </c>
      <c r="AI132" s="380">
        <f t="shared" si="21"/>
        <v>600</v>
      </c>
      <c r="AJ132" s="301" t="s">
        <v>2198</v>
      </c>
      <c r="AK132" s="301" t="s">
        <v>425</v>
      </c>
      <c r="AL132" s="301" t="s">
        <v>2198</v>
      </c>
      <c r="AM132" s="325" t="s">
        <v>81</v>
      </c>
      <c r="AN132" s="326" t="s">
        <v>611</v>
      </c>
      <c r="AO132" s="294" t="s">
        <v>572</v>
      </c>
      <c r="AP132" s="294">
        <v>999555</v>
      </c>
      <c r="AQ132" s="294" t="str">
        <f t="shared" ref="AQ132" si="73">CONCATENATE(AN132,AO132,AP132)</f>
        <v>304-999555</v>
      </c>
      <c r="AR132" s="294"/>
      <c r="AS132" s="294"/>
      <c r="AT132" s="294"/>
      <c r="AU132" s="294"/>
      <c r="AV132" s="294"/>
      <c r="AW132" s="294"/>
      <c r="AX132" s="279" t="str">
        <f t="shared" si="40"/>
        <v/>
      </c>
    </row>
    <row r="133" spans="1:50" x14ac:dyDescent="0.25">
      <c r="A133" s="190" t="str">
        <f t="shared" si="69"/>
        <v/>
      </c>
      <c r="B133" s="294" t="str">
        <f t="shared" si="70"/>
        <v>304-999555</v>
      </c>
      <c r="C133" s="294" t="s">
        <v>2349</v>
      </c>
      <c r="D133" s="294"/>
      <c r="E133" s="294">
        <f t="shared" si="16"/>
        <v>6</v>
      </c>
      <c r="F133" s="294" t="s">
        <v>535</v>
      </c>
      <c r="G133" s="295">
        <v>44670</v>
      </c>
      <c r="H133" s="323" t="s">
        <v>81</v>
      </c>
      <c r="I133" s="324"/>
      <c r="J133" s="324" t="s">
        <v>402</v>
      </c>
      <c r="K133" s="324" t="s">
        <v>237</v>
      </c>
      <c r="L133" s="324" t="s">
        <v>2670</v>
      </c>
      <c r="M133" s="195" t="s">
        <v>558</v>
      </c>
      <c r="N133" s="195"/>
      <c r="O133" s="298"/>
      <c r="P133" s="298"/>
      <c r="Q133" s="299" t="str">
        <f t="shared" si="17"/>
        <v>. Pistons Single</v>
      </c>
      <c r="R133" s="299"/>
      <c r="S133" s="299" t="str">
        <f t="shared" si="20"/>
        <v/>
      </c>
      <c r="T133" s="299" t="str">
        <f>IF(O133&lt;&gt;"",_xlfn.XLOOKUP(O133,'3D. Pictures'!B:B,'3D. Pictures'!E:E,"NOT FOUND",0,1),"")</f>
        <v/>
      </c>
      <c r="U133" s="195"/>
      <c r="V133" s="300"/>
      <c r="W133" s="195"/>
      <c r="X133" s="300"/>
      <c r="Y133" s="205"/>
      <c r="Z133" s="300"/>
      <c r="AA133" s="324" t="s">
        <v>669</v>
      </c>
      <c r="AB133" s="324" t="s">
        <v>669</v>
      </c>
      <c r="AC133" s="360" t="str">
        <f t="shared" si="19"/>
        <v/>
      </c>
      <c r="AD133" s="324"/>
      <c r="AE133" s="324"/>
      <c r="AF133" s="302" t="s">
        <v>543</v>
      </c>
      <c r="AG133" s="324"/>
      <c r="AH133" s="99">
        <v>150</v>
      </c>
      <c r="AI133" s="380">
        <f t="shared" si="21"/>
        <v>150</v>
      </c>
      <c r="AJ133" s="301" t="s">
        <v>2198</v>
      </c>
      <c r="AK133" s="301" t="s">
        <v>425</v>
      </c>
      <c r="AL133" s="301" t="s">
        <v>2198</v>
      </c>
      <c r="AM133" s="325" t="s">
        <v>81</v>
      </c>
      <c r="AN133" s="326" t="s">
        <v>611</v>
      </c>
      <c r="AO133" s="294" t="s">
        <v>572</v>
      </c>
      <c r="AP133" s="294">
        <v>999555</v>
      </c>
      <c r="AQ133" s="294" t="str">
        <f t="shared" si="71"/>
        <v>304-999555</v>
      </c>
      <c r="AR133" s="294"/>
      <c r="AS133" s="294"/>
      <c r="AT133" s="294"/>
      <c r="AU133" s="294"/>
      <c r="AV133" s="294"/>
      <c r="AW133" s="294"/>
      <c r="AX133" s="279" t="str">
        <f t="shared" si="40"/>
        <v/>
      </c>
    </row>
    <row r="134" spans="1:50" x14ac:dyDescent="0.25">
      <c r="A134" s="190" t="str">
        <f t="shared" si="69"/>
        <v/>
      </c>
      <c r="B134" s="294" t="str">
        <f t="shared" si="70"/>
        <v>304-999555</v>
      </c>
      <c r="C134" s="294" t="s">
        <v>2350</v>
      </c>
      <c r="D134" s="294"/>
      <c r="E134" s="294">
        <f t="shared" si="16"/>
        <v>6</v>
      </c>
      <c r="F134" s="294" t="s">
        <v>535</v>
      </c>
      <c r="G134" s="295">
        <v>44670</v>
      </c>
      <c r="H134" s="323" t="s">
        <v>81</v>
      </c>
      <c r="I134" s="324"/>
      <c r="J134" s="324" t="s">
        <v>402</v>
      </c>
      <c r="K134" s="324" t="s">
        <v>237</v>
      </c>
      <c r="L134" s="324" t="s">
        <v>2670</v>
      </c>
      <c r="M134" s="195" t="s">
        <v>558</v>
      </c>
      <c r="N134" s="195"/>
      <c r="O134" s="298"/>
      <c r="P134" s="298"/>
      <c r="Q134" s="299" t="str">
        <f t="shared" si="17"/>
        <v>. Pistons Rods SET 8</v>
      </c>
      <c r="R134" s="299"/>
      <c r="S134" s="299" t="str">
        <f t="shared" si="20"/>
        <v/>
      </c>
      <c r="T134" s="299" t="str">
        <f>IF(O134&lt;&gt;"",_xlfn.XLOOKUP(O134,'3D. Pictures'!B:B,'3D. Pictures'!E:E,"NOT FOUND",0,1),"")</f>
        <v/>
      </c>
      <c r="U134" s="195"/>
      <c r="V134" s="300"/>
      <c r="W134" s="195"/>
      <c r="X134" s="300"/>
      <c r="Y134" s="205"/>
      <c r="Z134" s="300"/>
      <c r="AA134" s="324" t="s">
        <v>2524</v>
      </c>
      <c r="AB134" s="324" t="s">
        <v>2524</v>
      </c>
      <c r="AC134" s="360" t="str">
        <f t="shared" si="19"/>
        <v>SET 8, sell SET 4 &amp; singles if 1 bad</v>
      </c>
      <c r="AD134" s="324" t="s">
        <v>2778</v>
      </c>
      <c r="AE134" s="324"/>
      <c r="AF134" s="302" t="s">
        <v>2199</v>
      </c>
      <c r="AG134" s="324"/>
      <c r="AH134" s="99">
        <v>400</v>
      </c>
      <c r="AI134" s="380">
        <f t="shared" si="21"/>
        <v>400</v>
      </c>
      <c r="AJ134" s="301" t="s">
        <v>2198</v>
      </c>
      <c r="AK134" s="301" t="s">
        <v>425</v>
      </c>
      <c r="AL134" s="301" t="s">
        <v>2198</v>
      </c>
      <c r="AM134" s="325" t="s">
        <v>81</v>
      </c>
      <c r="AN134" s="326" t="s">
        <v>611</v>
      </c>
      <c r="AO134" s="294" t="s">
        <v>572</v>
      </c>
      <c r="AP134" s="294">
        <v>999555</v>
      </c>
      <c r="AQ134" s="294" t="str">
        <f t="shared" si="71"/>
        <v>304-999555</v>
      </c>
      <c r="AR134" s="294"/>
      <c r="AS134" s="294"/>
      <c r="AT134" s="294"/>
      <c r="AU134" s="294"/>
      <c r="AV134" s="294"/>
      <c r="AW134" s="294"/>
      <c r="AX134" s="279" t="str">
        <f t="shared" si="40"/>
        <v/>
      </c>
    </row>
    <row r="135" spans="1:50" x14ac:dyDescent="0.25">
      <c r="A135" s="190" t="str">
        <f t="shared" si="69"/>
        <v/>
      </c>
      <c r="B135" s="294" t="str">
        <f t="shared" ref="B135" si="74">IF(AQ135&lt;&gt;"",AQ135,"")</f>
        <v>304-999555</v>
      </c>
      <c r="C135" s="294" t="s">
        <v>2351</v>
      </c>
      <c r="D135" s="294"/>
      <c r="E135" s="294">
        <f t="shared" si="16"/>
        <v>6</v>
      </c>
      <c r="F135" s="294" t="s">
        <v>535</v>
      </c>
      <c r="G135" s="295">
        <v>44670</v>
      </c>
      <c r="H135" s="323" t="s">
        <v>81</v>
      </c>
      <c r="I135" s="324"/>
      <c r="J135" s="324" t="s">
        <v>402</v>
      </c>
      <c r="K135" s="324" t="s">
        <v>237</v>
      </c>
      <c r="L135" s="324" t="s">
        <v>2670</v>
      </c>
      <c r="M135" s="195" t="s">
        <v>558</v>
      </c>
      <c r="N135" s="195"/>
      <c r="O135" s="298"/>
      <c r="P135" s="298"/>
      <c r="Q135" s="299" t="str">
        <f t="shared" si="17"/>
        <v>. Pistons Rods SET 4</v>
      </c>
      <c r="R135" s="299"/>
      <c r="S135" s="299" t="str">
        <f t="shared" si="20"/>
        <v/>
      </c>
      <c r="T135" s="299" t="str">
        <f>IF(O135&lt;&gt;"",_xlfn.XLOOKUP(O135,'3D. Pictures'!B:B,'3D. Pictures'!E:E,"NOT FOUND",0,1),"")</f>
        <v/>
      </c>
      <c r="U135" s="195"/>
      <c r="V135" s="300"/>
      <c r="W135" s="195"/>
      <c r="X135" s="300"/>
      <c r="Y135" s="205"/>
      <c r="Z135" s="300"/>
      <c r="AA135" s="324" t="s">
        <v>2513</v>
      </c>
      <c r="AB135" s="324" t="s">
        <v>2513</v>
      </c>
      <c r="AC135" s="360" t="str">
        <f t="shared" si="19"/>
        <v/>
      </c>
      <c r="AD135" s="324"/>
      <c r="AE135" s="324"/>
      <c r="AF135" s="302" t="s">
        <v>541</v>
      </c>
      <c r="AG135" s="324"/>
      <c r="AH135" s="99">
        <v>250</v>
      </c>
      <c r="AI135" s="380">
        <f t="shared" si="21"/>
        <v>250</v>
      </c>
      <c r="AJ135" s="301" t="s">
        <v>2198</v>
      </c>
      <c r="AK135" s="301" t="s">
        <v>425</v>
      </c>
      <c r="AL135" s="301" t="s">
        <v>2198</v>
      </c>
      <c r="AM135" s="325" t="s">
        <v>81</v>
      </c>
      <c r="AN135" s="326" t="s">
        <v>611</v>
      </c>
      <c r="AO135" s="294" t="s">
        <v>572</v>
      </c>
      <c r="AP135" s="294">
        <v>999555</v>
      </c>
      <c r="AQ135" s="294" t="str">
        <f t="shared" ref="AQ135" si="75">CONCATENATE(AN135,AO135,AP135)</f>
        <v>304-999555</v>
      </c>
      <c r="AR135" s="294"/>
      <c r="AS135" s="294"/>
      <c r="AT135" s="294"/>
      <c r="AU135" s="294"/>
      <c r="AV135" s="294"/>
      <c r="AW135" s="294"/>
      <c r="AX135" s="279" t="str">
        <f t="shared" si="40"/>
        <v/>
      </c>
    </row>
    <row r="136" spans="1:50" x14ac:dyDescent="0.25">
      <c r="A136" s="190" t="str">
        <f t="shared" si="69"/>
        <v/>
      </c>
      <c r="B136" s="294" t="str">
        <f t="shared" ref="B136" si="76">IF(AQ136&lt;&gt;"",AQ136,"")</f>
        <v>304-999555</v>
      </c>
      <c r="C136" s="294" t="s">
        <v>2352</v>
      </c>
      <c r="D136" s="294"/>
      <c r="E136" s="294">
        <f t="shared" si="16"/>
        <v>6</v>
      </c>
      <c r="F136" s="294" t="s">
        <v>535</v>
      </c>
      <c r="G136" s="295">
        <v>44670</v>
      </c>
      <c r="H136" s="323" t="s">
        <v>81</v>
      </c>
      <c r="I136" s="324"/>
      <c r="J136" s="324" t="s">
        <v>402</v>
      </c>
      <c r="K136" s="324" t="s">
        <v>237</v>
      </c>
      <c r="L136" s="324" t="s">
        <v>2670</v>
      </c>
      <c r="M136" s="195" t="s">
        <v>558</v>
      </c>
      <c r="N136" s="195"/>
      <c r="O136" s="298"/>
      <c r="P136" s="298"/>
      <c r="Q136" s="299" t="str">
        <f t="shared" si="17"/>
        <v>. Piston Rods Single</v>
      </c>
      <c r="R136" s="299"/>
      <c r="S136" s="299" t="str">
        <f t="shared" si="20"/>
        <v/>
      </c>
      <c r="T136" s="299" t="str">
        <f>IF(O136&lt;&gt;"",_xlfn.XLOOKUP(O136,'3D. Pictures'!B:B,'3D. Pictures'!E:E,"NOT FOUND",0,1),"")</f>
        <v/>
      </c>
      <c r="U136" s="195"/>
      <c r="V136" s="300"/>
      <c r="W136" s="195"/>
      <c r="X136" s="300"/>
      <c r="Y136" s="205"/>
      <c r="Z136" s="300"/>
      <c r="AA136" s="324" t="s">
        <v>2346</v>
      </c>
      <c r="AB136" s="324" t="s">
        <v>2346</v>
      </c>
      <c r="AC136" s="360" t="str">
        <f t="shared" si="19"/>
        <v/>
      </c>
      <c r="AD136" s="324"/>
      <c r="AE136" s="324"/>
      <c r="AF136" s="302" t="s">
        <v>543</v>
      </c>
      <c r="AG136" s="324"/>
      <c r="AH136" s="99">
        <v>95</v>
      </c>
      <c r="AI136" s="380">
        <f t="shared" si="21"/>
        <v>95</v>
      </c>
      <c r="AJ136" s="301" t="s">
        <v>2198</v>
      </c>
      <c r="AK136" s="301" t="s">
        <v>425</v>
      </c>
      <c r="AL136" s="301" t="s">
        <v>2198</v>
      </c>
      <c r="AM136" s="325" t="s">
        <v>81</v>
      </c>
      <c r="AN136" s="326" t="s">
        <v>611</v>
      </c>
      <c r="AO136" s="294" t="s">
        <v>572</v>
      </c>
      <c r="AP136" s="294">
        <v>999555</v>
      </c>
      <c r="AQ136" s="294" t="str">
        <f t="shared" ref="AQ136" si="77">CONCATENATE(AN136,AO136,AP136)</f>
        <v>304-999555</v>
      </c>
      <c r="AR136" s="294"/>
      <c r="AS136" s="294"/>
      <c r="AT136" s="294"/>
      <c r="AU136" s="294"/>
      <c r="AV136" s="294"/>
      <c r="AW136" s="294"/>
      <c r="AX136" s="279" t="str">
        <f t="shared" si="40"/>
        <v/>
      </c>
    </row>
    <row r="137" spans="1:50" x14ac:dyDescent="0.25">
      <c r="A137" s="190" t="str">
        <f t="shared" si="69"/>
        <v/>
      </c>
      <c r="B137" s="279" t="str">
        <f t="shared" si="12"/>
        <v>553-50399</v>
      </c>
      <c r="C137" s="279"/>
      <c r="D137" s="279"/>
      <c r="E137" s="279">
        <f t="shared" ref="E137:E200" si="78">IF(B137&lt;&gt;"",COUNTIF($B$9:$B$2241,B137),"")</f>
        <v>1</v>
      </c>
      <c r="F137" s="190" t="s">
        <v>535</v>
      </c>
      <c r="G137" s="198">
        <v>44670</v>
      </c>
      <c r="H137" s="210"/>
      <c r="I137" s="205"/>
      <c r="J137" s="205" t="s">
        <v>402</v>
      </c>
      <c r="K137" s="205" t="s">
        <v>237</v>
      </c>
      <c r="L137" s="205" t="s">
        <v>659</v>
      </c>
      <c r="M137" s="192" t="s">
        <v>558</v>
      </c>
      <c r="N137" s="192"/>
      <c r="O137" s="229"/>
      <c r="P137" s="229"/>
      <c r="Q137" s="231" t="str">
        <f t="shared" ref="Q137:Q200" si="79">CONCATENATE(O137,". ",AB137)</f>
        <v>. Power Steering Pump (WITH Active Suspension Adaptive Drive)</v>
      </c>
      <c r="R137" s="231"/>
      <c r="S137" s="231" t="str">
        <f t="shared" si="20"/>
        <v/>
      </c>
      <c r="T137" s="231" t="str">
        <f>IF(O137&lt;&gt;"",_xlfn.XLOOKUP(O137,'3D. Pictures'!B:B,'3D. Pictures'!E:E,"NOT FOUND",0,1),"")</f>
        <v/>
      </c>
      <c r="U137" s="192"/>
      <c r="V137" s="205"/>
      <c r="W137" s="192"/>
      <c r="X137" s="205"/>
      <c r="Y137" s="205"/>
      <c r="Z137" s="205"/>
      <c r="AA137" s="205" t="s">
        <v>659</v>
      </c>
      <c r="AB137" s="205" t="s">
        <v>2737</v>
      </c>
      <c r="AC137" s="358" t="str">
        <f t="shared" si="19"/>
        <v>w/ Pulley</v>
      </c>
      <c r="AD137" s="205" t="s">
        <v>657</v>
      </c>
      <c r="AE137" s="205"/>
      <c r="AF137" s="201" t="s">
        <v>543</v>
      </c>
      <c r="AG137" s="205"/>
      <c r="AH137" s="16">
        <v>400</v>
      </c>
      <c r="AI137" s="380">
        <f t="shared" si="21"/>
        <v>300</v>
      </c>
      <c r="AJ137" s="204" t="s">
        <v>2176</v>
      </c>
      <c r="AK137" s="204" t="s">
        <v>425</v>
      </c>
      <c r="AL137" s="204" t="s">
        <v>2177</v>
      </c>
      <c r="AM137" s="190"/>
      <c r="AN137" s="191" t="s">
        <v>612</v>
      </c>
      <c r="AO137" s="190" t="s">
        <v>572</v>
      </c>
      <c r="AP137" s="190">
        <v>50399</v>
      </c>
      <c r="AQ137" s="190" t="str">
        <f t="shared" si="68"/>
        <v>553-50399</v>
      </c>
      <c r="AR137" s="190" t="s">
        <v>660</v>
      </c>
      <c r="AS137" s="190"/>
      <c r="AT137" s="190"/>
      <c r="AU137" s="190"/>
      <c r="AV137" s="190"/>
      <c r="AW137" s="190"/>
      <c r="AX137" s="279" t="str">
        <f t="shared" si="40"/>
        <v/>
      </c>
    </row>
    <row r="138" spans="1:50" x14ac:dyDescent="0.25">
      <c r="A138" s="190" t="str">
        <f t="shared" si="69"/>
        <v/>
      </c>
      <c r="B138" s="279" t="str">
        <f t="shared" si="12"/>
        <v>553-50401</v>
      </c>
      <c r="C138" s="279"/>
      <c r="D138" s="279"/>
      <c r="E138" s="279">
        <f t="shared" si="78"/>
        <v>1</v>
      </c>
      <c r="F138" s="190" t="s">
        <v>535</v>
      </c>
      <c r="G138" s="198">
        <v>44670</v>
      </c>
      <c r="H138" s="210"/>
      <c r="I138" s="205"/>
      <c r="J138" s="205" t="s">
        <v>402</v>
      </c>
      <c r="K138" s="205" t="s">
        <v>237</v>
      </c>
      <c r="L138" s="205" t="s">
        <v>659</v>
      </c>
      <c r="M138" s="192" t="s">
        <v>558</v>
      </c>
      <c r="N138" s="192"/>
      <c r="O138" s="229"/>
      <c r="P138" s="229"/>
      <c r="Q138" s="231" t="str">
        <f t="shared" si="79"/>
        <v>. Power Steering Pump (WITHOUT Active Suspension WITH Active Steering)</v>
      </c>
      <c r="R138" s="231"/>
      <c r="S138" s="231" t="str">
        <f t="shared" si="20"/>
        <v/>
      </c>
      <c r="T138" s="231" t="str">
        <f>IF(O138&lt;&gt;"",_xlfn.XLOOKUP(O138,'3D. Pictures'!B:B,'3D. Pictures'!E:E,"NOT FOUND",0,1),"")</f>
        <v/>
      </c>
      <c r="U138" s="192"/>
      <c r="V138" s="205"/>
      <c r="W138" s="192"/>
      <c r="X138" s="205"/>
      <c r="Y138" s="205"/>
      <c r="Z138" s="205"/>
      <c r="AA138" s="205" t="s">
        <v>659</v>
      </c>
      <c r="AB138" s="205" t="s">
        <v>2738</v>
      </c>
      <c r="AC138" s="358" t="str">
        <f t="shared" si="19"/>
        <v>w/ Pulley</v>
      </c>
      <c r="AD138" s="205" t="s">
        <v>657</v>
      </c>
      <c r="AE138" s="205"/>
      <c r="AF138" s="201" t="s">
        <v>543</v>
      </c>
      <c r="AG138" s="205"/>
      <c r="AH138" s="16">
        <v>250</v>
      </c>
      <c r="AI138" s="380">
        <f t="shared" si="21"/>
        <v>300</v>
      </c>
      <c r="AJ138" s="204" t="s">
        <v>2176</v>
      </c>
      <c r="AK138" s="204" t="s">
        <v>425</v>
      </c>
      <c r="AL138" s="204" t="s">
        <v>2177</v>
      </c>
      <c r="AM138" s="190"/>
      <c r="AN138" s="191" t="s">
        <v>612</v>
      </c>
      <c r="AO138" s="190" t="s">
        <v>572</v>
      </c>
      <c r="AP138" s="190">
        <v>50401</v>
      </c>
      <c r="AQ138" s="190" t="str">
        <f t="shared" si="68"/>
        <v>553-50401</v>
      </c>
      <c r="AR138" s="190" t="s">
        <v>661</v>
      </c>
      <c r="AS138" s="190"/>
      <c r="AT138" s="190"/>
      <c r="AU138" s="190"/>
      <c r="AV138" s="190"/>
      <c r="AW138" s="190"/>
      <c r="AX138" s="279" t="str">
        <f t="shared" si="40"/>
        <v/>
      </c>
    </row>
    <row r="139" spans="1:50" x14ac:dyDescent="0.25">
      <c r="A139" s="190" t="str">
        <f t="shared" si="69"/>
        <v/>
      </c>
      <c r="B139" s="279" t="str">
        <f t="shared" si="12"/>
        <v>553-59280</v>
      </c>
      <c r="C139" s="279"/>
      <c r="D139" s="279"/>
      <c r="E139" s="279">
        <f t="shared" si="78"/>
        <v>1</v>
      </c>
      <c r="F139" s="190" t="s">
        <v>535</v>
      </c>
      <c r="G139" s="198">
        <v>44670</v>
      </c>
      <c r="H139" s="210"/>
      <c r="I139" s="205"/>
      <c r="J139" s="205" t="s">
        <v>402</v>
      </c>
      <c r="K139" s="205" t="s">
        <v>237</v>
      </c>
      <c r="L139" s="205" t="s">
        <v>659</v>
      </c>
      <c r="M139" s="192" t="s">
        <v>558</v>
      </c>
      <c r="N139" s="192"/>
      <c r="O139" s="229"/>
      <c r="P139" s="229"/>
      <c r="Q139" s="231" t="str">
        <f t="shared" si="79"/>
        <v>. Power Steering Pump (WITHOUT Active Suspension WITHOUT Active Steering)</v>
      </c>
      <c r="R139" s="231"/>
      <c r="S139" s="231" t="str">
        <f t="shared" si="20"/>
        <v/>
      </c>
      <c r="T139" s="231" t="str">
        <f>IF(O139&lt;&gt;"",_xlfn.XLOOKUP(O139,'3D. Pictures'!B:B,'3D. Pictures'!E:E,"NOT FOUND",0,1),"")</f>
        <v/>
      </c>
      <c r="U139" s="192"/>
      <c r="V139" s="205"/>
      <c r="W139" s="192"/>
      <c r="X139" s="205"/>
      <c r="Y139" s="205"/>
      <c r="Z139" s="205"/>
      <c r="AA139" s="205" t="s">
        <v>659</v>
      </c>
      <c r="AB139" s="205" t="s">
        <v>2739</v>
      </c>
      <c r="AC139" s="358" t="str">
        <f t="shared" ref="AC139:AC202" si="80">_xlfn.TEXTJOIN(" | ",TRUE,AD139,AE139)</f>
        <v>w/ Pulley</v>
      </c>
      <c r="AD139" s="205" t="s">
        <v>657</v>
      </c>
      <c r="AE139" s="205"/>
      <c r="AF139" s="201" t="s">
        <v>543</v>
      </c>
      <c r="AG139" s="205"/>
      <c r="AH139" s="16">
        <v>250</v>
      </c>
      <c r="AI139" s="380">
        <f t="shared" si="21"/>
        <v>300</v>
      </c>
      <c r="AJ139" s="204" t="s">
        <v>2176</v>
      </c>
      <c r="AK139" s="204" t="s">
        <v>425</v>
      </c>
      <c r="AL139" s="204" t="s">
        <v>2177</v>
      </c>
      <c r="AM139" s="190"/>
      <c r="AN139" s="191" t="s">
        <v>612</v>
      </c>
      <c r="AO139" s="190" t="s">
        <v>572</v>
      </c>
      <c r="AP139" s="190">
        <v>59280</v>
      </c>
      <c r="AQ139" s="190" t="str">
        <f t="shared" si="68"/>
        <v>553-59280</v>
      </c>
      <c r="AR139" s="190" t="s">
        <v>662</v>
      </c>
      <c r="AS139" s="190"/>
      <c r="AT139" s="190"/>
      <c r="AU139" s="190"/>
      <c r="AV139" s="190"/>
      <c r="AW139" s="190"/>
      <c r="AX139" s="279" t="str">
        <f t="shared" si="40"/>
        <v/>
      </c>
    </row>
    <row r="140" spans="1:50" x14ac:dyDescent="0.25">
      <c r="A140" s="190" t="str">
        <f t="shared" si="69"/>
        <v/>
      </c>
      <c r="B140" s="279" t="str">
        <f t="shared" si="12"/>
        <v/>
      </c>
      <c r="C140" s="279"/>
      <c r="D140" s="279"/>
      <c r="E140" s="279" t="str">
        <f t="shared" si="78"/>
        <v/>
      </c>
      <c r="F140" t="s">
        <v>536</v>
      </c>
      <c r="G140" s="188">
        <v>45099</v>
      </c>
      <c r="H140" s="19"/>
      <c r="I140" s="16"/>
      <c r="J140" s="16" t="s">
        <v>402</v>
      </c>
      <c r="K140" s="16" t="s">
        <v>237</v>
      </c>
      <c r="L140" s="16" t="s">
        <v>391</v>
      </c>
      <c r="M140" s="16" t="s">
        <v>559</v>
      </c>
      <c r="N140" s="16"/>
      <c r="O140" s="166"/>
      <c r="P140" s="166"/>
      <c r="Q140" s="231" t="str">
        <f t="shared" si="79"/>
        <v>. Thermostat Housing</v>
      </c>
      <c r="R140" s="231"/>
      <c r="S140" s="231" t="str">
        <f t="shared" ref="S140:S203" si="81">IF(T140&lt;&gt;"",HYPERLINK(T140,"E.G."),"")</f>
        <v/>
      </c>
      <c r="T140" s="231" t="str">
        <f>IF(O140&lt;&gt;"",_xlfn.XLOOKUP(O140,'3D. Pictures'!B:B,'3D. Pictures'!E:E,"NOT FOUND",0,1),"")</f>
        <v/>
      </c>
      <c r="U140" s="16"/>
      <c r="V140" s="16"/>
      <c r="W140" s="16"/>
      <c r="X140" s="16"/>
      <c r="Y140" s="205"/>
      <c r="Z140" s="16"/>
      <c r="AA140" s="16" t="s">
        <v>391</v>
      </c>
      <c r="AB140" s="16" t="s">
        <v>391</v>
      </c>
      <c r="AC140" s="358" t="str">
        <f t="shared" si="80"/>
        <v/>
      </c>
      <c r="AD140" s="16"/>
      <c r="AE140" s="16"/>
      <c r="AF140" s="168" t="s">
        <v>543</v>
      </c>
      <c r="AG140" s="16"/>
      <c r="AH140" s="16">
        <v>45</v>
      </c>
      <c r="AI140" s="380">
        <f t="shared" si="21"/>
        <v>45</v>
      </c>
      <c r="AJ140" s="183" t="s">
        <v>2176</v>
      </c>
      <c r="AK140" s="183" t="s">
        <v>425</v>
      </c>
      <c r="AL140" s="204" t="s">
        <v>2177</v>
      </c>
      <c r="AN140"/>
      <c r="AX140" s="279" t="str">
        <f t="shared" si="40"/>
        <v/>
      </c>
    </row>
    <row r="141" spans="1:50" x14ac:dyDescent="0.25">
      <c r="A141" s="190" t="str">
        <f t="shared" si="69"/>
        <v/>
      </c>
      <c r="B141" s="303" t="str">
        <f t="shared" si="12"/>
        <v/>
      </c>
      <c r="C141" s="303"/>
      <c r="D141" s="303"/>
      <c r="E141" s="303" t="str">
        <f t="shared" si="78"/>
        <v/>
      </c>
      <c r="F141" s="303" t="s">
        <v>535</v>
      </c>
      <c r="G141" s="304">
        <v>45245</v>
      </c>
      <c r="H141" s="305"/>
      <c r="I141" s="306"/>
      <c r="J141" s="306" t="s">
        <v>402</v>
      </c>
      <c r="K141" s="306" t="s">
        <v>237</v>
      </c>
      <c r="L141" s="306" t="s">
        <v>2345</v>
      </c>
      <c r="M141" s="343" t="s">
        <v>558</v>
      </c>
      <c r="N141" s="343"/>
      <c r="O141" s="344"/>
      <c r="P141" s="344"/>
      <c r="Q141" s="307" t="str">
        <f t="shared" si="79"/>
        <v>. Timing Gear SET 2</v>
      </c>
      <c r="R141" s="307"/>
      <c r="S141" s="307" t="str">
        <f t="shared" si="81"/>
        <v/>
      </c>
      <c r="T141" s="307" t="str">
        <f>IF(O141&lt;&gt;"",_xlfn.XLOOKUP(O141,'3D. Pictures'!B:B,'3D. Pictures'!E:E,"NOT FOUND",0,1),"")</f>
        <v/>
      </c>
      <c r="U141" s="343"/>
      <c r="V141" s="306" t="s">
        <v>2335</v>
      </c>
      <c r="W141" s="343" t="s">
        <v>111</v>
      </c>
      <c r="X141" s="306"/>
      <c r="Y141" s="205"/>
      <c r="Z141" s="306"/>
      <c r="AA141" s="306" t="s">
        <v>2345</v>
      </c>
      <c r="AB141" s="306" t="s">
        <v>2484</v>
      </c>
      <c r="AC141" s="358" t="str">
        <f t="shared" si="80"/>
        <v>head if good, SET2 if not, single if 1 bad | mark side &amp; int/exh</v>
      </c>
      <c r="AD141" s="306" t="s">
        <v>2784</v>
      </c>
      <c r="AE141" s="306" t="s">
        <v>2785</v>
      </c>
      <c r="AF141" s="309" t="s">
        <v>2334</v>
      </c>
      <c r="AG141" s="306"/>
      <c r="AH141" s="16">
        <v>125</v>
      </c>
      <c r="AI141" s="380">
        <f t="shared" ref="AI141:AI204" si="82">IF(ISTEXT(AH141), AH141, IFERROR(AVERAGEIF(AA:AA, AA141, AH:AH), ""))</f>
        <v>98.333333333333329</v>
      </c>
      <c r="AJ141" s="310" t="s">
        <v>2176</v>
      </c>
      <c r="AK141" s="310" t="s">
        <v>425</v>
      </c>
      <c r="AL141" s="310" t="s">
        <v>2177</v>
      </c>
      <c r="AM141" s="303"/>
      <c r="AN141" s="332"/>
      <c r="AO141" s="303" t="s">
        <v>572</v>
      </c>
      <c r="AP141" s="303"/>
      <c r="AQ141" s="303"/>
      <c r="AR141" s="303"/>
      <c r="AS141" s="303"/>
      <c r="AT141" s="303"/>
      <c r="AU141" s="303"/>
      <c r="AV141" s="303"/>
      <c r="AW141" s="303"/>
      <c r="AX141" s="279" t="str">
        <f t="shared" si="40"/>
        <v/>
      </c>
    </row>
    <row r="142" spans="1:50" x14ac:dyDescent="0.25">
      <c r="A142" s="190" t="str">
        <f t="shared" si="69"/>
        <v/>
      </c>
      <c r="B142" s="303" t="str">
        <f t="shared" ref="B142" si="83">IF(AQ142&lt;&gt;"",AQ142,"")</f>
        <v/>
      </c>
      <c r="C142" s="303"/>
      <c r="D142" s="303"/>
      <c r="E142" s="303" t="str">
        <f t="shared" si="78"/>
        <v/>
      </c>
      <c r="F142" s="303" t="s">
        <v>535</v>
      </c>
      <c r="G142" s="304">
        <v>45245</v>
      </c>
      <c r="H142" s="305"/>
      <c r="I142" s="306"/>
      <c r="J142" s="306" t="s">
        <v>402</v>
      </c>
      <c r="K142" s="306" t="s">
        <v>237</v>
      </c>
      <c r="L142" s="306" t="s">
        <v>2345</v>
      </c>
      <c r="M142" s="343" t="s">
        <v>558</v>
      </c>
      <c r="N142" s="343"/>
      <c r="O142" s="344"/>
      <c r="P142" s="344"/>
      <c r="Q142" s="307" t="str">
        <f t="shared" si="79"/>
        <v>. Timing Gear - INTAKE</v>
      </c>
      <c r="R142" s="307"/>
      <c r="S142" s="307" t="str">
        <f t="shared" si="81"/>
        <v/>
      </c>
      <c r="T142" s="307" t="str">
        <f>IF(O142&lt;&gt;"",_xlfn.XLOOKUP(O142,'3D. Pictures'!B:B,'3D. Pictures'!E:E,"NOT FOUND",0,1),"")</f>
        <v/>
      </c>
      <c r="U142" s="343"/>
      <c r="V142" s="306" t="s">
        <v>2337</v>
      </c>
      <c r="W142" s="343" t="s">
        <v>111</v>
      </c>
      <c r="X142" s="306"/>
      <c r="Y142" s="205"/>
      <c r="Z142" s="306"/>
      <c r="AA142" s="306" t="s">
        <v>2345</v>
      </c>
      <c r="AB142" s="306" t="s">
        <v>2333</v>
      </c>
      <c r="AC142" s="358" t="str">
        <f t="shared" si="80"/>
        <v/>
      </c>
      <c r="AD142" s="306"/>
      <c r="AE142" s="306"/>
      <c r="AF142" s="309" t="s">
        <v>543</v>
      </c>
      <c r="AG142" s="306"/>
      <c r="AH142" s="16">
        <v>85</v>
      </c>
      <c r="AI142" s="380">
        <f t="shared" si="82"/>
        <v>98.333333333333329</v>
      </c>
      <c r="AJ142" s="310" t="s">
        <v>2176</v>
      </c>
      <c r="AK142" s="310" t="s">
        <v>425</v>
      </c>
      <c r="AL142" s="310" t="s">
        <v>2177</v>
      </c>
      <c r="AM142" s="303"/>
      <c r="AN142" s="332"/>
      <c r="AO142" s="303" t="s">
        <v>572</v>
      </c>
      <c r="AP142" s="303"/>
      <c r="AQ142" s="303"/>
      <c r="AR142" s="303"/>
      <c r="AS142" s="303"/>
      <c r="AT142" s="303"/>
      <c r="AU142" s="303"/>
      <c r="AV142" s="303"/>
      <c r="AW142" s="303"/>
      <c r="AX142" s="279" t="str">
        <f t="shared" si="40"/>
        <v/>
      </c>
    </row>
    <row r="143" spans="1:50" x14ac:dyDescent="0.25">
      <c r="A143" s="190" t="str">
        <f t="shared" si="69"/>
        <v/>
      </c>
      <c r="B143" s="303" t="str">
        <f t="shared" ref="B143" si="84">IF(AQ143&lt;&gt;"",AQ143,"")</f>
        <v/>
      </c>
      <c r="C143" s="303"/>
      <c r="D143" s="303"/>
      <c r="E143" s="303" t="str">
        <f t="shared" si="78"/>
        <v/>
      </c>
      <c r="F143" s="303" t="s">
        <v>535</v>
      </c>
      <c r="G143" s="304">
        <v>45245</v>
      </c>
      <c r="H143" s="305"/>
      <c r="I143" s="306"/>
      <c r="J143" s="306" t="s">
        <v>402</v>
      </c>
      <c r="K143" s="306" t="s">
        <v>237</v>
      </c>
      <c r="L143" s="306" t="s">
        <v>2345</v>
      </c>
      <c r="M143" s="343" t="s">
        <v>558</v>
      </c>
      <c r="N143" s="343"/>
      <c r="O143" s="344"/>
      <c r="P143" s="344"/>
      <c r="Q143" s="307" t="str">
        <f t="shared" si="79"/>
        <v>. Timing Gear - EXHAUST</v>
      </c>
      <c r="R143" s="307"/>
      <c r="S143" s="307" t="str">
        <f t="shared" si="81"/>
        <v/>
      </c>
      <c r="T143" s="307" t="str">
        <f>IF(O143&lt;&gt;"",_xlfn.XLOOKUP(O143,'3D. Pictures'!B:B,'3D. Pictures'!E:E,"NOT FOUND",0,1),"")</f>
        <v/>
      </c>
      <c r="U143" s="343"/>
      <c r="V143" s="306" t="s">
        <v>2336</v>
      </c>
      <c r="W143" s="343" t="s">
        <v>111</v>
      </c>
      <c r="X143" s="306"/>
      <c r="Y143" s="205"/>
      <c r="Z143" s="306"/>
      <c r="AA143" s="306" t="s">
        <v>2345</v>
      </c>
      <c r="AB143" s="306" t="s">
        <v>2332</v>
      </c>
      <c r="AC143" s="358" t="str">
        <f t="shared" si="80"/>
        <v/>
      </c>
      <c r="AD143" s="306"/>
      <c r="AE143" s="306"/>
      <c r="AF143" s="309" t="s">
        <v>543</v>
      </c>
      <c r="AG143" s="306"/>
      <c r="AH143" s="16">
        <v>85</v>
      </c>
      <c r="AI143" s="380">
        <f t="shared" si="82"/>
        <v>98.333333333333329</v>
      </c>
      <c r="AJ143" s="310" t="s">
        <v>2176</v>
      </c>
      <c r="AK143" s="310" t="s">
        <v>425</v>
      </c>
      <c r="AL143" s="310" t="s">
        <v>2177</v>
      </c>
      <c r="AM143" s="303"/>
      <c r="AN143" s="332"/>
      <c r="AO143" s="303" t="s">
        <v>572</v>
      </c>
      <c r="AP143" s="303"/>
      <c r="AQ143" s="303"/>
      <c r="AR143" s="303"/>
      <c r="AS143" s="303"/>
      <c r="AT143" s="303"/>
      <c r="AU143" s="303"/>
      <c r="AV143" s="303"/>
      <c r="AW143" s="303"/>
      <c r="AX143" s="279" t="str">
        <f t="shared" si="40"/>
        <v/>
      </c>
    </row>
    <row r="144" spans="1:50" x14ac:dyDescent="0.25">
      <c r="A144" s="190" t="str">
        <f t="shared" si="69"/>
        <v/>
      </c>
      <c r="B144" s="303" t="str">
        <f t="shared" ref="B144" si="85">IF(AQ144&lt;&gt;"",AQ144,"")</f>
        <v/>
      </c>
      <c r="C144" s="303"/>
      <c r="D144" s="303"/>
      <c r="E144" s="303" t="str">
        <f t="shared" si="78"/>
        <v/>
      </c>
      <c r="F144" s="303" t="s">
        <v>535</v>
      </c>
      <c r="G144" s="304">
        <v>45245</v>
      </c>
      <c r="H144" s="305"/>
      <c r="I144" s="306"/>
      <c r="J144" s="306" t="s">
        <v>402</v>
      </c>
      <c r="K144" s="306" t="s">
        <v>237</v>
      </c>
      <c r="L144" s="306" t="s">
        <v>2345</v>
      </c>
      <c r="M144" s="343" t="s">
        <v>558</v>
      </c>
      <c r="N144" s="343"/>
      <c r="O144" s="344"/>
      <c r="P144" s="344"/>
      <c r="Q144" s="307" t="str">
        <f t="shared" si="79"/>
        <v>. Timing Gear SET 2 - LEFT</v>
      </c>
      <c r="R144" s="307"/>
      <c r="S144" s="307" t="str">
        <f t="shared" si="81"/>
        <v/>
      </c>
      <c r="T144" s="307" t="str">
        <f>IF(O144&lt;&gt;"",_xlfn.XLOOKUP(O144,'3D. Pictures'!B:B,'3D. Pictures'!E:E,"NOT FOUND",0,1),"")</f>
        <v/>
      </c>
      <c r="U144" s="343"/>
      <c r="V144" s="306" t="s">
        <v>2338</v>
      </c>
      <c r="W144" s="343" t="s">
        <v>111</v>
      </c>
      <c r="X144" s="306"/>
      <c r="Y144" s="205"/>
      <c r="Z144" s="306"/>
      <c r="AA144" s="306" t="s">
        <v>2813</v>
      </c>
      <c r="AB144" s="306" t="s">
        <v>2485</v>
      </c>
      <c r="AC144" s="358" t="str">
        <f t="shared" si="80"/>
        <v>head if good, SET2 if not, single if 1 bad | mark side &amp; int/exh</v>
      </c>
      <c r="AD144" s="306" t="s">
        <v>2784</v>
      </c>
      <c r="AE144" s="306" t="s">
        <v>2785</v>
      </c>
      <c r="AF144" s="309" t="s">
        <v>2334</v>
      </c>
      <c r="AG144" s="306"/>
      <c r="AH144" s="16">
        <v>250</v>
      </c>
      <c r="AI144" s="380">
        <f t="shared" si="82"/>
        <v>180</v>
      </c>
      <c r="AJ144" s="310" t="s">
        <v>2198</v>
      </c>
      <c r="AK144" s="310" t="s">
        <v>425</v>
      </c>
      <c r="AL144" s="310" t="s">
        <v>2198</v>
      </c>
      <c r="AM144" s="303"/>
      <c r="AN144" s="332"/>
      <c r="AO144" s="303" t="s">
        <v>572</v>
      </c>
      <c r="AP144" s="303"/>
      <c r="AQ144" s="303"/>
      <c r="AR144" s="303"/>
      <c r="AS144" s="303"/>
      <c r="AT144" s="303"/>
      <c r="AU144" s="303"/>
      <c r="AV144" s="303"/>
      <c r="AW144" s="303"/>
      <c r="AX144" s="279" t="str">
        <f t="shared" si="40"/>
        <v/>
      </c>
    </row>
    <row r="145" spans="1:50" x14ac:dyDescent="0.25">
      <c r="A145" s="190" t="str">
        <f t="shared" si="69"/>
        <v/>
      </c>
      <c r="B145" s="303" t="str">
        <f t="shared" ref="B145" si="86">IF(AQ145&lt;&gt;"",AQ145,"")</f>
        <v/>
      </c>
      <c r="C145" s="303"/>
      <c r="D145" s="303"/>
      <c r="E145" s="303" t="str">
        <f t="shared" si="78"/>
        <v/>
      </c>
      <c r="F145" s="303" t="s">
        <v>535</v>
      </c>
      <c r="G145" s="304">
        <v>45245</v>
      </c>
      <c r="H145" s="305"/>
      <c r="I145" s="306"/>
      <c r="J145" s="306" t="s">
        <v>402</v>
      </c>
      <c r="K145" s="306" t="s">
        <v>237</v>
      </c>
      <c r="L145" s="306" t="s">
        <v>2345</v>
      </c>
      <c r="M145" s="343" t="s">
        <v>558</v>
      </c>
      <c r="N145" s="343"/>
      <c r="O145" s="344"/>
      <c r="P145" s="344"/>
      <c r="Q145" s="307" t="str">
        <f t="shared" si="79"/>
        <v>. Timing Gear - LEFT, INTAKE</v>
      </c>
      <c r="R145" s="307"/>
      <c r="S145" s="307" t="str">
        <f t="shared" si="81"/>
        <v/>
      </c>
      <c r="T145" s="307" t="str">
        <f>IF(O145&lt;&gt;"",_xlfn.XLOOKUP(O145,'3D. Pictures'!B:B,'3D. Pictures'!E:E,"NOT FOUND",0,1),"")</f>
        <v/>
      </c>
      <c r="U145" s="343"/>
      <c r="V145" s="306" t="s">
        <v>2339</v>
      </c>
      <c r="W145" s="343" t="s">
        <v>111</v>
      </c>
      <c r="X145" s="306"/>
      <c r="Y145" s="205"/>
      <c r="Z145" s="306"/>
      <c r="AA145" s="306" t="s">
        <v>2813</v>
      </c>
      <c r="AB145" s="306" t="s">
        <v>2341</v>
      </c>
      <c r="AC145" s="358" t="str">
        <f t="shared" si="80"/>
        <v/>
      </c>
      <c r="AD145" s="306"/>
      <c r="AE145" s="306"/>
      <c r="AF145" s="309" t="s">
        <v>543</v>
      </c>
      <c r="AG145" s="306"/>
      <c r="AH145" s="16">
        <v>145</v>
      </c>
      <c r="AI145" s="380">
        <f t="shared" si="82"/>
        <v>180</v>
      </c>
      <c r="AJ145" s="310" t="s">
        <v>2198</v>
      </c>
      <c r="AK145" s="310" t="s">
        <v>425</v>
      </c>
      <c r="AL145" s="310" t="s">
        <v>2198</v>
      </c>
      <c r="AM145" s="303"/>
      <c r="AN145" s="332"/>
      <c r="AO145" s="303" t="s">
        <v>572</v>
      </c>
      <c r="AP145" s="303"/>
      <c r="AQ145" s="303"/>
      <c r="AR145" s="303"/>
      <c r="AS145" s="303"/>
      <c r="AT145" s="303"/>
      <c r="AU145" s="303"/>
      <c r="AV145" s="303"/>
      <c r="AW145" s="303"/>
      <c r="AX145" s="279" t="str">
        <f t="shared" si="40"/>
        <v/>
      </c>
    </row>
    <row r="146" spans="1:50" x14ac:dyDescent="0.25">
      <c r="A146" s="190" t="str">
        <f t="shared" si="69"/>
        <v/>
      </c>
      <c r="B146" s="303" t="str">
        <f t="shared" ref="B146:B148" si="87">IF(AQ146&lt;&gt;"",AQ146,"")</f>
        <v/>
      </c>
      <c r="C146" s="303"/>
      <c r="D146" s="303"/>
      <c r="E146" s="303" t="str">
        <f t="shared" si="78"/>
        <v/>
      </c>
      <c r="F146" s="303" t="s">
        <v>535</v>
      </c>
      <c r="G146" s="304">
        <v>45245</v>
      </c>
      <c r="H146" s="305"/>
      <c r="I146" s="306"/>
      <c r="J146" s="306" t="s">
        <v>402</v>
      </c>
      <c r="K146" s="306" t="s">
        <v>237</v>
      </c>
      <c r="L146" s="306" t="s">
        <v>2345</v>
      </c>
      <c r="M146" s="343" t="s">
        <v>558</v>
      </c>
      <c r="N146" s="343"/>
      <c r="O146" s="344"/>
      <c r="P146" s="344"/>
      <c r="Q146" s="307" t="str">
        <f t="shared" si="79"/>
        <v>. Timing Gear - LEFT, EXHAUST</v>
      </c>
      <c r="R146" s="307"/>
      <c r="S146" s="307" t="str">
        <f t="shared" si="81"/>
        <v/>
      </c>
      <c r="T146" s="307" t="str">
        <f>IF(O146&lt;&gt;"",_xlfn.XLOOKUP(O146,'3D. Pictures'!B:B,'3D. Pictures'!E:E,"NOT FOUND",0,1),"")</f>
        <v/>
      </c>
      <c r="U146" s="343"/>
      <c r="V146" s="306" t="s">
        <v>2340</v>
      </c>
      <c r="W146" s="343" t="s">
        <v>111</v>
      </c>
      <c r="X146" s="306"/>
      <c r="Y146" s="205"/>
      <c r="Z146" s="306"/>
      <c r="AA146" s="306" t="s">
        <v>2813</v>
      </c>
      <c r="AB146" s="306" t="s">
        <v>2342</v>
      </c>
      <c r="AC146" s="358" t="str">
        <f t="shared" si="80"/>
        <v/>
      </c>
      <c r="AD146" s="306"/>
      <c r="AE146" s="306"/>
      <c r="AF146" s="309" t="s">
        <v>543</v>
      </c>
      <c r="AG146" s="306"/>
      <c r="AH146" s="16">
        <v>145</v>
      </c>
      <c r="AI146" s="380">
        <f t="shared" si="82"/>
        <v>180</v>
      </c>
      <c r="AJ146" s="310" t="s">
        <v>2198</v>
      </c>
      <c r="AK146" s="310" t="s">
        <v>425</v>
      </c>
      <c r="AL146" s="310" t="s">
        <v>2198</v>
      </c>
      <c r="AM146" s="303"/>
      <c r="AN146" s="332"/>
      <c r="AO146" s="303" t="s">
        <v>572</v>
      </c>
      <c r="AP146" s="303"/>
      <c r="AQ146" s="303"/>
      <c r="AR146" s="303"/>
      <c r="AS146" s="303"/>
      <c r="AT146" s="303"/>
      <c r="AU146" s="303"/>
      <c r="AV146" s="303"/>
      <c r="AW146" s="303"/>
      <c r="AX146" s="279" t="str">
        <f t="shared" si="40"/>
        <v/>
      </c>
    </row>
    <row r="147" spans="1:50" x14ac:dyDescent="0.25">
      <c r="A147" s="190" t="str">
        <f t="shared" si="69"/>
        <v/>
      </c>
      <c r="B147" s="303" t="str">
        <f t="shared" si="87"/>
        <v/>
      </c>
      <c r="C147" s="303"/>
      <c r="D147" s="303"/>
      <c r="E147" s="303" t="str">
        <f t="shared" si="78"/>
        <v/>
      </c>
      <c r="F147" s="303" t="s">
        <v>535</v>
      </c>
      <c r="G147" s="304">
        <v>45245</v>
      </c>
      <c r="H147" s="305"/>
      <c r="I147" s="306"/>
      <c r="J147" s="306" t="s">
        <v>402</v>
      </c>
      <c r="K147" s="306" t="s">
        <v>237</v>
      </c>
      <c r="L147" s="306" t="s">
        <v>2345</v>
      </c>
      <c r="M147" s="343" t="s">
        <v>558</v>
      </c>
      <c r="N147" s="343"/>
      <c r="O147" s="344"/>
      <c r="P147" s="344"/>
      <c r="Q147" s="307" t="str">
        <f t="shared" si="79"/>
        <v>. Timing Gear SET 2 - RIGHT</v>
      </c>
      <c r="R147" s="307"/>
      <c r="S147" s="307" t="str">
        <f t="shared" si="81"/>
        <v/>
      </c>
      <c r="T147" s="307" t="str">
        <f>IF(O147&lt;&gt;"",_xlfn.XLOOKUP(O147,'3D. Pictures'!B:B,'3D. Pictures'!E:E,"NOT FOUND",0,1),"")</f>
        <v/>
      </c>
      <c r="U147" s="343"/>
      <c r="V147" s="306" t="s">
        <v>2338</v>
      </c>
      <c r="W147" s="343" t="s">
        <v>111</v>
      </c>
      <c r="X147" s="306"/>
      <c r="Y147" s="205"/>
      <c r="Z147" s="306"/>
      <c r="AA147" s="306" t="s">
        <v>2829</v>
      </c>
      <c r="AB147" s="306" t="s">
        <v>2486</v>
      </c>
      <c r="AC147" s="358" t="str">
        <f t="shared" si="80"/>
        <v>head if good, SET2 if not, single if 1 bad | mark side &amp; int/exh</v>
      </c>
      <c r="AD147" s="306" t="s">
        <v>2784</v>
      </c>
      <c r="AE147" s="306" t="s">
        <v>2785</v>
      </c>
      <c r="AF147" s="309" t="s">
        <v>2334</v>
      </c>
      <c r="AG147" s="306"/>
      <c r="AH147" s="16">
        <v>250</v>
      </c>
      <c r="AI147" s="380">
        <f t="shared" si="82"/>
        <v>180</v>
      </c>
      <c r="AJ147" s="310" t="s">
        <v>2198</v>
      </c>
      <c r="AK147" s="310" t="s">
        <v>425</v>
      </c>
      <c r="AL147" s="310" t="s">
        <v>2198</v>
      </c>
      <c r="AM147" s="303"/>
      <c r="AN147" s="332"/>
      <c r="AO147" s="303" t="s">
        <v>572</v>
      </c>
      <c r="AP147" s="303"/>
      <c r="AQ147" s="303"/>
      <c r="AR147" s="303"/>
      <c r="AS147" s="303"/>
      <c r="AT147" s="303"/>
      <c r="AU147" s="303"/>
      <c r="AV147" s="303"/>
      <c r="AW147" s="303"/>
      <c r="AX147" s="279" t="str">
        <f t="shared" si="40"/>
        <v/>
      </c>
    </row>
    <row r="148" spans="1:50" x14ac:dyDescent="0.25">
      <c r="A148" s="190" t="str">
        <f t="shared" si="69"/>
        <v/>
      </c>
      <c r="B148" s="303" t="str">
        <f t="shared" si="87"/>
        <v/>
      </c>
      <c r="C148" s="303"/>
      <c r="D148" s="303"/>
      <c r="E148" s="303" t="str">
        <f t="shared" si="78"/>
        <v/>
      </c>
      <c r="F148" s="303" t="s">
        <v>535</v>
      </c>
      <c r="G148" s="304">
        <v>45245</v>
      </c>
      <c r="H148" s="305"/>
      <c r="I148" s="306"/>
      <c r="J148" s="306" t="s">
        <v>402</v>
      </c>
      <c r="K148" s="306" t="s">
        <v>237</v>
      </c>
      <c r="L148" s="306" t="s">
        <v>2345</v>
      </c>
      <c r="M148" s="343" t="s">
        <v>558</v>
      </c>
      <c r="N148" s="343"/>
      <c r="O148" s="344"/>
      <c r="P148" s="344"/>
      <c r="Q148" s="307" t="str">
        <f t="shared" si="79"/>
        <v>. Timing Gear - RIGHT, INTAKE</v>
      </c>
      <c r="R148" s="307"/>
      <c r="S148" s="307" t="str">
        <f t="shared" si="81"/>
        <v/>
      </c>
      <c r="T148" s="307" t="str">
        <f>IF(O148&lt;&gt;"",_xlfn.XLOOKUP(O148,'3D. Pictures'!B:B,'3D. Pictures'!E:E,"NOT FOUND",0,1),"")</f>
        <v/>
      </c>
      <c r="U148" s="343"/>
      <c r="V148" s="306" t="s">
        <v>2339</v>
      </c>
      <c r="W148" s="343" t="s">
        <v>111</v>
      </c>
      <c r="X148" s="306"/>
      <c r="Y148" s="205"/>
      <c r="Z148" s="306"/>
      <c r="AA148" s="306" t="s">
        <v>2829</v>
      </c>
      <c r="AB148" s="306" t="s">
        <v>2343</v>
      </c>
      <c r="AC148" s="358" t="str">
        <f t="shared" si="80"/>
        <v/>
      </c>
      <c r="AD148" s="306"/>
      <c r="AE148" s="306"/>
      <c r="AF148" s="309" t="s">
        <v>543</v>
      </c>
      <c r="AG148" s="306"/>
      <c r="AH148" s="16">
        <v>145</v>
      </c>
      <c r="AI148" s="380">
        <f t="shared" si="82"/>
        <v>180</v>
      </c>
      <c r="AJ148" s="310" t="s">
        <v>2198</v>
      </c>
      <c r="AK148" s="310" t="s">
        <v>425</v>
      </c>
      <c r="AL148" s="310" t="s">
        <v>2198</v>
      </c>
      <c r="AM148" s="303"/>
      <c r="AN148" s="332"/>
      <c r="AO148" s="303" t="s">
        <v>572</v>
      </c>
      <c r="AP148" s="303"/>
      <c r="AQ148" s="303"/>
      <c r="AR148" s="303"/>
      <c r="AS148" s="303"/>
      <c r="AT148" s="303"/>
      <c r="AU148" s="303"/>
      <c r="AV148" s="303"/>
      <c r="AW148" s="303"/>
      <c r="AX148" s="279" t="str">
        <f t="shared" si="40"/>
        <v/>
      </c>
    </row>
    <row r="149" spans="1:50" x14ac:dyDescent="0.25">
      <c r="A149" s="190" t="str">
        <f t="shared" si="69"/>
        <v/>
      </c>
      <c r="B149" s="303" t="str">
        <f t="shared" ref="B149" si="88">IF(AQ149&lt;&gt;"",AQ149,"")</f>
        <v/>
      </c>
      <c r="C149" s="303"/>
      <c r="D149" s="303"/>
      <c r="E149" s="303" t="str">
        <f t="shared" si="78"/>
        <v/>
      </c>
      <c r="F149" s="303" t="s">
        <v>535</v>
      </c>
      <c r="G149" s="304">
        <v>45245</v>
      </c>
      <c r="H149" s="305"/>
      <c r="I149" s="306"/>
      <c r="J149" s="306" t="s">
        <v>402</v>
      </c>
      <c r="K149" s="306" t="s">
        <v>237</v>
      </c>
      <c r="L149" s="306" t="s">
        <v>2345</v>
      </c>
      <c r="M149" s="343" t="s">
        <v>558</v>
      </c>
      <c r="N149" s="343"/>
      <c r="O149" s="344"/>
      <c r="P149" s="344"/>
      <c r="Q149" s="307" t="str">
        <f t="shared" si="79"/>
        <v>. Timing Gear - RIGHT, EXHAUST</v>
      </c>
      <c r="R149" s="307"/>
      <c r="S149" s="307" t="str">
        <f t="shared" si="81"/>
        <v/>
      </c>
      <c r="T149" s="307" t="str">
        <f>IF(O149&lt;&gt;"",_xlfn.XLOOKUP(O149,'3D. Pictures'!B:B,'3D. Pictures'!E:E,"NOT FOUND",0,1),"")</f>
        <v/>
      </c>
      <c r="U149" s="343"/>
      <c r="V149" s="306" t="s">
        <v>2340</v>
      </c>
      <c r="W149" s="343" t="s">
        <v>111</v>
      </c>
      <c r="X149" s="306"/>
      <c r="Y149" s="205"/>
      <c r="Z149" s="306"/>
      <c r="AA149" s="306" t="s">
        <v>2829</v>
      </c>
      <c r="AB149" s="306" t="s">
        <v>2344</v>
      </c>
      <c r="AC149" s="358" t="str">
        <f t="shared" si="80"/>
        <v/>
      </c>
      <c r="AD149" s="306"/>
      <c r="AE149" s="306"/>
      <c r="AF149" s="309" t="s">
        <v>543</v>
      </c>
      <c r="AG149" s="306"/>
      <c r="AH149" s="16">
        <v>145</v>
      </c>
      <c r="AI149" s="380">
        <f t="shared" si="82"/>
        <v>180</v>
      </c>
      <c r="AJ149" s="310" t="s">
        <v>2198</v>
      </c>
      <c r="AK149" s="310" t="s">
        <v>425</v>
      </c>
      <c r="AL149" s="310" t="s">
        <v>2198</v>
      </c>
      <c r="AM149" s="303"/>
      <c r="AN149" s="332"/>
      <c r="AO149" s="303" t="s">
        <v>572</v>
      </c>
      <c r="AP149" s="303"/>
      <c r="AQ149" s="303"/>
      <c r="AR149" s="303"/>
      <c r="AS149" s="303"/>
      <c r="AT149" s="303"/>
      <c r="AU149" s="303"/>
      <c r="AV149" s="303"/>
      <c r="AW149" s="303"/>
      <c r="AX149" s="279" t="str">
        <f t="shared" si="40"/>
        <v/>
      </c>
    </row>
    <row r="150" spans="1:50" x14ac:dyDescent="0.25">
      <c r="A150" s="190" t="str">
        <f t="shared" si="69"/>
        <v/>
      </c>
      <c r="B150" s="279" t="str">
        <f t="shared" si="12"/>
        <v>350-999773</v>
      </c>
      <c r="C150" s="279"/>
      <c r="D150" s="279"/>
      <c r="E150" s="279">
        <f t="shared" si="78"/>
        <v>1</v>
      </c>
      <c r="F150" s="190" t="s">
        <v>535</v>
      </c>
      <c r="G150" s="198">
        <v>44670</v>
      </c>
      <c r="H150" s="210"/>
      <c r="I150" s="205"/>
      <c r="J150" s="205" t="s">
        <v>402</v>
      </c>
      <c r="K150" s="205" t="s">
        <v>237</v>
      </c>
      <c r="L150" s="205" t="s">
        <v>407</v>
      </c>
      <c r="M150" s="212" t="s">
        <v>560</v>
      </c>
      <c r="N150" s="212"/>
      <c r="O150" s="236"/>
      <c r="P150" s="236"/>
      <c r="Q150" s="231" t="str">
        <f t="shared" si="79"/>
        <v>. Valve Cover</v>
      </c>
      <c r="R150" s="231"/>
      <c r="S150" s="231" t="str">
        <f t="shared" si="81"/>
        <v/>
      </c>
      <c r="T150" s="231" t="str">
        <f>IF(O150&lt;&gt;"",_xlfn.XLOOKUP(O150,'3D. Pictures'!B:B,'3D. Pictures'!E:E,"NOT FOUND",0,1),"")</f>
        <v/>
      </c>
      <c r="U150" s="212"/>
      <c r="V150" s="205"/>
      <c r="W150" s="212"/>
      <c r="X150" s="205"/>
      <c r="Y150" s="205"/>
      <c r="Z150" s="205"/>
      <c r="AA150" s="205" t="s">
        <v>407</v>
      </c>
      <c r="AB150" s="205" t="s">
        <v>407</v>
      </c>
      <c r="AC150" s="358" t="str">
        <f t="shared" si="80"/>
        <v/>
      </c>
      <c r="AD150" s="205"/>
      <c r="AE150" s="205"/>
      <c r="AF150" s="201" t="s">
        <v>543</v>
      </c>
      <c r="AG150" s="205"/>
      <c r="AH150" s="16">
        <v>120</v>
      </c>
      <c r="AI150" s="380">
        <f t="shared" si="82"/>
        <v>120</v>
      </c>
      <c r="AJ150" s="204" t="s">
        <v>2176</v>
      </c>
      <c r="AK150" s="204" t="s">
        <v>425</v>
      </c>
      <c r="AL150" s="204" t="s">
        <v>2177</v>
      </c>
      <c r="AM150" s="190"/>
      <c r="AN150" s="191" t="s">
        <v>613</v>
      </c>
      <c r="AO150" s="190" t="s">
        <v>572</v>
      </c>
      <c r="AP150" s="190">
        <v>999773</v>
      </c>
      <c r="AQ150" s="190" t="str">
        <f>CONCATENATE(AN150,AO150,AP150)</f>
        <v>350-999773</v>
      </c>
      <c r="AR150" s="190"/>
      <c r="AS150" s="190"/>
      <c r="AT150" s="190"/>
      <c r="AU150" s="190"/>
      <c r="AV150" s="190"/>
      <c r="AW150" s="190"/>
      <c r="AX150" s="279" t="str">
        <f t="shared" si="40"/>
        <v/>
      </c>
    </row>
    <row r="151" spans="1:50" x14ac:dyDescent="0.25">
      <c r="A151" s="190" t="str">
        <f t="shared" si="69"/>
        <v/>
      </c>
      <c r="B151" s="294" t="str">
        <f t="shared" ref="B151" si="89">IF(AQ151&lt;&gt;"",AQ151,"")</f>
        <v>350-998912</v>
      </c>
      <c r="C151" s="294"/>
      <c r="D151" s="294"/>
      <c r="E151" s="294">
        <f t="shared" si="78"/>
        <v>3</v>
      </c>
      <c r="F151" s="294" t="s">
        <v>535</v>
      </c>
      <c r="G151" s="295">
        <v>45244</v>
      </c>
      <c r="H151" s="323"/>
      <c r="I151" s="300"/>
      <c r="J151" s="300" t="s">
        <v>402</v>
      </c>
      <c r="K151" s="300" t="s">
        <v>237</v>
      </c>
      <c r="L151" s="300" t="s">
        <v>2211</v>
      </c>
      <c r="M151" s="336" t="s">
        <v>560</v>
      </c>
      <c r="N151" s="336"/>
      <c r="O151" s="337"/>
      <c r="P151" s="337"/>
      <c r="Q151" s="299" t="str">
        <f t="shared" si="79"/>
        <v>. Engine Cover SET 2</v>
      </c>
      <c r="R151" s="299"/>
      <c r="S151" s="299" t="str">
        <f t="shared" si="81"/>
        <v/>
      </c>
      <c r="T151" s="299" t="str">
        <f>IF(O151&lt;&gt;"",_xlfn.XLOOKUP(O151,'3D. Pictures'!B:B,'3D. Pictures'!E:E,"NOT FOUND",0,1),"")</f>
        <v/>
      </c>
      <c r="U151" s="336"/>
      <c r="V151" s="300" t="s">
        <v>2214</v>
      </c>
      <c r="W151" s="336" t="s">
        <v>111</v>
      </c>
      <c r="X151" s="300"/>
      <c r="Y151" s="205"/>
      <c r="Z151" s="300"/>
      <c r="AA151" s="300" t="s">
        <v>2211</v>
      </c>
      <c r="AB151" s="300" t="s">
        <v>2487</v>
      </c>
      <c r="AC151" s="358" t="str">
        <f t="shared" si="80"/>
        <v>SET2, single if 1 bad</v>
      </c>
      <c r="AD151" s="300" t="s">
        <v>2786</v>
      </c>
      <c r="AE151" s="300"/>
      <c r="AF151" s="302" t="s">
        <v>544</v>
      </c>
      <c r="AG151" s="300"/>
      <c r="AH151" s="16">
        <v>225</v>
      </c>
      <c r="AI151" s="380">
        <f t="shared" si="82"/>
        <v>166.66666666666666</v>
      </c>
      <c r="AJ151" s="301" t="s">
        <v>2198</v>
      </c>
      <c r="AK151" s="301" t="s">
        <v>425</v>
      </c>
      <c r="AL151" s="301" t="s">
        <v>2198</v>
      </c>
      <c r="AM151" s="294"/>
      <c r="AN151" s="326" t="s">
        <v>613</v>
      </c>
      <c r="AO151" s="294" t="s">
        <v>572</v>
      </c>
      <c r="AP151" s="294">
        <v>998912</v>
      </c>
      <c r="AQ151" s="294" t="str">
        <f>CONCATENATE(AN151,AO151,AP151)</f>
        <v>350-998912</v>
      </c>
      <c r="AR151" s="294"/>
      <c r="AS151" s="294"/>
      <c r="AT151" s="294"/>
      <c r="AU151" s="294"/>
      <c r="AV151" s="294"/>
      <c r="AW151" s="294"/>
      <c r="AX151" s="279" t="str">
        <f t="shared" si="40"/>
        <v/>
      </c>
    </row>
    <row r="152" spans="1:50" x14ac:dyDescent="0.25">
      <c r="A152" s="190" t="str">
        <f t="shared" si="69"/>
        <v/>
      </c>
      <c r="B152" s="294" t="str">
        <f t="shared" ref="B152" si="90">IF(AQ152&lt;&gt;"",AQ152,"")</f>
        <v>350-998912</v>
      </c>
      <c r="C152" s="294"/>
      <c r="D152" s="294"/>
      <c r="E152" s="294">
        <f t="shared" si="78"/>
        <v>3</v>
      </c>
      <c r="F152" s="294" t="s">
        <v>535</v>
      </c>
      <c r="G152" s="295">
        <v>45244</v>
      </c>
      <c r="H152" s="323"/>
      <c r="I152" s="300"/>
      <c r="J152" s="300" t="s">
        <v>402</v>
      </c>
      <c r="K152" s="300" t="s">
        <v>237</v>
      </c>
      <c r="L152" s="300" t="s">
        <v>2211</v>
      </c>
      <c r="M152" s="336" t="s">
        <v>560</v>
      </c>
      <c r="N152" s="336"/>
      <c r="O152" s="337"/>
      <c r="P152" s="337"/>
      <c r="Q152" s="299" t="str">
        <f t="shared" si="79"/>
        <v>. Engine Cover, Primary</v>
      </c>
      <c r="R152" s="299"/>
      <c r="S152" s="299" t="str">
        <f t="shared" si="81"/>
        <v/>
      </c>
      <c r="T152" s="299" t="str">
        <f>IF(O152&lt;&gt;"",_xlfn.XLOOKUP(O152,'3D. Pictures'!B:B,'3D. Pictures'!E:E,"NOT FOUND",0,1),"")</f>
        <v/>
      </c>
      <c r="U152" s="336"/>
      <c r="V152" s="300" t="s">
        <v>2214</v>
      </c>
      <c r="W152" s="336" t="s">
        <v>111</v>
      </c>
      <c r="X152" s="300"/>
      <c r="Y152" s="205"/>
      <c r="Z152" s="300"/>
      <c r="AA152" s="300" t="s">
        <v>2211</v>
      </c>
      <c r="AB152" s="300" t="s">
        <v>2212</v>
      </c>
      <c r="AC152" s="358" t="str">
        <f t="shared" si="80"/>
        <v/>
      </c>
      <c r="AD152" s="300"/>
      <c r="AE152" s="300"/>
      <c r="AF152" s="302" t="s">
        <v>543</v>
      </c>
      <c r="AG152" s="300"/>
      <c r="AH152" s="16">
        <v>150</v>
      </c>
      <c r="AI152" s="380">
        <f t="shared" si="82"/>
        <v>166.66666666666666</v>
      </c>
      <c r="AJ152" s="301" t="s">
        <v>2198</v>
      </c>
      <c r="AK152" s="301" t="s">
        <v>425</v>
      </c>
      <c r="AL152" s="301" t="s">
        <v>2198</v>
      </c>
      <c r="AM152" s="294"/>
      <c r="AN152" s="326" t="s">
        <v>613</v>
      </c>
      <c r="AO152" s="294" t="s">
        <v>572</v>
      </c>
      <c r="AP152" s="294">
        <v>998912</v>
      </c>
      <c r="AQ152" s="294" t="str">
        <f>CONCATENATE(AN152,AO152,AP152)</f>
        <v>350-998912</v>
      </c>
      <c r="AR152" s="294"/>
      <c r="AS152" s="294"/>
      <c r="AT152" s="294"/>
      <c r="AU152" s="294"/>
      <c r="AV152" s="294"/>
      <c r="AW152" s="294"/>
      <c r="AX152" s="279" t="str">
        <f t="shared" si="40"/>
        <v/>
      </c>
    </row>
    <row r="153" spans="1:50" x14ac:dyDescent="0.25">
      <c r="A153" s="190" t="str">
        <f t="shared" si="69"/>
        <v/>
      </c>
      <c r="B153" s="294" t="str">
        <f t="shared" ref="B153:B154" si="91">IF(AQ153&lt;&gt;"",AQ153,"")</f>
        <v>350-998912</v>
      </c>
      <c r="C153" s="294"/>
      <c r="D153" s="294"/>
      <c r="E153" s="294">
        <f t="shared" si="78"/>
        <v>3</v>
      </c>
      <c r="F153" s="294" t="s">
        <v>535</v>
      </c>
      <c r="G153" s="295">
        <v>45244</v>
      </c>
      <c r="H153" s="323"/>
      <c r="I153" s="300"/>
      <c r="J153" s="300" t="s">
        <v>402</v>
      </c>
      <c r="K153" s="300" t="s">
        <v>237</v>
      </c>
      <c r="L153" s="300" t="s">
        <v>2211</v>
      </c>
      <c r="M153" s="336" t="s">
        <v>560</v>
      </c>
      <c r="N153" s="336"/>
      <c r="O153" s="337"/>
      <c r="P153" s="337"/>
      <c r="Q153" s="299" t="str">
        <f t="shared" si="79"/>
        <v>. Engine Cover, Trim Piece With Emblem</v>
      </c>
      <c r="R153" s="299"/>
      <c r="S153" s="299" t="str">
        <f t="shared" si="81"/>
        <v/>
      </c>
      <c r="T153" s="299" t="str">
        <f>IF(O153&lt;&gt;"",_xlfn.XLOOKUP(O153,'3D. Pictures'!B:B,'3D. Pictures'!E:E,"NOT FOUND",0,1),"")</f>
        <v/>
      </c>
      <c r="U153" s="336"/>
      <c r="V153" s="300" t="s">
        <v>1205</v>
      </c>
      <c r="W153" s="336" t="s">
        <v>111</v>
      </c>
      <c r="X153" s="300"/>
      <c r="Y153" s="205"/>
      <c r="Z153" s="300"/>
      <c r="AA153" s="300" t="s">
        <v>2211</v>
      </c>
      <c r="AB153" s="300" t="s">
        <v>2213</v>
      </c>
      <c r="AC153" s="358" t="str">
        <f t="shared" si="80"/>
        <v>located on air filter box (toss that, but keep trim)</v>
      </c>
      <c r="AD153" s="300"/>
      <c r="AE153" s="300" t="s">
        <v>2215</v>
      </c>
      <c r="AF153" s="302" t="s">
        <v>543</v>
      </c>
      <c r="AG153" s="300"/>
      <c r="AH153" s="16">
        <v>125</v>
      </c>
      <c r="AI153" s="380">
        <f t="shared" si="82"/>
        <v>166.66666666666666</v>
      </c>
      <c r="AJ153" s="301" t="s">
        <v>2198</v>
      </c>
      <c r="AK153" s="301" t="s">
        <v>425</v>
      </c>
      <c r="AL153" s="301" t="s">
        <v>2198</v>
      </c>
      <c r="AM153" s="294"/>
      <c r="AN153" s="326" t="s">
        <v>613</v>
      </c>
      <c r="AO153" s="294" t="s">
        <v>572</v>
      </c>
      <c r="AP153" s="294">
        <v>998912</v>
      </c>
      <c r="AQ153" s="294" t="str">
        <f>CONCATENATE(AN153,AO153,AP153)</f>
        <v>350-998912</v>
      </c>
      <c r="AR153" s="294"/>
      <c r="AS153" s="294"/>
      <c r="AT153" s="294"/>
      <c r="AU153" s="294"/>
      <c r="AV153" s="294"/>
      <c r="AW153" s="294"/>
      <c r="AX153" s="279" t="str">
        <f t="shared" si="40"/>
        <v/>
      </c>
    </row>
    <row r="154" spans="1:50" x14ac:dyDescent="0.25">
      <c r="A154" s="190" t="str">
        <f t="shared" si="69"/>
        <v/>
      </c>
      <c r="B154" s="311" t="str">
        <f t="shared" si="91"/>
        <v/>
      </c>
      <c r="C154" s="311"/>
      <c r="D154" s="311"/>
      <c r="E154" s="311" t="str">
        <f t="shared" si="78"/>
        <v/>
      </c>
      <c r="F154" s="311" t="s">
        <v>535</v>
      </c>
      <c r="G154" s="312">
        <v>44670</v>
      </c>
      <c r="H154" s="313"/>
      <c r="I154" s="314"/>
      <c r="J154" s="314" t="s">
        <v>405</v>
      </c>
      <c r="K154" s="314" t="s">
        <v>237</v>
      </c>
      <c r="L154" s="314" t="s">
        <v>86</v>
      </c>
      <c r="M154" s="315" t="s">
        <v>558</v>
      </c>
      <c r="N154" s="193"/>
      <c r="O154" s="316"/>
      <c r="P154" s="316"/>
      <c r="Q154" s="317" t="str">
        <f t="shared" si="79"/>
        <v>. Air Filter Engine Cover Assembly</v>
      </c>
      <c r="R154" s="317"/>
      <c r="S154" s="317" t="str">
        <f t="shared" si="81"/>
        <v/>
      </c>
      <c r="T154" s="317" t="str">
        <f>IF(O154&lt;&gt;"",_xlfn.XLOOKUP(O154,'3D. Pictures'!B:B,'3D. Pictures'!E:E,"NOT FOUND",0,1),"")</f>
        <v/>
      </c>
      <c r="U154" s="193"/>
      <c r="V154" s="318"/>
      <c r="W154" s="193"/>
      <c r="X154" s="318"/>
      <c r="Y154" s="205"/>
      <c r="Z154" s="318"/>
      <c r="AA154" s="314" t="s">
        <v>2216</v>
      </c>
      <c r="AB154" s="314" t="s">
        <v>2216</v>
      </c>
      <c r="AC154" s="359" t="str">
        <f t="shared" si="80"/>
        <v>toss this, but keep the top trim w/ engine cover</v>
      </c>
      <c r="AD154" s="314"/>
      <c r="AE154" s="314" t="s">
        <v>2217</v>
      </c>
      <c r="AF154" s="319"/>
      <c r="AG154" s="314"/>
      <c r="AH154" s="10"/>
      <c r="AI154" s="380" t="str">
        <f t="shared" si="82"/>
        <v/>
      </c>
      <c r="AJ154" s="320" t="s">
        <v>2194</v>
      </c>
      <c r="AK154" s="320" t="s">
        <v>425</v>
      </c>
      <c r="AL154" s="320" t="s">
        <v>2631</v>
      </c>
      <c r="AM154" s="311"/>
      <c r="AN154" s="311"/>
      <c r="AO154" s="311" t="s">
        <v>572</v>
      </c>
      <c r="AP154" s="311"/>
      <c r="AQ154" s="311"/>
      <c r="AR154" s="311"/>
      <c r="AS154" s="311"/>
      <c r="AT154" s="311"/>
      <c r="AU154" s="311"/>
      <c r="AV154" s="311"/>
      <c r="AW154" s="311"/>
      <c r="AX154" s="279" t="str">
        <f t="shared" si="40"/>
        <v/>
      </c>
    </row>
    <row r="155" spans="1:50" x14ac:dyDescent="0.25">
      <c r="A155" s="190" t="str">
        <f t="shared" si="69"/>
        <v/>
      </c>
      <c r="B155" s="303" t="str">
        <f t="shared" si="12"/>
        <v/>
      </c>
      <c r="C155" s="303"/>
      <c r="D155" s="279">
        <f t="shared" ref="D155:D156" si="92">O155</f>
        <v>0</v>
      </c>
      <c r="E155" s="303" t="str">
        <f t="shared" si="78"/>
        <v/>
      </c>
      <c r="F155" s="303" t="s">
        <v>535</v>
      </c>
      <c r="G155" s="304">
        <v>45245</v>
      </c>
      <c r="H155" s="305"/>
      <c r="I155" s="306"/>
      <c r="J155" s="306" t="s">
        <v>402</v>
      </c>
      <c r="K155" s="306" t="s">
        <v>237</v>
      </c>
      <c r="L155" s="306" t="s">
        <v>2716</v>
      </c>
      <c r="M155" s="343" t="s">
        <v>559</v>
      </c>
      <c r="N155" s="343"/>
      <c r="O155" s="344"/>
      <c r="P155" s="344"/>
      <c r="Q155" s="307" t="str">
        <f t="shared" si="79"/>
        <v>. VVT Timing Solenoid SET 2</v>
      </c>
      <c r="R155" s="307"/>
      <c r="S155" s="307" t="str">
        <f t="shared" si="81"/>
        <v/>
      </c>
      <c r="T155" s="307" t="str">
        <f>IF(O155&lt;&gt;"",_xlfn.XLOOKUP(O155,'3D. Pictures'!B:B,'3D. Pictures'!E:E,"NOT FOUND",0,1),"")</f>
        <v/>
      </c>
      <c r="U155" s="343"/>
      <c r="V155" s="306" t="s">
        <v>2330</v>
      </c>
      <c r="W155" s="343" t="s">
        <v>111</v>
      </c>
      <c r="X155" s="306"/>
      <c r="Y155" s="205"/>
      <c r="Z155" s="306"/>
      <c r="AA155" s="306" t="s">
        <v>2716</v>
      </c>
      <c r="AB155" s="306" t="s">
        <v>2740</v>
      </c>
      <c r="AC155" s="358" t="str">
        <f t="shared" si="80"/>
        <v>SET 2, for V8 do 2 sets of SET 2 | 2 per head (ALL identical)</v>
      </c>
      <c r="AD155" s="306" t="s">
        <v>2814</v>
      </c>
      <c r="AE155" s="306" t="s">
        <v>2331</v>
      </c>
      <c r="AF155" s="309" t="s">
        <v>544</v>
      </c>
      <c r="AG155" s="306" t="s">
        <v>2729</v>
      </c>
      <c r="AH155" s="16">
        <v>60</v>
      </c>
      <c r="AI155" s="380">
        <f t="shared" si="82"/>
        <v>60</v>
      </c>
      <c r="AJ155" s="310" t="s">
        <v>2329</v>
      </c>
      <c r="AK155" s="310" t="s">
        <v>425</v>
      </c>
      <c r="AL155" s="310" t="s">
        <v>2631</v>
      </c>
      <c r="AM155" s="303"/>
      <c r="AN155" s="332"/>
      <c r="AO155" s="303"/>
      <c r="AP155" s="303"/>
      <c r="AQ155" s="303"/>
      <c r="AR155" s="303"/>
      <c r="AS155" s="303"/>
      <c r="AT155" s="303"/>
      <c r="AU155" s="303"/>
      <c r="AV155" s="303"/>
      <c r="AW155" s="303"/>
      <c r="AX155" s="279" t="str">
        <f t="shared" si="40"/>
        <v/>
      </c>
    </row>
    <row r="156" spans="1:50" x14ac:dyDescent="0.25">
      <c r="A156" s="190" t="str">
        <f t="shared" si="69"/>
        <v/>
      </c>
      <c r="B156" s="303" t="str">
        <f t="shared" ref="B156" si="93">IF(AQ156&lt;&gt;"",AQ156,"")</f>
        <v/>
      </c>
      <c r="C156" s="303"/>
      <c r="D156" s="279">
        <f t="shared" si="92"/>
        <v>0</v>
      </c>
      <c r="E156" s="303" t="str">
        <f t="shared" si="78"/>
        <v/>
      </c>
      <c r="F156" s="303" t="s">
        <v>535</v>
      </c>
      <c r="G156" s="304">
        <v>45245</v>
      </c>
      <c r="H156" s="305"/>
      <c r="I156" s="306"/>
      <c r="J156" s="306" t="s">
        <v>402</v>
      </c>
      <c r="K156" s="306" t="s">
        <v>237</v>
      </c>
      <c r="L156" s="306" t="s">
        <v>2716</v>
      </c>
      <c r="M156" s="343" t="s">
        <v>559</v>
      </c>
      <c r="N156" s="343"/>
      <c r="O156" s="344"/>
      <c r="P156" s="344"/>
      <c r="Q156" s="307" t="str">
        <f t="shared" si="79"/>
        <v>. VVT Timing Solenoid SET 2</v>
      </c>
      <c r="R156" s="307"/>
      <c r="S156" s="307" t="str">
        <f t="shared" si="81"/>
        <v/>
      </c>
      <c r="T156" s="307" t="str">
        <f>IF(O156&lt;&gt;"",_xlfn.XLOOKUP(O156,'3D. Pictures'!B:B,'3D. Pictures'!E:E,"NOT FOUND",0,1),"")</f>
        <v/>
      </c>
      <c r="U156" s="343"/>
      <c r="V156" s="306" t="s">
        <v>2330</v>
      </c>
      <c r="W156" s="343" t="s">
        <v>111</v>
      </c>
      <c r="X156" s="306"/>
      <c r="Y156" s="205"/>
      <c r="Z156" s="306"/>
      <c r="AA156" s="306" t="s">
        <v>2716</v>
      </c>
      <c r="AB156" s="306" t="s">
        <v>2740</v>
      </c>
      <c r="AC156" s="358" t="str">
        <f t="shared" si="80"/>
        <v>SET 2, for V8 do 2 sets of SET 2 | 2 per head (ALL identical)</v>
      </c>
      <c r="AD156" s="306" t="s">
        <v>2814</v>
      </c>
      <c r="AE156" s="306" t="s">
        <v>2331</v>
      </c>
      <c r="AF156" s="309" t="s">
        <v>544</v>
      </c>
      <c r="AG156" s="306" t="s">
        <v>2730</v>
      </c>
      <c r="AH156" s="16">
        <v>60</v>
      </c>
      <c r="AI156" s="380">
        <f t="shared" si="82"/>
        <v>60</v>
      </c>
      <c r="AJ156" s="310" t="s">
        <v>2329</v>
      </c>
      <c r="AK156" s="310" t="s">
        <v>425</v>
      </c>
      <c r="AL156" s="310" t="s">
        <v>2631</v>
      </c>
      <c r="AM156" s="303"/>
      <c r="AN156" s="332"/>
      <c r="AO156" s="303"/>
      <c r="AP156" s="303"/>
      <c r="AQ156" s="303"/>
      <c r="AR156" s="303"/>
      <c r="AS156" s="303"/>
      <c r="AT156" s="303"/>
      <c r="AU156" s="303"/>
      <c r="AV156" s="303"/>
      <c r="AW156" s="303"/>
      <c r="AX156" s="279" t="str">
        <f t="shared" si="40"/>
        <v/>
      </c>
    </row>
    <row r="157" spans="1:50" ht="15.75" thickBot="1" x14ac:dyDescent="0.3">
      <c r="A157" s="190" t="str">
        <f t="shared" si="69"/>
        <v/>
      </c>
      <c r="B157" s="279" t="str">
        <f t="shared" si="12"/>
        <v>324-58675</v>
      </c>
      <c r="C157" s="279"/>
      <c r="D157" s="279"/>
      <c r="E157" s="279">
        <f t="shared" si="78"/>
        <v>1</v>
      </c>
      <c r="F157" s="190" t="s">
        <v>536</v>
      </c>
      <c r="G157" s="198">
        <v>45099</v>
      </c>
      <c r="H157" s="210"/>
      <c r="I157" s="205"/>
      <c r="J157" s="206" t="s">
        <v>402</v>
      </c>
      <c r="K157" s="206" t="s">
        <v>237</v>
      </c>
      <c r="L157" s="206" t="s">
        <v>663</v>
      </c>
      <c r="M157" s="192" t="s">
        <v>558</v>
      </c>
      <c r="N157" s="192"/>
      <c r="O157" s="229"/>
      <c r="P157" s="229"/>
      <c r="Q157" s="231" t="str">
        <f t="shared" si="79"/>
        <v>. Water Pump, Electric (big, aluminum)</v>
      </c>
      <c r="R157" s="231"/>
      <c r="S157" s="231" t="str">
        <f t="shared" si="81"/>
        <v/>
      </c>
      <c r="T157" s="231" t="str">
        <f>IF(O157&lt;&gt;"",_xlfn.XLOOKUP(O157,'3D. Pictures'!B:B,'3D. Pictures'!E:E,"NOT FOUND",0,1),"")</f>
        <v/>
      </c>
      <c r="U157" s="229"/>
      <c r="V157" s="206"/>
      <c r="W157" s="229"/>
      <c r="X157" s="206"/>
      <c r="Y157" s="205"/>
      <c r="Z157" s="206"/>
      <c r="AA157" s="206" t="s">
        <v>2196</v>
      </c>
      <c r="AB157" s="206" t="s">
        <v>2196</v>
      </c>
      <c r="AC157" s="231" t="str">
        <f t="shared" si="80"/>
        <v/>
      </c>
      <c r="AD157" s="206"/>
      <c r="AE157" s="206"/>
      <c r="AF157" s="201" t="s">
        <v>543</v>
      </c>
      <c r="AG157" s="205"/>
      <c r="AH157" s="363">
        <v>125</v>
      </c>
      <c r="AI157" s="380">
        <f t="shared" si="82"/>
        <v>125</v>
      </c>
      <c r="AJ157" s="204" t="s">
        <v>2176</v>
      </c>
      <c r="AK157" s="204" t="s">
        <v>425</v>
      </c>
      <c r="AL157" s="204" t="s">
        <v>2177</v>
      </c>
      <c r="AM157" s="190"/>
      <c r="AN157" s="191" t="s">
        <v>614</v>
      </c>
      <c r="AO157" s="190" t="s">
        <v>572</v>
      </c>
      <c r="AP157" s="190">
        <v>58675</v>
      </c>
      <c r="AQ157" s="190" t="str">
        <f>CONCATENATE(AN157,AO157,AP157)</f>
        <v>324-58675</v>
      </c>
      <c r="AR157" s="190"/>
      <c r="AS157" s="190"/>
      <c r="AT157" s="190"/>
      <c r="AU157" s="190"/>
      <c r="AV157" s="190"/>
      <c r="AW157" s="190"/>
      <c r="AX157" s="279" t="str">
        <f t="shared" si="40"/>
        <v/>
      </c>
    </row>
    <row r="158" spans="1:50" ht="15.75" thickBot="1" x14ac:dyDescent="0.3">
      <c r="A158" s="190" t="str">
        <f t="shared" si="69"/>
        <v/>
      </c>
      <c r="B158" s="303" t="str">
        <f t="shared" ref="B158" si="94">IF(AQ158&lt;&gt;"",AQ158,"")</f>
        <v/>
      </c>
      <c r="C158" s="303"/>
      <c r="D158" s="303"/>
      <c r="E158" s="303" t="str">
        <f t="shared" si="78"/>
        <v/>
      </c>
      <c r="F158" s="303" t="s">
        <v>536</v>
      </c>
      <c r="G158" s="304">
        <v>45099</v>
      </c>
      <c r="H158" s="305"/>
      <c r="I158" s="306"/>
      <c r="J158" s="306" t="s">
        <v>402</v>
      </c>
      <c r="K158" s="306" t="s">
        <v>237</v>
      </c>
      <c r="L158" s="306" t="s">
        <v>663</v>
      </c>
      <c r="M158" s="306" t="s">
        <v>558</v>
      </c>
      <c r="N158" s="306"/>
      <c r="O158" s="307"/>
      <c r="P158" s="307"/>
      <c r="Q158" s="307" t="str">
        <f t="shared" si="79"/>
        <v>. Water Pump, Electric (small, plastic)</v>
      </c>
      <c r="R158" s="308"/>
      <c r="S158" s="375" t="str">
        <f t="shared" si="81"/>
        <v/>
      </c>
      <c r="T158" s="379" t="str">
        <f>IF(O158&lt;&gt;"",_xlfn.XLOOKUP(O158,'3D. Pictures'!B:B,'3D. Pictures'!E:E,"NOT FOUND",0,1),"")</f>
        <v/>
      </c>
      <c r="U158" s="306"/>
      <c r="V158" s="306"/>
      <c r="W158" s="306"/>
      <c r="X158" s="306"/>
      <c r="Y158" s="205"/>
      <c r="Z158" s="306"/>
      <c r="AA158" s="306" t="s">
        <v>2195</v>
      </c>
      <c r="AB158" s="306" t="s">
        <v>2195</v>
      </c>
      <c r="AC158" s="358" t="str">
        <f t="shared" si="80"/>
        <v>leave on bracket</v>
      </c>
      <c r="AD158" s="306" t="s">
        <v>2197</v>
      </c>
      <c r="AE158" s="306"/>
      <c r="AF158" s="309" t="s">
        <v>543</v>
      </c>
      <c r="AG158" s="306"/>
      <c r="AH158" s="16">
        <v>55</v>
      </c>
      <c r="AI158" s="380">
        <f t="shared" si="82"/>
        <v>55</v>
      </c>
      <c r="AJ158" s="310" t="s">
        <v>2194</v>
      </c>
      <c r="AK158" s="310" t="s">
        <v>425</v>
      </c>
      <c r="AL158" s="310" t="s">
        <v>2631</v>
      </c>
      <c r="AM158" s="303"/>
      <c r="AN158" s="303"/>
      <c r="AO158" s="303"/>
      <c r="AP158" s="303"/>
      <c r="AQ158" s="303"/>
      <c r="AR158" s="303"/>
      <c r="AS158" s="303" t="s">
        <v>1028</v>
      </c>
      <c r="AT158" s="303" t="s">
        <v>2280</v>
      </c>
      <c r="AU158" s="303" t="s">
        <v>1030</v>
      </c>
      <c r="AV158" s="303" t="str">
        <f t="shared" ref="AV158" si="95">CONCATENATE(AS158,"-",AT158,"-",AU158)</f>
        <v>F15-14-18 3.0L N55, 14-18 4.4TT N63T-ALL</v>
      </c>
      <c r="AW158" s="303" t="s">
        <v>2375</v>
      </c>
      <c r="AX158" s="279" t="str">
        <f t="shared" si="40"/>
        <v>F15-14-18 3.0L N55, 14-18 4.4TT N63T-ALL-Viking9</v>
      </c>
    </row>
    <row r="159" spans="1:50" x14ac:dyDescent="0.25">
      <c r="A159" s="190" t="str">
        <f t="shared" si="69"/>
        <v/>
      </c>
      <c r="B159" s="279" t="str">
        <f t="shared" si="12"/>
        <v/>
      </c>
      <c r="C159" s="279"/>
      <c r="D159" s="279"/>
      <c r="E159" s="279" t="str">
        <f t="shared" si="78"/>
        <v/>
      </c>
      <c r="F159" t="s">
        <v>536</v>
      </c>
      <c r="G159" s="188">
        <v>45099</v>
      </c>
      <c r="H159" s="19" t="s">
        <v>81</v>
      </c>
      <c r="I159" s="99"/>
      <c r="J159" s="99" t="s">
        <v>402</v>
      </c>
      <c r="K159" s="99" t="s">
        <v>237</v>
      </c>
      <c r="L159" s="99" t="s">
        <v>388</v>
      </c>
      <c r="M159" s="16" t="s">
        <v>559</v>
      </c>
      <c r="N159" s="16"/>
      <c r="O159" s="166"/>
      <c r="P159" s="166"/>
      <c r="Q159" s="231" t="str">
        <f t="shared" si="79"/>
        <v xml:space="preserve">. Wiring Harness, Engine </v>
      </c>
      <c r="R159" s="231"/>
      <c r="S159" s="231" t="str">
        <f t="shared" si="81"/>
        <v/>
      </c>
      <c r="T159" s="231" t="str">
        <f>IF(O159&lt;&gt;"",_xlfn.XLOOKUP(O159,'3D. Pictures'!B:B,'3D. Pictures'!E:E,"NOT FOUND",0,1),"")</f>
        <v/>
      </c>
      <c r="U159" s="16"/>
      <c r="V159" s="16"/>
      <c r="W159" s="16"/>
      <c r="X159" s="16"/>
      <c r="Y159" s="205"/>
      <c r="Z159" s="16"/>
      <c r="AA159" s="99" t="s">
        <v>388</v>
      </c>
      <c r="AB159" s="99" t="s">
        <v>388</v>
      </c>
      <c r="AC159" s="360" t="str">
        <f t="shared" si="80"/>
        <v/>
      </c>
      <c r="AD159" s="99"/>
      <c r="AE159" s="99"/>
      <c r="AF159" s="168" t="s">
        <v>543</v>
      </c>
      <c r="AG159" s="99"/>
      <c r="AH159" s="99">
        <v>200</v>
      </c>
      <c r="AI159" s="380">
        <f t="shared" si="82"/>
        <v>200</v>
      </c>
      <c r="AJ159" s="181" t="s">
        <v>2176</v>
      </c>
      <c r="AK159" s="181" t="s">
        <v>425</v>
      </c>
      <c r="AL159" s="204" t="s">
        <v>2177</v>
      </c>
      <c r="AM159" s="138" t="s">
        <v>81</v>
      </c>
      <c r="AN159"/>
      <c r="AX159" s="279" t="str">
        <f t="shared" si="40"/>
        <v/>
      </c>
    </row>
    <row r="160" spans="1:50" x14ac:dyDescent="0.25">
      <c r="A160" s="190" t="str">
        <f t="shared" si="69"/>
        <v/>
      </c>
      <c r="B160" s="311" t="str">
        <f t="shared" ref="B160" si="96">IF(AQ160&lt;&gt;"",AQ160,"")</f>
        <v/>
      </c>
      <c r="C160" s="311"/>
      <c r="D160" s="311"/>
      <c r="E160" s="311" t="str">
        <f t="shared" si="78"/>
        <v/>
      </c>
      <c r="F160" s="311" t="s">
        <v>535</v>
      </c>
      <c r="G160" s="312">
        <v>45245</v>
      </c>
      <c r="H160" s="313"/>
      <c r="I160" s="314"/>
      <c r="J160" s="314" t="s">
        <v>405</v>
      </c>
      <c r="K160" s="314" t="s">
        <v>237</v>
      </c>
      <c r="L160" s="314" t="s">
        <v>388</v>
      </c>
      <c r="M160" s="315" t="s">
        <v>559</v>
      </c>
      <c r="N160" s="193"/>
      <c r="O160" s="316"/>
      <c r="P160" s="316"/>
      <c r="Q160" s="317" t="str">
        <f t="shared" si="79"/>
        <v xml:space="preserve">. Wiring Harness, Engine </v>
      </c>
      <c r="R160" s="317"/>
      <c r="S160" s="317" t="str">
        <f t="shared" si="81"/>
        <v/>
      </c>
      <c r="T160" s="317" t="str">
        <f>IF(O160&lt;&gt;"",_xlfn.XLOOKUP(O160,'3D. Pictures'!B:B,'3D. Pictures'!E:E,"NOT FOUND",0,1),"")</f>
        <v/>
      </c>
      <c r="U160" s="193"/>
      <c r="V160" s="318"/>
      <c r="W160" s="193"/>
      <c r="X160" s="318"/>
      <c r="Y160" s="205"/>
      <c r="Z160" s="318"/>
      <c r="AA160" s="314" t="s">
        <v>388</v>
      </c>
      <c r="AB160" s="314" t="s">
        <v>388</v>
      </c>
      <c r="AC160" s="359" t="str">
        <f t="shared" si="80"/>
        <v/>
      </c>
      <c r="AD160" s="314"/>
      <c r="AE160" s="314"/>
      <c r="AF160" s="319"/>
      <c r="AG160" s="314"/>
      <c r="AH160" s="10"/>
      <c r="AI160" s="380">
        <f t="shared" si="82"/>
        <v>200</v>
      </c>
      <c r="AJ160" s="320" t="s">
        <v>2198</v>
      </c>
      <c r="AK160" s="320" t="s">
        <v>425</v>
      </c>
      <c r="AL160" s="320" t="s">
        <v>2198</v>
      </c>
      <c r="AM160" s="311"/>
      <c r="AN160" s="311"/>
      <c r="AO160" s="311"/>
      <c r="AP160" s="311"/>
      <c r="AQ160" s="311"/>
      <c r="AR160" s="311"/>
      <c r="AS160" s="311"/>
      <c r="AT160" s="311"/>
      <c r="AU160" s="311"/>
      <c r="AV160" s="311"/>
      <c r="AW160" s="311"/>
      <c r="AX160" s="279" t="str">
        <f t="shared" si="40"/>
        <v/>
      </c>
    </row>
    <row r="161" spans="1:50" x14ac:dyDescent="0.25">
      <c r="A161" s="190" t="str">
        <f t="shared" si="69"/>
        <v/>
      </c>
      <c r="B161" s="311" t="str">
        <f t="shared" si="12"/>
        <v/>
      </c>
      <c r="C161" s="311"/>
      <c r="D161" s="311"/>
      <c r="E161" s="311" t="str">
        <f t="shared" si="78"/>
        <v/>
      </c>
      <c r="F161" s="311" t="s">
        <v>536</v>
      </c>
      <c r="G161" s="312">
        <v>45099</v>
      </c>
      <c r="H161" s="313"/>
      <c r="I161" s="314"/>
      <c r="J161" s="314" t="s">
        <v>405</v>
      </c>
      <c r="K161" s="314" t="s">
        <v>237</v>
      </c>
      <c r="L161" s="314" t="s">
        <v>2715</v>
      </c>
      <c r="M161" s="315" t="s">
        <v>559</v>
      </c>
      <c r="N161" s="193"/>
      <c r="O161" s="316"/>
      <c r="P161" s="316"/>
      <c r="Q161" s="317" t="str">
        <f t="shared" si="79"/>
        <v>. Camshaft Position Sensor</v>
      </c>
      <c r="R161" s="317"/>
      <c r="S161" s="317" t="str">
        <f t="shared" si="81"/>
        <v/>
      </c>
      <c r="T161" s="317" t="str">
        <f>IF(O161&lt;&gt;"",_xlfn.XLOOKUP(O161,'3D. Pictures'!B:B,'3D. Pictures'!E:E,"NOT FOUND",0,1),"")</f>
        <v/>
      </c>
      <c r="U161" s="193"/>
      <c r="V161" s="318"/>
      <c r="W161" s="193"/>
      <c r="X161" s="318"/>
      <c r="Y161" s="205"/>
      <c r="Z161" s="318"/>
      <c r="AA161" s="314" t="s">
        <v>517</v>
      </c>
      <c r="AB161" s="314" t="s">
        <v>517</v>
      </c>
      <c r="AC161" s="359" t="str">
        <f t="shared" si="80"/>
        <v/>
      </c>
      <c r="AD161" s="314"/>
      <c r="AE161" s="314"/>
      <c r="AF161" s="319"/>
      <c r="AG161" s="314"/>
      <c r="AH161" s="10"/>
      <c r="AI161" s="380" t="str">
        <f t="shared" si="82"/>
        <v/>
      </c>
      <c r="AJ161" s="320" t="s">
        <v>408</v>
      </c>
      <c r="AK161" s="320" t="s">
        <v>425</v>
      </c>
      <c r="AL161" s="320" t="s">
        <v>2175</v>
      </c>
      <c r="AM161" s="311"/>
      <c r="AN161" s="311"/>
      <c r="AO161" s="311"/>
      <c r="AP161" s="311"/>
      <c r="AQ161" s="311"/>
      <c r="AR161" s="311"/>
      <c r="AS161" s="311"/>
      <c r="AT161" s="311"/>
      <c r="AU161" s="311"/>
      <c r="AV161" s="311"/>
      <c r="AW161" s="311"/>
      <c r="AX161" s="279" t="str">
        <f t="shared" si="40"/>
        <v/>
      </c>
    </row>
    <row r="162" spans="1:50" x14ac:dyDescent="0.25">
      <c r="A162" s="190" t="str">
        <f t="shared" si="69"/>
        <v/>
      </c>
      <c r="B162" s="311" t="str">
        <f t="shared" si="12"/>
        <v/>
      </c>
      <c r="C162" s="311"/>
      <c r="D162" s="311"/>
      <c r="E162" s="311" t="str">
        <f t="shared" si="78"/>
        <v/>
      </c>
      <c r="F162" s="311" t="s">
        <v>536</v>
      </c>
      <c r="G162" s="312">
        <v>45099</v>
      </c>
      <c r="H162" s="313"/>
      <c r="I162" s="314"/>
      <c r="J162" s="314" t="s">
        <v>405</v>
      </c>
      <c r="K162" s="314" t="s">
        <v>237</v>
      </c>
      <c r="L162" s="314" t="s">
        <v>518</v>
      </c>
      <c r="M162" s="315" t="s">
        <v>559</v>
      </c>
      <c r="N162" s="193"/>
      <c r="O162" s="316"/>
      <c r="P162" s="316"/>
      <c r="Q162" s="317" t="str">
        <f t="shared" si="79"/>
        <v>. Fuel Tank Ventilation Valve</v>
      </c>
      <c r="R162" s="317"/>
      <c r="S162" s="317" t="str">
        <f t="shared" si="81"/>
        <v/>
      </c>
      <c r="T162" s="317" t="str">
        <f>IF(O162&lt;&gt;"",_xlfn.XLOOKUP(O162,'3D. Pictures'!B:B,'3D. Pictures'!E:E,"NOT FOUND",0,1),"")</f>
        <v/>
      </c>
      <c r="U162" s="193"/>
      <c r="V162" s="318"/>
      <c r="W162" s="193"/>
      <c r="X162" s="318"/>
      <c r="Y162" s="205"/>
      <c r="Z162" s="318"/>
      <c r="AA162" s="314" t="s">
        <v>518</v>
      </c>
      <c r="AB162" s="314" t="s">
        <v>518</v>
      </c>
      <c r="AC162" s="359" t="str">
        <f t="shared" si="80"/>
        <v/>
      </c>
      <c r="AD162" s="314"/>
      <c r="AE162" s="314"/>
      <c r="AF162" s="319"/>
      <c r="AG162" s="314"/>
      <c r="AH162" s="10"/>
      <c r="AI162" s="380" t="str">
        <f t="shared" si="82"/>
        <v/>
      </c>
      <c r="AJ162" s="320" t="s">
        <v>408</v>
      </c>
      <c r="AK162" s="320" t="s">
        <v>425</v>
      </c>
      <c r="AL162" s="320" t="s">
        <v>2175</v>
      </c>
      <c r="AM162" s="311"/>
      <c r="AN162" s="311"/>
      <c r="AO162" s="311"/>
      <c r="AP162" s="311"/>
      <c r="AQ162" s="311"/>
      <c r="AR162" s="311"/>
      <c r="AS162" s="311"/>
      <c r="AT162" s="311"/>
      <c r="AU162" s="311"/>
      <c r="AV162" s="311"/>
      <c r="AW162" s="311"/>
      <c r="AX162" s="279" t="str">
        <f t="shared" si="40"/>
        <v/>
      </c>
    </row>
    <row r="163" spans="1:50" x14ac:dyDescent="0.25">
      <c r="A163" s="190" t="str">
        <f t="shared" si="69"/>
        <v/>
      </c>
      <c r="B163" s="311" t="str">
        <f t="shared" si="12"/>
        <v/>
      </c>
      <c r="C163" s="311"/>
      <c r="D163" s="311"/>
      <c r="E163" s="311" t="str">
        <f t="shared" si="78"/>
        <v/>
      </c>
      <c r="F163" s="311" t="s">
        <v>536</v>
      </c>
      <c r="G163" s="312">
        <v>45099</v>
      </c>
      <c r="H163" s="313"/>
      <c r="I163" s="314"/>
      <c r="J163" s="314" t="s">
        <v>405</v>
      </c>
      <c r="K163" s="314" t="s">
        <v>237</v>
      </c>
      <c r="L163" s="314" t="s">
        <v>2715</v>
      </c>
      <c r="M163" s="315" t="s">
        <v>559</v>
      </c>
      <c r="N163" s="193"/>
      <c r="O163" s="316"/>
      <c r="P163" s="316"/>
      <c r="Q163" s="317" t="str">
        <f t="shared" si="79"/>
        <v>. Map Pressure Sensor</v>
      </c>
      <c r="R163" s="317"/>
      <c r="S163" s="317" t="str">
        <f t="shared" si="81"/>
        <v/>
      </c>
      <c r="T163" s="317" t="str">
        <f>IF(O163&lt;&gt;"",_xlfn.XLOOKUP(O163,'3D. Pictures'!B:B,'3D. Pictures'!E:E,"NOT FOUND",0,1),"")</f>
        <v/>
      </c>
      <c r="U163" s="193"/>
      <c r="V163" s="318"/>
      <c r="W163" s="193"/>
      <c r="X163" s="318"/>
      <c r="Y163" s="205"/>
      <c r="Z163" s="318"/>
      <c r="AA163" s="314" t="s">
        <v>519</v>
      </c>
      <c r="AB163" s="314" t="s">
        <v>519</v>
      </c>
      <c r="AC163" s="359" t="str">
        <f t="shared" si="80"/>
        <v/>
      </c>
      <c r="AD163" s="314"/>
      <c r="AE163" s="314"/>
      <c r="AF163" s="319"/>
      <c r="AG163" s="314"/>
      <c r="AH163" s="10"/>
      <c r="AI163" s="380" t="str">
        <f t="shared" si="82"/>
        <v/>
      </c>
      <c r="AJ163" s="320" t="s">
        <v>408</v>
      </c>
      <c r="AK163" s="320" t="s">
        <v>425</v>
      </c>
      <c r="AL163" s="320" t="s">
        <v>2175</v>
      </c>
      <c r="AM163" s="311"/>
      <c r="AN163" s="311"/>
      <c r="AO163" s="311"/>
      <c r="AP163" s="311"/>
      <c r="AQ163" s="311"/>
      <c r="AR163" s="311"/>
      <c r="AS163" s="311"/>
      <c r="AT163" s="311"/>
      <c r="AU163" s="311"/>
      <c r="AV163" s="311"/>
      <c r="AW163" s="311"/>
      <c r="AX163" s="279" t="str">
        <f t="shared" si="40"/>
        <v/>
      </c>
    </row>
    <row r="164" spans="1:50" x14ac:dyDescent="0.25">
      <c r="A164" s="190" t="str">
        <f t="shared" si="69"/>
        <v/>
      </c>
      <c r="B164" s="311" t="str">
        <f t="shared" si="12"/>
        <v/>
      </c>
      <c r="C164" s="311"/>
      <c r="D164" s="311"/>
      <c r="E164" s="311" t="str">
        <f t="shared" si="78"/>
        <v/>
      </c>
      <c r="F164" s="311" t="s">
        <v>535</v>
      </c>
      <c r="G164" s="312">
        <v>44670</v>
      </c>
      <c r="H164" s="313"/>
      <c r="I164" s="314"/>
      <c r="J164" s="314" t="s">
        <v>405</v>
      </c>
      <c r="K164" s="314" t="s">
        <v>237</v>
      </c>
      <c r="L164" s="314" t="s">
        <v>86</v>
      </c>
      <c r="M164" s="315" t="s">
        <v>558</v>
      </c>
      <c r="N164" s="193"/>
      <c r="O164" s="316"/>
      <c r="P164" s="316"/>
      <c r="Q164" s="317" t="str">
        <f t="shared" si="79"/>
        <v>. Starter</v>
      </c>
      <c r="R164" s="317"/>
      <c r="S164" s="317" t="str">
        <f t="shared" si="81"/>
        <v/>
      </c>
      <c r="T164" s="317" t="str">
        <f>IF(O164&lt;&gt;"",_xlfn.XLOOKUP(O164,'3D. Pictures'!B:B,'3D. Pictures'!E:E,"NOT FOUND",0,1),"")</f>
        <v/>
      </c>
      <c r="U164" s="193"/>
      <c r="V164" s="318"/>
      <c r="W164" s="193"/>
      <c r="X164" s="318"/>
      <c r="Y164" s="205"/>
      <c r="Z164" s="318"/>
      <c r="AA164" s="314" t="s">
        <v>86</v>
      </c>
      <c r="AB164" s="314" t="s">
        <v>86</v>
      </c>
      <c r="AC164" s="359" t="str">
        <f t="shared" si="80"/>
        <v/>
      </c>
      <c r="AD164" s="314"/>
      <c r="AE164" s="314"/>
      <c r="AF164" s="319"/>
      <c r="AG164" s="314"/>
      <c r="AH164" s="10"/>
      <c r="AI164" s="380" t="str">
        <f t="shared" si="82"/>
        <v/>
      </c>
      <c r="AJ164" s="320" t="s">
        <v>2194</v>
      </c>
      <c r="AK164" s="320" t="s">
        <v>425</v>
      </c>
      <c r="AL164" s="320" t="s">
        <v>2631</v>
      </c>
      <c r="AM164" s="311"/>
      <c r="AN164" s="311"/>
      <c r="AO164" s="311" t="s">
        <v>572</v>
      </c>
      <c r="AP164" s="311"/>
      <c r="AQ164" s="311"/>
      <c r="AR164" s="311"/>
      <c r="AS164" s="311"/>
      <c r="AT164" s="311"/>
      <c r="AU164" s="311"/>
      <c r="AV164" s="311"/>
      <c r="AW164" s="311"/>
      <c r="AX164" s="279" t="str">
        <f t="shared" si="40"/>
        <v/>
      </c>
    </row>
    <row r="165" spans="1:50" x14ac:dyDescent="0.25">
      <c r="A165" s="190" t="str">
        <f t="shared" si="69"/>
        <v/>
      </c>
      <c r="B165" s="311" t="str">
        <f t="shared" si="12"/>
        <v/>
      </c>
      <c r="C165" s="311"/>
      <c r="D165" s="311"/>
      <c r="E165" s="311" t="str">
        <f t="shared" si="78"/>
        <v/>
      </c>
      <c r="F165" s="311" t="s">
        <v>535</v>
      </c>
      <c r="G165" s="312">
        <v>44670</v>
      </c>
      <c r="H165" s="314"/>
      <c r="I165" s="314"/>
      <c r="J165" s="314" t="s">
        <v>405</v>
      </c>
      <c r="K165" s="314" t="s">
        <v>237</v>
      </c>
      <c r="L165" s="314" t="s">
        <v>2671</v>
      </c>
      <c r="M165" s="318" t="s">
        <v>559</v>
      </c>
      <c r="N165" s="318"/>
      <c r="O165" s="317"/>
      <c r="P165" s="317"/>
      <c r="Q165" s="317" t="str">
        <f t="shared" si="79"/>
        <v>. Tensioners &amp; Timing Guides (TOSS ALL)</v>
      </c>
      <c r="R165" s="317"/>
      <c r="S165" s="317" t="str">
        <f t="shared" si="81"/>
        <v/>
      </c>
      <c r="T165" s="317" t="str">
        <f>IF(O165&lt;&gt;"",_xlfn.XLOOKUP(O165,'3D. Pictures'!B:B,'3D. Pictures'!E:E,"NOT FOUND",0,1),"")</f>
        <v/>
      </c>
      <c r="U165" s="318"/>
      <c r="V165" s="318"/>
      <c r="W165" s="318"/>
      <c r="X165" s="318"/>
      <c r="Y165" s="205"/>
      <c r="Z165" s="318"/>
      <c r="AA165" s="314" t="s">
        <v>406</v>
      </c>
      <c r="AB165" s="314" t="s">
        <v>406</v>
      </c>
      <c r="AC165" s="359" t="str">
        <f t="shared" si="80"/>
        <v/>
      </c>
      <c r="AD165" s="314"/>
      <c r="AE165" s="314"/>
      <c r="AF165" s="321"/>
      <c r="AG165" s="322"/>
      <c r="AH165" s="366"/>
      <c r="AI165" s="380" t="str">
        <f t="shared" si="82"/>
        <v/>
      </c>
      <c r="AJ165" s="320" t="s">
        <v>408</v>
      </c>
      <c r="AK165" s="320" t="s">
        <v>425</v>
      </c>
      <c r="AL165" s="320" t="s">
        <v>2175</v>
      </c>
      <c r="AM165" s="311"/>
      <c r="AN165" s="311"/>
      <c r="AO165" s="311"/>
      <c r="AP165" s="311"/>
      <c r="AQ165" s="311"/>
      <c r="AR165" s="311"/>
      <c r="AS165" s="311"/>
      <c r="AT165" s="311"/>
      <c r="AU165" s="311"/>
      <c r="AV165" s="311"/>
      <c r="AW165" s="311"/>
      <c r="AX165" s="279" t="str">
        <f t="shared" si="40"/>
        <v/>
      </c>
    </row>
    <row r="166" spans="1:50" x14ac:dyDescent="0.25">
      <c r="A166" s="190" t="str">
        <f t="shared" si="69"/>
        <v/>
      </c>
      <c r="B166" s="311" t="str">
        <f t="shared" si="12"/>
        <v/>
      </c>
      <c r="C166" s="311"/>
      <c r="D166" s="311"/>
      <c r="E166" s="311" t="str">
        <f t="shared" si="78"/>
        <v/>
      </c>
      <c r="F166" s="311" t="s">
        <v>535</v>
      </c>
      <c r="G166" s="312">
        <v>44670</v>
      </c>
      <c r="H166" s="313"/>
      <c r="I166" s="314"/>
      <c r="J166" s="314" t="s">
        <v>405</v>
      </c>
      <c r="K166" s="314" t="s">
        <v>237</v>
      </c>
      <c r="L166" s="314" t="s">
        <v>43</v>
      </c>
      <c r="M166" s="315" t="s">
        <v>558</v>
      </c>
      <c r="N166" s="193"/>
      <c r="O166" s="316"/>
      <c r="P166" s="316"/>
      <c r="Q166" s="317" t="str">
        <f t="shared" si="79"/>
        <v>. Throttle Body</v>
      </c>
      <c r="R166" s="317"/>
      <c r="S166" s="317" t="str">
        <f t="shared" si="81"/>
        <v/>
      </c>
      <c r="T166" s="317" t="str">
        <f>IF(O166&lt;&gt;"",_xlfn.XLOOKUP(O166,'3D. Pictures'!B:B,'3D. Pictures'!E:E,"NOT FOUND",0,1),"")</f>
        <v/>
      </c>
      <c r="U166" s="193"/>
      <c r="V166" s="318"/>
      <c r="W166" s="193"/>
      <c r="X166" s="318"/>
      <c r="Y166" s="205"/>
      <c r="Z166" s="318"/>
      <c r="AA166" s="314" t="s">
        <v>43</v>
      </c>
      <c r="AB166" s="314" t="s">
        <v>43</v>
      </c>
      <c r="AC166" s="359" t="str">
        <f t="shared" si="80"/>
        <v/>
      </c>
      <c r="AD166" s="314"/>
      <c r="AE166" s="314"/>
      <c r="AF166" s="319"/>
      <c r="AG166" s="314"/>
      <c r="AH166" s="10"/>
      <c r="AI166" s="380" t="str">
        <f t="shared" si="82"/>
        <v/>
      </c>
      <c r="AJ166" s="320" t="s">
        <v>2194</v>
      </c>
      <c r="AK166" s="320" t="s">
        <v>425</v>
      </c>
      <c r="AL166" s="320" t="s">
        <v>2631</v>
      </c>
      <c r="AM166" s="311"/>
      <c r="AN166" s="311"/>
      <c r="AO166" s="311" t="s">
        <v>572</v>
      </c>
      <c r="AP166" s="311"/>
      <c r="AQ166" s="311"/>
      <c r="AR166" s="311"/>
      <c r="AS166" s="311"/>
      <c r="AT166" s="311"/>
      <c r="AU166" s="311"/>
      <c r="AV166" s="311"/>
      <c r="AW166" s="311"/>
      <c r="AX166" s="279" t="str">
        <f t="shared" si="40"/>
        <v/>
      </c>
    </row>
    <row r="167" spans="1:50" x14ac:dyDescent="0.25">
      <c r="A167" s="190" t="str">
        <f t="shared" si="69"/>
        <v/>
      </c>
      <c r="B167" s="311" t="str">
        <f t="shared" ref="B167" si="97">IF(AQ167&lt;&gt;"",AQ167,"")</f>
        <v/>
      </c>
      <c r="C167" s="311"/>
      <c r="D167" s="311"/>
      <c r="E167" s="311" t="str">
        <f t="shared" si="78"/>
        <v/>
      </c>
      <c r="F167" s="311" t="s">
        <v>535</v>
      </c>
      <c r="G167" s="312">
        <v>45245</v>
      </c>
      <c r="H167" s="313"/>
      <c r="I167" s="314"/>
      <c r="J167" s="314" t="s">
        <v>405</v>
      </c>
      <c r="K167" s="314" t="s">
        <v>237</v>
      </c>
      <c r="L167" s="314" t="s">
        <v>2715</v>
      </c>
      <c r="M167" s="315" t="s">
        <v>558</v>
      </c>
      <c r="N167" s="193"/>
      <c r="O167" s="316"/>
      <c r="P167" s="316"/>
      <c r="Q167" s="317" t="str">
        <f t="shared" si="79"/>
        <v>. Knock Sensors</v>
      </c>
      <c r="R167" s="317"/>
      <c r="S167" s="317" t="str">
        <f t="shared" si="81"/>
        <v/>
      </c>
      <c r="T167" s="317" t="str">
        <f>IF(O167&lt;&gt;"",_xlfn.XLOOKUP(O167,'3D. Pictures'!B:B,'3D. Pictures'!E:E,"NOT FOUND",0,1),"")</f>
        <v/>
      </c>
      <c r="U167" s="193"/>
      <c r="V167" s="318"/>
      <c r="W167" s="193"/>
      <c r="X167" s="318"/>
      <c r="Y167" s="205"/>
      <c r="Z167" s="318"/>
      <c r="AA167" s="314" t="s">
        <v>2279</v>
      </c>
      <c r="AB167" s="314" t="s">
        <v>2279</v>
      </c>
      <c r="AC167" s="359" t="str">
        <f t="shared" si="80"/>
        <v/>
      </c>
      <c r="AD167" s="314"/>
      <c r="AE167" s="314"/>
      <c r="AF167" s="319"/>
      <c r="AG167" s="314"/>
      <c r="AH167" s="10"/>
      <c r="AI167" s="380" t="str">
        <f t="shared" si="82"/>
        <v/>
      </c>
      <c r="AJ167" s="320" t="s">
        <v>408</v>
      </c>
      <c r="AK167" s="320" t="s">
        <v>425</v>
      </c>
      <c r="AL167" s="320" t="s">
        <v>2175</v>
      </c>
      <c r="AM167" s="311"/>
      <c r="AN167" s="311"/>
      <c r="AO167" s="311" t="s">
        <v>572</v>
      </c>
      <c r="AP167" s="311"/>
      <c r="AQ167" s="311"/>
      <c r="AR167" s="311"/>
      <c r="AS167" s="311"/>
      <c r="AT167" s="311"/>
      <c r="AU167" s="311"/>
      <c r="AV167" s="311"/>
      <c r="AW167" s="311"/>
      <c r="AX167" s="279" t="str">
        <f t="shared" ref="AX167:AX232" si="98">IF(AW167&lt;&gt;"",_xlfn.TEXTJOIN("-",TRUE,AV167,AW167),"")</f>
        <v/>
      </c>
    </row>
    <row r="168" spans="1:50" x14ac:dyDescent="0.25">
      <c r="A168" s="190" t="str">
        <f t="shared" si="69"/>
        <v/>
      </c>
      <c r="B168" s="311" t="str">
        <f t="shared" ref="B168" si="99">IF(AQ168&lt;&gt;"",AQ168,"")</f>
        <v/>
      </c>
      <c r="C168" s="311"/>
      <c r="D168" s="311"/>
      <c r="E168" s="311" t="str">
        <f t="shared" si="78"/>
        <v/>
      </c>
      <c r="F168" s="311" t="s">
        <v>535</v>
      </c>
      <c r="G168" s="312">
        <v>45245</v>
      </c>
      <c r="H168" s="313"/>
      <c r="I168" s="314"/>
      <c r="J168" s="314" t="s">
        <v>405</v>
      </c>
      <c r="K168" s="314" t="s">
        <v>237</v>
      </c>
      <c r="L168" s="314" t="s">
        <v>2290</v>
      </c>
      <c r="M168" s="315" t="s">
        <v>558</v>
      </c>
      <c r="N168" s="193"/>
      <c r="O168" s="316"/>
      <c r="P168" s="316"/>
      <c r="Q168" s="317" t="str">
        <f t="shared" si="79"/>
        <v>. Exhaust Manifolds</v>
      </c>
      <c r="R168" s="317"/>
      <c r="S168" s="317" t="str">
        <f t="shared" si="81"/>
        <v/>
      </c>
      <c r="T168" s="317" t="str">
        <f>IF(O168&lt;&gt;"",_xlfn.XLOOKUP(O168,'3D. Pictures'!B:B,'3D. Pictures'!E:E,"NOT FOUND",0,1),"")</f>
        <v/>
      </c>
      <c r="U168" s="193"/>
      <c r="V168" s="318"/>
      <c r="W168" s="193"/>
      <c r="X168" s="318"/>
      <c r="Y168" s="205"/>
      <c r="Z168" s="318"/>
      <c r="AA168" s="314" t="s">
        <v>2291</v>
      </c>
      <c r="AB168" s="314" t="s">
        <v>2291</v>
      </c>
      <c r="AC168" s="359" t="str">
        <f t="shared" si="80"/>
        <v/>
      </c>
      <c r="AD168" s="314"/>
      <c r="AE168" s="314"/>
      <c r="AF168" s="319"/>
      <c r="AG168" s="314"/>
      <c r="AH168" s="10"/>
      <c r="AI168" s="380" t="str">
        <f t="shared" si="82"/>
        <v/>
      </c>
      <c r="AJ168" s="301" t="s">
        <v>2198</v>
      </c>
      <c r="AK168" s="320" t="s">
        <v>425</v>
      </c>
      <c r="AL168" s="301" t="s">
        <v>2198</v>
      </c>
      <c r="AM168" s="311"/>
      <c r="AN168" s="311"/>
      <c r="AO168" s="311" t="s">
        <v>572</v>
      </c>
      <c r="AP168" s="311"/>
      <c r="AQ168" s="311"/>
      <c r="AR168" s="311"/>
      <c r="AS168" s="311"/>
      <c r="AT168" s="311"/>
      <c r="AU168" s="311"/>
      <c r="AV168" s="311"/>
      <c r="AW168" s="311"/>
      <c r="AX168" s="279" t="str">
        <f t="shared" si="98"/>
        <v/>
      </c>
    </row>
    <row r="169" spans="1:50" x14ac:dyDescent="0.25">
      <c r="A169" s="190" t="str">
        <f t="shared" si="69"/>
        <v/>
      </c>
      <c r="B169" s="311" t="str">
        <f t="shared" ref="B169" si="100">IF(AQ169&lt;&gt;"",AQ169,"")</f>
        <v/>
      </c>
      <c r="C169" s="311"/>
      <c r="D169" s="311"/>
      <c r="E169" s="311" t="str">
        <f t="shared" si="78"/>
        <v/>
      </c>
      <c r="F169" s="311" t="s">
        <v>535</v>
      </c>
      <c r="G169" s="312">
        <v>45245</v>
      </c>
      <c r="H169" s="313"/>
      <c r="I169" s="314"/>
      <c r="J169" s="314" t="s">
        <v>405</v>
      </c>
      <c r="K169" s="314" t="s">
        <v>237</v>
      </c>
      <c r="L169" s="314" t="s">
        <v>2304</v>
      </c>
      <c r="M169" s="315" t="s">
        <v>558</v>
      </c>
      <c r="N169" s="193"/>
      <c r="O169" s="316"/>
      <c r="P169" s="316"/>
      <c r="Q169" s="317" t="str">
        <f t="shared" si="79"/>
        <v>. Turbocharger Boost Solenoid Valves &amp; Bracket</v>
      </c>
      <c r="R169" s="317"/>
      <c r="S169" s="317" t="str">
        <f t="shared" si="81"/>
        <v/>
      </c>
      <c r="T169" s="317" t="str">
        <f>IF(O169&lt;&gt;"",_xlfn.XLOOKUP(O169,'3D. Pictures'!B:B,'3D. Pictures'!E:E,"NOT FOUND",0,1),"")</f>
        <v/>
      </c>
      <c r="U169" s="193"/>
      <c r="V169" s="318"/>
      <c r="W169" s="193"/>
      <c r="X169" s="318"/>
      <c r="Y169" s="205"/>
      <c r="Z169" s="318"/>
      <c r="AA169" s="314" t="s">
        <v>2302</v>
      </c>
      <c r="AB169" s="314" t="s">
        <v>2302</v>
      </c>
      <c r="AC169" s="359" t="str">
        <f t="shared" si="80"/>
        <v>2 black plastic solenoids on metal bracket</v>
      </c>
      <c r="AD169" s="314"/>
      <c r="AE169" s="314" t="s">
        <v>2303</v>
      </c>
      <c r="AF169" s="319"/>
      <c r="AG169" s="314"/>
      <c r="AH169" s="10"/>
      <c r="AI169" s="380" t="str">
        <f t="shared" si="82"/>
        <v/>
      </c>
      <c r="AJ169" s="301" t="s">
        <v>2198</v>
      </c>
      <c r="AK169" s="320" t="s">
        <v>425</v>
      </c>
      <c r="AL169" s="301" t="s">
        <v>2198</v>
      </c>
      <c r="AM169" s="311"/>
      <c r="AN169" s="311"/>
      <c r="AO169" s="311" t="s">
        <v>572</v>
      </c>
      <c r="AP169" s="311"/>
      <c r="AQ169" s="311"/>
      <c r="AR169" s="311"/>
      <c r="AS169" s="311"/>
      <c r="AT169" s="311"/>
      <c r="AU169" s="311"/>
      <c r="AV169" s="311"/>
      <c r="AW169" s="311"/>
      <c r="AX169" s="279" t="str">
        <f t="shared" si="98"/>
        <v/>
      </c>
    </row>
    <row r="170" spans="1:50" x14ac:dyDescent="0.25">
      <c r="A170" s="190" t="str">
        <f t="shared" si="69"/>
        <v/>
      </c>
      <c r="B170" s="311" t="str">
        <f t="shared" ref="B170" si="101">IF(AQ170&lt;&gt;"",AQ170,"")</f>
        <v>372-50259</v>
      </c>
      <c r="C170" s="311"/>
      <c r="D170" s="311"/>
      <c r="E170" s="311">
        <f t="shared" si="78"/>
        <v>1</v>
      </c>
      <c r="F170" s="311" t="s">
        <v>535</v>
      </c>
      <c r="G170" s="312">
        <v>45245</v>
      </c>
      <c r="H170" s="313"/>
      <c r="I170" s="314"/>
      <c r="J170" s="314" t="s">
        <v>405</v>
      </c>
      <c r="K170" s="314" t="s">
        <v>237</v>
      </c>
      <c r="L170" s="314" t="s">
        <v>2305</v>
      </c>
      <c r="M170" s="315" t="s">
        <v>558</v>
      </c>
      <c r="N170" s="193"/>
      <c r="O170" s="316"/>
      <c r="P170" s="316"/>
      <c r="Q170" s="317" t="str">
        <f t="shared" si="79"/>
        <v>. Vacuum Pump</v>
      </c>
      <c r="R170" s="317"/>
      <c r="S170" s="317" t="str">
        <f t="shared" si="81"/>
        <v/>
      </c>
      <c r="T170" s="317" t="str">
        <f>IF(O170&lt;&gt;"",_xlfn.XLOOKUP(O170,'3D. Pictures'!B:B,'3D. Pictures'!E:E,"NOT FOUND",0,1),"")</f>
        <v/>
      </c>
      <c r="U170" s="193"/>
      <c r="V170" s="318"/>
      <c r="W170" s="193"/>
      <c r="X170" s="318"/>
      <c r="Y170" s="205"/>
      <c r="Z170" s="318"/>
      <c r="AA170" s="314" t="s">
        <v>2305</v>
      </c>
      <c r="AB170" s="314" t="s">
        <v>2305</v>
      </c>
      <c r="AC170" s="359" t="str">
        <f t="shared" si="80"/>
        <v/>
      </c>
      <c r="AD170" s="314"/>
      <c r="AE170" s="314"/>
      <c r="AF170" s="319"/>
      <c r="AG170" s="314"/>
      <c r="AH170" s="10"/>
      <c r="AI170" s="380" t="str">
        <f t="shared" si="82"/>
        <v/>
      </c>
      <c r="AJ170" s="301" t="s">
        <v>2198</v>
      </c>
      <c r="AK170" s="320" t="s">
        <v>425</v>
      </c>
      <c r="AL170" s="301" t="s">
        <v>2198</v>
      </c>
      <c r="AM170" s="311"/>
      <c r="AN170" s="191">
        <v>372</v>
      </c>
      <c r="AO170" s="190" t="s">
        <v>572</v>
      </c>
      <c r="AP170" s="190">
        <v>50259</v>
      </c>
      <c r="AQ170" s="190" t="str">
        <f>CONCATENATE(AN170,AO170,AP170)</f>
        <v>372-50259</v>
      </c>
      <c r="AR170" s="190"/>
      <c r="AS170" s="311"/>
      <c r="AT170" s="311"/>
      <c r="AU170" s="311"/>
      <c r="AV170" s="311"/>
      <c r="AW170" s="311"/>
      <c r="AX170" s="279" t="str">
        <f t="shared" si="98"/>
        <v/>
      </c>
    </row>
    <row r="171" spans="1:50" ht="15.75" thickBot="1" x14ac:dyDescent="0.3">
      <c r="A171" s="190" t="str">
        <f t="shared" si="69"/>
        <v/>
      </c>
      <c r="B171" s="279" t="str">
        <f t="shared" si="12"/>
        <v>545-53674</v>
      </c>
      <c r="C171" s="279"/>
      <c r="D171" s="279"/>
      <c r="E171" s="279">
        <f t="shared" si="78"/>
        <v>1</v>
      </c>
      <c r="F171" s="190" t="s">
        <v>535</v>
      </c>
      <c r="G171" s="198">
        <v>44680</v>
      </c>
      <c r="H171" s="205"/>
      <c r="I171" s="205"/>
      <c r="J171" s="205" t="s">
        <v>402</v>
      </c>
      <c r="K171" s="205" t="s">
        <v>2759</v>
      </c>
      <c r="L171" s="205" t="s">
        <v>671</v>
      </c>
      <c r="M171" s="192" t="s">
        <v>558</v>
      </c>
      <c r="N171" s="192"/>
      <c r="O171" s="229"/>
      <c r="P171" s="229"/>
      <c r="Q171" s="231" t="str">
        <f t="shared" si="79"/>
        <v>. ABS Pump &amp; Module</v>
      </c>
      <c r="R171" s="231"/>
      <c r="S171" s="231" t="str">
        <f t="shared" si="81"/>
        <v/>
      </c>
      <c r="T171" s="231" t="str">
        <f>IF(O171&lt;&gt;"",_xlfn.XLOOKUP(O171,'3D. Pictures'!B:B,'3D. Pictures'!E:E,"NOT FOUND",0,1),"")</f>
        <v/>
      </c>
      <c r="U171" s="192"/>
      <c r="V171" s="205"/>
      <c r="W171" s="192"/>
      <c r="X171" s="205"/>
      <c r="Y171" s="205"/>
      <c r="Z171" s="205"/>
      <c r="AA171" s="205" t="s">
        <v>671</v>
      </c>
      <c r="AB171" s="205" t="s">
        <v>671</v>
      </c>
      <c r="AC171" s="358" t="str">
        <f t="shared" si="80"/>
        <v/>
      </c>
      <c r="AD171" s="205"/>
      <c r="AE171" s="205"/>
      <c r="AF171" s="201" t="s">
        <v>543</v>
      </c>
      <c r="AG171" s="216"/>
      <c r="AH171" s="363">
        <v>400</v>
      </c>
      <c r="AI171" s="380">
        <f t="shared" si="82"/>
        <v>257.5</v>
      </c>
      <c r="AJ171" s="204" t="s">
        <v>437</v>
      </c>
      <c r="AK171" s="204" t="s">
        <v>425</v>
      </c>
      <c r="AL171" s="204" t="s">
        <v>2632</v>
      </c>
      <c r="AM171" s="190"/>
      <c r="AN171" s="191" t="s">
        <v>615</v>
      </c>
      <c r="AO171" s="190" t="s">
        <v>572</v>
      </c>
      <c r="AP171" s="190">
        <v>53674</v>
      </c>
      <c r="AQ171" s="190" t="str">
        <f>CONCATENATE(AN171,AO171,AP171)</f>
        <v>545-53674</v>
      </c>
      <c r="AR171" s="190" t="s">
        <v>672</v>
      </c>
      <c r="AS171" s="190"/>
      <c r="AT171" s="190"/>
      <c r="AU171" s="190"/>
      <c r="AV171" s="190"/>
      <c r="AW171" s="190"/>
      <c r="AX171" s="279" t="str">
        <f t="shared" si="98"/>
        <v/>
      </c>
    </row>
    <row r="172" spans="1:50" ht="15.75" thickBot="1" x14ac:dyDescent="0.3">
      <c r="A172" s="190" t="str">
        <f t="shared" si="69"/>
        <v>A16</v>
      </c>
      <c r="B172" s="279" t="str">
        <f t="shared" si="12"/>
        <v>545-53340</v>
      </c>
      <c r="C172" s="279"/>
      <c r="D172" s="279"/>
      <c r="E172" s="279">
        <f t="shared" si="78"/>
        <v>1</v>
      </c>
      <c r="F172" s="190" t="s">
        <v>535</v>
      </c>
      <c r="G172" s="198">
        <v>44680</v>
      </c>
      <c r="H172" s="205"/>
      <c r="I172" s="205"/>
      <c r="J172" s="205" t="s">
        <v>402</v>
      </c>
      <c r="K172" s="205" t="s">
        <v>2759</v>
      </c>
      <c r="L172" s="205" t="s">
        <v>671</v>
      </c>
      <c r="M172" s="192" t="s">
        <v>558</v>
      </c>
      <c r="N172" s="192">
        <v>6</v>
      </c>
      <c r="O172" s="229" t="s">
        <v>918</v>
      </c>
      <c r="P172" s="229" t="s">
        <v>1035</v>
      </c>
      <c r="Q172" s="231" t="str">
        <f t="shared" si="79"/>
        <v>A16. ABS Pump &amp; Module</v>
      </c>
      <c r="R172" s="284" t="str">
        <f>HYPERLINK(VLOOKUP(O172,'3D. Pictures'!$B$3:$E$500,4,FALSE),"PIC")</f>
        <v>PIC</v>
      </c>
      <c r="S172" s="373" t="str">
        <f t="shared" si="81"/>
        <v>E.G.</v>
      </c>
      <c r="T172" s="377" t="str">
        <f>IF(O172&lt;&gt;"",_xlfn.XLOOKUP(O172,'3D. Pictures'!B:B,'3D. Pictures'!E:E,"NOT FOUND",0,1),"")</f>
        <v>https://viking-pictures.s3.us-west-1.amazonaws.com/AA1155/A16.+ABS+Pump+%26+Module+(1).JPG</v>
      </c>
      <c r="U172" s="192">
        <v>5</v>
      </c>
      <c r="V172" s="205" t="s">
        <v>1158</v>
      </c>
      <c r="W172" s="192" t="s">
        <v>112</v>
      </c>
      <c r="X172" s="205"/>
      <c r="Y172" s="205"/>
      <c r="Z172" s="205"/>
      <c r="AA172" s="205" t="s">
        <v>671</v>
      </c>
      <c r="AB172" s="205" t="s">
        <v>671</v>
      </c>
      <c r="AC172" s="358" t="str">
        <f t="shared" si="80"/>
        <v/>
      </c>
      <c r="AD172" s="205"/>
      <c r="AE172" s="205"/>
      <c r="AF172" s="201" t="s">
        <v>543</v>
      </c>
      <c r="AG172" s="216"/>
      <c r="AH172" s="363">
        <v>115</v>
      </c>
      <c r="AI172" s="380">
        <f t="shared" si="82"/>
        <v>257.5</v>
      </c>
      <c r="AJ172" s="204" t="s">
        <v>437</v>
      </c>
      <c r="AK172" s="204" t="s">
        <v>425</v>
      </c>
      <c r="AL172" s="204" t="s">
        <v>2632</v>
      </c>
      <c r="AM172" s="190"/>
      <c r="AN172" s="191" t="s">
        <v>615</v>
      </c>
      <c r="AO172" s="190" t="s">
        <v>572</v>
      </c>
      <c r="AP172" s="190">
        <v>53340</v>
      </c>
      <c r="AQ172" s="190" t="str">
        <f>CONCATENATE(AN172,AO172,AP172)</f>
        <v>545-53340</v>
      </c>
      <c r="AR172" s="190" t="s">
        <v>673</v>
      </c>
      <c r="AS172" s="190"/>
      <c r="AT172" s="190"/>
      <c r="AU172" s="190"/>
      <c r="AV172" s="190"/>
      <c r="AW172" s="190"/>
      <c r="AX172" s="279" t="str">
        <f t="shared" si="98"/>
        <v/>
      </c>
    </row>
    <row r="173" spans="1:50" ht="15.75" thickBot="1" x14ac:dyDescent="0.3">
      <c r="A173" s="190" t="str">
        <f t="shared" si="69"/>
        <v/>
      </c>
      <c r="B173" s="279" t="str">
        <f t="shared" si="12"/>
        <v>613-998926</v>
      </c>
      <c r="C173" s="279"/>
      <c r="D173" s="279"/>
      <c r="E173" s="279">
        <f t="shared" si="78"/>
        <v>1</v>
      </c>
      <c r="F173" s="190" t="s">
        <v>535</v>
      </c>
      <c r="G173" s="198">
        <v>44684</v>
      </c>
      <c r="H173" s="205"/>
      <c r="I173" s="205"/>
      <c r="J173" s="205" t="s">
        <v>402</v>
      </c>
      <c r="K173" s="205" t="s">
        <v>2759</v>
      </c>
      <c r="L173" s="205" t="s">
        <v>2672</v>
      </c>
      <c r="M173" s="212" t="s">
        <v>560</v>
      </c>
      <c r="N173" s="212"/>
      <c r="O173" s="236"/>
      <c r="P173" s="236"/>
      <c r="Q173" s="231" t="str">
        <f t="shared" si="79"/>
        <v>. Horns SET 2</v>
      </c>
      <c r="R173" s="231"/>
      <c r="S173" s="231" t="str">
        <f t="shared" si="81"/>
        <v/>
      </c>
      <c r="T173" s="231" t="str">
        <f>IF(O173&lt;&gt;"",_xlfn.XLOOKUP(O173,'3D. Pictures'!B:B,'3D. Pictures'!E:E,"NOT FOUND",0,1),"")</f>
        <v/>
      </c>
      <c r="U173" s="212"/>
      <c r="V173" s="205"/>
      <c r="W173" s="212"/>
      <c r="X173" s="205"/>
      <c r="Y173" s="205"/>
      <c r="Z173" s="205"/>
      <c r="AA173" s="205" t="s">
        <v>2741</v>
      </c>
      <c r="AB173" s="205" t="s">
        <v>2741</v>
      </c>
      <c r="AC173" s="358" t="str">
        <f t="shared" si="80"/>
        <v>Metal brackets ON, toss both if 1 bad</v>
      </c>
      <c r="AD173" s="205" t="s">
        <v>1330</v>
      </c>
      <c r="AE173" s="205"/>
      <c r="AF173" s="201" t="s">
        <v>544</v>
      </c>
      <c r="AG173" s="216" t="s">
        <v>1332</v>
      </c>
      <c r="AH173" s="363">
        <v>75</v>
      </c>
      <c r="AI173" s="380">
        <f t="shared" si="82"/>
        <v>75</v>
      </c>
      <c r="AJ173" s="204" t="s">
        <v>408</v>
      </c>
      <c r="AK173" s="204" t="s">
        <v>425</v>
      </c>
      <c r="AL173" s="204" t="s">
        <v>2175</v>
      </c>
      <c r="AM173" s="190"/>
      <c r="AN173" s="191">
        <v>613</v>
      </c>
      <c r="AO173" s="190" t="s">
        <v>572</v>
      </c>
      <c r="AP173" s="190">
        <v>998926</v>
      </c>
      <c r="AQ173" s="190" t="str">
        <f>CONCATENATE(AN173,AO173,AP173)</f>
        <v>613-998926</v>
      </c>
      <c r="AR173" s="190"/>
      <c r="AS173" s="190"/>
      <c r="AT173" s="190"/>
      <c r="AU173" s="190"/>
      <c r="AV173" s="190"/>
      <c r="AW173" s="190"/>
      <c r="AX173" s="279" t="str">
        <f t="shared" si="98"/>
        <v/>
      </c>
    </row>
    <row r="174" spans="1:50" ht="15.75" thickBot="1" x14ac:dyDescent="0.3">
      <c r="A174" s="190" t="str">
        <f t="shared" si="69"/>
        <v>A104</v>
      </c>
      <c r="B174" s="279" t="str">
        <f t="shared" si="12"/>
        <v>317-50194</v>
      </c>
      <c r="C174" s="279"/>
      <c r="D174" s="279"/>
      <c r="E174" s="279">
        <f t="shared" si="78"/>
        <v>1</v>
      </c>
      <c r="F174" s="190" t="s">
        <v>535</v>
      </c>
      <c r="G174" s="198">
        <v>45245</v>
      </c>
      <c r="H174" s="205"/>
      <c r="I174" s="205"/>
      <c r="J174" s="205" t="s">
        <v>402</v>
      </c>
      <c r="K174" s="205" t="s">
        <v>2759</v>
      </c>
      <c r="L174" s="205" t="s">
        <v>1333</v>
      </c>
      <c r="M174" s="212" t="s">
        <v>562</v>
      </c>
      <c r="N174" s="212">
        <v>94</v>
      </c>
      <c r="O174" s="236" t="s">
        <v>1006</v>
      </c>
      <c r="P174" s="229" t="s">
        <v>1300</v>
      </c>
      <c r="Q174" s="231" t="str">
        <f t="shared" si="79"/>
        <v>A104. Intercooler</v>
      </c>
      <c r="R174" s="284" t="str">
        <f>HYPERLINK(VLOOKUP(O174,'3D. Pictures'!$B$3:$E$500,4,FALSE),"PIC")</f>
        <v>PIC</v>
      </c>
      <c r="S174" s="373" t="str">
        <f t="shared" si="81"/>
        <v>E.G.</v>
      </c>
      <c r="T174" s="377" t="str">
        <f>IF(O174&lt;&gt;"",_xlfn.XLOOKUP(O174,'3D. Pictures'!B:B,'3D. Pictures'!E:E,"NOT FOUND",0,1),"")</f>
        <v>https://viking-pictures.s3.us-west-1.amazonaws.com/AA1155/A104.+Intercooler+(1).JPG</v>
      </c>
      <c r="U174" s="212">
        <v>5</v>
      </c>
      <c r="V174" s="205" t="s">
        <v>1329</v>
      </c>
      <c r="W174" s="212" t="s">
        <v>111</v>
      </c>
      <c r="X174" s="205"/>
      <c r="Y174" s="205"/>
      <c r="Z174" s="205"/>
      <c r="AA174" s="205" t="s">
        <v>1333</v>
      </c>
      <c r="AB174" s="205" t="s">
        <v>1333</v>
      </c>
      <c r="AC174" s="358" t="str">
        <f t="shared" si="80"/>
        <v>It's big one w/ plastic hoses on each end</v>
      </c>
      <c r="AD174" s="205"/>
      <c r="AE174" s="205" t="s">
        <v>1331</v>
      </c>
      <c r="AF174" s="201" t="s">
        <v>543</v>
      </c>
      <c r="AG174" s="216"/>
      <c r="AH174" s="363">
        <v>150</v>
      </c>
      <c r="AI174" s="380">
        <f t="shared" si="82"/>
        <v>150</v>
      </c>
      <c r="AJ174" s="204" t="s">
        <v>2178</v>
      </c>
      <c r="AK174" s="204" t="s">
        <v>425</v>
      </c>
      <c r="AL174" s="204" t="s">
        <v>2633</v>
      </c>
      <c r="AM174" s="190"/>
      <c r="AN174" s="191" t="s">
        <v>616</v>
      </c>
      <c r="AO174" s="190" t="s">
        <v>572</v>
      </c>
      <c r="AP174" s="190">
        <v>50194</v>
      </c>
      <c r="AQ174" s="190" t="str">
        <f t="shared" ref="AQ174:AQ181" si="102">CONCATENATE(AN174,AO174,AP174)</f>
        <v>317-50194</v>
      </c>
      <c r="AR174" s="190"/>
      <c r="AS174" s="190"/>
      <c r="AT174" s="190"/>
      <c r="AU174" s="190"/>
      <c r="AV174" s="190"/>
      <c r="AW174" s="190"/>
      <c r="AX174" s="279" t="str">
        <f t="shared" si="98"/>
        <v/>
      </c>
    </row>
    <row r="175" spans="1:50" x14ac:dyDescent="0.25">
      <c r="A175" s="190" t="str">
        <f t="shared" si="69"/>
        <v/>
      </c>
      <c r="B175" s="294" t="str">
        <f t="shared" ref="B175" si="103">IF(AQ175&lt;&gt;"",AQ175,"")</f>
        <v>317-50196</v>
      </c>
      <c r="C175" s="294"/>
      <c r="D175" s="294"/>
      <c r="E175" s="294">
        <f t="shared" si="78"/>
        <v>1</v>
      </c>
      <c r="F175" s="294" t="s">
        <v>535</v>
      </c>
      <c r="G175" s="295">
        <v>45245</v>
      </c>
      <c r="H175" s="300"/>
      <c r="I175" s="300"/>
      <c r="J175" s="300" t="s">
        <v>402</v>
      </c>
      <c r="K175" s="300" t="s">
        <v>2759</v>
      </c>
      <c r="L175" s="300" t="s">
        <v>1333</v>
      </c>
      <c r="M175" s="336" t="s">
        <v>562</v>
      </c>
      <c r="N175" s="336"/>
      <c r="O175" s="337"/>
      <c r="P175" s="298"/>
      <c r="Q175" s="299" t="str">
        <f t="shared" si="79"/>
        <v>. Intercooler - LEFT with Hoses</v>
      </c>
      <c r="R175" s="299"/>
      <c r="S175" s="299" t="str">
        <f t="shared" si="81"/>
        <v/>
      </c>
      <c r="T175" s="299" t="str">
        <f>IF(O175&lt;&gt;"",_xlfn.XLOOKUP(O175,'3D. Pictures'!B:B,'3D. Pictures'!E:E,"NOT FOUND",0,1),"")</f>
        <v/>
      </c>
      <c r="U175" s="336"/>
      <c r="V175" s="300" t="s">
        <v>2286</v>
      </c>
      <c r="W175" s="336" t="s">
        <v>111</v>
      </c>
      <c r="X175" s="300"/>
      <c r="Y175" s="205"/>
      <c r="Z175" s="300"/>
      <c r="AA175" s="300" t="s">
        <v>2285</v>
      </c>
      <c r="AB175" s="300" t="s">
        <v>2285</v>
      </c>
      <c r="AC175" s="358" t="str">
        <f t="shared" si="80"/>
        <v>rubber hoses ON - toss if bad/missing, sell/tag SINGLE</v>
      </c>
      <c r="AD175" s="300" t="s">
        <v>2289</v>
      </c>
      <c r="AE175" s="300"/>
      <c r="AF175" s="302" t="s">
        <v>543</v>
      </c>
      <c r="AG175" s="339"/>
      <c r="AH175" s="363">
        <v>75</v>
      </c>
      <c r="AI175" s="380">
        <f t="shared" si="82"/>
        <v>75</v>
      </c>
      <c r="AJ175" s="301" t="s">
        <v>2198</v>
      </c>
      <c r="AK175" s="301" t="s">
        <v>425</v>
      </c>
      <c r="AL175" s="301" t="s">
        <v>2198</v>
      </c>
      <c r="AM175" s="294"/>
      <c r="AN175" s="326" t="s">
        <v>616</v>
      </c>
      <c r="AO175" s="294" t="s">
        <v>572</v>
      </c>
      <c r="AP175" s="294">
        <v>50196</v>
      </c>
      <c r="AQ175" s="294" t="str">
        <f t="shared" ref="AQ175" si="104">CONCATENATE(AN175,AO175,AP175)</f>
        <v>317-50196</v>
      </c>
      <c r="AR175" s="294"/>
      <c r="AS175" s="294"/>
      <c r="AT175" s="294"/>
      <c r="AU175" s="294"/>
      <c r="AV175" s="294"/>
      <c r="AW175" s="294"/>
      <c r="AX175" s="279" t="str">
        <f t="shared" si="98"/>
        <v/>
      </c>
    </row>
    <row r="176" spans="1:50" ht="15.75" thickBot="1" x14ac:dyDescent="0.3">
      <c r="A176" s="190" t="str">
        <f t="shared" si="69"/>
        <v/>
      </c>
      <c r="B176" s="294" t="str">
        <f t="shared" ref="B176" si="105">IF(AQ176&lt;&gt;"",AQ176,"")</f>
        <v>317-50195</v>
      </c>
      <c r="C176" s="294"/>
      <c r="D176" s="294"/>
      <c r="E176" s="294">
        <f t="shared" si="78"/>
        <v>1</v>
      </c>
      <c r="F176" s="294" t="s">
        <v>535</v>
      </c>
      <c r="G176" s="295">
        <v>45245</v>
      </c>
      <c r="H176" s="300"/>
      <c r="I176" s="300"/>
      <c r="J176" s="300" t="s">
        <v>402</v>
      </c>
      <c r="K176" s="300" t="s">
        <v>2759</v>
      </c>
      <c r="L176" s="300" t="s">
        <v>1333</v>
      </c>
      <c r="M176" s="336" t="s">
        <v>562</v>
      </c>
      <c r="N176" s="336"/>
      <c r="O176" s="337"/>
      <c r="P176" s="298"/>
      <c r="Q176" s="299" t="str">
        <f t="shared" si="79"/>
        <v>. Intercooler - RIGHT with Hoses</v>
      </c>
      <c r="R176" s="299"/>
      <c r="S176" s="299" t="str">
        <f t="shared" si="81"/>
        <v/>
      </c>
      <c r="T176" s="299" t="str">
        <f>IF(O176&lt;&gt;"",_xlfn.XLOOKUP(O176,'3D. Pictures'!B:B,'3D. Pictures'!E:E,"NOT FOUND",0,1),"")</f>
        <v/>
      </c>
      <c r="U176" s="336"/>
      <c r="V176" s="300" t="s">
        <v>2288</v>
      </c>
      <c r="W176" s="336" t="s">
        <v>111</v>
      </c>
      <c r="X176" s="300"/>
      <c r="Y176" s="205"/>
      <c r="Z176" s="300"/>
      <c r="AA176" s="300" t="s">
        <v>2287</v>
      </c>
      <c r="AB176" s="300" t="s">
        <v>2287</v>
      </c>
      <c r="AC176" s="358" t="str">
        <f t="shared" si="80"/>
        <v>rubber hoses ON - toss if bad/missing, sell/tag SINGLE</v>
      </c>
      <c r="AD176" s="300" t="s">
        <v>2289</v>
      </c>
      <c r="AE176" s="300"/>
      <c r="AF176" s="302" t="s">
        <v>543</v>
      </c>
      <c r="AG176" s="339"/>
      <c r="AH176" s="363">
        <v>75</v>
      </c>
      <c r="AI176" s="380">
        <f t="shared" si="82"/>
        <v>75</v>
      </c>
      <c r="AJ176" s="301" t="s">
        <v>2198</v>
      </c>
      <c r="AK176" s="301" t="s">
        <v>425</v>
      </c>
      <c r="AL176" s="301" t="s">
        <v>2198</v>
      </c>
      <c r="AM176" s="294"/>
      <c r="AN176" s="326" t="s">
        <v>616</v>
      </c>
      <c r="AO176" s="294" t="s">
        <v>572</v>
      </c>
      <c r="AP176" s="294">
        <v>50195</v>
      </c>
      <c r="AQ176" s="294" t="str">
        <f t="shared" ref="AQ176" si="106">CONCATENATE(AN176,AO176,AP176)</f>
        <v>317-50195</v>
      </c>
      <c r="AR176" s="294"/>
      <c r="AS176" s="294"/>
      <c r="AT176" s="294"/>
      <c r="AU176" s="294"/>
      <c r="AV176" s="294"/>
      <c r="AW176" s="294"/>
      <c r="AX176" s="279" t="str">
        <f t="shared" si="98"/>
        <v/>
      </c>
    </row>
    <row r="177" spans="1:50" ht="15.75" thickBot="1" x14ac:dyDescent="0.3">
      <c r="A177" s="190" t="str">
        <f t="shared" si="69"/>
        <v>A103</v>
      </c>
      <c r="B177" s="279" t="str">
        <f t="shared" si="12"/>
        <v>540-59227</v>
      </c>
      <c r="C177" s="279"/>
      <c r="D177" s="279"/>
      <c r="E177" s="279">
        <f t="shared" si="78"/>
        <v>1</v>
      </c>
      <c r="F177" s="190" t="s">
        <v>535</v>
      </c>
      <c r="G177" s="198">
        <v>44680</v>
      </c>
      <c r="H177" s="205"/>
      <c r="I177" s="205"/>
      <c r="J177" s="205" t="s">
        <v>402</v>
      </c>
      <c r="K177" s="205" t="s">
        <v>2759</v>
      </c>
      <c r="L177" s="205" t="s">
        <v>2673</v>
      </c>
      <c r="M177" s="192" t="s">
        <v>558</v>
      </c>
      <c r="N177" s="192">
        <v>93</v>
      </c>
      <c r="O177" s="229" t="s">
        <v>1005</v>
      </c>
      <c r="P177" s="229" t="s">
        <v>1300</v>
      </c>
      <c r="Q177" s="231" t="str">
        <f t="shared" si="79"/>
        <v>A103. Power Brake Booster + Master Cylinder + Reservoir + Cap</v>
      </c>
      <c r="R177" s="284" t="str">
        <f>HYPERLINK(VLOOKUP(O177,'3D. Pictures'!$B$3:$E$500,4,FALSE),"PIC")</f>
        <v>PIC</v>
      </c>
      <c r="S177" s="373" t="str">
        <f t="shared" si="81"/>
        <v>E.G.</v>
      </c>
      <c r="T177" s="377" t="str">
        <f>IF(O177&lt;&gt;"",_xlfn.XLOOKUP(O177,'3D. Pictures'!B:B,'3D. Pictures'!E:E,"NOT FOUND",0,1),"")</f>
        <v>https://viking-pictures.s3.us-west-1.amazonaws.com/AA1155/A103.+Power+Brake+Booster+%2B+Master+Cylinder+%2B+Reservoir+%2B+Cap+(1).JPG</v>
      </c>
      <c r="U177" s="192">
        <v>5</v>
      </c>
      <c r="V177" s="205" t="s">
        <v>1328</v>
      </c>
      <c r="W177" s="192" t="s">
        <v>111</v>
      </c>
      <c r="X177" s="205"/>
      <c r="Y177" s="205"/>
      <c r="Z177" s="205"/>
      <c r="AA177" s="205" t="s">
        <v>436</v>
      </c>
      <c r="AB177" s="205" t="s">
        <v>436</v>
      </c>
      <c r="AC177" s="358" t="str">
        <f t="shared" si="80"/>
        <v/>
      </c>
      <c r="AD177" s="205"/>
      <c r="AE177" s="205"/>
      <c r="AF177" s="201" t="s">
        <v>543</v>
      </c>
      <c r="AG177" s="216" t="s">
        <v>438</v>
      </c>
      <c r="AH177" s="16">
        <v>130</v>
      </c>
      <c r="AI177" s="380">
        <f t="shared" si="82"/>
        <v>130</v>
      </c>
      <c r="AJ177" s="204" t="s">
        <v>437</v>
      </c>
      <c r="AK177" s="204" t="s">
        <v>425</v>
      </c>
      <c r="AL177" s="204" t="s">
        <v>2632</v>
      </c>
      <c r="AM177" s="190"/>
      <c r="AN177" s="191" t="s">
        <v>617</v>
      </c>
      <c r="AO177" s="190" t="s">
        <v>572</v>
      </c>
      <c r="AP177" s="190">
        <v>59227</v>
      </c>
      <c r="AQ177" s="190" t="str">
        <f t="shared" si="102"/>
        <v>540-59227</v>
      </c>
      <c r="AR177" s="190"/>
      <c r="AS177" s="190"/>
      <c r="AT177" s="190"/>
      <c r="AU177" s="190"/>
      <c r="AV177" s="190"/>
      <c r="AW177" s="190"/>
      <c r="AX177" s="279" t="str">
        <f t="shared" si="98"/>
        <v/>
      </c>
    </row>
    <row r="178" spans="1:50" ht="15.75" thickBot="1" x14ac:dyDescent="0.3">
      <c r="A178" s="190" t="str">
        <f t="shared" si="69"/>
        <v>A90</v>
      </c>
      <c r="B178" s="279" t="str">
        <f t="shared" si="12"/>
        <v>674-60229</v>
      </c>
      <c r="C178" s="279" t="s">
        <v>2101</v>
      </c>
      <c r="D178" s="279"/>
      <c r="E178" s="279">
        <f t="shared" si="78"/>
        <v>3</v>
      </c>
      <c r="F178" s="190" t="s">
        <v>535</v>
      </c>
      <c r="G178" s="198">
        <v>44680</v>
      </c>
      <c r="H178" s="205"/>
      <c r="I178" s="205"/>
      <c r="J178" s="205" t="s">
        <v>402</v>
      </c>
      <c r="K178" s="205" t="s">
        <v>2759</v>
      </c>
      <c r="L178" s="205" t="s">
        <v>1301</v>
      </c>
      <c r="M178" s="192" t="s">
        <v>558</v>
      </c>
      <c r="N178" s="192">
        <v>80</v>
      </c>
      <c r="O178" s="229" t="s">
        <v>992</v>
      </c>
      <c r="P178" s="229" t="s">
        <v>1300</v>
      </c>
      <c r="Q178" s="231" t="str">
        <f t="shared" si="79"/>
        <v>A90. Radiator Fan &amp; Shroud Assembly</v>
      </c>
      <c r="R178" s="284" t="str">
        <f>HYPERLINK(VLOOKUP(O178,'3D. Pictures'!$B$3:$E$500,4,FALSE),"PIC")</f>
        <v>PIC</v>
      </c>
      <c r="S178" s="373" t="str">
        <f t="shared" si="81"/>
        <v>E.G.</v>
      </c>
      <c r="T178" s="377" t="str">
        <f>IF(O178&lt;&gt;"",_xlfn.XLOOKUP(O178,'3D. Pictures'!B:B,'3D. Pictures'!E:E,"NOT FOUND",0,1),"")</f>
        <v>https://viking-pictures.s3.us-west-1.amazonaws.com/AA1155/A90.+Radiator+Fan+%26+Shroud+Assembly+(1).JPG</v>
      </c>
      <c r="U178" s="192">
        <v>8</v>
      </c>
      <c r="V178" s="205" t="s">
        <v>1308</v>
      </c>
      <c r="W178" s="192" t="s">
        <v>111</v>
      </c>
      <c r="X178" s="205"/>
      <c r="Y178" s="205"/>
      <c r="Z178" s="205"/>
      <c r="AA178" s="205" t="s">
        <v>1302</v>
      </c>
      <c r="AB178" s="205" t="s">
        <v>1302</v>
      </c>
      <c r="AC178" s="358" t="str">
        <f t="shared" si="80"/>
        <v>sell fan + motor if shroud bad, sell motor if rest bad</v>
      </c>
      <c r="AD178" s="205" t="s">
        <v>1303</v>
      </c>
      <c r="AE178" s="205"/>
      <c r="AF178" s="201" t="s">
        <v>543</v>
      </c>
      <c r="AG178" s="216"/>
      <c r="AH178" s="363">
        <v>550</v>
      </c>
      <c r="AI178" s="380">
        <f t="shared" si="82"/>
        <v>346.66666666666669</v>
      </c>
      <c r="AJ178" s="204" t="s">
        <v>429</v>
      </c>
      <c r="AK178" s="204" t="s">
        <v>425</v>
      </c>
      <c r="AL178" s="204" t="s">
        <v>2634</v>
      </c>
      <c r="AM178" s="190"/>
      <c r="AN178" s="191" t="s">
        <v>618</v>
      </c>
      <c r="AO178" s="190" t="s">
        <v>572</v>
      </c>
      <c r="AP178" s="190">
        <v>60229</v>
      </c>
      <c r="AQ178" s="190" t="str">
        <f t="shared" si="102"/>
        <v>674-60229</v>
      </c>
      <c r="AR178" s="190"/>
      <c r="AS178" s="190"/>
      <c r="AT178" s="190"/>
      <c r="AU178" s="190"/>
      <c r="AV178" s="190"/>
      <c r="AW178" s="190"/>
      <c r="AX178" s="279" t="str">
        <f t="shared" si="98"/>
        <v/>
      </c>
    </row>
    <row r="179" spans="1:50" x14ac:dyDescent="0.25">
      <c r="A179" s="190" t="str">
        <f t="shared" si="69"/>
        <v/>
      </c>
      <c r="B179" s="279" t="str">
        <f t="shared" si="12"/>
        <v>674-60229</v>
      </c>
      <c r="C179" s="279" t="s">
        <v>2102</v>
      </c>
      <c r="D179" s="279"/>
      <c r="E179" s="279">
        <f t="shared" si="78"/>
        <v>3</v>
      </c>
      <c r="F179" s="190" t="s">
        <v>535</v>
      </c>
      <c r="G179" s="198">
        <v>44680</v>
      </c>
      <c r="H179" s="205"/>
      <c r="I179" s="205"/>
      <c r="J179" s="205" t="s">
        <v>402</v>
      </c>
      <c r="K179" s="205" t="s">
        <v>2759</v>
      </c>
      <c r="L179" s="205" t="s">
        <v>1301</v>
      </c>
      <c r="M179" s="192" t="s">
        <v>558</v>
      </c>
      <c r="N179" s="192"/>
      <c r="O179" s="229"/>
      <c r="P179" s="229"/>
      <c r="Q179" s="231" t="str">
        <f t="shared" si="79"/>
        <v>. Radiator Fan Motor &amp; Fan Blade</v>
      </c>
      <c r="R179" s="231"/>
      <c r="S179" s="231" t="str">
        <f t="shared" si="81"/>
        <v/>
      </c>
      <c r="T179" s="231" t="str">
        <f>IF(O179&lt;&gt;"",_xlfn.XLOOKUP(O179,'3D. Pictures'!B:B,'3D. Pictures'!E:E,"NOT FOUND",0,1),"")</f>
        <v/>
      </c>
      <c r="U179" s="192"/>
      <c r="V179" s="205"/>
      <c r="W179" s="192"/>
      <c r="X179" s="205"/>
      <c r="Y179" s="205"/>
      <c r="Z179" s="205"/>
      <c r="AA179" s="205" t="s">
        <v>1302</v>
      </c>
      <c r="AB179" s="205" t="s">
        <v>1305</v>
      </c>
      <c r="AC179" s="358" t="str">
        <f t="shared" si="80"/>
        <v>sell full assembly if good</v>
      </c>
      <c r="AD179" s="205" t="s">
        <v>1306</v>
      </c>
      <c r="AE179" s="205"/>
      <c r="AF179" s="201" t="s">
        <v>543</v>
      </c>
      <c r="AG179" s="216"/>
      <c r="AH179" s="363">
        <v>295</v>
      </c>
      <c r="AI179" s="380">
        <f t="shared" si="82"/>
        <v>346.66666666666669</v>
      </c>
      <c r="AJ179" s="204" t="s">
        <v>429</v>
      </c>
      <c r="AK179" s="204" t="s">
        <v>425</v>
      </c>
      <c r="AL179" s="204" t="s">
        <v>2634</v>
      </c>
      <c r="AM179" s="190"/>
      <c r="AN179" s="191" t="s">
        <v>618</v>
      </c>
      <c r="AO179" s="190" t="s">
        <v>572</v>
      </c>
      <c r="AP179" s="190">
        <v>60229</v>
      </c>
      <c r="AQ179" s="190" t="str">
        <f>CONCATENATE(AN179,AO179,AP179)</f>
        <v>674-60229</v>
      </c>
      <c r="AR179" s="190"/>
      <c r="AS179" s="190"/>
      <c r="AT179" s="190"/>
      <c r="AU179" s="190"/>
      <c r="AV179" s="190"/>
      <c r="AW179" s="190"/>
      <c r="AX179" s="279" t="str">
        <f t="shared" si="98"/>
        <v/>
      </c>
    </row>
    <row r="180" spans="1:50" x14ac:dyDescent="0.25">
      <c r="A180" s="190" t="str">
        <f t="shared" si="69"/>
        <v/>
      </c>
      <c r="B180" s="279" t="str">
        <f t="shared" si="12"/>
        <v>674-60229</v>
      </c>
      <c r="C180" s="279" t="s">
        <v>2103</v>
      </c>
      <c r="D180" s="279"/>
      <c r="E180" s="279">
        <f t="shared" si="78"/>
        <v>3</v>
      </c>
      <c r="F180" s="190" t="s">
        <v>535</v>
      </c>
      <c r="G180" s="198">
        <v>44680</v>
      </c>
      <c r="H180" s="205"/>
      <c r="I180" s="205"/>
      <c r="J180" s="205" t="s">
        <v>402</v>
      </c>
      <c r="K180" s="205" t="s">
        <v>2759</v>
      </c>
      <c r="L180" s="205" t="s">
        <v>1301</v>
      </c>
      <c r="M180" s="192" t="s">
        <v>558</v>
      </c>
      <c r="N180" s="192"/>
      <c r="O180" s="229"/>
      <c r="P180" s="229"/>
      <c r="Q180" s="231" t="str">
        <f t="shared" si="79"/>
        <v>. Radiator Fan Motor</v>
      </c>
      <c r="R180" s="231"/>
      <c r="S180" s="231" t="str">
        <f t="shared" si="81"/>
        <v/>
      </c>
      <c r="T180" s="231" t="str">
        <f>IF(O180&lt;&gt;"",_xlfn.XLOOKUP(O180,'3D. Pictures'!B:B,'3D. Pictures'!E:E,"NOT FOUND",0,1),"")</f>
        <v/>
      </c>
      <c r="U180" s="192"/>
      <c r="V180" s="205"/>
      <c r="W180" s="192"/>
      <c r="X180" s="205"/>
      <c r="Y180" s="16"/>
      <c r="Z180" s="205"/>
      <c r="AA180" s="205" t="s">
        <v>1302</v>
      </c>
      <c r="AB180" s="205" t="s">
        <v>1304</v>
      </c>
      <c r="AC180" s="358" t="str">
        <f t="shared" si="80"/>
        <v>sell full assembly if good</v>
      </c>
      <c r="AD180" s="205" t="s">
        <v>1306</v>
      </c>
      <c r="AE180" s="205"/>
      <c r="AF180" s="201" t="s">
        <v>543</v>
      </c>
      <c r="AG180" s="216"/>
      <c r="AH180" s="363">
        <v>195</v>
      </c>
      <c r="AI180" s="380">
        <f t="shared" si="82"/>
        <v>346.66666666666669</v>
      </c>
      <c r="AJ180" s="204" t="s">
        <v>429</v>
      </c>
      <c r="AK180" s="204" t="s">
        <v>425</v>
      </c>
      <c r="AL180" s="204" t="s">
        <v>2634</v>
      </c>
      <c r="AM180" s="190"/>
      <c r="AN180" s="191" t="s">
        <v>618</v>
      </c>
      <c r="AO180" s="190" t="s">
        <v>572</v>
      </c>
      <c r="AP180" s="190">
        <v>60229</v>
      </c>
      <c r="AQ180" s="190" t="str">
        <f>CONCATENATE(AN180,AO180,AP180)</f>
        <v>674-60229</v>
      </c>
      <c r="AR180" s="190"/>
      <c r="AS180" s="190"/>
      <c r="AT180" s="190"/>
      <c r="AU180" s="190"/>
      <c r="AV180" s="190"/>
      <c r="AW180" s="190"/>
      <c r="AX180" s="279" t="str">
        <f t="shared" si="98"/>
        <v/>
      </c>
    </row>
    <row r="181" spans="1:50" x14ac:dyDescent="0.25">
      <c r="A181" s="190" t="str">
        <f t="shared" si="69"/>
        <v/>
      </c>
      <c r="B181" s="279" t="str">
        <f t="shared" si="12"/>
        <v>675-59726</v>
      </c>
      <c r="C181" s="279"/>
      <c r="D181" s="279"/>
      <c r="E181" s="279">
        <f t="shared" si="78"/>
        <v>1</v>
      </c>
      <c r="F181" s="190" t="s">
        <v>535</v>
      </c>
      <c r="G181" s="198">
        <v>44680</v>
      </c>
      <c r="H181" s="205"/>
      <c r="I181" s="205"/>
      <c r="J181" s="205" t="s">
        <v>402</v>
      </c>
      <c r="K181" s="205" t="s">
        <v>2759</v>
      </c>
      <c r="L181" s="205" t="s">
        <v>2674</v>
      </c>
      <c r="M181" s="192" t="s">
        <v>558</v>
      </c>
      <c r="N181" s="192"/>
      <c r="O181" s="229"/>
      <c r="P181" s="229"/>
      <c r="Q181" s="231" t="str">
        <f t="shared" si="79"/>
        <v>. Radiator, Primary One</v>
      </c>
      <c r="R181" s="231"/>
      <c r="S181" s="231" t="str">
        <f t="shared" si="81"/>
        <v/>
      </c>
      <c r="T181" s="231" t="str">
        <f>IF(O181&lt;&gt;"",_xlfn.XLOOKUP(O181,'3D. Pictures'!B:B,'3D. Pictures'!E:E,"NOT FOUND",0,1),"")</f>
        <v/>
      </c>
      <c r="U181" s="192"/>
      <c r="V181" s="205"/>
      <c r="W181" s="192"/>
      <c r="X181" s="205"/>
      <c r="Y181" s="243"/>
      <c r="Z181" s="205"/>
      <c r="AA181" s="205" t="s">
        <v>2787</v>
      </c>
      <c r="AB181" s="205" t="s">
        <v>2787</v>
      </c>
      <c r="AC181" s="358" t="str">
        <f t="shared" si="80"/>
        <v>It's the thicker / bigger one</v>
      </c>
      <c r="AD181" s="205"/>
      <c r="AE181" s="205" t="s">
        <v>2788</v>
      </c>
      <c r="AF181" s="201" t="s">
        <v>543</v>
      </c>
      <c r="AG181" s="216"/>
      <c r="AH181" s="363">
        <v>225</v>
      </c>
      <c r="AI181" s="380">
        <f t="shared" si="82"/>
        <v>225</v>
      </c>
      <c r="AJ181" s="204" t="s">
        <v>2178</v>
      </c>
      <c r="AK181" s="204" t="s">
        <v>425</v>
      </c>
      <c r="AL181" s="204" t="s">
        <v>2633</v>
      </c>
      <c r="AM181" s="190"/>
      <c r="AN181" s="191" t="s">
        <v>619</v>
      </c>
      <c r="AO181" s="190" t="s">
        <v>572</v>
      </c>
      <c r="AP181" s="190">
        <v>59726</v>
      </c>
      <c r="AQ181" s="190" t="str">
        <f t="shared" si="102"/>
        <v>675-59726</v>
      </c>
      <c r="AR181" s="190" t="s">
        <v>674</v>
      </c>
      <c r="AS181" s="190"/>
      <c r="AT181" s="190"/>
      <c r="AU181" s="190"/>
      <c r="AV181" s="190"/>
      <c r="AW181" s="190"/>
      <c r="AX181" s="279" t="str">
        <f t="shared" si="98"/>
        <v/>
      </c>
    </row>
    <row r="182" spans="1:50" ht="15.75" thickBot="1" x14ac:dyDescent="0.3">
      <c r="A182" s="190" t="str">
        <f t="shared" si="69"/>
        <v/>
      </c>
      <c r="B182" s="279" t="str">
        <f t="shared" si="12"/>
        <v>675-59919</v>
      </c>
      <c r="C182" s="279"/>
      <c r="D182" s="279"/>
      <c r="E182" s="279">
        <f t="shared" si="78"/>
        <v>1</v>
      </c>
      <c r="F182" s="190" t="s">
        <v>535</v>
      </c>
      <c r="G182" s="198">
        <v>44680</v>
      </c>
      <c r="H182" s="205"/>
      <c r="I182" s="205"/>
      <c r="J182" s="205" t="s">
        <v>402</v>
      </c>
      <c r="K182" s="205" t="s">
        <v>2759</v>
      </c>
      <c r="L182" s="205" t="s">
        <v>2674</v>
      </c>
      <c r="M182" s="192" t="s">
        <v>558</v>
      </c>
      <c r="N182" s="192"/>
      <c r="O182" s="229"/>
      <c r="P182" s="229"/>
      <c r="Q182" s="231" t="str">
        <f t="shared" si="79"/>
        <v>. Radiator, Primary One</v>
      </c>
      <c r="R182" s="231"/>
      <c r="S182" s="231" t="str">
        <f t="shared" si="81"/>
        <v/>
      </c>
      <c r="T182" s="231" t="str">
        <f>IF(O182&lt;&gt;"",_xlfn.XLOOKUP(O182,'3D. Pictures'!B:B,'3D. Pictures'!E:E,"NOT FOUND",0,1),"")</f>
        <v/>
      </c>
      <c r="U182" s="192"/>
      <c r="V182" s="205"/>
      <c r="W182" s="192"/>
      <c r="X182" s="205"/>
      <c r="Y182" s="243"/>
      <c r="Z182" s="205"/>
      <c r="AA182" s="205" t="s">
        <v>2787</v>
      </c>
      <c r="AB182" s="205" t="s">
        <v>2787</v>
      </c>
      <c r="AC182" s="358" t="str">
        <f t="shared" si="80"/>
        <v>It's the thicker / bigger one</v>
      </c>
      <c r="AD182" s="205"/>
      <c r="AE182" s="205" t="s">
        <v>2788</v>
      </c>
      <c r="AF182" s="201" t="s">
        <v>543</v>
      </c>
      <c r="AG182" s="216"/>
      <c r="AH182" s="363">
        <v>225</v>
      </c>
      <c r="AI182" s="380">
        <f t="shared" si="82"/>
        <v>225</v>
      </c>
      <c r="AJ182" s="204" t="s">
        <v>2178</v>
      </c>
      <c r="AK182" s="204" t="s">
        <v>425</v>
      </c>
      <c r="AL182" s="204" t="s">
        <v>2633</v>
      </c>
      <c r="AM182" s="190"/>
      <c r="AN182" s="191" t="s">
        <v>619</v>
      </c>
      <c r="AO182" s="190" t="s">
        <v>572</v>
      </c>
      <c r="AP182" s="190">
        <v>59919</v>
      </c>
      <c r="AQ182" s="190" t="str">
        <f>CONCATENATE(AN182,AO182,AP182)</f>
        <v>675-59919</v>
      </c>
      <c r="AR182" s="190" t="s">
        <v>675</v>
      </c>
      <c r="AS182" s="190"/>
      <c r="AT182" s="190"/>
      <c r="AU182" s="190"/>
      <c r="AV182" s="190"/>
      <c r="AW182" s="190"/>
      <c r="AX182" s="279" t="str">
        <f t="shared" si="98"/>
        <v/>
      </c>
    </row>
    <row r="183" spans="1:50" ht="15.75" thickBot="1" x14ac:dyDescent="0.3">
      <c r="A183" s="190" t="str">
        <f t="shared" si="69"/>
        <v>A42</v>
      </c>
      <c r="B183" s="279" t="str">
        <f t="shared" si="12"/>
        <v/>
      </c>
      <c r="C183" s="279"/>
      <c r="D183" s="279"/>
      <c r="E183" s="279" t="str">
        <f t="shared" si="78"/>
        <v/>
      </c>
      <c r="F183" s="241" t="s">
        <v>535</v>
      </c>
      <c r="G183" s="242">
        <v>45248</v>
      </c>
      <c r="H183" s="263"/>
      <c r="I183" s="263"/>
      <c r="J183" s="243" t="s">
        <v>402</v>
      </c>
      <c r="K183" s="243" t="s">
        <v>2759</v>
      </c>
      <c r="L183" s="243" t="s">
        <v>1197</v>
      </c>
      <c r="M183" s="243" t="s">
        <v>559</v>
      </c>
      <c r="N183" s="243">
        <v>32</v>
      </c>
      <c r="O183" s="244" t="s">
        <v>944</v>
      </c>
      <c r="P183" s="244" t="s">
        <v>1168</v>
      </c>
      <c r="Q183" s="231" t="str">
        <f t="shared" si="79"/>
        <v>A42. Windshield Washer Spray Nozzles &amp; Rubber Hose</v>
      </c>
      <c r="R183" s="284" t="str">
        <f>HYPERLINK(VLOOKUP(O183,'3D. Pictures'!$B$3:$E$500,4,FALSE),"PIC")</f>
        <v>PIC</v>
      </c>
      <c r="S183" s="373" t="str">
        <f t="shared" si="81"/>
        <v>E.G.</v>
      </c>
      <c r="T183" s="377" t="str">
        <f>IF(O183&lt;&gt;"",_xlfn.XLOOKUP(O183,'3D. Pictures'!B:B,'3D. Pictures'!E:E,"NOT FOUND",0,1),"")</f>
        <v>https://viking-pictures.s3.us-west-1.amazonaws.com/AA1155/A42.+Windshield+Washer+Spray+Nozzles+%26+Rubber+Hose+(1).JPG</v>
      </c>
      <c r="U183" s="243">
        <v>4</v>
      </c>
      <c r="V183" s="243">
        <v>7292659</v>
      </c>
      <c r="W183" s="243" t="s">
        <v>111</v>
      </c>
      <c r="X183" s="243"/>
      <c r="Y183" s="243"/>
      <c r="Z183" s="243"/>
      <c r="AA183" s="243" t="s">
        <v>453</v>
      </c>
      <c r="AB183" s="243" t="s">
        <v>453</v>
      </c>
      <c r="AC183" s="358" t="str">
        <f t="shared" si="80"/>
        <v>toss both if 1 bad</v>
      </c>
      <c r="AD183" s="243" t="s">
        <v>1159</v>
      </c>
      <c r="AE183" s="243"/>
      <c r="AF183" s="179" t="s">
        <v>543</v>
      </c>
      <c r="AG183" s="266"/>
      <c r="AH183" s="363">
        <v>125</v>
      </c>
      <c r="AI183" s="380">
        <f t="shared" si="82"/>
        <v>125</v>
      </c>
      <c r="AJ183" s="246" t="s">
        <v>408</v>
      </c>
      <c r="AK183" s="246" t="s">
        <v>425</v>
      </c>
      <c r="AL183" s="246" t="s">
        <v>2175</v>
      </c>
      <c r="AM183" s="241"/>
      <c r="AN183" s="241"/>
      <c r="AO183" s="241"/>
      <c r="AP183" s="241"/>
      <c r="AQ183" s="241"/>
      <c r="AR183" s="241"/>
      <c r="AS183" s="241" t="s">
        <v>1028</v>
      </c>
      <c r="AT183" s="241" t="s">
        <v>1029</v>
      </c>
      <c r="AU183" s="241" t="s">
        <v>1030</v>
      </c>
      <c r="AV183" s="303" t="str">
        <f t="shared" ref="AV183" si="107">CONCATENATE(AS183,"-",AT183,"-",AU183)</f>
        <v>F15-14-18-ALL</v>
      </c>
      <c r="AW183" s="241" t="s">
        <v>2376</v>
      </c>
      <c r="AX183" s="279" t="str">
        <f t="shared" si="98"/>
        <v>F15-14-18-ALL-Viking10</v>
      </c>
    </row>
    <row r="184" spans="1:50" ht="15.75" thickBot="1" x14ac:dyDescent="0.3">
      <c r="A184" s="190" t="str">
        <f t="shared" si="69"/>
        <v>A26</v>
      </c>
      <c r="B184" s="279" t="str">
        <f t="shared" si="12"/>
        <v>626-997571</v>
      </c>
      <c r="C184" s="279"/>
      <c r="D184" s="279"/>
      <c r="E184" s="279">
        <f t="shared" si="78"/>
        <v>1</v>
      </c>
      <c r="F184" s="190" t="s">
        <v>535</v>
      </c>
      <c r="G184" s="198">
        <v>44674</v>
      </c>
      <c r="H184" s="205"/>
      <c r="I184" s="205"/>
      <c r="J184" s="205" t="s">
        <v>402</v>
      </c>
      <c r="K184" s="205" t="s">
        <v>2759</v>
      </c>
      <c r="L184" s="205" t="s">
        <v>2714</v>
      </c>
      <c r="M184" s="192" t="s">
        <v>558</v>
      </c>
      <c r="N184" s="192">
        <v>16</v>
      </c>
      <c r="O184" s="229" t="s">
        <v>928</v>
      </c>
      <c r="P184" s="229" t="s">
        <v>1035</v>
      </c>
      <c r="Q184" s="231" t="str">
        <f t="shared" si="79"/>
        <v>A26. Wiper Arms, FRONT SET 2</v>
      </c>
      <c r="R184" s="284" t="str">
        <f>HYPERLINK(VLOOKUP(O184,'3D. Pictures'!$B$3:$E$500,4,FALSE),"PIC")</f>
        <v>PIC</v>
      </c>
      <c r="S184" s="373" t="str">
        <f t="shared" si="81"/>
        <v>E.G.</v>
      </c>
      <c r="T184" s="377" t="str">
        <f>IF(O184&lt;&gt;"",_xlfn.XLOOKUP(O184,'3D. Pictures'!B:B,'3D. Pictures'!E:E,"NOT FOUND",0,1),"")</f>
        <v>https://viking-pictures.s3.us-west-1.amazonaws.com/AA1155/A26.+Wiper+Arms%2C+FRONT+SET+2+(1).JPG</v>
      </c>
      <c r="U184" s="192">
        <v>5</v>
      </c>
      <c r="V184" s="205" t="s">
        <v>1167</v>
      </c>
      <c r="W184" s="192" t="s">
        <v>111</v>
      </c>
      <c r="X184" s="205"/>
      <c r="Y184" s="243"/>
      <c r="Z184" s="205"/>
      <c r="AA184" s="205" t="s">
        <v>2488</v>
      </c>
      <c r="AB184" s="205" t="s">
        <v>2488</v>
      </c>
      <c r="AC184" s="358" t="str">
        <f t="shared" si="80"/>
        <v>toss both if 1 bad</v>
      </c>
      <c r="AD184" s="205" t="s">
        <v>1159</v>
      </c>
      <c r="AE184" s="205"/>
      <c r="AF184" s="201" t="s">
        <v>544</v>
      </c>
      <c r="AG184" s="216"/>
      <c r="AH184" s="363">
        <v>100</v>
      </c>
      <c r="AI184" s="380">
        <f t="shared" si="82"/>
        <v>100</v>
      </c>
      <c r="AJ184" s="204" t="s">
        <v>408</v>
      </c>
      <c r="AK184" s="204" t="s">
        <v>425</v>
      </c>
      <c r="AL184" s="204" t="s">
        <v>2175</v>
      </c>
      <c r="AM184" s="190"/>
      <c r="AN184" s="191" t="s">
        <v>620</v>
      </c>
      <c r="AO184" s="190" t="s">
        <v>572</v>
      </c>
      <c r="AP184" s="190">
        <v>997571</v>
      </c>
      <c r="AQ184" s="190" t="str">
        <f>CONCATENATE(AN184,AO184,AP184)</f>
        <v>626-997571</v>
      </c>
      <c r="AR184" s="190"/>
      <c r="AS184" s="190"/>
      <c r="AT184" s="190"/>
      <c r="AU184" s="190"/>
      <c r="AV184" s="190"/>
      <c r="AW184" s="190"/>
      <c r="AX184" s="279" t="str">
        <f t="shared" si="98"/>
        <v/>
      </c>
    </row>
    <row r="185" spans="1:50" x14ac:dyDescent="0.25">
      <c r="A185" s="190" t="str">
        <f t="shared" si="69"/>
        <v/>
      </c>
      <c r="B185" s="279" t="str">
        <f t="shared" si="12"/>
        <v/>
      </c>
      <c r="C185" s="279"/>
      <c r="D185" s="279"/>
      <c r="E185" s="279" t="str">
        <f t="shared" si="78"/>
        <v/>
      </c>
      <c r="F185" t="s">
        <v>536</v>
      </c>
      <c r="G185" s="188">
        <v>45099</v>
      </c>
      <c r="H185" s="10"/>
      <c r="I185" s="10"/>
      <c r="J185" s="10" t="s">
        <v>405</v>
      </c>
      <c r="K185" s="10" t="s">
        <v>2759</v>
      </c>
      <c r="L185" s="10" t="s">
        <v>2675</v>
      </c>
      <c r="M185" s="18" t="s">
        <v>560</v>
      </c>
      <c r="N185" s="18"/>
      <c r="O185" s="235"/>
      <c r="P185" s="235"/>
      <c r="Q185" s="231" t="str">
        <f t="shared" si="79"/>
        <v>. Air Filter Cleaner Assembly</v>
      </c>
      <c r="R185" s="231"/>
      <c r="S185" s="231" t="str">
        <f t="shared" si="81"/>
        <v/>
      </c>
      <c r="T185" s="231" t="str">
        <f>IF(O185&lt;&gt;"",_xlfn.XLOOKUP(O185,'3D. Pictures'!B:B,'3D. Pictures'!E:E,"NOT FOUND",0,1),"")</f>
        <v/>
      </c>
      <c r="U185" s="18"/>
      <c r="V185" s="16"/>
      <c r="W185" s="18"/>
      <c r="X185" s="16"/>
      <c r="Y185" s="243"/>
      <c r="Z185" s="16"/>
      <c r="AA185" s="10" t="s">
        <v>520</v>
      </c>
      <c r="AB185" s="10" t="s">
        <v>520</v>
      </c>
      <c r="AC185" s="359" t="str">
        <f t="shared" si="80"/>
        <v/>
      </c>
      <c r="AD185" s="10"/>
      <c r="AE185" s="10"/>
      <c r="AF185" s="168" t="s">
        <v>543</v>
      </c>
      <c r="AG185" s="177"/>
      <c r="AH185" s="366"/>
      <c r="AI185" s="380" t="str">
        <f t="shared" si="82"/>
        <v/>
      </c>
      <c r="AJ185" s="3" t="s">
        <v>2176</v>
      </c>
      <c r="AK185" s="3" t="s">
        <v>425</v>
      </c>
      <c r="AL185" s="204" t="s">
        <v>2177</v>
      </c>
      <c r="AN185"/>
      <c r="AO185" t="s">
        <v>572</v>
      </c>
      <c r="AX185" s="279" t="str">
        <f t="shared" si="98"/>
        <v/>
      </c>
    </row>
    <row r="186" spans="1:50" x14ac:dyDescent="0.25">
      <c r="A186" s="190" t="str">
        <f t="shared" si="69"/>
        <v/>
      </c>
      <c r="B186" s="279" t="str">
        <f t="shared" si="12"/>
        <v/>
      </c>
      <c r="C186" s="279"/>
      <c r="D186" s="279"/>
      <c r="E186" s="279" t="str">
        <f t="shared" si="78"/>
        <v/>
      </c>
      <c r="F186" t="s">
        <v>535</v>
      </c>
      <c r="G186" s="188">
        <v>44683</v>
      </c>
      <c r="H186" s="10"/>
      <c r="I186" s="10"/>
      <c r="J186" s="10" t="s">
        <v>405</v>
      </c>
      <c r="K186" s="10" t="s">
        <v>2759</v>
      </c>
      <c r="L186" s="10" t="s">
        <v>2676</v>
      </c>
      <c r="M186" s="18" t="s">
        <v>560</v>
      </c>
      <c r="N186" s="18"/>
      <c r="O186" s="235"/>
      <c r="P186" s="235"/>
      <c r="Q186" s="231" t="str">
        <f t="shared" si="79"/>
        <v>. Coolant Expansion Reservoir Tank &amp; Cap</v>
      </c>
      <c r="R186" s="231"/>
      <c r="S186" s="231" t="str">
        <f t="shared" si="81"/>
        <v/>
      </c>
      <c r="T186" s="231" t="str">
        <f>IF(O186&lt;&gt;"",_xlfn.XLOOKUP(O186,'3D. Pictures'!B:B,'3D. Pictures'!E:E,"NOT FOUND",0,1),"")</f>
        <v/>
      </c>
      <c r="U186" s="18"/>
      <c r="V186" s="16"/>
      <c r="W186" s="18"/>
      <c r="X186" s="16"/>
      <c r="Y186" s="243"/>
      <c r="Z186" s="16"/>
      <c r="AA186" s="10" t="s">
        <v>2539</v>
      </c>
      <c r="AB186" s="10" t="s">
        <v>2539</v>
      </c>
      <c r="AC186" s="359" t="str">
        <f t="shared" si="80"/>
        <v/>
      </c>
      <c r="AD186" s="10"/>
      <c r="AE186" s="10"/>
      <c r="AF186" s="168" t="s">
        <v>543</v>
      </c>
      <c r="AG186" s="177"/>
      <c r="AH186" s="366"/>
      <c r="AI186" s="380" t="str">
        <f t="shared" si="82"/>
        <v/>
      </c>
      <c r="AJ186" s="3" t="s">
        <v>408</v>
      </c>
      <c r="AK186" s="3" t="s">
        <v>425</v>
      </c>
      <c r="AL186" s="204" t="s">
        <v>2175</v>
      </c>
      <c r="AN186"/>
      <c r="AO186" t="s">
        <v>572</v>
      </c>
      <c r="AX186" s="279" t="str">
        <f t="shared" si="98"/>
        <v/>
      </c>
    </row>
    <row r="187" spans="1:50" x14ac:dyDescent="0.25">
      <c r="A187" s="190" t="str">
        <f t="shared" si="69"/>
        <v/>
      </c>
      <c r="B187" s="279" t="str">
        <f t="shared" si="12"/>
        <v/>
      </c>
      <c r="C187" s="279"/>
      <c r="D187" s="279"/>
      <c r="E187" s="279" t="str">
        <f t="shared" si="78"/>
        <v/>
      </c>
      <c r="F187" t="s">
        <v>535</v>
      </c>
      <c r="G187" s="188">
        <v>44680</v>
      </c>
      <c r="H187" s="10"/>
      <c r="I187" s="10"/>
      <c r="J187" s="10" t="s">
        <v>405</v>
      </c>
      <c r="K187" s="10" t="s">
        <v>2759</v>
      </c>
      <c r="L187" s="10" t="s">
        <v>2674</v>
      </c>
      <c r="M187" s="18" t="s">
        <v>562</v>
      </c>
      <c r="N187" s="18"/>
      <c r="O187" s="235"/>
      <c r="P187" s="235"/>
      <c r="Q187" s="231" t="str">
        <f t="shared" si="79"/>
        <v>. Radiator, A/C Condenser Radiator</v>
      </c>
      <c r="R187" s="231"/>
      <c r="S187" s="231" t="str">
        <f t="shared" si="81"/>
        <v/>
      </c>
      <c r="T187" s="231" t="str">
        <f>IF(O187&lt;&gt;"",_xlfn.XLOOKUP(O187,'3D. Pictures'!B:B,'3D. Pictures'!E:E,"NOT FOUND",0,1),"")</f>
        <v/>
      </c>
      <c r="U187" s="18"/>
      <c r="V187" s="16"/>
      <c r="W187" s="18"/>
      <c r="X187" s="16"/>
      <c r="Y187" s="16"/>
      <c r="Z187" s="16"/>
      <c r="AA187" s="10" t="s">
        <v>2546</v>
      </c>
      <c r="AB187" s="10" t="s">
        <v>2546</v>
      </c>
      <c r="AC187" s="359" t="str">
        <f t="shared" si="80"/>
        <v>the smaller skinnier one</v>
      </c>
      <c r="AD187" s="10"/>
      <c r="AE187" s="10" t="s">
        <v>2540</v>
      </c>
      <c r="AF187" s="168" t="s">
        <v>543</v>
      </c>
      <c r="AG187" s="177"/>
      <c r="AH187" s="366"/>
      <c r="AI187" s="380" t="str">
        <f t="shared" si="82"/>
        <v/>
      </c>
      <c r="AJ187" s="3" t="s">
        <v>2176</v>
      </c>
      <c r="AK187" s="3" t="s">
        <v>425</v>
      </c>
      <c r="AL187" s="204" t="s">
        <v>2177</v>
      </c>
      <c r="AN187"/>
      <c r="AO187" t="s">
        <v>572</v>
      </c>
      <c r="AX187" s="279" t="str">
        <f t="shared" si="98"/>
        <v/>
      </c>
    </row>
    <row r="188" spans="1:50" x14ac:dyDescent="0.25">
      <c r="A188" s="190" t="str">
        <f t="shared" si="69"/>
        <v/>
      </c>
      <c r="B188" s="279" t="str">
        <f t="shared" si="12"/>
        <v/>
      </c>
      <c r="C188" s="279"/>
      <c r="D188" s="279"/>
      <c r="E188" s="279" t="str">
        <f t="shared" si="78"/>
        <v/>
      </c>
      <c r="F188" t="s">
        <v>535</v>
      </c>
      <c r="G188" s="188">
        <v>44684</v>
      </c>
      <c r="H188" s="159"/>
      <c r="I188" s="174"/>
      <c r="J188" s="10" t="s">
        <v>405</v>
      </c>
      <c r="K188" s="10" t="s">
        <v>2759</v>
      </c>
      <c r="L188" s="10" t="s">
        <v>2677</v>
      </c>
      <c r="M188" s="16" t="s">
        <v>559</v>
      </c>
      <c r="N188" s="16"/>
      <c r="O188" s="166"/>
      <c r="P188" s="166"/>
      <c r="Q188" s="231" t="str">
        <f t="shared" si="79"/>
        <v>. Support Cross Bars, Engine Bays</v>
      </c>
      <c r="R188" s="231"/>
      <c r="S188" s="231" t="str">
        <f t="shared" si="81"/>
        <v/>
      </c>
      <c r="T188" s="231" t="str">
        <f>IF(O188&lt;&gt;"",_xlfn.XLOOKUP(O188,'3D. Pictures'!B:B,'3D. Pictures'!E:E,"NOT FOUND",0,1),"")</f>
        <v/>
      </c>
      <c r="U188" s="16"/>
      <c r="V188" s="16"/>
      <c r="W188" s="16"/>
      <c r="X188" s="16"/>
      <c r="Y188" s="16"/>
      <c r="Z188" s="16"/>
      <c r="AA188" s="10" t="s">
        <v>2542</v>
      </c>
      <c r="AB188" s="10" t="s">
        <v>2542</v>
      </c>
      <c r="AC188" s="359" t="str">
        <f t="shared" si="80"/>
        <v>all aluminum big long one &amp; 2 smaller identical ones</v>
      </c>
      <c r="AD188" s="10"/>
      <c r="AE188" s="10" t="s">
        <v>2541</v>
      </c>
      <c r="AF188" s="168" t="s">
        <v>543</v>
      </c>
      <c r="AG188" s="10"/>
      <c r="AH188" s="10"/>
      <c r="AI188" s="380" t="str">
        <f t="shared" si="82"/>
        <v/>
      </c>
      <c r="AJ188" s="3" t="s">
        <v>408</v>
      </c>
      <c r="AK188" s="3" t="s">
        <v>425</v>
      </c>
      <c r="AL188" s="3" t="s">
        <v>2175</v>
      </c>
      <c r="AN188"/>
      <c r="AX188" s="279" t="str">
        <f t="shared" si="98"/>
        <v/>
      </c>
    </row>
    <row r="189" spans="1:50" x14ac:dyDescent="0.25">
      <c r="A189" s="190" t="str">
        <f t="shared" si="69"/>
        <v/>
      </c>
      <c r="B189" s="279" t="str">
        <f t="shared" si="12"/>
        <v/>
      </c>
      <c r="C189" s="279"/>
      <c r="D189" s="279"/>
      <c r="E189" s="279" t="str">
        <f t="shared" si="78"/>
        <v/>
      </c>
      <c r="F189" t="s">
        <v>535</v>
      </c>
      <c r="G189" s="188">
        <v>44683</v>
      </c>
      <c r="H189" s="10"/>
      <c r="I189" s="10"/>
      <c r="J189" s="10" t="s">
        <v>405</v>
      </c>
      <c r="K189" s="10" t="s">
        <v>2759</v>
      </c>
      <c r="L189" s="10" t="s">
        <v>2679</v>
      </c>
      <c r="M189" s="16" t="s">
        <v>559</v>
      </c>
      <c r="N189" s="16"/>
      <c r="O189" s="166"/>
      <c r="P189" s="166"/>
      <c r="Q189" s="231" t="str">
        <f t="shared" si="79"/>
        <v>. Water Heater Coolant Control Valve Solenoid Pump</v>
      </c>
      <c r="R189" s="231"/>
      <c r="S189" s="231" t="str">
        <f t="shared" si="81"/>
        <v/>
      </c>
      <c r="T189" s="231" t="str">
        <f>IF(O189&lt;&gt;"",_xlfn.XLOOKUP(O189,'3D. Pictures'!B:B,'3D. Pictures'!E:E,"NOT FOUND",0,1),"")</f>
        <v/>
      </c>
      <c r="U189" s="16"/>
      <c r="V189" s="16"/>
      <c r="W189" s="16"/>
      <c r="X189" s="16"/>
      <c r="Y189" s="16"/>
      <c r="Z189" s="16"/>
      <c r="AA189" s="10" t="s">
        <v>2545</v>
      </c>
      <c r="AB189" s="10" t="s">
        <v>2545</v>
      </c>
      <c r="AC189" s="359" t="str">
        <f t="shared" si="80"/>
        <v>small black w/ 2 solenoids &amp; 3 tubes coming off it</v>
      </c>
      <c r="AD189" s="10"/>
      <c r="AE189" s="10" t="s">
        <v>2543</v>
      </c>
      <c r="AF189" s="168" t="s">
        <v>543</v>
      </c>
      <c r="AG189" s="177"/>
      <c r="AH189" s="366"/>
      <c r="AI189" s="380" t="str">
        <f t="shared" si="82"/>
        <v/>
      </c>
      <c r="AJ189" s="3" t="s">
        <v>408</v>
      </c>
      <c r="AK189" s="3" t="s">
        <v>425</v>
      </c>
      <c r="AL189" s="3" t="s">
        <v>2175</v>
      </c>
      <c r="AN189"/>
      <c r="AX189" s="279" t="str">
        <f t="shared" si="98"/>
        <v/>
      </c>
    </row>
    <row r="190" spans="1:50" x14ac:dyDescent="0.25">
      <c r="A190" s="190" t="str">
        <f t="shared" si="69"/>
        <v/>
      </c>
      <c r="B190" s="279" t="str">
        <f t="shared" si="12"/>
        <v/>
      </c>
      <c r="C190" s="279"/>
      <c r="D190" s="279"/>
      <c r="E190" s="279" t="str">
        <f t="shared" si="78"/>
        <v/>
      </c>
      <c r="F190" t="s">
        <v>535</v>
      </c>
      <c r="G190" s="188">
        <v>44674</v>
      </c>
      <c r="H190" s="10"/>
      <c r="I190" s="10"/>
      <c r="J190" s="10" t="s">
        <v>405</v>
      </c>
      <c r="K190" s="10" t="s">
        <v>2759</v>
      </c>
      <c r="L190" s="10" t="s">
        <v>2678</v>
      </c>
      <c r="M190" s="164" t="s">
        <v>558</v>
      </c>
      <c r="N190" s="164"/>
      <c r="O190" s="234"/>
      <c r="P190" s="234"/>
      <c r="Q190" s="231" t="str">
        <f t="shared" si="79"/>
        <v>. Wiper Motor &amp; Transmission Linkage</v>
      </c>
      <c r="R190" s="231"/>
      <c r="S190" s="231" t="str">
        <f t="shared" si="81"/>
        <v/>
      </c>
      <c r="T190" s="231" t="str">
        <f>IF(O190&lt;&gt;"",_xlfn.XLOOKUP(O190,'3D. Pictures'!B:B,'3D. Pictures'!E:E,"NOT FOUND",0,1),"")</f>
        <v/>
      </c>
      <c r="U190" s="164"/>
      <c r="V190" s="16"/>
      <c r="W190" s="164"/>
      <c r="X190" s="16"/>
      <c r="Y190" s="205"/>
      <c r="Z190" s="16"/>
      <c r="AA190" s="10" t="s">
        <v>2547</v>
      </c>
      <c r="AB190" s="10" t="s">
        <v>2547</v>
      </c>
      <c r="AC190" s="359" t="str">
        <f t="shared" si="80"/>
        <v/>
      </c>
      <c r="AD190" s="10"/>
      <c r="AE190" s="10"/>
      <c r="AF190" s="168" t="s">
        <v>543</v>
      </c>
      <c r="AG190" s="177"/>
      <c r="AH190" s="366"/>
      <c r="AI190" s="380" t="str">
        <f t="shared" si="82"/>
        <v/>
      </c>
      <c r="AJ190" s="3" t="s">
        <v>408</v>
      </c>
      <c r="AK190" s="3" t="s">
        <v>425</v>
      </c>
      <c r="AL190" s="3" t="s">
        <v>2175</v>
      </c>
      <c r="AN190"/>
      <c r="AO190" t="s">
        <v>572</v>
      </c>
      <c r="AX190" s="279" t="str">
        <f t="shared" si="98"/>
        <v/>
      </c>
    </row>
    <row r="191" spans="1:50" x14ac:dyDescent="0.25">
      <c r="A191" s="190" t="str">
        <f t="shared" si="69"/>
        <v/>
      </c>
      <c r="B191" s="241" t="str">
        <f t="shared" ref="B191:B192" si="108">IF(AQ191&lt;&gt;"",AQ191,"")</f>
        <v/>
      </c>
      <c r="C191" s="241"/>
      <c r="D191" s="241"/>
      <c r="E191" s="241" t="str">
        <f t="shared" si="78"/>
        <v/>
      </c>
      <c r="F191" s="241" t="s">
        <v>535</v>
      </c>
      <c r="G191" s="242">
        <v>45233</v>
      </c>
      <c r="H191" s="287"/>
      <c r="I191" s="288"/>
      <c r="J191" s="263" t="s">
        <v>405</v>
      </c>
      <c r="K191" s="263" t="s">
        <v>2758</v>
      </c>
      <c r="L191" s="263" t="s">
        <v>2680</v>
      </c>
      <c r="M191" s="289" t="s">
        <v>562</v>
      </c>
      <c r="N191" s="289"/>
      <c r="O191" s="290"/>
      <c r="P191" s="290"/>
      <c r="Q191" s="231" t="str">
        <f t="shared" si="79"/>
        <v>. Bumper Impact Reinforcement Bar, REAR</v>
      </c>
      <c r="R191" s="291"/>
      <c r="S191" s="291" t="str">
        <f t="shared" si="81"/>
        <v/>
      </c>
      <c r="T191" s="291" t="str">
        <f>IF(O191&lt;&gt;"",_xlfn.XLOOKUP(O191,'3D. Pictures'!B:B,'3D. Pictures'!E:E,"NOT FOUND",0,1),"")</f>
        <v/>
      </c>
      <c r="U191" s="289"/>
      <c r="V191" s="263"/>
      <c r="W191" s="289"/>
      <c r="X191" s="263"/>
      <c r="Y191" s="16"/>
      <c r="Z191" s="263"/>
      <c r="AA191" s="263" t="s">
        <v>2186</v>
      </c>
      <c r="AB191" s="263" t="s">
        <v>2186</v>
      </c>
      <c r="AC191" s="359" t="str">
        <f t="shared" si="80"/>
        <v/>
      </c>
      <c r="AD191" s="263"/>
      <c r="AE191" s="263"/>
      <c r="AF191" s="292"/>
      <c r="AG191" s="263"/>
      <c r="AH191" s="10"/>
      <c r="AI191" s="380" t="str">
        <f t="shared" si="82"/>
        <v/>
      </c>
      <c r="AJ191" s="246" t="s">
        <v>408</v>
      </c>
      <c r="AK191" s="246" t="s">
        <v>425</v>
      </c>
      <c r="AL191" s="246" t="s">
        <v>2175</v>
      </c>
      <c r="AM191" s="241"/>
      <c r="AN191" s="251"/>
      <c r="AO191" s="241" t="s">
        <v>572</v>
      </c>
      <c r="AP191" s="241"/>
      <c r="AQ191" s="241"/>
      <c r="AR191" s="241"/>
      <c r="AS191" s="241"/>
      <c r="AT191" s="241"/>
      <c r="AU191" s="241"/>
      <c r="AV191" s="303" t="s">
        <v>2450</v>
      </c>
      <c r="AW191" s="241" t="s">
        <v>2451</v>
      </c>
      <c r="AX191" s="279" t="str">
        <f t="shared" si="98"/>
        <v>F15-14-18-ALL-Viking84</v>
      </c>
    </row>
    <row r="192" spans="1:50" x14ac:dyDescent="0.25">
      <c r="A192" s="190" t="str">
        <f t="shared" si="69"/>
        <v/>
      </c>
      <c r="B192" s="241" t="str">
        <f t="shared" si="108"/>
        <v/>
      </c>
      <c r="C192" s="241"/>
      <c r="D192" s="241"/>
      <c r="E192" s="241" t="str">
        <f t="shared" si="78"/>
        <v/>
      </c>
      <c r="F192" s="241" t="s">
        <v>535</v>
      </c>
      <c r="G192" s="242">
        <v>45244</v>
      </c>
      <c r="H192" s="264"/>
      <c r="I192" s="196"/>
      <c r="J192" s="243" t="s">
        <v>402</v>
      </c>
      <c r="K192" s="243" t="s">
        <v>2758</v>
      </c>
      <c r="L192" s="243" t="s">
        <v>2680</v>
      </c>
      <c r="M192" s="262" t="s">
        <v>562</v>
      </c>
      <c r="N192" s="262"/>
      <c r="O192" s="268"/>
      <c r="P192" s="268"/>
      <c r="Q192" s="231" t="str">
        <f t="shared" si="79"/>
        <v>. Bumper Bar and Headlight Mounting Bracket, LEFT</v>
      </c>
      <c r="R192" s="244"/>
      <c r="S192" s="244" t="str">
        <f t="shared" si="81"/>
        <v/>
      </c>
      <c r="T192" s="244" t="str">
        <f>IF(O192&lt;&gt;"",_xlfn.XLOOKUP(O192,'3D. Pictures'!B:B,'3D. Pictures'!E:E,"NOT FOUND",0,1),"")</f>
        <v/>
      </c>
      <c r="U192" s="262"/>
      <c r="V192" s="243"/>
      <c r="W192" s="262"/>
      <c r="X192" s="243"/>
      <c r="Y192" s="16"/>
      <c r="Z192" s="243"/>
      <c r="AA192" s="243" t="s">
        <v>2187</v>
      </c>
      <c r="AB192" s="243" t="s">
        <v>2187</v>
      </c>
      <c r="AC192" s="358" t="str">
        <f t="shared" si="80"/>
        <v/>
      </c>
      <c r="AD192" s="243"/>
      <c r="AE192" s="243"/>
      <c r="AF192" s="179" t="s">
        <v>543</v>
      </c>
      <c r="AG192" s="243"/>
      <c r="AH192" s="16">
        <v>150</v>
      </c>
      <c r="AI192" s="380">
        <f t="shared" si="82"/>
        <v>150</v>
      </c>
      <c r="AJ192" s="246" t="s">
        <v>408</v>
      </c>
      <c r="AK192" s="246" t="s">
        <v>425</v>
      </c>
      <c r="AL192" s="246" t="s">
        <v>2175</v>
      </c>
      <c r="AM192" s="241"/>
      <c r="AN192" s="251"/>
      <c r="AO192" s="241" t="s">
        <v>572</v>
      </c>
      <c r="AP192" s="241"/>
      <c r="AQ192" s="241"/>
      <c r="AR192" s="241"/>
      <c r="AS192" s="241" t="s">
        <v>1028</v>
      </c>
      <c r="AT192" s="241" t="s">
        <v>1029</v>
      </c>
      <c r="AU192" s="241" t="s">
        <v>1030</v>
      </c>
      <c r="AV192" s="303" t="str">
        <f t="shared" ref="AV192:AV193" si="109">CONCATENATE(AS192,"-",AT192,"-",AU192)</f>
        <v>F15-14-18-ALL</v>
      </c>
      <c r="AW192" s="241" t="s">
        <v>2377</v>
      </c>
      <c r="AX192" s="279" t="str">
        <f t="shared" si="98"/>
        <v>F15-14-18-ALL-Viking11</v>
      </c>
    </row>
    <row r="193" spans="1:50" x14ac:dyDescent="0.25">
      <c r="A193" s="190" t="str">
        <f t="shared" si="69"/>
        <v/>
      </c>
      <c r="B193" s="241" t="str">
        <f t="shared" ref="B193" si="110">IF(AQ193&lt;&gt;"",AQ193,"")</f>
        <v/>
      </c>
      <c r="C193" s="241"/>
      <c r="D193" s="241"/>
      <c r="E193" s="241" t="str">
        <f t="shared" si="78"/>
        <v/>
      </c>
      <c r="F193" s="241" t="s">
        <v>535</v>
      </c>
      <c r="G193" s="242">
        <v>45244</v>
      </c>
      <c r="H193" s="264"/>
      <c r="I193" s="196"/>
      <c r="J193" s="243" t="s">
        <v>402</v>
      </c>
      <c r="K193" s="243" t="s">
        <v>2758</v>
      </c>
      <c r="L193" s="243" t="s">
        <v>2680</v>
      </c>
      <c r="M193" s="262" t="s">
        <v>562</v>
      </c>
      <c r="N193" s="262"/>
      <c r="O193" s="268"/>
      <c r="P193" s="268"/>
      <c r="Q193" s="231" t="str">
        <f t="shared" si="79"/>
        <v>. Bumper Bar and Headlight Mounting Bracket, RIGHT</v>
      </c>
      <c r="R193" s="244"/>
      <c r="S193" s="244" t="str">
        <f t="shared" si="81"/>
        <v/>
      </c>
      <c r="T193" s="244" t="str">
        <f>IF(O193&lt;&gt;"",_xlfn.XLOOKUP(O193,'3D. Pictures'!B:B,'3D. Pictures'!E:E,"NOT FOUND",0,1),"")</f>
        <v/>
      </c>
      <c r="U193" s="262"/>
      <c r="V193" s="243"/>
      <c r="W193" s="262"/>
      <c r="X193" s="243"/>
      <c r="Y193" s="16"/>
      <c r="Z193" s="243"/>
      <c r="AA193" s="243" t="s">
        <v>2188</v>
      </c>
      <c r="AB193" s="243" t="s">
        <v>2188</v>
      </c>
      <c r="AC193" s="358" t="str">
        <f t="shared" si="80"/>
        <v/>
      </c>
      <c r="AD193" s="243"/>
      <c r="AE193" s="243"/>
      <c r="AF193" s="179" t="s">
        <v>543</v>
      </c>
      <c r="AG193" s="243"/>
      <c r="AH193" s="16">
        <v>150</v>
      </c>
      <c r="AI193" s="380">
        <f t="shared" si="82"/>
        <v>150</v>
      </c>
      <c r="AJ193" s="246" t="s">
        <v>408</v>
      </c>
      <c r="AK193" s="246" t="s">
        <v>425</v>
      </c>
      <c r="AL193" s="246" t="s">
        <v>2175</v>
      </c>
      <c r="AM193" s="241"/>
      <c r="AN193" s="251"/>
      <c r="AO193" s="241" t="s">
        <v>572</v>
      </c>
      <c r="AP193" s="241"/>
      <c r="AQ193" s="241"/>
      <c r="AR193" s="241"/>
      <c r="AS193" s="241" t="s">
        <v>1028</v>
      </c>
      <c r="AT193" s="241" t="s">
        <v>1029</v>
      </c>
      <c r="AU193" s="241" t="s">
        <v>1030</v>
      </c>
      <c r="AV193" s="303" t="str">
        <f t="shared" si="109"/>
        <v>F15-14-18-ALL</v>
      </c>
      <c r="AW193" s="241" t="s">
        <v>2378</v>
      </c>
      <c r="AX193" s="279" t="str">
        <f t="shared" si="98"/>
        <v>F15-14-18-ALL-Viking12</v>
      </c>
    </row>
    <row r="194" spans="1:50" x14ac:dyDescent="0.25">
      <c r="A194" s="190" t="str">
        <f t="shared" ref="A194:A258" si="111">IF(O194&lt;&gt;"",O194,"")</f>
        <v/>
      </c>
      <c r="B194" s="279" t="str">
        <f t="shared" ref="B194:B227" si="112">IF(AQ194&lt;&gt;"",AQ194,"")</f>
        <v/>
      </c>
      <c r="C194" s="279"/>
      <c r="D194" s="279"/>
      <c r="E194" s="279" t="str">
        <f t="shared" si="78"/>
        <v/>
      </c>
      <c r="F194" t="s">
        <v>536</v>
      </c>
      <c r="G194" s="188">
        <v>44993</v>
      </c>
      <c r="H194" s="158"/>
      <c r="I194" s="164"/>
      <c r="J194" s="16" t="s">
        <v>402</v>
      </c>
      <c r="K194" s="16" t="s">
        <v>2758</v>
      </c>
      <c r="L194" s="16" t="s">
        <v>2680</v>
      </c>
      <c r="M194" s="18" t="s">
        <v>562</v>
      </c>
      <c r="N194" s="18"/>
      <c r="O194" s="235"/>
      <c r="P194" s="235"/>
      <c r="Q194" s="231" t="str">
        <f t="shared" si="79"/>
        <v>. Bumper Reinforcement Bracket, FRONT SET 2</v>
      </c>
      <c r="R194" s="231"/>
      <c r="S194" s="231" t="str">
        <f t="shared" si="81"/>
        <v/>
      </c>
      <c r="T194" s="231" t="str">
        <f>IF(O194&lt;&gt;"",_xlfn.XLOOKUP(O194,'3D. Pictures'!B:B,'3D. Pictures'!E:E,"NOT FOUND",0,1),"")</f>
        <v/>
      </c>
      <c r="U194" s="18"/>
      <c r="V194" s="16"/>
      <c r="W194" s="18"/>
      <c r="X194" s="16"/>
      <c r="Y194" s="16"/>
      <c r="Z194" s="16"/>
      <c r="AA194" s="16" t="s">
        <v>2815</v>
      </c>
      <c r="AB194" s="16" t="s">
        <v>2489</v>
      </c>
      <c r="AC194" s="358" t="str">
        <f t="shared" si="80"/>
        <v>SET 2, sell singles if 1 bad</v>
      </c>
      <c r="AD194" s="16" t="s">
        <v>2550</v>
      </c>
      <c r="AE194" s="16"/>
      <c r="AF194" s="168" t="s">
        <v>544</v>
      </c>
      <c r="AG194" s="16"/>
      <c r="AH194" s="16">
        <v>160</v>
      </c>
      <c r="AI194" s="380">
        <f t="shared" si="82"/>
        <v>113.33333333333333</v>
      </c>
      <c r="AJ194" s="3" t="s">
        <v>408</v>
      </c>
      <c r="AK194" s="3" t="s">
        <v>425</v>
      </c>
      <c r="AL194" s="3" t="s">
        <v>2175</v>
      </c>
      <c r="AO194" t="s">
        <v>572</v>
      </c>
      <c r="AX194" s="279" t="str">
        <f t="shared" si="98"/>
        <v/>
      </c>
    </row>
    <row r="195" spans="1:50" x14ac:dyDescent="0.25">
      <c r="A195" s="190" t="str">
        <f t="shared" ref="A195" si="113">IF(O195&lt;&gt;"",O195,"")</f>
        <v/>
      </c>
      <c r="B195" s="279" t="str">
        <f t="shared" ref="B195" si="114">IF(AQ195&lt;&gt;"",AQ195,"")</f>
        <v/>
      </c>
      <c r="C195" s="279"/>
      <c r="D195" s="279"/>
      <c r="E195" s="279" t="str">
        <f t="shared" si="78"/>
        <v/>
      </c>
      <c r="F195" t="s">
        <v>536</v>
      </c>
      <c r="G195" s="188">
        <v>44993</v>
      </c>
      <c r="H195" s="158"/>
      <c r="I195" s="164"/>
      <c r="J195" s="16" t="s">
        <v>402</v>
      </c>
      <c r="K195" s="16" t="s">
        <v>2758</v>
      </c>
      <c r="L195" s="16" t="s">
        <v>2680</v>
      </c>
      <c r="M195" s="18" t="s">
        <v>562</v>
      </c>
      <c r="N195" s="18"/>
      <c r="O195" s="235"/>
      <c r="P195" s="235"/>
      <c r="Q195" s="231" t="str">
        <f t="shared" si="79"/>
        <v>. Bumper Reinforcement Bracket, FRONT - LEFT</v>
      </c>
      <c r="R195" s="231"/>
      <c r="S195" s="231" t="str">
        <f t="shared" si="81"/>
        <v/>
      </c>
      <c r="T195" s="231" t="str">
        <f>IF(O195&lt;&gt;"",_xlfn.XLOOKUP(O195,'3D. Pictures'!B:B,'3D. Pictures'!E:E,"NOT FOUND",0,1),"")</f>
        <v/>
      </c>
      <c r="U195" s="18"/>
      <c r="V195" s="16"/>
      <c r="W195" s="18"/>
      <c r="X195" s="16"/>
      <c r="Y195" s="16"/>
      <c r="Z195" s="16"/>
      <c r="AA195" s="16" t="s">
        <v>2815</v>
      </c>
      <c r="AB195" s="16" t="s">
        <v>2548</v>
      </c>
      <c r="AC195" s="358" t="str">
        <f t="shared" si="80"/>
        <v/>
      </c>
      <c r="AD195" s="16"/>
      <c r="AE195" s="16"/>
      <c r="AF195" s="168" t="s">
        <v>543</v>
      </c>
      <c r="AG195" s="16"/>
      <c r="AH195" s="16">
        <v>90</v>
      </c>
      <c r="AI195" s="380">
        <f t="shared" si="82"/>
        <v>113.33333333333333</v>
      </c>
      <c r="AJ195" s="3" t="s">
        <v>408</v>
      </c>
      <c r="AK195" s="3" t="s">
        <v>425</v>
      </c>
      <c r="AL195" s="3" t="s">
        <v>2175</v>
      </c>
      <c r="AO195" t="s">
        <v>572</v>
      </c>
      <c r="AX195" s="279" t="str">
        <f t="shared" ref="AX195" si="115">IF(AW195&lt;&gt;"",_xlfn.TEXTJOIN("-",TRUE,AV195,AW195),"")</f>
        <v/>
      </c>
    </row>
    <row r="196" spans="1:50" x14ac:dyDescent="0.25">
      <c r="A196" s="190" t="str">
        <f t="shared" ref="A196" si="116">IF(O196&lt;&gt;"",O196,"")</f>
        <v/>
      </c>
      <c r="B196" s="279" t="str">
        <f t="shared" ref="B196" si="117">IF(AQ196&lt;&gt;"",AQ196,"")</f>
        <v/>
      </c>
      <c r="C196" s="279"/>
      <c r="D196" s="279"/>
      <c r="E196" s="279" t="str">
        <f t="shared" si="78"/>
        <v/>
      </c>
      <c r="F196" t="s">
        <v>536</v>
      </c>
      <c r="G196" s="188">
        <v>44993</v>
      </c>
      <c r="H196" s="158"/>
      <c r="I196" s="164"/>
      <c r="J196" s="16" t="s">
        <v>402</v>
      </c>
      <c r="K196" s="16" t="s">
        <v>2758</v>
      </c>
      <c r="L196" s="16" t="s">
        <v>2680</v>
      </c>
      <c r="M196" s="18" t="s">
        <v>562</v>
      </c>
      <c r="N196" s="18"/>
      <c r="O196" s="235"/>
      <c r="P196" s="235"/>
      <c r="Q196" s="231" t="str">
        <f t="shared" si="79"/>
        <v>. Bumper Reinforcement Bracket, FRONT - RIGHT</v>
      </c>
      <c r="R196" s="231"/>
      <c r="S196" s="231" t="str">
        <f t="shared" si="81"/>
        <v/>
      </c>
      <c r="T196" s="231" t="str">
        <f>IF(O196&lt;&gt;"",_xlfn.XLOOKUP(O196,'3D. Pictures'!B:B,'3D. Pictures'!E:E,"NOT FOUND",0,1),"")</f>
        <v/>
      </c>
      <c r="U196" s="18"/>
      <c r="V196" s="16"/>
      <c r="W196" s="18"/>
      <c r="X196" s="16"/>
      <c r="Y196" s="16"/>
      <c r="Z196" s="16"/>
      <c r="AA196" s="16" t="s">
        <v>2815</v>
      </c>
      <c r="AB196" s="16" t="s">
        <v>2549</v>
      </c>
      <c r="AC196" s="358" t="str">
        <f t="shared" si="80"/>
        <v/>
      </c>
      <c r="AD196" s="16"/>
      <c r="AE196" s="16"/>
      <c r="AF196" s="168" t="s">
        <v>543</v>
      </c>
      <c r="AG196" s="16"/>
      <c r="AH196" s="16">
        <v>90</v>
      </c>
      <c r="AI196" s="380">
        <f t="shared" si="82"/>
        <v>113.33333333333333</v>
      </c>
      <c r="AJ196" s="3" t="s">
        <v>408</v>
      </c>
      <c r="AK196" s="3" t="s">
        <v>425</v>
      </c>
      <c r="AL196" s="3" t="s">
        <v>2175</v>
      </c>
      <c r="AO196" t="s">
        <v>572</v>
      </c>
      <c r="AX196" s="279" t="str">
        <f t="shared" ref="AX196" si="118">IF(AW196&lt;&gt;"",_xlfn.TEXTJOIN("-",TRUE,AV196,AW196),"")</f>
        <v/>
      </c>
    </row>
    <row r="197" spans="1:50" x14ac:dyDescent="0.25">
      <c r="A197" s="190" t="str">
        <f t="shared" si="111"/>
        <v/>
      </c>
      <c r="B197" s="279" t="str">
        <f t="shared" si="112"/>
        <v>104-60051</v>
      </c>
      <c r="C197" s="279"/>
      <c r="D197" s="279"/>
      <c r="E197" s="279">
        <f t="shared" si="78"/>
        <v>1</v>
      </c>
      <c r="F197" s="190" t="s">
        <v>535</v>
      </c>
      <c r="G197" s="198">
        <v>45209</v>
      </c>
      <c r="H197" s="209"/>
      <c r="I197" s="218"/>
      <c r="J197" s="201" t="s">
        <v>402</v>
      </c>
      <c r="K197" s="201" t="s">
        <v>2758</v>
      </c>
      <c r="L197" s="205" t="s">
        <v>676</v>
      </c>
      <c r="M197" s="192" t="s">
        <v>558</v>
      </c>
      <c r="N197" s="192"/>
      <c r="O197" s="229"/>
      <c r="P197" s="229"/>
      <c r="Q197" s="231" t="str">
        <f t="shared" si="79"/>
        <v>. Grille, LOWER BUMPER - CENTER</v>
      </c>
      <c r="R197" s="231"/>
      <c r="S197" s="231" t="str">
        <f t="shared" si="81"/>
        <v/>
      </c>
      <c r="T197" s="231" t="str">
        <f>IF(O197&lt;&gt;"",_xlfn.XLOOKUP(O197,'3D. Pictures'!B:B,'3D. Pictures'!E:E,"NOT FOUND",0,1),"")</f>
        <v/>
      </c>
      <c r="U197" s="192"/>
      <c r="V197" s="205"/>
      <c r="W197" s="192"/>
      <c r="X197" s="205"/>
      <c r="Y197" s="16"/>
      <c r="Z197" s="205"/>
      <c r="AA197" s="201" t="s">
        <v>695</v>
      </c>
      <c r="AB197" s="201" t="s">
        <v>695</v>
      </c>
      <c r="AC197" s="247" t="str">
        <f t="shared" si="80"/>
        <v/>
      </c>
      <c r="AD197" s="201"/>
      <c r="AE197" s="201"/>
      <c r="AF197" s="201" t="s">
        <v>543</v>
      </c>
      <c r="AG197" s="201"/>
      <c r="AH197" s="367">
        <v>150</v>
      </c>
      <c r="AI197" s="380">
        <f t="shared" si="82"/>
        <v>150</v>
      </c>
      <c r="AJ197" s="204" t="s">
        <v>408</v>
      </c>
      <c r="AK197" s="204" t="s">
        <v>425</v>
      </c>
      <c r="AL197" s="204" t="s">
        <v>2175</v>
      </c>
      <c r="AM197" s="219"/>
      <c r="AN197" s="191" t="s">
        <v>621</v>
      </c>
      <c r="AO197" s="190" t="s">
        <v>572</v>
      </c>
      <c r="AP197" s="190">
        <v>60051</v>
      </c>
      <c r="AQ197" s="190" t="str">
        <f t="shared" ref="AQ197:AQ212" si="119">CONCATENATE(AN197,AO197,AP197)</f>
        <v>104-60051</v>
      </c>
      <c r="AR197" s="190" t="s">
        <v>702</v>
      </c>
      <c r="AS197" s="190"/>
      <c r="AT197" s="190"/>
      <c r="AU197" s="190"/>
      <c r="AV197" s="190"/>
      <c r="AW197" s="190"/>
      <c r="AX197" s="279" t="str">
        <f t="shared" si="98"/>
        <v/>
      </c>
    </row>
    <row r="198" spans="1:50" x14ac:dyDescent="0.25">
      <c r="A198" s="190" t="str">
        <f t="shared" si="111"/>
        <v/>
      </c>
      <c r="B198" s="279" t="str">
        <f t="shared" si="112"/>
        <v>104-60052</v>
      </c>
      <c r="C198" s="279"/>
      <c r="D198" s="279"/>
      <c r="E198" s="279">
        <f t="shared" si="78"/>
        <v>1</v>
      </c>
      <c r="F198" s="190" t="s">
        <v>535</v>
      </c>
      <c r="G198" s="198">
        <v>45209</v>
      </c>
      <c r="H198" s="209"/>
      <c r="I198" s="218"/>
      <c r="J198" s="201" t="s">
        <v>402</v>
      </c>
      <c r="K198" s="201" t="s">
        <v>2758</v>
      </c>
      <c r="L198" s="205" t="s">
        <v>676</v>
      </c>
      <c r="M198" s="192" t="s">
        <v>558</v>
      </c>
      <c r="N198" s="192"/>
      <c r="O198" s="229"/>
      <c r="P198" s="229"/>
      <c r="Q198" s="231" t="str">
        <f t="shared" si="79"/>
        <v>. Grille, LOWER BUMPER - CENTER</v>
      </c>
      <c r="R198" s="231"/>
      <c r="S198" s="231" t="str">
        <f t="shared" si="81"/>
        <v/>
      </c>
      <c r="T198" s="231" t="str">
        <f>IF(O198&lt;&gt;"",_xlfn.XLOOKUP(O198,'3D. Pictures'!B:B,'3D. Pictures'!E:E,"NOT FOUND",0,1),"")</f>
        <v/>
      </c>
      <c r="U198" s="192"/>
      <c r="V198" s="205"/>
      <c r="W198" s="192"/>
      <c r="X198" s="205"/>
      <c r="Y198" s="16"/>
      <c r="Z198" s="205"/>
      <c r="AA198" s="201" t="s">
        <v>695</v>
      </c>
      <c r="AB198" s="201" t="s">
        <v>695</v>
      </c>
      <c r="AC198" s="247" t="str">
        <f t="shared" si="80"/>
        <v/>
      </c>
      <c r="AD198" s="201"/>
      <c r="AE198" s="201"/>
      <c r="AF198" s="201" t="s">
        <v>543</v>
      </c>
      <c r="AG198" s="201"/>
      <c r="AH198" s="367">
        <v>150</v>
      </c>
      <c r="AI198" s="380">
        <f t="shared" si="82"/>
        <v>150</v>
      </c>
      <c r="AJ198" s="204" t="s">
        <v>408</v>
      </c>
      <c r="AK198" s="204" t="s">
        <v>425</v>
      </c>
      <c r="AL198" s="204" t="s">
        <v>2175</v>
      </c>
      <c r="AM198" s="219"/>
      <c r="AN198" s="191" t="s">
        <v>621</v>
      </c>
      <c r="AO198" s="190" t="s">
        <v>572</v>
      </c>
      <c r="AP198" s="190">
        <v>60052</v>
      </c>
      <c r="AQ198" s="190" t="str">
        <f t="shared" si="119"/>
        <v>104-60052</v>
      </c>
      <c r="AR198" s="190" t="s">
        <v>703</v>
      </c>
      <c r="AS198" s="190"/>
      <c r="AT198" s="190"/>
      <c r="AU198" s="190"/>
      <c r="AV198" s="190"/>
      <c r="AW198" s="190"/>
      <c r="AX198" s="279" t="str">
        <f t="shared" si="98"/>
        <v/>
      </c>
    </row>
    <row r="199" spans="1:50" x14ac:dyDescent="0.25">
      <c r="A199" s="190" t="str">
        <f t="shared" si="111"/>
        <v/>
      </c>
      <c r="B199" s="279" t="str">
        <f t="shared" si="112"/>
        <v>104-60053A</v>
      </c>
      <c r="C199" s="279"/>
      <c r="D199" s="279"/>
      <c r="E199" s="279">
        <f t="shared" si="78"/>
        <v>1</v>
      </c>
      <c r="F199" s="190" t="s">
        <v>535</v>
      </c>
      <c r="G199" s="198">
        <v>45209</v>
      </c>
      <c r="H199" s="209"/>
      <c r="I199" s="218"/>
      <c r="J199" s="201" t="s">
        <v>402</v>
      </c>
      <c r="K199" s="201" t="s">
        <v>2758</v>
      </c>
      <c r="L199" s="205" t="s">
        <v>676</v>
      </c>
      <c r="M199" s="192" t="s">
        <v>558</v>
      </c>
      <c r="N199" s="192"/>
      <c r="O199" s="229"/>
      <c r="P199" s="229"/>
      <c r="Q199" s="231" t="str">
        <f t="shared" si="79"/>
        <v>. Grille, LOWER BUMPER - CENTER</v>
      </c>
      <c r="R199" s="231"/>
      <c r="S199" s="231" t="str">
        <f t="shared" si="81"/>
        <v/>
      </c>
      <c r="T199" s="231" t="str">
        <f>IF(O199&lt;&gt;"",_xlfn.XLOOKUP(O199,'3D. Pictures'!B:B,'3D. Pictures'!E:E,"NOT FOUND",0,1),"")</f>
        <v/>
      </c>
      <c r="U199" s="192"/>
      <c r="V199" s="205"/>
      <c r="W199" s="192"/>
      <c r="X199" s="205"/>
      <c r="Y199" s="16"/>
      <c r="Z199" s="205"/>
      <c r="AA199" s="201" t="s">
        <v>695</v>
      </c>
      <c r="AB199" s="201" t="s">
        <v>695</v>
      </c>
      <c r="AC199" s="247" t="str">
        <f t="shared" si="80"/>
        <v/>
      </c>
      <c r="AD199" s="201"/>
      <c r="AE199" s="201"/>
      <c r="AF199" s="201" t="s">
        <v>543</v>
      </c>
      <c r="AG199" s="201"/>
      <c r="AH199" s="367">
        <v>150</v>
      </c>
      <c r="AI199" s="380">
        <f t="shared" si="82"/>
        <v>150</v>
      </c>
      <c r="AJ199" s="204" t="s">
        <v>408</v>
      </c>
      <c r="AK199" s="204" t="s">
        <v>425</v>
      </c>
      <c r="AL199" s="204" t="s">
        <v>2175</v>
      </c>
      <c r="AM199" s="219"/>
      <c r="AN199" s="191" t="s">
        <v>621</v>
      </c>
      <c r="AO199" s="190" t="s">
        <v>572</v>
      </c>
      <c r="AP199" s="220" t="s">
        <v>696</v>
      </c>
      <c r="AQ199" s="190" t="str">
        <f t="shared" si="119"/>
        <v>104-60053A</v>
      </c>
      <c r="AR199" s="190" t="s">
        <v>704</v>
      </c>
      <c r="AS199" s="190"/>
      <c r="AT199" s="190"/>
      <c r="AU199" s="190"/>
      <c r="AV199" s="190"/>
      <c r="AW199" s="190"/>
      <c r="AX199" s="279" t="str">
        <f t="shared" si="98"/>
        <v/>
      </c>
    </row>
    <row r="200" spans="1:50" x14ac:dyDescent="0.25">
      <c r="A200" s="190" t="str">
        <f t="shared" si="111"/>
        <v/>
      </c>
      <c r="B200" s="279" t="str">
        <f t="shared" si="112"/>
        <v>104-60053B</v>
      </c>
      <c r="C200" s="279"/>
      <c r="D200" s="279"/>
      <c r="E200" s="279">
        <f t="shared" si="78"/>
        <v>1</v>
      </c>
      <c r="F200" s="190" t="s">
        <v>535</v>
      </c>
      <c r="G200" s="198">
        <v>45209</v>
      </c>
      <c r="H200" s="209"/>
      <c r="I200" s="218"/>
      <c r="J200" s="201" t="s">
        <v>402</v>
      </c>
      <c r="K200" s="201" t="s">
        <v>2758</v>
      </c>
      <c r="L200" s="205" t="s">
        <v>676</v>
      </c>
      <c r="M200" s="192" t="s">
        <v>558</v>
      </c>
      <c r="N200" s="192"/>
      <c r="O200" s="229"/>
      <c r="P200" s="229"/>
      <c r="Q200" s="231" t="str">
        <f t="shared" si="79"/>
        <v>. Grille, LOWER BUMPER - CENTER</v>
      </c>
      <c r="R200" s="231"/>
      <c r="S200" s="231" t="str">
        <f t="shared" si="81"/>
        <v/>
      </c>
      <c r="T200" s="231" t="str">
        <f>IF(O200&lt;&gt;"",_xlfn.XLOOKUP(O200,'3D. Pictures'!B:B,'3D. Pictures'!E:E,"NOT FOUND",0,1),"")</f>
        <v/>
      </c>
      <c r="U200" s="192"/>
      <c r="V200" s="205"/>
      <c r="W200" s="192"/>
      <c r="X200" s="205"/>
      <c r="Y200" s="16"/>
      <c r="Z200" s="205"/>
      <c r="AA200" s="201" t="s">
        <v>695</v>
      </c>
      <c r="AB200" s="201" t="s">
        <v>695</v>
      </c>
      <c r="AC200" s="247" t="str">
        <f t="shared" si="80"/>
        <v/>
      </c>
      <c r="AD200" s="201"/>
      <c r="AE200" s="201"/>
      <c r="AF200" s="201" t="s">
        <v>543</v>
      </c>
      <c r="AG200" s="201"/>
      <c r="AH200" s="367">
        <v>150</v>
      </c>
      <c r="AI200" s="380">
        <f t="shared" si="82"/>
        <v>150</v>
      </c>
      <c r="AJ200" s="204" t="s">
        <v>408</v>
      </c>
      <c r="AK200" s="204" t="s">
        <v>425</v>
      </c>
      <c r="AL200" s="204" t="s">
        <v>2175</v>
      </c>
      <c r="AM200" s="219"/>
      <c r="AN200" s="191" t="s">
        <v>621</v>
      </c>
      <c r="AO200" s="190" t="s">
        <v>572</v>
      </c>
      <c r="AP200" s="220" t="s">
        <v>697</v>
      </c>
      <c r="AQ200" s="190" t="str">
        <f t="shared" si="119"/>
        <v>104-60053B</v>
      </c>
      <c r="AR200" s="190" t="s">
        <v>705</v>
      </c>
      <c r="AS200" s="190"/>
      <c r="AT200" s="190"/>
      <c r="AU200" s="190"/>
      <c r="AV200" s="190"/>
      <c r="AW200" s="190"/>
      <c r="AX200" s="279" t="str">
        <f t="shared" si="98"/>
        <v/>
      </c>
    </row>
    <row r="201" spans="1:50" x14ac:dyDescent="0.25">
      <c r="A201" s="190" t="str">
        <f t="shared" si="111"/>
        <v/>
      </c>
      <c r="B201" s="279" t="str">
        <f t="shared" si="112"/>
        <v>104-60053C</v>
      </c>
      <c r="C201" s="279"/>
      <c r="D201" s="279"/>
      <c r="E201" s="279">
        <f t="shared" ref="E201:E264" si="120">IF(B201&lt;&gt;"",COUNTIF($B$9:$B$2241,B201),"")</f>
        <v>1</v>
      </c>
      <c r="F201" s="190" t="s">
        <v>535</v>
      </c>
      <c r="G201" s="198">
        <v>45209</v>
      </c>
      <c r="H201" s="209"/>
      <c r="I201" s="218"/>
      <c r="J201" s="201" t="s">
        <v>402</v>
      </c>
      <c r="K201" s="201" t="s">
        <v>2758</v>
      </c>
      <c r="L201" s="205" t="s">
        <v>676</v>
      </c>
      <c r="M201" s="192" t="s">
        <v>558</v>
      </c>
      <c r="N201" s="192"/>
      <c r="O201" s="229"/>
      <c r="P201" s="229"/>
      <c r="Q201" s="231" t="str">
        <f t="shared" ref="Q201:Q264" si="121">CONCATENATE(O201,". ",AB201)</f>
        <v>. Grille, LOWER BUMPER - CENTER</v>
      </c>
      <c r="R201" s="231"/>
      <c r="S201" s="231" t="str">
        <f t="shared" si="81"/>
        <v/>
      </c>
      <c r="T201" s="231" t="str">
        <f>IF(O201&lt;&gt;"",_xlfn.XLOOKUP(O201,'3D. Pictures'!B:B,'3D. Pictures'!E:E,"NOT FOUND",0,1),"")</f>
        <v/>
      </c>
      <c r="U201" s="192"/>
      <c r="V201" s="205"/>
      <c r="W201" s="192"/>
      <c r="X201" s="205"/>
      <c r="Y201" s="16"/>
      <c r="Z201" s="205"/>
      <c r="AA201" s="201" t="s">
        <v>695</v>
      </c>
      <c r="AB201" s="201" t="s">
        <v>695</v>
      </c>
      <c r="AC201" s="247" t="str">
        <f t="shared" si="80"/>
        <v/>
      </c>
      <c r="AD201" s="201"/>
      <c r="AE201" s="201"/>
      <c r="AF201" s="201" t="s">
        <v>543</v>
      </c>
      <c r="AG201" s="201"/>
      <c r="AH201" s="367">
        <v>150</v>
      </c>
      <c r="AI201" s="380">
        <f t="shared" si="82"/>
        <v>150</v>
      </c>
      <c r="AJ201" s="204" t="s">
        <v>408</v>
      </c>
      <c r="AK201" s="204" t="s">
        <v>425</v>
      </c>
      <c r="AL201" s="204" t="s">
        <v>2175</v>
      </c>
      <c r="AM201" s="219"/>
      <c r="AN201" s="191" t="s">
        <v>621</v>
      </c>
      <c r="AO201" s="190" t="s">
        <v>572</v>
      </c>
      <c r="AP201" s="220" t="s">
        <v>698</v>
      </c>
      <c r="AQ201" s="190" t="str">
        <f t="shared" si="119"/>
        <v>104-60053C</v>
      </c>
      <c r="AR201" s="190" t="s">
        <v>706</v>
      </c>
      <c r="AS201" s="190"/>
      <c r="AT201" s="190"/>
      <c r="AU201" s="190"/>
      <c r="AV201" s="190"/>
      <c r="AW201" s="190"/>
      <c r="AX201" s="279" t="str">
        <f t="shared" si="98"/>
        <v/>
      </c>
    </row>
    <row r="202" spans="1:50" x14ac:dyDescent="0.25">
      <c r="A202" s="190" t="str">
        <f t="shared" si="111"/>
        <v/>
      </c>
      <c r="B202" s="279" t="str">
        <f t="shared" si="112"/>
        <v>104-60054A</v>
      </c>
      <c r="C202" s="279"/>
      <c r="D202" s="279"/>
      <c r="E202" s="279">
        <f t="shared" si="120"/>
        <v>1</v>
      </c>
      <c r="F202" s="190" t="s">
        <v>535</v>
      </c>
      <c r="G202" s="198">
        <v>45209</v>
      </c>
      <c r="H202" s="209"/>
      <c r="I202" s="218"/>
      <c r="J202" s="201" t="s">
        <v>402</v>
      </c>
      <c r="K202" s="201" t="s">
        <v>2758</v>
      </c>
      <c r="L202" s="205" t="s">
        <v>676</v>
      </c>
      <c r="M202" s="192" t="s">
        <v>558</v>
      </c>
      <c r="N202" s="192"/>
      <c r="O202" s="229"/>
      <c r="P202" s="229"/>
      <c r="Q202" s="231" t="str">
        <f t="shared" si="121"/>
        <v>. Grille, LOWER BUMPER - CENTER</v>
      </c>
      <c r="R202" s="231"/>
      <c r="S202" s="231" t="str">
        <f t="shared" si="81"/>
        <v/>
      </c>
      <c r="T202" s="231" t="str">
        <f>IF(O202&lt;&gt;"",_xlfn.XLOOKUP(O202,'3D. Pictures'!B:B,'3D. Pictures'!E:E,"NOT FOUND",0,1),"")</f>
        <v/>
      </c>
      <c r="U202" s="192"/>
      <c r="V202" s="205"/>
      <c r="W202" s="192"/>
      <c r="X202" s="205"/>
      <c r="Y202" s="16"/>
      <c r="Z202" s="205"/>
      <c r="AA202" s="201" t="s">
        <v>695</v>
      </c>
      <c r="AB202" s="201" t="s">
        <v>695</v>
      </c>
      <c r="AC202" s="247" t="str">
        <f t="shared" si="80"/>
        <v/>
      </c>
      <c r="AD202" s="201"/>
      <c r="AE202" s="201"/>
      <c r="AF202" s="201" t="s">
        <v>543</v>
      </c>
      <c r="AG202" s="201"/>
      <c r="AH202" s="367">
        <v>150</v>
      </c>
      <c r="AI202" s="380">
        <f t="shared" si="82"/>
        <v>150</v>
      </c>
      <c r="AJ202" s="204" t="s">
        <v>408</v>
      </c>
      <c r="AK202" s="204" t="s">
        <v>425</v>
      </c>
      <c r="AL202" s="204" t="s">
        <v>2175</v>
      </c>
      <c r="AM202" s="219"/>
      <c r="AN202" s="191" t="s">
        <v>621</v>
      </c>
      <c r="AO202" s="190" t="s">
        <v>572</v>
      </c>
      <c r="AP202" s="220" t="s">
        <v>699</v>
      </c>
      <c r="AQ202" s="190" t="str">
        <f t="shared" si="119"/>
        <v>104-60054A</v>
      </c>
      <c r="AR202" s="190" t="s">
        <v>707</v>
      </c>
      <c r="AS202" s="190"/>
      <c r="AT202" s="190"/>
      <c r="AU202" s="190"/>
      <c r="AV202" s="190"/>
      <c r="AW202" s="190"/>
      <c r="AX202" s="279" t="str">
        <f t="shared" si="98"/>
        <v/>
      </c>
    </row>
    <row r="203" spans="1:50" x14ac:dyDescent="0.25">
      <c r="A203" s="190" t="str">
        <f t="shared" si="111"/>
        <v/>
      </c>
      <c r="B203" s="279" t="str">
        <f t="shared" si="112"/>
        <v>104-60054B</v>
      </c>
      <c r="C203" s="279"/>
      <c r="D203" s="279"/>
      <c r="E203" s="279">
        <f t="shared" si="120"/>
        <v>1</v>
      </c>
      <c r="F203" s="190" t="s">
        <v>535</v>
      </c>
      <c r="G203" s="198">
        <v>45209</v>
      </c>
      <c r="H203" s="209"/>
      <c r="I203" s="218"/>
      <c r="J203" s="201" t="s">
        <v>402</v>
      </c>
      <c r="K203" s="201" t="s">
        <v>2758</v>
      </c>
      <c r="L203" s="205" t="s">
        <v>676</v>
      </c>
      <c r="M203" s="192" t="s">
        <v>558</v>
      </c>
      <c r="N203" s="192"/>
      <c r="O203" s="229"/>
      <c r="P203" s="229"/>
      <c r="Q203" s="231" t="str">
        <f t="shared" si="121"/>
        <v>. Grille, LOWER BUMPER - CENTER</v>
      </c>
      <c r="R203" s="231"/>
      <c r="S203" s="231" t="str">
        <f t="shared" si="81"/>
        <v/>
      </c>
      <c r="T203" s="231" t="str">
        <f>IF(O203&lt;&gt;"",_xlfn.XLOOKUP(O203,'3D. Pictures'!B:B,'3D. Pictures'!E:E,"NOT FOUND",0,1),"")</f>
        <v/>
      </c>
      <c r="U203" s="192"/>
      <c r="V203" s="205"/>
      <c r="W203" s="192"/>
      <c r="X203" s="205"/>
      <c r="Y203" s="16"/>
      <c r="Z203" s="205"/>
      <c r="AA203" s="201" t="s">
        <v>695</v>
      </c>
      <c r="AB203" s="201" t="s">
        <v>695</v>
      </c>
      <c r="AC203" s="247" t="str">
        <f t="shared" ref="AC203:AC265" si="122">_xlfn.TEXTJOIN(" | ",TRUE,AD203,AE203)</f>
        <v/>
      </c>
      <c r="AD203" s="201"/>
      <c r="AE203" s="201"/>
      <c r="AF203" s="201" t="s">
        <v>543</v>
      </c>
      <c r="AG203" s="201"/>
      <c r="AH203" s="367">
        <v>150</v>
      </c>
      <c r="AI203" s="380">
        <f t="shared" si="82"/>
        <v>150</v>
      </c>
      <c r="AJ203" s="204" t="s">
        <v>408</v>
      </c>
      <c r="AK203" s="204" t="s">
        <v>425</v>
      </c>
      <c r="AL203" s="204" t="s">
        <v>2175</v>
      </c>
      <c r="AM203" s="219"/>
      <c r="AN203" s="191" t="s">
        <v>621</v>
      </c>
      <c r="AO203" s="190" t="s">
        <v>572</v>
      </c>
      <c r="AP203" s="220" t="s">
        <v>700</v>
      </c>
      <c r="AQ203" s="190" t="str">
        <f t="shared" si="119"/>
        <v>104-60054B</v>
      </c>
      <c r="AR203" s="190" t="s">
        <v>708</v>
      </c>
      <c r="AS203" s="190"/>
      <c r="AT203" s="190"/>
      <c r="AU203" s="190"/>
      <c r="AV203" s="190"/>
      <c r="AW203" s="190"/>
      <c r="AX203" s="279" t="str">
        <f t="shared" si="98"/>
        <v/>
      </c>
    </row>
    <row r="204" spans="1:50" x14ac:dyDescent="0.25">
      <c r="A204" s="190" t="str">
        <f t="shared" si="111"/>
        <v/>
      </c>
      <c r="B204" s="279" t="str">
        <f t="shared" si="112"/>
        <v>104-60054C</v>
      </c>
      <c r="C204" s="279"/>
      <c r="D204" s="279"/>
      <c r="E204" s="279">
        <f t="shared" si="120"/>
        <v>1</v>
      </c>
      <c r="F204" s="190" t="s">
        <v>535</v>
      </c>
      <c r="G204" s="198">
        <v>45209</v>
      </c>
      <c r="H204" s="209"/>
      <c r="I204" s="218"/>
      <c r="J204" s="201" t="s">
        <v>402</v>
      </c>
      <c r="K204" s="201" t="s">
        <v>2758</v>
      </c>
      <c r="L204" s="205" t="s">
        <v>676</v>
      </c>
      <c r="M204" s="192" t="s">
        <v>558</v>
      </c>
      <c r="N204" s="192"/>
      <c r="O204" s="229"/>
      <c r="P204" s="229"/>
      <c r="Q204" s="231" t="str">
        <f t="shared" si="121"/>
        <v>. Grille, LOWER BUMPER - CENTER</v>
      </c>
      <c r="R204" s="231"/>
      <c r="S204" s="231" t="str">
        <f t="shared" ref="S204:S267" si="123">IF(T204&lt;&gt;"",HYPERLINK(T204,"E.G."),"")</f>
        <v/>
      </c>
      <c r="T204" s="231" t="str">
        <f>IF(O204&lt;&gt;"",_xlfn.XLOOKUP(O204,'3D. Pictures'!B:B,'3D. Pictures'!E:E,"NOT FOUND",0,1),"")</f>
        <v/>
      </c>
      <c r="U204" s="192"/>
      <c r="V204" s="205"/>
      <c r="W204" s="192"/>
      <c r="X204" s="205"/>
      <c r="Y204" s="16"/>
      <c r="Z204" s="205"/>
      <c r="AA204" s="201" t="s">
        <v>695</v>
      </c>
      <c r="AB204" s="201" t="s">
        <v>695</v>
      </c>
      <c r="AC204" s="247" t="str">
        <f t="shared" si="122"/>
        <v/>
      </c>
      <c r="AD204" s="201"/>
      <c r="AE204" s="201"/>
      <c r="AF204" s="201" t="s">
        <v>543</v>
      </c>
      <c r="AG204" s="201"/>
      <c r="AH204" s="367">
        <v>150</v>
      </c>
      <c r="AI204" s="380">
        <f t="shared" si="82"/>
        <v>150</v>
      </c>
      <c r="AJ204" s="204" t="s">
        <v>408</v>
      </c>
      <c r="AK204" s="204" t="s">
        <v>425</v>
      </c>
      <c r="AL204" s="204" t="s">
        <v>2175</v>
      </c>
      <c r="AM204" s="219"/>
      <c r="AN204" s="191" t="s">
        <v>621</v>
      </c>
      <c r="AO204" s="190" t="s">
        <v>572</v>
      </c>
      <c r="AP204" s="220" t="s">
        <v>701</v>
      </c>
      <c r="AQ204" s="190" t="str">
        <f t="shared" si="119"/>
        <v>104-60054C</v>
      </c>
      <c r="AR204" s="190" t="s">
        <v>709</v>
      </c>
      <c r="AS204" s="190"/>
      <c r="AT204" s="190"/>
      <c r="AU204" s="190"/>
      <c r="AV204" s="190"/>
      <c r="AW204" s="190"/>
      <c r="AX204" s="279" t="str">
        <f t="shared" si="98"/>
        <v/>
      </c>
    </row>
    <row r="205" spans="1:50" x14ac:dyDescent="0.25">
      <c r="A205" s="190" t="str">
        <f t="shared" si="111"/>
        <v/>
      </c>
      <c r="B205" s="279" t="str">
        <f t="shared" si="112"/>
        <v>104-60056A</v>
      </c>
      <c r="C205" s="279" t="s">
        <v>2104</v>
      </c>
      <c r="D205" s="279"/>
      <c r="E205" s="279">
        <f t="shared" si="120"/>
        <v>2</v>
      </c>
      <c r="F205" s="190" t="s">
        <v>535</v>
      </c>
      <c r="G205" s="198">
        <v>45209</v>
      </c>
      <c r="H205" s="209"/>
      <c r="I205" s="218"/>
      <c r="J205" s="201" t="s">
        <v>402</v>
      </c>
      <c r="K205" s="201" t="s">
        <v>2758</v>
      </c>
      <c r="L205" s="205" t="s">
        <v>676</v>
      </c>
      <c r="M205" s="192" t="s">
        <v>558</v>
      </c>
      <c r="N205" s="192"/>
      <c r="O205" s="229"/>
      <c r="P205" s="229"/>
      <c r="Q205" s="231" t="str">
        <f t="shared" si="121"/>
        <v>. Grille, LOWER BUMPER - ENDS SET 2</v>
      </c>
      <c r="R205" s="231"/>
      <c r="S205" s="231" t="str">
        <f t="shared" si="123"/>
        <v/>
      </c>
      <c r="T205" s="231" t="str">
        <f>IF(O205&lt;&gt;"",_xlfn.XLOOKUP(O205,'3D. Pictures'!B:B,'3D. Pictures'!E:E,"NOT FOUND",0,1),"")</f>
        <v/>
      </c>
      <c r="U205" s="192"/>
      <c r="V205" s="205"/>
      <c r="W205" s="192"/>
      <c r="X205" s="205"/>
      <c r="Y205" s="16"/>
      <c r="Z205" s="205"/>
      <c r="AA205" s="201" t="s">
        <v>2817</v>
      </c>
      <c r="AB205" s="201" t="s">
        <v>2490</v>
      </c>
      <c r="AC205" s="247" t="str">
        <f t="shared" si="122"/>
        <v>SET 2, sell single if 1 bad</v>
      </c>
      <c r="AD205" s="201" t="s">
        <v>2816</v>
      </c>
      <c r="AE205" s="201"/>
      <c r="AF205" s="201" t="s">
        <v>544</v>
      </c>
      <c r="AG205" s="201"/>
      <c r="AH205" s="367">
        <v>125</v>
      </c>
      <c r="AI205" s="380">
        <f t="shared" ref="AI205:AI268" si="124">IF(ISTEXT(AH205), AH205, IFERROR(AVERAGEIF(AA:AA, AA205, AH:AH), ""))</f>
        <v>91.666666666666671</v>
      </c>
      <c r="AJ205" s="204" t="s">
        <v>408</v>
      </c>
      <c r="AK205" s="204" t="s">
        <v>425</v>
      </c>
      <c r="AL205" s="204" t="s">
        <v>2175</v>
      </c>
      <c r="AM205" s="219"/>
      <c r="AN205" s="191" t="s">
        <v>621</v>
      </c>
      <c r="AO205" s="190" t="s">
        <v>572</v>
      </c>
      <c r="AP205" s="220" t="s">
        <v>711</v>
      </c>
      <c r="AQ205" s="190" t="str">
        <f t="shared" si="119"/>
        <v>104-60056A</v>
      </c>
      <c r="AR205" s="190" t="s">
        <v>777</v>
      </c>
      <c r="AS205" s="190"/>
      <c r="AT205" s="190"/>
      <c r="AU205" s="190"/>
      <c r="AV205" s="190"/>
      <c r="AW205" s="190"/>
      <c r="AX205" s="279" t="str">
        <f t="shared" si="98"/>
        <v/>
      </c>
    </row>
    <row r="206" spans="1:50" x14ac:dyDescent="0.25">
      <c r="A206" s="190" t="str">
        <f t="shared" si="111"/>
        <v/>
      </c>
      <c r="B206" s="279" t="str">
        <f t="shared" si="112"/>
        <v>104-60056A</v>
      </c>
      <c r="C206" s="279" t="s">
        <v>2105</v>
      </c>
      <c r="D206" s="279"/>
      <c r="E206" s="279">
        <f t="shared" si="120"/>
        <v>2</v>
      </c>
      <c r="F206" s="190" t="s">
        <v>535</v>
      </c>
      <c r="G206" s="198">
        <v>45209</v>
      </c>
      <c r="H206" s="209"/>
      <c r="I206" s="218"/>
      <c r="J206" s="201" t="s">
        <v>402</v>
      </c>
      <c r="K206" s="201" t="s">
        <v>2758</v>
      </c>
      <c r="L206" s="205" t="s">
        <v>676</v>
      </c>
      <c r="M206" s="192" t="s">
        <v>558</v>
      </c>
      <c r="N206" s="192"/>
      <c r="O206" s="229"/>
      <c r="P206" s="229"/>
      <c r="Q206" s="231" t="str">
        <f t="shared" si="121"/>
        <v>. Grille, LOWER BUMPER - END - LEFT</v>
      </c>
      <c r="R206" s="231"/>
      <c r="S206" s="231" t="str">
        <f t="shared" si="123"/>
        <v/>
      </c>
      <c r="T206" s="231" t="str">
        <f>IF(O206&lt;&gt;"",_xlfn.XLOOKUP(O206,'3D. Pictures'!B:B,'3D. Pictures'!E:E,"NOT FOUND",0,1),"")</f>
        <v/>
      </c>
      <c r="U206" s="192"/>
      <c r="V206" s="205"/>
      <c r="W206" s="192"/>
      <c r="X206" s="205"/>
      <c r="Y206" s="205"/>
      <c r="Z206" s="205"/>
      <c r="AA206" s="201" t="s">
        <v>2817</v>
      </c>
      <c r="AB206" s="201" t="s">
        <v>770</v>
      </c>
      <c r="AC206" s="247" t="str">
        <f t="shared" si="122"/>
        <v/>
      </c>
      <c r="AD206" s="201"/>
      <c r="AE206" s="201"/>
      <c r="AF206" s="201" t="s">
        <v>543</v>
      </c>
      <c r="AG206" s="201"/>
      <c r="AH206" s="367">
        <v>75</v>
      </c>
      <c r="AI206" s="380">
        <f t="shared" si="124"/>
        <v>91.666666666666671</v>
      </c>
      <c r="AJ206" s="204" t="s">
        <v>408</v>
      </c>
      <c r="AK206" s="204" t="s">
        <v>425</v>
      </c>
      <c r="AL206" s="204" t="s">
        <v>2175</v>
      </c>
      <c r="AM206" s="219"/>
      <c r="AN206" s="191" t="s">
        <v>621</v>
      </c>
      <c r="AO206" s="190" t="s">
        <v>572</v>
      </c>
      <c r="AP206" s="220" t="s">
        <v>711</v>
      </c>
      <c r="AQ206" s="190" t="str">
        <f t="shared" si="119"/>
        <v>104-60056A</v>
      </c>
      <c r="AR206" s="190" t="s">
        <v>724</v>
      </c>
      <c r="AS206" s="190"/>
      <c r="AT206" s="190"/>
      <c r="AU206" s="190"/>
      <c r="AV206" s="190"/>
      <c r="AW206" s="190"/>
      <c r="AX206" s="279" t="str">
        <f t="shared" si="98"/>
        <v/>
      </c>
    </row>
    <row r="207" spans="1:50" x14ac:dyDescent="0.25">
      <c r="A207" s="190" t="str">
        <f t="shared" si="111"/>
        <v/>
      </c>
      <c r="B207" s="279" t="str">
        <f t="shared" si="112"/>
        <v>104-60055A</v>
      </c>
      <c r="C207" s="279"/>
      <c r="D207" s="279"/>
      <c r="E207" s="279">
        <f t="shared" si="120"/>
        <v>1</v>
      </c>
      <c r="F207" s="190" t="s">
        <v>535</v>
      </c>
      <c r="G207" s="198">
        <v>45209</v>
      </c>
      <c r="H207" s="209"/>
      <c r="I207" s="218"/>
      <c r="J207" s="201" t="s">
        <v>402</v>
      </c>
      <c r="K207" s="201" t="s">
        <v>2758</v>
      </c>
      <c r="L207" s="205" t="s">
        <v>676</v>
      </c>
      <c r="M207" s="192" t="s">
        <v>558</v>
      </c>
      <c r="N207" s="192"/>
      <c r="O207" s="229"/>
      <c r="P207" s="229"/>
      <c r="Q207" s="231" t="str">
        <f t="shared" si="121"/>
        <v>. Grille, LOWER BUMPER - END - RIGHT</v>
      </c>
      <c r="R207" s="231"/>
      <c r="S207" s="231" t="str">
        <f t="shared" si="123"/>
        <v/>
      </c>
      <c r="T207" s="231" t="str">
        <f>IF(O207&lt;&gt;"",_xlfn.XLOOKUP(O207,'3D. Pictures'!B:B,'3D. Pictures'!E:E,"NOT FOUND",0,1),"")</f>
        <v/>
      </c>
      <c r="U207" s="192"/>
      <c r="V207" s="205"/>
      <c r="W207" s="192"/>
      <c r="X207" s="205"/>
      <c r="Y207" s="205"/>
      <c r="Z207" s="205"/>
      <c r="AA207" s="201" t="s">
        <v>2817</v>
      </c>
      <c r="AB207" s="201" t="s">
        <v>771</v>
      </c>
      <c r="AC207" s="247" t="str">
        <f t="shared" si="122"/>
        <v/>
      </c>
      <c r="AD207" s="201"/>
      <c r="AE207" s="201"/>
      <c r="AF207" s="201" t="s">
        <v>543</v>
      </c>
      <c r="AG207" s="201"/>
      <c r="AH207" s="367">
        <v>75</v>
      </c>
      <c r="AI207" s="380">
        <f t="shared" si="124"/>
        <v>91.666666666666671</v>
      </c>
      <c r="AJ207" s="204" t="s">
        <v>408</v>
      </c>
      <c r="AK207" s="204" t="s">
        <v>425</v>
      </c>
      <c r="AL207" s="204" t="s">
        <v>2175</v>
      </c>
      <c r="AM207" s="219"/>
      <c r="AN207" s="191" t="s">
        <v>621</v>
      </c>
      <c r="AO207" s="190" t="s">
        <v>572</v>
      </c>
      <c r="AP207" s="220" t="s">
        <v>712</v>
      </c>
      <c r="AQ207" s="190" t="str">
        <f t="shared" si="119"/>
        <v>104-60055A</v>
      </c>
      <c r="AR207" s="190" t="s">
        <v>723</v>
      </c>
      <c r="AS207" s="190"/>
      <c r="AT207" s="190"/>
      <c r="AU207" s="190"/>
      <c r="AV207" s="190"/>
      <c r="AW207" s="190"/>
      <c r="AX207" s="279" t="str">
        <f t="shared" si="98"/>
        <v/>
      </c>
    </row>
    <row r="208" spans="1:50" x14ac:dyDescent="0.25">
      <c r="A208" s="190" t="str">
        <f t="shared" si="111"/>
        <v/>
      </c>
      <c r="B208" s="279" t="str">
        <f t="shared" si="112"/>
        <v>104-60056B</v>
      </c>
      <c r="C208" s="279" t="s">
        <v>2106</v>
      </c>
      <c r="D208" s="279"/>
      <c r="E208" s="279">
        <f t="shared" si="120"/>
        <v>2</v>
      </c>
      <c r="F208" s="190" t="s">
        <v>535</v>
      </c>
      <c r="G208" s="198">
        <v>45209</v>
      </c>
      <c r="H208" s="209"/>
      <c r="I208" s="218"/>
      <c r="J208" s="201" t="s">
        <v>402</v>
      </c>
      <c r="K208" s="201" t="s">
        <v>2758</v>
      </c>
      <c r="L208" s="205" t="s">
        <v>676</v>
      </c>
      <c r="M208" s="192" t="s">
        <v>558</v>
      </c>
      <c r="N208" s="192"/>
      <c r="O208" s="229"/>
      <c r="P208" s="229"/>
      <c r="Q208" s="231" t="str">
        <f t="shared" si="121"/>
        <v>. Grille, LOWER BUMPER - ENDS SET 2</v>
      </c>
      <c r="R208" s="231"/>
      <c r="S208" s="231" t="str">
        <f t="shared" si="123"/>
        <v/>
      </c>
      <c r="T208" s="231" t="str">
        <f>IF(O208&lt;&gt;"",_xlfn.XLOOKUP(O208,'3D. Pictures'!B:B,'3D. Pictures'!E:E,"NOT FOUND",0,1),"")</f>
        <v/>
      </c>
      <c r="U208" s="192"/>
      <c r="V208" s="205"/>
      <c r="W208" s="192"/>
      <c r="X208" s="205"/>
      <c r="Y208" s="205"/>
      <c r="Z208" s="205"/>
      <c r="AA208" s="201" t="s">
        <v>2817</v>
      </c>
      <c r="AB208" s="201" t="s">
        <v>2490</v>
      </c>
      <c r="AC208" s="247" t="str">
        <f t="shared" si="122"/>
        <v>SET 2, sell single if 1 bad</v>
      </c>
      <c r="AD208" s="201" t="s">
        <v>2816</v>
      </c>
      <c r="AE208" s="201"/>
      <c r="AF208" s="201" t="s">
        <v>544</v>
      </c>
      <c r="AG208" s="201"/>
      <c r="AH208" s="367">
        <v>125</v>
      </c>
      <c r="AI208" s="380">
        <f t="shared" si="124"/>
        <v>91.666666666666671</v>
      </c>
      <c r="AJ208" s="204" t="s">
        <v>408</v>
      </c>
      <c r="AK208" s="204" t="s">
        <v>425</v>
      </c>
      <c r="AL208" s="204" t="s">
        <v>2175</v>
      </c>
      <c r="AM208" s="219"/>
      <c r="AN208" s="191" t="s">
        <v>621</v>
      </c>
      <c r="AO208" s="190" t="s">
        <v>572</v>
      </c>
      <c r="AP208" s="220" t="s">
        <v>713</v>
      </c>
      <c r="AQ208" s="190" t="str">
        <f t="shared" si="119"/>
        <v>104-60056B</v>
      </c>
      <c r="AR208" s="190" t="s">
        <v>776</v>
      </c>
      <c r="AS208" s="190"/>
      <c r="AT208" s="190"/>
      <c r="AU208" s="190"/>
      <c r="AV208" s="190"/>
      <c r="AW208" s="190"/>
      <c r="AX208" s="279" t="str">
        <f t="shared" si="98"/>
        <v/>
      </c>
    </row>
    <row r="209" spans="1:50" x14ac:dyDescent="0.25">
      <c r="A209" s="190" t="str">
        <f t="shared" si="111"/>
        <v/>
      </c>
      <c r="B209" s="279" t="str">
        <f t="shared" si="112"/>
        <v>104-60056B</v>
      </c>
      <c r="C209" s="279" t="s">
        <v>2107</v>
      </c>
      <c r="D209" s="279"/>
      <c r="E209" s="279">
        <f t="shared" si="120"/>
        <v>2</v>
      </c>
      <c r="F209" s="190" t="s">
        <v>535</v>
      </c>
      <c r="G209" s="198">
        <v>45209</v>
      </c>
      <c r="H209" s="209"/>
      <c r="I209" s="218"/>
      <c r="J209" s="201" t="s">
        <v>402</v>
      </c>
      <c r="K209" s="201" t="s">
        <v>2758</v>
      </c>
      <c r="L209" s="205" t="s">
        <v>676</v>
      </c>
      <c r="M209" s="192" t="s">
        <v>558</v>
      </c>
      <c r="N209" s="192"/>
      <c r="O209" s="229"/>
      <c r="P209" s="229"/>
      <c r="Q209" s="231" t="str">
        <f t="shared" si="121"/>
        <v>. Grille, LOWER BUMPER - END - LEFT</v>
      </c>
      <c r="R209" s="231"/>
      <c r="S209" s="231" t="str">
        <f t="shared" si="123"/>
        <v/>
      </c>
      <c r="T209" s="231" t="str">
        <f>IF(O209&lt;&gt;"",_xlfn.XLOOKUP(O209,'3D. Pictures'!B:B,'3D. Pictures'!E:E,"NOT FOUND",0,1),"")</f>
        <v/>
      </c>
      <c r="U209" s="192"/>
      <c r="V209" s="205"/>
      <c r="W209" s="192"/>
      <c r="X209" s="205"/>
      <c r="Y209" s="243"/>
      <c r="Z209" s="205"/>
      <c r="AA209" s="201" t="s">
        <v>2817</v>
      </c>
      <c r="AB209" s="201" t="s">
        <v>770</v>
      </c>
      <c r="AC209" s="247" t="str">
        <f t="shared" si="122"/>
        <v/>
      </c>
      <c r="AD209" s="201"/>
      <c r="AE209" s="201"/>
      <c r="AF209" s="201" t="s">
        <v>543</v>
      </c>
      <c r="AG209" s="201"/>
      <c r="AH209" s="367">
        <v>75</v>
      </c>
      <c r="AI209" s="380">
        <f t="shared" si="124"/>
        <v>91.666666666666671</v>
      </c>
      <c r="AJ209" s="204" t="s">
        <v>408</v>
      </c>
      <c r="AK209" s="204" t="s">
        <v>425</v>
      </c>
      <c r="AL209" s="204" t="s">
        <v>2175</v>
      </c>
      <c r="AM209" s="219"/>
      <c r="AN209" s="191" t="s">
        <v>621</v>
      </c>
      <c r="AO209" s="190" t="s">
        <v>572</v>
      </c>
      <c r="AP209" s="220" t="s">
        <v>713</v>
      </c>
      <c r="AQ209" s="190" t="str">
        <f t="shared" si="119"/>
        <v>104-60056B</v>
      </c>
      <c r="AR209" s="190" t="s">
        <v>725</v>
      </c>
      <c r="AS209" s="190"/>
      <c r="AT209" s="190"/>
      <c r="AU209" s="190"/>
      <c r="AV209" s="190"/>
      <c r="AW209" s="190"/>
      <c r="AX209" s="279" t="str">
        <f t="shared" si="98"/>
        <v/>
      </c>
    </row>
    <row r="210" spans="1:50" x14ac:dyDescent="0.25">
      <c r="A210" s="190" t="str">
        <f t="shared" si="111"/>
        <v/>
      </c>
      <c r="B210" s="279" t="str">
        <f t="shared" si="112"/>
        <v>104-60055B</v>
      </c>
      <c r="C210" s="279"/>
      <c r="D210" s="279"/>
      <c r="E210" s="279">
        <f t="shared" si="120"/>
        <v>1</v>
      </c>
      <c r="F210" s="190" t="s">
        <v>535</v>
      </c>
      <c r="G210" s="198">
        <v>45209</v>
      </c>
      <c r="H210" s="209"/>
      <c r="I210" s="218"/>
      <c r="J210" s="201" t="s">
        <v>402</v>
      </c>
      <c r="K210" s="201" t="s">
        <v>2758</v>
      </c>
      <c r="L210" s="205" t="s">
        <v>676</v>
      </c>
      <c r="M210" s="192" t="s">
        <v>558</v>
      </c>
      <c r="N210" s="192"/>
      <c r="O210" s="229"/>
      <c r="P210" s="229"/>
      <c r="Q210" s="231" t="str">
        <f t="shared" si="121"/>
        <v>. Grille, LOWER BUMPER - END - RIGHT</v>
      </c>
      <c r="R210" s="231"/>
      <c r="S210" s="231" t="str">
        <f t="shared" si="123"/>
        <v/>
      </c>
      <c r="T210" s="231" t="str">
        <f>IF(O210&lt;&gt;"",_xlfn.XLOOKUP(O210,'3D. Pictures'!B:B,'3D. Pictures'!E:E,"NOT FOUND",0,1),"")</f>
        <v/>
      </c>
      <c r="U210" s="192"/>
      <c r="V210" s="205"/>
      <c r="W210" s="192"/>
      <c r="X210" s="205"/>
      <c r="Y210" s="16"/>
      <c r="Z210" s="205"/>
      <c r="AA210" s="201" t="s">
        <v>2817</v>
      </c>
      <c r="AB210" s="201" t="s">
        <v>771</v>
      </c>
      <c r="AC210" s="247" t="str">
        <f t="shared" si="122"/>
        <v/>
      </c>
      <c r="AD210" s="201"/>
      <c r="AE210" s="201"/>
      <c r="AF210" s="201" t="s">
        <v>543</v>
      </c>
      <c r="AG210" s="201"/>
      <c r="AH210" s="367">
        <v>75</v>
      </c>
      <c r="AI210" s="380">
        <f t="shared" si="124"/>
        <v>91.666666666666671</v>
      </c>
      <c r="AJ210" s="204" t="s">
        <v>408</v>
      </c>
      <c r="AK210" s="204" t="s">
        <v>425</v>
      </c>
      <c r="AL210" s="204" t="s">
        <v>2175</v>
      </c>
      <c r="AM210" s="219"/>
      <c r="AN210" s="191" t="s">
        <v>621</v>
      </c>
      <c r="AO210" s="190" t="s">
        <v>572</v>
      </c>
      <c r="AP210" s="220" t="s">
        <v>714</v>
      </c>
      <c r="AQ210" s="190" t="str">
        <f t="shared" si="119"/>
        <v>104-60055B</v>
      </c>
      <c r="AR210" s="190" t="s">
        <v>726</v>
      </c>
      <c r="AS210" s="190"/>
      <c r="AT210" s="190"/>
      <c r="AU210" s="190"/>
      <c r="AV210" s="190"/>
      <c r="AW210" s="190"/>
      <c r="AX210" s="279" t="str">
        <f t="shared" si="98"/>
        <v/>
      </c>
    </row>
    <row r="211" spans="1:50" x14ac:dyDescent="0.25">
      <c r="A211" s="190" t="str">
        <f t="shared" si="111"/>
        <v/>
      </c>
      <c r="B211" s="279" t="str">
        <f t="shared" si="112"/>
        <v>104-60058A</v>
      </c>
      <c r="C211" s="279" t="s">
        <v>2108</v>
      </c>
      <c r="D211" s="279"/>
      <c r="E211" s="279">
        <f t="shared" si="120"/>
        <v>2</v>
      </c>
      <c r="F211" s="190" t="s">
        <v>535</v>
      </c>
      <c r="G211" s="198">
        <v>45209</v>
      </c>
      <c r="H211" s="209"/>
      <c r="I211" s="218"/>
      <c r="J211" s="201" t="s">
        <v>402</v>
      </c>
      <c r="K211" s="201" t="s">
        <v>2758</v>
      </c>
      <c r="L211" s="205" t="s">
        <v>676</v>
      </c>
      <c r="M211" s="192" t="s">
        <v>558</v>
      </c>
      <c r="N211" s="192"/>
      <c r="O211" s="229"/>
      <c r="P211" s="229"/>
      <c r="Q211" s="231" t="str">
        <f t="shared" si="121"/>
        <v>. Grille, LOWER BUMPER - ENDS SET 2</v>
      </c>
      <c r="R211" s="231"/>
      <c r="S211" s="231" t="str">
        <f t="shared" si="123"/>
        <v/>
      </c>
      <c r="T211" s="231" t="str">
        <f>IF(O211&lt;&gt;"",_xlfn.XLOOKUP(O211,'3D. Pictures'!B:B,'3D. Pictures'!E:E,"NOT FOUND",0,1),"")</f>
        <v/>
      </c>
      <c r="U211" s="192"/>
      <c r="V211" s="205"/>
      <c r="W211" s="192"/>
      <c r="X211" s="205"/>
      <c r="Y211" s="243"/>
      <c r="Z211" s="205"/>
      <c r="AA211" s="201" t="s">
        <v>2817</v>
      </c>
      <c r="AB211" s="201" t="s">
        <v>2490</v>
      </c>
      <c r="AC211" s="247" t="str">
        <f t="shared" si="122"/>
        <v>SET 2, sell single if 1 bad</v>
      </c>
      <c r="AD211" s="201" t="s">
        <v>2816</v>
      </c>
      <c r="AE211" s="201"/>
      <c r="AF211" s="201" t="s">
        <v>544</v>
      </c>
      <c r="AG211" s="201"/>
      <c r="AH211" s="367">
        <v>125</v>
      </c>
      <c r="AI211" s="380">
        <f t="shared" si="124"/>
        <v>91.666666666666671</v>
      </c>
      <c r="AJ211" s="204" t="s">
        <v>408</v>
      </c>
      <c r="AK211" s="204" t="s">
        <v>425</v>
      </c>
      <c r="AL211" s="204" t="s">
        <v>2175</v>
      </c>
      <c r="AM211" s="219"/>
      <c r="AN211" s="191" t="s">
        <v>621</v>
      </c>
      <c r="AO211" s="190" t="s">
        <v>572</v>
      </c>
      <c r="AP211" s="220" t="s">
        <v>715</v>
      </c>
      <c r="AQ211" s="190" t="str">
        <f t="shared" si="119"/>
        <v>104-60058A</v>
      </c>
      <c r="AR211" s="190" t="s">
        <v>775</v>
      </c>
      <c r="AS211" s="190"/>
      <c r="AT211" s="190"/>
      <c r="AU211" s="190"/>
      <c r="AV211" s="190"/>
      <c r="AW211" s="190"/>
      <c r="AX211" s="279" t="str">
        <f t="shared" si="98"/>
        <v/>
      </c>
    </row>
    <row r="212" spans="1:50" x14ac:dyDescent="0.25">
      <c r="A212" s="190" t="str">
        <f t="shared" si="111"/>
        <v/>
      </c>
      <c r="B212" s="279" t="str">
        <f t="shared" si="112"/>
        <v>104-60058A</v>
      </c>
      <c r="C212" s="279" t="s">
        <v>2109</v>
      </c>
      <c r="D212" s="279"/>
      <c r="E212" s="279">
        <f t="shared" si="120"/>
        <v>2</v>
      </c>
      <c r="F212" s="190" t="s">
        <v>535</v>
      </c>
      <c r="G212" s="198">
        <v>45209</v>
      </c>
      <c r="H212" s="209"/>
      <c r="I212" s="218"/>
      <c r="J212" s="201" t="s">
        <v>402</v>
      </c>
      <c r="K212" s="201" t="s">
        <v>2758</v>
      </c>
      <c r="L212" s="205" t="s">
        <v>676</v>
      </c>
      <c r="M212" s="192" t="s">
        <v>558</v>
      </c>
      <c r="N212" s="192"/>
      <c r="O212" s="229"/>
      <c r="P212" s="229"/>
      <c r="Q212" s="231" t="str">
        <f t="shared" si="121"/>
        <v>. Grille, LOWER BUMPER - END - LEFT</v>
      </c>
      <c r="R212" s="231"/>
      <c r="S212" s="231" t="str">
        <f t="shared" si="123"/>
        <v/>
      </c>
      <c r="T212" s="231" t="str">
        <f>IF(O212&lt;&gt;"",_xlfn.XLOOKUP(O212,'3D. Pictures'!B:B,'3D. Pictures'!E:E,"NOT FOUND",0,1),"")</f>
        <v/>
      </c>
      <c r="U212" s="192"/>
      <c r="V212" s="205"/>
      <c r="W212" s="192"/>
      <c r="X212" s="205"/>
      <c r="Y212" s="16"/>
      <c r="Z212" s="205"/>
      <c r="AA212" s="201" t="s">
        <v>2817</v>
      </c>
      <c r="AB212" s="201" t="s">
        <v>770</v>
      </c>
      <c r="AC212" s="247" t="str">
        <f t="shared" si="122"/>
        <v/>
      </c>
      <c r="AD212" s="201"/>
      <c r="AE212" s="201"/>
      <c r="AF212" s="201" t="s">
        <v>543</v>
      </c>
      <c r="AG212" s="201"/>
      <c r="AH212" s="367">
        <v>75</v>
      </c>
      <c r="AI212" s="380">
        <f t="shared" si="124"/>
        <v>91.666666666666671</v>
      </c>
      <c r="AJ212" s="204" t="s">
        <v>408</v>
      </c>
      <c r="AK212" s="204" t="s">
        <v>425</v>
      </c>
      <c r="AL212" s="204" t="s">
        <v>2175</v>
      </c>
      <c r="AM212" s="219"/>
      <c r="AN212" s="191" t="s">
        <v>621</v>
      </c>
      <c r="AO212" s="190" t="s">
        <v>572</v>
      </c>
      <c r="AP212" s="220" t="s">
        <v>715</v>
      </c>
      <c r="AQ212" s="190" t="str">
        <f t="shared" si="119"/>
        <v>104-60058A</v>
      </c>
      <c r="AR212" s="190" t="s">
        <v>727</v>
      </c>
      <c r="AS212" s="190"/>
      <c r="AT212" s="190"/>
      <c r="AU212" s="190"/>
      <c r="AV212" s="190"/>
      <c r="AW212" s="190"/>
      <c r="AX212" s="279" t="str">
        <f t="shared" si="98"/>
        <v/>
      </c>
    </row>
    <row r="213" spans="1:50" x14ac:dyDescent="0.25">
      <c r="A213" s="190" t="str">
        <f t="shared" si="111"/>
        <v/>
      </c>
      <c r="B213" s="279" t="str">
        <f t="shared" si="112"/>
        <v>104-60057A</v>
      </c>
      <c r="C213" s="279"/>
      <c r="D213" s="279"/>
      <c r="E213" s="279">
        <f t="shared" si="120"/>
        <v>1</v>
      </c>
      <c r="F213" s="190" t="s">
        <v>535</v>
      </c>
      <c r="G213" s="198">
        <v>45209</v>
      </c>
      <c r="H213" s="209"/>
      <c r="I213" s="218"/>
      <c r="J213" s="201" t="s">
        <v>402</v>
      </c>
      <c r="K213" s="201" t="s">
        <v>2758</v>
      </c>
      <c r="L213" s="205" t="s">
        <v>676</v>
      </c>
      <c r="M213" s="192" t="s">
        <v>558</v>
      </c>
      <c r="N213" s="192"/>
      <c r="O213" s="229"/>
      <c r="P213" s="229"/>
      <c r="Q213" s="231" t="str">
        <f t="shared" si="121"/>
        <v>. Grille, LOWER BUMPER - END - RIGHT</v>
      </c>
      <c r="R213" s="231"/>
      <c r="S213" s="231" t="str">
        <f t="shared" si="123"/>
        <v/>
      </c>
      <c r="T213" s="231" t="str">
        <f>IF(O213&lt;&gt;"",_xlfn.XLOOKUP(O213,'3D. Pictures'!B:B,'3D. Pictures'!E:E,"NOT FOUND",0,1),"")</f>
        <v/>
      </c>
      <c r="U213" s="192"/>
      <c r="V213" s="205"/>
      <c r="W213" s="192"/>
      <c r="X213" s="205"/>
      <c r="Y213" s="16"/>
      <c r="Z213" s="205"/>
      <c r="AA213" s="201" t="s">
        <v>2817</v>
      </c>
      <c r="AB213" s="201" t="s">
        <v>771</v>
      </c>
      <c r="AC213" s="247" t="str">
        <f t="shared" si="122"/>
        <v/>
      </c>
      <c r="AD213" s="201"/>
      <c r="AE213" s="201"/>
      <c r="AF213" s="201" t="s">
        <v>543</v>
      </c>
      <c r="AG213" s="201"/>
      <c r="AH213" s="367">
        <v>75</v>
      </c>
      <c r="AI213" s="380">
        <f t="shared" si="124"/>
        <v>91.666666666666671</v>
      </c>
      <c r="AJ213" s="204" t="s">
        <v>408</v>
      </c>
      <c r="AK213" s="204" t="s">
        <v>425</v>
      </c>
      <c r="AL213" s="204" t="s">
        <v>2175</v>
      </c>
      <c r="AM213" s="219"/>
      <c r="AN213" s="191" t="s">
        <v>621</v>
      </c>
      <c r="AO213" s="190" t="s">
        <v>572</v>
      </c>
      <c r="AP213" s="220" t="s">
        <v>716</v>
      </c>
      <c r="AQ213" s="190" t="str">
        <f t="shared" ref="AQ213:AQ220" si="125">CONCATENATE(AN213,AO213,AP213)</f>
        <v>104-60057A</v>
      </c>
      <c r="AR213" s="190" t="s">
        <v>728</v>
      </c>
      <c r="AS213" s="190"/>
      <c r="AT213" s="190"/>
      <c r="AU213" s="190"/>
      <c r="AV213" s="190"/>
      <c r="AW213" s="190"/>
      <c r="AX213" s="279" t="str">
        <f t="shared" si="98"/>
        <v/>
      </c>
    </row>
    <row r="214" spans="1:50" x14ac:dyDescent="0.25">
      <c r="A214" s="190" t="str">
        <f t="shared" si="111"/>
        <v/>
      </c>
      <c r="B214" s="279" t="str">
        <f t="shared" si="112"/>
        <v>104-60058B</v>
      </c>
      <c r="C214" s="279" t="s">
        <v>2110</v>
      </c>
      <c r="D214" s="279"/>
      <c r="E214" s="279">
        <f t="shared" si="120"/>
        <v>2</v>
      </c>
      <c r="F214" s="190" t="s">
        <v>535</v>
      </c>
      <c r="G214" s="198">
        <v>45209</v>
      </c>
      <c r="H214" s="209"/>
      <c r="I214" s="218"/>
      <c r="J214" s="201" t="s">
        <v>402</v>
      </c>
      <c r="K214" s="201" t="s">
        <v>2758</v>
      </c>
      <c r="L214" s="205" t="s">
        <v>676</v>
      </c>
      <c r="M214" s="192" t="s">
        <v>558</v>
      </c>
      <c r="N214" s="192"/>
      <c r="O214" s="229"/>
      <c r="P214" s="229"/>
      <c r="Q214" s="231" t="str">
        <f t="shared" si="121"/>
        <v>. Grille, LOWER BUMPER - ENDS SET 2</v>
      </c>
      <c r="R214" s="231"/>
      <c r="S214" s="231" t="str">
        <f t="shared" si="123"/>
        <v/>
      </c>
      <c r="T214" s="231" t="str">
        <f>IF(O214&lt;&gt;"",_xlfn.XLOOKUP(O214,'3D. Pictures'!B:B,'3D. Pictures'!E:E,"NOT FOUND",0,1),"")</f>
        <v/>
      </c>
      <c r="U214" s="192"/>
      <c r="V214" s="205"/>
      <c r="W214" s="192"/>
      <c r="X214" s="205"/>
      <c r="Y214" s="16"/>
      <c r="Z214" s="205"/>
      <c r="AA214" s="201" t="s">
        <v>2817</v>
      </c>
      <c r="AB214" s="201" t="s">
        <v>2490</v>
      </c>
      <c r="AC214" s="247" t="str">
        <f t="shared" si="122"/>
        <v>SET 2, sell single if 1 bad</v>
      </c>
      <c r="AD214" s="201" t="s">
        <v>2816</v>
      </c>
      <c r="AE214" s="201"/>
      <c r="AF214" s="201" t="s">
        <v>544</v>
      </c>
      <c r="AG214" s="201"/>
      <c r="AH214" s="367">
        <v>125</v>
      </c>
      <c r="AI214" s="380">
        <f t="shared" si="124"/>
        <v>91.666666666666671</v>
      </c>
      <c r="AJ214" s="204" t="s">
        <v>408</v>
      </c>
      <c r="AK214" s="204" t="s">
        <v>425</v>
      </c>
      <c r="AL214" s="204" t="s">
        <v>2175</v>
      </c>
      <c r="AM214" s="219"/>
      <c r="AN214" s="191" t="s">
        <v>621</v>
      </c>
      <c r="AO214" s="190" t="s">
        <v>572</v>
      </c>
      <c r="AP214" s="220" t="s">
        <v>717</v>
      </c>
      <c r="AQ214" s="190" t="str">
        <f t="shared" si="125"/>
        <v>104-60058B</v>
      </c>
      <c r="AR214" s="190" t="s">
        <v>774</v>
      </c>
      <c r="AS214" s="190"/>
      <c r="AT214" s="190"/>
      <c r="AU214" s="190"/>
      <c r="AV214" s="190"/>
      <c r="AW214" s="190"/>
      <c r="AX214" s="279" t="str">
        <f t="shared" si="98"/>
        <v/>
      </c>
    </row>
    <row r="215" spans="1:50" x14ac:dyDescent="0.25">
      <c r="A215" s="190" t="str">
        <f t="shared" si="111"/>
        <v/>
      </c>
      <c r="B215" s="279" t="str">
        <f t="shared" si="112"/>
        <v>104-60058B</v>
      </c>
      <c r="C215" s="279" t="s">
        <v>2111</v>
      </c>
      <c r="D215" s="279"/>
      <c r="E215" s="279">
        <f t="shared" si="120"/>
        <v>2</v>
      </c>
      <c r="F215" s="190" t="s">
        <v>535</v>
      </c>
      <c r="G215" s="198">
        <v>45209</v>
      </c>
      <c r="H215" s="209"/>
      <c r="I215" s="218"/>
      <c r="J215" s="201" t="s">
        <v>402</v>
      </c>
      <c r="K215" s="201" t="s">
        <v>2758</v>
      </c>
      <c r="L215" s="205" t="s">
        <v>676</v>
      </c>
      <c r="M215" s="192" t="s">
        <v>558</v>
      </c>
      <c r="N215" s="192"/>
      <c r="O215" s="229"/>
      <c r="P215" s="229"/>
      <c r="Q215" s="231" t="str">
        <f t="shared" si="121"/>
        <v>. Grille, LOWER BUMPER - END - LEFT</v>
      </c>
      <c r="R215" s="231"/>
      <c r="S215" s="231" t="str">
        <f t="shared" si="123"/>
        <v/>
      </c>
      <c r="T215" s="231" t="str">
        <f>IF(O215&lt;&gt;"",_xlfn.XLOOKUP(O215,'3D. Pictures'!B:B,'3D. Pictures'!E:E,"NOT FOUND",0,1),"")</f>
        <v/>
      </c>
      <c r="U215" s="192"/>
      <c r="V215" s="205"/>
      <c r="W215" s="192"/>
      <c r="X215" s="205"/>
      <c r="Y215" s="168"/>
      <c r="Z215" s="205"/>
      <c r="AA215" s="201" t="s">
        <v>2817</v>
      </c>
      <c r="AB215" s="201" t="s">
        <v>770</v>
      </c>
      <c r="AC215" s="247" t="str">
        <f t="shared" si="122"/>
        <v/>
      </c>
      <c r="AD215" s="201"/>
      <c r="AE215" s="201"/>
      <c r="AF215" s="201" t="s">
        <v>543</v>
      </c>
      <c r="AG215" s="201"/>
      <c r="AH215" s="367">
        <v>75</v>
      </c>
      <c r="AI215" s="380">
        <f t="shared" si="124"/>
        <v>91.666666666666671</v>
      </c>
      <c r="AJ215" s="204" t="s">
        <v>408</v>
      </c>
      <c r="AK215" s="204" t="s">
        <v>425</v>
      </c>
      <c r="AL215" s="204" t="s">
        <v>2175</v>
      </c>
      <c r="AM215" s="219"/>
      <c r="AN215" s="191" t="s">
        <v>621</v>
      </c>
      <c r="AO215" s="190" t="s">
        <v>572</v>
      </c>
      <c r="AP215" s="220" t="s">
        <v>717</v>
      </c>
      <c r="AQ215" s="190" t="str">
        <f>CONCATENATE(AN215,AO215,AP215)</f>
        <v>104-60058B</v>
      </c>
      <c r="AR215" s="190" t="s">
        <v>729</v>
      </c>
      <c r="AS215" s="190"/>
      <c r="AT215" s="190"/>
      <c r="AU215" s="190"/>
      <c r="AV215" s="190"/>
      <c r="AW215" s="190"/>
      <c r="AX215" s="279" t="str">
        <f t="shared" si="98"/>
        <v/>
      </c>
    </row>
    <row r="216" spans="1:50" x14ac:dyDescent="0.25">
      <c r="A216" s="190" t="str">
        <f t="shared" si="111"/>
        <v/>
      </c>
      <c r="B216" s="279" t="str">
        <f t="shared" si="112"/>
        <v>104-60057B</v>
      </c>
      <c r="C216" s="279"/>
      <c r="D216" s="279"/>
      <c r="E216" s="279">
        <f t="shared" si="120"/>
        <v>1</v>
      </c>
      <c r="F216" s="190" t="s">
        <v>535</v>
      </c>
      <c r="G216" s="198">
        <v>45209</v>
      </c>
      <c r="H216" s="209"/>
      <c r="I216" s="218"/>
      <c r="J216" s="201" t="s">
        <v>402</v>
      </c>
      <c r="K216" s="201" t="s">
        <v>2758</v>
      </c>
      <c r="L216" s="205" t="s">
        <v>676</v>
      </c>
      <c r="M216" s="192" t="s">
        <v>558</v>
      </c>
      <c r="N216" s="192"/>
      <c r="O216" s="229"/>
      <c r="P216" s="229"/>
      <c r="Q216" s="231" t="str">
        <f t="shared" si="121"/>
        <v>. Grille, LOWER BUMPER - END - RIGHT</v>
      </c>
      <c r="R216" s="231"/>
      <c r="S216" s="231" t="str">
        <f t="shared" si="123"/>
        <v/>
      </c>
      <c r="T216" s="231" t="str">
        <f>IF(O216&lt;&gt;"",_xlfn.XLOOKUP(O216,'3D. Pictures'!B:B,'3D. Pictures'!E:E,"NOT FOUND",0,1),"")</f>
        <v/>
      </c>
      <c r="U216" s="192"/>
      <c r="V216" s="205"/>
      <c r="W216" s="192"/>
      <c r="X216" s="205"/>
      <c r="Y216" s="205"/>
      <c r="Z216" s="205"/>
      <c r="AA216" s="201" t="s">
        <v>2817</v>
      </c>
      <c r="AB216" s="201" t="s">
        <v>771</v>
      </c>
      <c r="AC216" s="247" t="str">
        <f t="shared" si="122"/>
        <v/>
      </c>
      <c r="AD216" s="201"/>
      <c r="AE216" s="201"/>
      <c r="AF216" s="201" t="s">
        <v>543</v>
      </c>
      <c r="AG216" s="201"/>
      <c r="AH216" s="367">
        <v>75</v>
      </c>
      <c r="AI216" s="380">
        <f t="shared" si="124"/>
        <v>91.666666666666671</v>
      </c>
      <c r="AJ216" s="204" t="s">
        <v>408</v>
      </c>
      <c r="AK216" s="204" t="s">
        <v>425</v>
      </c>
      <c r="AL216" s="204" t="s">
        <v>2175</v>
      </c>
      <c r="AM216" s="219"/>
      <c r="AN216" s="191" t="s">
        <v>621</v>
      </c>
      <c r="AO216" s="190" t="s">
        <v>572</v>
      </c>
      <c r="AP216" s="220" t="s">
        <v>718</v>
      </c>
      <c r="AQ216" s="190" t="str">
        <f t="shared" si="125"/>
        <v>104-60057B</v>
      </c>
      <c r="AR216" s="190" t="s">
        <v>730</v>
      </c>
      <c r="AS216" s="190"/>
      <c r="AT216" s="190"/>
      <c r="AU216" s="190"/>
      <c r="AV216" s="190"/>
      <c r="AW216" s="190"/>
      <c r="AX216" s="279" t="str">
        <f t="shared" si="98"/>
        <v/>
      </c>
    </row>
    <row r="217" spans="1:50" x14ac:dyDescent="0.25">
      <c r="A217" s="190" t="str">
        <f t="shared" si="111"/>
        <v/>
      </c>
      <c r="B217" s="279" t="str">
        <f t="shared" si="112"/>
        <v>104-60058C</v>
      </c>
      <c r="C217" s="279" t="s">
        <v>2112</v>
      </c>
      <c r="D217" s="279"/>
      <c r="E217" s="279">
        <f t="shared" si="120"/>
        <v>2</v>
      </c>
      <c r="F217" s="190" t="s">
        <v>535</v>
      </c>
      <c r="G217" s="198">
        <v>45209</v>
      </c>
      <c r="H217" s="209"/>
      <c r="I217" s="218"/>
      <c r="J217" s="201" t="s">
        <v>402</v>
      </c>
      <c r="K217" s="201" t="s">
        <v>2758</v>
      </c>
      <c r="L217" s="205" t="s">
        <v>676</v>
      </c>
      <c r="M217" s="192" t="s">
        <v>558</v>
      </c>
      <c r="N217" s="192"/>
      <c r="O217" s="229"/>
      <c r="P217" s="229"/>
      <c r="Q217" s="231" t="str">
        <f t="shared" si="121"/>
        <v>. Grille, LOWER BUMPER - ENDS SET 2</v>
      </c>
      <c r="R217" s="231"/>
      <c r="S217" s="231" t="str">
        <f t="shared" si="123"/>
        <v/>
      </c>
      <c r="T217" s="231" t="str">
        <f>IF(O217&lt;&gt;"",_xlfn.XLOOKUP(O217,'3D. Pictures'!B:B,'3D. Pictures'!E:E,"NOT FOUND",0,1),"")</f>
        <v/>
      </c>
      <c r="U217" s="192"/>
      <c r="V217" s="205"/>
      <c r="W217" s="192"/>
      <c r="X217" s="205"/>
      <c r="Y217" s="205"/>
      <c r="Z217" s="205"/>
      <c r="AA217" s="201" t="s">
        <v>2817</v>
      </c>
      <c r="AB217" s="201" t="s">
        <v>2490</v>
      </c>
      <c r="AC217" s="247" t="str">
        <f t="shared" si="122"/>
        <v>SET 2, sell single if 1 bad</v>
      </c>
      <c r="AD217" s="201" t="s">
        <v>2816</v>
      </c>
      <c r="AE217" s="201"/>
      <c r="AF217" s="201" t="s">
        <v>544</v>
      </c>
      <c r="AG217" s="201"/>
      <c r="AH217" s="367">
        <v>125</v>
      </c>
      <c r="AI217" s="380">
        <f t="shared" si="124"/>
        <v>91.666666666666671</v>
      </c>
      <c r="AJ217" s="204" t="s">
        <v>408</v>
      </c>
      <c r="AK217" s="204" t="s">
        <v>425</v>
      </c>
      <c r="AL217" s="204" t="s">
        <v>2175</v>
      </c>
      <c r="AM217" s="219"/>
      <c r="AN217" s="191" t="s">
        <v>621</v>
      </c>
      <c r="AO217" s="190" t="s">
        <v>572</v>
      </c>
      <c r="AP217" s="220" t="s">
        <v>719</v>
      </c>
      <c r="AQ217" s="190" t="str">
        <f t="shared" si="125"/>
        <v>104-60058C</v>
      </c>
      <c r="AR217" s="190" t="s">
        <v>773</v>
      </c>
      <c r="AS217" s="190"/>
      <c r="AT217" s="190"/>
      <c r="AU217" s="190"/>
      <c r="AV217" s="190"/>
      <c r="AW217" s="190"/>
      <c r="AX217" s="279" t="str">
        <f t="shared" si="98"/>
        <v/>
      </c>
    </row>
    <row r="218" spans="1:50" x14ac:dyDescent="0.25">
      <c r="A218" s="190" t="str">
        <f t="shared" si="111"/>
        <v/>
      </c>
      <c r="B218" s="279" t="str">
        <f t="shared" si="112"/>
        <v>104-60058C</v>
      </c>
      <c r="C218" s="279" t="s">
        <v>2113</v>
      </c>
      <c r="D218" s="279"/>
      <c r="E218" s="279">
        <f t="shared" si="120"/>
        <v>2</v>
      </c>
      <c r="F218" s="190" t="s">
        <v>535</v>
      </c>
      <c r="G218" s="198">
        <v>45209</v>
      </c>
      <c r="H218" s="209"/>
      <c r="I218" s="218"/>
      <c r="J218" s="201" t="s">
        <v>402</v>
      </c>
      <c r="K218" s="201" t="s">
        <v>2758</v>
      </c>
      <c r="L218" s="205" t="s">
        <v>676</v>
      </c>
      <c r="M218" s="192" t="s">
        <v>558</v>
      </c>
      <c r="N218" s="192"/>
      <c r="O218" s="229"/>
      <c r="P218" s="229"/>
      <c r="Q218" s="231" t="str">
        <f t="shared" si="121"/>
        <v>. Grille, LOWER BUMPER - END - LEFT</v>
      </c>
      <c r="R218" s="231"/>
      <c r="S218" s="231" t="str">
        <f t="shared" si="123"/>
        <v/>
      </c>
      <c r="T218" s="231" t="str">
        <f>IF(O218&lt;&gt;"",_xlfn.XLOOKUP(O218,'3D. Pictures'!B:B,'3D. Pictures'!E:E,"NOT FOUND",0,1),"")</f>
        <v/>
      </c>
      <c r="U218" s="192"/>
      <c r="V218" s="205"/>
      <c r="W218" s="192"/>
      <c r="X218" s="205"/>
      <c r="Y218" s="205"/>
      <c r="Z218" s="205"/>
      <c r="AA218" s="201" t="s">
        <v>2817</v>
      </c>
      <c r="AB218" s="201" t="s">
        <v>770</v>
      </c>
      <c r="AC218" s="247" t="str">
        <f t="shared" si="122"/>
        <v/>
      </c>
      <c r="AD218" s="201"/>
      <c r="AE218" s="201"/>
      <c r="AF218" s="201" t="s">
        <v>543</v>
      </c>
      <c r="AG218" s="201"/>
      <c r="AH218" s="367">
        <v>75</v>
      </c>
      <c r="AI218" s="380">
        <f t="shared" si="124"/>
        <v>91.666666666666671</v>
      </c>
      <c r="AJ218" s="204" t="s">
        <v>408</v>
      </c>
      <c r="AK218" s="204" t="s">
        <v>425</v>
      </c>
      <c r="AL218" s="204" t="s">
        <v>2175</v>
      </c>
      <c r="AM218" s="219"/>
      <c r="AN218" s="191" t="s">
        <v>621</v>
      </c>
      <c r="AO218" s="190" t="s">
        <v>572</v>
      </c>
      <c r="AP218" s="220" t="s">
        <v>719</v>
      </c>
      <c r="AQ218" s="190" t="str">
        <f>CONCATENATE(AN218,AO218,AP218)</f>
        <v>104-60058C</v>
      </c>
      <c r="AR218" s="190" t="s">
        <v>731</v>
      </c>
      <c r="AS218" s="190"/>
      <c r="AT218" s="190"/>
      <c r="AU218" s="190"/>
      <c r="AV218" s="190"/>
      <c r="AW218" s="190"/>
      <c r="AX218" s="279" t="str">
        <f t="shared" si="98"/>
        <v/>
      </c>
    </row>
    <row r="219" spans="1:50" x14ac:dyDescent="0.25">
      <c r="A219" s="190" t="str">
        <f t="shared" si="111"/>
        <v/>
      </c>
      <c r="B219" s="279" t="str">
        <f t="shared" si="112"/>
        <v>104-60057C</v>
      </c>
      <c r="C219" s="279"/>
      <c r="D219" s="279"/>
      <c r="E219" s="279">
        <f t="shared" si="120"/>
        <v>1</v>
      </c>
      <c r="F219" s="190" t="s">
        <v>535</v>
      </c>
      <c r="G219" s="198">
        <v>45209</v>
      </c>
      <c r="H219" s="209"/>
      <c r="I219" s="218"/>
      <c r="J219" s="201" t="s">
        <v>402</v>
      </c>
      <c r="K219" s="201" t="s">
        <v>2758</v>
      </c>
      <c r="L219" s="205" t="s">
        <v>676</v>
      </c>
      <c r="M219" s="192" t="s">
        <v>558</v>
      </c>
      <c r="N219" s="192"/>
      <c r="O219" s="229"/>
      <c r="P219" s="229"/>
      <c r="Q219" s="231" t="str">
        <f t="shared" si="121"/>
        <v>. Grille, LOWER BUMPER - END - RIGHT</v>
      </c>
      <c r="R219" s="231"/>
      <c r="S219" s="231" t="str">
        <f t="shared" si="123"/>
        <v/>
      </c>
      <c r="T219" s="231" t="str">
        <f>IF(O219&lt;&gt;"",_xlfn.XLOOKUP(O219,'3D. Pictures'!B:B,'3D. Pictures'!E:E,"NOT FOUND",0,1),"")</f>
        <v/>
      </c>
      <c r="U219" s="192"/>
      <c r="V219" s="205"/>
      <c r="W219" s="192"/>
      <c r="X219" s="205"/>
      <c r="Y219" s="205"/>
      <c r="Z219" s="205"/>
      <c r="AA219" s="201" t="s">
        <v>2817</v>
      </c>
      <c r="AB219" s="201" t="s">
        <v>771</v>
      </c>
      <c r="AC219" s="247" t="str">
        <f t="shared" si="122"/>
        <v/>
      </c>
      <c r="AD219" s="201"/>
      <c r="AE219" s="201"/>
      <c r="AF219" s="201" t="s">
        <v>543</v>
      </c>
      <c r="AG219" s="201"/>
      <c r="AH219" s="367">
        <v>75</v>
      </c>
      <c r="AI219" s="380">
        <f t="shared" si="124"/>
        <v>91.666666666666671</v>
      </c>
      <c r="AJ219" s="204" t="s">
        <v>408</v>
      </c>
      <c r="AK219" s="204" t="s">
        <v>425</v>
      </c>
      <c r="AL219" s="204" t="s">
        <v>2175</v>
      </c>
      <c r="AM219" s="219"/>
      <c r="AN219" s="191" t="s">
        <v>621</v>
      </c>
      <c r="AO219" s="190" t="s">
        <v>572</v>
      </c>
      <c r="AP219" s="220" t="s">
        <v>720</v>
      </c>
      <c r="AQ219" s="190" t="str">
        <f t="shared" si="125"/>
        <v>104-60057C</v>
      </c>
      <c r="AR219" s="190" t="s">
        <v>732</v>
      </c>
      <c r="AS219" s="190"/>
      <c r="AT219" s="190"/>
      <c r="AU219" s="190"/>
      <c r="AV219" s="190"/>
      <c r="AW219" s="190"/>
      <c r="AX219" s="279" t="str">
        <f t="shared" si="98"/>
        <v/>
      </c>
    </row>
    <row r="220" spans="1:50" x14ac:dyDescent="0.25">
      <c r="A220" s="190" t="str">
        <f t="shared" si="111"/>
        <v/>
      </c>
      <c r="B220" s="279" t="str">
        <f t="shared" si="112"/>
        <v>104-60058D</v>
      </c>
      <c r="C220" s="279" t="s">
        <v>2114</v>
      </c>
      <c r="D220" s="279"/>
      <c r="E220" s="279">
        <f t="shared" si="120"/>
        <v>2</v>
      </c>
      <c r="F220" s="190" t="s">
        <v>535</v>
      </c>
      <c r="G220" s="198">
        <v>45209</v>
      </c>
      <c r="H220" s="209"/>
      <c r="I220" s="218"/>
      <c r="J220" s="201" t="s">
        <v>402</v>
      </c>
      <c r="K220" s="201" t="s">
        <v>2758</v>
      </c>
      <c r="L220" s="205" t="s">
        <v>676</v>
      </c>
      <c r="M220" s="192" t="s">
        <v>558</v>
      </c>
      <c r="N220" s="192"/>
      <c r="O220" s="229"/>
      <c r="P220" s="229"/>
      <c r="Q220" s="231" t="str">
        <f t="shared" si="121"/>
        <v>. Grille, LOWER BUMPER - ENDS SET 2</v>
      </c>
      <c r="R220" s="231"/>
      <c r="S220" s="231" t="str">
        <f t="shared" si="123"/>
        <v/>
      </c>
      <c r="T220" s="231" t="str">
        <f>IF(O220&lt;&gt;"",_xlfn.XLOOKUP(O220,'3D. Pictures'!B:B,'3D. Pictures'!E:E,"NOT FOUND",0,1),"")</f>
        <v/>
      </c>
      <c r="U220" s="192"/>
      <c r="V220" s="205"/>
      <c r="W220" s="192"/>
      <c r="X220" s="205"/>
      <c r="Y220" s="205"/>
      <c r="Z220" s="205"/>
      <c r="AA220" s="201" t="s">
        <v>2817</v>
      </c>
      <c r="AB220" s="201" t="s">
        <v>2490</v>
      </c>
      <c r="AC220" s="247" t="str">
        <f t="shared" si="122"/>
        <v>SET 2, sell single if 1 bad</v>
      </c>
      <c r="AD220" s="201" t="s">
        <v>2816</v>
      </c>
      <c r="AE220" s="201"/>
      <c r="AF220" s="201" t="s">
        <v>544</v>
      </c>
      <c r="AG220" s="201"/>
      <c r="AH220" s="367">
        <v>125</v>
      </c>
      <c r="AI220" s="380">
        <f t="shared" si="124"/>
        <v>91.666666666666671</v>
      </c>
      <c r="AJ220" s="204" t="s">
        <v>408</v>
      </c>
      <c r="AK220" s="204" t="s">
        <v>425</v>
      </c>
      <c r="AL220" s="204" t="s">
        <v>2175</v>
      </c>
      <c r="AM220" s="219"/>
      <c r="AN220" s="191" t="s">
        <v>621</v>
      </c>
      <c r="AO220" s="190" t="s">
        <v>572</v>
      </c>
      <c r="AP220" s="220" t="s">
        <v>721</v>
      </c>
      <c r="AQ220" s="190" t="str">
        <f t="shared" si="125"/>
        <v>104-60058D</v>
      </c>
      <c r="AR220" s="190" t="s">
        <v>772</v>
      </c>
      <c r="AS220" s="190"/>
      <c r="AT220" s="190"/>
      <c r="AU220" s="190"/>
      <c r="AV220" s="190"/>
      <c r="AW220" s="190"/>
      <c r="AX220" s="279" t="str">
        <f t="shared" si="98"/>
        <v/>
      </c>
    </row>
    <row r="221" spans="1:50" x14ac:dyDescent="0.25">
      <c r="A221" s="190" t="str">
        <f t="shared" si="111"/>
        <v/>
      </c>
      <c r="B221" s="279" t="str">
        <f t="shared" si="112"/>
        <v>104-60058D</v>
      </c>
      <c r="C221" s="279" t="s">
        <v>2115</v>
      </c>
      <c r="D221" s="279"/>
      <c r="E221" s="279">
        <f t="shared" si="120"/>
        <v>2</v>
      </c>
      <c r="F221" s="190" t="s">
        <v>535</v>
      </c>
      <c r="G221" s="198">
        <v>45209</v>
      </c>
      <c r="H221" s="209"/>
      <c r="I221" s="218"/>
      <c r="J221" s="201" t="s">
        <v>402</v>
      </c>
      <c r="K221" s="201" t="s">
        <v>2758</v>
      </c>
      <c r="L221" s="205" t="s">
        <v>676</v>
      </c>
      <c r="M221" s="192" t="s">
        <v>558</v>
      </c>
      <c r="N221" s="192"/>
      <c r="O221" s="229"/>
      <c r="P221" s="229"/>
      <c r="Q221" s="231" t="str">
        <f t="shared" si="121"/>
        <v>. Grille, LOWER BUMPER - END - LEFT</v>
      </c>
      <c r="R221" s="231"/>
      <c r="S221" s="231" t="str">
        <f t="shared" si="123"/>
        <v/>
      </c>
      <c r="T221" s="231" t="str">
        <f>IF(O221&lt;&gt;"",_xlfn.XLOOKUP(O221,'3D. Pictures'!B:B,'3D. Pictures'!E:E,"NOT FOUND",0,1),"")</f>
        <v/>
      </c>
      <c r="U221" s="192"/>
      <c r="V221" s="205"/>
      <c r="W221" s="192"/>
      <c r="X221" s="205"/>
      <c r="Y221" s="205"/>
      <c r="Z221" s="205"/>
      <c r="AA221" s="201" t="s">
        <v>2817</v>
      </c>
      <c r="AB221" s="201" t="s">
        <v>770</v>
      </c>
      <c r="AC221" s="247" t="str">
        <f t="shared" si="122"/>
        <v/>
      </c>
      <c r="AD221" s="201"/>
      <c r="AE221" s="201"/>
      <c r="AF221" s="201" t="s">
        <v>543</v>
      </c>
      <c r="AG221" s="201"/>
      <c r="AH221" s="367">
        <v>75</v>
      </c>
      <c r="AI221" s="380">
        <f t="shared" si="124"/>
        <v>91.666666666666671</v>
      </c>
      <c r="AJ221" s="204" t="s">
        <v>408</v>
      </c>
      <c r="AK221" s="204" t="s">
        <v>425</v>
      </c>
      <c r="AL221" s="204" t="s">
        <v>2175</v>
      </c>
      <c r="AM221" s="219"/>
      <c r="AN221" s="191" t="s">
        <v>621</v>
      </c>
      <c r="AO221" s="190" t="s">
        <v>572</v>
      </c>
      <c r="AP221" s="220" t="s">
        <v>721</v>
      </c>
      <c r="AQ221" s="190" t="str">
        <f t="shared" ref="AQ221:AQ234" si="126">CONCATENATE(AN221,AO221,AP221)</f>
        <v>104-60058D</v>
      </c>
      <c r="AR221" s="190" t="s">
        <v>733</v>
      </c>
      <c r="AS221" s="190"/>
      <c r="AT221" s="190"/>
      <c r="AU221" s="190"/>
      <c r="AV221" s="190"/>
      <c r="AW221" s="190"/>
      <c r="AX221" s="279" t="str">
        <f t="shared" si="98"/>
        <v/>
      </c>
    </row>
    <row r="222" spans="1:50" x14ac:dyDescent="0.25">
      <c r="A222" s="190" t="str">
        <f t="shared" si="111"/>
        <v/>
      </c>
      <c r="B222" s="279" t="str">
        <f t="shared" si="112"/>
        <v>104-60057D</v>
      </c>
      <c r="C222" s="279"/>
      <c r="D222" s="279"/>
      <c r="E222" s="279">
        <f t="shared" si="120"/>
        <v>1</v>
      </c>
      <c r="F222" s="190" t="s">
        <v>535</v>
      </c>
      <c r="G222" s="198">
        <v>45209</v>
      </c>
      <c r="H222" s="209"/>
      <c r="I222" s="218"/>
      <c r="J222" s="201" t="s">
        <v>402</v>
      </c>
      <c r="K222" s="201" t="s">
        <v>2758</v>
      </c>
      <c r="L222" s="205" t="s">
        <v>676</v>
      </c>
      <c r="M222" s="192" t="s">
        <v>558</v>
      </c>
      <c r="N222" s="192"/>
      <c r="O222" s="229"/>
      <c r="P222" s="229"/>
      <c r="Q222" s="231" t="str">
        <f t="shared" si="121"/>
        <v>. Grille, LOWER BUMPER - END - RIGHT</v>
      </c>
      <c r="R222" s="231"/>
      <c r="S222" s="231" t="str">
        <f t="shared" si="123"/>
        <v/>
      </c>
      <c r="T222" s="231" t="str">
        <f>IF(O222&lt;&gt;"",_xlfn.XLOOKUP(O222,'3D. Pictures'!B:B,'3D. Pictures'!E:E,"NOT FOUND",0,1),"")</f>
        <v/>
      </c>
      <c r="U222" s="192"/>
      <c r="V222" s="205"/>
      <c r="W222" s="192"/>
      <c r="X222" s="205"/>
      <c r="Y222" s="205"/>
      <c r="Z222" s="205"/>
      <c r="AA222" s="201" t="s">
        <v>2817</v>
      </c>
      <c r="AB222" s="201" t="s">
        <v>771</v>
      </c>
      <c r="AC222" s="247" t="str">
        <f t="shared" si="122"/>
        <v/>
      </c>
      <c r="AD222" s="201"/>
      <c r="AE222" s="201"/>
      <c r="AF222" s="201" t="s">
        <v>543</v>
      </c>
      <c r="AG222" s="201"/>
      <c r="AH222" s="367">
        <v>75</v>
      </c>
      <c r="AI222" s="380">
        <f t="shared" si="124"/>
        <v>91.666666666666671</v>
      </c>
      <c r="AJ222" s="204" t="s">
        <v>408</v>
      </c>
      <c r="AK222" s="204" t="s">
        <v>425</v>
      </c>
      <c r="AL222" s="204" t="s">
        <v>2175</v>
      </c>
      <c r="AM222" s="219"/>
      <c r="AN222" s="191" t="s">
        <v>621</v>
      </c>
      <c r="AO222" s="190" t="s">
        <v>572</v>
      </c>
      <c r="AP222" s="220" t="s">
        <v>722</v>
      </c>
      <c r="AQ222" s="190" t="str">
        <f t="shared" si="126"/>
        <v>104-60057D</v>
      </c>
      <c r="AR222" s="190" t="s">
        <v>734</v>
      </c>
      <c r="AS222" s="190"/>
      <c r="AT222" s="190"/>
      <c r="AU222" s="190"/>
      <c r="AV222" s="190"/>
      <c r="AW222" s="190"/>
      <c r="AX222" s="279" t="str">
        <f t="shared" si="98"/>
        <v/>
      </c>
    </row>
    <row r="223" spans="1:50" x14ac:dyDescent="0.25">
      <c r="A223" s="190" t="str">
        <f t="shared" si="111"/>
        <v/>
      </c>
      <c r="B223" s="279" t="str">
        <f t="shared" si="112"/>
        <v>104-60049</v>
      </c>
      <c r="C223" s="279"/>
      <c r="D223" s="279"/>
      <c r="E223" s="279">
        <f t="shared" si="120"/>
        <v>1</v>
      </c>
      <c r="F223" s="190" t="s">
        <v>535</v>
      </c>
      <c r="G223" s="198">
        <v>45216</v>
      </c>
      <c r="H223" s="209"/>
      <c r="I223" s="218"/>
      <c r="J223" s="201" t="s">
        <v>402</v>
      </c>
      <c r="K223" s="201" t="s">
        <v>2758</v>
      </c>
      <c r="L223" s="205" t="s">
        <v>676</v>
      </c>
      <c r="M223" s="192" t="s">
        <v>558</v>
      </c>
      <c r="N223" s="192"/>
      <c r="O223" s="229"/>
      <c r="P223" s="229"/>
      <c r="Q223" s="231" t="str">
        <f t="shared" si="121"/>
        <v>. Grille, CENTER MIDDLE</v>
      </c>
      <c r="R223" s="231"/>
      <c r="S223" s="231" t="str">
        <f t="shared" si="123"/>
        <v/>
      </c>
      <c r="T223" s="231" t="str">
        <f>IF(O223&lt;&gt;"",_xlfn.XLOOKUP(O223,'3D. Pictures'!B:B,'3D. Pictures'!E:E,"NOT FOUND",0,1),"")</f>
        <v/>
      </c>
      <c r="U223" s="192"/>
      <c r="V223" s="205"/>
      <c r="W223" s="192"/>
      <c r="X223" s="205"/>
      <c r="Y223" s="205"/>
      <c r="Z223" s="205"/>
      <c r="AA223" s="201" t="s">
        <v>735</v>
      </c>
      <c r="AB223" s="201" t="s">
        <v>735</v>
      </c>
      <c r="AC223" s="247" t="str">
        <f t="shared" si="122"/>
        <v/>
      </c>
      <c r="AD223" s="201"/>
      <c r="AE223" s="201"/>
      <c r="AF223" s="201" t="s">
        <v>543</v>
      </c>
      <c r="AG223" s="201"/>
      <c r="AH223" s="367">
        <v>125</v>
      </c>
      <c r="AI223" s="380">
        <f t="shared" si="124"/>
        <v>125</v>
      </c>
      <c r="AJ223" s="204" t="s">
        <v>408</v>
      </c>
      <c r="AK223" s="204" t="s">
        <v>425</v>
      </c>
      <c r="AL223" s="204" t="s">
        <v>2175</v>
      </c>
      <c r="AM223" s="219"/>
      <c r="AN223" s="191" t="s">
        <v>621</v>
      </c>
      <c r="AO223" s="190" t="s">
        <v>572</v>
      </c>
      <c r="AP223" s="190">
        <v>60049</v>
      </c>
      <c r="AQ223" s="190" t="str">
        <f t="shared" si="126"/>
        <v>104-60049</v>
      </c>
      <c r="AR223" s="190" t="s">
        <v>687</v>
      </c>
      <c r="AS223" s="190"/>
      <c r="AT223" s="190"/>
      <c r="AU223" s="190"/>
      <c r="AV223" s="190"/>
      <c r="AW223" s="190"/>
      <c r="AX223" s="279" t="str">
        <f t="shared" si="98"/>
        <v/>
      </c>
    </row>
    <row r="224" spans="1:50" x14ac:dyDescent="0.25">
      <c r="A224" s="190" t="str">
        <f t="shared" si="111"/>
        <v/>
      </c>
      <c r="B224" s="279" t="str">
        <f t="shared" si="112"/>
        <v>104-60050A</v>
      </c>
      <c r="C224" s="279"/>
      <c r="D224" s="279"/>
      <c r="E224" s="279">
        <f t="shared" si="120"/>
        <v>1</v>
      </c>
      <c r="F224" s="190" t="s">
        <v>535</v>
      </c>
      <c r="G224" s="198">
        <v>45216</v>
      </c>
      <c r="H224" s="209"/>
      <c r="I224" s="218"/>
      <c r="J224" s="201" t="s">
        <v>402</v>
      </c>
      <c r="K224" s="201" t="s">
        <v>2758</v>
      </c>
      <c r="L224" s="205" t="s">
        <v>676</v>
      </c>
      <c r="M224" s="192" t="s">
        <v>558</v>
      </c>
      <c r="N224" s="192"/>
      <c r="O224" s="229"/>
      <c r="P224" s="229"/>
      <c r="Q224" s="231" t="str">
        <f t="shared" si="121"/>
        <v>. Grille, CENTER MIDDLE</v>
      </c>
      <c r="R224" s="231"/>
      <c r="S224" s="231" t="str">
        <f t="shared" si="123"/>
        <v/>
      </c>
      <c r="T224" s="231" t="str">
        <f>IF(O224&lt;&gt;"",_xlfn.XLOOKUP(O224,'3D. Pictures'!B:B,'3D. Pictures'!E:E,"NOT FOUND",0,1),"")</f>
        <v/>
      </c>
      <c r="U224" s="192"/>
      <c r="V224" s="205"/>
      <c r="W224" s="192"/>
      <c r="X224" s="205"/>
      <c r="Y224" s="205"/>
      <c r="Z224" s="205"/>
      <c r="AA224" s="201" t="s">
        <v>735</v>
      </c>
      <c r="AB224" s="201" t="s">
        <v>735</v>
      </c>
      <c r="AC224" s="247" t="str">
        <f t="shared" si="122"/>
        <v/>
      </c>
      <c r="AD224" s="201"/>
      <c r="AE224" s="201"/>
      <c r="AF224" s="201" t="s">
        <v>543</v>
      </c>
      <c r="AG224" s="201"/>
      <c r="AH224" s="367">
        <v>125</v>
      </c>
      <c r="AI224" s="380">
        <f t="shared" si="124"/>
        <v>125</v>
      </c>
      <c r="AJ224" s="204" t="s">
        <v>408</v>
      </c>
      <c r="AK224" s="204" t="s">
        <v>425</v>
      </c>
      <c r="AL224" s="204" t="s">
        <v>2175</v>
      </c>
      <c r="AM224" s="219"/>
      <c r="AN224" s="191" t="s">
        <v>621</v>
      </c>
      <c r="AO224" s="190" t="s">
        <v>572</v>
      </c>
      <c r="AP224" s="190" t="s">
        <v>736</v>
      </c>
      <c r="AQ224" s="190" t="str">
        <f t="shared" si="126"/>
        <v>104-60050A</v>
      </c>
      <c r="AR224" s="190" t="s">
        <v>738</v>
      </c>
      <c r="AS224" s="190"/>
      <c r="AT224" s="190"/>
      <c r="AU224" s="190"/>
      <c r="AV224" s="190"/>
      <c r="AW224" s="190"/>
      <c r="AX224" s="279" t="str">
        <f t="shared" si="98"/>
        <v/>
      </c>
    </row>
    <row r="225" spans="1:50" x14ac:dyDescent="0.25">
      <c r="A225" s="190" t="str">
        <f t="shared" si="111"/>
        <v/>
      </c>
      <c r="B225" s="279" t="str">
        <f t="shared" si="112"/>
        <v>104-60050B</v>
      </c>
      <c r="C225" s="279"/>
      <c r="D225" s="279"/>
      <c r="E225" s="279">
        <f t="shared" si="120"/>
        <v>1</v>
      </c>
      <c r="F225" s="190" t="s">
        <v>535</v>
      </c>
      <c r="G225" s="198">
        <v>45216</v>
      </c>
      <c r="H225" s="209"/>
      <c r="I225" s="218"/>
      <c r="J225" s="201" t="s">
        <v>402</v>
      </c>
      <c r="K225" s="201" t="s">
        <v>2758</v>
      </c>
      <c r="L225" s="205" t="s">
        <v>676</v>
      </c>
      <c r="M225" s="192" t="s">
        <v>558</v>
      </c>
      <c r="N225" s="192"/>
      <c r="O225" s="229"/>
      <c r="P225" s="229"/>
      <c r="Q225" s="231" t="str">
        <f t="shared" si="121"/>
        <v>. Grille, CENTER MIDDLE</v>
      </c>
      <c r="R225" s="231"/>
      <c r="S225" s="231" t="str">
        <f t="shared" si="123"/>
        <v/>
      </c>
      <c r="T225" s="231" t="str">
        <f>IF(O225&lt;&gt;"",_xlfn.XLOOKUP(O225,'3D. Pictures'!B:B,'3D. Pictures'!E:E,"NOT FOUND",0,1),"")</f>
        <v/>
      </c>
      <c r="U225" s="192"/>
      <c r="V225" s="205"/>
      <c r="W225" s="192"/>
      <c r="X225" s="205"/>
      <c r="Y225" s="205"/>
      <c r="Z225" s="205"/>
      <c r="AA225" s="201" t="s">
        <v>735</v>
      </c>
      <c r="AB225" s="201" t="s">
        <v>735</v>
      </c>
      <c r="AC225" s="247" t="str">
        <f t="shared" si="122"/>
        <v/>
      </c>
      <c r="AD225" s="201"/>
      <c r="AE225" s="201"/>
      <c r="AF225" s="201" t="s">
        <v>543</v>
      </c>
      <c r="AG225" s="201"/>
      <c r="AH225" s="367">
        <v>125</v>
      </c>
      <c r="AI225" s="380">
        <f t="shared" si="124"/>
        <v>125</v>
      </c>
      <c r="AJ225" s="204" t="s">
        <v>408</v>
      </c>
      <c r="AK225" s="204" t="s">
        <v>425</v>
      </c>
      <c r="AL225" s="204" t="s">
        <v>2175</v>
      </c>
      <c r="AM225" s="219"/>
      <c r="AN225" s="191" t="s">
        <v>621</v>
      </c>
      <c r="AO225" s="190" t="s">
        <v>572</v>
      </c>
      <c r="AP225" s="190" t="s">
        <v>737</v>
      </c>
      <c r="AQ225" s="190" t="str">
        <f t="shared" si="126"/>
        <v>104-60050B</v>
      </c>
      <c r="AR225" s="190" t="s">
        <v>739</v>
      </c>
      <c r="AS225" s="190"/>
      <c r="AT225" s="190"/>
      <c r="AU225" s="190"/>
      <c r="AV225" s="190"/>
      <c r="AW225" s="190"/>
      <c r="AX225" s="279" t="str">
        <f t="shared" si="98"/>
        <v/>
      </c>
    </row>
    <row r="226" spans="1:50" x14ac:dyDescent="0.25">
      <c r="A226" s="190" t="str">
        <f t="shared" si="111"/>
        <v/>
      </c>
      <c r="B226" s="279" t="str">
        <f t="shared" si="112"/>
        <v>104-60041C</v>
      </c>
      <c r="C226" s="279" t="s">
        <v>2116</v>
      </c>
      <c r="D226" s="279"/>
      <c r="E226" s="279">
        <f t="shared" si="120"/>
        <v>2</v>
      </c>
      <c r="F226" s="190" t="s">
        <v>535</v>
      </c>
      <c r="G226" s="198">
        <v>45216</v>
      </c>
      <c r="H226" s="209"/>
      <c r="I226" s="218"/>
      <c r="J226" s="201" t="s">
        <v>402</v>
      </c>
      <c r="K226" s="201" t="s">
        <v>2758</v>
      </c>
      <c r="L226" s="205" t="s">
        <v>676</v>
      </c>
      <c r="M226" s="192" t="s">
        <v>558</v>
      </c>
      <c r="N226" s="192"/>
      <c r="O226" s="229"/>
      <c r="P226" s="229"/>
      <c r="Q226" s="231" t="str">
        <f t="shared" si="121"/>
        <v>. Grille, UPPER KIDNEY GRILLE SET 2</v>
      </c>
      <c r="R226" s="231"/>
      <c r="S226" s="231" t="str">
        <f t="shared" si="123"/>
        <v/>
      </c>
      <c r="T226" s="231" t="str">
        <f>IF(O226&lt;&gt;"",_xlfn.XLOOKUP(O226,'3D. Pictures'!B:B,'3D. Pictures'!E:E,"NOT FOUND",0,1),"")</f>
        <v/>
      </c>
      <c r="U226" s="192"/>
      <c r="V226" s="205"/>
      <c r="W226" s="192"/>
      <c r="X226" s="205"/>
      <c r="Y226" s="205"/>
      <c r="Z226" s="205"/>
      <c r="AA226" s="201" t="s">
        <v>2818</v>
      </c>
      <c r="AB226" s="201" t="s">
        <v>2491</v>
      </c>
      <c r="AC226" s="247" t="str">
        <f t="shared" si="122"/>
        <v>SET 2, sell single if 1 bad</v>
      </c>
      <c r="AD226" s="201" t="s">
        <v>2816</v>
      </c>
      <c r="AE226" s="201"/>
      <c r="AF226" s="201" t="s">
        <v>544</v>
      </c>
      <c r="AG226" s="201"/>
      <c r="AH226" s="367">
        <v>150</v>
      </c>
      <c r="AI226" s="380">
        <f t="shared" si="124"/>
        <v>98.611111111111114</v>
      </c>
      <c r="AJ226" s="204" t="s">
        <v>408</v>
      </c>
      <c r="AK226" s="204" t="s">
        <v>425</v>
      </c>
      <c r="AL226" s="204" t="s">
        <v>2175</v>
      </c>
      <c r="AM226" s="219"/>
      <c r="AN226" s="191" t="s">
        <v>621</v>
      </c>
      <c r="AO226" s="190" t="s">
        <v>572</v>
      </c>
      <c r="AP226" s="220" t="s">
        <v>740</v>
      </c>
      <c r="AQ226" s="190" t="str">
        <f t="shared" si="126"/>
        <v>104-60041C</v>
      </c>
      <c r="AR226" s="190" t="s">
        <v>769</v>
      </c>
      <c r="AS226" s="190"/>
      <c r="AT226" s="190"/>
      <c r="AU226" s="190"/>
      <c r="AV226" s="190"/>
      <c r="AW226" s="190"/>
      <c r="AX226" s="279" t="str">
        <f t="shared" si="98"/>
        <v/>
      </c>
    </row>
    <row r="227" spans="1:50" x14ac:dyDescent="0.25">
      <c r="A227" s="190" t="str">
        <f t="shared" si="111"/>
        <v/>
      </c>
      <c r="B227" s="279" t="str">
        <f t="shared" si="112"/>
        <v>104-60041C</v>
      </c>
      <c r="C227" s="279" t="s">
        <v>2117</v>
      </c>
      <c r="D227" s="279"/>
      <c r="E227" s="279">
        <f t="shared" si="120"/>
        <v>2</v>
      </c>
      <c r="F227" s="190" t="s">
        <v>535</v>
      </c>
      <c r="G227" s="198">
        <v>45216</v>
      </c>
      <c r="H227" s="209"/>
      <c r="I227" s="218"/>
      <c r="J227" s="201" t="s">
        <v>402</v>
      </c>
      <c r="K227" s="201" t="s">
        <v>2758</v>
      </c>
      <c r="L227" s="205" t="s">
        <v>676</v>
      </c>
      <c r="M227" s="192" t="s">
        <v>558</v>
      </c>
      <c r="N227" s="192"/>
      <c r="O227" s="229"/>
      <c r="P227" s="229"/>
      <c r="Q227" s="231" t="str">
        <f t="shared" si="121"/>
        <v>. Grille, UPPER KIDNEY GRILLE, LEFT</v>
      </c>
      <c r="R227" s="231"/>
      <c r="S227" s="231" t="str">
        <f t="shared" si="123"/>
        <v/>
      </c>
      <c r="T227" s="231" t="str">
        <f>IF(O227&lt;&gt;"",_xlfn.XLOOKUP(O227,'3D. Pictures'!B:B,'3D. Pictures'!E:E,"NOT FOUND",0,1),"")</f>
        <v/>
      </c>
      <c r="U227" s="192"/>
      <c r="V227" s="205"/>
      <c r="W227" s="192"/>
      <c r="X227" s="205"/>
      <c r="Y227" s="205"/>
      <c r="Z227" s="205"/>
      <c r="AA227" s="201" t="s">
        <v>2818</v>
      </c>
      <c r="AB227" s="201" t="s">
        <v>761</v>
      </c>
      <c r="AC227" s="247" t="str">
        <f t="shared" si="122"/>
        <v/>
      </c>
      <c r="AD227" s="201"/>
      <c r="AE227" s="201"/>
      <c r="AF227" s="201" t="s">
        <v>543</v>
      </c>
      <c r="AG227" s="201"/>
      <c r="AH227" s="367">
        <v>75</v>
      </c>
      <c r="AI227" s="380">
        <f t="shared" si="124"/>
        <v>98.611111111111114</v>
      </c>
      <c r="AJ227" s="204" t="s">
        <v>408</v>
      </c>
      <c r="AK227" s="204" t="s">
        <v>425</v>
      </c>
      <c r="AL227" s="204" t="s">
        <v>2175</v>
      </c>
      <c r="AM227" s="219"/>
      <c r="AN227" s="191" t="s">
        <v>621</v>
      </c>
      <c r="AO227" s="190" t="s">
        <v>572</v>
      </c>
      <c r="AP227" s="220" t="s">
        <v>740</v>
      </c>
      <c r="AQ227" s="190" t="str">
        <f t="shared" si="126"/>
        <v>104-60041C</v>
      </c>
      <c r="AR227" s="190" t="s">
        <v>749</v>
      </c>
      <c r="AS227" s="190"/>
      <c r="AT227" s="190"/>
      <c r="AU227" s="190"/>
      <c r="AV227" s="190"/>
      <c r="AW227" s="190"/>
      <c r="AX227" s="279" t="str">
        <f t="shared" si="98"/>
        <v/>
      </c>
    </row>
    <row r="228" spans="1:50" x14ac:dyDescent="0.25">
      <c r="A228" s="190" t="str">
        <f t="shared" si="111"/>
        <v/>
      </c>
      <c r="B228" s="279" t="str">
        <f t="shared" ref="B228:B256" si="127">IF(AQ228&lt;&gt;"",AQ228,"")</f>
        <v>104-60040C</v>
      </c>
      <c r="C228" s="279"/>
      <c r="D228" s="279"/>
      <c r="E228" s="279">
        <f t="shared" si="120"/>
        <v>1</v>
      </c>
      <c r="F228" s="190" t="s">
        <v>535</v>
      </c>
      <c r="G228" s="198">
        <v>45216</v>
      </c>
      <c r="H228" s="209"/>
      <c r="I228" s="218"/>
      <c r="J228" s="201" t="s">
        <v>402</v>
      </c>
      <c r="K228" s="201" t="s">
        <v>2758</v>
      </c>
      <c r="L228" s="205" t="s">
        <v>676</v>
      </c>
      <c r="M228" s="192" t="s">
        <v>558</v>
      </c>
      <c r="N228" s="192"/>
      <c r="O228" s="229"/>
      <c r="P228" s="229"/>
      <c r="Q228" s="231" t="str">
        <f t="shared" si="121"/>
        <v>. Grille, UPPER KIDNEY GRILLE, RIGHT</v>
      </c>
      <c r="R228" s="231"/>
      <c r="S228" s="231" t="str">
        <f t="shared" si="123"/>
        <v/>
      </c>
      <c r="T228" s="231" t="str">
        <f>IF(O228&lt;&gt;"",_xlfn.XLOOKUP(O228,'3D. Pictures'!B:B,'3D. Pictures'!E:E,"NOT FOUND",0,1),"")</f>
        <v/>
      </c>
      <c r="U228" s="192"/>
      <c r="V228" s="205"/>
      <c r="W228" s="192"/>
      <c r="X228" s="205"/>
      <c r="Y228" s="205"/>
      <c r="Z228" s="205"/>
      <c r="AA228" s="201" t="s">
        <v>2818</v>
      </c>
      <c r="AB228" s="201" t="s">
        <v>762</v>
      </c>
      <c r="AC228" s="247" t="str">
        <f t="shared" si="122"/>
        <v/>
      </c>
      <c r="AD228" s="201"/>
      <c r="AE228" s="201"/>
      <c r="AF228" s="201" t="s">
        <v>543</v>
      </c>
      <c r="AG228" s="201"/>
      <c r="AH228" s="367">
        <v>75</v>
      </c>
      <c r="AI228" s="380">
        <f t="shared" si="124"/>
        <v>98.611111111111114</v>
      </c>
      <c r="AJ228" s="204" t="s">
        <v>408</v>
      </c>
      <c r="AK228" s="204" t="s">
        <v>425</v>
      </c>
      <c r="AL228" s="204" t="s">
        <v>2175</v>
      </c>
      <c r="AM228" s="219"/>
      <c r="AN228" s="191" t="s">
        <v>621</v>
      </c>
      <c r="AO228" s="190" t="s">
        <v>572</v>
      </c>
      <c r="AP228" s="220" t="s">
        <v>741</v>
      </c>
      <c r="AQ228" s="190" t="str">
        <f t="shared" si="126"/>
        <v>104-60040C</v>
      </c>
      <c r="AR228" s="190" t="s">
        <v>2118</v>
      </c>
      <c r="AS228" s="190"/>
      <c r="AT228" s="190"/>
      <c r="AU228" s="190"/>
      <c r="AV228" s="190"/>
      <c r="AW228" s="190"/>
      <c r="AX228" s="279" t="str">
        <f t="shared" si="98"/>
        <v/>
      </c>
    </row>
    <row r="229" spans="1:50" x14ac:dyDescent="0.25">
      <c r="A229" s="190" t="str">
        <f t="shared" si="111"/>
        <v/>
      </c>
      <c r="B229" s="279" t="str">
        <f t="shared" si="127"/>
        <v>104-60041A</v>
      </c>
      <c r="C229" s="279"/>
      <c r="D229" s="279"/>
      <c r="E229" s="279">
        <f t="shared" si="120"/>
        <v>2</v>
      </c>
      <c r="F229" s="190" t="s">
        <v>535</v>
      </c>
      <c r="G229" s="198">
        <v>45216</v>
      </c>
      <c r="H229" s="209"/>
      <c r="I229" s="218"/>
      <c r="J229" s="201" t="s">
        <v>402</v>
      </c>
      <c r="K229" s="201" t="s">
        <v>2758</v>
      </c>
      <c r="L229" s="205" t="s">
        <v>676</v>
      </c>
      <c r="M229" s="192" t="s">
        <v>558</v>
      </c>
      <c r="N229" s="192"/>
      <c r="O229" s="229"/>
      <c r="P229" s="229"/>
      <c r="Q229" s="231" t="str">
        <f t="shared" si="121"/>
        <v>. Grille, UPPER KIDNEY GRILLE SET 2</v>
      </c>
      <c r="R229" s="231"/>
      <c r="S229" s="231" t="str">
        <f t="shared" si="123"/>
        <v/>
      </c>
      <c r="T229" s="231" t="str">
        <f>IF(O229&lt;&gt;"",_xlfn.XLOOKUP(O229,'3D. Pictures'!B:B,'3D. Pictures'!E:E,"NOT FOUND",0,1),"")</f>
        <v/>
      </c>
      <c r="U229" s="192"/>
      <c r="V229" s="205"/>
      <c r="W229" s="192"/>
      <c r="X229" s="205"/>
      <c r="Y229" s="205"/>
      <c r="Z229" s="205"/>
      <c r="AA229" s="201" t="s">
        <v>2818</v>
      </c>
      <c r="AB229" s="201" t="s">
        <v>2491</v>
      </c>
      <c r="AC229" s="247" t="str">
        <f t="shared" si="122"/>
        <v>SET 2, sell single if 1 bad</v>
      </c>
      <c r="AD229" s="201" t="s">
        <v>2816</v>
      </c>
      <c r="AE229" s="201"/>
      <c r="AF229" s="201" t="s">
        <v>544</v>
      </c>
      <c r="AG229" s="201"/>
      <c r="AH229" s="367">
        <v>150</v>
      </c>
      <c r="AI229" s="380">
        <f t="shared" si="124"/>
        <v>98.611111111111114</v>
      </c>
      <c r="AJ229" s="204" t="s">
        <v>408</v>
      </c>
      <c r="AK229" s="204" t="s">
        <v>425</v>
      </c>
      <c r="AL229" s="204" t="s">
        <v>2175</v>
      </c>
      <c r="AM229" s="219"/>
      <c r="AN229" s="191" t="s">
        <v>621</v>
      </c>
      <c r="AO229" s="190" t="s">
        <v>572</v>
      </c>
      <c r="AP229" s="220" t="s">
        <v>742</v>
      </c>
      <c r="AQ229" s="190" t="str">
        <f t="shared" si="126"/>
        <v>104-60041A</v>
      </c>
      <c r="AR229" s="190" t="s">
        <v>768</v>
      </c>
      <c r="AS229" s="190"/>
      <c r="AT229" s="190"/>
      <c r="AU229" s="190"/>
      <c r="AV229" s="190"/>
      <c r="AW229" s="190"/>
      <c r="AX229" s="279" t="str">
        <f t="shared" si="98"/>
        <v/>
      </c>
    </row>
    <row r="230" spans="1:50" x14ac:dyDescent="0.25">
      <c r="A230" s="190" t="str">
        <f t="shared" si="111"/>
        <v/>
      </c>
      <c r="B230" s="279" t="str">
        <f t="shared" si="127"/>
        <v>104-60041A</v>
      </c>
      <c r="C230" s="279"/>
      <c r="D230" s="279"/>
      <c r="E230" s="279">
        <f t="shared" si="120"/>
        <v>2</v>
      </c>
      <c r="F230" s="190" t="s">
        <v>535</v>
      </c>
      <c r="G230" s="198">
        <v>45216</v>
      </c>
      <c r="H230" s="209"/>
      <c r="I230" s="218"/>
      <c r="J230" s="201" t="s">
        <v>402</v>
      </c>
      <c r="K230" s="201" t="s">
        <v>2758</v>
      </c>
      <c r="L230" s="205" t="s">
        <v>676</v>
      </c>
      <c r="M230" s="192" t="s">
        <v>558</v>
      </c>
      <c r="N230" s="192"/>
      <c r="O230" s="229"/>
      <c r="P230" s="229"/>
      <c r="Q230" s="231" t="str">
        <f t="shared" si="121"/>
        <v>. Grille, UPPER KIDNEY GRILLE, LEFT</v>
      </c>
      <c r="R230" s="231"/>
      <c r="S230" s="231" t="str">
        <f t="shared" si="123"/>
        <v/>
      </c>
      <c r="T230" s="231" t="str">
        <f>IF(O230&lt;&gt;"",_xlfn.XLOOKUP(O230,'3D. Pictures'!B:B,'3D. Pictures'!E:E,"NOT FOUND",0,1),"")</f>
        <v/>
      </c>
      <c r="U230" s="192"/>
      <c r="V230" s="205"/>
      <c r="W230" s="192"/>
      <c r="X230" s="205"/>
      <c r="Y230" s="205"/>
      <c r="Z230" s="205"/>
      <c r="AA230" s="201" t="s">
        <v>2818</v>
      </c>
      <c r="AB230" s="201" t="s">
        <v>761</v>
      </c>
      <c r="AC230" s="247" t="str">
        <f t="shared" si="122"/>
        <v/>
      </c>
      <c r="AD230" s="201"/>
      <c r="AE230" s="201"/>
      <c r="AF230" s="201" t="s">
        <v>543</v>
      </c>
      <c r="AG230" s="201"/>
      <c r="AH230" s="367">
        <v>75</v>
      </c>
      <c r="AI230" s="380">
        <f t="shared" si="124"/>
        <v>98.611111111111114</v>
      </c>
      <c r="AJ230" s="204" t="s">
        <v>408</v>
      </c>
      <c r="AK230" s="204" t="s">
        <v>425</v>
      </c>
      <c r="AL230" s="204" t="s">
        <v>2175</v>
      </c>
      <c r="AM230" s="219"/>
      <c r="AN230" s="191" t="s">
        <v>621</v>
      </c>
      <c r="AO230" s="190" t="s">
        <v>572</v>
      </c>
      <c r="AP230" s="220" t="s">
        <v>742</v>
      </c>
      <c r="AQ230" s="190" t="str">
        <f t="shared" si="126"/>
        <v>104-60041A</v>
      </c>
      <c r="AR230" s="190" t="s">
        <v>750</v>
      </c>
      <c r="AS230" s="190"/>
      <c r="AT230" s="190"/>
      <c r="AU230" s="190"/>
      <c r="AV230" s="190"/>
      <c r="AW230" s="190"/>
      <c r="AX230" s="279" t="str">
        <f t="shared" si="98"/>
        <v/>
      </c>
    </row>
    <row r="231" spans="1:50" x14ac:dyDescent="0.25">
      <c r="A231" s="190" t="str">
        <f t="shared" si="111"/>
        <v/>
      </c>
      <c r="B231" s="279" t="str">
        <f t="shared" si="127"/>
        <v>104-60040A</v>
      </c>
      <c r="C231" s="279"/>
      <c r="D231" s="279"/>
      <c r="E231" s="279">
        <f t="shared" si="120"/>
        <v>1</v>
      </c>
      <c r="F231" s="190" t="s">
        <v>535</v>
      </c>
      <c r="G231" s="198">
        <v>45216</v>
      </c>
      <c r="H231" s="209"/>
      <c r="I231" s="218"/>
      <c r="J231" s="201" t="s">
        <v>402</v>
      </c>
      <c r="K231" s="201" t="s">
        <v>2758</v>
      </c>
      <c r="L231" s="205" t="s">
        <v>676</v>
      </c>
      <c r="M231" s="192" t="s">
        <v>558</v>
      </c>
      <c r="N231" s="192"/>
      <c r="O231" s="229"/>
      <c r="P231" s="229"/>
      <c r="Q231" s="231" t="str">
        <f t="shared" si="121"/>
        <v>. Grille, UPPER KIDNEY GRILLE, RIGHT</v>
      </c>
      <c r="R231" s="231"/>
      <c r="S231" s="231" t="str">
        <f t="shared" si="123"/>
        <v/>
      </c>
      <c r="T231" s="231" t="str">
        <f>IF(O231&lt;&gt;"",_xlfn.XLOOKUP(O231,'3D. Pictures'!B:B,'3D. Pictures'!E:E,"NOT FOUND",0,1),"")</f>
        <v/>
      </c>
      <c r="U231" s="192"/>
      <c r="V231" s="205"/>
      <c r="W231" s="192"/>
      <c r="X231" s="205"/>
      <c r="Y231" s="205"/>
      <c r="Z231" s="205"/>
      <c r="AA231" s="201" t="s">
        <v>2818</v>
      </c>
      <c r="AB231" s="201" t="s">
        <v>762</v>
      </c>
      <c r="AC231" s="247" t="str">
        <f t="shared" si="122"/>
        <v/>
      </c>
      <c r="AD231" s="201"/>
      <c r="AE231" s="201"/>
      <c r="AF231" s="201" t="s">
        <v>543</v>
      </c>
      <c r="AG231" s="201"/>
      <c r="AH231" s="367">
        <v>75</v>
      </c>
      <c r="AI231" s="380">
        <f t="shared" si="124"/>
        <v>98.611111111111114</v>
      </c>
      <c r="AJ231" s="204" t="s">
        <v>408</v>
      </c>
      <c r="AK231" s="204" t="s">
        <v>425</v>
      </c>
      <c r="AL231" s="204" t="s">
        <v>2175</v>
      </c>
      <c r="AM231" s="219"/>
      <c r="AN231" s="191" t="s">
        <v>621</v>
      </c>
      <c r="AO231" s="190" t="s">
        <v>572</v>
      </c>
      <c r="AP231" s="220" t="s">
        <v>743</v>
      </c>
      <c r="AQ231" s="190" t="str">
        <f t="shared" si="126"/>
        <v>104-60040A</v>
      </c>
      <c r="AR231" s="190" t="s">
        <v>2120</v>
      </c>
      <c r="AS231" s="190"/>
      <c r="AT231" s="190"/>
      <c r="AU231" s="190"/>
      <c r="AV231" s="190"/>
      <c r="AW231" s="190"/>
      <c r="AX231" s="279" t="str">
        <f t="shared" si="98"/>
        <v/>
      </c>
    </row>
    <row r="232" spans="1:50" x14ac:dyDescent="0.25">
      <c r="A232" s="190" t="str">
        <f t="shared" si="111"/>
        <v/>
      </c>
      <c r="B232" s="279" t="str">
        <f t="shared" si="127"/>
        <v>104-60041B</v>
      </c>
      <c r="C232" s="279"/>
      <c r="D232" s="279"/>
      <c r="E232" s="279">
        <f t="shared" si="120"/>
        <v>2</v>
      </c>
      <c r="F232" s="190" t="s">
        <v>535</v>
      </c>
      <c r="G232" s="198">
        <v>45216</v>
      </c>
      <c r="H232" s="209"/>
      <c r="I232" s="218"/>
      <c r="J232" s="201" t="s">
        <v>402</v>
      </c>
      <c r="K232" s="201" t="s">
        <v>2758</v>
      </c>
      <c r="L232" s="205" t="s">
        <v>676</v>
      </c>
      <c r="M232" s="192" t="s">
        <v>558</v>
      </c>
      <c r="N232" s="192"/>
      <c r="O232" s="229"/>
      <c r="P232" s="229"/>
      <c r="Q232" s="231" t="str">
        <f t="shared" si="121"/>
        <v>. Grille, UPPER KIDNEY GRILLE SET 2</v>
      </c>
      <c r="R232" s="231"/>
      <c r="S232" s="231" t="str">
        <f t="shared" si="123"/>
        <v/>
      </c>
      <c r="T232" s="231" t="str">
        <f>IF(O232&lt;&gt;"",_xlfn.XLOOKUP(O232,'3D. Pictures'!B:B,'3D. Pictures'!E:E,"NOT FOUND",0,1),"")</f>
        <v/>
      </c>
      <c r="U232" s="192"/>
      <c r="V232" s="205"/>
      <c r="W232" s="192"/>
      <c r="X232" s="205"/>
      <c r="Y232" s="16"/>
      <c r="Z232" s="205"/>
      <c r="AA232" s="201" t="s">
        <v>2818</v>
      </c>
      <c r="AB232" s="201" t="s">
        <v>2491</v>
      </c>
      <c r="AC232" s="247" t="str">
        <f t="shared" si="122"/>
        <v>SET 2, sell single if 1 bad</v>
      </c>
      <c r="AD232" s="201" t="s">
        <v>2816</v>
      </c>
      <c r="AE232" s="201"/>
      <c r="AF232" s="201" t="s">
        <v>544</v>
      </c>
      <c r="AG232" s="201"/>
      <c r="AH232" s="367">
        <v>150</v>
      </c>
      <c r="AI232" s="380">
        <f t="shared" si="124"/>
        <v>98.611111111111114</v>
      </c>
      <c r="AJ232" s="204" t="s">
        <v>408</v>
      </c>
      <c r="AK232" s="204" t="s">
        <v>425</v>
      </c>
      <c r="AL232" s="204" t="s">
        <v>2175</v>
      </c>
      <c r="AM232" s="219"/>
      <c r="AN232" s="191" t="s">
        <v>621</v>
      </c>
      <c r="AO232" s="190" t="s">
        <v>572</v>
      </c>
      <c r="AP232" s="220" t="s">
        <v>744</v>
      </c>
      <c r="AQ232" s="190" t="str">
        <f t="shared" si="126"/>
        <v>104-60041B</v>
      </c>
      <c r="AR232" s="190" t="s">
        <v>767</v>
      </c>
      <c r="AS232" s="190"/>
      <c r="AT232" s="190"/>
      <c r="AU232" s="190"/>
      <c r="AV232" s="190"/>
      <c r="AW232" s="190"/>
      <c r="AX232" s="279" t="str">
        <f t="shared" si="98"/>
        <v/>
      </c>
    </row>
    <row r="233" spans="1:50" x14ac:dyDescent="0.25">
      <c r="A233" s="190" t="str">
        <f t="shared" si="111"/>
        <v/>
      </c>
      <c r="B233" s="279" t="str">
        <f t="shared" si="127"/>
        <v>104-60041B</v>
      </c>
      <c r="C233" s="279"/>
      <c r="D233" s="279"/>
      <c r="E233" s="279">
        <f t="shared" si="120"/>
        <v>2</v>
      </c>
      <c r="F233" s="190" t="s">
        <v>535</v>
      </c>
      <c r="G233" s="198">
        <v>45216</v>
      </c>
      <c r="H233" s="209"/>
      <c r="I233" s="218"/>
      <c r="J233" s="201" t="s">
        <v>402</v>
      </c>
      <c r="K233" s="201" t="s">
        <v>2758</v>
      </c>
      <c r="L233" s="205" t="s">
        <v>676</v>
      </c>
      <c r="M233" s="192" t="s">
        <v>558</v>
      </c>
      <c r="N233" s="192"/>
      <c r="O233" s="229"/>
      <c r="P233" s="229"/>
      <c r="Q233" s="231" t="str">
        <f t="shared" si="121"/>
        <v>. Grille, UPPER KIDNEY GRILLE, LEFT</v>
      </c>
      <c r="R233" s="231"/>
      <c r="S233" s="231" t="str">
        <f t="shared" si="123"/>
        <v/>
      </c>
      <c r="T233" s="231" t="str">
        <f>IF(O233&lt;&gt;"",_xlfn.XLOOKUP(O233,'3D. Pictures'!B:B,'3D. Pictures'!E:E,"NOT FOUND",0,1),"")</f>
        <v/>
      </c>
      <c r="U233" s="192"/>
      <c r="V233" s="205"/>
      <c r="W233" s="192"/>
      <c r="X233" s="205"/>
      <c r="Y233" s="205"/>
      <c r="Z233" s="205"/>
      <c r="AA233" s="201" t="s">
        <v>2818</v>
      </c>
      <c r="AB233" s="201" t="s">
        <v>761</v>
      </c>
      <c r="AC233" s="247" t="str">
        <f t="shared" si="122"/>
        <v/>
      </c>
      <c r="AD233" s="201"/>
      <c r="AE233" s="201"/>
      <c r="AF233" s="201" t="s">
        <v>543</v>
      </c>
      <c r="AG233" s="201"/>
      <c r="AH233" s="367">
        <v>75</v>
      </c>
      <c r="AI233" s="380">
        <f t="shared" si="124"/>
        <v>98.611111111111114</v>
      </c>
      <c r="AJ233" s="204" t="s">
        <v>408</v>
      </c>
      <c r="AK233" s="204" t="s">
        <v>425</v>
      </c>
      <c r="AL233" s="204" t="s">
        <v>2175</v>
      </c>
      <c r="AM233" s="219"/>
      <c r="AN233" s="191" t="s">
        <v>621</v>
      </c>
      <c r="AO233" s="190" t="s">
        <v>572</v>
      </c>
      <c r="AP233" s="220" t="s">
        <v>744</v>
      </c>
      <c r="AQ233" s="190" t="str">
        <f t="shared" si="126"/>
        <v>104-60041B</v>
      </c>
      <c r="AR233" s="190" t="s">
        <v>751</v>
      </c>
      <c r="AS233" s="190"/>
      <c r="AT233" s="190"/>
      <c r="AU233" s="190"/>
      <c r="AV233" s="190"/>
      <c r="AW233" s="190"/>
      <c r="AX233" s="279" t="str">
        <f t="shared" ref="AX233:AX292" si="128">IF(AW233&lt;&gt;"",_xlfn.TEXTJOIN("-",TRUE,AV233,AW233),"")</f>
        <v/>
      </c>
    </row>
    <row r="234" spans="1:50" x14ac:dyDescent="0.25">
      <c r="A234" s="190" t="str">
        <f t="shared" si="111"/>
        <v/>
      </c>
      <c r="B234" s="279" t="str">
        <f t="shared" si="127"/>
        <v>104-60040B</v>
      </c>
      <c r="C234" s="279"/>
      <c r="D234" s="279"/>
      <c r="E234" s="279">
        <f t="shared" si="120"/>
        <v>1</v>
      </c>
      <c r="F234" s="190" t="s">
        <v>535</v>
      </c>
      <c r="G234" s="198">
        <v>45216</v>
      </c>
      <c r="H234" s="209"/>
      <c r="I234" s="218"/>
      <c r="J234" s="201" t="s">
        <v>402</v>
      </c>
      <c r="K234" s="201" t="s">
        <v>2758</v>
      </c>
      <c r="L234" s="205" t="s">
        <v>676</v>
      </c>
      <c r="M234" s="192" t="s">
        <v>558</v>
      </c>
      <c r="N234" s="192"/>
      <c r="O234" s="229"/>
      <c r="P234" s="229"/>
      <c r="Q234" s="231" t="str">
        <f t="shared" si="121"/>
        <v>. Grille, UPPER KIDNEY GRILLE, RIGHT</v>
      </c>
      <c r="R234" s="231"/>
      <c r="S234" s="231" t="str">
        <f t="shared" si="123"/>
        <v/>
      </c>
      <c r="T234" s="231" t="str">
        <f>IF(O234&lt;&gt;"",_xlfn.XLOOKUP(O234,'3D. Pictures'!B:B,'3D. Pictures'!E:E,"NOT FOUND",0,1),"")</f>
        <v/>
      </c>
      <c r="U234" s="192"/>
      <c r="V234" s="205"/>
      <c r="W234" s="192"/>
      <c r="X234" s="205"/>
      <c r="Y234" s="16"/>
      <c r="Z234" s="205"/>
      <c r="AA234" s="201" t="s">
        <v>2818</v>
      </c>
      <c r="AB234" s="201" t="s">
        <v>762</v>
      </c>
      <c r="AC234" s="247" t="str">
        <f t="shared" si="122"/>
        <v/>
      </c>
      <c r="AD234" s="201"/>
      <c r="AE234" s="201"/>
      <c r="AF234" s="201" t="s">
        <v>543</v>
      </c>
      <c r="AG234" s="201"/>
      <c r="AH234" s="367">
        <v>75</v>
      </c>
      <c r="AI234" s="380">
        <f t="shared" si="124"/>
        <v>98.611111111111114</v>
      </c>
      <c r="AJ234" s="204" t="s">
        <v>408</v>
      </c>
      <c r="AK234" s="204" t="s">
        <v>425</v>
      </c>
      <c r="AL234" s="204" t="s">
        <v>2175</v>
      </c>
      <c r="AM234" s="219"/>
      <c r="AN234" s="191" t="s">
        <v>621</v>
      </c>
      <c r="AO234" s="190" t="s">
        <v>572</v>
      </c>
      <c r="AP234" s="220" t="s">
        <v>745</v>
      </c>
      <c r="AQ234" s="190" t="str">
        <f t="shared" si="126"/>
        <v>104-60040B</v>
      </c>
      <c r="AR234" s="190" t="s">
        <v>2119</v>
      </c>
      <c r="AS234" s="190"/>
      <c r="AT234" s="190"/>
      <c r="AU234" s="190"/>
      <c r="AV234" s="190"/>
      <c r="AW234" s="190"/>
      <c r="AX234" s="279" t="str">
        <f t="shared" si="128"/>
        <v/>
      </c>
    </row>
    <row r="235" spans="1:50" x14ac:dyDescent="0.25">
      <c r="A235" s="190" t="str">
        <f t="shared" si="111"/>
        <v/>
      </c>
      <c r="B235" s="279" t="str">
        <f t="shared" si="127"/>
        <v>104-60045</v>
      </c>
      <c r="C235" s="279"/>
      <c r="D235" s="279"/>
      <c r="E235" s="279">
        <f t="shared" si="120"/>
        <v>2</v>
      </c>
      <c r="F235" s="190" t="s">
        <v>535</v>
      </c>
      <c r="G235" s="198">
        <v>45216</v>
      </c>
      <c r="H235" s="209"/>
      <c r="I235" s="218"/>
      <c r="J235" s="201" t="s">
        <v>402</v>
      </c>
      <c r="K235" s="201" t="s">
        <v>2758</v>
      </c>
      <c r="L235" s="205" t="s">
        <v>676</v>
      </c>
      <c r="M235" s="192" t="s">
        <v>558</v>
      </c>
      <c r="N235" s="192"/>
      <c r="O235" s="229"/>
      <c r="P235" s="229"/>
      <c r="Q235" s="231" t="str">
        <f t="shared" si="121"/>
        <v>. Grille, UPPER KIDNEY GRILLE SET 2</v>
      </c>
      <c r="R235" s="231"/>
      <c r="S235" s="231" t="str">
        <f t="shared" si="123"/>
        <v/>
      </c>
      <c r="T235" s="231" t="str">
        <f>IF(O235&lt;&gt;"",_xlfn.XLOOKUP(O235,'3D. Pictures'!B:B,'3D. Pictures'!E:E,"NOT FOUND",0,1),"")</f>
        <v/>
      </c>
      <c r="U235" s="192"/>
      <c r="V235" s="205"/>
      <c r="W235" s="192"/>
      <c r="X235" s="205"/>
      <c r="Y235" s="243"/>
      <c r="Z235" s="205"/>
      <c r="AA235" s="201" t="s">
        <v>2818</v>
      </c>
      <c r="AB235" s="201" t="s">
        <v>2491</v>
      </c>
      <c r="AC235" s="247" t="str">
        <f t="shared" si="122"/>
        <v>SET 2, sell single if 1 bad</v>
      </c>
      <c r="AD235" s="201" t="s">
        <v>2816</v>
      </c>
      <c r="AE235" s="201"/>
      <c r="AF235" s="201" t="s">
        <v>544</v>
      </c>
      <c r="AG235" s="201"/>
      <c r="AH235" s="367">
        <v>125</v>
      </c>
      <c r="AI235" s="380">
        <f t="shared" si="124"/>
        <v>98.611111111111114</v>
      </c>
      <c r="AJ235" s="204" t="s">
        <v>408</v>
      </c>
      <c r="AK235" s="204" t="s">
        <v>425</v>
      </c>
      <c r="AL235" s="204" t="s">
        <v>2175</v>
      </c>
      <c r="AM235" s="219"/>
      <c r="AN235" s="191" t="s">
        <v>621</v>
      </c>
      <c r="AO235" s="190" t="s">
        <v>572</v>
      </c>
      <c r="AP235" s="220">
        <v>60045</v>
      </c>
      <c r="AQ235" s="190" t="str">
        <f t="shared" ref="AQ235:AQ242" si="129">CONCATENATE(AN235,AO235,AP235)</f>
        <v>104-60045</v>
      </c>
      <c r="AR235" s="190" t="s">
        <v>766</v>
      </c>
      <c r="AS235" s="190"/>
      <c r="AT235" s="190"/>
      <c r="AU235" s="190"/>
      <c r="AV235" s="190"/>
      <c r="AW235" s="190"/>
      <c r="AX235" s="279" t="str">
        <f t="shared" si="128"/>
        <v/>
      </c>
    </row>
    <row r="236" spans="1:50" x14ac:dyDescent="0.25">
      <c r="A236" s="190" t="str">
        <f t="shared" si="111"/>
        <v/>
      </c>
      <c r="B236" s="279" t="str">
        <f t="shared" si="127"/>
        <v>104-60045</v>
      </c>
      <c r="C236" s="279"/>
      <c r="D236" s="279"/>
      <c r="E236" s="279">
        <f t="shared" si="120"/>
        <v>2</v>
      </c>
      <c r="F236" s="190" t="s">
        <v>535</v>
      </c>
      <c r="G236" s="198">
        <v>45216</v>
      </c>
      <c r="H236" s="209"/>
      <c r="I236" s="218"/>
      <c r="J236" s="201" t="s">
        <v>402</v>
      </c>
      <c r="K236" s="201" t="s">
        <v>2758</v>
      </c>
      <c r="L236" s="205" t="s">
        <v>676</v>
      </c>
      <c r="M236" s="192" t="s">
        <v>558</v>
      </c>
      <c r="N236" s="192"/>
      <c r="O236" s="229"/>
      <c r="P236" s="229"/>
      <c r="Q236" s="231" t="str">
        <f t="shared" si="121"/>
        <v>. Grille, UPPER KIDNEY GRILLE, LEFT</v>
      </c>
      <c r="R236" s="231"/>
      <c r="S236" s="231" t="str">
        <f t="shared" si="123"/>
        <v/>
      </c>
      <c r="T236" s="231" t="str">
        <f>IF(O236&lt;&gt;"",_xlfn.XLOOKUP(O236,'3D. Pictures'!B:B,'3D. Pictures'!E:E,"NOT FOUND",0,1),"")</f>
        <v/>
      </c>
      <c r="U236" s="192"/>
      <c r="V236" s="205"/>
      <c r="W236" s="192"/>
      <c r="X236" s="205"/>
      <c r="Y236" s="205"/>
      <c r="Z236" s="205"/>
      <c r="AA236" s="201" t="s">
        <v>2818</v>
      </c>
      <c r="AB236" s="201" t="s">
        <v>761</v>
      </c>
      <c r="AC236" s="247" t="str">
        <f t="shared" si="122"/>
        <v/>
      </c>
      <c r="AD236" s="201"/>
      <c r="AE236" s="201"/>
      <c r="AF236" s="201" t="s">
        <v>543</v>
      </c>
      <c r="AG236" s="201"/>
      <c r="AH236" s="367">
        <v>75</v>
      </c>
      <c r="AI236" s="380">
        <f t="shared" si="124"/>
        <v>98.611111111111114</v>
      </c>
      <c r="AJ236" s="204" t="s">
        <v>408</v>
      </c>
      <c r="AK236" s="204" t="s">
        <v>425</v>
      </c>
      <c r="AL236" s="204" t="s">
        <v>2175</v>
      </c>
      <c r="AM236" s="219"/>
      <c r="AN236" s="191" t="s">
        <v>621</v>
      </c>
      <c r="AO236" s="190" t="s">
        <v>572</v>
      </c>
      <c r="AP236" s="220">
        <v>60045</v>
      </c>
      <c r="AQ236" s="190" t="str">
        <f>CONCATENATE(AN236,AO236,AP236)</f>
        <v>104-60045</v>
      </c>
      <c r="AR236" s="190" t="s">
        <v>755</v>
      </c>
      <c r="AS236" s="190"/>
      <c r="AT236" s="190"/>
      <c r="AU236" s="190"/>
      <c r="AV236" s="190"/>
      <c r="AW236" s="190"/>
      <c r="AX236" s="279" t="str">
        <f t="shared" si="128"/>
        <v/>
      </c>
    </row>
    <row r="237" spans="1:50" x14ac:dyDescent="0.25">
      <c r="A237" s="190" t="str">
        <f t="shared" si="111"/>
        <v/>
      </c>
      <c r="B237" s="279" t="str">
        <f t="shared" si="127"/>
        <v>104-60044</v>
      </c>
      <c r="C237" s="279"/>
      <c r="D237" s="279"/>
      <c r="E237" s="279">
        <f t="shared" si="120"/>
        <v>1</v>
      </c>
      <c r="F237" s="190" t="s">
        <v>535</v>
      </c>
      <c r="G237" s="198">
        <v>45216</v>
      </c>
      <c r="H237" s="209"/>
      <c r="I237" s="218"/>
      <c r="J237" s="201" t="s">
        <v>402</v>
      </c>
      <c r="K237" s="201" t="s">
        <v>2758</v>
      </c>
      <c r="L237" s="205" t="s">
        <v>676</v>
      </c>
      <c r="M237" s="192" t="s">
        <v>558</v>
      </c>
      <c r="N237" s="192"/>
      <c r="O237" s="229"/>
      <c r="P237" s="229"/>
      <c r="Q237" s="231" t="str">
        <f t="shared" si="121"/>
        <v>. Grille, UPPER KIDNEY GRILLE, RIGHT</v>
      </c>
      <c r="R237" s="231"/>
      <c r="S237" s="231" t="str">
        <f t="shared" si="123"/>
        <v/>
      </c>
      <c r="T237" s="231" t="str">
        <f>IF(O237&lt;&gt;"",_xlfn.XLOOKUP(O237,'3D. Pictures'!B:B,'3D. Pictures'!E:E,"NOT FOUND",0,1),"")</f>
        <v/>
      </c>
      <c r="U237" s="192"/>
      <c r="V237" s="205"/>
      <c r="W237" s="192"/>
      <c r="X237" s="205"/>
      <c r="Y237" s="205"/>
      <c r="Z237" s="205"/>
      <c r="AA237" s="201" t="s">
        <v>2818</v>
      </c>
      <c r="AB237" s="201" t="s">
        <v>762</v>
      </c>
      <c r="AC237" s="247" t="str">
        <f t="shared" si="122"/>
        <v/>
      </c>
      <c r="AD237" s="201"/>
      <c r="AE237" s="201"/>
      <c r="AF237" s="201" t="s">
        <v>543</v>
      </c>
      <c r="AG237" s="201"/>
      <c r="AH237" s="367">
        <v>75</v>
      </c>
      <c r="AI237" s="380">
        <f t="shared" si="124"/>
        <v>98.611111111111114</v>
      </c>
      <c r="AJ237" s="204" t="s">
        <v>408</v>
      </c>
      <c r="AK237" s="204" t="s">
        <v>425</v>
      </c>
      <c r="AL237" s="204" t="s">
        <v>2175</v>
      </c>
      <c r="AM237" s="219"/>
      <c r="AN237" s="191" t="s">
        <v>621</v>
      </c>
      <c r="AO237" s="190" t="s">
        <v>572</v>
      </c>
      <c r="AP237" s="220">
        <v>60044</v>
      </c>
      <c r="AQ237" s="190" t="str">
        <f t="shared" si="129"/>
        <v>104-60044</v>
      </c>
      <c r="AR237" s="190" t="s">
        <v>756</v>
      </c>
      <c r="AS237" s="190"/>
      <c r="AT237" s="190"/>
      <c r="AU237" s="190"/>
      <c r="AV237" s="190"/>
      <c r="AW237" s="190"/>
      <c r="AX237" s="279" t="str">
        <f t="shared" si="128"/>
        <v/>
      </c>
    </row>
    <row r="238" spans="1:50" x14ac:dyDescent="0.25">
      <c r="A238" s="190" t="str">
        <f t="shared" si="111"/>
        <v/>
      </c>
      <c r="B238" s="279" t="str">
        <f t="shared" si="127"/>
        <v>104-60046C</v>
      </c>
      <c r="C238" s="279"/>
      <c r="D238" s="279"/>
      <c r="E238" s="279">
        <f t="shared" si="120"/>
        <v>2</v>
      </c>
      <c r="F238" s="190" t="s">
        <v>535</v>
      </c>
      <c r="G238" s="198">
        <v>45216</v>
      </c>
      <c r="H238" s="209"/>
      <c r="I238" s="218"/>
      <c r="J238" s="201" t="s">
        <v>402</v>
      </c>
      <c r="K238" s="201" t="s">
        <v>2758</v>
      </c>
      <c r="L238" s="205" t="s">
        <v>676</v>
      </c>
      <c r="M238" s="192" t="s">
        <v>558</v>
      </c>
      <c r="N238" s="192"/>
      <c r="O238" s="229"/>
      <c r="P238" s="229"/>
      <c r="Q238" s="231" t="str">
        <f t="shared" si="121"/>
        <v>. Grille, UPPER KIDNEY GRILLE SET 2</v>
      </c>
      <c r="R238" s="231"/>
      <c r="S238" s="231" t="str">
        <f t="shared" si="123"/>
        <v/>
      </c>
      <c r="T238" s="231" t="str">
        <f>IF(O238&lt;&gt;"",_xlfn.XLOOKUP(O238,'3D. Pictures'!B:B,'3D. Pictures'!E:E,"NOT FOUND",0,1),"")</f>
        <v/>
      </c>
      <c r="U238" s="192"/>
      <c r="V238" s="205"/>
      <c r="W238" s="192"/>
      <c r="X238" s="205"/>
      <c r="Y238" s="205"/>
      <c r="Z238" s="205"/>
      <c r="AA238" s="201" t="s">
        <v>2818</v>
      </c>
      <c r="AB238" s="201" t="s">
        <v>2491</v>
      </c>
      <c r="AC238" s="247" t="str">
        <f t="shared" si="122"/>
        <v>SET 2, sell single if 1 bad</v>
      </c>
      <c r="AD238" s="201" t="s">
        <v>2816</v>
      </c>
      <c r="AE238" s="201"/>
      <c r="AF238" s="201" t="s">
        <v>544</v>
      </c>
      <c r="AG238" s="201"/>
      <c r="AH238" s="367">
        <v>125</v>
      </c>
      <c r="AI238" s="380">
        <f t="shared" si="124"/>
        <v>98.611111111111114</v>
      </c>
      <c r="AJ238" s="204" t="s">
        <v>408</v>
      </c>
      <c r="AK238" s="204" t="s">
        <v>425</v>
      </c>
      <c r="AL238" s="204" t="s">
        <v>2175</v>
      </c>
      <c r="AM238" s="219"/>
      <c r="AN238" s="191" t="s">
        <v>621</v>
      </c>
      <c r="AO238" s="190" t="s">
        <v>572</v>
      </c>
      <c r="AP238" s="220" t="s">
        <v>746</v>
      </c>
      <c r="AQ238" s="190" t="str">
        <f t="shared" si="129"/>
        <v>104-60046C</v>
      </c>
      <c r="AR238" s="190" t="s">
        <v>765</v>
      </c>
      <c r="AS238" s="190"/>
      <c r="AT238" s="190"/>
      <c r="AU238" s="190"/>
      <c r="AV238" s="190"/>
      <c r="AW238" s="190"/>
      <c r="AX238" s="279" t="str">
        <f t="shared" si="128"/>
        <v/>
      </c>
    </row>
    <row r="239" spans="1:50" x14ac:dyDescent="0.25">
      <c r="A239" s="190" t="str">
        <f t="shared" si="111"/>
        <v/>
      </c>
      <c r="B239" s="279" t="str">
        <f t="shared" si="127"/>
        <v>104-60046C</v>
      </c>
      <c r="C239" s="279"/>
      <c r="D239" s="279"/>
      <c r="E239" s="279">
        <f t="shared" si="120"/>
        <v>2</v>
      </c>
      <c r="F239" s="190" t="s">
        <v>535</v>
      </c>
      <c r="G239" s="198">
        <v>45216</v>
      </c>
      <c r="H239" s="209"/>
      <c r="I239" s="218"/>
      <c r="J239" s="201" t="s">
        <v>402</v>
      </c>
      <c r="K239" s="201" t="s">
        <v>2758</v>
      </c>
      <c r="L239" s="205" t="s">
        <v>676</v>
      </c>
      <c r="M239" s="192" t="s">
        <v>558</v>
      </c>
      <c r="N239" s="192"/>
      <c r="O239" s="229"/>
      <c r="P239" s="229"/>
      <c r="Q239" s="231" t="str">
        <f t="shared" si="121"/>
        <v>. Grille, UPPER KIDNEY GRILLE, LEFT</v>
      </c>
      <c r="R239" s="231"/>
      <c r="S239" s="231" t="str">
        <f t="shared" si="123"/>
        <v/>
      </c>
      <c r="T239" s="231" t="str">
        <f>IF(O239&lt;&gt;"",_xlfn.XLOOKUP(O239,'3D. Pictures'!B:B,'3D. Pictures'!E:E,"NOT FOUND",0,1),"")</f>
        <v/>
      </c>
      <c r="U239" s="192"/>
      <c r="V239" s="205"/>
      <c r="W239" s="192"/>
      <c r="X239" s="205"/>
      <c r="Y239" s="205"/>
      <c r="Z239" s="205"/>
      <c r="AA239" s="201" t="s">
        <v>2818</v>
      </c>
      <c r="AB239" s="201" t="s">
        <v>761</v>
      </c>
      <c r="AC239" s="247" t="str">
        <f t="shared" si="122"/>
        <v/>
      </c>
      <c r="AD239" s="201"/>
      <c r="AE239" s="201"/>
      <c r="AF239" s="201" t="s">
        <v>543</v>
      </c>
      <c r="AG239" s="201"/>
      <c r="AH239" s="367">
        <v>75</v>
      </c>
      <c r="AI239" s="380">
        <f t="shared" si="124"/>
        <v>98.611111111111114</v>
      </c>
      <c r="AJ239" s="204" t="s">
        <v>408</v>
      </c>
      <c r="AK239" s="204" t="s">
        <v>425</v>
      </c>
      <c r="AL239" s="204" t="s">
        <v>2175</v>
      </c>
      <c r="AM239" s="219"/>
      <c r="AN239" s="191" t="s">
        <v>621</v>
      </c>
      <c r="AO239" s="190" t="s">
        <v>572</v>
      </c>
      <c r="AP239" s="220" t="s">
        <v>746</v>
      </c>
      <c r="AQ239" s="190" t="str">
        <f>CONCATENATE(AN239,AO239,AP239)</f>
        <v>104-60046C</v>
      </c>
      <c r="AR239" s="190" t="s">
        <v>752</v>
      </c>
      <c r="AS239" s="190"/>
      <c r="AT239" s="190"/>
      <c r="AU239" s="190"/>
      <c r="AV239" s="190"/>
      <c r="AW239" s="190"/>
      <c r="AX239" s="279" t="str">
        <f t="shared" si="128"/>
        <v/>
      </c>
    </row>
    <row r="240" spans="1:50" x14ac:dyDescent="0.25">
      <c r="A240" s="190" t="str">
        <f t="shared" si="111"/>
        <v/>
      </c>
      <c r="B240" s="279" t="str">
        <f t="shared" si="127"/>
        <v>104-60046A</v>
      </c>
      <c r="C240" s="279"/>
      <c r="D240" s="279"/>
      <c r="E240" s="279">
        <f t="shared" si="120"/>
        <v>2</v>
      </c>
      <c r="F240" s="190" t="s">
        <v>535</v>
      </c>
      <c r="G240" s="198">
        <v>45216</v>
      </c>
      <c r="H240" s="209"/>
      <c r="I240" s="218"/>
      <c r="J240" s="201" t="s">
        <v>402</v>
      </c>
      <c r="K240" s="201" t="s">
        <v>2758</v>
      </c>
      <c r="L240" s="205" t="s">
        <v>676</v>
      </c>
      <c r="M240" s="192" t="s">
        <v>558</v>
      </c>
      <c r="N240" s="192"/>
      <c r="O240" s="229"/>
      <c r="P240" s="229"/>
      <c r="Q240" s="231" t="str">
        <f t="shared" si="121"/>
        <v>. Grille, UPPER KIDNEY GRILLE SET 2</v>
      </c>
      <c r="R240" s="231"/>
      <c r="S240" s="231" t="str">
        <f t="shared" si="123"/>
        <v/>
      </c>
      <c r="T240" s="231" t="str">
        <f>IF(O240&lt;&gt;"",_xlfn.XLOOKUP(O240,'3D. Pictures'!B:B,'3D. Pictures'!E:E,"NOT FOUND",0,1),"")</f>
        <v/>
      </c>
      <c r="U240" s="192"/>
      <c r="V240" s="205"/>
      <c r="W240" s="192"/>
      <c r="X240" s="205"/>
      <c r="Y240" s="16"/>
      <c r="Z240" s="205"/>
      <c r="AA240" s="201" t="s">
        <v>2818</v>
      </c>
      <c r="AB240" s="201" t="s">
        <v>2491</v>
      </c>
      <c r="AC240" s="247" t="str">
        <f t="shared" si="122"/>
        <v>SET 2, sell single if 1 bad</v>
      </c>
      <c r="AD240" s="201" t="s">
        <v>2816</v>
      </c>
      <c r="AE240" s="201"/>
      <c r="AF240" s="201" t="s">
        <v>544</v>
      </c>
      <c r="AG240" s="201"/>
      <c r="AH240" s="367">
        <v>125</v>
      </c>
      <c r="AI240" s="380">
        <f t="shared" si="124"/>
        <v>98.611111111111114</v>
      </c>
      <c r="AJ240" s="204" t="s">
        <v>408</v>
      </c>
      <c r="AK240" s="204" t="s">
        <v>425</v>
      </c>
      <c r="AL240" s="204" t="s">
        <v>2175</v>
      </c>
      <c r="AM240" s="219"/>
      <c r="AN240" s="191" t="s">
        <v>621</v>
      </c>
      <c r="AO240" s="190" t="s">
        <v>572</v>
      </c>
      <c r="AP240" s="220" t="s">
        <v>747</v>
      </c>
      <c r="AQ240" s="190" t="str">
        <f t="shared" si="129"/>
        <v>104-60046A</v>
      </c>
      <c r="AR240" s="190" t="s">
        <v>764</v>
      </c>
      <c r="AS240" s="190"/>
      <c r="AT240" s="190"/>
      <c r="AU240" s="190"/>
      <c r="AV240" s="190"/>
      <c r="AW240" s="190"/>
      <c r="AX240" s="279" t="str">
        <f t="shared" si="128"/>
        <v/>
      </c>
    </row>
    <row r="241" spans="1:50" x14ac:dyDescent="0.25">
      <c r="A241" s="190" t="str">
        <f t="shared" si="111"/>
        <v/>
      </c>
      <c r="B241" s="279" t="str">
        <f t="shared" si="127"/>
        <v>104-60046A</v>
      </c>
      <c r="C241" s="279"/>
      <c r="D241" s="279"/>
      <c r="E241" s="279">
        <f t="shared" si="120"/>
        <v>2</v>
      </c>
      <c r="F241" s="190" t="s">
        <v>535</v>
      </c>
      <c r="G241" s="198">
        <v>45216</v>
      </c>
      <c r="H241" s="209"/>
      <c r="I241" s="218"/>
      <c r="J241" s="201" t="s">
        <v>402</v>
      </c>
      <c r="K241" s="201" t="s">
        <v>2758</v>
      </c>
      <c r="L241" s="205" t="s">
        <v>676</v>
      </c>
      <c r="M241" s="192" t="s">
        <v>558</v>
      </c>
      <c r="N241" s="192"/>
      <c r="O241" s="229"/>
      <c r="P241" s="229"/>
      <c r="Q241" s="231" t="str">
        <f t="shared" si="121"/>
        <v>. Grille, UPPER KIDNEY GRILLE, LEFT</v>
      </c>
      <c r="R241" s="231"/>
      <c r="S241" s="231" t="str">
        <f t="shared" si="123"/>
        <v/>
      </c>
      <c r="T241" s="231" t="str">
        <f>IF(O241&lt;&gt;"",_xlfn.XLOOKUP(O241,'3D. Pictures'!B:B,'3D. Pictures'!E:E,"NOT FOUND",0,1),"")</f>
        <v/>
      </c>
      <c r="U241" s="192"/>
      <c r="V241" s="205"/>
      <c r="W241" s="192"/>
      <c r="X241" s="205"/>
      <c r="Y241" s="243"/>
      <c r="Z241" s="205"/>
      <c r="AA241" s="201" t="s">
        <v>2818</v>
      </c>
      <c r="AB241" s="201" t="s">
        <v>761</v>
      </c>
      <c r="AC241" s="247" t="str">
        <f t="shared" si="122"/>
        <v/>
      </c>
      <c r="AD241" s="201"/>
      <c r="AE241" s="201"/>
      <c r="AF241" s="201" t="s">
        <v>543</v>
      </c>
      <c r="AG241" s="201"/>
      <c r="AH241" s="367">
        <v>75</v>
      </c>
      <c r="AI241" s="380">
        <f t="shared" si="124"/>
        <v>98.611111111111114</v>
      </c>
      <c r="AJ241" s="204" t="s">
        <v>408</v>
      </c>
      <c r="AK241" s="204" t="s">
        <v>425</v>
      </c>
      <c r="AL241" s="204" t="s">
        <v>2175</v>
      </c>
      <c r="AM241" s="219"/>
      <c r="AN241" s="191" t="s">
        <v>621</v>
      </c>
      <c r="AO241" s="190" t="s">
        <v>572</v>
      </c>
      <c r="AP241" s="220" t="s">
        <v>747</v>
      </c>
      <c r="AQ241" s="190" t="str">
        <f>CONCATENATE(AN241,AO241,AP241)</f>
        <v>104-60046A</v>
      </c>
      <c r="AR241" s="190" t="s">
        <v>753</v>
      </c>
      <c r="AS241" s="190"/>
      <c r="AT241" s="190"/>
      <c r="AU241" s="190"/>
      <c r="AV241" s="190"/>
      <c r="AW241" s="190"/>
      <c r="AX241" s="279" t="str">
        <f t="shared" si="128"/>
        <v/>
      </c>
    </row>
    <row r="242" spans="1:50" x14ac:dyDescent="0.25">
      <c r="A242" s="190" t="str">
        <f t="shared" si="111"/>
        <v/>
      </c>
      <c r="B242" s="279" t="str">
        <f t="shared" si="127"/>
        <v>104-60046B</v>
      </c>
      <c r="C242" s="279"/>
      <c r="D242" s="279"/>
      <c r="E242" s="279">
        <f t="shared" si="120"/>
        <v>2</v>
      </c>
      <c r="F242" s="190" t="s">
        <v>535</v>
      </c>
      <c r="G242" s="198">
        <v>45216</v>
      </c>
      <c r="H242" s="209"/>
      <c r="I242" s="218"/>
      <c r="J242" s="201" t="s">
        <v>402</v>
      </c>
      <c r="K242" s="201" t="s">
        <v>2758</v>
      </c>
      <c r="L242" s="205" t="s">
        <v>676</v>
      </c>
      <c r="M242" s="192" t="s">
        <v>558</v>
      </c>
      <c r="N242" s="192"/>
      <c r="O242" s="229"/>
      <c r="P242" s="229"/>
      <c r="Q242" s="231" t="str">
        <f t="shared" si="121"/>
        <v>. Grille, UPPER KIDNEY GRILLE SET 2</v>
      </c>
      <c r="R242" s="231"/>
      <c r="S242" s="231" t="str">
        <f t="shared" si="123"/>
        <v/>
      </c>
      <c r="T242" s="231" t="str">
        <f>IF(O242&lt;&gt;"",_xlfn.XLOOKUP(O242,'3D. Pictures'!B:B,'3D. Pictures'!E:E,"NOT FOUND",0,1),"")</f>
        <v/>
      </c>
      <c r="U242" s="192"/>
      <c r="V242" s="205"/>
      <c r="W242" s="192"/>
      <c r="X242" s="205"/>
      <c r="Y242" s="205"/>
      <c r="Z242" s="205"/>
      <c r="AA242" s="201" t="s">
        <v>2818</v>
      </c>
      <c r="AB242" s="201" t="s">
        <v>2491</v>
      </c>
      <c r="AC242" s="247" t="str">
        <f t="shared" si="122"/>
        <v>SET 2, sell single if 1 bad</v>
      </c>
      <c r="AD242" s="201" t="s">
        <v>2816</v>
      </c>
      <c r="AE242" s="201"/>
      <c r="AF242" s="201" t="s">
        <v>544</v>
      </c>
      <c r="AG242" s="201"/>
      <c r="AH242" s="367">
        <v>125</v>
      </c>
      <c r="AI242" s="380">
        <f t="shared" si="124"/>
        <v>98.611111111111114</v>
      </c>
      <c r="AJ242" s="204" t="s">
        <v>408</v>
      </c>
      <c r="AK242" s="204" t="s">
        <v>425</v>
      </c>
      <c r="AL242" s="204" t="s">
        <v>2175</v>
      </c>
      <c r="AM242" s="219"/>
      <c r="AN242" s="191" t="s">
        <v>621</v>
      </c>
      <c r="AO242" s="190" t="s">
        <v>572</v>
      </c>
      <c r="AP242" s="220" t="s">
        <v>748</v>
      </c>
      <c r="AQ242" s="190" t="str">
        <f t="shared" si="129"/>
        <v>104-60046B</v>
      </c>
      <c r="AR242" s="190" t="s">
        <v>763</v>
      </c>
      <c r="AS242" s="190"/>
      <c r="AT242" s="190"/>
      <c r="AU242" s="190"/>
      <c r="AV242" s="190"/>
      <c r="AW242" s="190"/>
      <c r="AX242" s="279" t="str">
        <f t="shared" si="128"/>
        <v/>
      </c>
    </row>
    <row r="243" spans="1:50" ht="15.75" thickBot="1" x14ac:dyDescent="0.3">
      <c r="A243" s="190" t="str">
        <f t="shared" si="111"/>
        <v/>
      </c>
      <c r="B243" s="279" t="str">
        <f t="shared" si="127"/>
        <v>104-60046B</v>
      </c>
      <c r="C243" s="279"/>
      <c r="D243" s="279"/>
      <c r="E243" s="279">
        <f t="shared" si="120"/>
        <v>2</v>
      </c>
      <c r="F243" s="190" t="s">
        <v>535</v>
      </c>
      <c r="G243" s="198">
        <v>45216</v>
      </c>
      <c r="H243" s="209"/>
      <c r="I243" s="218"/>
      <c r="J243" s="201" t="s">
        <v>402</v>
      </c>
      <c r="K243" s="201" t="s">
        <v>2758</v>
      </c>
      <c r="L243" s="205" t="s">
        <v>676</v>
      </c>
      <c r="M243" s="192" t="s">
        <v>558</v>
      </c>
      <c r="N243" s="192"/>
      <c r="O243" s="229"/>
      <c r="P243" s="229"/>
      <c r="Q243" s="231" t="str">
        <f t="shared" si="121"/>
        <v>. Grille, UPPER KIDNEY GRILLE, LEFT</v>
      </c>
      <c r="R243" s="231"/>
      <c r="S243" s="231" t="str">
        <f t="shared" si="123"/>
        <v/>
      </c>
      <c r="T243" s="231" t="str">
        <f>IF(O243&lt;&gt;"",_xlfn.XLOOKUP(O243,'3D. Pictures'!B:B,'3D. Pictures'!E:E,"NOT FOUND",0,1),"")</f>
        <v/>
      </c>
      <c r="U243" s="192"/>
      <c r="V243" s="205"/>
      <c r="W243" s="192"/>
      <c r="X243" s="205"/>
      <c r="Y243" s="276"/>
      <c r="Z243" s="205"/>
      <c r="AA243" s="201" t="s">
        <v>2818</v>
      </c>
      <c r="AB243" s="201" t="s">
        <v>761</v>
      </c>
      <c r="AC243" s="247" t="str">
        <f t="shared" si="122"/>
        <v/>
      </c>
      <c r="AD243" s="201"/>
      <c r="AE243" s="201"/>
      <c r="AF243" s="201" t="s">
        <v>543</v>
      </c>
      <c r="AG243" s="201"/>
      <c r="AH243" s="367">
        <v>75</v>
      </c>
      <c r="AI243" s="380">
        <f t="shared" si="124"/>
        <v>98.611111111111114</v>
      </c>
      <c r="AJ243" s="204" t="s">
        <v>408</v>
      </c>
      <c r="AK243" s="204" t="s">
        <v>425</v>
      </c>
      <c r="AL243" s="204" t="s">
        <v>2175</v>
      </c>
      <c r="AM243" s="219"/>
      <c r="AN243" s="191" t="s">
        <v>621</v>
      </c>
      <c r="AO243" s="190" t="s">
        <v>572</v>
      </c>
      <c r="AP243" s="220" t="s">
        <v>748</v>
      </c>
      <c r="AQ243" s="190" t="str">
        <f>CONCATENATE(AN243,AO243,AP243)</f>
        <v>104-60046B</v>
      </c>
      <c r="AR243" s="190" t="s">
        <v>754</v>
      </c>
      <c r="AS243" s="190"/>
      <c r="AT243" s="190"/>
      <c r="AU243" s="190"/>
      <c r="AV243" s="190"/>
      <c r="AW243" s="190"/>
      <c r="AX243" s="279" t="str">
        <f t="shared" si="128"/>
        <v/>
      </c>
    </row>
    <row r="244" spans="1:50" ht="15.75" thickBot="1" x14ac:dyDescent="0.3">
      <c r="A244" s="190" t="str">
        <f t="shared" si="111"/>
        <v>A119</v>
      </c>
      <c r="B244" s="279" t="str">
        <f t="shared" si="127"/>
        <v>177-999001</v>
      </c>
      <c r="C244" s="279"/>
      <c r="D244" s="279"/>
      <c r="E244" s="279">
        <f t="shared" si="120"/>
        <v>1</v>
      </c>
      <c r="F244" s="190" t="s">
        <v>535</v>
      </c>
      <c r="G244" s="198">
        <v>44670</v>
      </c>
      <c r="H244" s="199"/>
      <c r="I244" s="200" t="s">
        <v>7</v>
      </c>
      <c r="J244" s="201" t="s">
        <v>402</v>
      </c>
      <c r="K244" s="201" t="s">
        <v>2758</v>
      </c>
      <c r="L244" s="201" t="s">
        <v>677</v>
      </c>
      <c r="M244" s="212" t="s">
        <v>560</v>
      </c>
      <c r="N244" s="212">
        <v>109</v>
      </c>
      <c r="O244" s="236" t="s">
        <v>1021</v>
      </c>
      <c r="P244" s="236" t="s">
        <v>1307</v>
      </c>
      <c r="Q244" s="231" t="str">
        <f t="shared" si="121"/>
        <v>A119. Fuel Tank Door</v>
      </c>
      <c r="R244" s="284" t="str">
        <f>HYPERLINK(VLOOKUP(O244,'3D. Pictures'!$B$3:$E$500,4,FALSE),"PIC")</f>
        <v>PIC</v>
      </c>
      <c r="S244" s="373" t="str">
        <f t="shared" si="123"/>
        <v>E.G.</v>
      </c>
      <c r="T244" s="377" t="str">
        <f>IF(O244&lt;&gt;"",_xlfn.XLOOKUP(O244,'3D. Pictures'!B:B,'3D. Pictures'!E:E,"NOT FOUND",0,1),"")</f>
        <v>https://viking-pictures.s3.us-west-1.amazonaws.com/AA1155/A119.+Fuel+Tank+Door+(1).JPG</v>
      </c>
      <c r="U244" s="212">
        <v>4</v>
      </c>
      <c r="V244" s="205" t="s">
        <v>1356</v>
      </c>
      <c r="W244" s="212" t="s">
        <v>111</v>
      </c>
      <c r="X244" s="205" t="s">
        <v>2463</v>
      </c>
      <c r="Y244" s="205"/>
      <c r="Z244" s="205"/>
      <c r="AA244" s="201" t="s">
        <v>677</v>
      </c>
      <c r="AB244" s="201" t="s">
        <v>677</v>
      </c>
      <c r="AC244" s="247" t="str">
        <f t="shared" si="122"/>
        <v>just door, toss housing</v>
      </c>
      <c r="AD244" s="201" t="s">
        <v>678</v>
      </c>
      <c r="AE244" s="201"/>
      <c r="AF244" s="201" t="s">
        <v>543</v>
      </c>
      <c r="AG244" s="201"/>
      <c r="AH244" s="168">
        <v>65</v>
      </c>
      <c r="AI244" s="380">
        <f t="shared" si="124"/>
        <v>65</v>
      </c>
      <c r="AJ244" s="204" t="s">
        <v>408</v>
      </c>
      <c r="AK244" s="204" t="s">
        <v>425</v>
      </c>
      <c r="AL244" s="204" t="s">
        <v>2175</v>
      </c>
      <c r="AM244" s="190"/>
      <c r="AN244" s="191" t="s">
        <v>622</v>
      </c>
      <c r="AO244" s="190" t="s">
        <v>572</v>
      </c>
      <c r="AP244" s="190">
        <v>999001</v>
      </c>
      <c r="AQ244" s="190" t="str">
        <f>CONCATENATE(AN244,AO244,AP244)</f>
        <v>177-999001</v>
      </c>
      <c r="AR244" s="190"/>
      <c r="AS244" s="190"/>
      <c r="AT244" s="190"/>
      <c r="AU244" s="190"/>
      <c r="AV244" s="190"/>
      <c r="AW244" s="190"/>
      <c r="AX244" s="279" t="str">
        <f t="shared" si="128"/>
        <v/>
      </c>
    </row>
    <row r="245" spans="1:50" x14ac:dyDescent="0.25">
      <c r="A245" s="190" t="str">
        <f t="shared" si="111"/>
        <v/>
      </c>
      <c r="B245" s="279" t="str">
        <f t="shared" si="127"/>
        <v/>
      </c>
      <c r="C245" s="279"/>
      <c r="D245" s="279"/>
      <c r="E245" s="279" t="str">
        <f t="shared" si="120"/>
        <v/>
      </c>
      <c r="F245" t="s">
        <v>536</v>
      </c>
      <c r="G245" s="188">
        <v>44811</v>
      </c>
      <c r="H245" s="158"/>
      <c r="I245" s="164"/>
      <c r="J245" s="16" t="s">
        <v>402</v>
      </c>
      <c r="K245" s="16" t="s">
        <v>2758</v>
      </c>
      <c r="L245" s="16" t="s">
        <v>2681</v>
      </c>
      <c r="M245" s="16" t="s">
        <v>559</v>
      </c>
      <c r="N245" s="16"/>
      <c r="O245" s="166"/>
      <c r="P245" s="166"/>
      <c r="Q245" s="231" t="str">
        <f t="shared" si="121"/>
        <v>. Headlight Washer Squirters &amp; Cover Caps SET 2</v>
      </c>
      <c r="R245" s="231"/>
      <c r="S245" s="231" t="str">
        <f t="shared" si="123"/>
        <v/>
      </c>
      <c r="T245" s="231" t="str">
        <f>IF(O245&lt;&gt;"",_xlfn.XLOOKUP(O245,'3D. Pictures'!B:B,'3D. Pictures'!E:E,"NOT FOUND",0,1),"")</f>
        <v/>
      </c>
      <c r="U245" s="16"/>
      <c r="V245" s="16"/>
      <c r="W245" s="16"/>
      <c r="X245" s="16"/>
      <c r="Y245" s="205"/>
      <c r="Z245" s="16"/>
      <c r="AA245" s="16" t="s">
        <v>2820</v>
      </c>
      <c r="AB245" s="16" t="s">
        <v>2552</v>
      </c>
      <c r="AC245" s="358" t="str">
        <f t="shared" si="122"/>
        <v>SET 2, toss both if 1 bad</v>
      </c>
      <c r="AD245" s="16" t="s">
        <v>2551</v>
      </c>
      <c r="AE245" s="16"/>
      <c r="AF245" s="168" t="s">
        <v>544</v>
      </c>
      <c r="AG245" s="16"/>
      <c r="AH245" s="16">
        <v>75</v>
      </c>
      <c r="AI245" s="380">
        <f t="shared" si="124"/>
        <v>75</v>
      </c>
      <c r="AJ245" s="3" t="s">
        <v>408</v>
      </c>
      <c r="AK245" s="3" t="s">
        <v>425</v>
      </c>
      <c r="AL245" s="3" t="s">
        <v>2175</v>
      </c>
      <c r="AN245"/>
      <c r="AX245" s="279" t="str">
        <f t="shared" si="128"/>
        <v/>
      </c>
    </row>
    <row r="246" spans="1:50" x14ac:dyDescent="0.25">
      <c r="A246" s="190" t="str">
        <f t="shared" si="111"/>
        <v/>
      </c>
      <c r="B246" s="279" t="str">
        <f t="shared" si="127"/>
        <v/>
      </c>
      <c r="C246" s="279"/>
      <c r="D246" s="279"/>
      <c r="E246" s="279" t="str">
        <f t="shared" si="120"/>
        <v/>
      </c>
      <c r="F246" s="241" t="s">
        <v>535</v>
      </c>
      <c r="G246" s="242">
        <v>44680</v>
      </c>
      <c r="H246" s="243"/>
      <c r="I246" s="196"/>
      <c r="J246" s="243" t="s">
        <v>402</v>
      </c>
      <c r="K246" s="243" t="s">
        <v>2758</v>
      </c>
      <c r="L246" s="243" t="s">
        <v>1162</v>
      </c>
      <c r="M246" s="243" t="s">
        <v>559</v>
      </c>
      <c r="N246" s="243"/>
      <c r="O246" s="244"/>
      <c r="P246" s="244"/>
      <c r="Q246" s="231" t="str">
        <f t="shared" si="121"/>
        <v>. PDC SET 4 With Harness, FRONT</v>
      </c>
      <c r="R246" s="244"/>
      <c r="S246" s="244" t="str">
        <f t="shared" si="123"/>
        <v/>
      </c>
      <c r="T246" s="244" t="str">
        <f>IF(O246&lt;&gt;"",_xlfn.XLOOKUP(O246,'3D. Pictures'!B:B,'3D. Pictures'!E:E,"NOT FOUND",0,1),"")</f>
        <v/>
      </c>
      <c r="U246" s="243"/>
      <c r="V246" s="243"/>
      <c r="W246" s="243"/>
      <c r="X246" s="243"/>
      <c r="Y246" s="205"/>
      <c r="Z246" s="196"/>
      <c r="AA246" s="243" t="s">
        <v>2514</v>
      </c>
      <c r="AB246" s="243" t="s">
        <v>2514</v>
      </c>
      <c r="AC246" s="358" t="str">
        <f t="shared" si="122"/>
        <v>if harness bad still SET 4 or SET 2-TOSS singles</v>
      </c>
      <c r="AD246" s="243" t="s">
        <v>2819</v>
      </c>
      <c r="AE246" s="243"/>
      <c r="AF246" s="179" t="s">
        <v>547</v>
      </c>
      <c r="AG246" s="243"/>
      <c r="AH246" s="18">
        <v>300</v>
      </c>
      <c r="AI246" s="380">
        <f t="shared" si="124"/>
        <v>180</v>
      </c>
      <c r="AJ246" s="246" t="s">
        <v>408</v>
      </c>
      <c r="AK246" s="246" t="s">
        <v>425</v>
      </c>
      <c r="AL246" s="246" t="s">
        <v>2175</v>
      </c>
      <c r="AM246" s="241"/>
      <c r="AN246" s="241"/>
      <c r="AO246" s="241"/>
      <c r="AP246" s="241"/>
      <c r="AQ246" s="241"/>
      <c r="AR246" s="241"/>
      <c r="AS246" s="241" t="s">
        <v>1028</v>
      </c>
      <c r="AT246" s="241" t="s">
        <v>1029</v>
      </c>
      <c r="AU246" s="241" t="s">
        <v>1030</v>
      </c>
      <c r="AV246" s="303" t="str">
        <f t="shared" ref="AV246:AV251" si="130">CONCATENATE(AS246,"-",AT246,"-",AU246)</f>
        <v>F15-14-18-ALL</v>
      </c>
      <c r="AW246" s="241" t="s">
        <v>2379</v>
      </c>
      <c r="AX246" s="279" t="str">
        <f t="shared" si="128"/>
        <v>F15-14-18-ALL-Viking13</v>
      </c>
    </row>
    <row r="247" spans="1:50" x14ac:dyDescent="0.25">
      <c r="A247" s="190" t="str">
        <f t="shared" si="111"/>
        <v/>
      </c>
      <c r="B247" s="279" t="str">
        <f t="shared" si="127"/>
        <v/>
      </c>
      <c r="C247" s="279"/>
      <c r="D247" s="279"/>
      <c r="E247" s="279" t="str">
        <f t="shared" si="120"/>
        <v/>
      </c>
      <c r="F247" s="241" t="s">
        <v>535</v>
      </c>
      <c r="G247" s="242">
        <v>44680</v>
      </c>
      <c r="H247" s="243"/>
      <c r="I247" s="196"/>
      <c r="J247" s="243" t="s">
        <v>402</v>
      </c>
      <c r="K247" s="243" t="s">
        <v>2758</v>
      </c>
      <c r="L247" s="243" t="s">
        <v>1162</v>
      </c>
      <c r="M247" s="243" t="s">
        <v>559</v>
      </c>
      <c r="N247" s="243"/>
      <c r="O247" s="244"/>
      <c r="P247" s="244"/>
      <c r="Q247" s="231" t="str">
        <f t="shared" si="121"/>
        <v>. PDC Sensor SET 4, FRONT</v>
      </c>
      <c r="R247" s="244"/>
      <c r="S247" s="244" t="str">
        <f t="shared" si="123"/>
        <v/>
      </c>
      <c r="T247" s="244" t="str">
        <f>IF(O247&lt;&gt;"",_xlfn.XLOOKUP(O247,'3D. Pictures'!B:B,'3D. Pictures'!E:E,"NOT FOUND",0,1),"")</f>
        <v/>
      </c>
      <c r="U247" s="243"/>
      <c r="V247" s="243"/>
      <c r="W247" s="243"/>
      <c r="X247" s="243"/>
      <c r="Y247" s="243"/>
      <c r="Z247" s="243"/>
      <c r="AA247" s="243" t="s">
        <v>2514</v>
      </c>
      <c r="AB247" s="243" t="s">
        <v>2515</v>
      </c>
      <c r="AC247" s="358" t="str">
        <f t="shared" si="122"/>
        <v/>
      </c>
      <c r="AD247" s="243"/>
      <c r="AE247" s="243"/>
      <c r="AF247" s="179" t="s">
        <v>541</v>
      </c>
      <c r="AG247" s="243"/>
      <c r="AH247" s="18">
        <v>160</v>
      </c>
      <c r="AI247" s="380">
        <f t="shared" si="124"/>
        <v>180</v>
      </c>
      <c r="AJ247" s="246" t="s">
        <v>408</v>
      </c>
      <c r="AK247" s="246" t="s">
        <v>425</v>
      </c>
      <c r="AL247" s="246" t="s">
        <v>2175</v>
      </c>
      <c r="AM247" s="241"/>
      <c r="AN247" s="241"/>
      <c r="AO247" s="241"/>
      <c r="AP247" s="241"/>
      <c r="AQ247" s="241"/>
      <c r="AR247" s="241"/>
      <c r="AS247" s="241" t="s">
        <v>1028</v>
      </c>
      <c r="AT247" s="241" t="s">
        <v>1029</v>
      </c>
      <c r="AU247" s="241" t="s">
        <v>1030</v>
      </c>
      <c r="AV247" s="303" t="str">
        <f t="shared" si="130"/>
        <v>F15-14-18-ALL</v>
      </c>
      <c r="AW247" s="241" t="s">
        <v>2380</v>
      </c>
      <c r="AX247" s="279" t="str">
        <f t="shared" si="128"/>
        <v>F15-14-18-ALL-Viking14</v>
      </c>
    </row>
    <row r="248" spans="1:50" ht="15.75" thickBot="1" x14ac:dyDescent="0.3">
      <c r="A248" s="190" t="str">
        <f t="shared" si="111"/>
        <v/>
      </c>
      <c r="B248" s="279" t="str">
        <f t="shared" si="127"/>
        <v/>
      </c>
      <c r="C248" s="279"/>
      <c r="D248" s="279"/>
      <c r="E248" s="279" t="str">
        <f t="shared" si="120"/>
        <v/>
      </c>
      <c r="F248" s="241" t="s">
        <v>535</v>
      </c>
      <c r="G248" s="242">
        <v>44680</v>
      </c>
      <c r="H248" s="243"/>
      <c r="I248" s="196"/>
      <c r="J248" s="243" t="s">
        <v>402</v>
      </c>
      <c r="K248" s="243" t="s">
        <v>2758</v>
      </c>
      <c r="L248" s="243" t="s">
        <v>1162</v>
      </c>
      <c r="M248" s="243" t="s">
        <v>559</v>
      </c>
      <c r="N248" s="243"/>
      <c r="O248" s="244"/>
      <c r="P248" s="244"/>
      <c r="Q248" s="231" t="str">
        <f t="shared" si="121"/>
        <v>. PDC Sensor SET 2, FRONT</v>
      </c>
      <c r="R248" s="244"/>
      <c r="S248" s="244" t="str">
        <f t="shared" si="123"/>
        <v/>
      </c>
      <c r="T248" s="244" t="str">
        <f>IF(O248&lt;&gt;"",_xlfn.XLOOKUP(O248,'3D. Pictures'!B:B,'3D. Pictures'!E:E,"NOT FOUND",0,1),"")</f>
        <v/>
      </c>
      <c r="U248" s="243"/>
      <c r="V248" s="243"/>
      <c r="W248" s="243"/>
      <c r="X248" s="243"/>
      <c r="Y248" s="205"/>
      <c r="Z248" s="243"/>
      <c r="AA248" s="243" t="s">
        <v>2514</v>
      </c>
      <c r="AB248" s="243" t="s">
        <v>2492</v>
      </c>
      <c r="AC248" s="358" t="str">
        <f t="shared" si="122"/>
        <v/>
      </c>
      <c r="AD248" s="243"/>
      <c r="AE248" s="243"/>
      <c r="AF248" s="179" t="s">
        <v>544</v>
      </c>
      <c r="AG248" s="243"/>
      <c r="AH248" s="18">
        <v>80</v>
      </c>
      <c r="AI248" s="380">
        <f t="shared" si="124"/>
        <v>180</v>
      </c>
      <c r="AJ248" s="246" t="s">
        <v>408</v>
      </c>
      <c r="AK248" s="246" t="s">
        <v>425</v>
      </c>
      <c r="AL248" s="246" t="s">
        <v>2175</v>
      </c>
      <c r="AM248" s="241"/>
      <c r="AN248" s="241"/>
      <c r="AO248" s="241"/>
      <c r="AP248" s="241"/>
      <c r="AQ248" s="241"/>
      <c r="AR248" s="241"/>
      <c r="AS248" s="241" t="s">
        <v>1028</v>
      </c>
      <c r="AT248" s="241" t="s">
        <v>1029</v>
      </c>
      <c r="AU248" s="241" t="s">
        <v>1030</v>
      </c>
      <c r="AV248" s="303" t="str">
        <f t="shared" si="130"/>
        <v>F15-14-18-ALL</v>
      </c>
      <c r="AW248" s="241" t="s">
        <v>2381</v>
      </c>
      <c r="AX248" s="279" t="str">
        <f t="shared" si="128"/>
        <v>F15-14-18-ALL-Viking15</v>
      </c>
    </row>
    <row r="249" spans="1:50" ht="15.75" thickBot="1" x14ac:dyDescent="0.3">
      <c r="A249" s="190" t="str">
        <f t="shared" si="111"/>
        <v>A23</v>
      </c>
      <c r="B249" s="279" t="str">
        <f t="shared" si="127"/>
        <v/>
      </c>
      <c r="C249" s="279"/>
      <c r="D249" s="279"/>
      <c r="E249" s="279" t="str">
        <f t="shared" si="120"/>
        <v/>
      </c>
      <c r="F249" s="241" t="s">
        <v>535</v>
      </c>
      <c r="G249" s="242">
        <v>44680</v>
      </c>
      <c r="H249" s="243"/>
      <c r="I249" s="196"/>
      <c r="J249" s="243" t="s">
        <v>402</v>
      </c>
      <c r="K249" s="243" t="s">
        <v>2758</v>
      </c>
      <c r="L249" s="243" t="s">
        <v>1162</v>
      </c>
      <c r="M249" s="243" t="s">
        <v>559</v>
      </c>
      <c r="N249" s="243">
        <v>13</v>
      </c>
      <c r="O249" s="244" t="s">
        <v>925</v>
      </c>
      <c r="P249" s="244" t="s">
        <v>1035</v>
      </c>
      <c r="Q249" s="231" t="str">
        <f t="shared" si="121"/>
        <v>A23. PDC SET 4 With Harness, REAR</v>
      </c>
      <c r="R249" s="284" t="str">
        <f>HYPERLINK(VLOOKUP(O249,'3D. Pictures'!$B$3:$E$500,4,FALSE),"PIC")</f>
        <v>PIC</v>
      </c>
      <c r="S249" s="373" t="str">
        <f t="shared" si="123"/>
        <v>E.G.</v>
      </c>
      <c r="T249" s="377" t="str">
        <f>IF(O249&lt;&gt;"",_xlfn.XLOOKUP(O249,'3D. Pictures'!B:B,'3D. Pictures'!E:E,"NOT FOUND",0,1),"")</f>
        <v>https://viking-pictures.s3.us-west-1.amazonaws.com/AA1155/A23.+PDC+SET+4+With+Harness%2C+REAR+(1).JPG</v>
      </c>
      <c r="U249" s="243">
        <v>5</v>
      </c>
      <c r="V249" s="243">
        <v>9306090</v>
      </c>
      <c r="W249" s="243" t="s">
        <v>112</v>
      </c>
      <c r="X249" s="243"/>
      <c r="Y249" s="16"/>
      <c r="Z249" s="243"/>
      <c r="AA249" s="243" t="s">
        <v>2516</v>
      </c>
      <c r="AB249" s="243" t="s">
        <v>2516</v>
      </c>
      <c r="AC249" s="358" t="str">
        <f t="shared" si="122"/>
        <v>if harness bad still SET 4 or SET 2-TOSS singles</v>
      </c>
      <c r="AD249" s="243" t="s">
        <v>2819</v>
      </c>
      <c r="AE249" s="243"/>
      <c r="AF249" s="179" t="s">
        <v>547</v>
      </c>
      <c r="AG249" s="243"/>
      <c r="AH249" s="18">
        <v>250</v>
      </c>
      <c r="AI249" s="380">
        <f t="shared" si="124"/>
        <v>158.33333333333334</v>
      </c>
      <c r="AJ249" s="246" t="s">
        <v>408</v>
      </c>
      <c r="AK249" s="246" t="s">
        <v>425</v>
      </c>
      <c r="AL249" s="246" t="s">
        <v>2175</v>
      </c>
      <c r="AM249" s="241"/>
      <c r="AN249" s="241"/>
      <c r="AO249" s="241"/>
      <c r="AP249" s="241"/>
      <c r="AQ249" s="241"/>
      <c r="AR249" s="241"/>
      <c r="AS249" s="241" t="s">
        <v>1028</v>
      </c>
      <c r="AT249" s="241" t="s">
        <v>1029</v>
      </c>
      <c r="AU249" s="241" t="s">
        <v>1030</v>
      </c>
      <c r="AV249" s="303" t="str">
        <f t="shared" si="130"/>
        <v>F15-14-18-ALL</v>
      </c>
      <c r="AW249" s="241" t="s">
        <v>2382</v>
      </c>
      <c r="AX249" s="279" t="str">
        <f t="shared" si="128"/>
        <v>F15-14-18-ALL-Viking16</v>
      </c>
    </row>
    <row r="250" spans="1:50" x14ac:dyDescent="0.25">
      <c r="A250" s="190" t="str">
        <f t="shared" si="111"/>
        <v/>
      </c>
      <c r="B250" s="279" t="str">
        <f t="shared" si="127"/>
        <v/>
      </c>
      <c r="C250" s="279"/>
      <c r="D250" s="279"/>
      <c r="E250" s="279" t="str">
        <f t="shared" si="120"/>
        <v/>
      </c>
      <c r="F250" s="241" t="s">
        <v>535</v>
      </c>
      <c r="G250" s="242">
        <v>44680</v>
      </c>
      <c r="H250" s="243"/>
      <c r="I250" s="196"/>
      <c r="J250" s="243" t="s">
        <v>402</v>
      </c>
      <c r="K250" s="243" t="s">
        <v>2758</v>
      </c>
      <c r="L250" s="243" t="s">
        <v>1162</v>
      </c>
      <c r="M250" s="243" t="s">
        <v>559</v>
      </c>
      <c r="N250" s="243"/>
      <c r="O250" s="244"/>
      <c r="P250" s="244"/>
      <c r="Q250" s="231" t="str">
        <f t="shared" si="121"/>
        <v>. PDC Sensor SET 4, REAR</v>
      </c>
      <c r="R250" s="244"/>
      <c r="S250" s="244" t="str">
        <f t="shared" si="123"/>
        <v/>
      </c>
      <c r="T250" s="244" t="str">
        <f>IF(O250&lt;&gt;"",_xlfn.XLOOKUP(O250,'3D. Pictures'!B:B,'3D. Pictures'!E:E,"NOT FOUND",0,1),"")</f>
        <v/>
      </c>
      <c r="U250" s="243"/>
      <c r="V250" s="243"/>
      <c r="W250" s="243"/>
      <c r="X250" s="243"/>
      <c r="Y250" s="243"/>
      <c r="Z250" s="243"/>
      <c r="AA250" s="243" t="s">
        <v>2516</v>
      </c>
      <c r="AB250" s="243" t="s">
        <v>2517</v>
      </c>
      <c r="AC250" s="358" t="str">
        <f t="shared" si="122"/>
        <v/>
      </c>
      <c r="AD250" s="243"/>
      <c r="AE250" s="243"/>
      <c r="AF250" s="179" t="s">
        <v>541</v>
      </c>
      <c r="AG250" s="243"/>
      <c r="AH250" s="18">
        <v>150</v>
      </c>
      <c r="AI250" s="380">
        <f t="shared" si="124"/>
        <v>158.33333333333334</v>
      </c>
      <c r="AJ250" s="246" t="s">
        <v>408</v>
      </c>
      <c r="AK250" s="246" t="s">
        <v>425</v>
      </c>
      <c r="AL250" s="246" t="s">
        <v>2175</v>
      </c>
      <c r="AM250" s="241"/>
      <c r="AN250" s="241"/>
      <c r="AO250" s="241"/>
      <c r="AP250" s="241"/>
      <c r="AQ250" s="241"/>
      <c r="AR250" s="241"/>
      <c r="AS250" s="241" t="s">
        <v>1028</v>
      </c>
      <c r="AT250" s="241" t="s">
        <v>1029</v>
      </c>
      <c r="AU250" s="241" t="s">
        <v>1030</v>
      </c>
      <c r="AV250" s="303" t="str">
        <f t="shared" si="130"/>
        <v>F15-14-18-ALL</v>
      </c>
      <c r="AW250" s="241" t="s">
        <v>2383</v>
      </c>
      <c r="AX250" s="279" t="str">
        <f t="shared" si="128"/>
        <v>F15-14-18-ALL-Viking17</v>
      </c>
    </row>
    <row r="251" spans="1:50" x14ac:dyDescent="0.25">
      <c r="A251" s="190" t="str">
        <f t="shared" si="111"/>
        <v/>
      </c>
      <c r="B251" s="279" t="str">
        <f t="shared" si="127"/>
        <v/>
      </c>
      <c r="C251" s="279"/>
      <c r="D251" s="279"/>
      <c r="E251" s="279" t="str">
        <f t="shared" si="120"/>
        <v/>
      </c>
      <c r="F251" s="241" t="s">
        <v>535</v>
      </c>
      <c r="G251" s="242">
        <v>44680</v>
      </c>
      <c r="H251" s="243"/>
      <c r="I251" s="196"/>
      <c r="J251" s="243" t="s">
        <v>402</v>
      </c>
      <c r="K251" s="243" t="s">
        <v>2758</v>
      </c>
      <c r="L251" s="243" t="s">
        <v>1162</v>
      </c>
      <c r="M251" s="243" t="s">
        <v>559</v>
      </c>
      <c r="N251" s="243"/>
      <c r="O251" s="244"/>
      <c r="P251" s="244"/>
      <c r="Q251" s="231" t="str">
        <f t="shared" si="121"/>
        <v>. PDC Sensor SET 2, REAR</v>
      </c>
      <c r="R251" s="244"/>
      <c r="S251" s="244" t="str">
        <f t="shared" si="123"/>
        <v/>
      </c>
      <c r="T251" s="244" t="str">
        <f>IF(O251&lt;&gt;"",_xlfn.XLOOKUP(O251,'3D. Pictures'!B:B,'3D. Pictures'!E:E,"NOT FOUND",0,1),"")</f>
        <v/>
      </c>
      <c r="U251" s="243"/>
      <c r="V251" s="243"/>
      <c r="W251" s="243"/>
      <c r="X251" s="243"/>
      <c r="Y251" s="243"/>
      <c r="Z251" s="243"/>
      <c r="AA251" s="243" t="s">
        <v>2516</v>
      </c>
      <c r="AB251" s="243" t="s">
        <v>2493</v>
      </c>
      <c r="AC251" s="358" t="str">
        <f t="shared" si="122"/>
        <v/>
      </c>
      <c r="AD251" s="243"/>
      <c r="AE251" s="243"/>
      <c r="AF251" s="179" t="s">
        <v>544</v>
      </c>
      <c r="AG251" s="243"/>
      <c r="AH251" s="18">
        <v>75</v>
      </c>
      <c r="AI251" s="380">
        <f t="shared" si="124"/>
        <v>158.33333333333334</v>
      </c>
      <c r="AJ251" s="246" t="s">
        <v>408</v>
      </c>
      <c r="AK251" s="246" t="s">
        <v>425</v>
      </c>
      <c r="AL251" s="246" t="s">
        <v>2175</v>
      </c>
      <c r="AM251" s="241"/>
      <c r="AN251" s="241"/>
      <c r="AO251" s="241"/>
      <c r="AP251" s="241"/>
      <c r="AQ251" s="241"/>
      <c r="AR251" s="241"/>
      <c r="AS251" s="241" t="s">
        <v>1028</v>
      </c>
      <c r="AT251" s="241" t="s">
        <v>1029</v>
      </c>
      <c r="AU251" s="241" t="s">
        <v>1030</v>
      </c>
      <c r="AV251" s="303" t="str">
        <f t="shared" si="130"/>
        <v>F15-14-18-ALL</v>
      </c>
      <c r="AW251" s="241" t="s">
        <v>2384</v>
      </c>
      <c r="AX251" s="279" t="str">
        <f t="shared" si="128"/>
        <v>F15-14-18-ALL-Viking18</v>
      </c>
    </row>
    <row r="252" spans="1:50" x14ac:dyDescent="0.25">
      <c r="A252" s="190" t="str">
        <f t="shared" si="111"/>
        <v/>
      </c>
      <c r="B252" s="279" t="str">
        <f t="shared" si="127"/>
        <v/>
      </c>
      <c r="C252" s="279"/>
      <c r="D252" s="279"/>
      <c r="E252" s="279" t="str">
        <f t="shared" si="120"/>
        <v/>
      </c>
      <c r="F252" t="s">
        <v>535</v>
      </c>
      <c r="G252" s="188">
        <v>44680</v>
      </c>
      <c r="H252" s="16"/>
      <c r="I252" s="164"/>
      <c r="J252" s="16" t="s">
        <v>402</v>
      </c>
      <c r="K252" s="16" t="s">
        <v>2758</v>
      </c>
      <c r="L252" s="16" t="s">
        <v>2682</v>
      </c>
      <c r="M252" s="16" t="s">
        <v>559</v>
      </c>
      <c r="N252" s="16"/>
      <c r="O252" s="166"/>
      <c r="P252" s="166"/>
      <c r="Q252" s="231" t="str">
        <f t="shared" si="121"/>
        <v>. Roof Rails, SIDE-TO-SIDE as SET 2</v>
      </c>
      <c r="R252" s="231"/>
      <c r="S252" s="231" t="str">
        <f t="shared" si="123"/>
        <v/>
      </c>
      <c r="T252" s="231" t="str">
        <f>IF(O252&lt;&gt;"",_xlfn.XLOOKUP(O252,'3D. Pictures'!B:B,'3D. Pictures'!E:E,"NOT FOUND",0,1),"")</f>
        <v/>
      </c>
      <c r="U252" s="16"/>
      <c r="V252" s="16"/>
      <c r="W252" s="16"/>
      <c r="X252" s="16"/>
      <c r="Y252" s="243"/>
      <c r="Z252" s="16"/>
      <c r="AA252" s="16" t="s">
        <v>2554</v>
      </c>
      <c r="AB252" s="16" t="s">
        <v>2554</v>
      </c>
      <c r="AC252" s="358" t="str">
        <f t="shared" si="122"/>
        <v>SET 2, toss both if 1 bad | these are the shorter cross bars</v>
      </c>
      <c r="AD252" s="16" t="s">
        <v>2551</v>
      </c>
      <c r="AE252" s="16" t="s">
        <v>2553</v>
      </c>
      <c r="AF252" s="168" t="s">
        <v>544</v>
      </c>
      <c r="AG252" s="16"/>
      <c r="AH252" s="18">
        <v>350</v>
      </c>
      <c r="AI252" s="380">
        <f t="shared" si="124"/>
        <v>350</v>
      </c>
      <c r="AJ252" s="3" t="s">
        <v>408</v>
      </c>
      <c r="AK252" s="3" t="s">
        <v>425</v>
      </c>
      <c r="AL252" s="3" t="s">
        <v>2175</v>
      </c>
      <c r="AN252"/>
      <c r="AX252" s="279" t="str">
        <f t="shared" si="128"/>
        <v/>
      </c>
    </row>
    <row r="253" spans="1:50" x14ac:dyDescent="0.25">
      <c r="A253" s="190" t="str">
        <f t="shared" si="111"/>
        <v/>
      </c>
      <c r="B253" s="279" t="str">
        <f t="shared" si="127"/>
        <v/>
      </c>
      <c r="C253" s="279"/>
      <c r="D253" s="279"/>
      <c r="E253" s="279" t="str">
        <f t="shared" si="120"/>
        <v/>
      </c>
      <c r="F253" s="241" t="s">
        <v>535</v>
      </c>
      <c r="G253" s="242">
        <v>45244</v>
      </c>
      <c r="H253" s="243"/>
      <c r="I253" s="196"/>
      <c r="J253" s="243" t="s">
        <v>402</v>
      </c>
      <c r="K253" s="243" t="s">
        <v>2758</v>
      </c>
      <c r="L253" s="243" t="s">
        <v>2185</v>
      </c>
      <c r="M253" s="243" t="s">
        <v>560</v>
      </c>
      <c r="N253" s="243"/>
      <c r="O253" s="244"/>
      <c r="P253" s="244"/>
      <c r="Q253" s="231" t="str">
        <f t="shared" si="121"/>
        <v>. Running Board &amp; Mount Bracket, LEFT</v>
      </c>
      <c r="R253" s="244"/>
      <c r="S253" s="244" t="str">
        <f t="shared" si="123"/>
        <v/>
      </c>
      <c r="T253" s="244" t="str">
        <f>IF(O253&lt;&gt;"",_xlfn.XLOOKUP(O253,'3D. Pictures'!B:B,'3D. Pictures'!E:E,"NOT FOUND",0,1),"")</f>
        <v/>
      </c>
      <c r="U253" s="243"/>
      <c r="V253" s="243"/>
      <c r="W253" s="243"/>
      <c r="X253" s="243"/>
      <c r="Y253" s="16"/>
      <c r="Z253" s="243"/>
      <c r="AA253" s="243" t="s">
        <v>2183</v>
      </c>
      <c r="AB253" s="243" t="s">
        <v>2183</v>
      </c>
      <c r="AC253" s="358" t="str">
        <f t="shared" si="122"/>
        <v/>
      </c>
      <c r="AD253" s="243"/>
      <c r="AE253" s="243"/>
      <c r="AF253" s="179" t="s">
        <v>543</v>
      </c>
      <c r="AG253" s="243"/>
      <c r="AH253" s="18">
        <v>350</v>
      </c>
      <c r="AI253" s="380">
        <f t="shared" si="124"/>
        <v>350</v>
      </c>
      <c r="AJ253" s="246" t="s">
        <v>408</v>
      </c>
      <c r="AK253" s="246" t="s">
        <v>425</v>
      </c>
      <c r="AL253" s="246" t="s">
        <v>2175</v>
      </c>
      <c r="AM253" s="241"/>
      <c r="AN253" s="241"/>
      <c r="AO253" s="241" t="s">
        <v>572</v>
      </c>
      <c r="AP253" s="241"/>
      <c r="AQ253" s="241"/>
      <c r="AR253" s="241"/>
      <c r="AS253" s="241" t="s">
        <v>1028</v>
      </c>
      <c r="AT253" s="241" t="s">
        <v>1029</v>
      </c>
      <c r="AU253" s="241" t="s">
        <v>1030</v>
      </c>
      <c r="AV253" s="303" t="str">
        <f t="shared" ref="AV253:AV254" si="131">CONCATENATE(AS253,"-",AT253,"-",AU253)</f>
        <v>F15-14-18-ALL</v>
      </c>
      <c r="AW253" s="241" t="s">
        <v>2385</v>
      </c>
      <c r="AX253" s="279" t="str">
        <f t="shared" si="128"/>
        <v>F15-14-18-ALL-Viking19</v>
      </c>
    </row>
    <row r="254" spans="1:50" ht="15.75" thickBot="1" x14ac:dyDescent="0.3">
      <c r="A254" s="190" t="str">
        <f t="shared" si="111"/>
        <v/>
      </c>
      <c r="B254" s="279" t="str">
        <f t="shared" si="127"/>
        <v/>
      </c>
      <c r="C254" s="279"/>
      <c r="D254" s="279"/>
      <c r="E254" s="279" t="str">
        <f t="shared" si="120"/>
        <v/>
      </c>
      <c r="F254" s="241" t="s">
        <v>535</v>
      </c>
      <c r="G254" s="242">
        <v>45244</v>
      </c>
      <c r="H254" s="243"/>
      <c r="I254" s="196"/>
      <c r="J254" s="243" t="s">
        <v>402</v>
      </c>
      <c r="K254" s="243" t="s">
        <v>2758</v>
      </c>
      <c r="L254" s="243" t="s">
        <v>2185</v>
      </c>
      <c r="M254" s="243" t="s">
        <v>560</v>
      </c>
      <c r="N254" s="243"/>
      <c r="O254" s="244"/>
      <c r="P254" s="244"/>
      <c r="Q254" s="231" t="str">
        <f t="shared" si="121"/>
        <v>. Running Board &amp; Mount Bracket, RIGHT</v>
      </c>
      <c r="R254" s="244"/>
      <c r="S254" s="244" t="str">
        <f t="shared" si="123"/>
        <v/>
      </c>
      <c r="T254" s="244" t="str">
        <f>IF(O254&lt;&gt;"",_xlfn.XLOOKUP(O254,'3D. Pictures'!B:B,'3D. Pictures'!E:E,"NOT FOUND",0,1),"")</f>
        <v/>
      </c>
      <c r="U254" s="243"/>
      <c r="V254" s="243"/>
      <c r="W254" s="243"/>
      <c r="X254" s="243"/>
      <c r="Y254" s="205"/>
      <c r="Z254" s="243"/>
      <c r="AA254" s="243" t="s">
        <v>2184</v>
      </c>
      <c r="AB254" s="243" t="s">
        <v>2184</v>
      </c>
      <c r="AC254" s="358" t="str">
        <f t="shared" si="122"/>
        <v/>
      </c>
      <c r="AD254" s="243"/>
      <c r="AE254" s="243"/>
      <c r="AF254" s="179" t="s">
        <v>543</v>
      </c>
      <c r="AG254" s="243"/>
      <c r="AH254" s="18">
        <v>350</v>
      </c>
      <c r="AI254" s="380">
        <f t="shared" si="124"/>
        <v>350</v>
      </c>
      <c r="AJ254" s="246" t="s">
        <v>408</v>
      </c>
      <c r="AK254" s="246" t="s">
        <v>425</v>
      </c>
      <c r="AL254" s="246" t="s">
        <v>2175</v>
      </c>
      <c r="AM254" s="241"/>
      <c r="AN254" s="241"/>
      <c r="AO254" s="241" t="s">
        <v>572</v>
      </c>
      <c r="AP254" s="241"/>
      <c r="AQ254" s="241"/>
      <c r="AR254" s="241"/>
      <c r="AS254" s="241" t="s">
        <v>1028</v>
      </c>
      <c r="AT254" s="241" t="s">
        <v>1029</v>
      </c>
      <c r="AU254" s="241" t="s">
        <v>1030</v>
      </c>
      <c r="AV254" s="303" t="str">
        <f t="shared" si="131"/>
        <v>F15-14-18-ALL</v>
      </c>
      <c r="AW254" s="241" t="s">
        <v>2386</v>
      </c>
      <c r="AX254" s="279" t="str">
        <f t="shared" si="128"/>
        <v>F15-14-18-ALL-Viking20</v>
      </c>
    </row>
    <row r="255" spans="1:50" ht="15.75" thickBot="1" x14ac:dyDescent="0.3">
      <c r="A255" s="190" t="str">
        <f t="shared" si="111"/>
        <v>A91</v>
      </c>
      <c r="B255" s="279" t="str">
        <f t="shared" si="127"/>
        <v>169-53399</v>
      </c>
      <c r="C255" s="279"/>
      <c r="D255" s="279"/>
      <c r="E255" s="279">
        <f t="shared" si="120"/>
        <v>1</v>
      </c>
      <c r="F255" s="190" t="s">
        <v>535</v>
      </c>
      <c r="G255" s="198">
        <v>44680</v>
      </c>
      <c r="H255" s="205"/>
      <c r="I255" s="192"/>
      <c r="J255" s="205" t="s">
        <v>402</v>
      </c>
      <c r="K255" s="205" t="s">
        <v>2758</v>
      </c>
      <c r="L255" s="205" t="s">
        <v>679</v>
      </c>
      <c r="M255" s="192" t="s">
        <v>558</v>
      </c>
      <c r="N255" s="192">
        <v>81</v>
      </c>
      <c r="O255" s="229" t="s">
        <v>993</v>
      </c>
      <c r="P255" s="229" t="s">
        <v>1300</v>
      </c>
      <c r="Q255" s="231" t="str">
        <f t="shared" si="121"/>
        <v>A91. Spoiler with 3rd Brake Light IN</v>
      </c>
      <c r="R255" s="284" t="str">
        <f>HYPERLINK(VLOOKUP(O255,'3D. Pictures'!$B$3:$E$500,4,FALSE),"PIC")</f>
        <v>PIC</v>
      </c>
      <c r="S255" s="373" t="str">
        <f t="shared" si="123"/>
        <v>E.G.</v>
      </c>
      <c r="T255" s="377" t="str">
        <f>IF(O255&lt;&gt;"",_xlfn.XLOOKUP(O255,'3D. Pictures'!B:B,'3D. Pictures'!E:E,"NOT FOUND",0,1),"")</f>
        <v>https://viking-pictures.s3.us-west-1.amazonaws.com/AA1155/A91.+Spoiler+with+3rd+Brake+Light+IN+(1).JPG</v>
      </c>
      <c r="U255" s="192">
        <v>7</v>
      </c>
      <c r="V255" s="205" t="s">
        <v>1310</v>
      </c>
      <c r="W255" s="192" t="s">
        <v>111</v>
      </c>
      <c r="X255" s="205" t="s">
        <v>2465</v>
      </c>
      <c r="Y255" s="205"/>
      <c r="Z255" s="205"/>
      <c r="AA255" s="205" t="s">
        <v>1309</v>
      </c>
      <c r="AB255" s="205" t="s">
        <v>1309</v>
      </c>
      <c r="AC255" s="358" t="str">
        <f t="shared" si="122"/>
        <v>brake light IN | spoiler bad = light solo, light bad = toss spoiler</v>
      </c>
      <c r="AD255" s="205" t="s">
        <v>2789</v>
      </c>
      <c r="AE255" s="205" t="s">
        <v>2790</v>
      </c>
      <c r="AF255" s="201" t="s">
        <v>543</v>
      </c>
      <c r="AG255" s="205"/>
      <c r="AH255" s="18">
        <v>595</v>
      </c>
      <c r="AI255" s="380">
        <f t="shared" si="124"/>
        <v>595</v>
      </c>
      <c r="AJ255" s="204" t="s">
        <v>408</v>
      </c>
      <c r="AK255" s="204" t="s">
        <v>425</v>
      </c>
      <c r="AL255" s="204" t="s">
        <v>2175</v>
      </c>
      <c r="AM255" s="190"/>
      <c r="AN255" s="191" t="s">
        <v>623</v>
      </c>
      <c r="AO255" s="190" t="s">
        <v>572</v>
      </c>
      <c r="AP255" s="190">
        <v>53399</v>
      </c>
      <c r="AQ255" s="190" t="str">
        <f>CONCATENATE(AN255,AO255,AP255)</f>
        <v>169-53399</v>
      </c>
      <c r="AR255" s="190"/>
      <c r="AS255" s="190"/>
      <c r="AT255" s="190"/>
      <c r="AU255" s="190"/>
      <c r="AV255" s="190"/>
      <c r="AW255" s="190"/>
      <c r="AX255" s="279" t="str">
        <f t="shared" si="128"/>
        <v/>
      </c>
    </row>
    <row r="256" spans="1:50" x14ac:dyDescent="0.25">
      <c r="A256" s="190" t="str">
        <f t="shared" si="111"/>
        <v/>
      </c>
      <c r="B256" s="279" t="str">
        <f t="shared" si="127"/>
        <v/>
      </c>
      <c r="C256" s="279"/>
      <c r="D256" s="279"/>
      <c r="E256" s="279" t="str">
        <f t="shared" si="120"/>
        <v/>
      </c>
      <c r="F256" t="s">
        <v>535</v>
      </c>
      <c r="G256" s="188">
        <v>44680</v>
      </c>
      <c r="H256" s="16"/>
      <c r="I256" s="164"/>
      <c r="J256" s="16" t="s">
        <v>402</v>
      </c>
      <c r="K256" s="16" t="s">
        <v>2758</v>
      </c>
      <c r="L256" s="16" t="s">
        <v>679</v>
      </c>
      <c r="M256" s="164" t="s">
        <v>558</v>
      </c>
      <c r="N256" s="164"/>
      <c r="O256" s="234"/>
      <c r="P256" s="234"/>
      <c r="Q256" s="231" t="str">
        <f t="shared" si="121"/>
        <v>. Spoiler 3rd Brake Light</v>
      </c>
      <c r="R256" s="231"/>
      <c r="S256" s="231" t="str">
        <f t="shared" si="123"/>
        <v/>
      </c>
      <c r="T256" s="231" t="str">
        <f>IF(O256&lt;&gt;"",_xlfn.XLOOKUP(O256,'3D. Pictures'!B:B,'3D. Pictures'!E:E,"NOT FOUND",0,1),"")</f>
        <v/>
      </c>
      <c r="U256" s="164"/>
      <c r="V256" s="16"/>
      <c r="W256" s="164"/>
      <c r="X256" s="16"/>
      <c r="Y256" s="205"/>
      <c r="Z256" s="16"/>
      <c r="AA256" s="16" t="s">
        <v>680</v>
      </c>
      <c r="AB256" s="16" t="s">
        <v>680</v>
      </c>
      <c r="AC256" s="358" t="str">
        <f t="shared" si="122"/>
        <v>in spoilder if good</v>
      </c>
      <c r="AD256" s="16" t="s">
        <v>2791</v>
      </c>
      <c r="AE256" s="16"/>
      <c r="AF256" s="168" t="s">
        <v>543</v>
      </c>
      <c r="AG256" s="16"/>
      <c r="AH256" s="18">
        <v>125</v>
      </c>
      <c r="AI256" s="380">
        <f t="shared" si="124"/>
        <v>125</v>
      </c>
      <c r="AJ256" s="3" t="s">
        <v>408</v>
      </c>
      <c r="AK256" s="3" t="s">
        <v>425</v>
      </c>
      <c r="AL256" s="3" t="s">
        <v>2175</v>
      </c>
      <c r="AX256" s="279" t="str">
        <f t="shared" si="128"/>
        <v/>
      </c>
    </row>
    <row r="257" spans="1:50" x14ac:dyDescent="0.25">
      <c r="A257" s="190" t="str">
        <f t="shared" si="111"/>
        <v/>
      </c>
      <c r="B257" s="279" t="str">
        <f t="shared" ref="B257:B315" si="132">IF(AQ257&lt;&gt;"",AQ257,"")</f>
        <v/>
      </c>
      <c r="C257" s="279"/>
      <c r="D257" s="279"/>
      <c r="E257" s="279" t="str">
        <f t="shared" si="120"/>
        <v/>
      </c>
      <c r="F257" t="s">
        <v>535</v>
      </c>
      <c r="G257" s="188">
        <v>44670</v>
      </c>
      <c r="H257" s="10"/>
      <c r="I257" s="174"/>
      <c r="J257" s="10" t="s">
        <v>405</v>
      </c>
      <c r="K257" s="10" t="s">
        <v>2758</v>
      </c>
      <c r="L257" s="10" t="s">
        <v>2683</v>
      </c>
      <c r="M257" s="164" t="s">
        <v>558</v>
      </c>
      <c r="N257" s="164"/>
      <c r="O257" s="234"/>
      <c r="P257" s="234"/>
      <c r="Q257" s="231" t="str">
        <f t="shared" si="121"/>
        <v>. Fenders</v>
      </c>
      <c r="R257" s="231"/>
      <c r="S257" s="231" t="str">
        <f t="shared" si="123"/>
        <v/>
      </c>
      <c r="T257" s="231" t="str">
        <f>IF(O257&lt;&gt;"",_xlfn.XLOOKUP(O257,'3D. Pictures'!B:B,'3D. Pictures'!E:E,"NOT FOUND",0,1),"")</f>
        <v/>
      </c>
      <c r="U257" s="164"/>
      <c r="V257" s="16"/>
      <c r="W257" s="164"/>
      <c r="X257" s="16"/>
      <c r="Y257" s="205"/>
      <c r="Z257" s="16"/>
      <c r="AA257" s="10" t="s">
        <v>2792</v>
      </c>
      <c r="AB257" s="10" t="s">
        <v>2792</v>
      </c>
      <c r="AC257" s="359" t="str">
        <f t="shared" si="122"/>
        <v>TOSS BOTH</v>
      </c>
      <c r="AD257" s="10" t="s">
        <v>2544</v>
      </c>
      <c r="AE257" s="10"/>
      <c r="AF257" s="168" t="s">
        <v>543</v>
      </c>
      <c r="AG257" s="10"/>
      <c r="AH257" s="97"/>
      <c r="AI257" s="380" t="str">
        <f t="shared" si="124"/>
        <v/>
      </c>
      <c r="AJ257" s="3" t="s">
        <v>408</v>
      </c>
      <c r="AK257" s="3" t="s">
        <v>425</v>
      </c>
      <c r="AL257" s="3" t="s">
        <v>2175</v>
      </c>
      <c r="AN257"/>
      <c r="AO257" t="s">
        <v>572</v>
      </c>
      <c r="AX257" s="279" t="str">
        <f t="shared" si="128"/>
        <v/>
      </c>
    </row>
    <row r="258" spans="1:50" x14ac:dyDescent="0.25">
      <c r="A258" s="190" t="str">
        <f t="shared" si="111"/>
        <v/>
      </c>
      <c r="B258" s="279" t="str">
        <f t="shared" si="132"/>
        <v/>
      </c>
      <c r="C258" s="279"/>
      <c r="D258" s="279"/>
      <c r="E258" s="279" t="str">
        <f t="shared" si="120"/>
        <v/>
      </c>
      <c r="F258" t="s">
        <v>535</v>
      </c>
      <c r="G258" s="188">
        <v>44683</v>
      </c>
      <c r="H258" s="10"/>
      <c r="I258" s="174"/>
      <c r="J258" s="10" t="s">
        <v>405</v>
      </c>
      <c r="K258" s="10" t="s">
        <v>2758</v>
      </c>
      <c r="L258" s="10" t="s">
        <v>442</v>
      </c>
      <c r="M258" s="16" t="s">
        <v>559</v>
      </c>
      <c r="N258" s="16"/>
      <c r="O258" s="166"/>
      <c r="P258" s="166"/>
      <c r="Q258" s="231" t="str">
        <f t="shared" si="121"/>
        <v>. Gas Cap</v>
      </c>
      <c r="R258" s="231"/>
      <c r="S258" s="231" t="str">
        <f t="shared" si="123"/>
        <v/>
      </c>
      <c r="T258" s="231" t="str">
        <f>IF(O258&lt;&gt;"",_xlfn.XLOOKUP(O258,'3D. Pictures'!B:B,'3D. Pictures'!E:E,"NOT FOUND",0,1),"")</f>
        <v/>
      </c>
      <c r="U258" s="16"/>
      <c r="V258" s="16"/>
      <c r="W258" s="16"/>
      <c r="X258" s="16"/>
      <c r="Y258" s="205"/>
      <c r="Z258" s="16"/>
      <c r="AA258" s="10" t="s">
        <v>442</v>
      </c>
      <c r="AB258" s="10" t="s">
        <v>442</v>
      </c>
      <c r="AC258" s="359" t="str">
        <f t="shared" si="122"/>
        <v/>
      </c>
      <c r="AD258" s="10"/>
      <c r="AE258" s="10"/>
      <c r="AF258" s="168" t="s">
        <v>543</v>
      </c>
      <c r="AG258" s="10"/>
      <c r="AH258" s="10"/>
      <c r="AI258" s="380" t="str">
        <f t="shared" si="124"/>
        <v/>
      </c>
      <c r="AJ258" s="3" t="s">
        <v>408</v>
      </c>
      <c r="AK258" s="3" t="s">
        <v>425</v>
      </c>
      <c r="AL258" s="3" t="s">
        <v>2175</v>
      </c>
      <c r="AN258"/>
      <c r="AX258" s="279" t="str">
        <f t="shared" si="128"/>
        <v/>
      </c>
    </row>
    <row r="259" spans="1:50" x14ac:dyDescent="0.25">
      <c r="A259" s="190" t="str">
        <f t="shared" ref="A259:A318" si="133">IF(O259&lt;&gt;"",O259,"")</f>
        <v/>
      </c>
      <c r="B259" s="279" t="str">
        <f t="shared" si="132"/>
        <v/>
      </c>
      <c r="C259" s="279"/>
      <c r="D259" s="279"/>
      <c r="E259" s="279" t="str">
        <f t="shared" si="120"/>
        <v/>
      </c>
      <c r="F259" t="s">
        <v>535</v>
      </c>
      <c r="G259" s="188">
        <v>44684</v>
      </c>
      <c r="H259" s="10"/>
      <c r="I259" s="174"/>
      <c r="J259" s="10" t="s">
        <v>405</v>
      </c>
      <c r="K259" s="10" t="s">
        <v>2758</v>
      </c>
      <c r="L259" s="10" t="s">
        <v>2684</v>
      </c>
      <c r="M259" s="16" t="s">
        <v>559</v>
      </c>
      <c r="N259" s="16"/>
      <c r="O259" s="166"/>
      <c r="P259" s="166"/>
      <c r="Q259" s="231" t="str">
        <f t="shared" si="121"/>
        <v>. License Plate Mounts, FRONT &amp; REAR</v>
      </c>
      <c r="R259" s="231"/>
      <c r="S259" s="231" t="str">
        <f t="shared" si="123"/>
        <v/>
      </c>
      <c r="T259" s="231" t="str">
        <f>IF(O259&lt;&gt;"",_xlfn.XLOOKUP(O259,'3D. Pictures'!B:B,'3D. Pictures'!E:E,"NOT FOUND",0,1),"")</f>
        <v/>
      </c>
      <c r="U259" s="16"/>
      <c r="V259" s="16"/>
      <c r="W259" s="16"/>
      <c r="X259" s="16"/>
      <c r="Y259" s="205"/>
      <c r="Z259" s="16"/>
      <c r="AA259" s="10" t="s">
        <v>2555</v>
      </c>
      <c r="AB259" s="10" t="s">
        <v>2555</v>
      </c>
      <c r="AC259" s="359" t="str">
        <f t="shared" si="122"/>
        <v/>
      </c>
      <c r="AD259" s="10"/>
      <c r="AE259" s="10"/>
      <c r="AF259" s="168" t="s">
        <v>543</v>
      </c>
      <c r="AG259" s="10"/>
      <c r="AH259" s="10"/>
      <c r="AI259" s="380" t="str">
        <f t="shared" si="124"/>
        <v/>
      </c>
      <c r="AJ259" s="3" t="s">
        <v>408</v>
      </c>
      <c r="AK259" s="3" t="s">
        <v>425</v>
      </c>
      <c r="AL259" s="3" t="s">
        <v>2175</v>
      </c>
      <c r="AN259"/>
      <c r="AX259" s="279" t="str">
        <f t="shared" si="128"/>
        <v/>
      </c>
    </row>
    <row r="260" spans="1:50" x14ac:dyDescent="0.25">
      <c r="A260" s="190" t="str">
        <f t="shared" si="133"/>
        <v/>
      </c>
      <c r="B260" s="279" t="str">
        <f t="shared" si="132"/>
        <v/>
      </c>
      <c r="C260" s="279"/>
      <c r="D260" s="279"/>
      <c r="E260" s="279" t="str">
        <f t="shared" si="120"/>
        <v/>
      </c>
      <c r="F260" t="s">
        <v>535</v>
      </c>
      <c r="G260" s="188">
        <v>44683</v>
      </c>
      <c r="H260" s="10"/>
      <c r="I260" s="174"/>
      <c r="J260" s="10" t="s">
        <v>405</v>
      </c>
      <c r="K260" s="10" t="s">
        <v>2758</v>
      </c>
      <c r="L260" s="10" t="s">
        <v>2685</v>
      </c>
      <c r="M260" s="16" t="s">
        <v>559</v>
      </c>
      <c r="N260" s="16"/>
      <c r="O260" s="166"/>
      <c r="P260" s="166"/>
      <c r="Q260" s="231" t="str">
        <f t="shared" si="121"/>
        <v>. Reflectors, FENDER</v>
      </c>
      <c r="R260" s="231"/>
      <c r="S260" s="231" t="str">
        <f t="shared" si="123"/>
        <v/>
      </c>
      <c r="T260" s="231" t="str">
        <f>IF(O260&lt;&gt;"",_xlfn.XLOOKUP(O260,'3D. Pictures'!B:B,'3D. Pictures'!E:E,"NOT FOUND",0,1),"")</f>
        <v/>
      </c>
      <c r="U260" s="16"/>
      <c r="V260" s="16"/>
      <c r="W260" s="16"/>
      <c r="X260" s="16"/>
      <c r="Y260" s="16"/>
      <c r="Z260" s="16"/>
      <c r="AA260" s="10" t="s">
        <v>2556</v>
      </c>
      <c r="AB260" s="10" t="s">
        <v>2556</v>
      </c>
      <c r="AC260" s="359" t="str">
        <f t="shared" si="122"/>
        <v/>
      </c>
      <c r="AD260" s="10"/>
      <c r="AE260" s="10"/>
      <c r="AF260" s="168" t="s">
        <v>543</v>
      </c>
      <c r="AG260" s="10"/>
      <c r="AH260" s="10"/>
      <c r="AI260" s="380" t="str">
        <f t="shared" si="124"/>
        <v/>
      </c>
      <c r="AJ260" s="3" t="s">
        <v>408</v>
      </c>
      <c r="AK260" s="3" t="s">
        <v>425</v>
      </c>
      <c r="AL260" s="3" t="s">
        <v>2175</v>
      </c>
      <c r="AN260"/>
      <c r="AX260" s="279" t="str">
        <f t="shared" si="128"/>
        <v/>
      </c>
    </row>
    <row r="261" spans="1:50" x14ac:dyDescent="0.25">
      <c r="A261" s="190" t="str">
        <f t="shared" si="133"/>
        <v/>
      </c>
      <c r="B261" s="279" t="str">
        <f t="shared" si="132"/>
        <v/>
      </c>
      <c r="C261" s="279"/>
      <c r="D261" s="279"/>
      <c r="E261" s="279" t="str">
        <f t="shared" si="120"/>
        <v/>
      </c>
      <c r="F261" t="s">
        <v>535</v>
      </c>
      <c r="G261" s="188">
        <v>44680</v>
      </c>
      <c r="H261" s="10"/>
      <c r="I261" s="174"/>
      <c r="J261" s="10" t="s">
        <v>405</v>
      </c>
      <c r="K261" s="10" t="s">
        <v>2758</v>
      </c>
      <c r="L261" s="10" t="s">
        <v>2682</v>
      </c>
      <c r="M261" s="16" t="s">
        <v>559</v>
      </c>
      <c r="N261" s="16"/>
      <c r="O261" s="166"/>
      <c r="P261" s="166"/>
      <c r="Q261" s="231" t="str">
        <f t="shared" si="121"/>
        <v>. Roof Rails, FRONT-TO-BACK</v>
      </c>
      <c r="R261" s="231"/>
      <c r="S261" s="231" t="str">
        <f t="shared" si="123"/>
        <v/>
      </c>
      <c r="T261" s="231" t="str">
        <f>IF(O261&lt;&gt;"",_xlfn.XLOOKUP(O261,'3D. Pictures'!B:B,'3D. Pictures'!E:E,"NOT FOUND",0,1),"")</f>
        <v/>
      </c>
      <c r="U261" s="16"/>
      <c r="V261" s="16"/>
      <c r="W261" s="16"/>
      <c r="X261" s="16"/>
      <c r="Y261" s="205"/>
      <c r="Z261" s="16"/>
      <c r="AA261" s="10" t="s">
        <v>2558</v>
      </c>
      <c r="AB261" s="10" t="s">
        <v>2558</v>
      </c>
      <c r="AC261" s="359" t="str">
        <f t="shared" si="122"/>
        <v>big long ones black in color - CHECK BOX any other style</v>
      </c>
      <c r="AD261" s="10"/>
      <c r="AE261" s="10" t="s">
        <v>2557</v>
      </c>
      <c r="AF261" s="168" t="s">
        <v>543</v>
      </c>
      <c r="AG261" s="10"/>
      <c r="AH261" s="97"/>
      <c r="AI261" s="380" t="str">
        <f t="shared" si="124"/>
        <v/>
      </c>
      <c r="AJ261" s="3" t="s">
        <v>408</v>
      </c>
      <c r="AK261" s="3" t="s">
        <v>425</v>
      </c>
      <c r="AL261" s="3" t="s">
        <v>2175</v>
      </c>
      <c r="AN261"/>
      <c r="AX261" s="279" t="str">
        <f t="shared" si="128"/>
        <v/>
      </c>
    </row>
    <row r="262" spans="1:50" x14ac:dyDescent="0.25">
      <c r="A262" s="190" t="str">
        <f t="shared" si="133"/>
        <v/>
      </c>
      <c r="B262" s="279" t="str">
        <f t="shared" si="132"/>
        <v/>
      </c>
      <c r="C262" s="279"/>
      <c r="D262" s="279"/>
      <c r="E262" s="279" t="str">
        <f t="shared" si="120"/>
        <v/>
      </c>
      <c r="F262" t="s">
        <v>535</v>
      </c>
      <c r="G262" s="188">
        <v>44680</v>
      </c>
      <c r="H262" s="10"/>
      <c r="I262" s="174"/>
      <c r="J262" s="10" t="s">
        <v>405</v>
      </c>
      <c r="K262" s="10" t="s">
        <v>2758</v>
      </c>
      <c r="L262" s="10" t="s">
        <v>2686</v>
      </c>
      <c r="M262" s="18" t="s">
        <v>562</v>
      </c>
      <c r="N262" s="18"/>
      <c r="O262" s="235"/>
      <c r="P262" s="235"/>
      <c r="Q262" s="231" t="str">
        <f t="shared" si="121"/>
        <v>. Shark Fin Cover &amp; Roof Antenna Module</v>
      </c>
      <c r="R262" s="231"/>
      <c r="S262" s="231" t="str">
        <f t="shared" si="123"/>
        <v/>
      </c>
      <c r="T262" s="231" t="str">
        <f>IF(O262&lt;&gt;"",_xlfn.XLOOKUP(O262,'3D. Pictures'!B:B,'3D. Pictures'!E:E,"NOT FOUND",0,1),"")</f>
        <v/>
      </c>
      <c r="U262" s="18"/>
      <c r="V262" s="16"/>
      <c r="W262" s="18"/>
      <c r="X262" s="16"/>
      <c r="Y262" s="205"/>
      <c r="Z262" s="16"/>
      <c r="AA262" s="10" t="s">
        <v>2559</v>
      </c>
      <c r="AB262" s="10" t="s">
        <v>2559</v>
      </c>
      <c r="AC262" s="359" t="str">
        <f t="shared" si="122"/>
        <v/>
      </c>
      <c r="AD262" s="10"/>
      <c r="AE262" s="10"/>
      <c r="AF262" s="168" t="s">
        <v>543</v>
      </c>
      <c r="AG262" s="10"/>
      <c r="AH262" s="97"/>
      <c r="AI262" s="380" t="str">
        <f t="shared" si="124"/>
        <v/>
      </c>
      <c r="AJ262" s="3" t="s">
        <v>408</v>
      </c>
      <c r="AK262" s="3" t="s">
        <v>425</v>
      </c>
      <c r="AL262" s="3" t="s">
        <v>2175</v>
      </c>
      <c r="AN262"/>
      <c r="AX262" s="279" t="str">
        <f t="shared" si="128"/>
        <v/>
      </c>
    </row>
    <row r="263" spans="1:50" x14ac:dyDescent="0.25">
      <c r="A263" s="190" t="str">
        <f t="shared" si="133"/>
        <v/>
      </c>
      <c r="B263" s="279" t="str">
        <f t="shared" si="132"/>
        <v/>
      </c>
      <c r="C263" s="279"/>
      <c r="D263" s="279"/>
      <c r="E263" s="279" t="str">
        <f t="shared" si="120"/>
        <v/>
      </c>
      <c r="F263" t="s">
        <v>536</v>
      </c>
      <c r="G263" s="188">
        <v>44993</v>
      </c>
      <c r="H263" s="10"/>
      <c r="I263" s="174"/>
      <c r="J263" s="10" t="s">
        <v>405</v>
      </c>
      <c r="K263" s="10" t="s">
        <v>2758</v>
      </c>
      <c r="L263" s="10" t="s">
        <v>679</v>
      </c>
      <c r="M263" s="164" t="s">
        <v>558</v>
      </c>
      <c r="N263" s="164"/>
      <c r="O263" s="234"/>
      <c r="P263" s="234"/>
      <c r="Q263" s="231" t="str">
        <f t="shared" si="121"/>
        <v>. Spoiler Winglet Moulding</v>
      </c>
      <c r="R263" s="231"/>
      <c r="S263" s="231" t="str">
        <f t="shared" si="123"/>
        <v/>
      </c>
      <c r="T263" s="231" t="str">
        <f>IF(O263&lt;&gt;"",_xlfn.XLOOKUP(O263,'3D. Pictures'!B:B,'3D. Pictures'!E:E,"NOT FOUND",0,1),"")</f>
        <v/>
      </c>
      <c r="U263" s="164"/>
      <c r="V263" s="16"/>
      <c r="W263" s="164"/>
      <c r="X263" s="16"/>
      <c r="Y263" s="205"/>
      <c r="Z263" s="16"/>
      <c r="AA263" s="10" t="s">
        <v>2560</v>
      </c>
      <c r="AB263" s="10" t="s">
        <v>2560</v>
      </c>
      <c r="AC263" s="359" t="str">
        <f t="shared" si="122"/>
        <v>TOSS BOTH</v>
      </c>
      <c r="AD263" s="10" t="s">
        <v>2544</v>
      </c>
      <c r="AE263" s="10"/>
      <c r="AF263" s="168" t="s">
        <v>543</v>
      </c>
      <c r="AG263" s="10">
        <v>51627304605</v>
      </c>
      <c r="AH263" s="10"/>
      <c r="AI263" s="380" t="str">
        <f t="shared" si="124"/>
        <v/>
      </c>
      <c r="AJ263" s="3" t="s">
        <v>408</v>
      </c>
      <c r="AK263" s="3" t="s">
        <v>425</v>
      </c>
      <c r="AL263" s="3" t="s">
        <v>2175</v>
      </c>
      <c r="AN263"/>
      <c r="AX263" s="279" t="str">
        <f t="shared" si="128"/>
        <v/>
      </c>
    </row>
    <row r="264" spans="1:50" x14ac:dyDescent="0.25">
      <c r="A264" s="190" t="str">
        <f t="shared" si="133"/>
        <v/>
      </c>
      <c r="B264" s="279" t="str">
        <f t="shared" si="132"/>
        <v/>
      </c>
      <c r="C264" s="279"/>
      <c r="D264" s="279"/>
      <c r="E264" s="279" t="str">
        <f t="shared" si="120"/>
        <v/>
      </c>
      <c r="F264" t="s">
        <v>536</v>
      </c>
      <c r="G264" s="188">
        <v>44998</v>
      </c>
      <c r="H264" s="10"/>
      <c r="I264" s="174"/>
      <c r="J264" s="10" t="s">
        <v>405</v>
      </c>
      <c r="K264" s="10" t="s">
        <v>2758</v>
      </c>
      <c r="L264" s="10" t="s">
        <v>2687</v>
      </c>
      <c r="M264" s="16" t="s">
        <v>559</v>
      </c>
      <c r="N264" s="16"/>
      <c r="O264" s="166"/>
      <c r="P264" s="166"/>
      <c r="Q264" s="231" t="str">
        <f t="shared" si="121"/>
        <v>. Tow Hook</v>
      </c>
      <c r="R264" s="231"/>
      <c r="S264" s="231" t="str">
        <f t="shared" si="123"/>
        <v/>
      </c>
      <c r="T264" s="231" t="str">
        <f>IF(O264&lt;&gt;"",_xlfn.XLOOKUP(O264,'3D. Pictures'!B:B,'3D. Pictures'!E:E,"NOT FOUND",0,1),"")</f>
        <v/>
      </c>
      <c r="U264" s="16"/>
      <c r="V264" s="16"/>
      <c r="W264" s="16"/>
      <c r="X264" s="16"/>
      <c r="Y264" s="205"/>
      <c r="Z264" s="16"/>
      <c r="AA264" s="10" t="s">
        <v>504</v>
      </c>
      <c r="AB264" s="10" t="s">
        <v>504</v>
      </c>
      <c r="AC264" s="359" t="str">
        <f t="shared" si="122"/>
        <v/>
      </c>
      <c r="AD264" s="10"/>
      <c r="AE264" s="10"/>
      <c r="AF264" s="168" t="s">
        <v>543</v>
      </c>
      <c r="AG264" s="10"/>
      <c r="AH264" s="97"/>
      <c r="AI264" s="380" t="str">
        <f t="shared" si="124"/>
        <v/>
      </c>
      <c r="AJ264" s="3" t="s">
        <v>408</v>
      </c>
      <c r="AK264" s="3" t="s">
        <v>425</v>
      </c>
      <c r="AL264" s="3" t="s">
        <v>2175</v>
      </c>
      <c r="AN264"/>
      <c r="AX264" s="279" t="str">
        <f t="shared" si="128"/>
        <v/>
      </c>
    </row>
    <row r="265" spans="1:50" x14ac:dyDescent="0.25">
      <c r="A265" s="190" t="str">
        <f t="shared" si="133"/>
        <v/>
      </c>
      <c r="B265" s="279" t="str">
        <f t="shared" si="132"/>
        <v/>
      </c>
      <c r="C265" s="279"/>
      <c r="D265" s="279"/>
      <c r="E265" s="279" t="str">
        <f t="shared" ref="E265:E328" si="134">IF(B265&lt;&gt;"",COUNTIF($B$9:$B$2241,B265),"")</f>
        <v/>
      </c>
      <c r="F265" t="s">
        <v>536</v>
      </c>
      <c r="G265" s="188">
        <v>44811</v>
      </c>
      <c r="H265" s="156"/>
      <c r="I265" s="156"/>
      <c r="J265" s="172" t="s">
        <v>405</v>
      </c>
      <c r="K265" s="172" t="s">
        <v>2758</v>
      </c>
      <c r="L265" s="10" t="s">
        <v>2687</v>
      </c>
      <c r="M265" s="16" t="s">
        <v>559</v>
      </c>
      <c r="N265" s="16"/>
      <c r="O265" s="166"/>
      <c r="P265" s="166"/>
      <c r="Q265" s="231" t="str">
        <f t="shared" ref="Q265:Q328" si="135">CONCATENATE(O265,". ",AB265)</f>
        <v>. Tow Hook Covers, FRONT &amp; REAR</v>
      </c>
      <c r="R265" s="231"/>
      <c r="S265" s="231" t="str">
        <f t="shared" si="123"/>
        <v/>
      </c>
      <c r="T265" s="231" t="str">
        <f>IF(O265&lt;&gt;"",_xlfn.XLOOKUP(O265,'3D. Pictures'!B:B,'3D. Pictures'!E:E,"NOT FOUND",0,1),"")</f>
        <v/>
      </c>
      <c r="U265" s="16"/>
      <c r="V265" s="16"/>
      <c r="W265" s="16"/>
      <c r="X265" s="16"/>
      <c r="Y265" s="205"/>
      <c r="Z265" s="16"/>
      <c r="AA265" s="10" t="s">
        <v>2561</v>
      </c>
      <c r="AB265" s="10" t="s">
        <v>2561</v>
      </c>
      <c r="AC265" s="359" t="str">
        <f t="shared" si="122"/>
        <v/>
      </c>
      <c r="AD265" s="10"/>
      <c r="AE265" s="10"/>
      <c r="AF265" s="168" t="s">
        <v>543</v>
      </c>
      <c r="AG265" s="172"/>
      <c r="AH265" s="172"/>
      <c r="AI265" s="380" t="str">
        <f t="shared" si="124"/>
        <v/>
      </c>
      <c r="AJ265" s="3" t="s">
        <v>480</v>
      </c>
      <c r="AK265" s="3" t="s">
        <v>425</v>
      </c>
      <c r="AL265" s="3" t="s">
        <v>2175</v>
      </c>
      <c r="AN265"/>
      <c r="AX265" s="279" t="str">
        <f t="shared" si="128"/>
        <v/>
      </c>
    </row>
    <row r="266" spans="1:50" x14ac:dyDescent="0.25">
      <c r="A266" s="190" t="str">
        <f t="shared" si="133"/>
        <v/>
      </c>
      <c r="B266" s="279" t="str">
        <f t="shared" si="132"/>
        <v>118-999779</v>
      </c>
      <c r="C266" s="279"/>
      <c r="D266" s="279"/>
      <c r="E266" s="279">
        <f t="shared" si="134"/>
        <v>2</v>
      </c>
      <c r="F266" s="190" t="s">
        <v>535</v>
      </c>
      <c r="G266" s="198">
        <v>44683</v>
      </c>
      <c r="H266" s="209"/>
      <c r="I266" s="192"/>
      <c r="J266" s="205" t="s">
        <v>402</v>
      </c>
      <c r="K266" s="205" t="s">
        <v>50</v>
      </c>
      <c r="L266" s="205" t="s">
        <v>2717</v>
      </c>
      <c r="M266" s="212" t="s">
        <v>560</v>
      </c>
      <c r="N266" s="212"/>
      <c r="O266" s="236"/>
      <c r="P266" s="236"/>
      <c r="Q266" s="231" t="str">
        <f t="shared" si="135"/>
        <v>. Hood Hinge SET 2</v>
      </c>
      <c r="R266" s="231"/>
      <c r="S266" s="231" t="str">
        <f t="shared" si="123"/>
        <v/>
      </c>
      <c r="T266" s="231" t="str">
        <f>IF(O266&lt;&gt;"",_xlfn.XLOOKUP(O266,'3D. Pictures'!B:B,'3D. Pictures'!E:E,"NOT FOUND",0,1),"")</f>
        <v/>
      </c>
      <c r="U266" s="212"/>
      <c r="V266" s="205"/>
      <c r="W266" s="212"/>
      <c r="X266" s="205"/>
      <c r="Y266" s="205"/>
      <c r="Z266" s="205"/>
      <c r="AA266" s="205" t="s">
        <v>2821</v>
      </c>
      <c r="AB266" s="205" t="s">
        <v>2494</v>
      </c>
      <c r="AC266" s="358" t="str">
        <f t="shared" ref="AC266:AC329" si="136">_xlfn.TEXTJOIN(" | ",TRUE,AD266,AE266)</f>
        <v>SET 2, sell single if 1 bad</v>
      </c>
      <c r="AD266" s="205" t="s">
        <v>2816</v>
      </c>
      <c r="AE266" s="205"/>
      <c r="AF266" s="201" t="s">
        <v>544</v>
      </c>
      <c r="AG266" s="205" t="s">
        <v>440</v>
      </c>
      <c r="AH266" s="16">
        <v>160</v>
      </c>
      <c r="AI266" s="380">
        <f t="shared" si="124"/>
        <v>110</v>
      </c>
      <c r="AJ266" s="204" t="s">
        <v>408</v>
      </c>
      <c r="AK266" s="204" t="s">
        <v>425</v>
      </c>
      <c r="AL266" s="204" t="s">
        <v>2175</v>
      </c>
      <c r="AM266" s="190"/>
      <c r="AN266" s="191">
        <v>118</v>
      </c>
      <c r="AO266" s="190" t="s">
        <v>572</v>
      </c>
      <c r="AP266" s="190">
        <v>999779</v>
      </c>
      <c r="AQ266" s="190" t="str">
        <f>CONCATENATE(AN266,AO266,AP266)</f>
        <v>118-999779</v>
      </c>
      <c r="AR266" s="190" t="s">
        <v>544</v>
      </c>
      <c r="AS266" s="190"/>
      <c r="AT266" s="190"/>
      <c r="AU266" s="190"/>
      <c r="AV266" s="190"/>
      <c r="AW266" s="190"/>
      <c r="AX266" s="279" t="str">
        <f t="shared" si="128"/>
        <v/>
      </c>
    </row>
    <row r="267" spans="1:50" x14ac:dyDescent="0.25">
      <c r="A267" s="190" t="str">
        <f t="shared" si="133"/>
        <v/>
      </c>
      <c r="B267" s="279" t="str">
        <f t="shared" si="132"/>
        <v>118-999779</v>
      </c>
      <c r="C267" s="279"/>
      <c r="D267" s="279"/>
      <c r="E267" s="279">
        <f t="shared" si="134"/>
        <v>2</v>
      </c>
      <c r="F267" s="190" t="s">
        <v>535</v>
      </c>
      <c r="G267" s="198">
        <v>44683</v>
      </c>
      <c r="H267" s="209"/>
      <c r="I267" s="192"/>
      <c r="J267" s="205" t="s">
        <v>402</v>
      </c>
      <c r="K267" s="205" t="s">
        <v>50</v>
      </c>
      <c r="L267" s="205" t="s">
        <v>2717</v>
      </c>
      <c r="M267" s="212" t="s">
        <v>560</v>
      </c>
      <c r="N267" s="212"/>
      <c r="O267" s="236"/>
      <c r="P267" s="236"/>
      <c r="Q267" s="231" t="str">
        <f t="shared" si="135"/>
        <v>. Hood Hinge, LEFT</v>
      </c>
      <c r="R267" s="231"/>
      <c r="S267" s="231" t="str">
        <f t="shared" si="123"/>
        <v/>
      </c>
      <c r="T267" s="231" t="str">
        <f>IF(O267&lt;&gt;"",_xlfn.XLOOKUP(O267,'3D. Pictures'!B:B,'3D. Pictures'!E:E,"NOT FOUND",0,1),"")</f>
        <v/>
      </c>
      <c r="U267" s="212"/>
      <c r="V267" s="205"/>
      <c r="W267" s="212"/>
      <c r="X267" s="205"/>
      <c r="Y267" s="205"/>
      <c r="Z267" s="205"/>
      <c r="AA267" s="205" t="s">
        <v>2821</v>
      </c>
      <c r="AB267" s="205" t="s">
        <v>759</v>
      </c>
      <c r="AC267" s="358" t="str">
        <f t="shared" si="136"/>
        <v/>
      </c>
      <c r="AD267" s="205"/>
      <c r="AE267" s="205"/>
      <c r="AF267" s="201" t="s">
        <v>543</v>
      </c>
      <c r="AG267" s="205"/>
      <c r="AH267" s="16">
        <v>85</v>
      </c>
      <c r="AI267" s="380">
        <f t="shared" si="124"/>
        <v>110</v>
      </c>
      <c r="AJ267" s="204" t="s">
        <v>408</v>
      </c>
      <c r="AK267" s="204" t="s">
        <v>425</v>
      </c>
      <c r="AL267" s="204" t="s">
        <v>2175</v>
      </c>
      <c r="AM267" s="190"/>
      <c r="AN267" s="191">
        <v>118</v>
      </c>
      <c r="AO267" s="190" t="s">
        <v>572</v>
      </c>
      <c r="AP267" s="190">
        <v>999779</v>
      </c>
      <c r="AQ267" s="190" t="str">
        <f>CONCATENATE(AN267,AO267,AP267)</f>
        <v>118-999779</v>
      </c>
      <c r="AR267" s="190" t="s">
        <v>757</v>
      </c>
      <c r="AS267" s="190"/>
      <c r="AT267" s="190"/>
      <c r="AU267" s="190"/>
      <c r="AV267" s="190"/>
      <c r="AW267" s="190"/>
      <c r="AX267" s="279" t="str">
        <f t="shared" si="128"/>
        <v/>
      </c>
    </row>
    <row r="268" spans="1:50" ht="15.75" thickBot="1" x14ac:dyDescent="0.3">
      <c r="A268" s="190" t="str">
        <f t="shared" si="133"/>
        <v/>
      </c>
      <c r="B268" s="279" t="str">
        <f t="shared" si="132"/>
        <v>118-999778</v>
      </c>
      <c r="C268" s="279"/>
      <c r="D268" s="279"/>
      <c r="E268" s="279">
        <f t="shared" si="134"/>
        <v>1</v>
      </c>
      <c r="F268" s="190" t="s">
        <v>535</v>
      </c>
      <c r="G268" s="198">
        <v>44683</v>
      </c>
      <c r="H268" s="209"/>
      <c r="I268" s="192"/>
      <c r="J268" s="205" t="s">
        <v>402</v>
      </c>
      <c r="K268" s="205" t="s">
        <v>50</v>
      </c>
      <c r="L268" s="205" t="s">
        <v>2717</v>
      </c>
      <c r="M268" s="212" t="s">
        <v>560</v>
      </c>
      <c r="N268" s="212"/>
      <c r="O268" s="236"/>
      <c r="P268" s="236"/>
      <c r="Q268" s="231" t="str">
        <f t="shared" si="135"/>
        <v>. Hood Hinge, RIGHT</v>
      </c>
      <c r="R268" s="231"/>
      <c r="S268" s="231" t="str">
        <f t="shared" ref="S268:S331" si="137">IF(T268&lt;&gt;"",HYPERLINK(T268,"E.G."),"")</f>
        <v/>
      </c>
      <c r="T268" s="231" t="str">
        <f>IF(O268&lt;&gt;"",_xlfn.XLOOKUP(O268,'3D. Pictures'!B:B,'3D. Pictures'!E:E,"NOT FOUND",0,1),"")</f>
        <v/>
      </c>
      <c r="U268" s="212"/>
      <c r="V268" s="205"/>
      <c r="W268" s="212"/>
      <c r="X268" s="205"/>
      <c r="Y268" s="205"/>
      <c r="Z268" s="205"/>
      <c r="AA268" s="205" t="s">
        <v>2821</v>
      </c>
      <c r="AB268" s="205" t="s">
        <v>760</v>
      </c>
      <c r="AC268" s="358" t="str">
        <f t="shared" si="136"/>
        <v/>
      </c>
      <c r="AD268" s="205"/>
      <c r="AE268" s="205"/>
      <c r="AF268" s="201" t="s">
        <v>543</v>
      </c>
      <c r="AG268" s="205"/>
      <c r="AH268" s="16">
        <v>85</v>
      </c>
      <c r="AI268" s="380">
        <f t="shared" si="124"/>
        <v>110</v>
      </c>
      <c r="AJ268" s="204" t="s">
        <v>408</v>
      </c>
      <c r="AK268" s="204" t="s">
        <v>425</v>
      </c>
      <c r="AL268" s="204" t="s">
        <v>2175</v>
      </c>
      <c r="AM268" s="190"/>
      <c r="AN268" s="191">
        <v>118</v>
      </c>
      <c r="AO268" s="190" t="s">
        <v>572</v>
      </c>
      <c r="AP268" s="190">
        <v>999778</v>
      </c>
      <c r="AQ268" s="190" t="str">
        <f>CONCATENATE(AN268,AO268,AP268)</f>
        <v>118-999778</v>
      </c>
      <c r="AR268" s="190" t="s">
        <v>758</v>
      </c>
      <c r="AS268" s="190"/>
      <c r="AT268" s="190"/>
      <c r="AU268" s="190"/>
      <c r="AV268" s="190"/>
      <c r="AW268" s="190"/>
      <c r="AX268" s="279" t="str">
        <f t="shared" si="128"/>
        <v/>
      </c>
    </row>
    <row r="269" spans="1:50" ht="15.75" thickBot="1" x14ac:dyDescent="0.3">
      <c r="A269" s="190" t="str">
        <f t="shared" si="133"/>
        <v>A35</v>
      </c>
      <c r="B269" s="279" t="str">
        <f t="shared" si="132"/>
        <v/>
      </c>
      <c r="C269" s="279"/>
      <c r="D269" s="279"/>
      <c r="E269" s="279" t="str">
        <f t="shared" si="134"/>
        <v/>
      </c>
      <c r="F269" s="241" t="s">
        <v>535</v>
      </c>
      <c r="G269" s="242">
        <v>44683</v>
      </c>
      <c r="H269" s="264"/>
      <c r="I269" s="196"/>
      <c r="J269" s="243" t="s">
        <v>402</v>
      </c>
      <c r="K269" s="243" t="s">
        <v>50</v>
      </c>
      <c r="L269" s="243" t="s">
        <v>2717</v>
      </c>
      <c r="M269" s="243" t="s">
        <v>559</v>
      </c>
      <c r="N269" s="243">
        <v>25</v>
      </c>
      <c r="O269" s="244" t="s">
        <v>937</v>
      </c>
      <c r="P269" s="244" t="s">
        <v>1168</v>
      </c>
      <c r="Q269" s="231" t="str">
        <f t="shared" si="135"/>
        <v>A35. Hood Latches SET 2 WITH Cables</v>
      </c>
      <c r="R269" s="284" t="str">
        <f>HYPERLINK(VLOOKUP(O269,'3D. Pictures'!$B$3:$E$500,4,FALSE),"PIC")</f>
        <v>PIC</v>
      </c>
      <c r="S269" s="373" t="str">
        <f t="shared" si="137"/>
        <v>E.G.</v>
      </c>
      <c r="T269" s="377" t="str">
        <f>IF(O269&lt;&gt;"",_xlfn.XLOOKUP(O269,'3D. Pictures'!B:B,'3D. Pictures'!E:E,"NOT FOUND",0,1),"")</f>
        <v>https://viking-pictures.s3.us-west-1.amazonaws.com/AA1155/A35.+Hood+Latches+SET+2+WITH+Cables+(1).JPG</v>
      </c>
      <c r="U269" s="243">
        <v>5</v>
      </c>
      <c r="V269" s="243">
        <v>7367535</v>
      </c>
      <c r="W269" s="243" t="s">
        <v>112</v>
      </c>
      <c r="X269" s="243"/>
      <c r="Y269" s="205"/>
      <c r="Z269" s="243"/>
      <c r="AA269" s="243" t="s">
        <v>2822</v>
      </c>
      <c r="AB269" s="243" t="s">
        <v>1370</v>
      </c>
      <c r="AC269" s="358" t="str">
        <f t="shared" si="136"/>
        <v>SET 2 w/ cables, sell hood latches SET 2 if cables bad</v>
      </c>
      <c r="AD269" s="243" t="s">
        <v>2823</v>
      </c>
      <c r="AE269" s="243"/>
      <c r="AF269" s="179" t="s">
        <v>1188</v>
      </c>
      <c r="AG269" s="243"/>
      <c r="AH269" s="16">
        <v>74</v>
      </c>
      <c r="AI269" s="380">
        <f t="shared" ref="AI269:AI332" si="138">IF(ISTEXT(AH269), AH269, IFERROR(AVERAGEIF(AA:AA, AA269, AH:AH), ""))</f>
        <v>67</v>
      </c>
      <c r="AJ269" s="246" t="s">
        <v>408</v>
      </c>
      <c r="AK269" s="246" t="s">
        <v>425</v>
      </c>
      <c r="AL269" s="246" t="s">
        <v>2175</v>
      </c>
      <c r="AN269" s="241"/>
      <c r="AO269" s="241"/>
      <c r="AP269" s="241"/>
      <c r="AQ269" s="241"/>
      <c r="AR269" s="241"/>
      <c r="AS269" s="241" t="s">
        <v>1028</v>
      </c>
      <c r="AT269" s="241" t="s">
        <v>1029</v>
      </c>
      <c r="AU269" s="241" t="s">
        <v>1030</v>
      </c>
      <c r="AV269" s="303" t="str">
        <f t="shared" ref="AV269:AV271" si="139">CONCATENATE(AS269,"-",AT269,"-",AU269)</f>
        <v>F15-14-18-ALL</v>
      </c>
      <c r="AW269" s="241" t="s">
        <v>2387</v>
      </c>
      <c r="AX269" s="279" t="str">
        <f t="shared" si="128"/>
        <v>F15-14-18-ALL-Viking21</v>
      </c>
    </row>
    <row r="270" spans="1:50" ht="15.75" thickBot="1" x14ac:dyDescent="0.3">
      <c r="A270" s="190" t="str">
        <f t="shared" si="133"/>
        <v/>
      </c>
      <c r="B270" s="279" t="str">
        <f t="shared" si="132"/>
        <v/>
      </c>
      <c r="C270" s="279"/>
      <c r="D270" s="279"/>
      <c r="E270" s="279" t="str">
        <f t="shared" si="134"/>
        <v/>
      </c>
      <c r="F270" t="s">
        <v>535</v>
      </c>
      <c r="G270" s="188">
        <v>44683</v>
      </c>
      <c r="H270" s="158"/>
      <c r="I270" s="164"/>
      <c r="J270" s="16" t="s">
        <v>402</v>
      </c>
      <c r="K270" s="16" t="s">
        <v>50</v>
      </c>
      <c r="L270" s="16" t="s">
        <v>2717</v>
      </c>
      <c r="M270" s="16" t="s">
        <v>559</v>
      </c>
      <c r="N270" s="16"/>
      <c r="O270" s="166"/>
      <c r="P270" s="166"/>
      <c r="Q270" s="231" t="str">
        <f t="shared" si="135"/>
        <v>. Hood Latches SET 2 WITHOUT Cables</v>
      </c>
      <c r="R270" s="231"/>
      <c r="S270" s="231" t="str">
        <f t="shared" si="137"/>
        <v/>
      </c>
      <c r="T270" s="231" t="str">
        <f>IF(O270&lt;&gt;"",_xlfn.XLOOKUP(O270,'3D. Pictures'!B:B,'3D. Pictures'!E:E,"NOT FOUND",0,1),"")</f>
        <v/>
      </c>
      <c r="U270" s="16"/>
      <c r="V270" s="16"/>
      <c r="W270" s="16"/>
      <c r="X270" s="16"/>
      <c r="Y270" s="205"/>
      <c r="Z270" s="16"/>
      <c r="AA270" s="16" t="s">
        <v>2822</v>
      </c>
      <c r="AB270" s="16" t="s">
        <v>2495</v>
      </c>
      <c r="AC270" s="358" t="str">
        <f t="shared" si="136"/>
        <v>SET 2</v>
      </c>
      <c r="AD270" s="16" t="s">
        <v>2824</v>
      </c>
      <c r="AE270" s="16"/>
      <c r="AF270" s="168" t="s">
        <v>544</v>
      </c>
      <c r="AG270" s="16"/>
      <c r="AH270" s="16">
        <v>60</v>
      </c>
      <c r="AI270" s="380">
        <f t="shared" si="138"/>
        <v>67</v>
      </c>
      <c r="AJ270" s="3" t="s">
        <v>408</v>
      </c>
      <c r="AK270" s="3" t="s">
        <v>425</v>
      </c>
      <c r="AL270" s="3" t="s">
        <v>2175</v>
      </c>
      <c r="AN270"/>
      <c r="AS270" s="241" t="s">
        <v>1028</v>
      </c>
      <c r="AT270" s="241" t="s">
        <v>1029</v>
      </c>
      <c r="AU270" s="241" t="s">
        <v>1030</v>
      </c>
      <c r="AV270" s="303" t="str">
        <f t="shared" si="139"/>
        <v>F15-14-18-ALL</v>
      </c>
      <c r="AW270" s="241" t="s">
        <v>2388</v>
      </c>
      <c r="AX270" s="279" t="str">
        <f t="shared" si="128"/>
        <v>F15-14-18-ALL-Viking22</v>
      </c>
    </row>
    <row r="271" spans="1:50" ht="15.75" thickBot="1" x14ac:dyDescent="0.3">
      <c r="A271" s="190" t="str">
        <f t="shared" si="133"/>
        <v>A33</v>
      </c>
      <c r="B271" s="279" t="str">
        <f t="shared" si="132"/>
        <v/>
      </c>
      <c r="C271" s="279"/>
      <c r="D271" s="279"/>
      <c r="E271" s="279" t="str">
        <f t="shared" si="134"/>
        <v/>
      </c>
      <c r="F271" s="241" t="s">
        <v>536</v>
      </c>
      <c r="G271" s="242">
        <v>44811</v>
      </c>
      <c r="H271" s="264"/>
      <c r="I271" s="196"/>
      <c r="J271" s="243" t="s">
        <v>402</v>
      </c>
      <c r="K271" s="243" t="s">
        <v>50</v>
      </c>
      <c r="L271" s="243" t="s">
        <v>2717</v>
      </c>
      <c r="M271" s="243" t="s">
        <v>559</v>
      </c>
      <c r="N271" s="243">
        <v>23</v>
      </c>
      <c r="O271" s="244" t="s">
        <v>935</v>
      </c>
      <c r="P271" s="244" t="s">
        <v>1168</v>
      </c>
      <c r="Q271" s="231" t="str">
        <f t="shared" si="135"/>
        <v>A33. Hood Upper Release Lever &amp; Cable &amp; Strikers as SET</v>
      </c>
      <c r="R271" s="284" t="str">
        <f>HYPERLINK(VLOOKUP(O271,'3D. Pictures'!$B$3:$E$500,4,FALSE),"PIC")</f>
        <v>PIC</v>
      </c>
      <c r="S271" s="373" t="str">
        <f t="shared" si="137"/>
        <v>E.G.</v>
      </c>
      <c r="T271" s="377" t="str">
        <f>IF(O271&lt;&gt;"",_xlfn.XLOOKUP(O271,'3D. Pictures'!B:B,'3D. Pictures'!E:E,"NOT FOUND",0,1),"")</f>
        <v>https://viking-pictures.s3.us-west-1.amazonaws.com/AA1155/A33.+Hood+Upper+Release+Lever+%26+Cable+%26+Strikers+as+SET+(1).JPG</v>
      </c>
      <c r="U271" s="243">
        <v>9</v>
      </c>
      <c r="V271" s="243" t="s">
        <v>1186</v>
      </c>
      <c r="W271" s="243" t="s">
        <v>112</v>
      </c>
      <c r="X271" s="243"/>
      <c r="Y271" s="205"/>
      <c r="Z271" s="243"/>
      <c r="AA271" s="243" t="s">
        <v>1185</v>
      </c>
      <c r="AB271" s="243" t="s">
        <v>1185</v>
      </c>
      <c r="AC271" s="358" t="str">
        <f t="shared" si="136"/>
        <v>if 1 bad toss all</v>
      </c>
      <c r="AD271" s="243" t="s">
        <v>1163</v>
      </c>
      <c r="AE271" s="243"/>
      <c r="AF271" s="179" t="s">
        <v>542</v>
      </c>
      <c r="AG271" s="243"/>
      <c r="AH271" s="16">
        <v>94</v>
      </c>
      <c r="AI271" s="380">
        <f t="shared" si="138"/>
        <v>94</v>
      </c>
      <c r="AJ271" s="246" t="s">
        <v>408</v>
      </c>
      <c r="AK271" s="246" t="s">
        <v>425</v>
      </c>
      <c r="AL271" s="246" t="s">
        <v>2175</v>
      </c>
      <c r="AM271" s="241"/>
      <c r="AN271" s="241"/>
      <c r="AO271" s="241"/>
      <c r="AP271" s="241"/>
      <c r="AQ271" s="241"/>
      <c r="AR271" s="241"/>
      <c r="AS271" s="241" t="s">
        <v>1028</v>
      </c>
      <c r="AT271" s="241" t="s">
        <v>1029</v>
      </c>
      <c r="AU271" s="241" t="s">
        <v>1030</v>
      </c>
      <c r="AV271" s="303" t="str">
        <f t="shared" si="139"/>
        <v>F15-14-18-ALL</v>
      </c>
      <c r="AW271" s="241" t="s">
        <v>2389</v>
      </c>
      <c r="AX271" s="279" t="str">
        <f t="shared" si="128"/>
        <v>F15-14-18-ALL-Viking23</v>
      </c>
    </row>
    <row r="272" spans="1:50" x14ac:dyDescent="0.25">
      <c r="A272" s="190" t="str">
        <f t="shared" si="133"/>
        <v/>
      </c>
      <c r="B272" s="279" t="str">
        <f t="shared" si="132"/>
        <v/>
      </c>
      <c r="C272" s="279"/>
      <c r="D272" s="279"/>
      <c r="E272" s="279" t="str">
        <f t="shared" si="134"/>
        <v/>
      </c>
      <c r="F272" t="s">
        <v>535</v>
      </c>
      <c r="G272" s="188">
        <v>44684</v>
      </c>
      <c r="H272" s="10"/>
      <c r="I272" s="174"/>
      <c r="J272" s="10" t="s">
        <v>405</v>
      </c>
      <c r="K272" s="10" t="s">
        <v>50</v>
      </c>
      <c r="L272" s="10" t="s">
        <v>2717</v>
      </c>
      <c r="M272" s="16" t="s">
        <v>559</v>
      </c>
      <c r="N272" s="16"/>
      <c r="O272" s="166"/>
      <c r="P272" s="166"/>
      <c r="Q272" s="231" t="str">
        <f t="shared" si="135"/>
        <v>. Hood Emblem</v>
      </c>
      <c r="R272" s="231"/>
      <c r="S272" s="231" t="str">
        <f t="shared" si="137"/>
        <v/>
      </c>
      <c r="T272" s="231" t="str">
        <f>IF(O272&lt;&gt;"",_xlfn.XLOOKUP(O272,'3D. Pictures'!B:B,'3D. Pictures'!E:E,"NOT FOUND",0,1),"")</f>
        <v/>
      </c>
      <c r="U272" s="16"/>
      <c r="V272" s="16"/>
      <c r="W272" s="16"/>
      <c r="X272" s="16"/>
      <c r="Y272" s="243"/>
      <c r="Z272" s="16"/>
      <c r="AA272" s="10" t="s">
        <v>452</v>
      </c>
      <c r="AB272" s="10" t="s">
        <v>452</v>
      </c>
      <c r="AC272" s="359" t="str">
        <f t="shared" si="136"/>
        <v/>
      </c>
      <c r="AD272" s="10"/>
      <c r="AE272" s="10"/>
      <c r="AF272" s="168" t="s">
        <v>543</v>
      </c>
      <c r="AG272" s="10"/>
      <c r="AH272" s="10"/>
      <c r="AI272" s="380" t="str">
        <f t="shared" si="138"/>
        <v/>
      </c>
      <c r="AJ272" s="3" t="s">
        <v>408</v>
      </c>
      <c r="AK272" s="3" t="s">
        <v>425</v>
      </c>
      <c r="AL272" s="3" t="s">
        <v>2175</v>
      </c>
      <c r="AN272"/>
      <c r="AX272" s="279" t="str">
        <f t="shared" si="128"/>
        <v/>
      </c>
    </row>
    <row r="273" spans="1:50" x14ac:dyDescent="0.25">
      <c r="A273" s="190" t="str">
        <f t="shared" si="133"/>
        <v/>
      </c>
      <c r="B273" s="279" t="str">
        <f t="shared" si="132"/>
        <v/>
      </c>
      <c r="C273" s="279"/>
      <c r="D273" s="279"/>
      <c r="E273" s="279" t="str">
        <f t="shared" si="134"/>
        <v/>
      </c>
      <c r="F273" t="s">
        <v>535</v>
      </c>
      <c r="G273" s="188">
        <v>44683</v>
      </c>
      <c r="H273" s="159"/>
      <c r="I273" s="174"/>
      <c r="J273" s="10" t="s">
        <v>405</v>
      </c>
      <c r="K273" s="10" t="s">
        <v>50</v>
      </c>
      <c r="L273" s="10" t="s">
        <v>2717</v>
      </c>
      <c r="M273" s="16" t="s">
        <v>559</v>
      </c>
      <c r="N273" s="16"/>
      <c r="O273" s="166"/>
      <c r="P273" s="166"/>
      <c r="Q273" s="231" t="str">
        <f t="shared" si="135"/>
        <v>. Hood Shocks</v>
      </c>
      <c r="R273" s="231"/>
      <c r="S273" s="231" t="str">
        <f t="shared" si="137"/>
        <v/>
      </c>
      <c r="T273" s="231" t="str">
        <f>IF(O273&lt;&gt;"",_xlfn.XLOOKUP(O273,'3D. Pictures'!B:B,'3D. Pictures'!E:E,"NOT FOUND",0,1),"")</f>
        <v/>
      </c>
      <c r="U273" s="16"/>
      <c r="V273" s="16"/>
      <c r="W273" s="16"/>
      <c r="X273" s="16"/>
      <c r="Y273" s="243"/>
      <c r="Z273" s="16"/>
      <c r="AA273" s="10" t="s">
        <v>2562</v>
      </c>
      <c r="AB273" s="10" t="s">
        <v>2562</v>
      </c>
      <c r="AC273" s="359" t="str">
        <f t="shared" si="136"/>
        <v>TOSS BOTH</v>
      </c>
      <c r="AD273" s="10" t="s">
        <v>2544</v>
      </c>
      <c r="AE273" s="10"/>
      <c r="AF273" s="168" t="s">
        <v>543</v>
      </c>
      <c r="AG273" s="10"/>
      <c r="AH273" s="10"/>
      <c r="AI273" s="380" t="str">
        <f t="shared" si="138"/>
        <v/>
      </c>
      <c r="AJ273" s="3" t="s">
        <v>408</v>
      </c>
      <c r="AK273" s="3" t="s">
        <v>425</v>
      </c>
      <c r="AL273" s="3" t="s">
        <v>2175</v>
      </c>
      <c r="AN273"/>
      <c r="AX273" s="279" t="str">
        <f t="shared" si="128"/>
        <v/>
      </c>
    </row>
    <row r="274" spans="1:50" x14ac:dyDescent="0.25">
      <c r="A274" s="190" t="str">
        <f t="shared" si="133"/>
        <v/>
      </c>
      <c r="B274" s="279" t="str">
        <f t="shared" si="132"/>
        <v/>
      </c>
      <c r="C274" s="279"/>
      <c r="D274" s="279"/>
      <c r="E274" s="279" t="str">
        <f t="shared" si="134"/>
        <v/>
      </c>
      <c r="F274" t="s">
        <v>535</v>
      </c>
      <c r="G274" s="188">
        <v>44670</v>
      </c>
      <c r="H274" s="159"/>
      <c r="I274" s="174"/>
      <c r="J274" s="10" t="s">
        <v>405</v>
      </c>
      <c r="K274" s="10" t="s">
        <v>50</v>
      </c>
      <c r="L274" s="10" t="s">
        <v>2563</v>
      </c>
      <c r="M274" s="164" t="s">
        <v>558</v>
      </c>
      <c r="N274" s="164"/>
      <c r="O274" s="234"/>
      <c r="P274" s="234"/>
      <c r="Q274" s="231" t="str">
        <f t="shared" si="135"/>
        <v>. Hood, Assembly</v>
      </c>
      <c r="R274" s="231"/>
      <c r="S274" s="231" t="str">
        <f t="shared" si="137"/>
        <v/>
      </c>
      <c r="T274" s="231" t="str">
        <f>IF(O274&lt;&gt;"",_xlfn.XLOOKUP(O274,'3D. Pictures'!B:B,'3D. Pictures'!E:E,"NOT FOUND",0,1),"")</f>
        <v/>
      </c>
      <c r="U274" s="164"/>
      <c r="V274" s="16"/>
      <c r="W274" s="164"/>
      <c r="X274" s="16"/>
      <c r="Y274" s="243"/>
      <c r="Z274" s="16"/>
      <c r="AA274" s="10" t="s">
        <v>2563</v>
      </c>
      <c r="AB274" s="10" t="s">
        <v>2563</v>
      </c>
      <c r="AC274" s="359" t="str">
        <f t="shared" si="136"/>
        <v>Part out then toss</v>
      </c>
      <c r="AD274" s="10"/>
      <c r="AE274" s="10" t="s">
        <v>2564</v>
      </c>
      <c r="AF274" s="168" t="s">
        <v>543</v>
      </c>
      <c r="AG274" s="10"/>
      <c r="AH274" s="10"/>
      <c r="AI274" s="380" t="str">
        <f t="shared" si="138"/>
        <v/>
      </c>
      <c r="AJ274" s="3" t="s">
        <v>408</v>
      </c>
      <c r="AK274" s="3" t="s">
        <v>425</v>
      </c>
      <c r="AL274" s="3" t="s">
        <v>2175</v>
      </c>
      <c r="AN274"/>
      <c r="AX274" s="279" t="str">
        <f t="shared" si="128"/>
        <v/>
      </c>
    </row>
    <row r="275" spans="1:50" ht="15.75" thickBot="1" x14ac:dyDescent="0.3">
      <c r="A275" s="190" t="str">
        <f t="shared" si="133"/>
        <v/>
      </c>
      <c r="B275" s="279" t="str">
        <f t="shared" si="132"/>
        <v>655-72539</v>
      </c>
      <c r="C275" s="279"/>
      <c r="D275" s="279"/>
      <c r="E275" s="279">
        <f t="shared" si="134"/>
        <v>1</v>
      </c>
      <c r="F275" s="190" t="s">
        <v>535</v>
      </c>
      <c r="G275" s="198">
        <v>44684</v>
      </c>
      <c r="H275" s="205"/>
      <c r="I275" s="205"/>
      <c r="J275" s="205" t="s">
        <v>402</v>
      </c>
      <c r="K275" s="205" t="s">
        <v>1059</v>
      </c>
      <c r="L275" s="205" t="s">
        <v>2719</v>
      </c>
      <c r="M275" s="192" t="s">
        <v>558</v>
      </c>
      <c r="N275" s="192"/>
      <c r="O275" s="229"/>
      <c r="P275" s="229"/>
      <c r="Q275" s="231" t="str">
        <f t="shared" si="135"/>
        <v>. Climate Control Panel, Radio Control Panel, and Trim - FRONT</v>
      </c>
      <c r="R275" s="231"/>
      <c r="S275" s="231" t="str">
        <f t="shared" si="137"/>
        <v/>
      </c>
      <c r="T275" s="231" t="str">
        <f>IF(O275&lt;&gt;"",_xlfn.XLOOKUP(O275,'3D. Pictures'!B:B,'3D. Pictures'!E:E,"NOT FOUND",0,1),"")</f>
        <v/>
      </c>
      <c r="U275" s="192"/>
      <c r="V275" s="205"/>
      <c r="W275" s="192"/>
      <c r="X275" s="205"/>
      <c r="Y275" s="205"/>
      <c r="Z275" s="205"/>
      <c r="AA275" s="205" t="s">
        <v>2830</v>
      </c>
      <c r="AB275" s="205" t="s">
        <v>2830</v>
      </c>
      <c r="AC275" s="358" t="str">
        <f t="shared" si="136"/>
        <v>keep together unless 1 bad</v>
      </c>
      <c r="AD275" s="205" t="s">
        <v>1363</v>
      </c>
      <c r="AE275" s="205"/>
      <c r="AF275" s="201" t="s">
        <v>543</v>
      </c>
      <c r="AG275" s="205"/>
      <c r="AH275" s="16">
        <v>295</v>
      </c>
      <c r="AI275" s="380">
        <f t="shared" si="138"/>
        <v>295</v>
      </c>
      <c r="AJ275" s="204" t="s">
        <v>408</v>
      </c>
      <c r="AK275" s="204" t="s">
        <v>425</v>
      </c>
      <c r="AL275" s="204" t="s">
        <v>2175</v>
      </c>
      <c r="AM275" s="190"/>
      <c r="AN275" s="191" t="s">
        <v>624</v>
      </c>
      <c r="AO275" s="190" t="s">
        <v>572</v>
      </c>
      <c r="AP275" s="190">
        <v>72539</v>
      </c>
      <c r="AQ275" s="190" t="str">
        <f t="shared" ref="AQ275:AQ286" si="140">CONCATENATE(AN275,AO275,AP275)</f>
        <v>655-72539</v>
      </c>
      <c r="AR275" s="190" t="s">
        <v>683</v>
      </c>
      <c r="AS275" s="190"/>
      <c r="AT275" s="190"/>
      <c r="AU275" s="190"/>
      <c r="AV275" s="190"/>
      <c r="AW275" s="190"/>
      <c r="AX275" s="279" t="str">
        <f t="shared" si="128"/>
        <v/>
      </c>
    </row>
    <row r="276" spans="1:50" ht="15.75" thickBot="1" x14ac:dyDescent="0.3">
      <c r="A276" s="190" t="str">
        <f t="shared" si="133"/>
        <v>A121</v>
      </c>
      <c r="B276" s="279" t="str">
        <f t="shared" si="132"/>
        <v>655-72540</v>
      </c>
      <c r="C276" s="279"/>
      <c r="D276" s="279"/>
      <c r="E276" s="279">
        <f t="shared" si="134"/>
        <v>1</v>
      </c>
      <c r="F276" s="190" t="s">
        <v>535</v>
      </c>
      <c r="G276" s="198">
        <v>44684</v>
      </c>
      <c r="H276" s="205"/>
      <c r="I276" s="205"/>
      <c r="J276" s="205" t="s">
        <v>402</v>
      </c>
      <c r="K276" s="205" t="s">
        <v>1059</v>
      </c>
      <c r="L276" s="205" t="s">
        <v>2719</v>
      </c>
      <c r="M276" s="192" t="s">
        <v>558</v>
      </c>
      <c r="N276" s="192">
        <v>111</v>
      </c>
      <c r="O276" s="229" t="s">
        <v>1023</v>
      </c>
      <c r="P276" s="229" t="s">
        <v>1307</v>
      </c>
      <c r="Q276" s="231" t="str">
        <f t="shared" si="135"/>
        <v>A121. Climate Control Panel, Radio Control Panel, and Trim - FRONT</v>
      </c>
      <c r="R276" s="284" t="str">
        <f>HYPERLINK(VLOOKUP(O276,'3D. Pictures'!$B$3:$E$500,4,FALSE),"PIC")</f>
        <v>PIC</v>
      </c>
      <c r="S276" s="373" t="str">
        <f t="shared" si="137"/>
        <v>E.G.</v>
      </c>
      <c r="T276" s="377" t="str">
        <f>IF(O276&lt;&gt;"",_xlfn.XLOOKUP(O276,'3D. Pictures'!B:B,'3D. Pictures'!E:E,"NOT FOUND",0,1),"")</f>
        <v>https://viking-pictures.s3.us-west-1.amazonaws.com/AA1155/A121.+Climate+Control+Panel%2C+Radio+Control+Panel%2C+and+Trim+-+FRONT+(1).JPG</v>
      </c>
      <c r="U276" s="192">
        <v>8</v>
      </c>
      <c r="V276" s="205" t="s">
        <v>1365</v>
      </c>
      <c r="W276" s="192" t="s">
        <v>112</v>
      </c>
      <c r="X276" s="205" t="s">
        <v>2466</v>
      </c>
      <c r="Y276" s="205"/>
      <c r="Z276" s="205"/>
      <c r="AA276" s="205" t="s">
        <v>2830</v>
      </c>
      <c r="AB276" s="205" t="s">
        <v>2830</v>
      </c>
      <c r="AC276" s="358" t="str">
        <f t="shared" si="136"/>
        <v>keep together unless 1 bad</v>
      </c>
      <c r="AD276" s="205" t="s">
        <v>1363</v>
      </c>
      <c r="AE276" s="205"/>
      <c r="AF276" s="201" t="s">
        <v>543</v>
      </c>
      <c r="AG276" s="205"/>
      <c r="AH276" s="16">
        <v>295</v>
      </c>
      <c r="AI276" s="380">
        <f t="shared" si="138"/>
        <v>295</v>
      </c>
      <c r="AJ276" s="204" t="s">
        <v>408</v>
      </c>
      <c r="AK276" s="204" t="s">
        <v>425</v>
      </c>
      <c r="AL276" s="204" t="s">
        <v>2175</v>
      </c>
      <c r="AM276" s="190"/>
      <c r="AN276" s="191" t="s">
        <v>624</v>
      </c>
      <c r="AO276" s="190" t="s">
        <v>572</v>
      </c>
      <c r="AP276" s="190">
        <v>72540</v>
      </c>
      <c r="AQ276" s="190" t="str">
        <f>CONCATENATE(AN276,AO276,AP276)</f>
        <v>655-72540</v>
      </c>
      <c r="AR276" s="190" t="s">
        <v>1364</v>
      </c>
      <c r="AS276" s="190"/>
      <c r="AT276" s="190"/>
      <c r="AU276" s="190"/>
      <c r="AV276" s="190"/>
      <c r="AW276" s="190"/>
      <c r="AX276" s="279" t="str">
        <f t="shared" si="128"/>
        <v/>
      </c>
    </row>
    <row r="277" spans="1:50" x14ac:dyDescent="0.25">
      <c r="A277" s="190" t="str">
        <f t="shared" si="133"/>
        <v/>
      </c>
      <c r="B277" s="279" t="str">
        <f t="shared" si="132"/>
        <v>655-72541</v>
      </c>
      <c r="C277" s="279"/>
      <c r="D277" s="279"/>
      <c r="E277" s="279">
        <f t="shared" si="134"/>
        <v>1</v>
      </c>
      <c r="F277" s="190" t="s">
        <v>535</v>
      </c>
      <c r="G277" s="198">
        <v>44684</v>
      </c>
      <c r="H277" s="205"/>
      <c r="I277" s="205"/>
      <c r="J277" s="205" t="s">
        <v>402</v>
      </c>
      <c r="K277" s="205" t="s">
        <v>1059</v>
      </c>
      <c r="L277" s="205" t="s">
        <v>2719</v>
      </c>
      <c r="M277" s="192" t="s">
        <v>558</v>
      </c>
      <c r="N277" s="192"/>
      <c r="O277" s="229"/>
      <c r="P277" s="229"/>
      <c r="Q277" s="231" t="str">
        <f t="shared" si="135"/>
        <v>. Climate Control Panel, Radio Control Panel, and Trim - FRONT</v>
      </c>
      <c r="R277" s="231"/>
      <c r="S277" s="231" t="str">
        <f t="shared" si="137"/>
        <v/>
      </c>
      <c r="T277" s="231" t="str">
        <f>IF(O277&lt;&gt;"",_xlfn.XLOOKUP(O277,'3D. Pictures'!B:B,'3D. Pictures'!E:E,"NOT FOUND",0,1),"")</f>
        <v/>
      </c>
      <c r="U277" s="192"/>
      <c r="V277" s="205"/>
      <c r="W277" s="192"/>
      <c r="X277" s="205"/>
      <c r="Y277" s="205"/>
      <c r="Z277" s="205"/>
      <c r="AA277" s="205" t="s">
        <v>2830</v>
      </c>
      <c r="AB277" s="205" t="s">
        <v>2830</v>
      </c>
      <c r="AC277" s="358" t="str">
        <f t="shared" si="136"/>
        <v>keep together unless 1 bad</v>
      </c>
      <c r="AD277" s="205" t="s">
        <v>1363</v>
      </c>
      <c r="AE277" s="205"/>
      <c r="AF277" s="201" t="s">
        <v>543</v>
      </c>
      <c r="AG277" s="205"/>
      <c r="AH277" s="16">
        <v>295</v>
      </c>
      <c r="AI277" s="380">
        <f t="shared" si="138"/>
        <v>295</v>
      </c>
      <c r="AJ277" s="204" t="s">
        <v>408</v>
      </c>
      <c r="AK277" s="204" t="s">
        <v>425</v>
      </c>
      <c r="AL277" s="204" t="s">
        <v>2175</v>
      </c>
      <c r="AM277" s="190"/>
      <c r="AN277" s="191" t="s">
        <v>624</v>
      </c>
      <c r="AO277" s="190" t="s">
        <v>572</v>
      </c>
      <c r="AP277" s="190">
        <v>72541</v>
      </c>
      <c r="AQ277" s="190" t="str">
        <f>CONCATENATE(AN277,AO277,AP277)</f>
        <v>655-72541</v>
      </c>
      <c r="AR277" s="190" t="s">
        <v>681</v>
      </c>
      <c r="AS277" s="190"/>
      <c r="AT277" s="190"/>
      <c r="AU277" s="190"/>
      <c r="AV277" s="190"/>
      <c r="AW277" s="190"/>
      <c r="AX277" s="279" t="str">
        <f t="shared" si="128"/>
        <v/>
      </c>
    </row>
    <row r="278" spans="1:50" x14ac:dyDescent="0.25">
      <c r="A278" s="190" t="str">
        <f t="shared" si="133"/>
        <v/>
      </c>
      <c r="B278" s="279" t="str">
        <f t="shared" si="132"/>
        <v>655-72546</v>
      </c>
      <c r="C278" s="279"/>
      <c r="D278" s="279"/>
      <c r="E278" s="279">
        <f t="shared" si="134"/>
        <v>1</v>
      </c>
      <c r="F278" s="190" t="s">
        <v>535</v>
      </c>
      <c r="G278" s="198">
        <v>44684</v>
      </c>
      <c r="H278" s="205"/>
      <c r="I278" s="205"/>
      <c r="J278" s="205" t="s">
        <v>402</v>
      </c>
      <c r="K278" s="205" t="s">
        <v>1059</v>
      </c>
      <c r="L278" s="205" t="s">
        <v>2719</v>
      </c>
      <c r="M278" s="192" t="s">
        <v>558</v>
      </c>
      <c r="N278" s="192"/>
      <c r="O278" s="229"/>
      <c r="P278" s="229"/>
      <c r="Q278" s="231" t="str">
        <f t="shared" si="135"/>
        <v>. Climate Control Panel, Radio Control Panel, and Trim - FRONT</v>
      </c>
      <c r="R278" s="231"/>
      <c r="S278" s="231" t="str">
        <f t="shared" si="137"/>
        <v/>
      </c>
      <c r="T278" s="231" t="str">
        <f>IF(O278&lt;&gt;"",_xlfn.XLOOKUP(O278,'3D. Pictures'!B:B,'3D. Pictures'!E:E,"NOT FOUND",0,1),"")</f>
        <v/>
      </c>
      <c r="U278" s="192"/>
      <c r="V278" s="205"/>
      <c r="W278" s="192"/>
      <c r="X278" s="205"/>
      <c r="Y278" s="205"/>
      <c r="Z278" s="205"/>
      <c r="AA278" s="205" t="s">
        <v>2830</v>
      </c>
      <c r="AB278" s="205" t="s">
        <v>2830</v>
      </c>
      <c r="AC278" s="358" t="str">
        <f t="shared" si="136"/>
        <v>keep together unless 1 bad</v>
      </c>
      <c r="AD278" s="205" t="s">
        <v>1363</v>
      </c>
      <c r="AE278" s="205"/>
      <c r="AF278" s="201" t="s">
        <v>543</v>
      </c>
      <c r="AG278" s="205"/>
      <c r="AH278" s="16">
        <v>295</v>
      </c>
      <c r="AI278" s="380">
        <f t="shared" si="138"/>
        <v>295</v>
      </c>
      <c r="AJ278" s="204" t="s">
        <v>408</v>
      </c>
      <c r="AK278" s="204" t="s">
        <v>425</v>
      </c>
      <c r="AL278" s="204" t="s">
        <v>2175</v>
      </c>
      <c r="AM278" s="190"/>
      <c r="AN278" s="191" t="s">
        <v>624</v>
      </c>
      <c r="AO278" s="190" t="s">
        <v>572</v>
      </c>
      <c r="AP278" s="190">
        <v>72546</v>
      </c>
      <c r="AQ278" s="190" t="str">
        <f>CONCATENATE(AN278,AO278,AP278)</f>
        <v>655-72546</v>
      </c>
      <c r="AR278" s="190" t="s">
        <v>682</v>
      </c>
      <c r="AS278" s="190"/>
      <c r="AT278" s="190"/>
      <c r="AU278" s="190"/>
      <c r="AV278" s="190"/>
      <c r="AW278" s="190"/>
      <c r="AX278" s="279" t="str">
        <f t="shared" si="128"/>
        <v/>
      </c>
    </row>
    <row r="279" spans="1:50" x14ac:dyDescent="0.25">
      <c r="A279" s="190" t="str">
        <f t="shared" si="133"/>
        <v/>
      </c>
      <c r="B279" s="279" t="str">
        <f t="shared" si="132"/>
        <v>655-72542</v>
      </c>
      <c r="C279" s="279"/>
      <c r="D279" s="279"/>
      <c r="E279" s="279">
        <f t="shared" si="134"/>
        <v>1</v>
      </c>
      <c r="F279" s="190" t="s">
        <v>535</v>
      </c>
      <c r="G279" s="198">
        <v>44684</v>
      </c>
      <c r="H279" s="205"/>
      <c r="I279" s="205"/>
      <c r="J279" s="205" t="s">
        <v>402</v>
      </c>
      <c r="K279" s="205" t="s">
        <v>1059</v>
      </c>
      <c r="L279" s="205" t="s">
        <v>2719</v>
      </c>
      <c r="M279" s="192" t="s">
        <v>558</v>
      </c>
      <c r="N279" s="192"/>
      <c r="O279" s="229"/>
      <c r="P279" s="229"/>
      <c r="Q279" s="231" t="str">
        <f t="shared" si="135"/>
        <v>. Climate Control Panel - REAR</v>
      </c>
      <c r="R279" s="231"/>
      <c r="S279" s="231" t="str">
        <f t="shared" si="137"/>
        <v/>
      </c>
      <c r="T279" s="231" t="str">
        <f>IF(O279&lt;&gt;"",_xlfn.XLOOKUP(O279,'3D. Pictures'!B:B,'3D. Pictures'!E:E,"NOT FOUND",0,1),"")</f>
        <v/>
      </c>
      <c r="U279" s="192"/>
      <c r="V279" s="205"/>
      <c r="W279" s="192"/>
      <c r="X279" s="205"/>
      <c r="Y279" s="205"/>
      <c r="Z279" s="205"/>
      <c r="AA279" s="205" t="s">
        <v>2831</v>
      </c>
      <c r="AB279" s="205" t="s">
        <v>2831</v>
      </c>
      <c r="AC279" s="358" t="str">
        <f t="shared" si="136"/>
        <v/>
      </c>
      <c r="AD279" s="205"/>
      <c r="AE279" s="205"/>
      <c r="AF279" s="201" t="s">
        <v>543</v>
      </c>
      <c r="AG279" s="205"/>
      <c r="AH279" s="16">
        <v>198</v>
      </c>
      <c r="AI279" s="380">
        <f t="shared" si="138"/>
        <v>198</v>
      </c>
      <c r="AJ279" s="204" t="s">
        <v>408</v>
      </c>
      <c r="AK279" s="204" t="s">
        <v>425</v>
      </c>
      <c r="AL279" s="204" t="s">
        <v>2175</v>
      </c>
      <c r="AM279" s="190"/>
      <c r="AN279" s="191" t="s">
        <v>624</v>
      </c>
      <c r="AO279" s="190" t="s">
        <v>572</v>
      </c>
      <c r="AP279" s="190">
        <v>72542</v>
      </c>
      <c r="AQ279" s="190" t="str">
        <f t="shared" si="140"/>
        <v>655-72542</v>
      </c>
      <c r="AR279" s="190" t="s">
        <v>684</v>
      </c>
      <c r="AS279" s="190"/>
      <c r="AT279" s="190"/>
      <c r="AU279" s="190"/>
      <c r="AV279" s="190"/>
      <c r="AW279" s="190"/>
      <c r="AX279" s="279" t="str">
        <f t="shared" si="128"/>
        <v/>
      </c>
    </row>
    <row r="280" spans="1:50" ht="15.75" thickBot="1" x14ac:dyDescent="0.3">
      <c r="A280" s="190" t="str">
        <f t="shared" si="133"/>
        <v/>
      </c>
      <c r="B280" s="279" t="str">
        <f t="shared" si="132"/>
        <v>655-72543</v>
      </c>
      <c r="C280" s="279"/>
      <c r="D280" s="279"/>
      <c r="E280" s="279">
        <f t="shared" si="134"/>
        <v>1</v>
      </c>
      <c r="F280" s="190" t="s">
        <v>535</v>
      </c>
      <c r="G280" s="198">
        <v>44684</v>
      </c>
      <c r="H280" s="205"/>
      <c r="I280" s="205"/>
      <c r="J280" s="205" t="s">
        <v>402</v>
      </c>
      <c r="K280" s="205" t="s">
        <v>1059</v>
      </c>
      <c r="L280" s="205" t="s">
        <v>2719</v>
      </c>
      <c r="M280" s="192" t="s">
        <v>558</v>
      </c>
      <c r="N280" s="192"/>
      <c r="O280" s="229"/>
      <c r="P280" s="229"/>
      <c r="Q280" s="231" t="str">
        <f t="shared" si="135"/>
        <v>. Climate Control Panel - REAR</v>
      </c>
      <c r="R280" s="231"/>
      <c r="S280" s="231" t="str">
        <f t="shared" si="137"/>
        <v/>
      </c>
      <c r="T280" s="231" t="str">
        <f>IF(O280&lt;&gt;"",_xlfn.XLOOKUP(O280,'3D. Pictures'!B:B,'3D. Pictures'!E:E,"NOT FOUND",0,1),"")</f>
        <v/>
      </c>
      <c r="U280" s="192"/>
      <c r="V280" s="205"/>
      <c r="W280" s="192"/>
      <c r="X280" s="205"/>
      <c r="Y280" s="205"/>
      <c r="Z280" s="205"/>
      <c r="AA280" s="205" t="s">
        <v>2831</v>
      </c>
      <c r="AB280" s="205" t="s">
        <v>2831</v>
      </c>
      <c r="AC280" s="358" t="str">
        <f t="shared" si="136"/>
        <v/>
      </c>
      <c r="AD280" s="205"/>
      <c r="AE280" s="205"/>
      <c r="AF280" s="201" t="s">
        <v>543</v>
      </c>
      <c r="AG280" s="205"/>
      <c r="AH280" s="16">
        <v>198</v>
      </c>
      <c r="AI280" s="380">
        <f t="shared" si="138"/>
        <v>198</v>
      </c>
      <c r="AJ280" s="204" t="s">
        <v>408</v>
      </c>
      <c r="AK280" s="204" t="s">
        <v>425</v>
      </c>
      <c r="AL280" s="204" t="s">
        <v>2175</v>
      </c>
      <c r="AM280" s="190"/>
      <c r="AN280" s="191" t="s">
        <v>624</v>
      </c>
      <c r="AO280" s="190" t="s">
        <v>572</v>
      </c>
      <c r="AP280" s="190">
        <v>72543</v>
      </c>
      <c r="AQ280" s="190" t="str">
        <f>CONCATENATE(AN280,AO280,AP280)</f>
        <v>655-72543</v>
      </c>
      <c r="AR280" s="190" t="s">
        <v>685</v>
      </c>
      <c r="AS280" s="190"/>
      <c r="AT280" s="190"/>
      <c r="AU280" s="190"/>
      <c r="AV280" s="190"/>
      <c r="AW280" s="190"/>
      <c r="AX280" s="279" t="str">
        <f t="shared" si="128"/>
        <v/>
      </c>
    </row>
    <row r="281" spans="1:50" ht="15.75" thickBot="1" x14ac:dyDescent="0.3">
      <c r="A281" s="190" t="str">
        <f t="shared" si="133"/>
        <v>A18</v>
      </c>
      <c r="B281" s="279" t="str">
        <f t="shared" si="132"/>
        <v>253-67828</v>
      </c>
      <c r="C281" s="279"/>
      <c r="D281" s="279"/>
      <c r="E281" s="279">
        <f t="shared" si="134"/>
        <v>1</v>
      </c>
      <c r="F281" s="190" t="s">
        <v>535</v>
      </c>
      <c r="G281" s="198">
        <v>44671</v>
      </c>
      <c r="H281" s="217"/>
      <c r="I281" s="192"/>
      <c r="J281" s="205" t="s">
        <v>402</v>
      </c>
      <c r="K281" s="205" t="s">
        <v>1059</v>
      </c>
      <c r="L281" s="205" t="s">
        <v>686</v>
      </c>
      <c r="M281" s="192" t="s">
        <v>558</v>
      </c>
      <c r="N281" s="192">
        <v>8</v>
      </c>
      <c r="O281" s="229" t="s">
        <v>920</v>
      </c>
      <c r="P281" s="229" t="s">
        <v>1035</v>
      </c>
      <c r="Q281" s="231" t="str">
        <f t="shared" si="135"/>
        <v>A18. Airbag, DASH - RIGHT (PASSENGER)</v>
      </c>
      <c r="R281" s="284" t="str">
        <f>HYPERLINK(VLOOKUP(O281,'3D. Pictures'!$B$3:$E$500,4,FALSE),"PIC")</f>
        <v>PIC</v>
      </c>
      <c r="S281" s="373" t="str">
        <f t="shared" si="137"/>
        <v>E.G.</v>
      </c>
      <c r="T281" s="377" t="str">
        <f>IF(O281&lt;&gt;"",_xlfn.XLOOKUP(O281,'3D. Pictures'!B:B,'3D. Pictures'!E:E,"NOT FOUND",0,1),"")</f>
        <v>https://viking-pictures.s3.us-west-1.amazonaws.com/AA1155/A18.+Airbag%2C+DASH+-+RIGHT+(PASSENGER)+(1).JPG</v>
      </c>
      <c r="U281" s="192">
        <v>5</v>
      </c>
      <c r="V281" s="205" t="s">
        <v>2154</v>
      </c>
      <c r="W281" s="192" t="s">
        <v>111</v>
      </c>
      <c r="X281" s="205"/>
      <c r="Y281" s="205"/>
      <c r="Z281" s="205"/>
      <c r="AA281" s="205" t="s">
        <v>417</v>
      </c>
      <c r="AB281" s="205" t="s">
        <v>417</v>
      </c>
      <c r="AC281" s="358" t="str">
        <f t="shared" si="136"/>
        <v/>
      </c>
      <c r="AD281" s="205"/>
      <c r="AE281" s="205"/>
      <c r="AF281" s="201" t="s">
        <v>543</v>
      </c>
      <c r="AG281" s="205"/>
      <c r="AH281" s="16">
        <v>195</v>
      </c>
      <c r="AI281" s="380">
        <f t="shared" si="138"/>
        <v>195</v>
      </c>
      <c r="AJ281" s="204" t="s">
        <v>408</v>
      </c>
      <c r="AK281" s="204" t="s">
        <v>425</v>
      </c>
      <c r="AL281" s="204" t="s">
        <v>2175</v>
      </c>
      <c r="AM281" s="190"/>
      <c r="AN281" s="191" t="s">
        <v>625</v>
      </c>
      <c r="AO281" s="190" t="s">
        <v>572</v>
      </c>
      <c r="AP281" s="190">
        <v>67828</v>
      </c>
      <c r="AQ281" s="190" t="str">
        <f t="shared" si="140"/>
        <v>253-67828</v>
      </c>
      <c r="AR281" s="190"/>
      <c r="AS281" s="190"/>
      <c r="AT281" s="190"/>
      <c r="AU281" s="190"/>
      <c r="AV281" s="190"/>
      <c r="AW281" s="190"/>
      <c r="AX281" s="279" t="str">
        <f t="shared" si="128"/>
        <v/>
      </c>
    </row>
    <row r="282" spans="1:50" ht="15.75" thickBot="1" x14ac:dyDescent="0.3">
      <c r="A282" s="190" t="str">
        <f t="shared" si="133"/>
        <v>A12</v>
      </c>
      <c r="B282" s="279" t="str">
        <f t="shared" si="132"/>
        <v>253-67827</v>
      </c>
      <c r="C282" s="279"/>
      <c r="D282" s="279"/>
      <c r="E282" s="279">
        <f t="shared" si="134"/>
        <v>1</v>
      </c>
      <c r="F282" s="190" t="s">
        <v>535</v>
      </c>
      <c r="G282" s="198">
        <v>44671</v>
      </c>
      <c r="H282" s="217"/>
      <c r="I282" s="192"/>
      <c r="J282" s="205" t="s">
        <v>402</v>
      </c>
      <c r="K282" s="205" t="s">
        <v>1059</v>
      </c>
      <c r="L282" s="205" t="s">
        <v>686</v>
      </c>
      <c r="M282" s="192" t="s">
        <v>558</v>
      </c>
      <c r="N282" s="192">
        <v>2</v>
      </c>
      <c r="O282" s="229" t="s">
        <v>914</v>
      </c>
      <c r="P282" s="229" t="s">
        <v>1035</v>
      </c>
      <c r="Q282" s="231" t="str">
        <f t="shared" si="135"/>
        <v>A12. Airbag, KNEE - FRONT LEFT (DRIVER)</v>
      </c>
      <c r="R282" s="284" t="str">
        <f>HYPERLINK(VLOOKUP(O282,'3D. Pictures'!$B$3:$E$500,4,FALSE),"PIC")</f>
        <v>PIC</v>
      </c>
      <c r="S282" s="373" t="str">
        <f t="shared" si="137"/>
        <v>E.G.</v>
      </c>
      <c r="T282" s="377" t="str">
        <f>IF(O282&lt;&gt;"",_xlfn.XLOOKUP(O282,'3D. Pictures'!B:B,'3D. Pictures'!E:E,"NOT FOUND",0,1),"")</f>
        <v>https://viking-pictures.s3.us-west-1.amazonaws.com/AA1155/A12.+Airbag%2C+KNEE+-+FRONT+LEFT+(DRIVER)+(1).JPG</v>
      </c>
      <c r="U282" s="192">
        <v>6</v>
      </c>
      <c r="V282" s="205" t="s">
        <v>2155</v>
      </c>
      <c r="W282" s="192" t="s">
        <v>111</v>
      </c>
      <c r="X282" s="205"/>
      <c r="Y282" s="205"/>
      <c r="Z282" s="205"/>
      <c r="AA282" s="205" t="s">
        <v>413</v>
      </c>
      <c r="AB282" s="205" t="s">
        <v>413</v>
      </c>
      <c r="AC282" s="358" t="str">
        <f t="shared" si="136"/>
        <v/>
      </c>
      <c r="AD282" s="205"/>
      <c r="AE282" s="205"/>
      <c r="AF282" s="201" t="s">
        <v>543</v>
      </c>
      <c r="AG282" s="205"/>
      <c r="AH282" s="16">
        <v>275</v>
      </c>
      <c r="AI282" s="380">
        <f t="shared" si="138"/>
        <v>275</v>
      </c>
      <c r="AJ282" s="204" t="s">
        <v>408</v>
      </c>
      <c r="AK282" s="204" t="s">
        <v>425</v>
      </c>
      <c r="AL282" s="204" t="s">
        <v>2175</v>
      </c>
      <c r="AM282" s="190"/>
      <c r="AN282" s="191" t="s">
        <v>625</v>
      </c>
      <c r="AO282" s="190" t="s">
        <v>572</v>
      </c>
      <c r="AP282" s="190">
        <v>67827</v>
      </c>
      <c r="AQ282" s="190" t="str">
        <f t="shared" si="140"/>
        <v>253-67827</v>
      </c>
      <c r="AR282" s="190"/>
      <c r="AS282" s="190"/>
      <c r="AT282" s="190"/>
      <c r="AU282" s="190"/>
      <c r="AV282" s="190"/>
      <c r="AW282" s="190"/>
      <c r="AX282" s="279" t="str">
        <f t="shared" si="128"/>
        <v/>
      </c>
    </row>
    <row r="283" spans="1:50" ht="15.75" thickBot="1" x14ac:dyDescent="0.3">
      <c r="A283" s="190" t="str">
        <f t="shared" si="133"/>
        <v>A14</v>
      </c>
      <c r="B283" s="279" t="str">
        <f t="shared" si="132"/>
        <v>253-67831</v>
      </c>
      <c r="C283" s="279"/>
      <c r="D283" s="279"/>
      <c r="E283" s="279">
        <f t="shared" si="134"/>
        <v>1</v>
      </c>
      <c r="F283" s="190" t="s">
        <v>535</v>
      </c>
      <c r="G283" s="198">
        <v>44671</v>
      </c>
      <c r="H283" s="217"/>
      <c r="I283" s="192"/>
      <c r="J283" s="205" t="s">
        <v>402</v>
      </c>
      <c r="K283" s="205" t="s">
        <v>1059</v>
      </c>
      <c r="L283" s="205" t="s">
        <v>686</v>
      </c>
      <c r="M283" s="192" t="s">
        <v>558</v>
      </c>
      <c r="N283" s="192">
        <v>4</v>
      </c>
      <c r="O283" s="229" t="s">
        <v>916</v>
      </c>
      <c r="P283" s="229" t="s">
        <v>1035</v>
      </c>
      <c r="Q283" s="231" t="str">
        <f t="shared" si="135"/>
        <v>A14. Airbag, KNEE - FRONT RIGHT (PASSENGER)</v>
      </c>
      <c r="R283" s="284" t="str">
        <f>HYPERLINK(VLOOKUP(O283,'3D. Pictures'!$B$3:$E$500,4,FALSE),"PIC")</f>
        <v>PIC</v>
      </c>
      <c r="S283" s="373" t="str">
        <f t="shared" si="137"/>
        <v>E.G.</v>
      </c>
      <c r="T283" s="377" t="str">
        <f>IF(O283&lt;&gt;"",_xlfn.XLOOKUP(O283,'3D. Pictures'!B:B,'3D. Pictures'!E:E,"NOT FOUND",0,1),"")</f>
        <v>https://viking-pictures.s3.us-west-1.amazonaws.com/AA1155/A14.+Airbag%2C+KNEE+-+FRONT+RIGHT+(PASSENGER)+(1).JPG</v>
      </c>
      <c r="U283" s="192">
        <v>5</v>
      </c>
      <c r="V283" s="205" t="s">
        <v>2156</v>
      </c>
      <c r="W283" s="192" t="s">
        <v>111</v>
      </c>
      <c r="X283" s="205"/>
      <c r="Y283" s="205"/>
      <c r="Z283" s="205"/>
      <c r="AA283" s="205" t="s">
        <v>414</v>
      </c>
      <c r="AB283" s="205" t="s">
        <v>414</v>
      </c>
      <c r="AC283" s="358" t="str">
        <f t="shared" si="136"/>
        <v/>
      </c>
      <c r="AD283" s="205"/>
      <c r="AE283" s="205"/>
      <c r="AF283" s="201" t="s">
        <v>543</v>
      </c>
      <c r="AG283" s="205"/>
      <c r="AH283" s="16">
        <v>175</v>
      </c>
      <c r="AI283" s="380">
        <f t="shared" si="138"/>
        <v>175</v>
      </c>
      <c r="AJ283" s="204" t="s">
        <v>408</v>
      </c>
      <c r="AK283" s="204" t="s">
        <v>425</v>
      </c>
      <c r="AL283" s="204" t="s">
        <v>2175</v>
      </c>
      <c r="AM283" s="190"/>
      <c r="AN283" s="191" t="s">
        <v>625</v>
      </c>
      <c r="AO283" s="190" t="s">
        <v>572</v>
      </c>
      <c r="AP283" s="190">
        <v>67831</v>
      </c>
      <c r="AQ283" s="190" t="str">
        <f t="shared" si="140"/>
        <v>253-67831</v>
      </c>
      <c r="AR283" s="190"/>
      <c r="AS283" s="190"/>
      <c r="AT283" s="190"/>
      <c r="AU283" s="190"/>
      <c r="AV283" s="190"/>
      <c r="AW283" s="190"/>
      <c r="AX283" s="279" t="str">
        <f t="shared" si="128"/>
        <v/>
      </c>
    </row>
    <row r="284" spans="1:50" ht="15.75" thickBot="1" x14ac:dyDescent="0.3">
      <c r="A284" s="190" t="str">
        <f t="shared" si="133"/>
        <v>A22</v>
      </c>
      <c r="B284" s="279" t="str">
        <f t="shared" si="132"/>
        <v>253-67825</v>
      </c>
      <c r="C284" s="279"/>
      <c r="D284" s="279"/>
      <c r="E284" s="279">
        <f t="shared" si="134"/>
        <v>1</v>
      </c>
      <c r="F284" s="190" t="s">
        <v>535</v>
      </c>
      <c r="G284" s="198">
        <v>44671</v>
      </c>
      <c r="H284" s="217"/>
      <c r="I284" s="192"/>
      <c r="J284" s="205" t="s">
        <v>402</v>
      </c>
      <c r="K284" s="205" t="s">
        <v>1059</v>
      </c>
      <c r="L284" s="205" t="s">
        <v>686</v>
      </c>
      <c r="M284" s="192" t="s">
        <v>558</v>
      </c>
      <c r="N284" s="192">
        <v>12</v>
      </c>
      <c r="O284" s="229" t="s">
        <v>924</v>
      </c>
      <c r="P284" s="229" t="s">
        <v>1035</v>
      </c>
      <c r="Q284" s="231" t="str">
        <f t="shared" si="135"/>
        <v>A22. Airbag, ROOF - LEFT (DRIVER)</v>
      </c>
      <c r="R284" s="284" t="str">
        <f>HYPERLINK(VLOOKUP(O284,'3D. Pictures'!$B$3:$E$500,4,FALSE),"PIC")</f>
        <v>PIC</v>
      </c>
      <c r="S284" s="373" t="str">
        <f t="shared" si="137"/>
        <v>E.G.</v>
      </c>
      <c r="T284" s="377" t="str">
        <f>IF(O284&lt;&gt;"",_xlfn.XLOOKUP(O284,'3D. Pictures'!B:B,'3D. Pictures'!E:E,"NOT FOUND",0,1),"")</f>
        <v>https://viking-pictures.s3.us-west-1.amazonaws.com/AA1155/A22.+Airbag%2C+ROOF+-+LEFT+(DRIVER)+(1).JPG</v>
      </c>
      <c r="U284" s="192">
        <v>5</v>
      </c>
      <c r="V284" s="205" t="s">
        <v>2157</v>
      </c>
      <c r="W284" s="192" t="s">
        <v>111</v>
      </c>
      <c r="X284" s="205"/>
      <c r="Y284" s="205"/>
      <c r="Z284" s="205"/>
      <c r="AA284" s="205" t="s">
        <v>415</v>
      </c>
      <c r="AB284" s="205" t="s">
        <v>415</v>
      </c>
      <c r="AC284" s="358" t="str">
        <f t="shared" si="136"/>
        <v/>
      </c>
      <c r="AD284" s="205"/>
      <c r="AE284" s="205"/>
      <c r="AF284" s="201" t="s">
        <v>543</v>
      </c>
      <c r="AG284" s="205"/>
      <c r="AH284" s="16">
        <v>345</v>
      </c>
      <c r="AI284" s="380">
        <f t="shared" si="138"/>
        <v>345</v>
      </c>
      <c r="AJ284" s="204" t="s">
        <v>408</v>
      </c>
      <c r="AK284" s="204" t="s">
        <v>425</v>
      </c>
      <c r="AL284" s="204" t="s">
        <v>2175</v>
      </c>
      <c r="AM284" s="190"/>
      <c r="AN284" s="191" t="s">
        <v>625</v>
      </c>
      <c r="AO284" s="190" t="s">
        <v>572</v>
      </c>
      <c r="AP284" s="190">
        <v>67825</v>
      </c>
      <c r="AQ284" s="190" t="str">
        <f t="shared" si="140"/>
        <v>253-67825</v>
      </c>
      <c r="AR284" s="190"/>
      <c r="AS284" s="190"/>
      <c r="AT284" s="190"/>
      <c r="AU284" s="190"/>
      <c r="AV284" s="190"/>
      <c r="AW284" s="190"/>
      <c r="AX284" s="279" t="str">
        <f t="shared" si="128"/>
        <v/>
      </c>
    </row>
    <row r="285" spans="1:50" ht="15.75" thickBot="1" x14ac:dyDescent="0.3">
      <c r="A285" s="190" t="str">
        <f t="shared" si="133"/>
        <v>A20</v>
      </c>
      <c r="B285" s="279" t="str">
        <f t="shared" si="132"/>
        <v>253-67829</v>
      </c>
      <c r="C285" s="279"/>
      <c r="D285" s="279"/>
      <c r="E285" s="279">
        <f t="shared" si="134"/>
        <v>1</v>
      </c>
      <c r="F285" s="190" t="s">
        <v>535</v>
      </c>
      <c r="G285" s="198">
        <v>44671</v>
      </c>
      <c r="H285" s="217"/>
      <c r="I285" s="192"/>
      <c r="J285" s="205" t="s">
        <v>402</v>
      </c>
      <c r="K285" s="205" t="s">
        <v>1059</v>
      </c>
      <c r="L285" s="205" t="s">
        <v>686</v>
      </c>
      <c r="M285" s="192" t="s">
        <v>558</v>
      </c>
      <c r="N285" s="192">
        <v>10</v>
      </c>
      <c r="O285" s="229" t="s">
        <v>922</v>
      </c>
      <c r="P285" s="229" t="s">
        <v>1035</v>
      </c>
      <c r="Q285" s="231" t="str">
        <f t="shared" si="135"/>
        <v>A20. Airbag, ROOF - RIGHT (PASSENGER)</v>
      </c>
      <c r="R285" s="284" t="str">
        <f>HYPERLINK(VLOOKUP(O285,'3D. Pictures'!$B$3:$E$500,4,FALSE),"PIC")</f>
        <v>PIC</v>
      </c>
      <c r="S285" s="373" t="str">
        <f t="shared" si="137"/>
        <v>E.G.</v>
      </c>
      <c r="T285" s="377" t="str">
        <f>IF(O285&lt;&gt;"",_xlfn.XLOOKUP(O285,'3D. Pictures'!B:B,'3D. Pictures'!E:E,"NOT FOUND",0,1),"")</f>
        <v>https://viking-pictures.s3.us-west-1.amazonaws.com/AA1155/A20.+Airbag%2C+ROOF+-+RIGHT+(PASSENGER)+(1).JPG</v>
      </c>
      <c r="U285" s="192">
        <v>5</v>
      </c>
      <c r="V285" s="205" t="s">
        <v>1160</v>
      </c>
      <c r="W285" s="192" t="s">
        <v>111</v>
      </c>
      <c r="X285" s="205"/>
      <c r="Y285" s="205"/>
      <c r="Z285" s="205"/>
      <c r="AA285" s="205" t="s">
        <v>416</v>
      </c>
      <c r="AB285" s="205" t="s">
        <v>416</v>
      </c>
      <c r="AC285" s="358" t="str">
        <f t="shared" si="136"/>
        <v/>
      </c>
      <c r="AD285" s="205"/>
      <c r="AE285" s="205"/>
      <c r="AF285" s="201" t="s">
        <v>543</v>
      </c>
      <c r="AG285" s="205"/>
      <c r="AH285" s="16">
        <v>345</v>
      </c>
      <c r="AI285" s="380">
        <f t="shared" si="138"/>
        <v>345</v>
      </c>
      <c r="AJ285" s="204" t="s">
        <v>408</v>
      </c>
      <c r="AK285" s="204" t="s">
        <v>425</v>
      </c>
      <c r="AL285" s="204" t="s">
        <v>2175</v>
      </c>
      <c r="AM285" s="190"/>
      <c r="AN285" s="191" t="s">
        <v>625</v>
      </c>
      <c r="AO285" s="190" t="s">
        <v>572</v>
      </c>
      <c r="AP285" s="190">
        <v>67829</v>
      </c>
      <c r="AQ285" s="190" t="str">
        <f t="shared" si="140"/>
        <v>253-67829</v>
      </c>
      <c r="AR285" s="190"/>
      <c r="AS285" s="190"/>
      <c r="AT285" s="190"/>
      <c r="AU285" s="190"/>
      <c r="AV285" s="190"/>
      <c r="AW285" s="190"/>
      <c r="AX285" s="279" t="str">
        <f t="shared" si="128"/>
        <v/>
      </c>
    </row>
    <row r="286" spans="1:50" x14ac:dyDescent="0.25">
      <c r="A286" s="190" t="str">
        <f t="shared" si="133"/>
        <v/>
      </c>
      <c r="B286" s="279" t="str">
        <f t="shared" si="132"/>
        <v>253-67822</v>
      </c>
      <c r="C286" s="279"/>
      <c r="D286" s="279"/>
      <c r="E286" s="279">
        <f t="shared" si="134"/>
        <v>1</v>
      </c>
      <c r="F286" s="190" t="s">
        <v>535</v>
      </c>
      <c r="G286" s="198">
        <v>44671</v>
      </c>
      <c r="H286" s="217"/>
      <c r="I286" s="192"/>
      <c r="J286" s="205" t="s">
        <v>402</v>
      </c>
      <c r="K286" s="205" t="s">
        <v>1059</v>
      </c>
      <c r="L286" s="205" t="s">
        <v>686</v>
      </c>
      <c r="M286" s="192" t="s">
        <v>558</v>
      </c>
      <c r="N286" s="192"/>
      <c r="O286" s="229"/>
      <c r="P286" s="229"/>
      <c r="Q286" s="231" t="str">
        <f t="shared" si="135"/>
        <v>. Airbag, STEERING WHEEL</v>
      </c>
      <c r="R286" s="231"/>
      <c r="S286" s="231" t="str">
        <f t="shared" si="137"/>
        <v/>
      </c>
      <c r="T286" s="231" t="str">
        <f>IF(O286&lt;&gt;"",_xlfn.XLOOKUP(O286,'3D. Pictures'!B:B,'3D. Pictures'!E:E,"NOT FOUND",0,1),"")</f>
        <v/>
      </c>
      <c r="U286" s="192"/>
      <c r="V286" s="205"/>
      <c r="W286" s="192"/>
      <c r="X286" s="205"/>
      <c r="Y286" s="205"/>
      <c r="Z286" s="205"/>
      <c r="AA286" s="205" t="s">
        <v>418</v>
      </c>
      <c r="AB286" s="205" t="s">
        <v>418</v>
      </c>
      <c r="AC286" s="358" t="str">
        <f t="shared" si="136"/>
        <v/>
      </c>
      <c r="AD286" s="205"/>
      <c r="AE286" s="205"/>
      <c r="AF286" s="201" t="s">
        <v>543</v>
      </c>
      <c r="AG286" s="205"/>
      <c r="AH286" s="167">
        <v>450</v>
      </c>
      <c r="AI286" s="380">
        <f t="shared" si="138"/>
        <v>390</v>
      </c>
      <c r="AJ286" s="204" t="s">
        <v>408</v>
      </c>
      <c r="AK286" s="204" t="s">
        <v>425</v>
      </c>
      <c r="AL286" s="204" t="s">
        <v>2175</v>
      </c>
      <c r="AM286" s="190"/>
      <c r="AN286" s="191" t="s">
        <v>625</v>
      </c>
      <c r="AO286" s="190" t="s">
        <v>572</v>
      </c>
      <c r="AP286" s="190">
        <v>67822</v>
      </c>
      <c r="AQ286" s="190" t="str">
        <f t="shared" si="140"/>
        <v>253-67822</v>
      </c>
      <c r="AR286" s="190" t="s">
        <v>687</v>
      </c>
      <c r="AS286" s="190"/>
      <c r="AT286" s="190"/>
      <c r="AU286" s="190"/>
      <c r="AV286" s="190"/>
      <c r="AW286" s="190"/>
      <c r="AX286" s="279" t="str">
        <f t="shared" si="128"/>
        <v/>
      </c>
    </row>
    <row r="287" spans="1:50" x14ac:dyDescent="0.25">
      <c r="A287" s="190" t="str">
        <f t="shared" si="133"/>
        <v/>
      </c>
      <c r="B287" s="279" t="str">
        <f t="shared" si="132"/>
        <v>253-53466</v>
      </c>
      <c r="C287" s="279"/>
      <c r="D287" s="279"/>
      <c r="E287" s="279">
        <f t="shared" si="134"/>
        <v>1</v>
      </c>
      <c r="F287" s="190" t="s">
        <v>535</v>
      </c>
      <c r="G287" s="198">
        <v>44671</v>
      </c>
      <c r="H287" s="217"/>
      <c r="I287" s="192"/>
      <c r="J287" s="205" t="s">
        <v>402</v>
      </c>
      <c r="K287" s="205" t="s">
        <v>1059</v>
      </c>
      <c r="L287" s="205" t="s">
        <v>686</v>
      </c>
      <c r="M287" s="192" t="s">
        <v>558</v>
      </c>
      <c r="N287" s="192"/>
      <c r="O287" s="229"/>
      <c r="P287" s="229"/>
      <c r="Q287" s="231" t="str">
        <f t="shared" si="135"/>
        <v>. Airbag, STEERING WHEEL</v>
      </c>
      <c r="R287" s="231"/>
      <c r="S287" s="231" t="str">
        <f t="shared" si="137"/>
        <v/>
      </c>
      <c r="T287" s="231" t="str">
        <f>IF(O287&lt;&gt;"",_xlfn.XLOOKUP(O287,'3D. Pictures'!B:B,'3D. Pictures'!E:E,"NOT FOUND",0,1),"")</f>
        <v/>
      </c>
      <c r="U287" s="192"/>
      <c r="V287" s="205"/>
      <c r="W287" s="192"/>
      <c r="X287" s="205"/>
      <c r="Y287" s="205"/>
      <c r="Z287" s="205"/>
      <c r="AA287" s="205" t="s">
        <v>418</v>
      </c>
      <c r="AB287" s="205" t="s">
        <v>418</v>
      </c>
      <c r="AC287" s="358" t="str">
        <f t="shared" si="136"/>
        <v/>
      </c>
      <c r="AD287" s="205"/>
      <c r="AE287" s="205"/>
      <c r="AF287" s="201" t="s">
        <v>543</v>
      </c>
      <c r="AG287" s="205"/>
      <c r="AH287" s="167">
        <v>375</v>
      </c>
      <c r="AI287" s="380">
        <f t="shared" si="138"/>
        <v>390</v>
      </c>
      <c r="AJ287" s="204" t="s">
        <v>408</v>
      </c>
      <c r="AK287" s="204" t="s">
        <v>425</v>
      </c>
      <c r="AL287" s="204" t="s">
        <v>2175</v>
      </c>
      <c r="AM287" s="190"/>
      <c r="AN287" s="191" t="s">
        <v>625</v>
      </c>
      <c r="AO287" s="190" t="s">
        <v>572</v>
      </c>
      <c r="AP287" s="190">
        <v>53466</v>
      </c>
      <c r="AQ287" s="190" t="str">
        <f>CONCATENATE(AN287,AO287,AP287)</f>
        <v>253-53466</v>
      </c>
      <c r="AR287" s="190" t="s">
        <v>688</v>
      </c>
      <c r="AS287" s="190"/>
      <c r="AT287" s="190"/>
      <c r="AU287" s="190"/>
      <c r="AV287" s="190"/>
      <c r="AW287" s="190"/>
      <c r="AX287" s="279" t="str">
        <f t="shared" si="128"/>
        <v/>
      </c>
    </row>
    <row r="288" spans="1:50" x14ac:dyDescent="0.25">
      <c r="A288" s="190" t="str">
        <f t="shared" si="133"/>
        <v/>
      </c>
      <c r="B288" s="279" t="str">
        <f t="shared" si="132"/>
        <v>253-67823</v>
      </c>
      <c r="C288" s="279"/>
      <c r="D288" s="279"/>
      <c r="E288" s="279">
        <f t="shared" si="134"/>
        <v>1</v>
      </c>
      <c r="F288" s="190" t="s">
        <v>535</v>
      </c>
      <c r="G288" s="198">
        <v>44671</v>
      </c>
      <c r="H288" s="217"/>
      <c r="I288" s="192"/>
      <c r="J288" s="205" t="s">
        <v>402</v>
      </c>
      <c r="K288" s="205" t="s">
        <v>1059</v>
      </c>
      <c r="L288" s="205" t="s">
        <v>686</v>
      </c>
      <c r="M288" s="192" t="s">
        <v>558</v>
      </c>
      <c r="N288" s="192"/>
      <c r="O288" s="229"/>
      <c r="P288" s="229"/>
      <c r="Q288" s="231" t="str">
        <f t="shared" si="135"/>
        <v>. Airbag, STEERING WHEEL</v>
      </c>
      <c r="R288" s="231"/>
      <c r="S288" s="231" t="str">
        <f t="shared" si="137"/>
        <v/>
      </c>
      <c r="T288" s="231" t="str">
        <f>IF(O288&lt;&gt;"",_xlfn.XLOOKUP(O288,'3D. Pictures'!B:B,'3D. Pictures'!E:E,"NOT FOUND",0,1),"")</f>
        <v/>
      </c>
      <c r="U288" s="192"/>
      <c r="V288" s="205"/>
      <c r="W288" s="192"/>
      <c r="X288" s="205"/>
      <c r="Y288" s="205"/>
      <c r="Z288" s="205"/>
      <c r="AA288" s="205" t="s">
        <v>418</v>
      </c>
      <c r="AB288" s="205" t="s">
        <v>418</v>
      </c>
      <c r="AC288" s="358" t="str">
        <f t="shared" si="136"/>
        <v/>
      </c>
      <c r="AD288" s="205"/>
      <c r="AE288" s="205"/>
      <c r="AF288" s="201" t="s">
        <v>543</v>
      </c>
      <c r="AG288" s="205"/>
      <c r="AH288" s="167">
        <v>375</v>
      </c>
      <c r="AI288" s="380">
        <f t="shared" si="138"/>
        <v>390</v>
      </c>
      <c r="AJ288" s="204" t="s">
        <v>408</v>
      </c>
      <c r="AK288" s="204" t="s">
        <v>425</v>
      </c>
      <c r="AL288" s="204" t="s">
        <v>2175</v>
      </c>
      <c r="AM288" s="190"/>
      <c r="AN288" s="191" t="s">
        <v>625</v>
      </c>
      <c r="AO288" s="190" t="s">
        <v>572</v>
      </c>
      <c r="AP288" s="190">
        <v>67823</v>
      </c>
      <c r="AQ288" s="190" t="str">
        <f>CONCATENATE(AN288,AO288,AP288)</f>
        <v>253-67823</v>
      </c>
      <c r="AR288" s="190" t="s">
        <v>689</v>
      </c>
      <c r="AS288" s="190"/>
      <c r="AT288" s="190"/>
      <c r="AU288" s="190"/>
      <c r="AV288" s="190"/>
      <c r="AW288" s="190"/>
      <c r="AX288" s="279" t="str">
        <f t="shared" si="128"/>
        <v/>
      </c>
    </row>
    <row r="289" spans="1:50" ht="15.75" thickBot="1" x14ac:dyDescent="0.3">
      <c r="A289" s="190" t="str">
        <f t="shared" si="133"/>
        <v/>
      </c>
      <c r="B289" s="279" t="str">
        <f t="shared" si="132"/>
        <v>253-67824</v>
      </c>
      <c r="C289" s="279"/>
      <c r="D289" s="279"/>
      <c r="E289" s="279">
        <f t="shared" si="134"/>
        <v>1</v>
      </c>
      <c r="F289" s="190" t="s">
        <v>535</v>
      </c>
      <c r="G289" s="198">
        <v>44671</v>
      </c>
      <c r="H289" s="217"/>
      <c r="I289" s="192"/>
      <c r="J289" s="205" t="s">
        <v>402</v>
      </c>
      <c r="K289" s="205" t="s">
        <v>1059</v>
      </c>
      <c r="L289" s="205" t="s">
        <v>686</v>
      </c>
      <c r="M289" s="192" t="s">
        <v>558</v>
      </c>
      <c r="N289" s="192"/>
      <c r="O289" s="229"/>
      <c r="P289" s="229"/>
      <c r="Q289" s="231" t="str">
        <f t="shared" si="135"/>
        <v>. Airbag, STEERING WHEEL</v>
      </c>
      <c r="R289" s="231"/>
      <c r="S289" s="231" t="str">
        <f t="shared" si="137"/>
        <v/>
      </c>
      <c r="T289" s="231" t="str">
        <f>IF(O289&lt;&gt;"",_xlfn.XLOOKUP(O289,'3D. Pictures'!B:B,'3D. Pictures'!E:E,"NOT FOUND",0,1),"")</f>
        <v/>
      </c>
      <c r="U289" s="192"/>
      <c r="V289" s="205"/>
      <c r="W289" s="192"/>
      <c r="X289" s="205"/>
      <c r="Y289" s="205"/>
      <c r="Z289" s="205"/>
      <c r="AA289" s="205" t="s">
        <v>418</v>
      </c>
      <c r="AB289" s="205" t="s">
        <v>418</v>
      </c>
      <c r="AC289" s="358" t="str">
        <f t="shared" si="136"/>
        <v/>
      </c>
      <c r="AD289" s="205"/>
      <c r="AE289" s="205"/>
      <c r="AF289" s="201" t="s">
        <v>543</v>
      </c>
      <c r="AG289" s="205"/>
      <c r="AH289" s="167">
        <v>375</v>
      </c>
      <c r="AI289" s="380">
        <f t="shared" si="138"/>
        <v>390</v>
      </c>
      <c r="AJ289" s="204" t="s">
        <v>408</v>
      </c>
      <c r="AK289" s="204" t="s">
        <v>425</v>
      </c>
      <c r="AL289" s="204" t="s">
        <v>2175</v>
      </c>
      <c r="AM289" s="190"/>
      <c r="AN289" s="191" t="s">
        <v>625</v>
      </c>
      <c r="AO289" s="190" t="s">
        <v>572</v>
      </c>
      <c r="AP289" s="190">
        <v>67824</v>
      </c>
      <c r="AQ289" s="190" t="str">
        <f>CONCATENATE(AN289,AO289,AP289)</f>
        <v>253-67824</v>
      </c>
      <c r="AR289" s="190" t="s">
        <v>690</v>
      </c>
      <c r="AS289" s="190"/>
      <c r="AT289" s="190"/>
      <c r="AU289" s="190"/>
      <c r="AV289" s="190"/>
      <c r="AW289" s="190"/>
      <c r="AX289" s="279" t="str">
        <f t="shared" si="128"/>
        <v/>
      </c>
    </row>
    <row r="290" spans="1:50" ht="15.75" thickBot="1" x14ac:dyDescent="0.3">
      <c r="A290" s="190" t="str">
        <f t="shared" si="133"/>
        <v>A62</v>
      </c>
      <c r="B290" s="279" t="str">
        <f t="shared" si="132"/>
        <v>253-67961</v>
      </c>
      <c r="C290" s="279"/>
      <c r="D290" s="279"/>
      <c r="E290" s="279">
        <f t="shared" si="134"/>
        <v>1</v>
      </c>
      <c r="F290" s="190" t="s">
        <v>535</v>
      </c>
      <c r="G290" s="198">
        <v>44671</v>
      </c>
      <c r="H290" s="217"/>
      <c r="I290" s="192"/>
      <c r="J290" s="205" t="s">
        <v>402</v>
      </c>
      <c r="K290" s="205" t="s">
        <v>1059</v>
      </c>
      <c r="L290" s="205" t="s">
        <v>686</v>
      </c>
      <c r="M290" s="192" t="s">
        <v>558</v>
      </c>
      <c r="N290" s="192">
        <v>52</v>
      </c>
      <c r="O290" s="229" t="s">
        <v>964</v>
      </c>
      <c r="P290" s="229" t="s">
        <v>1204</v>
      </c>
      <c r="Q290" s="231" t="str">
        <f t="shared" si="135"/>
        <v>A62. Airbag, STEERING WHEEL</v>
      </c>
      <c r="R290" s="284" t="str">
        <f>HYPERLINK(VLOOKUP(O290,'3D. Pictures'!$B$3:$E$500,4,FALSE),"PIC")</f>
        <v>PIC</v>
      </c>
      <c r="S290" s="373" t="str">
        <f t="shared" si="137"/>
        <v>E.G.</v>
      </c>
      <c r="T290" s="377" t="str">
        <f>IF(O290&lt;&gt;"",_xlfn.XLOOKUP(O290,'3D. Pictures'!B:B,'3D. Pictures'!E:E,"NOT FOUND",0,1),"")</f>
        <v>https://viking-pictures.s3.us-west-1.amazonaws.com/AA1155/A62.+Airbag%2C+STEERING+WHEEL+(1).JPG</v>
      </c>
      <c r="U290" s="192">
        <v>4</v>
      </c>
      <c r="V290" s="205" t="s">
        <v>1242</v>
      </c>
      <c r="W290" s="192" t="s">
        <v>111</v>
      </c>
      <c r="X290" s="205"/>
      <c r="Y290" s="16"/>
      <c r="Z290" s="205"/>
      <c r="AA290" s="205" t="s">
        <v>418</v>
      </c>
      <c r="AB290" s="205" t="s">
        <v>418</v>
      </c>
      <c r="AC290" s="358" t="str">
        <f t="shared" si="136"/>
        <v/>
      </c>
      <c r="AD290" s="205"/>
      <c r="AE290" s="205"/>
      <c r="AF290" s="201" t="s">
        <v>543</v>
      </c>
      <c r="AG290" s="205"/>
      <c r="AH290" s="167">
        <v>375</v>
      </c>
      <c r="AI290" s="380">
        <f t="shared" si="138"/>
        <v>390</v>
      </c>
      <c r="AJ290" s="204" t="s">
        <v>408</v>
      </c>
      <c r="AK290" s="204" t="s">
        <v>425</v>
      </c>
      <c r="AL290" s="204" t="s">
        <v>2175</v>
      </c>
      <c r="AM290" s="190"/>
      <c r="AN290" s="191" t="s">
        <v>625</v>
      </c>
      <c r="AO290" s="190" t="s">
        <v>572</v>
      </c>
      <c r="AP290" s="190">
        <v>67961</v>
      </c>
      <c r="AQ290" s="190" t="str">
        <f>CONCATENATE(AN290,AO290,AP290)</f>
        <v>253-67961</v>
      </c>
      <c r="AR290" s="190" t="s">
        <v>691</v>
      </c>
      <c r="AS290" s="190"/>
      <c r="AT290" s="190"/>
      <c r="AU290" s="190"/>
      <c r="AV290" s="190"/>
      <c r="AW290" s="190"/>
      <c r="AX290" s="279" t="str">
        <f t="shared" si="128"/>
        <v/>
      </c>
    </row>
    <row r="291" spans="1:50" ht="15.75" thickBot="1" x14ac:dyDescent="0.3">
      <c r="A291" s="190" t="str">
        <f t="shared" si="133"/>
        <v/>
      </c>
      <c r="B291" s="279" t="str">
        <f t="shared" si="132"/>
        <v/>
      </c>
      <c r="C291" s="279"/>
      <c r="D291" s="279"/>
      <c r="E291" s="279" t="str">
        <f t="shared" si="134"/>
        <v/>
      </c>
      <c r="F291" t="s">
        <v>535</v>
      </c>
      <c r="G291" s="188">
        <v>44683</v>
      </c>
      <c r="H291" s="16"/>
      <c r="I291" s="16"/>
      <c r="J291" s="16" t="s">
        <v>402</v>
      </c>
      <c r="K291" s="16" t="s">
        <v>1059</v>
      </c>
      <c r="L291" s="10" t="s">
        <v>2715</v>
      </c>
      <c r="M291" s="16" t="s">
        <v>559</v>
      </c>
      <c r="N291" s="16"/>
      <c r="O291" s="166"/>
      <c r="P291" s="166"/>
      <c r="Q291" s="231" t="str">
        <f t="shared" si="135"/>
        <v>. Ambient Air Temperature Sensor</v>
      </c>
      <c r="R291" s="231"/>
      <c r="S291" s="231" t="str">
        <f t="shared" si="137"/>
        <v/>
      </c>
      <c r="T291" s="231" t="str">
        <f>IF(O291&lt;&gt;"",_xlfn.XLOOKUP(O291,'3D. Pictures'!B:B,'3D. Pictures'!E:E,"NOT FOUND",0,1),"")</f>
        <v/>
      </c>
      <c r="U291" s="16"/>
      <c r="V291" s="16"/>
      <c r="W291" s="16"/>
      <c r="X291" s="16"/>
      <c r="Y291" s="243"/>
      <c r="Z291" s="16"/>
      <c r="AA291" s="16" t="s">
        <v>2566</v>
      </c>
      <c r="AB291" s="16" t="s">
        <v>2566</v>
      </c>
      <c r="AC291" s="358" t="str">
        <f t="shared" si="136"/>
        <v>small black w/ a purple front</v>
      </c>
      <c r="AD291" s="16"/>
      <c r="AE291" s="16" t="s">
        <v>2565</v>
      </c>
      <c r="AF291" s="168" t="s">
        <v>543</v>
      </c>
      <c r="AG291" s="16"/>
      <c r="AH291" s="16">
        <v>48</v>
      </c>
      <c r="AI291" s="380">
        <f t="shared" si="138"/>
        <v>48</v>
      </c>
      <c r="AJ291" s="3" t="s">
        <v>408</v>
      </c>
      <c r="AK291" s="3" t="s">
        <v>425</v>
      </c>
      <c r="AL291" s="3" t="s">
        <v>2175</v>
      </c>
      <c r="AN291"/>
      <c r="AX291" s="279" t="str">
        <f t="shared" si="128"/>
        <v/>
      </c>
    </row>
    <row r="292" spans="1:50" ht="15.75" thickBot="1" x14ac:dyDescent="0.3">
      <c r="A292" s="190" t="str">
        <f t="shared" si="133"/>
        <v>A19</v>
      </c>
      <c r="B292" s="279" t="str">
        <f t="shared" si="132"/>
        <v>615-58781</v>
      </c>
      <c r="C292" s="279"/>
      <c r="D292" s="279"/>
      <c r="E292" s="279">
        <f t="shared" si="134"/>
        <v>1</v>
      </c>
      <c r="F292" s="190" t="s">
        <v>535</v>
      </c>
      <c r="G292" s="198">
        <v>44683</v>
      </c>
      <c r="H292" s="205"/>
      <c r="I292" s="205"/>
      <c r="J292" s="205" t="s">
        <v>402</v>
      </c>
      <c r="K292" s="205" t="s">
        <v>1059</v>
      </c>
      <c r="L292" s="205" t="s">
        <v>692</v>
      </c>
      <c r="M292" s="192" t="s">
        <v>558</v>
      </c>
      <c r="N292" s="192">
        <v>9</v>
      </c>
      <c r="O292" s="229" t="s">
        <v>921</v>
      </c>
      <c r="P292" s="229" t="s">
        <v>1035</v>
      </c>
      <c r="Q292" s="231" t="str">
        <f t="shared" si="135"/>
        <v>A19. Blower Motor, FRONT FOOTWELL</v>
      </c>
      <c r="R292" s="284" t="str">
        <f>HYPERLINK(VLOOKUP(O292,'3D. Pictures'!$B$3:$E$500,4,FALSE),"PIC")</f>
        <v>PIC</v>
      </c>
      <c r="S292" s="373" t="str">
        <f t="shared" si="137"/>
        <v>E.G.</v>
      </c>
      <c r="T292" s="377" t="str">
        <f>IF(O292&lt;&gt;"",_xlfn.XLOOKUP(O292,'3D. Pictures'!B:B,'3D. Pictures'!E:E,"NOT FOUND",0,1),"")</f>
        <v>https://viking-pictures.s3.us-west-1.amazonaws.com/AA1155/A19.+Blower+Motor%2C+FRONT+FOOTWELL+(1).JPG</v>
      </c>
      <c r="U292" s="192">
        <v>4</v>
      </c>
      <c r="V292" s="205" t="s">
        <v>2158</v>
      </c>
      <c r="W292" s="192" t="s">
        <v>111</v>
      </c>
      <c r="X292" s="205"/>
      <c r="Y292" s="16"/>
      <c r="Z292" s="205"/>
      <c r="AA292" s="205" t="s">
        <v>693</v>
      </c>
      <c r="AB292" s="205" t="s">
        <v>693</v>
      </c>
      <c r="AC292" s="358" t="str">
        <f t="shared" si="136"/>
        <v>w/ resistor, toss both if 1 bad</v>
      </c>
      <c r="AD292" s="205" t="s">
        <v>694</v>
      </c>
      <c r="AE292" s="205"/>
      <c r="AF292" s="201" t="s">
        <v>543</v>
      </c>
      <c r="AG292" s="205"/>
      <c r="AH292" s="16">
        <v>95</v>
      </c>
      <c r="AI292" s="380">
        <f t="shared" si="138"/>
        <v>95</v>
      </c>
      <c r="AJ292" s="204" t="s">
        <v>408</v>
      </c>
      <c r="AK292" s="204" t="s">
        <v>425</v>
      </c>
      <c r="AL292" s="204" t="s">
        <v>2175</v>
      </c>
      <c r="AM292" s="190"/>
      <c r="AN292" s="191" t="s">
        <v>626</v>
      </c>
      <c r="AO292" s="190" t="s">
        <v>572</v>
      </c>
      <c r="AP292" s="190">
        <v>58781</v>
      </c>
      <c r="AQ292" s="190" t="str">
        <f>CONCATENATE(AN292,AO292,AP292)</f>
        <v>615-58781</v>
      </c>
      <c r="AR292" s="190"/>
      <c r="AS292" s="190"/>
      <c r="AT292" s="190"/>
      <c r="AU292" s="190"/>
      <c r="AV292" s="190"/>
      <c r="AW292" s="190"/>
      <c r="AX292" s="279" t="str">
        <f t="shared" si="128"/>
        <v/>
      </c>
    </row>
    <row r="293" spans="1:50" ht="15.75" thickBot="1" x14ac:dyDescent="0.3">
      <c r="A293" s="190" t="str">
        <f t="shared" si="133"/>
        <v/>
      </c>
      <c r="B293" s="279" t="str">
        <f t="shared" si="132"/>
        <v/>
      </c>
      <c r="C293" s="279"/>
      <c r="D293" s="279"/>
      <c r="E293" s="279" t="str">
        <f t="shared" si="134"/>
        <v/>
      </c>
      <c r="F293" t="s">
        <v>535</v>
      </c>
      <c r="G293" s="188">
        <v>44684</v>
      </c>
      <c r="H293" s="156"/>
      <c r="I293" s="170" t="s">
        <v>7</v>
      </c>
      <c r="J293" s="168" t="s">
        <v>402</v>
      </c>
      <c r="K293" s="168" t="s">
        <v>1059</v>
      </c>
      <c r="L293" s="168" t="s">
        <v>2688</v>
      </c>
      <c r="M293" s="16" t="s">
        <v>559</v>
      </c>
      <c r="N293" s="16"/>
      <c r="O293" s="166"/>
      <c r="P293" s="166"/>
      <c r="Q293" s="231" t="str">
        <f t="shared" si="135"/>
        <v>. Center Console Storage Compartment &amp; Lid</v>
      </c>
      <c r="R293" s="231"/>
      <c r="S293" s="231" t="str">
        <f t="shared" si="137"/>
        <v/>
      </c>
      <c r="T293" s="231" t="str">
        <f>IF(O293&lt;&gt;"",_xlfn.XLOOKUP(O293,'3D. Pictures'!B:B,'3D. Pictures'!E:E,"NOT FOUND",0,1),"")</f>
        <v/>
      </c>
      <c r="U293" s="16"/>
      <c r="V293" s="16"/>
      <c r="W293" s="16"/>
      <c r="X293" s="16"/>
      <c r="Y293" s="243"/>
      <c r="Z293" s="16"/>
      <c r="AA293" s="168" t="s">
        <v>2568</v>
      </c>
      <c r="AB293" s="168" t="s">
        <v>2568</v>
      </c>
      <c r="AC293" s="247" t="str">
        <f t="shared" si="136"/>
        <v>keep switches &amp; mats IN</v>
      </c>
      <c r="AD293" s="168" t="s">
        <v>2567</v>
      </c>
      <c r="AE293" s="168"/>
      <c r="AF293" s="168" t="s">
        <v>543</v>
      </c>
      <c r="AG293" s="168"/>
      <c r="AH293" s="168">
        <v>200</v>
      </c>
      <c r="AI293" s="380">
        <f t="shared" si="138"/>
        <v>200</v>
      </c>
      <c r="AJ293" s="3" t="s">
        <v>408</v>
      </c>
      <c r="AK293" s="3" t="s">
        <v>425</v>
      </c>
      <c r="AL293" s="3" t="s">
        <v>2175</v>
      </c>
      <c r="AN293"/>
      <c r="AX293" s="279" t="str">
        <f t="shared" ref="AX293:AX355" si="141">IF(AW293&lt;&gt;"",_xlfn.TEXTJOIN("-",TRUE,AV293,AW293),"")</f>
        <v/>
      </c>
    </row>
    <row r="294" spans="1:50" ht="15.75" thickBot="1" x14ac:dyDescent="0.3">
      <c r="A294" s="190" t="str">
        <f t="shared" si="133"/>
        <v>A36</v>
      </c>
      <c r="B294" s="279" t="str">
        <f t="shared" si="132"/>
        <v/>
      </c>
      <c r="C294" s="279"/>
      <c r="D294" s="279"/>
      <c r="E294" s="279" t="str">
        <f t="shared" si="134"/>
        <v/>
      </c>
      <c r="F294" s="241" t="s">
        <v>535</v>
      </c>
      <c r="G294" s="242">
        <v>45248</v>
      </c>
      <c r="H294" s="265"/>
      <c r="I294" s="249"/>
      <c r="J294" s="179" t="s">
        <v>402</v>
      </c>
      <c r="K294" s="179" t="s">
        <v>1059</v>
      </c>
      <c r="L294" s="179" t="s">
        <v>1380</v>
      </c>
      <c r="M294" s="243" t="s">
        <v>559</v>
      </c>
      <c r="N294" s="243">
        <v>26</v>
      </c>
      <c r="O294" s="244" t="s">
        <v>938</v>
      </c>
      <c r="P294" s="244" t="s">
        <v>1168</v>
      </c>
      <c r="Q294" s="231" t="str">
        <f t="shared" si="135"/>
        <v>A36. Center Console Cell Phone Cradle</v>
      </c>
      <c r="R294" s="284" t="str">
        <f>HYPERLINK(VLOOKUP(O294,'3D. Pictures'!$B$3:$E$500,4,FALSE),"PIC")</f>
        <v>PIC</v>
      </c>
      <c r="S294" s="373" t="str">
        <f t="shared" si="137"/>
        <v>E.G.</v>
      </c>
      <c r="T294" s="377" t="str">
        <f>IF(O294&lt;&gt;"",_xlfn.XLOOKUP(O294,'3D. Pictures'!B:B,'3D. Pictures'!E:E,"NOT FOUND",0,1),"")</f>
        <v>https://viking-pictures.s3.us-west-1.amazonaws.com/AA1155/A36.+Center+Console+Cell+Phone+Cradle+(1).JPG</v>
      </c>
      <c r="U294" s="243">
        <v>4</v>
      </c>
      <c r="V294" s="243" t="s">
        <v>1205</v>
      </c>
      <c r="W294" s="243" t="s">
        <v>111</v>
      </c>
      <c r="X294" s="243"/>
      <c r="Y294" s="243"/>
      <c r="Z294" s="243"/>
      <c r="AA294" s="179" t="s">
        <v>1189</v>
      </c>
      <c r="AB294" s="179" t="s">
        <v>1189</v>
      </c>
      <c r="AC294" s="247" t="str">
        <f t="shared" si="136"/>
        <v/>
      </c>
      <c r="AD294" s="179"/>
      <c r="AE294" s="179"/>
      <c r="AF294" s="179" t="s">
        <v>543</v>
      </c>
      <c r="AG294" s="179"/>
      <c r="AH294" s="168">
        <v>75</v>
      </c>
      <c r="AI294" s="380">
        <f t="shared" si="138"/>
        <v>75</v>
      </c>
      <c r="AJ294" s="246" t="s">
        <v>408</v>
      </c>
      <c r="AK294" s="246" t="s">
        <v>425</v>
      </c>
      <c r="AL294" s="246" t="s">
        <v>2175</v>
      </c>
      <c r="AM294" s="241"/>
      <c r="AN294" s="241"/>
      <c r="AO294" s="241"/>
      <c r="AP294" s="241"/>
      <c r="AQ294" s="241"/>
      <c r="AR294" s="241"/>
      <c r="AS294" s="241" t="s">
        <v>1028</v>
      </c>
      <c r="AT294" s="241" t="s">
        <v>1029</v>
      </c>
      <c r="AU294" s="241" t="s">
        <v>1030</v>
      </c>
      <c r="AV294" s="303" t="str">
        <f t="shared" ref="AV294" si="142">CONCATENATE(AS294,"-",AT294,"-",AU294)</f>
        <v>F15-14-18-ALL</v>
      </c>
      <c r="AW294" s="241" t="s">
        <v>2390</v>
      </c>
      <c r="AX294" s="279" t="str">
        <f t="shared" si="141"/>
        <v>F15-14-18-ALL-Viking24</v>
      </c>
    </row>
    <row r="295" spans="1:50" ht="15.75" thickBot="1" x14ac:dyDescent="0.3">
      <c r="A295" s="190" t="str">
        <f t="shared" si="133"/>
        <v/>
      </c>
      <c r="B295" s="279" t="str">
        <f t="shared" si="132"/>
        <v>629-61109</v>
      </c>
      <c r="C295" s="279"/>
      <c r="D295" s="279"/>
      <c r="E295" s="279">
        <f t="shared" si="134"/>
        <v>1</v>
      </c>
      <c r="F295" s="190" t="s">
        <v>535</v>
      </c>
      <c r="G295" s="198">
        <v>44684</v>
      </c>
      <c r="H295" s="205"/>
      <c r="I295" s="205"/>
      <c r="J295" s="205" t="s">
        <v>402</v>
      </c>
      <c r="K295" s="205" t="s">
        <v>1059</v>
      </c>
      <c r="L295" s="205" t="s">
        <v>780</v>
      </c>
      <c r="M295" s="192" t="s">
        <v>558</v>
      </c>
      <c r="N295" s="192"/>
      <c r="O295" s="229"/>
      <c r="P295" s="229"/>
      <c r="Q295" s="231" t="str">
        <f t="shared" si="135"/>
        <v>. Combination Switch Assembly</v>
      </c>
      <c r="R295" s="231"/>
      <c r="S295" s="231" t="str">
        <f t="shared" si="137"/>
        <v/>
      </c>
      <c r="T295" s="231" t="str">
        <f>IF(O295&lt;&gt;"",_xlfn.XLOOKUP(O295,'3D. Pictures'!B:B,'3D. Pictures'!E:E,"NOT FOUND",0,1),"")</f>
        <v/>
      </c>
      <c r="U295" s="192"/>
      <c r="V295" s="205"/>
      <c r="W295" s="192"/>
      <c r="X295" s="205"/>
      <c r="Y295" s="243"/>
      <c r="Z295" s="205"/>
      <c r="AA295" s="205" t="s">
        <v>779</v>
      </c>
      <c r="AB295" s="205" t="s">
        <v>779</v>
      </c>
      <c r="AC295" s="358" t="str">
        <f t="shared" si="136"/>
        <v>assembly, but toss steering wheel adjust switch</v>
      </c>
      <c r="AD295" s="205" t="s">
        <v>778</v>
      </c>
      <c r="AE295" s="205"/>
      <c r="AF295" s="201" t="s">
        <v>543</v>
      </c>
      <c r="AG295" s="205"/>
      <c r="AH295" s="363">
        <v>148</v>
      </c>
      <c r="AI295" s="380">
        <f t="shared" si="138"/>
        <v>148</v>
      </c>
      <c r="AJ295" s="204" t="s">
        <v>408</v>
      </c>
      <c r="AK295" s="204" t="s">
        <v>425</v>
      </c>
      <c r="AL295" s="204" t="s">
        <v>2175</v>
      </c>
      <c r="AM295" s="190"/>
      <c r="AN295" s="191" t="s">
        <v>627</v>
      </c>
      <c r="AO295" s="190" t="s">
        <v>572</v>
      </c>
      <c r="AP295" s="190">
        <v>61109</v>
      </c>
      <c r="AQ295" s="190" t="str">
        <f>CONCATENATE(AN295,AO295,AP295)</f>
        <v>629-61109</v>
      </c>
      <c r="AR295" s="190" t="s">
        <v>781</v>
      </c>
      <c r="AS295" s="190"/>
      <c r="AT295" s="190"/>
      <c r="AU295" s="190"/>
      <c r="AV295" s="190"/>
      <c r="AW295" s="190"/>
      <c r="AX295" s="279" t="str">
        <f t="shared" si="141"/>
        <v/>
      </c>
    </row>
    <row r="296" spans="1:50" ht="15.75" thickBot="1" x14ac:dyDescent="0.3">
      <c r="A296" s="190" t="str">
        <f t="shared" si="133"/>
        <v>A51</v>
      </c>
      <c r="B296" s="279" t="str">
        <f t="shared" si="132"/>
        <v>629-61110</v>
      </c>
      <c r="C296" s="279"/>
      <c r="D296" s="279"/>
      <c r="E296" s="279">
        <f t="shared" si="134"/>
        <v>1</v>
      </c>
      <c r="F296" s="190" t="s">
        <v>535</v>
      </c>
      <c r="G296" s="198">
        <v>44684</v>
      </c>
      <c r="H296" s="205"/>
      <c r="I296" s="205"/>
      <c r="J296" s="205" t="s">
        <v>402</v>
      </c>
      <c r="K296" s="205" t="s">
        <v>1059</v>
      </c>
      <c r="L296" s="205" t="s">
        <v>780</v>
      </c>
      <c r="M296" s="192" t="s">
        <v>558</v>
      </c>
      <c r="N296" s="192">
        <v>41</v>
      </c>
      <c r="O296" s="229" t="s">
        <v>953</v>
      </c>
      <c r="P296" s="229" t="s">
        <v>1204</v>
      </c>
      <c r="Q296" s="231" t="str">
        <f t="shared" si="135"/>
        <v>A51. Combination Switch Assembly</v>
      </c>
      <c r="R296" s="284" t="str">
        <f>HYPERLINK(VLOOKUP(O296,'3D. Pictures'!$B$3:$E$500,4,FALSE),"PIC")</f>
        <v>PIC</v>
      </c>
      <c r="S296" s="373" t="str">
        <f t="shared" si="137"/>
        <v>E.G.</v>
      </c>
      <c r="T296" s="377" t="str">
        <f>IF(O296&lt;&gt;"",_xlfn.XLOOKUP(O296,'3D. Pictures'!B:B,'3D. Pictures'!E:E,"NOT FOUND",0,1),"")</f>
        <v>https://viking-pictures.s3.us-west-1.amazonaws.com/AA1155/A51.+Combination+Switch+Assembly+(1).JPG</v>
      </c>
      <c r="U296" s="192">
        <v>6</v>
      </c>
      <c r="V296" s="205" t="s">
        <v>1216</v>
      </c>
      <c r="W296" s="192" t="s">
        <v>112</v>
      </c>
      <c r="X296" s="205"/>
      <c r="Y296" s="243"/>
      <c r="Z296" s="205"/>
      <c r="AA296" s="205" t="s">
        <v>779</v>
      </c>
      <c r="AB296" s="205" t="s">
        <v>779</v>
      </c>
      <c r="AC296" s="358" t="str">
        <f t="shared" si="136"/>
        <v>assembly, but toss steering wheel adjust switch</v>
      </c>
      <c r="AD296" s="205" t="s">
        <v>778</v>
      </c>
      <c r="AE296" s="205"/>
      <c r="AF296" s="201" t="s">
        <v>543</v>
      </c>
      <c r="AG296" s="205"/>
      <c r="AH296" s="363">
        <v>148</v>
      </c>
      <c r="AI296" s="380">
        <f t="shared" si="138"/>
        <v>148</v>
      </c>
      <c r="AJ296" s="204" t="s">
        <v>408</v>
      </c>
      <c r="AK296" s="204" t="s">
        <v>425</v>
      </c>
      <c r="AL296" s="204" t="s">
        <v>2175</v>
      </c>
      <c r="AM296" s="190"/>
      <c r="AN296" s="191" t="s">
        <v>627</v>
      </c>
      <c r="AO296" s="190" t="s">
        <v>572</v>
      </c>
      <c r="AP296" s="190">
        <v>61110</v>
      </c>
      <c r="AQ296" s="190" t="str">
        <f>CONCATENATE(AN296,AO296,AP296)</f>
        <v>629-61110</v>
      </c>
      <c r="AR296" s="190" t="s">
        <v>782</v>
      </c>
      <c r="AS296" s="190"/>
      <c r="AT296" s="190"/>
      <c r="AU296" s="190"/>
      <c r="AV296" s="190"/>
      <c r="AW296" s="190"/>
      <c r="AX296" s="279" t="str">
        <f t="shared" si="141"/>
        <v/>
      </c>
    </row>
    <row r="297" spans="1:50" x14ac:dyDescent="0.25">
      <c r="A297" s="190" t="str">
        <f t="shared" si="133"/>
        <v/>
      </c>
      <c r="B297" s="279" t="str">
        <f t="shared" si="132"/>
        <v>629-61111</v>
      </c>
      <c r="C297" s="279"/>
      <c r="D297" s="279"/>
      <c r="E297" s="279">
        <f t="shared" si="134"/>
        <v>1</v>
      </c>
      <c r="F297" s="190" t="s">
        <v>535</v>
      </c>
      <c r="G297" s="198">
        <v>44684</v>
      </c>
      <c r="H297" s="205"/>
      <c r="I297" s="205"/>
      <c r="J297" s="205" t="s">
        <v>402</v>
      </c>
      <c r="K297" s="205" t="s">
        <v>1059</v>
      </c>
      <c r="L297" s="205" t="s">
        <v>780</v>
      </c>
      <c r="M297" s="192" t="s">
        <v>558</v>
      </c>
      <c r="N297" s="192"/>
      <c r="O297" s="229"/>
      <c r="P297" s="229"/>
      <c r="Q297" s="231" t="str">
        <f t="shared" si="135"/>
        <v>. Combination Switch Assembly</v>
      </c>
      <c r="R297" s="231"/>
      <c r="S297" s="231" t="str">
        <f t="shared" si="137"/>
        <v/>
      </c>
      <c r="T297" s="231" t="str">
        <f>IF(O297&lt;&gt;"",_xlfn.XLOOKUP(O297,'3D. Pictures'!B:B,'3D. Pictures'!E:E,"NOT FOUND",0,1),"")</f>
        <v/>
      </c>
      <c r="U297" s="192"/>
      <c r="V297" s="205"/>
      <c r="W297" s="192"/>
      <c r="X297" s="205"/>
      <c r="Y297" s="16"/>
      <c r="Z297" s="205"/>
      <c r="AA297" s="205" t="s">
        <v>779</v>
      </c>
      <c r="AB297" s="205" t="s">
        <v>779</v>
      </c>
      <c r="AC297" s="358" t="str">
        <f t="shared" si="136"/>
        <v>assembly, but toss steering wheel adjust switch</v>
      </c>
      <c r="AD297" s="205" t="s">
        <v>778</v>
      </c>
      <c r="AE297" s="205"/>
      <c r="AF297" s="201" t="s">
        <v>543</v>
      </c>
      <c r="AG297" s="205"/>
      <c r="AH297" s="363">
        <v>148</v>
      </c>
      <c r="AI297" s="380">
        <f t="shared" si="138"/>
        <v>148</v>
      </c>
      <c r="AJ297" s="204" t="s">
        <v>408</v>
      </c>
      <c r="AK297" s="204" t="s">
        <v>425</v>
      </c>
      <c r="AL297" s="204" t="s">
        <v>2175</v>
      </c>
      <c r="AM297" s="190"/>
      <c r="AN297" s="191" t="s">
        <v>627</v>
      </c>
      <c r="AO297" s="190" t="s">
        <v>572</v>
      </c>
      <c r="AP297" s="190">
        <v>61111</v>
      </c>
      <c r="AQ297" s="190" t="str">
        <f>CONCATENATE(AN297,AO297,AP297)</f>
        <v>629-61111</v>
      </c>
      <c r="AR297" s="190" t="s">
        <v>783</v>
      </c>
      <c r="AS297" s="190"/>
      <c r="AT297" s="190"/>
      <c r="AU297" s="190"/>
      <c r="AV297" s="190"/>
      <c r="AW297" s="190"/>
      <c r="AX297" s="279" t="str">
        <f t="shared" si="141"/>
        <v/>
      </c>
    </row>
    <row r="298" spans="1:50" x14ac:dyDescent="0.25">
      <c r="A298" s="190" t="str">
        <f t="shared" si="133"/>
        <v/>
      </c>
      <c r="B298" s="279" t="str">
        <f t="shared" si="132"/>
        <v>629-61112</v>
      </c>
      <c r="C298" s="279"/>
      <c r="D298" s="279"/>
      <c r="E298" s="279">
        <f t="shared" si="134"/>
        <v>1</v>
      </c>
      <c r="F298" s="190" t="s">
        <v>535</v>
      </c>
      <c r="G298" s="198">
        <v>44684</v>
      </c>
      <c r="H298" s="205"/>
      <c r="I298" s="205"/>
      <c r="J298" s="205" t="s">
        <v>402</v>
      </c>
      <c r="K298" s="205" t="s">
        <v>1059</v>
      </c>
      <c r="L298" s="205" t="s">
        <v>780</v>
      </c>
      <c r="M298" s="192" t="s">
        <v>558</v>
      </c>
      <c r="N298" s="192"/>
      <c r="O298" s="229"/>
      <c r="P298" s="229"/>
      <c r="Q298" s="231" t="str">
        <f t="shared" si="135"/>
        <v>. Combination Switch Assembly</v>
      </c>
      <c r="R298" s="231"/>
      <c r="S298" s="231" t="str">
        <f t="shared" si="137"/>
        <v/>
      </c>
      <c r="T298" s="231" t="str">
        <f>IF(O298&lt;&gt;"",_xlfn.XLOOKUP(O298,'3D. Pictures'!B:B,'3D. Pictures'!E:E,"NOT FOUND",0,1),"")</f>
        <v/>
      </c>
      <c r="U298" s="192"/>
      <c r="V298" s="205"/>
      <c r="W298" s="192"/>
      <c r="X298" s="205"/>
      <c r="Y298" s="201"/>
      <c r="Z298" s="205"/>
      <c r="AA298" s="205" t="s">
        <v>779</v>
      </c>
      <c r="AB298" s="205" t="s">
        <v>779</v>
      </c>
      <c r="AC298" s="358" t="str">
        <f t="shared" si="136"/>
        <v>assembly, but toss steering wheel adjust switch</v>
      </c>
      <c r="AD298" s="205" t="s">
        <v>778</v>
      </c>
      <c r="AE298" s="205"/>
      <c r="AF298" s="201" t="s">
        <v>543</v>
      </c>
      <c r="AG298" s="205"/>
      <c r="AH298" s="363">
        <v>148</v>
      </c>
      <c r="AI298" s="380">
        <f t="shared" si="138"/>
        <v>148</v>
      </c>
      <c r="AJ298" s="204" t="s">
        <v>408</v>
      </c>
      <c r="AK298" s="204" t="s">
        <v>425</v>
      </c>
      <c r="AL298" s="204" t="s">
        <v>2175</v>
      </c>
      <c r="AM298" s="190"/>
      <c r="AN298" s="191" t="s">
        <v>627</v>
      </c>
      <c r="AO298" s="190" t="s">
        <v>572</v>
      </c>
      <c r="AP298" s="190">
        <v>61112</v>
      </c>
      <c r="AQ298" s="190" t="str">
        <f>CONCATENATE(AN298,AO298,AP298)</f>
        <v>629-61112</v>
      </c>
      <c r="AR298" s="190" t="s">
        <v>784</v>
      </c>
      <c r="AS298" s="190"/>
      <c r="AT298" s="190"/>
      <c r="AU298" s="190"/>
      <c r="AV298" s="190"/>
      <c r="AW298" s="190"/>
      <c r="AX298" s="279" t="str">
        <f t="shared" si="141"/>
        <v/>
      </c>
    </row>
    <row r="299" spans="1:50" ht="15.75" thickBot="1" x14ac:dyDescent="0.3">
      <c r="A299" s="190" t="str">
        <f t="shared" si="133"/>
        <v/>
      </c>
      <c r="B299" s="279" t="str">
        <f t="shared" si="132"/>
        <v/>
      </c>
      <c r="C299" s="279"/>
      <c r="D299" s="279"/>
      <c r="E299" s="279" t="str">
        <f t="shared" si="134"/>
        <v/>
      </c>
      <c r="F299" t="s">
        <v>535</v>
      </c>
      <c r="G299" s="188">
        <v>44684</v>
      </c>
      <c r="H299" s="156"/>
      <c r="I299" s="170" t="s">
        <v>7</v>
      </c>
      <c r="J299" s="168" t="s">
        <v>402</v>
      </c>
      <c r="K299" s="168" t="s">
        <v>1059</v>
      </c>
      <c r="L299" s="168" t="s">
        <v>2689</v>
      </c>
      <c r="M299" s="16" t="s">
        <v>559</v>
      </c>
      <c r="N299" s="16"/>
      <c r="O299" s="166"/>
      <c r="P299" s="166"/>
      <c r="Q299" s="231" t="str">
        <f t="shared" si="135"/>
        <v>. Cup Holder, FRONT CENTER CONSOLE</v>
      </c>
      <c r="R299" s="231"/>
      <c r="S299" s="231" t="str">
        <f t="shared" si="137"/>
        <v/>
      </c>
      <c r="T299" s="231" t="str">
        <f>IF(O299&lt;&gt;"",_xlfn.XLOOKUP(O299,'3D. Pictures'!B:B,'3D. Pictures'!E:E,"NOT FOUND",0,1),"")</f>
        <v/>
      </c>
      <c r="U299" s="16"/>
      <c r="V299" s="16"/>
      <c r="W299" s="16"/>
      <c r="X299" s="16"/>
      <c r="Y299" s="16"/>
      <c r="Z299" s="16"/>
      <c r="AA299" s="168" t="s">
        <v>2571</v>
      </c>
      <c r="AB299" s="168" t="s">
        <v>2571</v>
      </c>
      <c r="AC299" s="247" t="str">
        <f t="shared" si="136"/>
        <v>leave all components in | one w/ roll up door</v>
      </c>
      <c r="AD299" s="168" t="s">
        <v>2569</v>
      </c>
      <c r="AE299" s="168" t="s">
        <v>2570</v>
      </c>
      <c r="AF299" s="168" t="s">
        <v>543</v>
      </c>
      <c r="AG299" s="168"/>
      <c r="AH299" s="168">
        <v>128</v>
      </c>
      <c r="AI299" s="380">
        <f t="shared" si="138"/>
        <v>128</v>
      </c>
      <c r="AJ299" s="3" t="s">
        <v>408</v>
      </c>
      <c r="AK299" s="3" t="s">
        <v>425</v>
      </c>
      <c r="AL299" s="3" t="s">
        <v>2175</v>
      </c>
      <c r="AN299"/>
      <c r="AX299" s="279" t="str">
        <f t="shared" si="141"/>
        <v/>
      </c>
    </row>
    <row r="300" spans="1:50" ht="15.75" thickBot="1" x14ac:dyDescent="0.3">
      <c r="A300" s="190" t="str">
        <f t="shared" si="133"/>
        <v>A61</v>
      </c>
      <c r="B300" s="279" t="str">
        <f t="shared" si="132"/>
        <v/>
      </c>
      <c r="C300" s="279"/>
      <c r="D300" s="279"/>
      <c r="E300" s="279" t="str">
        <f t="shared" si="134"/>
        <v/>
      </c>
      <c r="F300" s="241" t="s">
        <v>535</v>
      </c>
      <c r="G300" s="242">
        <v>44683</v>
      </c>
      <c r="H300" s="243"/>
      <c r="I300" s="243"/>
      <c r="J300" s="243" t="s">
        <v>402</v>
      </c>
      <c r="K300" s="243" t="s">
        <v>1059</v>
      </c>
      <c r="L300" s="243" t="s">
        <v>2698</v>
      </c>
      <c r="M300" s="243" t="s">
        <v>559</v>
      </c>
      <c r="N300" s="243">
        <v>51</v>
      </c>
      <c r="O300" s="244" t="s">
        <v>963</v>
      </c>
      <c r="P300" s="244" t="s">
        <v>1204</v>
      </c>
      <c r="Q300" s="231" t="str">
        <f t="shared" si="135"/>
        <v>A61. Dome Light, FRONT PRIMARY ONE</v>
      </c>
      <c r="R300" s="284" t="str">
        <f>HYPERLINK(VLOOKUP(O300,'3D. Pictures'!$B$3:$E$500,4,FALSE),"PIC")</f>
        <v>PIC</v>
      </c>
      <c r="S300" s="373" t="str">
        <f t="shared" si="137"/>
        <v>E.G.</v>
      </c>
      <c r="T300" s="377" t="str">
        <f>IF(O300&lt;&gt;"",_xlfn.XLOOKUP(O300,'3D. Pictures'!B:B,'3D. Pictures'!E:E,"NOT FOUND",0,1),"")</f>
        <v>https://viking-pictures.s3.us-west-1.amazonaws.com/AA1155/A61.+Dome+Light%2C+FRONT+PRIMARY+ONE+(1).JPG</v>
      </c>
      <c r="U300" s="243">
        <v>5</v>
      </c>
      <c r="V300" s="243">
        <v>9319967</v>
      </c>
      <c r="W300" s="243" t="s">
        <v>111</v>
      </c>
      <c r="X300" s="243"/>
      <c r="Y300" s="16"/>
      <c r="Z300" s="243"/>
      <c r="AA300" s="243" t="s">
        <v>1241</v>
      </c>
      <c r="AB300" s="243" t="s">
        <v>1241</v>
      </c>
      <c r="AC300" s="358" t="str">
        <f t="shared" si="136"/>
        <v/>
      </c>
      <c r="AD300" s="243"/>
      <c r="AE300" s="243"/>
      <c r="AF300" s="179" t="s">
        <v>543</v>
      </c>
      <c r="AG300" s="243"/>
      <c r="AH300" s="16">
        <v>150</v>
      </c>
      <c r="AI300" s="380">
        <f t="shared" si="138"/>
        <v>150</v>
      </c>
      <c r="AJ300" s="246" t="s">
        <v>408</v>
      </c>
      <c r="AK300" s="246" t="s">
        <v>425</v>
      </c>
      <c r="AL300" s="246" t="s">
        <v>2175</v>
      </c>
      <c r="AM300" s="241"/>
      <c r="AN300" s="241"/>
      <c r="AO300" s="241"/>
      <c r="AP300" s="241"/>
      <c r="AQ300" s="241"/>
      <c r="AR300" s="241"/>
      <c r="AS300" s="241" t="s">
        <v>1028</v>
      </c>
      <c r="AT300" s="241" t="s">
        <v>1029</v>
      </c>
      <c r="AU300" s="241" t="s">
        <v>1030</v>
      </c>
      <c r="AV300" s="303" t="str">
        <f t="shared" ref="AV300" si="143">CONCATENATE(AS300,"-",AT300,"-",AU300)</f>
        <v>F15-14-18-ALL</v>
      </c>
      <c r="AW300" s="241" t="s">
        <v>2391</v>
      </c>
      <c r="AX300" s="279" t="str">
        <f t="shared" si="141"/>
        <v>F15-14-18-ALL-Viking25</v>
      </c>
    </row>
    <row r="301" spans="1:50" x14ac:dyDescent="0.25">
      <c r="A301" s="190" t="str">
        <f t="shared" si="133"/>
        <v/>
      </c>
      <c r="B301" s="279" t="str">
        <f t="shared" si="132"/>
        <v>242-999155</v>
      </c>
      <c r="C301" s="279"/>
      <c r="D301" s="279"/>
      <c r="E301" s="279">
        <f t="shared" si="134"/>
        <v>1</v>
      </c>
      <c r="F301" s="190" t="s">
        <v>535</v>
      </c>
      <c r="G301" s="198">
        <v>44684</v>
      </c>
      <c r="H301" s="205"/>
      <c r="I301" s="205" t="s">
        <v>7</v>
      </c>
      <c r="J301" s="205" t="s">
        <v>402</v>
      </c>
      <c r="K301" s="205" t="s">
        <v>1059</v>
      </c>
      <c r="L301" s="205" t="s">
        <v>1361</v>
      </c>
      <c r="M301" s="212" t="s">
        <v>560</v>
      </c>
      <c r="N301" s="212"/>
      <c r="O301" s="236"/>
      <c r="P301" s="236"/>
      <c r="Q301" s="231" t="str">
        <f t="shared" si="135"/>
        <v>. Shifter</v>
      </c>
      <c r="R301" s="206"/>
      <c r="S301" s="206" t="str">
        <f t="shared" si="137"/>
        <v/>
      </c>
      <c r="T301" s="206" t="str">
        <f>IF(O301&lt;&gt;"",_xlfn.XLOOKUP(O301,'3D. Pictures'!B:B,'3D. Pictures'!E:E,"NOT FOUND",0,1),"")</f>
        <v/>
      </c>
      <c r="U301" s="212"/>
      <c r="V301" s="205"/>
      <c r="W301" s="212"/>
      <c r="X301" s="205"/>
      <c r="Y301" s="16"/>
      <c r="Z301" s="205"/>
      <c r="AA301" s="205" t="s">
        <v>1361</v>
      </c>
      <c r="AB301" s="205" t="s">
        <v>1361</v>
      </c>
      <c r="AC301" s="358" t="str">
        <f t="shared" si="136"/>
        <v>w/ parking switch &amp; trim (they are worthless solo)</v>
      </c>
      <c r="AD301" s="205" t="s">
        <v>1362</v>
      </c>
      <c r="AE301" s="205"/>
      <c r="AF301" s="201" t="s">
        <v>543</v>
      </c>
      <c r="AG301" s="205"/>
      <c r="AH301" s="363">
        <v>275</v>
      </c>
      <c r="AI301" s="380">
        <f t="shared" si="138"/>
        <v>225</v>
      </c>
      <c r="AJ301" s="204" t="s">
        <v>408</v>
      </c>
      <c r="AK301" s="204" t="s">
        <v>425</v>
      </c>
      <c r="AL301" s="204" t="s">
        <v>2175</v>
      </c>
      <c r="AM301" s="190"/>
      <c r="AN301" s="191">
        <v>242</v>
      </c>
      <c r="AO301" s="190" t="s">
        <v>572</v>
      </c>
      <c r="AP301" s="190">
        <v>999155</v>
      </c>
      <c r="AQ301" s="190" t="str">
        <f>CONCATENATE(AN301,AO301,AP301)</f>
        <v>242-999155</v>
      </c>
      <c r="AR301" s="190" t="s">
        <v>1359</v>
      </c>
      <c r="AS301" s="190"/>
      <c r="AT301" s="190"/>
      <c r="AU301" s="190"/>
      <c r="AV301" s="190"/>
      <c r="AW301" s="190"/>
      <c r="AX301" s="279" t="str">
        <f t="shared" si="141"/>
        <v/>
      </c>
    </row>
    <row r="302" spans="1:50" x14ac:dyDescent="0.25">
      <c r="A302" s="190" t="str">
        <f t="shared" si="133"/>
        <v/>
      </c>
      <c r="B302" s="279" t="str">
        <f t="shared" si="132"/>
        <v>242-999156</v>
      </c>
      <c r="C302" s="279"/>
      <c r="D302" s="279"/>
      <c r="E302" s="279">
        <f t="shared" si="134"/>
        <v>1</v>
      </c>
      <c r="F302" s="190" t="s">
        <v>535</v>
      </c>
      <c r="G302" s="198">
        <v>44684</v>
      </c>
      <c r="H302" s="205"/>
      <c r="I302" s="205" t="s">
        <v>7</v>
      </c>
      <c r="J302" s="205" t="s">
        <v>402</v>
      </c>
      <c r="K302" s="205" t="s">
        <v>1059</v>
      </c>
      <c r="L302" s="205" t="s">
        <v>1361</v>
      </c>
      <c r="M302" s="212" t="s">
        <v>560</v>
      </c>
      <c r="N302" s="212"/>
      <c r="O302" s="236"/>
      <c r="P302" s="236"/>
      <c r="Q302" s="231" t="str">
        <f t="shared" si="135"/>
        <v>. Shifter</v>
      </c>
      <c r="R302" s="206"/>
      <c r="S302" s="206" t="str">
        <f t="shared" si="137"/>
        <v/>
      </c>
      <c r="T302" s="206" t="str">
        <f>IF(O302&lt;&gt;"",_xlfn.XLOOKUP(O302,'3D. Pictures'!B:B,'3D. Pictures'!E:E,"NOT FOUND",0,1),"")</f>
        <v/>
      </c>
      <c r="U302" s="212"/>
      <c r="V302" s="205"/>
      <c r="W302" s="212"/>
      <c r="X302" s="205"/>
      <c r="Y302" s="16"/>
      <c r="Z302" s="205"/>
      <c r="AA302" s="205" t="s">
        <v>1361</v>
      </c>
      <c r="AB302" s="205" t="s">
        <v>1361</v>
      </c>
      <c r="AC302" s="358" t="str">
        <f t="shared" si="136"/>
        <v>w/ parking switch &amp; trim (they are worthless solo)</v>
      </c>
      <c r="AD302" s="205" t="s">
        <v>1362</v>
      </c>
      <c r="AE302" s="205"/>
      <c r="AF302" s="201" t="s">
        <v>543</v>
      </c>
      <c r="AG302" s="205"/>
      <c r="AH302" s="363">
        <v>175</v>
      </c>
      <c r="AI302" s="380">
        <f t="shared" si="138"/>
        <v>225</v>
      </c>
      <c r="AJ302" s="204" t="s">
        <v>408</v>
      </c>
      <c r="AK302" s="204" t="s">
        <v>425</v>
      </c>
      <c r="AL302" s="204" t="s">
        <v>2175</v>
      </c>
      <c r="AM302" s="190"/>
      <c r="AN302" s="191">
        <v>242</v>
      </c>
      <c r="AO302" s="190" t="s">
        <v>572</v>
      </c>
      <c r="AP302" s="190">
        <v>999156</v>
      </c>
      <c r="AQ302" s="190" t="str">
        <f>CONCATENATE(AN302,AO302,AP302)</f>
        <v>242-999156</v>
      </c>
      <c r="AR302" s="190" t="s">
        <v>1360</v>
      </c>
      <c r="AS302" s="190"/>
      <c r="AT302" s="190"/>
      <c r="AU302" s="190"/>
      <c r="AV302" s="190"/>
      <c r="AW302" s="190"/>
      <c r="AX302" s="279" t="str">
        <f t="shared" si="141"/>
        <v/>
      </c>
    </row>
    <row r="303" spans="1:50" x14ac:dyDescent="0.25">
      <c r="A303" s="190" t="str">
        <f t="shared" si="133"/>
        <v/>
      </c>
      <c r="B303" s="279" t="str">
        <f t="shared" si="132"/>
        <v>242-999154</v>
      </c>
      <c r="C303" s="279"/>
      <c r="D303" s="279"/>
      <c r="E303" s="279">
        <f t="shared" si="134"/>
        <v>1</v>
      </c>
      <c r="F303" s="190" t="s">
        <v>535</v>
      </c>
      <c r="G303" s="198">
        <v>44684</v>
      </c>
      <c r="H303" s="205"/>
      <c r="I303" s="205" t="s">
        <v>7</v>
      </c>
      <c r="J303" s="205" t="s">
        <v>402</v>
      </c>
      <c r="K303" s="205" t="s">
        <v>1059</v>
      </c>
      <c r="L303" s="205" t="s">
        <v>1361</v>
      </c>
      <c r="M303" s="212" t="s">
        <v>560</v>
      </c>
      <c r="N303" s="212"/>
      <c r="O303" s="236"/>
      <c r="P303" s="236"/>
      <c r="Q303" s="231" t="str">
        <f t="shared" si="135"/>
        <v>. Shifter</v>
      </c>
      <c r="R303" s="206"/>
      <c r="S303" s="206" t="str">
        <f t="shared" si="137"/>
        <v/>
      </c>
      <c r="T303" s="206" t="str">
        <f>IF(O303&lt;&gt;"",_xlfn.XLOOKUP(O303,'3D. Pictures'!B:B,'3D. Pictures'!E:E,"NOT FOUND",0,1),"")</f>
        <v/>
      </c>
      <c r="U303" s="212"/>
      <c r="V303" s="205"/>
      <c r="W303" s="212"/>
      <c r="X303" s="205"/>
      <c r="Y303" s="16"/>
      <c r="Z303" s="205"/>
      <c r="AA303" s="205" t="s">
        <v>1361</v>
      </c>
      <c r="AB303" s="205" t="s">
        <v>1361</v>
      </c>
      <c r="AC303" s="358" t="str">
        <f t="shared" si="136"/>
        <v>w/ parking switch &amp; trim (they are worthless solo)</v>
      </c>
      <c r="AD303" s="205" t="s">
        <v>1362</v>
      </c>
      <c r="AE303" s="205"/>
      <c r="AF303" s="201" t="s">
        <v>543</v>
      </c>
      <c r="AG303" s="205"/>
      <c r="AH303" s="363">
        <v>275</v>
      </c>
      <c r="AI303" s="380">
        <f t="shared" si="138"/>
        <v>225</v>
      </c>
      <c r="AJ303" s="204" t="s">
        <v>408</v>
      </c>
      <c r="AK303" s="204" t="s">
        <v>425</v>
      </c>
      <c r="AL303" s="204" t="s">
        <v>2175</v>
      </c>
      <c r="AM303" s="190"/>
      <c r="AN303" s="191">
        <v>242</v>
      </c>
      <c r="AO303" s="190" t="s">
        <v>572</v>
      </c>
      <c r="AP303" s="190">
        <v>999154</v>
      </c>
      <c r="AQ303" s="190" t="str">
        <f>CONCATENATE(AN303,AO303,AP303)</f>
        <v>242-999154</v>
      </c>
      <c r="AR303" s="190" t="s">
        <v>1357</v>
      </c>
      <c r="AS303" s="190"/>
      <c r="AT303" s="190"/>
      <c r="AU303" s="190"/>
      <c r="AV303" s="190"/>
      <c r="AW303" s="190"/>
      <c r="AX303" s="279" t="str">
        <f t="shared" si="141"/>
        <v/>
      </c>
    </row>
    <row r="304" spans="1:50" ht="15.75" thickBot="1" x14ac:dyDescent="0.3">
      <c r="A304" s="190" t="str">
        <f t="shared" si="133"/>
        <v/>
      </c>
      <c r="B304" s="279" t="str">
        <f t="shared" si="132"/>
        <v>242-999153</v>
      </c>
      <c r="C304" s="279"/>
      <c r="D304" s="279"/>
      <c r="E304" s="279">
        <f t="shared" si="134"/>
        <v>1</v>
      </c>
      <c r="F304" s="190" t="s">
        <v>535</v>
      </c>
      <c r="G304" s="198">
        <v>44684</v>
      </c>
      <c r="H304" s="205"/>
      <c r="I304" s="205" t="s">
        <v>7</v>
      </c>
      <c r="J304" s="205" t="s">
        <v>402</v>
      </c>
      <c r="K304" s="205" t="s">
        <v>1059</v>
      </c>
      <c r="L304" s="205" t="s">
        <v>1361</v>
      </c>
      <c r="M304" s="212" t="s">
        <v>560</v>
      </c>
      <c r="N304" s="212"/>
      <c r="O304" s="236"/>
      <c r="P304" s="236"/>
      <c r="Q304" s="231" t="str">
        <f t="shared" si="135"/>
        <v>. Shifter</v>
      </c>
      <c r="R304" s="206"/>
      <c r="S304" s="206" t="str">
        <f t="shared" si="137"/>
        <v/>
      </c>
      <c r="T304" s="206" t="str">
        <f>IF(O304&lt;&gt;"",_xlfn.XLOOKUP(O304,'3D. Pictures'!B:B,'3D. Pictures'!E:E,"NOT FOUND",0,1),"")</f>
        <v/>
      </c>
      <c r="U304" s="212"/>
      <c r="V304" s="205"/>
      <c r="W304" s="212"/>
      <c r="X304" s="205"/>
      <c r="Y304" s="16"/>
      <c r="Z304" s="205"/>
      <c r="AA304" s="205" t="s">
        <v>1361</v>
      </c>
      <c r="AB304" s="205" t="s">
        <v>1361</v>
      </c>
      <c r="AC304" s="358" t="str">
        <f t="shared" si="136"/>
        <v>w/ parking switch &amp; trim (they are worthless solo)</v>
      </c>
      <c r="AD304" s="205" t="s">
        <v>1362</v>
      </c>
      <c r="AE304" s="205"/>
      <c r="AF304" s="201" t="s">
        <v>543</v>
      </c>
      <c r="AG304" s="205"/>
      <c r="AH304" s="363">
        <v>175</v>
      </c>
      <c r="AI304" s="380">
        <f t="shared" si="138"/>
        <v>225</v>
      </c>
      <c r="AJ304" s="204" t="s">
        <v>408</v>
      </c>
      <c r="AK304" s="204" t="s">
        <v>425</v>
      </c>
      <c r="AL304" s="204" t="s">
        <v>2175</v>
      </c>
      <c r="AM304" s="190"/>
      <c r="AN304" s="191">
        <v>242</v>
      </c>
      <c r="AO304" s="190" t="s">
        <v>572</v>
      </c>
      <c r="AP304" s="190">
        <v>999153</v>
      </c>
      <c r="AQ304" s="190" t="str">
        <f>CONCATENATE(AN304,AO304,AP304)</f>
        <v>242-999153</v>
      </c>
      <c r="AR304" s="190" t="s">
        <v>1358</v>
      </c>
      <c r="AS304" s="190"/>
      <c r="AT304" s="190"/>
      <c r="AU304" s="190"/>
      <c r="AV304" s="190"/>
      <c r="AW304" s="190"/>
      <c r="AX304" s="279" t="str">
        <f t="shared" si="141"/>
        <v/>
      </c>
    </row>
    <row r="305" spans="1:50" ht="15.75" thickBot="1" x14ac:dyDescent="0.3">
      <c r="A305" s="190" t="str">
        <f t="shared" si="133"/>
        <v>A85</v>
      </c>
      <c r="B305" s="279" t="str">
        <f t="shared" si="132"/>
        <v/>
      </c>
      <c r="C305" s="279"/>
      <c r="D305" s="279"/>
      <c r="E305" s="279" t="str">
        <f t="shared" si="134"/>
        <v/>
      </c>
      <c r="F305" s="241" t="s">
        <v>535</v>
      </c>
      <c r="G305" s="242">
        <v>44684</v>
      </c>
      <c r="H305" s="243"/>
      <c r="I305" s="243" t="s">
        <v>7</v>
      </c>
      <c r="J305" s="243" t="s">
        <v>402</v>
      </c>
      <c r="K305" s="243" t="s">
        <v>1059</v>
      </c>
      <c r="L305" s="243" t="s">
        <v>1292</v>
      </c>
      <c r="M305" s="262" t="s">
        <v>560</v>
      </c>
      <c r="N305" s="262">
        <v>75</v>
      </c>
      <c r="O305" s="268" t="s">
        <v>987</v>
      </c>
      <c r="P305" s="268" t="s">
        <v>1280</v>
      </c>
      <c r="Q305" s="231" t="str">
        <f t="shared" si="135"/>
        <v>A85. Glove Box Assembly WITH Handle, FRONT RIGHT PRIMARY</v>
      </c>
      <c r="R305" s="284" t="str">
        <f>HYPERLINK(VLOOKUP(O305,'3D. Pictures'!$B$3:$E$500,4,FALSE),"PIC")</f>
        <v>PIC</v>
      </c>
      <c r="S305" s="373" t="str">
        <f t="shared" si="137"/>
        <v>E.G.</v>
      </c>
      <c r="T305" s="377" t="str">
        <f>IF(O305&lt;&gt;"",_xlfn.XLOOKUP(O305,'3D. Pictures'!B:B,'3D. Pictures'!E:E,"NOT FOUND",0,1),"")</f>
        <v>https://viking-pictures.s3.us-west-1.amazonaws.com/AA1155/A85.+Glove+Box+Assembly+WITH+Handle%2C+FRONT+RIGHT+PRIMARY+(1).JPG</v>
      </c>
      <c r="U305" s="262">
        <v>5</v>
      </c>
      <c r="V305" s="243" t="s">
        <v>1295</v>
      </c>
      <c r="W305" s="262" t="s">
        <v>111</v>
      </c>
      <c r="X305" s="243"/>
      <c r="Y305" s="16"/>
      <c r="Z305" s="192" t="s">
        <v>2078</v>
      </c>
      <c r="AA305" s="243" t="s">
        <v>1293</v>
      </c>
      <c r="AB305" s="243" t="s">
        <v>1293</v>
      </c>
      <c r="AC305" s="358" t="str">
        <f t="shared" si="136"/>
        <v>toss the left dash smaller one</v>
      </c>
      <c r="AD305" s="243" t="s">
        <v>1294</v>
      </c>
      <c r="AE305" s="243"/>
      <c r="AF305" s="179" t="s">
        <v>543</v>
      </c>
      <c r="AG305" s="243"/>
      <c r="AH305" s="16">
        <v>195</v>
      </c>
      <c r="AI305" s="380">
        <f t="shared" si="138"/>
        <v>195</v>
      </c>
      <c r="AJ305" s="246" t="s">
        <v>408</v>
      </c>
      <c r="AK305" s="246" t="s">
        <v>425</v>
      </c>
      <c r="AL305" s="246" t="s">
        <v>2175</v>
      </c>
      <c r="AM305" s="241"/>
      <c r="AN305" s="251"/>
      <c r="AO305" s="241" t="s">
        <v>572</v>
      </c>
      <c r="AP305" s="241"/>
      <c r="AQ305" s="241"/>
      <c r="AR305" s="241"/>
      <c r="AS305" s="241" t="s">
        <v>1028</v>
      </c>
      <c r="AT305" s="241" t="s">
        <v>1029</v>
      </c>
      <c r="AU305" s="241" t="s">
        <v>1030</v>
      </c>
      <c r="AV305" s="303" t="str">
        <f t="shared" ref="AV305" si="144">CONCATENATE(AS305,"-",AT305,"-",AU305)</f>
        <v>F15-14-18-ALL</v>
      </c>
      <c r="AW305" s="241" t="s">
        <v>2392</v>
      </c>
      <c r="AX305" s="279" t="str">
        <f t="shared" si="141"/>
        <v>F15-14-18-ALL-Viking26</v>
      </c>
    </row>
    <row r="306" spans="1:50" x14ac:dyDescent="0.25">
      <c r="A306" s="190" t="str">
        <f t="shared" si="133"/>
        <v/>
      </c>
      <c r="B306" s="279" t="str">
        <f t="shared" si="132"/>
        <v>596-892</v>
      </c>
      <c r="C306" s="279"/>
      <c r="D306" s="279"/>
      <c r="E306" s="279">
        <f t="shared" si="134"/>
        <v>1</v>
      </c>
      <c r="F306" s="190" t="s">
        <v>536</v>
      </c>
      <c r="G306" s="198">
        <v>44811</v>
      </c>
      <c r="H306" s="205"/>
      <c r="I306" s="205"/>
      <c r="J306" s="205" t="s">
        <v>402</v>
      </c>
      <c r="K306" s="205" t="s">
        <v>1059</v>
      </c>
      <c r="L306" s="205" t="s">
        <v>2690</v>
      </c>
      <c r="M306" s="192" t="s">
        <v>558</v>
      </c>
      <c r="N306" s="192"/>
      <c r="O306" s="229"/>
      <c r="P306" s="229"/>
      <c r="Q306" s="231" t="str">
        <f t="shared" si="135"/>
        <v>. Head Up Display Projector</v>
      </c>
      <c r="R306" s="231"/>
      <c r="S306" s="231" t="str">
        <f t="shared" si="137"/>
        <v/>
      </c>
      <c r="T306" s="231" t="str">
        <f>IF(O306&lt;&gt;"",_xlfn.XLOOKUP(O306,'3D. Pictures'!B:B,'3D. Pictures'!E:E,"NOT FOUND",0,1),"")</f>
        <v/>
      </c>
      <c r="U306" s="192"/>
      <c r="V306" s="205"/>
      <c r="W306" s="192"/>
      <c r="X306" s="205"/>
      <c r="Y306" s="16"/>
      <c r="Z306" s="205"/>
      <c r="AA306" s="205" t="s">
        <v>2690</v>
      </c>
      <c r="AB306" s="205" t="s">
        <v>2690</v>
      </c>
      <c r="AC306" s="358" t="str">
        <f t="shared" si="136"/>
        <v>remove trim sell separately</v>
      </c>
      <c r="AD306" s="205" t="s">
        <v>2793</v>
      </c>
      <c r="AE306" s="205"/>
      <c r="AF306" s="201" t="s">
        <v>543</v>
      </c>
      <c r="AG306" s="216"/>
      <c r="AH306" s="363">
        <v>195</v>
      </c>
      <c r="AI306" s="380">
        <f t="shared" si="138"/>
        <v>195</v>
      </c>
      <c r="AJ306" s="204" t="s">
        <v>408</v>
      </c>
      <c r="AK306" s="204" t="s">
        <v>425</v>
      </c>
      <c r="AL306" s="204" t="s">
        <v>2175</v>
      </c>
      <c r="AM306" s="190"/>
      <c r="AN306" s="191" t="s">
        <v>628</v>
      </c>
      <c r="AO306" s="190" t="s">
        <v>572</v>
      </c>
      <c r="AP306" s="190">
        <v>892</v>
      </c>
      <c r="AQ306" s="190" t="str">
        <f>CONCATENATE(AN306,AO306,AP306)</f>
        <v>596-892</v>
      </c>
      <c r="AR306" s="190"/>
      <c r="AS306" s="190"/>
      <c r="AT306" s="190"/>
      <c r="AU306" s="190"/>
      <c r="AV306" s="190"/>
      <c r="AW306" s="190"/>
      <c r="AX306" s="279" t="str">
        <f t="shared" si="141"/>
        <v/>
      </c>
    </row>
    <row r="307" spans="1:50" ht="15.75" thickBot="1" x14ac:dyDescent="0.3">
      <c r="A307" s="190" t="str">
        <f t="shared" si="133"/>
        <v/>
      </c>
      <c r="B307" s="279" t="str">
        <f t="shared" si="132"/>
        <v/>
      </c>
      <c r="C307" s="279"/>
      <c r="D307" s="279"/>
      <c r="E307" s="279" t="str">
        <f t="shared" si="134"/>
        <v/>
      </c>
      <c r="F307" t="s">
        <v>536</v>
      </c>
      <c r="G307" s="188">
        <v>44811</v>
      </c>
      <c r="H307" s="16"/>
      <c r="I307" s="16"/>
      <c r="J307" s="16" t="s">
        <v>402</v>
      </c>
      <c r="K307" s="16" t="s">
        <v>1059</v>
      </c>
      <c r="L307" s="16" t="s">
        <v>2697</v>
      </c>
      <c r="M307" s="16" t="s">
        <v>559</v>
      </c>
      <c r="N307" s="16"/>
      <c r="O307" s="166"/>
      <c r="P307" s="166"/>
      <c r="Q307" s="231" t="str">
        <f t="shared" si="135"/>
        <v>. Head Up Display Screen Projector Trim</v>
      </c>
      <c r="R307" s="231"/>
      <c r="S307" s="231" t="str">
        <f t="shared" si="137"/>
        <v/>
      </c>
      <c r="T307" s="231" t="str">
        <f>IF(O307&lt;&gt;"",_xlfn.XLOOKUP(O307,'3D. Pictures'!B:B,'3D. Pictures'!E:E,"NOT FOUND",0,1),"")</f>
        <v/>
      </c>
      <c r="U307" s="16"/>
      <c r="V307" s="16"/>
      <c r="W307" s="16"/>
      <c r="X307" s="16"/>
      <c r="Y307" s="16"/>
      <c r="Z307" s="16"/>
      <c r="AA307" s="16" t="s">
        <v>491</v>
      </c>
      <c r="AB307" s="16" t="s">
        <v>491</v>
      </c>
      <c r="AC307" s="358" t="str">
        <f t="shared" si="136"/>
        <v/>
      </c>
      <c r="AD307" s="16"/>
      <c r="AE307" s="16"/>
      <c r="AF307" s="168" t="s">
        <v>543</v>
      </c>
      <c r="AG307" s="162"/>
      <c r="AH307" s="363">
        <v>50</v>
      </c>
      <c r="AI307" s="380">
        <f t="shared" si="138"/>
        <v>50</v>
      </c>
      <c r="AJ307" s="3" t="s">
        <v>408</v>
      </c>
      <c r="AK307" s="3" t="s">
        <v>425</v>
      </c>
      <c r="AL307" s="3" t="s">
        <v>2175</v>
      </c>
      <c r="AN307"/>
      <c r="AX307" s="279" t="str">
        <f t="shared" si="141"/>
        <v/>
      </c>
    </row>
    <row r="308" spans="1:50" ht="15.75" thickBot="1" x14ac:dyDescent="0.3">
      <c r="A308" s="190" t="str">
        <f t="shared" si="133"/>
        <v>A67</v>
      </c>
      <c r="B308" s="279" t="str">
        <f t="shared" si="132"/>
        <v/>
      </c>
      <c r="C308" s="279"/>
      <c r="D308" s="279"/>
      <c r="E308" s="279" t="str">
        <f t="shared" si="134"/>
        <v/>
      </c>
      <c r="F308" s="241" t="s">
        <v>535</v>
      </c>
      <c r="G308" s="242">
        <v>44684</v>
      </c>
      <c r="H308" s="243"/>
      <c r="I308" s="243"/>
      <c r="J308" s="243" t="s">
        <v>402</v>
      </c>
      <c r="K308" s="243" t="s">
        <v>1059</v>
      </c>
      <c r="L308" s="243" t="s">
        <v>1210</v>
      </c>
      <c r="M308" s="262" t="s">
        <v>563</v>
      </c>
      <c r="N308" s="262">
        <v>57</v>
      </c>
      <c r="O308" s="268" t="s">
        <v>969</v>
      </c>
      <c r="P308" s="269" t="s">
        <v>1204</v>
      </c>
      <c r="Q308" s="231" t="str">
        <f t="shared" si="135"/>
        <v>A67. Headlight Switch</v>
      </c>
      <c r="R308" s="284" t="str">
        <f>HYPERLINK(VLOOKUP(O308,'3D. Pictures'!$B$3:$E$500,4,FALSE),"PIC")</f>
        <v>PIC</v>
      </c>
      <c r="S308" s="373" t="str">
        <f t="shared" si="137"/>
        <v>E.G.</v>
      </c>
      <c r="T308" s="377" t="str">
        <f>IF(O308&lt;&gt;"",_xlfn.XLOOKUP(O308,'3D. Pictures'!B:B,'3D. Pictures'!E:E,"NOT FOUND",0,1),"")</f>
        <v>https://viking-pictures.s3.us-west-1.amazonaws.com/AA1155/A67.+Headlight+Switch+(1).JPG</v>
      </c>
      <c r="U308" s="262">
        <v>4</v>
      </c>
      <c r="V308" s="243">
        <v>9311721</v>
      </c>
      <c r="W308" s="262" t="s">
        <v>112</v>
      </c>
      <c r="X308" s="243"/>
      <c r="Y308" s="16"/>
      <c r="Z308" s="243"/>
      <c r="AA308" s="243" t="s">
        <v>445</v>
      </c>
      <c r="AB308" s="243" t="s">
        <v>445</v>
      </c>
      <c r="AC308" s="358" t="str">
        <f t="shared" si="136"/>
        <v/>
      </c>
      <c r="AD308" s="243"/>
      <c r="AE308" s="243"/>
      <c r="AF308" s="179" t="s">
        <v>543</v>
      </c>
      <c r="AG308" s="243"/>
      <c r="AH308" s="16">
        <v>48</v>
      </c>
      <c r="AI308" s="380">
        <f t="shared" si="138"/>
        <v>48</v>
      </c>
      <c r="AJ308" s="246" t="s">
        <v>408</v>
      </c>
      <c r="AK308" s="246" t="s">
        <v>425</v>
      </c>
      <c r="AL308" s="246" t="s">
        <v>2175</v>
      </c>
      <c r="AM308" s="241"/>
      <c r="AN308" s="251"/>
      <c r="AO308" s="241" t="s">
        <v>572</v>
      </c>
      <c r="AP308" s="241"/>
      <c r="AQ308" s="241"/>
      <c r="AR308" s="241"/>
      <c r="AS308" s="241" t="s">
        <v>1028</v>
      </c>
      <c r="AT308" s="241" t="s">
        <v>1029</v>
      </c>
      <c r="AU308" s="241" t="s">
        <v>1030</v>
      </c>
      <c r="AV308" s="303" t="str">
        <f t="shared" ref="AV308:AV310" si="145">CONCATENATE(AS308,"-",AT308,"-",AU308)</f>
        <v>F15-14-18-ALL</v>
      </c>
      <c r="AW308" s="241" t="s">
        <v>2393</v>
      </c>
      <c r="AX308" s="279" t="str">
        <f t="shared" si="141"/>
        <v>F15-14-18-ALL-Viking27</v>
      </c>
    </row>
    <row r="309" spans="1:50" ht="15.75" thickBot="1" x14ac:dyDescent="0.3">
      <c r="A309" s="190" t="str">
        <f t="shared" si="133"/>
        <v/>
      </c>
      <c r="B309" s="279" t="str">
        <f t="shared" si="132"/>
        <v/>
      </c>
      <c r="C309" s="279"/>
      <c r="D309" s="279"/>
      <c r="E309" s="279" t="str">
        <f t="shared" si="134"/>
        <v/>
      </c>
      <c r="F309" s="241" t="s">
        <v>535</v>
      </c>
      <c r="G309" s="242">
        <v>44684</v>
      </c>
      <c r="H309" s="243"/>
      <c r="I309" s="243"/>
      <c r="J309" s="243" t="s">
        <v>402</v>
      </c>
      <c r="K309" s="243" t="s">
        <v>1059</v>
      </c>
      <c r="L309" s="243" t="s">
        <v>1210</v>
      </c>
      <c r="M309" s="262" t="s">
        <v>562</v>
      </c>
      <c r="N309" s="262"/>
      <c r="O309" s="268"/>
      <c r="P309" s="268"/>
      <c r="Q309" s="231" t="str">
        <f t="shared" si="135"/>
        <v>. I-Drive Navigation Radio Control Knob</v>
      </c>
      <c r="R309" s="244"/>
      <c r="S309" s="244" t="str">
        <f t="shared" si="137"/>
        <v/>
      </c>
      <c r="T309" s="244" t="str">
        <f>IF(O309&lt;&gt;"",_xlfn.XLOOKUP(O309,'3D. Pictures'!B:B,'3D. Pictures'!E:E,"NOT FOUND",0,1),"")</f>
        <v/>
      </c>
      <c r="U309" s="262"/>
      <c r="V309" s="243"/>
      <c r="W309" s="262"/>
      <c r="X309" s="243"/>
      <c r="Y309" s="243"/>
      <c r="Z309" s="243"/>
      <c r="AA309" s="243" t="s">
        <v>1253</v>
      </c>
      <c r="AB309" s="243" t="s">
        <v>1253</v>
      </c>
      <c r="AC309" s="358" t="str">
        <f t="shared" si="136"/>
        <v>sell trim &amp; traction panel solo</v>
      </c>
      <c r="AD309" s="243" t="s">
        <v>1250</v>
      </c>
      <c r="AE309" s="243"/>
      <c r="AF309" s="179" t="s">
        <v>543</v>
      </c>
      <c r="AG309" s="243"/>
      <c r="AH309" s="363">
        <v>300</v>
      </c>
      <c r="AI309" s="380">
        <f t="shared" si="138"/>
        <v>237.5</v>
      </c>
      <c r="AJ309" s="246" t="s">
        <v>408</v>
      </c>
      <c r="AK309" s="246" t="s">
        <v>425</v>
      </c>
      <c r="AL309" s="246" t="s">
        <v>2175</v>
      </c>
      <c r="AM309" s="241"/>
      <c r="AN309" s="251"/>
      <c r="AO309" s="241" t="s">
        <v>572</v>
      </c>
      <c r="AP309" s="241"/>
      <c r="AQ309" s="241"/>
      <c r="AR309" s="241" t="s">
        <v>1251</v>
      </c>
      <c r="AS309" s="241" t="s">
        <v>1028</v>
      </c>
      <c r="AT309" s="241" t="s">
        <v>1029</v>
      </c>
      <c r="AU309" s="241" t="s">
        <v>1030</v>
      </c>
      <c r="AV309" s="303" t="str">
        <f t="shared" si="145"/>
        <v>F15-14-18-ALL</v>
      </c>
      <c r="AW309" s="241" t="s">
        <v>2394</v>
      </c>
      <c r="AX309" s="279" t="str">
        <f t="shared" si="141"/>
        <v>F15-14-18-ALL-Viking28</v>
      </c>
    </row>
    <row r="310" spans="1:50" ht="15.75" thickBot="1" x14ac:dyDescent="0.3">
      <c r="A310" s="190" t="str">
        <f t="shared" si="133"/>
        <v>A69</v>
      </c>
      <c r="B310" s="279" t="str">
        <f t="shared" si="132"/>
        <v/>
      </c>
      <c r="C310" s="279"/>
      <c r="D310" s="279"/>
      <c r="E310" s="279" t="str">
        <f t="shared" si="134"/>
        <v/>
      </c>
      <c r="F310" s="241" t="s">
        <v>535</v>
      </c>
      <c r="G310" s="242">
        <v>44684</v>
      </c>
      <c r="H310" s="243"/>
      <c r="I310" s="243"/>
      <c r="J310" s="243" t="s">
        <v>402</v>
      </c>
      <c r="K310" s="243" t="s">
        <v>1059</v>
      </c>
      <c r="L310" s="243" t="s">
        <v>1210</v>
      </c>
      <c r="M310" s="262" t="s">
        <v>562</v>
      </c>
      <c r="N310" s="262">
        <v>59</v>
      </c>
      <c r="O310" s="268" t="s">
        <v>971</v>
      </c>
      <c r="P310" s="269" t="s">
        <v>1204</v>
      </c>
      <c r="Q310" s="231" t="str">
        <f t="shared" si="135"/>
        <v>A69. I-Drive Navigation Radio Control Knob</v>
      </c>
      <c r="R310" s="284" t="str">
        <f>HYPERLINK(VLOOKUP(O310,'3D. Pictures'!$B$3:$E$500,4,FALSE),"PIC")</f>
        <v>PIC</v>
      </c>
      <c r="S310" s="373" t="str">
        <f t="shared" si="137"/>
        <v>E.G.</v>
      </c>
      <c r="T310" s="377" t="str">
        <f>IF(O310&lt;&gt;"",_xlfn.XLOOKUP(O310,'3D. Pictures'!B:B,'3D. Pictures'!E:E,"NOT FOUND",0,1),"")</f>
        <v>https://viking-pictures.s3.us-west-1.amazonaws.com/AA1155/A69.+I-Drive+Navigation+Radio+Control+Knob+(1).JPG</v>
      </c>
      <c r="U310" s="262">
        <v>4</v>
      </c>
      <c r="V310" s="243" t="s">
        <v>2458</v>
      </c>
      <c r="W310" s="262" t="s">
        <v>112</v>
      </c>
      <c r="X310" s="243"/>
      <c r="Y310" s="243"/>
      <c r="Z310" s="243"/>
      <c r="AA310" s="243" t="s">
        <v>1253</v>
      </c>
      <c r="AB310" s="243" t="s">
        <v>1253</v>
      </c>
      <c r="AC310" s="358" t="str">
        <f t="shared" si="136"/>
        <v>sell trim &amp; traction panel solo</v>
      </c>
      <c r="AD310" s="243" t="s">
        <v>1250</v>
      </c>
      <c r="AE310" s="243"/>
      <c r="AF310" s="179" t="s">
        <v>543</v>
      </c>
      <c r="AG310" s="243"/>
      <c r="AH310" s="363">
        <v>175</v>
      </c>
      <c r="AI310" s="380">
        <f t="shared" si="138"/>
        <v>237.5</v>
      </c>
      <c r="AJ310" s="246" t="s">
        <v>408</v>
      </c>
      <c r="AK310" s="246" t="s">
        <v>425</v>
      </c>
      <c r="AL310" s="246" t="s">
        <v>2175</v>
      </c>
      <c r="AM310" s="241"/>
      <c r="AN310" s="251"/>
      <c r="AO310" s="241" t="s">
        <v>572</v>
      </c>
      <c r="AP310" s="241"/>
      <c r="AQ310" s="241"/>
      <c r="AR310" s="241" t="s">
        <v>1252</v>
      </c>
      <c r="AS310" s="241" t="s">
        <v>1028</v>
      </c>
      <c r="AT310" s="241" t="s">
        <v>1029</v>
      </c>
      <c r="AU310" s="241" t="s">
        <v>1030</v>
      </c>
      <c r="AV310" s="303" t="str">
        <f t="shared" si="145"/>
        <v>F15-14-18-ALL</v>
      </c>
      <c r="AW310" s="241" t="s">
        <v>2395</v>
      </c>
      <c r="AX310" s="279" t="str">
        <f t="shared" si="141"/>
        <v>F15-14-18-ALL-Viking29</v>
      </c>
    </row>
    <row r="311" spans="1:50" x14ac:dyDescent="0.25">
      <c r="A311" s="190" t="str">
        <f t="shared" si="133"/>
        <v/>
      </c>
      <c r="B311" s="279" t="str">
        <f t="shared" si="132"/>
        <v/>
      </c>
      <c r="C311" s="279"/>
      <c r="D311" s="279"/>
      <c r="E311" s="279" t="str">
        <f t="shared" si="134"/>
        <v/>
      </c>
      <c r="F311" t="s">
        <v>535</v>
      </c>
      <c r="G311" s="188">
        <v>44684</v>
      </c>
      <c r="H311" s="16"/>
      <c r="I311" s="16"/>
      <c r="J311" s="16" t="s">
        <v>402</v>
      </c>
      <c r="K311" s="16" t="s">
        <v>1059</v>
      </c>
      <c r="L311" s="16" t="s">
        <v>2691</v>
      </c>
      <c r="M311" s="16" t="s">
        <v>559</v>
      </c>
      <c r="N311" s="16"/>
      <c r="O311" s="166"/>
      <c r="P311" s="166"/>
      <c r="Q311" s="231" t="str">
        <f t="shared" si="135"/>
        <v>. I-Drive Navigation / Radio Control Knob &amp; Switch Panel TRIM</v>
      </c>
      <c r="R311" s="231"/>
      <c r="S311" s="231" t="str">
        <f t="shared" si="137"/>
        <v/>
      </c>
      <c r="T311" s="231" t="str">
        <f>IF(O311&lt;&gt;"",_xlfn.XLOOKUP(O311,'3D. Pictures'!B:B,'3D. Pictures'!E:E,"NOT FOUND",0,1),"")</f>
        <v/>
      </c>
      <c r="U311" s="16"/>
      <c r="V311" s="16"/>
      <c r="W311" s="16"/>
      <c r="X311" s="16"/>
      <c r="Y311" s="16"/>
      <c r="Z311" s="16"/>
      <c r="AA311" s="16" t="s">
        <v>2573</v>
      </c>
      <c r="AB311" s="16" t="s">
        <v>2573</v>
      </c>
      <c r="AC311" s="358" t="str">
        <f t="shared" si="136"/>
        <v>sell knob &amp; traction control switch panel each solo</v>
      </c>
      <c r="AD311" s="16" t="s">
        <v>2572</v>
      </c>
      <c r="AE311" s="16"/>
      <c r="AF311" s="168" t="s">
        <v>543</v>
      </c>
      <c r="AG311" s="16"/>
      <c r="AH311" s="363">
        <v>80</v>
      </c>
      <c r="AI311" s="380">
        <f t="shared" si="138"/>
        <v>80</v>
      </c>
      <c r="AJ311" s="3" t="s">
        <v>408</v>
      </c>
      <c r="AK311" s="3" t="s">
        <v>425</v>
      </c>
      <c r="AL311" s="3" t="s">
        <v>2175</v>
      </c>
      <c r="AN311"/>
      <c r="AX311" s="279" t="str">
        <f t="shared" si="141"/>
        <v/>
      </c>
    </row>
    <row r="312" spans="1:50" ht="15.75" thickBot="1" x14ac:dyDescent="0.3">
      <c r="A312" s="190" t="str">
        <f t="shared" si="133"/>
        <v/>
      </c>
      <c r="B312" s="279" t="str">
        <f t="shared" si="132"/>
        <v>267-51530</v>
      </c>
      <c r="C312" s="279"/>
      <c r="D312" s="279"/>
      <c r="E312" s="279">
        <f t="shared" si="134"/>
        <v>1</v>
      </c>
      <c r="F312" s="190" t="s">
        <v>535</v>
      </c>
      <c r="G312" s="198">
        <v>44684</v>
      </c>
      <c r="H312" s="205"/>
      <c r="I312" s="205"/>
      <c r="J312" s="205" t="s">
        <v>402</v>
      </c>
      <c r="K312" s="205" t="s">
        <v>1059</v>
      </c>
      <c r="L312" s="205" t="s">
        <v>785</v>
      </c>
      <c r="M312" s="192" t="s">
        <v>558</v>
      </c>
      <c r="N312" s="192"/>
      <c r="O312" s="229"/>
      <c r="P312" s="229"/>
      <c r="Q312" s="231" t="str">
        <f t="shared" si="135"/>
        <v>. Mirror, REARVIEW</v>
      </c>
      <c r="R312" s="231"/>
      <c r="S312" s="231" t="str">
        <f t="shared" si="137"/>
        <v/>
      </c>
      <c r="T312" s="231" t="str">
        <f>IF(O312&lt;&gt;"",_xlfn.XLOOKUP(O312,'3D. Pictures'!B:B,'3D. Pictures'!E:E,"NOT FOUND",0,1),"")</f>
        <v/>
      </c>
      <c r="U312" s="192"/>
      <c r="V312" s="205"/>
      <c r="W312" s="192"/>
      <c r="X312" s="205"/>
      <c r="Y312" s="201"/>
      <c r="Z312" s="192" t="s">
        <v>2077</v>
      </c>
      <c r="AA312" s="205" t="s">
        <v>785</v>
      </c>
      <c r="AB312" s="205" t="s">
        <v>785</v>
      </c>
      <c r="AC312" s="358" t="str">
        <f t="shared" si="136"/>
        <v/>
      </c>
      <c r="AD312" s="205"/>
      <c r="AE312" s="205"/>
      <c r="AF312" s="201" t="s">
        <v>543</v>
      </c>
      <c r="AG312" s="205"/>
      <c r="AH312" s="16">
        <v>68</v>
      </c>
      <c r="AI312" s="380">
        <f t="shared" si="138"/>
        <v>68</v>
      </c>
      <c r="AJ312" s="204" t="s">
        <v>408</v>
      </c>
      <c r="AK312" s="204" t="s">
        <v>425</v>
      </c>
      <c r="AL312" s="204" t="s">
        <v>2175</v>
      </c>
      <c r="AM312" s="190"/>
      <c r="AN312" s="191" t="s">
        <v>629</v>
      </c>
      <c r="AO312" s="190" t="s">
        <v>572</v>
      </c>
      <c r="AP312" s="190">
        <v>51530</v>
      </c>
      <c r="AQ312" s="190" t="str">
        <f t="shared" ref="AQ312:AQ318" si="146">CONCATENATE(AN312,AO312,AP312)</f>
        <v>267-51530</v>
      </c>
      <c r="AR312" s="190" t="s">
        <v>786</v>
      </c>
      <c r="AS312" s="190"/>
      <c r="AT312" s="190"/>
      <c r="AU312" s="190"/>
      <c r="AV312" s="190"/>
      <c r="AW312" s="190"/>
      <c r="AX312" s="279" t="str">
        <f t="shared" si="141"/>
        <v/>
      </c>
    </row>
    <row r="313" spans="1:50" ht="15.75" thickBot="1" x14ac:dyDescent="0.3">
      <c r="A313" s="190" t="str">
        <f t="shared" si="133"/>
        <v>A64</v>
      </c>
      <c r="B313" s="279" t="str">
        <f t="shared" si="132"/>
        <v>267-51293</v>
      </c>
      <c r="C313" s="279"/>
      <c r="D313" s="279"/>
      <c r="E313" s="279">
        <f t="shared" si="134"/>
        <v>1</v>
      </c>
      <c r="F313" s="190" t="s">
        <v>535</v>
      </c>
      <c r="G313" s="198">
        <v>44684</v>
      </c>
      <c r="H313" s="205"/>
      <c r="I313" s="205"/>
      <c r="J313" s="205" t="s">
        <v>402</v>
      </c>
      <c r="K313" s="205" t="s">
        <v>1059</v>
      </c>
      <c r="L313" s="205" t="s">
        <v>785</v>
      </c>
      <c r="M313" s="192" t="s">
        <v>558</v>
      </c>
      <c r="N313" s="192">
        <v>54</v>
      </c>
      <c r="O313" s="229" t="s">
        <v>966</v>
      </c>
      <c r="P313" s="229" t="s">
        <v>1204</v>
      </c>
      <c r="Q313" s="231" t="str">
        <f t="shared" si="135"/>
        <v>A64. Mirror, REARVIEW</v>
      </c>
      <c r="R313" s="284" t="str">
        <f>HYPERLINK(VLOOKUP(O313,'3D. Pictures'!$B$3:$E$500,4,FALSE),"PIC")</f>
        <v>PIC</v>
      </c>
      <c r="S313" s="373" t="str">
        <f t="shared" si="137"/>
        <v>E.G.</v>
      </c>
      <c r="T313" s="377" t="str">
        <f>IF(O313&lt;&gt;"",_xlfn.XLOOKUP(O313,'3D. Pictures'!B:B,'3D. Pictures'!E:E,"NOT FOUND",0,1),"")</f>
        <v>https://viking-pictures.s3.us-west-1.amazonaws.com/AA1155/A64.+Mirror%2C+REARVIEW+(1).JPG</v>
      </c>
      <c r="U313" s="192">
        <v>6</v>
      </c>
      <c r="V313" s="205" t="s">
        <v>1245</v>
      </c>
      <c r="W313" s="192" t="s">
        <v>111</v>
      </c>
      <c r="X313" s="205"/>
      <c r="Y313" s="201"/>
      <c r="Z313" s="192" t="s">
        <v>2078</v>
      </c>
      <c r="AA313" s="205" t="s">
        <v>785</v>
      </c>
      <c r="AB313" s="205" t="s">
        <v>785</v>
      </c>
      <c r="AC313" s="358" t="str">
        <f t="shared" si="136"/>
        <v/>
      </c>
      <c r="AD313" s="205"/>
      <c r="AE313" s="205"/>
      <c r="AF313" s="201" t="s">
        <v>543</v>
      </c>
      <c r="AG313" s="205"/>
      <c r="AH313" s="16">
        <v>68</v>
      </c>
      <c r="AI313" s="380">
        <f t="shared" si="138"/>
        <v>68</v>
      </c>
      <c r="AJ313" s="204" t="s">
        <v>408</v>
      </c>
      <c r="AK313" s="204" t="s">
        <v>425</v>
      </c>
      <c r="AL313" s="204" t="s">
        <v>2175</v>
      </c>
      <c r="AM313" s="190"/>
      <c r="AN313" s="191" t="s">
        <v>629</v>
      </c>
      <c r="AO313" s="190" t="s">
        <v>572</v>
      </c>
      <c r="AP313" s="190">
        <v>51293</v>
      </c>
      <c r="AQ313" s="190" t="str">
        <f t="shared" si="146"/>
        <v>267-51293</v>
      </c>
      <c r="AR313" s="190" t="s">
        <v>787</v>
      </c>
      <c r="AS313" s="190"/>
      <c r="AT313" s="190"/>
      <c r="AU313" s="190"/>
      <c r="AV313" s="190"/>
      <c r="AW313" s="190"/>
      <c r="AX313" s="279" t="str">
        <f t="shared" si="141"/>
        <v/>
      </c>
    </row>
    <row r="314" spans="1:50" x14ac:dyDescent="0.25">
      <c r="A314" s="190" t="str">
        <f t="shared" si="133"/>
        <v/>
      </c>
      <c r="B314" s="279" t="str">
        <f t="shared" si="132"/>
        <v>267-51531</v>
      </c>
      <c r="C314" s="279"/>
      <c r="D314" s="279"/>
      <c r="E314" s="279">
        <f t="shared" si="134"/>
        <v>1</v>
      </c>
      <c r="F314" s="190" t="s">
        <v>535</v>
      </c>
      <c r="G314" s="198">
        <v>44684</v>
      </c>
      <c r="H314" s="205"/>
      <c r="I314" s="205"/>
      <c r="J314" s="205" t="s">
        <v>402</v>
      </c>
      <c r="K314" s="205" t="s">
        <v>1059</v>
      </c>
      <c r="L314" s="205" t="s">
        <v>785</v>
      </c>
      <c r="M314" s="192" t="s">
        <v>558</v>
      </c>
      <c r="N314" s="192"/>
      <c r="O314" s="229"/>
      <c r="P314" s="229"/>
      <c r="Q314" s="231" t="str">
        <f t="shared" si="135"/>
        <v>. Mirror, REARVIEW</v>
      </c>
      <c r="R314" s="231"/>
      <c r="S314" s="231" t="str">
        <f t="shared" si="137"/>
        <v/>
      </c>
      <c r="T314" s="231" t="str">
        <f>IF(O314&lt;&gt;"",_xlfn.XLOOKUP(O314,'3D. Pictures'!B:B,'3D. Pictures'!E:E,"NOT FOUND",0,1),"")</f>
        <v/>
      </c>
      <c r="U314" s="192"/>
      <c r="V314" s="205"/>
      <c r="W314" s="192"/>
      <c r="X314" s="205"/>
      <c r="Y314" s="201"/>
      <c r="Z314" s="192" t="s">
        <v>2077</v>
      </c>
      <c r="AA314" s="205" t="s">
        <v>785</v>
      </c>
      <c r="AB314" s="205" t="s">
        <v>785</v>
      </c>
      <c r="AC314" s="358" t="str">
        <f t="shared" si="136"/>
        <v/>
      </c>
      <c r="AD314" s="205"/>
      <c r="AE314" s="205"/>
      <c r="AF314" s="201" t="s">
        <v>543</v>
      </c>
      <c r="AG314" s="205"/>
      <c r="AH314" s="16">
        <v>68</v>
      </c>
      <c r="AI314" s="380">
        <f t="shared" si="138"/>
        <v>68</v>
      </c>
      <c r="AJ314" s="204" t="s">
        <v>408</v>
      </c>
      <c r="AK314" s="204" t="s">
        <v>425</v>
      </c>
      <c r="AL314" s="204" t="s">
        <v>2175</v>
      </c>
      <c r="AM314" s="190"/>
      <c r="AN314" s="191" t="s">
        <v>629</v>
      </c>
      <c r="AO314" s="190" t="s">
        <v>572</v>
      </c>
      <c r="AP314" s="190">
        <v>51531</v>
      </c>
      <c r="AQ314" s="190" t="str">
        <f t="shared" si="146"/>
        <v>267-51531</v>
      </c>
      <c r="AR314" s="190" t="s">
        <v>788</v>
      </c>
      <c r="AS314" s="190"/>
      <c r="AT314" s="190"/>
      <c r="AU314" s="190"/>
      <c r="AV314" s="190"/>
      <c r="AW314" s="190"/>
      <c r="AX314" s="279" t="str">
        <f t="shared" si="141"/>
        <v/>
      </c>
    </row>
    <row r="315" spans="1:50" ht="15.75" thickBot="1" x14ac:dyDescent="0.3">
      <c r="A315" s="190" t="str">
        <f t="shared" si="133"/>
        <v/>
      </c>
      <c r="B315" s="279" t="str">
        <f t="shared" si="132"/>
        <v>267-51243</v>
      </c>
      <c r="C315" s="279"/>
      <c r="D315" s="279"/>
      <c r="E315" s="279">
        <f t="shared" si="134"/>
        <v>1</v>
      </c>
      <c r="F315" s="190" t="s">
        <v>535</v>
      </c>
      <c r="G315" s="198">
        <v>44684</v>
      </c>
      <c r="H315" s="205"/>
      <c r="I315" s="205"/>
      <c r="J315" s="205" t="s">
        <v>402</v>
      </c>
      <c r="K315" s="205" t="s">
        <v>1059</v>
      </c>
      <c r="L315" s="205" t="s">
        <v>785</v>
      </c>
      <c r="M315" s="192" t="s">
        <v>558</v>
      </c>
      <c r="N315" s="192"/>
      <c r="O315" s="229"/>
      <c r="P315" s="229"/>
      <c r="Q315" s="231" t="str">
        <f t="shared" si="135"/>
        <v>. Mirror, REARVIEW</v>
      </c>
      <c r="R315" s="231"/>
      <c r="S315" s="231" t="str">
        <f t="shared" si="137"/>
        <v/>
      </c>
      <c r="T315" s="231" t="str">
        <f>IF(O315&lt;&gt;"",_xlfn.XLOOKUP(O315,'3D. Pictures'!B:B,'3D. Pictures'!E:E,"NOT FOUND",0,1),"")</f>
        <v/>
      </c>
      <c r="U315" s="192"/>
      <c r="V315" s="205"/>
      <c r="W315" s="192"/>
      <c r="X315" s="205"/>
      <c r="Y315" s="201"/>
      <c r="Z315" s="192" t="s">
        <v>2077</v>
      </c>
      <c r="AA315" s="205" t="s">
        <v>785</v>
      </c>
      <c r="AB315" s="205" t="s">
        <v>785</v>
      </c>
      <c r="AC315" s="358" t="str">
        <f t="shared" si="136"/>
        <v/>
      </c>
      <c r="AD315" s="205"/>
      <c r="AE315" s="205"/>
      <c r="AF315" s="201" t="s">
        <v>543</v>
      </c>
      <c r="AG315" s="205"/>
      <c r="AH315" s="16">
        <v>68</v>
      </c>
      <c r="AI315" s="380">
        <f t="shared" si="138"/>
        <v>68</v>
      </c>
      <c r="AJ315" s="204" t="s">
        <v>408</v>
      </c>
      <c r="AK315" s="204" t="s">
        <v>425</v>
      </c>
      <c r="AL315" s="204" t="s">
        <v>2175</v>
      </c>
      <c r="AM315" s="190"/>
      <c r="AN315" s="191" t="s">
        <v>629</v>
      </c>
      <c r="AO315" s="190" t="s">
        <v>572</v>
      </c>
      <c r="AP315" s="190">
        <v>51243</v>
      </c>
      <c r="AQ315" s="190" t="str">
        <f t="shared" si="146"/>
        <v>267-51243</v>
      </c>
      <c r="AR315" s="190" t="s">
        <v>789</v>
      </c>
      <c r="AS315" s="190"/>
      <c r="AT315" s="190"/>
      <c r="AU315" s="190"/>
      <c r="AV315" s="190"/>
      <c r="AW315" s="190"/>
      <c r="AX315" s="279" t="str">
        <f t="shared" si="141"/>
        <v/>
      </c>
    </row>
    <row r="316" spans="1:50" ht="15.75" customHeight="1" thickBot="1" x14ac:dyDescent="0.3">
      <c r="A316" s="190" t="str">
        <f t="shared" si="133"/>
        <v>A48</v>
      </c>
      <c r="B316" s="279" t="str">
        <f t="shared" ref="B316:B379" si="147">IF(AQ316&lt;&gt;"",AQ316,"")</f>
        <v>594-1775</v>
      </c>
      <c r="C316" s="279"/>
      <c r="D316" s="279"/>
      <c r="E316" s="279">
        <f t="shared" si="134"/>
        <v>1</v>
      </c>
      <c r="F316" s="190" t="s">
        <v>535</v>
      </c>
      <c r="G316" s="198">
        <v>44684</v>
      </c>
      <c r="H316" s="205"/>
      <c r="I316" s="205"/>
      <c r="J316" s="205" t="s">
        <v>402</v>
      </c>
      <c r="K316" s="205" t="s">
        <v>1059</v>
      </c>
      <c r="L316" s="205" t="s">
        <v>444</v>
      </c>
      <c r="M316" s="192" t="s">
        <v>558</v>
      </c>
      <c r="N316" s="192">
        <v>38</v>
      </c>
      <c r="O316" s="229" t="s">
        <v>950</v>
      </c>
      <c r="P316" s="229" t="s">
        <v>1204</v>
      </c>
      <c r="Q316" s="231" t="str">
        <f t="shared" si="135"/>
        <v>A48. Navigation Display Screen</v>
      </c>
      <c r="R316" s="284" t="str">
        <f>HYPERLINK(VLOOKUP(O316,'3D. Pictures'!$B$3:$E$500,4,FALSE),"PIC")</f>
        <v>PIC</v>
      </c>
      <c r="S316" s="373" t="str">
        <f t="shared" si="137"/>
        <v>E.G.</v>
      </c>
      <c r="T316" s="377" t="str">
        <f>IF(O316&lt;&gt;"",_xlfn.XLOOKUP(O316,'3D. Pictures'!B:B,'3D. Pictures'!E:E,"NOT FOUND",0,1),"")</f>
        <v>https://viking-pictures.s3.us-west-1.amazonaws.com/AA1155/A48.+Navigation+Display+Screen+(1).JPG</v>
      </c>
      <c r="U316" s="192">
        <v>5</v>
      </c>
      <c r="V316" s="205" t="s">
        <v>1214</v>
      </c>
      <c r="W316" s="192" t="s">
        <v>112</v>
      </c>
      <c r="X316" s="205"/>
      <c r="Y316" s="168"/>
      <c r="Z316" s="205"/>
      <c r="AA316" s="205" t="s">
        <v>444</v>
      </c>
      <c r="AB316" s="205" t="s">
        <v>444</v>
      </c>
      <c r="AC316" s="358" t="str">
        <f t="shared" si="136"/>
        <v/>
      </c>
      <c r="AD316" s="205"/>
      <c r="AE316" s="205"/>
      <c r="AF316" s="201" t="s">
        <v>543</v>
      </c>
      <c r="AG316" s="205"/>
      <c r="AH316" s="363">
        <v>495</v>
      </c>
      <c r="AI316" s="380">
        <f t="shared" si="138"/>
        <v>580</v>
      </c>
      <c r="AJ316" s="204" t="s">
        <v>408</v>
      </c>
      <c r="AK316" s="204" t="s">
        <v>425</v>
      </c>
      <c r="AL316" s="204" t="s">
        <v>2175</v>
      </c>
      <c r="AM316" s="190"/>
      <c r="AN316" s="191" t="s">
        <v>630</v>
      </c>
      <c r="AO316" s="190" t="s">
        <v>572</v>
      </c>
      <c r="AP316" s="190">
        <v>1775</v>
      </c>
      <c r="AQ316" s="190" t="str">
        <f t="shared" si="146"/>
        <v>594-1775</v>
      </c>
      <c r="AR316" s="190" t="s">
        <v>790</v>
      </c>
      <c r="AS316" s="190"/>
      <c r="AT316" s="190"/>
      <c r="AU316" s="190"/>
      <c r="AV316" s="190"/>
      <c r="AW316" s="190"/>
      <c r="AX316" s="279" t="str">
        <f t="shared" si="141"/>
        <v/>
      </c>
    </row>
    <row r="317" spans="1:50" ht="15.75" customHeight="1" x14ac:dyDescent="0.25">
      <c r="A317" s="190" t="str">
        <f t="shared" si="133"/>
        <v/>
      </c>
      <c r="B317" s="279" t="str">
        <f t="shared" si="147"/>
        <v>594-10061</v>
      </c>
      <c r="C317" s="279"/>
      <c r="D317" s="279"/>
      <c r="E317" s="279">
        <f t="shared" si="134"/>
        <v>1</v>
      </c>
      <c r="F317" s="190" t="s">
        <v>535</v>
      </c>
      <c r="G317" s="198">
        <v>44684</v>
      </c>
      <c r="H317" s="205"/>
      <c r="I317" s="205"/>
      <c r="J317" s="205" t="s">
        <v>402</v>
      </c>
      <c r="K317" s="205" t="s">
        <v>1059</v>
      </c>
      <c r="L317" s="205" t="s">
        <v>444</v>
      </c>
      <c r="M317" s="192" t="s">
        <v>558</v>
      </c>
      <c r="N317" s="192"/>
      <c r="O317" s="229"/>
      <c r="P317" s="229"/>
      <c r="Q317" s="231" t="str">
        <f t="shared" si="135"/>
        <v>. Navigation Display Screen</v>
      </c>
      <c r="R317" s="231"/>
      <c r="S317" s="231" t="str">
        <f t="shared" si="137"/>
        <v/>
      </c>
      <c r="T317" s="231" t="str">
        <f>IF(O317&lt;&gt;"",_xlfn.XLOOKUP(O317,'3D. Pictures'!B:B,'3D. Pictures'!E:E,"NOT FOUND",0,1),"")</f>
        <v/>
      </c>
      <c r="U317" s="192"/>
      <c r="V317" s="205"/>
      <c r="W317" s="192"/>
      <c r="X317" s="205"/>
      <c r="Y317" s="16"/>
      <c r="Z317" s="205"/>
      <c r="AA317" s="205" t="s">
        <v>444</v>
      </c>
      <c r="AB317" s="205" t="s">
        <v>444</v>
      </c>
      <c r="AC317" s="358" t="str">
        <f t="shared" si="136"/>
        <v/>
      </c>
      <c r="AD317" s="205"/>
      <c r="AE317" s="205"/>
      <c r="AF317" s="201" t="s">
        <v>543</v>
      </c>
      <c r="AG317" s="205"/>
      <c r="AH317" s="363">
        <v>750</v>
      </c>
      <c r="AI317" s="380">
        <f t="shared" si="138"/>
        <v>580</v>
      </c>
      <c r="AJ317" s="204" t="s">
        <v>408</v>
      </c>
      <c r="AK317" s="204" t="s">
        <v>425</v>
      </c>
      <c r="AL317" s="204" t="s">
        <v>2175</v>
      </c>
      <c r="AM317" s="190"/>
      <c r="AN317" s="191" t="s">
        <v>630</v>
      </c>
      <c r="AO317" s="190" t="s">
        <v>572</v>
      </c>
      <c r="AP317" s="190">
        <v>10061</v>
      </c>
      <c r="AQ317" s="190" t="str">
        <f t="shared" si="146"/>
        <v>594-10061</v>
      </c>
      <c r="AR317" s="190" t="s">
        <v>791</v>
      </c>
      <c r="AS317" s="190"/>
      <c r="AT317" s="190"/>
      <c r="AU317" s="190"/>
      <c r="AV317" s="190"/>
      <c r="AW317" s="190"/>
      <c r="AX317" s="279" t="str">
        <f t="shared" si="141"/>
        <v/>
      </c>
    </row>
    <row r="318" spans="1:50" ht="15.75" customHeight="1" x14ac:dyDescent="0.25">
      <c r="A318" s="190" t="str">
        <f t="shared" si="133"/>
        <v/>
      </c>
      <c r="B318" s="279" t="str">
        <f t="shared" si="147"/>
        <v>594-1774</v>
      </c>
      <c r="C318" s="279"/>
      <c r="D318" s="279"/>
      <c r="E318" s="279">
        <f t="shared" si="134"/>
        <v>1</v>
      </c>
      <c r="F318" s="190" t="s">
        <v>535</v>
      </c>
      <c r="G318" s="198">
        <v>44684</v>
      </c>
      <c r="H318" s="205"/>
      <c r="I318" s="205"/>
      <c r="J318" s="205" t="s">
        <v>402</v>
      </c>
      <c r="K318" s="205" t="s">
        <v>1059</v>
      </c>
      <c r="L318" s="205" t="s">
        <v>444</v>
      </c>
      <c r="M318" s="192" t="s">
        <v>558</v>
      </c>
      <c r="N318" s="192"/>
      <c r="O318" s="229"/>
      <c r="P318" s="229"/>
      <c r="Q318" s="231" t="str">
        <f t="shared" si="135"/>
        <v>. Navigation Display Screen</v>
      </c>
      <c r="R318" s="231"/>
      <c r="S318" s="231" t="str">
        <f t="shared" si="137"/>
        <v/>
      </c>
      <c r="T318" s="231" t="str">
        <f>IF(O318&lt;&gt;"",_xlfn.XLOOKUP(O318,'3D. Pictures'!B:B,'3D. Pictures'!E:E,"NOT FOUND",0,1),"")</f>
        <v/>
      </c>
      <c r="U318" s="192"/>
      <c r="V318" s="205"/>
      <c r="W318" s="192"/>
      <c r="X318" s="205"/>
      <c r="Y318" s="201"/>
      <c r="Z318" s="205"/>
      <c r="AA318" s="205" t="s">
        <v>444</v>
      </c>
      <c r="AB318" s="205" t="s">
        <v>444</v>
      </c>
      <c r="AC318" s="358" t="str">
        <f t="shared" si="136"/>
        <v/>
      </c>
      <c r="AD318" s="205"/>
      <c r="AE318" s="205"/>
      <c r="AF318" s="201" t="s">
        <v>543</v>
      </c>
      <c r="AG318" s="205"/>
      <c r="AH318" s="363">
        <v>495</v>
      </c>
      <c r="AI318" s="380">
        <f t="shared" si="138"/>
        <v>580</v>
      </c>
      <c r="AJ318" s="204" t="s">
        <v>408</v>
      </c>
      <c r="AK318" s="204" t="s">
        <v>425</v>
      </c>
      <c r="AL318" s="204" t="s">
        <v>2175</v>
      </c>
      <c r="AM318" s="190"/>
      <c r="AN318" s="191" t="s">
        <v>630</v>
      </c>
      <c r="AO318" s="190" t="s">
        <v>572</v>
      </c>
      <c r="AP318" s="190">
        <v>1774</v>
      </c>
      <c r="AQ318" s="190" t="str">
        <f t="shared" si="146"/>
        <v>594-1774</v>
      </c>
      <c r="AR318" s="190" t="s">
        <v>792</v>
      </c>
      <c r="AS318" s="190"/>
      <c r="AT318" s="190"/>
      <c r="AU318" s="190"/>
      <c r="AV318" s="190"/>
      <c r="AW318" s="190"/>
      <c r="AX318" s="279" t="str">
        <f t="shared" si="141"/>
        <v/>
      </c>
    </row>
    <row r="319" spans="1:50" x14ac:dyDescent="0.25">
      <c r="A319" s="190" t="str">
        <f t="shared" ref="A319:A382" si="148">IF(O319&lt;&gt;"",O319,"")</f>
        <v/>
      </c>
      <c r="B319" s="279" t="str">
        <f t="shared" si="147"/>
        <v/>
      </c>
      <c r="C319" s="279"/>
      <c r="D319" s="279"/>
      <c r="E319" s="279" t="str">
        <f t="shared" si="134"/>
        <v/>
      </c>
      <c r="F319" t="s">
        <v>535</v>
      </c>
      <c r="G319" s="188">
        <v>45245</v>
      </c>
      <c r="H319" s="16"/>
      <c r="I319" s="16"/>
      <c r="J319" s="16" t="s">
        <v>402</v>
      </c>
      <c r="K319" s="16" t="s">
        <v>1059</v>
      </c>
      <c r="L319" s="16" t="s">
        <v>2357</v>
      </c>
      <c r="M319" s="16" t="s">
        <v>559</v>
      </c>
      <c r="N319" s="16"/>
      <c r="O319" s="166"/>
      <c r="P319" s="166"/>
      <c r="Q319" s="231" t="str">
        <f t="shared" si="135"/>
        <v>. Owners Manual + Case</v>
      </c>
      <c r="R319" s="231"/>
      <c r="S319" s="231" t="str">
        <f t="shared" si="137"/>
        <v/>
      </c>
      <c r="T319" s="231" t="str">
        <f>IF(O319&lt;&gt;"",_xlfn.XLOOKUP(O319,'3D. Pictures'!B:B,'3D. Pictures'!E:E,"NOT FOUND",0,1),"")</f>
        <v/>
      </c>
      <c r="U319" s="16"/>
      <c r="V319" s="16"/>
      <c r="W319" s="16"/>
      <c r="X319" s="16"/>
      <c r="Y319" s="201"/>
      <c r="Z319" s="16"/>
      <c r="AA319" s="16" t="s">
        <v>2356</v>
      </c>
      <c r="AB319" s="16" t="s">
        <v>2356</v>
      </c>
      <c r="AC319" s="358" t="str">
        <f t="shared" si="136"/>
        <v>toss both if 1 bad (barely worth selling)</v>
      </c>
      <c r="AD319" s="16" t="s">
        <v>2355</v>
      </c>
      <c r="AE319" s="16"/>
      <c r="AF319" s="168" t="s">
        <v>543</v>
      </c>
      <c r="AG319" s="16"/>
      <c r="AH319" s="363">
        <v>60</v>
      </c>
      <c r="AI319" s="380">
        <f t="shared" si="138"/>
        <v>60</v>
      </c>
      <c r="AJ319" s="3" t="s">
        <v>408</v>
      </c>
      <c r="AK319" s="3" t="s">
        <v>425</v>
      </c>
      <c r="AL319" s="3" t="s">
        <v>2175</v>
      </c>
      <c r="AN319"/>
      <c r="AX319" s="279" t="str">
        <f t="shared" si="141"/>
        <v/>
      </c>
    </row>
    <row r="320" spans="1:50" ht="15.75" thickBot="1" x14ac:dyDescent="0.3">
      <c r="A320" s="190" t="str">
        <f t="shared" si="148"/>
        <v/>
      </c>
      <c r="B320" s="279" t="str">
        <f t="shared" si="147"/>
        <v>638-72259</v>
      </c>
      <c r="C320" s="279"/>
      <c r="D320" s="279"/>
      <c r="E320" s="279">
        <f t="shared" si="134"/>
        <v>1</v>
      </c>
      <c r="F320" s="190" t="s">
        <v>535</v>
      </c>
      <c r="G320" s="198">
        <v>44684</v>
      </c>
      <c r="H320" s="205"/>
      <c r="I320" s="205"/>
      <c r="J320" s="205" t="s">
        <v>402</v>
      </c>
      <c r="K320" s="205" t="s">
        <v>1059</v>
      </c>
      <c r="L320" s="205" t="s">
        <v>796</v>
      </c>
      <c r="M320" s="192" t="s">
        <v>558</v>
      </c>
      <c r="N320" s="192"/>
      <c r="O320" s="229"/>
      <c r="P320" s="229"/>
      <c r="Q320" s="231" t="str">
        <f t="shared" si="135"/>
        <v>. Radio / Stereo Receiver Unit</v>
      </c>
      <c r="R320" s="231"/>
      <c r="S320" s="231" t="str">
        <f t="shared" si="137"/>
        <v/>
      </c>
      <c r="T320" s="231" t="str">
        <f>IF(O320&lt;&gt;"",_xlfn.XLOOKUP(O320,'3D. Pictures'!B:B,'3D. Pictures'!E:E,"NOT FOUND",0,1),"")</f>
        <v/>
      </c>
      <c r="U320" s="192"/>
      <c r="V320" s="205"/>
      <c r="W320" s="192"/>
      <c r="X320" s="205"/>
      <c r="Y320" s="201"/>
      <c r="Z320" s="205"/>
      <c r="AA320" s="205" t="s">
        <v>455</v>
      </c>
      <c r="AB320" s="205" t="s">
        <v>455</v>
      </c>
      <c r="AC320" s="358" t="str">
        <f t="shared" si="136"/>
        <v/>
      </c>
      <c r="AD320" s="205"/>
      <c r="AE320" s="205"/>
      <c r="AF320" s="201" t="s">
        <v>543</v>
      </c>
      <c r="AG320" s="205"/>
      <c r="AH320" s="363">
        <v>175</v>
      </c>
      <c r="AI320" s="380">
        <f t="shared" si="138"/>
        <v>383.33333333333331</v>
      </c>
      <c r="AJ320" s="204" t="s">
        <v>408</v>
      </c>
      <c r="AK320" s="204" t="s">
        <v>425</v>
      </c>
      <c r="AL320" s="204" t="s">
        <v>2175</v>
      </c>
      <c r="AM320" s="190"/>
      <c r="AN320" s="191" t="s">
        <v>631</v>
      </c>
      <c r="AO320" s="190" t="s">
        <v>572</v>
      </c>
      <c r="AP320" s="190">
        <v>72259</v>
      </c>
      <c r="AQ320" s="190" t="str">
        <f t="shared" ref="AQ320:AQ325" si="149">CONCATENATE(AN320,AO320,AP320)</f>
        <v>638-72259</v>
      </c>
      <c r="AR320" s="190" t="s">
        <v>794</v>
      </c>
      <c r="AS320" s="190"/>
      <c r="AT320" s="190"/>
      <c r="AU320" s="190"/>
      <c r="AV320" s="190"/>
      <c r="AW320" s="190"/>
      <c r="AX320" s="279" t="str">
        <f t="shared" si="141"/>
        <v/>
      </c>
    </row>
    <row r="321" spans="1:50" ht="15.75" thickBot="1" x14ac:dyDescent="0.3">
      <c r="A321" s="190" t="str">
        <f t="shared" si="148"/>
        <v>A72</v>
      </c>
      <c r="B321" s="279" t="str">
        <f t="shared" si="147"/>
        <v>638-72260</v>
      </c>
      <c r="C321" s="279"/>
      <c r="D321" s="279"/>
      <c r="E321" s="279">
        <f t="shared" si="134"/>
        <v>1</v>
      </c>
      <c r="F321" s="190" t="s">
        <v>535</v>
      </c>
      <c r="G321" s="198">
        <v>44684</v>
      </c>
      <c r="H321" s="205"/>
      <c r="I321" s="205"/>
      <c r="J321" s="205" t="s">
        <v>402</v>
      </c>
      <c r="K321" s="205" t="s">
        <v>1059</v>
      </c>
      <c r="L321" s="205" t="s">
        <v>796</v>
      </c>
      <c r="M321" s="192" t="s">
        <v>558</v>
      </c>
      <c r="N321" s="192">
        <v>62</v>
      </c>
      <c r="O321" s="229" t="s">
        <v>974</v>
      </c>
      <c r="P321" s="229" t="s">
        <v>1254</v>
      </c>
      <c r="Q321" s="231" t="str">
        <f t="shared" si="135"/>
        <v>A72. Radio / Stereo Receiver Unit</v>
      </c>
      <c r="R321" s="284" t="str">
        <f>HYPERLINK(VLOOKUP(O321,'3D. Pictures'!$B$3:$E$500,4,FALSE),"PIC")</f>
        <v>PIC</v>
      </c>
      <c r="S321" s="373" t="str">
        <f t="shared" si="137"/>
        <v>E.G.</v>
      </c>
      <c r="T321" s="377" t="str">
        <f>IF(O321&lt;&gt;"",_xlfn.XLOOKUP(O321,'3D. Pictures'!B:B,'3D. Pictures'!E:E,"NOT FOUND",0,1),"")</f>
        <v>https://viking-pictures.s3.us-west-1.amazonaws.com/AA1155/A72.+Radio+%2F+Stereo+Receiver+Unit+(1).JPG</v>
      </c>
      <c r="U321" s="192">
        <v>5</v>
      </c>
      <c r="V321" s="205" t="s">
        <v>1256</v>
      </c>
      <c r="W321" s="192" t="s">
        <v>112</v>
      </c>
      <c r="X321" s="205"/>
      <c r="Y321" s="201"/>
      <c r="Z321" s="205"/>
      <c r="AA321" s="205" t="s">
        <v>455</v>
      </c>
      <c r="AB321" s="205" t="s">
        <v>455</v>
      </c>
      <c r="AC321" s="358" t="str">
        <f t="shared" si="136"/>
        <v/>
      </c>
      <c r="AD321" s="205"/>
      <c r="AE321" s="205"/>
      <c r="AF321" s="201" t="s">
        <v>543</v>
      </c>
      <c r="AG321" s="205"/>
      <c r="AH321" s="363">
        <v>175</v>
      </c>
      <c r="AI321" s="380">
        <f t="shared" si="138"/>
        <v>383.33333333333331</v>
      </c>
      <c r="AJ321" s="204" t="s">
        <v>408</v>
      </c>
      <c r="AK321" s="204" t="s">
        <v>425</v>
      </c>
      <c r="AL321" s="204" t="s">
        <v>2175</v>
      </c>
      <c r="AM321" s="190"/>
      <c r="AN321" s="191" t="s">
        <v>631</v>
      </c>
      <c r="AO321" s="190" t="s">
        <v>572</v>
      </c>
      <c r="AP321" s="190">
        <v>72260</v>
      </c>
      <c r="AQ321" s="190" t="str">
        <f t="shared" si="149"/>
        <v>638-72260</v>
      </c>
      <c r="AR321" s="190" t="s">
        <v>795</v>
      </c>
      <c r="AS321" s="190"/>
      <c r="AT321" s="190"/>
      <c r="AU321" s="190"/>
      <c r="AV321" s="190"/>
      <c r="AW321" s="190"/>
      <c r="AX321" s="279" t="str">
        <f t="shared" si="141"/>
        <v/>
      </c>
    </row>
    <row r="322" spans="1:50" x14ac:dyDescent="0.25">
      <c r="A322" s="190" t="str">
        <f t="shared" si="148"/>
        <v/>
      </c>
      <c r="B322" s="279" t="str">
        <f t="shared" si="147"/>
        <v>638-73944</v>
      </c>
      <c r="C322" s="279"/>
      <c r="D322" s="279"/>
      <c r="E322" s="279">
        <f t="shared" si="134"/>
        <v>1</v>
      </c>
      <c r="F322" s="190" t="s">
        <v>535</v>
      </c>
      <c r="G322" s="198">
        <v>44684</v>
      </c>
      <c r="H322" s="205"/>
      <c r="I322" s="205"/>
      <c r="J322" s="205" t="s">
        <v>402</v>
      </c>
      <c r="K322" s="205" t="s">
        <v>1059</v>
      </c>
      <c r="L322" s="205" t="s">
        <v>796</v>
      </c>
      <c r="M322" s="192" t="s">
        <v>558</v>
      </c>
      <c r="N322" s="192"/>
      <c r="O322" s="229"/>
      <c r="P322" s="229"/>
      <c r="Q322" s="231" t="str">
        <f t="shared" si="135"/>
        <v>. Radio / Stereo Receiver Unit</v>
      </c>
      <c r="R322" s="231"/>
      <c r="S322" s="231" t="str">
        <f t="shared" si="137"/>
        <v/>
      </c>
      <c r="T322" s="231" t="str">
        <f>IF(O322&lt;&gt;"",_xlfn.XLOOKUP(O322,'3D. Pictures'!B:B,'3D. Pictures'!E:E,"NOT FOUND",0,1),"")</f>
        <v/>
      </c>
      <c r="U322" s="192"/>
      <c r="V322" s="205"/>
      <c r="W322" s="192"/>
      <c r="X322" s="205"/>
      <c r="Y322" s="168"/>
      <c r="Z322" s="205"/>
      <c r="AA322" s="205" t="s">
        <v>455</v>
      </c>
      <c r="AB322" s="205" t="s">
        <v>455</v>
      </c>
      <c r="AC322" s="358" t="str">
        <f t="shared" si="136"/>
        <v/>
      </c>
      <c r="AD322" s="205"/>
      <c r="AE322" s="205"/>
      <c r="AF322" s="201" t="s">
        <v>543</v>
      </c>
      <c r="AG322" s="205"/>
      <c r="AH322" s="363">
        <v>800</v>
      </c>
      <c r="AI322" s="380">
        <f t="shared" si="138"/>
        <v>383.33333333333331</v>
      </c>
      <c r="AJ322" s="204" t="s">
        <v>408</v>
      </c>
      <c r="AK322" s="204" t="s">
        <v>425</v>
      </c>
      <c r="AL322" s="204" t="s">
        <v>2175</v>
      </c>
      <c r="AM322" s="190"/>
      <c r="AN322" s="191" t="s">
        <v>631</v>
      </c>
      <c r="AO322" s="190" t="s">
        <v>572</v>
      </c>
      <c r="AP322" s="190">
        <v>73944</v>
      </c>
      <c r="AQ322" s="190" t="str">
        <f t="shared" si="149"/>
        <v>638-73944</v>
      </c>
      <c r="AR322" s="190" t="s">
        <v>793</v>
      </c>
      <c r="AS322" s="190"/>
      <c r="AT322" s="190"/>
      <c r="AU322" s="190"/>
      <c r="AV322" s="190"/>
      <c r="AW322" s="190"/>
      <c r="AX322" s="279" t="str">
        <f t="shared" si="141"/>
        <v/>
      </c>
    </row>
    <row r="323" spans="1:50" ht="15.75" thickBot="1" x14ac:dyDescent="0.3">
      <c r="A323" s="190" t="str">
        <f t="shared" si="148"/>
        <v/>
      </c>
      <c r="B323" s="279" t="str">
        <f t="shared" si="147"/>
        <v>257-66543</v>
      </c>
      <c r="C323" s="279"/>
      <c r="D323" s="279"/>
      <c r="E323" s="279">
        <f t="shared" si="134"/>
        <v>1</v>
      </c>
      <c r="F323" s="190" t="s">
        <v>535</v>
      </c>
      <c r="G323" s="198">
        <v>44684</v>
      </c>
      <c r="H323" s="205"/>
      <c r="I323" s="205"/>
      <c r="J323" s="205" t="s">
        <v>402</v>
      </c>
      <c r="K323" s="205" t="s">
        <v>1059</v>
      </c>
      <c r="L323" s="205" t="s">
        <v>797</v>
      </c>
      <c r="M323" s="192" t="s">
        <v>558</v>
      </c>
      <c r="N323" s="192"/>
      <c r="O323" s="229"/>
      <c r="P323" s="229"/>
      <c r="Q323" s="231" t="str">
        <f t="shared" si="135"/>
        <v>. Speedometer</v>
      </c>
      <c r="R323" s="231"/>
      <c r="S323" s="231" t="str">
        <f t="shared" si="137"/>
        <v/>
      </c>
      <c r="T323" s="231" t="str">
        <f>IF(O323&lt;&gt;"",_xlfn.XLOOKUP(O323,'3D. Pictures'!B:B,'3D. Pictures'!E:E,"NOT FOUND",0,1),"")</f>
        <v/>
      </c>
      <c r="U323" s="192"/>
      <c r="V323" s="205"/>
      <c r="W323" s="192"/>
      <c r="X323" s="205"/>
      <c r="Y323" s="168"/>
      <c r="Z323" s="205"/>
      <c r="AA323" s="205" t="s">
        <v>797</v>
      </c>
      <c r="AB323" s="205" t="s">
        <v>797</v>
      </c>
      <c r="AC323" s="358" t="str">
        <f t="shared" si="136"/>
        <v/>
      </c>
      <c r="AD323" s="205"/>
      <c r="AE323" s="205"/>
      <c r="AF323" s="201" t="s">
        <v>543</v>
      </c>
      <c r="AG323" s="205"/>
      <c r="AH323" s="16">
        <v>325</v>
      </c>
      <c r="AI323" s="380">
        <f t="shared" si="138"/>
        <v>315.5</v>
      </c>
      <c r="AJ323" s="204" t="s">
        <v>408</v>
      </c>
      <c r="AK323" s="204" t="s">
        <v>425</v>
      </c>
      <c r="AL323" s="204" t="s">
        <v>2175</v>
      </c>
      <c r="AM323" s="190"/>
      <c r="AN323" s="191" t="s">
        <v>632</v>
      </c>
      <c r="AO323" s="190" t="s">
        <v>572</v>
      </c>
      <c r="AP323" s="190">
        <v>66543</v>
      </c>
      <c r="AQ323" s="190" t="str">
        <f t="shared" si="149"/>
        <v>257-66543</v>
      </c>
      <c r="AR323" s="190" t="s">
        <v>798</v>
      </c>
      <c r="AS323" s="190"/>
      <c r="AT323" s="190"/>
      <c r="AU323" s="190"/>
      <c r="AV323" s="190"/>
      <c r="AW323" s="190"/>
      <c r="AX323" s="279" t="str">
        <f t="shared" si="141"/>
        <v/>
      </c>
    </row>
    <row r="324" spans="1:50" ht="15.75" thickBot="1" x14ac:dyDescent="0.3">
      <c r="A324" s="190" t="str">
        <f t="shared" si="148"/>
        <v>A79</v>
      </c>
      <c r="B324" s="279" t="str">
        <f t="shared" si="147"/>
        <v>257-66546</v>
      </c>
      <c r="C324" s="279"/>
      <c r="D324" s="279"/>
      <c r="E324" s="279">
        <f t="shared" si="134"/>
        <v>1</v>
      </c>
      <c r="F324" s="190" t="s">
        <v>535</v>
      </c>
      <c r="G324" s="198">
        <v>44684</v>
      </c>
      <c r="H324" s="205"/>
      <c r="I324" s="205"/>
      <c r="J324" s="205" t="s">
        <v>402</v>
      </c>
      <c r="K324" s="205" t="s">
        <v>1059</v>
      </c>
      <c r="L324" s="205" t="s">
        <v>797</v>
      </c>
      <c r="M324" s="192" t="s">
        <v>558</v>
      </c>
      <c r="N324" s="192">
        <v>69</v>
      </c>
      <c r="O324" s="229" t="s">
        <v>981</v>
      </c>
      <c r="P324" s="229" t="s">
        <v>1254</v>
      </c>
      <c r="Q324" s="231" t="str">
        <f t="shared" si="135"/>
        <v>A79. Speedometer</v>
      </c>
      <c r="R324" s="284" t="str">
        <f>HYPERLINK(VLOOKUP(O324,'3D. Pictures'!$B$3:$E$500,4,FALSE),"PIC")</f>
        <v>PIC</v>
      </c>
      <c r="S324" s="373" t="str">
        <f t="shared" si="137"/>
        <v>E.G.</v>
      </c>
      <c r="T324" s="377" t="str">
        <f>IF(O324&lt;&gt;"",_xlfn.XLOOKUP(O324,'3D. Pictures'!B:B,'3D. Pictures'!E:E,"NOT FOUND",0,1),"")</f>
        <v>https://viking-pictures.s3.us-west-1.amazonaws.com/AA1155/A79.+Speedometer+(1).JPG</v>
      </c>
      <c r="U324" s="192">
        <v>6</v>
      </c>
      <c r="V324" s="205" t="s">
        <v>1273</v>
      </c>
      <c r="W324" s="192" t="s">
        <v>112</v>
      </c>
      <c r="X324" s="205"/>
      <c r="Y324" s="168"/>
      <c r="Z324" s="205"/>
      <c r="AA324" s="205" t="s">
        <v>797</v>
      </c>
      <c r="AB324" s="205" t="s">
        <v>797</v>
      </c>
      <c r="AC324" s="358" t="str">
        <f t="shared" si="136"/>
        <v/>
      </c>
      <c r="AD324" s="205"/>
      <c r="AE324" s="205"/>
      <c r="AF324" s="201" t="s">
        <v>543</v>
      </c>
      <c r="AG324" s="205"/>
      <c r="AH324" s="16">
        <v>120</v>
      </c>
      <c r="AI324" s="380">
        <f t="shared" si="138"/>
        <v>315.5</v>
      </c>
      <c r="AJ324" s="204" t="s">
        <v>408</v>
      </c>
      <c r="AK324" s="204" t="s">
        <v>425</v>
      </c>
      <c r="AL324" s="204" t="s">
        <v>2175</v>
      </c>
      <c r="AM324" s="190"/>
      <c r="AN324" s="191" t="s">
        <v>632</v>
      </c>
      <c r="AO324" s="190" t="s">
        <v>572</v>
      </c>
      <c r="AP324" s="190">
        <v>66546</v>
      </c>
      <c r="AQ324" s="190" t="str">
        <f t="shared" si="149"/>
        <v>257-66546</v>
      </c>
      <c r="AR324" s="190" t="s">
        <v>799</v>
      </c>
      <c r="AS324" s="190"/>
      <c r="AT324" s="190"/>
      <c r="AU324" s="190"/>
      <c r="AV324" s="190"/>
      <c r="AW324" s="190"/>
      <c r="AX324" s="279" t="str">
        <f t="shared" si="141"/>
        <v/>
      </c>
    </row>
    <row r="325" spans="1:50" x14ac:dyDescent="0.25">
      <c r="A325" s="190" t="str">
        <f t="shared" si="148"/>
        <v/>
      </c>
      <c r="B325" s="279" t="str">
        <f t="shared" si="147"/>
        <v>257-66429</v>
      </c>
      <c r="C325" s="279"/>
      <c r="D325" s="279"/>
      <c r="E325" s="279">
        <f t="shared" si="134"/>
        <v>1</v>
      </c>
      <c r="F325" s="190" t="s">
        <v>535</v>
      </c>
      <c r="G325" s="198">
        <v>44684</v>
      </c>
      <c r="H325" s="205"/>
      <c r="I325" s="205"/>
      <c r="J325" s="205" t="s">
        <v>402</v>
      </c>
      <c r="K325" s="205" t="s">
        <v>1059</v>
      </c>
      <c r="L325" s="205" t="s">
        <v>797</v>
      </c>
      <c r="M325" s="192" t="s">
        <v>558</v>
      </c>
      <c r="N325" s="192"/>
      <c r="O325" s="229"/>
      <c r="P325" s="229"/>
      <c r="Q325" s="231" t="str">
        <f t="shared" si="135"/>
        <v>. Speedometer</v>
      </c>
      <c r="R325" s="231"/>
      <c r="S325" s="231" t="str">
        <f t="shared" si="137"/>
        <v/>
      </c>
      <c r="T325" s="231" t="str">
        <f>IF(O325&lt;&gt;"",_xlfn.XLOOKUP(O325,'3D. Pictures'!B:B,'3D. Pictures'!E:E,"NOT FOUND",0,1),"")</f>
        <v/>
      </c>
      <c r="U325" s="192"/>
      <c r="V325" s="205"/>
      <c r="W325" s="192"/>
      <c r="X325" s="205"/>
      <c r="Y325" s="201"/>
      <c r="Z325" s="205"/>
      <c r="AA325" s="205" t="s">
        <v>797</v>
      </c>
      <c r="AB325" s="205" t="s">
        <v>797</v>
      </c>
      <c r="AC325" s="358" t="str">
        <f t="shared" si="136"/>
        <v/>
      </c>
      <c r="AD325" s="205"/>
      <c r="AE325" s="205"/>
      <c r="AF325" s="201" t="s">
        <v>543</v>
      </c>
      <c r="AG325" s="205"/>
      <c r="AH325" s="16">
        <v>250</v>
      </c>
      <c r="AI325" s="380">
        <f t="shared" si="138"/>
        <v>315.5</v>
      </c>
      <c r="AJ325" s="204" t="s">
        <v>408</v>
      </c>
      <c r="AK325" s="204" t="s">
        <v>425</v>
      </c>
      <c r="AL325" s="204" t="s">
        <v>2175</v>
      </c>
      <c r="AM325" s="190"/>
      <c r="AN325" s="191" t="s">
        <v>632</v>
      </c>
      <c r="AO325" s="190" t="s">
        <v>572</v>
      </c>
      <c r="AP325" s="190">
        <v>66429</v>
      </c>
      <c r="AQ325" s="190" t="str">
        <f t="shared" si="149"/>
        <v>257-66429</v>
      </c>
      <c r="AR325" s="190" t="s">
        <v>800</v>
      </c>
      <c r="AS325" s="190"/>
      <c r="AT325" s="190"/>
      <c r="AU325" s="190"/>
      <c r="AV325" s="190"/>
      <c r="AW325" s="190"/>
      <c r="AX325" s="279" t="str">
        <f t="shared" si="141"/>
        <v/>
      </c>
    </row>
    <row r="326" spans="1:50" x14ac:dyDescent="0.25">
      <c r="A326" s="190" t="str">
        <f t="shared" si="148"/>
        <v/>
      </c>
      <c r="B326" s="279" t="str">
        <f t="shared" si="147"/>
        <v>257-66413</v>
      </c>
      <c r="C326" s="279"/>
      <c r="D326" s="279"/>
      <c r="E326" s="279">
        <f t="shared" si="134"/>
        <v>1</v>
      </c>
      <c r="F326" s="190" t="s">
        <v>535</v>
      </c>
      <c r="G326" s="198">
        <v>44684</v>
      </c>
      <c r="H326" s="205"/>
      <c r="I326" s="205"/>
      <c r="J326" s="205" t="s">
        <v>402</v>
      </c>
      <c r="K326" s="205" t="s">
        <v>1059</v>
      </c>
      <c r="L326" s="205" t="s">
        <v>797</v>
      </c>
      <c r="M326" s="192" t="s">
        <v>558</v>
      </c>
      <c r="N326" s="192"/>
      <c r="O326" s="229"/>
      <c r="P326" s="229"/>
      <c r="Q326" s="231" t="str">
        <f t="shared" si="135"/>
        <v>. Speedometer</v>
      </c>
      <c r="R326" s="231"/>
      <c r="S326" s="231" t="str">
        <f t="shared" si="137"/>
        <v/>
      </c>
      <c r="T326" s="231" t="str">
        <f>IF(O326&lt;&gt;"",_xlfn.XLOOKUP(O326,'3D. Pictures'!B:B,'3D. Pictures'!E:E,"NOT FOUND",0,1),"")</f>
        <v/>
      </c>
      <c r="U326" s="192"/>
      <c r="V326" s="205"/>
      <c r="W326" s="192"/>
      <c r="X326" s="205"/>
      <c r="Y326" s="201"/>
      <c r="Z326" s="205"/>
      <c r="AA326" s="205" t="s">
        <v>797</v>
      </c>
      <c r="AB326" s="205" t="s">
        <v>797</v>
      </c>
      <c r="AC326" s="358" t="str">
        <f t="shared" si="136"/>
        <v/>
      </c>
      <c r="AD326" s="205"/>
      <c r="AE326" s="205"/>
      <c r="AF326" s="201" t="s">
        <v>543</v>
      </c>
      <c r="AG326" s="205"/>
      <c r="AH326" s="16">
        <v>100</v>
      </c>
      <c r="AI326" s="380">
        <f t="shared" si="138"/>
        <v>315.5</v>
      </c>
      <c r="AJ326" s="204" t="s">
        <v>408</v>
      </c>
      <c r="AK326" s="204" t="s">
        <v>425</v>
      </c>
      <c r="AL326" s="204" t="s">
        <v>2175</v>
      </c>
      <c r="AM326" s="190"/>
      <c r="AN326" s="191" t="s">
        <v>632</v>
      </c>
      <c r="AO326" s="190" t="s">
        <v>572</v>
      </c>
      <c r="AP326" s="190">
        <v>66413</v>
      </c>
      <c r="AQ326" s="190" t="str">
        <f t="shared" ref="AQ326:AQ331" si="150">CONCATENATE(AN326,AO326,AP326)</f>
        <v>257-66413</v>
      </c>
      <c r="AR326" s="190" t="s">
        <v>801</v>
      </c>
      <c r="AS326" s="190"/>
      <c r="AT326" s="190"/>
      <c r="AU326" s="190"/>
      <c r="AV326" s="190"/>
      <c r="AW326" s="190"/>
      <c r="AX326" s="279" t="str">
        <f t="shared" si="141"/>
        <v/>
      </c>
    </row>
    <row r="327" spans="1:50" x14ac:dyDescent="0.25">
      <c r="A327" s="190" t="str">
        <f t="shared" si="148"/>
        <v/>
      </c>
      <c r="B327" s="279" t="str">
        <f t="shared" si="147"/>
        <v>257-68008</v>
      </c>
      <c r="C327" s="279"/>
      <c r="D327" s="279"/>
      <c r="E327" s="279">
        <f t="shared" si="134"/>
        <v>1</v>
      </c>
      <c r="F327" s="190" t="s">
        <v>535</v>
      </c>
      <c r="G327" s="198">
        <v>44684</v>
      </c>
      <c r="H327" s="205"/>
      <c r="I327" s="205"/>
      <c r="J327" s="205" t="s">
        <v>402</v>
      </c>
      <c r="K327" s="205" t="s">
        <v>1059</v>
      </c>
      <c r="L327" s="205" t="s">
        <v>797</v>
      </c>
      <c r="M327" s="192" t="s">
        <v>558</v>
      </c>
      <c r="N327" s="192"/>
      <c r="O327" s="229"/>
      <c r="P327" s="229"/>
      <c r="Q327" s="231" t="str">
        <f t="shared" si="135"/>
        <v>. Speedometer</v>
      </c>
      <c r="R327" s="231"/>
      <c r="S327" s="231" t="str">
        <f t="shared" si="137"/>
        <v/>
      </c>
      <c r="T327" s="231" t="str">
        <f>IF(O327&lt;&gt;"",_xlfn.XLOOKUP(O327,'3D. Pictures'!B:B,'3D. Pictures'!E:E,"NOT FOUND",0,1),"")</f>
        <v/>
      </c>
      <c r="U327" s="192"/>
      <c r="V327" s="205"/>
      <c r="W327" s="192"/>
      <c r="X327" s="205"/>
      <c r="Y327" s="201"/>
      <c r="Z327" s="205"/>
      <c r="AA327" s="205" t="s">
        <v>797</v>
      </c>
      <c r="AB327" s="205" t="s">
        <v>797</v>
      </c>
      <c r="AC327" s="358" t="str">
        <f t="shared" si="136"/>
        <v/>
      </c>
      <c r="AD327" s="205"/>
      <c r="AE327" s="205"/>
      <c r="AF327" s="201" t="s">
        <v>543</v>
      </c>
      <c r="AG327" s="205"/>
      <c r="AH327" s="16">
        <v>125</v>
      </c>
      <c r="AI327" s="380">
        <f t="shared" si="138"/>
        <v>315.5</v>
      </c>
      <c r="AJ327" s="204" t="s">
        <v>408</v>
      </c>
      <c r="AK327" s="204" t="s">
        <v>425</v>
      </c>
      <c r="AL327" s="204" t="s">
        <v>2175</v>
      </c>
      <c r="AM327" s="190"/>
      <c r="AN327" s="191" t="s">
        <v>632</v>
      </c>
      <c r="AO327" s="190" t="s">
        <v>572</v>
      </c>
      <c r="AP327" s="190">
        <v>68008</v>
      </c>
      <c r="AQ327" s="190" t="str">
        <f>CONCATENATE(AN327,AO327,AP327)</f>
        <v>257-68008</v>
      </c>
      <c r="AR327" s="190" t="s">
        <v>802</v>
      </c>
      <c r="AS327" s="190"/>
      <c r="AT327" s="190"/>
      <c r="AU327" s="190"/>
      <c r="AV327" s="190"/>
      <c r="AW327" s="190"/>
      <c r="AX327" s="279" t="str">
        <f t="shared" si="141"/>
        <v/>
      </c>
    </row>
    <row r="328" spans="1:50" x14ac:dyDescent="0.25">
      <c r="A328" s="190" t="str">
        <f t="shared" si="148"/>
        <v/>
      </c>
      <c r="B328" s="279" t="str">
        <f t="shared" si="147"/>
        <v>257-66549</v>
      </c>
      <c r="C328" s="279"/>
      <c r="D328" s="279"/>
      <c r="E328" s="279">
        <f t="shared" si="134"/>
        <v>1</v>
      </c>
      <c r="F328" s="190" t="s">
        <v>535</v>
      </c>
      <c r="G328" s="198">
        <v>44684</v>
      </c>
      <c r="H328" s="205"/>
      <c r="I328" s="205"/>
      <c r="J328" s="205" t="s">
        <v>402</v>
      </c>
      <c r="K328" s="205" t="s">
        <v>1059</v>
      </c>
      <c r="L328" s="205" t="s">
        <v>797</v>
      </c>
      <c r="M328" s="192" t="s">
        <v>558</v>
      </c>
      <c r="N328" s="192"/>
      <c r="O328" s="229"/>
      <c r="P328" s="229"/>
      <c r="Q328" s="231" t="str">
        <f t="shared" si="135"/>
        <v>. Speedometer</v>
      </c>
      <c r="R328" s="231"/>
      <c r="S328" s="231" t="str">
        <f t="shared" si="137"/>
        <v/>
      </c>
      <c r="T328" s="231" t="str">
        <f>IF(O328&lt;&gt;"",_xlfn.XLOOKUP(O328,'3D. Pictures'!B:B,'3D. Pictures'!E:E,"NOT FOUND",0,1),"")</f>
        <v/>
      </c>
      <c r="U328" s="192"/>
      <c r="V328" s="205"/>
      <c r="W328" s="192"/>
      <c r="X328" s="205"/>
      <c r="Y328" s="201"/>
      <c r="Z328" s="205"/>
      <c r="AA328" s="205" t="s">
        <v>797</v>
      </c>
      <c r="AB328" s="205" t="s">
        <v>797</v>
      </c>
      <c r="AC328" s="358" t="str">
        <f t="shared" si="136"/>
        <v/>
      </c>
      <c r="AD328" s="205"/>
      <c r="AE328" s="205"/>
      <c r="AF328" s="201" t="s">
        <v>543</v>
      </c>
      <c r="AG328" s="205"/>
      <c r="AH328" s="16">
        <v>245</v>
      </c>
      <c r="AI328" s="380">
        <f t="shared" si="138"/>
        <v>315.5</v>
      </c>
      <c r="AJ328" s="204" t="s">
        <v>408</v>
      </c>
      <c r="AK328" s="204" t="s">
        <v>425</v>
      </c>
      <c r="AL328" s="204" t="s">
        <v>2175</v>
      </c>
      <c r="AM328" s="190"/>
      <c r="AN328" s="191" t="s">
        <v>632</v>
      </c>
      <c r="AO328" s="190" t="s">
        <v>572</v>
      </c>
      <c r="AP328" s="190">
        <v>66549</v>
      </c>
      <c r="AQ328" s="190" t="str">
        <f t="shared" si="150"/>
        <v>257-66549</v>
      </c>
      <c r="AR328" s="190" t="s">
        <v>803</v>
      </c>
      <c r="AS328" s="190"/>
      <c r="AT328" s="190"/>
      <c r="AU328" s="190"/>
      <c r="AV328" s="190"/>
      <c r="AW328" s="190"/>
      <c r="AX328" s="279" t="str">
        <f t="shared" si="141"/>
        <v/>
      </c>
    </row>
    <row r="329" spans="1:50" x14ac:dyDescent="0.25">
      <c r="A329" s="190" t="str">
        <f t="shared" si="148"/>
        <v/>
      </c>
      <c r="B329" s="279" t="str">
        <f t="shared" si="147"/>
        <v>257-66551</v>
      </c>
      <c r="C329" s="279"/>
      <c r="D329" s="279"/>
      <c r="E329" s="279">
        <f t="shared" ref="E329:E392" si="151">IF(B329&lt;&gt;"",COUNTIF($B$9:$B$2241,B329),"")</f>
        <v>1</v>
      </c>
      <c r="F329" s="190" t="s">
        <v>535</v>
      </c>
      <c r="G329" s="198">
        <v>44684</v>
      </c>
      <c r="H329" s="205"/>
      <c r="I329" s="205"/>
      <c r="J329" s="205" t="s">
        <v>402</v>
      </c>
      <c r="K329" s="205" t="s">
        <v>1059</v>
      </c>
      <c r="L329" s="205" t="s">
        <v>797</v>
      </c>
      <c r="M329" s="192" t="s">
        <v>558</v>
      </c>
      <c r="N329" s="192"/>
      <c r="O329" s="229"/>
      <c r="P329" s="229"/>
      <c r="Q329" s="231" t="str">
        <f t="shared" ref="Q329:Q392" si="152">CONCATENATE(O329,". ",AB329)</f>
        <v>. Speedometer</v>
      </c>
      <c r="R329" s="231"/>
      <c r="S329" s="231" t="str">
        <f t="shared" si="137"/>
        <v/>
      </c>
      <c r="T329" s="231" t="str">
        <f>IF(O329&lt;&gt;"",_xlfn.XLOOKUP(O329,'3D. Pictures'!B:B,'3D. Pictures'!E:E,"NOT FOUND",0,1),"")</f>
        <v/>
      </c>
      <c r="U329" s="192"/>
      <c r="V329" s="205"/>
      <c r="W329" s="192"/>
      <c r="X329" s="205"/>
      <c r="Y329" s="201"/>
      <c r="Z329" s="205"/>
      <c r="AA329" s="205" t="s">
        <v>797</v>
      </c>
      <c r="AB329" s="205" t="s">
        <v>797</v>
      </c>
      <c r="AC329" s="358" t="str">
        <f t="shared" si="136"/>
        <v/>
      </c>
      <c r="AD329" s="205"/>
      <c r="AE329" s="205"/>
      <c r="AF329" s="201" t="s">
        <v>543</v>
      </c>
      <c r="AG329" s="205"/>
      <c r="AH329" s="16">
        <v>125</v>
      </c>
      <c r="AI329" s="380">
        <f t="shared" si="138"/>
        <v>315.5</v>
      </c>
      <c r="AJ329" s="204" t="s">
        <v>408</v>
      </c>
      <c r="AK329" s="204" t="s">
        <v>425</v>
      </c>
      <c r="AL329" s="204" t="s">
        <v>2175</v>
      </c>
      <c r="AM329" s="190"/>
      <c r="AN329" s="191" t="s">
        <v>632</v>
      </c>
      <c r="AO329" s="190" t="s">
        <v>572</v>
      </c>
      <c r="AP329" s="190">
        <v>66551</v>
      </c>
      <c r="AQ329" s="190" t="str">
        <f>CONCATENATE(AN329,AO329,AP329)</f>
        <v>257-66551</v>
      </c>
      <c r="AR329" s="190" t="s">
        <v>804</v>
      </c>
      <c r="AS329" s="190"/>
      <c r="AT329" s="190"/>
      <c r="AU329" s="190"/>
      <c r="AV329" s="190"/>
      <c r="AW329" s="190"/>
      <c r="AX329" s="279" t="str">
        <f t="shared" si="141"/>
        <v/>
      </c>
    </row>
    <row r="330" spans="1:50" x14ac:dyDescent="0.25">
      <c r="A330" s="190" t="str">
        <f t="shared" si="148"/>
        <v/>
      </c>
      <c r="B330" s="279" t="str">
        <f t="shared" si="147"/>
        <v>257-66562</v>
      </c>
      <c r="C330" s="279"/>
      <c r="D330" s="279"/>
      <c r="E330" s="279">
        <f t="shared" si="151"/>
        <v>1</v>
      </c>
      <c r="F330" s="190" t="s">
        <v>535</v>
      </c>
      <c r="G330" s="198">
        <v>44684</v>
      </c>
      <c r="H330" s="205"/>
      <c r="I330" s="205"/>
      <c r="J330" s="205" t="s">
        <v>402</v>
      </c>
      <c r="K330" s="205" t="s">
        <v>1059</v>
      </c>
      <c r="L330" s="205" t="s">
        <v>797</v>
      </c>
      <c r="M330" s="192" t="s">
        <v>558</v>
      </c>
      <c r="N330" s="192"/>
      <c r="O330" s="229"/>
      <c r="P330" s="229"/>
      <c r="Q330" s="231" t="str">
        <f t="shared" si="152"/>
        <v>. Speedometer</v>
      </c>
      <c r="R330" s="231"/>
      <c r="S330" s="231" t="str">
        <f t="shared" si="137"/>
        <v/>
      </c>
      <c r="T330" s="231" t="str">
        <f>IF(O330&lt;&gt;"",_xlfn.XLOOKUP(O330,'3D. Pictures'!B:B,'3D. Pictures'!E:E,"NOT FOUND",0,1),"")</f>
        <v/>
      </c>
      <c r="U330" s="192"/>
      <c r="V330" s="205"/>
      <c r="W330" s="192"/>
      <c r="X330" s="205"/>
      <c r="Y330" s="277"/>
      <c r="Z330" s="205"/>
      <c r="AA330" s="205" t="s">
        <v>797</v>
      </c>
      <c r="AB330" s="205" t="s">
        <v>797</v>
      </c>
      <c r="AC330" s="358" t="str">
        <f t="shared" ref="AC330:AC393" si="153">_xlfn.TEXTJOIN(" | ",TRUE,AD330,AE330)</f>
        <v/>
      </c>
      <c r="AD330" s="205"/>
      <c r="AE330" s="205"/>
      <c r="AF330" s="201" t="s">
        <v>543</v>
      </c>
      <c r="AG330" s="205"/>
      <c r="AH330" s="16">
        <v>115</v>
      </c>
      <c r="AI330" s="380">
        <f t="shared" si="138"/>
        <v>315.5</v>
      </c>
      <c r="AJ330" s="204" t="s">
        <v>408</v>
      </c>
      <c r="AK330" s="204" t="s">
        <v>425</v>
      </c>
      <c r="AL330" s="204" t="s">
        <v>2175</v>
      </c>
      <c r="AM330" s="190"/>
      <c r="AN330" s="191" t="s">
        <v>632</v>
      </c>
      <c r="AO330" s="190" t="s">
        <v>572</v>
      </c>
      <c r="AP330" s="190">
        <v>66562</v>
      </c>
      <c r="AQ330" s="190" t="str">
        <f>CONCATENATE(AN330,AO330,AP330)</f>
        <v>257-66562</v>
      </c>
      <c r="AR330" s="190" t="s">
        <v>805</v>
      </c>
      <c r="AS330" s="190"/>
      <c r="AT330" s="190"/>
      <c r="AU330" s="190"/>
      <c r="AV330" s="190"/>
      <c r="AW330" s="190"/>
      <c r="AX330" s="279" t="str">
        <f t="shared" si="141"/>
        <v/>
      </c>
    </row>
    <row r="331" spans="1:50" x14ac:dyDescent="0.25">
      <c r="A331" s="190" t="str">
        <f t="shared" si="148"/>
        <v/>
      </c>
      <c r="B331" s="279" t="str">
        <f t="shared" si="147"/>
        <v>257-66552</v>
      </c>
      <c r="C331" s="279"/>
      <c r="D331" s="279"/>
      <c r="E331" s="279">
        <f t="shared" si="151"/>
        <v>1</v>
      </c>
      <c r="F331" s="190" t="s">
        <v>535</v>
      </c>
      <c r="G331" s="198">
        <v>44684</v>
      </c>
      <c r="H331" s="205"/>
      <c r="I331" s="205"/>
      <c r="J331" s="205" t="s">
        <v>402</v>
      </c>
      <c r="K331" s="205" t="s">
        <v>1059</v>
      </c>
      <c r="L331" s="205" t="s">
        <v>797</v>
      </c>
      <c r="M331" s="192" t="s">
        <v>558</v>
      </c>
      <c r="N331" s="192"/>
      <c r="O331" s="229"/>
      <c r="P331" s="229"/>
      <c r="Q331" s="231" t="str">
        <f t="shared" si="152"/>
        <v>. Speedometer</v>
      </c>
      <c r="R331" s="231"/>
      <c r="S331" s="231" t="str">
        <f t="shared" si="137"/>
        <v/>
      </c>
      <c r="T331" s="231" t="str">
        <f>IF(O331&lt;&gt;"",_xlfn.XLOOKUP(O331,'3D. Pictures'!B:B,'3D. Pictures'!E:E,"NOT FOUND",0,1),"")</f>
        <v/>
      </c>
      <c r="U331" s="192"/>
      <c r="V331" s="205"/>
      <c r="W331" s="192"/>
      <c r="X331" s="205"/>
      <c r="Y331" s="201"/>
      <c r="Z331" s="205"/>
      <c r="AA331" s="205" t="s">
        <v>797</v>
      </c>
      <c r="AB331" s="205" t="s">
        <v>797</v>
      </c>
      <c r="AC331" s="358" t="str">
        <f t="shared" si="153"/>
        <v/>
      </c>
      <c r="AD331" s="205"/>
      <c r="AE331" s="205"/>
      <c r="AF331" s="201" t="s">
        <v>543</v>
      </c>
      <c r="AG331" s="205"/>
      <c r="AH331" s="16">
        <v>750</v>
      </c>
      <c r="AI331" s="380">
        <f t="shared" si="138"/>
        <v>315.5</v>
      </c>
      <c r="AJ331" s="204" t="s">
        <v>408</v>
      </c>
      <c r="AK331" s="204" t="s">
        <v>425</v>
      </c>
      <c r="AL331" s="204" t="s">
        <v>2175</v>
      </c>
      <c r="AM331" s="190"/>
      <c r="AN331" s="191" t="s">
        <v>632</v>
      </c>
      <c r="AO331" s="190" t="s">
        <v>572</v>
      </c>
      <c r="AP331" s="190">
        <v>66552</v>
      </c>
      <c r="AQ331" s="190" t="str">
        <f t="shared" si="150"/>
        <v>257-66552</v>
      </c>
      <c r="AR331" s="190" t="s">
        <v>806</v>
      </c>
      <c r="AS331" s="190"/>
      <c r="AT331" s="190"/>
      <c r="AU331" s="190"/>
      <c r="AV331" s="190"/>
      <c r="AW331" s="190"/>
      <c r="AX331" s="279" t="str">
        <f t="shared" si="141"/>
        <v/>
      </c>
    </row>
    <row r="332" spans="1:50" x14ac:dyDescent="0.25">
      <c r="A332" s="190" t="str">
        <f t="shared" si="148"/>
        <v/>
      </c>
      <c r="B332" s="279" t="str">
        <f t="shared" si="147"/>
        <v>257-68030</v>
      </c>
      <c r="C332" s="279"/>
      <c r="D332" s="279"/>
      <c r="E332" s="279">
        <f t="shared" si="151"/>
        <v>1</v>
      </c>
      <c r="F332" s="190" t="s">
        <v>535</v>
      </c>
      <c r="G332" s="198">
        <v>44684</v>
      </c>
      <c r="H332" s="205"/>
      <c r="I332" s="205"/>
      <c r="J332" s="205" t="s">
        <v>402</v>
      </c>
      <c r="K332" s="205" t="s">
        <v>1059</v>
      </c>
      <c r="L332" s="205" t="s">
        <v>797</v>
      </c>
      <c r="M332" s="192" t="s">
        <v>558</v>
      </c>
      <c r="N332" s="192"/>
      <c r="O332" s="229"/>
      <c r="P332" s="229"/>
      <c r="Q332" s="231" t="str">
        <f t="shared" si="152"/>
        <v>. Speedometer</v>
      </c>
      <c r="R332" s="231"/>
      <c r="S332" s="231" t="str">
        <f t="shared" ref="S332:S395" si="154">IF(T332&lt;&gt;"",HYPERLINK(T332,"E.G."),"")</f>
        <v/>
      </c>
      <c r="T332" s="231" t="str">
        <f>IF(O332&lt;&gt;"",_xlfn.XLOOKUP(O332,'3D. Pictures'!B:B,'3D. Pictures'!E:E,"NOT FOUND",0,1),"")</f>
        <v/>
      </c>
      <c r="U332" s="192"/>
      <c r="V332" s="205"/>
      <c r="W332" s="192"/>
      <c r="X332" s="205"/>
      <c r="Y332" s="201"/>
      <c r="Z332" s="205"/>
      <c r="AA332" s="205" t="s">
        <v>797</v>
      </c>
      <c r="AB332" s="205" t="s">
        <v>797</v>
      </c>
      <c r="AC332" s="358" t="str">
        <f t="shared" si="153"/>
        <v/>
      </c>
      <c r="AD332" s="205"/>
      <c r="AE332" s="205"/>
      <c r="AF332" s="201" t="s">
        <v>543</v>
      </c>
      <c r="AG332" s="205"/>
      <c r="AH332" s="16">
        <v>1000</v>
      </c>
      <c r="AI332" s="380">
        <f t="shared" si="138"/>
        <v>315.5</v>
      </c>
      <c r="AJ332" s="204" t="s">
        <v>408</v>
      </c>
      <c r="AK332" s="204" t="s">
        <v>425</v>
      </c>
      <c r="AL332" s="204" t="s">
        <v>2175</v>
      </c>
      <c r="AM332" s="190"/>
      <c r="AN332" s="191" t="s">
        <v>632</v>
      </c>
      <c r="AO332" s="190" t="s">
        <v>572</v>
      </c>
      <c r="AP332" s="190">
        <v>68030</v>
      </c>
      <c r="AQ332" s="190" t="str">
        <f>CONCATENATE(AN332,AO332,AP332)</f>
        <v>257-68030</v>
      </c>
      <c r="AR332" s="190" t="s">
        <v>807</v>
      </c>
      <c r="AS332" s="190"/>
      <c r="AT332" s="190"/>
      <c r="AU332" s="190"/>
      <c r="AV332" s="190"/>
      <c r="AW332" s="190"/>
      <c r="AX332" s="279" t="str">
        <f t="shared" si="141"/>
        <v/>
      </c>
    </row>
    <row r="333" spans="1:50" x14ac:dyDescent="0.25">
      <c r="A333" s="190" t="str">
        <f t="shared" si="148"/>
        <v/>
      </c>
      <c r="B333" s="279" t="str">
        <f t="shared" si="147"/>
        <v/>
      </c>
      <c r="C333" s="279"/>
      <c r="D333" s="279"/>
      <c r="E333" s="279" t="str">
        <f t="shared" si="151"/>
        <v/>
      </c>
      <c r="F333" s="241" t="s">
        <v>535</v>
      </c>
      <c r="G333" s="242">
        <v>44683</v>
      </c>
      <c r="H333" s="243"/>
      <c r="I333" s="243"/>
      <c r="J333" s="243" t="s">
        <v>402</v>
      </c>
      <c r="K333" s="243" t="s">
        <v>1059</v>
      </c>
      <c r="L333" s="243" t="s">
        <v>1166</v>
      </c>
      <c r="M333" s="243" t="s">
        <v>559</v>
      </c>
      <c r="N333" s="243"/>
      <c r="O333" s="244"/>
      <c r="P333" s="244"/>
      <c r="Q333" s="231" t="str">
        <f t="shared" si="152"/>
        <v>. Steering Column Center Rod &amp; Lower U-Joint Shaft SET 2</v>
      </c>
      <c r="R333" s="244"/>
      <c r="S333" s="244" t="str">
        <f t="shared" si="154"/>
        <v/>
      </c>
      <c r="T333" s="244" t="str">
        <f>IF(O333&lt;&gt;"",_xlfn.XLOOKUP(O333,'3D. Pictures'!B:B,'3D. Pictures'!E:E,"NOT FOUND",0,1),"")</f>
        <v/>
      </c>
      <c r="U333" s="243"/>
      <c r="V333" s="243"/>
      <c r="W333" s="243"/>
      <c r="X333" s="243"/>
      <c r="Y333" s="201"/>
      <c r="Z333" s="243"/>
      <c r="AA333" s="243" t="s">
        <v>2825</v>
      </c>
      <c r="AB333" s="243" t="s">
        <v>2496</v>
      </c>
      <c r="AC333" s="358" t="str">
        <f t="shared" si="153"/>
        <v>SET 2, sell singles if 1 bad</v>
      </c>
      <c r="AD333" s="243" t="s">
        <v>2550</v>
      </c>
      <c r="AE333" s="243"/>
      <c r="AF333" s="179" t="s">
        <v>544</v>
      </c>
      <c r="AG333" s="243"/>
      <c r="AH333" s="16">
        <v>100</v>
      </c>
      <c r="AI333" s="380">
        <f t="shared" ref="AI333:AI396" si="155">IF(ISTEXT(AH333), AH333, IFERROR(AVERAGEIF(AA:AA, AA333, AH:AH), ""))</f>
        <v>77.666666666666671</v>
      </c>
      <c r="AJ333" s="246" t="s">
        <v>408</v>
      </c>
      <c r="AK333" s="246" t="s">
        <v>425</v>
      </c>
      <c r="AL333" s="246" t="s">
        <v>2175</v>
      </c>
      <c r="AM333" s="241"/>
      <c r="AN333" s="241"/>
      <c r="AO333" s="241"/>
      <c r="AP333" s="241"/>
      <c r="AQ333" s="241"/>
      <c r="AR333" s="241"/>
      <c r="AS333" s="241" t="s">
        <v>1028</v>
      </c>
      <c r="AT333" s="241" t="s">
        <v>1029</v>
      </c>
      <c r="AU333" s="241" t="s">
        <v>1030</v>
      </c>
      <c r="AV333" s="303" t="str">
        <f t="shared" ref="AV333:AV335" si="156">CONCATENATE(AS333,"-",AT333,"-",AU333)</f>
        <v>F15-14-18-ALL</v>
      </c>
      <c r="AW333" s="241" t="s">
        <v>2396</v>
      </c>
      <c r="AX333" s="279" t="str">
        <f t="shared" si="141"/>
        <v>F15-14-18-ALL-Viking30</v>
      </c>
    </row>
    <row r="334" spans="1:50" ht="15.75" thickBot="1" x14ac:dyDescent="0.3">
      <c r="A334" s="190" t="str">
        <f t="shared" si="148"/>
        <v/>
      </c>
      <c r="B334" s="279" t="str">
        <f t="shared" si="147"/>
        <v/>
      </c>
      <c r="C334" s="279"/>
      <c r="D334" s="279"/>
      <c r="E334" s="279" t="str">
        <f t="shared" si="151"/>
        <v/>
      </c>
      <c r="F334" s="241" t="s">
        <v>535</v>
      </c>
      <c r="G334" s="242">
        <v>44683</v>
      </c>
      <c r="H334" s="243"/>
      <c r="I334" s="243"/>
      <c r="J334" s="243" t="s">
        <v>402</v>
      </c>
      <c r="K334" s="243" t="s">
        <v>1059</v>
      </c>
      <c r="L334" s="243" t="s">
        <v>1166</v>
      </c>
      <c r="M334" s="243" t="s">
        <v>559</v>
      </c>
      <c r="N334" s="243"/>
      <c r="O334" s="244"/>
      <c r="P334" s="244"/>
      <c r="Q334" s="231" t="str">
        <f t="shared" si="152"/>
        <v>. Steering Column Center Rod Shaft</v>
      </c>
      <c r="R334" s="244"/>
      <c r="S334" s="244" t="str">
        <f t="shared" si="154"/>
        <v/>
      </c>
      <c r="T334" s="244" t="str">
        <f>IF(O334&lt;&gt;"",_xlfn.XLOOKUP(O334,'3D. Pictures'!B:B,'3D. Pictures'!E:E,"NOT FOUND",0,1),"")</f>
        <v/>
      </c>
      <c r="U334" s="243"/>
      <c r="V334" s="243"/>
      <c r="W334" s="243"/>
      <c r="X334" s="243"/>
      <c r="Y334" s="201"/>
      <c r="Z334" s="243"/>
      <c r="AA334" s="243" t="s">
        <v>2825</v>
      </c>
      <c r="AB334" s="243" t="s">
        <v>1164</v>
      </c>
      <c r="AC334" s="358" t="str">
        <f t="shared" si="153"/>
        <v/>
      </c>
      <c r="AD334" s="243"/>
      <c r="AE334" s="243"/>
      <c r="AF334" s="179" t="s">
        <v>543</v>
      </c>
      <c r="AG334" s="243"/>
      <c r="AH334" s="16">
        <v>58</v>
      </c>
      <c r="AI334" s="380">
        <f t="shared" si="155"/>
        <v>77.666666666666671</v>
      </c>
      <c r="AJ334" s="246" t="s">
        <v>408</v>
      </c>
      <c r="AK334" s="246" t="s">
        <v>425</v>
      </c>
      <c r="AL334" s="246" t="s">
        <v>2175</v>
      </c>
      <c r="AM334" s="241"/>
      <c r="AN334" s="241"/>
      <c r="AO334" s="241"/>
      <c r="AP334" s="241"/>
      <c r="AQ334" s="241"/>
      <c r="AR334" s="241"/>
      <c r="AS334" s="241" t="s">
        <v>1028</v>
      </c>
      <c r="AT334" s="241" t="s">
        <v>1029</v>
      </c>
      <c r="AU334" s="241" t="s">
        <v>1030</v>
      </c>
      <c r="AV334" s="303" t="str">
        <f t="shared" si="156"/>
        <v>F15-14-18-ALL</v>
      </c>
      <c r="AW334" s="241" t="s">
        <v>2397</v>
      </c>
      <c r="AX334" s="279" t="str">
        <f t="shared" si="141"/>
        <v>F15-14-18-ALL-Viking31</v>
      </c>
    </row>
    <row r="335" spans="1:50" ht="15.75" thickBot="1" x14ac:dyDescent="0.3">
      <c r="A335" s="190" t="str">
        <f t="shared" si="148"/>
        <v>A25</v>
      </c>
      <c r="B335" s="279" t="str">
        <f t="shared" si="147"/>
        <v/>
      </c>
      <c r="C335" s="279"/>
      <c r="D335" s="279"/>
      <c r="E335" s="279" t="str">
        <f t="shared" si="151"/>
        <v/>
      </c>
      <c r="F335" s="241" t="s">
        <v>535</v>
      </c>
      <c r="G335" s="242">
        <v>44683</v>
      </c>
      <c r="H335" s="243"/>
      <c r="I335" s="243"/>
      <c r="J335" s="243" t="s">
        <v>402</v>
      </c>
      <c r="K335" s="243" t="s">
        <v>1059</v>
      </c>
      <c r="L335" s="243" t="s">
        <v>1166</v>
      </c>
      <c r="M335" s="243" t="s">
        <v>559</v>
      </c>
      <c r="N335" s="243">
        <v>15</v>
      </c>
      <c r="O335" s="244" t="s">
        <v>927</v>
      </c>
      <c r="P335" s="244" t="s">
        <v>1035</v>
      </c>
      <c r="Q335" s="231" t="str">
        <f t="shared" si="152"/>
        <v>A25. Steering Column Lower U-Joint Shaft</v>
      </c>
      <c r="R335" s="284" t="str">
        <f>HYPERLINK(VLOOKUP(O335,'3D. Pictures'!$B$3:$E$500,4,FALSE),"PIC")</f>
        <v>PIC</v>
      </c>
      <c r="S335" s="373" t="str">
        <f t="shared" si="154"/>
        <v>E.G.</v>
      </c>
      <c r="T335" s="377" t="str">
        <f>IF(O335&lt;&gt;"",_xlfn.XLOOKUP(O335,'3D. Pictures'!B:B,'3D. Pictures'!E:E,"NOT FOUND",0,1),"")</f>
        <v>https://viking-pictures.s3.us-west-1.amazonaws.com/AA1155/A25.+Steering+Column+Lower+U-Joint+Shaft+(1).JPG</v>
      </c>
      <c r="U335" s="243">
        <v>4</v>
      </c>
      <c r="V335" s="243">
        <v>6774110</v>
      </c>
      <c r="W335" s="243" t="s">
        <v>111</v>
      </c>
      <c r="X335" s="243"/>
      <c r="Y335" s="277"/>
      <c r="Z335" s="243"/>
      <c r="AA335" s="243" t="s">
        <v>2825</v>
      </c>
      <c r="AB335" s="243" t="s">
        <v>1165</v>
      </c>
      <c r="AC335" s="358" t="str">
        <f t="shared" si="153"/>
        <v/>
      </c>
      <c r="AD335" s="243"/>
      <c r="AE335" s="243"/>
      <c r="AF335" s="179" t="s">
        <v>543</v>
      </c>
      <c r="AG335" s="243"/>
      <c r="AH335" s="16">
        <v>75</v>
      </c>
      <c r="AI335" s="380">
        <f t="shared" si="155"/>
        <v>77.666666666666671</v>
      </c>
      <c r="AJ335" s="246" t="s">
        <v>408</v>
      </c>
      <c r="AK335" s="246" t="s">
        <v>425</v>
      </c>
      <c r="AL335" s="246" t="s">
        <v>2175</v>
      </c>
      <c r="AM335" s="241"/>
      <c r="AN335" s="241"/>
      <c r="AO335" s="241"/>
      <c r="AP335" s="241"/>
      <c r="AQ335" s="241"/>
      <c r="AR335" s="241"/>
      <c r="AS335" s="241" t="s">
        <v>1028</v>
      </c>
      <c r="AT335" s="241" t="s">
        <v>1029</v>
      </c>
      <c r="AU335" s="241" t="s">
        <v>1030</v>
      </c>
      <c r="AV335" s="303" t="str">
        <f t="shared" si="156"/>
        <v>F15-14-18-ALL</v>
      </c>
      <c r="AW335" s="241" t="s">
        <v>2398</v>
      </c>
      <c r="AX335" s="279" t="str">
        <f t="shared" si="141"/>
        <v>F15-14-18-ALL-Viking32</v>
      </c>
    </row>
    <row r="336" spans="1:50" x14ac:dyDescent="0.25">
      <c r="A336" s="190" t="str">
        <f t="shared" si="148"/>
        <v/>
      </c>
      <c r="B336" s="279" t="str">
        <f t="shared" si="147"/>
        <v/>
      </c>
      <c r="C336" s="279"/>
      <c r="D336" s="279"/>
      <c r="E336" s="279" t="str">
        <f t="shared" si="151"/>
        <v/>
      </c>
      <c r="F336" t="s">
        <v>536</v>
      </c>
      <c r="G336" s="188">
        <v>44994</v>
      </c>
      <c r="H336" s="10"/>
      <c r="I336" s="10"/>
      <c r="J336" s="16" t="s">
        <v>402</v>
      </c>
      <c r="K336" s="16" t="s">
        <v>1059</v>
      </c>
      <c r="L336" s="16" t="s">
        <v>439</v>
      </c>
      <c r="M336" s="16" t="s">
        <v>559</v>
      </c>
      <c r="N336" s="16"/>
      <c r="O336" s="166"/>
      <c r="P336" s="166"/>
      <c r="Q336" s="231" t="str">
        <f t="shared" si="152"/>
        <v xml:space="preserve">. Steering Wheel Vibration Control Module </v>
      </c>
      <c r="R336" s="231"/>
      <c r="S336" s="231" t="str">
        <f t="shared" si="154"/>
        <v/>
      </c>
      <c r="T336" s="231" t="str">
        <f>IF(O336&lt;&gt;"",_xlfn.XLOOKUP(O336,'3D. Pictures'!B:B,'3D. Pictures'!E:E,"NOT FOUND",0,1),"")</f>
        <v/>
      </c>
      <c r="U336" s="16"/>
      <c r="V336" s="16"/>
      <c r="W336" s="16"/>
      <c r="X336" s="16"/>
      <c r="Y336" s="201"/>
      <c r="Z336" s="16"/>
      <c r="AA336" s="16" t="s">
        <v>499</v>
      </c>
      <c r="AB336" s="16" t="s">
        <v>499</v>
      </c>
      <c r="AC336" s="358" t="str">
        <f t="shared" si="153"/>
        <v/>
      </c>
      <c r="AD336" s="16"/>
      <c r="AE336" s="16"/>
      <c r="AF336" s="168" t="s">
        <v>543</v>
      </c>
      <c r="AG336" s="16"/>
      <c r="AH336" s="16">
        <v>180</v>
      </c>
      <c r="AI336" s="380">
        <f t="shared" si="155"/>
        <v>180</v>
      </c>
      <c r="AJ336" s="3" t="s">
        <v>408</v>
      </c>
      <c r="AK336" s="3" t="s">
        <v>425</v>
      </c>
      <c r="AL336" s="3" t="s">
        <v>2175</v>
      </c>
      <c r="AN336"/>
      <c r="AX336" s="279" t="str">
        <f t="shared" si="141"/>
        <v/>
      </c>
    </row>
    <row r="337" spans="1:50" x14ac:dyDescent="0.25">
      <c r="A337" s="190" t="str">
        <f t="shared" si="148"/>
        <v/>
      </c>
      <c r="B337" s="279" t="str">
        <f t="shared" si="147"/>
        <v>235-992176</v>
      </c>
      <c r="C337" s="279"/>
      <c r="D337" s="279"/>
      <c r="E337" s="279">
        <f t="shared" si="151"/>
        <v>1</v>
      </c>
      <c r="F337" s="190" t="s">
        <v>535</v>
      </c>
      <c r="G337" s="198">
        <v>44684</v>
      </c>
      <c r="H337" s="205"/>
      <c r="I337" s="205"/>
      <c r="J337" s="205" t="s">
        <v>402</v>
      </c>
      <c r="K337" s="205" t="s">
        <v>1059</v>
      </c>
      <c r="L337" s="205" t="s">
        <v>808</v>
      </c>
      <c r="M337" s="212" t="s">
        <v>560</v>
      </c>
      <c r="N337" s="212"/>
      <c r="O337" s="236"/>
      <c r="P337" s="236"/>
      <c r="Q337" s="231" t="str">
        <f t="shared" si="152"/>
        <v>. Steering Wheel</v>
      </c>
      <c r="R337" s="231"/>
      <c r="S337" s="231" t="str">
        <f t="shared" si="154"/>
        <v/>
      </c>
      <c r="T337" s="231" t="str">
        <f>IF(O337&lt;&gt;"",_xlfn.XLOOKUP(O337,'3D. Pictures'!B:B,'3D. Pictures'!E:E,"NOT FOUND",0,1),"")</f>
        <v/>
      </c>
      <c r="U337" s="212"/>
      <c r="V337" s="205"/>
      <c r="W337" s="212"/>
      <c r="X337" s="205"/>
      <c r="Y337" s="201"/>
      <c r="Z337" s="192" t="s">
        <v>2077</v>
      </c>
      <c r="AA337" s="205" t="s">
        <v>808</v>
      </c>
      <c r="AB337" s="205" t="s">
        <v>808</v>
      </c>
      <c r="AC337" s="358" t="str">
        <f t="shared" si="153"/>
        <v>Switches &amp; Trim ON | wheel bad sell switches+trim or solo</v>
      </c>
      <c r="AD337" s="205" t="s">
        <v>2794</v>
      </c>
      <c r="AE337" s="205" t="s">
        <v>2795</v>
      </c>
      <c r="AF337" s="201" t="s">
        <v>543</v>
      </c>
      <c r="AG337" s="205"/>
      <c r="AH337" s="363">
        <v>695</v>
      </c>
      <c r="AI337" s="380">
        <f t="shared" si="155"/>
        <v>348.33333333333331</v>
      </c>
      <c r="AJ337" s="204" t="s">
        <v>408</v>
      </c>
      <c r="AK337" s="204" t="s">
        <v>425</v>
      </c>
      <c r="AL337" s="204" t="s">
        <v>2175</v>
      </c>
      <c r="AM337" s="190"/>
      <c r="AN337" s="191">
        <v>235</v>
      </c>
      <c r="AO337" s="190" t="s">
        <v>572</v>
      </c>
      <c r="AP337" s="190">
        <v>992176</v>
      </c>
      <c r="AQ337" s="190" t="str">
        <f t="shared" ref="AQ337:AQ348" si="157">CONCATENATE(AN337,AO337,AP337)</f>
        <v>235-992176</v>
      </c>
      <c r="AR337" s="190" t="s">
        <v>817</v>
      </c>
      <c r="AS337" s="190"/>
      <c r="AT337" s="190"/>
      <c r="AU337" s="190"/>
      <c r="AV337" s="190"/>
      <c r="AW337" s="190"/>
      <c r="AX337" s="279" t="str">
        <f t="shared" si="141"/>
        <v/>
      </c>
    </row>
    <row r="338" spans="1:50" x14ac:dyDescent="0.25">
      <c r="A338" s="190" t="str">
        <f t="shared" si="148"/>
        <v/>
      </c>
      <c r="B338" s="279" t="str">
        <f t="shared" si="147"/>
        <v>235-992177</v>
      </c>
      <c r="C338" s="279"/>
      <c r="D338" s="279"/>
      <c r="E338" s="279">
        <f t="shared" si="151"/>
        <v>1</v>
      </c>
      <c r="F338" s="190" t="s">
        <v>535</v>
      </c>
      <c r="G338" s="198">
        <v>44684</v>
      </c>
      <c r="H338" s="205"/>
      <c r="I338" s="205"/>
      <c r="J338" s="205" t="s">
        <v>402</v>
      </c>
      <c r="K338" s="205" t="s">
        <v>1059</v>
      </c>
      <c r="L338" s="205" t="s">
        <v>808</v>
      </c>
      <c r="M338" s="212" t="s">
        <v>560</v>
      </c>
      <c r="N338" s="212"/>
      <c r="O338" s="236"/>
      <c r="P338" s="236"/>
      <c r="Q338" s="231" t="str">
        <f t="shared" si="152"/>
        <v>. Steering Wheel</v>
      </c>
      <c r="R338" s="231"/>
      <c r="S338" s="231" t="str">
        <f t="shared" si="154"/>
        <v/>
      </c>
      <c r="T338" s="231" t="str">
        <f>IF(O338&lt;&gt;"",_xlfn.XLOOKUP(O338,'3D. Pictures'!B:B,'3D. Pictures'!E:E,"NOT FOUND",0,1),"")</f>
        <v/>
      </c>
      <c r="U338" s="212"/>
      <c r="V338" s="205"/>
      <c r="W338" s="212"/>
      <c r="X338" s="205"/>
      <c r="Y338" s="201"/>
      <c r="Z338" s="192" t="s">
        <v>2077</v>
      </c>
      <c r="AA338" s="205" t="s">
        <v>808</v>
      </c>
      <c r="AB338" s="205" t="s">
        <v>808</v>
      </c>
      <c r="AC338" s="358" t="str">
        <f t="shared" si="153"/>
        <v>Switches &amp; Trim ON | wheel bad sell switches+trim or solo</v>
      </c>
      <c r="AD338" s="205" t="s">
        <v>2794</v>
      </c>
      <c r="AE338" s="205" t="s">
        <v>2795</v>
      </c>
      <c r="AF338" s="201" t="s">
        <v>543</v>
      </c>
      <c r="AG338" s="205"/>
      <c r="AH338" s="363">
        <v>695</v>
      </c>
      <c r="AI338" s="380">
        <f t="shared" si="155"/>
        <v>348.33333333333331</v>
      </c>
      <c r="AJ338" s="204" t="s">
        <v>408</v>
      </c>
      <c r="AK338" s="204" t="s">
        <v>425</v>
      </c>
      <c r="AL338" s="204" t="s">
        <v>2175</v>
      </c>
      <c r="AM338" s="190"/>
      <c r="AN338" s="191">
        <v>235</v>
      </c>
      <c r="AO338" s="190" t="s">
        <v>572</v>
      </c>
      <c r="AP338" s="190">
        <v>992177</v>
      </c>
      <c r="AQ338" s="190" t="str">
        <f t="shared" si="157"/>
        <v>235-992177</v>
      </c>
      <c r="AR338" s="190" t="s">
        <v>818</v>
      </c>
      <c r="AS338" s="190"/>
      <c r="AT338" s="190"/>
      <c r="AU338" s="190"/>
      <c r="AV338" s="190"/>
      <c r="AW338" s="190"/>
      <c r="AX338" s="279" t="str">
        <f t="shared" si="141"/>
        <v/>
      </c>
    </row>
    <row r="339" spans="1:50" ht="15.75" thickBot="1" x14ac:dyDescent="0.3">
      <c r="A339" s="190" t="str">
        <f t="shared" si="148"/>
        <v/>
      </c>
      <c r="B339" s="279" t="str">
        <f t="shared" si="147"/>
        <v>235-992178</v>
      </c>
      <c r="C339" s="279"/>
      <c r="D339" s="279"/>
      <c r="E339" s="279">
        <f t="shared" si="151"/>
        <v>1</v>
      </c>
      <c r="F339" s="190" t="s">
        <v>535</v>
      </c>
      <c r="G339" s="198">
        <v>44684</v>
      </c>
      <c r="H339" s="205"/>
      <c r="I339" s="205"/>
      <c r="J339" s="205" t="s">
        <v>402</v>
      </c>
      <c r="K339" s="205" t="s">
        <v>1059</v>
      </c>
      <c r="L339" s="205" t="s">
        <v>808</v>
      </c>
      <c r="M339" s="212" t="s">
        <v>560</v>
      </c>
      <c r="N339" s="212"/>
      <c r="O339" s="236"/>
      <c r="P339" s="236"/>
      <c r="Q339" s="231" t="str">
        <f t="shared" si="152"/>
        <v>. Steering Wheel</v>
      </c>
      <c r="R339" s="231"/>
      <c r="S339" s="231" t="str">
        <f t="shared" si="154"/>
        <v/>
      </c>
      <c r="T339" s="231" t="str">
        <f>IF(O339&lt;&gt;"",_xlfn.XLOOKUP(O339,'3D. Pictures'!B:B,'3D. Pictures'!E:E,"NOT FOUND",0,1),"")</f>
        <v/>
      </c>
      <c r="U339" s="212"/>
      <c r="V339" s="205"/>
      <c r="W339" s="212"/>
      <c r="X339" s="205"/>
      <c r="Y339" s="16"/>
      <c r="Z339" s="192" t="s">
        <v>2077</v>
      </c>
      <c r="AA339" s="205" t="s">
        <v>808</v>
      </c>
      <c r="AB339" s="205" t="s">
        <v>808</v>
      </c>
      <c r="AC339" s="358" t="str">
        <f t="shared" si="153"/>
        <v>Switches &amp; Trim ON | wheel bad sell switches+trim or solo</v>
      </c>
      <c r="AD339" s="205" t="s">
        <v>2794</v>
      </c>
      <c r="AE339" s="205" t="s">
        <v>2795</v>
      </c>
      <c r="AF339" s="201" t="s">
        <v>543</v>
      </c>
      <c r="AG339" s="205"/>
      <c r="AH339" s="363">
        <v>175</v>
      </c>
      <c r="AI339" s="380">
        <f t="shared" si="155"/>
        <v>348.33333333333331</v>
      </c>
      <c r="AJ339" s="204" t="s">
        <v>408</v>
      </c>
      <c r="AK339" s="204" t="s">
        <v>425</v>
      </c>
      <c r="AL339" s="204" t="s">
        <v>2175</v>
      </c>
      <c r="AM339" s="190"/>
      <c r="AN339" s="191">
        <v>235</v>
      </c>
      <c r="AO339" s="190" t="s">
        <v>572</v>
      </c>
      <c r="AP339" s="190">
        <v>992178</v>
      </c>
      <c r="AQ339" s="190" t="str">
        <f t="shared" si="157"/>
        <v>235-992178</v>
      </c>
      <c r="AR339" s="190" t="s">
        <v>809</v>
      </c>
      <c r="AS339" s="190"/>
      <c r="AT339" s="190"/>
      <c r="AU339" s="190"/>
      <c r="AV339" s="190"/>
      <c r="AW339" s="190"/>
      <c r="AX339" s="279" t="str">
        <f t="shared" si="141"/>
        <v/>
      </c>
    </row>
    <row r="340" spans="1:50" ht="15.75" thickBot="1" x14ac:dyDescent="0.3">
      <c r="A340" s="190" t="str">
        <f t="shared" si="148"/>
        <v>A117</v>
      </c>
      <c r="B340" s="279" t="str">
        <f t="shared" si="147"/>
        <v>235-992180</v>
      </c>
      <c r="C340" s="279"/>
      <c r="D340" s="279"/>
      <c r="E340" s="279">
        <f t="shared" si="151"/>
        <v>1</v>
      </c>
      <c r="F340" s="190" t="s">
        <v>535</v>
      </c>
      <c r="G340" s="198">
        <v>44684</v>
      </c>
      <c r="H340" s="205"/>
      <c r="I340" s="205"/>
      <c r="J340" s="205" t="s">
        <v>402</v>
      </c>
      <c r="K340" s="205" t="s">
        <v>1059</v>
      </c>
      <c r="L340" s="205" t="s">
        <v>808</v>
      </c>
      <c r="M340" s="212" t="s">
        <v>560</v>
      </c>
      <c r="N340" s="212">
        <v>107</v>
      </c>
      <c r="O340" s="236" t="s">
        <v>1019</v>
      </c>
      <c r="P340" s="236" t="s">
        <v>1307</v>
      </c>
      <c r="Q340" s="231" t="str">
        <f t="shared" si="152"/>
        <v>A117. Steering Wheel</v>
      </c>
      <c r="R340" s="284" t="str">
        <f>HYPERLINK(VLOOKUP(O340,'3D. Pictures'!$B$3:$E$500,4,FALSE),"PIC")</f>
        <v>PIC</v>
      </c>
      <c r="S340" s="373" t="str">
        <f t="shared" si="154"/>
        <v>E.G.</v>
      </c>
      <c r="T340" s="377" t="str">
        <f>IF(O340&lt;&gt;"",_xlfn.XLOOKUP(O340,'3D. Pictures'!B:B,'3D. Pictures'!E:E,"NOT FOUND",0,1),"")</f>
        <v>https://viking-pictures.s3.us-west-1.amazonaws.com/AA1155/A117.+Steering+Wheel+(1).JPG</v>
      </c>
      <c r="U340" s="212">
        <v>6</v>
      </c>
      <c r="V340" s="205" t="s">
        <v>1355</v>
      </c>
      <c r="W340" s="212" t="s">
        <v>111</v>
      </c>
      <c r="X340" s="205" t="s">
        <v>2467</v>
      </c>
      <c r="Y340" s="201"/>
      <c r="Z340" s="192" t="s">
        <v>2078</v>
      </c>
      <c r="AA340" s="205" t="s">
        <v>808</v>
      </c>
      <c r="AB340" s="205" t="s">
        <v>808</v>
      </c>
      <c r="AC340" s="358" t="str">
        <f t="shared" si="153"/>
        <v>Switches &amp; Trim ON | wheel bad sell switches+trim or solo</v>
      </c>
      <c r="AD340" s="205" t="s">
        <v>2794</v>
      </c>
      <c r="AE340" s="205" t="s">
        <v>2795</v>
      </c>
      <c r="AF340" s="201" t="s">
        <v>543</v>
      </c>
      <c r="AG340" s="205"/>
      <c r="AH340" s="363">
        <v>175</v>
      </c>
      <c r="AI340" s="380">
        <f t="shared" si="155"/>
        <v>348.33333333333331</v>
      </c>
      <c r="AJ340" s="204" t="s">
        <v>408</v>
      </c>
      <c r="AK340" s="204" t="s">
        <v>425</v>
      </c>
      <c r="AL340" s="204" t="s">
        <v>2175</v>
      </c>
      <c r="AM340" s="190"/>
      <c r="AN340" s="191">
        <v>235</v>
      </c>
      <c r="AO340" s="190" t="s">
        <v>572</v>
      </c>
      <c r="AP340" s="190">
        <v>992180</v>
      </c>
      <c r="AQ340" s="190" t="str">
        <f t="shared" si="157"/>
        <v>235-992180</v>
      </c>
      <c r="AR340" s="190" t="s">
        <v>810</v>
      </c>
      <c r="AS340" s="190"/>
      <c r="AT340" s="190"/>
      <c r="AU340" s="190"/>
      <c r="AV340" s="190"/>
      <c r="AW340" s="190"/>
      <c r="AX340" s="279" t="str">
        <f t="shared" si="141"/>
        <v/>
      </c>
    </row>
    <row r="341" spans="1:50" x14ac:dyDescent="0.25">
      <c r="A341" s="190" t="str">
        <f t="shared" si="148"/>
        <v/>
      </c>
      <c r="B341" s="279" t="str">
        <f t="shared" si="147"/>
        <v>235-992179</v>
      </c>
      <c r="C341" s="279"/>
      <c r="D341" s="279"/>
      <c r="E341" s="279">
        <f t="shared" si="151"/>
        <v>1</v>
      </c>
      <c r="F341" s="190" t="s">
        <v>535</v>
      </c>
      <c r="G341" s="198">
        <v>44684</v>
      </c>
      <c r="H341" s="205"/>
      <c r="I341" s="205"/>
      <c r="J341" s="205" t="s">
        <v>402</v>
      </c>
      <c r="K341" s="205" t="s">
        <v>1059</v>
      </c>
      <c r="L341" s="205" t="s">
        <v>808</v>
      </c>
      <c r="M341" s="212" t="s">
        <v>560</v>
      </c>
      <c r="N341" s="212"/>
      <c r="O341" s="236"/>
      <c r="P341" s="236"/>
      <c r="Q341" s="231" t="str">
        <f t="shared" si="152"/>
        <v>. Steering Wheel</v>
      </c>
      <c r="R341" s="231"/>
      <c r="S341" s="231" t="str">
        <f t="shared" si="154"/>
        <v/>
      </c>
      <c r="T341" s="231" t="str">
        <f>IF(O341&lt;&gt;"",_xlfn.XLOOKUP(O341,'3D. Pictures'!B:B,'3D. Pictures'!E:E,"NOT FOUND",0,1),"")</f>
        <v/>
      </c>
      <c r="U341" s="212"/>
      <c r="V341" s="205"/>
      <c r="W341" s="212"/>
      <c r="X341" s="205"/>
      <c r="Y341" s="201"/>
      <c r="Z341" s="192" t="s">
        <v>2077</v>
      </c>
      <c r="AA341" s="205" t="s">
        <v>808</v>
      </c>
      <c r="AB341" s="205" t="s">
        <v>808</v>
      </c>
      <c r="AC341" s="358" t="str">
        <f t="shared" si="153"/>
        <v>Switches &amp; Trim ON | wheel bad sell switches+trim or solo</v>
      </c>
      <c r="AD341" s="205" t="s">
        <v>2794</v>
      </c>
      <c r="AE341" s="205" t="s">
        <v>2795</v>
      </c>
      <c r="AF341" s="201" t="s">
        <v>543</v>
      </c>
      <c r="AG341" s="205"/>
      <c r="AH341" s="363">
        <v>175</v>
      </c>
      <c r="AI341" s="380">
        <f t="shared" si="155"/>
        <v>348.33333333333331</v>
      </c>
      <c r="AJ341" s="204" t="s">
        <v>408</v>
      </c>
      <c r="AK341" s="204" t="s">
        <v>425</v>
      </c>
      <c r="AL341" s="204" t="s">
        <v>2175</v>
      </c>
      <c r="AM341" s="190"/>
      <c r="AN341" s="191">
        <v>235</v>
      </c>
      <c r="AO341" s="190" t="s">
        <v>572</v>
      </c>
      <c r="AP341" s="190">
        <v>992179</v>
      </c>
      <c r="AQ341" s="190" t="str">
        <f t="shared" si="157"/>
        <v>235-992179</v>
      </c>
      <c r="AR341" s="190" t="s">
        <v>811</v>
      </c>
      <c r="AS341" s="190"/>
      <c r="AT341" s="190"/>
      <c r="AU341" s="190"/>
      <c r="AV341" s="190"/>
      <c r="AW341" s="190"/>
      <c r="AX341" s="279" t="str">
        <f t="shared" si="141"/>
        <v/>
      </c>
    </row>
    <row r="342" spans="1:50" x14ac:dyDescent="0.25">
      <c r="A342" s="190" t="str">
        <f t="shared" si="148"/>
        <v/>
      </c>
      <c r="B342" s="279" t="str">
        <f t="shared" si="147"/>
        <v>235-992181</v>
      </c>
      <c r="C342" s="279"/>
      <c r="D342" s="279"/>
      <c r="E342" s="279">
        <f t="shared" si="151"/>
        <v>1</v>
      </c>
      <c r="F342" s="190" t="s">
        <v>535</v>
      </c>
      <c r="G342" s="198">
        <v>44684</v>
      </c>
      <c r="H342" s="205"/>
      <c r="I342" s="205"/>
      <c r="J342" s="205" t="s">
        <v>402</v>
      </c>
      <c r="K342" s="205" t="s">
        <v>1059</v>
      </c>
      <c r="L342" s="205" t="s">
        <v>808</v>
      </c>
      <c r="M342" s="212" t="s">
        <v>560</v>
      </c>
      <c r="N342" s="212"/>
      <c r="O342" s="236"/>
      <c r="P342" s="236"/>
      <c r="Q342" s="231" t="str">
        <f t="shared" si="152"/>
        <v>. Steering Wheel</v>
      </c>
      <c r="R342" s="231"/>
      <c r="S342" s="231" t="str">
        <f t="shared" si="154"/>
        <v/>
      </c>
      <c r="T342" s="231" t="str">
        <f>IF(O342&lt;&gt;"",_xlfn.XLOOKUP(O342,'3D. Pictures'!B:B,'3D. Pictures'!E:E,"NOT FOUND",0,1),"")</f>
        <v/>
      </c>
      <c r="U342" s="212"/>
      <c r="V342" s="205"/>
      <c r="W342" s="212"/>
      <c r="X342" s="205"/>
      <c r="Y342" s="201"/>
      <c r="Z342" s="192" t="s">
        <v>2077</v>
      </c>
      <c r="AA342" s="205" t="s">
        <v>808</v>
      </c>
      <c r="AB342" s="205" t="s">
        <v>808</v>
      </c>
      <c r="AC342" s="358" t="str">
        <f t="shared" si="153"/>
        <v>Switches &amp; Trim ON | wheel bad sell switches+trim or solo</v>
      </c>
      <c r="AD342" s="205" t="s">
        <v>2794</v>
      </c>
      <c r="AE342" s="205" t="s">
        <v>2795</v>
      </c>
      <c r="AF342" s="201" t="s">
        <v>543</v>
      </c>
      <c r="AG342" s="205"/>
      <c r="AH342" s="363">
        <v>175</v>
      </c>
      <c r="AI342" s="380">
        <f t="shared" si="155"/>
        <v>348.33333333333331</v>
      </c>
      <c r="AJ342" s="204" t="s">
        <v>408</v>
      </c>
      <c r="AK342" s="204" t="s">
        <v>425</v>
      </c>
      <c r="AL342" s="204" t="s">
        <v>2175</v>
      </c>
      <c r="AM342" s="190"/>
      <c r="AN342" s="191">
        <v>235</v>
      </c>
      <c r="AO342" s="190" t="s">
        <v>572</v>
      </c>
      <c r="AP342" s="190">
        <v>992181</v>
      </c>
      <c r="AQ342" s="190" t="str">
        <f t="shared" si="157"/>
        <v>235-992181</v>
      </c>
      <c r="AR342" s="190" t="s">
        <v>812</v>
      </c>
      <c r="AS342" s="190"/>
      <c r="AT342" s="190"/>
      <c r="AU342" s="190"/>
      <c r="AV342" s="190"/>
      <c r="AW342" s="190"/>
      <c r="AX342" s="279" t="str">
        <f t="shared" si="141"/>
        <v/>
      </c>
    </row>
    <row r="343" spans="1:50" x14ac:dyDescent="0.25">
      <c r="A343" s="190" t="str">
        <f t="shared" si="148"/>
        <v/>
      </c>
      <c r="B343" s="279" t="str">
        <f t="shared" si="147"/>
        <v>235-992182</v>
      </c>
      <c r="C343" s="279"/>
      <c r="D343" s="279"/>
      <c r="E343" s="279">
        <f t="shared" si="151"/>
        <v>1</v>
      </c>
      <c r="F343" s="190" t="s">
        <v>535</v>
      </c>
      <c r="G343" s="198">
        <v>44684</v>
      </c>
      <c r="H343" s="205"/>
      <c r="I343" s="205"/>
      <c r="J343" s="205" t="s">
        <v>402</v>
      </c>
      <c r="K343" s="205" t="s">
        <v>1059</v>
      </c>
      <c r="L343" s="205" t="s">
        <v>808</v>
      </c>
      <c r="M343" s="212" t="s">
        <v>560</v>
      </c>
      <c r="N343" s="212"/>
      <c r="O343" s="236"/>
      <c r="P343" s="236"/>
      <c r="Q343" s="231" t="str">
        <f t="shared" si="152"/>
        <v>. Steering Wheel</v>
      </c>
      <c r="R343" s="231"/>
      <c r="S343" s="231" t="str">
        <f t="shared" si="154"/>
        <v/>
      </c>
      <c r="T343" s="231" t="str">
        <f>IF(O343&lt;&gt;"",_xlfn.XLOOKUP(O343,'3D. Pictures'!B:B,'3D. Pictures'!E:E,"NOT FOUND",0,1),"")</f>
        <v/>
      </c>
      <c r="U343" s="212"/>
      <c r="V343" s="205"/>
      <c r="W343" s="212"/>
      <c r="X343" s="205"/>
      <c r="Y343" s="201"/>
      <c r="Z343" s="192" t="s">
        <v>2077</v>
      </c>
      <c r="AA343" s="205" t="s">
        <v>808</v>
      </c>
      <c r="AB343" s="205" t="s">
        <v>808</v>
      </c>
      <c r="AC343" s="358" t="str">
        <f t="shared" si="153"/>
        <v>Switches &amp; Trim ON | wheel bad sell switches+trim or solo</v>
      </c>
      <c r="AD343" s="205" t="s">
        <v>2794</v>
      </c>
      <c r="AE343" s="205" t="s">
        <v>2795</v>
      </c>
      <c r="AF343" s="201" t="s">
        <v>543</v>
      </c>
      <c r="AG343" s="205"/>
      <c r="AH343" s="363">
        <v>175</v>
      </c>
      <c r="AI343" s="380">
        <f t="shared" si="155"/>
        <v>348.33333333333331</v>
      </c>
      <c r="AJ343" s="204" t="s">
        <v>408</v>
      </c>
      <c r="AK343" s="204" t="s">
        <v>425</v>
      </c>
      <c r="AL343" s="204" t="s">
        <v>2175</v>
      </c>
      <c r="AM343" s="190"/>
      <c r="AN343" s="191">
        <v>235</v>
      </c>
      <c r="AO343" s="190" t="s">
        <v>572</v>
      </c>
      <c r="AP343" s="190">
        <v>992182</v>
      </c>
      <c r="AQ343" s="190" t="str">
        <f t="shared" si="157"/>
        <v>235-992182</v>
      </c>
      <c r="AR343" s="190" t="s">
        <v>813</v>
      </c>
      <c r="AS343" s="190"/>
      <c r="AT343" s="190"/>
      <c r="AU343" s="190"/>
      <c r="AV343" s="190"/>
      <c r="AW343" s="190"/>
      <c r="AX343" s="279" t="str">
        <f t="shared" si="141"/>
        <v/>
      </c>
    </row>
    <row r="344" spans="1:50" x14ac:dyDescent="0.25">
      <c r="A344" s="190" t="str">
        <f t="shared" si="148"/>
        <v/>
      </c>
      <c r="B344" s="279" t="str">
        <f t="shared" si="147"/>
        <v>235-992185</v>
      </c>
      <c r="C344" s="279"/>
      <c r="D344" s="279"/>
      <c r="E344" s="279">
        <f t="shared" si="151"/>
        <v>1</v>
      </c>
      <c r="F344" s="190" t="s">
        <v>535</v>
      </c>
      <c r="G344" s="198">
        <v>44684</v>
      </c>
      <c r="H344" s="205"/>
      <c r="I344" s="205"/>
      <c r="J344" s="205" t="s">
        <v>402</v>
      </c>
      <c r="K344" s="205" t="s">
        <v>1059</v>
      </c>
      <c r="L344" s="205" t="s">
        <v>808</v>
      </c>
      <c r="M344" s="212" t="s">
        <v>560</v>
      </c>
      <c r="N344" s="212"/>
      <c r="O344" s="236"/>
      <c r="P344" s="236"/>
      <c r="Q344" s="231" t="str">
        <f t="shared" si="152"/>
        <v>. Steering Wheel</v>
      </c>
      <c r="R344" s="231"/>
      <c r="S344" s="231" t="str">
        <f t="shared" si="154"/>
        <v/>
      </c>
      <c r="T344" s="231" t="str">
        <f>IF(O344&lt;&gt;"",_xlfn.XLOOKUP(O344,'3D. Pictures'!B:B,'3D. Pictures'!E:E,"NOT FOUND",0,1),"")</f>
        <v/>
      </c>
      <c r="U344" s="212"/>
      <c r="V344" s="205"/>
      <c r="W344" s="212"/>
      <c r="X344" s="205"/>
      <c r="Y344" s="201"/>
      <c r="Z344" s="192" t="s">
        <v>2077</v>
      </c>
      <c r="AA344" s="205" t="s">
        <v>808</v>
      </c>
      <c r="AB344" s="205" t="s">
        <v>808</v>
      </c>
      <c r="AC344" s="358" t="str">
        <f t="shared" si="153"/>
        <v>Switches &amp; Trim ON | wheel bad sell switches+trim or solo</v>
      </c>
      <c r="AD344" s="205" t="s">
        <v>2794</v>
      </c>
      <c r="AE344" s="205" t="s">
        <v>2795</v>
      </c>
      <c r="AF344" s="201" t="s">
        <v>543</v>
      </c>
      <c r="AG344" s="205"/>
      <c r="AH344" s="363">
        <v>175</v>
      </c>
      <c r="AI344" s="380">
        <f t="shared" si="155"/>
        <v>348.33333333333331</v>
      </c>
      <c r="AJ344" s="204" t="s">
        <v>408</v>
      </c>
      <c r="AK344" s="204" t="s">
        <v>425</v>
      </c>
      <c r="AL344" s="204" t="s">
        <v>2175</v>
      </c>
      <c r="AM344" s="190"/>
      <c r="AN344" s="191">
        <v>235</v>
      </c>
      <c r="AO344" s="190" t="s">
        <v>572</v>
      </c>
      <c r="AP344" s="190">
        <v>992185</v>
      </c>
      <c r="AQ344" s="190" t="str">
        <f t="shared" si="157"/>
        <v>235-992185</v>
      </c>
      <c r="AR344" s="190" t="s">
        <v>814</v>
      </c>
      <c r="AS344" s="190"/>
      <c r="AT344" s="190"/>
      <c r="AU344" s="190"/>
      <c r="AV344" s="190"/>
      <c r="AW344" s="190"/>
      <c r="AX344" s="279" t="str">
        <f t="shared" si="141"/>
        <v/>
      </c>
    </row>
    <row r="345" spans="1:50" x14ac:dyDescent="0.25">
      <c r="A345" s="190" t="str">
        <f t="shared" si="148"/>
        <v/>
      </c>
      <c r="B345" s="279" t="str">
        <f t="shared" si="147"/>
        <v>235-992183</v>
      </c>
      <c r="C345" s="279"/>
      <c r="D345" s="279"/>
      <c r="E345" s="279">
        <f t="shared" si="151"/>
        <v>1</v>
      </c>
      <c r="F345" s="190" t="s">
        <v>535</v>
      </c>
      <c r="G345" s="198">
        <v>44684</v>
      </c>
      <c r="H345" s="205"/>
      <c r="I345" s="205"/>
      <c r="J345" s="205" t="s">
        <v>402</v>
      </c>
      <c r="K345" s="205" t="s">
        <v>1059</v>
      </c>
      <c r="L345" s="205" t="s">
        <v>808</v>
      </c>
      <c r="M345" s="212" t="s">
        <v>560</v>
      </c>
      <c r="N345" s="212"/>
      <c r="O345" s="236"/>
      <c r="P345" s="236"/>
      <c r="Q345" s="231" t="str">
        <f t="shared" si="152"/>
        <v>. Steering Wheel</v>
      </c>
      <c r="R345" s="231"/>
      <c r="S345" s="231" t="str">
        <f t="shared" si="154"/>
        <v/>
      </c>
      <c r="T345" s="231" t="str">
        <f>IF(O345&lt;&gt;"",_xlfn.XLOOKUP(O345,'3D. Pictures'!B:B,'3D. Pictures'!E:E,"NOT FOUND",0,1),"")</f>
        <v/>
      </c>
      <c r="U345" s="212"/>
      <c r="V345" s="205"/>
      <c r="W345" s="212"/>
      <c r="X345" s="205"/>
      <c r="Y345" s="201"/>
      <c r="Z345" s="192" t="s">
        <v>2077</v>
      </c>
      <c r="AA345" s="205" t="s">
        <v>808</v>
      </c>
      <c r="AB345" s="205" t="s">
        <v>808</v>
      </c>
      <c r="AC345" s="358" t="str">
        <f t="shared" si="153"/>
        <v>Switches &amp; Trim ON | wheel bad sell switches+trim or solo</v>
      </c>
      <c r="AD345" s="205" t="s">
        <v>2794</v>
      </c>
      <c r="AE345" s="205" t="s">
        <v>2795</v>
      </c>
      <c r="AF345" s="201" t="s">
        <v>543</v>
      </c>
      <c r="AG345" s="205"/>
      <c r="AH345" s="363">
        <v>175</v>
      </c>
      <c r="AI345" s="380">
        <f t="shared" si="155"/>
        <v>348.33333333333331</v>
      </c>
      <c r="AJ345" s="204" t="s">
        <v>408</v>
      </c>
      <c r="AK345" s="204" t="s">
        <v>425</v>
      </c>
      <c r="AL345" s="204" t="s">
        <v>2175</v>
      </c>
      <c r="AM345" s="190"/>
      <c r="AN345" s="191">
        <v>235</v>
      </c>
      <c r="AO345" s="190" t="s">
        <v>572</v>
      </c>
      <c r="AP345" s="190">
        <v>992183</v>
      </c>
      <c r="AQ345" s="190" t="str">
        <f t="shared" si="157"/>
        <v>235-992183</v>
      </c>
      <c r="AR345" s="190" t="s">
        <v>815</v>
      </c>
      <c r="AS345" s="190"/>
      <c r="AT345" s="190"/>
      <c r="AU345" s="190"/>
      <c r="AV345" s="190"/>
      <c r="AW345" s="190"/>
      <c r="AX345" s="279" t="str">
        <f t="shared" si="141"/>
        <v/>
      </c>
    </row>
    <row r="346" spans="1:50" x14ac:dyDescent="0.25">
      <c r="A346" s="190" t="str">
        <f t="shared" si="148"/>
        <v/>
      </c>
      <c r="B346" s="279" t="str">
        <f t="shared" si="147"/>
        <v>235-992184</v>
      </c>
      <c r="C346" s="279"/>
      <c r="D346" s="279"/>
      <c r="E346" s="279">
        <f t="shared" si="151"/>
        <v>1</v>
      </c>
      <c r="F346" s="190" t="s">
        <v>535</v>
      </c>
      <c r="G346" s="198">
        <v>44684</v>
      </c>
      <c r="H346" s="205"/>
      <c r="I346" s="205"/>
      <c r="J346" s="205" t="s">
        <v>402</v>
      </c>
      <c r="K346" s="205" t="s">
        <v>1059</v>
      </c>
      <c r="L346" s="205" t="s">
        <v>808</v>
      </c>
      <c r="M346" s="212" t="s">
        <v>560</v>
      </c>
      <c r="N346" s="212"/>
      <c r="O346" s="236"/>
      <c r="P346" s="236"/>
      <c r="Q346" s="231" t="str">
        <f t="shared" si="152"/>
        <v>. Steering Wheel</v>
      </c>
      <c r="R346" s="231"/>
      <c r="S346" s="231" t="str">
        <f t="shared" si="154"/>
        <v/>
      </c>
      <c r="T346" s="231" t="str">
        <f>IF(O346&lt;&gt;"",_xlfn.XLOOKUP(O346,'3D. Pictures'!B:B,'3D. Pictures'!E:E,"NOT FOUND",0,1),"")</f>
        <v/>
      </c>
      <c r="U346" s="212"/>
      <c r="V346" s="205"/>
      <c r="W346" s="212"/>
      <c r="X346" s="205"/>
      <c r="Y346" s="201"/>
      <c r="Z346" s="192" t="s">
        <v>2077</v>
      </c>
      <c r="AA346" s="205" t="s">
        <v>808</v>
      </c>
      <c r="AB346" s="205" t="s">
        <v>808</v>
      </c>
      <c r="AC346" s="358" t="str">
        <f t="shared" si="153"/>
        <v>Switches &amp; Trim ON | wheel bad sell switches+trim or solo</v>
      </c>
      <c r="AD346" s="205" t="s">
        <v>2794</v>
      </c>
      <c r="AE346" s="205" t="s">
        <v>2795</v>
      </c>
      <c r="AF346" s="201" t="s">
        <v>543</v>
      </c>
      <c r="AG346" s="205"/>
      <c r="AH346" s="363">
        <v>175</v>
      </c>
      <c r="AI346" s="380">
        <f t="shared" si="155"/>
        <v>348.33333333333331</v>
      </c>
      <c r="AJ346" s="204" t="s">
        <v>408</v>
      </c>
      <c r="AK346" s="204" t="s">
        <v>425</v>
      </c>
      <c r="AL346" s="204" t="s">
        <v>2175</v>
      </c>
      <c r="AM346" s="190"/>
      <c r="AN346" s="191">
        <v>235</v>
      </c>
      <c r="AO346" s="190" t="s">
        <v>572</v>
      </c>
      <c r="AP346" s="190">
        <v>992184</v>
      </c>
      <c r="AQ346" s="190" t="str">
        <f t="shared" si="157"/>
        <v>235-992184</v>
      </c>
      <c r="AR346" s="190" t="s">
        <v>816</v>
      </c>
      <c r="AS346" s="190"/>
      <c r="AT346" s="190"/>
      <c r="AU346" s="190"/>
      <c r="AV346" s="190"/>
      <c r="AW346" s="190"/>
      <c r="AX346" s="279" t="str">
        <f t="shared" si="141"/>
        <v/>
      </c>
    </row>
    <row r="347" spans="1:50" x14ac:dyDescent="0.25">
      <c r="A347" s="190" t="str">
        <f t="shared" si="148"/>
        <v/>
      </c>
      <c r="B347" s="279" t="str">
        <f t="shared" si="147"/>
        <v>235-992187</v>
      </c>
      <c r="C347" s="279"/>
      <c r="D347" s="279"/>
      <c r="E347" s="279">
        <f t="shared" si="151"/>
        <v>1</v>
      </c>
      <c r="F347" s="190" t="s">
        <v>535</v>
      </c>
      <c r="G347" s="198">
        <v>44684</v>
      </c>
      <c r="H347" s="205"/>
      <c r="I347" s="205"/>
      <c r="J347" s="205" t="s">
        <v>402</v>
      </c>
      <c r="K347" s="205" t="s">
        <v>1059</v>
      </c>
      <c r="L347" s="205" t="s">
        <v>808</v>
      </c>
      <c r="M347" s="212" t="s">
        <v>560</v>
      </c>
      <c r="N347" s="212"/>
      <c r="O347" s="236"/>
      <c r="P347" s="236"/>
      <c r="Q347" s="231" t="str">
        <f t="shared" si="152"/>
        <v>. Steering Wheel</v>
      </c>
      <c r="R347" s="231"/>
      <c r="S347" s="231" t="str">
        <f t="shared" si="154"/>
        <v/>
      </c>
      <c r="T347" s="231" t="str">
        <f>IF(O347&lt;&gt;"",_xlfn.XLOOKUP(O347,'3D. Pictures'!B:B,'3D. Pictures'!E:E,"NOT FOUND",0,1),"")</f>
        <v/>
      </c>
      <c r="U347" s="212"/>
      <c r="V347" s="205"/>
      <c r="W347" s="212"/>
      <c r="X347" s="205"/>
      <c r="Y347" s="201"/>
      <c r="Z347" s="192" t="s">
        <v>2077</v>
      </c>
      <c r="AA347" s="205" t="s">
        <v>808</v>
      </c>
      <c r="AB347" s="205" t="s">
        <v>808</v>
      </c>
      <c r="AC347" s="358" t="str">
        <f t="shared" si="153"/>
        <v>Switches &amp; Trim ON | wheel bad sell switches+trim or solo</v>
      </c>
      <c r="AD347" s="205" t="s">
        <v>2794</v>
      </c>
      <c r="AE347" s="205" t="s">
        <v>2795</v>
      </c>
      <c r="AF347" s="201" t="s">
        <v>543</v>
      </c>
      <c r="AG347" s="205"/>
      <c r="AH347" s="363">
        <v>695</v>
      </c>
      <c r="AI347" s="380">
        <f t="shared" si="155"/>
        <v>348.33333333333331</v>
      </c>
      <c r="AJ347" s="204" t="s">
        <v>408</v>
      </c>
      <c r="AK347" s="204" t="s">
        <v>425</v>
      </c>
      <c r="AL347" s="204" t="s">
        <v>2175</v>
      </c>
      <c r="AM347" s="190"/>
      <c r="AN347" s="191">
        <v>235</v>
      </c>
      <c r="AO347" s="190" t="s">
        <v>572</v>
      </c>
      <c r="AP347" s="190">
        <v>992187</v>
      </c>
      <c r="AQ347" s="190" t="str">
        <f t="shared" si="157"/>
        <v>235-992187</v>
      </c>
      <c r="AR347" s="190" t="s">
        <v>820</v>
      </c>
      <c r="AS347" s="190"/>
      <c r="AT347" s="190"/>
      <c r="AU347" s="190"/>
      <c r="AV347" s="190"/>
      <c r="AW347" s="190"/>
      <c r="AX347" s="279" t="str">
        <f t="shared" si="141"/>
        <v/>
      </c>
    </row>
    <row r="348" spans="1:50" x14ac:dyDescent="0.25">
      <c r="A348" s="190" t="str">
        <f t="shared" si="148"/>
        <v/>
      </c>
      <c r="B348" s="279" t="str">
        <f t="shared" si="147"/>
        <v>235-992188</v>
      </c>
      <c r="C348" s="279"/>
      <c r="D348" s="279"/>
      <c r="E348" s="279">
        <f t="shared" si="151"/>
        <v>1</v>
      </c>
      <c r="F348" s="190" t="s">
        <v>535</v>
      </c>
      <c r="G348" s="198">
        <v>44684</v>
      </c>
      <c r="H348" s="205"/>
      <c r="I348" s="205"/>
      <c r="J348" s="205" t="s">
        <v>402</v>
      </c>
      <c r="K348" s="205" t="s">
        <v>1059</v>
      </c>
      <c r="L348" s="205" t="s">
        <v>808</v>
      </c>
      <c r="M348" s="212" t="s">
        <v>560</v>
      </c>
      <c r="N348" s="212"/>
      <c r="O348" s="236"/>
      <c r="P348" s="236"/>
      <c r="Q348" s="231" t="str">
        <f t="shared" si="152"/>
        <v>. Steering Wheel</v>
      </c>
      <c r="R348" s="231"/>
      <c r="S348" s="231" t="str">
        <f t="shared" si="154"/>
        <v/>
      </c>
      <c r="T348" s="231" t="str">
        <f>IF(O348&lt;&gt;"",_xlfn.XLOOKUP(O348,'3D. Pictures'!B:B,'3D. Pictures'!E:E,"NOT FOUND",0,1),"")</f>
        <v/>
      </c>
      <c r="U348" s="212"/>
      <c r="V348" s="205"/>
      <c r="W348" s="212"/>
      <c r="X348" s="205"/>
      <c r="Y348" s="201"/>
      <c r="Z348" s="192" t="s">
        <v>2077</v>
      </c>
      <c r="AA348" s="205" t="s">
        <v>808</v>
      </c>
      <c r="AB348" s="205" t="s">
        <v>808</v>
      </c>
      <c r="AC348" s="358" t="str">
        <f t="shared" si="153"/>
        <v>Switches &amp; Trim ON | wheel bad sell switches+trim or solo</v>
      </c>
      <c r="AD348" s="205" t="s">
        <v>2794</v>
      </c>
      <c r="AE348" s="205" t="s">
        <v>2795</v>
      </c>
      <c r="AF348" s="201" t="s">
        <v>543</v>
      </c>
      <c r="AG348" s="205"/>
      <c r="AH348" s="363">
        <v>695</v>
      </c>
      <c r="AI348" s="380">
        <f t="shared" si="155"/>
        <v>348.33333333333331</v>
      </c>
      <c r="AJ348" s="204" t="s">
        <v>408</v>
      </c>
      <c r="AK348" s="204" t="s">
        <v>425</v>
      </c>
      <c r="AL348" s="204" t="s">
        <v>2175</v>
      </c>
      <c r="AM348" s="190"/>
      <c r="AN348" s="191">
        <v>235</v>
      </c>
      <c r="AO348" s="190" t="s">
        <v>572</v>
      </c>
      <c r="AP348" s="190">
        <v>992188</v>
      </c>
      <c r="AQ348" s="190" t="str">
        <f t="shared" si="157"/>
        <v>235-992188</v>
      </c>
      <c r="AR348" s="190" t="s">
        <v>819</v>
      </c>
      <c r="AS348" s="190"/>
      <c r="AT348" s="190"/>
      <c r="AU348" s="190"/>
      <c r="AV348" s="190"/>
      <c r="AW348" s="190"/>
      <c r="AX348" s="279" t="str">
        <f t="shared" si="141"/>
        <v/>
      </c>
    </row>
    <row r="349" spans="1:50" x14ac:dyDescent="0.25">
      <c r="A349" s="190" t="str">
        <f t="shared" si="148"/>
        <v/>
      </c>
      <c r="B349" s="279" t="str">
        <f t="shared" si="147"/>
        <v/>
      </c>
      <c r="C349" s="279"/>
      <c r="D349" s="279"/>
      <c r="E349" s="279" t="str">
        <f t="shared" si="151"/>
        <v/>
      </c>
      <c r="F349" s="190" t="s">
        <v>535</v>
      </c>
      <c r="G349" s="198">
        <v>44684</v>
      </c>
      <c r="H349" s="205"/>
      <c r="I349" s="205"/>
      <c r="J349" s="205" t="s">
        <v>402</v>
      </c>
      <c r="K349" s="205" t="s">
        <v>1059</v>
      </c>
      <c r="L349" s="205" t="s">
        <v>821</v>
      </c>
      <c r="M349" s="212" t="s">
        <v>560</v>
      </c>
      <c r="N349" s="212"/>
      <c r="O349" s="236"/>
      <c r="P349" s="236"/>
      <c r="Q349" s="231" t="str">
        <f t="shared" si="152"/>
        <v>. Steering Wheel Switches SET 2 WITH Trim</v>
      </c>
      <c r="R349" s="231"/>
      <c r="S349" s="231" t="str">
        <f t="shared" si="154"/>
        <v/>
      </c>
      <c r="T349" s="231" t="str">
        <f>IF(O349&lt;&gt;"",_xlfn.XLOOKUP(O349,'3D. Pictures'!B:B,'3D. Pictures'!E:E,"NOT FOUND",0,1),"")</f>
        <v/>
      </c>
      <c r="U349" s="212"/>
      <c r="V349" s="205"/>
      <c r="W349" s="212"/>
      <c r="X349" s="205"/>
      <c r="Y349" s="201"/>
      <c r="Z349" s="205"/>
      <c r="AA349" s="205" t="s">
        <v>2497</v>
      </c>
      <c r="AB349" s="205" t="s">
        <v>2497</v>
      </c>
      <c r="AC349" s="358" t="str">
        <f t="shared" si="153"/>
        <v>keep ON wheel if selling, w/ trim if trim good</v>
      </c>
      <c r="AD349" s="205" t="s">
        <v>2826</v>
      </c>
      <c r="AE349" s="205"/>
      <c r="AF349" s="201" t="s">
        <v>543</v>
      </c>
      <c r="AG349" s="205"/>
      <c r="AH349" s="363">
        <v>140</v>
      </c>
      <c r="AI349" s="380">
        <f t="shared" si="155"/>
        <v>110</v>
      </c>
      <c r="AJ349" s="204" t="s">
        <v>408</v>
      </c>
      <c r="AK349" s="204" t="s">
        <v>425</v>
      </c>
      <c r="AL349" s="204" t="s">
        <v>2175</v>
      </c>
      <c r="AM349" s="190"/>
      <c r="AN349" s="191"/>
      <c r="AO349" s="190"/>
      <c r="AP349" s="190"/>
      <c r="AQ349" s="190"/>
      <c r="AR349" s="190"/>
      <c r="AS349" s="190"/>
      <c r="AT349" s="190"/>
      <c r="AU349" s="190"/>
      <c r="AV349" s="190"/>
      <c r="AW349" s="190"/>
      <c r="AX349" s="279" t="str">
        <f t="shared" si="141"/>
        <v/>
      </c>
    </row>
    <row r="350" spans="1:50" x14ac:dyDescent="0.25">
      <c r="A350" s="190" t="str">
        <f t="shared" si="148"/>
        <v/>
      </c>
      <c r="B350" s="279" t="str">
        <f t="shared" si="147"/>
        <v/>
      </c>
      <c r="C350" s="279"/>
      <c r="D350" s="279"/>
      <c r="E350" s="279" t="str">
        <f t="shared" si="151"/>
        <v/>
      </c>
      <c r="F350" s="190" t="s">
        <v>535</v>
      </c>
      <c r="G350" s="198">
        <v>44684</v>
      </c>
      <c r="H350" s="205"/>
      <c r="I350" s="205"/>
      <c r="J350" s="205" t="s">
        <v>402</v>
      </c>
      <c r="K350" s="205" t="s">
        <v>1059</v>
      </c>
      <c r="L350" s="205" t="s">
        <v>821</v>
      </c>
      <c r="M350" s="212" t="s">
        <v>560</v>
      </c>
      <c r="N350" s="212"/>
      <c r="O350" s="236"/>
      <c r="P350" s="236"/>
      <c r="Q350" s="231" t="str">
        <f t="shared" si="152"/>
        <v>. Steering Wheel Switches SET 2 WITHOUT Trim</v>
      </c>
      <c r="R350" s="231"/>
      <c r="S350" s="231" t="str">
        <f t="shared" si="154"/>
        <v/>
      </c>
      <c r="T350" s="231" t="str">
        <f>IF(O350&lt;&gt;"",_xlfn.XLOOKUP(O350,'3D. Pictures'!B:B,'3D. Pictures'!E:E,"NOT FOUND",0,1),"")</f>
        <v/>
      </c>
      <c r="U350" s="212"/>
      <c r="V350" s="205"/>
      <c r="W350" s="212"/>
      <c r="X350" s="205"/>
      <c r="Y350" s="168"/>
      <c r="Z350" s="205"/>
      <c r="AA350" s="205" t="s">
        <v>2497</v>
      </c>
      <c r="AB350" s="205" t="s">
        <v>2498</v>
      </c>
      <c r="AC350" s="358" t="str">
        <f t="shared" si="153"/>
        <v>keep ON wheel if selling that</v>
      </c>
      <c r="AD350" s="205" t="s">
        <v>823</v>
      </c>
      <c r="AE350" s="205"/>
      <c r="AF350" s="201" t="s">
        <v>543</v>
      </c>
      <c r="AG350" s="205"/>
      <c r="AH350" s="363">
        <v>100</v>
      </c>
      <c r="AI350" s="380">
        <f t="shared" si="155"/>
        <v>110</v>
      </c>
      <c r="AJ350" s="204" t="s">
        <v>408</v>
      </c>
      <c r="AK350" s="204" t="s">
        <v>425</v>
      </c>
      <c r="AL350" s="204" t="s">
        <v>2175</v>
      </c>
      <c r="AM350" s="190"/>
      <c r="AN350" s="191"/>
      <c r="AO350" s="190"/>
      <c r="AP350" s="190"/>
      <c r="AQ350" s="190"/>
      <c r="AR350" s="190"/>
      <c r="AS350" s="190"/>
      <c r="AT350" s="190"/>
      <c r="AU350" s="190"/>
      <c r="AV350" s="190"/>
      <c r="AW350" s="190"/>
      <c r="AX350" s="279" t="str">
        <f t="shared" si="141"/>
        <v/>
      </c>
    </row>
    <row r="351" spans="1:50" x14ac:dyDescent="0.25">
      <c r="A351" s="190" t="str">
        <f t="shared" si="148"/>
        <v/>
      </c>
      <c r="B351" s="279" t="str">
        <f t="shared" si="147"/>
        <v/>
      </c>
      <c r="C351" s="279"/>
      <c r="D351" s="279"/>
      <c r="E351" s="279" t="str">
        <f t="shared" si="151"/>
        <v/>
      </c>
      <c r="F351" s="190" t="s">
        <v>535</v>
      </c>
      <c r="G351" s="198">
        <v>44684</v>
      </c>
      <c r="H351" s="205"/>
      <c r="I351" s="205"/>
      <c r="J351" s="205" t="s">
        <v>402</v>
      </c>
      <c r="K351" s="205" t="s">
        <v>1059</v>
      </c>
      <c r="L351" s="205" t="s">
        <v>2697</v>
      </c>
      <c r="M351" s="212" t="s">
        <v>560</v>
      </c>
      <c r="N351" s="212"/>
      <c r="O351" s="236"/>
      <c r="P351" s="236"/>
      <c r="Q351" s="231" t="str">
        <f t="shared" si="152"/>
        <v>. Steering Wheel Trim</v>
      </c>
      <c r="R351" s="231"/>
      <c r="S351" s="231" t="str">
        <f t="shared" si="154"/>
        <v/>
      </c>
      <c r="T351" s="231" t="str">
        <f>IF(O351&lt;&gt;"",_xlfn.XLOOKUP(O351,'3D. Pictures'!B:B,'3D. Pictures'!E:E,"NOT FOUND",0,1),"")</f>
        <v/>
      </c>
      <c r="U351" s="212"/>
      <c r="V351" s="205"/>
      <c r="W351" s="212"/>
      <c r="X351" s="205"/>
      <c r="Y351" s="168"/>
      <c r="Z351" s="205"/>
      <c r="AA351" s="205" t="s">
        <v>2497</v>
      </c>
      <c r="AB351" s="205" t="s">
        <v>822</v>
      </c>
      <c r="AC351" s="358" t="str">
        <f t="shared" si="153"/>
        <v>keep ON wheel if selling that</v>
      </c>
      <c r="AD351" s="205" t="s">
        <v>823</v>
      </c>
      <c r="AE351" s="205"/>
      <c r="AF351" s="201" t="s">
        <v>543</v>
      </c>
      <c r="AG351" s="205"/>
      <c r="AH351" s="363">
        <v>90</v>
      </c>
      <c r="AI351" s="380">
        <f t="shared" si="155"/>
        <v>110</v>
      </c>
      <c r="AJ351" s="204" t="s">
        <v>408</v>
      </c>
      <c r="AK351" s="204" t="s">
        <v>425</v>
      </c>
      <c r="AL351" s="204" t="s">
        <v>2175</v>
      </c>
      <c r="AM351" s="190"/>
      <c r="AN351" s="191"/>
      <c r="AO351" s="190"/>
      <c r="AP351" s="190"/>
      <c r="AQ351" s="190"/>
      <c r="AR351" s="190"/>
      <c r="AS351" s="190"/>
      <c r="AT351" s="190"/>
      <c r="AU351" s="190"/>
      <c r="AV351" s="190"/>
      <c r="AW351" s="190"/>
      <c r="AX351" s="279" t="str">
        <f t="shared" si="141"/>
        <v/>
      </c>
    </row>
    <row r="352" spans="1:50" ht="15.75" thickBot="1" x14ac:dyDescent="0.3">
      <c r="A352" s="190" t="str">
        <f t="shared" si="148"/>
        <v/>
      </c>
      <c r="B352" s="279" t="str">
        <f t="shared" si="147"/>
        <v/>
      </c>
      <c r="C352" s="279"/>
      <c r="D352" s="279"/>
      <c r="E352" s="279" t="str">
        <f t="shared" si="151"/>
        <v/>
      </c>
      <c r="F352" t="s">
        <v>535</v>
      </c>
      <c r="G352" s="188">
        <v>44684</v>
      </c>
      <c r="H352" s="16"/>
      <c r="I352" s="16"/>
      <c r="J352" s="16" t="s">
        <v>402</v>
      </c>
      <c r="K352" s="16" t="s">
        <v>1059</v>
      </c>
      <c r="L352" s="16" t="s">
        <v>1210</v>
      </c>
      <c r="M352" s="16" t="s">
        <v>559</v>
      </c>
      <c r="N352" s="16"/>
      <c r="O352" s="166"/>
      <c r="P352" s="166"/>
      <c r="Q352" s="231" t="str">
        <f t="shared" si="152"/>
        <v>. Switch/Button, Engine Ignition Start/Stop Push Button</v>
      </c>
      <c r="R352" s="231"/>
      <c r="S352" s="231" t="str">
        <f t="shared" si="154"/>
        <v/>
      </c>
      <c r="T352" s="231" t="str">
        <f>IF(O352&lt;&gt;"",_xlfn.XLOOKUP(O352,'3D. Pictures'!B:B,'3D. Pictures'!E:E,"NOT FOUND",0,1),"")</f>
        <v/>
      </c>
      <c r="U352" s="16"/>
      <c r="V352" s="16"/>
      <c r="W352" s="16"/>
      <c r="X352" s="16"/>
      <c r="Y352" s="201"/>
      <c r="Z352" s="16"/>
      <c r="AA352" s="16" t="s">
        <v>450</v>
      </c>
      <c r="AB352" s="16" t="s">
        <v>450</v>
      </c>
      <c r="AC352" s="358" t="str">
        <f t="shared" si="153"/>
        <v/>
      </c>
      <c r="AD352" s="16"/>
      <c r="AE352" s="16"/>
      <c r="AF352" s="168" t="s">
        <v>543</v>
      </c>
      <c r="AG352" s="16" t="s">
        <v>451</v>
      </c>
      <c r="AH352" s="363">
        <v>39</v>
      </c>
      <c r="AI352" s="380">
        <f t="shared" si="155"/>
        <v>39</v>
      </c>
      <c r="AJ352" s="3" t="s">
        <v>408</v>
      </c>
      <c r="AK352" s="3" t="s">
        <v>425</v>
      </c>
      <c r="AL352" s="3" t="s">
        <v>2175</v>
      </c>
      <c r="AN352"/>
      <c r="AX352" s="279" t="str">
        <f t="shared" si="141"/>
        <v/>
      </c>
    </row>
    <row r="353" spans="1:50" ht="15.75" thickBot="1" x14ac:dyDescent="0.3">
      <c r="A353" s="190" t="str">
        <f t="shared" si="148"/>
        <v>A55</v>
      </c>
      <c r="B353" s="279" t="str">
        <f t="shared" si="147"/>
        <v/>
      </c>
      <c r="C353" s="279"/>
      <c r="D353" s="279"/>
      <c r="E353" s="279" t="str">
        <f t="shared" si="151"/>
        <v/>
      </c>
      <c r="F353" s="241" t="s">
        <v>535</v>
      </c>
      <c r="G353" s="242">
        <v>44684</v>
      </c>
      <c r="H353" s="243"/>
      <c r="I353" s="243"/>
      <c r="J353" s="243" t="s">
        <v>402</v>
      </c>
      <c r="K353" s="243" t="s">
        <v>1059</v>
      </c>
      <c r="L353" s="243" t="s">
        <v>1210</v>
      </c>
      <c r="M353" s="243" t="s">
        <v>559</v>
      </c>
      <c r="N353" s="243">
        <v>45</v>
      </c>
      <c r="O353" s="244" t="s">
        <v>957</v>
      </c>
      <c r="P353" s="244" t="s">
        <v>1204</v>
      </c>
      <c r="Q353" s="231" t="str">
        <f t="shared" si="152"/>
        <v>A55. Traction Control Switch Panel</v>
      </c>
      <c r="R353" s="284" t="str">
        <f>HYPERLINK(VLOOKUP(O353,'3D. Pictures'!$B$3:$E$500,4,FALSE),"PIC")</f>
        <v>PIC</v>
      </c>
      <c r="S353" s="373" t="str">
        <f t="shared" si="154"/>
        <v>E.G.</v>
      </c>
      <c r="T353" s="377" t="str">
        <f>IF(O353&lt;&gt;"",_xlfn.XLOOKUP(O353,'3D. Pictures'!B:B,'3D. Pictures'!E:E,"NOT FOUND",0,1),"")</f>
        <v>https://viking-pictures.s3.us-west-1.amazonaws.com/AA1155/A55.+Traction+Control+Switch+Panel+(1).JPG</v>
      </c>
      <c r="U353" s="243">
        <v>5</v>
      </c>
      <c r="V353" s="243">
        <v>9262718</v>
      </c>
      <c r="W353" s="243" t="s">
        <v>111</v>
      </c>
      <c r="X353" s="243"/>
      <c r="Y353" s="16"/>
      <c r="Z353" s="243"/>
      <c r="AA353" s="243" t="s">
        <v>1224</v>
      </c>
      <c r="AB353" s="243" t="s">
        <v>1224</v>
      </c>
      <c r="AC353" s="358" t="str">
        <f t="shared" si="153"/>
        <v>remove trim panel &amp; sell knob &amp; trim panel each solo</v>
      </c>
      <c r="AD353" s="243" t="s">
        <v>1225</v>
      </c>
      <c r="AE353" s="243"/>
      <c r="AF353" s="179" t="s">
        <v>543</v>
      </c>
      <c r="AG353" s="243"/>
      <c r="AH353" s="363">
        <v>95</v>
      </c>
      <c r="AI353" s="380">
        <f t="shared" si="155"/>
        <v>95</v>
      </c>
      <c r="AJ353" s="246" t="s">
        <v>408</v>
      </c>
      <c r="AK353" s="246" t="s">
        <v>425</v>
      </c>
      <c r="AL353" s="246" t="s">
        <v>2175</v>
      </c>
      <c r="AM353" s="241"/>
      <c r="AN353" s="241"/>
      <c r="AO353" s="241"/>
      <c r="AP353" s="241"/>
      <c r="AQ353" s="241"/>
      <c r="AR353" s="241"/>
      <c r="AS353" s="241" t="s">
        <v>1028</v>
      </c>
      <c r="AT353" s="241" t="s">
        <v>1029</v>
      </c>
      <c r="AU353" s="241" t="s">
        <v>1030</v>
      </c>
      <c r="AV353" s="303" t="str">
        <f t="shared" ref="AV353" si="158">CONCATENATE(AS353,"-",AT353,"-",AU353)</f>
        <v>F15-14-18-ALL</v>
      </c>
      <c r="AW353" s="241" t="s">
        <v>2399</v>
      </c>
      <c r="AX353" s="279" t="str">
        <f t="shared" si="141"/>
        <v>F15-14-18-ALL-Viking33</v>
      </c>
    </row>
    <row r="354" spans="1:50" ht="15.75" thickBot="1" x14ac:dyDescent="0.3">
      <c r="A354" s="190" t="str">
        <f t="shared" si="148"/>
        <v/>
      </c>
      <c r="B354" s="279" t="str">
        <f t="shared" si="147"/>
        <v/>
      </c>
      <c r="C354" s="279"/>
      <c r="D354" s="279"/>
      <c r="E354" s="279" t="str">
        <f t="shared" si="151"/>
        <v/>
      </c>
      <c r="F354" t="s">
        <v>536</v>
      </c>
      <c r="G354" s="188">
        <v>44811</v>
      </c>
      <c r="H354" s="158"/>
      <c r="I354" s="164"/>
      <c r="J354" s="16" t="s">
        <v>402</v>
      </c>
      <c r="K354" s="16" t="s">
        <v>1059</v>
      </c>
      <c r="L354" s="16" t="s">
        <v>492</v>
      </c>
      <c r="M354" s="16" t="s">
        <v>559</v>
      </c>
      <c r="N354" s="16"/>
      <c r="O354" s="166"/>
      <c r="P354" s="166"/>
      <c r="Q354" s="231" t="str">
        <f t="shared" si="152"/>
        <v>. USB Aux Socket Port</v>
      </c>
      <c r="R354" s="231"/>
      <c r="S354" s="231" t="str">
        <f t="shared" si="154"/>
        <v/>
      </c>
      <c r="T354" s="231" t="str">
        <f>IF(O354&lt;&gt;"",_xlfn.XLOOKUP(O354,'3D. Pictures'!B:B,'3D. Pictures'!E:E,"NOT FOUND",0,1),"")</f>
        <v/>
      </c>
      <c r="U354" s="16"/>
      <c r="V354" s="16"/>
      <c r="W354" s="16"/>
      <c r="X354" s="16"/>
      <c r="Y354" s="168"/>
      <c r="Z354" s="16"/>
      <c r="AA354" s="16" t="s">
        <v>492</v>
      </c>
      <c r="AB354" s="16" t="s">
        <v>492</v>
      </c>
      <c r="AC354" s="358" t="str">
        <f t="shared" si="153"/>
        <v/>
      </c>
      <c r="AD354" s="16"/>
      <c r="AE354" s="16"/>
      <c r="AF354" s="168" t="s">
        <v>543</v>
      </c>
      <c r="AG354" s="16"/>
      <c r="AH354" s="16">
        <v>45</v>
      </c>
      <c r="AI354" s="380">
        <f t="shared" si="155"/>
        <v>45</v>
      </c>
      <c r="AJ354" s="3" t="s">
        <v>408</v>
      </c>
      <c r="AK354" s="3" t="s">
        <v>425</v>
      </c>
      <c r="AL354" s="3" t="s">
        <v>2175</v>
      </c>
      <c r="AN354"/>
      <c r="AX354" s="279" t="str">
        <f t="shared" si="141"/>
        <v/>
      </c>
    </row>
    <row r="355" spans="1:50" ht="15.75" thickBot="1" x14ac:dyDescent="0.3">
      <c r="A355" s="190" t="str">
        <f t="shared" si="148"/>
        <v>A46</v>
      </c>
      <c r="B355" s="279" t="str">
        <f t="shared" si="147"/>
        <v/>
      </c>
      <c r="C355" s="279"/>
      <c r="D355" s="279"/>
      <c r="E355" s="279" t="str">
        <f t="shared" si="151"/>
        <v/>
      </c>
      <c r="F355" s="241" t="s">
        <v>535</v>
      </c>
      <c r="G355" s="242">
        <v>44684</v>
      </c>
      <c r="H355" s="243"/>
      <c r="I355" s="243"/>
      <c r="J355" s="243" t="s">
        <v>402</v>
      </c>
      <c r="K355" s="243" t="s">
        <v>1059</v>
      </c>
      <c r="L355" s="243" t="s">
        <v>1209</v>
      </c>
      <c r="M355" s="243" t="s">
        <v>559</v>
      </c>
      <c r="N355" s="243">
        <v>36</v>
      </c>
      <c r="O355" s="244" t="s">
        <v>948</v>
      </c>
      <c r="P355" s="244" t="s">
        <v>1204</v>
      </c>
      <c r="Q355" s="231" t="str">
        <f t="shared" si="152"/>
        <v>A46. Vent, DASH - FRONT CENTER with Hazard Button</v>
      </c>
      <c r="R355" s="284" t="str">
        <f>HYPERLINK(VLOOKUP(O355,'3D. Pictures'!$B$3:$E$500,4,FALSE),"PIC")</f>
        <v>PIC</v>
      </c>
      <c r="S355" s="373" t="str">
        <f t="shared" si="154"/>
        <v>E.G.</v>
      </c>
      <c r="T355" s="377" t="str">
        <f>IF(O355&lt;&gt;"",_xlfn.XLOOKUP(O355,'3D. Pictures'!B:B,'3D. Pictures'!E:E,"NOT FOUND",0,1),"")</f>
        <v>https://viking-pictures.s3.us-west-1.amazonaws.com/AA1155/A46.+Vent%2C+DASH+-+FRONT+CENTER+with+Hazard+Button+(1).JPG</v>
      </c>
      <c r="U355" s="243">
        <v>5</v>
      </c>
      <c r="V355" s="243">
        <v>9252648</v>
      </c>
      <c r="W355" s="243" t="s">
        <v>111</v>
      </c>
      <c r="X355" s="243"/>
      <c r="Y355" s="201"/>
      <c r="Z355" s="243"/>
      <c r="AA355" s="243" t="s">
        <v>1211</v>
      </c>
      <c r="AB355" s="243" t="s">
        <v>1211</v>
      </c>
      <c r="AC355" s="358" t="str">
        <f t="shared" si="153"/>
        <v>with hazard button | sell hazard button solo if vent bad</v>
      </c>
      <c r="AD355" s="243" t="s">
        <v>1206</v>
      </c>
      <c r="AE355" s="243" t="s">
        <v>1207</v>
      </c>
      <c r="AF355" s="179" t="s">
        <v>543</v>
      </c>
      <c r="AG355" s="243"/>
      <c r="AH355" s="16">
        <v>125</v>
      </c>
      <c r="AI355" s="380">
        <f t="shared" si="155"/>
        <v>125</v>
      </c>
      <c r="AJ355" s="246" t="s">
        <v>408</v>
      </c>
      <c r="AK355" s="246" t="s">
        <v>425</v>
      </c>
      <c r="AL355" s="246" t="s">
        <v>2175</v>
      </c>
      <c r="AM355" s="241"/>
      <c r="AN355" s="241"/>
      <c r="AO355" s="241"/>
      <c r="AP355" s="241"/>
      <c r="AQ355" s="241"/>
      <c r="AR355" s="241"/>
      <c r="AS355" s="241" t="s">
        <v>1028</v>
      </c>
      <c r="AT355" s="241" t="s">
        <v>1029</v>
      </c>
      <c r="AU355" s="241" t="s">
        <v>1030</v>
      </c>
      <c r="AV355" s="303" t="str">
        <f t="shared" ref="AV355:AV358" si="159">CONCATENATE(AS355,"-",AT355,"-",AU355)</f>
        <v>F15-14-18-ALL</v>
      </c>
      <c r="AW355" s="241" t="s">
        <v>2400</v>
      </c>
      <c r="AX355" s="279" t="str">
        <f t="shared" si="141"/>
        <v>F15-14-18-ALL-Viking34</v>
      </c>
    </row>
    <row r="356" spans="1:50" ht="15.75" thickBot="1" x14ac:dyDescent="0.3">
      <c r="A356" s="190" t="str">
        <f t="shared" si="148"/>
        <v/>
      </c>
      <c r="B356" s="279" t="str">
        <f t="shared" si="147"/>
        <v/>
      </c>
      <c r="C356" s="279"/>
      <c r="D356" s="279"/>
      <c r="E356" s="279" t="str">
        <f t="shared" si="151"/>
        <v/>
      </c>
      <c r="F356" s="241" t="s">
        <v>535</v>
      </c>
      <c r="G356" s="242">
        <v>44684</v>
      </c>
      <c r="H356" s="243"/>
      <c r="I356" s="243"/>
      <c r="J356" s="243" t="s">
        <v>402</v>
      </c>
      <c r="K356" s="243" t="s">
        <v>1059</v>
      </c>
      <c r="L356" s="243" t="s">
        <v>1210</v>
      </c>
      <c r="M356" s="243" t="s">
        <v>559</v>
      </c>
      <c r="N356" s="243"/>
      <c r="O356" s="244"/>
      <c r="P356" s="244"/>
      <c r="Q356" s="231" t="str">
        <f t="shared" si="152"/>
        <v>. Switch, Hazard Button</v>
      </c>
      <c r="R356" s="244"/>
      <c r="S356" s="244" t="str">
        <f t="shared" si="154"/>
        <v/>
      </c>
      <c r="T356" s="244" t="str">
        <f>IF(O356&lt;&gt;"",_xlfn.XLOOKUP(O356,'3D. Pictures'!B:B,'3D. Pictures'!E:E,"NOT FOUND",0,1),"")</f>
        <v/>
      </c>
      <c r="U356" s="243"/>
      <c r="V356" s="243">
        <v>61319389075</v>
      </c>
      <c r="W356" s="243" t="s">
        <v>111</v>
      </c>
      <c r="X356" s="243"/>
      <c r="Y356" s="201"/>
      <c r="Z356" s="243"/>
      <c r="AA356" s="243" t="s">
        <v>1208</v>
      </c>
      <c r="AB356" s="243" t="s">
        <v>1208</v>
      </c>
      <c r="AC356" s="358" t="str">
        <f t="shared" si="153"/>
        <v>keep in vent if selling that</v>
      </c>
      <c r="AD356" s="243" t="s">
        <v>1212</v>
      </c>
      <c r="AE356" s="243"/>
      <c r="AF356" s="179" t="s">
        <v>543</v>
      </c>
      <c r="AG356" s="243"/>
      <c r="AH356" s="16">
        <v>125</v>
      </c>
      <c r="AI356" s="380">
        <f t="shared" si="155"/>
        <v>125</v>
      </c>
      <c r="AJ356" s="246" t="s">
        <v>408</v>
      </c>
      <c r="AK356" s="246" t="s">
        <v>425</v>
      </c>
      <c r="AL356" s="246" t="s">
        <v>2175</v>
      </c>
      <c r="AM356" s="241"/>
      <c r="AN356" s="241"/>
      <c r="AO356" s="241"/>
      <c r="AP356" s="241"/>
      <c r="AQ356" s="241"/>
      <c r="AR356" s="241"/>
      <c r="AS356" s="241" t="s">
        <v>1028</v>
      </c>
      <c r="AT356" s="241" t="s">
        <v>1029</v>
      </c>
      <c r="AU356" s="241" t="s">
        <v>1030</v>
      </c>
      <c r="AV356" s="303" t="str">
        <f t="shared" si="159"/>
        <v>F15-14-18-ALL</v>
      </c>
      <c r="AW356" s="241" t="s">
        <v>2401</v>
      </c>
      <c r="AX356" s="279" t="str">
        <f t="shared" ref="AX356:AX416" si="160">IF(AW356&lt;&gt;"",_xlfn.TEXTJOIN("-",TRUE,AV356,AW356),"")</f>
        <v>F15-14-18-ALL-Viking35</v>
      </c>
    </row>
    <row r="357" spans="1:50" ht="15.75" thickBot="1" x14ac:dyDescent="0.3">
      <c r="A357" s="190" t="str">
        <f t="shared" si="148"/>
        <v>A59</v>
      </c>
      <c r="B357" s="279" t="str">
        <f t="shared" si="147"/>
        <v/>
      </c>
      <c r="C357" s="279"/>
      <c r="D357" s="279"/>
      <c r="E357" s="279" t="str">
        <f t="shared" si="151"/>
        <v/>
      </c>
      <c r="F357" s="241" t="s">
        <v>535</v>
      </c>
      <c r="G357" s="242">
        <v>44684</v>
      </c>
      <c r="H357" s="243"/>
      <c r="I357" s="243"/>
      <c r="J357" s="243" t="s">
        <v>402</v>
      </c>
      <c r="K357" s="243" t="s">
        <v>1059</v>
      </c>
      <c r="L357" s="243" t="s">
        <v>1209</v>
      </c>
      <c r="M357" s="243" t="s">
        <v>559</v>
      </c>
      <c r="N357" s="243">
        <v>49</v>
      </c>
      <c r="O357" s="244" t="s">
        <v>961</v>
      </c>
      <c r="P357" s="244" t="s">
        <v>1204</v>
      </c>
      <c r="Q357" s="231" t="str">
        <f t="shared" si="152"/>
        <v>A59. Vent, DASH - FRONT LEFT</v>
      </c>
      <c r="R357" s="284" t="str">
        <f>HYPERLINK(VLOOKUP(O357,'3D. Pictures'!$B$3:$E$500,4,FALSE),"PIC")</f>
        <v>PIC</v>
      </c>
      <c r="S357" s="373" t="str">
        <f t="shared" si="154"/>
        <v>E.G.</v>
      </c>
      <c r="T357" s="377" t="str">
        <f>IF(O357&lt;&gt;"",_xlfn.XLOOKUP(O357,'3D. Pictures'!B:B,'3D. Pictures'!E:E,"NOT FOUND",0,1),"")</f>
        <v>https://viking-pictures.s3.us-west-1.amazonaws.com/AA1155/A59.+Vent%2C+DASH+-+FRONT+LEFT+(1).JPG</v>
      </c>
      <c r="U357" s="243">
        <v>4</v>
      </c>
      <c r="V357" s="243">
        <v>9252649</v>
      </c>
      <c r="W357" s="243" t="s">
        <v>111</v>
      </c>
      <c r="X357" s="243"/>
      <c r="Y357" s="243"/>
      <c r="Z357" s="243"/>
      <c r="AA357" s="243" t="s">
        <v>446</v>
      </c>
      <c r="AB357" s="243" t="s">
        <v>446</v>
      </c>
      <c r="AC357" s="358" t="str">
        <f t="shared" si="153"/>
        <v/>
      </c>
      <c r="AD357" s="243"/>
      <c r="AE357" s="243"/>
      <c r="AF357" s="179" t="s">
        <v>543</v>
      </c>
      <c r="AG357" s="243"/>
      <c r="AH357" s="16">
        <v>100</v>
      </c>
      <c r="AI357" s="380">
        <f t="shared" si="155"/>
        <v>100</v>
      </c>
      <c r="AJ357" s="246" t="s">
        <v>408</v>
      </c>
      <c r="AK357" s="246" t="s">
        <v>425</v>
      </c>
      <c r="AL357" s="246" t="s">
        <v>2175</v>
      </c>
      <c r="AM357" s="241"/>
      <c r="AN357" s="241"/>
      <c r="AO357" s="241"/>
      <c r="AP357" s="241"/>
      <c r="AQ357" s="241"/>
      <c r="AR357" s="241"/>
      <c r="AS357" s="241" t="s">
        <v>1028</v>
      </c>
      <c r="AT357" s="241" t="s">
        <v>1029</v>
      </c>
      <c r="AU357" s="241" t="s">
        <v>1030</v>
      </c>
      <c r="AV357" s="303" t="str">
        <f t="shared" si="159"/>
        <v>F15-14-18-ALL</v>
      </c>
      <c r="AW357" s="241" t="s">
        <v>2402</v>
      </c>
      <c r="AX357" s="279" t="str">
        <f t="shared" si="160"/>
        <v>F15-14-18-ALL-Viking36</v>
      </c>
    </row>
    <row r="358" spans="1:50" ht="15.75" thickBot="1" x14ac:dyDescent="0.3">
      <c r="A358" s="190" t="str">
        <f t="shared" si="148"/>
        <v>A65</v>
      </c>
      <c r="B358" s="279" t="str">
        <f t="shared" si="147"/>
        <v/>
      </c>
      <c r="C358" s="279"/>
      <c r="D358" s="279"/>
      <c r="E358" s="279" t="str">
        <f t="shared" si="151"/>
        <v/>
      </c>
      <c r="F358" s="241" t="s">
        <v>535</v>
      </c>
      <c r="G358" s="242">
        <v>44684</v>
      </c>
      <c r="H358" s="243"/>
      <c r="I358" s="243"/>
      <c r="J358" s="243" t="s">
        <v>402</v>
      </c>
      <c r="K358" s="243" t="s">
        <v>1059</v>
      </c>
      <c r="L358" s="243" t="s">
        <v>1209</v>
      </c>
      <c r="M358" s="243" t="s">
        <v>559</v>
      </c>
      <c r="N358" s="243">
        <v>55</v>
      </c>
      <c r="O358" s="244" t="s">
        <v>967</v>
      </c>
      <c r="P358" s="244" t="s">
        <v>1204</v>
      </c>
      <c r="Q358" s="231" t="str">
        <f t="shared" si="152"/>
        <v>A65. Vent, DASH - FRONT RIGHT</v>
      </c>
      <c r="R358" s="284" t="str">
        <f>HYPERLINK(VLOOKUP(O358,'3D. Pictures'!$B$3:$E$500,4,FALSE),"PIC")</f>
        <v>PIC</v>
      </c>
      <c r="S358" s="373" t="str">
        <f t="shared" si="154"/>
        <v>E.G.</v>
      </c>
      <c r="T358" s="377" t="str">
        <f>IF(O358&lt;&gt;"",_xlfn.XLOOKUP(O358,'3D. Pictures'!B:B,'3D. Pictures'!E:E,"NOT FOUND",0,1),"")</f>
        <v>https://viking-pictures.s3.us-west-1.amazonaws.com/AA1155/A65.+Vent%2C+DASH+-+FRONT+RIGHT+(1).JPG</v>
      </c>
      <c r="U358" s="243">
        <v>4</v>
      </c>
      <c r="V358" s="243">
        <v>9252650</v>
      </c>
      <c r="W358" s="243" t="s">
        <v>111</v>
      </c>
      <c r="X358" s="243"/>
      <c r="Y358" s="205"/>
      <c r="Z358" s="243"/>
      <c r="AA358" s="243" t="s">
        <v>447</v>
      </c>
      <c r="AB358" s="243" t="s">
        <v>447</v>
      </c>
      <c r="AC358" s="358" t="str">
        <f t="shared" si="153"/>
        <v/>
      </c>
      <c r="AD358" s="243"/>
      <c r="AE358" s="243"/>
      <c r="AF358" s="179" t="s">
        <v>543</v>
      </c>
      <c r="AG358" s="243"/>
      <c r="AH358" s="16">
        <v>90</v>
      </c>
      <c r="AI358" s="380">
        <f t="shared" si="155"/>
        <v>90</v>
      </c>
      <c r="AJ358" s="246" t="s">
        <v>408</v>
      </c>
      <c r="AK358" s="246" t="s">
        <v>425</v>
      </c>
      <c r="AL358" s="246" t="s">
        <v>2175</v>
      </c>
      <c r="AM358" s="241"/>
      <c r="AN358" s="241"/>
      <c r="AO358" s="241"/>
      <c r="AP358" s="241"/>
      <c r="AQ358" s="241"/>
      <c r="AR358" s="241"/>
      <c r="AS358" s="241" t="s">
        <v>1028</v>
      </c>
      <c r="AT358" s="241" t="s">
        <v>1029</v>
      </c>
      <c r="AU358" s="241" t="s">
        <v>1030</v>
      </c>
      <c r="AV358" s="303" t="str">
        <f t="shared" si="159"/>
        <v>F15-14-18-ALL</v>
      </c>
      <c r="AW358" s="241" t="s">
        <v>2403</v>
      </c>
      <c r="AX358" s="279" t="str">
        <f t="shared" si="160"/>
        <v>F15-14-18-ALL-Viking37</v>
      </c>
    </row>
    <row r="359" spans="1:50" x14ac:dyDescent="0.25">
      <c r="A359" s="190" t="str">
        <f t="shared" si="148"/>
        <v/>
      </c>
      <c r="B359" s="279" t="str">
        <f t="shared" si="147"/>
        <v/>
      </c>
      <c r="C359" s="279"/>
      <c r="D359" s="279"/>
      <c r="E359" s="279" t="str">
        <f t="shared" si="151"/>
        <v/>
      </c>
      <c r="F359" t="s">
        <v>535</v>
      </c>
      <c r="G359" s="188">
        <v>44684</v>
      </c>
      <c r="H359" s="16"/>
      <c r="I359" s="16"/>
      <c r="J359" s="16" t="s">
        <v>402</v>
      </c>
      <c r="K359" s="16" t="s">
        <v>1059</v>
      </c>
      <c r="L359" s="16" t="s">
        <v>1209</v>
      </c>
      <c r="M359" s="16" t="s">
        <v>559</v>
      </c>
      <c r="N359" s="16"/>
      <c r="O359" s="166"/>
      <c r="P359" s="166"/>
      <c r="Q359" s="231" t="str">
        <f t="shared" si="152"/>
        <v>. Vent, DASH - REAR CENTER CONSOLE</v>
      </c>
      <c r="R359" s="231"/>
      <c r="S359" s="231" t="str">
        <f t="shared" si="154"/>
        <v/>
      </c>
      <c r="T359" s="231" t="str">
        <f>IF(O359&lt;&gt;"",_xlfn.XLOOKUP(O359,'3D. Pictures'!B:B,'3D. Pictures'!E:E,"NOT FOUND",0,1),"")</f>
        <v/>
      </c>
      <c r="U359" s="16"/>
      <c r="V359" s="16"/>
      <c r="W359" s="16"/>
      <c r="X359" s="16"/>
      <c r="Y359" s="16"/>
      <c r="Z359" s="16"/>
      <c r="AA359" s="16" t="s">
        <v>454</v>
      </c>
      <c r="AB359" s="16" t="s">
        <v>454</v>
      </c>
      <c r="AC359" s="358" t="str">
        <f t="shared" si="153"/>
        <v/>
      </c>
      <c r="AD359" s="16"/>
      <c r="AE359" s="16"/>
      <c r="AF359" s="168" t="s">
        <v>543</v>
      </c>
      <c r="AG359" s="16"/>
      <c r="AH359" s="16">
        <v>80</v>
      </c>
      <c r="AI359" s="380">
        <f t="shared" si="155"/>
        <v>80</v>
      </c>
      <c r="AJ359" s="3" t="s">
        <v>408</v>
      </c>
      <c r="AK359" s="3" t="s">
        <v>425</v>
      </c>
      <c r="AL359" s="3" t="s">
        <v>2175</v>
      </c>
      <c r="AN359"/>
      <c r="AX359" s="279" t="str">
        <f t="shared" si="160"/>
        <v/>
      </c>
    </row>
    <row r="360" spans="1:50" x14ac:dyDescent="0.25">
      <c r="A360" s="190" t="str">
        <f t="shared" si="148"/>
        <v/>
      </c>
      <c r="B360" s="279" t="str">
        <f t="shared" si="147"/>
        <v>268-11967</v>
      </c>
      <c r="C360" s="279"/>
      <c r="D360" s="279"/>
      <c r="E360" s="279">
        <f t="shared" si="151"/>
        <v>1</v>
      </c>
      <c r="F360" s="190" t="s">
        <v>535</v>
      </c>
      <c r="G360" s="198">
        <v>44670</v>
      </c>
      <c r="H360" s="199"/>
      <c r="I360" s="200" t="s">
        <v>7</v>
      </c>
      <c r="J360" s="201" t="s">
        <v>402</v>
      </c>
      <c r="K360" s="201" t="s">
        <v>1059</v>
      </c>
      <c r="L360" s="201" t="s">
        <v>824</v>
      </c>
      <c r="M360" s="200" t="s">
        <v>558</v>
      </c>
      <c r="N360" s="200"/>
      <c r="O360" s="230"/>
      <c r="P360" s="230"/>
      <c r="Q360" s="231" t="str">
        <f t="shared" si="152"/>
        <v>. Visors SET 2 WITH Visor Clips if Good (toss all if 1 visor bad)</v>
      </c>
      <c r="R360" s="231"/>
      <c r="S360" s="231" t="str">
        <f t="shared" si="154"/>
        <v/>
      </c>
      <c r="T360" s="231" t="str">
        <f>IF(O360&lt;&gt;"",_xlfn.XLOOKUP(O360,'3D. Pictures'!B:B,'3D. Pictures'!E:E,"NOT FOUND",0,1),"")</f>
        <v/>
      </c>
      <c r="U360" s="200"/>
      <c r="V360" s="201"/>
      <c r="W360" s="200"/>
      <c r="X360" s="201"/>
      <c r="Y360" s="201"/>
      <c r="Z360" s="192" t="s">
        <v>2077</v>
      </c>
      <c r="AA360" s="201" t="s">
        <v>824</v>
      </c>
      <c r="AB360" s="201" t="s">
        <v>2499</v>
      </c>
      <c r="AC360" s="247" t="str">
        <f t="shared" si="153"/>
        <v>SET2 WITH Visor Clips if Good (toss all if 1 visor bad)</v>
      </c>
      <c r="AD360" s="201" t="s">
        <v>1201</v>
      </c>
      <c r="AE360" s="201"/>
      <c r="AF360" s="201" t="s">
        <v>544</v>
      </c>
      <c r="AG360" s="201" t="s">
        <v>443</v>
      </c>
      <c r="AH360" s="168">
        <v>115</v>
      </c>
      <c r="AI360" s="380">
        <f t="shared" si="155"/>
        <v>115</v>
      </c>
      <c r="AJ360" s="204" t="s">
        <v>408</v>
      </c>
      <c r="AK360" s="204" t="s">
        <v>425</v>
      </c>
      <c r="AL360" s="204" t="s">
        <v>2175</v>
      </c>
      <c r="AM360" s="190"/>
      <c r="AN360" s="191" t="s">
        <v>633</v>
      </c>
      <c r="AO360" s="190" t="s">
        <v>572</v>
      </c>
      <c r="AP360" s="190">
        <v>11967</v>
      </c>
      <c r="AQ360" s="190" t="str">
        <f>CONCATENATE(AN360,AO360,AP360)</f>
        <v>268-11967</v>
      </c>
      <c r="AR360" s="190"/>
      <c r="AS360" s="190"/>
      <c r="AT360" s="190"/>
      <c r="AU360" s="190"/>
      <c r="AV360" s="190"/>
      <c r="AW360" s="190"/>
      <c r="AX360" s="279" t="str">
        <f t="shared" si="160"/>
        <v/>
      </c>
    </row>
    <row r="361" spans="1:50" x14ac:dyDescent="0.25">
      <c r="A361" s="190" t="str">
        <f t="shared" si="148"/>
        <v/>
      </c>
      <c r="B361" s="279" t="str">
        <f t="shared" si="147"/>
        <v/>
      </c>
      <c r="C361" s="279"/>
      <c r="D361" s="279"/>
      <c r="E361" s="279" t="str">
        <f t="shared" si="151"/>
        <v/>
      </c>
      <c r="F361" t="s">
        <v>535</v>
      </c>
      <c r="G361" s="188">
        <v>44683</v>
      </c>
      <c r="H361" s="10"/>
      <c r="I361" s="10"/>
      <c r="J361" s="10" t="s">
        <v>405</v>
      </c>
      <c r="K361" s="10" t="s">
        <v>1059</v>
      </c>
      <c r="L361" s="10" t="s">
        <v>2692</v>
      </c>
      <c r="M361" s="16" t="s">
        <v>559</v>
      </c>
      <c r="N361" s="16"/>
      <c r="O361" s="166"/>
      <c r="P361" s="166"/>
      <c r="Q361" s="231" t="str">
        <f t="shared" si="152"/>
        <v>. A/C HVAC Blend Door Flap Motors &amp; Harness</v>
      </c>
      <c r="R361" s="231"/>
      <c r="S361" s="231" t="str">
        <f t="shared" si="154"/>
        <v/>
      </c>
      <c r="T361" s="231" t="str">
        <f>IF(O361&lt;&gt;"",_xlfn.XLOOKUP(O361,'3D. Pictures'!B:B,'3D. Pictures'!E:E,"NOT FOUND",0,1),"")</f>
        <v/>
      </c>
      <c r="U361" s="16"/>
      <c r="V361" s="16"/>
      <c r="W361" s="16"/>
      <c r="X361" s="16"/>
      <c r="Y361" s="201"/>
      <c r="Z361" s="16"/>
      <c r="AA361" s="10" t="s">
        <v>2589</v>
      </c>
      <c r="AB361" s="10" t="s">
        <v>2589</v>
      </c>
      <c r="AC361" s="359" t="str">
        <f t="shared" si="153"/>
        <v>TOSS ALL</v>
      </c>
      <c r="AD361" s="10" t="s">
        <v>2575</v>
      </c>
      <c r="AE361" s="10"/>
      <c r="AF361" s="168" t="s">
        <v>543</v>
      </c>
      <c r="AG361" s="10"/>
      <c r="AH361" s="10"/>
      <c r="AI361" s="380" t="str">
        <f t="shared" si="155"/>
        <v/>
      </c>
      <c r="AJ361" s="3" t="s">
        <v>408</v>
      </c>
      <c r="AK361" s="3" t="s">
        <v>425</v>
      </c>
      <c r="AL361" s="3" t="s">
        <v>2175</v>
      </c>
      <c r="AN361"/>
      <c r="AX361" s="279" t="str">
        <f t="shared" si="160"/>
        <v/>
      </c>
    </row>
    <row r="362" spans="1:50" x14ac:dyDescent="0.25">
      <c r="A362" s="190" t="str">
        <f t="shared" si="148"/>
        <v/>
      </c>
      <c r="B362" s="279" t="str">
        <f t="shared" si="147"/>
        <v/>
      </c>
      <c r="C362" s="279"/>
      <c r="D362" s="279"/>
      <c r="E362" s="279" t="str">
        <f t="shared" si="151"/>
        <v/>
      </c>
      <c r="F362" t="s">
        <v>535</v>
      </c>
      <c r="G362" s="188">
        <v>44684</v>
      </c>
      <c r="H362" s="10"/>
      <c r="I362" s="10"/>
      <c r="J362" s="10" t="s">
        <v>405</v>
      </c>
      <c r="K362" s="10" t="s">
        <v>1059</v>
      </c>
      <c r="L362" s="10" t="s">
        <v>692</v>
      </c>
      <c r="M362" s="18" t="s">
        <v>562</v>
      </c>
      <c r="N362" s="18"/>
      <c r="O362" s="235"/>
      <c r="P362" s="235"/>
      <c r="Q362" s="231" t="str">
        <f t="shared" si="152"/>
        <v>. Blower Motor Assembly, REAR &amp; CENTER CONSOLE</v>
      </c>
      <c r="R362" s="231"/>
      <c r="S362" s="231" t="str">
        <f t="shared" si="154"/>
        <v/>
      </c>
      <c r="T362" s="231" t="str">
        <f>IF(O362&lt;&gt;"",_xlfn.XLOOKUP(O362,'3D. Pictures'!B:B,'3D. Pictures'!E:E,"NOT FOUND",0,1),"")</f>
        <v/>
      </c>
      <c r="U362" s="18"/>
      <c r="V362" s="16"/>
      <c r="W362" s="18"/>
      <c r="X362" s="16"/>
      <c r="Y362" s="201"/>
      <c r="Z362" s="16"/>
      <c r="AA362" s="10" t="s">
        <v>2720</v>
      </c>
      <c r="AB362" s="10" t="s">
        <v>2720</v>
      </c>
      <c r="AC362" s="359" t="str">
        <f t="shared" si="153"/>
        <v>TOSS BOTH including resistors (KEEP front blower)</v>
      </c>
      <c r="AD362" s="10" t="s">
        <v>2721</v>
      </c>
      <c r="AE362" s="10"/>
      <c r="AF362" s="168" t="s">
        <v>543</v>
      </c>
      <c r="AG362" s="16"/>
      <c r="AH362" s="10"/>
      <c r="AI362" s="380" t="str">
        <f t="shared" si="155"/>
        <v/>
      </c>
      <c r="AJ362" s="3" t="s">
        <v>408</v>
      </c>
      <c r="AK362" s="3" t="s">
        <v>425</v>
      </c>
      <c r="AL362" s="3" t="s">
        <v>2175</v>
      </c>
      <c r="AN362"/>
      <c r="AO362" t="s">
        <v>572</v>
      </c>
      <c r="AX362" s="279" t="str">
        <f t="shared" si="160"/>
        <v/>
      </c>
    </row>
    <row r="363" spans="1:50" x14ac:dyDescent="0.25">
      <c r="A363" s="190" t="str">
        <f t="shared" si="148"/>
        <v/>
      </c>
      <c r="B363" s="279" t="str">
        <f t="shared" si="147"/>
        <v/>
      </c>
      <c r="C363" s="279"/>
      <c r="D363" s="279"/>
      <c r="E363" s="279" t="str">
        <f t="shared" si="151"/>
        <v/>
      </c>
      <c r="F363" t="s">
        <v>535</v>
      </c>
      <c r="G363" s="188">
        <v>44683</v>
      </c>
      <c r="H363" s="10"/>
      <c r="I363" s="10"/>
      <c r="J363" s="10" t="s">
        <v>405</v>
      </c>
      <c r="K363" s="10" t="s">
        <v>1059</v>
      </c>
      <c r="L363" s="10" t="s">
        <v>2698</v>
      </c>
      <c r="M363" s="16" t="s">
        <v>559</v>
      </c>
      <c r="N363" s="16"/>
      <c r="O363" s="166"/>
      <c r="P363" s="166"/>
      <c r="Q363" s="231" t="str">
        <f t="shared" si="152"/>
        <v>. Dome Lights, ALL EXCEPT front primary one</v>
      </c>
      <c r="R363" s="231"/>
      <c r="S363" s="231" t="str">
        <f t="shared" si="154"/>
        <v/>
      </c>
      <c r="T363" s="231" t="str">
        <f>IF(O363&lt;&gt;"",_xlfn.XLOOKUP(O363,'3D. Pictures'!B:B,'3D. Pictures'!E:E,"NOT FOUND",0,1),"")</f>
        <v/>
      </c>
      <c r="U363" s="16"/>
      <c r="V363" s="16"/>
      <c r="W363" s="16"/>
      <c r="X363" s="16"/>
      <c r="Y363" s="201"/>
      <c r="Z363" s="16"/>
      <c r="AA363" s="10" t="s">
        <v>2587</v>
      </c>
      <c r="AB363" s="10" t="s">
        <v>2587</v>
      </c>
      <c r="AC363" s="359" t="str">
        <f t="shared" si="153"/>
        <v>keep primary front center roof, toss all others</v>
      </c>
      <c r="AD363" s="10" t="s">
        <v>2588</v>
      </c>
      <c r="AE363" s="10"/>
      <c r="AF363" s="168" t="s">
        <v>543</v>
      </c>
      <c r="AG363" s="10"/>
      <c r="AH363" s="10"/>
      <c r="AI363" s="380" t="str">
        <f t="shared" si="155"/>
        <v/>
      </c>
      <c r="AJ363" s="3" t="s">
        <v>408</v>
      </c>
      <c r="AK363" s="3" t="s">
        <v>425</v>
      </c>
      <c r="AL363" s="3" t="s">
        <v>2175</v>
      </c>
      <c r="AN363"/>
      <c r="AX363" s="279" t="str">
        <f t="shared" si="160"/>
        <v/>
      </c>
    </row>
    <row r="364" spans="1:50" x14ac:dyDescent="0.25">
      <c r="A364" s="190" t="str">
        <f t="shared" si="148"/>
        <v/>
      </c>
      <c r="B364" s="279" t="str">
        <f t="shared" si="147"/>
        <v/>
      </c>
      <c r="C364" s="279"/>
      <c r="D364" s="279"/>
      <c r="E364" s="279" t="str">
        <f t="shared" si="151"/>
        <v/>
      </c>
      <c r="F364" t="s">
        <v>535</v>
      </c>
      <c r="G364" s="188">
        <v>44684</v>
      </c>
      <c r="H364" s="10"/>
      <c r="I364" s="10"/>
      <c r="J364" s="10" t="s">
        <v>405</v>
      </c>
      <c r="K364" s="15" t="s">
        <v>1059</v>
      </c>
      <c r="L364" s="10" t="s">
        <v>1292</v>
      </c>
      <c r="M364" s="16" t="s">
        <v>559</v>
      </c>
      <c r="N364" s="16"/>
      <c r="O364" s="166"/>
      <c r="P364" s="166"/>
      <c r="Q364" s="231" t="str">
        <f t="shared" si="152"/>
        <v>. Glove Box, LEFT FRONT DASH smaller one</v>
      </c>
      <c r="R364" s="231"/>
      <c r="S364" s="231" t="str">
        <f t="shared" si="154"/>
        <v/>
      </c>
      <c r="T364" s="231" t="str">
        <f>IF(O364&lt;&gt;"",_xlfn.XLOOKUP(O364,'3D. Pictures'!B:B,'3D. Pictures'!E:E,"NOT FOUND",0,1),"")</f>
        <v/>
      </c>
      <c r="U364" s="16"/>
      <c r="V364" s="16"/>
      <c r="W364" s="16"/>
      <c r="X364" s="16"/>
      <c r="Y364" s="201"/>
      <c r="Z364" s="16"/>
      <c r="AA364" s="10" t="s">
        <v>2585</v>
      </c>
      <c r="AB364" s="10" t="s">
        <v>2585</v>
      </c>
      <c r="AC364" s="359" t="str">
        <f t="shared" si="153"/>
        <v>DO KEEP the primary RF dash one</v>
      </c>
      <c r="AD364" s="10"/>
      <c r="AE364" s="10" t="s">
        <v>2586</v>
      </c>
      <c r="AF364" s="168" t="s">
        <v>543</v>
      </c>
      <c r="AG364" s="10"/>
      <c r="AH364" s="10"/>
      <c r="AI364" s="380" t="str">
        <f t="shared" si="155"/>
        <v/>
      </c>
      <c r="AJ364" s="3" t="s">
        <v>408</v>
      </c>
      <c r="AK364" s="3" t="s">
        <v>425</v>
      </c>
      <c r="AL364" s="3" t="s">
        <v>2175</v>
      </c>
      <c r="AN364"/>
      <c r="AX364" s="279" t="str">
        <f t="shared" si="160"/>
        <v/>
      </c>
    </row>
    <row r="365" spans="1:50" x14ac:dyDescent="0.25">
      <c r="A365" s="190" t="str">
        <f t="shared" si="148"/>
        <v/>
      </c>
      <c r="B365" s="279" t="str">
        <f t="shared" si="147"/>
        <v/>
      </c>
      <c r="C365" s="279"/>
      <c r="D365" s="279"/>
      <c r="E365" s="279" t="str">
        <f t="shared" si="151"/>
        <v/>
      </c>
      <c r="F365" t="s">
        <v>535</v>
      </c>
      <c r="G365" s="188">
        <v>44683</v>
      </c>
      <c r="H365" s="10"/>
      <c r="I365" s="10"/>
      <c r="J365" s="10" t="s">
        <v>405</v>
      </c>
      <c r="K365" s="10" t="s">
        <v>1059</v>
      </c>
      <c r="L365" s="10" t="s">
        <v>2693</v>
      </c>
      <c r="M365" s="16" t="s">
        <v>559</v>
      </c>
      <c r="N365" s="16"/>
      <c r="O365" s="166"/>
      <c r="P365" s="166"/>
      <c r="Q365" s="231" t="str">
        <f t="shared" si="152"/>
        <v>. Grab Handles / Oh Shit Bars</v>
      </c>
      <c r="R365" s="231"/>
      <c r="S365" s="231" t="str">
        <f t="shared" si="154"/>
        <v/>
      </c>
      <c r="T365" s="231" t="str">
        <f>IF(O365&lt;&gt;"",_xlfn.XLOOKUP(O365,'3D. Pictures'!B:B,'3D. Pictures'!E:E,"NOT FOUND",0,1),"")</f>
        <v/>
      </c>
      <c r="U365" s="16"/>
      <c r="V365" s="16"/>
      <c r="W365" s="16"/>
      <c r="X365" s="16"/>
      <c r="Y365" s="168"/>
      <c r="Z365" s="16"/>
      <c r="AA365" s="10" t="s">
        <v>2584</v>
      </c>
      <c r="AB365" s="10" t="s">
        <v>2584</v>
      </c>
      <c r="AC365" s="359" t="str">
        <f t="shared" si="153"/>
        <v>TOSS ALL</v>
      </c>
      <c r="AD365" s="10" t="s">
        <v>2575</v>
      </c>
      <c r="AE365" s="10"/>
      <c r="AF365" s="168" t="s">
        <v>543</v>
      </c>
      <c r="AG365" s="10"/>
      <c r="AH365" s="10"/>
      <c r="AI365" s="380" t="str">
        <f t="shared" si="155"/>
        <v/>
      </c>
      <c r="AJ365" s="3" t="s">
        <v>408</v>
      </c>
      <c r="AK365" s="3" t="s">
        <v>425</v>
      </c>
      <c r="AL365" s="3" t="s">
        <v>2175</v>
      </c>
      <c r="AN365" s="176"/>
      <c r="AO365" s="176"/>
      <c r="AP365" s="176"/>
      <c r="AQ365" s="176"/>
      <c r="AR365" s="176"/>
      <c r="AS365" s="176"/>
      <c r="AT365" s="176"/>
      <c r="AU365" s="176"/>
      <c r="AV365" s="176"/>
      <c r="AW365" s="176"/>
      <c r="AX365" s="279" t="str">
        <f t="shared" si="160"/>
        <v/>
      </c>
    </row>
    <row r="366" spans="1:50" x14ac:dyDescent="0.25">
      <c r="A366" s="190" t="str">
        <f t="shared" si="148"/>
        <v/>
      </c>
      <c r="B366" s="279" t="str">
        <f t="shared" si="147"/>
        <v/>
      </c>
      <c r="C366" s="279"/>
      <c r="D366" s="279"/>
      <c r="E366" s="279" t="str">
        <f t="shared" si="151"/>
        <v/>
      </c>
      <c r="F366" t="s">
        <v>535</v>
      </c>
      <c r="G366" s="188">
        <v>44683</v>
      </c>
      <c r="H366" s="10"/>
      <c r="I366" s="10"/>
      <c r="J366" s="10" t="s">
        <v>405</v>
      </c>
      <c r="K366" s="10" t="s">
        <v>1059</v>
      </c>
      <c r="L366" s="10" t="s">
        <v>2694</v>
      </c>
      <c r="M366" s="16" t="s">
        <v>559</v>
      </c>
      <c r="N366" s="16"/>
      <c r="O366" s="166"/>
      <c r="P366" s="166"/>
      <c r="Q366" s="231" t="str">
        <f t="shared" si="152"/>
        <v>. Microphone, Hands Free Roof Mounted Mics</v>
      </c>
      <c r="R366" s="231"/>
      <c r="S366" s="231" t="str">
        <f t="shared" si="154"/>
        <v/>
      </c>
      <c r="T366" s="231" t="str">
        <f>IF(O366&lt;&gt;"",_xlfn.XLOOKUP(O366,'3D. Pictures'!B:B,'3D. Pictures'!E:E,"NOT FOUND",0,1),"")</f>
        <v/>
      </c>
      <c r="U366" s="16"/>
      <c r="V366" s="16"/>
      <c r="W366" s="16"/>
      <c r="X366" s="16"/>
      <c r="Y366" s="16"/>
      <c r="Z366" s="16"/>
      <c r="AA366" s="10" t="s">
        <v>2583</v>
      </c>
      <c r="AB366" s="10" t="s">
        <v>2583</v>
      </c>
      <c r="AC366" s="359" t="str">
        <f t="shared" si="153"/>
        <v>TOSS ALL</v>
      </c>
      <c r="AD366" s="10" t="s">
        <v>2575</v>
      </c>
      <c r="AE366" s="10"/>
      <c r="AF366" s="168" t="s">
        <v>543</v>
      </c>
      <c r="AG366" s="10"/>
      <c r="AH366" s="10"/>
      <c r="AI366" s="380" t="str">
        <f t="shared" si="155"/>
        <v/>
      </c>
      <c r="AJ366" s="3" t="s">
        <v>408</v>
      </c>
      <c r="AK366" s="3" t="s">
        <v>425</v>
      </c>
      <c r="AL366" s="3" t="s">
        <v>2175</v>
      </c>
      <c r="AN366"/>
      <c r="AX366" s="279" t="str">
        <f t="shared" si="160"/>
        <v/>
      </c>
    </row>
    <row r="367" spans="1:50" x14ac:dyDescent="0.25">
      <c r="A367" s="190" t="str">
        <f t="shared" si="148"/>
        <v/>
      </c>
      <c r="B367" s="279" t="str">
        <f t="shared" si="147"/>
        <v/>
      </c>
      <c r="C367" s="279"/>
      <c r="D367" s="279"/>
      <c r="E367" s="279" t="str">
        <f t="shared" si="151"/>
        <v/>
      </c>
      <c r="F367" t="s">
        <v>535</v>
      </c>
      <c r="G367" s="188">
        <v>44683</v>
      </c>
      <c r="H367" s="10"/>
      <c r="I367" s="10"/>
      <c r="J367" s="10" t="s">
        <v>405</v>
      </c>
      <c r="K367" s="10" t="s">
        <v>1059</v>
      </c>
      <c r="L367" s="10" t="s">
        <v>2695</v>
      </c>
      <c r="M367" s="16" t="s">
        <v>559</v>
      </c>
      <c r="N367" s="16"/>
      <c r="O367" s="166"/>
      <c r="P367" s="166"/>
      <c r="Q367" s="231" t="str">
        <f t="shared" si="152"/>
        <v>. Pedal, Gas Pedal</v>
      </c>
      <c r="R367" s="231"/>
      <c r="S367" s="231" t="str">
        <f t="shared" si="154"/>
        <v/>
      </c>
      <c r="T367" s="231" t="str">
        <f>IF(O367&lt;&gt;"",_xlfn.XLOOKUP(O367,'3D. Pictures'!B:B,'3D. Pictures'!E:E,"NOT FOUND",0,1),"")</f>
        <v/>
      </c>
      <c r="U367" s="16"/>
      <c r="V367" s="16"/>
      <c r="W367" s="16"/>
      <c r="X367" s="16"/>
      <c r="Y367" s="201"/>
      <c r="Z367" s="16"/>
      <c r="AA367" s="10" t="s">
        <v>441</v>
      </c>
      <c r="AB367" s="10" t="s">
        <v>441</v>
      </c>
      <c r="AC367" s="359" t="str">
        <f t="shared" si="153"/>
        <v/>
      </c>
      <c r="AD367" s="10"/>
      <c r="AE367" s="10"/>
      <c r="AF367" s="168" t="s">
        <v>543</v>
      </c>
      <c r="AG367" s="10"/>
      <c r="AH367" s="10"/>
      <c r="AI367" s="380" t="str">
        <f t="shared" si="155"/>
        <v/>
      </c>
      <c r="AJ367" s="3" t="s">
        <v>408</v>
      </c>
      <c r="AK367" s="3" t="s">
        <v>425</v>
      </c>
      <c r="AL367" s="3" t="s">
        <v>2175</v>
      </c>
      <c r="AN367"/>
      <c r="AX367" s="279" t="str">
        <f t="shared" si="160"/>
        <v/>
      </c>
    </row>
    <row r="368" spans="1:50" x14ac:dyDescent="0.25">
      <c r="A368" s="190" t="str">
        <f t="shared" si="148"/>
        <v/>
      </c>
      <c r="B368" s="279" t="str">
        <f t="shared" si="147"/>
        <v/>
      </c>
      <c r="C368" s="279"/>
      <c r="D368" s="279"/>
      <c r="E368" s="279" t="str">
        <f t="shared" si="151"/>
        <v/>
      </c>
      <c r="F368" t="s">
        <v>535</v>
      </c>
      <c r="G368" s="188">
        <v>44684</v>
      </c>
      <c r="H368" s="10"/>
      <c r="I368" s="10"/>
      <c r="J368" s="10" t="s">
        <v>405</v>
      </c>
      <c r="K368" s="15" t="s">
        <v>1059</v>
      </c>
      <c r="L368" s="10" t="s">
        <v>2688</v>
      </c>
      <c r="M368" s="16" t="s">
        <v>559</v>
      </c>
      <c r="N368" s="16"/>
      <c r="O368" s="166"/>
      <c r="P368" s="166"/>
      <c r="Q368" s="231" t="str">
        <f t="shared" si="152"/>
        <v>. REAR CENTER CONSOLE Storage Tray, Trim Panel &amp; 12v Sockets</v>
      </c>
      <c r="R368" s="231"/>
      <c r="S368" s="231" t="str">
        <f t="shared" si="154"/>
        <v/>
      </c>
      <c r="T368" s="231" t="str">
        <f>IF(O368&lt;&gt;"",_xlfn.XLOOKUP(O368,'3D. Pictures'!B:B,'3D. Pictures'!E:E,"NOT FOUND",0,1),"")</f>
        <v/>
      </c>
      <c r="U368" s="16"/>
      <c r="V368" s="16"/>
      <c r="W368" s="16"/>
      <c r="X368" s="16"/>
      <c r="Y368" s="201"/>
      <c r="Z368" s="16"/>
      <c r="AA368" s="10" t="s">
        <v>2581</v>
      </c>
      <c r="AB368" s="10" t="s">
        <v>2581</v>
      </c>
      <c r="AC368" s="359" t="str">
        <f t="shared" si="153"/>
        <v>TOSS, but DO KEEP vent &amp; climate control</v>
      </c>
      <c r="AD368" s="10" t="s">
        <v>2582</v>
      </c>
      <c r="AE368" s="10"/>
      <c r="AF368" s="168" t="s">
        <v>543</v>
      </c>
      <c r="AG368" s="10"/>
      <c r="AH368" s="10"/>
      <c r="AI368" s="380" t="str">
        <f t="shared" si="155"/>
        <v/>
      </c>
      <c r="AJ368" s="3" t="s">
        <v>408</v>
      </c>
      <c r="AK368" s="3" t="s">
        <v>425</v>
      </c>
      <c r="AL368" s="3" t="s">
        <v>2175</v>
      </c>
      <c r="AN368"/>
      <c r="AX368" s="279" t="str">
        <f t="shared" si="160"/>
        <v/>
      </c>
    </row>
    <row r="369" spans="1:50" x14ac:dyDescent="0.25">
      <c r="A369" s="190" t="str">
        <f t="shared" si="148"/>
        <v/>
      </c>
      <c r="B369" s="279" t="str">
        <f t="shared" si="147"/>
        <v/>
      </c>
      <c r="C369" s="279"/>
      <c r="D369" s="279"/>
      <c r="E369" s="279" t="str">
        <f t="shared" si="151"/>
        <v/>
      </c>
      <c r="F369" t="s">
        <v>535</v>
      </c>
      <c r="G369" s="188">
        <v>44684</v>
      </c>
      <c r="H369" s="10"/>
      <c r="I369" s="10"/>
      <c r="J369" s="10" t="s">
        <v>405</v>
      </c>
      <c r="K369" s="15" t="s">
        <v>1059</v>
      </c>
      <c r="L369" s="10" t="s">
        <v>2580</v>
      </c>
      <c r="M369" s="16" t="s">
        <v>559</v>
      </c>
      <c r="N369" s="16"/>
      <c r="O369" s="166"/>
      <c r="P369" s="166"/>
      <c r="Q369" s="231" t="str">
        <f t="shared" si="152"/>
        <v>. Speaker Grilles</v>
      </c>
      <c r="R369" s="231"/>
      <c r="S369" s="231" t="str">
        <f t="shared" si="154"/>
        <v/>
      </c>
      <c r="T369" s="231" t="str">
        <f>IF(O369&lt;&gt;"",_xlfn.XLOOKUP(O369,'3D. Pictures'!B:B,'3D. Pictures'!E:E,"NOT FOUND",0,1),"")</f>
        <v/>
      </c>
      <c r="U369" s="16"/>
      <c r="V369" s="16"/>
      <c r="W369" s="16"/>
      <c r="X369" s="16"/>
      <c r="Y369" s="226"/>
      <c r="Z369" s="16"/>
      <c r="AA369" s="10" t="s">
        <v>2580</v>
      </c>
      <c r="AB369" s="10" t="s">
        <v>2580</v>
      </c>
      <c r="AC369" s="359" t="str">
        <f t="shared" si="153"/>
        <v>TOSS ALL</v>
      </c>
      <c r="AD369" s="10" t="s">
        <v>2575</v>
      </c>
      <c r="AE369" s="10"/>
      <c r="AF369" s="168" t="s">
        <v>543</v>
      </c>
      <c r="AG369" s="10"/>
      <c r="AH369" s="10"/>
      <c r="AI369" s="380" t="str">
        <f t="shared" si="155"/>
        <v/>
      </c>
      <c r="AJ369" s="3" t="s">
        <v>408</v>
      </c>
      <c r="AK369" s="3" t="s">
        <v>425</v>
      </c>
      <c r="AL369" s="3" t="s">
        <v>2175</v>
      </c>
      <c r="AN369"/>
      <c r="AX369" s="279" t="str">
        <f t="shared" si="160"/>
        <v/>
      </c>
    </row>
    <row r="370" spans="1:50" x14ac:dyDescent="0.25">
      <c r="A370" s="190" t="str">
        <f t="shared" si="148"/>
        <v/>
      </c>
      <c r="B370" s="279" t="str">
        <f t="shared" si="147"/>
        <v/>
      </c>
      <c r="C370" s="279"/>
      <c r="D370" s="279"/>
      <c r="E370" s="279" t="str">
        <f t="shared" si="151"/>
        <v/>
      </c>
      <c r="F370" t="s">
        <v>535</v>
      </c>
      <c r="G370" s="188">
        <v>44684</v>
      </c>
      <c r="H370" s="10"/>
      <c r="I370" s="10"/>
      <c r="J370" s="10" t="s">
        <v>405</v>
      </c>
      <c r="K370" s="15" t="s">
        <v>1059</v>
      </c>
      <c r="L370" s="10" t="s">
        <v>2697</v>
      </c>
      <c r="M370" s="16" t="s">
        <v>559</v>
      </c>
      <c r="N370" s="16"/>
      <c r="O370" s="166"/>
      <c r="P370" s="166"/>
      <c r="Q370" s="231" t="str">
        <f t="shared" si="152"/>
        <v>. Speedometer Instrument Gauge Cluster Trim</v>
      </c>
      <c r="R370" s="231"/>
      <c r="S370" s="231" t="str">
        <f t="shared" si="154"/>
        <v/>
      </c>
      <c r="T370" s="231" t="str">
        <f>IF(O370&lt;&gt;"",_xlfn.XLOOKUP(O370,'3D. Pictures'!B:B,'3D. Pictures'!E:E,"NOT FOUND",0,1),"")</f>
        <v/>
      </c>
      <c r="U370" s="16"/>
      <c r="V370" s="16"/>
      <c r="W370" s="16"/>
      <c r="X370" s="16"/>
      <c r="Y370" s="226"/>
      <c r="Z370" s="16"/>
      <c r="AA370" s="10" t="s">
        <v>2579</v>
      </c>
      <c r="AB370" s="10" t="s">
        <v>2579</v>
      </c>
      <c r="AC370" s="359" t="str">
        <f t="shared" si="153"/>
        <v>big plastic piece</v>
      </c>
      <c r="AD370" s="10"/>
      <c r="AE370" s="10" t="s">
        <v>2576</v>
      </c>
      <c r="AF370" s="168" t="s">
        <v>543</v>
      </c>
      <c r="AG370" s="10"/>
      <c r="AH370" s="10"/>
      <c r="AI370" s="380" t="str">
        <f t="shared" si="155"/>
        <v/>
      </c>
      <c r="AJ370" s="3" t="s">
        <v>408</v>
      </c>
      <c r="AK370" s="3" t="s">
        <v>425</v>
      </c>
      <c r="AL370" s="3" t="s">
        <v>2175</v>
      </c>
      <c r="AN370"/>
      <c r="AX370" s="279" t="str">
        <f t="shared" si="160"/>
        <v/>
      </c>
    </row>
    <row r="371" spans="1:50" ht="15.75" thickBot="1" x14ac:dyDescent="0.3">
      <c r="A371" s="190" t="str">
        <f t="shared" si="148"/>
        <v/>
      </c>
      <c r="B371" s="279" t="str">
        <f t="shared" si="147"/>
        <v/>
      </c>
      <c r="C371" s="279"/>
      <c r="D371" s="279"/>
      <c r="E371" s="279" t="str">
        <f t="shared" si="151"/>
        <v/>
      </c>
      <c r="F371" t="s">
        <v>535</v>
      </c>
      <c r="G371" s="188">
        <v>44683</v>
      </c>
      <c r="H371" s="10"/>
      <c r="I371" s="10"/>
      <c r="J371" s="10" t="s">
        <v>405</v>
      </c>
      <c r="K371" s="15" t="s">
        <v>1059</v>
      </c>
      <c r="L371" s="10" t="s">
        <v>2696</v>
      </c>
      <c r="M371" s="16" t="s">
        <v>559</v>
      </c>
      <c r="N371" s="16"/>
      <c r="O371" s="166"/>
      <c r="P371" s="166"/>
      <c r="Q371" s="231" t="str">
        <f t="shared" si="152"/>
        <v>. Steering Column Assembly &amp; Adjust Motors</v>
      </c>
      <c r="R371" s="231"/>
      <c r="S371" s="231" t="str">
        <f t="shared" si="154"/>
        <v/>
      </c>
      <c r="T371" s="231" t="str">
        <f>IF(O371&lt;&gt;"",_xlfn.XLOOKUP(O371,'3D. Pictures'!B:B,'3D. Pictures'!E:E,"NOT FOUND",0,1),"")</f>
        <v/>
      </c>
      <c r="U371" s="16"/>
      <c r="V371" s="16"/>
      <c r="W371" s="16"/>
      <c r="X371" s="16"/>
      <c r="Y371" s="201"/>
      <c r="Z371" s="16"/>
      <c r="AA371" s="10" t="s">
        <v>2578</v>
      </c>
      <c r="AB371" s="10" t="s">
        <v>2578</v>
      </c>
      <c r="AC371" s="359" t="str">
        <f t="shared" si="153"/>
        <v>TOSS ALL | big primary one</v>
      </c>
      <c r="AD371" s="10" t="s">
        <v>2575</v>
      </c>
      <c r="AE371" s="10" t="s">
        <v>2577</v>
      </c>
      <c r="AF371" s="168" t="s">
        <v>543</v>
      </c>
      <c r="AG371" s="10"/>
      <c r="AH371" s="10"/>
      <c r="AI371" s="380" t="str">
        <f t="shared" si="155"/>
        <v/>
      </c>
      <c r="AJ371" s="3" t="s">
        <v>408</v>
      </c>
      <c r="AK371" s="3" t="s">
        <v>425</v>
      </c>
      <c r="AL371" s="3" t="s">
        <v>2175</v>
      </c>
      <c r="AN371"/>
      <c r="AX371" s="279" t="str">
        <f t="shared" si="160"/>
        <v/>
      </c>
    </row>
    <row r="372" spans="1:50" ht="15.75" thickBot="1" x14ac:dyDescent="0.3">
      <c r="A372" s="190" t="str">
        <f t="shared" si="148"/>
        <v>A56</v>
      </c>
      <c r="B372" s="279" t="str">
        <f t="shared" si="147"/>
        <v/>
      </c>
      <c r="C372" s="279"/>
      <c r="D372" s="279"/>
      <c r="E372" s="279" t="str">
        <f t="shared" si="151"/>
        <v/>
      </c>
      <c r="F372" s="241" t="s">
        <v>535</v>
      </c>
      <c r="G372" s="242">
        <v>45218</v>
      </c>
      <c r="H372" s="243"/>
      <c r="I372" s="243"/>
      <c r="J372" s="243" t="s">
        <v>402</v>
      </c>
      <c r="K372" s="244" t="s">
        <v>1059</v>
      </c>
      <c r="L372" s="243" t="s">
        <v>1210</v>
      </c>
      <c r="M372" s="243" t="s">
        <v>559</v>
      </c>
      <c r="N372" s="243">
        <v>46</v>
      </c>
      <c r="O372" s="244" t="s">
        <v>958</v>
      </c>
      <c r="P372" s="244" t="s">
        <v>1204</v>
      </c>
      <c r="Q372" s="231" t="str">
        <f t="shared" si="152"/>
        <v>A56. Steering Wheel Adjust Switch With Steering Wheel Heater</v>
      </c>
      <c r="R372" s="284" t="str">
        <f>HYPERLINK(VLOOKUP(O372,'3D. Pictures'!$B$3:$E$500,4,FALSE),"PIC")</f>
        <v>PIC</v>
      </c>
      <c r="S372" s="373" t="str">
        <f t="shared" si="154"/>
        <v>E.G.</v>
      </c>
      <c r="T372" s="377" t="str">
        <f>IF(O372&lt;&gt;"",_xlfn.XLOOKUP(O372,'3D. Pictures'!B:B,'3D. Pictures'!E:E,"NOT FOUND",0,1),"")</f>
        <v>https://viking-pictures.s3.us-west-1.amazonaws.com/AA1155/A56.+Steering+Wheel+Adjust+Switch+With+Steering+Wheel+Heater+(1).JPG</v>
      </c>
      <c r="U372" s="243">
        <v>5</v>
      </c>
      <c r="V372" s="243">
        <v>9267367</v>
      </c>
      <c r="W372" s="243" t="s">
        <v>111</v>
      </c>
      <c r="X372" s="243"/>
      <c r="Y372" s="201"/>
      <c r="Z372" s="243"/>
      <c r="AA372" s="243" t="s">
        <v>1227</v>
      </c>
      <c r="AB372" s="243" t="s">
        <v>1227</v>
      </c>
      <c r="AC372" s="358" t="str">
        <f t="shared" si="153"/>
        <v/>
      </c>
      <c r="AD372" s="243"/>
      <c r="AE372" s="243"/>
      <c r="AF372" s="179" t="s">
        <v>543</v>
      </c>
      <c r="AG372" s="243"/>
      <c r="AH372" s="16">
        <v>80</v>
      </c>
      <c r="AI372" s="380">
        <f t="shared" si="155"/>
        <v>80</v>
      </c>
      <c r="AJ372" s="246" t="s">
        <v>408</v>
      </c>
      <c r="AK372" s="246" t="s">
        <v>425</v>
      </c>
      <c r="AL372" s="246" t="s">
        <v>2175</v>
      </c>
      <c r="AM372" s="241"/>
      <c r="AN372" s="241"/>
      <c r="AO372" s="241"/>
      <c r="AP372" s="241"/>
      <c r="AQ372" s="241"/>
      <c r="AR372" s="241" t="s">
        <v>1226</v>
      </c>
      <c r="AS372" s="241" t="s">
        <v>1028</v>
      </c>
      <c r="AT372" s="241" t="s">
        <v>1029</v>
      </c>
      <c r="AU372" s="241" t="s">
        <v>1030</v>
      </c>
      <c r="AV372" s="303" t="str">
        <f t="shared" ref="AV372:AV373" si="161">CONCATENATE(AS372,"-",AT372,"-",AU372)</f>
        <v>F15-14-18-ALL</v>
      </c>
      <c r="AW372" s="241" t="s">
        <v>2404</v>
      </c>
      <c r="AX372" s="279" t="str">
        <f t="shared" si="160"/>
        <v>F15-14-18-ALL-Viking38</v>
      </c>
    </row>
    <row r="373" spans="1:50" x14ac:dyDescent="0.25">
      <c r="A373" s="190" t="str">
        <f t="shared" si="148"/>
        <v/>
      </c>
      <c r="B373" s="279" t="str">
        <f t="shared" si="147"/>
        <v/>
      </c>
      <c r="C373" s="279"/>
      <c r="D373" s="279"/>
      <c r="E373" s="279" t="str">
        <f t="shared" si="151"/>
        <v/>
      </c>
      <c r="F373" s="241" t="s">
        <v>535</v>
      </c>
      <c r="G373" s="242">
        <v>45218</v>
      </c>
      <c r="H373" s="243"/>
      <c r="I373" s="243"/>
      <c r="J373" s="243" t="s">
        <v>402</v>
      </c>
      <c r="K373" s="244" t="s">
        <v>1059</v>
      </c>
      <c r="L373" s="243" t="s">
        <v>1210</v>
      </c>
      <c r="M373" s="243" t="s">
        <v>559</v>
      </c>
      <c r="N373" s="243"/>
      <c r="O373" s="244"/>
      <c r="P373" s="244"/>
      <c r="Q373" s="231" t="str">
        <f t="shared" si="152"/>
        <v>. Steering Wheel Adjust Switch Without Steering Wheel Heater</v>
      </c>
      <c r="R373" s="244"/>
      <c r="S373" s="244" t="str">
        <f t="shared" si="154"/>
        <v/>
      </c>
      <c r="T373" s="244" t="str">
        <f>IF(O373&lt;&gt;"",_xlfn.XLOOKUP(O373,'3D. Pictures'!B:B,'3D. Pictures'!E:E,"NOT FOUND",0,1),"")</f>
        <v/>
      </c>
      <c r="U373" s="243"/>
      <c r="V373" s="243"/>
      <c r="W373" s="243"/>
      <c r="X373" s="243"/>
      <c r="Y373" s="226"/>
      <c r="Z373" s="243"/>
      <c r="AA373" s="243" t="s">
        <v>1228</v>
      </c>
      <c r="AB373" s="243" t="s">
        <v>1228</v>
      </c>
      <c r="AC373" s="358" t="str">
        <f t="shared" si="153"/>
        <v/>
      </c>
      <c r="AD373" s="243"/>
      <c r="AE373" s="243"/>
      <c r="AF373" s="179" t="s">
        <v>543</v>
      </c>
      <c r="AG373" s="243"/>
      <c r="AH373" s="16">
        <v>45</v>
      </c>
      <c r="AI373" s="380">
        <f t="shared" si="155"/>
        <v>45</v>
      </c>
      <c r="AJ373" s="246" t="s">
        <v>408</v>
      </c>
      <c r="AK373" s="246" t="s">
        <v>425</v>
      </c>
      <c r="AL373" s="246" t="s">
        <v>2175</v>
      </c>
      <c r="AM373" s="241"/>
      <c r="AN373" s="241"/>
      <c r="AO373" s="241"/>
      <c r="AP373" s="241"/>
      <c r="AQ373" s="241"/>
      <c r="AR373" s="241" t="s">
        <v>1229</v>
      </c>
      <c r="AS373" s="241" t="s">
        <v>1028</v>
      </c>
      <c r="AT373" s="241" t="s">
        <v>1029</v>
      </c>
      <c r="AU373" s="241" t="s">
        <v>1030</v>
      </c>
      <c r="AV373" s="303" t="str">
        <f t="shared" si="161"/>
        <v>F15-14-18-ALL</v>
      </c>
      <c r="AW373" s="241" t="s">
        <v>2405</v>
      </c>
      <c r="AX373" s="279" t="str">
        <f t="shared" si="160"/>
        <v>F15-14-18-ALL-Viking39</v>
      </c>
    </row>
    <row r="374" spans="1:50" ht="15.75" thickBot="1" x14ac:dyDescent="0.3">
      <c r="A374" s="190" t="str">
        <f t="shared" si="148"/>
        <v/>
      </c>
      <c r="B374" s="279" t="str">
        <f t="shared" si="147"/>
        <v/>
      </c>
      <c r="C374" s="279"/>
      <c r="D374" s="279"/>
      <c r="E374" s="279" t="str">
        <f t="shared" si="151"/>
        <v/>
      </c>
      <c r="F374" t="s">
        <v>535</v>
      </c>
      <c r="G374" s="188">
        <v>44683</v>
      </c>
      <c r="H374" s="10"/>
      <c r="I374" s="10"/>
      <c r="J374" s="10" t="s">
        <v>405</v>
      </c>
      <c r="K374" s="15" t="s">
        <v>1059</v>
      </c>
      <c r="L374" s="10" t="s">
        <v>1209</v>
      </c>
      <c r="M374" s="16" t="s">
        <v>559</v>
      </c>
      <c r="N374" s="16"/>
      <c r="O374" s="166"/>
      <c r="P374" s="166"/>
      <c r="Q374" s="231" t="str">
        <f t="shared" si="152"/>
        <v>. Vents, Pillar</v>
      </c>
      <c r="R374" s="231"/>
      <c r="S374" s="231" t="str">
        <f t="shared" si="154"/>
        <v/>
      </c>
      <c r="T374" s="231" t="str">
        <f>IF(O374&lt;&gt;"",_xlfn.XLOOKUP(O374,'3D. Pictures'!B:B,'3D. Pictures'!E:E,"NOT FOUND",0,1),"")</f>
        <v/>
      </c>
      <c r="U374" s="16"/>
      <c r="V374" s="16"/>
      <c r="W374" s="16"/>
      <c r="X374" s="16"/>
      <c r="Y374" s="168"/>
      <c r="Z374" s="16"/>
      <c r="AA374" s="10" t="s">
        <v>2574</v>
      </c>
      <c r="AB374" s="10" t="s">
        <v>2574</v>
      </c>
      <c r="AC374" s="359" t="str">
        <f t="shared" si="153"/>
        <v>TOSS ALL</v>
      </c>
      <c r="AD374" s="10" t="s">
        <v>2575</v>
      </c>
      <c r="AE374" s="10"/>
      <c r="AF374" s="168" t="s">
        <v>543</v>
      </c>
      <c r="AG374" s="10"/>
      <c r="AH374" s="10"/>
      <c r="AI374" s="380" t="str">
        <f t="shared" si="155"/>
        <v/>
      </c>
      <c r="AJ374" s="3" t="s">
        <v>408</v>
      </c>
      <c r="AK374" s="3" t="s">
        <v>425</v>
      </c>
      <c r="AL374" s="3" t="s">
        <v>2175</v>
      </c>
      <c r="AN374"/>
      <c r="AX374" s="279" t="str">
        <f t="shared" si="160"/>
        <v/>
      </c>
    </row>
    <row r="375" spans="1:50" ht="15.75" thickBot="1" x14ac:dyDescent="0.3">
      <c r="A375" s="190" t="str">
        <f t="shared" si="148"/>
        <v>A97</v>
      </c>
      <c r="B375" s="279" t="str">
        <f t="shared" si="147"/>
        <v>288-50844</v>
      </c>
      <c r="C375" s="279"/>
      <c r="D375" s="279"/>
      <c r="E375" s="279">
        <f t="shared" si="151"/>
        <v>1</v>
      </c>
      <c r="F375" s="190" t="s">
        <v>535</v>
      </c>
      <c r="G375" s="198">
        <v>44670</v>
      </c>
      <c r="H375" s="205"/>
      <c r="I375" s="205"/>
      <c r="J375" s="205" t="s">
        <v>402</v>
      </c>
      <c r="K375" s="206" t="s">
        <v>2760</v>
      </c>
      <c r="L375" s="205" t="s">
        <v>188</v>
      </c>
      <c r="M375" s="200" t="s">
        <v>558</v>
      </c>
      <c r="N375" s="200">
        <v>87</v>
      </c>
      <c r="O375" s="230" t="s">
        <v>999</v>
      </c>
      <c r="P375" s="230" t="s">
        <v>1300</v>
      </c>
      <c r="Q375" s="231" t="str">
        <f t="shared" si="152"/>
        <v>A97. Sunroof, Glass - PANORAMIC, FRONT</v>
      </c>
      <c r="R375" s="284" t="str">
        <f>HYPERLINK(VLOOKUP(O375,'3D. Pictures'!$B$3:$E$500,4,FALSE),"PIC")</f>
        <v>PIC</v>
      </c>
      <c r="S375" s="373" t="str">
        <f t="shared" si="154"/>
        <v>E.G.</v>
      </c>
      <c r="T375" s="377" t="str">
        <f>IF(O375&lt;&gt;"",_xlfn.XLOOKUP(O375,'3D. Pictures'!B:B,'3D. Pictures'!E:E,"NOT FOUND",0,1),"")</f>
        <v>https://viking-pictures.s3.us-west-1.amazonaws.com/AA1155/A97.+Sunroof%2C+Glass+-+PANORAMIC%2C+FRONT+(1).JPG</v>
      </c>
      <c r="U375" s="200">
        <v>6</v>
      </c>
      <c r="V375" s="201" t="s">
        <v>1316</v>
      </c>
      <c r="W375" s="200" t="s">
        <v>111</v>
      </c>
      <c r="X375" s="201"/>
      <c r="Y375" s="201"/>
      <c r="Z375" s="201"/>
      <c r="AA375" s="205" t="s">
        <v>409</v>
      </c>
      <c r="AB375" s="205" t="s">
        <v>409</v>
      </c>
      <c r="AC375" s="358" t="str">
        <f t="shared" si="153"/>
        <v/>
      </c>
      <c r="AD375" s="205"/>
      <c r="AE375" s="205"/>
      <c r="AF375" s="201" t="s">
        <v>543</v>
      </c>
      <c r="AG375" s="205"/>
      <c r="AH375" s="16">
        <v>550</v>
      </c>
      <c r="AI375" s="380">
        <f t="shared" si="155"/>
        <v>550</v>
      </c>
      <c r="AJ375" s="204" t="s">
        <v>408</v>
      </c>
      <c r="AK375" s="204" t="s">
        <v>425</v>
      </c>
      <c r="AL375" s="204" t="s">
        <v>2175</v>
      </c>
      <c r="AM375" s="190"/>
      <c r="AN375" s="191" t="s">
        <v>634</v>
      </c>
      <c r="AO375" s="190" t="s">
        <v>572</v>
      </c>
      <c r="AP375" s="190">
        <v>50844</v>
      </c>
      <c r="AQ375" s="190" t="str">
        <f>CONCATENATE(AN375,AO375,AP375)</f>
        <v>288-50844</v>
      </c>
      <c r="AR375" s="190"/>
      <c r="AS375" s="190"/>
      <c r="AT375" s="190"/>
      <c r="AU375" s="190"/>
      <c r="AV375" s="190"/>
      <c r="AW375" s="190"/>
      <c r="AX375" s="279" t="str">
        <f t="shared" si="160"/>
        <v/>
      </c>
    </row>
    <row r="376" spans="1:50" ht="15.75" thickBot="1" x14ac:dyDescent="0.3">
      <c r="A376" s="190" t="str">
        <f t="shared" si="148"/>
        <v>A98</v>
      </c>
      <c r="B376" s="279" t="str">
        <f t="shared" si="147"/>
        <v>288-50845</v>
      </c>
      <c r="C376" s="279"/>
      <c r="D376" s="279"/>
      <c r="E376" s="279">
        <f t="shared" si="151"/>
        <v>1</v>
      </c>
      <c r="F376" s="190" t="s">
        <v>535</v>
      </c>
      <c r="G376" s="198">
        <v>44670</v>
      </c>
      <c r="H376" s="205"/>
      <c r="I376" s="205"/>
      <c r="J376" s="205" t="s">
        <v>402</v>
      </c>
      <c r="K376" s="206" t="s">
        <v>2760</v>
      </c>
      <c r="L376" s="205" t="s">
        <v>188</v>
      </c>
      <c r="M376" s="200" t="s">
        <v>558</v>
      </c>
      <c r="N376" s="200">
        <v>88</v>
      </c>
      <c r="O376" s="230" t="s">
        <v>1000</v>
      </c>
      <c r="P376" s="230" t="s">
        <v>1300</v>
      </c>
      <c r="Q376" s="231" t="str">
        <f t="shared" si="152"/>
        <v>A98. Sunroof, Glass - PANORAMIC, REAR</v>
      </c>
      <c r="R376" s="284" t="str">
        <f>HYPERLINK(VLOOKUP(O376,'3D. Pictures'!$B$3:$E$500,4,FALSE),"PIC")</f>
        <v>PIC</v>
      </c>
      <c r="S376" s="373" t="str">
        <f t="shared" si="154"/>
        <v>E.G.</v>
      </c>
      <c r="T376" s="377" t="str">
        <f>IF(O376&lt;&gt;"",_xlfn.XLOOKUP(O376,'3D. Pictures'!B:B,'3D. Pictures'!E:E,"NOT FOUND",0,1),"")</f>
        <v>https://viking-pictures.s3.us-west-1.amazonaws.com/AA1155/A98.+Sunroof%2C+Glass+-+PANORAMIC%2C+REAR+(1).JPG</v>
      </c>
      <c r="U376" s="200">
        <v>6</v>
      </c>
      <c r="V376" s="201" t="s">
        <v>1317</v>
      </c>
      <c r="W376" s="200" t="s">
        <v>111</v>
      </c>
      <c r="X376" s="201"/>
      <c r="Y376" s="168"/>
      <c r="Z376" s="201"/>
      <c r="AA376" s="205" t="s">
        <v>410</v>
      </c>
      <c r="AB376" s="205" t="s">
        <v>410</v>
      </c>
      <c r="AC376" s="358" t="str">
        <f t="shared" si="153"/>
        <v/>
      </c>
      <c r="AD376" s="205"/>
      <c r="AE376" s="205"/>
      <c r="AF376" s="201" t="s">
        <v>543</v>
      </c>
      <c r="AG376" s="205"/>
      <c r="AH376" s="16">
        <v>295</v>
      </c>
      <c r="AI376" s="380">
        <f t="shared" si="155"/>
        <v>295</v>
      </c>
      <c r="AJ376" s="204" t="s">
        <v>408</v>
      </c>
      <c r="AK376" s="204" t="s">
        <v>425</v>
      </c>
      <c r="AL376" s="204" t="s">
        <v>2175</v>
      </c>
      <c r="AM376" s="190"/>
      <c r="AN376" s="191" t="s">
        <v>634</v>
      </c>
      <c r="AO376" s="190" t="s">
        <v>572</v>
      </c>
      <c r="AP376" s="190">
        <v>50845</v>
      </c>
      <c r="AQ376" s="190" t="str">
        <f>CONCATENATE(AN376,AO376,AP376)</f>
        <v>288-50845</v>
      </c>
      <c r="AR376" s="190"/>
      <c r="AS376" s="190"/>
      <c r="AT376" s="190"/>
      <c r="AU376" s="190"/>
      <c r="AV376" s="190"/>
      <c r="AW376" s="190"/>
      <c r="AX376" s="279" t="str">
        <f t="shared" si="160"/>
        <v/>
      </c>
    </row>
    <row r="377" spans="1:50" ht="15.75" thickBot="1" x14ac:dyDescent="0.3">
      <c r="A377" s="190" t="str">
        <f t="shared" si="148"/>
        <v>A37</v>
      </c>
      <c r="B377" s="279" t="str">
        <f t="shared" si="147"/>
        <v>628-999907</v>
      </c>
      <c r="C377" s="279" t="s">
        <v>2358</v>
      </c>
      <c r="D377" s="279" t="str">
        <f>O377</f>
        <v>A37</v>
      </c>
      <c r="E377" s="279">
        <f t="shared" si="151"/>
        <v>2</v>
      </c>
      <c r="F377" s="190" t="s">
        <v>535</v>
      </c>
      <c r="G377" s="198">
        <v>44670</v>
      </c>
      <c r="H377" s="205"/>
      <c r="I377" s="205"/>
      <c r="J377" s="205" t="s">
        <v>402</v>
      </c>
      <c r="K377" s="206" t="s">
        <v>2760</v>
      </c>
      <c r="L377" s="205" t="s">
        <v>188</v>
      </c>
      <c r="M377" s="200" t="s">
        <v>558</v>
      </c>
      <c r="N377" s="200">
        <v>27</v>
      </c>
      <c r="O377" s="230" t="s">
        <v>939</v>
      </c>
      <c r="P377" s="230" t="s">
        <v>1168</v>
      </c>
      <c r="Q377" s="231" t="str">
        <f t="shared" si="152"/>
        <v>A37. Sunroof, Motor (1 of 2)</v>
      </c>
      <c r="R377" s="284" t="str">
        <f>HYPERLINK(VLOOKUP(O377,'3D. Pictures'!$B$3:$E$500,4,FALSE),"PIC")</f>
        <v>PIC</v>
      </c>
      <c r="S377" s="373" t="str">
        <f t="shared" si="154"/>
        <v>E.G.</v>
      </c>
      <c r="T377" s="377" t="str">
        <f>IF(O377&lt;&gt;"",_xlfn.XLOOKUP(O377,'3D. Pictures'!B:B,'3D. Pictures'!E:E,"NOT FOUND",0,1),"")</f>
        <v>https://viking-pictures.s3.us-west-1.amazonaws.com/AA1155/A37.+Sunroof%2C+Motor+(1+of+2)+(1).JPG</v>
      </c>
      <c r="U377" s="200">
        <v>4</v>
      </c>
      <c r="V377" s="201" t="s">
        <v>1190</v>
      </c>
      <c r="W377" s="200" t="s">
        <v>112</v>
      </c>
      <c r="X377" s="201"/>
      <c r="Y377" s="226"/>
      <c r="Z377" s="201"/>
      <c r="AA377" s="205" t="s">
        <v>2827</v>
      </c>
      <c r="AB377" s="205" t="s">
        <v>2300</v>
      </c>
      <c r="AC377" s="358" t="str">
        <f t="shared" si="153"/>
        <v>tag as SINGLE | 2 per car (identical)</v>
      </c>
      <c r="AD377" s="205" t="s">
        <v>2320</v>
      </c>
      <c r="AE377" s="205" t="s">
        <v>2318</v>
      </c>
      <c r="AF377" s="201" t="s">
        <v>543</v>
      </c>
      <c r="AG377" s="300" t="s">
        <v>2729</v>
      </c>
      <c r="AH377" s="16">
        <v>45</v>
      </c>
      <c r="AI377" s="380">
        <f t="shared" si="155"/>
        <v>45</v>
      </c>
      <c r="AJ377" s="204" t="s">
        <v>408</v>
      </c>
      <c r="AK377" s="204" t="s">
        <v>425</v>
      </c>
      <c r="AL377" s="204" t="s">
        <v>2175</v>
      </c>
      <c r="AM377" s="190"/>
      <c r="AN377" s="191" t="s">
        <v>635</v>
      </c>
      <c r="AO377" s="190" t="s">
        <v>572</v>
      </c>
      <c r="AP377" s="190">
        <v>999907</v>
      </c>
      <c r="AQ377" s="190" t="str">
        <f>CONCATENATE(AN377,AO377,AP377)</f>
        <v>628-999907</v>
      </c>
      <c r="AR377" s="190"/>
      <c r="AS377" s="190"/>
      <c r="AT377" s="190"/>
      <c r="AU377" s="190"/>
      <c r="AV377" s="190"/>
      <c r="AW377" s="190"/>
      <c r="AX377" s="279" t="str">
        <f t="shared" si="160"/>
        <v/>
      </c>
    </row>
    <row r="378" spans="1:50" ht="15.75" thickBot="1" x14ac:dyDescent="0.3">
      <c r="A378" s="190" t="str">
        <f t="shared" si="148"/>
        <v>A38</v>
      </c>
      <c r="B378" s="279" t="str">
        <f t="shared" si="147"/>
        <v>628-999907</v>
      </c>
      <c r="C378" s="279" t="s">
        <v>2358</v>
      </c>
      <c r="D378" s="279" t="str">
        <f>O378</f>
        <v>A38</v>
      </c>
      <c r="E378" s="279">
        <f t="shared" si="151"/>
        <v>2</v>
      </c>
      <c r="F378" s="190" t="s">
        <v>535</v>
      </c>
      <c r="G378" s="198">
        <v>44670</v>
      </c>
      <c r="H378" s="205"/>
      <c r="I378" s="205"/>
      <c r="J378" s="205" t="s">
        <v>402</v>
      </c>
      <c r="K378" s="206" t="s">
        <v>2760</v>
      </c>
      <c r="L378" s="205" t="s">
        <v>188</v>
      </c>
      <c r="M378" s="200" t="s">
        <v>558</v>
      </c>
      <c r="N378" s="200">
        <v>28</v>
      </c>
      <c r="O378" s="230" t="s">
        <v>940</v>
      </c>
      <c r="P378" s="230" t="s">
        <v>1168</v>
      </c>
      <c r="Q378" s="231" t="str">
        <f t="shared" si="152"/>
        <v>A38. Sunroof, Motor (2 of 2)</v>
      </c>
      <c r="R378" s="284" t="str">
        <f>HYPERLINK(VLOOKUP(O378,'3D. Pictures'!$B$3:$E$500,4,FALSE),"PIC")</f>
        <v>PIC</v>
      </c>
      <c r="S378" s="373" t="str">
        <f t="shared" si="154"/>
        <v>E.G.</v>
      </c>
      <c r="T378" s="377" t="str">
        <f>IF(O378&lt;&gt;"",_xlfn.XLOOKUP(O378,'3D. Pictures'!B:B,'3D. Pictures'!E:E,"NOT FOUND",0,1),"")</f>
        <v>https://viking-pictures.s3.us-west-1.amazonaws.com/AA1155/A38.+Sunroof%2C+Motor+(2+of+2)+(1).JPG</v>
      </c>
      <c r="U378" s="200">
        <v>4</v>
      </c>
      <c r="V378" s="201" t="s">
        <v>1190</v>
      </c>
      <c r="W378" s="200" t="s">
        <v>112</v>
      </c>
      <c r="X378" s="201"/>
      <c r="Y378" s="16"/>
      <c r="Z378" s="201"/>
      <c r="AA378" s="205" t="s">
        <v>2827</v>
      </c>
      <c r="AB378" s="205" t="s">
        <v>2301</v>
      </c>
      <c r="AC378" s="358" t="str">
        <f t="shared" si="153"/>
        <v>tag as SINGLE | 2 per car (identical)</v>
      </c>
      <c r="AD378" s="205" t="s">
        <v>2320</v>
      </c>
      <c r="AE378" s="205" t="s">
        <v>2318</v>
      </c>
      <c r="AF378" s="201" t="s">
        <v>543</v>
      </c>
      <c r="AG378" s="300" t="s">
        <v>2730</v>
      </c>
      <c r="AH378" s="16">
        <v>45</v>
      </c>
      <c r="AI378" s="380">
        <f t="shared" si="155"/>
        <v>45</v>
      </c>
      <c r="AJ378" s="204" t="s">
        <v>408</v>
      </c>
      <c r="AK378" s="204" t="s">
        <v>425</v>
      </c>
      <c r="AL378" s="204" t="s">
        <v>2175</v>
      </c>
      <c r="AM378" s="190"/>
      <c r="AN378" s="191" t="s">
        <v>635</v>
      </c>
      <c r="AO378" s="190" t="s">
        <v>572</v>
      </c>
      <c r="AP378" s="190">
        <v>999907</v>
      </c>
      <c r="AQ378" s="190" t="str">
        <f>CONCATENATE(AN378,AO378,AP378)</f>
        <v>628-999907</v>
      </c>
      <c r="AR378" s="190"/>
      <c r="AS378" s="190"/>
      <c r="AT378" s="190"/>
      <c r="AU378" s="190"/>
      <c r="AV378" s="190"/>
      <c r="AW378" s="190"/>
      <c r="AX378" s="279" t="str">
        <f t="shared" si="160"/>
        <v/>
      </c>
    </row>
    <row r="379" spans="1:50" x14ac:dyDescent="0.25">
      <c r="A379" s="190" t="str">
        <f t="shared" si="148"/>
        <v/>
      </c>
      <c r="B379" s="279" t="str">
        <f t="shared" si="147"/>
        <v/>
      </c>
      <c r="C379" s="279"/>
      <c r="D379" s="279"/>
      <c r="E379" s="279" t="str">
        <f t="shared" si="151"/>
        <v/>
      </c>
      <c r="F379" t="s">
        <v>535</v>
      </c>
      <c r="G379" s="188">
        <v>44670</v>
      </c>
      <c r="H379" s="10"/>
      <c r="I379" s="174"/>
      <c r="J379" s="10" t="s">
        <v>2771</v>
      </c>
      <c r="K379" s="15" t="s">
        <v>2760</v>
      </c>
      <c r="L379" s="10" t="s">
        <v>188</v>
      </c>
      <c r="M379" s="170" t="s">
        <v>558</v>
      </c>
      <c r="N379" s="170"/>
      <c r="O379" s="237"/>
      <c r="P379" s="237"/>
      <c r="Q379" s="231" t="str">
        <f t="shared" si="152"/>
        <v>. Sunroof, Assembly</v>
      </c>
      <c r="R379" s="231"/>
      <c r="S379" s="231" t="str">
        <f t="shared" si="154"/>
        <v/>
      </c>
      <c r="T379" s="231" t="str">
        <f>IF(O379&lt;&gt;"",_xlfn.XLOOKUP(O379,'3D. Pictures'!B:B,'3D. Pictures'!E:E,"NOT FOUND",0,1),"")</f>
        <v/>
      </c>
      <c r="U379" s="170"/>
      <c r="V379" s="168"/>
      <c r="W379" s="170"/>
      <c r="X379" s="168"/>
      <c r="Y379" s="16"/>
      <c r="Z379" s="168"/>
      <c r="AA379" s="10" t="s">
        <v>288</v>
      </c>
      <c r="AB379" s="10" t="s">
        <v>288</v>
      </c>
      <c r="AC379" s="359" t="str">
        <f t="shared" si="153"/>
        <v/>
      </c>
      <c r="AD379" s="10"/>
      <c r="AE379" s="10"/>
      <c r="AF379" s="168" t="s">
        <v>543</v>
      </c>
      <c r="AG379" s="10"/>
      <c r="AH379" s="10"/>
      <c r="AI379" s="380" t="str">
        <f t="shared" si="155"/>
        <v/>
      </c>
      <c r="AJ379" s="3" t="s">
        <v>408</v>
      </c>
      <c r="AK379" s="3" t="s">
        <v>425</v>
      </c>
      <c r="AL379" s="3" t="s">
        <v>2175</v>
      </c>
      <c r="AN379"/>
      <c r="AO379" t="s">
        <v>572</v>
      </c>
      <c r="AX379" s="279" t="str">
        <f t="shared" si="160"/>
        <v/>
      </c>
    </row>
    <row r="380" spans="1:50" x14ac:dyDescent="0.25">
      <c r="A380" s="190" t="str">
        <f t="shared" si="148"/>
        <v/>
      </c>
      <c r="B380" s="279" t="str">
        <f t="shared" ref="B380:B441" si="162">IF(AQ380&lt;&gt;"",AQ380,"")</f>
        <v/>
      </c>
      <c r="C380" s="279"/>
      <c r="D380" s="279"/>
      <c r="E380" s="279" t="str">
        <f t="shared" si="151"/>
        <v/>
      </c>
      <c r="F380" t="s">
        <v>535</v>
      </c>
      <c r="G380" s="188">
        <v>44680</v>
      </c>
      <c r="H380" s="16"/>
      <c r="I380" s="164"/>
      <c r="J380" s="16" t="s">
        <v>402</v>
      </c>
      <c r="K380" s="166" t="s">
        <v>46</v>
      </c>
      <c r="L380" s="16" t="s">
        <v>1373</v>
      </c>
      <c r="M380" s="16" t="s">
        <v>559</v>
      </c>
      <c r="N380" s="16"/>
      <c r="O380" s="166"/>
      <c r="P380" s="166"/>
      <c r="Q380" s="231" t="str">
        <f t="shared" si="152"/>
        <v>. 3rd Brake Light</v>
      </c>
      <c r="R380" s="231"/>
      <c r="S380" s="231" t="str">
        <f t="shared" si="154"/>
        <v/>
      </c>
      <c r="T380" s="231" t="str">
        <f>IF(O380&lt;&gt;"",_xlfn.XLOOKUP(O380,'3D. Pictures'!B:B,'3D. Pictures'!E:E,"NOT FOUND",0,1),"")</f>
        <v/>
      </c>
      <c r="U380" s="16"/>
      <c r="V380" s="16"/>
      <c r="W380" s="16"/>
      <c r="X380" s="16"/>
      <c r="Y380" s="16"/>
      <c r="Z380" s="16"/>
      <c r="AA380" s="16" t="s">
        <v>45</v>
      </c>
      <c r="AB380" s="16" t="s">
        <v>45</v>
      </c>
      <c r="AC380" s="358" t="str">
        <f t="shared" si="153"/>
        <v>IN spoiler if selling that - if not can sell solo</v>
      </c>
      <c r="AD380" s="16" t="s">
        <v>2590</v>
      </c>
      <c r="AE380" s="16"/>
      <c r="AF380" s="168" t="s">
        <v>543</v>
      </c>
      <c r="AG380" s="16"/>
      <c r="AH380" s="18">
        <v>125</v>
      </c>
      <c r="AI380" s="380">
        <f t="shared" si="155"/>
        <v>125</v>
      </c>
      <c r="AJ380" s="3" t="s">
        <v>408</v>
      </c>
      <c r="AK380" s="3" t="s">
        <v>425</v>
      </c>
      <c r="AL380" s="3" t="s">
        <v>2175</v>
      </c>
      <c r="AN380"/>
      <c r="AX380" s="279" t="str">
        <f t="shared" si="160"/>
        <v/>
      </c>
    </row>
    <row r="381" spans="1:50" x14ac:dyDescent="0.25">
      <c r="A381" s="190" t="str">
        <f t="shared" si="148"/>
        <v/>
      </c>
      <c r="B381" s="279" t="str">
        <f t="shared" si="162"/>
        <v>116-60560</v>
      </c>
      <c r="C381" s="279"/>
      <c r="D381" s="279"/>
      <c r="E381" s="279">
        <f t="shared" si="151"/>
        <v>1</v>
      </c>
      <c r="F381" s="190" t="s">
        <v>535</v>
      </c>
      <c r="G381" s="198">
        <v>44671</v>
      </c>
      <c r="H381" s="205"/>
      <c r="I381" s="205"/>
      <c r="J381" s="205" t="s">
        <v>402</v>
      </c>
      <c r="K381" s="206" t="s">
        <v>46</v>
      </c>
      <c r="L381" s="205" t="s">
        <v>825</v>
      </c>
      <c r="M381" s="200" t="s">
        <v>558</v>
      </c>
      <c r="N381" s="200"/>
      <c r="O381" s="230"/>
      <c r="P381" s="230"/>
      <c r="Q381" s="231" t="str">
        <f t="shared" si="152"/>
        <v>. Fog Light, FRONT - LEFT</v>
      </c>
      <c r="R381" s="231"/>
      <c r="S381" s="231" t="str">
        <f t="shared" si="154"/>
        <v/>
      </c>
      <c r="T381" s="231" t="str">
        <f>IF(O381&lt;&gt;"",_xlfn.XLOOKUP(O381,'3D. Pictures'!B:B,'3D. Pictures'!E:E,"NOT FOUND",0,1),"")</f>
        <v/>
      </c>
      <c r="U381" s="200"/>
      <c r="V381" s="201"/>
      <c r="W381" s="200"/>
      <c r="X381" s="201"/>
      <c r="Y381" s="16"/>
      <c r="Z381" s="201"/>
      <c r="AA381" s="205" t="s">
        <v>411</v>
      </c>
      <c r="AB381" s="205" t="s">
        <v>411</v>
      </c>
      <c r="AC381" s="358" t="str">
        <f t="shared" si="153"/>
        <v/>
      </c>
      <c r="AD381" s="205"/>
      <c r="AE381" s="205"/>
      <c r="AF381" s="201" t="s">
        <v>543</v>
      </c>
      <c r="AG381" s="205"/>
      <c r="AH381" s="167">
        <v>85</v>
      </c>
      <c r="AI381" s="380">
        <f t="shared" si="155"/>
        <v>142.5</v>
      </c>
      <c r="AJ381" s="204" t="s">
        <v>408</v>
      </c>
      <c r="AK381" s="204" t="s">
        <v>425</v>
      </c>
      <c r="AL381" s="204" t="s">
        <v>2175</v>
      </c>
      <c r="AM381" s="190"/>
      <c r="AN381" s="191" t="s">
        <v>636</v>
      </c>
      <c r="AO381" s="190" t="s">
        <v>572</v>
      </c>
      <c r="AP381" s="190">
        <v>60560</v>
      </c>
      <c r="AQ381" s="190" t="str">
        <f>CONCATENATE(AN381,AO381,AP381)</f>
        <v>116-60560</v>
      </c>
      <c r="AR381" s="190" t="s">
        <v>828</v>
      </c>
      <c r="AS381" s="190"/>
      <c r="AT381" s="190"/>
      <c r="AU381" s="190"/>
      <c r="AV381" s="190"/>
      <c r="AW381" s="190"/>
      <c r="AX381" s="279" t="str">
        <f t="shared" si="160"/>
        <v/>
      </c>
    </row>
    <row r="382" spans="1:50" x14ac:dyDescent="0.25">
      <c r="A382" s="190" t="str">
        <f t="shared" si="148"/>
        <v/>
      </c>
      <c r="B382" s="279" t="str">
        <f t="shared" si="162"/>
        <v>116-60559</v>
      </c>
      <c r="C382" s="279"/>
      <c r="D382" s="279"/>
      <c r="E382" s="279">
        <f t="shared" si="151"/>
        <v>1</v>
      </c>
      <c r="F382" s="190" t="s">
        <v>535</v>
      </c>
      <c r="G382" s="198">
        <v>44671</v>
      </c>
      <c r="H382" s="205"/>
      <c r="I382" s="205"/>
      <c r="J382" s="205" t="s">
        <v>402</v>
      </c>
      <c r="K382" s="206" t="s">
        <v>46</v>
      </c>
      <c r="L382" s="205" t="s">
        <v>825</v>
      </c>
      <c r="M382" s="200" t="s">
        <v>558</v>
      </c>
      <c r="N382" s="200"/>
      <c r="O382" s="230"/>
      <c r="P382" s="230"/>
      <c r="Q382" s="231" t="str">
        <f t="shared" si="152"/>
        <v>. Fog Light, FRONT - RIGHT</v>
      </c>
      <c r="R382" s="231"/>
      <c r="S382" s="231" t="str">
        <f t="shared" si="154"/>
        <v/>
      </c>
      <c r="T382" s="231" t="str">
        <f>IF(O382&lt;&gt;"",_xlfn.XLOOKUP(O382,'3D. Pictures'!B:B,'3D. Pictures'!E:E,"NOT FOUND",0,1),"")</f>
        <v/>
      </c>
      <c r="U382" s="200"/>
      <c r="V382" s="201"/>
      <c r="W382" s="200"/>
      <c r="X382" s="201"/>
      <c r="Y382" s="16"/>
      <c r="Z382" s="201"/>
      <c r="AA382" s="205" t="s">
        <v>412</v>
      </c>
      <c r="AB382" s="205" t="s">
        <v>412</v>
      </c>
      <c r="AC382" s="358" t="str">
        <f t="shared" si="153"/>
        <v/>
      </c>
      <c r="AD382" s="205"/>
      <c r="AE382" s="205"/>
      <c r="AF382" s="201" t="s">
        <v>543</v>
      </c>
      <c r="AG382" s="205"/>
      <c r="AH382" s="167">
        <v>85</v>
      </c>
      <c r="AI382" s="380">
        <f t="shared" si="155"/>
        <v>142.5</v>
      </c>
      <c r="AJ382" s="204" t="s">
        <v>408</v>
      </c>
      <c r="AK382" s="204" t="s">
        <v>425</v>
      </c>
      <c r="AL382" s="204" t="s">
        <v>2175</v>
      </c>
      <c r="AM382" s="190"/>
      <c r="AN382" s="191" t="s">
        <v>636</v>
      </c>
      <c r="AO382" s="190" t="s">
        <v>572</v>
      </c>
      <c r="AP382" s="190">
        <v>60559</v>
      </c>
      <c r="AQ382" s="190" t="str">
        <f>CONCATENATE(AN382,AO382,AP382)</f>
        <v>116-60559</v>
      </c>
      <c r="AR382" s="190" t="s">
        <v>829</v>
      </c>
      <c r="AS382" s="190"/>
      <c r="AT382" s="190"/>
      <c r="AU382" s="190"/>
      <c r="AV382" s="190"/>
      <c r="AW382" s="190"/>
      <c r="AX382" s="279" t="str">
        <f t="shared" si="160"/>
        <v/>
      </c>
    </row>
    <row r="383" spans="1:50" x14ac:dyDescent="0.25">
      <c r="A383" s="190" t="str">
        <f t="shared" ref="A383:A443" si="163">IF(O383&lt;&gt;"",O383,"")</f>
        <v/>
      </c>
      <c r="B383" s="279" t="str">
        <f t="shared" si="162"/>
        <v>116-60562</v>
      </c>
      <c r="C383" s="279"/>
      <c r="D383" s="279"/>
      <c r="E383" s="279">
        <f t="shared" si="151"/>
        <v>1</v>
      </c>
      <c r="F383" s="190" t="s">
        <v>535</v>
      </c>
      <c r="G383" s="198">
        <v>44671</v>
      </c>
      <c r="H383" s="205"/>
      <c r="I383" s="205"/>
      <c r="J383" s="205" t="s">
        <v>402</v>
      </c>
      <c r="K383" s="206" t="s">
        <v>46</v>
      </c>
      <c r="L383" s="205" t="s">
        <v>825</v>
      </c>
      <c r="M383" s="200" t="s">
        <v>558</v>
      </c>
      <c r="N383" s="200"/>
      <c r="O383" s="230"/>
      <c r="P383" s="230"/>
      <c r="Q383" s="231" t="str">
        <f t="shared" si="152"/>
        <v>. Fog Light, FRONT - LEFT</v>
      </c>
      <c r="R383" s="231"/>
      <c r="S383" s="231" t="str">
        <f t="shared" si="154"/>
        <v/>
      </c>
      <c r="T383" s="231" t="str">
        <f>IF(O383&lt;&gt;"",_xlfn.XLOOKUP(O383,'3D. Pictures'!B:B,'3D. Pictures'!E:E,"NOT FOUND",0,1),"")</f>
        <v/>
      </c>
      <c r="U383" s="200"/>
      <c r="V383" s="201"/>
      <c r="W383" s="200"/>
      <c r="X383" s="201"/>
      <c r="Y383" s="16"/>
      <c r="Z383" s="201"/>
      <c r="AA383" s="205" t="s">
        <v>411</v>
      </c>
      <c r="AB383" s="205" t="s">
        <v>411</v>
      </c>
      <c r="AC383" s="358" t="str">
        <f t="shared" si="153"/>
        <v/>
      </c>
      <c r="AD383" s="205"/>
      <c r="AE383" s="205"/>
      <c r="AF383" s="201" t="s">
        <v>543</v>
      </c>
      <c r="AG383" s="205"/>
      <c r="AH383" s="167">
        <v>200</v>
      </c>
      <c r="AI383" s="380">
        <f t="shared" si="155"/>
        <v>142.5</v>
      </c>
      <c r="AJ383" s="204" t="s">
        <v>408</v>
      </c>
      <c r="AK383" s="204" t="s">
        <v>425</v>
      </c>
      <c r="AL383" s="204" t="s">
        <v>2175</v>
      </c>
      <c r="AM383" s="190"/>
      <c r="AN383" s="191" t="s">
        <v>636</v>
      </c>
      <c r="AO383" s="190" t="s">
        <v>572</v>
      </c>
      <c r="AP383" s="190">
        <v>60562</v>
      </c>
      <c r="AQ383" s="190" t="str">
        <f>CONCATENATE(AN383,AO383,AP383)</f>
        <v>116-60562</v>
      </c>
      <c r="AR383" s="190" t="s">
        <v>826</v>
      </c>
      <c r="AS383" s="190"/>
      <c r="AT383" s="190"/>
      <c r="AU383" s="190"/>
      <c r="AV383" s="190"/>
      <c r="AW383" s="190"/>
      <c r="AX383" s="279" t="str">
        <f t="shared" si="160"/>
        <v/>
      </c>
    </row>
    <row r="384" spans="1:50" x14ac:dyDescent="0.25">
      <c r="A384" s="190" t="str">
        <f t="shared" si="163"/>
        <v/>
      </c>
      <c r="B384" s="279" t="str">
        <f t="shared" si="162"/>
        <v>116-60561</v>
      </c>
      <c r="C384" s="279"/>
      <c r="D384" s="279"/>
      <c r="E384" s="279">
        <f t="shared" si="151"/>
        <v>1</v>
      </c>
      <c r="F384" s="190" t="s">
        <v>535</v>
      </c>
      <c r="G384" s="198">
        <v>44671</v>
      </c>
      <c r="H384" s="205"/>
      <c r="I384" s="205"/>
      <c r="J384" s="205" t="s">
        <v>402</v>
      </c>
      <c r="K384" s="206" t="s">
        <v>46</v>
      </c>
      <c r="L384" s="205" t="s">
        <v>825</v>
      </c>
      <c r="M384" s="200" t="s">
        <v>558</v>
      </c>
      <c r="N384" s="200"/>
      <c r="O384" s="230"/>
      <c r="P384" s="230"/>
      <c r="Q384" s="231" t="str">
        <f t="shared" si="152"/>
        <v>. Fog Light, FRONT - RIGHT</v>
      </c>
      <c r="R384" s="231"/>
      <c r="S384" s="231" t="str">
        <f t="shared" si="154"/>
        <v/>
      </c>
      <c r="T384" s="231" t="str">
        <f>IF(O384&lt;&gt;"",_xlfn.XLOOKUP(O384,'3D. Pictures'!B:B,'3D. Pictures'!E:E,"NOT FOUND",0,1),"")</f>
        <v/>
      </c>
      <c r="U384" s="200"/>
      <c r="V384" s="201"/>
      <c r="W384" s="200"/>
      <c r="X384" s="201"/>
      <c r="Y384" s="16"/>
      <c r="Z384" s="201"/>
      <c r="AA384" s="205" t="s">
        <v>412</v>
      </c>
      <c r="AB384" s="205" t="s">
        <v>412</v>
      </c>
      <c r="AC384" s="358" t="str">
        <f t="shared" si="153"/>
        <v/>
      </c>
      <c r="AD384" s="205"/>
      <c r="AE384" s="205"/>
      <c r="AF384" s="201" t="s">
        <v>543</v>
      </c>
      <c r="AG384" s="205"/>
      <c r="AH384" s="167">
        <v>200</v>
      </c>
      <c r="AI384" s="380">
        <f t="shared" si="155"/>
        <v>142.5</v>
      </c>
      <c r="AJ384" s="204" t="s">
        <v>408</v>
      </c>
      <c r="AK384" s="204" t="s">
        <v>425</v>
      </c>
      <c r="AL384" s="204" t="s">
        <v>2175</v>
      </c>
      <c r="AM384" s="190"/>
      <c r="AN384" s="191" t="s">
        <v>636</v>
      </c>
      <c r="AO384" s="190" t="s">
        <v>572</v>
      </c>
      <c r="AP384" s="190">
        <v>60561</v>
      </c>
      <c r="AQ384" s="190" t="str">
        <f>CONCATENATE(AN384,AO384,AP384)</f>
        <v>116-60561</v>
      </c>
      <c r="AR384" s="190" t="s">
        <v>827</v>
      </c>
      <c r="AS384" s="190"/>
      <c r="AT384" s="190"/>
      <c r="AU384" s="190"/>
      <c r="AV384" s="190"/>
      <c r="AW384" s="190"/>
      <c r="AX384" s="279" t="str">
        <f t="shared" si="160"/>
        <v/>
      </c>
    </row>
    <row r="385" spans="1:50" x14ac:dyDescent="0.25">
      <c r="A385" s="190" t="str">
        <f t="shared" si="163"/>
        <v/>
      </c>
      <c r="B385" s="279" t="str">
        <f t="shared" si="162"/>
        <v/>
      </c>
      <c r="C385" s="279"/>
      <c r="D385" s="279"/>
      <c r="E385" s="279" t="str">
        <f t="shared" si="151"/>
        <v/>
      </c>
      <c r="F385" t="s">
        <v>536</v>
      </c>
      <c r="G385" s="188">
        <v>44691</v>
      </c>
      <c r="H385" s="19"/>
      <c r="I385" s="19"/>
      <c r="J385" s="168" t="s">
        <v>402</v>
      </c>
      <c r="K385" s="168" t="s">
        <v>46</v>
      </c>
      <c r="L385" s="168" t="s">
        <v>833</v>
      </c>
      <c r="M385" s="170" t="s">
        <v>558</v>
      </c>
      <c r="N385" s="170"/>
      <c r="O385" s="237"/>
      <c r="P385" s="237"/>
      <c r="Q385" s="231" t="str">
        <f t="shared" si="152"/>
        <v>. Headlight TMS Control Module</v>
      </c>
      <c r="R385" s="231"/>
      <c r="S385" s="231" t="str">
        <f t="shared" si="154"/>
        <v/>
      </c>
      <c r="T385" s="231" t="str">
        <f>IF(O385&lt;&gt;"",_xlfn.XLOOKUP(O385,'3D. Pictures'!B:B,'3D. Pictures'!E:E,"NOT FOUND",0,1),"")</f>
        <v/>
      </c>
      <c r="U385" s="170"/>
      <c r="V385" s="168"/>
      <c r="W385" s="170"/>
      <c r="X385" s="168"/>
      <c r="Y385" s="16"/>
      <c r="Z385" s="168"/>
      <c r="AA385" s="168" t="s">
        <v>2593</v>
      </c>
      <c r="AB385" s="168" t="s">
        <v>2593</v>
      </c>
      <c r="AC385" s="247" t="str">
        <f t="shared" si="153"/>
        <v>has visible circuit board</v>
      </c>
      <c r="AD385" s="168"/>
      <c r="AE385" s="168" t="s">
        <v>2594</v>
      </c>
      <c r="AF385" s="168" t="s">
        <v>543</v>
      </c>
      <c r="AG385" s="168"/>
      <c r="AH385" s="169">
        <v>160</v>
      </c>
      <c r="AI385" s="380">
        <f t="shared" si="155"/>
        <v>160</v>
      </c>
      <c r="AJ385" s="3" t="s">
        <v>408</v>
      </c>
      <c r="AK385" s="3" t="s">
        <v>425</v>
      </c>
      <c r="AL385" s="3" t="s">
        <v>2175</v>
      </c>
      <c r="AM385" s="138"/>
      <c r="AO385" t="s">
        <v>572</v>
      </c>
      <c r="AX385" s="279" t="str">
        <f t="shared" si="160"/>
        <v/>
      </c>
    </row>
    <row r="386" spans="1:50" x14ac:dyDescent="0.25">
      <c r="A386" s="190" t="str">
        <f t="shared" si="163"/>
        <v/>
      </c>
      <c r="B386" s="279" t="str">
        <f t="shared" si="162"/>
        <v/>
      </c>
      <c r="C386" s="279"/>
      <c r="D386" s="279"/>
      <c r="E386" s="279" t="str">
        <f t="shared" si="151"/>
        <v/>
      </c>
      <c r="F386" t="s">
        <v>536</v>
      </c>
      <c r="G386" s="188">
        <v>44922</v>
      </c>
      <c r="H386" s="16"/>
      <c r="I386" s="16"/>
      <c r="J386" s="16" t="s">
        <v>402</v>
      </c>
      <c r="K386" s="16" t="s">
        <v>46</v>
      </c>
      <c r="L386" s="168" t="s">
        <v>833</v>
      </c>
      <c r="M386" s="170" t="s">
        <v>558</v>
      </c>
      <c r="N386" s="170"/>
      <c r="O386" s="237"/>
      <c r="P386" s="237"/>
      <c r="Q386" s="231" t="str">
        <f t="shared" si="152"/>
        <v>. Headlight, Daytime Running Light DRL Angel Eye Module</v>
      </c>
      <c r="R386" s="231"/>
      <c r="S386" s="231" t="str">
        <f t="shared" si="154"/>
        <v/>
      </c>
      <c r="T386" s="231" t="str">
        <f>IF(O386&lt;&gt;"",_xlfn.XLOOKUP(O386,'3D. Pictures'!B:B,'3D. Pictures'!E:E,"NOT FOUND",0,1),"")</f>
        <v/>
      </c>
      <c r="U386" s="170"/>
      <c r="V386" s="168"/>
      <c r="W386" s="170"/>
      <c r="X386" s="168"/>
      <c r="Y386" s="16"/>
      <c r="Z386" s="168"/>
      <c r="AA386" s="16" t="s">
        <v>2592</v>
      </c>
      <c r="AB386" s="16" t="s">
        <v>2592</v>
      </c>
      <c r="AC386" s="358" t="str">
        <f t="shared" si="153"/>
        <v>2 per car, bag/sell as SINGLES</v>
      </c>
      <c r="AD386" s="16" t="s">
        <v>2591</v>
      </c>
      <c r="AE386" s="16"/>
      <c r="AF386" s="168" t="s">
        <v>543</v>
      </c>
      <c r="AG386" s="16"/>
      <c r="AH386" s="16">
        <v>40</v>
      </c>
      <c r="AI386" s="380">
        <f t="shared" si="155"/>
        <v>40</v>
      </c>
      <c r="AJ386" s="3" t="s">
        <v>408</v>
      </c>
      <c r="AK386" s="3" t="s">
        <v>425</v>
      </c>
      <c r="AL386" s="3" t="s">
        <v>2175</v>
      </c>
      <c r="AO386" t="s">
        <v>572</v>
      </c>
      <c r="AX386" s="279" t="str">
        <f t="shared" si="160"/>
        <v/>
      </c>
    </row>
    <row r="387" spans="1:50" x14ac:dyDescent="0.25">
      <c r="A387" s="190" t="str">
        <f t="shared" si="163"/>
        <v/>
      </c>
      <c r="B387" s="279" t="str">
        <f t="shared" si="162"/>
        <v>114-60265</v>
      </c>
      <c r="C387" s="279"/>
      <c r="D387" s="279"/>
      <c r="E387" s="279">
        <f t="shared" si="151"/>
        <v>1</v>
      </c>
      <c r="F387" s="190" t="s">
        <v>535</v>
      </c>
      <c r="G387" s="198">
        <v>45219</v>
      </c>
      <c r="H387" s="207"/>
      <c r="I387" s="200" t="s">
        <v>7</v>
      </c>
      <c r="J387" s="201" t="s">
        <v>402</v>
      </c>
      <c r="K387" s="201" t="s">
        <v>46</v>
      </c>
      <c r="L387" s="201" t="s">
        <v>832</v>
      </c>
      <c r="M387" s="200" t="s">
        <v>558</v>
      </c>
      <c r="N387" s="200"/>
      <c r="O387" s="230"/>
      <c r="P387" s="230"/>
      <c r="Q387" s="231" t="str">
        <f t="shared" si="152"/>
        <v>. Headlight, FRONT - LEFT</v>
      </c>
      <c r="R387" s="231"/>
      <c r="S387" s="231" t="str">
        <f t="shared" si="154"/>
        <v/>
      </c>
      <c r="T387" s="231" t="str">
        <f>IF(O387&lt;&gt;"",_xlfn.XLOOKUP(O387,'3D. Pictures'!B:B,'3D. Pictures'!E:E,"NOT FOUND",0,1),"")</f>
        <v/>
      </c>
      <c r="U387" s="200"/>
      <c r="V387" s="201" t="s">
        <v>1282</v>
      </c>
      <c r="W387" s="200" t="s">
        <v>111</v>
      </c>
      <c r="X387" s="201"/>
      <c r="Y387" s="16"/>
      <c r="Z387" s="201"/>
      <c r="AA387" s="201" t="s">
        <v>830</v>
      </c>
      <c r="AB387" s="201" t="s">
        <v>830</v>
      </c>
      <c r="AC387" s="247" t="str">
        <f t="shared" si="153"/>
        <v>bad=keep ballast, adapt mod|toss LED mod &amp; plastic bracket</v>
      </c>
      <c r="AD387" s="201" t="s">
        <v>2828</v>
      </c>
      <c r="AE387" s="201"/>
      <c r="AF387" s="201" t="s">
        <v>543</v>
      </c>
      <c r="AG387" s="201"/>
      <c r="AH387" s="362">
        <v>1500</v>
      </c>
      <c r="AI387" s="380">
        <f t="shared" si="155"/>
        <v>1431.6666666666667</v>
      </c>
      <c r="AJ387" s="204" t="s">
        <v>408</v>
      </c>
      <c r="AK387" s="204" t="s">
        <v>425</v>
      </c>
      <c r="AL387" s="204" t="s">
        <v>2175</v>
      </c>
      <c r="AM387" s="203"/>
      <c r="AN387" s="191" t="s">
        <v>638</v>
      </c>
      <c r="AO387" s="190" t="s">
        <v>572</v>
      </c>
      <c r="AP387" s="190">
        <v>60265</v>
      </c>
      <c r="AQ387" s="190" t="str">
        <f t="shared" ref="AQ387:AQ399" si="164">CONCATENATE(AN387,AO387,AP387)</f>
        <v>114-60265</v>
      </c>
      <c r="AR387" s="190" t="s">
        <v>1290</v>
      </c>
      <c r="AS387" s="190"/>
      <c r="AT387" s="190"/>
      <c r="AU387" s="190"/>
      <c r="AV387" s="190"/>
      <c r="AW387" s="190"/>
      <c r="AX387" s="279" t="str">
        <f t="shared" si="160"/>
        <v/>
      </c>
    </row>
    <row r="388" spans="1:50" x14ac:dyDescent="0.25">
      <c r="A388" s="190" t="str">
        <f t="shared" si="163"/>
        <v/>
      </c>
      <c r="B388" s="279" t="str">
        <f t="shared" si="162"/>
        <v>114-60264</v>
      </c>
      <c r="C388" s="279"/>
      <c r="D388" s="279"/>
      <c r="E388" s="279">
        <f t="shared" si="151"/>
        <v>1</v>
      </c>
      <c r="F388" s="190" t="s">
        <v>535</v>
      </c>
      <c r="G388" s="198">
        <v>45219</v>
      </c>
      <c r="H388" s="210"/>
      <c r="I388" s="200" t="s">
        <v>7</v>
      </c>
      <c r="J388" s="201" t="s">
        <v>402</v>
      </c>
      <c r="K388" s="201" t="s">
        <v>46</v>
      </c>
      <c r="L388" s="201" t="s">
        <v>832</v>
      </c>
      <c r="M388" s="200" t="s">
        <v>558</v>
      </c>
      <c r="N388" s="200"/>
      <c r="O388" s="230"/>
      <c r="P388" s="230"/>
      <c r="Q388" s="231" t="str">
        <f t="shared" si="152"/>
        <v>. Headlight, FRONT - RIGHT</v>
      </c>
      <c r="R388" s="231"/>
      <c r="S388" s="231" t="str">
        <f t="shared" si="154"/>
        <v/>
      </c>
      <c r="T388" s="231" t="str">
        <f>IF(O388&lt;&gt;"",_xlfn.XLOOKUP(O388,'3D. Pictures'!B:B,'3D. Pictures'!E:E,"NOT FOUND",0,1),"")</f>
        <v/>
      </c>
      <c r="U388" s="200"/>
      <c r="V388" s="201" t="s">
        <v>1283</v>
      </c>
      <c r="W388" s="200" t="s">
        <v>111</v>
      </c>
      <c r="X388" s="201"/>
      <c r="Y388" s="168"/>
      <c r="Z388" s="201"/>
      <c r="AA388" s="201" t="s">
        <v>831</v>
      </c>
      <c r="AB388" s="201" t="s">
        <v>831</v>
      </c>
      <c r="AC388" s="247" t="str">
        <f t="shared" si="153"/>
        <v>bad=keep ballast, adapt mod|toss LED mod &amp; plastic bracket</v>
      </c>
      <c r="AD388" s="201" t="s">
        <v>2828</v>
      </c>
      <c r="AE388" s="201"/>
      <c r="AF388" s="201" t="s">
        <v>543</v>
      </c>
      <c r="AG388" s="201"/>
      <c r="AH388" s="362">
        <v>1500</v>
      </c>
      <c r="AI388" s="380">
        <f t="shared" si="155"/>
        <v>1431.6666666666667</v>
      </c>
      <c r="AJ388" s="204" t="s">
        <v>408</v>
      </c>
      <c r="AK388" s="204" t="s">
        <v>425</v>
      </c>
      <c r="AL388" s="204" t="s">
        <v>2175</v>
      </c>
      <c r="AM388" s="211"/>
      <c r="AN388" s="191" t="s">
        <v>638</v>
      </c>
      <c r="AO388" s="190" t="s">
        <v>572</v>
      </c>
      <c r="AP388" s="190">
        <v>60264</v>
      </c>
      <c r="AQ388" s="190" t="str">
        <f t="shared" si="164"/>
        <v>114-60264</v>
      </c>
      <c r="AR388" s="190" t="s">
        <v>1291</v>
      </c>
      <c r="AS388" s="190"/>
      <c r="AT388" s="190"/>
      <c r="AU388" s="190"/>
      <c r="AV388" s="190"/>
      <c r="AW388" s="190"/>
      <c r="AX388" s="279" t="str">
        <f t="shared" si="160"/>
        <v/>
      </c>
    </row>
    <row r="389" spans="1:50" x14ac:dyDescent="0.25">
      <c r="A389" s="190" t="str">
        <f t="shared" si="163"/>
        <v/>
      </c>
      <c r="B389" s="279" t="str">
        <f t="shared" si="162"/>
        <v>114-60686</v>
      </c>
      <c r="C389" s="279"/>
      <c r="D389" s="279"/>
      <c r="E389" s="279">
        <f t="shared" si="151"/>
        <v>1</v>
      </c>
      <c r="F389" s="190" t="s">
        <v>535</v>
      </c>
      <c r="G389" s="198">
        <v>45219</v>
      </c>
      <c r="H389" s="207"/>
      <c r="I389" s="200" t="s">
        <v>7</v>
      </c>
      <c r="J389" s="201" t="s">
        <v>402</v>
      </c>
      <c r="K389" s="201" t="s">
        <v>46</v>
      </c>
      <c r="L389" s="201" t="s">
        <v>832</v>
      </c>
      <c r="M389" s="200" t="s">
        <v>558</v>
      </c>
      <c r="N389" s="200"/>
      <c r="O389" s="230"/>
      <c r="P389" s="230"/>
      <c r="Q389" s="231" t="str">
        <f t="shared" si="152"/>
        <v>. Headlight, FRONT - LEFT</v>
      </c>
      <c r="R389" s="231"/>
      <c r="S389" s="231" t="str">
        <f t="shared" si="154"/>
        <v/>
      </c>
      <c r="T389" s="231" t="str">
        <f>IF(O389&lt;&gt;"",_xlfn.XLOOKUP(O389,'3D. Pictures'!B:B,'3D. Pictures'!E:E,"NOT FOUND",0,1),"")</f>
        <v/>
      </c>
      <c r="U389" s="200"/>
      <c r="V389" s="201" t="s">
        <v>1286</v>
      </c>
      <c r="W389" s="200" t="s">
        <v>111</v>
      </c>
      <c r="X389" s="201"/>
      <c r="Y389" s="16"/>
      <c r="Z389" s="201"/>
      <c r="AA389" s="201" t="s">
        <v>830</v>
      </c>
      <c r="AB389" s="201" t="s">
        <v>830</v>
      </c>
      <c r="AC389" s="247" t="str">
        <f t="shared" si="153"/>
        <v>bad=keep ballast, adapt mod|toss LED mod &amp; plastic bracket</v>
      </c>
      <c r="AD389" s="201" t="s">
        <v>2828</v>
      </c>
      <c r="AE389" s="201"/>
      <c r="AF389" s="201" t="s">
        <v>543</v>
      </c>
      <c r="AG389" s="201"/>
      <c r="AH389" s="362">
        <v>1500</v>
      </c>
      <c r="AI389" s="380">
        <f t="shared" si="155"/>
        <v>1431.6666666666667</v>
      </c>
      <c r="AJ389" s="204" t="s">
        <v>408</v>
      </c>
      <c r="AK389" s="204" t="s">
        <v>425</v>
      </c>
      <c r="AL389" s="204" t="s">
        <v>2175</v>
      </c>
      <c r="AM389" s="203"/>
      <c r="AN389" s="191" t="s">
        <v>638</v>
      </c>
      <c r="AO389" s="190" t="s">
        <v>572</v>
      </c>
      <c r="AP389" s="190">
        <v>60686</v>
      </c>
      <c r="AQ389" s="190" t="str">
        <f t="shared" si="164"/>
        <v>114-60686</v>
      </c>
      <c r="AR389" s="190" t="s">
        <v>1288</v>
      </c>
      <c r="AS389" s="190"/>
      <c r="AT389" s="190"/>
      <c r="AU389" s="190"/>
      <c r="AV389" s="190"/>
      <c r="AW389" s="190"/>
      <c r="AX389" s="279" t="str">
        <f t="shared" si="160"/>
        <v/>
      </c>
    </row>
    <row r="390" spans="1:50" ht="15.75" thickBot="1" x14ac:dyDescent="0.3">
      <c r="A390" s="190" t="str">
        <f t="shared" si="163"/>
        <v/>
      </c>
      <c r="B390" s="279" t="str">
        <f t="shared" si="162"/>
        <v>114-60685</v>
      </c>
      <c r="C390" s="279"/>
      <c r="D390" s="279"/>
      <c r="E390" s="279">
        <f t="shared" si="151"/>
        <v>1</v>
      </c>
      <c r="F390" s="190" t="s">
        <v>535</v>
      </c>
      <c r="G390" s="198">
        <v>45219</v>
      </c>
      <c r="H390" s="210"/>
      <c r="I390" s="200" t="s">
        <v>7</v>
      </c>
      <c r="J390" s="201" t="s">
        <v>402</v>
      </c>
      <c r="K390" s="201" t="s">
        <v>46</v>
      </c>
      <c r="L390" s="201" t="s">
        <v>832</v>
      </c>
      <c r="M390" s="200" t="s">
        <v>558</v>
      </c>
      <c r="N390" s="200"/>
      <c r="O390" s="230"/>
      <c r="P390" s="230"/>
      <c r="Q390" s="231" t="str">
        <f t="shared" si="152"/>
        <v>. Headlight, FRONT - RIGHT</v>
      </c>
      <c r="R390" s="231"/>
      <c r="S390" s="231" t="str">
        <f t="shared" si="154"/>
        <v/>
      </c>
      <c r="T390" s="231" t="str">
        <f>IF(O390&lt;&gt;"",_xlfn.XLOOKUP(O390,'3D. Pictures'!B:B,'3D. Pictures'!E:E,"NOT FOUND",0,1),"")</f>
        <v/>
      </c>
      <c r="U390" s="200"/>
      <c r="V390" s="201" t="s">
        <v>1287</v>
      </c>
      <c r="W390" s="200" t="s">
        <v>111</v>
      </c>
      <c r="X390" s="201"/>
      <c r="Y390" s="16"/>
      <c r="Z390" s="201"/>
      <c r="AA390" s="201" t="s">
        <v>831</v>
      </c>
      <c r="AB390" s="201" t="s">
        <v>831</v>
      </c>
      <c r="AC390" s="247" t="str">
        <f t="shared" si="153"/>
        <v>bad=keep ballast, adapt mod|toss LED mod &amp; plastic bracket</v>
      </c>
      <c r="AD390" s="201" t="s">
        <v>2828</v>
      </c>
      <c r="AE390" s="201"/>
      <c r="AF390" s="201" t="s">
        <v>543</v>
      </c>
      <c r="AG390" s="201"/>
      <c r="AH390" s="362">
        <v>1500</v>
      </c>
      <c r="AI390" s="380">
        <f t="shared" si="155"/>
        <v>1431.6666666666667</v>
      </c>
      <c r="AJ390" s="204" t="s">
        <v>408</v>
      </c>
      <c r="AK390" s="204" t="s">
        <v>425</v>
      </c>
      <c r="AL390" s="204" t="s">
        <v>2175</v>
      </c>
      <c r="AM390" s="211"/>
      <c r="AN390" s="191" t="s">
        <v>638</v>
      </c>
      <c r="AO390" s="190" t="s">
        <v>572</v>
      </c>
      <c r="AP390" s="190">
        <v>60685</v>
      </c>
      <c r="AQ390" s="190" t="str">
        <f t="shared" si="164"/>
        <v>114-60685</v>
      </c>
      <c r="AR390" s="190" t="s">
        <v>1289</v>
      </c>
      <c r="AS390" s="190"/>
      <c r="AT390" s="190"/>
      <c r="AU390" s="190"/>
      <c r="AV390" s="190"/>
      <c r="AW390" s="190"/>
      <c r="AX390" s="279" t="str">
        <f t="shared" si="160"/>
        <v/>
      </c>
    </row>
    <row r="391" spans="1:50" ht="15.75" thickBot="1" x14ac:dyDescent="0.3">
      <c r="A391" s="190" t="str">
        <f t="shared" si="163"/>
        <v>A83</v>
      </c>
      <c r="B391" s="279" t="str">
        <f t="shared" si="162"/>
        <v>114-60267</v>
      </c>
      <c r="C391" s="279"/>
      <c r="D391" s="279"/>
      <c r="E391" s="279">
        <f t="shared" si="151"/>
        <v>1</v>
      </c>
      <c r="F391" s="190" t="s">
        <v>535</v>
      </c>
      <c r="G391" s="198">
        <v>44671</v>
      </c>
      <c r="H391" s="207"/>
      <c r="I391" s="200" t="s">
        <v>7</v>
      </c>
      <c r="J391" s="201" t="s">
        <v>402</v>
      </c>
      <c r="K391" s="201" t="s">
        <v>46</v>
      </c>
      <c r="L391" s="201" t="s">
        <v>832</v>
      </c>
      <c r="M391" s="200" t="s">
        <v>558</v>
      </c>
      <c r="N391" s="200">
        <v>73</v>
      </c>
      <c r="O391" s="230" t="s">
        <v>985</v>
      </c>
      <c r="P391" s="230" t="s">
        <v>1280</v>
      </c>
      <c r="Q391" s="231" t="str">
        <f t="shared" si="152"/>
        <v>A83. Headlight, FRONT - LEFT</v>
      </c>
      <c r="R391" s="284" t="str">
        <f>HYPERLINK(VLOOKUP(O391,'3D. Pictures'!$B$3:$E$500,4,FALSE),"PIC")</f>
        <v>PIC</v>
      </c>
      <c r="S391" s="373" t="str">
        <f t="shared" si="154"/>
        <v>E.G.</v>
      </c>
      <c r="T391" s="377" t="str">
        <f>IF(O391&lt;&gt;"",_xlfn.XLOOKUP(O391,'3D. Pictures'!B:B,'3D. Pictures'!E:E,"NOT FOUND",0,1),"")</f>
        <v>https://viking-pictures.s3.us-west-1.amazonaws.com/AA1155/A83.+Headlight%2C+FRONT+-+LEFT+(1).JPG</v>
      </c>
      <c r="U391" s="200">
        <v>5</v>
      </c>
      <c r="V391" s="201" t="s">
        <v>1281</v>
      </c>
      <c r="W391" s="200" t="s">
        <v>111</v>
      </c>
      <c r="X391" s="201"/>
      <c r="Y391" s="243"/>
      <c r="Z391" s="201"/>
      <c r="AA391" s="201" t="s">
        <v>830</v>
      </c>
      <c r="AB391" s="201" t="s">
        <v>830</v>
      </c>
      <c r="AC391" s="247" t="str">
        <f t="shared" si="153"/>
        <v>bad=keep ballast, adapt mod|toss LED mod &amp; plastic bracket</v>
      </c>
      <c r="AD391" s="201" t="s">
        <v>2828</v>
      </c>
      <c r="AE391" s="201"/>
      <c r="AF391" s="201" t="s">
        <v>543</v>
      </c>
      <c r="AG391" s="201"/>
      <c r="AH391" s="362">
        <v>1295</v>
      </c>
      <c r="AI391" s="380">
        <f t="shared" si="155"/>
        <v>1431.6666666666667</v>
      </c>
      <c r="AJ391" s="204" t="s">
        <v>408</v>
      </c>
      <c r="AK391" s="204" t="s">
        <v>425</v>
      </c>
      <c r="AL391" s="204" t="s">
        <v>2175</v>
      </c>
      <c r="AM391" s="203"/>
      <c r="AN391" s="191" t="s">
        <v>638</v>
      </c>
      <c r="AO391" s="190" t="s">
        <v>572</v>
      </c>
      <c r="AP391" s="190">
        <v>60267</v>
      </c>
      <c r="AQ391" s="190" t="str">
        <f t="shared" si="164"/>
        <v>114-60267</v>
      </c>
      <c r="AR391" s="190" t="s">
        <v>1284</v>
      </c>
      <c r="AS391" s="190"/>
      <c r="AT391" s="190"/>
      <c r="AU391" s="190"/>
      <c r="AV391" s="190"/>
      <c r="AW391" s="190"/>
      <c r="AX391" s="279" t="str">
        <f t="shared" si="160"/>
        <v/>
      </c>
    </row>
    <row r="392" spans="1:50" x14ac:dyDescent="0.25">
      <c r="A392" s="190" t="str">
        <f t="shared" si="163"/>
        <v/>
      </c>
      <c r="B392" s="279" t="str">
        <f t="shared" si="162"/>
        <v>114-60266</v>
      </c>
      <c r="C392" s="279"/>
      <c r="D392" s="279"/>
      <c r="E392" s="279">
        <f t="shared" si="151"/>
        <v>1</v>
      </c>
      <c r="F392" s="190" t="s">
        <v>535</v>
      </c>
      <c r="G392" s="198">
        <v>44671</v>
      </c>
      <c r="H392" s="210"/>
      <c r="I392" s="200" t="s">
        <v>7</v>
      </c>
      <c r="J392" s="201" t="s">
        <v>402</v>
      </c>
      <c r="K392" s="201" t="s">
        <v>46</v>
      </c>
      <c r="L392" s="201" t="s">
        <v>832</v>
      </c>
      <c r="M392" s="200" t="s">
        <v>558</v>
      </c>
      <c r="N392" s="200"/>
      <c r="O392" s="230"/>
      <c r="P392" s="230"/>
      <c r="Q392" s="231" t="str">
        <f t="shared" si="152"/>
        <v>. Headlight, FRONT - RIGHT</v>
      </c>
      <c r="R392" s="231"/>
      <c r="S392" s="231" t="str">
        <f t="shared" si="154"/>
        <v/>
      </c>
      <c r="T392" s="231" t="str">
        <f>IF(O392&lt;&gt;"",_xlfn.XLOOKUP(O392,'3D. Pictures'!B:B,'3D. Pictures'!E:E,"NOT FOUND",0,1),"")</f>
        <v/>
      </c>
      <c r="U392" s="200"/>
      <c r="V392" s="201"/>
      <c r="W392" s="200"/>
      <c r="X392" s="201"/>
      <c r="Y392" s="201"/>
      <c r="Z392" s="201"/>
      <c r="AA392" s="201" t="s">
        <v>831</v>
      </c>
      <c r="AB392" s="201" t="s">
        <v>831</v>
      </c>
      <c r="AC392" s="247" t="str">
        <f t="shared" si="153"/>
        <v>bad=keep ballast, adapt mod|toss LED mod &amp; plastic bracket</v>
      </c>
      <c r="AD392" s="201" t="s">
        <v>2828</v>
      </c>
      <c r="AE392" s="201"/>
      <c r="AF392" s="201" t="s">
        <v>543</v>
      </c>
      <c r="AG392" s="201"/>
      <c r="AH392" s="362">
        <v>1295</v>
      </c>
      <c r="AI392" s="380">
        <f t="shared" si="155"/>
        <v>1431.6666666666667</v>
      </c>
      <c r="AJ392" s="204" t="s">
        <v>408</v>
      </c>
      <c r="AK392" s="204" t="s">
        <v>425</v>
      </c>
      <c r="AL392" s="204" t="s">
        <v>2175</v>
      </c>
      <c r="AM392" s="211"/>
      <c r="AN392" s="191" t="s">
        <v>638</v>
      </c>
      <c r="AO392" s="190" t="s">
        <v>572</v>
      </c>
      <c r="AP392" s="190">
        <v>60266</v>
      </c>
      <c r="AQ392" s="190" t="str">
        <f t="shared" si="164"/>
        <v>114-60266</v>
      </c>
      <c r="AR392" s="190" t="s">
        <v>1285</v>
      </c>
      <c r="AS392" s="190"/>
      <c r="AT392" s="190"/>
      <c r="AU392" s="190"/>
      <c r="AV392" s="190"/>
      <c r="AW392" s="190"/>
      <c r="AX392" s="279" t="str">
        <f t="shared" si="160"/>
        <v/>
      </c>
    </row>
    <row r="393" spans="1:50" x14ac:dyDescent="0.25">
      <c r="A393" s="190" t="str">
        <f t="shared" si="163"/>
        <v/>
      </c>
      <c r="B393" s="279" t="str">
        <f t="shared" si="162"/>
        <v>591-74049</v>
      </c>
      <c r="C393" s="279"/>
      <c r="D393" s="279"/>
      <c r="E393" s="279">
        <f t="shared" ref="E393:E456" si="165">IF(B393&lt;&gt;"",COUNTIF($B$9:$B$2241,B393),"")</f>
        <v>1</v>
      </c>
      <c r="F393" s="190" t="s">
        <v>536</v>
      </c>
      <c r="G393" s="198">
        <v>44922</v>
      </c>
      <c r="H393" s="217"/>
      <c r="I393" s="192"/>
      <c r="J393" s="205" t="s">
        <v>402</v>
      </c>
      <c r="K393" s="205" t="s">
        <v>46</v>
      </c>
      <c r="L393" s="205" t="s">
        <v>833</v>
      </c>
      <c r="M393" s="200" t="s">
        <v>558</v>
      </c>
      <c r="N393" s="200"/>
      <c r="O393" s="230"/>
      <c r="P393" s="230"/>
      <c r="Q393" s="231" t="str">
        <f t="shared" ref="Q393:Q456" si="166">CONCATENATE(O393,". ",AB393)</f>
        <v>. Headlight, XENON Adaptive Control Module</v>
      </c>
      <c r="R393" s="231"/>
      <c r="S393" s="231" t="str">
        <f t="shared" si="154"/>
        <v/>
      </c>
      <c r="T393" s="231" t="str">
        <f>IF(O393&lt;&gt;"",_xlfn.XLOOKUP(O393,'3D. Pictures'!B:B,'3D. Pictures'!E:E,"NOT FOUND",0,1),"")</f>
        <v/>
      </c>
      <c r="U393" s="200"/>
      <c r="V393" s="201"/>
      <c r="W393" s="200"/>
      <c r="X393" s="201"/>
      <c r="Y393" s="201"/>
      <c r="Z393" s="201"/>
      <c r="AA393" s="205" t="s">
        <v>2192</v>
      </c>
      <c r="AB393" s="205" t="s">
        <v>2192</v>
      </c>
      <c r="AC393" s="358" t="str">
        <f t="shared" si="153"/>
        <v>black plastic w/ vents &amp; visible circuit board</v>
      </c>
      <c r="AD393" s="205"/>
      <c r="AE393" s="205" t="s">
        <v>2191</v>
      </c>
      <c r="AF393" s="201" t="s">
        <v>543</v>
      </c>
      <c r="AG393" s="205"/>
      <c r="AH393" s="16">
        <v>200</v>
      </c>
      <c r="AI393" s="380">
        <f t="shared" si="155"/>
        <v>200</v>
      </c>
      <c r="AJ393" s="204" t="s">
        <v>408</v>
      </c>
      <c r="AK393" s="204" t="s">
        <v>425</v>
      </c>
      <c r="AL393" s="204" t="s">
        <v>2175</v>
      </c>
      <c r="AM393" s="190"/>
      <c r="AN393" s="191" t="s">
        <v>637</v>
      </c>
      <c r="AO393" s="190" t="s">
        <v>572</v>
      </c>
      <c r="AP393" s="190">
        <v>74049</v>
      </c>
      <c r="AQ393" s="190" t="str">
        <f t="shared" si="164"/>
        <v>591-74049</v>
      </c>
      <c r="AR393" s="190" t="s">
        <v>2190</v>
      </c>
      <c r="AS393" s="190"/>
      <c r="AT393" s="190"/>
      <c r="AU393" s="190"/>
      <c r="AV393" s="190"/>
      <c r="AW393" s="190"/>
      <c r="AX393" s="279" t="str">
        <f t="shared" si="160"/>
        <v/>
      </c>
    </row>
    <row r="394" spans="1:50" x14ac:dyDescent="0.25">
      <c r="A394" s="190" t="str">
        <f t="shared" si="163"/>
        <v/>
      </c>
      <c r="B394" s="279" t="str">
        <f t="shared" si="162"/>
        <v>591-71543</v>
      </c>
      <c r="C394" s="279"/>
      <c r="D394" s="279"/>
      <c r="E394" s="279">
        <f t="shared" si="165"/>
        <v>1</v>
      </c>
      <c r="F394" s="190" t="s">
        <v>536</v>
      </c>
      <c r="G394" s="198">
        <v>44922</v>
      </c>
      <c r="H394" s="217"/>
      <c r="I394" s="192"/>
      <c r="J394" s="205" t="s">
        <v>402</v>
      </c>
      <c r="K394" s="205" t="s">
        <v>46</v>
      </c>
      <c r="L394" s="205" t="s">
        <v>833</v>
      </c>
      <c r="M394" s="200" t="s">
        <v>558</v>
      </c>
      <c r="N394" s="200"/>
      <c r="O394" s="230"/>
      <c r="P394" s="230"/>
      <c r="Q394" s="231" t="str">
        <f t="shared" si="166"/>
        <v>. Headlight, XENON Ballast Control Module, XENON</v>
      </c>
      <c r="R394" s="231"/>
      <c r="S394" s="231" t="str">
        <f t="shared" si="154"/>
        <v/>
      </c>
      <c r="T394" s="231" t="str">
        <f>IF(O394&lt;&gt;"",_xlfn.XLOOKUP(O394,'3D. Pictures'!B:B,'3D. Pictures'!E:E,"NOT FOUND",0,1),"")</f>
        <v/>
      </c>
      <c r="U394" s="200"/>
      <c r="V394" s="201"/>
      <c r="W394" s="200"/>
      <c r="X394" s="201"/>
      <c r="Y394" s="201"/>
      <c r="Z394" s="201"/>
      <c r="AA394" s="205" t="s">
        <v>2193</v>
      </c>
      <c r="AB394" s="205" t="s">
        <v>2193</v>
      </c>
      <c r="AC394" s="358" t="str">
        <f t="shared" ref="AC394:AC456" si="167">_xlfn.TEXTJOIN(" | ",TRUE,AD394,AE394)</f>
        <v>shiny silver metal</v>
      </c>
      <c r="AD394" s="205"/>
      <c r="AE394" s="205" t="s">
        <v>834</v>
      </c>
      <c r="AF394" s="201" t="s">
        <v>543</v>
      </c>
      <c r="AG394" s="205"/>
      <c r="AH394" s="16">
        <v>50</v>
      </c>
      <c r="AI394" s="380">
        <f t="shared" si="155"/>
        <v>50</v>
      </c>
      <c r="AJ394" s="204" t="s">
        <v>408</v>
      </c>
      <c r="AK394" s="204" t="s">
        <v>425</v>
      </c>
      <c r="AL394" s="204" t="s">
        <v>2175</v>
      </c>
      <c r="AM394" s="190"/>
      <c r="AN394" s="191" t="s">
        <v>637</v>
      </c>
      <c r="AO394" s="190" t="s">
        <v>572</v>
      </c>
      <c r="AP394" s="190">
        <v>71543</v>
      </c>
      <c r="AQ394" s="190" t="str">
        <f t="shared" si="164"/>
        <v>591-71543</v>
      </c>
      <c r="AR394" s="190" t="s">
        <v>2190</v>
      </c>
      <c r="AS394" s="190"/>
      <c r="AT394" s="190"/>
      <c r="AU394" s="190"/>
      <c r="AV394" s="190"/>
      <c r="AW394" s="190"/>
      <c r="AX394" s="279" t="str">
        <f t="shared" si="160"/>
        <v/>
      </c>
    </row>
    <row r="395" spans="1:50" ht="15.75" thickBot="1" x14ac:dyDescent="0.3">
      <c r="A395" s="190" t="str">
        <f t="shared" si="163"/>
        <v/>
      </c>
      <c r="B395" s="303" t="str">
        <f t="shared" ref="B395" si="168">IF(AQ395&lt;&gt;"",AQ395,"")</f>
        <v/>
      </c>
      <c r="C395" s="303"/>
      <c r="D395" s="303"/>
      <c r="E395" s="303" t="str">
        <f t="shared" si="165"/>
        <v/>
      </c>
      <c r="F395" s="303" t="s">
        <v>535</v>
      </c>
      <c r="G395" s="304">
        <v>45244</v>
      </c>
      <c r="H395" s="305"/>
      <c r="I395" s="305"/>
      <c r="J395" s="309" t="s">
        <v>402</v>
      </c>
      <c r="K395" s="309" t="s">
        <v>46</v>
      </c>
      <c r="L395" s="309" t="s">
        <v>833</v>
      </c>
      <c r="M395" s="329" t="s">
        <v>558</v>
      </c>
      <c r="N395" s="329"/>
      <c r="O395" s="330"/>
      <c r="P395" s="330"/>
      <c r="Q395" s="307" t="str">
        <f t="shared" si="166"/>
        <v>. Headlight, Access Cover Cap SET 2</v>
      </c>
      <c r="R395" s="307"/>
      <c r="S395" s="307" t="str">
        <f t="shared" si="154"/>
        <v/>
      </c>
      <c r="T395" s="307" t="str">
        <f>IF(O395&lt;&gt;"",_xlfn.XLOOKUP(O395,'3D. Pictures'!B:B,'3D. Pictures'!E:E,"NOT FOUND",0,1),"")</f>
        <v/>
      </c>
      <c r="U395" s="329"/>
      <c r="V395" s="309"/>
      <c r="W395" s="329"/>
      <c r="X395" s="309"/>
      <c r="Y395" s="243"/>
      <c r="Z395" s="309"/>
      <c r="AA395" s="309" t="s">
        <v>2500</v>
      </c>
      <c r="AB395" s="309" t="s">
        <v>2500</v>
      </c>
      <c r="AC395" s="247" t="str">
        <f t="shared" si="167"/>
        <v>on light unless bad, x2 per light sell SET2, toss singles</v>
      </c>
      <c r="AD395" s="309" t="s">
        <v>2189</v>
      </c>
      <c r="AE395" s="309"/>
      <c r="AF395" s="309" t="s">
        <v>543</v>
      </c>
      <c r="AG395" s="309"/>
      <c r="AH395" s="169">
        <v>60</v>
      </c>
      <c r="AI395" s="380">
        <f t="shared" si="155"/>
        <v>60</v>
      </c>
      <c r="AJ395" s="310" t="s">
        <v>408</v>
      </c>
      <c r="AK395" s="310" t="s">
        <v>425</v>
      </c>
      <c r="AL395" s="310" t="s">
        <v>2175</v>
      </c>
      <c r="AM395" s="331"/>
      <c r="AN395" s="332"/>
      <c r="AO395" s="303" t="s">
        <v>572</v>
      </c>
      <c r="AP395" s="303"/>
      <c r="AQ395" s="303"/>
      <c r="AR395" s="303" t="s">
        <v>1229</v>
      </c>
      <c r="AS395" s="303" t="s">
        <v>1028</v>
      </c>
      <c r="AT395" s="303" t="s">
        <v>1029</v>
      </c>
      <c r="AU395" s="303" t="s">
        <v>1030</v>
      </c>
      <c r="AV395" s="303" t="str">
        <f t="shared" ref="AV395" si="169">CONCATENATE(AS395,"-",AT395,"-",AU395)</f>
        <v>F15-14-18-ALL</v>
      </c>
      <c r="AW395" s="303" t="s">
        <v>2406</v>
      </c>
      <c r="AX395" s="279" t="str">
        <f t="shared" si="160"/>
        <v>F15-14-18-ALL-Viking40</v>
      </c>
    </row>
    <row r="396" spans="1:50" ht="15.75" thickBot="1" x14ac:dyDescent="0.3">
      <c r="A396" s="190" t="str">
        <f t="shared" si="163"/>
        <v>A112</v>
      </c>
      <c r="B396" s="279" t="str">
        <f t="shared" si="162"/>
        <v>166-60725</v>
      </c>
      <c r="C396" s="279"/>
      <c r="D396" s="279"/>
      <c r="E396" s="279">
        <f t="shared" si="165"/>
        <v>1</v>
      </c>
      <c r="F396" s="190" t="s">
        <v>535</v>
      </c>
      <c r="G396" s="198">
        <v>44671</v>
      </c>
      <c r="H396" s="217"/>
      <c r="I396" s="192" t="s">
        <v>7</v>
      </c>
      <c r="J396" s="205" t="s">
        <v>402</v>
      </c>
      <c r="K396" s="205" t="s">
        <v>46</v>
      </c>
      <c r="L396" s="205" t="s">
        <v>1373</v>
      </c>
      <c r="M396" s="200" t="s">
        <v>558</v>
      </c>
      <c r="N396" s="200">
        <v>102</v>
      </c>
      <c r="O396" s="230" t="s">
        <v>1014</v>
      </c>
      <c r="P396" s="230" t="s">
        <v>1307</v>
      </c>
      <c r="Q396" s="231" t="str">
        <f t="shared" si="166"/>
        <v>A112. Taillight, QUARTER PANEL MOUNTED - LEFT</v>
      </c>
      <c r="R396" s="284" t="str">
        <f>HYPERLINK(VLOOKUP(O396,'3D. Pictures'!$B$3:$E$500,4,FALSE),"PIC")</f>
        <v>PIC</v>
      </c>
      <c r="S396" s="373" t="str">
        <f t="shared" ref="S396:S459" si="170">IF(T396&lt;&gt;"",HYPERLINK(T396,"E.G."),"")</f>
        <v>E.G.</v>
      </c>
      <c r="T396" s="377" t="str">
        <f>IF(O396&lt;&gt;"",_xlfn.XLOOKUP(O396,'3D. Pictures'!B:B,'3D. Pictures'!E:E,"NOT FOUND",0,1),"")</f>
        <v>https://viking-pictures.s3.us-west-1.amazonaws.com/AA1155/A112.+Taillight%2C+QUARTER+PANEL+MOUNTED+-+LEFT+(1).JPG</v>
      </c>
      <c r="U396" s="200">
        <v>7</v>
      </c>
      <c r="V396" s="201" t="s">
        <v>1351</v>
      </c>
      <c r="W396" s="200" t="s">
        <v>112</v>
      </c>
      <c r="X396" s="201" t="s">
        <v>2468</v>
      </c>
      <c r="Y396" s="201"/>
      <c r="Z396" s="201"/>
      <c r="AA396" s="205" t="s">
        <v>529</v>
      </c>
      <c r="AB396" s="205" t="s">
        <v>529</v>
      </c>
      <c r="AC396" s="358" t="str">
        <f t="shared" si="167"/>
        <v/>
      </c>
      <c r="AD396" s="205"/>
      <c r="AE396" s="205"/>
      <c r="AF396" s="201" t="s">
        <v>543</v>
      </c>
      <c r="AG396" s="205"/>
      <c r="AH396" s="16">
        <v>235</v>
      </c>
      <c r="AI396" s="380">
        <f t="shared" si="155"/>
        <v>235</v>
      </c>
      <c r="AJ396" s="204" t="s">
        <v>408</v>
      </c>
      <c r="AK396" s="204" t="s">
        <v>425</v>
      </c>
      <c r="AL396" s="204" t="s">
        <v>2175</v>
      </c>
      <c r="AM396" s="190"/>
      <c r="AN396" s="191" t="s">
        <v>639</v>
      </c>
      <c r="AO396" s="190" t="s">
        <v>572</v>
      </c>
      <c r="AP396" s="190">
        <v>60725</v>
      </c>
      <c r="AQ396" s="190" t="str">
        <f t="shared" si="164"/>
        <v>166-60725</v>
      </c>
      <c r="AR396" s="190"/>
      <c r="AS396" s="190"/>
      <c r="AT396" s="190"/>
      <c r="AU396" s="190"/>
      <c r="AV396" s="190"/>
      <c r="AW396" s="190"/>
      <c r="AX396" s="279" t="str">
        <f t="shared" si="160"/>
        <v/>
      </c>
    </row>
    <row r="397" spans="1:50" ht="15.75" thickBot="1" x14ac:dyDescent="0.3">
      <c r="A397" s="190" t="str">
        <f t="shared" si="163"/>
        <v/>
      </c>
      <c r="B397" s="279" t="str">
        <f t="shared" si="162"/>
        <v>166-60724</v>
      </c>
      <c r="C397" s="279"/>
      <c r="D397" s="279"/>
      <c r="E397" s="279">
        <f t="shared" si="165"/>
        <v>1</v>
      </c>
      <c r="F397" s="190" t="s">
        <v>535</v>
      </c>
      <c r="G397" s="198">
        <v>44671</v>
      </c>
      <c r="H397" s="217"/>
      <c r="I397" s="192" t="s">
        <v>7</v>
      </c>
      <c r="J397" s="205" t="s">
        <v>402</v>
      </c>
      <c r="K397" s="205" t="s">
        <v>46</v>
      </c>
      <c r="L397" s="205" t="s">
        <v>1373</v>
      </c>
      <c r="M397" s="200" t="s">
        <v>558</v>
      </c>
      <c r="N397" s="200"/>
      <c r="O397" s="230"/>
      <c r="P397" s="230"/>
      <c r="Q397" s="231" t="str">
        <f t="shared" si="166"/>
        <v>. Taillight, QUARTER PANEL MOUNTED - RIGHT</v>
      </c>
      <c r="R397" s="231"/>
      <c r="S397" s="231" t="str">
        <f t="shared" si="170"/>
        <v/>
      </c>
      <c r="T397" s="231" t="str">
        <f>IF(O397&lt;&gt;"",_xlfn.XLOOKUP(O397,'3D. Pictures'!B:B,'3D. Pictures'!E:E,"NOT FOUND",0,1),"")</f>
        <v/>
      </c>
      <c r="U397" s="200"/>
      <c r="V397" s="201"/>
      <c r="W397" s="200"/>
      <c r="X397" s="201"/>
      <c r="Y397" s="272"/>
      <c r="Z397" s="201"/>
      <c r="AA397" s="205" t="s">
        <v>530</v>
      </c>
      <c r="AB397" s="205" t="s">
        <v>530</v>
      </c>
      <c r="AC397" s="358" t="str">
        <f t="shared" si="167"/>
        <v/>
      </c>
      <c r="AD397" s="205"/>
      <c r="AE397" s="205"/>
      <c r="AF397" s="201" t="s">
        <v>543</v>
      </c>
      <c r="AG397" s="205"/>
      <c r="AH397" s="16">
        <v>235</v>
      </c>
      <c r="AI397" s="380">
        <f t="shared" ref="AI397:AI460" si="171">IF(ISTEXT(AH397), AH397, IFERROR(AVERAGEIF(AA:AA, AA397, AH:AH), ""))</f>
        <v>235</v>
      </c>
      <c r="AJ397" s="204" t="s">
        <v>408</v>
      </c>
      <c r="AK397" s="204" t="s">
        <v>425</v>
      </c>
      <c r="AL397" s="204" t="s">
        <v>2175</v>
      </c>
      <c r="AM397" s="190"/>
      <c r="AN397" s="191" t="s">
        <v>639</v>
      </c>
      <c r="AO397" s="190" t="s">
        <v>572</v>
      </c>
      <c r="AP397" s="190">
        <v>60724</v>
      </c>
      <c r="AQ397" s="190" t="str">
        <f t="shared" si="164"/>
        <v>166-60724</v>
      </c>
      <c r="AR397" s="190"/>
      <c r="AS397" s="190"/>
      <c r="AT397" s="190"/>
      <c r="AU397" s="190"/>
      <c r="AV397" s="190"/>
      <c r="AW397" s="190"/>
      <c r="AX397" s="279" t="str">
        <f t="shared" si="160"/>
        <v/>
      </c>
    </row>
    <row r="398" spans="1:50" ht="15.75" thickBot="1" x14ac:dyDescent="0.3">
      <c r="A398" s="190" t="str">
        <f t="shared" si="163"/>
        <v>A113</v>
      </c>
      <c r="B398" s="279" t="str">
        <f t="shared" si="162"/>
        <v>166-60727</v>
      </c>
      <c r="C398" s="279"/>
      <c r="D398" s="279"/>
      <c r="E398" s="279">
        <f t="shared" si="165"/>
        <v>1</v>
      </c>
      <c r="F398" s="190" t="s">
        <v>535</v>
      </c>
      <c r="G398" s="198">
        <v>44671</v>
      </c>
      <c r="H398" s="217"/>
      <c r="I398" s="192" t="s">
        <v>7</v>
      </c>
      <c r="J398" s="205" t="s">
        <v>402</v>
      </c>
      <c r="K398" s="205" t="s">
        <v>46</v>
      </c>
      <c r="L398" s="205" t="s">
        <v>1373</v>
      </c>
      <c r="M398" s="200" t="s">
        <v>558</v>
      </c>
      <c r="N398" s="200">
        <v>103</v>
      </c>
      <c r="O398" s="230" t="s">
        <v>1015</v>
      </c>
      <c r="P398" s="230" t="s">
        <v>1307</v>
      </c>
      <c r="Q398" s="231" t="str">
        <f t="shared" si="166"/>
        <v>A113. Taillight, TRUNK MOUNTED - LEFT</v>
      </c>
      <c r="R398" s="284" t="str">
        <f>HYPERLINK(VLOOKUP(O398,'3D. Pictures'!$B$3:$E$500,4,FALSE),"PIC")</f>
        <v>PIC</v>
      </c>
      <c r="S398" s="373" t="str">
        <f t="shared" si="170"/>
        <v>E.G.</v>
      </c>
      <c r="T398" s="377" t="str">
        <f>IF(O398&lt;&gt;"",_xlfn.XLOOKUP(O398,'3D. Pictures'!B:B,'3D. Pictures'!E:E,"NOT FOUND",0,1),"")</f>
        <v>https://viking-pictures.s3.us-west-1.amazonaws.com/AA1155/A113.+Taillight%2C+TRUNK+MOUNTED+-+LEFT+(1).JPG</v>
      </c>
      <c r="U398" s="200">
        <v>6</v>
      </c>
      <c r="V398" s="201" t="s">
        <v>1352</v>
      </c>
      <c r="W398" s="200" t="s">
        <v>112</v>
      </c>
      <c r="X398" s="201" t="s">
        <v>2468</v>
      </c>
      <c r="Y398" s="243"/>
      <c r="Z398" s="201"/>
      <c r="AA398" s="205" t="s">
        <v>531</v>
      </c>
      <c r="AB398" s="205" t="s">
        <v>531</v>
      </c>
      <c r="AC398" s="358" t="str">
        <f t="shared" si="167"/>
        <v/>
      </c>
      <c r="AD398" s="205"/>
      <c r="AE398" s="205"/>
      <c r="AF398" s="201" t="s">
        <v>543</v>
      </c>
      <c r="AG398" s="205"/>
      <c r="AH398" s="16">
        <v>250</v>
      </c>
      <c r="AI398" s="380">
        <f t="shared" si="171"/>
        <v>250</v>
      </c>
      <c r="AJ398" s="204" t="s">
        <v>408</v>
      </c>
      <c r="AK398" s="204" t="s">
        <v>425</v>
      </c>
      <c r="AL398" s="204" t="s">
        <v>2175</v>
      </c>
      <c r="AM398" s="190"/>
      <c r="AN398" s="191" t="s">
        <v>639</v>
      </c>
      <c r="AO398" s="190" t="s">
        <v>572</v>
      </c>
      <c r="AP398" s="190">
        <v>60727</v>
      </c>
      <c r="AQ398" s="190" t="str">
        <f t="shared" si="164"/>
        <v>166-60727</v>
      </c>
      <c r="AR398" s="190"/>
      <c r="AS398" s="190"/>
      <c r="AT398" s="190"/>
      <c r="AU398" s="190"/>
      <c r="AV398" s="190"/>
      <c r="AW398" s="190"/>
      <c r="AX398" s="279" t="str">
        <f t="shared" si="160"/>
        <v/>
      </c>
    </row>
    <row r="399" spans="1:50" ht="15.75" thickBot="1" x14ac:dyDescent="0.3">
      <c r="A399" s="190" t="str">
        <f t="shared" si="163"/>
        <v>A115</v>
      </c>
      <c r="B399" s="279" t="str">
        <f t="shared" si="162"/>
        <v>166-60726</v>
      </c>
      <c r="C399" s="279"/>
      <c r="D399" s="279"/>
      <c r="E399" s="279">
        <f t="shared" si="165"/>
        <v>1</v>
      </c>
      <c r="F399" s="190" t="s">
        <v>535</v>
      </c>
      <c r="G399" s="198">
        <v>44671</v>
      </c>
      <c r="H399" s="217"/>
      <c r="I399" s="192" t="s">
        <v>7</v>
      </c>
      <c r="J399" s="205" t="s">
        <v>402</v>
      </c>
      <c r="K399" s="205" t="s">
        <v>46</v>
      </c>
      <c r="L399" s="205" t="s">
        <v>1373</v>
      </c>
      <c r="M399" s="200" t="s">
        <v>558</v>
      </c>
      <c r="N399" s="200">
        <v>105</v>
      </c>
      <c r="O399" s="230" t="s">
        <v>1017</v>
      </c>
      <c r="P399" s="230" t="s">
        <v>1307</v>
      </c>
      <c r="Q399" s="231" t="str">
        <f t="shared" si="166"/>
        <v>A115. Taillight, TRUNK MOUNTED - RIGHT</v>
      </c>
      <c r="R399" s="284" t="str">
        <f>HYPERLINK(VLOOKUP(O399,'3D. Pictures'!$B$3:$E$500,4,FALSE),"PIC")</f>
        <v>PIC</v>
      </c>
      <c r="S399" s="373" t="str">
        <f t="shared" si="170"/>
        <v>E.G.</v>
      </c>
      <c r="T399" s="377" t="str">
        <f>IF(O399&lt;&gt;"",_xlfn.XLOOKUP(O399,'3D. Pictures'!B:B,'3D. Pictures'!E:E,"NOT FOUND",0,1),"")</f>
        <v>https://viking-pictures.s3.us-west-1.amazonaws.com/AA1155/A115.+Taillight%2C+TRUNK+MOUNTED+-+RIGHT+(1).JPG</v>
      </c>
      <c r="U399" s="200">
        <v>5</v>
      </c>
      <c r="V399" s="201" t="s">
        <v>1353</v>
      </c>
      <c r="W399" s="200" t="s">
        <v>112</v>
      </c>
      <c r="X399" s="201" t="s">
        <v>2468</v>
      </c>
      <c r="Y399" s="243"/>
      <c r="Z399" s="201"/>
      <c r="AA399" s="205" t="s">
        <v>532</v>
      </c>
      <c r="AB399" s="205" t="s">
        <v>532</v>
      </c>
      <c r="AC399" s="358" t="str">
        <f t="shared" si="167"/>
        <v/>
      </c>
      <c r="AD399" s="205"/>
      <c r="AE399" s="205"/>
      <c r="AF399" s="201" t="s">
        <v>543</v>
      </c>
      <c r="AG399" s="205"/>
      <c r="AH399" s="16">
        <v>250</v>
      </c>
      <c r="AI399" s="380">
        <f t="shared" si="171"/>
        <v>250</v>
      </c>
      <c r="AJ399" s="204" t="s">
        <v>408</v>
      </c>
      <c r="AK399" s="204" t="s">
        <v>425</v>
      </c>
      <c r="AL399" s="204" t="s">
        <v>2175</v>
      </c>
      <c r="AM399" s="190"/>
      <c r="AN399" s="191" t="s">
        <v>639</v>
      </c>
      <c r="AO399" s="190" t="s">
        <v>572</v>
      </c>
      <c r="AP399" s="190">
        <v>60726</v>
      </c>
      <c r="AQ399" s="190" t="str">
        <f t="shared" si="164"/>
        <v>166-60726</v>
      </c>
      <c r="AR399" s="190"/>
      <c r="AS399" s="190"/>
      <c r="AT399" s="190"/>
      <c r="AU399" s="190"/>
      <c r="AV399" s="190"/>
      <c r="AW399" s="190"/>
      <c r="AX399" s="279" t="str">
        <f t="shared" si="160"/>
        <v/>
      </c>
    </row>
    <row r="400" spans="1:50" x14ac:dyDescent="0.25">
      <c r="A400" s="190" t="str">
        <f t="shared" si="163"/>
        <v/>
      </c>
      <c r="B400" s="279" t="str">
        <f t="shared" si="162"/>
        <v/>
      </c>
      <c r="C400" s="279"/>
      <c r="D400" s="279"/>
      <c r="E400" s="279" t="str">
        <f t="shared" si="165"/>
        <v/>
      </c>
      <c r="F400" t="s">
        <v>535</v>
      </c>
      <c r="G400" s="188">
        <v>44671</v>
      </c>
      <c r="H400" s="10"/>
      <c r="I400" s="10"/>
      <c r="J400" s="10" t="s">
        <v>405</v>
      </c>
      <c r="K400" s="10" t="s">
        <v>46</v>
      </c>
      <c r="L400" s="10" t="s">
        <v>2698</v>
      </c>
      <c r="M400" s="16" t="s">
        <v>559</v>
      </c>
      <c r="N400" s="16"/>
      <c r="O400" s="166"/>
      <c r="P400" s="166"/>
      <c r="Q400" s="231" t="str">
        <f t="shared" si="166"/>
        <v>. License Plate Lights</v>
      </c>
      <c r="R400" s="231"/>
      <c r="S400" s="231" t="str">
        <f t="shared" si="170"/>
        <v/>
      </c>
      <c r="T400" s="231" t="str">
        <f>IF(O400&lt;&gt;"",_xlfn.XLOOKUP(O400,'3D. Pictures'!B:B,'3D. Pictures'!E:E,"NOT FOUND",0,1),"")</f>
        <v/>
      </c>
      <c r="U400" s="16"/>
      <c r="V400" s="16"/>
      <c r="W400" s="16"/>
      <c r="X400" s="16"/>
      <c r="Y400" s="243"/>
      <c r="Z400" s="16"/>
      <c r="AA400" s="10" t="s">
        <v>2654</v>
      </c>
      <c r="AB400" s="10" t="s">
        <v>2654</v>
      </c>
      <c r="AC400" s="359" t="str">
        <f t="shared" si="167"/>
        <v>TOSS BOTH</v>
      </c>
      <c r="AD400" s="10" t="s">
        <v>2544</v>
      </c>
      <c r="AE400" s="10"/>
      <c r="AF400" s="168" t="s">
        <v>543</v>
      </c>
      <c r="AG400" s="10"/>
      <c r="AH400" s="10"/>
      <c r="AI400" s="380" t="str">
        <f t="shared" si="171"/>
        <v/>
      </c>
      <c r="AJ400" s="3" t="s">
        <v>408</v>
      </c>
      <c r="AK400" s="3" t="s">
        <v>425</v>
      </c>
      <c r="AL400" s="3" t="s">
        <v>2175</v>
      </c>
      <c r="AN400"/>
      <c r="AX400" s="279" t="str">
        <f t="shared" si="160"/>
        <v/>
      </c>
    </row>
    <row r="401" spans="1:50" x14ac:dyDescent="0.25">
      <c r="A401" s="190" t="str">
        <f t="shared" si="163"/>
        <v/>
      </c>
      <c r="B401" s="279" t="str">
        <f t="shared" si="162"/>
        <v>591-74060</v>
      </c>
      <c r="C401" s="279"/>
      <c r="D401" s="279"/>
      <c r="E401" s="279">
        <f t="shared" si="165"/>
        <v>1</v>
      </c>
      <c r="F401" s="190" t="s">
        <v>535</v>
      </c>
      <c r="G401" s="198">
        <v>45247</v>
      </c>
      <c r="H401" s="217"/>
      <c r="I401" s="192"/>
      <c r="J401" s="205" t="s">
        <v>402</v>
      </c>
      <c r="K401" s="205" t="s">
        <v>439</v>
      </c>
      <c r="L401" s="205" t="s">
        <v>439</v>
      </c>
      <c r="M401" s="208" t="s">
        <v>562</v>
      </c>
      <c r="N401" s="208"/>
      <c r="O401" s="232"/>
      <c r="P401" s="232"/>
      <c r="Q401" s="231" t="str">
        <f t="shared" si="166"/>
        <v>. ABS ICM Integrated Chassis Management SRS Control Module</v>
      </c>
      <c r="R401" s="231"/>
      <c r="S401" s="231" t="str">
        <f t="shared" si="170"/>
        <v/>
      </c>
      <c r="T401" s="231" t="str">
        <f>IF(O401&lt;&gt;"",_xlfn.XLOOKUP(O401,'3D. Pictures'!B:B,'3D. Pictures'!E:E,"NOT FOUND",0,1),"")</f>
        <v/>
      </c>
      <c r="U401" s="208"/>
      <c r="V401" s="201"/>
      <c r="W401" s="208"/>
      <c r="X401" s="201"/>
      <c r="Y401" s="243"/>
      <c r="Z401" s="201"/>
      <c r="AA401" s="205" t="s">
        <v>835</v>
      </c>
      <c r="AB401" s="205" t="s">
        <v>835</v>
      </c>
      <c r="AC401" s="358" t="str">
        <f t="shared" si="167"/>
        <v>looks like an airbag module</v>
      </c>
      <c r="AD401" s="205"/>
      <c r="AE401" s="205" t="s">
        <v>836</v>
      </c>
      <c r="AF401" s="201" t="s">
        <v>543</v>
      </c>
      <c r="AG401" s="205"/>
      <c r="AH401" s="363">
        <v>350</v>
      </c>
      <c r="AI401" s="380">
        <f t="shared" si="171"/>
        <v>241.66666666666666</v>
      </c>
      <c r="AJ401" s="204" t="s">
        <v>408</v>
      </c>
      <c r="AK401" s="204" t="s">
        <v>425</v>
      </c>
      <c r="AL401" s="204" t="s">
        <v>2175</v>
      </c>
      <c r="AM401" s="190"/>
      <c r="AN401" s="191" t="s">
        <v>637</v>
      </c>
      <c r="AO401" s="190" t="s">
        <v>572</v>
      </c>
      <c r="AP401" s="190">
        <v>74060</v>
      </c>
      <c r="AQ401" s="190" t="str">
        <f t="shared" ref="AQ401:AQ410" si="172">CONCATENATE(AN401,AO401,AP401)</f>
        <v>591-74060</v>
      </c>
      <c r="AR401" s="190" t="s">
        <v>837</v>
      </c>
      <c r="AS401" s="190"/>
      <c r="AT401" s="190"/>
      <c r="AU401" s="190"/>
      <c r="AV401" s="190"/>
      <c r="AW401" s="190"/>
      <c r="AX401" s="279" t="str">
        <f t="shared" si="160"/>
        <v/>
      </c>
    </row>
    <row r="402" spans="1:50" ht="15.75" thickBot="1" x14ac:dyDescent="0.3">
      <c r="A402" s="190" t="str">
        <f t="shared" si="163"/>
        <v/>
      </c>
      <c r="B402" s="279" t="str">
        <f t="shared" si="162"/>
        <v>591-74064</v>
      </c>
      <c r="C402" s="279"/>
      <c r="D402" s="279"/>
      <c r="E402" s="279">
        <f t="shared" si="165"/>
        <v>1</v>
      </c>
      <c r="F402" s="190" t="s">
        <v>535</v>
      </c>
      <c r="G402" s="198">
        <v>45247</v>
      </c>
      <c r="H402" s="217"/>
      <c r="I402" s="192"/>
      <c r="J402" s="205" t="s">
        <v>402</v>
      </c>
      <c r="K402" s="205" t="s">
        <v>439</v>
      </c>
      <c r="L402" s="205" t="s">
        <v>439</v>
      </c>
      <c r="M402" s="208" t="s">
        <v>562</v>
      </c>
      <c r="N402" s="208"/>
      <c r="O402" s="232"/>
      <c r="P402" s="232"/>
      <c r="Q402" s="231" t="str">
        <f t="shared" si="166"/>
        <v>. ABS ICM Integrated Chassis Management SRS Control Module</v>
      </c>
      <c r="R402" s="231"/>
      <c r="S402" s="231" t="str">
        <f t="shared" si="170"/>
        <v/>
      </c>
      <c r="T402" s="231" t="str">
        <f>IF(O402&lt;&gt;"",_xlfn.XLOOKUP(O402,'3D. Pictures'!B:B,'3D. Pictures'!E:E,"NOT FOUND",0,1),"")</f>
        <v/>
      </c>
      <c r="U402" s="208"/>
      <c r="V402" s="201"/>
      <c r="W402" s="208"/>
      <c r="X402" s="201"/>
      <c r="Y402" s="243"/>
      <c r="Z402" s="201"/>
      <c r="AA402" s="205" t="s">
        <v>835</v>
      </c>
      <c r="AB402" s="205" t="s">
        <v>835</v>
      </c>
      <c r="AC402" s="358" t="str">
        <f t="shared" si="167"/>
        <v>looks like an airbag module</v>
      </c>
      <c r="AD402" s="205"/>
      <c r="AE402" s="205" t="s">
        <v>836</v>
      </c>
      <c r="AF402" s="201" t="s">
        <v>543</v>
      </c>
      <c r="AG402" s="205"/>
      <c r="AH402" s="363">
        <v>250</v>
      </c>
      <c r="AI402" s="380">
        <f t="shared" si="171"/>
        <v>241.66666666666666</v>
      </c>
      <c r="AJ402" s="204" t="s">
        <v>408</v>
      </c>
      <c r="AK402" s="204" t="s">
        <v>425</v>
      </c>
      <c r="AL402" s="204" t="s">
        <v>2175</v>
      </c>
      <c r="AM402" s="190"/>
      <c r="AN402" s="191" t="s">
        <v>637</v>
      </c>
      <c r="AO402" s="190" t="s">
        <v>572</v>
      </c>
      <c r="AP402" s="190">
        <v>74064</v>
      </c>
      <c r="AQ402" s="190" t="str">
        <f>CONCATENATE(AN402,AO402,AP402)</f>
        <v>591-74064</v>
      </c>
      <c r="AR402" s="190" t="s">
        <v>838</v>
      </c>
      <c r="AS402" s="190"/>
      <c r="AT402" s="190"/>
      <c r="AU402" s="190"/>
      <c r="AV402" s="190"/>
      <c r="AW402" s="190"/>
      <c r="AX402" s="279" t="str">
        <f t="shared" si="160"/>
        <v/>
      </c>
    </row>
    <row r="403" spans="1:50" ht="15.75" thickBot="1" x14ac:dyDescent="0.3">
      <c r="A403" s="190" t="str">
        <f t="shared" si="163"/>
        <v>A74</v>
      </c>
      <c r="B403" s="279" t="str">
        <f t="shared" si="162"/>
        <v>591-74062</v>
      </c>
      <c r="C403" s="279"/>
      <c r="D403" s="279"/>
      <c r="E403" s="279">
        <f t="shared" si="165"/>
        <v>1</v>
      </c>
      <c r="F403" s="190" t="s">
        <v>535</v>
      </c>
      <c r="G403" s="198">
        <v>45247</v>
      </c>
      <c r="H403" s="217"/>
      <c r="I403" s="192"/>
      <c r="J403" s="205" t="s">
        <v>402</v>
      </c>
      <c r="K403" s="205" t="s">
        <v>439</v>
      </c>
      <c r="L403" s="205" t="s">
        <v>439</v>
      </c>
      <c r="M403" s="208" t="s">
        <v>562</v>
      </c>
      <c r="N403" s="208">
        <v>64</v>
      </c>
      <c r="O403" s="232" t="s">
        <v>976</v>
      </c>
      <c r="P403" s="230" t="s">
        <v>1254</v>
      </c>
      <c r="Q403" s="231" t="str">
        <f t="shared" si="166"/>
        <v>A74. ABS ICM Integrated Chassis Management SRS Control Module</v>
      </c>
      <c r="R403" s="284" t="str">
        <f>HYPERLINK(VLOOKUP(O403,'3D. Pictures'!$B$3:$E$500,4,FALSE),"PIC")</f>
        <v>PIC</v>
      </c>
      <c r="S403" s="373" t="str">
        <f t="shared" si="170"/>
        <v>E.G.</v>
      </c>
      <c r="T403" s="377" t="str">
        <f>IF(O403&lt;&gt;"",_xlfn.XLOOKUP(O403,'3D. Pictures'!B:B,'3D. Pictures'!E:E,"NOT FOUND",0,1),"")</f>
        <v>https://viking-pictures.s3.us-west-1.amazonaws.com/AA1155/A74.+ABS+ICM+Integrated+Chassis+Management+SRS+Control+Module+(1).JPG</v>
      </c>
      <c r="U403" s="208">
        <v>4</v>
      </c>
      <c r="V403" s="201" t="s">
        <v>1258</v>
      </c>
      <c r="W403" s="208" t="s">
        <v>112</v>
      </c>
      <c r="X403" s="201"/>
      <c r="Y403" s="179"/>
      <c r="Z403" s="201"/>
      <c r="AA403" s="205" t="s">
        <v>835</v>
      </c>
      <c r="AB403" s="205" t="s">
        <v>835</v>
      </c>
      <c r="AC403" s="358" t="str">
        <f t="shared" si="167"/>
        <v>looks like an airbag module</v>
      </c>
      <c r="AD403" s="205"/>
      <c r="AE403" s="205" t="s">
        <v>836</v>
      </c>
      <c r="AF403" s="201" t="s">
        <v>543</v>
      </c>
      <c r="AG403" s="205"/>
      <c r="AH403" s="363">
        <v>125</v>
      </c>
      <c r="AI403" s="380">
        <f t="shared" si="171"/>
        <v>241.66666666666666</v>
      </c>
      <c r="AJ403" s="204" t="s">
        <v>408</v>
      </c>
      <c r="AK403" s="204" t="s">
        <v>425</v>
      </c>
      <c r="AL403" s="204" t="s">
        <v>2175</v>
      </c>
      <c r="AM403" s="190"/>
      <c r="AN403" s="191" t="s">
        <v>637</v>
      </c>
      <c r="AO403" s="190" t="s">
        <v>572</v>
      </c>
      <c r="AP403" s="190">
        <v>74062</v>
      </c>
      <c r="AQ403" s="190" t="str">
        <f>CONCATENATE(AN403,AO403,AP403)</f>
        <v>591-74062</v>
      </c>
      <c r="AR403" s="190" t="s">
        <v>839</v>
      </c>
      <c r="AS403" s="190"/>
      <c r="AT403" s="190"/>
      <c r="AU403" s="190"/>
      <c r="AV403" s="190"/>
      <c r="AW403" s="190"/>
      <c r="AX403" s="279" t="str">
        <f t="shared" si="160"/>
        <v/>
      </c>
    </row>
    <row r="404" spans="1:50" x14ac:dyDescent="0.25">
      <c r="A404" s="190" t="str">
        <f t="shared" si="163"/>
        <v/>
      </c>
      <c r="B404" s="279" t="str">
        <f t="shared" si="162"/>
        <v>638-72906</v>
      </c>
      <c r="C404" s="279"/>
      <c r="D404" s="279"/>
      <c r="E404" s="279">
        <f t="shared" si="165"/>
        <v>1</v>
      </c>
      <c r="F404" s="190" t="s">
        <v>535</v>
      </c>
      <c r="G404" s="198">
        <v>45247</v>
      </c>
      <c r="H404" s="217"/>
      <c r="I404" s="192"/>
      <c r="J404" s="205" t="s">
        <v>402</v>
      </c>
      <c r="K404" s="205" t="s">
        <v>439</v>
      </c>
      <c r="L404" s="205" t="s">
        <v>456</v>
      </c>
      <c r="M404" s="200" t="s">
        <v>558</v>
      </c>
      <c r="N404" s="200"/>
      <c r="O404" s="230"/>
      <c r="P404" s="230"/>
      <c r="Q404" s="231" t="str">
        <f t="shared" si="166"/>
        <v>. Amplifier, Bang &amp; Olufsen</v>
      </c>
      <c r="R404" s="231"/>
      <c r="S404" s="231" t="str">
        <f t="shared" si="170"/>
        <v/>
      </c>
      <c r="T404" s="231" t="str">
        <f>IF(O404&lt;&gt;"",_xlfn.XLOOKUP(O404,'3D. Pictures'!B:B,'3D. Pictures'!E:E,"NOT FOUND",0,1),"")</f>
        <v/>
      </c>
      <c r="U404" s="200"/>
      <c r="V404" s="201"/>
      <c r="W404" s="200"/>
      <c r="X404" s="201"/>
      <c r="Y404" s="243"/>
      <c r="Z404" s="201"/>
      <c r="AA404" s="205" t="s">
        <v>840</v>
      </c>
      <c r="AB404" s="205" t="s">
        <v>840</v>
      </c>
      <c r="AC404" s="358" t="str">
        <f t="shared" si="167"/>
        <v/>
      </c>
      <c r="AD404" s="205"/>
      <c r="AE404" s="205"/>
      <c r="AF404" s="201" t="s">
        <v>543</v>
      </c>
      <c r="AG404" s="205"/>
      <c r="AH404" s="363">
        <v>975</v>
      </c>
      <c r="AI404" s="380">
        <f t="shared" si="171"/>
        <v>975</v>
      </c>
      <c r="AJ404" s="204" t="s">
        <v>408</v>
      </c>
      <c r="AK404" s="204" t="s">
        <v>425</v>
      </c>
      <c r="AL404" s="204" t="s">
        <v>2175</v>
      </c>
      <c r="AM404" s="190"/>
      <c r="AN404" s="191" t="s">
        <v>631</v>
      </c>
      <c r="AO404" s="190" t="s">
        <v>572</v>
      </c>
      <c r="AP404" s="190">
        <v>72906</v>
      </c>
      <c r="AQ404" s="190" t="str">
        <f t="shared" si="172"/>
        <v>638-72906</v>
      </c>
      <c r="AR404" s="190" t="s">
        <v>846</v>
      </c>
      <c r="AS404" s="190"/>
      <c r="AT404" s="190"/>
      <c r="AU404" s="190"/>
      <c r="AV404" s="190"/>
      <c r="AW404" s="190"/>
      <c r="AX404" s="279" t="str">
        <f t="shared" si="160"/>
        <v/>
      </c>
    </row>
    <row r="405" spans="1:50" x14ac:dyDescent="0.25">
      <c r="A405" s="190" t="str">
        <f t="shared" si="163"/>
        <v/>
      </c>
      <c r="B405" s="279" t="str">
        <f t="shared" si="162"/>
        <v>638-59327</v>
      </c>
      <c r="C405" s="279"/>
      <c r="D405" s="279"/>
      <c r="E405" s="279">
        <f t="shared" si="165"/>
        <v>1</v>
      </c>
      <c r="F405" s="190" t="s">
        <v>535</v>
      </c>
      <c r="G405" s="198">
        <v>45247</v>
      </c>
      <c r="H405" s="217"/>
      <c r="I405" s="192"/>
      <c r="J405" s="205" t="s">
        <v>402</v>
      </c>
      <c r="K405" s="205" t="s">
        <v>439</v>
      </c>
      <c r="L405" s="205" t="s">
        <v>456</v>
      </c>
      <c r="M405" s="200" t="s">
        <v>558</v>
      </c>
      <c r="N405" s="200"/>
      <c r="O405" s="230"/>
      <c r="P405" s="230"/>
      <c r="Q405" s="231" t="str">
        <f t="shared" si="166"/>
        <v>. Amplifier, Harman Kardon</v>
      </c>
      <c r="R405" s="231"/>
      <c r="S405" s="231" t="str">
        <f t="shared" si="170"/>
        <v/>
      </c>
      <c r="T405" s="231" t="str">
        <f>IF(O405&lt;&gt;"",_xlfn.XLOOKUP(O405,'3D. Pictures'!B:B,'3D. Pictures'!E:E,"NOT FOUND",0,1),"")</f>
        <v/>
      </c>
      <c r="U405" s="200"/>
      <c r="V405" s="201"/>
      <c r="W405" s="200"/>
      <c r="X405" s="201"/>
      <c r="Y405" s="243"/>
      <c r="Z405" s="201"/>
      <c r="AA405" s="205" t="s">
        <v>841</v>
      </c>
      <c r="AB405" s="205" t="s">
        <v>841</v>
      </c>
      <c r="AC405" s="358" t="str">
        <f t="shared" si="167"/>
        <v/>
      </c>
      <c r="AD405" s="205"/>
      <c r="AE405" s="205"/>
      <c r="AF405" s="201" t="s">
        <v>543</v>
      </c>
      <c r="AG405" s="205"/>
      <c r="AH405" s="363">
        <v>695</v>
      </c>
      <c r="AI405" s="380">
        <f t="shared" si="171"/>
        <v>722.5</v>
      </c>
      <c r="AJ405" s="204" t="s">
        <v>408</v>
      </c>
      <c r="AK405" s="204" t="s">
        <v>425</v>
      </c>
      <c r="AL405" s="204" t="s">
        <v>2175</v>
      </c>
      <c r="AM405" s="190"/>
      <c r="AN405" s="191" t="s">
        <v>631</v>
      </c>
      <c r="AO405" s="190" t="s">
        <v>572</v>
      </c>
      <c r="AP405" s="190">
        <v>59327</v>
      </c>
      <c r="AQ405" s="190" t="str">
        <f>CONCATENATE(AN405,AO405,AP405)</f>
        <v>638-59327</v>
      </c>
      <c r="AR405" s="190" t="s">
        <v>843</v>
      </c>
      <c r="AS405" s="190"/>
      <c r="AT405" s="190"/>
      <c r="AU405" s="190"/>
      <c r="AV405" s="190"/>
      <c r="AW405" s="190"/>
      <c r="AX405" s="279" t="str">
        <f t="shared" si="160"/>
        <v/>
      </c>
    </row>
    <row r="406" spans="1:50" ht="15.75" thickBot="1" x14ac:dyDescent="0.3">
      <c r="A406" s="190" t="str">
        <f t="shared" si="163"/>
        <v/>
      </c>
      <c r="B406" s="279" t="str">
        <f t="shared" si="162"/>
        <v>638-74034</v>
      </c>
      <c r="C406" s="279"/>
      <c r="D406" s="279"/>
      <c r="E406" s="279">
        <f t="shared" si="165"/>
        <v>1</v>
      </c>
      <c r="F406" s="190" t="s">
        <v>535</v>
      </c>
      <c r="G406" s="198">
        <v>45247</v>
      </c>
      <c r="H406" s="217"/>
      <c r="I406" s="192"/>
      <c r="J406" s="205" t="s">
        <v>402</v>
      </c>
      <c r="K406" s="205" t="s">
        <v>439</v>
      </c>
      <c r="L406" s="205" t="s">
        <v>456</v>
      </c>
      <c r="M406" s="200" t="s">
        <v>558</v>
      </c>
      <c r="N406" s="200"/>
      <c r="O406" s="230"/>
      <c r="P406" s="230"/>
      <c r="Q406" s="231" t="str">
        <f t="shared" si="166"/>
        <v>. Amplifier, Harman Kardon</v>
      </c>
      <c r="R406" s="231"/>
      <c r="S406" s="231" t="str">
        <f t="shared" si="170"/>
        <v/>
      </c>
      <c r="T406" s="231" t="str">
        <f>IF(O406&lt;&gt;"",_xlfn.XLOOKUP(O406,'3D. Pictures'!B:B,'3D. Pictures'!E:E,"NOT FOUND",0,1),"")</f>
        <v/>
      </c>
      <c r="U406" s="200"/>
      <c r="V406" s="201"/>
      <c r="W406" s="200"/>
      <c r="X406" s="201"/>
      <c r="Y406" s="243"/>
      <c r="Z406" s="201"/>
      <c r="AA406" s="205" t="s">
        <v>841</v>
      </c>
      <c r="AB406" s="205" t="s">
        <v>841</v>
      </c>
      <c r="AC406" s="358" t="str">
        <f t="shared" si="167"/>
        <v/>
      </c>
      <c r="AD406" s="205"/>
      <c r="AE406" s="205"/>
      <c r="AF406" s="201" t="s">
        <v>543</v>
      </c>
      <c r="AG406" s="205"/>
      <c r="AH406" s="363">
        <v>750</v>
      </c>
      <c r="AI406" s="380">
        <f t="shared" si="171"/>
        <v>722.5</v>
      </c>
      <c r="AJ406" s="204" t="s">
        <v>408</v>
      </c>
      <c r="AK406" s="204" t="s">
        <v>425</v>
      </c>
      <c r="AL406" s="204" t="s">
        <v>2175</v>
      </c>
      <c r="AM406" s="190"/>
      <c r="AN406" s="191" t="s">
        <v>631</v>
      </c>
      <c r="AO406" s="190" t="s">
        <v>572</v>
      </c>
      <c r="AP406" s="190">
        <v>74034</v>
      </c>
      <c r="AQ406" s="190" t="str">
        <f>CONCATENATE(AN406,AO406,AP406)</f>
        <v>638-74034</v>
      </c>
      <c r="AR406" s="190" t="s">
        <v>844</v>
      </c>
      <c r="AS406" s="190"/>
      <c r="AT406" s="190"/>
      <c r="AU406" s="190"/>
      <c r="AV406" s="190"/>
      <c r="AW406" s="190"/>
      <c r="AX406" s="279" t="str">
        <f t="shared" si="160"/>
        <v/>
      </c>
    </row>
    <row r="407" spans="1:50" ht="15.75" thickBot="1" x14ac:dyDescent="0.3">
      <c r="A407" s="190" t="str">
        <f t="shared" si="163"/>
        <v>A73</v>
      </c>
      <c r="B407" s="279" t="str">
        <f t="shared" si="162"/>
        <v>638-72908</v>
      </c>
      <c r="C407" s="279"/>
      <c r="D407" s="279"/>
      <c r="E407" s="279">
        <f t="shared" si="165"/>
        <v>1</v>
      </c>
      <c r="F407" s="190" t="s">
        <v>535</v>
      </c>
      <c r="G407" s="198">
        <v>45247</v>
      </c>
      <c r="H407" s="217"/>
      <c r="I407" s="192"/>
      <c r="J407" s="205" t="s">
        <v>402</v>
      </c>
      <c r="K407" s="205" t="s">
        <v>439</v>
      </c>
      <c r="L407" s="205" t="s">
        <v>456</v>
      </c>
      <c r="M407" s="200" t="s">
        <v>558</v>
      </c>
      <c r="N407" s="200">
        <v>63</v>
      </c>
      <c r="O407" s="230" t="s">
        <v>975</v>
      </c>
      <c r="P407" s="230" t="s">
        <v>1254</v>
      </c>
      <c r="Q407" s="231" t="str">
        <f t="shared" si="166"/>
        <v>A73. Amplifier, HiFi</v>
      </c>
      <c r="R407" s="284" t="str">
        <f>HYPERLINK(VLOOKUP(O407,'3D. Pictures'!$B$3:$E$500,4,FALSE),"PIC")</f>
        <v>PIC</v>
      </c>
      <c r="S407" s="373" t="str">
        <f t="shared" si="170"/>
        <v>E.G.</v>
      </c>
      <c r="T407" s="377" t="str">
        <f>IF(O407&lt;&gt;"",_xlfn.XLOOKUP(O407,'3D. Pictures'!B:B,'3D. Pictures'!E:E,"NOT FOUND",0,1),"")</f>
        <v>https://viking-pictures.s3.us-west-1.amazonaws.com/AA1155/A73.+Amplifier%2C+HiFi+(1).JPG</v>
      </c>
      <c r="U407" s="200">
        <v>4</v>
      </c>
      <c r="V407" s="201" t="s">
        <v>1257</v>
      </c>
      <c r="W407" s="200" t="s">
        <v>111</v>
      </c>
      <c r="X407" s="201"/>
      <c r="Y407" s="243"/>
      <c r="Z407" s="201"/>
      <c r="AA407" s="205" t="s">
        <v>842</v>
      </c>
      <c r="AB407" s="205" t="s">
        <v>842</v>
      </c>
      <c r="AC407" s="358" t="str">
        <f t="shared" si="167"/>
        <v/>
      </c>
      <c r="AD407" s="205"/>
      <c r="AE407" s="205"/>
      <c r="AF407" s="201" t="s">
        <v>543</v>
      </c>
      <c r="AG407" s="205"/>
      <c r="AH407" s="363">
        <v>95</v>
      </c>
      <c r="AI407" s="380">
        <f t="shared" si="171"/>
        <v>95</v>
      </c>
      <c r="AJ407" s="204" t="s">
        <v>408</v>
      </c>
      <c r="AK407" s="204" t="s">
        <v>425</v>
      </c>
      <c r="AL407" s="204" t="s">
        <v>2175</v>
      </c>
      <c r="AM407" s="190"/>
      <c r="AN407" s="191" t="s">
        <v>631</v>
      </c>
      <c r="AO407" s="190" t="s">
        <v>572</v>
      </c>
      <c r="AP407" s="190">
        <v>72908</v>
      </c>
      <c r="AQ407" s="190" t="str">
        <f>CONCATENATE(AN407,AO407,AP407)</f>
        <v>638-72908</v>
      </c>
      <c r="AR407" s="190" t="s">
        <v>845</v>
      </c>
      <c r="AS407" s="190"/>
      <c r="AT407" s="190"/>
      <c r="AU407" s="190"/>
      <c r="AV407" s="190"/>
      <c r="AW407" s="190"/>
      <c r="AX407" s="279" t="str">
        <f t="shared" si="160"/>
        <v/>
      </c>
    </row>
    <row r="408" spans="1:50" x14ac:dyDescent="0.25">
      <c r="A408" s="190" t="str">
        <f t="shared" si="163"/>
        <v/>
      </c>
      <c r="B408" s="279" t="str">
        <f t="shared" si="162"/>
        <v>596-10444</v>
      </c>
      <c r="C408" s="279"/>
      <c r="D408" s="279"/>
      <c r="E408" s="279">
        <f t="shared" si="165"/>
        <v>1</v>
      </c>
      <c r="F408" s="190" t="s">
        <v>535</v>
      </c>
      <c r="G408" s="198">
        <v>45247</v>
      </c>
      <c r="H408" s="217"/>
      <c r="I408" s="192"/>
      <c r="J408" s="205" t="s">
        <v>402</v>
      </c>
      <c r="K408" s="205" t="s">
        <v>439</v>
      </c>
      <c r="L408" s="205" t="s">
        <v>439</v>
      </c>
      <c r="M408" s="208" t="s">
        <v>562</v>
      </c>
      <c r="N408" s="208"/>
      <c r="O408" s="232"/>
      <c r="P408" s="232"/>
      <c r="Q408" s="231" t="str">
        <f t="shared" si="166"/>
        <v>. Blind Spot Alert Sensor Module, Master</v>
      </c>
      <c r="R408" s="231"/>
      <c r="S408" s="231" t="str">
        <f t="shared" si="170"/>
        <v/>
      </c>
      <c r="T408" s="231" t="str">
        <f>IF(O408&lt;&gt;"",_xlfn.XLOOKUP(O408,'3D. Pictures'!B:B,'3D. Pictures'!E:E,"NOT FOUND",0,1),"")</f>
        <v/>
      </c>
      <c r="U408" s="208"/>
      <c r="V408" s="201"/>
      <c r="W408" s="208"/>
      <c r="X408" s="201"/>
      <c r="Y408" s="243"/>
      <c r="Z408" s="201"/>
      <c r="AA408" s="205" t="s">
        <v>500</v>
      </c>
      <c r="AB408" s="205" t="s">
        <v>500</v>
      </c>
      <c r="AC408" s="358" t="str">
        <f t="shared" si="167"/>
        <v/>
      </c>
      <c r="AD408" s="205"/>
      <c r="AE408" s="205"/>
      <c r="AF408" s="201" t="s">
        <v>543</v>
      </c>
      <c r="AG408" s="205" t="s">
        <v>847</v>
      </c>
      <c r="AH408" s="16">
        <v>150</v>
      </c>
      <c r="AI408" s="380">
        <f t="shared" si="171"/>
        <v>150</v>
      </c>
      <c r="AJ408" s="204" t="s">
        <v>408</v>
      </c>
      <c r="AK408" s="204" t="s">
        <v>425</v>
      </c>
      <c r="AL408" s="204" t="s">
        <v>2175</v>
      </c>
      <c r="AM408" s="190"/>
      <c r="AN408" s="191" t="s">
        <v>628</v>
      </c>
      <c r="AO408" s="190" t="s">
        <v>572</v>
      </c>
      <c r="AP408" s="190">
        <v>10444</v>
      </c>
      <c r="AQ408" s="190" t="str">
        <f t="shared" si="172"/>
        <v>596-10444</v>
      </c>
      <c r="AR408" s="190"/>
      <c r="AS408" s="190"/>
      <c r="AT408" s="190"/>
      <c r="AU408" s="190"/>
      <c r="AV408" s="190"/>
      <c r="AW408" s="190"/>
      <c r="AX408" s="279" t="str">
        <f t="shared" si="160"/>
        <v/>
      </c>
    </row>
    <row r="409" spans="1:50" x14ac:dyDescent="0.25">
      <c r="A409" s="190" t="str">
        <f t="shared" si="163"/>
        <v/>
      </c>
      <c r="B409" s="279" t="str">
        <f t="shared" si="162"/>
        <v>596-10443</v>
      </c>
      <c r="C409" s="279"/>
      <c r="D409" s="279"/>
      <c r="E409" s="279">
        <f t="shared" si="165"/>
        <v>1</v>
      </c>
      <c r="F409" s="190" t="s">
        <v>535</v>
      </c>
      <c r="G409" s="198">
        <v>45247</v>
      </c>
      <c r="H409" s="217"/>
      <c r="I409" s="192"/>
      <c r="J409" s="205" t="s">
        <v>402</v>
      </c>
      <c r="K409" s="205" t="s">
        <v>439</v>
      </c>
      <c r="L409" s="205" t="s">
        <v>439</v>
      </c>
      <c r="M409" s="208" t="s">
        <v>562</v>
      </c>
      <c r="N409" s="208"/>
      <c r="O409" s="232"/>
      <c r="P409" s="232"/>
      <c r="Q409" s="231" t="str">
        <f t="shared" si="166"/>
        <v>. Blind Spot Alert Sensor Module, Slave</v>
      </c>
      <c r="R409" s="231"/>
      <c r="S409" s="231" t="str">
        <f t="shared" si="170"/>
        <v/>
      </c>
      <c r="T409" s="231" t="str">
        <f>IF(O409&lt;&gt;"",_xlfn.XLOOKUP(O409,'3D. Pictures'!B:B,'3D. Pictures'!E:E,"NOT FOUND",0,1),"")</f>
        <v/>
      </c>
      <c r="U409" s="208"/>
      <c r="V409" s="201"/>
      <c r="W409" s="208"/>
      <c r="X409" s="201"/>
      <c r="Y409" s="16"/>
      <c r="Z409" s="201"/>
      <c r="AA409" s="205" t="s">
        <v>501</v>
      </c>
      <c r="AB409" s="205" t="s">
        <v>501</v>
      </c>
      <c r="AC409" s="358" t="str">
        <f t="shared" si="167"/>
        <v/>
      </c>
      <c r="AD409" s="205"/>
      <c r="AE409" s="205"/>
      <c r="AF409" s="201" t="s">
        <v>543</v>
      </c>
      <c r="AG409" s="205" t="s">
        <v>847</v>
      </c>
      <c r="AH409" s="16">
        <v>150</v>
      </c>
      <c r="AI409" s="380">
        <f t="shared" si="171"/>
        <v>150</v>
      </c>
      <c r="AJ409" s="204" t="s">
        <v>408</v>
      </c>
      <c r="AK409" s="204" t="s">
        <v>425</v>
      </c>
      <c r="AL409" s="204" t="s">
        <v>2175</v>
      </c>
      <c r="AM409" s="190"/>
      <c r="AN409" s="191" t="s">
        <v>628</v>
      </c>
      <c r="AO409" s="190" t="s">
        <v>572</v>
      </c>
      <c r="AP409" s="190">
        <v>10443</v>
      </c>
      <c r="AQ409" s="190" t="str">
        <f t="shared" si="172"/>
        <v>596-10443</v>
      </c>
      <c r="AR409" s="190"/>
      <c r="AS409" s="190"/>
      <c r="AT409" s="190"/>
      <c r="AU409" s="190"/>
      <c r="AV409" s="190"/>
      <c r="AW409" s="190"/>
      <c r="AX409" s="279" t="str">
        <f t="shared" si="160"/>
        <v/>
      </c>
    </row>
    <row r="410" spans="1:50" x14ac:dyDescent="0.25">
      <c r="A410" s="190" t="str">
        <f t="shared" si="163"/>
        <v/>
      </c>
      <c r="B410" s="279" t="str">
        <f t="shared" si="162"/>
        <v>591-74037</v>
      </c>
      <c r="C410" s="279"/>
      <c r="D410" s="279"/>
      <c r="E410" s="279">
        <f t="shared" si="165"/>
        <v>1</v>
      </c>
      <c r="F410" s="190" t="s">
        <v>535</v>
      </c>
      <c r="G410" s="198">
        <v>44684</v>
      </c>
      <c r="H410" s="217"/>
      <c r="I410" s="192"/>
      <c r="J410" s="205" t="s">
        <v>402</v>
      </c>
      <c r="K410" s="205" t="s">
        <v>439</v>
      </c>
      <c r="L410" s="205" t="s">
        <v>439</v>
      </c>
      <c r="M410" s="208" t="s">
        <v>562</v>
      </c>
      <c r="N410" s="208"/>
      <c r="O410" s="232"/>
      <c r="P410" s="232"/>
      <c r="Q410" s="231" t="str">
        <f t="shared" si="166"/>
        <v>. Body Power Control Module</v>
      </c>
      <c r="R410" s="231"/>
      <c r="S410" s="231" t="str">
        <f t="shared" si="170"/>
        <v/>
      </c>
      <c r="T410" s="231" t="str">
        <f>IF(O410&lt;&gt;"",_xlfn.XLOOKUP(O410,'3D. Pictures'!B:B,'3D. Pictures'!E:E,"NOT FOUND",0,1),"")</f>
        <v/>
      </c>
      <c r="U410" s="208"/>
      <c r="V410" s="201"/>
      <c r="W410" s="208"/>
      <c r="X410" s="201"/>
      <c r="Y410" s="243"/>
      <c r="Z410" s="201"/>
      <c r="AA410" s="205" t="s">
        <v>848</v>
      </c>
      <c r="AB410" s="205" t="s">
        <v>848</v>
      </c>
      <c r="AC410" s="358" t="str">
        <f t="shared" si="167"/>
        <v>w/ SET A unless no set (REQUIRED)</v>
      </c>
      <c r="AD410" s="205" t="s">
        <v>849</v>
      </c>
      <c r="AE410" s="205"/>
      <c r="AF410" s="201" t="s">
        <v>543</v>
      </c>
      <c r="AG410" s="205" t="s">
        <v>472</v>
      </c>
      <c r="AH410" s="16">
        <v>300</v>
      </c>
      <c r="AI410" s="380">
        <f t="shared" si="171"/>
        <v>300</v>
      </c>
      <c r="AJ410" s="204" t="s">
        <v>408</v>
      </c>
      <c r="AK410" s="204" t="s">
        <v>425</v>
      </c>
      <c r="AL410" s="204" t="s">
        <v>2175</v>
      </c>
      <c r="AM410" s="190"/>
      <c r="AN410" s="191" t="s">
        <v>637</v>
      </c>
      <c r="AO410" s="190" t="s">
        <v>572</v>
      </c>
      <c r="AP410" s="190">
        <v>74037</v>
      </c>
      <c r="AQ410" s="190" t="str">
        <f t="shared" si="172"/>
        <v>591-74037</v>
      </c>
      <c r="AR410" s="190"/>
      <c r="AS410" s="190"/>
      <c r="AT410" s="190"/>
      <c r="AU410" s="190"/>
      <c r="AV410" s="190"/>
      <c r="AW410" s="190"/>
      <c r="AX410" s="279" t="str">
        <f t="shared" si="160"/>
        <v/>
      </c>
    </row>
    <row r="411" spans="1:50" x14ac:dyDescent="0.25">
      <c r="A411" s="190" t="str">
        <f t="shared" si="163"/>
        <v/>
      </c>
      <c r="B411" s="279" t="str">
        <f t="shared" si="162"/>
        <v/>
      </c>
      <c r="C411" s="279"/>
      <c r="D411" s="279"/>
      <c r="E411" s="279" t="str">
        <f t="shared" si="165"/>
        <v/>
      </c>
      <c r="F411" t="s">
        <v>535</v>
      </c>
      <c r="G411" s="188">
        <v>44684</v>
      </c>
      <c r="H411" s="16"/>
      <c r="I411" s="16"/>
      <c r="J411" s="16" t="s">
        <v>402</v>
      </c>
      <c r="K411" s="16" t="s">
        <v>439</v>
      </c>
      <c r="L411" s="205" t="s">
        <v>855</v>
      </c>
      <c r="M411" s="170" t="s">
        <v>558</v>
      </c>
      <c r="N411" s="170"/>
      <c r="O411" s="237"/>
      <c r="P411" s="237"/>
      <c r="Q411" s="231" t="str">
        <f t="shared" si="166"/>
        <v>. Camera, FRONT Bumper</v>
      </c>
      <c r="R411" s="231"/>
      <c r="S411" s="231" t="str">
        <f t="shared" si="170"/>
        <v/>
      </c>
      <c r="T411" s="231" t="str">
        <f>IF(O411&lt;&gt;"",_xlfn.XLOOKUP(O411,'3D. Pictures'!B:B,'3D. Pictures'!E:E,"NOT FOUND",0,1),"")</f>
        <v/>
      </c>
      <c r="U411" s="170"/>
      <c r="V411" s="168"/>
      <c r="W411" s="170"/>
      <c r="X411" s="168"/>
      <c r="Y411" s="243"/>
      <c r="Z411" s="168"/>
      <c r="AA411" s="16" t="s">
        <v>463</v>
      </c>
      <c r="AB411" s="16" t="s">
        <v>463</v>
      </c>
      <c r="AC411" s="358" t="str">
        <f t="shared" si="167"/>
        <v/>
      </c>
      <c r="AD411" s="16"/>
      <c r="AE411" s="16"/>
      <c r="AF411" s="168" t="s">
        <v>543</v>
      </c>
      <c r="AG411" s="16" t="s">
        <v>464</v>
      </c>
      <c r="AH411" s="16">
        <v>225</v>
      </c>
      <c r="AI411" s="380">
        <f t="shared" si="171"/>
        <v>225</v>
      </c>
      <c r="AJ411" s="3" t="s">
        <v>408</v>
      </c>
      <c r="AK411" s="3" t="s">
        <v>425</v>
      </c>
      <c r="AL411" s="3" t="s">
        <v>2175</v>
      </c>
      <c r="AO411" t="s">
        <v>572</v>
      </c>
      <c r="AX411" s="279" t="str">
        <f t="shared" si="160"/>
        <v/>
      </c>
    </row>
    <row r="412" spans="1:50" x14ac:dyDescent="0.25">
      <c r="A412" s="190" t="str">
        <f t="shared" si="163"/>
        <v/>
      </c>
      <c r="B412" s="279" t="str">
        <f t="shared" si="162"/>
        <v/>
      </c>
      <c r="C412" s="279"/>
      <c r="D412" s="279"/>
      <c r="E412" s="279" t="str">
        <f t="shared" si="165"/>
        <v/>
      </c>
      <c r="F412" t="s">
        <v>535</v>
      </c>
      <c r="G412" s="188">
        <v>44684</v>
      </c>
      <c r="H412" s="99"/>
      <c r="I412" s="99"/>
      <c r="J412" s="168" t="s">
        <v>402</v>
      </c>
      <c r="K412" s="168" t="s">
        <v>439</v>
      </c>
      <c r="L412" s="205" t="s">
        <v>855</v>
      </c>
      <c r="M412" s="170" t="s">
        <v>558</v>
      </c>
      <c r="N412" s="170"/>
      <c r="O412" s="237"/>
      <c r="P412" s="237"/>
      <c r="Q412" s="231" t="str">
        <f t="shared" si="166"/>
        <v>. Camera, Side</v>
      </c>
      <c r="R412" s="231"/>
      <c r="S412" s="231" t="str">
        <f t="shared" si="170"/>
        <v/>
      </c>
      <c r="T412" s="231" t="str">
        <f>IF(O412&lt;&gt;"",_xlfn.XLOOKUP(O412,'3D. Pictures'!B:B,'3D. Pictures'!E:E,"NOT FOUND",0,1),"")</f>
        <v/>
      </c>
      <c r="U412" s="170"/>
      <c r="V412" s="168"/>
      <c r="W412" s="170"/>
      <c r="X412" s="168"/>
      <c r="Y412" s="243"/>
      <c r="Z412" s="168"/>
      <c r="AA412" s="168" t="s">
        <v>2595</v>
      </c>
      <c r="AB412" s="168" t="s">
        <v>2595</v>
      </c>
      <c r="AC412" s="247" t="str">
        <f t="shared" si="167"/>
        <v>mark location</v>
      </c>
      <c r="AD412" s="168"/>
      <c r="AE412" s="168" t="s">
        <v>1269</v>
      </c>
      <c r="AF412" s="168" t="s">
        <v>543</v>
      </c>
      <c r="AG412" s="168" t="s">
        <v>464</v>
      </c>
      <c r="AH412" s="168">
        <v>225</v>
      </c>
      <c r="AI412" s="380">
        <f t="shared" si="171"/>
        <v>225</v>
      </c>
      <c r="AJ412" s="3" t="s">
        <v>408</v>
      </c>
      <c r="AK412" s="3" t="s">
        <v>425</v>
      </c>
      <c r="AL412" s="3" t="s">
        <v>2175</v>
      </c>
      <c r="AM412" s="138"/>
      <c r="AO412" t="s">
        <v>572</v>
      </c>
      <c r="AX412" s="279" t="str">
        <f t="shared" si="160"/>
        <v/>
      </c>
    </row>
    <row r="413" spans="1:50" x14ac:dyDescent="0.25">
      <c r="A413" s="190" t="str">
        <f t="shared" si="163"/>
        <v/>
      </c>
      <c r="B413" s="279" t="str">
        <f t="shared" si="162"/>
        <v>590-62356</v>
      </c>
      <c r="C413" s="279" t="s">
        <v>2121</v>
      </c>
      <c r="D413" s="279"/>
      <c r="E413" s="279">
        <f t="shared" si="165"/>
        <v>2</v>
      </c>
      <c r="F413" s="190" t="s">
        <v>535</v>
      </c>
      <c r="G413" s="198">
        <v>44684</v>
      </c>
      <c r="H413" s="217"/>
      <c r="I413" s="192"/>
      <c r="J413" s="205" t="s">
        <v>402</v>
      </c>
      <c r="K413" s="205" t="s">
        <v>439</v>
      </c>
      <c r="L413" s="205" t="s">
        <v>439</v>
      </c>
      <c r="M413" s="200" t="s">
        <v>558</v>
      </c>
      <c r="N413" s="200"/>
      <c r="O413" s="230"/>
      <c r="P413" s="230"/>
      <c r="Q413" s="231" t="str">
        <f t="shared" si="166"/>
        <v>. Engine Control Module</v>
      </c>
      <c r="R413" s="231"/>
      <c r="S413" s="231" t="str">
        <f t="shared" si="170"/>
        <v/>
      </c>
      <c r="T413" s="231" t="str">
        <f>IF(O413&lt;&gt;"",_xlfn.XLOOKUP(O413,'3D. Pictures'!B:B,'3D. Pictures'!E:E,"NOT FOUND",0,1),"")</f>
        <v/>
      </c>
      <c r="U413" s="200"/>
      <c r="V413" s="201"/>
      <c r="W413" s="200"/>
      <c r="X413" s="201"/>
      <c r="Y413" s="243"/>
      <c r="Z413" s="201"/>
      <c r="AA413" s="205" t="s">
        <v>850</v>
      </c>
      <c r="AB413" s="205" t="s">
        <v>850</v>
      </c>
      <c r="AC413" s="358" t="str">
        <f t="shared" si="167"/>
        <v>w/ SET A unless no set (REQUIRED)</v>
      </c>
      <c r="AD413" s="205" t="s">
        <v>849</v>
      </c>
      <c r="AE413" s="205"/>
      <c r="AF413" s="201" t="s">
        <v>543</v>
      </c>
      <c r="AG413" s="205" t="s">
        <v>472</v>
      </c>
      <c r="AH413" s="16">
        <v>325</v>
      </c>
      <c r="AI413" s="380">
        <f t="shared" si="171"/>
        <v>325</v>
      </c>
      <c r="AJ413" s="204" t="s">
        <v>2176</v>
      </c>
      <c r="AK413" s="204" t="s">
        <v>425</v>
      </c>
      <c r="AL413" s="204" t="s">
        <v>2177</v>
      </c>
      <c r="AM413" s="190"/>
      <c r="AN413" s="191" t="s">
        <v>640</v>
      </c>
      <c r="AO413" s="190" t="s">
        <v>572</v>
      </c>
      <c r="AP413" s="190">
        <v>62356</v>
      </c>
      <c r="AQ413" s="190" t="str">
        <f>CONCATENATE(AN413,AO413,AP413)</f>
        <v>590-62356</v>
      </c>
      <c r="AR413" s="190"/>
      <c r="AS413" s="190"/>
      <c r="AT413" s="190"/>
      <c r="AU413" s="190"/>
      <c r="AV413" s="190"/>
      <c r="AW413" s="190"/>
      <c r="AX413" s="279" t="str">
        <f t="shared" si="160"/>
        <v/>
      </c>
    </row>
    <row r="414" spans="1:50" x14ac:dyDescent="0.25">
      <c r="A414" s="190" t="str">
        <f t="shared" si="163"/>
        <v/>
      </c>
      <c r="B414" s="279" t="str">
        <f t="shared" si="162"/>
        <v/>
      </c>
      <c r="C414" s="279"/>
      <c r="D414" s="279"/>
      <c r="E414" s="279" t="str">
        <f t="shared" si="165"/>
        <v/>
      </c>
      <c r="F414" t="s">
        <v>535</v>
      </c>
      <c r="G414" s="188">
        <v>44684</v>
      </c>
      <c r="H414" s="163"/>
      <c r="I414" s="164"/>
      <c r="J414" s="16" t="s">
        <v>402</v>
      </c>
      <c r="K414" s="16" t="s">
        <v>439</v>
      </c>
      <c r="L414" s="16" t="s">
        <v>2699</v>
      </c>
      <c r="M414" s="16" t="s">
        <v>559</v>
      </c>
      <c r="N414" s="16"/>
      <c r="O414" s="166"/>
      <c r="P414" s="166"/>
      <c r="Q414" s="231" t="str">
        <f t="shared" si="166"/>
        <v>. Exhaust Flap Servo Actuator Motor</v>
      </c>
      <c r="R414" s="231"/>
      <c r="S414" s="231" t="str">
        <f t="shared" si="170"/>
        <v/>
      </c>
      <c r="T414" s="231" t="str">
        <f>IF(O414&lt;&gt;"",_xlfn.XLOOKUP(O414,'3D. Pictures'!B:B,'3D. Pictures'!E:E,"NOT FOUND",0,1),"")</f>
        <v/>
      </c>
      <c r="U414" s="16"/>
      <c r="V414" s="16"/>
      <c r="W414" s="16"/>
      <c r="X414" s="16"/>
      <c r="Y414" s="243"/>
      <c r="Z414" s="16"/>
      <c r="AA414" s="16" t="s">
        <v>461</v>
      </c>
      <c r="AB414" s="16" t="s">
        <v>461</v>
      </c>
      <c r="AC414" s="358" t="str">
        <f t="shared" si="167"/>
        <v/>
      </c>
      <c r="AD414" s="16"/>
      <c r="AE414" s="16"/>
      <c r="AF414" s="168" t="s">
        <v>543</v>
      </c>
      <c r="AG414" s="16"/>
      <c r="AH414" s="16">
        <v>48</v>
      </c>
      <c r="AI414" s="380">
        <f t="shared" si="171"/>
        <v>48</v>
      </c>
      <c r="AJ414" s="3" t="s">
        <v>408</v>
      </c>
      <c r="AK414" s="3" t="s">
        <v>425</v>
      </c>
      <c r="AL414" s="3" t="s">
        <v>2175</v>
      </c>
      <c r="AN414"/>
      <c r="AX414" s="279" t="str">
        <f t="shared" si="160"/>
        <v/>
      </c>
    </row>
    <row r="415" spans="1:50" x14ac:dyDescent="0.25">
      <c r="A415" s="190" t="str">
        <f t="shared" si="163"/>
        <v/>
      </c>
      <c r="B415" s="279" t="str">
        <f t="shared" si="162"/>
        <v>646-10185</v>
      </c>
      <c r="C415" s="279"/>
      <c r="D415" s="279"/>
      <c r="E415" s="279">
        <f t="shared" si="165"/>
        <v>1</v>
      </c>
      <c r="F415" s="190" t="s">
        <v>535</v>
      </c>
      <c r="G415" s="198">
        <v>44684</v>
      </c>
      <c r="H415" s="217"/>
      <c r="I415" s="192"/>
      <c r="J415" s="205" t="s">
        <v>402</v>
      </c>
      <c r="K415" s="205" t="s">
        <v>439</v>
      </c>
      <c r="L415" s="205" t="s">
        <v>2713</v>
      </c>
      <c r="M415" s="208" t="s">
        <v>562</v>
      </c>
      <c r="N415" s="208"/>
      <c r="O415" s="232"/>
      <c r="P415" s="232"/>
      <c r="Q415" s="231" t="str">
        <f t="shared" si="166"/>
        <v>. Fuse Box, REAR ENGINE fuse box</v>
      </c>
      <c r="R415" s="231"/>
      <c r="S415" s="231" t="str">
        <f t="shared" si="170"/>
        <v/>
      </c>
      <c r="T415" s="231" t="str">
        <f>IF(O415&lt;&gt;"",_xlfn.XLOOKUP(O415,'3D. Pictures'!B:B,'3D. Pictures'!E:E,"NOT FOUND",0,1),"")</f>
        <v/>
      </c>
      <c r="U415" s="208"/>
      <c r="V415" s="201"/>
      <c r="W415" s="208"/>
      <c r="X415" s="201"/>
      <c r="Y415" s="179"/>
      <c r="Z415" s="201"/>
      <c r="AA415" s="205" t="s">
        <v>2727</v>
      </c>
      <c r="AB415" s="205" t="s">
        <v>2727</v>
      </c>
      <c r="AC415" s="358" t="str">
        <f t="shared" si="167"/>
        <v>~10x6" flat black plastic (in rear but it's for engine)</v>
      </c>
      <c r="AD415" s="205"/>
      <c r="AE415" s="205" t="s">
        <v>851</v>
      </c>
      <c r="AF415" s="201" t="s">
        <v>543</v>
      </c>
      <c r="AG415" s="205"/>
      <c r="AH415" s="16">
        <v>75</v>
      </c>
      <c r="AI415" s="380">
        <f t="shared" si="171"/>
        <v>75</v>
      </c>
      <c r="AJ415" s="204" t="s">
        <v>408</v>
      </c>
      <c r="AK415" s="204" t="s">
        <v>425</v>
      </c>
      <c r="AL415" s="204" t="s">
        <v>2175</v>
      </c>
      <c r="AM415" s="190"/>
      <c r="AN415" s="191" t="s">
        <v>641</v>
      </c>
      <c r="AO415" s="190" t="s">
        <v>572</v>
      </c>
      <c r="AP415" s="190">
        <v>10185</v>
      </c>
      <c r="AQ415" s="190" t="str">
        <f>CONCATENATE(AN415,AO415,AP415)</f>
        <v>646-10185</v>
      </c>
      <c r="AR415" s="190"/>
      <c r="AS415" s="190"/>
      <c r="AT415" s="190"/>
      <c r="AU415" s="190"/>
      <c r="AV415" s="190"/>
      <c r="AW415" s="190"/>
      <c r="AX415" s="279" t="str">
        <f t="shared" si="160"/>
        <v/>
      </c>
    </row>
    <row r="416" spans="1:50" ht="15.75" thickBot="1" x14ac:dyDescent="0.3">
      <c r="A416" s="190" t="str">
        <f t="shared" si="163"/>
        <v/>
      </c>
      <c r="B416" s="279" t="str">
        <f t="shared" si="162"/>
        <v/>
      </c>
      <c r="C416" s="279"/>
      <c r="D416" s="279"/>
      <c r="E416" s="279" t="str">
        <f t="shared" si="165"/>
        <v/>
      </c>
      <c r="F416" s="190" t="s">
        <v>535</v>
      </c>
      <c r="G416" s="198">
        <v>44684</v>
      </c>
      <c r="H416" s="217"/>
      <c r="I416" s="192"/>
      <c r="J416" s="205" t="s">
        <v>402</v>
      </c>
      <c r="K416" s="205" t="s">
        <v>439</v>
      </c>
      <c r="L416" s="205" t="s">
        <v>2700</v>
      </c>
      <c r="M416" s="221" t="s">
        <v>559</v>
      </c>
      <c r="N416" s="221"/>
      <c r="O416" s="238"/>
      <c r="P416" s="238"/>
      <c r="Q416" s="231" t="str">
        <f t="shared" si="166"/>
        <v>. Ignition Anti-Theft Key Detection Immobilizer Ring</v>
      </c>
      <c r="R416" s="231"/>
      <c r="S416" s="231" t="str">
        <f t="shared" si="170"/>
        <v/>
      </c>
      <c r="T416" s="231" t="str">
        <f>IF(O416&lt;&gt;"",_xlfn.XLOOKUP(O416,'3D. Pictures'!B:B,'3D. Pictures'!E:E,"NOT FOUND",0,1),"")</f>
        <v/>
      </c>
      <c r="U416" s="221"/>
      <c r="V416" s="201"/>
      <c r="W416" s="221"/>
      <c r="X416" s="201"/>
      <c r="Y416" s="201"/>
      <c r="Z416" s="201"/>
      <c r="AA416" s="205" t="s">
        <v>474</v>
      </c>
      <c r="AB416" s="205" t="s">
        <v>474</v>
      </c>
      <c r="AC416" s="358" t="str">
        <f t="shared" si="167"/>
        <v>w/ SET A unless no set (NOT REQUIRED)</v>
      </c>
      <c r="AD416" s="205" t="s">
        <v>853</v>
      </c>
      <c r="AE416" s="205"/>
      <c r="AF416" s="201" t="s">
        <v>543</v>
      </c>
      <c r="AG416" s="205" t="s">
        <v>473</v>
      </c>
      <c r="AH416" s="16" t="s">
        <v>2855</v>
      </c>
      <c r="AI416" s="380" t="str">
        <f t="shared" si="171"/>
        <v>not solo</v>
      </c>
      <c r="AJ416" s="204" t="s">
        <v>408</v>
      </c>
      <c r="AK416" s="204" t="s">
        <v>425</v>
      </c>
      <c r="AL416" s="204" t="s">
        <v>2175</v>
      </c>
      <c r="AM416" s="190"/>
      <c r="AN416" s="190"/>
      <c r="AO416" s="190"/>
      <c r="AP416" s="190"/>
      <c r="AQ416" s="190"/>
      <c r="AR416" s="190"/>
      <c r="AS416" s="190"/>
      <c r="AT416" s="190"/>
      <c r="AU416" s="190"/>
      <c r="AV416" s="190"/>
      <c r="AW416" s="190"/>
      <c r="AX416" s="279" t="str">
        <f t="shared" si="160"/>
        <v/>
      </c>
    </row>
    <row r="417" spans="1:50" ht="15.75" thickBot="1" x14ac:dyDescent="0.3">
      <c r="A417" s="190" t="str">
        <f t="shared" si="163"/>
        <v>A123</v>
      </c>
      <c r="B417" s="279" t="str">
        <f t="shared" si="162"/>
        <v/>
      </c>
      <c r="C417" s="279"/>
      <c r="D417" s="279"/>
      <c r="E417" s="279" t="str">
        <f t="shared" si="165"/>
        <v/>
      </c>
      <c r="F417" s="241" t="s">
        <v>535</v>
      </c>
      <c r="G417" s="242">
        <v>44684</v>
      </c>
      <c r="H417" s="243"/>
      <c r="I417" s="243"/>
      <c r="J417" s="243" t="s">
        <v>402</v>
      </c>
      <c r="K417" s="244" t="s">
        <v>439</v>
      </c>
      <c r="L417" s="243" t="s">
        <v>439</v>
      </c>
      <c r="M417" s="243" t="s">
        <v>562</v>
      </c>
      <c r="N417" s="243">
        <v>113</v>
      </c>
      <c r="O417" s="244" t="s">
        <v>2167</v>
      </c>
      <c r="P417" s="244" t="s">
        <v>1254</v>
      </c>
      <c r="Q417" s="231" t="str">
        <f t="shared" si="166"/>
        <v>A123. Integrated Power Module</v>
      </c>
      <c r="R417" s="284" t="str">
        <f>HYPERLINK(VLOOKUP(O417,'3D. Pictures'!$B$3:$E$500,4,FALSE),"PIC")</f>
        <v>PIC</v>
      </c>
      <c r="S417" s="373" t="str">
        <f t="shared" si="170"/>
        <v>E.G.</v>
      </c>
      <c r="T417" s="377" t="str">
        <f>IF(O417&lt;&gt;"",_xlfn.XLOOKUP(O417,'3D. Pictures'!B:B,'3D. Pictures'!E:E,"NOT FOUND",0,1),"")</f>
        <v>https://viking-pictures.s3.us-west-1.amazonaws.com/AA1155/A123.+Integrated+Power+Module+(1).JPG</v>
      </c>
      <c r="U417" s="243">
        <v>3</v>
      </c>
      <c r="V417" s="243" t="s">
        <v>2168</v>
      </c>
      <c r="W417" s="243" t="s">
        <v>111</v>
      </c>
      <c r="X417" s="243"/>
      <c r="Y417" s="201"/>
      <c r="Z417" s="243"/>
      <c r="AA417" s="243" t="s">
        <v>2169</v>
      </c>
      <c r="AB417" s="243" t="s">
        <v>2169</v>
      </c>
      <c r="AC417" s="358" t="str">
        <f t="shared" si="167"/>
        <v/>
      </c>
      <c r="AD417" s="243"/>
      <c r="AE417" s="243"/>
      <c r="AF417" s="179" t="s">
        <v>543</v>
      </c>
      <c r="AG417" s="243"/>
      <c r="AH417" s="16">
        <v>69</v>
      </c>
      <c r="AI417" s="380">
        <f t="shared" si="171"/>
        <v>64.5</v>
      </c>
      <c r="AJ417" s="246" t="s">
        <v>408</v>
      </c>
      <c r="AK417" s="246" t="s">
        <v>425</v>
      </c>
      <c r="AL417" s="246" t="s">
        <v>2635</v>
      </c>
      <c r="AM417" s="241"/>
      <c r="AN417" s="241"/>
      <c r="AO417" s="241" t="s">
        <v>572</v>
      </c>
      <c r="AP417" s="241"/>
      <c r="AQ417" s="241"/>
      <c r="AR417" s="241"/>
      <c r="AS417" s="241" t="s">
        <v>1028</v>
      </c>
      <c r="AT417" s="241" t="s">
        <v>1029</v>
      </c>
      <c r="AU417" s="241" t="s">
        <v>2354</v>
      </c>
      <c r="AV417" s="303" t="str">
        <f t="shared" ref="AV417:AV418" si="173">CONCATENATE(AS417,"-",AT417,"-",AU417)</f>
        <v>F15-14-18-ALL but 4.4TT</v>
      </c>
      <c r="AW417" s="241" t="s">
        <v>2407</v>
      </c>
      <c r="AX417" s="279" t="str">
        <f t="shared" ref="AX417:AX482" si="174">IF(AW417&lt;&gt;"",_xlfn.TEXTJOIN("-",TRUE,AV417,AW417),"")</f>
        <v>F15-14-18-ALL but 4.4TT-Viking41</v>
      </c>
    </row>
    <row r="418" spans="1:50" x14ac:dyDescent="0.25">
      <c r="A418" s="190" t="str">
        <f t="shared" si="163"/>
        <v/>
      </c>
      <c r="B418" s="279" t="str">
        <f t="shared" ref="B418" si="175">IF(AQ418&lt;&gt;"",AQ418,"")</f>
        <v/>
      </c>
      <c r="C418" s="279"/>
      <c r="D418" s="279"/>
      <c r="E418" s="279" t="str">
        <f t="shared" si="165"/>
        <v/>
      </c>
      <c r="F418" s="241" t="s">
        <v>535</v>
      </c>
      <c r="G418" s="242">
        <v>45245</v>
      </c>
      <c r="H418" s="243"/>
      <c r="I418" s="243"/>
      <c r="J418" s="243" t="s">
        <v>402</v>
      </c>
      <c r="K418" s="244" t="s">
        <v>439</v>
      </c>
      <c r="L418" s="243" t="s">
        <v>439</v>
      </c>
      <c r="M418" s="243" t="s">
        <v>562</v>
      </c>
      <c r="N418" s="243"/>
      <c r="O418" s="244"/>
      <c r="P418" s="244"/>
      <c r="Q418" s="231" t="str">
        <f t="shared" si="166"/>
        <v>. Integrated Power Module</v>
      </c>
      <c r="R418" s="231"/>
      <c r="S418" s="231" t="str">
        <f t="shared" si="170"/>
        <v/>
      </c>
      <c r="T418" s="231" t="str">
        <f>IF(O418&lt;&gt;"",_xlfn.XLOOKUP(O418,'3D. Pictures'!B:B,'3D. Pictures'!E:E,"NOT FOUND",0,1),"")</f>
        <v/>
      </c>
      <c r="U418" s="243"/>
      <c r="V418" s="243"/>
      <c r="W418" s="243"/>
      <c r="X418" s="243"/>
      <c r="Y418" s="226"/>
      <c r="Z418" s="243"/>
      <c r="AA418" s="243" t="s">
        <v>2169</v>
      </c>
      <c r="AB418" s="243" t="s">
        <v>2169</v>
      </c>
      <c r="AC418" s="358" t="str">
        <f t="shared" si="167"/>
        <v/>
      </c>
      <c r="AD418" s="243"/>
      <c r="AE418" s="243"/>
      <c r="AF418" s="179" t="s">
        <v>543</v>
      </c>
      <c r="AG418" s="243"/>
      <c r="AH418" s="16">
        <v>60</v>
      </c>
      <c r="AI418" s="380">
        <f t="shared" si="171"/>
        <v>64.5</v>
      </c>
      <c r="AJ418" s="246" t="s">
        <v>408</v>
      </c>
      <c r="AK418" s="246" t="s">
        <v>425</v>
      </c>
      <c r="AL418" s="246" t="s">
        <v>2198</v>
      </c>
      <c r="AM418" s="241"/>
      <c r="AN418" s="241"/>
      <c r="AO418" s="241" t="s">
        <v>572</v>
      </c>
      <c r="AP418" s="241"/>
      <c r="AQ418" s="241"/>
      <c r="AR418" s="241"/>
      <c r="AS418" s="241" t="s">
        <v>1028</v>
      </c>
      <c r="AT418" s="241" t="s">
        <v>1029</v>
      </c>
      <c r="AU418" s="241" t="s">
        <v>898</v>
      </c>
      <c r="AV418" s="303" t="str">
        <f t="shared" si="173"/>
        <v>F15-14-18-4.4TT</v>
      </c>
      <c r="AW418" s="241" t="s">
        <v>2408</v>
      </c>
      <c r="AX418" s="279" t="str">
        <f t="shared" si="174"/>
        <v>F15-14-18-4.4TT-Viking42</v>
      </c>
    </row>
    <row r="419" spans="1:50" x14ac:dyDescent="0.25">
      <c r="A419" s="190" t="str">
        <f t="shared" si="163"/>
        <v/>
      </c>
      <c r="B419" s="279" t="str">
        <f t="shared" si="162"/>
        <v/>
      </c>
      <c r="C419" s="279"/>
      <c r="D419" s="279"/>
      <c r="E419" s="279" t="str">
        <f t="shared" si="165"/>
        <v/>
      </c>
      <c r="F419" s="190" t="s">
        <v>535</v>
      </c>
      <c r="G419" s="198">
        <v>44684</v>
      </c>
      <c r="H419" s="217"/>
      <c r="I419" s="192"/>
      <c r="J419" s="205" t="s">
        <v>402</v>
      </c>
      <c r="K419" s="205" t="s">
        <v>439</v>
      </c>
      <c r="L419" s="205" t="s">
        <v>2701</v>
      </c>
      <c r="M419" s="205" t="s">
        <v>559</v>
      </c>
      <c r="N419" s="205"/>
      <c r="O419" s="206"/>
      <c r="P419" s="206"/>
      <c r="Q419" s="231" t="str">
        <f t="shared" si="166"/>
        <v>. Key FOB + Skeleton Key</v>
      </c>
      <c r="R419" s="231"/>
      <c r="S419" s="231" t="str">
        <f t="shared" si="170"/>
        <v/>
      </c>
      <c r="T419" s="231" t="str">
        <f>IF(O419&lt;&gt;"",_xlfn.XLOOKUP(O419,'3D. Pictures'!B:B,'3D. Pictures'!E:E,"NOT FOUND",0,1),"")</f>
        <v/>
      </c>
      <c r="U419" s="205"/>
      <c r="V419" s="205"/>
      <c r="W419" s="205"/>
      <c r="X419" s="205"/>
      <c r="Y419" s="168"/>
      <c r="Z419" s="205"/>
      <c r="AA419" s="205" t="s">
        <v>854</v>
      </c>
      <c r="AB419" s="205" t="s">
        <v>854</v>
      </c>
      <c r="AC419" s="358" t="str">
        <f t="shared" si="167"/>
        <v>w/ SET A unless no set (REQUIRED)</v>
      </c>
      <c r="AD419" s="205" t="s">
        <v>849</v>
      </c>
      <c r="AE419" s="205"/>
      <c r="AF419" s="201" t="s">
        <v>543</v>
      </c>
      <c r="AG419" s="205" t="s">
        <v>472</v>
      </c>
      <c r="AH419" s="16">
        <v>75</v>
      </c>
      <c r="AI419" s="380">
        <f t="shared" si="171"/>
        <v>75</v>
      </c>
      <c r="AJ419" s="204" t="s">
        <v>408</v>
      </c>
      <c r="AK419" s="204" t="s">
        <v>425</v>
      </c>
      <c r="AL419" s="204" t="s">
        <v>2175</v>
      </c>
      <c r="AM419" s="190"/>
      <c r="AN419" s="190"/>
      <c r="AO419" s="190"/>
      <c r="AP419" s="190"/>
      <c r="AQ419" s="190"/>
      <c r="AR419" s="190"/>
      <c r="AS419" s="190"/>
      <c r="AT419" s="190"/>
      <c r="AU419" s="190"/>
      <c r="AV419" s="190"/>
      <c r="AW419" s="190"/>
      <c r="AX419" s="279" t="str">
        <f t="shared" si="174"/>
        <v/>
      </c>
    </row>
    <row r="420" spans="1:50" x14ac:dyDescent="0.25">
      <c r="A420" s="190" t="str">
        <f t="shared" si="163"/>
        <v/>
      </c>
      <c r="B420" s="279" t="str">
        <f t="shared" si="162"/>
        <v/>
      </c>
      <c r="C420" s="279"/>
      <c r="D420" s="279"/>
      <c r="E420" s="279" t="str">
        <f t="shared" si="165"/>
        <v/>
      </c>
      <c r="F420" t="s">
        <v>535</v>
      </c>
      <c r="G420" s="188">
        <v>44684</v>
      </c>
      <c r="H420" s="16"/>
      <c r="I420" s="16"/>
      <c r="J420" s="16" t="s">
        <v>402</v>
      </c>
      <c r="K420" s="16" t="s">
        <v>439</v>
      </c>
      <c r="L420" s="16" t="s">
        <v>439</v>
      </c>
      <c r="M420" s="16" t="s">
        <v>559</v>
      </c>
      <c r="N420" s="16"/>
      <c r="O420" s="166"/>
      <c r="P420" s="166"/>
      <c r="Q420" s="231" t="str">
        <f t="shared" si="166"/>
        <v>. Keyless Entry Antenna SET 6</v>
      </c>
      <c r="R420" s="231"/>
      <c r="S420" s="231" t="str">
        <f t="shared" si="170"/>
        <v/>
      </c>
      <c r="T420" s="231" t="str">
        <f>IF(O420&lt;&gt;"",_xlfn.XLOOKUP(O420,'3D. Pictures'!B:B,'3D. Pictures'!E:E,"NOT FOUND",0,1),"")</f>
        <v/>
      </c>
      <c r="U420" s="16"/>
      <c r="V420" s="16"/>
      <c r="W420" s="16"/>
      <c r="X420" s="16"/>
      <c r="Y420" s="201"/>
      <c r="Z420" s="16"/>
      <c r="AA420" s="16" t="s">
        <v>2525</v>
      </c>
      <c r="AB420" s="16" t="s">
        <v>2525</v>
      </c>
      <c r="AC420" s="358" t="str">
        <f t="shared" si="167"/>
        <v/>
      </c>
      <c r="AD420" s="16"/>
      <c r="AE420" s="16"/>
      <c r="AF420" s="168" t="s">
        <v>546</v>
      </c>
      <c r="AG420" s="16"/>
      <c r="AH420" s="16">
        <v>58</v>
      </c>
      <c r="AI420" s="380">
        <f t="shared" si="171"/>
        <v>58</v>
      </c>
      <c r="AJ420" s="3" t="s">
        <v>408</v>
      </c>
      <c r="AK420" s="3" t="s">
        <v>425</v>
      </c>
      <c r="AL420" s="3" t="s">
        <v>2175</v>
      </c>
      <c r="AN420"/>
      <c r="AX420" s="279" t="str">
        <f t="shared" si="174"/>
        <v/>
      </c>
    </row>
    <row r="421" spans="1:50" x14ac:dyDescent="0.25">
      <c r="A421" s="190" t="str">
        <f t="shared" si="163"/>
        <v/>
      </c>
      <c r="B421" s="279" t="str">
        <f t="shared" si="162"/>
        <v/>
      </c>
      <c r="C421" s="279"/>
      <c r="D421" s="279"/>
      <c r="E421" s="279" t="str">
        <f t="shared" si="165"/>
        <v/>
      </c>
      <c r="F421" s="190" t="s">
        <v>535</v>
      </c>
      <c r="G421" s="198">
        <v>44684</v>
      </c>
      <c r="H421" s="217"/>
      <c r="I421" s="192"/>
      <c r="J421" s="205" t="s">
        <v>402</v>
      </c>
      <c r="K421" s="205" t="s">
        <v>439</v>
      </c>
      <c r="L421" s="205" t="s">
        <v>439</v>
      </c>
      <c r="M421" s="208" t="s">
        <v>562</v>
      </c>
      <c r="N421" s="208"/>
      <c r="O421" s="232"/>
      <c r="P421" s="232"/>
      <c r="Q421" s="231" t="str">
        <f t="shared" si="166"/>
        <v>. Keyless Entry Control Module (worthless solo)</v>
      </c>
      <c r="R421" s="231"/>
      <c r="S421" s="231" t="str">
        <f t="shared" si="170"/>
        <v/>
      </c>
      <c r="T421" s="231" t="str">
        <f>IF(O421&lt;&gt;"",_xlfn.XLOOKUP(O421,'3D. Pictures'!B:B,'3D. Pictures'!E:E,"NOT FOUND",0,1),"")</f>
        <v/>
      </c>
      <c r="U421" s="208"/>
      <c r="V421" s="201"/>
      <c r="W421" s="208"/>
      <c r="X421" s="201"/>
      <c r="Y421" s="201"/>
      <c r="Z421" s="201"/>
      <c r="AA421" s="205" t="s">
        <v>457</v>
      </c>
      <c r="AB421" s="205" t="s">
        <v>457</v>
      </c>
      <c r="AC421" s="358" t="str">
        <f t="shared" si="167"/>
        <v>w/ SET A unless no set (NOT REQUIRED)</v>
      </c>
      <c r="AD421" s="205" t="s">
        <v>853</v>
      </c>
      <c r="AE421" s="205"/>
      <c r="AF421" s="201" t="s">
        <v>543</v>
      </c>
      <c r="AG421" s="205" t="s">
        <v>459</v>
      </c>
      <c r="AH421" s="16" t="s">
        <v>2855</v>
      </c>
      <c r="AI421" s="380" t="str">
        <f t="shared" si="171"/>
        <v>not solo</v>
      </c>
      <c r="AJ421" s="204" t="s">
        <v>408</v>
      </c>
      <c r="AK421" s="204" t="s">
        <v>425</v>
      </c>
      <c r="AL421" s="204" t="s">
        <v>2175</v>
      </c>
      <c r="AM421" s="190"/>
      <c r="AN421" s="191"/>
      <c r="AO421" s="190" t="s">
        <v>572</v>
      </c>
      <c r="AP421" s="190"/>
      <c r="AQ421" s="190"/>
      <c r="AR421" s="190"/>
      <c r="AS421" s="190"/>
      <c r="AT421" s="190"/>
      <c r="AU421" s="190"/>
      <c r="AV421" s="190"/>
      <c r="AW421" s="190"/>
      <c r="AX421" s="279" t="str">
        <f t="shared" si="174"/>
        <v/>
      </c>
    </row>
    <row r="422" spans="1:50" x14ac:dyDescent="0.25">
      <c r="A422" s="190" t="str">
        <f t="shared" si="163"/>
        <v/>
      </c>
      <c r="B422" s="279" t="str">
        <f t="shared" si="162"/>
        <v>596-893</v>
      </c>
      <c r="C422" s="279"/>
      <c r="D422" s="279"/>
      <c r="E422" s="279">
        <f t="shared" si="165"/>
        <v>1</v>
      </c>
      <c r="F422" s="190" t="s">
        <v>536</v>
      </c>
      <c r="G422" s="198">
        <v>44993</v>
      </c>
      <c r="H422" s="222"/>
      <c r="I422" s="223"/>
      <c r="J422" s="205" t="s">
        <v>402</v>
      </c>
      <c r="K422" s="205" t="s">
        <v>439</v>
      </c>
      <c r="L422" s="205" t="s">
        <v>855</v>
      </c>
      <c r="M422" s="208" t="s">
        <v>562</v>
      </c>
      <c r="N422" s="208"/>
      <c r="O422" s="232"/>
      <c r="P422" s="232"/>
      <c r="Q422" s="231" t="str">
        <f t="shared" si="166"/>
        <v>. Lane Departure Warning Camera</v>
      </c>
      <c r="R422" s="231"/>
      <c r="S422" s="231" t="str">
        <f t="shared" si="170"/>
        <v/>
      </c>
      <c r="T422" s="231" t="str">
        <f>IF(O422&lt;&gt;"",_xlfn.XLOOKUP(O422,'3D. Pictures'!B:B,'3D. Pictures'!E:E,"NOT FOUND",0,1),"")</f>
        <v/>
      </c>
      <c r="U422" s="208"/>
      <c r="V422" s="201"/>
      <c r="W422" s="208"/>
      <c r="X422" s="201"/>
      <c r="Y422" s="201"/>
      <c r="Z422" s="201"/>
      <c r="AA422" s="205" t="s">
        <v>502</v>
      </c>
      <c r="AB422" s="205" t="s">
        <v>502</v>
      </c>
      <c r="AC422" s="358" t="str">
        <f t="shared" si="167"/>
        <v/>
      </c>
      <c r="AD422" s="205"/>
      <c r="AE422" s="205"/>
      <c r="AF422" s="201" t="s">
        <v>543</v>
      </c>
      <c r="AG422" s="205"/>
      <c r="AH422" s="16">
        <v>150</v>
      </c>
      <c r="AI422" s="380">
        <f t="shared" si="171"/>
        <v>150</v>
      </c>
      <c r="AJ422" s="204" t="s">
        <v>408</v>
      </c>
      <c r="AK422" s="204" t="s">
        <v>425</v>
      </c>
      <c r="AL422" s="204" t="s">
        <v>2175</v>
      </c>
      <c r="AM422" s="190"/>
      <c r="AN422" s="191" t="s">
        <v>628</v>
      </c>
      <c r="AO422" s="190" t="s">
        <v>572</v>
      </c>
      <c r="AP422" s="190">
        <v>893</v>
      </c>
      <c r="AQ422" s="190" t="str">
        <f>CONCATENATE(AN422,AO422,AP422)</f>
        <v>596-893</v>
      </c>
      <c r="AR422" s="190"/>
      <c r="AS422" s="190"/>
      <c r="AT422" s="190"/>
      <c r="AU422" s="190"/>
      <c r="AV422" s="190"/>
      <c r="AW422" s="190"/>
      <c r="AX422" s="279" t="str">
        <f t="shared" si="174"/>
        <v/>
      </c>
    </row>
    <row r="423" spans="1:50" ht="15.75" thickBot="1" x14ac:dyDescent="0.3">
      <c r="A423" s="190" t="str">
        <f t="shared" si="163"/>
        <v/>
      </c>
      <c r="B423" s="279" t="str">
        <f t="shared" si="162"/>
        <v>591-72653</v>
      </c>
      <c r="C423" s="279"/>
      <c r="D423" s="279"/>
      <c r="E423" s="279">
        <f t="shared" si="165"/>
        <v>1</v>
      </c>
      <c r="F423" s="190" t="s">
        <v>536</v>
      </c>
      <c r="G423" s="198">
        <v>44994</v>
      </c>
      <c r="H423" s="224"/>
      <c r="I423" s="205"/>
      <c r="J423" s="205" t="s">
        <v>402</v>
      </c>
      <c r="K423" s="206" t="s">
        <v>439</v>
      </c>
      <c r="L423" s="205" t="s">
        <v>439</v>
      </c>
      <c r="M423" s="208" t="s">
        <v>562</v>
      </c>
      <c r="N423" s="208"/>
      <c r="O423" s="232"/>
      <c r="P423" s="232"/>
      <c r="Q423" s="231" t="str">
        <f t="shared" si="166"/>
        <v>. Lane Departure Warning Camera Control Module (Not The Camera)</v>
      </c>
      <c r="R423" s="231"/>
      <c r="S423" s="231" t="str">
        <f t="shared" si="170"/>
        <v/>
      </c>
      <c r="T423" s="231" t="str">
        <f>IF(O423&lt;&gt;"",_xlfn.XLOOKUP(O423,'3D. Pictures'!B:B,'3D. Pictures'!E:E,"NOT FOUND",0,1),"")</f>
        <v/>
      </c>
      <c r="U423" s="208"/>
      <c r="V423" s="201"/>
      <c r="W423" s="208"/>
      <c r="X423" s="201"/>
      <c r="Y423" s="201"/>
      <c r="Z423" s="201"/>
      <c r="AA423" s="205" t="s">
        <v>503</v>
      </c>
      <c r="AB423" s="205" t="s">
        <v>503</v>
      </c>
      <c r="AC423" s="358" t="str">
        <f t="shared" si="167"/>
        <v/>
      </c>
      <c r="AD423" s="205"/>
      <c r="AE423" s="205"/>
      <c r="AF423" s="201" t="s">
        <v>543</v>
      </c>
      <c r="AG423" s="205"/>
      <c r="AH423" s="16">
        <v>45</v>
      </c>
      <c r="AI423" s="380">
        <f t="shared" si="171"/>
        <v>45</v>
      </c>
      <c r="AJ423" s="204" t="s">
        <v>408</v>
      </c>
      <c r="AK423" s="204" t="s">
        <v>425</v>
      </c>
      <c r="AL423" s="204" t="s">
        <v>2175</v>
      </c>
      <c r="AM423" s="190"/>
      <c r="AN423" s="191" t="s">
        <v>637</v>
      </c>
      <c r="AO423" s="190" t="s">
        <v>572</v>
      </c>
      <c r="AP423" s="190">
        <v>72653</v>
      </c>
      <c r="AQ423" s="190" t="str">
        <f>CONCATENATE(AN423,AO423,AP423)</f>
        <v>591-72653</v>
      </c>
      <c r="AR423" s="190"/>
      <c r="AS423" s="190"/>
      <c r="AT423" s="190"/>
      <c r="AU423" s="190"/>
      <c r="AV423" s="190"/>
      <c r="AW423" s="190"/>
      <c r="AX423" s="279" t="str">
        <f t="shared" si="174"/>
        <v/>
      </c>
    </row>
    <row r="424" spans="1:50" ht="15.75" thickBot="1" x14ac:dyDescent="0.3">
      <c r="A424" s="190" t="str">
        <f t="shared" si="163"/>
        <v>A71</v>
      </c>
      <c r="B424" s="279" t="str">
        <f t="shared" si="162"/>
        <v>590-62356</v>
      </c>
      <c r="C424" s="279" t="s">
        <v>2122</v>
      </c>
      <c r="D424" s="279"/>
      <c r="E424" s="279">
        <f t="shared" si="165"/>
        <v>2</v>
      </c>
      <c r="F424" s="190" t="s">
        <v>535</v>
      </c>
      <c r="G424" s="198">
        <v>44684</v>
      </c>
      <c r="H424" s="217"/>
      <c r="I424" s="192"/>
      <c r="J424" s="205" t="s">
        <v>402</v>
      </c>
      <c r="K424" s="205" t="s">
        <v>439</v>
      </c>
      <c r="L424" s="205" t="s">
        <v>1381</v>
      </c>
      <c r="M424" s="208" t="s">
        <v>562</v>
      </c>
      <c r="N424" s="208">
        <v>61</v>
      </c>
      <c r="O424" s="232" t="s">
        <v>973</v>
      </c>
      <c r="P424" s="232" t="s">
        <v>1254</v>
      </c>
      <c r="Q424" s="231" t="str">
        <f t="shared" si="166"/>
        <v>A71. Module &amp; Key SET A (ECM + BCM + Keyless Mod + FOB + LF Lock Cyl + Immobilizer Ring)</v>
      </c>
      <c r="R424" s="284" t="str">
        <f>HYPERLINK(VLOOKUP(O424,'3D. Pictures'!$B$3:$E$500,4,FALSE),"PIC")</f>
        <v>PIC</v>
      </c>
      <c r="S424" s="373" t="str">
        <f t="shared" si="170"/>
        <v>E.G.</v>
      </c>
      <c r="T424" s="377" t="str">
        <f>IF(O424&lt;&gt;"",_xlfn.XLOOKUP(O424,'3D. Pictures'!B:B,'3D. Pictures'!E:E,"NOT FOUND",0,1),"")</f>
        <v>https://viking-pictures.s3.us-west-1.amazonaws.com/AA1155/A71.+Module+%26+Key+SET+A+(ECM+%2B+BCM+%2B+Keyless+Mod+%2B+FOB+%2B+LF+Lock+Cyl+%2B+Immobilizer+Ring)+(1).JPG</v>
      </c>
      <c r="U424" s="208">
        <v>9</v>
      </c>
      <c r="V424" s="201" t="s">
        <v>1255</v>
      </c>
      <c r="W424" s="208" t="s">
        <v>112</v>
      </c>
      <c r="X424" s="201"/>
      <c r="Y424" s="201"/>
      <c r="Z424" s="201"/>
      <c r="AA424" s="205" t="s">
        <v>475</v>
      </c>
      <c r="AB424" s="205" t="s">
        <v>475</v>
      </c>
      <c r="AC424" s="358" t="str">
        <f t="shared" si="167"/>
        <v>This is SET A</v>
      </c>
      <c r="AD424" s="205" t="s">
        <v>2142</v>
      </c>
      <c r="AE424" s="205"/>
      <c r="AF424" s="201" t="s">
        <v>542</v>
      </c>
      <c r="AG424" s="205" t="s">
        <v>476</v>
      </c>
      <c r="AH424" s="16">
        <v>995</v>
      </c>
      <c r="AI424" s="380">
        <f t="shared" si="171"/>
        <v>995</v>
      </c>
      <c r="AJ424" s="204" t="s">
        <v>2176</v>
      </c>
      <c r="AK424" s="204" t="s">
        <v>425</v>
      </c>
      <c r="AL424" s="204" t="s">
        <v>2177</v>
      </c>
      <c r="AM424" s="190"/>
      <c r="AN424" s="191" t="s">
        <v>640</v>
      </c>
      <c r="AO424" s="190" t="s">
        <v>572</v>
      </c>
      <c r="AP424" s="190">
        <v>62356</v>
      </c>
      <c r="AQ424" s="190" t="str">
        <f>CONCATENATE(AN424,AO424,AP424)</f>
        <v>590-62356</v>
      </c>
      <c r="AR424" s="190"/>
      <c r="AS424" s="190"/>
      <c r="AT424" s="190"/>
      <c r="AU424" s="190"/>
      <c r="AV424" s="190"/>
      <c r="AW424" s="190"/>
      <c r="AX424" s="279" t="str">
        <f t="shared" si="174"/>
        <v/>
      </c>
    </row>
    <row r="425" spans="1:50" ht="15.75" thickBot="1" x14ac:dyDescent="0.3">
      <c r="A425" s="190" t="str">
        <f t="shared" si="163"/>
        <v>A78</v>
      </c>
      <c r="B425" s="279" t="str">
        <f t="shared" si="162"/>
        <v>591-74039</v>
      </c>
      <c r="C425" s="279"/>
      <c r="D425" s="279"/>
      <c r="E425" s="279">
        <f t="shared" si="165"/>
        <v>1</v>
      </c>
      <c r="F425" s="190" t="s">
        <v>535</v>
      </c>
      <c r="G425" s="198">
        <v>44684</v>
      </c>
      <c r="H425" s="217"/>
      <c r="I425" s="192"/>
      <c r="J425" s="205" t="s">
        <v>402</v>
      </c>
      <c r="K425" s="205" t="s">
        <v>439</v>
      </c>
      <c r="L425" s="205" t="s">
        <v>439</v>
      </c>
      <c r="M425" s="208" t="s">
        <v>562</v>
      </c>
      <c r="N425" s="208">
        <v>68</v>
      </c>
      <c r="O425" s="232" t="s">
        <v>980</v>
      </c>
      <c r="P425" s="232" t="s">
        <v>1254</v>
      </c>
      <c r="Q425" s="231" t="str">
        <f t="shared" si="166"/>
        <v>A78. Park Assist Control Module PDC</v>
      </c>
      <c r="R425" s="284" t="str">
        <f>HYPERLINK(VLOOKUP(O425,'3D. Pictures'!$B$3:$E$500,4,FALSE),"PIC")</f>
        <v>PIC</v>
      </c>
      <c r="S425" s="373" t="str">
        <f t="shared" si="170"/>
        <v>E.G.</v>
      </c>
      <c r="T425" s="377" t="str">
        <f>IF(O425&lt;&gt;"",_xlfn.XLOOKUP(O425,'3D. Pictures'!B:B,'3D. Pictures'!E:E,"NOT FOUND",0,1),"")</f>
        <v>https://viking-pictures.s3.us-west-1.amazonaws.com/AA1155/A78.+Park+Assist+Control+Module+PDC+(1).JPG</v>
      </c>
      <c r="U425" s="208">
        <v>3</v>
      </c>
      <c r="V425" s="201" t="s">
        <v>1272</v>
      </c>
      <c r="W425" s="208" t="s">
        <v>112</v>
      </c>
      <c r="X425" s="201"/>
      <c r="Y425" s="201"/>
      <c r="Z425" s="201"/>
      <c r="AA425" s="205" t="s">
        <v>495</v>
      </c>
      <c r="AB425" s="205" t="s">
        <v>495</v>
      </c>
      <c r="AC425" s="358" t="str">
        <f t="shared" si="167"/>
        <v/>
      </c>
      <c r="AD425" s="205"/>
      <c r="AE425" s="205"/>
      <c r="AF425" s="201" t="s">
        <v>543</v>
      </c>
      <c r="AG425" s="205"/>
      <c r="AH425" s="16">
        <v>60</v>
      </c>
      <c r="AI425" s="380">
        <f t="shared" si="171"/>
        <v>60</v>
      </c>
      <c r="AJ425" s="204" t="s">
        <v>408</v>
      </c>
      <c r="AK425" s="204" t="s">
        <v>425</v>
      </c>
      <c r="AL425" s="204" t="s">
        <v>2175</v>
      </c>
      <c r="AM425" s="190"/>
      <c r="AN425" s="191" t="s">
        <v>637</v>
      </c>
      <c r="AO425" s="190" t="s">
        <v>572</v>
      </c>
      <c r="AP425" s="190">
        <v>74039</v>
      </c>
      <c r="AQ425" s="190" t="str">
        <f>CONCATENATE(AN425,AO425,AP425)</f>
        <v>591-74039</v>
      </c>
      <c r="AR425" s="190"/>
      <c r="AS425" s="190"/>
      <c r="AT425" s="190"/>
      <c r="AU425" s="190"/>
      <c r="AV425" s="190"/>
      <c r="AW425" s="190"/>
      <c r="AX425" s="279" t="str">
        <f t="shared" si="174"/>
        <v/>
      </c>
    </row>
    <row r="426" spans="1:50" x14ac:dyDescent="0.25">
      <c r="A426" s="190" t="str">
        <f t="shared" si="163"/>
        <v/>
      </c>
      <c r="B426" s="279" t="str">
        <f t="shared" si="162"/>
        <v/>
      </c>
      <c r="C426" s="279"/>
      <c r="D426" s="279"/>
      <c r="E426" s="279" t="str">
        <f t="shared" si="165"/>
        <v/>
      </c>
      <c r="F426" t="s">
        <v>536</v>
      </c>
      <c r="G426" s="188">
        <v>44812</v>
      </c>
      <c r="H426" s="16"/>
      <c r="I426" s="16"/>
      <c r="J426" s="16" t="s">
        <v>402</v>
      </c>
      <c r="K426" s="16" t="s">
        <v>439</v>
      </c>
      <c r="L426" s="16" t="s">
        <v>439</v>
      </c>
      <c r="M426" s="189" t="s">
        <v>562</v>
      </c>
      <c r="N426" s="189"/>
      <c r="O426" s="233"/>
      <c r="P426" s="233"/>
      <c r="Q426" s="231" t="str">
        <f t="shared" si="166"/>
        <v>. Radio Remote Receiver Control Module</v>
      </c>
      <c r="R426" s="231"/>
      <c r="S426" s="231" t="str">
        <f t="shared" si="170"/>
        <v/>
      </c>
      <c r="T426" s="231" t="str">
        <f>IF(O426&lt;&gt;"",_xlfn.XLOOKUP(O426,'3D. Pictures'!B:B,'3D. Pictures'!E:E,"NOT FOUND",0,1),"")</f>
        <v/>
      </c>
      <c r="U426" s="189"/>
      <c r="V426" s="168"/>
      <c r="W426" s="189"/>
      <c r="X426" s="168"/>
      <c r="Y426" s="201"/>
      <c r="Z426" s="168"/>
      <c r="AA426" s="16" t="s">
        <v>493</v>
      </c>
      <c r="AB426" s="16" t="s">
        <v>493</v>
      </c>
      <c r="AC426" s="358" t="str">
        <f t="shared" si="167"/>
        <v/>
      </c>
      <c r="AD426" s="16"/>
      <c r="AE426" s="16"/>
      <c r="AF426" s="168" t="s">
        <v>543</v>
      </c>
      <c r="AG426" s="16"/>
      <c r="AH426" s="16">
        <v>45</v>
      </c>
      <c r="AI426" s="380">
        <f t="shared" si="171"/>
        <v>45</v>
      </c>
      <c r="AJ426" s="3" t="s">
        <v>408</v>
      </c>
      <c r="AK426" s="3" t="s">
        <v>425</v>
      </c>
      <c r="AL426" s="3" t="s">
        <v>2175</v>
      </c>
      <c r="AO426" t="s">
        <v>572</v>
      </c>
      <c r="AX426" s="279" t="str">
        <f t="shared" si="174"/>
        <v/>
      </c>
    </row>
    <row r="427" spans="1:50" x14ac:dyDescent="0.25">
      <c r="A427" s="190" t="str">
        <f t="shared" si="163"/>
        <v/>
      </c>
      <c r="B427" s="279" t="str">
        <f t="shared" si="162"/>
        <v/>
      </c>
      <c r="C427" s="279"/>
      <c r="D427" s="279"/>
      <c r="E427" s="279" t="str">
        <f t="shared" si="165"/>
        <v/>
      </c>
      <c r="F427" t="s">
        <v>535</v>
      </c>
      <c r="G427" s="188">
        <v>44684</v>
      </c>
      <c r="H427" s="16"/>
      <c r="I427" s="16"/>
      <c r="J427" s="16" t="s">
        <v>402</v>
      </c>
      <c r="K427" s="16" t="s">
        <v>439</v>
      </c>
      <c r="L427" s="16" t="s">
        <v>439</v>
      </c>
      <c r="M427" s="16" t="s">
        <v>559</v>
      </c>
      <c r="N427" s="16"/>
      <c r="O427" s="166"/>
      <c r="P427" s="166"/>
      <c r="Q427" s="231" t="str">
        <f t="shared" si="166"/>
        <v>. Rain Solar Light Sensor</v>
      </c>
      <c r="R427" s="231"/>
      <c r="S427" s="231" t="str">
        <f t="shared" si="170"/>
        <v/>
      </c>
      <c r="T427" s="231" t="str">
        <f>IF(O427&lt;&gt;"",_xlfn.XLOOKUP(O427,'3D. Pictures'!B:B,'3D. Pictures'!E:E,"NOT FOUND",0,1),"")</f>
        <v/>
      </c>
      <c r="U427" s="16"/>
      <c r="V427" s="16"/>
      <c r="W427" s="16"/>
      <c r="X427" s="16"/>
      <c r="Y427" s="201"/>
      <c r="Z427" s="16"/>
      <c r="AA427" s="16" t="s">
        <v>2597</v>
      </c>
      <c r="AB427" s="16" t="s">
        <v>2597</v>
      </c>
      <c r="AC427" s="358" t="str">
        <f t="shared" si="167"/>
        <v>mounted on windshield</v>
      </c>
      <c r="AD427" s="16"/>
      <c r="AE427" s="16" t="s">
        <v>2596</v>
      </c>
      <c r="AF427" s="168" t="s">
        <v>543</v>
      </c>
      <c r="AG427" s="16"/>
      <c r="AH427" s="16">
        <v>49</v>
      </c>
      <c r="AI427" s="380">
        <f t="shared" si="171"/>
        <v>49</v>
      </c>
      <c r="AJ427" s="3" t="s">
        <v>408</v>
      </c>
      <c r="AK427" s="3" t="s">
        <v>425</v>
      </c>
      <c r="AL427" s="3" t="s">
        <v>2175</v>
      </c>
      <c r="AN427"/>
      <c r="AX427" s="279" t="str">
        <f t="shared" si="174"/>
        <v/>
      </c>
    </row>
    <row r="428" spans="1:50" x14ac:dyDescent="0.25">
      <c r="A428" s="190" t="str">
        <f t="shared" si="163"/>
        <v/>
      </c>
      <c r="B428" s="279" t="str">
        <f t="shared" si="162"/>
        <v>591-74854</v>
      </c>
      <c r="C428" s="279" t="s">
        <v>2123</v>
      </c>
      <c r="D428" s="279"/>
      <c r="E428" s="279">
        <f t="shared" si="165"/>
        <v>2</v>
      </c>
      <c r="F428" s="190" t="s">
        <v>535</v>
      </c>
      <c r="G428" s="198">
        <v>45216</v>
      </c>
      <c r="H428" s="205"/>
      <c r="I428" s="205"/>
      <c r="J428" s="205" t="s">
        <v>402</v>
      </c>
      <c r="K428" s="205" t="s">
        <v>439</v>
      </c>
      <c r="L428" s="205" t="s">
        <v>439</v>
      </c>
      <c r="M428" s="208" t="s">
        <v>562</v>
      </c>
      <c r="N428" s="208"/>
      <c r="O428" s="232"/>
      <c r="P428" s="232"/>
      <c r="Q428" s="231" t="str">
        <f t="shared" si="166"/>
        <v>. Seat Control &amp; Memory Module, w/ Comfort Seat - FRONT LEFT</v>
      </c>
      <c r="R428" s="231"/>
      <c r="S428" s="231" t="str">
        <f t="shared" si="170"/>
        <v/>
      </c>
      <c r="T428" s="231" t="str">
        <f>IF(O428&lt;&gt;"",_xlfn.XLOOKUP(O428,'3D. Pictures'!B:B,'3D. Pictures'!E:E,"NOT FOUND",0,1),"")</f>
        <v/>
      </c>
      <c r="U428" s="208"/>
      <c r="V428" s="201"/>
      <c r="W428" s="208"/>
      <c r="X428" s="201"/>
      <c r="Y428" s="201"/>
      <c r="Z428" s="201"/>
      <c r="AA428" s="205" t="s">
        <v>2832</v>
      </c>
      <c r="AB428" s="205" t="s">
        <v>2832</v>
      </c>
      <c r="AC428" s="358" t="str">
        <f t="shared" si="167"/>
        <v>toss if without comfort seats, note LF &amp; RF are same</v>
      </c>
      <c r="AD428" s="205" t="s">
        <v>1264</v>
      </c>
      <c r="AE428" s="205"/>
      <c r="AF428" s="201" t="s">
        <v>543</v>
      </c>
      <c r="AG428" s="205" t="s">
        <v>467</v>
      </c>
      <c r="AH428" s="16">
        <v>150</v>
      </c>
      <c r="AI428" s="380">
        <f t="shared" si="171"/>
        <v>150</v>
      </c>
      <c r="AJ428" s="204" t="s">
        <v>408</v>
      </c>
      <c r="AK428" s="204" t="s">
        <v>425</v>
      </c>
      <c r="AL428" s="204" t="s">
        <v>2175</v>
      </c>
      <c r="AM428" s="190"/>
      <c r="AN428" s="191" t="s">
        <v>637</v>
      </c>
      <c r="AO428" s="190" t="s">
        <v>572</v>
      </c>
      <c r="AP428" s="190">
        <v>74854</v>
      </c>
      <c r="AQ428" s="190" t="str">
        <f t="shared" ref="AQ428:AQ434" si="176">CONCATENATE(AN428,AO428,AP428)</f>
        <v>591-74854</v>
      </c>
      <c r="AR428" s="190" t="s">
        <v>1262</v>
      </c>
      <c r="AS428" s="190"/>
      <c r="AT428" s="190"/>
      <c r="AU428" s="190"/>
      <c r="AV428" s="190"/>
      <c r="AW428" s="190"/>
      <c r="AX428" s="279" t="str">
        <f t="shared" si="174"/>
        <v/>
      </c>
    </row>
    <row r="429" spans="1:50" x14ac:dyDescent="0.25">
      <c r="A429" s="190" t="str">
        <f t="shared" si="163"/>
        <v/>
      </c>
      <c r="B429" s="279" t="str">
        <f t="shared" si="162"/>
        <v>591-74854</v>
      </c>
      <c r="C429" s="279" t="s">
        <v>2124</v>
      </c>
      <c r="D429" s="279"/>
      <c r="E429" s="279">
        <f t="shared" si="165"/>
        <v>2</v>
      </c>
      <c r="F429" s="190" t="s">
        <v>535</v>
      </c>
      <c r="G429" s="198">
        <v>45216</v>
      </c>
      <c r="H429" s="205"/>
      <c r="I429" s="205"/>
      <c r="J429" s="205" t="s">
        <v>402</v>
      </c>
      <c r="K429" s="205" t="s">
        <v>439</v>
      </c>
      <c r="L429" s="205" t="s">
        <v>439</v>
      </c>
      <c r="M429" s="208" t="s">
        <v>562</v>
      </c>
      <c r="N429" s="208"/>
      <c r="O429" s="232"/>
      <c r="P429" s="232"/>
      <c r="Q429" s="231" t="str">
        <f t="shared" si="166"/>
        <v>. Seat Control &amp; Memory Module, w/ Comfort Seat - FRONT RIGHT</v>
      </c>
      <c r="R429" s="231"/>
      <c r="S429" s="231" t="str">
        <f t="shared" si="170"/>
        <v/>
      </c>
      <c r="T429" s="231" t="str">
        <f>IF(O429&lt;&gt;"",_xlfn.XLOOKUP(O429,'3D. Pictures'!B:B,'3D. Pictures'!E:E,"NOT FOUND",0,1),"")</f>
        <v/>
      </c>
      <c r="U429" s="208"/>
      <c r="V429" s="201"/>
      <c r="W429" s="208"/>
      <c r="X429" s="201"/>
      <c r="Y429" s="201"/>
      <c r="Z429" s="201"/>
      <c r="AA429" s="205" t="s">
        <v>2833</v>
      </c>
      <c r="AB429" s="205" t="s">
        <v>2833</v>
      </c>
      <c r="AC429" s="358" t="str">
        <f t="shared" si="167"/>
        <v>toss if without comfort seats, note LF &amp; RF are same</v>
      </c>
      <c r="AD429" s="205" t="s">
        <v>1264</v>
      </c>
      <c r="AE429" s="205"/>
      <c r="AF429" s="201" t="s">
        <v>543</v>
      </c>
      <c r="AG429" s="205" t="s">
        <v>467</v>
      </c>
      <c r="AH429" s="16">
        <v>150</v>
      </c>
      <c r="AI429" s="380">
        <f t="shared" si="171"/>
        <v>150</v>
      </c>
      <c r="AJ429" s="204" t="s">
        <v>408</v>
      </c>
      <c r="AK429" s="204" t="s">
        <v>425</v>
      </c>
      <c r="AL429" s="204" t="s">
        <v>2175</v>
      </c>
      <c r="AM429" s="190"/>
      <c r="AN429" s="191" t="s">
        <v>637</v>
      </c>
      <c r="AO429" s="190" t="s">
        <v>572</v>
      </c>
      <c r="AP429" s="190">
        <v>74854</v>
      </c>
      <c r="AQ429" s="190" t="str">
        <f t="shared" si="176"/>
        <v>591-74854</v>
      </c>
      <c r="AR429" s="190" t="s">
        <v>1262</v>
      </c>
      <c r="AS429" s="190"/>
      <c r="AT429" s="190"/>
      <c r="AU429" s="190"/>
      <c r="AV429" s="190"/>
      <c r="AW429" s="190"/>
      <c r="AX429" s="279" t="str">
        <f t="shared" si="174"/>
        <v/>
      </c>
    </row>
    <row r="430" spans="1:50" x14ac:dyDescent="0.25">
      <c r="A430" s="190" t="str">
        <f t="shared" si="163"/>
        <v/>
      </c>
      <c r="B430" s="279" t="str">
        <f t="shared" si="162"/>
        <v>591-62201</v>
      </c>
      <c r="C430" s="279"/>
      <c r="D430" s="279"/>
      <c r="E430" s="279">
        <f t="shared" si="165"/>
        <v>2</v>
      </c>
      <c r="F430" s="190" t="s">
        <v>535</v>
      </c>
      <c r="G430" s="198">
        <v>45216</v>
      </c>
      <c r="H430" s="215"/>
      <c r="I430" s="215"/>
      <c r="J430" s="215" t="s">
        <v>405</v>
      </c>
      <c r="K430" s="215" t="s">
        <v>439</v>
      </c>
      <c r="L430" s="215" t="s">
        <v>439</v>
      </c>
      <c r="M430" s="225" t="s">
        <v>562</v>
      </c>
      <c r="N430" s="225"/>
      <c r="O430" s="239"/>
      <c r="P430" s="239"/>
      <c r="Q430" s="231" t="str">
        <f t="shared" si="166"/>
        <v>. Seat Control &amp; Memory Module, w/o Comfort Seat - FRONT LEFT</v>
      </c>
      <c r="R430" s="270"/>
      <c r="S430" s="270" t="str">
        <f t="shared" si="170"/>
        <v/>
      </c>
      <c r="T430" s="270" t="str">
        <f>IF(O430&lt;&gt;"",_xlfn.XLOOKUP(O430,'3D. Pictures'!B:B,'3D. Pictures'!E:E,"NOT FOUND",0,1),"")</f>
        <v/>
      </c>
      <c r="U430" s="225"/>
      <c r="V430" s="226"/>
      <c r="W430" s="225"/>
      <c r="X430" s="226"/>
      <c r="Y430" s="201"/>
      <c r="Z430" s="226"/>
      <c r="AA430" s="215" t="s">
        <v>1260</v>
      </c>
      <c r="AB430" s="215" t="s">
        <v>1260</v>
      </c>
      <c r="AC430" s="359" t="str">
        <f t="shared" si="167"/>
        <v>keep if comfort seats, note LF &amp; RF are same</v>
      </c>
      <c r="AD430" s="215" t="s">
        <v>1265</v>
      </c>
      <c r="AE430" s="215"/>
      <c r="AF430" s="226" t="s">
        <v>543</v>
      </c>
      <c r="AG430" s="215" t="s">
        <v>467</v>
      </c>
      <c r="AH430" s="10"/>
      <c r="AI430" s="380" t="str">
        <f t="shared" si="171"/>
        <v/>
      </c>
      <c r="AJ430" s="204" t="s">
        <v>408</v>
      </c>
      <c r="AK430" s="204" t="s">
        <v>425</v>
      </c>
      <c r="AL430" s="204" t="s">
        <v>2175</v>
      </c>
      <c r="AM430" s="190"/>
      <c r="AN430" s="191" t="s">
        <v>637</v>
      </c>
      <c r="AO430" s="190" t="s">
        <v>572</v>
      </c>
      <c r="AP430" s="190">
        <v>62201</v>
      </c>
      <c r="AQ430" s="190" t="str">
        <f>CONCATENATE(AN430,AO430,AP430)</f>
        <v>591-62201</v>
      </c>
      <c r="AR430" s="190" t="s">
        <v>1263</v>
      </c>
      <c r="AS430" s="190"/>
      <c r="AT430" s="190"/>
      <c r="AU430" s="190"/>
      <c r="AV430" s="190"/>
      <c r="AW430" s="190"/>
      <c r="AX430" s="279" t="str">
        <f t="shared" si="174"/>
        <v/>
      </c>
    </row>
    <row r="431" spans="1:50" x14ac:dyDescent="0.25">
      <c r="A431" s="190" t="str">
        <f t="shared" si="163"/>
        <v/>
      </c>
      <c r="B431" s="279" t="str">
        <f t="shared" si="162"/>
        <v>591-62201</v>
      </c>
      <c r="C431" s="279"/>
      <c r="D431" s="279"/>
      <c r="E431" s="279">
        <f t="shared" si="165"/>
        <v>2</v>
      </c>
      <c r="F431" s="190" t="s">
        <v>535</v>
      </c>
      <c r="G431" s="198">
        <v>45216</v>
      </c>
      <c r="H431" s="215"/>
      <c r="I431" s="215"/>
      <c r="J431" s="215" t="s">
        <v>405</v>
      </c>
      <c r="K431" s="215" t="s">
        <v>439</v>
      </c>
      <c r="L431" s="215" t="s">
        <v>439</v>
      </c>
      <c r="M431" s="225" t="s">
        <v>562</v>
      </c>
      <c r="N431" s="225"/>
      <c r="O431" s="239"/>
      <c r="P431" s="239"/>
      <c r="Q431" s="231" t="str">
        <f t="shared" si="166"/>
        <v>. Seat Control &amp; Memory Module, w/o Comfort Seat - FRONT RIGHT</v>
      </c>
      <c r="R431" s="270"/>
      <c r="S431" s="270" t="str">
        <f t="shared" si="170"/>
        <v/>
      </c>
      <c r="T431" s="270" t="str">
        <f>IF(O431&lt;&gt;"",_xlfn.XLOOKUP(O431,'3D. Pictures'!B:B,'3D. Pictures'!E:E,"NOT FOUND",0,1),"")</f>
        <v/>
      </c>
      <c r="U431" s="225"/>
      <c r="V431" s="226"/>
      <c r="W431" s="225"/>
      <c r="X431" s="226"/>
      <c r="Y431" s="201"/>
      <c r="Z431" s="226"/>
      <c r="AA431" s="215" t="s">
        <v>1261</v>
      </c>
      <c r="AB431" s="215" t="s">
        <v>1261</v>
      </c>
      <c r="AC431" s="359" t="str">
        <f t="shared" si="167"/>
        <v>keep if comfort seats, note LF &amp; RF are same</v>
      </c>
      <c r="AD431" s="215" t="s">
        <v>1265</v>
      </c>
      <c r="AE431" s="215"/>
      <c r="AF431" s="226" t="s">
        <v>543</v>
      </c>
      <c r="AG431" s="215" t="s">
        <v>467</v>
      </c>
      <c r="AH431" s="10"/>
      <c r="AI431" s="380" t="str">
        <f t="shared" si="171"/>
        <v/>
      </c>
      <c r="AJ431" s="204" t="s">
        <v>408</v>
      </c>
      <c r="AK431" s="204" t="s">
        <v>425</v>
      </c>
      <c r="AL431" s="204" t="s">
        <v>2175</v>
      </c>
      <c r="AM431" s="190"/>
      <c r="AN431" s="191" t="s">
        <v>637</v>
      </c>
      <c r="AO431" s="190" t="s">
        <v>572</v>
      </c>
      <c r="AP431" s="190">
        <v>62201</v>
      </c>
      <c r="AQ431" s="190" t="str">
        <f>CONCATENATE(AN431,AO431,AP431)</f>
        <v>591-62201</v>
      </c>
      <c r="AR431" s="190" t="s">
        <v>1263</v>
      </c>
      <c r="AS431" s="190"/>
      <c r="AT431" s="190"/>
      <c r="AU431" s="190"/>
      <c r="AV431" s="190"/>
      <c r="AW431" s="190"/>
      <c r="AX431" s="279" t="str">
        <f t="shared" si="174"/>
        <v/>
      </c>
    </row>
    <row r="432" spans="1:50" ht="15.75" thickBot="1" x14ac:dyDescent="0.3">
      <c r="A432" s="190" t="str">
        <f t="shared" si="163"/>
        <v/>
      </c>
      <c r="B432" s="279" t="str">
        <f t="shared" si="162"/>
        <v>591-74065</v>
      </c>
      <c r="C432" s="279"/>
      <c r="D432" s="279"/>
      <c r="E432" s="279">
        <f t="shared" si="165"/>
        <v>1</v>
      </c>
      <c r="F432" s="190" t="s">
        <v>535</v>
      </c>
      <c r="G432" s="198">
        <v>44684</v>
      </c>
      <c r="H432" s="217"/>
      <c r="I432" s="192"/>
      <c r="J432" s="205" t="s">
        <v>402</v>
      </c>
      <c r="K432" s="205" t="s">
        <v>439</v>
      </c>
      <c r="L432" s="205" t="s">
        <v>439</v>
      </c>
      <c r="M432" s="208" t="s">
        <v>562</v>
      </c>
      <c r="N432" s="208"/>
      <c r="O432" s="232"/>
      <c r="P432" s="232"/>
      <c r="Q432" s="231" t="str">
        <f t="shared" si="166"/>
        <v>. Surround View Camera Control Module</v>
      </c>
      <c r="R432" s="231"/>
      <c r="S432" s="231" t="str">
        <f t="shared" si="170"/>
        <v/>
      </c>
      <c r="T432" s="231" t="str">
        <f>IF(O432&lt;&gt;"",_xlfn.XLOOKUP(O432,'3D. Pictures'!B:B,'3D. Pictures'!E:E,"NOT FOUND",0,1),"")</f>
        <v/>
      </c>
      <c r="U432" s="208"/>
      <c r="V432" s="201"/>
      <c r="W432" s="208"/>
      <c r="X432" s="201"/>
      <c r="Y432" s="201"/>
      <c r="Z432" s="201"/>
      <c r="AA432" s="205" t="s">
        <v>856</v>
      </c>
      <c r="AB432" s="205" t="s">
        <v>856</v>
      </c>
      <c r="AC432" s="358" t="str">
        <f t="shared" si="167"/>
        <v>aluminum w/ 1 black &amp; 1 white plug</v>
      </c>
      <c r="AD432" s="205"/>
      <c r="AE432" s="205" t="s">
        <v>857</v>
      </c>
      <c r="AF432" s="201" t="s">
        <v>543</v>
      </c>
      <c r="AG432" s="205"/>
      <c r="AH432" s="16">
        <v>115</v>
      </c>
      <c r="AI432" s="380">
        <f t="shared" si="171"/>
        <v>115</v>
      </c>
      <c r="AJ432" s="204" t="s">
        <v>408</v>
      </c>
      <c r="AK432" s="204" t="s">
        <v>425</v>
      </c>
      <c r="AL432" s="204" t="s">
        <v>2175</v>
      </c>
      <c r="AM432" s="190"/>
      <c r="AN432" s="191" t="s">
        <v>637</v>
      </c>
      <c r="AO432" s="190" t="s">
        <v>572</v>
      </c>
      <c r="AP432" s="190">
        <v>74065</v>
      </c>
      <c r="AQ432" s="190" t="str">
        <f t="shared" si="176"/>
        <v>591-74065</v>
      </c>
      <c r="AR432" s="190"/>
      <c r="AS432" s="190"/>
      <c r="AT432" s="190"/>
      <c r="AU432" s="190"/>
      <c r="AV432" s="190"/>
      <c r="AW432" s="190"/>
      <c r="AX432" s="279" t="str">
        <f t="shared" si="174"/>
        <v/>
      </c>
    </row>
    <row r="433" spans="1:50" ht="15.75" thickBot="1" x14ac:dyDescent="0.3">
      <c r="A433" s="190" t="str">
        <f t="shared" si="163"/>
        <v>A77</v>
      </c>
      <c r="B433" s="279" t="str">
        <f t="shared" si="162"/>
        <v>591-74058</v>
      </c>
      <c r="C433" s="279"/>
      <c r="D433" s="279"/>
      <c r="E433" s="279">
        <f t="shared" si="165"/>
        <v>1</v>
      </c>
      <c r="F433" s="190" t="s">
        <v>535</v>
      </c>
      <c r="G433" s="198">
        <v>44684</v>
      </c>
      <c r="H433" s="205"/>
      <c r="I433" s="205"/>
      <c r="J433" s="205" t="s">
        <v>402</v>
      </c>
      <c r="K433" s="205" t="s">
        <v>439</v>
      </c>
      <c r="L433" s="205" t="s">
        <v>439</v>
      </c>
      <c r="M433" s="208" t="s">
        <v>562</v>
      </c>
      <c r="N433" s="208">
        <v>67</v>
      </c>
      <c r="O433" s="232" t="s">
        <v>979</v>
      </c>
      <c r="P433" s="232" t="s">
        <v>1254</v>
      </c>
      <c r="Q433" s="231" t="str">
        <f t="shared" si="166"/>
        <v>A77. Tailgate Trunk Control Module</v>
      </c>
      <c r="R433" s="284" t="str">
        <f>HYPERLINK(VLOOKUP(O433,'3D. Pictures'!$B$3:$E$500,4,FALSE),"PIC")</f>
        <v>PIC</v>
      </c>
      <c r="S433" s="373" t="str">
        <f t="shared" si="170"/>
        <v>E.G.</v>
      </c>
      <c r="T433" s="377" t="str">
        <f>IF(O433&lt;&gt;"",_xlfn.XLOOKUP(O433,'3D. Pictures'!B:B,'3D. Pictures'!E:E,"NOT FOUND",0,1),"")</f>
        <v>https://viking-pictures.s3.us-west-1.amazonaws.com/AA1155/A77.+Tailgate+Trunk+Control+Module+(1).JPG</v>
      </c>
      <c r="U433" s="208">
        <v>3</v>
      </c>
      <c r="V433" s="201" t="s">
        <v>1271</v>
      </c>
      <c r="W433" s="208" t="s">
        <v>112</v>
      </c>
      <c r="X433" s="201"/>
      <c r="Y433" s="201"/>
      <c r="Z433" s="201"/>
      <c r="AA433" s="205" t="s">
        <v>466</v>
      </c>
      <c r="AB433" s="205" t="s">
        <v>466</v>
      </c>
      <c r="AC433" s="358" t="str">
        <f t="shared" si="167"/>
        <v/>
      </c>
      <c r="AD433" s="205"/>
      <c r="AE433" s="205"/>
      <c r="AF433" s="201" t="s">
        <v>543</v>
      </c>
      <c r="AG433" s="205"/>
      <c r="AH433" s="16">
        <v>135</v>
      </c>
      <c r="AI433" s="380">
        <f t="shared" si="171"/>
        <v>135</v>
      </c>
      <c r="AJ433" s="204" t="s">
        <v>408</v>
      </c>
      <c r="AK433" s="204" t="s">
        <v>425</v>
      </c>
      <c r="AL433" s="204" t="s">
        <v>2175</v>
      </c>
      <c r="AM433" s="190"/>
      <c r="AN433" s="191" t="s">
        <v>637</v>
      </c>
      <c r="AO433" s="190" t="s">
        <v>572</v>
      </c>
      <c r="AP433" s="190">
        <v>74058</v>
      </c>
      <c r="AQ433" s="190" t="str">
        <f t="shared" si="176"/>
        <v>591-74058</v>
      </c>
      <c r="AR433" s="190"/>
      <c r="AS433" s="190"/>
      <c r="AT433" s="190"/>
      <c r="AU433" s="190"/>
      <c r="AV433" s="190"/>
      <c r="AW433" s="190"/>
      <c r="AX433" s="279" t="str">
        <f t="shared" si="174"/>
        <v/>
      </c>
    </row>
    <row r="434" spans="1:50" x14ac:dyDescent="0.25">
      <c r="A434" s="190" t="str">
        <f t="shared" si="163"/>
        <v/>
      </c>
      <c r="B434" s="279" t="str">
        <f t="shared" si="162"/>
        <v>591-74038</v>
      </c>
      <c r="C434" s="279"/>
      <c r="D434" s="279"/>
      <c r="E434" s="279">
        <f t="shared" si="165"/>
        <v>1</v>
      </c>
      <c r="F434" s="190" t="s">
        <v>535</v>
      </c>
      <c r="G434" s="198">
        <v>45216</v>
      </c>
      <c r="H434" s="215"/>
      <c r="I434" s="215"/>
      <c r="J434" s="215" t="s">
        <v>405</v>
      </c>
      <c r="K434" s="215" t="s">
        <v>439</v>
      </c>
      <c r="L434" s="215" t="s">
        <v>439</v>
      </c>
      <c r="M434" s="225" t="s">
        <v>562</v>
      </c>
      <c r="N434" s="225"/>
      <c r="O434" s="239"/>
      <c r="P434" s="239"/>
      <c r="Q434" s="231" t="str">
        <f t="shared" si="166"/>
        <v>. Telematics Communication Control Module</v>
      </c>
      <c r="R434" s="231"/>
      <c r="S434" s="231" t="str">
        <f t="shared" si="170"/>
        <v/>
      </c>
      <c r="T434" s="231" t="str">
        <f>IF(O434&lt;&gt;"",_xlfn.XLOOKUP(O434,'3D. Pictures'!B:B,'3D. Pictures'!E:E,"NOT FOUND",0,1),"")</f>
        <v/>
      </c>
      <c r="U434" s="225"/>
      <c r="V434" s="226"/>
      <c r="W434" s="225"/>
      <c r="X434" s="226"/>
      <c r="Y434" s="201"/>
      <c r="Z434" s="226"/>
      <c r="AA434" s="215" t="s">
        <v>465</v>
      </c>
      <c r="AB434" s="215" t="s">
        <v>465</v>
      </c>
      <c r="AC434" s="359" t="str">
        <f t="shared" si="167"/>
        <v/>
      </c>
      <c r="AD434" s="215"/>
      <c r="AE434" s="215"/>
      <c r="AF434" s="226" t="s">
        <v>543</v>
      </c>
      <c r="AG434" s="215"/>
      <c r="AH434" s="10"/>
      <c r="AI434" s="380" t="str">
        <f t="shared" si="171"/>
        <v/>
      </c>
      <c r="AJ434" s="204" t="s">
        <v>408</v>
      </c>
      <c r="AK434" s="204" t="s">
        <v>425</v>
      </c>
      <c r="AL434" s="204" t="s">
        <v>2175</v>
      </c>
      <c r="AM434" s="190"/>
      <c r="AN434" s="191" t="s">
        <v>637</v>
      </c>
      <c r="AO434" s="190" t="s">
        <v>572</v>
      </c>
      <c r="AP434" s="190">
        <v>74038</v>
      </c>
      <c r="AQ434" s="190" t="str">
        <f t="shared" si="176"/>
        <v>591-74038</v>
      </c>
      <c r="AR434" s="190"/>
      <c r="AS434" s="190"/>
      <c r="AT434" s="190"/>
      <c r="AU434" s="190"/>
      <c r="AV434" s="190"/>
      <c r="AW434" s="190"/>
      <c r="AX434" s="279" t="str">
        <f t="shared" si="174"/>
        <v/>
      </c>
    </row>
    <row r="435" spans="1:50" ht="15.75" thickBot="1" x14ac:dyDescent="0.3">
      <c r="A435" s="190" t="str">
        <f t="shared" si="163"/>
        <v/>
      </c>
      <c r="B435" s="279" t="str">
        <f t="shared" si="162"/>
        <v/>
      </c>
      <c r="C435" s="279"/>
      <c r="D435" s="279"/>
      <c r="E435" s="279" t="str">
        <f t="shared" si="165"/>
        <v/>
      </c>
      <c r="F435" t="s">
        <v>536</v>
      </c>
      <c r="G435" s="188">
        <v>44922</v>
      </c>
      <c r="H435" s="16"/>
      <c r="I435" s="16"/>
      <c r="J435" s="16" t="s">
        <v>402</v>
      </c>
      <c r="K435" s="16" t="s">
        <v>439</v>
      </c>
      <c r="L435" s="16" t="s">
        <v>439</v>
      </c>
      <c r="M435" s="189" t="s">
        <v>562</v>
      </c>
      <c r="N435" s="189"/>
      <c r="O435" s="233"/>
      <c r="P435" s="233"/>
      <c r="Q435" s="231" t="str">
        <f t="shared" si="166"/>
        <v xml:space="preserve">. Towing Control Module </v>
      </c>
      <c r="R435" s="231"/>
      <c r="S435" s="231" t="str">
        <f t="shared" si="170"/>
        <v/>
      </c>
      <c r="T435" s="231" t="str">
        <f>IF(O435&lt;&gt;"",_xlfn.XLOOKUP(O435,'3D. Pictures'!B:B,'3D. Pictures'!E:E,"NOT FOUND",0,1),"")</f>
        <v/>
      </c>
      <c r="U435" s="189"/>
      <c r="V435" s="168"/>
      <c r="W435" s="189"/>
      <c r="X435" s="168"/>
      <c r="Y435" s="201"/>
      <c r="Z435" s="168"/>
      <c r="AA435" s="16" t="s">
        <v>496</v>
      </c>
      <c r="AB435" s="16" t="s">
        <v>496</v>
      </c>
      <c r="AC435" s="358" t="str">
        <f t="shared" si="167"/>
        <v/>
      </c>
      <c r="AD435" s="16"/>
      <c r="AE435" s="16"/>
      <c r="AF435" s="168" t="s">
        <v>543</v>
      </c>
      <c r="AG435" s="16"/>
      <c r="AH435" s="16">
        <v>150</v>
      </c>
      <c r="AI435" s="380">
        <f t="shared" si="171"/>
        <v>150</v>
      </c>
      <c r="AJ435" s="3" t="s">
        <v>408</v>
      </c>
      <c r="AK435" s="3" t="s">
        <v>425</v>
      </c>
      <c r="AL435" s="3" t="s">
        <v>2175</v>
      </c>
      <c r="AO435" t="s">
        <v>572</v>
      </c>
      <c r="AX435" s="279" t="str">
        <f t="shared" si="174"/>
        <v/>
      </c>
    </row>
    <row r="436" spans="1:50" ht="15.75" thickBot="1" x14ac:dyDescent="0.3">
      <c r="A436" s="190" t="str">
        <f t="shared" si="163"/>
        <v>A75</v>
      </c>
      <c r="B436" s="279" t="str">
        <f t="shared" si="162"/>
        <v>660-50116</v>
      </c>
      <c r="C436" s="279"/>
      <c r="D436" s="279"/>
      <c r="E436" s="279">
        <f t="shared" si="165"/>
        <v>1</v>
      </c>
      <c r="F436" s="190" t="s">
        <v>535</v>
      </c>
      <c r="G436" s="198">
        <v>45216</v>
      </c>
      <c r="H436" s="205"/>
      <c r="I436" s="205"/>
      <c r="J436" s="205" t="s">
        <v>402</v>
      </c>
      <c r="K436" s="205" t="s">
        <v>439</v>
      </c>
      <c r="L436" s="205" t="s">
        <v>439</v>
      </c>
      <c r="M436" s="208" t="s">
        <v>562</v>
      </c>
      <c r="N436" s="208">
        <v>65</v>
      </c>
      <c r="O436" s="232" t="s">
        <v>977</v>
      </c>
      <c r="P436" s="232" t="s">
        <v>1254</v>
      </c>
      <c r="Q436" s="231" t="str">
        <f t="shared" si="166"/>
        <v>A75. Voltage Converter Control Module</v>
      </c>
      <c r="R436" s="284" t="str">
        <f>HYPERLINK(VLOOKUP(O436,'3D. Pictures'!$B$3:$E$500,4,FALSE),"PIC")</f>
        <v>PIC</v>
      </c>
      <c r="S436" s="373" t="str">
        <f t="shared" si="170"/>
        <v>E.G.</v>
      </c>
      <c r="T436" s="377" t="str">
        <f>IF(O436&lt;&gt;"",_xlfn.XLOOKUP(O436,'3D. Pictures'!B:B,'3D. Pictures'!E:E,"NOT FOUND",0,1),"")</f>
        <v>https://viking-pictures.s3.us-west-1.amazonaws.com/AA1155/A75.+Voltage+Converter+Control+Module+(1).JPG</v>
      </c>
      <c r="U436" s="208">
        <v>4</v>
      </c>
      <c r="V436" s="201" t="s">
        <v>1259</v>
      </c>
      <c r="W436" s="208" t="s">
        <v>112</v>
      </c>
      <c r="X436" s="201"/>
      <c r="Y436" s="201"/>
      <c r="Z436" s="201"/>
      <c r="AA436" s="205" t="s">
        <v>494</v>
      </c>
      <c r="AB436" s="205" t="s">
        <v>494</v>
      </c>
      <c r="AC436" s="358" t="str">
        <f t="shared" si="167"/>
        <v/>
      </c>
      <c r="AD436" s="205"/>
      <c r="AE436" s="205"/>
      <c r="AF436" s="201" t="s">
        <v>543</v>
      </c>
      <c r="AG436" s="205"/>
      <c r="AH436" s="16">
        <v>85</v>
      </c>
      <c r="AI436" s="380">
        <f t="shared" si="171"/>
        <v>85</v>
      </c>
      <c r="AJ436" s="204" t="s">
        <v>408</v>
      </c>
      <c r="AK436" s="204" t="s">
        <v>425</v>
      </c>
      <c r="AL436" s="204" t="s">
        <v>2175</v>
      </c>
      <c r="AM436" s="190"/>
      <c r="AN436" s="191" t="s">
        <v>642</v>
      </c>
      <c r="AO436" s="190" t="s">
        <v>572</v>
      </c>
      <c r="AP436" s="190">
        <v>50116</v>
      </c>
      <c r="AQ436" s="190" t="str">
        <f>CONCATENATE(AN436,AO436,AP436)</f>
        <v>660-50116</v>
      </c>
      <c r="AR436" s="190"/>
      <c r="AS436" s="190"/>
      <c r="AT436" s="190"/>
      <c r="AU436" s="190"/>
      <c r="AV436" s="190"/>
      <c r="AW436" s="190"/>
      <c r="AX436" s="279" t="str">
        <f t="shared" si="174"/>
        <v/>
      </c>
    </row>
    <row r="437" spans="1:50" x14ac:dyDescent="0.25">
      <c r="A437" s="190" t="str">
        <f t="shared" si="163"/>
        <v/>
      </c>
      <c r="B437" s="279" t="str">
        <f t="shared" si="162"/>
        <v/>
      </c>
      <c r="C437" s="279"/>
      <c r="D437" s="279"/>
      <c r="E437" s="279" t="str">
        <f t="shared" si="165"/>
        <v/>
      </c>
      <c r="F437" t="s">
        <v>535</v>
      </c>
      <c r="G437" s="188">
        <v>44684</v>
      </c>
      <c r="H437" s="157"/>
      <c r="I437" s="174"/>
      <c r="J437" s="10" t="s">
        <v>405</v>
      </c>
      <c r="K437" s="10" t="s">
        <v>439</v>
      </c>
      <c r="L437" s="10" t="s">
        <v>439</v>
      </c>
      <c r="M437" s="189" t="s">
        <v>562</v>
      </c>
      <c r="N437" s="189"/>
      <c r="O437" s="233"/>
      <c r="P437" s="233"/>
      <c r="Q437" s="231" t="str">
        <f t="shared" si="166"/>
        <v>. Airbag Control Module, PRIMARY (plastic module w/ white on top and rest is black) (DO KEEP THE ALUMINUM MODULE THAT SAYS "AIRBAG" - HIGH $$)</v>
      </c>
      <c r="R437" s="231"/>
      <c r="S437" s="231" t="str">
        <f t="shared" si="170"/>
        <v/>
      </c>
      <c r="T437" s="231" t="str">
        <f>IF(O437&lt;&gt;"",_xlfn.XLOOKUP(O437,'3D. Pictures'!B:B,'3D. Pictures'!E:E,"NOT FOUND",0,1),"")</f>
        <v/>
      </c>
      <c r="U437" s="189"/>
      <c r="V437" s="168"/>
      <c r="W437" s="189"/>
      <c r="X437" s="168"/>
      <c r="Y437" s="201"/>
      <c r="Z437" s="168"/>
      <c r="AA437" s="10" t="s">
        <v>2780</v>
      </c>
      <c r="AB437" s="10" t="s">
        <v>462</v>
      </c>
      <c r="AC437" s="359" t="str">
        <f t="shared" si="167"/>
        <v/>
      </c>
      <c r="AD437" s="10"/>
      <c r="AE437" s="10"/>
      <c r="AF437" s="168" t="s">
        <v>543</v>
      </c>
      <c r="AG437" s="16"/>
      <c r="AH437" s="10"/>
      <c r="AI437" s="380" t="str">
        <f t="shared" si="171"/>
        <v/>
      </c>
      <c r="AJ437" s="3" t="s">
        <v>408</v>
      </c>
      <c r="AK437" s="3" t="s">
        <v>425</v>
      </c>
      <c r="AL437" s="3" t="s">
        <v>2175</v>
      </c>
      <c r="AN437"/>
      <c r="AX437" s="279" t="str">
        <f t="shared" si="174"/>
        <v/>
      </c>
    </row>
    <row r="438" spans="1:50" x14ac:dyDescent="0.25">
      <c r="A438" s="190" t="str">
        <f t="shared" si="163"/>
        <v/>
      </c>
      <c r="B438" s="279" t="str">
        <f t="shared" si="162"/>
        <v/>
      </c>
      <c r="C438" s="279"/>
      <c r="D438" s="279"/>
      <c r="E438" s="279" t="str">
        <f t="shared" si="165"/>
        <v/>
      </c>
      <c r="F438" s="190" t="s">
        <v>535</v>
      </c>
      <c r="G438" s="198">
        <v>44684</v>
      </c>
      <c r="H438" s="222"/>
      <c r="I438" s="223"/>
      <c r="J438" s="215" t="s">
        <v>405</v>
      </c>
      <c r="K438" s="215" t="s">
        <v>439</v>
      </c>
      <c r="L438" s="215" t="s">
        <v>439</v>
      </c>
      <c r="M438" s="225" t="s">
        <v>562</v>
      </c>
      <c r="N438" s="225"/>
      <c r="O438" s="239"/>
      <c r="P438" s="239"/>
      <c r="Q438" s="231" t="str">
        <f t="shared" si="166"/>
        <v>. Fuel Pump Control Module</v>
      </c>
      <c r="R438" s="227"/>
      <c r="S438" s="227" t="str">
        <f t="shared" si="170"/>
        <v/>
      </c>
      <c r="T438" s="227" t="str">
        <f>IF(O438&lt;&gt;"",_xlfn.XLOOKUP(O438,'3D. Pictures'!B:B,'3D. Pictures'!E:E,"NOT FOUND",0,1),"")</f>
        <v/>
      </c>
      <c r="U438" s="225"/>
      <c r="V438" s="226"/>
      <c r="W438" s="225"/>
      <c r="X438" s="226"/>
      <c r="Y438" s="201"/>
      <c r="Z438" s="226"/>
      <c r="AA438" s="215" t="s">
        <v>1266</v>
      </c>
      <c r="AB438" s="215" t="s">
        <v>1266</v>
      </c>
      <c r="AC438" s="359" t="str">
        <f t="shared" si="167"/>
        <v/>
      </c>
      <c r="AD438" s="215"/>
      <c r="AE438" s="215"/>
      <c r="AF438" s="201" t="s">
        <v>543</v>
      </c>
      <c r="AG438" s="205"/>
      <c r="AH438" s="10"/>
      <c r="AI438" s="380" t="str">
        <f t="shared" si="171"/>
        <v/>
      </c>
      <c r="AJ438" s="204" t="s">
        <v>408</v>
      </c>
      <c r="AK438" s="204" t="s">
        <v>425</v>
      </c>
      <c r="AL438" s="204" t="s">
        <v>2175</v>
      </c>
      <c r="AM438" s="190"/>
      <c r="AN438" s="190"/>
      <c r="AO438" s="190"/>
      <c r="AP438" s="190"/>
      <c r="AQ438" s="190"/>
      <c r="AR438" s="190"/>
      <c r="AS438" s="190"/>
      <c r="AT438" s="190"/>
      <c r="AU438" s="190"/>
      <c r="AV438" s="190"/>
      <c r="AW438" s="190"/>
      <c r="AX438" s="279" t="str">
        <f t="shared" si="174"/>
        <v/>
      </c>
    </row>
    <row r="439" spans="1:50" x14ac:dyDescent="0.25">
      <c r="A439" s="190" t="str">
        <f t="shared" si="163"/>
        <v/>
      </c>
      <c r="B439" s="279" t="str">
        <f t="shared" si="162"/>
        <v/>
      </c>
      <c r="C439" s="279"/>
      <c r="D439" s="279"/>
      <c r="E439" s="279" t="str">
        <f t="shared" si="165"/>
        <v/>
      </c>
      <c r="F439" t="s">
        <v>535</v>
      </c>
      <c r="G439" s="188">
        <v>44684</v>
      </c>
      <c r="H439" s="157"/>
      <c r="I439" s="174"/>
      <c r="J439" s="10" t="s">
        <v>405</v>
      </c>
      <c r="K439" s="10" t="s">
        <v>439</v>
      </c>
      <c r="L439" s="10" t="s">
        <v>439</v>
      </c>
      <c r="M439" s="16" t="s">
        <v>559</v>
      </c>
      <c r="N439" s="16"/>
      <c r="O439" s="166"/>
      <c r="P439" s="166"/>
      <c r="Q439" s="231" t="str">
        <f t="shared" si="166"/>
        <v>. Antenna Amplifier Control Module, BACKUP one</v>
      </c>
      <c r="R439" s="231"/>
      <c r="S439" s="231" t="str">
        <f t="shared" si="170"/>
        <v/>
      </c>
      <c r="T439" s="231" t="str">
        <f>IF(O439&lt;&gt;"",_xlfn.XLOOKUP(O439,'3D. Pictures'!B:B,'3D. Pictures'!E:E,"NOT FOUND",0,1),"")</f>
        <v/>
      </c>
      <c r="U439" s="16"/>
      <c r="V439" s="16"/>
      <c r="W439" s="16"/>
      <c r="X439" s="16"/>
      <c r="Y439" s="201"/>
      <c r="Z439" s="16"/>
      <c r="AA439" s="10" t="s">
        <v>2605</v>
      </c>
      <c r="AB439" s="10" t="s">
        <v>2605</v>
      </c>
      <c r="AC439" s="359" t="str">
        <f t="shared" si="167"/>
        <v>square black plastic</v>
      </c>
      <c r="AD439" s="10"/>
      <c r="AE439" s="10" t="s">
        <v>2598</v>
      </c>
      <c r="AF439" s="168" t="s">
        <v>543</v>
      </c>
      <c r="AG439" s="16"/>
      <c r="AH439" s="10"/>
      <c r="AI439" s="380" t="str">
        <f t="shared" si="171"/>
        <v/>
      </c>
      <c r="AJ439" s="3" t="s">
        <v>408</v>
      </c>
      <c r="AK439" s="3" t="s">
        <v>425</v>
      </c>
      <c r="AL439" s="3" t="s">
        <v>2175</v>
      </c>
      <c r="AN439"/>
      <c r="AX439" s="279" t="str">
        <f t="shared" si="174"/>
        <v/>
      </c>
    </row>
    <row r="440" spans="1:50" x14ac:dyDescent="0.25">
      <c r="A440" s="190" t="str">
        <f t="shared" si="163"/>
        <v/>
      </c>
      <c r="B440" s="279" t="str">
        <f t="shared" si="162"/>
        <v/>
      </c>
      <c r="C440" s="279"/>
      <c r="D440" s="279"/>
      <c r="E440" s="279" t="str">
        <f t="shared" si="165"/>
        <v/>
      </c>
      <c r="F440" t="s">
        <v>535</v>
      </c>
      <c r="G440" s="188">
        <v>44684</v>
      </c>
      <c r="H440" s="157"/>
      <c r="I440" s="174"/>
      <c r="J440" s="10" t="s">
        <v>405</v>
      </c>
      <c r="K440" s="10" t="s">
        <v>439</v>
      </c>
      <c r="L440" s="10" t="s">
        <v>439</v>
      </c>
      <c r="M440" s="16" t="s">
        <v>559</v>
      </c>
      <c r="N440" s="16"/>
      <c r="O440" s="166"/>
      <c r="P440" s="166"/>
      <c r="Q440" s="231" t="str">
        <f t="shared" si="166"/>
        <v>. Antenna Amplifier Control Module, PRIMARY one</v>
      </c>
      <c r="R440" s="231"/>
      <c r="S440" s="231" t="str">
        <f t="shared" si="170"/>
        <v/>
      </c>
      <c r="T440" s="231" t="str">
        <f>IF(O440&lt;&gt;"",_xlfn.XLOOKUP(O440,'3D. Pictures'!B:B,'3D. Pictures'!E:E,"NOT FOUND",0,1),"")</f>
        <v/>
      </c>
      <c r="U440" s="16"/>
      <c r="V440" s="16"/>
      <c r="W440" s="16"/>
      <c r="X440" s="16"/>
      <c r="Y440" s="201"/>
      <c r="Z440" s="16"/>
      <c r="AA440" s="10" t="s">
        <v>2604</v>
      </c>
      <c r="AB440" s="10" t="s">
        <v>2604</v>
      </c>
      <c r="AC440" s="359" t="str">
        <f t="shared" si="167"/>
        <v>rectangular black plastic</v>
      </c>
      <c r="AD440" s="10"/>
      <c r="AE440" s="10" t="s">
        <v>2599</v>
      </c>
      <c r="AF440" s="168" t="s">
        <v>543</v>
      </c>
      <c r="AG440" s="16"/>
      <c r="AH440" s="10"/>
      <c r="AI440" s="380" t="str">
        <f t="shared" si="171"/>
        <v/>
      </c>
      <c r="AJ440" s="3" t="s">
        <v>408</v>
      </c>
      <c r="AK440" s="3" t="s">
        <v>425</v>
      </c>
      <c r="AL440" s="3" t="s">
        <v>2175</v>
      </c>
      <c r="AN440"/>
      <c r="AX440" s="279" t="str">
        <f t="shared" si="174"/>
        <v/>
      </c>
    </row>
    <row r="441" spans="1:50" x14ac:dyDescent="0.25">
      <c r="A441" s="190" t="str">
        <f t="shared" si="163"/>
        <v/>
      </c>
      <c r="B441" s="279" t="str">
        <f t="shared" si="162"/>
        <v/>
      </c>
      <c r="C441" s="279"/>
      <c r="D441" s="279"/>
      <c r="E441" s="279" t="str">
        <f t="shared" si="165"/>
        <v/>
      </c>
      <c r="F441" t="s">
        <v>535</v>
      </c>
      <c r="G441" s="188">
        <v>44680</v>
      </c>
      <c r="H441" s="157"/>
      <c r="I441" s="174"/>
      <c r="J441" s="10" t="s">
        <v>405</v>
      </c>
      <c r="K441" s="10" t="s">
        <v>439</v>
      </c>
      <c r="L441" s="10" t="s">
        <v>439</v>
      </c>
      <c r="M441" s="16" t="s">
        <v>559</v>
      </c>
      <c r="N441" s="16"/>
      <c r="O441" s="166"/>
      <c r="P441" s="166"/>
      <c r="Q441" s="231" t="str">
        <f t="shared" si="166"/>
        <v>. Antenna Noise Filter Control Module</v>
      </c>
      <c r="R441" s="231"/>
      <c r="S441" s="231" t="str">
        <f t="shared" si="170"/>
        <v/>
      </c>
      <c r="T441" s="231" t="str">
        <f>IF(O441&lt;&gt;"",_xlfn.XLOOKUP(O441,'3D. Pictures'!B:B,'3D. Pictures'!E:E,"NOT FOUND",0,1),"")</f>
        <v/>
      </c>
      <c r="U441" s="16"/>
      <c r="V441" s="16"/>
      <c r="W441" s="16"/>
      <c r="X441" s="16"/>
      <c r="Y441" s="202"/>
      <c r="Z441" s="16"/>
      <c r="AA441" s="10" t="s">
        <v>2603</v>
      </c>
      <c r="AB441" s="10" t="s">
        <v>2603</v>
      </c>
      <c r="AC441" s="359" t="str">
        <f t="shared" si="167"/>
        <v>mounted left rear roof</v>
      </c>
      <c r="AD441" s="10"/>
      <c r="AE441" s="10" t="s">
        <v>2600</v>
      </c>
      <c r="AF441" s="168" t="s">
        <v>543</v>
      </c>
      <c r="AG441" s="10"/>
      <c r="AH441" s="10"/>
      <c r="AI441" s="380" t="str">
        <f t="shared" si="171"/>
        <v/>
      </c>
      <c r="AJ441" s="3" t="s">
        <v>408</v>
      </c>
      <c r="AK441" s="3" t="s">
        <v>425</v>
      </c>
      <c r="AL441" s="3" t="s">
        <v>2175</v>
      </c>
      <c r="AN441"/>
      <c r="AX441" s="279" t="str">
        <f t="shared" si="174"/>
        <v/>
      </c>
    </row>
    <row r="442" spans="1:50" x14ac:dyDescent="0.25">
      <c r="A442" s="190" t="str">
        <f t="shared" si="163"/>
        <v/>
      </c>
      <c r="B442" s="279" t="str">
        <f t="shared" ref="B442:B512" si="177">IF(AQ442&lt;&gt;"",AQ442,"")</f>
        <v/>
      </c>
      <c r="C442" s="279"/>
      <c r="D442" s="279"/>
      <c r="E442" s="279" t="str">
        <f t="shared" si="165"/>
        <v/>
      </c>
      <c r="F442" t="s">
        <v>535</v>
      </c>
      <c r="G442" s="188">
        <v>44684</v>
      </c>
      <c r="H442" s="157"/>
      <c r="I442" s="174"/>
      <c r="J442" s="10" t="s">
        <v>405</v>
      </c>
      <c r="K442" s="10" t="s">
        <v>439</v>
      </c>
      <c r="L442" s="10" t="s">
        <v>439</v>
      </c>
      <c r="M442" s="16" t="s">
        <v>559</v>
      </c>
      <c r="N442" s="16"/>
      <c r="O442" s="166"/>
      <c r="P442" s="166"/>
      <c r="Q442" s="231" t="str">
        <f t="shared" si="166"/>
        <v>. Bus Interface Control Module</v>
      </c>
      <c r="R442" s="231"/>
      <c r="S442" s="231" t="str">
        <f t="shared" si="170"/>
        <v/>
      </c>
      <c r="T442" s="231" t="str">
        <f>IF(O442&lt;&gt;"",_xlfn.XLOOKUP(O442,'3D. Pictures'!B:B,'3D. Pictures'!E:E,"NOT FOUND",0,1),"")</f>
        <v/>
      </c>
      <c r="U442" s="16"/>
      <c r="V442" s="16"/>
      <c r="W442" s="16"/>
      <c r="X442" s="16"/>
      <c r="Y442" s="243"/>
      <c r="Z442" s="16"/>
      <c r="AA442" s="10" t="s">
        <v>2602</v>
      </c>
      <c r="AB442" s="10" t="s">
        <v>2602</v>
      </c>
      <c r="AC442" s="359" t="str">
        <f t="shared" si="167"/>
        <v>TOSS BOTH | look like ribbed black legos in shape / size</v>
      </c>
      <c r="AD442" s="10" t="s">
        <v>2544</v>
      </c>
      <c r="AE442" s="10" t="s">
        <v>2601</v>
      </c>
      <c r="AF442" s="168" t="s">
        <v>543</v>
      </c>
      <c r="AG442" s="16"/>
      <c r="AH442" s="10"/>
      <c r="AI442" s="380" t="str">
        <f t="shared" si="171"/>
        <v/>
      </c>
      <c r="AJ442" s="3" t="s">
        <v>408</v>
      </c>
      <c r="AK442" s="3" t="s">
        <v>425</v>
      </c>
      <c r="AL442" s="3" t="s">
        <v>2175</v>
      </c>
      <c r="AN442"/>
      <c r="AX442" s="279" t="str">
        <f t="shared" si="174"/>
        <v/>
      </c>
    </row>
    <row r="443" spans="1:50" x14ac:dyDescent="0.25">
      <c r="A443" s="190" t="str">
        <f t="shared" si="163"/>
        <v/>
      </c>
      <c r="B443" s="279" t="str">
        <f t="shared" si="177"/>
        <v/>
      </c>
      <c r="C443" s="279"/>
      <c r="D443" s="279"/>
      <c r="E443" s="279" t="str">
        <f t="shared" si="165"/>
        <v/>
      </c>
      <c r="F443" t="s">
        <v>535</v>
      </c>
      <c r="G443" s="188">
        <v>44684</v>
      </c>
      <c r="H443" s="157"/>
      <c r="I443" s="174"/>
      <c r="J443" s="10" t="s">
        <v>405</v>
      </c>
      <c r="K443" s="10" t="s">
        <v>439</v>
      </c>
      <c r="L443" s="10" t="s">
        <v>439</v>
      </c>
      <c r="M443" s="16" t="s">
        <v>559</v>
      </c>
      <c r="N443" s="16"/>
      <c r="O443" s="166"/>
      <c r="P443" s="166"/>
      <c r="Q443" s="231" t="str">
        <f t="shared" si="166"/>
        <v>. Cooling Fan Relay Module</v>
      </c>
      <c r="R443" s="231"/>
      <c r="S443" s="231" t="str">
        <f t="shared" si="170"/>
        <v/>
      </c>
      <c r="T443" s="231" t="str">
        <f>IF(O443&lt;&gt;"",_xlfn.XLOOKUP(O443,'3D. Pictures'!B:B,'3D. Pictures'!E:E,"NOT FOUND",0,1),"")</f>
        <v/>
      </c>
      <c r="U443" s="16"/>
      <c r="V443" s="16"/>
      <c r="W443" s="16"/>
      <c r="X443" s="16"/>
      <c r="Y443" s="243"/>
      <c r="Z443" s="16"/>
      <c r="AA443" s="10" t="s">
        <v>469</v>
      </c>
      <c r="AB443" s="10" t="s">
        <v>469</v>
      </c>
      <c r="AC443" s="359" t="str">
        <f t="shared" si="167"/>
        <v/>
      </c>
      <c r="AD443" s="10"/>
      <c r="AE443" s="10"/>
      <c r="AF443" s="168" t="s">
        <v>543</v>
      </c>
      <c r="AG443" s="16"/>
      <c r="AH443" s="10"/>
      <c r="AI443" s="380" t="str">
        <f t="shared" si="171"/>
        <v/>
      </c>
      <c r="AJ443" s="3" t="s">
        <v>408</v>
      </c>
      <c r="AK443" s="3" t="s">
        <v>425</v>
      </c>
      <c r="AL443" s="3" t="s">
        <v>2175</v>
      </c>
      <c r="AN443"/>
      <c r="AX443" s="279" t="str">
        <f t="shared" si="174"/>
        <v/>
      </c>
    </row>
    <row r="444" spans="1:50" x14ac:dyDescent="0.25">
      <c r="A444" s="190" t="str">
        <f t="shared" ref="A444:A510" si="178">IF(O444&lt;&gt;"",O444,"")</f>
        <v/>
      </c>
      <c r="B444" s="279" t="str">
        <f t="shared" si="177"/>
        <v/>
      </c>
      <c r="C444" s="279"/>
      <c r="D444" s="279"/>
      <c r="E444" s="279" t="str">
        <f t="shared" si="165"/>
        <v/>
      </c>
      <c r="F444" t="s">
        <v>535</v>
      </c>
      <c r="G444" s="188">
        <v>44684</v>
      </c>
      <c r="H444" s="157"/>
      <c r="I444" s="174"/>
      <c r="J444" s="10" t="s">
        <v>405</v>
      </c>
      <c r="K444" s="10" t="s">
        <v>439</v>
      </c>
      <c r="L444" s="10" t="s">
        <v>2702</v>
      </c>
      <c r="M444" s="16" t="s">
        <v>559</v>
      </c>
      <c r="N444" s="16"/>
      <c r="O444" s="166"/>
      <c r="P444" s="166"/>
      <c r="Q444" s="231" t="str">
        <f t="shared" si="166"/>
        <v>. Crash Sensors</v>
      </c>
      <c r="R444" s="231"/>
      <c r="S444" s="231" t="str">
        <f t="shared" si="170"/>
        <v/>
      </c>
      <c r="T444" s="231" t="str">
        <f>IF(O444&lt;&gt;"",_xlfn.XLOOKUP(O444,'3D. Pictures'!B:B,'3D. Pictures'!E:E,"NOT FOUND",0,1),"")</f>
        <v/>
      </c>
      <c r="U444" s="16"/>
      <c r="V444" s="16"/>
      <c r="W444" s="16"/>
      <c r="X444" s="16"/>
      <c r="Y444" s="243"/>
      <c r="Z444" s="16"/>
      <c r="AA444" s="10" t="s">
        <v>2606</v>
      </c>
      <c r="AB444" s="10" t="s">
        <v>2606</v>
      </c>
      <c r="AC444" s="359" t="str">
        <f t="shared" si="167"/>
        <v>TOSS ALL</v>
      </c>
      <c r="AD444" s="10" t="s">
        <v>2575</v>
      </c>
      <c r="AE444" s="10"/>
      <c r="AF444" s="168" t="s">
        <v>543</v>
      </c>
      <c r="AG444" s="16"/>
      <c r="AH444" s="10"/>
      <c r="AI444" s="380" t="str">
        <f t="shared" si="171"/>
        <v/>
      </c>
      <c r="AJ444" s="3" t="s">
        <v>408</v>
      </c>
      <c r="AK444" s="3" t="s">
        <v>425</v>
      </c>
      <c r="AL444" s="3" t="s">
        <v>2175</v>
      </c>
      <c r="AN444"/>
      <c r="AX444" s="279" t="str">
        <f t="shared" si="174"/>
        <v/>
      </c>
    </row>
    <row r="445" spans="1:50" x14ac:dyDescent="0.25">
      <c r="A445" s="190" t="str">
        <f t="shared" si="178"/>
        <v/>
      </c>
      <c r="B445" s="279" t="str">
        <f t="shared" si="177"/>
        <v/>
      </c>
      <c r="C445" s="279"/>
      <c r="D445" s="279"/>
      <c r="E445" s="279" t="str">
        <f t="shared" si="165"/>
        <v/>
      </c>
      <c r="F445" t="s">
        <v>535</v>
      </c>
      <c r="G445" s="188">
        <v>44684</v>
      </c>
      <c r="H445" s="157"/>
      <c r="I445" s="174"/>
      <c r="J445" s="10" t="s">
        <v>405</v>
      </c>
      <c r="K445" s="10" t="s">
        <v>439</v>
      </c>
      <c r="L445" s="10" t="s">
        <v>439</v>
      </c>
      <c r="M445" s="16" t="s">
        <v>559</v>
      </c>
      <c r="N445" s="16"/>
      <c r="O445" s="166"/>
      <c r="P445" s="166"/>
      <c r="Q445" s="231" t="str">
        <f t="shared" si="166"/>
        <v>. Front Power Distribution Terminal Module</v>
      </c>
      <c r="R445" s="231"/>
      <c r="S445" s="231" t="str">
        <f t="shared" si="170"/>
        <v/>
      </c>
      <c r="T445" s="231" t="str">
        <f>IF(O445&lt;&gt;"",_xlfn.XLOOKUP(O445,'3D. Pictures'!B:B,'3D. Pictures'!E:E,"NOT FOUND",0,1),"")</f>
        <v/>
      </c>
      <c r="U445" s="16"/>
      <c r="V445" s="16"/>
      <c r="W445" s="16"/>
      <c r="X445" s="16"/>
      <c r="Y445" s="243"/>
      <c r="Z445" s="16"/>
      <c r="AA445" s="10" t="s">
        <v>2608</v>
      </c>
      <c r="AB445" s="10" t="s">
        <v>2608</v>
      </c>
      <c r="AC445" s="359" t="str">
        <f t="shared" si="167"/>
        <v>flat black plastic module 4x3" w/ 3 red wires going to it</v>
      </c>
      <c r="AD445" s="10"/>
      <c r="AE445" s="10" t="s">
        <v>2607</v>
      </c>
      <c r="AF445" s="168" t="s">
        <v>543</v>
      </c>
      <c r="AG445" s="16"/>
      <c r="AH445" s="10"/>
      <c r="AI445" s="380" t="str">
        <f t="shared" si="171"/>
        <v/>
      </c>
      <c r="AJ445" s="3" t="s">
        <v>408</v>
      </c>
      <c r="AK445" s="3" t="s">
        <v>425</v>
      </c>
      <c r="AL445" s="3" t="s">
        <v>2175</v>
      </c>
      <c r="AN445" s="178"/>
      <c r="AO445" s="178"/>
      <c r="AP445" s="178"/>
      <c r="AQ445" s="178"/>
      <c r="AR445" s="178"/>
      <c r="AS445" s="178"/>
      <c r="AT445" s="178"/>
      <c r="AU445" s="178"/>
      <c r="AV445" s="178"/>
      <c r="AW445" s="178"/>
      <c r="AX445" s="279" t="str">
        <f t="shared" si="174"/>
        <v/>
      </c>
    </row>
    <row r="446" spans="1:50" x14ac:dyDescent="0.25">
      <c r="A446" s="190" t="str">
        <f t="shared" si="178"/>
        <v/>
      </c>
      <c r="B446" s="279" t="str">
        <f t="shared" si="177"/>
        <v/>
      </c>
      <c r="C446" s="279"/>
      <c r="D446" s="279"/>
      <c r="E446" s="279" t="str">
        <f t="shared" si="165"/>
        <v/>
      </c>
      <c r="F446" t="s">
        <v>535</v>
      </c>
      <c r="G446" s="188">
        <v>44684</v>
      </c>
      <c r="H446" s="157"/>
      <c r="I446" s="174"/>
      <c r="J446" s="10" t="s">
        <v>405</v>
      </c>
      <c r="K446" s="10" t="s">
        <v>439</v>
      </c>
      <c r="L446" s="10" t="s">
        <v>2691</v>
      </c>
      <c r="M446" s="16" t="s">
        <v>559</v>
      </c>
      <c r="N446" s="16"/>
      <c r="O446" s="166"/>
      <c r="P446" s="166"/>
      <c r="Q446" s="231" t="str">
        <f t="shared" si="166"/>
        <v>. i-Drive Navigation / Radio Knob Control Module</v>
      </c>
      <c r="R446" s="231"/>
      <c r="S446" s="231" t="str">
        <f t="shared" si="170"/>
        <v/>
      </c>
      <c r="T446" s="231" t="str">
        <f>IF(O446&lt;&gt;"",_xlfn.XLOOKUP(O446,'3D. Pictures'!B:B,'3D. Pictures'!E:E,"NOT FOUND",0,1),"")</f>
        <v/>
      </c>
      <c r="U446" s="16"/>
      <c r="V446" s="16"/>
      <c r="W446" s="16"/>
      <c r="X446" s="16"/>
      <c r="Y446" s="243"/>
      <c r="Z446" s="16"/>
      <c r="AA446" s="10" t="s">
        <v>460</v>
      </c>
      <c r="AB446" s="10" t="s">
        <v>460</v>
      </c>
      <c r="AC446" s="359" t="str">
        <f t="shared" si="167"/>
        <v/>
      </c>
      <c r="AD446" s="10"/>
      <c r="AE446" s="10"/>
      <c r="AF446" s="168" t="s">
        <v>543</v>
      </c>
      <c r="AG446" s="16"/>
      <c r="AH446" s="10"/>
      <c r="AI446" s="380" t="str">
        <f t="shared" si="171"/>
        <v/>
      </c>
      <c r="AJ446" s="3" t="s">
        <v>408</v>
      </c>
      <c r="AK446" s="3" t="s">
        <v>425</v>
      </c>
      <c r="AL446" s="3" t="s">
        <v>2175</v>
      </c>
      <c r="AN446"/>
      <c r="AX446" s="279" t="str">
        <f t="shared" si="174"/>
        <v/>
      </c>
    </row>
    <row r="447" spans="1:50" x14ac:dyDescent="0.25">
      <c r="A447" s="190" t="str">
        <f t="shared" si="178"/>
        <v/>
      </c>
      <c r="B447" s="311" t="str">
        <f>IF(AQ447&lt;&gt;"",AQ447,"")</f>
        <v/>
      </c>
      <c r="C447" s="311"/>
      <c r="D447" s="311"/>
      <c r="E447" s="311" t="str">
        <f t="shared" si="165"/>
        <v/>
      </c>
      <c r="F447" s="311" t="s">
        <v>535</v>
      </c>
      <c r="G447" s="312">
        <v>45245</v>
      </c>
      <c r="H447" s="345"/>
      <c r="I447" s="315"/>
      <c r="J447" s="314" t="s">
        <v>405</v>
      </c>
      <c r="K447" s="314" t="s">
        <v>439</v>
      </c>
      <c r="L447" s="314" t="s">
        <v>2713</v>
      </c>
      <c r="M447" s="346" t="s">
        <v>562</v>
      </c>
      <c r="N447" s="346"/>
      <c r="O447" s="347"/>
      <c r="P447" s="347"/>
      <c r="Q447" s="333" t="str">
        <f t="shared" si="166"/>
        <v>. Fuse Box, FRONT</v>
      </c>
      <c r="R447" s="333"/>
      <c r="S447" s="333" t="str">
        <f t="shared" si="170"/>
        <v/>
      </c>
      <c r="T447" s="333" t="str">
        <f>IF(O447&lt;&gt;"",_xlfn.XLOOKUP(O447,'3D. Pictures'!B:B,'3D. Pictures'!E:E,"NOT FOUND",0,1),"")</f>
        <v/>
      </c>
      <c r="U447" s="346"/>
      <c r="V447" s="319"/>
      <c r="W447" s="346"/>
      <c r="X447" s="319"/>
      <c r="Y447" s="243"/>
      <c r="Z447" s="319"/>
      <c r="AA447" s="314" t="s">
        <v>2353</v>
      </c>
      <c r="AB447" s="314" t="s">
        <v>2353</v>
      </c>
      <c r="AC447" s="359" t="str">
        <f t="shared" si="167"/>
        <v/>
      </c>
      <c r="AD447" s="314"/>
      <c r="AE447" s="314"/>
      <c r="AF447" s="319"/>
      <c r="AG447" s="314"/>
      <c r="AH447" s="10"/>
      <c r="AI447" s="380" t="str">
        <f t="shared" si="171"/>
        <v/>
      </c>
      <c r="AJ447" s="320" t="s">
        <v>408</v>
      </c>
      <c r="AK447" s="320" t="s">
        <v>425</v>
      </c>
      <c r="AL447" s="320" t="s">
        <v>2175</v>
      </c>
      <c r="AM447" s="311"/>
      <c r="AN447" s="338"/>
      <c r="AO447" s="311" t="s">
        <v>572</v>
      </c>
      <c r="AP447" s="311"/>
      <c r="AQ447" s="311"/>
      <c r="AR447" s="311"/>
      <c r="AS447" s="311"/>
      <c r="AT447" s="311"/>
      <c r="AU447" s="311"/>
      <c r="AV447" s="311"/>
      <c r="AW447" s="311"/>
      <c r="AX447" s="279" t="str">
        <f t="shared" si="174"/>
        <v/>
      </c>
    </row>
    <row r="448" spans="1:50" x14ac:dyDescent="0.25">
      <c r="A448" s="190" t="str">
        <f t="shared" si="178"/>
        <v/>
      </c>
      <c r="B448" s="279" t="str">
        <f t="shared" si="177"/>
        <v/>
      </c>
      <c r="C448" s="279"/>
      <c r="D448" s="279"/>
      <c r="E448" s="279" t="str">
        <f t="shared" si="165"/>
        <v/>
      </c>
      <c r="F448" t="s">
        <v>535</v>
      </c>
      <c r="G448" s="188">
        <v>44680</v>
      </c>
      <c r="H448" s="157"/>
      <c r="I448" s="174"/>
      <c r="J448" s="10" t="s">
        <v>405</v>
      </c>
      <c r="K448" s="10" t="s">
        <v>439</v>
      </c>
      <c r="L448" s="10" t="s">
        <v>439</v>
      </c>
      <c r="M448" s="16" t="s">
        <v>559</v>
      </c>
      <c r="N448" s="16"/>
      <c r="O448" s="166"/>
      <c r="P448" s="166"/>
      <c r="Q448" s="231" t="str">
        <f t="shared" si="166"/>
        <v>. Lojack Vehicle Recovery Transmitter Module &amp; Cable</v>
      </c>
      <c r="R448" s="231"/>
      <c r="S448" s="231" t="str">
        <f t="shared" si="170"/>
        <v/>
      </c>
      <c r="T448" s="231" t="str">
        <f>IF(O448&lt;&gt;"",_xlfn.XLOOKUP(O448,'3D. Pictures'!B:B,'3D. Pictures'!E:E,"NOT FOUND",0,1),"")</f>
        <v/>
      </c>
      <c r="U448" s="16"/>
      <c r="V448" s="16"/>
      <c r="W448" s="16"/>
      <c r="X448" s="16"/>
      <c r="Y448" s="201"/>
      <c r="Z448" s="16"/>
      <c r="AA448" s="10" t="s">
        <v>2612</v>
      </c>
      <c r="AB448" s="10" t="s">
        <v>2612</v>
      </c>
      <c r="AC448" s="359" t="str">
        <f t="shared" si="167"/>
        <v>TOSS BOTH | mounted RR wheel well</v>
      </c>
      <c r="AD448" s="10" t="s">
        <v>2544</v>
      </c>
      <c r="AE448" s="10" t="s">
        <v>2609</v>
      </c>
      <c r="AF448" s="168" t="s">
        <v>543</v>
      </c>
      <c r="AG448" s="16"/>
      <c r="AH448" s="10"/>
      <c r="AI448" s="380" t="str">
        <f t="shared" si="171"/>
        <v/>
      </c>
      <c r="AJ448" s="3" t="s">
        <v>408</v>
      </c>
      <c r="AK448" s="3" t="s">
        <v>425</v>
      </c>
      <c r="AL448" s="3" t="s">
        <v>2175</v>
      </c>
      <c r="AN448"/>
      <c r="AX448" s="279" t="str">
        <f t="shared" si="174"/>
        <v/>
      </c>
    </row>
    <row r="449" spans="1:50" x14ac:dyDescent="0.25">
      <c r="A449" s="190" t="str">
        <f t="shared" si="178"/>
        <v/>
      </c>
      <c r="B449" s="279" t="str">
        <f t="shared" si="177"/>
        <v/>
      </c>
      <c r="C449" s="279"/>
      <c r="D449" s="279"/>
      <c r="E449" s="279" t="str">
        <f t="shared" si="165"/>
        <v/>
      </c>
      <c r="F449" t="s">
        <v>535</v>
      </c>
      <c r="G449" s="188">
        <v>44684</v>
      </c>
      <c r="H449" s="157"/>
      <c r="I449" s="174"/>
      <c r="J449" s="10" t="s">
        <v>405</v>
      </c>
      <c r="K449" s="10" t="s">
        <v>439</v>
      </c>
      <c r="L449" s="10" t="s">
        <v>2713</v>
      </c>
      <c r="M449" s="16" t="s">
        <v>559</v>
      </c>
      <c r="N449" s="16"/>
      <c r="O449" s="166"/>
      <c r="P449" s="166"/>
      <c r="Q449" s="231" t="str">
        <f t="shared" si="166"/>
        <v>. Positive Battery Junction Box</v>
      </c>
      <c r="R449" s="231"/>
      <c r="S449" s="231" t="str">
        <f t="shared" si="170"/>
        <v/>
      </c>
      <c r="T449" s="231" t="str">
        <f>IF(O449&lt;&gt;"",_xlfn.XLOOKUP(O449,'3D. Pictures'!B:B,'3D. Pictures'!E:E,"NOT FOUND",0,1),"")</f>
        <v/>
      </c>
      <c r="U449" s="16"/>
      <c r="V449" s="16"/>
      <c r="W449" s="16"/>
      <c r="X449" s="16"/>
      <c r="Y449" s="201"/>
      <c r="Z449" s="16"/>
      <c r="AA449" s="10" t="s">
        <v>2611</v>
      </c>
      <c r="AB449" s="10" t="s">
        <v>2611</v>
      </c>
      <c r="AC449" s="359" t="str">
        <f t="shared" si="167"/>
        <v>5x5 inch black plastic w/ a small red battery cable</v>
      </c>
      <c r="AD449" s="10"/>
      <c r="AE449" s="10" t="s">
        <v>2610</v>
      </c>
      <c r="AF449" s="168" t="s">
        <v>543</v>
      </c>
      <c r="AG449" s="16"/>
      <c r="AH449" s="10"/>
      <c r="AI449" s="380" t="str">
        <f t="shared" si="171"/>
        <v/>
      </c>
      <c r="AJ449" s="3" t="s">
        <v>408</v>
      </c>
      <c r="AK449" s="3" t="s">
        <v>425</v>
      </c>
      <c r="AL449" s="3" t="s">
        <v>2175</v>
      </c>
      <c r="AN449"/>
      <c r="AX449" s="279" t="str">
        <f t="shared" si="174"/>
        <v/>
      </c>
    </row>
    <row r="450" spans="1:50" x14ac:dyDescent="0.25">
      <c r="A450" s="190" t="str">
        <f t="shared" si="178"/>
        <v/>
      </c>
      <c r="B450" s="279" t="str">
        <f t="shared" si="177"/>
        <v/>
      </c>
      <c r="C450" s="279"/>
      <c r="D450" s="279"/>
      <c r="E450" s="279" t="str">
        <f t="shared" si="165"/>
        <v/>
      </c>
      <c r="F450" t="s">
        <v>535</v>
      </c>
      <c r="G450" s="188">
        <v>44684</v>
      </c>
      <c r="H450" s="157"/>
      <c r="I450" s="174"/>
      <c r="J450" s="10" t="s">
        <v>405</v>
      </c>
      <c r="K450" s="10" t="s">
        <v>439</v>
      </c>
      <c r="L450" s="10" t="s">
        <v>439</v>
      </c>
      <c r="M450" s="189" t="s">
        <v>562</v>
      </c>
      <c r="N450" s="189"/>
      <c r="O450" s="233"/>
      <c r="P450" s="233"/>
      <c r="Q450" s="231" t="str">
        <f t="shared" si="166"/>
        <v>. Seat Control Module - REAR</v>
      </c>
      <c r="R450" s="231"/>
      <c r="S450" s="231" t="str">
        <f t="shared" si="170"/>
        <v/>
      </c>
      <c r="T450" s="231" t="str">
        <f>IF(O450&lt;&gt;"",_xlfn.XLOOKUP(O450,'3D. Pictures'!B:B,'3D. Pictures'!E:E,"NOT FOUND",0,1),"")</f>
        <v/>
      </c>
      <c r="U450" s="189"/>
      <c r="V450" s="168"/>
      <c r="W450" s="189"/>
      <c r="X450" s="168"/>
      <c r="Y450" s="201"/>
      <c r="Z450" s="168"/>
      <c r="AA450" s="10" t="s">
        <v>468</v>
      </c>
      <c r="AB450" s="10" t="s">
        <v>468</v>
      </c>
      <c r="AC450" s="359" t="str">
        <f t="shared" si="167"/>
        <v/>
      </c>
      <c r="AD450" s="10"/>
      <c r="AE450" s="10"/>
      <c r="AF450" s="168" t="s">
        <v>543</v>
      </c>
      <c r="AG450" s="16"/>
      <c r="AH450" s="10"/>
      <c r="AI450" s="380" t="str">
        <f t="shared" si="171"/>
        <v/>
      </c>
      <c r="AJ450" s="3" t="s">
        <v>408</v>
      </c>
      <c r="AK450" s="3" t="s">
        <v>425</v>
      </c>
      <c r="AL450" s="3" t="s">
        <v>2175</v>
      </c>
      <c r="AN450"/>
      <c r="AO450" t="s">
        <v>572</v>
      </c>
      <c r="AX450" s="279" t="str">
        <f t="shared" si="174"/>
        <v/>
      </c>
    </row>
    <row r="451" spans="1:50" x14ac:dyDescent="0.25">
      <c r="A451" s="190" t="str">
        <f t="shared" si="178"/>
        <v/>
      </c>
      <c r="B451" s="279" t="str">
        <f t="shared" si="177"/>
        <v/>
      </c>
      <c r="C451" s="279"/>
      <c r="D451" s="279"/>
      <c r="E451" s="279" t="str">
        <f t="shared" si="165"/>
        <v/>
      </c>
      <c r="F451" t="s">
        <v>535</v>
      </c>
      <c r="G451" s="188">
        <v>44684</v>
      </c>
      <c r="H451" s="157"/>
      <c r="I451" s="174"/>
      <c r="J451" s="10" t="s">
        <v>405</v>
      </c>
      <c r="K451" s="10" t="s">
        <v>439</v>
      </c>
      <c r="L451" s="10" t="s">
        <v>439</v>
      </c>
      <c r="M451" s="16" t="s">
        <v>559</v>
      </c>
      <c r="N451" s="16"/>
      <c r="O451" s="166"/>
      <c r="P451" s="166"/>
      <c r="Q451" s="231" t="str">
        <f t="shared" si="166"/>
        <v>. Steering Column Control Module</v>
      </c>
      <c r="R451" s="231"/>
      <c r="S451" s="231" t="str">
        <f t="shared" si="170"/>
        <v/>
      </c>
      <c r="T451" s="231" t="str">
        <f>IF(O451&lt;&gt;"",_xlfn.XLOOKUP(O451,'3D. Pictures'!B:B,'3D. Pictures'!E:E,"NOT FOUND",0,1),"")</f>
        <v/>
      </c>
      <c r="U451" s="16"/>
      <c r="V451" s="16"/>
      <c r="W451" s="16"/>
      <c r="X451" s="16"/>
      <c r="Y451" s="201"/>
      <c r="Z451" s="16"/>
      <c r="AA451" s="10" t="s">
        <v>2614</v>
      </c>
      <c r="AB451" s="10" t="s">
        <v>2614</v>
      </c>
      <c r="AC451" s="359" t="str">
        <f t="shared" si="167"/>
        <v>toss black plastic sleeve on it too</v>
      </c>
      <c r="AD451" s="10" t="s">
        <v>2613</v>
      </c>
      <c r="AE451" s="10"/>
      <c r="AF451" s="168" t="s">
        <v>543</v>
      </c>
      <c r="AG451" s="16"/>
      <c r="AH451" s="10"/>
      <c r="AI451" s="380" t="str">
        <f t="shared" si="171"/>
        <v/>
      </c>
      <c r="AJ451" s="3" t="s">
        <v>408</v>
      </c>
      <c r="AK451" s="3" t="s">
        <v>425</v>
      </c>
      <c r="AL451" s="3" t="s">
        <v>2175</v>
      </c>
      <c r="AN451"/>
      <c r="AX451" s="279" t="str">
        <f t="shared" si="174"/>
        <v/>
      </c>
    </row>
    <row r="452" spans="1:50" x14ac:dyDescent="0.25">
      <c r="A452" s="190" t="str">
        <f t="shared" si="178"/>
        <v/>
      </c>
      <c r="B452" s="279" t="str">
        <f t="shared" si="177"/>
        <v/>
      </c>
      <c r="C452" s="279"/>
      <c r="D452" s="279"/>
      <c r="E452" s="279" t="str">
        <f t="shared" si="165"/>
        <v/>
      </c>
      <c r="F452" t="s">
        <v>536</v>
      </c>
      <c r="G452" s="188">
        <v>45013</v>
      </c>
      <c r="H452" s="19" t="s">
        <v>533</v>
      </c>
      <c r="I452" s="161"/>
      <c r="J452" s="99" t="s">
        <v>402</v>
      </c>
      <c r="K452" s="99" t="s">
        <v>39</v>
      </c>
      <c r="L452" s="99" t="s">
        <v>191</v>
      </c>
      <c r="M452" s="16" t="s">
        <v>559</v>
      </c>
      <c r="N452" s="16"/>
      <c r="O452" s="166"/>
      <c r="P452" s="166"/>
      <c r="Q452" s="231" t="str">
        <f t="shared" si="166"/>
        <v>. Speakers SET - Harman Kardon</v>
      </c>
      <c r="R452" s="231"/>
      <c r="S452" s="231" t="str">
        <f t="shared" si="170"/>
        <v/>
      </c>
      <c r="T452" s="231" t="str">
        <f>IF(O452&lt;&gt;"",_xlfn.XLOOKUP(O452,'3D. Pictures'!B:B,'3D. Pictures'!E:E,"NOT FOUND",0,1),"")</f>
        <v/>
      </c>
      <c r="U452" s="16"/>
      <c r="V452" s="16"/>
      <c r="W452" s="16"/>
      <c r="X452" s="16"/>
      <c r="Y452" s="201"/>
      <c r="Z452" s="16"/>
      <c r="AA452" s="99" t="s">
        <v>2618</v>
      </c>
      <c r="AB452" s="99" t="s">
        <v>2618</v>
      </c>
      <c r="AC452" s="360" t="str">
        <f t="shared" si="167"/>
        <v>KEEP Harman or Bang &amp; Olufsen, TOSS BMW Branded</v>
      </c>
      <c r="AD452" s="99"/>
      <c r="AE452" s="99" t="s">
        <v>2617</v>
      </c>
      <c r="AF452" s="168" t="s">
        <v>543</v>
      </c>
      <c r="AG452" s="99"/>
      <c r="AH452" s="364">
        <v>450</v>
      </c>
      <c r="AI452" s="380">
        <f t="shared" si="171"/>
        <v>450</v>
      </c>
      <c r="AJ452" s="3" t="s">
        <v>408</v>
      </c>
      <c r="AK452" s="3" t="s">
        <v>425</v>
      </c>
      <c r="AL452" s="3" t="s">
        <v>2175</v>
      </c>
      <c r="AM452" s="138" t="s">
        <v>533</v>
      </c>
      <c r="AN452"/>
      <c r="AX452" s="279" t="str">
        <f t="shared" si="174"/>
        <v/>
      </c>
    </row>
    <row r="453" spans="1:50" x14ac:dyDescent="0.25">
      <c r="A453" s="190" t="str">
        <f t="shared" ref="A453" si="179">IF(O453&lt;&gt;"",O453,"")</f>
        <v/>
      </c>
      <c r="B453" s="279" t="str">
        <f t="shared" ref="B453" si="180">IF(AQ453&lt;&gt;"",AQ453,"")</f>
        <v/>
      </c>
      <c r="C453" s="279"/>
      <c r="D453" s="279"/>
      <c r="E453" s="279" t="str">
        <f t="shared" si="165"/>
        <v/>
      </c>
      <c r="F453" t="s">
        <v>536</v>
      </c>
      <c r="G453" s="188">
        <v>45013</v>
      </c>
      <c r="H453" s="19" t="s">
        <v>533</v>
      </c>
      <c r="I453" s="161"/>
      <c r="J453" s="99" t="s">
        <v>402</v>
      </c>
      <c r="K453" s="99" t="s">
        <v>39</v>
      </c>
      <c r="L453" s="99" t="s">
        <v>191</v>
      </c>
      <c r="M453" s="16" t="s">
        <v>559</v>
      </c>
      <c r="N453" s="16"/>
      <c r="O453" s="166"/>
      <c r="P453" s="166"/>
      <c r="Q453" s="231" t="str">
        <f t="shared" si="166"/>
        <v>. Speakers SET - Bang &amp; Olufsen</v>
      </c>
      <c r="R453" s="231"/>
      <c r="S453" s="231" t="str">
        <f t="shared" si="170"/>
        <v/>
      </c>
      <c r="T453" s="231" t="str">
        <f>IF(O453&lt;&gt;"",_xlfn.XLOOKUP(O453,'3D. Pictures'!B:B,'3D. Pictures'!E:E,"NOT FOUND",0,1),"")</f>
        <v/>
      </c>
      <c r="U453" s="16"/>
      <c r="V453" s="16"/>
      <c r="W453" s="16"/>
      <c r="X453" s="16"/>
      <c r="Y453" s="201"/>
      <c r="Z453" s="16"/>
      <c r="AA453" s="99" t="s">
        <v>2619</v>
      </c>
      <c r="AB453" s="99" t="s">
        <v>2619</v>
      </c>
      <c r="AC453" s="360" t="str">
        <f t="shared" si="167"/>
        <v>KEEP Harman or Bang &amp; Olufsen, TOSS BMW Branded</v>
      </c>
      <c r="AD453" s="99"/>
      <c r="AE453" s="99" t="s">
        <v>2617</v>
      </c>
      <c r="AF453" s="168" t="s">
        <v>543</v>
      </c>
      <c r="AG453" s="99"/>
      <c r="AH453" s="364" t="s">
        <v>2616</v>
      </c>
      <c r="AI453" s="380" t="str">
        <f t="shared" si="171"/>
        <v>Check</v>
      </c>
      <c r="AJ453" s="3" t="s">
        <v>408</v>
      </c>
      <c r="AK453" s="3" t="s">
        <v>425</v>
      </c>
      <c r="AL453" s="3" t="s">
        <v>2175</v>
      </c>
      <c r="AM453" s="138" t="s">
        <v>533</v>
      </c>
      <c r="AN453"/>
      <c r="AX453" s="279" t="str">
        <f t="shared" ref="AX453" si="181">IF(AW453&lt;&gt;"",_xlfn.TEXTJOIN("-",TRUE,AV453,AW453),"")</f>
        <v/>
      </c>
    </row>
    <row r="454" spans="1:50" ht="15.75" thickBot="1" x14ac:dyDescent="0.3">
      <c r="A454" s="190" t="str">
        <f t="shared" ref="A454" si="182">IF(O454&lt;&gt;"",O454,"")</f>
        <v/>
      </c>
      <c r="B454" s="279" t="str">
        <f t="shared" ref="B454" si="183">IF(AQ454&lt;&gt;"",AQ454,"")</f>
        <v/>
      </c>
      <c r="C454" s="279"/>
      <c r="D454" s="279"/>
      <c r="E454" s="279" t="str">
        <f t="shared" si="165"/>
        <v/>
      </c>
      <c r="F454" t="s">
        <v>536</v>
      </c>
      <c r="G454" s="188">
        <v>45013</v>
      </c>
      <c r="H454" s="351"/>
      <c r="I454" s="351"/>
      <c r="J454" s="172" t="s">
        <v>405</v>
      </c>
      <c r="K454" s="172" t="s">
        <v>39</v>
      </c>
      <c r="L454" s="172" t="s">
        <v>191</v>
      </c>
      <c r="M454" s="172" t="s">
        <v>559</v>
      </c>
      <c r="N454" s="172"/>
      <c r="O454" s="352"/>
      <c r="P454" s="352"/>
      <c r="Q454" s="353" t="str">
        <f t="shared" si="166"/>
        <v>. Speakers - BMW Branded Ones</v>
      </c>
      <c r="R454" s="353"/>
      <c r="S454" s="353" t="str">
        <f t="shared" si="170"/>
        <v/>
      </c>
      <c r="T454" s="353" t="str">
        <f>IF(O454&lt;&gt;"",_xlfn.XLOOKUP(O454,'3D. Pictures'!B:B,'3D. Pictures'!E:E,"NOT FOUND",0,1),"")</f>
        <v/>
      </c>
      <c r="U454" s="172"/>
      <c r="V454" s="172"/>
      <c r="W454" s="172"/>
      <c r="X454" s="172"/>
      <c r="Y454" s="226"/>
      <c r="Z454" s="172"/>
      <c r="AA454" s="172" t="s">
        <v>2615</v>
      </c>
      <c r="AB454" s="172" t="s">
        <v>2615</v>
      </c>
      <c r="AC454" s="361" t="str">
        <f t="shared" si="167"/>
        <v>TOSS BMW Branded Ones | KEEP Harman or Bang</v>
      </c>
      <c r="AD454" s="172" t="s">
        <v>2796</v>
      </c>
      <c r="AE454" s="172" t="s">
        <v>2797</v>
      </c>
      <c r="AF454" s="172" t="s">
        <v>543</v>
      </c>
      <c r="AG454" s="172"/>
      <c r="AH454" s="368"/>
      <c r="AI454" s="380" t="str">
        <f t="shared" si="171"/>
        <v/>
      </c>
      <c r="AJ454" s="3" t="s">
        <v>408</v>
      </c>
      <c r="AK454" s="3" t="s">
        <v>425</v>
      </c>
      <c r="AL454" s="3" t="s">
        <v>2175</v>
      </c>
      <c r="AM454" s="138" t="s">
        <v>533</v>
      </c>
      <c r="AN454"/>
      <c r="AX454" s="279" t="str">
        <f t="shared" ref="AX454" si="184">IF(AW454&lt;&gt;"",_xlfn.TEXTJOIN("-",TRUE,AV454,AW454),"")</f>
        <v/>
      </c>
    </row>
    <row r="455" spans="1:50" ht="15.75" thickBot="1" x14ac:dyDescent="0.3">
      <c r="A455" s="190" t="str">
        <f t="shared" si="178"/>
        <v>A110</v>
      </c>
      <c r="B455" s="279" t="str">
        <f t="shared" si="177"/>
        <v/>
      </c>
      <c r="C455" s="279"/>
      <c r="D455" s="279"/>
      <c r="E455" s="279" t="str">
        <f t="shared" si="165"/>
        <v/>
      </c>
      <c r="F455" s="241" t="s">
        <v>535</v>
      </c>
      <c r="G455" s="242">
        <v>44670</v>
      </c>
      <c r="H455" s="275"/>
      <c r="I455" s="249" t="s">
        <v>7</v>
      </c>
      <c r="J455" s="179" t="s">
        <v>402</v>
      </c>
      <c r="K455" s="179" t="s">
        <v>39</v>
      </c>
      <c r="L455" s="179" t="s">
        <v>2703</v>
      </c>
      <c r="M455" s="243" t="s">
        <v>559</v>
      </c>
      <c r="N455" s="243">
        <v>100</v>
      </c>
      <c r="O455" s="244" t="s">
        <v>1012</v>
      </c>
      <c r="P455" s="244" t="s">
        <v>1307</v>
      </c>
      <c r="Q455" s="231" t="str">
        <f t="shared" si="166"/>
        <v>A110. Trim Set, Entire Vehicle</v>
      </c>
      <c r="R455" s="284" t="str">
        <f>HYPERLINK(VLOOKUP(O455,'3D. Pictures'!$B$3:$E$500,4,FALSE),"PIC")</f>
        <v>PIC</v>
      </c>
      <c r="S455" s="373" t="str">
        <f t="shared" si="170"/>
        <v>E.G.</v>
      </c>
      <c r="T455" s="377" t="str">
        <f>IF(O455&lt;&gt;"",_xlfn.XLOOKUP(O455,'3D. Pictures'!B:B,'3D. Pictures'!E:E,"NOT FOUND",0,1),"")</f>
        <v>https://viking-pictures.s3.us-west-1.amazonaws.com/AA1155/A110.+Trim+Set%2C+Entire+Vehicle+(1).JPG</v>
      </c>
      <c r="U455" s="243">
        <v>20</v>
      </c>
      <c r="V455" s="243" t="s">
        <v>2152</v>
      </c>
      <c r="W455" s="243" t="s">
        <v>112</v>
      </c>
      <c r="X455" s="243" t="s">
        <v>2463</v>
      </c>
      <c r="Y455" s="201"/>
      <c r="Z455" s="243"/>
      <c r="AA455" s="179" t="s">
        <v>335</v>
      </c>
      <c r="AB455" s="179" t="s">
        <v>335</v>
      </c>
      <c r="AC455" s="247" t="str">
        <f t="shared" si="167"/>
        <v/>
      </c>
      <c r="AD455" s="179"/>
      <c r="AE455" s="179"/>
      <c r="AF455" s="179" t="s">
        <v>542</v>
      </c>
      <c r="AG455" s="179"/>
      <c r="AH455" s="168">
        <v>495</v>
      </c>
      <c r="AI455" s="380">
        <f t="shared" si="171"/>
        <v>495</v>
      </c>
      <c r="AJ455" s="246" t="s">
        <v>408</v>
      </c>
      <c r="AK455" s="246" t="s">
        <v>425</v>
      </c>
      <c r="AL455" s="246" t="s">
        <v>2175</v>
      </c>
      <c r="AM455" s="245"/>
      <c r="AN455" s="241"/>
      <c r="AO455" s="241"/>
      <c r="AP455" s="241"/>
      <c r="AQ455" s="241"/>
      <c r="AR455" s="241"/>
      <c r="AS455" s="241" t="s">
        <v>1028</v>
      </c>
      <c r="AT455" s="241" t="s">
        <v>1029</v>
      </c>
      <c r="AU455" s="241" t="s">
        <v>1030</v>
      </c>
      <c r="AV455" s="303" t="str">
        <f t="shared" ref="AV455" si="185">CONCATENATE(AS455,"-",AT455,"-",AU455)</f>
        <v>F15-14-18-ALL</v>
      </c>
      <c r="AW455" s="241" t="s">
        <v>2409</v>
      </c>
      <c r="AX455" s="279" t="str">
        <f t="shared" si="174"/>
        <v>F15-14-18-ALL-Viking43</v>
      </c>
    </row>
    <row r="456" spans="1:50" ht="15.75" thickBot="1" x14ac:dyDescent="0.3">
      <c r="A456" s="190" t="str">
        <f t="shared" si="178"/>
        <v/>
      </c>
      <c r="B456" s="279" t="str">
        <f t="shared" si="177"/>
        <v/>
      </c>
      <c r="C456" s="279"/>
      <c r="D456" s="279"/>
      <c r="E456" s="279" t="str">
        <f t="shared" si="165"/>
        <v/>
      </c>
      <c r="F456" t="s">
        <v>535</v>
      </c>
      <c r="G456" s="188">
        <v>44671</v>
      </c>
      <c r="H456" s="157"/>
      <c r="I456" s="174"/>
      <c r="J456" s="10" t="s">
        <v>405</v>
      </c>
      <c r="K456" s="10" t="s">
        <v>39</v>
      </c>
      <c r="L456" s="10" t="s">
        <v>686</v>
      </c>
      <c r="M456" s="170" t="s">
        <v>558</v>
      </c>
      <c r="N456" s="170"/>
      <c r="O456" s="237"/>
      <c r="P456" s="237"/>
      <c r="Q456" s="231" t="str">
        <f t="shared" si="166"/>
        <v>. Airbag, SEATS</v>
      </c>
      <c r="R456" s="231"/>
      <c r="S456" s="231" t="str">
        <f t="shared" si="170"/>
        <v/>
      </c>
      <c r="T456" s="231" t="str">
        <f>IF(O456&lt;&gt;"",_xlfn.XLOOKUP(O456,'3D. Pictures'!B:B,'3D. Pictures'!E:E,"NOT FOUND",0,1),"")</f>
        <v/>
      </c>
      <c r="U456" s="170"/>
      <c r="V456" s="168"/>
      <c r="W456" s="170"/>
      <c r="X456" s="168"/>
      <c r="Y456" s="201"/>
      <c r="Z456" s="168"/>
      <c r="AA456" s="10" t="s">
        <v>2621</v>
      </c>
      <c r="AB456" s="10" t="s">
        <v>2621</v>
      </c>
      <c r="AC456" s="359" t="str">
        <f t="shared" si="167"/>
        <v>TOSS BOTH | keep in seat cushions if selling those</v>
      </c>
      <c r="AD456" s="10" t="s">
        <v>2544</v>
      </c>
      <c r="AE456" s="10" t="s">
        <v>2620</v>
      </c>
      <c r="AF456" s="168" t="s">
        <v>543</v>
      </c>
      <c r="AG456" s="10"/>
      <c r="AH456" s="10"/>
      <c r="AI456" s="380" t="str">
        <f t="shared" si="171"/>
        <v/>
      </c>
      <c r="AJ456" s="3" t="s">
        <v>408</v>
      </c>
      <c r="AK456" s="3" t="s">
        <v>425</v>
      </c>
      <c r="AL456" s="3" t="s">
        <v>2175</v>
      </c>
      <c r="AN456"/>
      <c r="AO456" t="s">
        <v>572</v>
      </c>
      <c r="AX456" s="279" t="str">
        <f t="shared" si="174"/>
        <v/>
      </c>
    </row>
    <row r="457" spans="1:50" ht="15.75" thickBot="1" x14ac:dyDescent="0.3">
      <c r="A457" s="190" t="str">
        <f t="shared" si="178"/>
        <v>A66</v>
      </c>
      <c r="B457" s="279" t="str">
        <f t="shared" si="177"/>
        <v>210-53562</v>
      </c>
      <c r="C457" s="279" t="s">
        <v>2125</v>
      </c>
      <c r="D457" s="279"/>
      <c r="E457" s="279">
        <f t="shared" ref="E457:E520" si="186">IF(B457&lt;&gt;"",COUNTIF($B$9:$B$2241,B457),"")</f>
        <v>2</v>
      </c>
      <c r="F457" s="190" t="s">
        <v>535</v>
      </c>
      <c r="G457" s="198">
        <v>44673</v>
      </c>
      <c r="H457" s="209"/>
      <c r="I457" s="205"/>
      <c r="J457" s="205" t="s">
        <v>402</v>
      </c>
      <c r="K457" s="205" t="s">
        <v>2767</v>
      </c>
      <c r="L457" s="205" t="s">
        <v>863</v>
      </c>
      <c r="M457" s="200" t="s">
        <v>558</v>
      </c>
      <c r="N457" s="200">
        <v>56</v>
      </c>
      <c r="O457" s="230" t="s">
        <v>968</v>
      </c>
      <c r="P457" s="230" t="s">
        <v>1204</v>
      </c>
      <c r="Q457" s="231" t="str">
        <f t="shared" ref="Q457:Q465" si="187">CONCATENATE(O457,". ",AB457)</f>
        <v>A66. Seatbelt Buckle, FRONT - LEFT</v>
      </c>
      <c r="R457" s="284" t="str">
        <f>HYPERLINK(VLOOKUP(O457,'3D. Pictures'!$B$3:$E$500,4,FALSE),"PIC")</f>
        <v>PIC</v>
      </c>
      <c r="S457" s="373" t="str">
        <f t="shared" si="170"/>
        <v>E.G.</v>
      </c>
      <c r="T457" s="377" t="str">
        <f>IF(O457&lt;&gt;"",_xlfn.XLOOKUP(O457,'3D. Pictures'!B:B,'3D. Pictures'!E:E,"NOT FOUND",0,1),"")</f>
        <v>https://viking-pictures.s3.us-west-1.amazonaws.com/AA1155/A66.+Seatbelt+Buckle%2C+FRONT+-+LEFT+(1).JPG</v>
      </c>
      <c r="U457" s="200">
        <v>4</v>
      </c>
      <c r="V457" s="201" t="s">
        <v>1240</v>
      </c>
      <c r="W457" s="200" t="s">
        <v>111</v>
      </c>
      <c r="X457" s="201"/>
      <c r="Y457" s="201"/>
      <c r="Z457" s="192"/>
      <c r="AA457" s="205" t="s">
        <v>1247</v>
      </c>
      <c r="AB457" s="205" t="s">
        <v>1247</v>
      </c>
      <c r="AC457" s="358" t="str">
        <f t="shared" ref="AC457:AC520" si="188">_xlfn.TEXTJOIN(" | ",TRUE,AD457,AE457)</f>
        <v/>
      </c>
      <c r="AD457" s="205"/>
      <c r="AE457" s="205"/>
      <c r="AF457" s="201" t="s">
        <v>543</v>
      </c>
      <c r="AG457" s="205" t="s">
        <v>862</v>
      </c>
      <c r="AH457" s="18">
        <v>80</v>
      </c>
      <c r="AI457" s="380">
        <f t="shared" si="171"/>
        <v>80</v>
      </c>
      <c r="AJ457" s="204" t="s">
        <v>408</v>
      </c>
      <c r="AK457" s="204" t="s">
        <v>425</v>
      </c>
      <c r="AL457" s="204" t="s">
        <v>2175</v>
      </c>
      <c r="AM457" s="190"/>
      <c r="AN457" s="191" t="s">
        <v>643</v>
      </c>
      <c r="AO457" s="190" t="s">
        <v>572</v>
      </c>
      <c r="AP457" s="190">
        <v>53562</v>
      </c>
      <c r="AQ457" s="190" t="str">
        <f>CONCATENATE(AN457,AO457,AP457)</f>
        <v>210-53562</v>
      </c>
      <c r="AR457" s="190"/>
      <c r="AS457" s="190"/>
      <c r="AT457" s="190"/>
      <c r="AU457" s="190"/>
      <c r="AV457" s="190"/>
      <c r="AW457" s="190"/>
      <c r="AX457" s="279" t="str">
        <f t="shared" si="174"/>
        <v/>
      </c>
    </row>
    <row r="458" spans="1:50" ht="15.75" thickBot="1" x14ac:dyDescent="0.3">
      <c r="A458" s="190" t="str">
        <f t="shared" si="178"/>
        <v/>
      </c>
      <c r="B458" s="279" t="str">
        <f t="shared" si="177"/>
        <v>210-53851</v>
      </c>
      <c r="C458" s="279"/>
      <c r="D458" s="279"/>
      <c r="E458" s="279">
        <f t="shared" si="186"/>
        <v>1</v>
      </c>
      <c r="F458" s="190" t="s">
        <v>535</v>
      </c>
      <c r="G458" s="198">
        <v>44673</v>
      </c>
      <c r="H458" s="209"/>
      <c r="I458" s="205"/>
      <c r="J458" s="205" t="s">
        <v>402</v>
      </c>
      <c r="K458" s="205" t="s">
        <v>2767</v>
      </c>
      <c r="L458" s="205" t="s">
        <v>859</v>
      </c>
      <c r="M458" s="200" t="s">
        <v>558</v>
      </c>
      <c r="N458" s="200"/>
      <c r="O458" s="230"/>
      <c r="P458" s="230"/>
      <c r="Q458" s="231" t="str">
        <f t="shared" si="187"/>
        <v>. Seatbelt Retractor, FRONT - LEFT</v>
      </c>
      <c r="R458" s="231"/>
      <c r="S458" s="231" t="str">
        <f t="shared" si="170"/>
        <v/>
      </c>
      <c r="T458" s="231" t="str">
        <f>IF(O458&lt;&gt;"",_xlfn.XLOOKUP(O458,'3D. Pictures'!B:B,'3D. Pictures'!E:E,"NOT FOUND",0,1),"")</f>
        <v/>
      </c>
      <c r="U458" s="200"/>
      <c r="V458" s="201"/>
      <c r="W458" s="200"/>
      <c r="X458" s="201"/>
      <c r="Y458" s="201"/>
      <c r="Z458" s="192" t="s">
        <v>2077</v>
      </c>
      <c r="AA458" s="205" t="s">
        <v>1244</v>
      </c>
      <c r="AB458" s="205" t="s">
        <v>1244</v>
      </c>
      <c r="AC458" s="358" t="str">
        <f t="shared" si="188"/>
        <v>remove from &amp; toss pillar</v>
      </c>
      <c r="AD458" s="205" t="s">
        <v>858</v>
      </c>
      <c r="AE458" s="205"/>
      <c r="AF458" s="201" t="s">
        <v>543</v>
      </c>
      <c r="AG458" s="205"/>
      <c r="AH458" s="16">
        <v>250</v>
      </c>
      <c r="AI458" s="380">
        <f t="shared" si="171"/>
        <v>250</v>
      </c>
      <c r="AJ458" s="204" t="s">
        <v>408</v>
      </c>
      <c r="AK458" s="204" t="s">
        <v>425</v>
      </c>
      <c r="AL458" s="204" t="s">
        <v>2175</v>
      </c>
      <c r="AM458" s="190"/>
      <c r="AN458" s="191" t="s">
        <v>643</v>
      </c>
      <c r="AO458" s="190" t="s">
        <v>572</v>
      </c>
      <c r="AP458" s="190">
        <v>53851</v>
      </c>
      <c r="AQ458" s="190" t="str">
        <f>CONCATENATE(AN458,AO458,AP458)</f>
        <v>210-53851</v>
      </c>
      <c r="AR458" s="190" t="s">
        <v>860</v>
      </c>
      <c r="AS458" s="190"/>
      <c r="AT458" s="190"/>
      <c r="AU458" s="190"/>
      <c r="AV458" s="190"/>
      <c r="AW458" s="190"/>
      <c r="AX458" s="279" t="str">
        <f t="shared" si="174"/>
        <v/>
      </c>
    </row>
    <row r="459" spans="1:50" ht="15.75" thickBot="1" x14ac:dyDescent="0.3">
      <c r="A459" s="190" t="str">
        <f t="shared" si="178"/>
        <v>A50</v>
      </c>
      <c r="B459" s="279" t="str">
        <f t="shared" si="177"/>
        <v>210-53565</v>
      </c>
      <c r="C459" s="279"/>
      <c r="D459" s="279"/>
      <c r="E459" s="279">
        <f t="shared" si="186"/>
        <v>1</v>
      </c>
      <c r="F459" s="190" t="s">
        <v>535</v>
      </c>
      <c r="G459" s="198">
        <v>44673</v>
      </c>
      <c r="H459" s="209"/>
      <c r="I459" s="205"/>
      <c r="J459" s="205" t="s">
        <v>402</v>
      </c>
      <c r="K459" s="205" t="s">
        <v>2767</v>
      </c>
      <c r="L459" s="205" t="s">
        <v>859</v>
      </c>
      <c r="M459" s="200" t="s">
        <v>558</v>
      </c>
      <c r="N459" s="200">
        <v>40</v>
      </c>
      <c r="O459" s="230" t="s">
        <v>952</v>
      </c>
      <c r="P459" s="230" t="s">
        <v>1204</v>
      </c>
      <c r="Q459" s="231" t="str">
        <f t="shared" si="187"/>
        <v>A50. Seatbelt Retractor, FRONT - LEFT</v>
      </c>
      <c r="R459" s="284" t="str">
        <f>HYPERLINK(VLOOKUP(O459,'3D. Pictures'!$B$3:$E$500,4,FALSE),"PIC")</f>
        <v>PIC</v>
      </c>
      <c r="S459" s="373" t="str">
        <f t="shared" si="170"/>
        <v>E.G.</v>
      </c>
      <c r="T459" s="377" t="str">
        <f>IF(O459&lt;&gt;"",_xlfn.XLOOKUP(O459,'3D. Pictures'!B:B,'3D. Pictures'!E:E,"NOT FOUND",0,1),"")</f>
        <v>https://viking-pictures.s3.us-west-1.amazonaws.com/AA1155/A50.+Seatbelt+Retractor%2C+FRONT+-+LEFT+(1).JPG</v>
      </c>
      <c r="U459" s="200">
        <v>4</v>
      </c>
      <c r="V459" s="201" t="s">
        <v>2159</v>
      </c>
      <c r="W459" s="200" t="s">
        <v>111</v>
      </c>
      <c r="X459" s="201"/>
      <c r="Y459" s="201"/>
      <c r="Z459" s="192" t="s">
        <v>2078</v>
      </c>
      <c r="AA459" s="205" t="s">
        <v>1244</v>
      </c>
      <c r="AB459" s="205" t="s">
        <v>1244</v>
      </c>
      <c r="AC459" s="358" t="str">
        <f t="shared" si="188"/>
        <v>remove from &amp; toss pillar</v>
      </c>
      <c r="AD459" s="205" t="s">
        <v>858</v>
      </c>
      <c r="AE459" s="205"/>
      <c r="AF459" s="201" t="s">
        <v>543</v>
      </c>
      <c r="AG459" s="205"/>
      <c r="AH459" s="16">
        <v>250</v>
      </c>
      <c r="AI459" s="380">
        <f t="shared" si="171"/>
        <v>250</v>
      </c>
      <c r="AJ459" s="204" t="s">
        <v>408</v>
      </c>
      <c r="AK459" s="204" t="s">
        <v>425</v>
      </c>
      <c r="AL459" s="204" t="s">
        <v>2175</v>
      </c>
      <c r="AM459" s="190"/>
      <c r="AN459" s="191" t="s">
        <v>643</v>
      </c>
      <c r="AO459" s="190" t="s">
        <v>572</v>
      </c>
      <c r="AP459" s="190">
        <v>53565</v>
      </c>
      <c r="AQ459" s="190" t="str">
        <f>CONCATENATE(AN459,AO459,AP459)</f>
        <v>210-53565</v>
      </c>
      <c r="AR459" s="190" t="s">
        <v>861</v>
      </c>
      <c r="AS459" s="190"/>
      <c r="AT459" s="190"/>
      <c r="AU459" s="190"/>
      <c r="AV459" s="190"/>
      <c r="AW459" s="190"/>
      <c r="AX459" s="279" t="str">
        <f t="shared" si="174"/>
        <v/>
      </c>
    </row>
    <row r="460" spans="1:50" ht="15.75" thickBot="1" x14ac:dyDescent="0.3">
      <c r="A460" s="190" t="str">
        <f t="shared" si="178"/>
        <v>A70</v>
      </c>
      <c r="B460" s="279" t="str">
        <f t="shared" si="177"/>
        <v/>
      </c>
      <c r="C460" s="279"/>
      <c r="D460" s="279"/>
      <c r="E460" s="279" t="str">
        <f t="shared" si="186"/>
        <v/>
      </c>
      <c r="F460" s="241" t="s">
        <v>535</v>
      </c>
      <c r="G460" s="242">
        <v>44673</v>
      </c>
      <c r="H460" s="264"/>
      <c r="I460" s="243"/>
      <c r="J460" s="243" t="s">
        <v>402</v>
      </c>
      <c r="K460" s="243" t="s">
        <v>2768</v>
      </c>
      <c r="L460" s="243" t="s">
        <v>863</v>
      </c>
      <c r="M460" s="243" t="s">
        <v>559</v>
      </c>
      <c r="N460" s="243">
        <v>60</v>
      </c>
      <c r="O460" s="244" t="s">
        <v>972</v>
      </c>
      <c r="P460" s="244" t="s">
        <v>1204</v>
      </c>
      <c r="Q460" s="231" t="str">
        <f t="shared" si="187"/>
        <v>A70. Seatbelt, Buckles REAR 2ND ROW - SET 3</v>
      </c>
      <c r="R460" s="284" t="str">
        <f>HYPERLINK(VLOOKUP(O460,'3D. Pictures'!$B$3:$E$500,4,FALSE),"PIC")</f>
        <v>PIC</v>
      </c>
      <c r="S460" s="373" t="str">
        <f t="shared" ref="S460:S523" si="189">IF(T460&lt;&gt;"",HYPERLINK(T460,"E.G."),"")</f>
        <v>E.G.</v>
      </c>
      <c r="T460" s="377" t="str">
        <f>IF(O460&lt;&gt;"",_xlfn.XLOOKUP(O460,'3D. Pictures'!B:B,'3D. Pictures'!E:E,"NOT FOUND",0,1),"")</f>
        <v>https://viking-pictures.s3.us-west-1.amazonaws.com/AA1155/A70.+Seatbelt%2C+Buckles+REAR+2ND+ROW+-+SET+3+(1).JPG</v>
      </c>
      <c r="U460" s="243">
        <v>3</v>
      </c>
      <c r="V460" s="243" t="s">
        <v>2162</v>
      </c>
      <c r="W460" s="243" t="s">
        <v>111</v>
      </c>
      <c r="X460" s="243"/>
      <c r="Y460" s="201"/>
      <c r="Z460" s="243"/>
      <c r="AA460" s="243" t="s">
        <v>2147</v>
      </c>
      <c r="AB460" s="243" t="s">
        <v>2147</v>
      </c>
      <c r="AC460" s="358" t="str">
        <f t="shared" si="188"/>
        <v/>
      </c>
      <c r="AD460" s="243"/>
      <c r="AE460" s="243"/>
      <c r="AF460" s="179" t="s">
        <v>548</v>
      </c>
      <c r="AG460" s="243"/>
      <c r="AH460" s="16">
        <v>80</v>
      </c>
      <c r="AI460" s="380">
        <f t="shared" si="171"/>
        <v>80</v>
      </c>
      <c r="AJ460" s="246" t="s">
        <v>408</v>
      </c>
      <c r="AK460" s="246" t="s">
        <v>425</v>
      </c>
      <c r="AL460" s="246" t="s">
        <v>2175</v>
      </c>
      <c r="AM460" s="241"/>
      <c r="AN460" s="241"/>
      <c r="AO460" s="241"/>
      <c r="AP460" s="241"/>
      <c r="AQ460" s="241"/>
      <c r="AR460" s="241"/>
      <c r="AS460" s="241" t="s">
        <v>1028</v>
      </c>
      <c r="AT460" s="241" t="s">
        <v>1029</v>
      </c>
      <c r="AU460" s="241" t="s">
        <v>1030</v>
      </c>
      <c r="AV460" s="303" t="str">
        <f t="shared" ref="AV460:AV461" si="190">CONCATENATE(AS460,"-",AT460,"-",AU460)</f>
        <v>F15-14-18-ALL</v>
      </c>
      <c r="AW460" s="241" t="s">
        <v>2410</v>
      </c>
      <c r="AX460" s="279" t="str">
        <f t="shared" si="174"/>
        <v>F15-14-18-ALL-Viking44</v>
      </c>
    </row>
    <row r="461" spans="1:50" ht="15.75" thickBot="1" x14ac:dyDescent="0.3">
      <c r="A461" s="190" t="str">
        <f t="shared" si="178"/>
        <v>A68</v>
      </c>
      <c r="B461" s="279" t="str">
        <f t="shared" si="177"/>
        <v/>
      </c>
      <c r="C461" s="279"/>
      <c r="D461" s="279"/>
      <c r="E461" s="279" t="str">
        <f t="shared" si="186"/>
        <v/>
      </c>
      <c r="F461" s="241" t="s">
        <v>535</v>
      </c>
      <c r="G461" s="242">
        <v>44673</v>
      </c>
      <c r="H461" s="264"/>
      <c r="I461" s="243"/>
      <c r="J461" s="243" t="s">
        <v>402</v>
      </c>
      <c r="K461" s="243" t="s">
        <v>2768</v>
      </c>
      <c r="L461" s="243" t="s">
        <v>859</v>
      </c>
      <c r="M461" s="243" t="s">
        <v>559</v>
      </c>
      <c r="N461" s="243">
        <v>58</v>
      </c>
      <c r="O461" s="244" t="s">
        <v>970</v>
      </c>
      <c r="P461" s="244" t="s">
        <v>1204</v>
      </c>
      <c r="Q461" s="231" t="str">
        <f t="shared" si="187"/>
        <v>A68. Seatbelt, Retractors REAR 2nd ROW - LEFT &amp; RIGHT SET 2</v>
      </c>
      <c r="R461" s="284" t="str">
        <f>HYPERLINK(VLOOKUP(O461,'3D. Pictures'!$B$3:$E$500,4,FALSE),"PIC")</f>
        <v>PIC</v>
      </c>
      <c r="S461" s="373" t="str">
        <f t="shared" si="189"/>
        <v>E.G.</v>
      </c>
      <c r="T461" s="377" t="str">
        <f>IF(O461&lt;&gt;"",_xlfn.XLOOKUP(O461,'3D. Pictures'!B:B,'3D. Pictures'!E:E,"NOT FOUND",0,1),"")</f>
        <v>https://viking-pictures.s3.us-west-1.amazonaws.com/AA1155/A68.+Seatbelt%2C+Retractors+REAR+2nd+ROW+-+LEFT+%26+RIGHT+SET+2+(1).JPG</v>
      </c>
      <c r="U461" s="243">
        <v>3</v>
      </c>
      <c r="V461" s="243" t="s">
        <v>2161</v>
      </c>
      <c r="W461" s="243" t="s">
        <v>111</v>
      </c>
      <c r="X461" s="243"/>
      <c r="Y461" s="201"/>
      <c r="Z461" s="192" t="s">
        <v>2078</v>
      </c>
      <c r="AA461" s="243" t="s">
        <v>2501</v>
      </c>
      <c r="AB461" s="243" t="s">
        <v>2501</v>
      </c>
      <c r="AC461" s="358" t="str">
        <f t="shared" si="188"/>
        <v>skip middle (it has to be cut out)</v>
      </c>
      <c r="AD461" s="243" t="s">
        <v>1248</v>
      </c>
      <c r="AE461" s="243"/>
      <c r="AF461" s="179" t="s">
        <v>544</v>
      </c>
      <c r="AG461" s="243"/>
      <c r="AH461" s="16">
        <v>100</v>
      </c>
      <c r="AI461" s="380">
        <f t="shared" ref="AI461:AI524" si="191">IF(ISTEXT(AH461), AH461, IFERROR(AVERAGEIF(AA:AA, AA461, AH:AH), ""))</f>
        <v>100</v>
      </c>
      <c r="AJ461" s="246" t="s">
        <v>408</v>
      </c>
      <c r="AK461" s="246" t="s">
        <v>425</v>
      </c>
      <c r="AL461" s="246" t="s">
        <v>2175</v>
      </c>
      <c r="AM461" s="241"/>
      <c r="AN461" s="241"/>
      <c r="AO461" s="241"/>
      <c r="AP461" s="241"/>
      <c r="AQ461" s="241"/>
      <c r="AR461" s="241"/>
      <c r="AS461" s="241" t="s">
        <v>1028</v>
      </c>
      <c r="AT461" s="241" t="s">
        <v>1029</v>
      </c>
      <c r="AU461" s="241" t="s">
        <v>1030</v>
      </c>
      <c r="AV461" s="303" t="str">
        <f t="shared" si="190"/>
        <v>F15-14-18-ALL</v>
      </c>
      <c r="AW461" s="241" t="s">
        <v>2411</v>
      </c>
      <c r="AX461" s="279" t="str">
        <f t="shared" si="174"/>
        <v>F15-14-18-ALL-Viking45</v>
      </c>
    </row>
    <row r="462" spans="1:50" ht="15.75" thickBot="1" x14ac:dyDescent="0.3">
      <c r="A462" s="190" t="str">
        <f t="shared" si="178"/>
        <v>A60</v>
      </c>
      <c r="B462" s="279" t="str">
        <f t="shared" si="177"/>
        <v>210-53562</v>
      </c>
      <c r="C462" s="279" t="s">
        <v>2126</v>
      </c>
      <c r="D462" s="279"/>
      <c r="E462" s="279">
        <f t="shared" si="186"/>
        <v>2</v>
      </c>
      <c r="F462" s="190" t="s">
        <v>535</v>
      </c>
      <c r="G462" s="198">
        <v>44673</v>
      </c>
      <c r="H462" s="209"/>
      <c r="I462" s="205"/>
      <c r="J462" s="205" t="s">
        <v>402</v>
      </c>
      <c r="K462" s="205" t="s">
        <v>2769</v>
      </c>
      <c r="L462" s="205" t="s">
        <v>863</v>
      </c>
      <c r="M462" s="200" t="s">
        <v>558</v>
      </c>
      <c r="N462" s="200">
        <v>50</v>
      </c>
      <c r="O462" s="230" t="s">
        <v>962</v>
      </c>
      <c r="P462" s="230" t="s">
        <v>1204</v>
      </c>
      <c r="Q462" s="231" t="str">
        <f t="shared" si="187"/>
        <v>A60. Seatbelt Buckle, FRONT - RIGHT</v>
      </c>
      <c r="R462" s="284" t="str">
        <f>HYPERLINK(VLOOKUP(O462,'3D. Pictures'!$B$3:$E$500,4,FALSE),"PIC")</f>
        <v>PIC</v>
      </c>
      <c r="S462" s="373" t="str">
        <f t="shared" si="189"/>
        <v>E.G.</v>
      </c>
      <c r="T462" s="377" t="str">
        <f>IF(O462&lt;&gt;"",_xlfn.XLOOKUP(O462,'3D. Pictures'!B:B,'3D. Pictures'!E:E,"NOT FOUND",0,1),"")</f>
        <v>https://viking-pictures.s3.us-west-1.amazonaws.com/AA1155/A60.+Seatbelt+Buckle%2C+FRONT+-+RIGHT+(1).JPG</v>
      </c>
      <c r="U462" s="200">
        <v>4</v>
      </c>
      <c r="V462" s="201" t="s">
        <v>1240</v>
      </c>
      <c r="W462" s="200" t="s">
        <v>111</v>
      </c>
      <c r="X462" s="201"/>
      <c r="Y462" s="168"/>
      <c r="Z462" s="201"/>
      <c r="AA462" s="205" t="s">
        <v>1246</v>
      </c>
      <c r="AB462" s="205" t="s">
        <v>1246</v>
      </c>
      <c r="AC462" s="358" t="str">
        <f t="shared" si="188"/>
        <v/>
      </c>
      <c r="AD462" s="205"/>
      <c r="AE462" s="205"/>
      <c r="AF462" s="201" t="s">
        <v>543</v>
      </c>
      <c r="AG462" s="205" t="s">
        <v>862</v>
      </c>
      <c r="AH462" s="18">
        <v>80</v>
      </c>
      <c r="AI462" s="380">
        <f t="shared" si="191"/>
        <v>80</v>
      </c>
      <c r="AJ462" s="204" t="s">
        <v>408</v>
      </c>
      <c r="AK462" s="204" t="s">
        <v>425</v>
      </c>
      <c r="AL462" s="204" t="s">
        <v>2175</v>
      </c>
      <c r="AM462" s="190"/>
      <c r="AN462" s="191" t="s">
        <v>643</v>
      </c>
      <c r="AO462" s="190" t="s">
        <v>572</v>
      </c>
      <c r="AP462" s="190">
        <v>53562</v>
      </c>
      <c r="AQ462" s="190" t="str">
        <f>CONCATENATE(AN462,AO462,AP462)</f>
        <v>210-53562</v>
      </c>
      <c r="AR462" s="190"/>
      <c r="AS462" s="190"/>
      <c r="AT462" s="190"/>
      <c r="AU462" s="190"/>
      <c r="AV462" s="190"/>
      <c r="AW462" s="190"/>
      <c r="AX462" s="279" t="str">
        <f t="shared" si="174"/>
        <v/>
      </c>
    </row>
    <row r="463" spans="1:50" ht="15.75" thickBot="1" x14ac:dyDescent="0.3">
      <c r="A463" s="190" t="str">
        <f t="shared" si="178"/>
        <v/>
      </c>
      <c r="B463" s="279" t="str">
        <f t="shared" si="177"/>
        <v>210-53852</v>
      </c>
      <c r="C463" s="279"/>
      <c r="D463" s="279"/>
      <c r="E463" s="279">
        <f t="shared" si="186"/>
        <v>1</v>
      </c>
      <c r="F463" s="190" t="s">
        <v>535</v>
      </c>
      <c r="G463" s="198">
        <v>44673</v>
      </c>
      <c r="H463" s="209"/>
      <c r="I463" s="205"/>
      <c r="J463" s="205" t="s">
        <v>402</v>
      </c>
      <c r="K463" s="205" t="s">
        <v>2769</v>
      </c>
      <c r="L463" s="205" t="s">
        <v>859</v>
      </c>
      <c r="M463" s="200" t="s">
        <v>558</v>
      </c>
      <c r="N463" s="200"/>
      <c r="O463" s="230"/>
      <c r="P463" s="230"/>
      <c r="Q463" s="231" t="str">
        <f t="shared" si="187"/>
        <v>. Seatbelt Retractor, FRONT - RIGHT</v>
      </c>
      <c r="R463" s="231"/>
      <c r="S463" s="231" t="str">
        <f t="shared" si="189"/>
        <v/>
      </c>
      <c r="T463" s="231" t="str">
        <f>IF(O463&lt;&gt;"",_xlfn.XLOOKUP(O463,'3D. Pictures'!B:B,'3D. Pictures'!E:E,"NOT FOUND",0,1),"")</f>
        <v/>
      </c>
      <c r="U463" s="200"/>
      <c r="V463" s="201"/>
      <c r="W463" s="200"/>
      <c r="X463" s="201"/>
      <c r="Y463" s="243"/>
      <c r="Z463" s="192" t="s">
        <v>2077</v>
      </c>
      <c r="AA463" s="205" t="s">
        <v>1243</v>
      </c>
      <c r="AB463" s="205" t="s">
        <v>1243</v>
      </c>
      <c r="AC463" s="358" t="str">
        <f t="shared" si="188"/>
        <v>remove from &amp; toss pillar</v>
      </c>
      <c r="AD463" s="205" t="s">
        <v>858</v>
      </c>
      <c r="AE463" s="205"/>
      <c r="AF463" s="201" t="s">
        <v>543</v>
      </c>
      <c r="AG463" s="205"/>
      <c r="AH463" s="16">
        <v>200</v>
      </c>
      <c r="AI463" s="380">
        <f t="shared" si="191"/>
        <v>200</v>
      </c>
      <c r="AJ463" s="204" t="s">
        <v>408</v>
      </c>
      <c r="AK463" s="204" t="s">
        <v>425</v>
      </c>
      <c r="AL463" s="204" t="s">
        <v>2175</v>
      </c>
      <c r="AM463" s="190"/>
      <c r="AN463" s="191" t="s">
        <v>643</v>
      </c>
      <c r="AO463" s="190" t="s">
        <v>572</v>
      </c>
      <c r="AP463" s="190">
        <v>53852</v>
      </c>
      <c r="AQ463" s="190" t="str">
        <f>CONCATENATE(AN463,AO463,AP463)</f>
        <v>210-53852</v>
      </c>
      <c r="AR463" s="190" t="s">
        <v>860</v>
      </c>
      <c r="AS463" s="190"/>
      <c r="AT463" s="190"/>
      <c r="AU463" s="190"/>
      <c r="AV463" s="190"/>
      <c r="AW463" s="190"/>
      <c r="AX463" s="279" t="str">
        <f t="shared" si="174"/>
        <v/>
      </c>
    </row>
    <row r="464" spans="1:50" ht="15.75" thickBot="1" x14ac:dyDescent="0.3">
      <c r="A464" s="190" t="str">
        <f t="shared" si="178"/>
        <v>A63</v>
      </c>
      <c r="B464" s="279" t="str">
        <f t="shared" si="177"/>
        <v>210-53566</v>
      </c>
      <c r="C464" s="279"/>
      <c r="D464" s="279"/>
      <c r="E464" s="279">
        <f t="shared" si="186"/>
        <v>1</v>
      </c>
      <c r="F464" s="190" t="s">
        <v>535</v>
      </c>
      <c r="G464" s="198">
        <v>44673</v>
      </c>
      <c r="H464" s="209"/>
      <c r="I464" s="205"/>
      <c r="J464" s="205" t="s">
        <v>402</v>
      </c>
      <c r="K464" s="205" t="s">
        <v>2769</v>
      </c>
      <c r="L464" s="205" t="s">
        <v>859</v>
      </c>
      <c r="M464" s="200" t="s">
        <v>558</v>
      </c>
      <c r="N464" s="200">
        <v>53</v>
      </c>
      <c r="O464" s="230" t="s">
        <v>965</v>
      </c>
      <c r="P464" s="230" t="s">
        <v>1204</v>
      </c>
      <c r="Q464" s="231" t="str">
        <f t="shared" si="187"/>
        <v>A63. Seatbelt Retractor, FRONT - RIGHT</v>
      </c>
      <c r="R464" s="284" t="str">
        <f>HYPERLINK(VLOOKUP(O464,'3D. Pictures'!$B$3:$E$500,4,FALSE),"PIC")</f>
        <v>PIC</v>
      </c>
      <c r="S464" s="373" t="str">
        <f t="shared" si="189"/>
        <v>E.G.</v>
      </c>
      <c r="T464" s="377" t="str">
        <f>IF(O464&lt;&gt;"",_xlfn.XLOOKUP(O464,'3D. Pictures'!B:B,'3D. Pictures'!E:E,"NOT FOUND",0,1),"")</f>
        <v>https://viking-pictures.s3.us-west-1.amazonaws.com/AA1155/A63.+Seatbelt+Retractor%2C+FRONT+-+RIGHT+(1).JPG</v>
      </c>
      <c r="U464" s="200">
        <v>4</v>
      </c>
      <c r="V464" s="201" t="s">
        <v>2160</v>
      </c>
      <c r="W464" s="200" t="s">
        <v>111</v>
      </c>
      <c r="X464" s="272"/>
      <c r="Y464" s="243"/>
      <c r="Z464" s="192" t="s">
        <v>2078</v>
      </c>
      <c r="AA464" s="205" t="s">
        <v>1243</v>
      </c>
      <c r="AB464" s="205" t="s">
        <v>1243</v>
      </c>
      <c r="AC464" s="358" t="str">
        <f t="shared" si="188"/>
        <v>remove from &amp; toss pillar</v>
      </c>
      <c r="AD464" s="205" t="s">
        <v>858</v>
      </c>
      <c r="AE464" s="205"/>
      <c r="AF464" s="201" t="s">
        <v>543</v>
      </c>
      <c r="AG464" s="205"/>
      <c r="AH464" s="16">
        <v>200</v>
      </c>
      <c r="AI464" s="380">
        <f t="shared" si="191"/>
        <v>200</v>
      </c>
      <c r="AJ464" s="204" t="s">
        <v>408</v>
      </c>
      <c r="AK464" s="204" t="s">
        <v>425</v>
      </c>
      <c r="AL464" s="204" t="s">
        <v>2175</v>
      </c>
      <c r="AM464" s="190"/>
      <c r="AN464" s="191" t="s">
        <v>643</v>
      </c>
      <c r="AO464" s="190" t="s">
        <v>572</v>
      </c>
      <c r="AP464" s="190">
        <v>53566</v>
      </c>
      <c r="AQ464" s="190" t="str">
        <f>CONCATENATE(AN464,AO464,AP464)</f>
        <v>210-53566</v>
      </c>
      <c r="AR464" s="190" t="s">
        <v>861</v>
      </c>
      <c r="AS464" s="190"/>
      <c r="AT464" s="190"/>
      <c r="AU464" s="190"/>
      <c r="AV464" s="190"/>
      <c r="AW464" s="190"/>
      <c r="AX464" s="279" t="str">
        <f t="shared" si="174"/>
        <v/>
      </c>
    </row>
    <row r="465" spans="1:50" ht="15.75" thickBot="1" x14ac:dyDescent="0.3">
      <c r="A465" s="190" t="str">
        <f t="shared" si="178"/>
        <v>A82</v>
      </c>
      <c r="B465" s="279" t="str">
        <f t="shared" si="177"/>
        <v/>
      </c>
      <c r="C465" s="279"/>
      <c r="D465" s="279"/>
      <c r="E465" s="279" t="str">
        <f t="shared" si="186"/>
        <v/>
      </c>
      <c r="F465" s="241" t="s">
        <v>535</v>
      </c>
      <c r="G465" s="242">
        <v>44673</v>
      </c>
      <c r="H465" s="265"/>
      <c r="I465" s="249" t="s">
        <v>7</v>
      </c>
      <c r="J465" s="179" t="s">
        <v>402</v>
      </c>
      <c r="K465" s="179" t="s">
        <v>2762</v>
      </c>
      <c r="L465" s="179" t="s">
        <v>1274</v>
      </c>
      <c r="M465" s="243" t="s">
        <v>559</v>
      </c>
      <c r="N465" s="243">
        <v>72</v>
      </c>
      <c r="O465" s="244" t="s">
        <v>984</v>
      </c>
      <c r="P465" s="244" t="s">
        <v>1280</v>
      </c>
      <c r="Q465" s="231" t="str">
        <f t="shared" si="187"/>
        <v>A82. Headrest, FRONT - LEFT (ACTIVE)</v>
      </c>
      <c r="R465" s="284" t="str">
        <f>HYPERLINK(VLOOKUP(O465,'3D. Pictures'!$B$3:$E$500,4,FALSE),"PIC")</f>
        <v>PIC</v>
      </c>
      <c r="S465" s="373" t="str">
        <f t="shared" si="189"/>
        <v>E.G.</v>
      </c>
      <c r="T465" s="377" t="str">
        <f>IF(O465&lt;&gt;"",_xlfn.XLOOKUP(O465,'3D. Pictures'!B:B,'3D. Pictures'!E:E,"NOT FOUND",0,1),"")</f>
        <v>https://viking-pictures.s3.us-west-1.amazonaws.com/AA1155/A82.+Headrest%2C+FRONT+-+LEFT+(ACTIVE)+(1).JPG</v>
      </c>
      <c r="U465" s="243">
        <v>6</v>
      </c>
      <c r="V465" s="243" t="s">
        <v>1205</v>
      </c>
      <c r="W465" s="243" t="s">
        <v>111</v>
      </c>
      <c r="X465" s="243"/>
      <c r="Y465" s="243"/>
      <c r="Z465" s="243"/>
      <c r="AA465" s="179" t="s">
        <v>2837</v>
      </c>
      <c r="AB465" s="179" t="s">
        <v>2143</v>
      </c>
      <c r="AC465" s="247" t="str">
        <f t="shared" si="188"/>
        <v>tag as SINGLE</v>
      </c>
      <c r="AD465" s="179" t="s">
        <v>2320</v>
      </c>
      <c r="AE465" s="179"/>
      <c r="AF465" s="179" t="s">
        <v>543</v>
      </c>
      <c r="AG465" s="179"/>
      <c r="AH465" s="168">
        <v>175</v>
      </c>
      <c r="AI465" s="380">
        <f t="shared" si="191"/>
        <v>155</v>
      </c>
      <c r="AJ465" s="246" t="s">
        <v>408</v>
      </c>
      <c r="AK465" s="246" t="s">
        <v>425</v>
      </c>
      <c r="AL465" s="246" t="s">
        <v>2175</v>
      </c>
      <c r="AM465" s="241"/>
      <c r="AN465" s="241"/>
      <c r="AO465" s="241"/>
      <c r="AP465" s="241"/>
      <c r="AQ465" s="241"/>
      <c r="AR465" s="241"/>
      <c r="AS465" s="241" t="s">
        <v>1028</v>
      </c>
      <c r="AT465" s="241" t="s">
        <v>1029</v>
      </c>
      <c r="AU465" s="241" t="s">
        <v>1030</v>
      </c>
      <c r="AV465" s="303" t="str">
        <f t="shared" ref="AV465:AV475" si="192">CONCATENATE(AS465,"-",AT465,"-",AU465)</f>
        <v>F15-14-18-ALL</v>
      </c>
      <c r="AW465" s="241" t="s">
        <v>2412</v>
      </c>
      <c r="AX465" s="279" t="str">
        <f t="shared" si="174"/>
        <v>F15-14-18-ALL-Viking46</v>
      </c>
    </row>
    <row r="466" spans="1:50" ht="15.75" thickBot="1" x14ac:dyDescent="0.3">
      <c r="A466" s="190" t="str">
        <f t="shared" si="178"/>
        <v/>
      </c>
      <c r="B466" s="279" t="str">
        <f t="shared" ref="B466" si="193">IF(AQ466&lt;&gt;"",AQ466,"")</f>
        <v/>
      </c>
      <c r="C466" s="279"/>
      <c r="D466" s="279"/>
      <c r="E466" s="279" t="str">
        <f t="shared" si="186"/>
        <v/>
      </c>
      <c r="F466" s="241" t="s">
        <v>535</v>
      </c>
      <c r="G466" s="242">
        <v>44673</v>
      </c>
      <c r="H466" s="265"/>
      <c r="I466" s="249" t="s">
        <v>7</v>
      </c>
      <c r="J466" s="179" t="s">
        <v>402</v>
      </c>
      <c r="K466" s="179" t="s">
        <v>2762</v>
      </c>
      <c r="L466" s="179" t="s">
        <v>1274</v>
      </c>
      <c r="M466" s="243" t="s">
        <v>559</v>
      </c>
      <c r="N466" s="243"/>
      <c r="O466" s="244"/>
      <c r="P466" s="244"/>
      <c r="Q466" s="231"/>
      <c r="R466" s="244"/>
      <c r="S466" s="244" t="str">
        <f t="shared" si="189"/>
        <v/>
      </c>
      <c r="T466" s="244" t="str">
        <f>IF(O466&lt;&gt;"",_xlfn.XLOOKUP(O466,'3D. Pictures'!B:B,'3D. Pictures'!E:E,"NOT FOUND",0,1),"")</f>
        <v/>
      </c>
      <c r="U466" s="243"/>
      <c r="V466" s="243"/>
      <c r="W466" s="243"/>
      <c r="X466" s="243"/>
      <c r="Y466" s="201"/>
      <c r="Z466" s="243"/>
      <c r="AA466" s="179" t="s">
        <v>2837</v>
      </c>
      <c r="AB466" s="179" t="s">
        <v>2144</v>
      </c>
      <c r="AC466" s="247" t="str">
        <f t="shared" si="188"/>
        <v>tag as SINGLE</v>
      </c>
      <c r="AD466" s="179" t="s">
        <v>2320</v>
      </c>
      <c r="AE466" s="179"/>
      <c r="AF466" s="179" t="s">
        <v>543</v>
      </c>
      <c r="AG466" s="179"/>
      <c r="AH466" s="168">
        <v>135</v>
      </c>
      <c r="AI466" s="380">
        <f t="shared" si="191"/>
        <v>155</v>
      </c>
      <c r="AJ466" s="246" t="s">
        <v>408</v>
      </c>
      <c r="AK466" s="246" t="s">
        <v>425</v>
      </c>
      <c r="AL466" s="246" t="s">
        <v>2175</v>
      </c>
      <c r="AM466" s="241"/>
      <c r="AN466" s="241"/>
      <c r="AO466" s="241"/>
      <c r="AP466" s="241"/>
      <c r="AQ466" s="241"/>
      <c r="AR466" s="241"/>
      <c r="AS466" s="241" t="s">
        <v>1028</v>
      </c>
      <c r="AT466" s="241" t="s">
        <v>1029</v>
      </c>
      <c r="AU466" s="241" t="s">
        <v>1030</v>
      </c>
      <c r="AV466" s="303" t="str">
        <f t="shared" si="192"/>
        <v>F15-14-18-ALL</v>
      </c>
      <c r="AW466" s="241" t="s">
        <v>2413</v>
      </c>
      <c r="AX466" s="279" t="str">
        <f t="shared" si="174"/>
        <v>F15-14-18-ALL-Viking47</v>
      </c>
    </row>
    <row r="467" spans="1:50" ht="15.75" thickBot="1" x14ac:dyDescent="0.3">
      <c r="A467" s="190" t="str">
        <f t="shared" si="178"/>
        <v>A57</v>
      </c>
      <c r="B467" s="279" t="str">
        <f t="shared" si="177"/>
        <v/>
      </c>
      <c r="C467" s="279"/>
      <c r="D467" s="279"/>
      <c r="E467" s="279" t="str">
        <f t="shared" si="186"/>
        <v/>
      </c>
      <c r="F467" s="241" t="s">
        <v>535</v>
      </c>
      <c r="G467" s="242">
        <v>44684</v>
      </c>
      <c r="H467" s="265"/>
      <c r="I467" s="249" t="s">
        <v>7</v>
      </c>
      <c r="J467" s="179" t="s">
        <v>402</v>
      </c>
      <c r="K467" s="179" t="s">
        <v>2762</v>
      </c>
      <c r="L467" s="179" t="s">
        <v>1222</v>
      </c>
      <c r="M467" s="243" t="s">
        <v>559</v>
      </c>
      <c r="N467" s="243">
        <v>47</v>
      </c>
      <c r="O467" s="244" t="s">
        <v>959</v>
      </c>
      <c r="P467" s="244" t="s">
        <v>1204</v>
      </c>
      <c r="Q467" s="231" t="str">
        <f t="shared" ref="Q467:Q477" si="194">CONCATENATE(O467,". ",AB467)</f>
        <v>A57. Seat Adjust Switch, FRONT - LEFT</v>
      </c>
      <c r="R467" s="284" t="str">
        <f>HYPERLINK(VLOOKUP(O467,'3D. Pictures'!$B$3:$E$500,4,FALSE),"PIC")</f>
        <v>PIC</v>
      </c>
      <c r="S467" s="373" t="str">
        <f t="shared" si="189"/>
        <v>E.G.</v>
      </c>
      <c r="T467" s="377" t="str">
        <f>IF(O467&lt;&gt;"",_xlfn.XLOOKUP(O467,'3D. Pictures'!B:B,'3D. Pictures'!E:E,"NOT FOUND",0,1),"")</f>
        <v>https://viking-pictures.s3.us-west-1.amazonaws.com/AA1155/A57.+Seat+Adjust+Switch%2C+FRONT+-+LEFT+(1).JPG</v>
      </c>
      <c r="U467" s="243">
        <v>4</v>
      </c>
      <c r="V467" s="243">
        <v>9347403</v>
      </c>
      <c r="W467" s="243" t="s">
        <v>111</v>
      </c>
      <c r="X467" s="243"/>
      <c r="Y467" s="201"/>
      <c r="Z467" s="192" t="s">
        <v>2078</v>
      </c>
      <c r="AA467" s="179" t="s">
        <v>1221</v>
      </c>
      <c r="AB467" s="179" t="s">
        <v>1221</v>
      </c>
      <c r="AC467" s="247" t="str">
        <f t="shared" si="188"/>
        <v/>
      </c>
      <c r="AD467" s="179"/>
      <c r="AE467" s="179"/>
      <c r="AF467" s="179" t="s">
        <v>543</v>
      </c>
      <c r="AG467" s="179"/>
      <c r="AH467" s="168">
        <v>180</v>
      </c>
      <c r="AI467" s="380">
        <f t="shared" si="191"/>
        <v>180</v>
      </c>
      <c r="AJ467" s="246" t="s">
        <v>408</v>
      </c>
      <c r="AK467" s="246" t="s">
        <v>425</v>
      </c>
      <c r="AL467" s="246" t="s">
        <v>2175</v>
      </c>
      <c r="AM467" s="241"/>
      <c r="AN467" s="241"/>
      <c r="AO467" s="241"/>
      <c r="AP467" s="241"/>
      <c r="AQ467" s="241"/>
      <c r="AR467" s="241"/>
      <c r="AS467" s="241" t="s">
        <v>1028</v>
      </c>
      <c r="AT467" s="241" t="s">
        <v>1029</v>
      </c>
      <c r="AU467" s="241" t="s">
        <v>1030</v>
      </c>
      <c r="AV467" s="303" t="str">
        <f t="shared" si="192"/>
        <v>F15-14-18-ALL</v>
      </c>
      <c r="AW467" s="241" t="s">
        <v>2414</v>
      </c>
      <c r="AX467" s="279" t="str">
        <f t="shared" si="174"/>
        <v>F15-14-18-ALL-Viking48</v>
      </c>
    </row>
    <row r="468" spans="1:50" x14ac:dyDescent="0.25">
      <c r="A468" s="190" t="str">
        <f t="shared" si="178"/>
        <v/>
      </c>
      <c r="B468" s="279" t="str">
        <f t="shared" si="177"/>
        <v/>
      </c>
      <c r="C468" s="279"/>
      <c r="D468" s="279"/>
      <c r="E468" s="279" t="str">
        <f t="shared" si="186"/>
        <v/>
      </c>
      <c r="F468" s="241" t="s">
        <v>535</v>
      </c>
      <c r="G468" s="242">
        <v>44673</v>
      </c>
      <c r="H468" s="265"/>
      <c r="I468" s="249" t="s">
        <v>7</v>
      </c>
      <c r="J468" s="179" t="s">
        <v>402</v>
      </c>
      <c r="K468" s="179" t="s">
        <v>2762</v>
      </c>
      <c r="L468" s="179" t="s">
        <v>2704</v>
      </c>
      <c r="M468" s="243" t="s">
        <v>559</v>
      </c>
      <c r="N468" s="243"/>
      <c r="O468" s="244"/>
      <c r="P468" s="244"/>
      <c r="Q468" s="231" t="str">
        <f t="shared" si="194"/>
        <v>. Seat Cushions, FRONT LEFT - LOWER</v>
      </c>
      <c r="R468" s="244"/>
      <c r="S468" s="244" t="str">
        <f t="shared" si="189"/>
        <v/>
      </c>
      <c r="T468" s="244" t="str">
        <f>IF(O468&lt;&gt;"",_xlfn.XLOOKUP(O468,'3D. Pictures'!B:B,'3D. Pictures'!E:E,"NOT FOUND",0,1),"")</f>
        <v/>
      </c>
      <c r="U468" s="243"/>
      <c r="V468" s="243"/>
      <c r="W468" s="243"/>
      <c r="X468" s="243"/>
      <c r="Y468" s="201"/>
      <c r="Z468" s="243"/>
      <c r="AA468" s="179" t="s">
        <v>419</v>
      </c>
      <c r="AB468" s="179" t="s">
        <v>419</v>
      </c>
      <c r="AC468" s="247" t="str">
        <f t="shared" si="188"/>
        <v/>
      </c>
      <c r="AD468" s="179"/>
      <c r="AE468" s="179"/>
      <c r="AF468" s="179" t="s">
        <v>543</v>
      </c>
      <c r="AG468" s="179"/>
      <c r="AH468" s="168">
        <v>250</v>
      </c>
      <c r="AI468" s="380">
        <f t="shared" si="191"/>
        <v>250</v>
      </c>
      <c r="AJ468" s="246" t="s">
        <v>408</v>
      </c>
      <c r="AK468" s="246" t="s">
        <v>425</v>
      </c>
      <c r="AL468" s="246" t="s">
        <v>2175</v>
      </c>
      <c r="AM468" s="241"/>
      <c r="AN468" s="241"/>
      <c r="AO468" s="241"/>
      <c r="AP468" s="241"/>
      <c r="AQ468" s="241"/>
      <c r="AR468" s="241"/>
      <c r="AS468" s="241" t="s">
        <v>1028</v>
      </c>
      <c r="AT468" s="241" t="s">
        <v>1029</v>
      </c>
      <c r="AU468" s="241" t="s">
        <v>1030</v>
      </c>
      <c r="AV468" s="303" t="str">
        <f t="shared" si="192"/>
        <v>F15-14-18-ALL</v>
      </c>
      <c r="AW468" s="241" t="s">
        <v>2415</v>
      </c>
      <c r="AX468" s="279" t="str">
        <f t="shared" si="174"/>
        <v>F15-14-18-ALL-Viking49</v>
      </c>
    </row>
    <row r="469" spans="1:50" ht="15.75" thickBot="1" x14ac:dyDescent="0.3">
      <c r="A469" s="190" t="str">
        <f t="shared" si="178"/>
        <v/>
      </c>
      <c r="B469" s="279" t="str">
        <f t="shared" si="177"/>
        <v/>
      </c>
      <c r="C469" s="279"/>
      <c r="D469" s="279"/>
      <c r="E469" s="279" t="str">
        <f t="shared" si="186"/>
        <v/>
      </c>
      <c r="F469" s="241" t="s">
        <v>535</v>
      </c>
      <c r="G469" s="242">
        <v>44673</v>
      </c>
      <c r="H469" s="265"/>
      <c r="I469" s="249" t="s">
        <v>7</v>
      </c>
      <c r="J469" s="179" t="s">
        <v>402</v>
      </c>
      <c r="K469" s="179" t="s">
        <v>2762</v>
      </c>
      <c r="L469" s="179" t="s">
        <v>2704</v>
      </c>
      <c r="M469" s="243" t="s">
        <v>559</v>
      </c>
      <c r="N469" s="243"/>
      <c r="O469" s="244"/>
      <c r="P469" s="244"/>
      <c r="Q469" s="231" t="str">
        <f t="shared" si="194"/>
        <v>. Seat Cushions, FRONT LEFT - UPPER</v>
      </c>
      <c r="R469" s="244"/>
      <c r="S469" s="244" t="str">
        <f t="shared" si="189"/>
        <v/>
      </c>
      <c r="T469" s="244" t="str">
        <f>IF(O469&lt;&gt;"",_xlfn.XLOOKUP(O469,'3D. Pictures'!B:B,'3D. Pictures'!E:E,"NOT FOUND",0,1),"")</f>
        <v/>
      </c>
      <c r="U469" s="243"/>
      <c r="V469" s="243"/>
      <c r="W469" s="243"/>
      <c r="X469" s="243"/>
      <c r="Y469" s="168"/>
      <c r="Z469" s="243"/>
      <c r="AA469" s="179" t="s">
        <v>420</v>
      </c>
      <c r="AB469" s="179" t="s">
        <v>420</v>
      </c>
      <c r="AC469" s="247" t="str">
        <f t="shared" si="188"/>
        <v/>
      </c>
      <c r="AD469" s="179"/>
      <c r="AE469" s="179"/>
      <c r="AF469" s="179" t="s">
        <v>543</v>
      </c>
      <c r="AG469" s="179"/>
      <c r="AH469" s="168">
        <v>225</v>
      </c>
      <c r="AI469" s="380">
        <f t="shared" si="191"/>
        <v>225</v>
      </c>
      <c r="AJ469" s="246" t="s">
        <v>408</v>
      </c>
      <c r="AK469" s="246" t="s">
        <v>425</v>
      </c>
      <c r="AL469" s="246" t="s">
        <v>2175</v>
      </c>
      <c r="AM469" s="241"/>
      <c r="AN469" s="241"/>
      <c r="AO469" s="241"/>
      <c r="AP469" s="241"/>
      <c r="AQ469" s="241"/>
      <c r="AR469" s="241"/>
      <c r="AS469" s="241" t="s">
        <v>1028</v>
      </c>
      <c r="AT469" s="241" t="s">
        <v>1029</v>
      </c>
      <c r="AU469" s="241" t="s">
        <v>1030</v>
      </c>
      <c r="AV469" s="303" t="str">
        <f t="shared" si="192"/>
        <v>F15-14-18-ALL</v>
      </c>
      <c r="AW469" s="241" t="s">
        <v>2416</v>
      </c>
      <c r="AX469" s="279" t="str">
        <f t="shared" si="174"/>
        <v>F15-14-18-ALL-Viking50</v>
      </c>
    </row>
    <row r="470" spans="1:50" ht="15.75" thickBot="1" x14ac:dyDescent="0.3">
      <c r="A470" s="190" t="str">
        <f t="shared" si="178"/>
        <v>A106</v>
      </c>
      <c r="B470" s="279" t="str">
        <f t="shared" si="177"/>
        <v/>
      </c>
      <c r="C470" s="279"/>
      <c r="D470" s="279"/>
      <c r="E470" s="279" t="str">
        <f t="shared" si="186"/>
        <v/>
      </c>
      <c r="F470" s="241" t="s">
        <v>535</v>
      </c>
      <c r="G470" s="242">
        <v>44673</v>
      </c>
      <c r="H470" s="243"/>
      <c r="I470" s="243"/>
      <c r="J470" s="243" t="s">
        <v>402</v>
      </c>
      <c r="K470" s="179" t="s">
        <v>2762</v>
      </c>
      <c r="L470" s="243" t="s">
        <v>1337</v>
      </c>
      <c r="M470" s="249" t="s">
        <v>558</v>
      </c>
      <c r="N470" s="249">
        <v>96</v>
      </c>
      <c r="O470" s="253" t="s">
        <v>1008</v>
      </c>
      <c r="P470" s="253" t="s">
        <v>1300</v>
      </c>
      <c r="Q470" s="231" t="str">
        <f t="shared" si="194"/>
        <v>A106. Seat Track WITH Motors, FRONT LEFT</v>
      </c>
      <c r="R470" s="284" t="str">
        <f>HYPERLINK(VLOOKUP(O470,'3D. Pictures'!$B$3:$E$500,4,FALSE),"PIC")</f>
        <v>PIC</v>
      </c>
      <c r="S470" s="373" t="str">
        <f t="shared" si="189"/>
        <v>E.G.</v>
      </c>
      <c r="T470" s="377" t="str">
        <f>IF(O470&lt;&gt;"",_xlfn.XLOOKUP(O470,'3D. Pictures'!B:B,'3D. Pictures'!E:E,"NOT FOUND",0,1),"")</f>
        <v>https://viking-pictures.s3.us-west-1.amazonaws.com/AA1155/A106.+Seat+Track+WITH+Motors%2C+FRONT+LEFT+(1).JPG</v>
      </c>
      <c r="U470" s="249">
        <v>9</v>
      </c>
      <c r="V470" s="179" t="s">
        <v>1339</v>
      </c>
      <c r="W470" s="249" t="s">
        <v>112</v>
      </c>
      <c r="X470" s="179"/>
      <c r="Y470" s="168"/>
      <c r="Z470" s="179"/>
      <c r="AA470" s="243" t="s">
        <v>1338</v>
      </c>
      <c r="AB470" s="243" t="s">
        <v>1338</v>
      </c>
      <c r="AC470" s="358" t="str">
        <f t="shared" si="188"/>
        <v>toss all if motors or track bad</v>
      </c>
      <c r="AD470" s="243" t="s">
        <v>1334</v>
      </c>
      <c r="AE470" s="243"/>
      <c r="AF470" s="179" t="s">
        <v>543</v>
      </c>
      <c r="AG470" s="263"/>
      <c r="AH470" s="16">
        <v>325</v>
      </c>
      <c r="AI470" s="380">
        <f t="shared" si="191"/>
        <v>325</v>
      </c>
      <c r="AJ470" s="246" t="s">
        <v>408</v>
      </c>
      <c r="AK470" s="246" t="s">
        <v>425</v>
      </c>
      <c r="AL470" s="246" t="s">
        <v>2175</v>
      </c>
      <c r="AN470" s="251"/>
      <c r="AO470" s="241" t="s">
        <v>572</v>
      </c>
      <c r="AP470" s="241"/>
      <c r="AQ470" s="241"/>
      <c r="AR470" s="241"/>
      <c r="AS470" s="241" t="s">
        <v>1028</v>
      </c>
      <c r="AT470" s="241" t="s">
        <v>1029</v>
      </c>
      <c r="AU470" s="241" t="s">
        <v>1030</v>
      </c>
      <c r="AV470" s="303" t="str">
        <f t="shared" si="192"/>
        <v>F15-14-18-ALL</v>
      </c>
      <c r="AW470" s="241" t="s">
        <v>2417</v>
      </c>
      <c r="AX470" s="279" t="str">
        <f t="shared" si="174"/>
        <v>F15-14-18-ALL-Viking51</v>
      </c>
    </row>
    <row r="471" spans="1:50" ht="15.75" thickBot="1" x14ac:dyDescent="0.3">
      <c r="A471" s="190" t="str">
        <f t="shared" si="178"/>
        <v>A81</v>
      </c>
      <c r="B471" s="279" t="str">
        <f t="shared" si="177"/>
        <v/>
      </c>
      <c r="C471" s="279"/>
      <c r="D471" s="279"/>
      <c r="E471" s="279" t="str">
        <f t="shared" si="186"/>
        <v/>
      </c>
      <c r="F471" s="241" t="s">
        <v>536</v>
      </c>
      <c r="G471" s="242">
        <v>44811</v>
      </c>
      <c r="H471" s="265"/>
      <c r="I471" s="249" t="s">
        <v>7</v>
      </c>
      <c r="J471" s="179" t="s">
        <v>402</v>
      </c>
      <c r="K471" s="267" t="s">
        <v>2761</v>
      </c>
      <c r="L471" s="179" t="s">
        <v>1274</v>
      </c>
      <c r="M471" s="243" t="s">
        <v>559</v>
      </c>
      <c r="N471" s="243">
        <v>71</v>
      </c>
      <c r="O471" s="244" t="s">
        <v>983</v>
      </c>
      <c r="P471" s="244" t="s">
        <v>1280</v>
      </c>
      <c r="Q471" s="231" t="str">
        <f t="shared" si="194"/>
        <v>A81. Headrests, REAR 2nd ROW SET 3</v>
      </c>
      <c r="R471" s="284" t="str">
        <f>HYPERLINK(VLOOKUP(O471,'3D. Pictures'!$B$3:$E$500,4,FALSE),"PIC")</f>
        <v>PIC</v>
      </c>
      <c r="S471" s="373" t="str">
        <f t="shared" si="189"/>
        <v>E.G.</v>
      </c>
      <c r="T471" s="377" t="str">
        <f>IF(O471&lt;&gt;"",_xlfn.XLOOKUP(O471,'3D. Pictures'!B:B,'3D. Pictures'!E:E,"NOT FOUND",0,1),"")</f>
        <v>https://viking-pictures.s3.us-west-1.amazonaws.com/AA1155/A81.+Headrests%2C+REAR+2nd+ROW+SET+3+(1).JPG</v>
      </c>
      <c r="U471" s="243">
        <v>5</v>
      </c>
      <c r="V471" s="243" t="s">
        <v>1205</v>
      </c>
      <c r="W471" s="243" t="s">
        <v>111</v>
      </c>
      <c r="X471" s="243"/>
      <c r="Y471" s="16"/>
      <c r="Z471" s="243"/>
      <c r="AA471" s="179" t="s">
        <v>1275</v>
      </c>
      <c r="AB471" s="179" t="s">
        <v>1275</v>
      </c>
      <c r="AC471" s="247" t="str">
        <f t="shared" si="188"/>
        <v>SET 3, sell SINGLES if some bad</v>
      </c>
      <c r="AD471" s="179" t="s">
        <v>2835</v>
      </c>
      <c r="AE471" s="179"/>
      <c r="AF471" s="179" t="s">
        <v>548</v>
      </c>
      <c r="AG471" s="179"/>
      <c r="AH471" s="168">
        <v>300</v>
      </c>
      <c r="AI471" s="380">
        <f t="shared" si="191"/>
        <v>181.25</v>
      </c>
      <c r="AJ471" s="246" t="s">
        <v>408</v>
      </c>
      <c r="AK471" s="246" t="s">
        <v>425</v>
      </c>
      <c r="AL471" s="246" t="s">
        <v>2175</v>
      </c>
      <c r="AM471" s="241"/>
      <c r="AN471" s="241"/>
      <c r="AO471" s="241"/>
      <c r="AP471" s="241"/>
      <c r="AQ471" s="241"/>
      <c r="AR471" s="241"/>
      <c r="AS471" s="241" t="s">
        <v>1028</v>
      </c>
      <c r="AT471" s="241" t="s">
        <v>1029</v>
      </c>
      <c r="AU471" s="241" t="s">
        <v>1030</v>
      </c>
      <c r="AV471" s="303" t="str">
        <f t="shared" si="192"/>
        <v>F15-14-18-ALL</v>
      </c>
      <c r="AW471" s="241" t="s">
        <v>2418</v>
      </c>
      <c r="AX471" s="279" t="str">
        <f t="shared" si="174"/>
        <v>F15-14-18-ALL-Viking52</v>
      </c>
    </row>
    <row r="472" spans="1:50" x14ac:dyDescent="0.25">
      <c r="A472" s="190" t="str">
        <f t="shared" si="178"/>
        <v/>
      </c>
      <c r="B472" s="279" t="str">
        <f t="shared" si="177"/>
        <v/>
      </c>
      <c r="C472" s="279"/>
      <c r="D472" s="279"/>
      <c r="E472" s="279" t="str">
        <f t="shared" si="186"/>
        <v/>
      </c>
      <c r="F472" s="241" t="s">
        <v>536</v>
      </c>
      <c r="G472" s="242">
        <v>44811</v>
      </c>
      <c r="H472" s="265"/>
      <c r="I472" s="249" t="s">
        <v>7</v>
      </c>
      <c r="J472" s="179" t="s">
        <v>402</v>
      </c>
      <c r="K472" s="267" t="s">
        <v>2761</v>
      </c>
      <c r="L472" s="179" t="s">
        <v>1274</v>
      </c>
      <c r="M472" s="243" t="s">
        <v>559</v>
      </c>
      <c r="N472" s="243"/>
      <c r="O472" s="244"/>
      <c r="P472" s="244"/>
      <c r="Q472" s="231" t="str">
        <f t="shared" si="194"/>
        <v>. Headrests, REAR 2nd ROW - LEFT</v>
      </c>
      <c r="R472" s="244"/>
      <c r="S472" s="244" t="str">
        <f t="shared" si="189"/>
        <v/>
      </c>
      <c r="T472" s="244" t="str">
        <f>IF(O472&lt;&gt;"",_xlfn.XLOOKUP(O472,'3D. Pictures'!B:B,'3D. Pictures'!E:E,"NOT FOUND",0,1),"")</f>
        <v/>
      </c>
      <c r="U472" s="243"/>
      <c r="V472" s="243"/>
      <c r="W472" s="243"/>
      <c r="X472" s="243"/>
      <c r="Y472" s="168"/>
      <c r="Z472" s="243"/>
      <c r="AA472" s="179" t="s">
        <v>1275</v>
      </c>
      <c r="AB472" s="179" t="s">
        <v>1276</v>
      </c>
      <c r="AC472" s="247" t="str">
        <f t="shared" si="188"/>
        <v>sell SET 3 unless some bad/missing</v>
      </c>
      <c r="AD472" s="179" t="s">
        <v>1279</v>
      </c>
      <c r="AE472" s="179"/>
      <c r="AF472" s="179" t="s">
        <v>548</v>
      </c>
      <c r="AG472" s="179"/>
      <c r="AH472" s="168">
        <v>125</v>
      </c>
      <c r="AI472" s="380">
        <f t="shared" si="191"/>
        <v>181.25</v>
      </c>
      <c r="AJ472" s="246" t="s">
        <v>408</v>
      </c>
      <c r="AK472" s="246" t="s">
        <v>425</v>
      </c>
      <c r="AL472" s="246" t="s">
        <v>2175</v>
      </c>
      <c r="AM472" s="241"/>
      <c r="AN472" s="241"/>
      <c r="AO472" s="241"/>
      <c r="AP472" s="241"/>
      <c r="AQ472" s="241"/>
      <c r="AR472" s="241"/>
      <c r="AS472" s="241" t="s">
        <v>1028</v>
      </c>
      <c r="AT472" s="241" t="s">
        <v>1029</v>
      </c>
      <c r="AU472" s="241" t="s">
        <v>1030</v>
      </c>
      <c r="AV472" s="303" t="str">
        <f t="shared" si="192"/>
        <v>F15-14-18-ALL</v>
      </c>
      <c r="AW472" s="241" t="s">
        <v>2419</v>
      </c>
      <c r="AX472" s="279" t="str">
        <f t="shared" si="174"/>
        <v>F15-14-18-ALL-Viking53</v>
      </c>
    </row>
    <row r="473" spans="1:50" x14ac:dyDescent="0.25">
      <c r="A473" s="190" t="str">
        <f t="shared" si="178"/>
        <v/>
      </c>
      <c r="B473" s="279" t="str">
        <f t="shared" si="177"/>
        <v/>
      </c>
      <c r="C473" s="279"/>
      <c r="D473" s="279"/>
      <c r="E473" s="279" t="str">
        <f t="shared" si="186"/>
        <v/>
      </c>
      <c r="F473" s="241" t="s">
        <v>536</v>
      </c>
      <c r="G473" s="242">
        <v>44811</v>
      </c>
      <c r="H473" s="265"/>
      <c r="I473" s="249" t="s">
        <v>7</v>
      </c>
      <c r="J473" s="179" t="s">
        <v>402</v>
      </c>
      <c r="K473" s="267" t="s">
        <v>2761</v>
      </c>
      <c r="L473" s="179" t="s">
        <v>1274</v>
      </c>
      <c r="M473" s="243" t="s">
        <v>559</v>
      </c>
      <c r="N473" s="243"/>
      <c r="O473" s="244"/>
      <c r="P473" s="244"/>
      <c r="Q473" s="231" t="str">
        <f t="shared" si="194"/>
        <v>. Headrests, REAR 2nd ROW - RIGHT</v>
      </c>
      <c r="R473" s="244"/>
      <c r="S473" s="244" t="str">
        <f t="shared" si="189"/>
        <v/>
      </c>
      <c r="T473" s="244" t="str">
        <f>IF(O473&lt;&gt;"",_xlfn.XLOOKUP(O473,'3D. Pictures'!B:B,'3D. Pictures'!E:E,"NOT FOUND",0,1),"")</f>
        <v/>
      </c>
      <c r="U473" s="243"/>
      <c r="V473" s="243"/>
      <c r="W473" s="243"/>
      <c r="X473" s="243"/>
      <c r="Y473" s="168"/>
      <c r="Z473" s="243"/>
      <c r="AA473" s="179" t="s">
        <v>1275</v>
      </c>
      <c r="AB473" s="179" t="s">
        <v>1277</v>
      </c>
      <c r="AC473" s="247" t="str">
        <f t="shared" si="188"/>
        <v>sell SET 3 unless some bad/missing</v>
      </c>
      <c r="AD473" s="179" t="s">
        <v>1279</v>
      </c>
      <c r="AE473" s="179"/>
      <c r="AF473" s="179" t="s">
        <v>548</v>
      </c>
      <c r="AG473" s="179"/>
      <c r="AH473" s="168">
        <v>125</v>
      </c>
      <c r="AI473" s="380">
        <f t="shared" si="191"/>
        <v>181.25</v>
      </c>
      <c r="AJ473" s="246" t="s">
        <v>408</v>
      </c>
      <c r="AK473" s="246" t="s">
        <v>425</v>
      </c>
      <c r="AL473" s="246" t="s">
        <v>2175</v>
      </c>
      <c r="AM473" s="241"/>
      <c r="AN473" s="241"/>
      <c r="AO473" s="241"/>
      <c r="AP473" s="241"/>
      <c r="AQ473" s="241"/>
      <c r="AR473" s="241"/>
      <c r="AS473" s="241" t="s">
        <v>1028</v>
      </c>
      <c r="AT473" s="241" t="s">
        <v>1029</v>
      </c>
      <c r="AU473" s="241" t="s">
        <v>1030</v>
      </c>
      <c r="AV473" s="303" t="str">
        <f t="shared" si="192"/>
        <v>F15-14-18-ALL</v>
      </c>
      <c r="AW473" s="241" t="s">
        <v>2420</v>
      </c>
      <c r="AX473" s="279" t="str">
        <f t="shared" si="174"/>
        <v>F15-14-18-ALL-Viking54</v>
      </c>
    </row>
    <row r="474" spans="1:50" ht="15.75" thickBot="1" x14ac:dyDescent="0.3">
      <c r="A474" s="190" t="str">
        <f t="shared" si="178"/>
        <v/>
      </c>
      <c r="B474" s="279" t="str">
        <f t="shared" si="177"/>
        <v/>
      </c>
      <c r="C474" s="279"/>
      <c r="D474" s="279"/>
      <c r="E474" s="279" t="str">
        <f t="shared" si="186"/>
        <v/>
      </c>
      <c r="F474" s="241" t="s">
        <v>536</v>
      </c>
      <c r="G474" s="242">
        <v>44811</v>
      </c>
      <c r="H474" s="265"/>
      <c r="I474" s="249" t="s">
        <v>7</v>
      </c>
      <c r="J474" s="179" t="s">
        <v>402</v>
      </c>
      <c r="K474" s="267" t="s">
        <v>2761</v>
      </c>
      <c r="L474" s="179" t="s">
        <v>1274</v>
      </c>
      <c r="M474" s="243" t="s">
        <v>559</v>
      </c>
      <c r="N474" s="243"/>
      <c r="O474" s="244"/>
      <c r="P474" s="244"/>
      <c r="Q474" s="231" t="str">
        <f t="shared" si="194"/>
        <v>. Headrests, REAR 2nd ROW - CENTER</v>
      </c>
      <c r="R474" s="244"/>
      <c r="S474" s="244" t="str">
        <f t="shared" si="189"/>
        <v/>
      </c>
      <c r="T474" s="244" t="str">
        <f>IF(O474&lt;&gt;"",_xlfn.XLOOKUP(O474,'3D. Pictures'!B:B,'3D. Pictures'!E:E,"NOT FOUND",0,1),"")</f>
        <v/>
      </c>
      <c r="U474" s="243"/>
      <c r="V474" s="243"/>
      <c r="W474" s="243"/>
      <c r="X474" s="243"/>
      <c r="Y474" s="16"/>
      <c r="Z474" s="243"/>
      <c r="AA474" s="179" t="s">
        <v>1275</v>
      </c>
      <c r="AB474" s="179" t="s">
        <v>1278</v>
      </c>
      <c r="AC474" s="247" t="str">
        <f t="shared" si="188"/>
        <v>sell SET 3 unless some bad/missing</v>
      </c>
      <c r="AD474" s="179" t="s">
        <v>1279</v>
      </c>
      <c r="AE474" s="179"/>
      <c r="AF474" s="179" t="s">
        <v>548</v>
      </c>
      <c r="AG474" s="179"/>
      <c r="AH474" s="168">
        <v>175</v>
      </c>
      <c r="AI474" s="380">
        <f t="shared" si="191"/>
        <v>181.25</v>
      </c>
      <c r="AJ474" s="246" t="s">
        <v>408</v>
      </c>
      <c r="AK474" s="246" t="s">
        <v>425</v>
      </c>
      <c r="AL474" s="246" t="s">
        <v>2175</v>
      </c>
      <c r="AM474" s="241"/>
      <c r="AN474" s="241"/>
      <c r="AO474" s="241"/>
      <c r="AP474" s="241"/>
      <c r="AQ474" s="241"/>
      <c r="AR474" s="241"/>
      <c r="AS474" s="241" t="s">
        <v>1028</v>
      </c>
      <c r="AT474" s="241" t="s">
        <v>1029</v>
      </c>
      <c r="AU474" s="241" t="s">
        <v>1030</v>
      </c>
      <c r="AV474" s="303" t="str">
        <f t="shared" si="192"/>
        <v>F15-14-18-ALL</v>
      </c>
      <c r="AW474" s="241" t="s">
        <v>2421</v>
      </c>
      <c r="AX474" s="279" t="str">
        <f t="shared" si="174"/>
        <v>F15-14-18-ALL-Viking55</v>
      </c>
    </row>
    <row r="475" spans="1:50" ht="15.75" thickBot="1" x14ac:dyDescent="0.3">
      <c r="A475" s="190" t="str">
        <f t="shared" si="178"/>
        <v>A45</v>
      </c>
      <c r="B475" s="279" t="str">
        <f t="shared" si="177"/>
        <v/>
      </c>
      <c r="C475" s="279"/>
      <c r="D475" s="279"/>
      <c r="E475" s="279" t="str">
        <f t="shared" si="186"/>
        <v/>
      </c>
      <c r="F475" s="241" t="s">
        <v>535</v>
      </c>
      <c r="G475" s="242">
        <v>44680</v>
      </c>
      <c r="H475" s="243"/>
      <c r="I475" s="243"/>
      <c r="J475" s="243" t="s">
        <v>402</v>
      </c>
      <c r="K475" s="244" t="s">
        <v>2761</v>
      </c>
      <c r="L475" s="243" t="s">
        <v>2705</v>
      </c>
      <c r="M475" s="243" t="s">
        <v>559</v>
      </c>
      <c r="N475" s="243">
        <v>35</v>
      </c>
      <c r="O475" s="244" t="s">
        <v>947</v>
      </c>
      <c r="P475" s="244" t="s">
        <v>1204</v>
      </c>
      <c r="Q475" s="231" t="str">
        <f t="shared" si="194"/>
        <v>A45. Rear Arm Rest &amp; Cup Holder</v>
      </c>
      <c r="R475" s="284" t="str">
        <f>HYPERLINK(VLOOKUP(O475,'3D. Pictures'!$B$3:$E$500,4,FALSE),"PIC")</f>
        <v>PIC</v>
      </c>
      <c r="S475" s="373" t="str">
        <f t="shared" si="189"/>
        <v>E.G.</v>
      </c>
      <c r="T475" s="377" t="str">
        <f>IF(O475&lt;&gt;"",_xlfn.XLOOKUP(O475,'3D. Pictures'!B:B,'3D. Pictures'!E:E,"NOT FOUND",0,1),"")</f>
        <v>https://viking-pictures.s3.us-west-1.amazonaws.com/AA1155/A45.+Rear+Arm+Rest+%26+Cup+Holder+(1).JPG</v>
      </c>
      <c r="U475" s="243">
        <v>5</v>
      </c>
      <c r="V475" s="243" t="s">
        <v>1205</v>
      </c>
      <c r="W475" s="243" t="s">
        <v>111</v>
      </c>
      <c r="X475" s="243"/>
      <c r="Y475" s="168"/>
      <c r="Z475" s="243"/>
      <c r="AA475" s="243" t="s">
        <v>2068</v>
      </c>
      <c r="AB475" s="243" t="s">
        <v>2068</v>
      </c>
      <c r="AC475" s="358" t="str">
        <f t="shared" si="188"/>
        <v/>
      </c>
      <c r="AD475" s="243"/>
      <c r="AE475" s="243"/>
      <c r="AF475" s="179" t="s">
        <v>543</v>
      </c>
      <c r="AG475" s="243"/>
      <c r="AH475" s="16">
        <v>175</v>
      </c>
      <c r="AI475" s="380">
        <f t="shared" si="191"/>
        <v>175</v>
      </c>
      <c r="AJ475" s="246" t="s">
        <v>408</v>
      </c>
      <c r="AK475" s="246" t="s">
        <v>425</v>
      </c>
      <c r="AL475" s="246" t="s">
        <v>2175</v>
      </c>
      <c r="AM475" s="241"/>
      <c r="AN475" s="241"/>
      <c r="AO475" s="241"/>
      <c r="AP475" s="241"/>
      <c r="AQ475" s="241"/>
      <c r="AR475" s="241"/>
      <c r="AS475" s="241" t="s">
        <v>1028</v>
      </c>
      <c r="AT475" s="241" t="s">
        <v>1029</v>
      </c>
      <c r="AU475" s="241" t="s">
        <v>1030</v>
      </c>
      <c r="AV475" s="303" t="str">
        <f t="shared" si="192"/>
        <v>F15-14-18-ALL</v>
      </c>
      <c r="AW475" s="241" t="s">
        <v>2422</v>
      </c>
      <c r="AX475" s="279" t="str">
        <f t="shared" si="174"/>
        <v>F15-14-18-ALL-Viking56</v>
      </c>
    </row>
    <row r="476" spans="1:50" ht="15.75" thickBot="1" x14ac:dyDescent="0.3">
      <c r="A476" s="190" t="str">
        <f t="shared" si="178"/>
        <v/>
      </c>
      <c r="B476" s="279" t="str">
        <f t="shared" si="177"/>
        <v/>
      </c>
      <c r="C476" s="279"/>
      <c r="D476" s="279"/>
      <c r="E476" s="279" t="str">
        <f t="shared" si="186"/>
        <v/>
      </c>
      <c r="F476" t="s">
        <v>535</v>
      </c>
      <c r="G476" s="188">
        <v>44673</v>
      </c>
      <c r="H476" s="10"/>
      <c r="I476" s="10"/>
      <c r="J476" s="10" t="s">
        <v>405</v>
      </c>
      <c r="K476" s="10" t="s">
        <v>2761</v>
      </c>
      <c r="L476" s="10" t="s">
        <v>2704</v>
      </c>
      <c r="M476" s="16" t="s">
        <v>559</v>
      </c>
      <c r="N476" s="16"/>
      <c r="O476" s="166"/>
      <c r="P476" s="166"/>
      <c r="Q476" s="231" t="str">
        <f t="shared" si="194"/>
        <v>. Seat Cushions, ALL REAR</v>
      </c>
      <c r="R476" s="231"/>
      <c r="S476" s="231" t="str">
        <f t="shared" si="189"/>
        <v/>
      </c>
      <c r="T476" s="231" t="str">
        <f>IF(O476&lt;&gt;"",_xlfn.XLOOKUP(O476,'3D. Pictures'!B:B,'3D. Pictures'!E:E,"NOT FOUND",0,1),"")</f>
        <v/>
      </c>
      <c r="U476" s="16"/>
      <c r="V476" s="16"/>
      <c r="W476" s="16"/>
      <c r="X476" s="16"/>
      <c r="Y476" s="172"/>
      <c r="Z476" s="16"/>
      <c r="AA476" s="10" t="s">
        <v>2622</v>
      </c>
      <c r="AB476" s="10" t="s">
        <v>2622</v>
      </c>
      <c r="AC476" s="359" t="str">
        <f t="shared" si="188"/>
        <v>toss side bolster cushions, keep cup holder/arm rest</v>
      </c>
      <c r="AD476" s="10" t="s">
        <v>2799</v>
      </c>
      <c r="AE476" s="10"/>
      <c r="AF476" s="168" t="s">
        <v>543</v>
      </c>
      <c r="AG476" s="10"/>
      <c r="AH476" s="10"/>
      <c r="AI476" s="380" t="str">
        <f t="shared" si="191"/>
        <v/>
      </c>
      <c r="AJ476" s="3" t="s">
        <v>408</v>
      </c>
      <c r="AK476" s="3" t="s">
        <v>425</v>
      </c>
      <c r="AL476" s="3" t="s">
        <v>2175</v>
      </c>
      <c r="AN476"/>
      <c r="AX476" s="279" t="str">
        <f t="shared" si="174"/>
        <v/>
      </c>
    </row>
    <row r="477" spans="1:50" ht="15.75" thickBot="1" x14ac:dyDescent="0.3">
      <c r="A477" s="190" t="str">
        <f t="shared" si="178"/>
        <v>A80</v>
      </c>
      <c r="B477" s="279" t="str">
        <f t="shared" si="177"/>
        <v/>
      </c>
      <c r="C477" s="279"/>
      <c r="D477" s="279"/>
      <c r="E477" s="279" t="str">
        <f t="shared" si="186"/>
        <v/>
      </c>
      <c r="F477" s="241" t="s">
        <v>535</v>
      </c>
      <c r="G477" s="242">
        <v>44673</v>
      </c>
      <c r="H477" s="265"/>
      <c r="I477" s="249" t="s">
        <v>7</v>
      </c>
      <c r="J477" s="179" t="s">
        <v>402</v>
      </c>
      <c r="K477" s="179" t="s">
        <v>2763</v>
      </c>
      <c r="L477" s="179" t="s">
        <v>1274</v>
      </c>
      <c r="M477" s="243" t="s">
        <v>559</v>
      </c>
      <c r="N477" s="243">
        <v>70</v>
      </c>
      <c r="O477" s="244" t="s">
        <v>982</v>
      </c>
      <c r="P477" s="244" t="s">
        <v>1280</v>
      </c>
      <c r="Q477" s="231" t="str">
        <f t="shared" si="194"/>
        <v>A80. Headrest, FRONT - RIGHT (ACTIVE)</v>
      </c>
      <c r="R477" s="284" t="str">
        <f>HYPERLINK(VLOOKUP(O477,'3D. Pictures'!$B$3:$E$500,4,FALSE),"PIC")</f>
        <v>PIC</v>
      </c>
      <c r="S477" s="373" t="str">
        <f t="shared" si="189"/>
        <v>E.G.</v>
      </c>
      <c r="T477" s="377" t="str">
        <f>IF(O477&lt;&gt;"",_xlfn.XLOOKUP(O477,'3D. Pictures'!B:B,'3D. Pictures'!E:E,"NOT FOUND",0,1),"")</f>
        <v>https://viking-pictures.s3.us-west-1.amazonaws.com/AA1155/A80.+Headrest%2C+FRONT+-+RIGHT+(ACTIVE)+(1).JPG</v>
      </c>
      <c r="U477" s="243">
        <v>6</v>
      </c>
      <c r="V477" s="243" t="s">
        <v>1205</v>
      </c>
      <c r="W477" s="243" t="s">
        <v>111</v>
      </c>
      <c r="X477" s="243"/>
      <c r="Y477" s="201"/>
      <c r="Z477" s="243"/>
      <c r="AA477" s="179" t="s">
        <v>2836</v>
      </c>
      <c r="AB477" s="179" t="s">
        <v>2146</v>
      </c>
      <c r="AC477" s="247" t="str">
        <f t="shared" si="188"/>
        <v>tag as SINGLE</v>
      </c>
      <c r="AD477" s="179" t="s">
        <v>2320</v>
      </c>
      <c r="AE477" s="179"/>
      <c r="AF477" s="179" t="s">
        <v>543</v>
      </c>
      <c r="AG477" s="179"/>
      <c r="AH477" s="168">
        <v>165</v>
      </c>
      <c r="AI477" s="380">
        <f t="shared" si="191"/>
        <v>145</v>
      </c>
      <c r="AJ477" s="246" t="s">
        <v>408</v>
      </c>
      <c r="AK477" s="246" t="s">
        <v>425</v>
      </c>
      <c r="AL477" s="246" t="s">
        <v>2175</v>
      </c>
      <c r="AM477" s="241"/>
      <c r="AN477" s="241"/>
      <c r="AO477" s="241"/>
      <c r="AP477" s="241"/>
      <c r="AQ477" s="241"/>
      <c r="AR477" s="241"/>
      <c r="AS477" s="241" t="s">
        <v>1028</v>
      </c>
      <c r="AT477" s="241" t="s">
        <v>1029</v>
      </c>
      <c r="AU477" s="241" t="s">
        <v>1030</v>
      </c>
      <c r="AV477" s="303" t="str">
        <f t="shared" ref="AV477:AV482" si="195">CONCATENATE(AS477,"-",AT477,"-",AU477)</f>
        <v>F15-14-18-ALL</v>
      </c>
      <c r="AW477" s="241" t="s">
        <v>2423</v>
      </c>
      <c r="AX477" s="279" t="str">
        <f t="shared" si="174"/>
        <v>F15-14-18-ALL-Viking57</v>
      </c>
    </row>
    <row r="478" spans="1:50" ht="15.75" thickBot="1" x14ac:dyDescent="0.3">
      <c r="A478" s="190" t="str">
        <f t="shared" si="178"/>
        <v/>
      </c>
      <c r="B478" s="279" t="str">
        <f t="shared" si="177"/>
        <v/>
      </c>
      <c r="C478" s="279"/>
      <c r="D478" s="279"/>
      <c r="E478" s="279" t="str">
        <f t="shared" si="186"/>
        <v/>
      </c>
      <c r="F478" s="241" t="s">
        <v>535</v>
      </c>
      <c r="G478" s="242">
        <v>44673</v>
      </c>
      <c r="H478" s="265"/>
      <c r="I478" s="249" t="s">
        <v>7</v>
      </c>
      <c r="J478" s="179" t="s">
        <v>402</v>
      </c>
      <c r="K478" s="179" t="s">
        <v>2763</v>
      </c>
      <c r="L478" s="179" t="s">
        <v>1274</v>
      </c>
      <c r="M478" s="243" t="s">
        <v>559</v>
      </c>
      <c r="N478" s="243"/>
      <c r="O478" s="244"/>
      <c r="P478" s="244"/>
      <c r="Q478" s="231"/>
      <c r="R478" s="244"/>
      <c r="S478" s="244" t="str">
        <f t="shared" si="189"/>
        <v/>
      </c>
      <c r="T478" s="244" t="str">
        <f>IF(O478&lt;&gt;"",_xlfn.XLOOKUP(O478,'3D. Pictures'!B:B,'3D. Pictures'!E:E,"NOT FOUND",0,1),"")</f>
        <v/>
      </c>
      <c r="U478" s="243"/>
      <c r="V478" s="243"/>
      <c r="W478" s="243"/>
      <c r="X478" s="243"/>
      <c r="Y478" s="201"/>
      <c r="Z478" s="243"/>
      <c r="AA478" s="179" t="s">
        <v>2836</v>
      </c>
      <c r="AB478" s="179" t="s">
        <v>2145</v>
      </c>
      <c r="AC478" s="247" t="str">
        <f t="shared" si="188"/>
        <v>tag as SINGLE</v>
      </c>
      <c r="AD478" s="179" t="s">
        <v>2320</v>
      </c>
      <c r="AE478" s="179"/>
      <c r="AF478" s="179" t="s">
        <v>543</v>
      </c>
      <c r="AG478" s="179"/>
      <c r="AH478" s="168">
        <v>125</v>
      </c>
      <c r="AI478" s="380">
        <f t="shared" si="191"/>
        <v>145</v>
      </c>
      <c r="AJ478" s="246" t="s">
        <v>408</v>
      </c>
      <c r="AK478" s="246" t="s">
        <v>425</v>
      </c>
      <c r="AL478" s="246" t="s">
        <v>2175</v>
      </c>
      <c r="AM478" s="241"/>
      <c r="AN478" s="241"/>
      <c r="AO478" s="241"/>
      <c r="AP478" s="241"/>
      <c r="AQ478" s="241"/>
      <c r="AR478" s="241"/>
      <c r="AS478" s="241" t="s">
        <v>1028</v>
      </c>
      <c r="AT478" s="241" t="s">
        <v>1029</v>
      </c>
      <c r="AU478" s="241" t="s">
        <v>1030</v>
      </c>
      <c r="AV478" s="303" t="str">
        <f t="shared" si="195"/>
        <v>F15-14-18-ALL</v>
      </c>
      <c r="AW478" s="241" t="s">
        <v>2424</v>
      </c>
      <c r="AX478" s="279" t="str">
        <f t="shared" si="174"/>
        <v>F15-14-18-ALL-Viking58</v>
      </c>
    </row>
    <row r="479" spans="1:50" ht="15.75" thickBot="1" x14ac:dyDescent="0.3">
      <c r="A479" s="190" t="str">
        <f t="shared" si="178"/>
        <v>A54</v>
      </c>
      <c r="B479" s="279" t="str">
        <f t="shared" si="177"/>
        <v/>
      </c>
      <c r="C479" s="279"/>
      <c r="D479" s="279"/>
      <c r="E479" s="279" t="str">
        <f t="shared" si="186"/>
        <v/>
      </c>
      <c r="F479" s="241" t="s">
        <v>535</v>
      </c>
      <c r="G479" s="242">
        <v>44684</v>
      </c>
      <c r="H479" s="265"/>
      <c r="I479" s="249" t="s">
        <v>7</v>
      </c>
      <c r="J479" s="179" t="s">
        <v>402</v>
      </c>
      <c r="K479" s="179" t="s">
        <v>2763</v>
      </c>
      <c r="L479" s="179" t="s">
        <v>1222</v>
      </c>
      <c r="M479" s="243" t="s">
        <v>559</v>
      </c>
      <c r="N479" s="243">
        <v>44</v>
      </c>
      <c r="O479" s="244" t="s">
        <v>956</v>
      </c>
      <c r="P479" s="244" t="s">
        <v>1204</v>
      </c>
      <c r="Q479" s="231" t="str">
        <f t="shared" ref="Q479:Q510" si="196">CONCATENATE(O479,". ",AB479)</f>
        <v>A54. Seat Adjust Switch, FRONT - RIGHT</v>
      </c>
      <c r="R479" s="284" t="str">
        <f>HYPERLINK(VLOOKUP(O479,'3D. Pictures'!$B$3:$E$500,4,FALSE),"PIC")</f>
        <v>PIC</v>
      </c>
      <c r="S479" s="373" t="str">
        <f t="shared" si="189"/>
        <v>E.G.</v>
      </c>
      <c r="T479" s="377" t="str">
        <f>IF(O479&lt;&gt;"",_xlfn.XLOOKUP(O479,'3D. Pictures'!B:B,'3D. Pictures'!E:E,"NOT FOUND",0,1),"")</f>
        <v>https://viking-pictures.s3.us-west-1.amazonaws.com/AA1155/A54.+Seat+Adjust+Switch%2C+FRONT+-+RIGHT+(1).JPG</v>
      </c>
      <c r="U479" s="243">
        <v>4</v>
      </c>
      <c r="V479" s="243">
        <v>9276464</v>
      </c>
      <c r="W479" s="243" t="s">
        <v>111</v>
      </c>
      <c r="X479" s="243"/>
      <c r="Y479" s="201"/>
      <c r="Z479" s="192" t="s">
        <v>2078</v>
      </c>
      <c r="AA479" s="179" t="s">
        <v>1223</v>
      </c>
      <c r="AB479" s="179" t="s">
        <v>1223</v>
      </c>
      <c r="AC479" s="247" t="str">
        <f t="shared" si="188"/>
        <v/>
      </c>
      <c r="AD479" s="179"/>
      <c r="AE479" s="179"/>
      <c r="AF479" s="179" t="s">
        <v>543</v>
      </c>
      <c r="AG479" s="179"/>
      <c r="AH479" s="168">
        <v>125</v>
      </c>
      <c r="AI479" s="380">
        <f t="shared" si="191"/>
        <v>125</v>
      </c>
      <c r="AJ479" s="246" t="s">
        <v>408</v>
      </c>
      <c r="AK479" s="246" t="s">
        <v>425</v>
      </c>
      <c r="AL479" s="246" t="s">
        <v>2175</v>
      </c>
      <c r="AM479" s="241"/>
      <c r="AN479" s="241"/>
      <c r="AO479" s="241"/>
      <c r="AP479" s="241"/>
      <c r="AQ479" s="241"/>
      <c r="AR479" s="241"/>
      <c r="AS479" s="241" t="s">
        <v>1028</v>
      </c>
      <c r="AT479" s="241" t="s">
        <v>1029</v>
      </c>
      <c r="AU479" s="241" t="s">
        <v>1030</v>
      </c>
      <c r="AV479" s="303" t="str">
        <f t="shared" si="195"/>
        <v>F15-14-18-ALL</v>
      </c>
      <c r="AW479" s="241" t="s">
        <v>2425</v>
      </c>
      <c r="AX479" s="279" t="str">
        <f t="shared" si="174"/>
        <v>F15-14-18-ALL-Viking59</v>
      </c>
    </row>
    <row r="480" spans="1:50" ht="15.75" thickBot="1" x14ac:dyDescent="0.3">
      <c r="A480" s="190" t="str">
        <f t="shared" si="178"/>
        <v/>
      </c>
      <c r="B480" s="279" t="str">
        <f t="shared" si="177"/>
        <v/>
      </c>
      <c r="C480" s="279"/>
      <c r="D480" s="279"/>
      <c r="E480" s="279" t="str">
        <f t="shared" si="186"/>
        <v/>
      </c>
      <c r="F480" s="241" t="s">
        <v>535</v>
      </c>
      <c r="G480" s="242">
        <v>44673</v>
      </c>
      <c r="H480" s="265"/>
      <c r="I480" s="249" t="s">
        <v>7</v>
      </c>
      <c r="J480" s="179" t="s">
        <v>402</v>
      </c>
      <c r="K480" s="179" t="s">
        <v>2763</v>
      </c>
      <c r="L480" s="179" t="s">
        <v>2704</v>
      </c>
      <c r="M480" s="243" t="s">
        <v>559</v>
      </c>
      <c r="N480" s="243"/>
      <c r="O480" s="244"/>
      <c r="P480" s="244"/>
      <c r="Q480" s="231" t="str">
        <f t="shared" si="196"/>
        <v>. Seat Cushions, FRONT RIGHT - LOWER</v>
      </c>
      <c r="R480" s="244"/>
      <c r="S480" s="244" t="str">
        <f t="shared" si="189"/>
        <v/>
      </c>
      <c r="T480" s="244" t="str">
        <f>IF(O480&lt;&gt;"",_xlfn.XLOOKUP(O480,'3D. Pictures'!B:B,'3D. Pictures'!E:E,"NOT FOUND",0,1),"")</f>
        <v/>
      </c>
      <c r="U480" s="243"/>
      <c r="V480" s="243"/>
      <c r="W480" s="243"/>
      <c r="X480" s="243"/>
      <c r="Y480" s="201"/>
      <c r="Z480" s="243"/>
      <c r="AA480" s="179" t="s">
        <v>422</v>
      </c>
      <c r="AB480" s="179" t="s">
        <v>422</v>
      </c>
      <c r="AC480" s="247" t="str">
        <f t="shared" si="188"/>
        <v/>
      </c>
      <c r="AD480" s="179"/>
      <c r="AE480" s="179"/>
      <c r="AF480" s="179" t="s">
        <v>543</v>
      </c>
      <c r="AG480" s="179"/>
      <c r="AH480" s="168">
        <v>175</v>
      </c>
      <c r="AI480" s="380">
        <f t="shared" si="191"/>
        <v>175</v>
      </c>
      <c r="AJ480" s="246" t="s">
        <v>408</v>
      </c>
      <c r="AK480" s="246" t="s">
        <v>425</v>
      </c>
      <c r="AL480" s="246" t="s">
        <v>2175</v>
      </c>
      <c r="AM480" s="241"/>
      <c r="AN480" s="241"/>
      <c r="AO480" s="241"/>
      <c r="AP480" s="241"/>
      <c r="AQ480" s="241"/>
      <c r="AR480" s="241"/>
      <c r="AS480" s="241" t="s">
        <v>1028</v>
      </c>
      <c r="AT480" s="241" t="s">
        <v>1029</v>
      </c>
      <c r="AU480" s="241" t="s">
        <v>1030</v>
      </c>
      <c r="AV480" s="303" t="str">
        <f t="shared" si="195"/>
        <v>F15-14-18-ALL</v>
      </c>
      <c r="AW480" s="241" t="s">
        <v>2426</v>
      </c>
      <c r="AX480" s="279" t="str">
        <f t="shared" si="174"/>
        <v>F15-14-18-ALL-Viking60</v>
      </c>
    </row>
    <row r="481" spans="1:50" ht="15.75" thickBot="1" x14ac:dyDescent="0.3">
      <c r="A481" s="190" t="str">
        <f t="shared" si="178"/>
        <v>A86</v>
      </c>
      <c r="B481" s="279" t="str">
        <f t="shared" si="177"/>
        <v/>
      </c>
      <c r="C481" s="279"/>
      <c r="D481" s="279"/>
      <c r="E481" s="279" t="str">
        <f t="shared" si="186"/>
        <v/>
      </c>
      <c r="F481" s="241" t="s">
        <v>535</v>
      </c>
      <c r="G481" s="242">
        <v>44673</v>
      </c>
      <c r="H481" s="265"/>
      <c r="I481" s="249" t="s">
        <v>7</v>
      </c>
      <c r="J481" s="179" t="s">
        <v>402</v>
      </c>
      <c r="K481" s="179" t="s">
        <v>2763</v>
      </c>
      <c r="L481" s="179" t="s">
        <v>2704</v>
      </c>
      <c r="M481" s="243" t="s">
        <v>559</v>
      </c>
      <c r="N481" s="243">
        <v>76</v>
      </c>
      <c r="O481" s="244" t="s">
        <v>988</v>
      </c>
      <c r="P481" s="244" t="s">
        <v>1280</v>
      </c>
      <c r="Q481" s="231" t="str">
        <f t="shared" si="196"/>
        <v>A86. Seat Cushions, FRONT RIGHT - UPPER</v>
      </c>
      <c r="R481" s="284" t="str">
        <f>HYPERLINK(VLOOKUP(O481,'3D. Pictures'!$B$3:$E$500,4,FALSE),"PIC")</f>
        <v>PIC</v>
      </c>
      <c r="S481" s="373" t="str">
        <f t="shared" si="189"/>
        <v>E.G.</v>
      </c>
      <c r="T481" s="377" t="str">
        <f>IF(O481&lt;&gt;"",_xlfn.XLOOKUP(O481,'3D. Pictures'!B:B,'3D. Pictures'!E:E,"NOT FOUND",0,1),"")</f>
        <v>https://viking-pictures.s3.us-west-1.amazonaws.com/AA1155/A86.+Seat+Cushions%2C+FRONT+RIGHT+-+UPPER+(1).JPG</v>
      </c>
      <c r="U481" s="243">
        <v>6</v>
      </c>
      <c r="V481" s="243" t="s">
        <v>1205</v>
      </c>
      <c r="W481" s="243" t="s">
        <v>111</v>
      </c>
      <c r="X481" s="243"/>
      <c r="Y481" s="201"/>
      <c r="Z481" s="243"/>
      <c r="AA481" s="179" t="s">
        <v>421</v>
      </c>
      <c r="AB481" s="179" t="s">
        <v>421</v>
      </c>
      <c r="AC481" s="247" t="str">
        <f t="shared" si="188"/>
        <v/>
      </c>
      <c r="AD481" s="179"/>
      <c r="AE481" s="179"/>
      <c r="AF481" s="179" t="s">
        <v>543</v>
      </c>
      <c r="AG481" s="179"/>
      <c r="AH481" s="168">
        <v>175</v>
      </c>
      <c r="AI481" s="380">
        <f t="shared" si="191"/>
        <v>175</v>
      </c>
      <c r="AJ481" s="246" t="s">
        <v>408</v>
      </c>
      <c r="AK481" s="246" t="s">
        <v>425</v>
      </c>
      <c r="AL481" s="246" t="s">
        <v>2175</v>
      </c>
      <c r="AM481" s="241"/>
      <c r="AN481" s="241"/>
      <c r="AO481" s="241"/>
      <c r="AP481" s="241"/>
      <c r="AQ481" s="241"/>
      <c r="AR481" s="241"/>
      <c r="AS481" s="241" t="s">
        <v>1028</v>
      </c>
      <c r="AT481" s="241" t="s">
        <v>1029</v>
      </c>
      <c r="AU481" s="241" t="s">
        <v>1030</v>
      </c>
      <c r="AV481" s="303" t="str">
        <f t="shared" si="195"/>
        <v>F15-14-18-ALL</v>
      </c>
      <c r="AW481" s="241" t="s">
        <v>2427</v>
      </c>
      <c r="AX481" s="279" t="str">
        <f t="shared" si="174"/>
        <v>F15-14-18-ALL-Viking61</v>
      </c>
    </row>
    <row r="482" spans="1:50" ht="15.75" thickBot="1" x14ac:dyDescent="0.3">
      <c r="A482" s="190" t="str">
        <f t="shared" si="178"/>
        <v>A105</v>
      </c>
      <c r="B482" s="279" t="str">
        <f t="shared" si="177"/>
        <v/>
      </c>
      <c r="C482" s="279"/>
      <c r="D482" s="279"/>
      <c r="E482" s="279" t="str">
        <f t="shared" si="186"/>
        <v/>
      </c>
      <c r="F482" s="241" t="s">
        <v>535</v>
      </c>
      <c r="G482" s="242">
        <v>44673</v>
      </c>
      <c r="H482" s="243"/>
      <c r="I482" s="243"/>
      <c r="J482" s="244" t="s">
        <v>402</v>
      </c>
      <c r="K482" s="179" t="s">
        <v>2763</v>
      </c>
      <c r="L482" s="243" t="s">
        <v>1337</v>
      </c>
      <c r="M482" s="249" t="s">
        <v>558</v>
      </c>
      <c r="N482" s="249">
        <v>95</v>
      </c>
      <c r="O482" s="253" t="s">
        <v>1007</v>
      </c>
      <c r="P482" s="253" t="s">
        <v>1300</v>
      </c>
      <c r="Q482" s="231" t="str">
        <f t="shared" si="196"/>
        <v>A105. Seat Track WITH Motors, FRONT RIGHT</v>
      </c>
      <c r="R482" s="284" t="str">
        <f>HYPERLINK(VLOOKUP(O482,'3D. Pictures'!$B$3:$E$500,4,FALSE),"PIC")</f>
        <v>PIC</v>
      </c>
      <c r="S482" s="373" t="str">
        <f t="shared" si="189"/>
        <v>E.G.</v>
      </c>
      <c r="T482" s="377" t="str">
        <f>IF(O482&lt;&gt;"",_xlfn.XLOOKUP(O482,'3D. Pictures'!B:B,'3D. Pictures'!E:E,"NOT FOUND",0,1),"")</f>
        <v>https://viking-pictures.s3.us-west-1.amazonaws.com/AA1155/A105.+Seat+Track+WITH+Motors%2C+FRONT+RIGHT+(1).JPG</v>
      </c>
      <c r="U482" s="249">
        <v>8</v>
      </c>
      <c r="V482" s="179" t="s">
        <v>1336</v>
      </c>
      <c r="W482" s="249" t="s">
        <v>112</v>
      </c>
      <c r="X482" s="179"/>
      <c r="Y482" s="201"/>
      <c r="Z482" s="179"/>
      <c r="AA482" s="243" t="s">
        <v>1335</v>
      </c>
      <c r="AB482" s="243" t="s">
        <v>1335</v>
      </c>
      <c r="AC482" s="358" t="str">
        <f t="shared" si="188"/>
        <v>toss all if motors or track bad</v>
      </c>
      <c r="AD482" s="243" t="s">
        <v>1334</v>
      </c>
      <c r="AE482" s="243"/>
      <c r="AF482" s="179" t="s">
        <v>543</v>
      </c>
      <c r="AG482" s="263"/>
      <c r="AH482" s="16">
        <v>230</v>
      </c>
      <c r="AI482" s="380">
        <f t="shared" si="191"/>
        <v>230</v>
      </c>
      <c r="AJ482" s="246" t="s">
        <v>408</v>
      </c>
      <c r="AK482" s="246" t="s">
        <v>425</v>
      </c>
      <c r="AL482" s="246" t="s">
        <v>2175</v>
      </c>
      <c r="AM482" s="241"/>
      <c r="AN482" s="251"/>
      <c r="AO482" s="241" t="s">
        <v>572</v>
      </c>
      <c r="AP482" s="241"/>
      <c r="AQ482" s="241"/>
      <c r="AR482" s="241"/>
      <c r="AS482" s="241" t="s">
        <v>1028</v>
      </c>
      <c r="AT482" s="241" t="s">
        <v>1029</v>
      </c>
      <c r="AU482" s="241" t="s">
        <v>1030</v>
      </c>
      <c r="AV482" s="303" t="str">
        <f t="shared" si="195"/>
        <v>F15-14-18-ALL</v>
      </c>
      <c r="AW482" s="241" t="s">
        <v>2428</v>
      </c>
      <c r="AX482" s="279" t="str">
        <f t="shared" si="174"/>
        <v>F15-14-18-ALL-Viking62</v>
      </c>
    </row>
    <row r="483" spans="1:50" ht="15.75" thickBot="1" x14ac:dyDescent="0.3">
      <c r="A483" s="190" t="str">
        <f t="shared" si="178"/>
        <v>A94</v>
      </c>
      <c r="B483" s="279" t="str">
        <f t="shared" si="177"/>
        <v>431-59702</v>
      </c>
      <c r="C483" s="279"/>
      <c r="D483" s="279"/>
      <c r="E483" s="279">
        <f t="shared" si="186"/>
        <v>1</v>
      </c>
      <c r="F483" s="190" t="s">
        <v>535</v>
      </c>
      <c r="G483" s="198">
        <v>44674</v>
      </c>
      <c r="H483" s="210" t="s">
        <v>81</v>
      </c>
      <c r="I483" s="213" t="s">
        <v>435</v>
      </c>
      <c r="J483" s="213" t="s">
        <v>402</v>
      </c>
      <c r="K483" s="213" t="s">
        <v>2764</v>
      </c>
      <c r="L483" s="213" t="s">
        <v>1374</v>
      </c>
      <c r="M483" s="200" t="s">
        <v>558</v>
      </c>
      <c r="N483" s="200">
        <v>84</v>
      </c>
      <c r="O483" s="230" t="s">
        <v>996</v>
      </c>
      <c r="P483" s="230" t="s">
        <v>1300</v>
      </c>
      <c r="Q483" s="231" t="str">
        <f t="shared" si="196"/>
        <v>A94. Driveshaft, REAR - RWD</v>
      </c>
      <c r="R483" s="284" t="str">
        <f>HYPERLINK(VLOOKUP(O483,'3D. Pictures'!$B$3:$E$500,4,FALSE),"PIC")</f>
        <v>PIC</v>
      </c>
      <c r="S483" s="373" t="str">
        <f t="shared" si="189"/>
        <v>E.G.</v>
      </c>
      <c r="T483" s="377" t="str">
        <f>IF(O483&lt;&gt;"",_xlfn.XLOOKUP(O483,'3D. Pictures'!B:B,'3D. Pictures'!E:E,"NOT FOUND",0,1),"")</f>
        <v>https://viking-pictures.s3.us-west-1.amazonaws.com/AA1155/A94.+Driveshaft%2C+REAR+-+RWD+(1).JPG</v>
      </c>
      <c r="U483" s="200">
        <v>5</v>
      </c>
      <c r="V483" s="201" t="s">
        <v>1314</v>
      </c>
      <c r="W483" s="200" t="s">
        <v>112</v>
      </c>
      <c r="X483" s="201"/>
      <c r="Y483" s="179"/>
      <c r="Z483" s="201"/>
      <c r="AA483" s="213" t="s">
        <v>2723</v>
      </c>
      <c r="AB483" s="213" t="s">
        <v>2723</v>
      </c>
      <c r="AC483" s="360" t="str">
        <f t="shared" si="188"/>
        <v>keep all RWD ones</v>
      </c>
      <c r="AD483" s="213" t="s">
        <v>1313</v>
      </c>
      <c r="AE483" s="213"/>
      <c r="AF483" s="201" t="s">
        <v>543</v>
      </c>
      <c r="AG483" s="213"/>
      <c r="AH483" s="369">
        <v>250</v>
      </c>
      <c r="AI483" s="380">
        <f t="shared" si="191"/>
        <v>250</v>
      </c>
      <c r="AJ483" s="204" t="s">
        <v>2177</v>
      </c>
      <c r="AK483" s="204" t="s">
        <v>425</v>
      </c>
      <c r="AL483" s="204" t="s">
        <v>2175</v>
      </c>
      <c r="AM483" s="190"/>
      <c r="AN483" s="191">
        <v>431</v>
      </c>
      <c r="AO483" s="190" t="s">
        <v>572</v>
      </c>
      <c r="AP483" s="190">
        <v>59702</v>
      </c>
      <c r="AQ483" s="190" t="str">
        <f>CONCATENATE(AN483,AO483,AP483)</f>
        <v>431-59702</v>
      </c>
      <c r="AR483" s="190"/>
      <c r="AS483" s="190"/>
      <c r="AT483" s="190"/>
      <c r="AU483" s="190"/>
      <c r="AV483" s="190"/>
      <c r="AW483" s="190"/>
      <c r="AX483" s="279" t="str">
        <f t="shared" ref="AX483:AX549" si="197">IF(AW483&lt;&gt;"",_xlfn.TEXTJOIN("-",TRUE,AV483,AW483),"")</f>
        <v/>
      </c>
    </row>
    <row r="484" spans="1:50" x14ac:dyDescent="0.25">
      <c r="A484" s="190" t="str">
        <f t="shared" si="178"/>
        <v/>
      </c>
      <c r="B484" s="279" t="str">
        <f t="shared" si="177"/>
        <v>431-59823</v>
      </c>
      <c r="C484" s="279"/>
      <c r="D484" s="279"/>
      <c r="E484" s="279">
        <f t="shared" si="186"/>
        <v>1</v>
      </c>
      <c r="F484" s="190" t="s">
        <v>535</v>
      </c>
      <c r="G484" s="198">
        <v>44674</v>
      </c>
      <c r="H484" s="210" t="s">
        <v>81</v>
      </c>
      <c r="I484" s="213" t="s">
        <v>435</v>
      </c>
      <c r="J484" s="213" t="s">
        <v>402</v>
      </c>
      <c r="K484" s="213" t="s">
        <v>2764</v>
      </c>
      <c r="L484" s="213" t="s">
        <v>1374</v>
      </c>
      <c r="M484" s="200" t="s">
        <v>558</v>
      </c>
      <c r="N484" s="200"/>
      <c r="O484" s="230"/>
      <c r="P484" s="230"/>
      <c r="Q484" s="231" t="str">
        <f t="shared" si="196"/>
        <v>. Driveshaft, REAR - AWD</v>
      </c>
      <c r="R484" s="206"/>
      <c r="S484" s="206" t="str">
        <f t="shared" si="189"/>
        <v/>
      </c>
      <c r="T484" s="206" t="str">
        <f>IF(O484&lt;&gt;"",_xlfn.XLOOKUP(O484,'3D. Pictures'!B:B,'3D. Pictures'!E:E,"NOT FOUND",0,1),"")</f>
        <v/>
      </c>
      <c r="U484" s="200"/>
      <c r="V484" s="201"/>
      <c r="W484" s="200"/>
      <c r="X484" s="201"/>
      <c r="Y484" s="179"/>
      <c r="Z484" s="201"/>
      <c r="AA484" s="213" t="s">
        <v>2726</v>
      </c>
      <c r="AB484" s="213" t="s">
        <v>2726</v>
      </c>
      <c r="AC484" s="360" t="str">
        <f t="shared" si="188"/>
        <v>keep AWD 16-18 1412mm part# 7636785, toss all other</v>
      </c>
      <c r="AD484" s="213" t="s">
        <v>2724</v>
      </c>
      <c r="AE484" s="213"/>
      <c r="AF484" s="201" t="s">
        <v>543</v>
      </c>
      <c r="AG484" s="213"/>
      <c r="AH484" s="369">
        <v>450</v>
      </c>
      <c r="AI484" s="380">
        <f t="shared" si="191"/>
        <v>450</v>
      </c>
      <c r="AJ484" s="204" t="s">
        <v>2177</v>
      </c>
      <c r="AK484" s="204" t="s">
        <v>425</v>
      </c>
      <c r="AL484" s="204" t="s">
        <v>2175</v>
      </c>
      <c r="AM484" s="190"/>
      <c r="AN484" s="191">
        <v>431</v>
      </c>
      <c r="AO484" s="190" t="s">
        <v>572</v>
      </c>
      <c r="AP484" s="190">
        <v>59823</v>
      </c>
      <c r="AQ484" s="190" t="str">
        <f>CONCATENATE(AN484,AO484,AP484)</f>
        <v>431-59823</v>
      </c>
      <c r="AR484" s="190"/>
      <c r="AS484" s="190"/>
      <c r="AT484" s="190"/>
      <c r="AU484" s="190"/>
      <c r="AV484" s="190"/>
      <c r="AW484" s="190"/>
      <c r="AX484" s="279" t="str">
        <f t="shared" si="197"/>
        <v/>
      </c>
    </row>
    <row r="485" spans="1:50" x14ac:dyDescent="0.25">
      <c r="A485" s="190" t="str">
        <f t="shared" si="178"/>
        <v/>
      </c>
      <c r="B485" s="279" t="str">
        <f t="shared" si="177"/>
        <v/>
      </c>
      <c r="C485" s="279"/>
      <c r="D485" s="279"/>
      <c r="E485" s="279" t="str">
        <f t="shared" si="186"/>
        <v/>
      </c>
      <c r="F485" s="190" t="s">
        <v>535</v>
      </c>
      <c r="G485" s="198">
        <v>44674</v>
      </c>
      <c r="H485" s="228"/>
      <c r="I485" s="226" t="s">
        <v>435</v>
      </c>
      <c r="J485" s="226" t="s">
        <v>405</v>
      </c>
      <c r="K485" s="226" t="s">
        <v>2764</v>
      </c>
      <c r="L485" s="226" t="s">
        <v>1374</v>
      </c>
      <c r="M485" s="228" t="s">
        <v>558</v>
      </c>
      <c r="N485" s="228"/>
      <c r="O485" s="240"/>
      <c r="P485" s="240"/>
      <c r="Q485" s="231" t="str">
        <f t="shared" si="196"/>
        <v xml:space="preserve">. Driveshaft, REAR - AWD </v>
      </c>
      <c r="R485" s="271"/>
      <c r="S485" s="271" t="str">
        <f t="shared" si="189"/>
        <v/>
      </c>
      <c r="T485" s="271" t="str">
        <f>IF(O485&lt;&gt;"",_xlfn.XLOOKUP(O485,'3D. Pictures'!B:B,'3D. Pictures'!E:E,"NOT FOUND",0,1),"")</f>
        <v/>
      </c>
      <c r="U485" s="228"/>
      <c r="V485" s="226"/>
      <c r="W485" s="228"/>
      <c r="X485" s="226"/>
      <c r="Y485" s="201"/>
      <c r="Z485" s="226"/>
      <c r="AA485" s="226" t="s">
        <v>2725</v>
      </c>
      <c r="AB485" s="226" t="s">
        <v>2725</v>
      </c>
      <c r="AC485" s="361" t="str">
        <f t="shared" si="188"/>
        <v>TOSS 14-15 ALL AWD &amp; 16-18 AWD part# 7589129, 7589128</v>
      </c>
      <c r="AD485" s="226" t="s">
        <v>2798</v>
      </c>
      <c r="AE485" s="226"/>
      <c r="AF485" s="226" t="s">
        <v>543</v>
      </c>
      <c r="AG485" s="226"/>
      <c r="AH485" s="370"/>
      <c r="AI485" s="380" t="str">
        <f t="shared" si="191"/>
        <v/>
      </c>
      <c r="AJ485" s="204" t="s">
        <v>2177</v>
      </c>
      <c r="AK485" s="204" t="s">
        <v>425</v>
      </c>
      <c r="AL485" s="204" t="s">
        <v>2175</v>
      </c>
      <c r="AM485" s="190"/>
      <c r="AN485" s="191"/>
      <c r="AO485" s="190"/>
      <c r="AP485" s="190"/>
      <c r="AQ485" s="190"/>
      <c r="AR485" s="190"/>
      <c r="AS485" s="190"/>
      <c r="AT485" s="190"/>
      <c r="AU485" s="190"/>
      <c r="AV485" s="190"/>
      <c r="AW485" s="190"/>
      <c r="AX485" s="279" t="str">
        <f t="shared" si="197"/>
        <v/>
      </c>
    </row>
    <row r="486" spans="1:50" x14ac:dyDescent="0.25">
      <c r="A486" s="190" t="str">
        <f t="shared" si="178"/>
        <v/>
      </c>
      <c r="B486" s="279" t="str">
        <f t="shared" si="177"/>
        <v/>
      </c>
      <c r="C486" s="279"/>
      <c r="D486" s="279"/>
      <c r="E486" s="279" t="str">
        <f t="shared" si="186"/>
        <v/>
      </c>
      <c r="F486" t="s">
        <v>535</v>
      </c>
      <c r="G486" s="188">
        <v>44680</v>
      </c>
      <c r="H486" s="16"/>
      <c r="I486" s="16" t="s">
        <v>435</v>
      </c>
      <c r="J486" s="16" t="s">
        <v>402</v>
      </c>
      <c r="K486" s="166" t="s">
        <v>2764</v>
      </c>
      <c r="L486" s="16" t="s">
        <v>2625</v>
      </c>
      <c r="M486" s="170" t="s">
        <v>558</v>
      </c>
      <c r="N486" s="170"/>
      <c r="O486" s="237"/>
      <c r="P486" s="237"/>
      <c r="Q486" s="231" t="str">
        <f t="shared" si="196"/>
        <v>. Sway Bar / Stabilizer Bar, FRONT w/ Dynamic Drive</v>
      </c>
      <c r="R486" s="231"/>
      <c r="S486" s="231" t="str">
        <f t="shared" si="189"/>
        <v/>
      </c>
      <c r="T486" s="231" t="str">
        <f>IF(O486&lt;&gt;"",_xlfn.XLOOKUP(O486,'3D. Pictures'!B:B,'3D. Pictures'!E:E,"NOT FOUND",0,1),"")</f>
        <v/>
      </c>
      <c r="U486" s="170"/>
      <c r="V486" s="168"/>
      <c r="W486" s="170"/>
      <c r="X486" s="168"/>
      <c r="Y486" s="168"/>
      <c r="Z486" s="168"/>
      <c r="AA486" s="16" t="s">
        <v>2623</v>
      </c>
      <c r="AB486" s="16" t="s">
        <v>2623</v>
      </c>
      <c r="AC486" s="358" t="str">
        <f t="shared" si="188"/>
        <v>keep dynamic drive, TOSS w/o dynamic drive</v>
      </c>
      <c r="AD486" s="16" t="s">
        <v>2624</v>
      </c>
      <c r="AE486" s="16"/>
      <c r="AF486" s="168" t="s">
        <v>543</v>
      </c>
      <c r="AG486" s="16"/>
      <c r="AH486" s="167">
        <v>320</v>
      </c>
      <c r="AI486" s="380">
        <f t="shared" si="191"/>
        <v>320</v>
      </c>
      <c r="AJ486" s="3" t="s">
        <v>408</v>
      </c>
      <c r="AK486" s="3" t="s">
        <v>425</v>
      </c>
      <c r="AL486" s="3" t="s">
        <v>2175</v>
      </c>
      <c r="AN486"/>
      <c r="AO486" t="s">
        <v>572</v>
      </c>
      <c r="AX486" s="279" t="str">
        <f t="shared" si="197"/>
        <v/>
      </c>
    </row>
    <row r="487" spans="1:50" x14ac:dyDescent="0.25">
      <c r="A487" s="190" t="str">
        <f t="shared" ref="A487" si="198">IF(O487&lt;&gt;"",O487,"")</f>
        <v/>
      </c>
      <c r="B487" s="279" t="str">
        <f t="shared" ref="B487" si="199">IF(AQ487&lt;&gt;"",AQ487,"")</f>
        <v/>
      </c>
      <c r="C487" s="279"/>
      <c r="D487" s="279"/>
      <c r="E487" s="279" t="str">
        <f t="shared" si="186"/>
        <v/>
      </c>
      <c r="F487" t="s">
        <v>535</v>
      </c>
      <c r="G487" s="188">
        <v>44680</v>
      </c>
      <c r="H487" s="10"/>
      <c r="I487" s="10" t="s">
        <v>435</v>
      </c>
      <c r="J487" s="10" t="s">
        <v>405</v>
      </c>
      <c r="K487" s="15" t="s">
        <v>2764</v>
      </c>
      <c r="L487" s="10" t="s">
        <v>2625</v>
      </c>
      <c r="M487" s="351" t="s">
        <v>558</v>
      </c>
      <c r="N487" s="351"/>
      <c r="O487" s="354"/>
      <c r="P487" s="354"/>
      <c r="Q487" s="270" t="str">
        <f t="shared" si="196"/>
        <v>. Sway Bar / Stabilizer Bar, FRONT w/ Dynamic Drive</v>
      </c>
      <c r="R487" s="270"/>
      <c r="S487" s="270" t="str">
        <f t="shared" si="189"/>
        <v/>
      </c>
      <c r="T487" s="270" t="str">
        <f>IF(O487&lt;&gt;"",_xlfn.XLOOKUP(O487,'3D. Pictures'!B:B,'3D. Pictures'!E:E,"NOT FOUND",0,1),"")</f>
        <v/>
      </c>
      <c r="U487" s="351"/>
      <c r="V487" s="172"/>
      <c r="W487" s="351"/>
      <c r="X487" s="172"/>
      <c r="Y487" s="172"/>
      <c r="Z487" s="172"/>
      <c r="AA487" s="10" t="s">
        <v>2623</v>
      </c>
      <c r="AB487" s="10" t="s">
        <v>2623</v>
      </c>
      <c r="AC487" s="359" t="str">
        <f t="shared" si="188"/>
        <v>keep dynamic drive, TOSS w/o dynamic drive</v>
      </c>
      <c r="AD487" s="10" t="s">
        <v>2624</v>
      </c>
      <c r="AE487" s="10"/>
      <c r="AF487" s="172" t="s">
        <v>543</v>
      </c>
      <c r="AG487" s="10"/>
      <c r="AH487" s="355"/>
      <c r="AI487" s="380">
        <f t="shared" si="191"/>
        <v>320</v>
      </c>
      <c r="AJ487" s="3" t="s">
        <v>408</v>
      </c>
      <c r="AK487" s="3" t="s">
        <v>425</v>
      </c>
      <c r="AL487" s="3" t="s">
        <v>2175</v>
      </c>
      <c r="AN487"/>
      <c r="AO487" t="s">
        <v>572</v>
      </c>
      <c r="AX487" s="279" t="str">
        <f t="shared" ref="AX487" si="200">IF(AW487&lt;&gt;"",_xlfn.TEXTJOIN("-",TRUE,AV487,AW487),"")</f>
        <v/>
      </c>
    </row>
    <row r="488" spans="1:50" x14ac:dyDescent="0.25">
      <c r="A488" s="190" t="str">
        <f t="shared" si="178"/>
        <v/>
      </c>
      <c r="B488" s="279" t="str">
        <f t="shared" si="177"/>
        <v>447-62278</v>
      </c>
      <c r="C488" s="279"/>
      <c r="D488" s="279"/>
      <c r="E488" s="279">
        <f t="shared" si="186"/>
        <v>1</v>
      </c>
      <c r="F488" s="190" t="s">
        <v>535</v>
      </c>
      <c r="G488" s="198">
        <v>44673</v>
      </c>
      <c r="H488" s="205"/>
      <c r="I488" s="205"/>
      <c r="J488" s="205" t="s">
        <v>402</v>
      </c>
      <c r="K488" s="205" t="s">
        <v>2764</v>
      </c>
      <c r="L488" s="205" t="s">
        <v>864</v>
      </c>
      <c r="M488" s="200" t="s">
        <v>558</v>
      </c>
      <c r="N488" s="200"/>
      <c r="O488" s="230"/>
      <c r="P488" s="230"/>
      <c r="Q488" s="231" t="str">
        <f t="shared" si="196"/>
        <v>. Axle Shafts, FRONT - LEFT</v>
      </c>
      <c r="R488" s="231"/>
      <c r="S488" s="231" t="str">
        <f t="shared" si="189"/>
        <v/>
      </c>
      <c r="T488" s="231" t="str">
        <f>IF(O488&lt;&gt;"",_xlfn.XLOOKUP(O488,'3D. Pictures'!B:B,'3D. Pictures'!E:E,"NOT FOUND",0,1),"")</f>
        <v/>
      </c>
      <c r="U488" s="200"/>
      <c r="V488" s="201"/>
      <c r="W488" s="200"/>
      <c r="X488" s="201"/>
      <c r="Y488" s="201"/>
      <c r="Z488" s="201"/>
      <c r="AA488" s="205" t="s">
        <v>427</v>
      </c>
      <c r="AB488" s="205" t="s">
        <v>427</v>
      </c>
      <c r="AC488" s="358" t="str">
        <f t="shared" si="188"/>
        <v/>
      </c>
      <c r="AD488" s="205"/>
      <c r="AE488" s="205"/>
      <c r="AF488" s="201" t="s">
        <v>543</v>
      </c>
      <c r="AG488" s="205"/>
      <c r="AH488" s="16">
        <v>400</v>
      </c>
      <c r="AI488" s="380">
        <f t="shared" si="191"/>
        <v>400</v>
      </c>
      <c r="AJ488" s="204" t="s">
        <v>2176</v>
      </c>
      <c r="AK488" s="204" t="s">
        <v>425</v>
      </c>
      <c r="AL488" s="204" t="s">
        <v>2177</v>
      </c>
      <c r="AM488" s="190"/>
      <c r="AN488" s="191" t="s">
        <v>644</v>
      </c>
      <c r="AO488" s="190" t="s">
        <v>572</v>
      </c>
      <c r="AP488" s="190">
        <v>62278</v>
      </c>
      <c r="AQ488" s="190" t="str">
        <f t="shared" ref="AQ488:AQ510" si="201">CONCATENATE(AN488,AO488,AP488)</f>
        <v>447-62278</v>
      </c>
      <c r="AR488" s="190"/>
      <c r="AS488" s="190"/>
      <c r="AT488" s="190"/>
      <c r="AU488" s="190"/>
      <c r="AV488" s="190"/>
      <c r="AW488" s="190"/>
      <c r="AX488" s="279" t="str">
        <f t="shared" si="197"/>
        <v/>
      </c>
    </row>
    <row r="489" spans="1:50" x14ac:dyDescent="0.25">
      <c r="A489" s="190" t="str">
        <f t="shared" si="178"/>
        <v/>
      </c>
      <c r="B489" s="279" t="str">
        <f t="shared" si="177"/>
        <v>447-62277</v>
      </c>
      <c r="C489" s="279"/>
      <c r="D489" s="279"/>
      <c r="E489" s="279">
        <f t="shared" si="186"/>
        <v>1</v>
      </c>
      <c r="F489" s="190" t="s">
        <v>535</v>
      </c>
      <c r="G489" s="198">
        <v>44673</v>
      </c>
      <c r="H489" s="205"/>
      <c r="I489" s="205"/>
      <c r="J489" s="205" t="s">
        <v>402</v>
      </c>
      <c r="K489" s="205" t="s">
        <v>2764</v>
      </c>
      <c r="L489" s="205" t="s">
        <v>864</v>
      </c>
      <c r="M489" s="200" t="s">
        <v>558</v>
      </c>
      <c r="N489" s="200"/>
      <c r="O489" s="230"/>
      <c r="P489" s="230"/>
      <c r="Q489" s="231" t="str">
        <f t="shared" si="196"/>
        <v>. Axle Shafts, FRONT - RIGHT</v>
      </c>
      <c r="R489" s="231"/>
      <c r="S489" s="231" t="str">
        <f t="shared" si="189"/>
        <v/>
      </c>
      <c r="T489" s="231" t="str">
        <f>IF(O489&lt;&gt;"",_xlfn.XLOOKUP(O489,'3D. Pictures'!B:B,'3D. Pictures'!E:E,"NOT FOUND",0,1),"")</f>
        <v/>
      </c>
      <c r="U489" s="200"/>
      <c r="V489" s="201"/>
      <c r="W489" s="200"/>
      <c r="X489" s="201"/>
      <c r="Y489" s="201"/>
      <c r="Z489" s="201"/>
      <c r="AA489" s="205" t="s">
        <v>428</v>
      </c>
      <c r="AB489" s="205" t="s">
        <v>428</v>
      </c>
      <c r="AC489" s="358" t="str">
        <f t="shared" si="188"/>
        <v/>
      </c>
      <c r="AD489" s="205"/>
      <c r="AE489" s="205"/>
      <c r="AF489" s="201" t="s">
        <v>543</v>
      </c>
      <c r="AG489" s="205"/>
      <c r="AH489" s="16">
        <v>350</v>
      </c>
      <c r="AI489" s="380">
        <f t="shared" si="191"/>
        <v>350</v>
      </c>
      <c r="AJ489" s="204" t="s">
        <v>2176</v>
      </c>
      <c r="AK489" s="204" t="s">
        <v>425</v>
      </c>
      <c r="AL489" s="204" t="s">
        <v>2177</v>
      </c>
      <c r="AM489" s="190"/>
      <c r="AN489" s="191" t="s">
        <v>644</v>
      </c>
      <c r="AO489" s="190" t="s">
        <v>572</v>
      </c>
      <c r="AP489" s="190">
        <v>62277</v>
      </c>
      <c r="AQ489" s="190" t="str">
        <f t="shared" si="201"/>
        <v>447-62277</v>
      </c>
      <c r="AR489" s="190"/>
      <c r="AS489" s="190"/>
      <c r="AT489" s="190"/>
      <c r="AU489" s="190"/>
      <c r="AV489" s="190"/>
      <c r="AW489" s="190"/>
      <c r="AX489" s="279" t="str">
        <f t="shared" si="197"/>
        <v/>
      </c>
    </row>
    <row r="490" spans="1:50" x14ac:dyDescent="0.25">
      <c r="A490" s="190" t="str">
        <f t="shared" si="178"/>
        <v/>
      </c>
      <c r="B490" s="279" t="str">
        <f t="shared" si="177"/>
        <v>512-59488</v>
      </c>
      <c r="C490" s="279" t="s">
        <v>2127</v>
      </c>
      <c r="D490" s="279"/>
      <c r="E490" s="279">
        <f t="shared" si="186"/>
        <v>2</v>
      </c>
      <c r="F490" s="190" t="s">
        <v>535</v>
      </c>
      <c r="G490" s="198">
        <v>44683</v>
      </c>
      <c r="H490" s="205"/>
      <c r="I490" s="205"/>
      <c r="J490" s="205" t="s">
        <v>402</v>
      </c>
      <c r="K490" s="205" t="s">
        <v>2764</v>
      </c>
      <c r="L490" s="205" t="s">
        <v>872</v>
      </c>
      <c r="M490" s="200" t="s">
        <v>558</v>
      </c>
      <c r="N490" s="200"/>
      <c r="O490" s="230"/>
      <c r="P490" s="230"/>
      <c r="Q490" s="231" t="str">
        <f t="shared" si="196"/>
        <v>. Control Arms, FRONT - LOWER LEFT FORWARD + REARWARD SET 2</v>
      </c>
      <c r="R490" s="231"/>
      <c r="S490" s="231" t="str">
        <f t="shared" si="189"/>
        <v/>
      </c>
      <c r="T490" s="231" t="str">
        <f>IF(O490&lt;&gt;"",_xlfn.XLOOKUP(O490,'3D. Pictures'!B:B,'3D. Pictures'!E:E,"NOT FOUND",0,1),"")</f>
        <v/>
      </c>
      <c r="U490" s="200"/>
      <c r="V490" s="201"/>
      <c r="W490" s="200"/>
      <c r="X490" s="201"/>
      <c r="Y490" s="201"/>
      <c r="Z490" s="201"/>
      <c r="AA490" s="205" t="s">
        <v>2502</v>
      </c>
      <c r="AB490" s="205" t="s">
        <v>2502</v>
      </c>
      <c r="AC490" s="358" t="str">
        <f t="shared" si="188"/>
        <v>SET 2, sell singles if 1 bad, sell upper "U" separate</v>
      </c>
      <c r="AD490" s="205" t="s">
        <v>2838</v>
      </c>
      <c r="AE490" s="205"/>
      <c r="AF490" s="201" t="s">
        <v>544</v>
      </c>
      <c r="AG490" s="205" t="s">
        <v>866</v>
      </c>
      <c r="AH490" s="16">
        <v>180</v>
      </c>
      <c r="AI490" s="380">
        <f t="shared" si="191"/>
        <v>127.5</v>
      </c>
      <c r="AJ490" s="204" t="s">
        <v>408</v>
      </c>
      <c r="AK490" s="204" t="s">
        <v>425</v>
      </c>
      <c r="AL490" s="204" t="s">
        <v>2175</v>
      </c>
      <c r="AM490" s="190"/>
      <c r="AN490" s="191" t="s">
        <v>645</v>
      </c>
      <c r="AO490" s="190" t="s">
        <v>572</v>
      </c>
      <c r="AP490" s="190">
        <v>59488</v>
      </c>
      <c r="AQ490" s="190" t="str">
        <f t="shared" si="201"/>
        <v>512-59488</v>
      </c>
      <c r="AR490" s="190" t="s">
        <v>865</v>
      </c>
      <c r="AS490" s="190"/>
      <c r="AT490" s="190"/>
      <c r="AU490" s="190"/>
      <c r="AV490" s="190"/>
      <c r="AW490" s="190"/>
      <c r="AX490" s="279" t="str">
        <f t="shared" si="197"/>
        <v/>
      </c>
    </row>
    <row r="491" spans="1:50" x14ac:dyDescent="0.25">
      <c r="A491" s="190" t="str">
        <f t="shared" si="178"/>
        <v/>
      </c>
      <c r="B491" s="279" t="str">
        <f t="shared" si="177"/>
        <v>512-59488</v>
      </c>
      <c r="C491" s="279" t="s">
        <v>2128</v>
      </c>
      <c r="D491" s="279"/>
      <c r="E491" s="279">
        <f t="shared" si="186"/>
        <v>2</v>
      </c>
      <c r="F491" s="190" t="s">
        <v>535</v>
      </c>
      <c r="G491" s="198">
        <v>44683</v>
      </c>
      <c r="H491" s="205"/>
      <c r="I491" s="205"/>
      <c r="J491" s="205" t="s">
        <v>402</v>
      </c>
      <c r="K491" s="205" t="s">
        <v>2764</v>
      </c>
      <c r="L491" s="205" t="s">
        <v>872</v>
      </c>
      <c r="M491" s="200" t="s">
        <v>558</v>
      </c>
      <c r="N491" s="200"/>
      <c r="O491" s="230"/>
      <c r="P491" s="230"/>
      <c r="Q491" s="231" t="str">
        <f t="shared" si="196"/>
        <v>. Control Arms, FRONT - LOWER LEFT, FORWARD</v>
      </c>
      <c r="R491" s="231"/>
      <c r="S491" s="231" t="str">
        <f t="shared" si="189"/>
        <v/>
      </c>
      <c r="T491" s="231" t="str">
        <f>IF(O491&lt;&gt;"",_xlfn.XLOOKUP(O491,'3D. Pictures'!B:B,'3D. Pictures'!E:E,"NOT FOUND",0,1),"")</f>
        <v/>
      </c>
      <c r="U491" s="200"/>
      <c r="V491" s="201"/>
      <c r="W491" s="200"/>
      <c r="X491" s="201"/>
      <c r="Y491" s="201"/>
      <c r="Z491" s="201"/>
      <c r="AA491" s="205" t="s">
        <v>2502</v>
      </c>
      <c r="AB491" s="205" t="s">
        <v>867</v>
      </c>
      <c r="AC491" s="358" t="str">
        <f t="shared" si="188"/>
        <v/>
      </c>
      <c r="AD491" s="205"/>
      <c r="AE491" s="205"/>
      <c r="AF491" s="201" t="s">
        <v>543</v>
      </c>
      <c r="AG491" s="205"/>
      <c r="AH491" s="16">
        <v>110</v>
      </c>
      <c r="AI491" s="380">
        <f t="shared" si="191"/>
        <v>127.5</v>
      </c>
      <c r="AJ491" s="204" t="s">
        <v>408</v>
      </c>
      <c r="AK491" s="204" t="s">
        <v>425</v>
      </c>
      <c r="AL491" s="204" t="s">
        <v>2175</v>
      </c>
      <c r="AM491" s="190"/>
      <c r="AN491" s="191" t="s">
        <v>645</v>
      </c>
      <c r="AO491" s="190" t="s">
        <v>572</v>
      </c>
      <c r="AP491" s="190">
        <v>59488</v>
      </c>
      <c r="AQ491" s="190" t="str">
        <f t="shared" si="201"/>
        <v>512-59488</v>
      </c>
      <c r="AR491" s="190" t="s">
        <v>865</v>
      </c>
      <c r="AS491" s="190"/>
      <c r="AT491" s="190"/>
      <c r="AU491" s="190"/>
      <c r="AV491" s="190"/>
      <c r="AW491" s="190"/>
      <c r="AX491" s="279" t="str">
        <f t="shared" si="197"/>
        <v/>
      </c>
    </row>
    <row r="492" spans="1:50" x14ac:dyDescent="0.25">
      <c r="A492" s="190" t="str">
        <f t="shared" si="178"/>
        <v/>
      </c>
      <c r="B492" s="279" t="str">
        <f t="shared" si="177"/>
        <v>512-59490</v>
      </c>
      <c r="C492" s="279"/>
      <c r="D492" s="279"/>
      <c r="E492" s="279">
        <f t="shared" si="186"/>
        <v>1</v>
      </c>
      <c r="F492" s="190" t="s">
        <v>535</v>
      </c>
      <c r="G492" s="198">
        <v>44683</v>
      </c>
      <c r="H492" s="205"/>
      <c r="I492" s="205"/>
      <c r="J492" s="205" t="s">
        <v>402</v>
      </c>
      <c r="K492" s="205" t="s">
        <v>2764</v>
      </c>
      <c r="L492" s="205" t="s">
        <v>872</v>
      </c>
      <c r="M492" s="200" t="s">
        <v>558</v>
      </c>
      <c r="N492" s="200"/>
      <c r="O492" s="230"/>
      <c r="P492" s="230"/>
      <c r="Q492" s="231" t="str">
        <f t="shared" si="196"/>
        <v>. Control Arms, FRONT - LOWER LEFT, FORWARD</v>
      </c>
      <c r="R492" s="231"/>
      <c r="S492" s="231" t="str">
        <f t="shared" si="189"/>
        <v/>
      </c>
      <c r="T492" s="231" t="str">
        <f>IF(O492&lt;&gt;"",_xlfn.XLOOKUP(O492,'3D. Pictures'!B:B,'3D. Pictures'!E:E,"NOT FOUND",0,1),"")</f>
        <v/>
      </c>
      <c r="U492" s="200"/>
      <c r="V492" s="201"/>
      <c r="W492" s="200"/>
      <c r="X492" s="201"/>
      <c r="Y492" s="201"/>
      <c r="Z492" s="201"/>
      <c r="AA492" s="205" t="s">
        <v>2502</v>
      </c>
      <c r="AB492" s="205" t="s">
        <v>867</v>
      </c>
      <c r="AC492" s="358" t="str">
        <f t="shared" si="188"/>
        <v/>
      </c>
      <c r="AD492" s="205"/>
      <c r="AE492" s="205"/>
      <c r="AF492" s="201" t="s">
        <v>543</v>
      </c>
      <c r="AG492" s="205"/>
      <c r="AH492" s="16">
        <v>110</v>
      </c>
      <c r="AI492" s="380">
        <f t="shared" si="191"/>
        <v>127.5</v>
      </c>
      <c r="AJ492" s="204" t="s">
        <v>408</v>
      </c>
      <c r="AK492" s="204" t="s">
        <v>425</v>
      </c>
      <c r="AL492" s="204" t="s">
        <v>2175</v>
      </c>
      <c r="AM492" s="190"/>
      <c r="AN492" s="191" t="s">
        <v>645</v>
      </c>
      <c r="AO492" s="190" t="s">
        <v>572</v>
      </c>
      <c r="AP492" s="190">
        <v>59490</v>
      </c>
      <c r="AQ492" s="190" t="str">
        <f t="shared" si="201"/>
        <v>512-59490</v>
      </c>
      <c r="AR492" s="190" t="s">
        <v>869</v>
      </c>
      <c r="AS492" s="190"/>
      <c r="AT492" s="190"/>
      <c r="AU492" s="190"/>
      <c r="AV492" s="190"/>
      <c r="AW492" s="190"/>
      <c r="AX492" s="279" t="str">
        <f t="shared" si="197"/>
        <v/>
      </c>
    </row>
    <row r="493" spans="1:50" x14ac:dyDescent="0.25">
      <c r="A493" s="190" t="str">
        <f t="shared" si="178"/>
        <v/>
      </c>
      <c r="B493" s="279" t="str">
        <f t="shared" si="177"/>
        <v>512-59492</v>
      </c>
      <c r="C493" s="279"/>
      <c r="D493" s="279"/>
      <c r="E493" s="279">
        <f t="shared" si="186"/>
        <v>1</v>
      </c>
      <c r="F493" s="190" t="s">
        <v>535</v>
      </c>
      <c r="G493" s="198">
        <v>44683</v>
      </c>
      <c r="H493" s="205"/>
      <c r="I493" s="205"/>
      <c r="J493" s="205" t="s">
        <v>402</v>
      </c>
      <c r="K493" s="205" t="s">
        <v>2764</v>
      </c>
      <c r="L493" s="205" t="s">
        <v>872</v>
      </c>
      <c r="M493" s="200" t="s">
        <v>558</v>
      </c>
      <c r="N493" s="200"/>
      <c r="O493" s="230"/>
      <c r="P493" s="230"/>
      <c r="Q493" s="231" t="str">
        <f t="shared" si="196"/>
        <v>. Control Arms, FRONT - LOWER LEFT, REARWARD</v>
      </c>
      <c r="R493" s="231"/>
      <c r="S493" s="231" t="str">
        <f t="shared" si="189"/>
        <v/>
      </c>
      <c r="T493" s="231" t="str">
        <f>IF(O493&lt;&gt;"",_xlfn.XLOOKUP(O493,'3D. Pictures'!B:B,'3D. Pictures'!E:E,"NOT FOUND",0,1),"")</f>
        <v/>
      </c>
      <c r="U493" s="200"/>
      <c r="V493" s="201"/>
      <c r="W493" s="200"/>
      <c r="X493" s="201"/>
      <c r="Y493" s="168"/>
      <c r="Z493" s="201"/>
      <c r="AA493" s="205" t="s">
        <v>2502</v>
      </c>
      <c r="AB493" s="205" t="s">
        <v>868</v>
      </c>
      <c r="AC493" s="358" t="str">
        <f t="shared" si="188"/>
        <v/>
      </c>
      <c r="AD493" s="205"/>
      <c r="AE493" s="205"/>
      <c r="AF493" s="201" t="s">
        <v>543</v>
      </c>
      <c r="AG493" s="205"/>
      <c r="AH493" s="16">
        <v>110</v>
      </c>
      <c r="AI493" s="380">
        <f t="shared" si="191"/>
        <v>127.5</v>
      </c>
      <c r="AJ493" s="204" t="s">
        <v>408</v>
      </c>
      <c r="AK493" s="204" t="s">
        <v>425</v>
      </c>
      <c r="AL493" s="204" t="s">
        <v>2175</v>
      </c>
      <c r="AM493" s="190"/>
      <c r="AN493" s="191" t="s">
        <v>645</v>
      </c>
      <c r="AO493" s="190" t="s">
        <v>572</v>
      </c>
      <c r="AP493" s="190">
        <v>59492</v>
      </c>
      <c r="AQ493" s="190" t="str">
        <f t="shared" si="201"/>
        <v>512-59492</v>
      </c>
      <c r="AR493" s="190"/>
      <c r="AS493" s="190"/>
      <c r="AT493" s="190"/>
      <c r="AU493" s="190"/>
      <c r="AV493" s="190"/>
      <c r="AW493" s="190"/>
      <c r="AX493" s="279" t="str">
        <f t="shared" si="197"/>
        <v/>
      </c>
    </row>
    <row r="494" spans="1:50" x14ac:dyDescent="0.25">
      <c r="A494" s="190" t="str">
        <f t="shared" si="178"/>
        <v/>
      </c>
      <c r="B494" s="279" t="str">
        <f t="shared" si="177"/>
        <v>512-59487</v>
      </c>
      <c r="C494" s="279" t="s">
        <v>2129</v>
      </c>
      <c r="D494" s="279"/>
      <c r="E494" s="279">
        <f t="shared" si="186"/>
        <v>2</v>
      </c>
      <c r="F494" s="190" t="s">
        <v>535</v>
      </c>
      <c r="G494" s="198">
        <v>44683</v>
      </c>
      <c r="H494" s="205"/>
      <c r="I494" s="205"/>
      <c r="J494" s="205" t="s">
        <v>402</v>
      </c>
      <c r="K494" s="205" t="s">
        <v>2764</v>
      </c>
      <c r="L494" s="205" t="s">
        <v>872</v>
      </c>
      <c r="M494" s="200" t="s">
        <v>558</v>
      </c>
      <c r="N494" s="200"/>
      <c r="O494" s="230"/>
      <c r="P494" s="230"/>
      <c r="Q494" s="231" t="str">
        <f t="shared" si="196"/>
        <v>. Control Arms, FRONT - LOWER RIGHT FORWARD + REARWARD SET 2</v>
      </c>
      <c r="R494" s="231"/>
      <c r="S494" s="231" t="str">
        <f t="shared" si="189"/>
        <v/>
      </c>
      <c r="T494" s="231" t="str">
        <f>IF(O494&lt;&gt;"",_xlfn.XLOOKUP(O494,'3D. Pictures'!B:B,'3D. Pictures'!E:E,"NOT FOUND",0,1),"")</f>
        <v/>
      </c>
      <c r="U494" s="200"/>
      <c r="V494" s="201"/>
      <c r="W494" s="200"/>
      <c r="X494" s="201"/>
      <c r="Y494" s="16"/>
      <c r="Z494" s="201"/>
      <c r="AA494" s="205" t="s">
        <v>2503</v>
      </c>
      <c r="AB494" s="205" t="s">
        <v>2503</v>
      </c>
      <c r="AC494" s="358" t="str">
        <f t="shared" si="188"/>
        <v>SET 2, sell singles if 1 bad, sell upper "U" separate</v>
      </c>
      <c r="AD494" s="205" t="s">
        <v>2838</v>
      </c>
      <c r="AE494" s="205"/>
      <c r="AF494" s="201" t="s">
        <v>544</v>
      </c>
      <c r="AG494" s="205" t="s">
        <v>866</v>
      </c>
      <c r="AH494" s="16">
        <v>180</v>
      </c>
      <c r="AI494" s="380">
        <f t="shared" si="191"/>
        <v>127.5</v>
      </c>
      <c r="AJ494" s="204" t="s">
        <v>408</v>
      </c>
      <c r="AK494" s="204" t="s">
        <v>425</v>
      </c>
      <c r="AL494" s="204" t="s">
        <v>2175</v>
      </c>
      <c r="AM494" s="190"/>
      <c r="AN494" s="191" t="s">
        <v>645</v>
      </c>
      <c r="AO494" s="190" t="s">
        <v>572</v>
      </c>
      <c r="AP494" s="190">
        <v>59487</v>
      </c>
      <c r="AQ494" s="190" t="str">
        <f t="shared" si="201"/>
        <v>512-59487</v>
      </c>
      <c r="AR494" s="190" t="s">
        <v>865</v>
      </c>
      <c r="AS494" s="190"/>
      <c r="AT494" s="190"/>
      <c r="AU494" s="190"/>
      <c r="AV494" s="190"/>
      <c r="AW494" s="190"/>
      <c r="AX494" s="279" t="str">
        <f t="shared" si="197"/>
        <v/>
      </c>
    </row>
    <row r="495" spans="1:50" x14ac:dyDescent="0.25">
      <c r="A495" s="190" t="str">
        <f t="shared" si="178"/>
        <v/>
      </c>
      <c r="B495" s="279" t="str">
        <f t="shared" si="177"/>
        <v>512-59487</v>
      </c>
      <c r="C495" s="279" t="s">
        <v>2130</v>
      </c>
      <c r="D495" s="279"/>
      <c r="E495" s="279">
        <f t="shared" si="186"/>
        <v>2</v>
      </c>
      <c r="F495" s="190" t="s">
        <v>535</v>
      </c>
      <c r="G495" s="198">
        <v>44683</v>
      </c>
      <c r="H495" s="205"/>
      <c r="I495" s="205"/>
      <c r="J495" s="205" t="s">
        <v>402</v>
      </c>
      <c r="K495" s="205" t="s">
        <v>2764</v>
      </c>
      <c r="L495" s="205" t="s">
        <v>872</v>
      </c>
      <c r="M495" s="200" t="s">
        <v>558</v>
      </c>
      <c r="N495" s="200"/>
      <c r="O495" s="230"/>
      <c r="P495" s="230"/>
      <c r="Q495" s="231" t="str">
        <f t="shared" si="196"/>
        <v>. Control Arms, FRONT - LOWER RIGHT, FORWARD</v>
      </c>
      <c r="R495" s="231"/>
      <c r="S495" s="231" t="str">
        <f t="shared" si="189"/>
        <v/>
      </c>
      <c r="T495" s="231" t="str">
        <f>IF(O495&lt;&gt;"",_xlfn.XLOOKUP(O495,'3D. Pictures'!B:B,'3D. Pictures'!E:E,"NOT FOUND",0,1),"")</f>
        <v/>
      </c>
      <c r="U495" s="200"/>
      <c r="V495" s="201"/>
      <c r="W495" s="200"/>
      <c r="X495" s="201"/>
      <c r="Y495" s="168"/>
      <c r="Z495" s="201"/>
      <c r="AA495" s="205" t="s">
        <v>2503</v>
      </c>
      <c r="AB495" s="205" t="s">
        <v>870</v>
      </c>
      <c r="AC495" s="358" t="str">
        <f t="shared" si="188"/>
        <v/>
      </c>
      <c r="AD495" s="205"/>
      <c r="AE495" s="205"/>
      <c r="AF495" s="201" t="s">
        <v>543</v>
      </c>
      <c r="AG495" s="205"/>
      <c r="AH495" s="16">
        <v>110</v>
      </c>
      <c r="AI495" s="380">
        <f t="shared" si="191"/>
        <v>127.5</v>
      </c>
      <c r="AJ495" s="204" t="s">
        <v>408</v>
      </c>
      <c r="AK495" s="204" t="s">
        <v>425</v>
      </c>
      <c r="AL495" s="204" t="s">
        <v>2175</v>
      </c>
      <c r="AM495" s="190"/>
      <c r="AN495" s="191" t="s">
        <v>645</v>
      </c>
      <c r="AO495" s="190" t="s">
        <v>572</v>
      </c>
      <c r="AP495" s="190">
        <v>59487</v>
      </c>
      <c r="AQ495" s="190" t="str">
        <f t="shared" si="201"/>
        <v>512-59487</v>
      </c>
      <c r="AR495" s="190" t="s">
        <v>865</v>
      </c>
      <c r="AS495" s="190"/>
      <c r="AT495" s="190"/>
      <c r="AU495" s="190"/>
      <c r="AV495" s="190"/>
      <c r="AW495" s="190"/>
      <c r="AX495" s="279" t="str">
        <f t="shared" si="197"/>
        <v/>
      </c>
    </row>
    <row r="496" spans="1:50" x14ac:dyDescent="0.25">
      <c r="A496" s="190" t="str">
        <f t="shared" si="178"/>
        <v/>
      </c>
      <c r="B496" s="279" t="str">
        <f t="shared" si="177"/>
        <v>512-59489</v>
      </c>
      <c r="C496" s="279"/>
      <c r="D496" s="279"/>
      <c r="E496" s="279">
        <f t="shared" si="186"/>
        <v>1</v>
      </c>
      <c r="F496" s="190" t="s">
        <v>535</v>
      </c>
      <c r="G496" s="198">
        <v>44683</v>
      </c>
      <c r="H496" s="205"/>
      <c r="I496" s="205"/>
      <c r="J496" s="205" t="s">
        <v>402</v>
      </c>
      <c r="K496" s="205" t="s">
        <v>2764</v>
      </c>
      <c r="L496" s="205" t="s">
        <v>872</v>
      </c>
      <c r="M496" s="200" t="s">
        <v>558</v>
      </c>
      <c r="N496" s="200"/>
      <c r="O496" s="230"/>
      <c r="P496" s="230"/>
      <c r="Q496" s="231" t="str">
        <f t="shared" si="196"/>
        <v>. Control Arms, FRONT - LOWER RIGHT, FORWARD</v>
      </c>
      <c r="R496" s="231"/>
      <c r="S496" s="231" t="str">
        <f t="shared" si="189"/>
        <v/>
      </c>
      <c r="T496" s="231" t="str">
        <f>IF(O496&lt;&gt;"",_xlfn.XLOOKUP(O496,'3D. Pictures'!B:B,'3D. Pictures'!E:E,"NOT FOUND",0,1),"")</f>
        <v/>
      </c>
      <c r="U496" s="200"/>
      <c r="V496" s="201"/>
      <c r="W496" s="200"/>
      <c r="X496" s="201"/>
      <c r="Y496" s="16"/>
      <c r="Z496" s="201"/>
      <c r="AA496" s="205" t="s">
        <v>2503</v>
      </c>
      <c r="AB496" s="205" t="s">
        <v>870</v>
      </c>
      <c r="AC496" s="358" t="str">
        <f t="shared" si="188"/>
        <v/>
      </c>
      <c r="AD496" s="205"/>
      <c r="AE496" s="205"/>
      <c r="AF496" s="201" t="s">
        <v>543</v>
      </c>
      <c r="AG496" s="205"/>
      <c r="AH496" s="16">
        <v>110</v>
      </c>
      <c r="AI496" s="380">
        <f t="shared" si="191"/>
        <v>127.5</v>
      </c>
      <c r="AJ496" s="204" t="s">
        <v>408</v>
      </c>
      <c r="AK496" s="204" t="s">
        <v>425</v>
      </c>
      <c r="AL496" s="204" t="s">
        <v>2175</v>
      </c>
      <c r="AM496" s="190"/>
      <c r="AN496" s="191" t="s">
        <v>645</v>
      </c>
      <c r="AO496" s="190" t="s">
        <v>572</v>
      </c>
      <c r="AP496" s="190">
        <v>59489</v>
      </c>
      <c r="AQ496" s="190" t="str">
        <f t="shared" si="201"/>
        <v>512-59489</v>
      </c>
      <c r="AR496" s="190" t="s">
        <v>869</v>
      </c>
      <c r="AS496" s="190"/>
      <c r="AT496" s="190"/>
      <c r="AU496" s="190"/>
      <c r="AV496" s="190"/>
      <c r="AW496" s="190"/>
      <c r="AX496" s="279" t="str">
        <f t="shared" si="197"/>
        <v/>
      </c>
    </row>
    <row r="497" spans="1:50" x14ac:dyDescent="0.25">
      <c r="A497" s="190" t="str">
        <f t="shared" si="178"/>
        <v/>
      </c>
      <c r="B497" s="279" t="str">
        <f t="shared" si="177"/>
        <v>512-59491</v>
      </c>
      <c r="C497" s="279"/>
      <c r="D497" s="279"/>
      <c r="E497" s="279">
        <f t="shared" si="186"/>
        <v>1</v>
      </c>
      <c r="F497" s="190" t="s">
        <v>535</v>
      </c>
      <c r="G497" s="198">
        <v>44683</v>
      </c>
      <c r="H497" s="205"/>
      <c r="I497" s="205"/>
      <c r="J497" s="205" t="s">
        <v>402</v>
      </c>
      <c r="K497" s="205" t="s">
        <v>2764</v>
      </c>
      <c r="L497" s="205" t="s">
        <v>872</v>
      </c>
      <c r="M497" s="200" t="s">
        <v>558</v>
      </c>
      <c r="N497" s="200"/>
      <c r="O497" s="230"/>
      <c r="P497" s="230"/>
      <c r="Q497" s="231" t="str">
        <f t="shared" si="196"/>
        <v>. Control Arms, FRONT - LOWER RIGHT, REARWARD</v>
      </c>
      <c r="R497" s="231"/>
      <c r="S497" s="231" t="str">
        <f t="shared" si="189"/>
        <v/>
      </c>
      <c r="T497" s="231" t="str">
        <f>IF(O497&lt;&gt;"",_xlfn.XLOOKUP(O497,'3D. Pictures'!B:B,'3D. Pictures'!E:E,"NOT FOUND",0,1),"")</f>
        <v/>
      </c>
      <c r="U497" s="200"/>
      <c r="V497" s="201"/>
      <c r="W497" s="200"/>
      <c r="X497" s="201"/>
      <c r="Y497" s="243"/>
      <c r="Z497" s="201"/>
      <c r="AA497" s="205" t="s">
        <v>2503</v>
      </c>
      <c r="AB497" s="205" t="s">
        <v>871</v>
      </c>
      <c r="AC497" s="358" t="str">
        <f t="shared" si="188"/>
        <v/>
      </c>
      <c r="AD497" s="205"/>
      <c r="AE497" s="205"/>
      <c r="AF497" s="201" t="s">
        <v>543</v>
      </c>
      <c r="AG497" s="205"/>
      <c r="AH497" s="16">
        <v>110</v>
      </c>
      <c r="AI497" s="380">
        <f t="shared" si="191"/>
        <v>127.5</v>
      </c>
      <c r="AJ497" s="204" t="s">
        <v>408</v>
      </c>
      <c r="AK497" s="204" t="s">
        <v>425</v>
      </c>
      <c r="AL497" s="204" t="s">
        <v>2175</v>
      </c>
      <c r="AM497" s="190"/>
      <c r="AN497" s="191" t="s">
        <v>645</v>
      </c>
      <c r="AO497" s="190" t="s">
        <v>572</v>
      </c>
      <c r="AP497" s="190">
        <v>59491</v>
      </c>
      <c r="AQ497" s="190" t="str">
        <f t="shared" si="201"/>
        <v>512-59491</v>
      </c>
      <c r="AR497" s="190"/>
      <c r="AS497" s="190"/>
      <c r="AT497" s="190"/>
      <c r="AU497" s="190"/>
      <c r="AV497" s="190"/>
      <c r="AW497" s="190"/>
      <c r="AX497" s="279" t="str">
        <f t="shared" si="197"/>
        <v/>
      </c>
    </row>
    <row r="498" spans="1:50" ht="15.75" thickBot="1" x14ac:dyDescent="0.3">
      <c r="A498" s="190" t="str">
        <f t="shared" si="178"/>
        <v/>
      </c>
      <c r="B498" s="279" t="str">
        <f t="shared" si="177"/>
        <v>511-50148</v>
      </c>
      <c r="C498" s="279" t="s">
        <v>2149</v>
      </c>
      <c r="D498" s="279"/>
      <c r="E498" s="279">
        <f t="shared" si="186"/>
        <v>2</v>
      </c>
      <c r="F498" s="190" t="s">
        <v>535</v>
      </c>
      <c r="G498" s="198">
        <v>44683</v>
      </c>
      <c r="H498" s="205"/>
      <c r="I498" s="205"/>
      <c r="J498" s="205" t="s">
        <v>402</v>
      </c>
      <c r="K498" s="205" t="s">
        <v>2764</v>
      </c>
      <c r="L498" s="205" t="s">
        <v>872</v>
      </c>
      <c r="M498" s="200" t="s">
        <v>558</v>
      </c>
      <c r="N498" s="200"/>
      <c r="O498" s="230"/>
      <c r="P498" s="230"/>
      <c r="Q498" s="231" t="str">
        <f t="shared" si="196"/>
        <v>. Control Arms, FRONT - UPPER "U" WISHBONE ONES as SET 2</v>
      </c>
      <c r="R498" s="231"/>
      <c r="S498" s="231" t="str">
        <f t="shared" si="189"/>
        <v/>
      </c>
      <c r="T498" s="231" t="str">
        <f>IF(O498&lt;&gt;"",_xlfn.XLOOKUP(O498,'3D. Pictures'!B:B,'3D. Pictures'!E:E,"NOT FOUND",0,1),"")</f>
        <v/>
      </c>
      <c r="U498" s="200"/>
      <c r="V498" s="201"/>
      <c r="W498" s="200"/>
      <c r="X498" s="201"/>
      <c r="Y498" s="16"/>
      <c r="Z498" s="201"/>
      <c r="AA498" s="205" t="s">
        <v>2504</v>
      </c>
      <c r="AB498" s="205" t="s">
        <v>2504</v>
      </c>
      <c r="AC498" s="358" t="str">
        <f t="shared" si="188"/>
        <v>SET 2, sell singles if 1 bad</v>
      </c>
      <c r="AD498" s="205" t="s">
        <v>2550</v>
      </c>
      <c r="AE498" s="205"/>
      <c r="AF498" s="201" t="s">
        <v>544</v>
      </c>
      <c r="AG498" s="205"/>
      <c r="AH498" s="16">
        <v>80</v>
      </c>
      <c r="AI498" s="380">
        <f t="shared" si="191"/>
        <v>58.666666666666664</v>
      </c>
      <c r="AJ498" s="204" t="s">
        <v>408</v>
      </c>
      <c r="AK498" s="204" t="s">
        <v>425</v>
      </c>
      <c r="AL498" s="204" t="s">
        <v>2175</v>
      </c>
      <c r="AM498" s="190"/>
      <c r="AN498" s="191">
        <v>511</v>
      </c>
      <c r="AO498" s="190" t="s">
        <v>572</v>
      </c>
      <c r="AP498" s="190">
        <v>50148</v>
      </c>
      <c r="AQ498" s="190" t="str">
        <f t="shared" si="201"/>
        <v>511-50148</v>
      </c>
      <c r="AR498" s="190"/>
      <c r="AS498" s="190"/>
      <c r="AT498" s="190"/>
      <c r="AU498" s="190"/>
      <c r="AV498" s="190"/>
      <c r="AW498" s="190"/>
      <c r="AX498" s="279" t="str">
        <f t="shared" si="197"/>
        <v/>
      </c>
    </row>
    <row r="499" spans="1:50" ht="15.75" thickBot="1" x14ac:dyDescent="0.3">
      <c r="A499" s="190" t="str">
        <f t="shared" si="178"/>
        <v>A13</v>
      </c>
      <c r="B499" s="279" t="str">
        <f t="shared" si="177"/>
        <v>511-50148</v>
      </c>
      <c r="C499" s="279" t="s">
        <v>2150</v>
      </c>
      <c r="D499" s="279"/>
      <c r="E499" s="279">
        <f t="shared" si="186"/>
        <v>2</v>
      </c>
      <c r="F499" s="190" t="s">
        <v>535</v>
      </c>
      <c r="G499" s="198">
        <v>44683</v>
      </c>
      <c r="H499" s="205"/>
      <c r="I499" s="205"/>
      <c r="J499" s="205" t="s">
        <v>402</v>
      </c>
      <c r="K499" s="205" t="s">
        <v>2764</v>
      </c>
      <c r="L499" s="205" t="s">
        <v>872</v>
      </c>
      <c r="M499" s="200" t="s">
        <v>558</v>
      </c>
      <c r="N499" s="200">
        <v>3</v>
      </c>
      <c r="O499" s="230" t="s">
        <v>915</v>
      </c>
      <c r="P499" s="230" t="s">
        <v>1035</v>
      </c>
      <c r="Q499" s="231" t="str">
        <f t="shared" si="196"/>
        <v>A13. Control Arms, FRONT - UPPER "U" WISHBONE, LEFT</v>
      </c>
      <c r="R499" s="284" t="str">
        <f>HYPERLINK(VLOOKUP(O499,'3D. Pictures'!$B$3:$E$500,4,FALSE),"PIC")</f>
        <v>PIC</v>
      </c>
      <c r="S499" s="373" t="str">
        <f t="shared" si="189"/>
        <v>E.G.</v>
      </c>
      <c r="T499" s="377" t="str">
        <f>IF(O499&lt;&gt;"",_xlfn.XLOOKUP(O499,'3D. Pictures'!B:B,'3D. Pictures'!E:E,"NOT FOUND",0,1),"")</f>
        <v>https://viking-pictures.s3.us-west-1.amazonaws.com/AA1155/A13.+Control+Arms%2C+FRONT+-+UPPER+U+WISHBONE%2C+LEFT+(1).JPG</v>
      </c>
      <c r="U499" s="200">
        <v>5</v>
      </c>
      <c r="V499" s="247" t="s">
        <v>1039</v>
      </c>
      <c r="W499" s="200" t="s">
        <v>111</v>
      </c>
      <c r="X499" s="201"/>
      <c r="Y499" s="243"/>
      <c r="Z499" s="201"/>
      <c r="AA499" s="205" t="s">
        <v>2504</v>
      </c>
      <c r="AB499" s="205" t="s">
        <v>873</v>
      </c>
      <c r="AC499" s="358" t="str">
        <f t="shared" si="188"/>
        <v/>
      </c>
      <c r="AD499" s="205"/>
      <c r="AE499" s="205"/>
      <c r="AF499" s="201" t="s">
        <v>543</v>
      </c>
      <c r="AG499" s="205"/>
      <c r="AH499" s="16">
        <v>48</v>
      </c>
      <c r="AI499" s="380">
        <f t="shared" si="191"/>
        <v>58.666666666666664</v>
      </c>
      <c r="AJ499" s="204" t="s">
        <v>408</v>
      </c>
      <c r="AK499" s="204" t="s">
        <v>425</v>
      </c>
      <c r="AL499" s="204" t="s">
        <v>2175</v>
      </c>
      <c r="AM499" s="190"/>
      <c r="AN499" s="191">
        <v>511</v>
      </c>
      <c r="AO499" s="190" t="s">
        <v>572</v>
      </c>
      <c r="AP499" s="190">
        <v>50148</v>
      </c>
      <c r="AQ499" s="190" t="str">
        <f t="shared" si="201"/>
        <v>511-50148</v>
      </c>
      <c r="AR499" s="190"/>
      <c r="AS499" s="190"/>
      <c r="AT499" s="190"/>
      <c r="AU499" s="190"/>
      <c r="AV499" s="190"/>
      <c r="AW499" s="190"/>
      <c r="AX499" s="279" t="str">
        <f t="shared" si="197"/>
        <v/>
      </c>
    </row>
    <row r="500" spans="1:50" ht="15.75" thickBot="1" x14ac:dyDescent="0.3">
      <c r="A500" s="190" t="str">
        <f t="shared" si="178"/>
        <v>A21</v>
      </c>
      <c r="B500" s="279" t="str">
        <f t="shared" si="177"/>
        <v>511-50147</v>
      </c>
      <c r="C500" s="279"/>
      <c r="D500" s="279"/>
      <c r="E500" s="279">
        <f t="shared" si="186"/>
        <v>1</v>
      </c>
      <c r="F500" s="190" t="s">
        <v>535</v>
      </c>
      <c r="G500" s="198">
        <v>44683</v>
      </c>
      <c r="H500" s="205"/>
      <c r="I500" s="205"/>
      <c r="J500" s="205" t="s">
        <v>402</v>
      </c>
      <c r="K500" s="205" t="s">
        <v>2764</v>
      </c>
      <c r="L500" s="205" t="s">
        <v>872</v>
      </c>
      <c r="M500" s="200" t="s">
        <v>558</v>
      </c>
      <c r="N500" s="200">
        <v>11</v>
      </c>
      <c r="O500" s="230" t="s">
        <v>923</v>
      </c>
      <c r="P500" s="230" t="s">
        <v>1035</v>
      </c>
      <c r="Q500" s="231" t="str">
        <f t="shared" si="196"/>
        <v>A21. Control Arms, FRONT - UPPER "U" WISHBONE, RIGHT</v>
      </c>
      <c r="R500" s="284" t="str">
        <f>HYPERLINK(VLOOKUP(O500,'3D. Pictures'!$B$3:$E$500,4,FALSE),"PIC")</f>
        <v>PIC</v>
      </c>
      <c r="S500" s="373" t="str">
        <f t="shared" si="189"/>
        <v>E.G.</v>
      </c>
      <c r="T500" s="377" t="str">
        <f>IF(O500&lt;&gt;"",_xlfn.XLOOKUP(O500,'3D. Pictures'!B:B,'3D. Pictures'!E:E,"NOT FOUND",0,1),"")</f>
        <v>https://viking-pictures.s3.us-west-1.amazonaws.com/AA1155/A21.+Control+Arms%2C+FRONT+-+UPPER+U+WISHBONE%2C+RIGHT+(1).JPG</v>
      </c>
      <c r="U500" s="200">
        <v>5</v>
      </c>
      <c r="V500" s="247" t="s">
        <v>1161</v>
      </c>
      <c r="W500" s="200" t="s">
        <v>111</v>
      </c>
      <c r="X500" s="201"/>
      <c r="Y500" s="243"/>
      <c r="Z500" s="201"/>
      <c r="AA500" s="205" t="s">
        <v>2504</v>
      </c>
      <c r="AB500" s="205" t="s">
        <v>874</v>
      </c>
      <c r="AC500" s="358" t="str">
        <f t="shared" si="188"/>
        <v/>
      </c>
      <c r="AD500" s="205"/>
      <c r="AE500" s="205"/>
      <c r="AF500" s="201" t="s">
        <v>543</v>
      </c>
      <c r="AG500" s="205"/>
      <c r="AH500" s="16">
        <v>48</v>
      </c>
      <c r="AI500" s="380">
        <f t="shared" si="191"/>
        <v>58.666666666666664</v>
      </c>
      <c r="AJ500" s="204" t="s">
        <v>408</v>
      </c>
      <c r="AK500" s="204" t="s">
        <v>425</v>
      </c>
      <c r="AL500" s="204" t="s">
        <v>2175</v>
      </c>
      <c r="AM500" s="190"/>
      <c r="AN500" s="191">
        <v>511</v>
      </c>
      <c r="AO500" s="190" t="s">
        <v>572</v>
      </c>
      <c r="AP500" s="190">
        <v>50147</v>
      </c>
      <c r="AQ500" s="190" t="str">
        <f t="shared" si="201"/>
        <v>511-50147</v>
      </c>
      <c r="AR500" s="190"/>
      <c r="AS500" s="190"/>
      <c r="AT500" s="190"/>
      <c r="AU500" s="190"/>
      <c r="AV500" s="190"/>
      <c r="AW500" s="190"/>
      <c r="AX500" s="279" t="str">
        <f t="shared" si="197"/>
        <v/>
      </c>
    </row>
    <row r="501" spans="1:50" ht="15.75" thickBot="1" x14ac:dyDescent="0.3">
      <c r="A501" s="190" t="str">
        <f t="shared" si="178"/>
        <v/>
      </c>
      <c r="B501" s="279" t="str">
        <f t="shared" si="177"/>
        <v>513-50296</v>
      </c>
      <c r="C501" s="279" t="s">
        <v>2170</v>
      </c>
      <c r="D501" s="279"/>
      <c r="E501" s="279">
        <f t="shared" si="186"/>
        <v>2</v>
      </c>
      <c r="F501" s="190" t="s">
        <v>535</v>
      </c>
      <c r="G501" s="198">
        <v>44683</v>
      </c>
      <c r="H501" s="205"/>
      <c r="I501" s="205"/>
      <c r="J501" s="205" t="s">
        <v>402</v>
      </c>
      <c r="K501" s="205" t="s">
        <v>2764</v>
      </c>
      <c r="L501" s="205" t="s">
        <v>872</v>
      </c>
      <c r="M501" s="200" t="s">
        <v>558</v>
      </c>
      <c r="N501" s="200"/>
      <c r="O501" s="230"/>
      <c r="P501" s="230"/>
      <c r="Q501" s="231" t="str">
        <f t="shared" si="196"/>
        <v>. Control Arms, REAR - LEFT SET 3</v>
      </c>
      <c r="R501" s="231"/>
      <c r="S501" s="231" t="str">
        <f t="shared" si="189"/>
        <v/>
      </c>
      <c r="T501" s="231" t="str">
        <f>IF(O501&lt;&gt;"",_xlfn.XLOOKUP(O501,'3D. Pictures'!B:B,'3D. Pictures'!E:E,"NOT FOUND",0,1),"")</f>
        <v/>
      </c>
      <c r="U501" s="200"/>
      <c r="V501" s="201"/>
      <c r="W501" s="200"/>
      <c r="X501" s="201"/>
      <c r="Y501" s="243"/>
      <c r="Z501" s="201"/>
      <c r="AA501" s="205" t="s">
        <v>2526</v>
      </c>
      <c r="AB501" s="205" t="s">
        <v>2526</v>
      </c>
      <c r="AC501" s="358" t="str">
        <f t="shared" si="188"/>
        <v>SET 3, keep only big one if 1 bad</v>
      </c>
      <c r="AD501" s="205" t="s">
        <v>2839</v>
      </c>
      <c r="AE501" s="205"/>
      <c r="AF501" s="201" t="s">
        <v>548</v>
      </c>
      <c r="AG501" s="205" t="s">
        <v>875</v>
      </c>
      <c r="AH501" s="16">
        <v>150</v>
      </c>
      <c r="AI501" s="380">
        <f t="shared" si="191"/>
        <v>125</v>
      </c>
      <c r="AJ501" s="204" t="s">
        <v>408</v>
      </c>
      <c r="AK501" s="204" t="s">
        <v>425</v>
      </c>
      <c r="AL501" s="204" t="s">
        <v>2175</v>
      </c>
      <c r="AM501" s="190"/>
      <c r="AN501" s="191">
        <v>513</v>
      </c>
      <c r="AO501" s="190" t="s">
        <v>572</v>
      </c>
      <c r="AP501" s="190">
        <v>50296</v>
      </c>
      <c r="AQ501" s="190" t="str">
        <f t="shared" si="201"/>
        <v>513-50296</v>
      </c>
      <c r="AR501" s="190"/>
      <c r="AS501" s="190"/>
      <c r="AT501" s="190"/>
      <c r="AU501" s="190"/>
      <c r="AV501" s="190"/>
      <c r="AW501" s="190"/>
      <c r="AX501" s="279" t="str">
        <f t="shared" si="197"/>
        <v/>
      </c>
    </row>
    <row r="502" spans="1:50" ht="15.75" thickBot="1" x14ac:dyDescent="0.3">
      <c r="A502" s="190" t="str">
        <f t="shared" si="178"/>
        <v>A99</v>
      </c>
      <c r="B502" s="279" t="str">
        <f t="shared" si="177"/>
        <v>513-50296</v>
      </c>
      <c r="C502" s="279" t="s">
        <v>2171</v>
      </c>
      <c r="D502" s="279"/>
      <c r="E502" s="279">
        <f t="shared" si="186"/>
        <v>2</v>
      </c>
      <c r="F502" s="190" t="s">
        <v>535</v>
      </c>
      <c r="G502" s="198">
        <v>44683</v>
      </c>
      <c r="H502" s="205"/>
      <c r="I502" s="205"/>
      <c r="J502" s="205" t="s">
        <v>402</v>
      </c>
      <c r="K502" s="205" t="s">
        <v>2764</v>
      </c>
      <c r="L502" s="205" t="s">
        <v>872</v>
      </c>
      <c r="M502" s="200" t="s">
        <v>558</v>
      </c>
      <c r="N502" s="200">
        <v>89</v>
      </c>
      <c r="O502" s="230" t="s">
        <v>1001</v>
      </c>
      <c r="P502" s="230" t="s">
        <v>1300</v>
      </c>
      <c r="Q502" s="231" t="str">
        <f t="shared" si="196"/>
        <v>A99. Control Arms, REAR - LEFT Large Control Arm</v>
      </c>
      <c r="R502" s="284" t="str">
        <f>HYPERLINK(VLOOKUP(O502,'3D. Pictures'!$B$3:$E$500,4,FALSE),"PIC")</f>
        <v>PIC</v>
      </c>
      <c r="S502" s="373" t="str">
        <f t="shared" si="189"/>
        <v>E.G.</v>
      </c>
      <c r="T502" s="377" t="str">
        <f>IF(O502&lt;&gt;"",_xlfn.XLOOKUP(O502,'3D. Pictures'!B:B,'3D. Pictures'!E:E,"NOT FOUND",0,1),"")</f>
        <v>https://viking-pictures.s3.us-west-1.amazonaws.com/AA1155/A99.+Control+Arms%2C+REAR+-+LEFT+Large+Control+Arm+(1).JPG</v>
      </c>
      <c r="U502" s="200">
        <v>5</v>
      </c>
      <c r="V502" s="201" t="s">
        <v>1318</v>
      </c>
      <c r="W502" s="200" t="s">
        <v>112</v>
      </c>
      <c r="X502" s="201"/>
      <c r="Y502" s="201"/>
      <c r="Z502" s="201"/>
      <c r="AA502" s="205" t="s">
        <v>2526</v>
      </c>
      <c r="AB502" s="205" t="s">
        <v>877</v>
      </c>
      <c r="AC502" s="358" t="str">
        <f t="shared" si="188"/>
        <v/>
      </c>
      <c r="AD502" s="205"/>
      <c r="AE502" s="205"/>
      <c r="AF502" s="201" t="s">
        <v>543</v>
      </c>
      <c r="AG502" s="205" t="s">
        <v>875</v>
      </c>
      <c r="AH502" s="16">
        <v>100</v>
      </c>
      <c r="AI502" s="380">
        <f t="shared" si="191"/>
        <v>125</v>
      </c>
      <c r="AJ502" s="204" t="s">
        <v>408</v>
      </c>
      <c r="AK502" s="204" t="s">
        <v>425</v>
      </c>
      <c r="AL502" s="204" t="s">
        <v>2175</v>
      </c>
      <c r="AM502" s="190"/>
      <c r="AN502" s="191">
        <v>513</v>
      </c>
      <c r="AO502" s="190" t="s">
        <v>572</v>
      </c>
      <c r="AP502" s="190">
        <v>50296</v>
      </c>
      <c r="AQ502" s="190" t="str">
        <f t="shared" si="201"/>
        <v>513-50296</v>
      </c>
      <c r="AR502" s="190"/>
      <c r="AS502" s="190"/>
      <c r="AT502" s="190"/>
      <c r="AU502" s="190"/>
      <c r="AV502" s="190"/>
      <c r="AW502" s="190"/>
      <c r="AX502" s="279" t="str">
        <f t="shared" si="197"/>
        <v/>
      </c>
    </row>
    <row r="503" spans="1:50" ht="15.75" thickBot="1" x14ac:dyDescent="0.3">
      <c r="A503" s="190" t="str">
        <f t="shared" si="178"/>
        <v/>
      </c>
      <c r="B503" s="279" t="str">
        <f t="shared" si="177"/>
        <v>513-50295</v>
      </c>
      <c r="C503" s="279" t="s">
        <v>2172</v>
      </c>
      <c r="D503" s="279"/>
      <c r="E503" s="279">
        <f t="shared" si="186"/>
        <v>2</v>
      </c>
      <c r="F503" s="190" t="s">
        <v>535</v>
      </c>
      <c r="G503" s="198">
        <v>44683</v>
      </c>
      <c r="H503" s="205"/>
      <c r="I503" s="205"/>
      <c r="J503" s="205" t="s">
        <v>402</v>
      </c>
      <c r="K503" s="205" t="s">
        <v>2764</v>
      </c>
      <c r="L503" s="205" t="s">
        <v>872</v>
      </c>
      <c r="M503" s="200" t="s">
        <v>558</v>
      </c>
      <c r="N503" s="200"/>
      <c r="O503" s="230"/>
      <c r="P503" s="230"/>
      <c r="Q503" s="231" t="str">
        <f t="shared" si="196"/>
        <v>. Control Arms, REAR - RIGHT SET 3</v>
      </c>
      <c r="R503" s="231"/>
      <c r="S503" s="231" t="str">
        <f t="shared" si="189"/>
        <v/>
      </c>
      <c r="T503" s="231" t="str">
        <f>IF(O503&lt;&gt;"",_xlfn.XLOOKUP(O503,'3D. Pictures'!B:B,'3D. Pictures'!E:E,"NOT FOUND",0,1),"")</f>
        <v/>
      </c>
      <c r="U503" s="200"/>
      <c r="V503" s="201"/>
      <c r="W503" s="200"/>
      <c r="X503" s="201"/>
      <c r="Y503" s="243"/>
      <c r="Z503" s="201"/>
      <c r="AA503" s="205" t="s">
        <v>2527</v>
      </c>
      <c r="AB503" s="205" t="s">
        <v>2527</v>
      </c>
      <c r="AC503" s="358" t="str">
        <f t="shared" si="188"/>
        <v>SET 3, keep only big one if 1 bad</v>
      </c>
      <c r="AD503" s="205" t="s">
        <v>2839</v>
      </c>
      <c r="AE503" s="205"/>
      <c r="AF503" s="201" t="s">
        <v>548</v>
      </c>
      <c r="AG503" s="205" t="s">
        <v>875</v>
      </c>
      <c r="AH503" s="16">
        <v>150</v>
      </c>
      <c r="AI503" s="380">
        <f t="shared" si="191"/>
        <v>125</v>
      </c>
      <c r="AJ503" s="204" t="s">
        <v>408</v>
      </c>
      <c r="AK503" s="204" t="s">
        <v>425</v>
      </c>
      <c r="AL503" s="204" t="s">
        <v>2175</v>
      </c>
      <c r="AM503" s="190"/>
      <c r="AN503" s="191">
        <v>513</v>
      </c>
      <c r="AO503" s="190" t="s">
        <v>572</v>
      </c>
      <c r="AP503" s="190">
        <v>50295</v>
      </c>
      <c r="AQ503" s="190" t="str">
        <f t="shared" si="201"/>
        <v>513-50295</v>
      </c>
      <c r="AR503" s="190"/>
      <c r="AS503" s="190"/>
      <c r="AT503" s="190"/>
      <c r="AU503" s="190"/>
      <c r="AV503" s="190"/>
      <c r="AW503" s="190"/>
      <c r="AX503" s="279" t="str">
        <f t="shared" si="197"/>
        <v/>
      </c>
    </row>
    <row r="504" spans="1:50" ht="15.75" thickBot="1" x14ac:dyDescent="0.3">
      <c r="A504" s="190" t="str">
        <f t="shared" si="178"/>
        <v>A100</v>
      </c>
      <c r="B504" s="279" t="str">
        <f t="shared" si="177"/>
        <v>513-50295</v>
      </c>
      <c r="C504" s="279" t="s">
        <v>2173</v>
      </c>
      <c r="D504" s="279"/>
      <c r="E504" s="279">
        <f t="shared" si="186"/>
        <v>2</v>
      </c>
      <c r="F504" s="190" t="s">
        <v>535</v>
      </c>
      <c r="G504" s="198">
        <v>44683</v>
      </c>
      <c r="H504" s="205"/>
      <c r="I504" s="205"/>
      <c r="J504" s="205" t="s">
        <v>402</v>
      </c>
      <c r="K504" s="205" t="s">
        <v>2764</v>
      </c>
      <c r="L504" s="205" t="s">
        <v>872</v>
      </c>
      <c r="M504" s="200" t="s">
        <v>558</v>
      </c>
      <c r="N504" s="200">
        <v>90</v>
      </c>
      <c r="O504" s="230" t="s">
        <v>1002</v>
      </c>
      <c r="P504" s="230" t="s">
        <v>1300</v>
      </c>
      <c r="Q504" s="231" t="str">
        <f t="shared" si="196"/>
        <v>A100. Control Arms, REAR - RIGHT Large Control Arm</v>
      </c>
      <c r="R504" s="284" t="str">
        <f>HYPERLINK(VLOOKUP(O504,'3D. Pictures'!$B$3:$E$500,4,FALSE),"PIC")</f>
        <v>PIC</v>
      </c>
      <c r="S504" s="373" t="str">
        <f t="shared" si="189"/>
        <v>E.G.</v>
      </c>
      <c r="T504" s="377" t="str">
        <f>IF(O504&lt;&gt;"",_xlfn.XLOOKUP(O504,'3D. Pictures'!B:B,'3D. Pictures'!E:E,"NOT FOUND",0,1),"")</f>
        <v>https://viking-pictures.s3.us-west-1.amazonaws.com/AA1155/A100.+Control+Arms%2C+REAR+-+RIGHT+Large+Control+Arm+(1).JPG</v>
      </c>
      <c r="U504" s="200">
        <v>5</v>
      </c>
      <c r="V504" s="201" t="s">
        <v>1319</v>
      </c>
      <c r="W504" s="200" t="s">
        <v>112</v>
      </c>
      <c r="X504" s="201"/>
      <c r="Y504" s="201"/>
      <c r="Z504" s="201"/>
      <c r="AA504" s="205" t="s">
        <v>2527</v>
      </c>
      <c r="AB504" s="205" t="s">
        <v>876</v>
      </c>
      <c r="AC504" s="358" t="str">
        <f t="shared" si="188"/>
        <v/>
      </c>
      <c r="AD504" s="205"/>
      <c r="AE504" s="205"/>
      <c r="AF504" s="201" t="s">
        <v>543</v>
      </c>
      <c r="AG504" s="205" t="s">
        <v>875</v>
      </c>
      <c r="AH504" s="16">
        <v>100</v>
      </c>
      <c r="AI504" s="380">
        <f t="shared" si="191"/>
        <v>125</v>
      </c>
      <c r="AJ504" s="204" t="s">
        <v>408</v>
      </c>
      <c r="AK504" s="204" t="s">
        <v>425</v>
      </c>
      <c r="AL504" s="204" t="s">
        <v>2175</v>
      </c>
      <c r="AM504" s="190"/>
      <c r="AN504" s="191">
        <v>513</v>
      </c>
      <c r="AO504" s="190" t="s">
        <v>572</v>
      </c>
      <c r="AP504" s="190">
        <v>50295</v>
      </c>
      <c r="AQ504" s="190" t="str">
        <f t="shared" si="201"/>
        <v>513-50295</v>
      </c>
      <c r="AR504" s="190"/>
      <c r="AS504" s="190"/>
      <c r="AT504" s="190"/>
      <c r="AU504" s="190"/>
      <c r="AV504" s="190"/>
      <c r="AW504" s="190"/>
      <c r="AX504" s="279" t="str">
        <f t="shared" si="197"/>
        <v/>
      </c>
    </row>
    <row r="505" spans="1:50" x14ac:dyDescent="0.25">
      <c r="A505" s="190" t="str">
        <f t="shared" si="178"/>
        <v/>
      </c>
      <c r="B505" s="279" t="str">
        <f t="shared" si="177"/>
        <v>440-59360</v>
      </c>
      <c r="C505" s="279"/>
      <c r="D505" s="279"/>
      <c r="E505" s="279">
        <f t="shared" si="186"/>
        <v>1</v>
      </c>
      <c r="F505" s="190" t="s">
        <v>535</v>
      </c>
      <c r="G505" s="198">
        <v>44674</v>
      </c>
      <c r="H505" s="205"/>
      <c r="I505" s="205"/>
      <c r="J505" s="205" t="s">
        <v>402</v>
      </c>
      <c r="K505" s="205" t="s">
        <v>2764</v>
      </c>
      <c r="L505" s="205" t="s">
        <v>430</v>
      </c>
      <c r="M505" s="200" t="s">
        <v>558</v>
      </c>
      <c r="N505" s="200"/>
      <c r="O505" s="230"/>
      <c r="P505" s="230"/>
      <c r="Q505" s="231" t="str">
        <f t="shared" si="196"/>
        <v>. Differential, FRONT</v>
      </c>
      <c r="R505" s="231"/>
      <c r="S505" s="231" t="str">
        <f t="shared" si="189"/>
        <v/>
      </c>
      <c r="T505" s="231" t="str">
        <f>IF(O505&lt;&gt;"",_xlfn.XLOOKUP(O505,'3D. Pictures'!B:B,'3D. Pictures'!E:E,"NOT FOUND",0,1),"")</f>
        <v/>
      </c>
      <c r="U505" s="200"/>
      <c r="V505" s="201"/>
      <c r="W505" s="200"/>
      <c r="X505" s="201"/>
      <c r="Y505" s="243"/>
      <c r="Z505" s="201"/>
      <c r="AA505" s="205" t="s">
        <v>430</v>
      </c>
      <c r="AB505" s="205" t="s">
        <v>430</v>
      </c>
      <c r="AC505" s="358" t="str">
        <f t="shared" si="188"/>
        <v/>
      </c>
      <c r="AD505" s="205"/>
      <c r="AE505" s="205"/>
      <c r="AF505" s="201" t="s">
        <v>543</v>
      </c>
      <c r="AG505" s="205"/>
      <c r="AH505" s="16">
        <v>245</v>
      </c>
      <c r="AI505" s="380">
        <f t="shared" si="191"/>
        <v>260</v>
      </c>
      <c r="AJ505" s="204" t="s">
        <v>408</v>
      </c>
      <c r="AK505" s="204" t="s">
        <v>425</v>
      </c>
      <c r="AL505" s="204" t="s">
        <v>2634</v>
      </c>
      <c r="AM505" s="190"/>
      <c r="AN505" s="191" t="s">
        <v>646</v>
      </c>
      <c r="AO505" s="190" t="s">
        <v>572</v>
      </c>
      <c r="AP505" s="190">
        <v>59360</v>
      </c>
      <c r="AQ505" s="190" t="str">
        <f t="shared" si="201"/>
        <v>440-59360</v>
      </c>
      <c r="AR505" s="190"/>
      <c r="AS505" s="190"/>
      <c r="AT505" s="190"/>
      <c r="AU505" s="190"/>
      <c r="AV505" s="190"/>
      <c r="AW505" s="190"/>
      <c r="AX505" s="279" t="str">
        <f t="shared" si="197"/>
        <v/>
      </c>
    </row>
    <row r="506" spans="1:50" x14ac:dyDescent="0.25">
      <c r="A506" s="190" t="str">
        <f t="shared" si="178"/>
        <v/>
      </c>
      <c r="B506" s="294" t="str">
        <f t="shared" ref="B506" si="202">IF(AQ506&lt;&gt;"",AQ506,"")</f>
        <v>440-50569</v>
      </c>
      <c r="C506" s="294"/>
      <c r="D506" s="294"/>
      <c r="E506" s="294">
        <f t="shared" si="186"/>
        <v>1</v>
      </c>
      <c r="F506" s="294" t="s">
        <v>535</v>
      </c>
      <c r="G506" s="295">
        <v>45245</v>
      </c>
      <c r="H506" s="300"/>
      <c r="I506" s="300"/>
      <c r="J506" s="300" t="s">
        <v>402</v>
      </c>
      <c r="K506" s="300" t="s">
        <v>2764</v>
      </c>
      <c r="L506" s="300" t="s">
        <v>430</v>
      </c>
      <c r="M506" s="327" t="s">
        <v>558</v>
      </c>
      <c r="N506" s="327"/>
      <c r="O506" s="328"/>
      <c r="P506" s="328"/>
      <c r="Q506" s="299" t="str">
        <f t="shared" si="196"/>
        <v>. Differential, FRONT</v>
      </c>
      <c r="R506" s="299"/>
      <c r="S506" s="299" t="str">
        <f t="shared" si="189"/>
        <v/>
      </c>
      <c r="T506" s="299" t="str">
        <f>IF(O506&lt;&gt;"",_xlfn.XLOOKUP(O506,'3D. Pictures'!B:B,'3D. Pictures'!E:E,"NOT FOUND",0,1),"")</f>
        <v/>
      </c>
      <c r="U506" s="327"/>
      <c r="V506" s="302"/>
      <c r="W506" s="327"/>
      <c r="X506" s="302"/>
      <c r="Y506" s="243"/>
      <c r="Z506" s="302"/>
      <c r="AA506" s="300" t="s">
        <v>430</v>
      </c>
      <c r="AB506" s="300" t="s">
        <v>430</v>
      </c>
      <c r="AC506" s="358" t="str">
        <f t="shared" si="188"/>
        <v/>
      </c>
      <c r="AD506" s="300"/>
      <c r="AE506" s="300"/>
      <c r="AF506" s="302" t="s">
        <v>543</v>
      </c>
      <c r="AG506" s="300"/>
      <c r="AH506" s="16">
        <v>275</v>
      </c>
      <c r="AI506" s="380">
        <f t="shared" si="191"/>
        <v>260</v>
      </c>
      <c r="AJ506" s="301" t="s">
        <v>408</v>
      </c>
      <c r="AK506" s="301" t="s">
        <v>425</v>
      </c>
      <c r="AL506" s="301" t="s">
        <v>2198</v>
      </c>
      <c r="AM506" s="294"/>
      <c r="AN506" s="326" t="s">
        <v>646</v>
      </c>
      <c r="AO506" s="294" t="s">
        <v>572</v>
      </c>
      <c r="AP506" s="294">
        <v>50569</v>
      </c>
      <c r="AQ506" s="294" t="str">
        <f t="shared" ref="AQ506" si="203">CONCATENATE(AN506,AO506,AP506)</f>
        <v>440-50569</v>
      </c>
      <c r="AR506" s="294"/>
      <c r="AS506" s="294"/>
      <c r="AT506" s="294"/>
      <c r="AU506" s="294"/>
      <c r="AV506" s="294"/>
      <c r="AW506" s="294"/>
      <c r="AX506" s="279" t="str">
        <f t="shared" si="197"/>
        <v/>
      </c>
    </row>
    <row r="507" spans="1:50" x14ac:dyDescent="0.25">
      <c r="A507" s="190" t="str">
        <f t="shared" si="178"/>
        <v/>
      </c>
      <c r="B507" s="279" t="str">
        <f t="shared" si="177"/>
        <v>440-50572</v>
      </c>
      <c r="C507" s="279"/>
      <c r="D507" s="279"/>
      <c r="E507" s="279">
        <f t="shared" si="186"/>
        <v>1</v>
      </c>
      <c r="F507" s="190" t="s">
        <v>535</v>
      </c>
      <c r="G507" s="198">
        <v>44674</v>
      </c>
      <c r="H507" s="205"/>
      <c r="I507" s="205"/>
      <c r="J507" s="205" t="s">
        <v>402</v>
      </c>
      <c r="K507" s="205" t="s">
        <v>2764</v>
      </c>
      <c r="L507" s="205" t="s">
        <v>431</v>
      </c>
      <c r="M507" s="200" t="s">
        <v>558</v>
      </c>
      <c r="N507" s="200"/>
      <c r="O507" s="230"/>
      <c r="P507" s="230"/>
      <c r="Q507" s="231" t="str">
        <f t="shared" si="196"/>
        <v>. Differential, REAR</v>
      </c>
      <c r="R507" s="231"/>
      <c r="S507" s="231" t="str">
        <f t="shared" si="189"/>
        <v/>
      </c>
      <c r="T507" s="231" t="str">
        <f>IF(O507&lt;&gt;"",_xlfn.XLOOKUP(O507,'3D. Pictures'!B:B,'3D. Pictures'!E:E,"NOT FOUND",0,1),"")</f>
        <v/>
      </c>
      <c r="U507" s="200"/>
      <c r="V507" s="201"/>
      <c r="W507" s="200"/>
      <c r="X507" s="201"/>
      <c r="Y507" s="243"/>
      <c r="Z507" s="201"/>
      <c r="AA507" s="205" t="s">
        <v>431</v>
      </c>
      <c r="AB507" s="205" t="s">
        <v>431</v>
      </c>
      <c r="AC507" s="358" t="str">
        <f t="shared" si="188"/>
        <v/>
      </c>
      <c r="AD507" s="205"/>
      <c r="AE507" s="205"/>
      <c r="AF507" s="201" t="s">
        <v>543</v>
      </c>
      <c r="AG507" s="205"/>
      <c r="AH507" s="167">
        <v>900</v>
      </c>
      <c r="AI507" s="380">
        <f t="shared" si="191"/>
        <v>716.66666666666663</v>
      </c>
      <c r="AJ507" s="204" t="s">
        <v>408</v>
      </c>
      <c r="AK507" s="204" t="s">
        <v>425</v>
      </c>
      <c r="AL507" s="204" t="s">
        <v>2634</v>
      </c>
      <c r="AM507" s="190"/>
      <c r="AN507" s="191" t="s">
        <v>646</v>
      </c>
      <c r="AO507" s="190" t="s">
        <v>572</v>
      </c>
      <c r="AP507" s="190">
        <v>50572</v>
      </c>
      <c r="AQ507" s="190" t="str">
        <f t="shared" si="201"/>
        <v>440-50572</v>
      </c>
      <c r="AR507" s="190" t="s">
        <v>2327</v>
      </c>
      <c r="AS507" s="190"/>
      <c r="AT507" s="190"/>
      <c r="AU507" s="190"/>
      <c r="AV507" s="190"/>
      <c r="AW507" s="190"/>
      <c r="AX507" s="279" t="str">
        <f t="shared" si="197"/>
        <v/>
      </c>
    </row>
    <row r="508" spans="1:50" ht="15.75" thickBot="1" x14ac:dyDescent="0.3">
      <c r="A508" s="190" t="str">
        <f t="shared" si="178"/>
        <v/>
      </c>
      <c r="B508" s="279" t="str">
        <f t="shared" si="177"/>
        <v>440-59426</v>
      </c>
      <c r="C508" s="279"/>
      <c r="D508" s="279"/>
      <c r="E508" s="279">
        <f t="shared" si="186"/>
        <v>1</v>
      </c>
      <c r="F508" s="190" t="s">
        <v>535</v>
      </c>
      <c r="G508" s="198">
        <v>44674</v>
      </c>
      <c r="H508" s="205"/>
      <c r="I508" s="205"/>
      <c r="J508" s="205" t="s">
        <v>402</v>
      </c>
      <c r="K508" s="205" t="s">
        <v>2764</v>
      </c>
      <c r="L508" s="205" t="s">
        <v>431</v>
      </c>
      <c r="M508" s="200" t="s">
        <v>558</v>
      </c>
      <c r="N508" s="200"/>
      <c r="O508" s="230"/>
      <c r="P508" s="230"/>
      <c r="Q508" s="231" t="str">
        <f t="shared" si="196"/>
        <v>. Differential, REAR</v>
      </c>
      <c r="R508" s="231"/>
      <c r="S508" s="231" t="str">
        <f t="shared" si="189"/>
        <v/>
      </c>
      <c r="T508" s="231" t="str">
        <f>IF(O508&lt;&gt;"",_xlfn.XLOOKUP(O508,'3D. Pictures'!B:B,'3D. Pictures'!E:E,"NOT FOUND",0,1),"")</f>
        <v/>
      </c>
      <c r="U508" s="200"/>
      <c r="V508" s="201"/>
      <c r="W508" s="200"/>
      <c r="X508" s="201"/>
      <c r="Y508" s="243"/>
      <c r="Z508" s="201"/>
      <c r="AA508" s="205" t="s">
        <v>431</v>
      </c>
      <c r="AB508" s="205" t="s">
        <v>431</v>
      </c>
      <c r="AC508" s="358" t="str">
        <f t="shared" si="188"/>
        <v/>
      </c>
      <c r="AD508" s="205"/>
      <c r="AE508" s="205"/>
      <c r="AF508" s="201" t="s">
        <v>543</v>
      </c>
      <c r="AG508" s="205"/>
      <c r="AH508" s="167">
        <v>750</v>
      </c>
      <c r="AI508" s="380">
        <f t="shared" si="191"/>
        <v>716.66666666666663</v>
      </c>
      <c r="AJ508" s="204" t="s">
        <v>408</v>
      </c>
      <c r="AK508" s="204" t="s">
        <v>425</v>
      </c>
      <c r="AL508" s="204" t="s">
        <v>2634</v>
      </c>
      <c r="AM508" s="190"/>
      <c r="AN508" s="191" t="s">
        <v>646</v>
      </c>
      <c r="AO508" s="190" t="s">
        <v>572</v>
      </c>
      <c r="AP508" s="190">
        <v>59426</v>
      </c>
      <c r="AQ508" s="190" t="str">
        <f t="shared" si="201"/>
        <v>440-59426</v>
      </c>
      <c r="AR508" s="190" t="s">
        <v>2326</v>
      </c>
      <c r="AS508" s="190"/>
      <c r="AT508" s="190"/>
      <c r="AU508" s="190"/>
      <c r="AV508" s="190"/>
      <c r="AW508" s="190"/>
      <c r="AX508" s="279" t="str">
        <f t="shared" si="197"/>
        <v/>
      </c>
    </row>
    <row r="509" spans="1:50" ht="15.75" thickBot="1" x14ac:dyDescent="0.3">
      <c r="A509" s="190" t="str">
        <f t="shared" si="178"/>
        <v>A108</v>
      </c>
      <c r="B509" s="279" t="str">
        <f t="shared" si="177"/>
        <v>440-59427</v>
      </c>
      <c r="C509" s="279"/>
      <c r="D509" s="279"/>
      <c r="E509" s="279">
        <f t="shared" si="186"/>
        <v>1</v>
      </c>
      <c r="F509" s="190" t="s">
        <v>535</v>
      </c>
      <c r="G509" s="198">
        <v>44674</v>
      </c>
      <c r="H509" s="205"/>
      <c r="I509" s="205"/>
      <c r="J509" s="205" t="s">
        <v>402</v>
      </c>
      <c r="K509" s="205" t="s">
        <v>2764</v>
      </c>
      <c r="L509" s="205" t="s">
        <v>431</v>
      </c>
      <c r="M509" s="200" t="s">
        <v>558</v>
      </c>
      <c r="N509" s="200">
        <v>98</v>
      </c>
      <c r="O509" s="230" t="s">
        <v>1010</v>
      </c>
      <c r="P509" s="230" t="s">
        <v>237</v>
      </c>
      <c r="Q509" s="231" t="str">
        <f t="shared" si="196"/>
        <v>A108. Differential, REAR</v>
      </c>
      <c r="R509" s="284" t="str">
        <f>HYPERLINK(VLOOKUP(O509,'3D. Pictures'!$B$3:$E$500,4,FALSE),"PIC")</f>
        <v>PIC</v>
      </c>
      <c r="S509" s="373" t="str">
        <f t="shared" si="189"/>
        <v>E.G.</v>
      </c>
      <c r="T509" s="377" t="str">
        <f>IF(O509&lt;&gt;"",_xlfn.XLOOKUP(O509,'3D. Pictures'!B:B,'3D. Pictures'!E:E,"NOT FOUND",0,1),"")</f>
        <v>https://viking-pictures.s3.us-west-1.amazonaws.com/AA1155/A108.+Differential%2C+REAR+(1).JPG</v>
      </c>
      <c r="U509" s="200">
        <v>6</v>
      </c>
      <c r="V509" s="201" t="s">
        <v>1341</v>
      </c>
      <c r="W509" s="200" t="s">
        <v>112</v>
      </c>
      <c r="X509" s="201"/>
      <c r="Y509" s="201"/>
      <c r="Z509" s="201"/>
      <c r="AA509" s="205" t="s">
        <v>431</v>
      </c>
      <c r="AB509" s="205" t="s">
        <v>431</v>
      </c>
      <c r="AC509" s="358" t="str">
        <f t="shared" si="188"/>
        <v/>
      </c>
      <c r="AD509" s="205"/>
      <c r="AE509" s="205"/>
      <c r="AF509" s="201" t="s">
        <v>543</v>
      </c>
      <c r="AG509" s="205"/>
      <c r="AH509" s="167">
        <v>500</v>
      </c>
      <c r="AI509" s="380">
        <f t="shared" si="191"/>
        <v>716.66666666666663</v>
      </c>
      <c r="AJ509" s="204" t="s">
        <v>408</v>
      </c>
      <c r="AK509" s="204" t="s">
        <v>425</v>
      </c>
      <c r="AL509" s="204" t="s">
        <v>2631</v>
      </c>
      <c r="AM509" s="190"/>
      <c r="AN509" s="191" t="s">
        <v>646</v>
      </c>
      <c r="AO509" s="190" t="s">
        <v>572</v>
      </c>
      <c r="AP509" s="190">
        <v>59427</v>
      </c>
      <c r="AQ509" s="190" t="str">
        <f t="shared" si="201"/>
        <v>440-59427</v>
      </c>
      <c r="AR509" s="190" t="s">
        <v>2325</v>
      </c>
      <c r="AS509" s="190"/>
      <c r="AT509" s="190"/>
      <c r="AU509" s="190"/>
      <c r="AV509" s="190"/>
      <c r="AW509" s="190"/>
      <c r="AX509" s="279" t="str">
        <f t="shared" si="197"/>
        <v/>
      </c>
    </row>
    <row r="510" spans="1:50" ht="15.75" thickBot="1" x14ac:dyDescent="0.3">
      <c r="A510" s="190" t="str">
        <f t="shared" si="178"/>
        <v/>
      </c>
      <c r="B510" s="279" t="str">
        <f t="shared" si="177"/>
        <v>430-50149</v>
      </c>
      <c r="C510" s="279"/>
      <c r="D510" s="279"/>
      <c r="E510" s="279">
        <f t="shared" si="186"/>
        <v>1</v>
      </c>
      <c r="F510" s="190" t="s">
        <v>535</v>
      </c>
      <c r="G510" s="198">
        <v>45216</v>
      </c>
      <c r="H510" s="205"/>
      <c r="I510" s="205"/>
      <c r="J510" s="206" t="s">
        <v>402</v>
      </c>
      <c r="K510" s="206" t="s">
        <v>2764</v>
      </c>
      <c r="L510" s="206" t="s">
        <v>432</v>
      </c>
      <c r="M510" s="200" t="s">
        <v>558</v>
      </c>
      <c r="N510" s="200"/>
      <c r="O510" s="230"/>
      <c r="P510" s="230"/>
      <c r="Q510" s="231" t="str">
        <f t="shared" si="196"/>
        <v>. Driveshaft, FRONT</v>
      </c>
      <c r="R510" s="231"/>
      <c r="S510" s="231" t="str">
        <f t="shared" si="189"/>
        <v/>
      </c>
      <c r="T510" s="231" t="str">
        <f>IF(O510&lt;&gt;"",_xlfn.XLOOKUP(O510,'3D. Pictures'!B:B,'3D. Pictures'!E:E,"NOT FOUND",0,1),"")</f>
        <v/>
      </c>
      <c r="U510" s="230"/>
      <c r="V510" s="202"/>
      <c r="W510" s="230"/>
      <c r="X510" s="202"/>
      <c r="Y510" s="168"/>
      <c r="Z510" s="202"/>
      <c r="AA510" s="206" t="s">
        <v>432</v>
      </c>
      <c r="AB510" s="206" t="s">
        <v>432</v>
      </c>
      <c r="AC510" s="231" t="str">
        <f t="shared" si="188"/>
        <v/>
      </c>
      <c r="AD510" s="206"/>
      <c r="AE510" s="206"/>
      <c r="AF510" s="201" t="s">
        <v>543</v>
      </c>
      <c r="AG510" s="215"/>
      <c r="AH510" s="16">
        <v>100</v>
      </c>
      <c r="AI510" s="380">
        <f t="shared" si="191"/>
        <v>100</v>
      </c>
      <c r="AJ510" s="204" t="s">
        <v>437</v>
      </c>
      <c r="AK510" s="204" t="s">
        <v>425</v>
      </c>
      <c r="AL510" s="204" t="s">
        <v>2632</v>
      </c>
      <c r="AM510" s="190"/>
      <c r="AN510" s="191" t="s">
        <v>647</v>
      </c>
      <c r="AO510" s="190" t="s">
        <v>572</v>
      </c>
      <c r="AP510" s="190">
        <v>50149</v>
      </c>
      <c r="AQ510" s="190" t="str">
        <f t="shared" si="201"/>
        <v>430-50149</v>
      </c>
      <c r="AR510" s="190"/>
      <c r="AS510" s="190"/>
      <c r="AT510" s="190"/>
      <c r="AU510" s="190"/>
      <c r="AV510" s="190"/>
      <c r="AW510" s="190"/>
      <c r="AX510" s="279" t="str">
        <f t="shared" si="197"/>
        <v/>
      </c>
    </row>
    <row r="511" spans="1:50" ht="15.75" thickBot="1" x14ac:dyDescent="0.3">
      <c r="A511" s="190" t="str">
        <f t="shared" ref="A511:A577" si="204">IF(O511&lt;&gt;"",O511,"")</f>
        <v>A102</v>
      </c>
      <c r="B511" s="279" t="str">
        <f t="shared" si="177"/>
        <v/>
      </c>
      <c r="C511" s="279"/>
      <c r="D511" s="279"/>
      <c r="E511" s="279" t="str">
        <f t="shared" si="186"/>
        <v/>
      </c>
      <c r="F511" s="241" t="s">
        <v>535</v>
      </c>
      <c r="G511" s="242">
        <v>44683</v>
      </c>
      <c r="H511" s="243"/>
      <c r="I511" s="243"/>
      <c r="J511" s="244" t="s">
        <v>402</v>
      </c>
      <c r="K511" s="243" t="s">
        <v>2764</v>
      </c>
      <c r="L511" s="243" t="s">
        <v>1375</v>
      </c>
      <c r="M511" s="243" t="s">
        <v>559</v>
      </c>
      <c r="N511" s="241">
        <v>92</v>
      </c>
      <c r="O511" s="241" t="s">
        <v>1004</v>
      </c>
      <c r="P511" s="244" t="s">
        <v>1300</v>
      </c>
      <c r="Q511" s="231" t="str">
        <f t="shared" ref="Q511:Q542" si="205">CONCATENATE(O511,". ",AB511)</f>
        <v>A102. Emergency Parking Brake Actuator</v>
      </c>
      <c r="R511" s="284" t="str">
        <f>HYPERLINK(VLOOKUP(O511,'3D. Pictures'!$B$3:$E$500,4,FALSE),"PIC")</f>
        <v>PIC</v>
      </c>
      <c r="S511" s="373" t="str">
        <f t="shared" si="189"/>
        <v>E.G.</v>
      </c>
      <c r="T511" s="377" t="str">
        <f>IF(O511&lt;&gt;"",_xlfn.XLOOKUP(O511,'3D. Pictures'!B:B,'3D. Pictures'!E:E,"NOT FOUND",0,1),"")</f>
        <v>https://viking-pictures.s3.us-west-1.amazonaws.com/AA1155/A102.+Emergency+Parking+Brake+Actuator+(1).JPG</v>
      </c>
      <c r="U511" s="243">
        <v>5</v>
      </c>
      <c r="V511" s="243" t="s">
        <v>1327</v>
      </c>
      <c r="W511" s="243" t="s">
        <v>111</v>
      </c>
      <c r="X511" s="243"/>
      <c r="Y511" s="16"/>
      <c r="Z511" s="243"/>
      <c r="AA511" s="243" t="s">
        <v>1326</v>
      </c>
      <c r="AB511" s="243" t="s">
        <v>1326</v>
      </c>
      <c r="AC511" s="358" t="str">
        <f t="shared" si="188"/>
        <v>WITH cables ON</v>
      </c>
      <c r="AD511" s="243" t="s">
        <v>1325</v>
      </c>
      <c r="AE511" s="243"/>
      <c r="AF511" s="179" t="s">
        <v>543</v>
      </c>
      <c r="AG511" s="243"/>
      <c r="AH511" s="16">
        <v>350</v>
      </c>
      <c r="AI511" s="380">
        <f t="shared" si="191"/>
        <v>350</v>
      </c>
      <c r="AJ511" s="246" t="s">
        <v>408</v>
      </c>
      <c r="AK511" s="246" t="s">
        <v>425</v>
      </c>
      <c r="AL511" s="204" t="s">
        <v>2175</v>
      </c>
      <c r="AM511" s="241"/>
      <c r="AN511" s="241"/>
      <c r="AO511" s="241"/>
      <c r="AP511" s="241"/>
      <c r="AQ511" s="241"/>
      <c r="AR511" s="241"/>
      <c r="AS511" s="241" t="s">
        <v>1028</v>
      </c>
      <c r="AT511" s="241" t="s">
        <v>1029</v>
      </c>
      <c r="AU511" s="241" t="s">
        <v>1030</v>
      </c>
      <c r="AV511" s="303" t="str">
        <f t="shared" ref="AV511:AV516" si="206">CONCATENATE(AS511,"-",AT511,"-",AU511)</f>
        <v>F15-14-18-ALL</v>
      </c>
      <c r="AW511" s="241" t="s">
        <v>2429</v>
      </c>
      <c r="AX511" s="279" t="str">
        <f t="shared" si="197"/>
        <v>F15-14-18-ALL-Viking63</v>
      </c>
    </row>
    <row r="512" spans="1:50" ht="15.75" thickBot="1" x14ac:dyDescent="0.3">
      <c r="A512" s="190" t="str">
        <f t="shared" si="204"/>
        <v>A40</v>
      </c>
      <c r="B512" s="279" t="str">
        <f t="shared" si="177"/>
        <v/>
      </c>
      <c r="C512" s="279"/>
      <c r="D512" s="279"/>
      <c r="E512" s="279" t="str">
        <f t="shared" si="186"/>
        <v/>
      </c>
      <c r="F512" s="241" t="s">
        <v>535</v>
      </c>
      <c r="G512" s="242">
        <v>44683</v>
      </c>
      <c r="H512" s="243"/>
      <c r="I512" s="243"/>
      <c r="J512" s="243" t="s">
        <v>402</v>
      </c>
      <c r="K512" s="243" t="s">
        <v>2764</v>
      </c>
      <c r="L512" s="243" t="s">
        <v>2715</v>
      </c>
      <c r="M512" s="243" t="s">
        <v>559</v>
      </c>
      <c r="N512" s="243">
        <v>30</v>
      </c>
      <c r="O512" s="244" t="s">
        <v>942</v>
      </c>
      <c r="P512" s="244" t="s">
        <v>1168</v>
      </c>
      <c r="Q512" s="231" t="str">
        <f t="shared" si="205"/>
        <v>A40. Height Level Sensors, FRONT - LEFT</v>
      </c>
      <c r="R512" s="284" t="str">
        <f>HYPERLINK(VLOOKUP(O512,'3D. Pictures'!$B$3:$E$500,4,FALSE),"PIC")</f>
        <v>PIC</v>
      </c>
      <c r="S512" s="373" t="str">
        <f t="shared" si="189"/>
        <v>E.G.</v>
      </c>
      <c r="T512" s="377" t="str">
        <f>IF(O512&lt;&gt;"",_xlfn.XLOOKUP(O512,'3D. Pictures'!B:B,'3D. Pictures'!E:E,"NOT FOUND",0,1),"")</f>
        <v>https://viking-pictures.s3.us-west-1.amazonaws.com/AA1155/A40.+Height+Level+Sensors%2C+FRONT+-+LEFT+(1).JPG</v>
      </c>
      <c r="U512" s="243">
        <v>3</v>
      </c>
      <c r="V512" s="243" t="s">
        <v>2163</v>
      </c>
      <c r="W512" s="243" t="s">
        <v>112</v>
      </c>
      <c r="X512" s="243"/>
      <c r="Y512" s="16"/>
      <c r="Z512" s="243"/>
      <c r="AA512" s="243" t="s">
        <v>1193</v>
      </c>
      <c r="AB512" s="243" t="s">
        <v>1193</v>
      </c>
      <c r="AC512" s="358" t="str">
        <f t="shared" si="188"/>
        <v>leave arms on, mark location each obtained from</v>
      </c>
      <c r="AD512" s="243" t="s">
        <v>1192</v>
      </c>
      <c r="AE512" s="243"/>
      <c r="AF512" s="179" t="s">
        <v>543</v>
      </c>
      <c r="AG512" s="243"/>
      <c r="AH512" s="16">
        <v>75</v>
      </c>
      <c r="AI512" s="380">
        <f t="shared" si="191"/>
        <v>75</v>
      </c>
      <c r="AJ512" s="246" t="s">
        <v>408</v>
      </c>
      <c r="AK512" s="246" t="s">
        <v>425</v>
      </c>
      <c r="AL512" s="204" t="s">
        <v>2175</v>
      </c>
      <c r="AM512" s="241"/>
      <c r="AN512" s="241"/>
      <c r="AO512" s="241"/>
      <c r="AP512" s="241"/>
      <c r="AQ512" s="241"/>
      <c r="AR512" s="241"/>
      <c r="AS512" s="241" t="s">
        <v>1028</v>
      </c>
      <c r="AT512" s="241" t="s">
        <v>1029</v>
      </c>
      <c r="AU512" s="241" t="s">
        <v>1030</v>
      </c>
      <c r="AV512" s="303" t="str">
        <f t="shared" si="206"/>
        <v>F15-14-18-ALL</v>
      </c>
      <c r="AW512" s="241" t="s">
        <v>2430</v>
      </c>
      <c r="AX512" s="279" t="str">
        <f t="shared" si="197"/>
        <v>F15-14-18-ALL-Viking64</v>
      </c>
    </row>
    <row r="513" spans="1:50" ht="15.75" thickBot="1" x14ac:dyDescent="0.3">
      <c r="A513" s="190" t="str">
        <f t="shared" si="204"/>
        <v/>
      </c>
      <c r="B513" s="279" t="str">
        <f t="shared" ref="B513:B587" si="207">IF(AQ513&lt;&gt;"",AQ513,"")</f>
        <v/>
      </c>
      <c r="C513" s="279"/>
      <c r="D513" s="279"/>
      <c r="E513" s="279" t="str">
        <f t="shared" si="186"/>
        <v/>
      </c>
      <c r="F513" s="241" t="s">
        <v>535</v>
      </c>
      <c r="G513" s="242">
        <v>44683</v>
      </c>
      <c r="H513" s="243"/>
      <c r="I513" s="243"/>
      <c r="J513" s="243" t="s">
        <v>402</v>
      </c>
      <c r="K513" s="243" t="s">
        <v>2764</v>
      </c>
      <c r="L513" s="243" t="s">
        <v>2715</v>
      </c>
      <c r="M513" s="243" t="s">
        <v>559</v>
      </c>
      <c r="N513" s="243"/>
      <c r="O513" s="244"/>
      <c r="P513" s="244"/>
      <c r="Q513" s="231" t="str">
        <f t="shared" si="205"/>
        <v>. Height Level Sensors, FRONT - RIGHT</v>
      </c>
      <c r="R513" s="244"/>
      <c r="S513" s="244" t="str">
        <f t="shared" si="189"/>
        <v/>
      </c>
      <c r="T513" s="244" t="str">
        <f>IF(O513&lt;&gt;"",_xlfn.XLOOKUP(O513,'3D. Pictures'!B:B,'3D. Pictures'!E:E,"NOT FOUND",0,1),"")</f>
        <v/>
      </c>
      <c r="U513" s="243"/>
      <c r="V513" s="243" t="s">
        <v>1038</v>
      </c>
      <c r="W513" s="243" t="s">
        <v>112</v>
      </c>
      <c r="X513" s="243"/>
      <c r="Y513" s="16"/>
      <c r="Z513" s="243"/>
      <c r="AA513" s="243" t="s">
        <v>1194</v>
      </c>
      <c r="AB513" s="243" t="s">
        <v>1194</v>
      </c>
      <c r="AC513" s="358" t="str">
        <f t="shared" si="188"/>
        <v>leave arms on, mark location each obtained from</v>
      </c>
      <c r="AD513" s="243" t="s">
        <v>1192</v>
      </c>
      <c r="AE513" s="243"/>
      <c r="AF513" s="179" t="s">
        <v>543</v>
      </c>
      <c r="AG513" s="243"/>
      <c r="AH513" s="16">
        <v>75</v>
      </c>
      <c r="AI513" s="380">
        <f t="shared" si="191"/>
        <v>75</v>
      </c>
      <c r="AJ513" s="246" t="s">
        <v>408</v>
      </c>
      <c r="AK513" s="246" t="s">
        <v>425</v>
      </c>
      <c r="AL513" s="204" t="s">
        <v>2175</v>
      </c>
      <c r="AM513" s="241"/>
      <c r="AN513" s="241"/>
      <c r="AO513" s="241"/>
      <c r="AP513" s="241"/>
      <c r="AQ513" s="241"/>
      <c r="AR513" s="241"/>
      <c r="AS513" s="241" t="s">
        <v>1028</v>
      </c>
      <c r="AT513" s="241" t="s">
        <v>1029</v>
      </c>
      <c r="AU513" s="241" t="s">
        <v>1030</v>
      </c>
      <c r="AV513" s="303" t="str">
        <f t="shared" si="206"/>
        <v>F15-14-18-ALL</v>
      </c>
      <c r="AW513" s="241" t="s">
        <v>2431</v>
      </c>
      <c r="AX513" s="279" t="str">
        <f t="shared" si="197"/>
        <v>F15-14-18-ALL-Viking65</v>
      </c>
    </row>
    <row r="514" spans="1:50" ht="15.75" thickBot="1" x14ac:dyDescent="0.3">
      <c r="A514" s="190" t="str">
        <f t="shared" si="204"/>
        <v>A41</v>
      </c>
      <c r="B514" s="279" t="str">
        <f t="shared" si="207"/>
        <v/>
      </c>
      <c r="C514" s="279"/>
      <c r="D514" s="279"/>
      <c r="E514" s="279" t="str">
        <f t="shared" si="186"/>
        <v/>
      </c>
      <c r="F514" s="241" t="s">
        <v>535</v>
      </c>
      <c r="G514" s="242">
        <v>44683</v>
      </c>
      <c r="H514" s="243"/>
      <c r="I514" s="243"/>
      <c r="J514" s="243" t="s">
        <v>402</v>
      </c>
      <c r="K514" s="243" t="s">
        <v>2764</v>
      </c>
      <c r="L514" s="243" t="s">
        <v>2715</v>
      </c>
      <c r="M514" s="243" t="s">
        <v>559</v>
      </c>
      <c r="N514" s="243">
        <v>31</v>
      </c>
      <c r="O514" s="244" t="s">
        <v>943</v>
      </c>
      <c r="P514" s="244" t="s">
        <v>1168</v>
      </c>
      <c r="Q514" s="231" t="str">
        <f t="shared" si="205"/>
        <v>A41. Height Level Sensors, REAR - LEFT</v>
      </c>
      <c r="R514" s="284" t="str">
        <f>HYPERLINK(VLOOKUP(O514,'3D. Pictures'!$B$3:$E$500,4,FALSE),"PIC")</f>
        <v>PIC</v>
      </c>
      <c r="S514" s="373" t="str">
        <f t="shared" si="189"/>
        <v>E.G.</v>
      </c>
      <c r="T514" s="377" t="str">
        <f>IF(O514&lt;&gt;"",_xlfn.XLOOKUP(O514,'3D. Pictures'!B:B,'3D. Pictures'!E:E,"NOT FOUND",0,1),"")</f>
        <v>https://viking-pictures.s3.us-west-1.amazonaws.com/AA1155/A41.+Height+Level+Sensors%2C+REAR+-+LEFT+(1).JPG</v>
      </c>
      <c r="U514" s="243">
        <v>4</v>
      </c>
      <c r="V514" s="243" t="s">
        <v>2164</v>
      </c>
      <c r="W514" s="243" t="s">
        <v>112</v>
      </c>
      <c r="X514" s="243"/>
      <c r="Y514" s="16"/>
      <c r="Z514" s="243"/>
      <c r="AA514" s="243" t="s">
        <v>1195</v>
      </c>
      <c r="AB514" s="243" t="s">
        <v>1195</v>
      </c>
      <c r="AC514" s="358" t="str">
        <f t="shared" si="188"/>
        <v>leave arms on, mark location each obtained from</v>
      </c>
      <c r="AD514" s="243" t="s">
        <v>1192</v>
      </c>
      <c r="AE514" s="243"/>
      <c r="AF514" s="179" t="s">
        <v>543</v>
      </c>
      <c r="AG514" s="243"/>
      <c r="AH514" s="16">
        <v>75</v>
      </c>
      <c r="AI514" s="380">
        <f t="shared" si="191"/>
        <v>75</v>
      </c>
      <c r="AJ514" s="246" t="s">
        <v>408</v>
      </c>
      <c r="AK514" s="246" t="s">
        <v>425</v>
      </c>
      <c r="AL514" s="204" t="s">
        <v>2175</v>
      </c>
      <c r="AM514" s="241"/>
      <c r="AN514" s="241"/>
      <c r="AO514" s="241"/>
      <c r="AP514" s="241"/>
      <c r="AQ514" s="241"/>
      <c r="AR514" s="241"/>
      <c r="AS514" s="241" t="s">
        <v>1028</v>
      </c>
      <c r="AT514" s="241" t="s">
        <v>1029</v>
      </c>
      <c r="AU514" s="241" t="s">
        <v>1030</v>
      </c>
      <c r="AV514" s="303" t="str">
        <f t="shared" si="206"/>
        <v>F15-14-18-ALL</v>
      </c>
      <c r="AW514" s="241" t="s">
        <v>2432</v>
      </c>
      <c r="AX514" s="279" t="str">
        <f t="shared" si="197"/>
        <v>F15-14-18-ALL-Viking66</v>
      </c>
    </row>
    <row r="515" spans="1:50" ht="15.75" thickBot="1" x14ac:dyDescent="0.3">
      <c r="A515" s="190" t="str">
        <f t="shared" si="204"/>
        <v/>
      </c>
      <c r="B515" s="279" t="str">
        <f t="shared" si="207"/>
        <v/>
      </c>
      <c r="C515" s="279"/>
      <c r="D515" s="279"/>
      <c r="E515" s="279" t="str">
        <f t="shared" si="186"/>
        <v/>
      </c>
      <c r="F515" s="241" t="s">
        <v>535</v>
      </c>
      <c r="G515" s="242">
        <v>44683</v>
      </c>
      <c r="H515" s="243"/>
      <c r="I515" s="243"/>
      <c r="J515" s="243" t="s">
        <v>402</v>
      </c>
      <c r="K515" s="243" t="s">
        <v>2764</v>
      </c>
      <c r="L515" s="243" t="s">
        <v>2715</v>
      </c>
      <c r="M515" s="243" t="s">
        <v>559</v>
      </c>
      <c r="N515" s="243"/>
      <c r="O515" s="244"/>
      <c r="P515" s="244"/>
      <c r="Q515" s="231" t="str">
        <f t="shared" si="205"/>
        <v>. Height Level Sensors, REAR - RIGHT</v>
      </c>
      <c r="R515" s="244"/>
      <c r="S515" s="244" t="str">
        <f t="shared" si="189"/>
        <v/>
      </c>
      <c r="T515" s="244" t="str">
        <f>IF(O515&lt;&gt;"",_xlfn.XLOOKUP(O515,'3D. Pictures'!B:B,'3D. Pictures'!E:E,"NOT FOUND",0,1),"")</f>
        <v/>
      </c>
      <c r="U515" s="243"/>
      <c r="V515" s="243" t="s">
        <v>1038</v>
      </c>
      <c r="W515" s="243" t="s">
        <v>112</v>
      </c>
      <c r="X515" s="243"/>
      <c r="Y515" s="16"/>
      <c r="Z515" s="243"/>
      <c r="AA515" s="243" t="s">
        <v>1196</v>
      </c>
      <c r="AB515" s="243" t="s">
        <v>1196</v>
      </c>
      <c r="AC515" s="358" t="str">
        <f t="shared" si="188"/>
        <v>leave arms on, mark location each obtained from</v>
      </c>
      <c r="AD515" s="243" t="s">
        <v>1192</v>
      </c>
      <c r="AE515" s="243"/>
      <c r="AF515" s="179" t="s">
        <v>543</v>
      </c>
      <c r="AG515" s="243"/>
      <c r="AH515" s="16">
        <v>75</v>
      </c>
      <c r="AI515" s="380">
        <f t="shared" si="191"/>
        <v>75</v>
      </c>
      <c r="AJ515" s="246" t="s">
        <v>408</v>
      </c>
      <c r="AK515" s="246" t="s">
        <v>425</v>
      </c>
      <c r="AL515" s="204" t="s">
        <v>2175</v>
      </c>
      <c r="AM515" s="241"/>
      <c r="AN515" s="241"/>
      <c r="AO515" s="241"/>
      <c r="AP515" s="241"/>
      <c r="AQ515" s="241"/>
      <c r="AR515" s="241"/>
      <c r="AS515" s="241" t="s">
        <v>1028</v>
      </c>
      <c r="AT515" s="241" t="s">
        <v>1029</v>
      </c>
      <c r="AU515" s="241" t="s">
        <v>1030</v>
      </c>
      <c r="AV515" s="303" t="str">
        <f t="shared" si="206"/>
        <v>F15-14-18-ALL</v>
      </c>
      <c r="AW515" s="241" t="s">
        <v>2433</v>
      </c>
      <c r="AX515" s="279" t="str">
        <f t="shared" si="197"/>
        <v>F15-14-18-ALL-Viking67</v>
      </c>
    </row>
    <row r="516" spans="1:50" ht="15.75" thickBot="1" x14ac:dyDescent="0.3">
      <c r="A516" s="190" t="str">
        <f t="shared" si="204"/>
        <v>A17</v>
      </c>
      <c r="B516" s="279" t="str">
        <f t="shared" si="207"/>
        <v/>
      </c>
      <c r="C516" s="279"/>
      <c r="D516" s="279"/>
      <c r="E516" s="279" t="str">
        <f t="shared" si="186"/>
        <v/>
      </c>
      <c r="F516" s="241" t="s">
        <v>535</v>
      </c>
      <c r="G516" s="242">
        <v>44683</v>
      </c>
      <c r="H516" s="243"/>
      <c r="I516" s="243"/>
      <c r="J516" s="243" t="s">
        <v>402</v>
      </c>
      <c r="K516" s="244" t="s">
        <v>2764</v>
      </c>
      <c r="L516" s="243" t="s">
        <v>2699</v>
      </c>
      <c r="M516" s="243" t="s">
        <v>559</v>
      </c>
      <c r="N516" s="243">
        <v>7</v>
      </c>
      <c r="O516" s="244" t="s">
        <v>919</v>
      </c>
      <c r="P516" s="244" t="s">
        <v>1035</v>
      </c>
      <c r="Q516" s="231" t="str">
        <f t="shared" si="205"/>
        <v>A17. Muffler Tips SET 2</v>
      </c>
      <c r="R516" s="284" t="str">
        <f>HYPERLINK(VLOOKUP(O516,'3D. Pictures'!$B$3:$E$500,4,FALSE),"PIC")</f>
        <v>PIC</v>
      </c>
      <c r="S516" s="373" t="str">
        <f t="shared" si="189"/>
        <v>E.G.</v>
      </c>
      <c r="T516" s="377" t="str">
        <f>IF(O516&lt;&gt;"",_xlfn.XLOOKUP(O516,'3D. Pictures'!B:B,'3D. Pictures'!E:E,"NOT FOUND",0,1),"")</f>
        <v>https://viking-pictures.s3.us-west-1.amazonaws.com/AA1155/A17.+Muffler+Tips+SET+2+(1).JPG</v>
      </c>
      <c r="U516" s="243">
        <v>4</v>
      </c>
      <c r="V516" s="243">
        <v>7633311</v>
      </c>
      <c r="W516" s="243" t="s">
        <v>111</v>
      </c>
      <c r="X516" s="243"/>
      <c r="Y516" s="16"/>
      <c r="Z516" s="243"/>
      <c r="AA516" s="243" t="s">
        <v>2505</v>
      </c>
      <c r="AB516" s="243" t="s">
        <v>2505</v>
      </c>
      <c r="AC516" s="358" t="str">
        <f t="shared" si="188"/>
        <v>toss both if 1 bad</v>
      </c>
      <c r="AD516" s="243" t="s">
        <v>1159</v>
      </c>
      <c r="AE516" s="243"/>
      <c r="AF516" s="179" t="s">
        <v>544</v>
      </c>
      <c r="AG516" s="243"/>
      <c r="AH516" s="16">
        <v>98</v>
      </c>
      <c r="AI516" s="380">
        <f t="shared" si="191"/>
        <v>98</v>
      </c>
      <c r="AJ516" s="246" t="s">
        <v>408</v>
      </c>
      <c r="AK516" s="246" t="s">
        <v>425</v>
      </c>
      <c r="AL516" s="204" t="s">
        <v>2175</v>
      </c>
      <c r="AM516" s="241"/>
      <c r="AN516" s="241"/>
      <c r="AO516" s="241"/>
      <c r="AP516" s="241"/>
      <c r="AQ516" s="241"/>
      <c r="AR516" s="241"/>
      <c r="AS516" s="241" t="s">
        <v>1028</v>
      </c>
      <c r="AT516" s="241" t="s">
        <v>1029</v>
      </c>
      <c r="AU516" s="241" t="s">
        <v>1042</v>
      </c>
      <c r="AV516" s="303" t="str">
        <f t="shared" si="206"/>
        <v>F15-14-18-3.0T N55</v>
      </c>
      <c r="AW516" s="241" t="s">
        <v>2434</v>
      </c>
      <c r="AX516" s="279" t="str">
        <f t="shared" si="197"/>
        <v>F15-14-18-3.0T N55-Viking68</v>
      </c>
    </row>
    <row r="517" spans="1:50" x14ac:dyDescent="0.25">
      <c r="A517" s="190" t="str">
        <f t="shared" si="204"/>
        <v/>
      </c>
      <c r="B517" s="279" t="str">
        <f t="shared" si="207"/>
        <v>527-61348</v>
      </c>
      <c r="C517" s="279" t="s">
        <v>2131</v>
      </c>
      <c r="D517" s="279"/>
      <c r="E517" s="279">
        <f t="shared" si="186"/>
        <v>2</v>
      </c>
      <c r="F517" s="190" t="s">
        <v>535</v>
      </c>
      <c r="G517" s="198">
        <v>45216</v>
      </c>
      <c r="H517" s="205"/>
      <c r="I517" s="205"/>
      <c r="J517" s="205" t="s">
        <v>402</v>
      </c>
      <c r="K517" s="206" t="s">
        <v>2764</v>
      </c>
      <c r="L517" s="205" t="s">
        <v>878</v>
      </c>
      <c r="M517" s="200" t="s">
        <v>558</v>
      </c>
      <c r="N517" s="200"/>
      <c r="O517" s="230"/>
      <c r="P517" s="230"/>
      <c r="Q517" s="231" t="str">
        <f t="shared" si="205"/>
        <v>. Shock Struts, FRONT SET 2</v>
      </c>
      <c r="R517" s="231"/>
      <c r="S517" s="231" t="str">
        <f t="shared" si="189"/>
        <v/>
      </c>
      <c r="T517" s="231" t="str">
        <f>IF(O517&lt;&gt;"",_xlfn.XLOOKUP(O517,'3D. Pictures'!B:B,'3D. Pictures'!E:E,"NOT FOUND",0,1),"")</f>
        <v/>
      </c>
      <c r="U517" s="200"/>
      <c r="V517" s="201"/>
      <c r="W517" s="200"/>
      <c r="X517" s="201"/>
      <c r="Y517" s="16"/>
      <c r="Z517" s="201"/>
      <c r="AA517" s="205" t="s">
        <v>2506</v>
      </c>
      <c r="AB517" s="205" t="s">
        <v>2506</v>
      </c>
      <c r="AC517" s="358" t="str">
        <f t="shared" si="188"/>
        <v>SET 2, sell singles if 1 bad</v>
      </c>
      <c r="AD517" s="205" t="s">
        <v>2550</v>
      </c>
      <c r="AE517" s="205"/>
      <c r="AF517" s="201" t="s">
        <v>544</v>
      </c>
      <c r="AG517" s="205"/>
      <c r="AH517" s="16">
        <v>800</v>
      </c>
      <c r="AI517" s="380">
        <f t="shared" si="191"/>
        <v>473.88888888888891</v>
      </c>
      <c r="AJ517" s="204" t="s">
        <v>2177</v>
      </c>
      <c r="AK517" s="204" t="s">
        <v>425</v>
      </c>
      <c r="AL517" s="204" t="s">
        <v>2177</v>
      </c>
      <c r="AM517" s="190"/>
      <c r="AN517" s="191" t="s">
        <v>648</v>
      </c>
      <c r="AO517" s="190" t="s">
        <v>572</v>
      </c>
      <c r="AP517" s="190">
        <v>61348</v>
      </c>
      <c r="AQ517" s="190" t="str">
        <f t="shared" ref="AQ517:AQ528" si="208">CONCATENATE(AN517,AO517,AP517)</f>
        <v>527-61348</v>
      </c>
      <c r="AR517" s="190" t="s">
        <v>884</v>
      </c>
      <c r="AS517" s="190"/>
      <c r="AT517" s="190"/>
      <c r="AU517" s="190"/>
      <c r="AV517" s="190"/>
      <c r="AW517" s="190"/>
      <c r="AX517" s="279" t="str">
        <f t="shared" si="197"/>
        <v/>
      </c>
    </row>
    <row r="518" spans="1:50" x14ac:dyDescent="0.25">
      <c r="A518" s="190" t="str">
        <f t="shared" si="204"/>
        <v/>
      </c>
      <c r="B518" s="279" t="str">
        <f t="shared" si="207"/>
        <v>527-61348</v>
      </c>
      <c r="C518" s="279" t="s">
        <v>2132</v>
      </c>
      <c r="D518" s="279"/>
      <c r="E518" s="279">
        <f t="shared" si="186"/>
        <v>2</v>
      </c>
      <c r="F518" s="190" t="s">
        <v>535</v>
      </c>
      <c r="G518" s="198">
        <v>45216</v>
      </c>
      <c r="H518" s="205"/>
      <c r="I518" s="205"/>
      <c r="J518" s="205" t="s">
        <v>402</v>
      </c>
      <c r="K518" s="206" t="s">
        <v>2764</v>
      </c>
      <c r="L518" s="205" t="s">
        <v>878</v>
      </c>
      <c r="M518" s="200" t="s">
        <v>558</v>
      </c>
      <c r="N518" s="200"/>
      <c r="O518" s="230"/>
      <c r="P518" s="230"/>
      <c r="Q518" s="231" t="str">
        <f t="shared" si="205"/>
        <v>. Shock Struts, FRONT - LEFT</v>
      </c>
      <c r="R518" s="231"/>
      <c r="S518" s="231" t="str">
        <f t="shared" si="189"/>
        <v/>
      </c>
      <c r="T518" s="231" t="str">
        <f>IF(O518&lt;&gt;"",_xlfn.XLOOKUP(O518,'3D. Pictures'!B:B,'3D. Pictures'!E:E,"NOT FOUND",0,1),"")</f>
        <v/>
      </c>
      <c r="U518" s="200"/>
      <c r="V518" s="201"/>
      <c r="W518" s="200"/>
      <c r="X518" s="201"/>
      <c r="Y518" s="168"/>
      <c r="Z518" s="201"/>
      <c r="AA518" s="205" t="s">
        <v>2506</v>
      </c>
      <c r="AB518" s="205" t="s">
        <v>879</v>
      </c>
      <c r="AC518" s="358" t="str">
        <f t="shared" si="188"/>
        <v/>
      </c>
      <c r="AD518" s="205"/>
      <c r="AE518" s="205"/>
      <c r="AF518" s="201" t="s">
        <v>543</v>
      </c>
      <c r="AG518" s="205"/>
      <c r="AH518" s="16">
        <v>450</v>
      </c>
      <c r="AI518" s="380">
        <f t="shared" si="191"/>
        <v>473.88888888888891</v>
      </c>
      <c r="AJ518" s="204" t="s">
        <v>2177</v>
      </c>
      <c r="AK518" s="204" t="s">
        <v>425</v>
      </c>
      <c r="AL518" s="204" t="s">
        <v>2177</v>
      </c>
      <c r="AM518" s="190"/>
      <c r="AN518" s="191" t="s">
        <v>648</v>
      </c>
      <c r="AO518" s="190" t="s">
        <v>572</v>
      </c>
      <c r="AP518" s="190">
        <v>61348</v>
      </c>
      <c r="AQ518" s="190" t="str">
        <f t="shared" si="208"/>
        <v>527-61348</v>
      </c>
      <c r="AR518" s="190" t="s">
        <v>885</v>
      </c>
      <c r="AS518" s="190"/>
      <c r="AT518" s="190"/>
      <c r="AU518" s="190"/>
      <c r="AV518" s="190"/>
      <c r="AW518" s="190"/>
      <c r="AX518" s="279" t="str">
        <f t="shared" si="197"/>
        <v/>
      </c>
    </row>
    <row r="519" spans="1:50" x14ac:dyDescent="0.25">
      <c r="A519" s="190" t="str">
        <f t="shared" si="204"/>
        <v/>
      </c>
      <c r="B519" s="279" t="str">
        <f t="shared" si="207"/>
        <v>527-61347</v>
      </c>
      <c r="C519" s="279"/>
      <c r="D519" s="279"/>
      <c r="E519" s="279">
        <f t="shared" si="186"/>
        <v>1</v>
      </c>
      <c r="F519" s="190" t="s">
        <v>535</v>
      </c>
      <c r="G519" s="198">
        <v>45216</v>
      </c>
      <c r="H519" s="205"/>
      <c r="I519" s="205"/>
      <c r="J519" s="205" t="s">
        <v>402</v>
      </c>
      <c r="K519" s="206" t="s">
        <v>2764</v>
      </c>
      <c r="L519" s="205" t="s">
        <v>878</v>
      </c>
      <c r="M519" s="200" t="s">
        <v>558</v>
      </c>
      <c r="N519" s="200"/>
      <c r="O519" s="230"/>
      <c r="P519" s="230"/>
      <c r="Q519" s="231" t="str">
        <f t="shared" si="205"/>
        <v>. Shock Struts, FRONT - RIGHT</v>
      </c>
      <c r="R519" s="231"/>
      <c r="S519" s="231" t="str">
        <f t="shared" si="189"/>
        <v/>
      </c>
      <c r="T519" s="231" t="str">
        <f>IF(O519&lt;&gt;"",_xlfn.XLOOKUP(O519,'3D. Pictures'!B:B,'3D. Pictures'!E:E,"NOT FOUND",0,1),"")</f>
        <v/>
      </c>
      <c r="U519" s="200"/>
      <c r="V519" s="201"/>
      <c r="W519" s="200"/>
      <c r="X519" s="201"/>
      <c r="Y519" s="16"/>
      <c r="Z519" s="201"/>
      <c r="AA519" s="205" t="s">
        <v>2506</v>
      </c>
      <c r="AB519" s="205" t="s">
        <v>880</v>
      </c>
      <c r="AC519" s="358" t="str">
        <f t="shared" si="188"/>
        <v/>
      </c>
      <c r="AD519" s="205"/>
      <c r="AE519" s="205"/>
      <c r="AF519" s="201" t="s">
        <v>543</v>
      </c>
      <c r="AG519" s="205"/>
      <c r="AH519" s="16">
        <v>450</v>
      </c>
      <c r="AI519" s="380">
        <f t="shared" si="191"/>
        <v>473.88888888888891</v>
      </c>
      <c r="AJ519" s="204" t="s">
        <v>2177</v>
      </c>
      <c r="AK519" s="204" t="s">
        <v>425</v>
      </c>
      <c r="AL519" s="204" t="s">
        <v>2177</v>
      </c>
      <c r="AM519" s="190"/>
      <c r="AN519" s="191" t="s">
        <v>648</v>
      </c>
      <c r="AO519" s="190" t="s">
        <v>572</v>
      </c>
      <c r="AP519" s="190">
        <v>61347</v>
      </c>
      <c r="AQ519" s="190" t="str">
        <f t="shared" si="208"/>
        <v>527-61347</v>
      </c>
      <c r="AR519" s="190" t="s">
        <v>886</v>
      </c>
      <c r="AS519" s="190"/>
      <c r="AT519" s="190"/>
      <c r="AU519" s="190"/>
      <c r="AV519" s="190"/>
      <c r="AW519" s="190"/>
      <c r="AX519" s="279" t="str">
        <f t="shared" si="197"/>
        <v/>
      </c>
    </row>
    <row r="520" spans="1:50" x14ac:dyDescent="0.25">
      <c r="A520" s="190" t="str">
        <f t="shared" si="204"/>
        <v/>
      </c>
      <c r="B520" s="279" t="str">
        <f t="shared" si="207"/>
        <v>527-61352</v>
      </c>
      <c r="C520" s="279" t="s">
        <v>2133</v>
      </c>
      <c r="D520" s="279"/>
      <c r="E520" s="279">
        <f t="shared" si="186"/>
        <v>2</v>
      </c>
      <c r="F520" s="190" t="s">
        <v>535</v>
      </c>
      <c r="G520" s="198">
        <v>45216</v>
      </c>
      <c r="H520" s="205"/>
      <c r="I520" s="205"/>
      <c r="J520" s="205" t="s">
        <v>402</v>
      </c>
      <c r="K520" s="206" t="s">
        <v>2764</v>
      </c>
      <c r="L520" s="205" t="s">
        <v>878</v>
      </c>
      <c r="M520" s="200" t="s">
        <v>558</v>
      </c>
      <c r="N520" s="200"/>
      <c r="O520" s="230"/>
      <c r="P520" s="230"/>
      <c r="Q520" s="231" t="str">
        <f t="shared" si="205"/>
        <v>. Shock Struts, FRONT SET 2</v>
      </c>
      <c r="R520" s="231"/>
      <c r="S520" s="231" t="str">
        <f t="shared" si="189"/>
        <v/>
      </c>
      <c r="T520" s="231" t="str">
        <f>IF(O520&lt;&gt;"",_xlfn.XLOOKUP(O520,'3D. Pictures'!B:B,'3D. Pictures'!E:E,"NOT FOUND",0,1),"")</f>
        <v/>
      </c>
      <c r="U520" s="200"/>
      <c r="V520" s="201"/>
      <c r="W520" s="200"/>
      <c r="X520" s="201"/>
      <c r="Y520" s="168"/>
      <c r="Z520" s="201"/>
      <c r="AA520" s="205" t="s">
        <v>2506</v>
      </c>
      <c r="AB520" s="205" t="s">
        <v>2506</v>
      </c>
      <c r="AC520" s="358" t="str">
        <f t="shared" si="188"/>
        <v>SET 2, sell singles if 1 bad</v>
      </c>
      <c r="AD520" s="205" t="s">
        <v>2550</v>
      </c>
      <c r="AE520" s="205"/>
      <c r="AF520" s="201" t="s">
        <v>544</v>
      </c>
      <c r="AG520" s="205"/>
      <c r="AH520" s="16">
        <v>750</v>
      </c>
      <c r="AI520" s="380">
        <f t="shared" si="191"/>
        <v>473.88888888888891</v>
      </c>
      <c r="AJ520" s="204" t="s">
        <v>2203</v>
      </c>
      <c r="AK520" s="204" t="s">
        <v>425</v>
      </c>
      <c r="AL520" s="204" t="s">
        <v>2631</v>
      </c>
      <c r="AM520" s="190"/>
      <c r="AN520" s="191" t="s">
        <v>648</v>
      </c>
      <c r="AO520" s="190" t="s">
        <v>572</v>
      </c>
      <c r="AP520" s="190">
        <v>61352</v>
      </c>
      <c r="AQ520" s="190" t="str">
        <f t="shared" si="208"/>
        <v>527-61352</v>
      </c>
      <c r="AR520" s="190" t="s">
        <v>887</v>
      </c>
      <c r="AS520" s="190"/>
      <c r="AT520" s="190"/>
      <c r="AU520" s="190"/>
      <c r="AV520" s="190"/>
      <c r="AW520" s="190"/>
      <c r="AX520" s="279" t="str">
        <f t="shared" si="197"/>
        <v/>
      </c>
    </row>
    <row r="521" spans="1:50" x14ac:dyDescent="0.25">
      <c r="A521" s="190" t="str">
        <f t="shared" si="204"/>
        <v/>
      </c>
      <c r="B521" s="279" t="str">
        <f t="shared" si="207"/>
        <v>527-61352</v>
      </c>
      <c r="C521" s="279" t="s">
        <v>2134</v>
      </c>
      <c r="D521" s="279"/>
      <c r="E521" s="279">
        <f t="shared" ref="E521:E584" si="209">IF(B521&lt;&gt;"",COUNTIF($B$9:$B$2241,B521),"")</f>
        <v>2</v>
      </c>
      <c r="F521" s="190" t="s">
        <v>535</v>
      </c>
      <c r="G521" s="198">
        <v>45216</v>
      </c>
      <c r="H521" s="205"/>
      <c r="I521" s="205"/>
      <c r="J521" s="205" t="s">
        <v>402</v>
      </c>
      <c r="K521" s="206" t="s">
        <v>2764</v>
      </c>
      <c r="L521" s="205" t="s">
        <v>878</v>
      </c>
      <c r="M521" s="200" t="s">
        <v>558</v>
      </c>
      <c r="N521" s="200"/>
      <c r="O521" s="230"/>
      <c r="P521" s="230"/>
      <c r="Q521" s="231" t="str">
        <f t="shared" si="205"/>
        <v>. Shock Struts, FRONT - LEFT</v>
      </c>
      <c r="R521" s="231"/>
      <c r="S521" s="231" t="str">
        <f t="shared" si="189"/>
        <v/>
      </c>
      <c r="T521" s="231" t="str">
        <f>IF(O521&lt;&gt;"",_xlfn.XLOOKUP(O521,'3D. Pictures'!B:B,'3D. Pictures'!E:E,"NOT FOUND",0,1),"")</f>
        <v/>
      </c>
      <c r="U521" s="200"/>
      <c r="V521" s="201"/>
      <c r="W521" s="200"/>
      <c r="X521" s="201"/>
      <c r="Y521" s="201"/>
      <c r="Z521" s="201"/>
      <c r="AA521" s="205" t="s">
        <v>2506</v>
      </c>
      <c r="AB521" s="205" t="s">
        <v>879</v>
      </c>
      <c r="AC521" s="358" t="str">
        <f t="shared" ref="AC521:AC584" si="210">_xlfn.TEXTJOIN(" | ",TRUE,AD521,AE521)</f>
        <v/>
      </c>
      <c r="AD521" s="205"/>
      <c r="AE521" s="205"/>
      <c r="AF521" s="201" t="s">
        <v>543</v>
      </c>
      <c r="AG521" s="205"/>
      <c r="AH521" s="16">
        <v>400</v>
      </c>
      <c r="AI521" s="380">
        <f t="shared" si="191"/>
        <v>473.88888888888891</v>
      </c>
      <c r="AJ521" s="204" t="s">
        <v>2203</v>
      </c>
      <c r="AK521" s="204" t="s">
        <v>425</v>
      </c>
      <c r="AL521" s="204" t="s">
        <v>2631</v>
      </c>
      <c r="AM521" s="190"/>
      <c r="AN521" s="191" t="s">
        <v>648</v>
      </c>
      <c r="AO521" s="190" t="s">
        <v>572</v>
      </c>
      <c r="AP521" s="190">
        <v>61352</v>
      </c>
      <c r="AQ521" s="190" t="str">
        <f t="shared" si="208"/>
        <v>527-61352</v>
      </c>
      <c r="AR521" s="190" t="s">
        <v>888</v>
      </c>
      <c r="AS521" s="190"/>
      <c r="AT521" s="190"/>
      <c r="AU521" s="190"/>
      <c r="AV521" s="190"/>
      <c r="AW521" s="190"/>
      <c r="AX521" s="279" t="str">
        <f t="shared" si="197"/>
        <v/>
      </c>
    </row>
    <row r="522" spans="1:50" x14ac:dyDescent="0.25">
      <c r="A522" s="190" t="str">
        <f t="shared" si="204"/>
        <v/>
      </c>
      <c r="B522" s="279" t="str">
        <f t="shared" si="207"/>
        <v>527-61351</v>
      </c>
      <c r="C522" s="279"/>
      <c r="D522" s="279"/>
      <c r="E522" s="279">
        <f t="shared" si="209"/>
        <v>1</v>
      </c>
      <c r="F522" s="190" t="s">
        <v>535</v>
      </c>
      <c r="G522" s="198">
        <v>45216</v>
      </c>
      <c r="H522" s="205"/>
      <c r="I522" s="205"/>
      <c r="J522" s="205" t="s">
        <v>402</v>
      </c>
      <c r="K522" s="206" t="s">
        <v>2764</v>
      </c>
      <c r="L522" s="205" t="s">
        <v>878</v>
      </c>
      <c r="M522" s="200" t="s">
        <v>558</v>
      </c>
      <c r="N522" s="200"/>
      <c r="O522" s="230"/>
      <c r="P522" s="230"/>
      <c r="Q522" s="231" t="str">
        <f t="shared" si="205"/>
        <v>. Shock Struts, FRONT - RIGHT</v>
      </c>
      <c r="R522" s="231"/>
      <c r="S522" s="231" t="str">
        <f t="shared" si="189"/>
        <v/>
      </c>
      <c r="T522" s="231" t="str">
        <f>IF(O522&lt;&gt;"",_xlfn.XLOOKUP(O522,'3D. Pictures'!B:B,'3D. Pictures'!E:E,"NOT FOUND",0,1),"")</f>
        <v/>
      </c>
      <c r="U522" s="200"/>
      <c r="V522" s="201"/>
      <c r="W522" s="200"/>
      <c r="X522" s="201"/>
      <c r="Y522" s="201"/>
      <c r="Z522" s="201"/>
      <c r="AA522" s="205" t="s">
        <v>2506</v>
      </c>
      <c r="AB522" s="205" t="s">
        <v>880</v>
      </c>
      <c r="AC522" s="358" t="str">
        <f t="shared" si="210"/>
        <v/>
      </c>
      <c r="AD522" s="205"/>
      <c r="AE522" s="205"/>
      <c r="AF522" s="201" t="s">
        <v>543</v>
      </c>
      <c r="AG522" s="205"/>
      <c r="AH522" s="16">
        <v>400</v>
      </c>
      <c r="AI522" s="380">
        <f t="shared" si="191"/>
        <v>473.88888888888891</v>
      </c>
      <c r="AJ522" s="204" t="s">
        <v>2203</v>
      </c>
      <c r="AK522" s="204" t="s">
        <v>425</v>
      </c>
      <c r="AL522" s="204" t="s">
        <v>2631</v>
      </c>
      <c r="AM522" s="190"/>
      <c r="AN522" s="191" t="s">
        <v>648</v>
      </c>
      <c r="AO522" s="190" t="s">
        <v>572</v>
      </c>
      <c r="AP522" s="190">
        <v>61351</v>
      </c>
      <c r="AQ522" s="190" t="str">
        <f t="shared" si="208"/>
        <v>527-61351</v>
      </c>
      <c r="AR522" s="190" t="s">
        <v>889</v>
      </c>
      <c r="AS522" s="190"/>
      <c r="AT522" s="190"/>
      <c r="AU522" s="190"/>
      <c r="AV522" s="190"/>
      <c r="AW522" s="190"/>
      <c r="AX522" s="279" t="str">
        <f t="shared" si="197"/>
        <v/>
      </c>
    </row>
    <row r="523" spans="1:50" x14ac:dyDescent="0.25">
      <c r="A523" s="190" t="str">
        <f t="shared" si="204"/>
        <v/>
      </c>
      <c r="B523" s="279" t="str">
        <f t="shared" si="207"/>
        <v>527-61354</v>
      </c>
      <c r="C523" s="279" t="s">
        <v>2135</v>
      </c>
      <c r="D523" s="279"/>
      <c r="E523" s="279">
        <f t="shared" si="209"/>
        <v>2</v>
      </c>
      <c r="F523" s="190" t="s">
        <v>535</v>
      </c>
      <c r="G523" s="198">
        <v>44674</v>
      </c>
      <c r="H523" s="205"/>
      <c r="I523" s="205"/>
      <c r="J523" s="205" t="s">
        <v>402</v>
      </c>
      <c r="K523" s="206" t="s">
        <v>2764</v>
      </c>
      <c r="L523" s="205" t="s">
        <v>878</v>
      </c>
      <c r="M523" s="200" t="s">
        <v>558</v>
      </c>
      <c r="N523" s="200"/>
      <c r="O523" s="230"/>
      <c r="P523" s="230"/>
      <c r="Q523" s="231" t="str">
        <f t="shared" si="205"/>
        <v>. Shock Struts, FRONT SET 2</v>
      </c>
      <c r="R523" s="231"/>
      <c r="S523" s="231" t="str">
        <f t="shared" si="189"/>
        <v/>
      </c>
      <c r="T523" s="231" t="str">
        <f>IF(O523&lt;&gt;"",_xlfn.XLOOKUP(O523,'3D. Pictures'!B:B,'3D. Pictures'!E:E,"NOT FOUND",0,1),"")</f>
        <v/>
      </c>
      <c r="U523" s="200"/>
      <c r="V523" s="201"/>
      <c r="W523" s="200"/>
      <c r="X523" s="201"/>
      <c r="Y523" s="201"/>
      <c r="Z523" s="201"/>
      <c r="AA523" s="205" t="s">
        <v>2506</v>
      </c>
      <c r="AB523" s="205" t="s">
        <v>2506</v>
      </c>
      <c r="AC523" s="358" t="str">
        <f t="shared" si="210"/>
        <v>SET 2, sell singles if 1 bad</v>
      </c>
      <c r="AD523" s="205" t="s">
        <v>2550</v>
      </c>
      <c r="AE523" s="205"/>
      <c r="AF523" s="201" t="s">
        <v>544</v>
      </c>
      <c r="AG523" s="205"/>
      <c r="AH523" s="16">
        <v>575</v>
      </c>
      <c r="AI523" s="380">
        <f t="shared" si="191"/>
        <v>473.88888888888891</v>
      </c>
      <c r="AJ523" s="204" t="s">
        <v>2177</v>
      </c>
      <c r="AK523" s="204" t="s">
        <v>425</v>
      </c>
      <c r="AL523" s="204" t="s">
        <v>2177</v>
      </c>
      <c r="AM523" s="190"/>
      <c r="AN523" s="191" t="s">
        <v>648</v>
      </c>
      <c r="AO523" s="190" t="s">
        <v>572</v>
      </c>
      <c r="AP523" s="190">
        <v>61354</v>
      </c>
      <c r="AQ523" s="190" t="str">
        <f t="shared" si="208"/>
        <v>527-61354</v>
      </c>
      <c r="AR523" s="190" t="s">
        <v>883</v>
      </c>
      <c r="AS523" s="190"/>
      <c r="AT523" s="190"/>
      <c r="AU523" s="190"/>
      <c r="AV523" s="190"/>
      <c r="AW523" s="190"/>
      <c r="AX523" s="279" t="str">
        <f t="shared" si="197"/>
        <v/>
      </c>
    </row>
    <row r="524" spans="1:50" x14ac:dyDescent="0.25">
      <c r="A524" s="190" t="str">
        <f t="shared" si="204"/>
        <v/>
      </c>
      <c r="B524" s="279" t="str">
        <f t="shared" si="207"/>
        <v>527-61354</v>
      </c>
      <c r="C524" s="279" t="s">
        <v>2136</v>
      </c>
      <c r="D524" s="279"/>
      <c r="E524" s="279">
        <f t="shared" si="209"/>
        <v>2</v>
      </c>
      <c r="F524" s="190" t="s">
        <v>535</v>
      </c>
      <c r="G524" s="198">
        <v>44674</v>
      </c>
      <c r="H524" s="205"/>
      <c r="I524" s="205"/>
      <c r="J524" s="205" t="s">
        <v>402</v>
      </c>
      <c r="K524" s="206" t="s">
        <v>2764</v>
      </c>
      <c r="L524" s="205" t="s">
        <v>878</v>
      </c>
      <c r="M524" s="200" t="s">
        <v>558</v>
      </c>
      <c r="N524" s="200"/>
      <c r="O524" s="230"/>
      <c r="P524" s="230"/>
      <c r="Q524" s="231" t="str">
        <f t="shared" si="205"/>
        <v>. Shock Struts, FRONT - LEFT</v>
      </c>
      <c r="R524" s="231"/>
      <c r="S524" s="231" t="str">
        <f t="shared" ref="S524:S587" si="211">IF(T524&lt;&gt;"",HYPERLINK(T524,"E.G."),"")</f>
        <v/>
      </c>
      <c r="T524" s="231" t="str">
        <f>IF(O524&lt;&gt;"",_xlfn.XLOOKUP(O524,'3D. Pictures'!B:B,'3D. Pictures'!E:E,"NOT FOUND",0,1),"")</f>
        <v/>
      </c>
      <c r="U524" s="200"/>
      <c r="V524" s="201"/>
      <c r="W524" s="200"/>
      <c r="X524" s="201"/>
      <c r="Y524" s="201"/>
      <c r="Z524" s="201"/>
      <c r="AA524" s="205" t="s">
        <v>2506</v>
      </c>
      <c r="AB524" s="205" t="s">
        <v>879</v>
      </c>
      <c r="AC524" s="358" t="str">
        <f t="shared" si="210"/>
        <v/>
      </c>
      <c r="AD524" s="205"/>
      <c r="AE524" s="205"/>
      <c r="AF524" s="201" t="s">
        <v>543</v>
      </c>
      <c r="AG524" s="205"/>
      <c r="AH524" s="16">
        <v>295</v>
      </c>
      <c r="AI524" s="380">
        <f t="shared" si="191"/>
        <v>473.88888888888891</v>
      </c>
      <c r="AJ524" s="204" t="s">
        <v>2177</v>
      </c>
      <c r="AK524" s="204" t="s">
        <v>425</v>
      </c>
      <c r="AL524" s="204" t="s">
        <v>2177</v>
      </c>
      <c r="AM524" s="190"/>
      <c r="AN524" s="191" t="s">
        <v>648</v>
      </c>
      <c r="AO524" s="190" t="s">
        <v>572</v>
      </c>
      <c r="AP524" s="190">
        <v>61354</v>
      </c>
      <c r="AQ524" s="190" t="str">
        <f t="shared" si="208"/>
        <v>527-61354</v>
      </c>
      <c r="AR524" s="190" t="s">
        <v>881</v>
      </c>
      <c r="AS524" s="190"/>
      <c r="AT524" s="190"/>
      <c r="AU524" s="190"/>
      <c r="AV524" s="190"/>
      <c r="AW524" s="190"/>
      <c r="AX524" s="279" t="str">
        <f t="shared" si="197"/>
        <v/>
      </c>
    </row>
    <row r="525" spans="1:50" x14ac:dyDescent="0.25">
      <c r="A525" s="190" t="str">
        <f t="shared" si="204"/>
        <v/>
      </c>
      <c r="B525" s="279" t="str">
        <f t="shared" si="207"/>
        <v>527-61353</v>
      </c>
      <c r="C525" s="279"/>
      <c r="D525" s="279"/>
      <c r="E525" s="279">
        <f t="shared" si="209"/>
        <v>1</v>
      </c>
      <c r="F525" s="190" t="s">
        <v>535</v>
      </c>
      <c r="G525" s="198">
        <v>44674</v>
      </c>
      <c r="H525" s="205"/>
      <c r="I525" s="205"/>
      <c r="J525" s="205" t="s">
        <v>402</v>
      </c>
      <c r="K525" s="206" t="s">
        <v>2764</v>
      </c>
      <c r="L525" s="205" t="s">
        <v>878</v>
      </c>
      <c r="M525" s="200" t="s">
        <v>558</v>
      </c>
      <c r="N525" s="200"/>
      <c r="O525" s="230"/>
      <c r="P525" s="230"/>
      <c r="Q525" s="231" t="str">
        <f t="shared" si="205"/>
        <v>. Shock Struts, FRONT - RIGHT</v>
      </c>
      <c r="R525" s="231"/>
      <c r="S525" s="231" t="str">
        <f t="shared" si="211"/>
        <v/>
      </c>
      <c r="T525" s="231" t="str">
        <f>IF(O525&lt;&gt;"",_xlfn.XLOOKUP(O525,'3D. Pictures'!B:B,'3D. Pictures'!E:E,"NOT FOUND",0,1),"")</f>
        <v/>
      </c>
      <c r="U525" s="200"/>
      <c r="V525" s="201"/>
      <c r="W525" s="200"/>
      <c r="X525" s="201"/>
      <c r="Y525" s="201"/>
      <c r="Z525" s="201"/>
      <c r="AA525" s="205" t="s">
        <v>2506</v>
      </c>
      <c r="AB525" s="205" t="s">
        <v>880</v>
      </c>
      <c r="AC525" s="358" t="str">
        <f t="shared" si="210"/>
        <v/>
      </c>
      <c r="AD525" s="205"/>
      <c r="AE525" s="205"/>
      <c r="AF525" s="201" t="s">
        <v>543</v>
      </c>
      <c r="AG525" s="205"/>
      <c r="AH525" s="16">
        <v>295</v>
      </c>
      <c r="AI525" s="380">
        <f t="shared" ref="AI525:AI588" si="212">IF(ISTEXT(AH525), AH525, IFERROR(AVERAGEIF(AA:AA, AA525, AH:AH), ""))</f>
        <v>473.88888888888891</v>
      </c>
      <c r="AJ525" s="204" t="s">
        <v>2177</v>
      </c>
      <c r="AK525" s="204" t="s">
        <v>425</v>
      </c>
      <c r="AL525" s="204" t="s">
        <v>2177</v>
      </c>
      <c r="AM525" s="190"/>
      <c r="AN525" s="191" t="s">
        <v>648</v>
      </c>
      <c r="AO525" s="190" t="s">
        <v>572</v>
      </c>
      <c r="AP525" s="190">
        <v>61353</v>
      </c>
      <c r="AQ525" s="190" t="str">
        <f t="shared" si="208"/>
        <v>527-61353</v>
      </c>
      <c r="AR525" s="190" t="s">
        <v>882</v>
      </c>
      <c r="AS525" s="190"/>
      <c r="AT525" s="190"/>
      <c r="AU525" s="190"/>
      <c r="AV525" s="190"/>
      <c r="AW525" s="190"/>
      <c r="AX525" s="279" t="str">
        <f t="shared" si="197"/>
        <v/>
      </c>
    </row>
    <row r="526" spans="1:50" x14ac:dyDescent="0.25">
      <c r="A526" s="190" t="str">
        <f t="shared" si="204"/>
        <v/>
      </c>
      <c r="B526" s="279" t="str">
        <f t="shared" si="207"/>
        <v>527-61356</v>
      </c>
      <c r="C526" s="279" t="s">
        <v>2137</v>
      </c>
      <c r="D526" s="279"/>
      <c r="E526" s="279">
        <f t="shared" si="209"/>
        <v>2</v>
      </c>
      <c r="F526" s="190" t="s">
        <v>535</v>
      </c>
      <c r="G526" s="198">
        <v>45216</v>
      </c>
      <c r="H526" s="205"/>
      <c r="I526" s="205"/>
      <c r="J526" s="205" t="s">
        <v>402</v>
      </c>
      <c r="K526" s="206" t="s">
        <v>2764</v>
      </c>
      <c r="L526" s="205" t="s">
        <v>878</v>
      </c>
      <c r="M526" s="200" t="s">
        <v>558</v>
      </c>
      <c r="N526" s="200"/>
      <c r="O526" s="230"/>
      <c r="P526" s="230"/>
      <c r="Q526" s="231" t="str">
        <f t="shared" si="205"/>
        <v>. Shock Struts, FRONT SET 2</v>
      </c>
      <c r="R526" s="231"/>
      <c r="S526" s="231" t="str">
        <f t="shared" si="211"/>
        <v/>
      </c>
      <c r="T526" s="231" t="str">
        <f>IF(O526&lt;&gt;"",_xlfn.XLOOKUP(O526,'3D. Pictures'!B:B,'3D. Pictures'!E:E,"NOT FOUND",0,1),"")</f>
        <v/>
      </c>
      <c r="U526" s="200"/>
      <c r="V526" s="201"/>
      <c r="W526" s="200"/>
      <c r="X526" s="201"/>
      <c r="Y526" s="243"/>
      <c r="Z526" s="201"/>
      <c r="AA526" s="205" t="s">
        <v>2506</v>
      </c>
      <c r="AB526" s="205" t="s">
        <v>2506</v>
      </c>
      <c r="AC526" s="358" t="str">
        <f t="shared" si="210"/>
        <v>SET 2, sell singles if 1 bad</v>
      </c>
      <c r="AD526" s="205" t="s">
        <v>2550</v>
      </c>
      <c r="AE526" s="205"/>
      <c r="AF526" s="201" t="s">
        <v>544</v>
      </c>
      <c r="AG526" s="205"/>
      <c r="AH526" s="16">
        <v>575</v>
      </c>
      <c r="AI526" s="380">
        <f t="shared" si="212"/>
        <v>473.88888888888891</v>
      </c>
      <c r="AJ526" s="204" t="s">
        <v>2177</v>
      </c>
      <c r="AK526" s="204" t="s">
        <v>425</v>
      </c>
      <c r="AL526" s="204" t="s">
        <v>2177</v>
      </c>
      <c r="AM526" s="190"/>
      <c r="AN526" s="191" t="s">
        <v>648</v>
      </c>
      <c r="AO526" s="190" t="s">
        <v>572</v>
      </c>
      <c r="AP526" s="190">
        <v>61356</v>
      </c>
      <c r="AQ526" s="190" t="str">
        <f t="shared" si="208"/>
        <v>527-61356</v>
      </c>
      <c r="AR526" s="190" t="s">
        <v>890</v>
      </c>
      <c r="AS526" s="190"/>
      <c r="AT526" s="190"/>
      <c r="AU526" s="190"/>
      <c r="AV526" s="190"/>
      <c r="AW526" s="190"/>
      <c r="AX526" s="279" t="str">
        <f t="shared" si="197"/>
        <v/>
      </c>
    </row>
    <row r="527" spans="1:50" x14ac:dyDescent="0.25">
      <c r="A527" s="190" t="str">
        <f t="shared" si="204"/>
        <v/>
      </c>
      <c r="B527" s="279" t="str">
        <f t="shared" si="207"/>
        <v>527-61356</v>
      </c>
      <c r="C527" s="279" t="s">
        <v>2138</v>
      </c>
      <c r="D527" s="279"/>
      <c r="E527" s="279">
        <f t="shared" si="209"/>
        <v>2</v>
      </c>
      <c r="F527" s="190" t="s">
        <v>535</v>
      </c>
      <c r="G527" s="198">
        <v>45216</v>
      </c>
      <c r="H527" s="205"/>
      <c r="I527" s="205"/>
      <c r="J527" s="205" t="s">
        <v>402</v>
      </c>
      <c r="K527" s="206" t="s">
        <v>2764</v>
      </c>
      <c r="L527" s="205" t="s">
        <v>878</v>
      </c>
      <c r="M527" s="200" t="s">
        <v>558</v>
      </c>
      <c r="N527" s="200"/>
      <c r="O527" s="230"/>
      <c r="P527" s="230"/>
      <c r="Q527" s="231" t="str">
        <f t="shared" si="205"/>
        <v>. Shock Struts, FRONT - LEFT</v>
      </c>
      <c r="R527" s="231"/>
      <c r="S527" s="231" t="str">
        <f t="shared" si="211"/>
        <v/>
      </c>
      <c r="T527" s="231" t="str">
        <f>IF(O527&lt;&gt;"",_xlfn.XLOOKUP(O527,'3D. Pictures'!B:B,'3D. Pictures'!E:E,"NOT FOUND",0,1),"")</f>
        <v/>
      </c>
      <c r="U527" s="200"/>
      <c r="V527" s="201"/>
      <c r="W527" s="200"/>
      <c r="X527" s="201"/>
      <c r="Y527" s="166"/>
      <c r="Z527" s="201"/>
      <c r="AA527" s="205" t="s">
        <v>2506</v>
      </c>
      <c r="AB527" s="205" t="s">
        <v>879</v>
      </c>
      <c r="AC527" s="358" t="str">
        <f t="shared" si="210"/>
        <v/>
      </c>
      <c r="AD527" s="205"/>
      <c r="AE527" s="205"/>
      <c r="AF527" s="201" t="s">
        <v>543</v>
      </c>
      <c r="AG527" s="205"/>
      <c r="AH527" s="16">
        <v>295</v>
      </c>
      <c r="AI527" s="380">
        <f t="shared" si="212"/>
        <v>473.88888888888891</v>
      </c>
      <c r="AJ527" s="204" t="s">
        <v>2177</v>
      </c>
      <c r="AK527" s="204" t="s">
        <v>425</v>
      </c>
      <c r="AL527" s="204" t="s">
        <v>2177</v>
      </c>
      <c r="AM527" s="190"/>
      <c r="AN527" s="191" t="s">
        <v>648</v>
      </c>
      <c r="AO527" s="190" t="s">
        <v>572</v>
      </c>
      <c r="AP527" s="190">
        <v>61356</v>
      </c>
      <c r="AQ527" s="190" t="str">
        <f t="shared" si="208"/>
        <v>527-61356</v>
      </c>
      <c r="AR527" s="190" t="s">
        <v>891</v>
      </c>
      <c r="AS527" s="190"/>
      <c r="AT527" s="190"/>
      <c r="AU527" s="190"/>
      <c r="AV527" s="190"/>
      <c r="AW527" s="190"/>
      <c r="AX527" s="279" t="str">
        <f t="shared" si="197"/>
        <v/>
      </c>
    </row>
    <row r="528" spans="1:50" x14ac:dyDescent="0.25">
      <c r="A528" s="190" t="str">
        <f t="shared" si="204"/>
        <v/>
      </c>
      <c r="B528" s="279" t="str">
        <f t="shared" si="207"/>
        <v>527-61355</v>
      </c>
      <c r="C528" s="279"/>
      <c r="D528" s="279"/>
      <c r="E528" s="279">
        <f t="shared" si="209"/>
        <v>1</v>
      </c>
      <c r="F528" s="190" t="s">
        <v>535</v>
      </c>
      <c r="G528" s="198">
        <v>45216</v>
      </c>
      <c r="H528" s="205"/>
      <c r="I528" s="205"/>
      <c r="J528" s="205" t="s">
        <v>402</v>
      </c>
      <c r="K528" s="206" t="s">
        <v>2764</v>
      </c>
      <c r="L528" s="205" t="s">
        <v>878</v>
      </c>
      <c r="M528" s="200" t="s">
        <v>558</v>
      </c>
      <c r="N528" s="200"/>
      <c r="O528" s="230"/>
      <c r="P528" s="230"/>
      <c r="Q528" s="231" t="str">
        <f t="shared" si="205"/>
        <v>. Shock Struts, FRONT - RIGHT</v>
      </c>
      <c r="R528" s="231"/>
      <c r="S528" s="231" t="str">
        <f t="shared" si="211"/>
        <v/>
      </c>
      <c r="T528" s="231" t="str">
        <f>IF(O528&lt;&gt;"",_xlfn.XLOOKUP(O528,'3D. Pictures'!B:B,'3D. Pictures'!E:E,"NOT FOUND",0,1),"")</f>
        <v/>
      </c>
      <c r="U528" s="200"/>
      <c r="V528" s="201"/>
      <c r="W528" s="200"/>
      <c r="X528" s="201"/>
      <c r="Y528" s="166"/>
      <c r="Z528" s="201"/>
      <c r="AA528" s="205" t="s">
        <v>2506</v>
      </c>
      <c r="AB528" s="205" t="s">
        <v>880</v>
      </c>
      <c r="AC528" s="358" t="str">
        <f t="shared" si="210"/>
        <v/>
      </c>
      <c r="AD528" s="205"/>
      <c r="AE528" s="205"/>
      <c r="AF528" s="201" t="s">
        <v>543</v>
      </c>
      <c r="AG528" s="205"/>
      <c r="AH528" s="16">
        <v>295</v>
      </c>
      <c r="AI528" s="380">
        <f t="shared" si="212"/>
        <v>473.88888888888891</v>
      </c>
      <c r="AJ528" s="204" t="s">
        <v>2177</v>
      </c>
      <c r="AK528" s="204" t="s">
        <v>425</v>
      </c>
      <c r="AL528" s="204" t="s">
        <v>2177</v>
      </c>
      <c r="AM528" s="190"/>
      <c r="AN528" s="191" t="s">
        <v>648</v>
      </c>
      <c r="AO528" s="190" t="s">
        <v>572</v>
      </c>
      <c r="AP528" s="190">
        <v>61355</v>
      </c>
      <c r="AQ528" s="190" t="str">
        <f t="shared" si="208"/>
        <v>527-61355</v>
      </c>
      <c r="AR528" s="190" t="s">
        <v>892</v>
      </c>
      <c r="AS528" s="190"/>
      <c r="AT528" s="190"/>
      <c r="AU528" s="190"/>
      <c r="AV528" s="190"/>
      <c r="AW528" s="190"/>
      <c r="AX528" s="279" t="str">
        <f t="shared" si="197"/>
        <v/>
      </c>
    </row>
    <row r="529" spans="1:50" x14ac:dyDescent="0.25">
      <c r="A529" s="190" t="str">
        <f t="shared" si="204"/>
        <v/>
      </c>
      <c r="B529" s="294" t="str">
        <f t="shared" ref="B529:B534" si="213">IF(AQ529&lt;&gt;"",AQ529,"")</f>
        <v>527-61350</v>
      </c>
      <c r="C529" s="294" t="s">
        <v>2207</v>
      </c>
      <c r="D529" s="294"/>
      <c r="E529" s="294">
        <f t="shared" si="209"/>
        <v>2</v>
      </c>
      <c r="F529" s="294" t="s">
        <v>535</v>
      </c>
      <c r="G529" s="295">
        <v>45244</v>
      </c>
      <c r="H529" s="300"/>
      <c r="I529" s="300"/>
      <c r="J529" s="300" t="s">
        <v>402</v>
      </c>
      <c r="K529" s="299" t="s">
        <v>2764</v>
      </c>
      <c r="L529" s="300" t="s">
        <v>878</v>
      </c>
      <c r="M529" s="327" t="s">
        <v>558</v>
      </c>
      <c r="N529" s="327"/>
      <c r="O529" s="328"/>
      <c r="P529" s="328"/>
      <c r="Q529" s="299" t="str">
        <f t="shared" si="205"/>
        <v>. Shock Struts, FRONT SET 2</v>
      </c>
      <c r="R529" s="299"/>
      <c r="S529" s="299" t="str">
        <f t="shared" si="211"/>
        <v/>
      </c>
      <c r="T529" s="299" t="str">
        <f>IF(O529&lt;&gt;"",_xlfn.XLOOKUP(O529,'3D. Pictures'!B:B,'3D. Pictures'!E:E,"NOT FOUND",0,1),"")</f>
        <v/>
      </c>
      <c r="U529" s="327"/>
      <c r="V529" s="302"/>
      <c r="W529" s="327"/>
      <c r="X529" s="302"/>
      <c r="Y529" s="16"/>
      <c r="Z529" s="302"/>
      <c r="AA529" s="300" t="s">
        <v>2506</v>
      </c>
      <c r="AB529" s="300" t="s">
        <v>2506</v>
      </c>
      <c r="AC529" s="358" t="str">
        <f t="shared" si="210"/>
        <v>SET 2, sell singles if 1 bad</v>
      </c>
      <c r="AD529" s="300" t="s">
        <v>2550</v>
      </c>
      <c r="AE529" s="300"/>
      <c r="AF529" s="302" t="s">
        <v>544</v>
      </c>
      <c r="AG529" s="300"/>
      <c r="AH529" s="16">
        <v>800</v>
      </c>
      <c r="AI529" s="380">
        <f t="shared" si="212"/>
        <v>473.88888888888891</v>
      </c>
      <c r="AJ529" s="301" t="s">
        <v>2198</v>
      </c>
      <c r="AK529" s="301" t="s">
        <v>425</v>
      </c>
      <c r="AL529" s="301" t="s">
        <v>2198</v>
      </c>
      <c r="AM529" s="294"/>
      <c r="AN529" s="326" t="s">
        <v>648</v>
      </c>
      <c r="AO529" s="294" t="s">
        <v>572</v>
      </c>
      <c r="AP529" s="294">
        <v>61350</v>
      </c>
      <c r="AQ529" s="294" t="str">
        <f t="shared" ref="AQ529:AQ534" si="214">CONCATENATE(AN529,AO529,AP529)</f>
        <v>527-61350</v>
      </c>
      <c r="AR529" s="294" t="s">
        <v>2200</v>
      </c>
      <c r="AS529" s="294"/>
      <c r="AT529" s="294"/>
      <c r="AU529" s="294"/>
      <c r="AV529" s="294"/>
      <c r="AW529" s="294"/>
      <c r="AX529" s="279" t="str">
        <f t="shared" si="197"/>
        <v/>
      </c>
    </row>
    <row r="530" spans="1:50" x14ac:dyDescent="0.25">
      <c r="A530" s="190" t="str">
        <f t="shared" si="204"/>
        <v/>
      </c>
      <c r="B530" s="294" t="str">
        <f t="shared" si="213"/>
        <v>527-61350</v>
      </c>
      <c r="C530" s="294" t="s">
        <v>2208</v>
      </c>
      <c r="D530" s="294"/>
      <c r="E530" s="294">
        <f t="shared" si="209"/>
        <v>2</v>
      </c>
      <c r="F530" s="294" t="s">
        <v>535</v>
      </c>
      <c r="G530" s="295">
        <v>45244</v>
      </c>
      <c r="H530" s="300"/>
      <c r="I530" s="300"/>
      <c r="J530" s="300" t="s">
        <v>402</v>
      </c>
      <c r="K530" s="299" t="s">
        <v>2764</v>
      </c>
      <c r="L530" s="300" t="s">
        <v>878</v>
      </c>
      <c r="M530" s="327" t="s">
        <v>558</v>
      </c>
      <c r="N530" s="327"/>
      <c r="O530" s="328"/>
      <c r="P530" s="328"/>
      <c r="Q530" s="299" t="str">
        <f t="shared" si="205"/>
        <v>. Shock Struts, FRONT - LEFT</v>
      </c>
      <c r="R530" s="299"/>
      <c r="S530" s="299" t="str">
        <f t="shared" si="211"/>
        <v/>
      </c>
      <c r="T530" s="299" t="str">
        <f>IF(O530&lt;&gt;"",_xlfn.XLOOKUP(O530,'3D. Pictures'!B:B,'3D. Pictures'!E:E,"NOT FOUND",0,1),"")</f>
        <v/>
      </c>
      <c r="U530" s="327"/>
      <c r="V530" s="302"/>
      <c r="W530" s="327"/>
      <c r="X530" s="302"/>
      <c r="Z530" s="302"/>
      <c r="AA530" s="300" t="s">
        <v>2506</v>
      </c>
      <c r="AB530" s="300" t="s">
        <v>879</v>
      </c>
      <c r="AC530" s="358" t="str">
        <f t="shared" si="210"/>
        <v/>
      </c>
      <c r="AD530" s="300"/>
      <c r="AE530" s="300"/>
      <c r="AF530" s="302" t="s">
        <v>543</v>
      </c>
      <c r="AG530" s="300"/>
      <c r="AH530" s="16">
        <v>400</v>
      </c>
      <c r="AI530" s="380">
        <f t="shared" si="212"/>
        <v>473.88888888888891</v>
      </c>
      <c r="AJ530" s="301" t="s">
        <v>2198</v>
      </c>
      <c r="AK530" s="301" t="s">
        <v>425</v>
      </c>
      <c r="AL530" s="301" t="s">
        <v>2198</v>
      </c>
      <c r="AM530" s="294"/>
      <c r="AN530" s="326" t="s">
        <v>648</v>
      </c>
      <c r="AO530" s="294" t="s">
        <v>572</v>
      </c>
      <c r="AP530" s="294">
        <v>61350</v>
      </c>
      <c r="AQ530" s="294" t="str">
        <f t="shared" si="214"/>
        <v>527-61350</v>
      </c>
      <c r="AR530" s="294" t="s">
        <v>2201</v>
      </c>
      <c r="AS530" s="294"/>
      <c r="AT530" s="294"/>
      <c r="AU530" s="294"/>
      <c r="AV530" s="294"/>
      <c r="AW530" s="294"/>
      <c r="AX530" s="279" t="str">
        <f t="shared" si="197"/>
        <v/>
      </c>
    </row>
    <row r="531" spans="1:50" x14ac:dyDescent="0.25">
      <c r="A531" s="190" t="str">
        <f t="shared" si="204"/>
        <v/>
      </c>
      <c r="B531" s="294" t="str">
        <f t="shared" si="213"/>
        <v>527-61349</v>
      </c>
      <c r="C531" s="294"/>
      <c r="D531" s="294"/>
      <c r="E531" s="294">
        <f t="shared" si="209"/>
        <v>1</v>
      </c>
      <c r="F531" s="294" t="s">
        <v>535</v>
      </c>
      <c r="G531" s="295">
        <v>45244</v>
      </c>
      <c r="H531" s="300"/>
      <c r="I531" s="300"/>
      <c r="J531" s="300" t="s">
        <v>402</v>
      </c>
      <c r="K531" s="299" t="s">
        <v>2764</v>
      </c>
      <c r="L531" s="300" t="s">
        <v>878</v>
      </c>
      <c r="M531" s="327" t="s">
        <v>558</v>
      </c>
      <c r="N531" s="327"/>
      <c r="O531" s="328"/>
      <c r="P531" s="328"/>
      <c r="Q531" s="299" t="str">
        <f t="shared" si="205"/>
        <v>. Shock Struts, FRONT - RIGHT</v>
      </c>
      <c r="R531" s="299"/>
      <c r="S531" s="299" t="str">
        <f t="shared" si="211"/>
        <v/>
      </c>
      <c r="T531" s="299" t="str">
        <f>IF(O531&lt;&gt;"",_xlfn.XLOOKUP(O531,'3D. Pictures'!B:B,'3D. Pictures'!E:E,"NOT FOUND",0,1),"")</f>
        <v/>
      </c>
      <c r="U531" s="327"/>
      <c r="V531" s="302"/>
      <c r="W531" s="327"/>
      <c r="X531" s="302"/>
      <c r="Z531" s="302"/>
      <c r="AA531" s="300" t="s">
        <v>2506</v>
      </c>
      <c r="AB531" s="300" t="s">
        <v>880</v>
      </c>
      <c r="AC531" s="358" t="str">
        <f t="shared" si="210"/>
        <v/>
      </c>
      <c r="AD531" s="300"/>
      <c r="AE531" s="300"/>
      <c r="AF531" s="302" t="s">
        <v>543</v>
      </c>
      <c r="AG531" s="300"/>
      <c r="AH531" s="16">
        <v>400</v>
      </c>
      <c r="AI531" s="380">
        <f t="shared" si="212"/>
        <v>473.88888888888891</v>
      </c>
      <c r="AJ531" s="301" t="s">
        <v>2198</v>
      </c>
      <c r="AK531" s="301" t="s">
        <v>425</v>
      </c>
      <c r="AL531" s="301" t="s">
        <v>2198</v>
      </c>
      <c r="AM531" s="294"/>
      <c r="AN531" s="326" t="s">
        <v>648</v>
      </c>
      <c r="AO531" s="294" t="s">
        <v>572</v>
      </c>
      <c r="AP531" s="294">
        <v>61349</v>
      </c>
      <c r="AQ531" s="294" t="str">
        <f t="shared" si="214"/>
        <v>527-61349</v>
      </c>
      <c r="AR531" s="294" t="s">
        <v>2202</v>
      </c>
      <c r="AS531" s="294"/>
      <c r="AT531" s="294"/>
      <c r="AU531" s="294"/>
      <c r="AV531" s="294"/>
      <c r="AW531" s="294"/>
      <c r="AX531" s="279" t="str">
        <f t="shared" si="197"/>
        <v/>
      </c>
    </row>
    <row r="532" spans="1:50" x14ac:dyDescent="0.25">
      <c r="A532" s="190" t="str">
        <f t="shared" si="204"/>
        <v/>
      </c>
      <c r="B532" s="294" t="str">
        <f t="shared" si="213"/>
        <v>527-61358</v>
      </c>
      <c r="C532" s="294" t="s">
        <v>2209</v>
      </c>
      <c r="D532" s="294"/>
      <c r="E532" s="294">
        <f t="shared" si="209"/>
        <v>2</v>
      </c>
      <c r="F532" s="294" t="s">
        <v>535</v>
      </c>
      <c r="G532" s="295">
        <v>45244</v>
      </c>
      <c r="H532" s="300"/>
      <c r="I532" s="300"/>
      <c r="J532" s="300" t="s">
        <v>402</v>
      </c>
      <c r="K532" s="299" t="s">
        <v>2764</v>
      </c>
      <c r="L532" s="300" t="s">
        <v>878</v>
      </c>
      <c r="M532" s="327" t="s">
        <v>558</v>
      </c>
      <c r="N532" s="327"/>
      <c r="O532" s="328"/>
      <c r="P532" s="328"/>
      <c r="Q532" s="299" t="str">
        <f t="shared" si="205"/>
        <v>. Shock Struts, FRONT SET 2</v>
      </c>
      <c r="R532" s="299"/>
      <c r="S532" s="299" t="str">
        <f t="shared" si="211"/>
        <v/>
      </c>
      <c r="T532" s="299" t="str">
        <f>IF(O532&lt;&gt;"",_xlfn.XLOOKUP(O532,'3D. Pictures'!B:B,'3D. Pictures'!E:E,"NOT FOUND",0,1),"")</f>
        <v/>
      </c>
      <c r="U532" s="327"/>
      <c r="V532" s="302"/>
      <c r="W532" s="327"/>
      <c r="X532" s="302"/>
      <c r="Z532" s="302"/>
      <c r="AA532" s="300" t="s">
        <v>2506</v>
      </c>
      <c r="AB532" s="300" t="s">
        <v>2506</v>
      </c>
      <c r="AC532" s="358" t="str">
        <f t="shared" si="210"/>
        <v>SET 2, sell singles if 1 bad</v>
      </c>
      <c r="AD532" s="300" t="s">
        <v>2550</v>
      </c>
      <c r="AE532" s="300"/>
      <c r="AF532" s="302" t="s">
        <v>544</v>
      </c>
      <c r="AG532" s="300"/>
      <c r="AH532" s="16">
        <v>650</v>
      </c>
      <c r="AI532" s="380">
        <f t="shared" si="212"/>
        <v>473.88888888888891</v>
      </c>
      <c r="AJ532" s="301" t="s">
        <v>2198</v>
      </c>
      <c r="AK532" s="301" t="s">
        <v>425</v>
      </c>
      <c r="AL532" s="301" t="s">
        <v>2198</v>
      </c>
      <c r="AM532" s="294"/>
      <c r="AN532" s="326" t="s">
        <v>648</v>
      </c>
      <c r="AO532" s="294" t="s">
        <v>572</v>
      </c>
      <c r="AP532" s="294">
        <v>61358</v>
      </c>
      <c r="AQ532" s="294" t="str">
        <f t="shared" si="214"/>
        <v>527-61358</v>
      </c>
      <c r="AR532" s="294" t="s">
        <v>2204</v>
      </c>
      <c r="AS532" s="294"/>
      <c r="AT532" s="294"/>
      <c r="AU532" s="294"/>
      <c r="AV532" s="294"/>
      <c r="AW532" s="294"/>
      <c r="AX532" s="279" t="str">
        <f t="shared" si="197"/>
        <v/>
      </c>
    </row>
    <row r="533" spans="1:50" x14ac:dyDescent="0.25">
      <c r="A533" s="190" t="str">
        <f t="shared" si="204"/>
        <v/>
      </c>
      <c r="B533" s="294" t="str">
        <f t="shared" si="213"/>
        <v>527-61358</v>
      </c>
      <c r="C533" s="294" t="s">
        <v>2210</v>
      </c>
      <c r="D533" s="294"/>
      <c r="E533" s="294">
        <f t="shared" si="209"/>
        <v>2</v>
      </c>
      <c r="F533" s="294" t="s">
        <v>535</v>
      </c>
      <c r="G533" s="295">
        <v>45244</v>
      </c>
      <c r="H533" s="300"/>
      <c r="I533" s="300"/>
      <c r="J533" s="300" t="s">
        <v>402</v>
      </c>
      <c r="K533" s="299" t="s">
        <v>2764</v>
      </c>
      <c r="L533" s="300" t="s">
        <v>878</v>
      </c>
      <c r="M533" s="327" t="s">
        <v>558</v>
      </c>
      <c r="N533" s="327"/>
      <c r="O533" s="328"/>
      <c r="P533" s="328"/>
      <c r="Q533" s="299" t="str">
        <f t="shared" si="205"/>
        <v>. Shock Struts, FRONT - LEFT</v>
      </c>
      <c r="R533" s="299"/>
      <c r="S533" s="299" t="str">
        <f t="shared" si="211"/>
        <v/>
      </c>
      <c r="T533" s="299" t="str">
        <f>IF(O533&lt;&gt;"",_xlfn.XLOOKUP(O533,'3D. Pictures'!B:B,'3D. Pictures'!E:E,"NOT FOUND",0,1),"")</f>
        <v/>
      </c>
      <c r="U533" s="327"/>
      <c r="V533" s="302"/>
      <c r="W533" s="327"/>
      <c r="X533" s="302"/>
      <c r="Z533" s="302"/>
      <c r="AA533" s="300" t="s">
        <v>2506</v>
      </c>
      <c r="AB533" s="300" t="s">
        <v>879</v>
      </c>
      <c r="AC533" s="358" t="str">
        <f t="shared" si="210"/>
        <v/>
      </c>
      <c r="AD533" s="300"/>
      <c r="AE533" s="300"/>
      <c r="AF533" s="302" t="s">
        <v>543</v>
      </c>
      <c r="AG533" s="300"/>
      <c r="AH533" s="16">
        <v>350</v>
      </c>
      <c r="AI533" s="380">
        <f t="shared" si="212"/>
        <v>473.88888888888891</v>
      </c>
      <c r="AJ533" s="301" t="s">
        <v>2198</v>
      </c>
      <c r="AK533" s="301" t="s">
        <v>425</v>
      </c>
      <c r="AL533" s="301" t="s">
        <v>2198</v>
      </c>
      <c r="AM533" s="294"/>
      <c r="AN533" s="326" t="s">
        <v>648</v>
      </c>
      <c r="AO533" s="294" t="s">
        <v>572</v>
      </c>
      <c r="AP533" s="294">
        <v>61358</v>
      </c>
      <c r="AQ533" s="294" t="str">
        <f t="shared" si="214"/>
        <v>527-61358</v>
      </c>
      <c r="AR533" s="294" t="s">
        <v>2205</v>
      </c>
      <c r="AS533" s="294"/>
      <c r="AT533" s="294"/>
      <c r="AU533" s="294"/>
      <c r="AV533" s="294"/>
      <c r="AW533" s="294"/>
      <c r="AX533" s="279" t="str">
        <f t="shared" si="197"/>
        <v/>
      </c>
    </row>
    <row r="534" spans="1:50" x14ac:dyDescent="0.25">
      <c r="A534" s="190" t="str">
        <f t="shared" si="204"/>
        <v/>
      </c>
      <c r="B534" s="294" t="str">
        <f t="shared" si="213"/>
        <v>527-61357</v>
      </c>
      <c r="C534" s="294"/>
      <c r="D534" s="294"/>
      <c r="E534" s="294">
        <f t="shared" si="209"/>
        <v>1</v>
      </c>
      <c r="F534" s="294" t="s">
        <v>535</v>
      </c>
      <c r="G534" s="295">
        <v>45244</v>
      </c>
      <c r="H534" s="300"/>
      <c r="I534" s="300"/>
      <c r="J534" s="300" t="s">
        <v>402</v>
      </c>
      <c r="K534" s="299" t="s">
        <v>2764</v>
      </c>
      <c r="L534" s="300" t="s">
        <v>878</v>
      </c>
      <c r="M534" s="327" t="s">
        <v>558</v>
      </c>
      <c r="N534" s="327"/>
      <c r="O534" s="328"/>
      <c r="P534" s="328"/>
      <c r="Q534" s="299" t="str">
        <f t="shared" si="205"/>
        <v>. Shock Struts, FRONT - RIGHT</v>
      </c>
      <c r="R534" s="299"/>
      <c r="S534" s="299" t="str">
        <f t="shared" si="211"/>
        <v/>
      </c>
      <c r="T534" s="299" t="str">
        <f>IF(O534&lt;&gt;"",_xlfn.XLOOKUP(O534,'3D. Pictures'!B:B,'3D. Pictures'!E:E,"NOT FOUND",0,1),"")</f>
        <v/>
      </c>
      <c r="U534" s="327"/>
      <c r="V534" s="302"/>
      <c r="W534" s="327"/>
      <c r="X534" s="302"/>
      <c r="Y534"/>
      <c r="Z534" s="302"/>
      <c r="AA534" s="300" t="s">
        <v>2506</v>
      </c>
      <c r="AB534" s="300" t="s">
        <v>880</v>
      </c>
      <c r="AC534" s="358" t="str">
        <f t="shared" si="210"/>
        <v/>
      </c>
      <c r="AD534" s="300"/>
      <c r="AE534" s="300"/>
      <c r="AF534" s="302" t="s">
        <v>543</v>
      </c>
      <c r="AG534" s="300"/>
      <c r="AH534" s="16">
        <v>350</v>
      </c>
      <c r="AI534" s="380">
        <f t="shared" si="212"/>
        <v>473.88888888888891</v>
      </c>
      <c r="AJ534" s="301" t="s">
        <v>2198</v>
      </c>
      <c r="AK534" s="301" t="s">
        <v>425</v>
      </c>
      <c r="AL534" s="301" t="s">
        <v>2198</v>
      </c>
      <c r="AM534" s="294"/>
      <c r="AN534" s="326" t="s">
        <v>648</v>
      </c>
      <c r="AO534" s="294" t="s">
        <v>572</v>
      </c>
      <c r="AP534" s="294">
        <v>61357</v>
      </c>
      <c r="AQ534" s="294" t="str">
        <f t="shared" si="214"/>
        <v>527-61357</v>
      </c>
      <c r="AR534" s="294" t="s">
        <v>2206</v>
      </c>
      <c r="AS534" s="294"/>
      <c r="AT534" s="294"/>
      <c r="AU534" s="294"/>
      <c r="AV534" s="294"/>
      <c r="AW534" s="294"/>
      <c r="AX534" s="279" t="str">
        <f t="shared" si="197"/>
        <v/>
      </c>
    </row>
    <row r="535" spans="1:50" x14ac:dyDescent="0.25">
      <c r="A535" s="190" t="str">
        <f t="shared" si="204"/>
        <v/>
      </c>
      <c r="B535" s="279" t="str">
        <f t="shared" si="207"/>
        <v/>
      </c>
      <c r="C535" s="279"/>
      <c r="D535" s="279"/>
      <c r="E535" s="279" t="str">
        <f t="shared" si="209"/>
        <v/>
      </c>
      <c r="F535" t="s">
        <v>535</v>
      </c>
      <c r="G535" s="188">
        <v>44674</v>
      </c>
      <c r="H535" s="16"/>
      <c r="I535" s="16"/>
      <c r="J535" s="16" t="s">
        <v>402</v>
      </c>
      <c r="K535" s="166" t="s">
        <v>2764</v>
      </c>
      <c r="L535" s="16" t="s">
        <v>1324</v>
      </c>
      <c r="M535" s="189" t="s">
        <v>562</v>
      </c>
      <c r="N535" s="189"/>
      <c r="O535" s="233"/>
      <c r="P535" s="233"/>
      <c r="Q535" s="231" t="str">
        <f t="shared" si="205"/>
        <v>. Shock Struts, REAR - LEFT (Adaptive)</v>
      </c>
      <c r="R535" s="231"/>
      <c r="S535" s="231" t="str">
        <f t="shared" si="211"/>
        <v/>
      </c>
      <c r="T535" s="231" t="str">
        <f>IF(O535&lt;&gt;"",_xlfn.XLOOKUP(O535,'3D. Pictures'!B:B,'3D. Pictures'!E:E,"NOT FOUND",0,1),"")</f>
        <v/>
      </c>
      <c r="U535" s="189"/>
      <c r="V535" s="168"/>
      <c r="W535" s="189"/>
      <c r="X535" s="168"/>
      <c r="Y535"/>
      <c r="Z535" s="168"/>
      <c r="AA535" s="16" t="s">
        <v>2626</v>
      </c>
      <c r="AB535" s="16" t="s">
        <v>2626</v>
      </c>
      <c r="AC535" s="358" t="str">
        <f t="shared" si="210"/>
        <v>tag as SINGLE</v>
      </c>
      <c r="AD535" s="16" t="s">
        <v>2320</v>
      </c>
      <c r="AE535" s="16"/>
      <c r="AF535" s="168" t="s">
        <v>543</v>
      </c>
      <c r="AG535" s="16"/>
      <c r="AH535" s="167">
        <v>350</v>
      </c>
      <c r="AI535" s="380">
        <f t="shared" si="212"/>
        <v>350</v>
      </c>
      <c r="AJ535" s="3" t="s">
        <v>408</v>
      </c>
      <c r="AK535" s="3" t="s">
        <v>425</v>
      </c>
      <c r="AL535" s="204" t="s">
        <v>2175</v>
      </c>
      <c r="AX535" s="279" t="str">
        <f t="shared" si="197"/>
        <v/>
      </c>
    </row>
    <row r="536" spans="1:50" x14ac:dyDescent="0.25">
      <c r="A536" s="190" t="str">
        <f t="shared" ref="A536" si="215">IF(O536&lt;&gt;"",O536,"")</f>
        <v/>
      </c>
      <c r="B536" s="279" t="str">
        <f t="shared" ref="B536" si="216">IF(AQ536&lt;&gt;"",AQ536,"")</f>
        <v/>
      </c>
      <c r="C536" s="279"/>
      <c r="D536" s="279"/>
      <c r="E536" s="279" t="str">
        <f t="shared" si="209"/>
        <v/>
      </c>
      <c r="F536" t="s">
        <v>535</v>
      </c>
      <c r="G536" s="188">
        <v>44674</v>
      </c>
      <c r="H536" s="16"/>
      <c r="I536" s="16"/>
      <c r="J536" s="16" t="s">
        <v>402</v>
      </c>
      <c r="K536" s="166" t="s">
        <v>2764</v>
      </c>
      <c r="L536" s="16" t="s">
        <v>1324</v>
      </c>
      <c r="M536" s="189" t="s">
        <v>562</v>
      </c>
      <c r="N536" s="189"/>
      <c r="O536" s="233"/>
      <c r="P536" s="233"/>
      <c r="Q536" s="231" t="str">
        <f t="shared" si="205"/>
        <v>. Shock Struts, REAR - RIGHT (Adaptive)</v>
      </c>
      <c r="R536" s="231"/>
      <c r="S536" s="231" t="str">
        <f t="shared" si="211"/>
        <v/>
      </c>
      <c r="T536" s="231" t="str">
        <f>IF(O536&lt;&gt;"",_xlfn.XLOOKUP(O536,'3D. Pictures'!B:B,'3D. Pictures'!E:E,"NOT FOUND",0,1),"")</f>
        <v/>
      </c>
      <c r="U536" s="189"/>
      <c r="V536" s="168"/>
      <c r="W536" s="189"/>
      <c r="X536" s="168"/>
      <c r="Y536"/>
      <c r="Z536" s="168"/>
      <c r="AA536" s="16" t="s">
        <v>2627</v>
      </c>
      <c r="AB536" s="16" t="s">
        <v>2627</v>
      </c>
      <c r="AC536" s="358" t="str">
        <f t="shared" si="210"/>
        <v>tag as SINGLE</v>
      </c>
      <c r="AD536" s="16" t="s">
        <v>2320</v>
      </c>
      <c r="AE536" s="16"/>
      <c r="AF536" s="168" t="s">
        <v>543</v>
      </c>
      <c r="AG536" s="16"/>
      <c r="AH536" s="167">
        <v>350</v>
      </c>
      <c r="AI536" s="380">
        <f t="shared" si="212"/>
        <v>350</v>
      </c>
      <c r="AJ536" s="3" t="s">
        <v>408</v>
      </c>
      <c r="AK536" s="3" t="s">
        <v>425</v>
      </c>
      <c r="AL536" s="204" t="s">
        <v>2175</v>
      </c>
      <c r="AX536" s="279" t="str">
        <f t="shared" ref="AX536" si="217">IF(AW536&lt;&gt;"",_xlfn.TEXTJOIN("-",TRUE,AV536,AW536),"")</f>
        <v/>
      </c>
    </row>
    <row r="537" spans="1:50" ht="15.75" thickBot="1" x14ac:dyDescent="0.3">
      <c r="A537" s="190" t="str">
        <f t="shared" ref="A537" si="218">IF(O537&lt;&gt;"",O537,"")</f>
        <v/>
      </c>
      <c r="B537" s="279" t="str">
        <f t="shared" ref="B537" si="219">IF(AQ537&lt;&gt;"",AQ537,"")</f>
        <v/>
      </c>
      <c r="C537" s="279"/>
      <c r="D537" s="279"/>
      <c r="E537" s="279" t="str">
        <f t="shared" si="209"/>
        <v/>
      </c>
      <c r="F537" t="s">
        <v>535</v>
      </c>
      <c r="G537" s="188">
        <v>44674</v>
      </c>
      <c r="H537" s="16"/>
      <c r="I537" s="16"/>
      <c r="J537" s="16" t="s">
        <v>402</v>
      </c>
      <c r="K537" s="166" t="s">
        <v>2764</v>
      </c>
      <c r="L537" s="16" t="s">
        <v>1324</v>
      </c>
      <c r="M537" s="189" t="s">
        <v>562</v>
      </c>
      <c r="N537" s="189"/>
      <c r="O537" s="233"/>
      <c r="P537" s="233"/>
      <c r="Q537" s="231" t="str">
        <f t="shared" si="205"/>
        <v>. Shock Struts, REAR SET 2 (WITHOUT Adaptive)</v>
      </c>
      <c r="R537" s="231"/>
      <c r="S537" s="231" t="str">
        <f t="shared" si="211"/>
        <v/>
      </c>
      <c r="T537" s="231" t="str">
        <f>IF(O537&lt;&gt;"",_xlfn.XLOOKUP(O537,'3D. Pictures'!B:B,'3D. Pictures'!E:E,"NOT FOUND",0,1),"")</f>
        <v/>
      </c>
      <c r="U537" s="189"/>
      <c r="V537" s="168"/>
      <c r="W537" s="189"/>
      <c r="X537" s="168"/>
      <c r="Y537"/>
      <c r="Z537" s="168"/>
      <c r="AA537" s="16" t="s">
        <v>2628</v>
      </c>
      <c r="AB537" s="16" t="s">
        <v>2628</v>
      </c>
      <c r="AC537" s="358" t="str">
        <f t="shared" si="210"/>
        <v>SET 2, toss both if 1 bad</v>
      </c>
      <c r="AD537" s="16" t="s">
        <v>2551</v>
      </c>
      <c r="AE537" s="16"/>
      <c r="AF537" s="168" t="s">
        <v>544</v>
      </c>
      <c r="AG537" s="16"/>
      <c r="AH537" s="167">
        <v>160</v>
      </c>
      <c r="AI537" s="380">
        <f t="shared" si="212"/>
        <v>160</v>
      </c>
      <c r="AJ537" s="3" t="s">
        <v>408</v>
      </c>
      <c r="AK537" s="3" t="s">
        <v>425</v>
      </c>
      <c r="AL537" s="204" t="s">
        <v>2175</v>
      </c>
      <c r="AX537" s="279" t="str">
        <f t="shared" ref="AX537" si="220">IF(AW537&lt;&gt;"",_xlfn.TEXTJOIN("-",TRUE,AV537,AW537),"")</f>
        <v/>
      </c>
    </row>
    <row r="538" spans="1:50" ht="15.75" thickBot="1" x14ac:dyDescent="0.3">
      <c r="A538" s="190" t="str">
        <f t="shared" si="204"/>
        <v>A101</v>
      </c>
      <c r="B538" s="279" t="str">
        <f t="shared" si="207"/>
        <v/>
      </c>
      <c r="C538" s="279"/>
      <c r="D538" s="279"/>
      <c r="E538" s="279" t="str">
        <f t="shared" si="209"/>
        <v/>
      </c>
      <c r="F538" s="241" t="s">
        <v>535</v>
      </c>
      <c r="G538" s="242">
        <v>44683</v>
      </c>
      <c r="H538" s="243"/>
      <c r="I538" s="243"/>
      <c r="J538" s="244" t="s">
        <v>402</v>
      </c>
      <c r="K538" s="243" t="s">
        <v>2764</v>
      </c>
      <c r="L538" s="243" t="s">
        <v>1323</v>
      </c>
      <c r="M538" s="243" t="s">
        <v>559</v>
      </c>
      <c r="N538" s="243">
        <v>91</v>
      </c>
      <c r="O538" s="244" t="s">
        <v>1003</v>
      </c>
      <c r="P538" s="244" t="s">
        <v>1300</v>
      </c>
      <c r="Q538" s="231" t="str">
        <f t="shared" si="205"/>
        <v>A101. Springs, REAR Shock Springs as SET 2 WITH Gromets</v>
      </c>
      <c r="R538" s="284" t="str">
        <f>HYPERLINK(VLOOKUP(O538,'3D. Pictures'!$B$3:$E$500,4,FALSE),"PIC")</f>
        <v>PIC</v>
      </c>
      <c r="S538" s="373" t="str">
        <f t="shared" si="211"/>
        <v>E.G.</v>
      </c>
      <c r="T538" s="377" t="str">
        <f>IF(O538&lt;&gt;"",_xlfn.XLOOKUP(O538,'3D. Pictures'!B:B,'3D. Pictures'!E:E,"NOT FOUND",0,1),"")</f>
        <v>https://viking-pictures.s3.us-west-1.amazonaws.com/AA1155/A101.+Springs%2C+REAR+Shock+Springs+as+SET+2+WITH+Gromets+(1).JPG</v>
      </c>
      <c r="U538" s="243">
        <v>5</v>
      </c>
      <c r="V538" s="243" t="s">
        <v>1205</v>
      </c>
      <c r="W538" s="243" t="s">
        <v>111</v>
      </c>
      <c r="X538" s="243"/>
      <c r="Y538"/>
      <c r="Z538" s="243"/>
      <c r="AA538" s="243" t="s">
        <v>2507</v>
      </c>
      <c r="AB538" s="243" t="s">
        <v>2507</v>
      </c>
      <c r="AC538" s="358" t="str">
        <f t="shared" si="210"/>
        <v>sell singles if 1 bad, sell even if gromets missing</v>
      </c>
      <c r="AD538" s="243" t="s">
        <v>1320</v>
      </c>
      <c r="AE538" s="243"/>
      <c r="AF538" s="179" t="s">
        <v>544</v>
      </c>
      <c r="AG538" s="243"/>
      <c r="AH538" s="16">
        <v>200</v>
      </c>
      <c r="AI538" s="380">
        <f t="shared" si="212"/>
        <v>200</v>
      </c>
      <c r="AJ538" s="246" t="s">
        <v>408</v>
      </c>
      <c r="AK538" s="246" t="s">
        <v>425</v>
      </c>
      <c r="AL538" s="204" t="s">
        <v>2175</v>
      </c>
      <c r="AM538" s="241"/>
      <c r="AN538" s="241"/>
      <c r="AO538" s="241"/>
      <c r="AP538" s="241"/>
      <c r="AQ538" s="241"/>
      <c r="AR538" s="241"/>
      <c r="AS538" s="241" t="s">
        <v>1028</v>
      </c>
      <c r="AT538" s="241" t="s">
        <v>1029</v>
      </c>
      <c r="AU538" s="241" t="s">
        <v>1030</v>
      </c>
      <c r="AV538" s="303" t="str">
        <f t="shared" ref="AV538:AV540" si="221">CONCATENATE(AS538,"-",AT538,"-",AU538)</f>
        <v>F15-14-18-ALL</v>
      </c>
      <c r="AW538" s="241" t="s">
        <v>2435</v>
      </c>
      <c r="AX538" s="279" t="str">
        <f t="shared" si="197"/>
        <v>F15-14-18-ALL-Viking69</v>
      </c>
    </row>
    <row r="539" spans="1:50" x14ac:dyDescent="0.25">
      <c r="A539" s="190" t="str">
        <f t="shared" si="204"/>
        <v/>
      </c>
      <c r="B539" s="279" t="str">
        <f t="shared" si="207"/>
        <v/>
      </c>
      <c r="C539" s="279"/>
      <c r="D539" s="279"/>
      <c r="E539" s="279" t="str">
        <f t="shared" si="209"/>
        <v/>
      </c>
      <c r="F539" s="241" t="s">
        <v>535</v>
      </c>
      <c r="G539" s="242">
        <v>44683</v>
      </c>
      <c r="H539" s="243"/>
      <c r="I539" s="243"/>
      <c r="J539" s="244" t="s">
        <v>402</v>
      </c>
      <c r="K539" s="243" t="s">
        <v>2764</v>
      </c>
      <c r="L539" s="243" t="s">
        <v>1323</v>
      </c>
      <c r="M539" s="243" t="s">
        <v>559</v>
      </c>
      <c r="N539" s="243"/>
      <c r="O539" s="244"/>
      <c r="P539" s="244"/>
      <c r="Q539" s="231" t="str">
        <f t="shared" si="205"/>
        <v>. Springs, REAR - LEFT</v>
      </c>
      <c r="R539" s="244"/>
      <c r="S539" s="244" t="str">
        <f t="shared" si="211"/>
        <v/>
      </c>
      <c r="T539" s="244" t="str">
        <f>IF(O539&lt;&gt;"",_xlfn.XLOOKUP(O539,'3D. Pictures'!B:B,'3D. Pictures'!E:E,"NOT FOUND",0,1),"")</f>
        <v/>
      </c>
      <c r="U539" s="243"/>
      <c r="V539" s="243"/>
      <c r="W539" s="243"/>
      <c r="X539" s="243"/>
      <c r="Y539"/>
      <c r="Z539" s="243"/>
      <c r="AA539" s="243" t="s">
        <v>1321</v>
      </c>
      <c r="AB539" s="243" t="s">
        <v>1321</v>
      </c>
      <c r="AC539" s="358" t="str">
        <f t="shared" si="210"/>
        <v/>
      </c>
      <c r="AD539" s="243"/>
      <c r="AE539" s="243"/>
      <c r="AF539" s="179" t="s">
        <v>543</v>
      </c>
      <c r="AG539" s="243"/>
      <c r="AH539" s="16">
        <v>80</v>
      </c>
      <c r="AI539" s="380">
        <f t="shared" si="212"/>
        <v>80</v>
      </c>
      <c r="AJ539" s="246" t="s">
        <v>408</v>
      </c>
      <c r="AK539" s="246" t="s">
        <v>425</v>
      </c>
      <c r="AL539" s="204" t="s">
        <v>2175</v>
      </c>
      <c r="AM539" s="241"/>
      <c r="AN539" s="241"/>
      <c r="AO539" s="241"/>
      <c r="AP539" s="241"/>
      <c r="AQ539" s="241"/>
      <c r="AR539" s="241"/>
      <c r="AS539" s="241" t="s">
        <v>1028</v>
      </c>
      <c r="AT539" s="241" t="s">
        <v>1029</v>
      </c>
      <c r="AU539" s="241" t="s">
        <v>1030</v>
      </c>
      <c r="AV539" s="303" t="str">
        <f t="shared" si="221"/>
        <v>F15-14-18-ALL</v>
      </c>
      <c r="AW539" s="241" t="s">
        <v>2436</v>
      </c>
      <c r="AX539" s="279" t="str">
        <f t="shared" si="197"/>
        <v>F15-14-18-ALL-Viking70</v>
      </c>
    </row>
    <row r="540" spans="1:50" x14ac:dyDescent="0.25">
      <c r="A540" s="190" t="str">
        <f t="shared" si="204"/>
        <v/>
      </c>
      <c r="B540" s="279" t="str">
        <f t="shared" si="207"/>
        <v/>
      </c>
      <c r="C540" s="279"/>
      <c r="D540" s="279"/>
      <c r="E540" s="279" t="str">
        <f t="shared" si="209"/>
        <v/>
      </c>
      <c r="F540" s="241" t="s">
        <v>535</v>
      </c>
      <c r="G540" s="242">
        <v>44683</v>
      </c>
      <c r="H540" s="243"/>
      <c r="I540" s="243"/>
      <c r="J540" s="244" t="s">
        <v>402</v>
      </c>
      <c r="K540" s="243" t="s">
        <v>2764</v>
      </c>
      <c r="L540" s="243" t="s">
        <v>1323</v>
      </c>
      <c r="M540" s="243" t="s">
        <v>559</v>
      </c>
      <c r="N540" s="243"/>
      <c r="O540" s="244"/>
      <c r="P540" s="244"/>
      <c r="Q540" s="231" t="str">
        <f t="shared" si="205"/>
        <v>. Springs, REAR - RIGHT</v>
      </c>
      <c r="R540" s="244"/>
      <c r="S540" s="244" t="str">
        <f t="shared" si="211"/>
        <v/>
      </c>
      <c r="T540" s="244" t="str">
        <f>IF(O540&lt;&gt;"",_xlfn.XLOOKUP(O540,'3D. Pictures'!B:B,'3D. Pictures'!E:E,"NOT FOUND",0,1),"")</f>
        <v/>
      </c>
      <c r="U540" s="243"/>
      <c r="V540" s="243"/>
      <c r="W540" s="243"/>
      <c r="X540" s="243"/>
      <c r="Y540"/>
      <c r="Z540" s="243"/>
      <c r="AA540" s="243" t="s">
        <v>1322</v>
      </c>
      <c r="AB540" s="243" t="s">
        <v>1322</v>
      </c>
      <c r="AC540" s="358" t="str">
        <f t="shared" si="210"/>
        <v/>
      </c>
      <c r="AD540" s="243"/>
      <c r="AE540" s="243"/>
      <c r="AF540" s="179" t="s">
        <v>543</v>
      </c>
      <c r="AG540" s="243"/>
      <c r="AH540" s="16">
        <v>80</v>
      </c>
      <c r="AI540" s="380">
        <f t="shared" si="212"/>
        <v>80</v>
      </c>
      <c r="AJ540" s="246" t="s">
        <v>408</v>
      </c>
      <c r="AK540" s="246" t="s">
        <v>425</v>
      </c>
      <c r="AL540" s="204" t="s">
        <v>2175</v>
      </c>
      <c r="AM540" s="241"/>
      <c r="AN540" s="241"/>
      <c r="AO540" s="241"/>
      <c r="AP540" s="241"/>
      <c r="AQ540" s="241"/>
      <c r="AR540" s="241"/>
      <c r="AS540" s="241" t="s">
        <v>1028</v>
      </c>
      <c r="AT540" s="241" t="s">
        <v>1029</v>
      </c>
      <c r="AU540" s="241" t="s">
        <v>1030</v>
      </c>
      <c r="AV540" s="303" t="str">
        <f t="shared" si="221"/>
        <v>F15-14-18-ALL</v>
      </c>
      <c r="AW540" s="241" t="s">
        <v>2437</v>
      </c>
      <c r="AX540" s="279" t="str">
        <f t="shared" si="197"/>
        <v>F15-14-18-ALL-Viking71</v>
      </c>
    </row>
    <row r="541" spans="1:50" x14ac:dyDescent="0.25">
      <c r="A541" s="190" t="str">
        <f t="shared" si="204"/>
        <v/>
      </c>
      <c r="B541" s="311"/>
      <c r="C541" s="311"/>
      <c r="D541" s="311"/>
      <c r="E541" s="311" t="str">
        <f t="shared" si="209"/>
        <v/>
      </c>
      <c r="F541" s="311" t="s">
        <v>535</v>
      </c>
      <c r="G541" s="312">
        <v>45244</v>
      </c>
      <c r="H541" s="314"/>
      <c r="I541" s="314"/>
      <c r="J541" s="314" t="s">
        <v>405</v>
      </c>
      <c r="K541" s="314" t="s">
        <v>2764</v>
      </c>
      <c r="L541" s="314" t="s">
        <v>84</v>
      </c>
      <c r="M541" s="334" t="s">
        <v>558</v>
      </c>
      <c r="N541" s="334"/>
      <c r="O541" s="335"/>
      <c r="P541" s="335"/>
      <c r="Q541" s="333" t="str">
        <f t="shared" si="205"/>
        <v>. Steering Gear Rack &amp; Pinion Wire Harness</v>
      </c>
      <c r="R541" s="333"/>
      <c r="S541" s="333" t="str">
        <f t="shared" si="211"/>
        <v/>
      </c>
      <c r="T541" s="333" t="str">
        <f>IF(O541&lt;&gt;"",_xlfn.XLOOKUP(O541,'3D. Pictures'!B:B,'3D. Pictures'!E:E,"NOT FOUND",0,1),"")</f>
        <v/>
      </c>
      <c r="U541" s="334"/>
      <c r="V541" s="319"/>
      <c r="W541" s="334"/>
      <c r="X541" s="319"/>
      <c r="Y541"/>
      <c r="Z541" s="319"/>
      <c r="AA541" s="314" t="s">
        <v>2218</v>
      </c>
      <c r="AB541" s="314" t="s">
        <v>2218</v>
      </c>
      <c r="AC541" s="359" t="str">
        <f t="shared" si="210"/>
        <v>has to be cut, and not worth selling cut for $85</v>
      </c>
      <c r="AD541" s="314"/>
      <c r="AE541" s="314" t="s">
        <v>2800</v>
      </c>
      <c r="AF541" s="319"/>
      <c r="AG541" s="314"/>
      <c r="AH541" s="355"/>
      <c r="AI541" s="380" t="str">
        <f t="shared" si="212"/>
        <v/>
      </c>
      <c r="AJ541" s="320" t="s">
        <v>408</v>
      </c>
      <c r="AK541" s="320" t="s">
        <v>425</v>
      </c>
      <c r="AL541" s="320" t="s">
        <v>2175</v>
      </c>
      <c r="AM541" s="311"/>
      <c r="AN541" s="338"/>
      <c r="AO541" s="311"/>
      <c r="AP541" s="311"/>
      <c r="AQ541" s="311"/>
      <c r="AR541" s="311"/>
      <c r="AS541" s="311"/>
      <c r="AT541" s="311"/>
      <c r="AU541" s="311"/>
      <c r="AV541" s="311"/>
      <c r="AW541" s="311"/>
      <c r="AX541" s="279" t="str">
        <f t="shared" si="197"/>
        <v/>
      </c>
    </row>
    <row r="542" spans="1:50" x14ac:dyDescent="0.25">
      <c r="A542" s="190" t="str">
        <f t="shared" si="204"/>
        <v/>
      </c>
      <c r="B542" s="279" t="str">
        <f t="shared" si="207"/>
        <v>551-60087</v>
      </c>
      <c r="C542" s="279"/>
      <c r="D542" s="279"/>
      <c r="E542" s="279">
        <f t="shared" si="209"/>
        <v>1</v>
      </c>
      <c r="F542" s="190" t="s">
        <v>535</v>
      </c>
      <c r="G542" s="198">
        <v>44674</v>
      </c>
      <c r="H542" s="205"/>
      <c r="I542" s="205"/>
      <c r="J542" s="205" t="s">
        <v>402</v>
      </c>
      <c r="K542" s="205" t="s">
        <v>2764</v>
      </c>
      <c r="L542" s="205" t="s">
        <v>84</v>
      </c>
      <c r="M542" s="200" t="s">
        <v>558</v>
      </c>
      <c r="N542" s="200"/>
      <c r="O542" s="230"/>
      <c r="P542" s="230"/>
      <c r="Q542" s="231" t="str">
        <f t="shared" si="205"/>
        <v>. Steering Gear Rack &amp; Pinion</v>
      </c>
      <c r="R542" s="231"/>
      <c r="S542" s="231" t="str">
        <f t="shared" si="211"/>
        <v/>
      </c>
      <c r="T542" s="231" t="str">
        <f>IF(O542&lt;&gt;"",_xlfn.XLOOKUP(O542,'3D. Pictures'!B:B,'3D. Pictures'!E:E,"NOT FOUND",0,1),"")</f>
        <v/>
      </c>
      <c r="U542" s="200"/>
      <c r="V542" s="201"/>
      <c r="W542" s="200"/>
      <c r="X542" s="201"/>
      <c r="Y542"/>
      <c r="Z542" s="201"/>
      <c r="AA542" s="205" t="s">
        <v>84</v>
      </c>
      <c r="AB542" s="205" t="s">
        <v>84</v>
      </c>
      <c r="AC542" s="358" t="str">
        <f t="shared" si="210"/>
        <v/>
      </c>
      <c r="AD542" s="205"/>
      <c r="AE542" s="205"/>
      <c r="AF542" s="201" t="s">
        <v>543</v>
      </c>
      <c r="AG542" s="205"/>
      <c r="AH542" s="167">
        <v>1500</v>
      </c>
      <c r="AI542" s="380">
        <f t="shared" si="212"/>
        <v>1263.3333333333333</v>
      </c>
      <c r="AJ542" s="204" t="s">
        <v>408</v>
      </c>
      <c r="AK542" s="204" t="s">
        <v>425</v>
      </c>
      <c r="AL542" s="204" t="s">
        <v>2175</v>
      </c>
      <c r="AM542" s="190"/>
      <c r="AN542" s="191" t="s">
        <v>649</v>
      </c>
      <c r="AO542" s="190" t="s">
        <v>572</v>
      </c>
      <c r="AP542" s="190">
        <v>60087</v>
      </c>
      <c r="AQ542" s="190" t="str">
        <f>CONCATENATE(AN542,AO542,AP542)</f>
        <v>551-60087</v>
      </c>
      <c r="AR542" s="190" t="s">
        <v>2328</v>
      </c>
      <c r="AS542" s="190"/>
      <c r="AT542" s="190"/>
      <c r="AU542" s="190"/>
      <c r="AV542" s="190"/>
      <c r="AW542" s="190"/>
      <c r="AX542" s="279" t="str">
        <f t="shared" si="197"/>
        <v/>
      </c>
    </row>
    <row r="543" spans="1:50" ht="15.75" thickBot="1" x14ac:dyDescent="0.3">
      <c r="A543" s="190" t="str">
        <f t="shared" si="204"/>
        <v/>
      </c>
      <c r="B543" s="279" t="str">
        <f t="shared" si="207"/>
        <v>551-60088</v>
      </c>
      <c r="C543" s="279"/>
      <c r="D543" s="279"/>
      <c r="E543" s="279">
        <f t="shared" si="209"/>
        <v>1</v>
      </c>
      <c r="F543" s="190" t="s">
        <v>535</v>
      </c>
      <c r="G543" s="198">
        <v>44674</v>
      </c>
      <c r="H543" s="205"/>
      <c r="I543" s="205"/>
      <c r="J543" s="205" t="s">
        <v>402</v>
      </c>
      <c r="K543" s="205" t="s">
        <v>2764</v>
      </c>
      <c r="L543" s="205" t="s">
        <v>84</v>
      </c>
      <c r="M543" s="200" t="s">
        <v>558</v>
      </c>
      <c r="N543" s="200"/>
      <c r="O543" s="230"/>
      <c r="P543" s="230"/>
      <c r="Q543" s="231" t="str">
        <f t="shared" ref="Q543:Q574" si="222">CONCATENATE(O543,". ",AB543)</f>
        <v>. Steering Gear Rack &amp; Pinion</v>
      </c>
      <c r="R543" s="231"/>
      <c r="S543" s="231" t="str">
        <f t="shared" si="211"/>
        <v/>
      </c>
      <c r="T543" s="231" t="str">
        <f>IF(O543&lt;&gt;"",_xlfn.XLOOKUP(O543,'3D. Pictures'!B:B,'3D. Pictures'!E:E,"NOT FOUND",0,1),"")</f>
        <v/>
      </c>
      <c r="U543" s="200"/>
      <c r="V543" s="201"/>
      <c r="W543" s="200"/>
      <c r="X543" s="201"/>
      <c r="Y543"/>
      <c r="Z543" s="201"/>
      <c r="AA543" s="205" t="s">
        <v>84</v>
      </c>
      <c r="AB543" s="205" t="s">
        <v>84</v>
      </c>
      <c r="AC543" s="358" t="str">
        <f t="shared" si="210"/>
        <v/>
      </c>
      <c r="AD543" s="205"/>
      <c r="AE543" s="205"/>
      <c r="AF543" s="201" t="s">
        <v>543</v>
      </c>
      <c r="AG543" s="205"/>
      <c r="AH543" s="167">
        <v>1500</v>
      </c>
      <c r="AI543" s="380">
        <f t="shared" si="212"/>
        <v>1263.3333333333333</v>
      </c>
      <c r="AJ543" s="204" t="s">
        <v>408</v>
      </c>
      <c r="AK543" s="204" t="s">
        <v>425</v>
      </c>
      <c r="AL543" s="204" t="s">
        <v>2175</v>
      </c>
      <c r="AM543" s="190"/>
      <c r="AN543" s="191" t="s">
        <v>649</v>
      </c>
      <c r="AO543" s="190" t="s">
        <v>572</v>
      </c>
      <c r="AP543" s="190">
        <v>60088</v>
      </c>
      <c r="AQ543" s="190" t="str">
        <f>CONCATENATE(AN543,AO543,AP543)</f>
        <v>551-60088</v>
      </c>
      <c r="AR543" s="190" t="s">
        <v>894</v>
      </c>
      <c r="AS543" s="190"/>
      <c r="AT543" s="190"/>
      <c r="AU543" s="190"/>
      <c r="AV543" s="190"/>
      <c r="AW543" s="190"/>
      <c r="AX543" s="279" t="str">
        <f t="shared" si="197"/>
        <v/>
      </c>
    </row>
    <row r="544" spans="1:50" ht="15.75" thickBot="1" x14ac:dyDescent="0.3">
      <c r="A544" s="190" t="str">
        <f t="shared" si="204"/>
        <v>A93</v>
      </c>
      <c r="B544" s="279" t="str">
        <f t="shared" si="207"/>
        <v>551-60089</v>
      </c>
      <c r="C544" s="279"/>
      <c r="D544" s="279"/>
      <c r="E544" s="279">
        <f t="shared" si="209"/>
        <v>1</v>
      </c>
      <c r="F544" s="190" t="s">
        <v>535</v>
      </c>
      <c r="G544" s="198">
        <v>44674</v>
      </c>
      <c r="H544" s="205"/>
      <c r="I544" s="205"/>
      <c r="J544" s="205" t="s">
        <v>402</v>
      </c>
      <c r="K544" s="205" t="s">
        <v>2764</v>
      </c>
      <c r="L544" s="205" t="s">
        <v>1376</v>
      </c>
      <c r="M544" s="200" t="s">
        <v>558</v>
      </c>
      <c r="N544" s="200">
        <v>83</v>
      </c>
      <c r="O544" s="230" t="s">
        <v>995</v>
      </c>
      <c r="P544" s="230" t="s">
        <v>1300</v>
      </c>
      <c r="Q544" s="231" t="str">
        <f t="shared" si="222"/>
        <v>A93. Steering Gear Rack &amp; Pinion</v>
      </c>
      <c r="R544" s="284" t="str">
        <f>HYPERLINK(VLOOKUP(O544,'3D. Pictures'!$B$3:$E$500,4,FALSE),"PIC")</f>
        <v>PIC</v>
      </c>
      <c r="S544" s="373" t="str">
        <f t="shared" si="211"/>
        <v>E.G.</v>
      </c>
      <c r="T544" s="377" t="str">
        <f>IF(O544&lt;&gt;"",_xlfn.XLOOKUP(O544,'3D. Pictures'!B:B,'3D. Pictures'!E:E,"NOT FOUND",0,1),"")</f>
        <v>https://viking-pictures.s3.us-west-1.amazonaws.com/AA1155/A93.+Steering+Gear+Rack+%26+Pinion+(1).JPG</v>
      </c>
      <c r="U544" s="200">
        <v>7</v>
      </c>
      <c r="V544" s="201" t="s">
        <v>1312</v>
      </c>
      <c r="W544" s="200" t="s">
        <v>112</v>
      </c>
      <c r="X544" s="201"/>
      <c r="Y544"/>
      <c r="Z544" s="201"/>
      <c r="AA544" s="205" t="s">
        <v>84</v>
      </c>
      <c r="AB544" s="205" t="s">
        <v>84</v>
      </c>
      <c r="AC544" s="358" t="str">
        <f t="shared" si="210"/>
        <v/>
      </c>
      <c r="AD544" s="205"/>
      <c r="AE544" s="205"/>
      <c r="AF544" s="201" t="s">
        <v>543</v>
      </c>
      <c r="AG544" s="205"/>
      <c r="AH544" s="167">
        <v>790</v>
      </c>
      <c r="AI544" s="380">
        <f t="shared" si="212"/>
        <v>1263.3333333333333</v>
      </c>
      <c r="AJ544" s="204" t="s">
        <v>408</v>
      </c>
      <c r="AK544" s="204" t="s">
        <v>425</v>
      </c>
      <c r="AL544" s="204" t="s">
        <v>2175</v>
      </c>
      <c r="AM544" s="190"/>
      <c r="AN544" s="191" t="s">
        <v>649</v>
      </c>
      <c r="AO544" s="190" t="s">
        <v>572</v>
      </c>
      <c r="AP544" s="190">
        <v>60089</v>
      </c>
      <c r="AQ544" s="190" t="str">
        <f>CONCATENATE(AN544,AO544,AP544)</f>
        <v>551-60089</v>
      </c>
      <c r="AR544" s="190" t="s">
        <v>893</v>
      </c>
      <c r="AS544" s="190"/>
      <c r="AT544" s="190"/>
      <c r="AU544" s="190"/>
      <c r="AV544" s="190"/>
      <c r="AW544" s="190"/>
      <c r="AX544" s="279" t="str">
        <f t="shared" si="197"/>
        <v/>
      </c>
    </row>
    <row r="545" spans="1:50" x14ac:dyDescent="0.25">
      <c r="A545" s="190" t="str">
        <f t="shared" si="204"/>
        <v/>
      </c>
      <c r="B545" s="279" t="str">
        <f t="shared" si="207"/>
        <v/>
      </c>
      <c r="C545" s="279"/>
      <c r="D545" s="279"/>
      <c r="E545" s="279" t="str">
        <f t="shared" si="209"/>
        <v/>
      </c>
      <c r="F545" t="s">
        <v>535</v>
      </c>
      <c r="G545" s="188">
        <v>44673</v>
      </c>
      <c r="H545" s="10"/>
      <c r="I545" s="10"/>
      <c r="J545" s="15" t="s">
        <v>405</v>
      </c>
      <c r="K545" s="10" t="s">
        <v>2764</v>
      </c>
      <c r="L545" s="10" t="s">
        <v>864</v>
      </c>
      <c r="M545" s="170" t="s">
        <v>558</v>
      </c>
      <c r="N545" s="170"/>
      <c r="O545" s="237"/>
      <c r="P545" s="237"/>
      <c r="Q545" s="231" t="str">
        <f t="shared" si="222"/>
        <v>. Axle Shafts, REAR - TOSS ALL</v>
      </c>
      <c r="R545" s="231"/>
      <c r="S545" s="231" t="str">
        <f t="shared" si="211"/>
        <v/>
      </c>
      <c r="T545" s="231" t="str">
        <f>IF(O545&lt;&gt;"",_xlfn.XLOOKUP(O545,'3D. Pictures'!B:B,'3D. Pictures'!E:E,"NOT FOUND",0,1),"")</f>
        <v/>
      </c>
      <c r="U545" s="170"/>
      <c r="V545" s="168"/>
      <c r="W545" s="170"/>
      <c r="X545" s="168"/>
      <c r="Y545"/>
      <c r="Z545" s="168"/>
      <c r="AA545" s="10" t="s">
        <v>426</v>
      </c>
      <c r="AB545" s="10" t="s">
        <v>426</v>
      </c>
      <c r="AC545" s="359" t="str">
        <f t="shared" si="210"/>
        <v>TOSS ALL</v>
      </c>
      <c r="AD545" s="10" t="s">
        <v>2575</v>
      </c>
      <c r="AE545" s="10"/>
      <c r="AF545" s="168" t="s">
        <v>543</v>
      </c>
      <c r="AG545" s="10"/>
      <c r="AH545" s="10"/>
      <c r="AI545" s="380" t="str">
        <f t="shared" si="212"/>
        <v/>
      </c>
      <c r="AJ545" s="3" t="s">
        <v>408</v>
      </c>
      <c r="AK545" s="3" t="s">
        <v>425</v>
      </c>
      <c r="AL545" s="204" t="s">
        <v>2175</v>
      </c>
      <c r="AN545"/>
      <c r="AO545" t="s">
        <v>572</v>
      </c>
      <c r="AX545" s="279" t="str">
        <f t="shared" si="197"/>
        <v/>
      </c>
    </row>
    <row r="546" spans="1:50" x14ac:dyDescent="0.25">
      <c r="A546" s="190" t="str">
        <f t="shared" si="204"/>
        <v/>
      </c>
      <c r="B546" s="279" t="str">
        <f t="shared" si="207"/>
        <v/>
      </c>
      <c r="C546" s="279"/>
      <c r="D546" s="279"/>
      <c r="E546" s="279" t="str">
        <f t="shared" si="209"/>
        <v/>
      </c>
      <c r="F546" t="s">
        <v>535</v>
      </c>
      <c r="G546" s="188">
        <v>45274</v>
      </c>
      <c r="H546" s="10"/>
      <c r="I546" s="10"/>
      <c r="J546" s="10" t="s">
        <v>405</v>
      </c>
      <c r="K546" s="10" t="s">
        <v>2764</v>
      </c>
      <c r="L546" s="10" t="s">
        <v>390</v>
      </c>
      <c r="M546" s="170" t="s">
        <v>558</v>
      </c>
      <c r="N546" s="170"/>
      <c r="O546" s="237"/>
      <c r="P546" s="237"/>
      <c r="Q546" s="231" t="str">
        <f t="shared" si="222"/>
        <v>. Brake Calipers</v>
      </c>
      <c r="R546" s="231"/>
      <c r="S546" s="231" t="str">
        <f t="shared" si="211"/>
        <v/>
      </c>
      <c r="T546" s="231" t="str">
        <f>IF(O546&lt;&gt;"",_xlfn.XLOOKUP(O546,'3D. Pictures'!B:B,'3D. Pictures'!E:E,"NOT FOUND",0,1),"")</f>
        <v/>
      </c>
      <c r="U546" s="170"/>
      <c r="V546" s="168"/>
      <c r="W546" s="170"/>
      <c r="X546" s="168"/>
      <c r="Y546"/>
      <c r="Z546" s="168"/>
      <c r="AA546" s="10" t="s">
        <v>390</v>
      </c>
      <c r="AB546" s="10" t="s">
        <v>390</v>
      </c>
      <c r="AC546" s="359" t="str">
        <f t="shared" si="210"/>
        <v>TOSS ALL except ///M ones</v>
      </c>
      <c r="AD546" s="10" t="s">
        <v>2629</v>
      </c>
      <c r="AE546" s="10"/>
      <c r="AF546" s="168" t="s">
        <v>543</v>
      </c>
      <c r="AG546" s="10"/>
      <c r="AH546" s="10"/>
      <c r="AI546" s="380" t="str">
        <f t="shared" si="212"/>
        <v/>
      </c>
      <c r="AJ546" s="3" t="s">
        <v>408</v>
      </c>
      <c r="AK546" s="3" t="s">
        <v>425</v>
      </c>
      <c r="AL546" s="204" t="s">
        <v>2630</v>
      </c>
      <c r="AN546"/>
      <c r="AO546" t="s">
        <v>572</v>
      </c>
      <c r="AX546" s="279" t="str">
        <f t="shared" si="197"/>
        <v/>
      </c>
    </row>
    <row r="547" spans="1:50" x14ac:dyDescent="0.25">
      <c r="A547" s="190" t="str">
        <f t="shared" si="204"/>
        <v/>
      </c>
      <c r="B547" s="279" t="str">
        <f t="shared" si="207"/>
        <v/>
      </c>
      <c r="C547" s="279"/>
      <c r="D547" s="279"/>
      <c r="E547" s="279" t="str">
        <f t="shared" si="209"/>
        <v/>
      </c>
      <c r="F547" t="s">
        <v>535</v>
      </c>
      <c r="G547" s="188">
        <v>44673</v>
      </c>
      <c r="H547" s="10"/>
      <c r="I547" s="10"/>
      <c r="J547" s="10" t="s">
        <v>405</v>
      </c>
      <c r="K547" s="15" t="s">
        <v>2764</v>
      </c>
      <c r="L547" s="10" t="s">
        <v>2643</v>
      </c>
      <c r="M547" s="16" t="s">
        <v>559</v>
      </c>
      <c r="N547" s="16"/>
      <c r="O547" s="166"/>
      <c r="P547" s="166"/>
      <c r="Q547" s="231" t="str">
        <f t="shared" si="222"/>
        <v>. Brake Rotors</v>
      </c>
      <c r="R547" s="231"/>
      <c r="S547" s="231" t="str">
        <f t="shared" si="211"/>
        <v/>
      </c>
      <c r="T547" s="231" t="str">
        <f>IF(O547&lt;&gt;"",_xlfn.XLOOKUP(O547,'3D. Pictures'!B:B,'3D. Pictures'!E:E,"NOT FOUND",0,1),"")</f>
        <v/>
      </c>
      <c r="U547" s="16"/>
      <c r="V547" s="16"/>
      <c r="W547" s="16"/>
      <c r="X547" s="16"/>
      <c r="Y547"/>
      <c r="Z547" s="16"/>
      <c r="AA547" s="10" t="s">
        <v>2643</v>
      </c>
      <c r="AB547" s="10" t="s">
        <v>2643</v>
      </c>
      <c r="AC547" s="359" t="str">
        <f t="shared" si="210"/>
        <v>TOSS ALL (not needed for sizing)</v>
      </c>
      <c r="AD547" s="10" t="s">
        <v>2636</v>
      </c>
      <c r="AE547" s="10"/>
      <c r="AF547" s="168" t="s">
        <v>543</v>
      </c>
      <c r="AG547" s="10"/>
      <c r="AH547" s="10"/>
      <c r="AI547" s="380" t="str">
        <f t="shared" si="212"/>
        <v/>
      </c>
      <c r="AJ547" s="3" t="s">
        <v>408</v>
      </c>
      <c r="AK547" s="3" t="s">
        <v>425</v>
      </c>
      <c r="AL547" s="204" t="s">
        <v>2175</v>
      </c>
      <c r="AN547"/>
      <c r="AX547" s="279" t="str">
        <f t="shared" si="197"/>
        <v/>
      </c>
    </row>
    <row r="548" spans="1:50" x14ac:dyDescent="0.25">
      <c r="A548" s="190" t="str">
        <f t="shared" si="204"/>
        <v/>
      </c>
      <c r="B548" s="279" t="str">
        <f t="shared" si="207"/>
        <v/>
      </c>
      <c r="C548" s="279"/>
      <c r="D548" s="279"/>
      <c r="E548" s="279" t="str">
        <f t="shared" si="209"/>
        <v/>
      </c>
      <c r="F548" t="s">
        <v>535</v>
      </c>
      <c r="G548" s="188">
        <v>44680</v>
      </c>
      <c r="H548" s="10"/>
      <c r="I548" s="10"/>
      <c r="J548" s="10" t="s">
        <v>405</v>
      </c>
      <c r="K548" s="15" t="s">
        <v>2764</v>
      </c>
      <c r="L548" s="10" t="s">
        <v>2706</v>
      </c>
      <c r="M548" s="189" t="s">
        <v>562</v>
      </c>
      <c r="N548" s="189"/>
      <c r="O548" s="233"/>
      <c r="P548" s="233"/>
      <c r="Q548" s="231" t="str">
        <f t="shared" si="222"/>
        <v>. Charcoal Canister / Evap Box</v>
      </c>
      <c r="R548" s="231"/>
      <c r="S548" s="231" t="str">
        <f t="shared" si="211"/>
        <v/>
      </c>
      <c r="T548" s="231" t="str">
        <f>IF(O548&lt;&gt;"",_xlfn.XLOOKUP(O548,'3D. Pictures'!B:B,'3D. Pictures'!E:E,"NOT FOUND",0,1),"")</f>
        <v/>
      </c>
      <c r="U548" s="189"/>
      <c r="V548" s="168"/>
      <c r="W548" s="189"/>
      <c r="X548" s="168"/>
      <c r="Y548"/>
      <c r="Z548" s="168"/>
      <c r="AA548" s="10" t="s">
        <v>2637</v>
      </c>
      <c r="AB548" s="10" t="s">
        <v>2637</v>
      </c>
      <c r="AC548" s="359" t="str">
        <f t="shared" si="210"/>
        <v/>
      </c>
      <c r="AD548" s="10"/>
      <c r="AE548" s="10"/>
      <c r="AF548" s="168" t="s">
        <v>543</v>
      </c>
      <c r="AG548" s="10"/>
      <c r="AH548" s="10"/>
      <c r="AI548" s="380" t="str">
        <f t="shared" si="212"/>
        <v/>
      </c>
      <c r="AJ548" s="3" t="s">
        <v>408</v>
      </c>
      <c r="AK548" s="3" t="s">
        <v>425</v>
      </c>
      <c r="AL548" s="204" t="s">
        <v>2175</v>
      </c>
      <c r="AN548"/>
      <c r="AO548" t="s">
        <v>572</v>
      </c>
      <c r="AX548" s="279" t="str">
        <f t="shared" si="197"/>
        <v/>
      </c>
    </row>
    <row r="549" spans="1:50" x14ac:dyDescent="0.25">
      <c r="A549" s="190" t="str">
        <f t="shared" si="204"/>
        <v/>
      </c>
      <c r="B549" s="279" t="str">
        <f t="shared" si="207"/>
        <v/>
      </c>
      <c r="C549" s="279"/>
      <c r="D549" s="279"/>
      <c r="E549" s="279" t="str">
        <f t="shared" si="209"/>
        <v/>
      </c>
      <c r="F549" t="s">
        <v>535</v>
      </c>
      <c r="G549" s="188">
        <v>44674</v>
      </c>
      <c r="H549" s="10"/>
      <c r="I549" s="10"/>
      <c r="J549" s="10" t="s">
        <v>405</v>
      </c>
      <c r="K549" s="15" t="s">
        <v>2764</v>
      </c>
      <c r="L549" s="10" t="s">
        <v>2642</v>
      </c>
      <c r="M549" s="170" t="s">
        <v>558</v>
      </c>
      <c r="N549" s="170"/>
      <c r="O549" s="237"/>
      <c r="P549" s="237"/>
      <c r="Q549" s="231" t="str">
        <f t="shared" si="222"/>
        <v>. Spindle / Knuckles</v>
      </c>
      <c r="R549" s="231"/>
      <c r="S549" s="231" t="str">
        <f t="shared" si="211"/>
        <v/>
      </c>
      <c r="T549" s="231" t="str">
        <f>IF(O549&lt;&gt;"",_xlfn.XLOOKUP(O549,'3D. Pictures'!B:B,'3D. Pictures'!E:E,"NOT FOUND",0,1),"")</f>
        <v/>
      </c>
      <c r="U549" s="170"/>
      <c r="V549" s="168"/>
      <c r="W549" s="170"/>
      <c r="X549" s="168"/>
      <c r="Y549"/>
      <c r="Z549" s="168"/>
      <c r="AA549" s="10" t="s">
        <v>2642</v>
      </c>
      <c r="AB549" s="10" t="s">
        <v>2642</v>
      </c>
      <c r="AC549" s="359" t="str">
        <f t="shared" si="210"/>
        <v>TOSS ALL</v>
      </c>
      <c r="AD549" s="10" t="s">
        <v>2575</v>
      </c>
      <c r="AE549" s="10"/>
      <c r="AF549" s="168" t="s">
        <v>543</v>
      </c>
      <c r="AG549" s="10"/>
      <c r="AH549" s="10"/>
      <c r="AI549" s="380" t="str">
        <f t="shared" si="212"/>
        <v/>
      </c>
      <c r="AJ549" s="3" t="s">
        <v>408</v>
      </c>
      <c r="AK549" s="3" t="s">
        <v>425</v>
      </c>
      <c r="AL549" s="204" t="s">
        <v>2175</v>
      </c>
      <c r="AN549"/>
      <c r="AO549" t="s">
        <v>572</v>
      </c>
      <c r="AX549" s="279" t="str">
        <f t="shared" si="197"/>
        <v/>
      </c>
    </row>
    <row r="550" spans="1:50" x14ac:dyDescent="0.25">
      <c r="A550" s="190" t="str">
        <f t="shared" si="204"/>
        <v/>
      </c>
      <c r="B550" s="279" t="str">
        <f t="shared" si="207"/>
        <v/>
      </c>
      <c r="C550" s="279"/>
      <c r="D550" s="279"/>
      <c r="E550" s="279" t="str">
        <f t="shared" si="209"/>
        <v/>
      </c>
      <c r="F550" t="s">
        <v>535</v>
      </c>
      <c r="G550" s="188">
        <v>44680</v>
      </c>
      <c r="H550" s="10"/>
      <c r="I550" s="10"/>
      <c r="J550" s="10" t="s">
        <v>405</v>
      </c>
      <c r="K550" s="10" t="s">
        <v>2764</v>
      </c>
      <c r="L550" s="10" t="s">
        <v>2707</v>
      </c>
      <c r="M550" s="16" t="s">
        <v>559</v>
      </c>
      <c r="N550" s="16"/>
      <c r="O550" s="166"/>
      <c r="P550" s="166"/>
      <c r="Q550" s="231" t="str">
        <f t="shared" si="222"/>
        <v>. Subframe / Crossmember, REAR</v>
      </c>
      <c r="R550" s="231"/>
      <c r="S550" s="231" t="str">
        <f t="shared" si="211"/>
        <v/>
      </c>
      <c r="T550" s="231" t="str">
        <f>IF(O550&lt;&gt;"",_xlfn.XLOOKUP(O550,'3D. Pictures'!B:B,'3D. Pictures'!E:E,"NOT FOUND",0,1),"")</f>
        <v/>
      </c>
      <c r="U550" s="16"/>
      <c r="V550" s="16"/>
      <c r="W550" s="16"/>
      <c r="X550" s="16"/>
      <c r="Y550"/>
      <c r="Z550" s="16"/>
      <c r="AA550" s="10" t="s">
        <v>2639</v>
      </c>
      <c r="AB550" s="10" t="s">
        <v>2639</v>
      </c>
      <c r="AC550" s="359" t="str">
        <f t="shared" si="210"/>
        <v>really BIG one diff mounts to</v>
      </c>
      <c r="AD550" s="10"/>
      <c r="AE550" s="10" t="s">
        <v>2638</v>
      </c>
      <c r="AF550" s="168" t="s">
        <v>543</v>
      </c>
      <c r="AG550" s="10"/>
      <c r="AH550" s="10"/>
      <c r="AI550" s="380" t="str">
        <f t="shared" si="212"/>
        <v/>
      </c>
      <c r="AJ550" s="3" t="s">
        <v>408</v>
      </c>
      <c r="AK550" s="3" t="s">
        <v>425</v>
      </c>
      <c r="AL550" s="204" t="s">
        <v>2175</v>
      </c>
      <c r="AN550"/>
      <c r="AX550" s="279" t="str">
        <f t="shared" ref="AX550:AX605" si="223">IF(AW550&lt;&gt;"",_xlfn.TEXTJOIN("-",TRUE,AV550,AW550),"")</f>
        <v/>
      </c>
    </row>
    <row r="551" spans="1:50" x14ac:dyDescent="0.25">
      <c r="A551" s="190" t="str">
        <f t="shared" si="204"/>
        <v/>
      </c>
      <c r="B551" s="279" t="str">
        <f t="shared" si="207"/>
        <v/>
      </c>
      <c r="C551" s="279"/>
      <c r="D551" s="279"/>
      <c r="E551" s="279" t="str">
        <f t="shared" si="209"/>
        <v/>
      </c>
      <c r="F551" t="s">
        <v>535</v>
      </c>
      <c r="G551" s="188">
        <v>44680</v>
      </c>
      <c r="H551" s="10"/>
      <c r="I551" s="10"/>
      <c r="J551" s="10" t="s">
        <v>405</v>
      </c>
      <c r="K551" s="15" t="s">
        <v>2764</v>
      </c>
      <c r="L551" s="10" t="s">
        <v>2625</v>
      </c>
      <c r="M551" s="170" t="s">
        <v>558</v>
      </c>
      <c r="N551" s="170"/>
      <c r="O551" s="237"/>
      <c r="P551" s="237"/>
      <c r="Q551" s="231" t="str">
        <f t="shared" si="222"/>
        <v>. Sway Bar / Stabilizer Bar, REAR</v>
      </c>
      <c r="R551" s="231"/>
      <c r="S551" s="231" t="str">
        <f t="shared" si="211"/>
        <v/>
      </c>
      <c r="T551" s="231" t="str">
        <f>IF(O551&lt;&gt;"",_xlfn.XLOOKUP(O551,'3D. Pictures'!B:B,'3D. Pictures'!E:E,"NOT FOUND",0,1),"")</f>
        <v/>
      </c>
      <c r="U551" s="170"/>
      <c r="V551" s="168"/>
      <c r="W551" s="170"/>
      <c r="X551" s="168"/>
      <c r="Y551"/>
      <c r="Z551" s="168"/>
      <c r="AA551" s="10" t="s">
        <v>2641</v>
      </c>
      <c r="AB551" s="10" t="s">
        <v>2641</v>
      </c>
      <c r="AC551" s="359" t="str">
        <f t="shared" si="210"/>
        <v>TOSS ALL (even dynamic ones)</v>
      </c>
      <c r="AD551" s="10" t="s">
        <v>2640</v>
      </c>
      <c r="AE551" s="10"/>
      <c r="AF551" s="168" t="s">
        <v>543</v>
      </c>
      <c r="AG551" s="10"/>
      <c r="AH551" s="10"/>
      <c r="AI551" s="380" t="str">
        <f t="shared" si="212"/>
        <v/>
      </c>
      <c r="AJ551" s="3" t="s">
        <v>408</v>
      </c>
      <c r="AK551" s="3" t="s">
        <v>425</v>
      </c>
      <c r="AL551" s="204" t="s">
        <v>2175</v>
      </c>
      <c r="AN551"/>
      <c r="AO551" t="s">
        <v>572</v>
      </c>
      <c r="AX551" s="279" t="str">
        <f t="shared" si="223"/>
        <v/>
      </c>
    </row>
    <row r="552" spans="1:50" x14ac:dyDescent="0.25">
      <c r="A552" s="190" t="str">
        <f t="shared" si="204"/>
        <v/>
      </c>
      <c r="B552" s="311" t="str">
        <f t="shared" ref="B552" si="224">IF(AQ552&lt;&gt;"",AQ552,"")</f>
        <v/>
      </c>
      <c r="C552" s="311"/>
      <c r="D552" s="311"/>
      <c r="E552" s="311" t="str">
        <f t="shared" si="209"/>
        <v/>
      </c>
      <c r="F552" s="311" t="s">
        <v>535</v>
      </c>
      <c r="G552" s="312">
        <v>45216</v>
      </c>
      <c r="H552" s="314"/>
      <c r="I552" s="314"/>
      <c r="J552" s="314" t="s">
        <v>405</v>
      </c>
      <c r="K552" s="333" t="s">
        <v>2765</v>
      </c>
      <c r="L552" s="314" t="s">
        <v>895</v>
      </c>
      <c r="M552" s="334" t="s">
        <v>558</v>
      </c>
      <c r="N552" s="334"/>
      <c r="O552" s="335"/>
      <c r="P552" s="335"/>
      <c r="Q552" s="317" t="str">
        <f t="shared" si="222"/>
        <v>. Automatic Flywheel Flex Plate</v>
      </c>
      <c r="R552" s="317"/>
      <c r="S552" s="317" t="str">
        <f t="shared" si="211"/>
        <v/>
      </c>
      <c r="T552" s="317" t="str">
        <f>IF(O552&lt;&gt;"",_xlfn.XLOOKUP(O552,'3D. Pictures'!B:B,'3D. Pictures'!E:E,"NOT FOUND",0,1),"")</f>
        <v/>
      </c>
      <c r="U552" s="334"/>
      <c r="V552" s="319"/>
      <c r="W552" s="334"/>
      <c r="X552" s="319"/>
      <c r="Y552"/>
      <c r="Z552" s="319"/>
      <c r="AA552" s="314" t="s">
        <v>42</v>
      </c>
      <c r="AB552" s="314" t="s">
        <v>42</v>
      </c>
      <c r="AC552" s="359" t="str">
        <f t="shared" si="210"/>
        <v/>
      </c>
      <c r="AD552" s="314"/>
      <c r="AE552" s="314"/>
      <c r="AF552" s="319"/>
      <c r="AG552" s="314"/>
      <c r="AH552" s="10"/>
      <c r="AI552" s="380" t="str">
        <f t="shared" si="212"/>
        <v/>
      </c>
      <c r="AJ552" s="320" t="s">
        <v>2292</v>
      </c>
      <c r="AK552" s="320" t="s">
        <v>425</v>
      </c>
      <c r="AL552" s="320" t="s">
        <v>2631</v>
      </c>
      <c r="AM552" s="311"/>
      <c r="AN552" s="311"/>
      <c r="AO552" s="311"/>
      <c r="AP552" s="311"/>
      <c r="AQ552" s="311"/>
      <c r="AR552" s="311"/>
      <c r="AS552" s="311"/>
      <c r="AT552" s="311"/>
      <c r="AU552" s="311"/>
      <c r="AV552" s="311"/>
      <c r="AW552" s="311"/>
      <c r="AX552" s="279" t="str">
        <f t="shared" si="223"/>
        <v/>
      </c>
    </row>
    <row r="553" spans="1:50" ht="15.75" thickBot="1" x14ac:dyDescent="0.3">
      <c r="A553" s="190" t="str">
        <f t="shared" si="204"/>
        <v/>
      </c>
      <c r="B553" s="279" t="str">
        <f t="shared" si="207"/>
        <v>407-999939</v>
      </c>
      <c r="C553" s="279"/>
      <c r="D553" s="279"/>
      <c r="E553" s="279">
        <f t="shared" si="209"/>
        <v>1</v>
      </c>
      <c r="F553" s="190" t="s">
        <v>535</v>
      </c>
      <c r="G553" s="198">
        <v>44674</v>
      </c>
      <c r="H553" s="205"/>
      <c r="I553" s="205"/>
      <c r="J553" s="205" t="s">
        <v>402</v>
      </c>
      <c r="K553" s="205" t="s">
        <v>2765</v>
      </c>
      <c r="L553" s="205" t="s">
        <v>26</v>
      </c>
      <c r="M553" s="208" t="s">
        <v>563</v>
      </c>
      <c r="N553" s="208"/>
      <c r="O553" s="232"/>
      <c r="P553" s="232"/>
      <c r="Q553" s="231" t="str">
        <f t="shared" si="222"/>
        <v>. Torque Converter</v>
      </c>
      <c r="R553" s="231"/>
      <c r="S553" s="231" t="str">
        <f t="shared" si="211"/>
        <v/>
      </c>
      <c r="T553" s="231" t="str">
        <f>IF(O553&lt;&gt;"",_xlfn.XLOOKUP(O553,'3D. Pictures'!B:B,'3D. Pictures'!E:E,"NOT FOUND",0,1),"")</f>
        <v/>
      </c>
      <c r="U553" s="208"/>
      <c r="V553" s="201"/>
      <c r="W553" s="208"/>
      <c r="X553" s="201"/>
      <c r="Y553"/>
      <c r="Z553" s="201"/>
      <c r="AA553" s="205" t="s">
        <v>26</v>
      </c>
      <c r="AB553" s="205" t="s">
        <v>26</v>
      </c>
      <c r="AC553" s="358" t="str">
        <f t="shared" si="210"/>
        <v/>
      </c>
      <c r="AD553" s="205"/>
      <c r="AE553" s="205"/>
      <c r="AF553" s="201" t="s">
        <v>543</v>
      </c>
      <c r="AG553" s="205"/>
      <c r="AH553" s="16">
        <v>250</v>
      </c>
      <c r="AI553" s="380">
        <f t="shared" si="212"/>
        <v>248.33333333333334</v>
      </c>
      <c r="AJ553" s="204" t="s">
        <v>2177</v>
      </c>
      <c r="AK553" s="204" t="s">
        <v>425</v>
      </c>
      <c r="AL553" s="204" t="s">
        <v>2177</v>
      </c>
      <c r="AM553" s="190"/>
      <c r="AN553" s="191" t="s">
        <v>650</v>
      </c>
      <c r="AO553" s="190" t="s">
        <v>572</v>
      </c>
      <c r="AP553" s="190">
        <v>999939</v>
      </c>
      <c r="AQ553" s="190" t="str">
        <f t="shared" ref="AQ553:AQ559" si="225">CONCATENATE(AN553,AO553,AP553)</f>
        <v>407-999939</v>
      </c>
      <c r="AR553" s="190" t="s">
        <v>897</v>
      </c>
      <c r="AS553" s="190"/>
      <c r="AT553" s="190"/>
      <c r="AU553" s="190"/>
      <c r="AV553" s="190"/>
      <c r="AW553" s="190"/>
      <c r="AX553" s="279" t="str">
        <f t="shared" si="223"/>
        <v/>
      </c>
    </row>
    <row r="554" spans="1:50" ht="15.75" thickBot="1" x14ac:dyDescent="0.3">
      <c r="A554" s="190" t="str">
        <f t="shared" si="204"/>
        <v>A92</v>
      </c>
      <c r="B554" s="279" t="str">
        <f t="shared" si="207"/>
        <v>407-999940</v>
      </c>
      <c r="C554" s="279"/>
      <c r="D554" s="279"/>
      <c r="E554" s="279">
        <f t="shared" si="209"/>
        <v>1</v>
      </c>
      <c r="F554" s="190" t="s">
        <v>535</v>
      </c>
      <c r="G554" s="198">
        <v>44674</v>
      </c>
      <c r="H554" s="205"/>
      <c r="I554" s="205"/>
      <c r="J554" s="205" t="s">
        <v>402</v>
      </c>
      <c r="K554" s="205" t="s">
        <v>2765</v>
      </c>
      <c r="L554" s="205" t="s">
        <v>26</v>
      </c>
      <c r="M554" s="208" t="s">
        <v>563</v>
      </c>
      <c r="N554" s="208">
        <v>82</v>
      </c>
      <c r="O554" s="232" t="s">
        <v>994</v>
      </c>
      <c r="P554" s="232" t="s">
        <v>1300</v>
      </c>
      <c r="Q554" s="231" t="str">
        <f t="shared" si="222"/>
        <v>A92. Torque Converter</v>
      </c>
      <c r="R554" s="284" t="str">
        <f>HYPERLINK(VLOOKUP(O554,'3D. Pictures'!$B$3:$E$500,4,FALSE),"PIC")</f>
        <v>PIC</v>
      </c>
      <c r="S554" s="373" t="str">
        <f t="shared" si="211"/>
        <v>E.G.</v>
      </c>
      <c r="T554" s="377" t="str">
        <f>IF(O554&lt;&gt;"",_xlfn.XLOOKUP(O554,'3D. Pictures'!B:B,'3D. Pictures'!E:E,"NOT FOUND",0,1),"")</f>
        <v>https://viking-pictures.s3.us-west-1.amazonaws.com/AA1155/A92.+Torque+Converter+(1).JPG</v>
      </c>
      <c r="U554" s="208">
        <v>4</v>
      </c>
      <c r="V554" s="201" t="s">
        <v>1311</v>
      </c>
      <c r="W554" s="208" t="s">
        <v>111</v>
      </c>
      <c r="X554" s="201"/>
      <c r="Y554"/>
      <c r="Z554" s="201"/>
      <c r="AA554" s="205" t="s">
        <v>26</v>
      </c>
      <c r="AB554" s="205" t="s">
        <v>26</v>
      </c>
      <c r="AC554" s="358" t="str">
        <f t="shared" si="210"/>
        <v/>
      </c>
      <c r="AD554" s="205"/>
      <c r="AE554" s="205"/>
      <c r="AF554" s="201" t="s">
        <v>543</v>
      </c>
      <c r="AG554" s="205"/>
      <c r="AH554" s="16">
        <v>250</v>
      </c>
      <c r="AI554" s="380">
        <f t="shared" si="212"/>
        <v>248.33333333333334</v>
      </c>
      <c r="AJ554" s="204" t="s">
        <v>2177</v>
      </c>
      <c r="AK554" s="204" t="s">
        <v>425</v>
      </c>
      <c r="AL554" s="204" t="s">
        <v>2177</v>
      </c>
      <c r="AM554" s="190"/>
      <c r="AN554" s="191" t="s">
        <v>650</v>
      </c>
      <c r="AO554" s="190" t="s">
        <v>572</v>
      </c>
      <c r="AP554" s="190">
        <v>999940</v>
      </c>
      <c r="AQ554" s="190" t="str">
        <f>CONCATENATE(AN554,AO554,AP554)</f>
        <v>407-999940</v>
      </c>
      <c r="AR554" s="190" t="s">
        <v>896</v>
      </c>
      <c r="AS554" s="190"/>
      <c r="AT554" s="190"/>
      <c r="AU554" s="190"/>
      <c r="AV554" s="190"/>
      <c r="AW554" s="190"/>
      <c r="AX554" s="279" t="str">
        <f t="shared" si="223"/>
        <v/>
      </c>
    </row>
    <row r="555" spans="1:50" x14ac:dyDescent="0.25">
      <c r="A555" s="190" t="str">
        <f t="shared" si="204"/>
        <v/>
      </c>
      <c r="B555" s="294" t="str">
        <f t="shared" ref="B555" si="226">IF(AQ555&lt;&gt;"",AQ555,"")</f>
        <v>407-999933</v>
      </c>
      <c r="C555" s="294"/>
      <c r="D555" s="294"/>
      <c r="E555" s="294">
        <f t="shared" si="209"/>
        <v>1</v>
      </c>
      <c r="F555" s="294" t="s">
        <v>535</v>
      </c>
      <c r="G555" s="295">
        <v>45245</v>
      </c>
      <c r="H555" s="300"/>
      <c r="I555" s="300"/>
      <c r="J555" s="300" t="s">
        <v>402</v>
      </c>
      <c r="K555" s="300" t="s">
        <v>2765</v>
      </c>
      <c r="L555" s="300" t="s">
        <v>26</v>
      </c>
      <c r="M555" s="336" t="s">
        <v>563</v>
      </c>
      <c r="N555" s="336"/>
      <c r="O555" s="337"/>
      <c r="P555" s="298"/>
      <c r="Q555" s="299" t="str">
        <f t="shared" si="222"/>
        <v>. Torque Converter</v>
      </c>
      <c r="R555" s="299"/>
      <c r="S555" s="299" t="str">
        <f t="shared" si="211"/>
        <v/>
      </c>
      <c r="T555" s="299" t="str">
        <f>IF(O555&lt;&gt;"",_xlfn.XLOOKUP(O555,'3D. Pictures'!B:B,'3D. Pictures'!E:E,"NOT FOUND",0,1),"")</f>
        <v/>
      </c>
      <c r="U555" s="336"/>
      <c r="V555" s="300" t="s">
        <v>2298</v>
      </c>
      <c r="W555" s="336" t="s">
        <v>111</v>
      </c>
      <c r="X555" s="300"/>
      <c r="Y555"/>
      <c r="Z555" s="300"/>
      <c r="AA555" s="300" t="s">
        <v>26</v>
      </c>
      <c r="AB555" s="300" t="s">
        <v>26</v>
      </c>
      <c r="AC555" s="358" t="str">
        <f t="shared" si="210"/>
        <v/>
      </c>
      <c r="AD555" s="300"/>
      <c r="AE555" s="300"/>
      <c r="AF555" s="302" t="s">
        <v>543</v>
      </c>
      <c r="AG555" s="339"/>
      <c r="AH555" s="363">
        <v>245</v>
      </c>
      <c r="AI555" s="380">
        <f t="shared" si="212"/>
        <v>248.33333333333334</v>
      </c>
      <c r="AJ555" s="301" t="s">
        <v>2198</v>
      </c>
      <c r="AK555" s="301" t="s">
        <v>425</v>
      </c>
      <c r="AL555" s="301" t="s">
        <v>2198</v>
      </c>
      <c r="AM555" s="294"/>
      <c r="AN555" s="326" t="s">
        <v>650</v>
      </c>
      <c r="AO555" s="294" t="s">
        <v>572</v>
      </c>
      <c r="AP555" s="294">
        <v>999933</v>
      </c>
      <c r="AQ555" s="294" t="str">
        <f>CONCATENATE(AN555,AO555,AP555)</f>
        <v>407-999933</v>
      </c>
      <c r="AR555" s="294"/>
      <c r="AS555" s="294"/>
      <c r="AT555" s="294"/>
      <c r="AU555" s="294"/>
      <c r="AV555" s="294"/>
      <c r="AW555" s="294"/>
      <c r="AX555" s="279" t="str">
        <f t="shared" si="223"/>
        <v/>
      </c>
    </row>
    <row r="556" spans="1:50" x14ac:dyDescent="0.25">
      <c r="A556" s="190" t="str">
        <f t="shared" si="204"/>
        <v/>
      </c>
      <c r="B556" s="279" t="str">
        <f t="shared" si="207"/>
        <v>412-59249</v>
      </c>
      <c r="C556" s="279"/>
      <c r="D556" s="279"/>
      <c r="E556" s="279">
        <f t="shared" si="209"/>
        <v>1</v>
      </c>
      <c r="F556" s="190" t="s">
        <v>536</v>
      </c>
      <c r="G556" s="198">
        <v>44831</v>
      </c>
      <c r="H556" s="205"/>
      <c r="I556" s="205"/>
      <c r="J556" s="205" t="s">
        <v>402</v>
      </c>
      <c r="K556" s="206" t="s">
        <v>2765</v>
      </c>
      <c r="L556" s="205" t="s">
        <v>901</v>
      </c>
      <c r="M556" s="200" t="s">
        <v>558</v>
      </c>
      <c r="N556" s="200"/>
      <c r="O556" s="230"/>
      <c r="P556" s="230"/>
      <c r="Q556" s="231" t="str">
        <f t="shared" si="222"/>
        <v>. Transfer Case</v>
      </c>
      <c r="R556" s="231"/>
      <c r="S556" s="231" t="str">
        <f t="shared" si="211"/>
        <v/>
      </c>
      <c r="T556" s="231" t="str">
        <f>IF(O556&lt;&gt;"",_xlfn.XLOOKUP(O556,'3D. Pictures'!B:B,'3D. Pictures'!E:E,"NOT FOUND",0,1),"")</f>
        <v/>
      </c>
      <c r="U556" s="200"/>
      <c r="V556" s="201"/>
      <c r="W556" s="200"/>
      <c r="X556" s="201"/>
      <c r="Y556"/>
      <c r="Z556" s="201"/>
      <c r="AA556" s="205" t="s">
        <v>901</v>
      </c>
      <c r="AB556" s="205" t="s">
        <v>901</v>
      </c>
      <c r="AC556" s="358" t="str">
        <f t="shared" si="210"/>
        <v>sell shift motor separately</v>
      </c>
      <c r="AD556" s="205" t="s">
        <v>900</v>
      </c>
      <c r="AE556" s="205"/>
      <c r="AF556" s="201" t="s">
        <v>543</v>
      </c>
      <c r="AG556" s="205" t="s">
        <v>903</v>
      </c>
      <c r="AH556" s="167">
        <v>695</v>
      </c>
      <c r="AI556" s="380">
        <f t="shared" si="212"/>
        <v>1097.5</v>
      </c>
      <c r="AJ556" s="204" t="s">
        <v>408</v>
      </c>
      <c r="AK556" s="204" t="s">
        <v>425</v>
      </c>
      <c r="AL556" s="204" t="s">
        <v>2175</v>
      </c>
      <c r="AM556" s="190"/>
      <c r="AN556" s="191" t="s">
        <v>651</v>
      </c>
      <c r="AO556" s="190" t="s">
        <v>572</v>
      </c>
      <c r="AP556" s="190">
        <v>59249</v>
      </c>
      <c r="AQ556" s="190" t="str">
        <f t="shared" si="225"/>
        <v>412-59249</v>
      </c>
      <c r="AR556" s="190" t="s">
        <v>899</v>
      </c>
      <c r="AS556" s="190"/>
      <c r="AT556" s="190"/>
      <c r="AU556" s="190"/>
      <c r="AV556" s="190"/>
      <c r="AW556" s="190"/>
      <c r="AX556" s="279" t="str">
        <f t="shared" si="223"/>
        <v/>
      </c>
    </row>
    <row r="557" spans="1:50" x14ac:dyDescent="0.25">
      <c r="A557" s="190" t="str">
        <f t="shared" si="204"/>
        <v/>
      </c>
      <c r="B557" s="294" t="str">
        <f t="shared" si="207"/>
        <v>412-59298</v>
      </c>
      <c r="C557" s="294"/>
      <c r="D557" s="294"/>
      <c r="E557" s="294">
        <f t="shared" si="209"/>
        <v>1</v>
      </c>
      <c r="F557" s="294" t="s">
        <v>536</v>
      </c>
      <c r="G557" s="295">
        <v>44831</v>
      </c>
      <c r="H557" s="300"/>
      <c r="I557" s="300"/>
      <c r="J557" s="300" t="s">
        <v>402</v>
      </c>
      <c r="K557" s="299" t="s">
        <v>2765</v>
      </c>
      <c r="L557" s="300" t="s">
        <v>901</v>
      </c>
      <c r="M557" s="327" t="s">
        <v>558</v>
      </c>
      <c r="N557" s="327"/>
      <c r="O557" s="328"/>
      <c r="P557" s="328"/>
      <c r="Q557" s="299" t="str">
        <f t="shared" si="222"/>
        <v>. Transfer Case</v>
      </c>
      <c r="R557" s="299"/>
      <c r="S557" s="299" t="str">
        <f t="shared" si="211"/>
        <v/>
      </c>
      <c r="T557" s="299" t="str">
        <f>IF(O557&lt;&gt;"",_xlfn.XLOOKUP(O557,'3D. Pictures'!B:B,'3D. Pictures'!E:E,"NOT FOUND",0,1),"")</f>
        <v/>
      </c>
      <c r="U557" s="327"/>
      <c r="V557" s="302"/>
      <c r="W557" s="327"/>
      <c r="X557" s="302"/>
      <c r="Y557"/>
      <c r="Z557" s="302"/>
      <c r="AA557" s="300" t="s">
        <v>901</v>
      </c>
      <c r="AB557" s="300" t="s">
        <v>901</v>
      </c>
      <c r="AC557" s="358" t="str">
        <f t="shared" si="210"/>
        <v>sell shift motor separately</v>
      </c>
      <c r="AD557" s="300" t="s">
        <v>900</v>
      </c>
      <c r="AE557" s="300"/>
      <c r="AF557" s="302" t="s">
        <v>543</v>
      </c>
      <c r="AG557" s="300" t="s">
        <v>903</v>
      </c>
      <c r="AH557" s="167">
        <v>1500</v>
      </c>
      <c r="AI557" s="380">
        <f t="shared" si="212"/>
        <v>1097.5</v>
      </c>
      <c r="AJ557" s="301" t="s">
        <v>408</v>
      </c>
      <c r="AK557" s="301" t="s">
        <v>425</v>
      </c>
      <c r="AL557" s="301" t="s">
        <v>2175</v>
      </c>
      <c r="AM557" s="294"/>
      <c r="AN557" s="326" t="s">
        <v>651</v>
      </c>
      <c r="AO557" s="294" t="s">
        <v>572</v>
      </c>
      <c r="AP557" s="294">
        <v>59298</v>
      </c>
      <c r="AQ557" s="294" t="str">
        <f>CONCATENATE(AN557,AO557,AP557)</f>
        <v>412-59298</v>
      </c>
      <c r="AR557" s="294" t="s">
        <v>898</v>
      </c>
      <c r="AS557" s="294"/>
      <c r="AT557" s="294"/>
      <c r="AU557" s="294"/>
      <c r="AV557" s="294"/>
      <c r="AW557" s="294"/>
      <c r="AX557" s="279" t="str">
        <f t="shared" si="223"/>
        <v/>
      </c>
    </row>
    <row r="558" spans="1:50" ht="15.75" thickBot="1" x14ac:dyDescent="0.3">
      <c r="A558" s="190" t="str">
        <f t="shared" si="204"/>
        <v/>
      </c>
      <c r="B558" s="279" t="str">
        <f t="shared" si="207"/>
        <v>420-194</v>
      </c>
      <c r="C558" s="279"/>
      <c r="D558" s="279"/>
      <c r="E558" s="279">
        <f t="shared" si="209"/>
        <v>1</v>
      </c>
      <c r="F558" s="190" t="s">
        <v>535</v>
      </c>
      <c r="G558" s="198">
        <v>45245</v>
      </c>
      <c r="H558" s="205"/>
      <c r="I558" s="205"/>
      <c r="J558" s="205" t="s">
        <v>402</v>
      </c>
      <c r="K558" s="206" t="s">
        <v>2765</v>
      </c>
      <c r="L558" s="205" t="s">
        <v>901</v>
      </c>
      <c r="M558" s="200" t="s">
        <v>558</v>
      </c>
      <c r="N558" s="200"/>
      <c r="O558" s="230"/>
      <c r="P558" s="230"/>
      <c r="Q558" s="231" t="str">
        <f t="shared" si="222"/>
        <v>. Transfer Case Shift Motor</v>
      </c>
      <c r="R558" s="231"/>
      <c r="S558" s="231" t="str">
        <f t="shared" si="211"/>
        <v/>
      </c>
      <c r="T558" s="231" t="str">
        <f>IF(O558&lt;&gt;"",_xlfn.XLOOKUP(O558,'3D. Pictures'!B:B,'3D. Pictures'!E:E,"NOT FOUND",0,1),"")</f>
        <v/>
      </c>
      <c r="U558" s="200"/>
      <c r="V558" s="340" t="s">
        <v>2312</v>
      </c>
      <c r="W558" s="341" t="s">
        <v>112</v>
      </c>
      <c r="X558" s="201"/>
      <c r="Y558"/>
      <c r="Z558" s="201"/>
      <c r="AA558" s="205" t="s">
        <v>902</v>
      </c>
      <c r="AB558" s="205" t="s">
        <v>902</v>
      </c>
      <c r="AC558" s="358" t="str">
        <f t="shared" si="210"/>
        <v/>
      </c>
      <c r="AD558" s="205"/>
      <c r="AE558" s="205"/>
      <c r="AF558" s="201" t="s">
        <v>543</v>
      </c>
      <c r="AG558" s="205"/>
      <c r="AH558" s="16">
        <v>200</v>
      </c>
      <c r="AI558" s="380">
        <f t="shared" si="212"/>
        <v>200</v>
      </c>
      <c r="AJ558" s="204" t="s">
        <v>408</v>
      </c>
      <c r="AK558" s="204" t="s">
        <v>425</v>
      </c>
      <c r="AL558" s="204" t="s">
        <v>2175</v>
      </c>
      <c r="AM558" s="190"/>
      <c r="AN558" s="191">
        <v>420</v>
      </c>
      <c r="AO558" s="190" t="s">
        <v>572</v>
      </c>
      <c r="AP558" s="190">
        <v>194</v>
      </c>
      <c r="AQ558" s="190" t="str">
        <f t="shared" si="225"/>
        <v>420-194</v>
      </c>
      <c r="AR558" s="190"/>
      <c r="AS558" s="190"/>
      <c r="AT558" s="190"/>
      <c r="AU558" s="190"/>
      <c r="AV558" s="190"/>
      <c r="AW558" s="190"/>
      <c r="AX558" s="279" t="str">
        <f t="shared" si="223"/>
        <v/>
      </c>
    </row>
    <row r="559" spans="1:50" ht="15.75" thickBot="1" x14ac:dyDescent="0.3">
      <c r="A559" s="190" t="str">
        <f t="shared" si="204"/>
        <v>A43</v>
      </c>
      <c r="B559" s="279" t="str">
        <f t="shared" si="207"/>
        <v>414-999923</v>
      </c>
      <c r="C559" s="279"/>
      <c r="D559" s="279"/>
      <c r="E559" s="279">
        <f t="shared" si="209"/>
        <v>1</v>
      </c>
      <c r="F559" s="190" t="s">
        <v>536</v>
      </c>
      <c r="G559" s="198">
        <v>44691</v>
      </c>
      <c r="H559" s="210"/>
      <c r="I559" s="205"/>
      <c r="J559" s="205" t="s">
        <v>402</v>
      </c>
      <c r="K559" s="206" t="s">
        <v>2765</v>
      </c>
      <c r="L559" s="205" t="s">
        <v>2708</v>
      </c>
      <c r="M559" s="208" t="s">
        <v>563</v>
      </c>
      <c r="N559" s="208">
        <v>33</v>
      </c>
      <c r="O559" s="232" t="s">
        <v>945</v>
      </c>
      <c r="P559" s="232" t="s">
        <v>1168</v>
      </c>
      <c r="Q559" s="231" t="str">
        <f t="shared" si="222"/>
        <v>A43. Transmission Oil Cooler</v>
      </c>
      <c r="R559" s="284" t="str">
        <f>HYPERLINK(VLOOKUP(O559,'3D. Pictures'!$B$3:$E$500,4,FALSE),"PIC")</f>
        <v>PIC</v>
      </c>
      <c r="S559" s="373" t="str">
        <f t="shared" si="211"/>
        <v>E.G.</v>
      </c>
      <c r="T559" s="377" t="str">
        <f>IF(O559&lt;&gt;"",_xlfn.XLOOKUP(O559,'3D. Pictures'!B:B,'3D. Pictures'!E:E,"NOT FOUND",0,1),"")</f>
        <v>https://viking-pictures.s3.us-west-1.amazonaws.com/AA1155/A43.+Transmission+Oil+Cooler+(1).JPG</v>
      </c>
      <c r="U559" s="208">
        <v>5</v>
      </c>
      <c r="V559" s="201" t="s">
        <v>1198</v>
      </c>
      <c r="W559" s="208" t="s">
        <v>111</v>
      </c>
      <c r="X559" s="201"/>
      <c r="Y559"/>
      <c r="Z559" s="201"/>
      <c r="AA559" s="205" t="s">
        <v>479</v>
      </c>
      <c r="AB559" s="205" t="s">
        <v>479</v>
      </c>
      <c r="AC559" s="358" t="str">
        <f t="shared" si="210"/>
        <v/>
      </c>
      <c r="AD559" s="205"/>
      <c r="AE559" s="205"/>
      <c r="AF559" s="201" t="s">
        <v>543</v>
      </c>
      <c r="AG559" s="205"/>
      <c r="AH559" s="16">
        <v>100</v>
      </c>
      <c r="AI559" s="380">
        <f t="shared" si="212"/>
        <v>100</v>
      </c>
      <c r="AJ559" s="204" t="s">
        <v>408</v>
      </c>
      <c r="AK559" s="204" t="s">
        <v>425</v>
      </c>
      <c r="AL559" s="204" t="s">
        <v>2175</v>
      </c>
      <c r="AM559" s="190"/>
      <c r="AN559" s="191" t="s">
        <v>652</v>
      </c>
      <c r="AO559" s="190" t="s">
        <v>572</v>
      </c>
      <c r="AP559" s="190">
        <v>999923</v>
      </c>
      <c r="AQ559" s="190" t="str">
        <f t="shared" si="225"/>
        <v>414-999923</v>
      </c>
      <c r="AR559" s="190"/>
      <c r="AS559" s="190"/>
      <c r="AT559" s="190"/>
      <c r="AU559" s="190"/>
      <c r="AV559" s="190"/>
      <c r="AW559" s="190"/>
      <c r="AX559" s="279" t="str">
        <f t="shared" si="223"/>
        <v/>
      </c>
    </row>
    <row r="560" spans="1:50" ht="15.75" thickBot="1" x14ac:dyDescent="0.3">
      <c r="A560" s="190" t="str">
        <f t="shared" si="204"/>
        <v>A95</v>
      </c>
      <c r="B560" s="279" t="str">
        <f t="shared" si="207"/>
        <v/>
      </c>
      <c r="C560" s="279"/>
      <c r="D560" s="279"/>
      <c r="E560" s="279" t="str">
        <f t="shared" si="209"/>
        <v/>
      </c>
      <c r="F560" s="241" t="s">
        <v>535</v>
      </c>
      <c r="G560" s="242">
        <v>44687</v>
      </c>
      <c r="H560" s="243"/>
      <c r="I560" s="243"/>
      <c r="J560" s="243" t="s">
        <v>402</v>
      </c>
      <c r="K560" s="244" t="s">
        <v>2765</v>
      </c>
      <c r="L560" s="243" t="s">
        <v>2709</v>
      </c>
      <c r="M560" s="249" t="s">
        <v>558</v>
      </c>
      <c r="N560" s="249">
        <v>85</v>
      </c>
      <c r="O560" s="253" t="s">
        <v>997</v>
      </c>
      <c r="P560" s="253" t="s">
        <v>1300</v>
      </c>
      <c r="Q560" s="231" t="str">
        <f t="shared" si="222"/>
        <v>A95. Transmission Oil Pump, Mechanical</v>
      </c>
      <c r="R560" s="284" t="str">
        <f>HYPERLINK(VLOOKUP(O560,'3D. Pictures'!$B$3:$E$500,4,FALSE),"PIC")</f>
        <v>PIC</v>
      </c>
      <c r="S560" s="373" t="str">
        <f t="shared" si="211"/>
        <v>E.G.</v>
      </c>
      <c r="T560" s="377" t="str">
        <f>IF(O560&lt;&gt;"",_xlfn.XLOOKUP(O560,'3D. Pictures'!B:B,'3D. Pictures'!E:E,"NOT FOUND",0,1),"")</f>
        <v>https://viking-pictures.s3.us-west-1.amazonaws.com/AA1155/A95.+Transmission+Oil+Pump%2C+Mechanical+(1).JPG</v>
      </c>
      <c r="U560" s="249">
        <v>6</v>
      </c>
      <c r="V560" s="179" t="s">
        <v>2166</v>
      </c>
      <c r="W560" s="249" t="s">
        <v>111</v>
      </c>
      <c r="X560" s="179"/>
      <c r="Y560"/>
      <c r="Z560" s="179"/>
      <c r="AA560" s="243" t="s">
        <v>2801</v>
      </c>
      <c r="AB560" s="243" t="s">
        <v>2801</v>
      </c>
      <c r="AC560" s="358" t="str">
        <f t="shared" si="210"/>
        <v/>
      </c>
      <c r="AD560" s="243"/>
      <c r="AE560" s="243"/>
      <c r="AF560" s="179" t="s">
        <v>543</v>
      </c>
      <c r="AG560" s="243"/>
      <c r="AH560" s="16">
        <v>250</v>
      </c>
      <c r="AI560" s="380">
        <f t="shared" si="212"/>
        <v>250</v>
      </c>
      <c r="AJ560" s="246" t="s">
        <v>408</v>
      </c>
      <c r="AK560" s="246" t="s">
        <v>425</v>
      </c>
      <c r="AL560" s="204" t="s">
        <v>2175</v>
      </c>
      <c r="AM560" s="241"/>
      <c r="AN560" s="251"/>
      <c r="AO560" s="241" t="s">
        <v>572</v>
      </c>
      <c r="AP560" s="241"/>
      <c r="AQ560" s="241"/>
      <c r="AR560" s="241"/>
      <c r="AS560" s="241" t="s">
        <v>1028</v>
      </c>
      <c r="AT560" s="241" t="s">
        <v>1029</v>
      </c>
      <c r="AU560" s="241" t="s">
        <v>1042</v>
      </c>
      <c r="AV560" s="303" t="str">
        <f t="shared" ref="AV560:AV561" si="227">CONCATENATE(AS560,"-",AT560,"-",AU560)</f>
        <v>F15-14-18-3.0T N55</v>
      </c>
      <c r="AW560" s="241" t="s">
        <v>2438</v>
      </c>
      <c r="AX560" s="279" t="str">
        <f t="shared" si="223"/>
        <v>F15-14-18-3.0T N55-Viking72</v>
      </c>
    </row>
    <row r="561" spans="1:50" ht="15.75" thickBot="1" x14ac:dyDescent="0.3">
      <c r="A561" s="190" t="str">
        <f t="shared" si="204"/>
        <v>A15</v>
      </c>
      <c r="B561" s="279" t="str">
        <f t="shared" si="207"/>
        <v/>
      </c>
      <c r="C561" s="279"/>
      <c r="D561" s="279"/>
      <c r="E561" s="279" t="str">
        <f t="shared" si="209"/>
        <v/>
      </c>
      <c r="F561" s="241" t="s">
        <v>536</v>
      </c>
      <c r="G561" s="242">
        <v>45107</v>
      </c>
      <c r="H561" s="252"/>
      <c r="I561" s="243"/>
      <c r="J561" s="243" t="s">
        <v>402</v>
      </c>
      <c r="K561" s="244" t="s">
        <v>2765</v>
      </c>
      <c r="L561" s="243" t="s">
        <v>2710</v>
      </c>
      <c r="M561" s="249" t="s">
        <v>558</v>
      </c>
      <c r="N561" s="249">
        <v>5</v>
      </c>
      <c r="O561" s="253" t="s">
        <v>917</v>
      </c>
      <c r="P561" s="253" t="s">
        <v>1035</v>
      </c>
      <c r="Q561" s="231" t="str">
        <f t="shared" si="222"/>
        <v>A15. Transmission Oil Pump, Hydraulic</v>
      </c>
      <c r="R561" s="284" t="str">
        <f>HYPERLINK(VLOOKUP(O561,'3D. Pictures'!$B$3:$E$500,4,FALSE),"PIC")</f>
        <v>PIC</v>
      </c>
      <c r="S561" s="373" t="str">
        <f t="shared" si="211"/>
        <v>E.G.</v>
      </c>
      <c r="T561" s="377" t="str">
        <f>IF(O561&lt;&gt;"",_xlfn.XLOOKUP(O561,'3D. Pictures'!B:B,'3D. Pictures'!E:E,"NOT FOUND",0,1),"")</f>
        <v>https://viking-pictures.s3.us-west-1.amazonaws.com/AA1155/A15.+Transmission+Oil+Pump%2C+Hydraulic+(1).JPG</v>
      </c>
      <c r="U561" s="249">
        <v>3</v>
      </c>
      <c r="V561" s="250" t="s">
        <v>1041</v>
      </c>
      <c r="W561" s="249" t="s">
        <v>111</v>
      </c>
      <c r="X561" s="179"/>
      <c r="Y561"/>
      <c r="Z561" s="179"/>
      <c r="AA561" s="243" t="s">
        <v>522</v>
      </c>
      <c r="AB561" s="243" t="s">
        <v>522</v>
      </c>
      <c r="AC561" s="358" t="str">
        <f t="shared" si="210"/>
        <v/>
      </c>
      <c r="AD561" s="243"/>
      <c r="AE561" s="243"/>
      <c r="AF561" s="179" t="s">
        <v>543</v>
      </c>
      <c r="AG561" s="243"/>
      <c r="AH561" s="16">
        <v>75</v>
      </c>
      <c r="AI561" s="380">
        <f t="shared" si="212"/>
        <v>75</v>
      </c>
      <c r="AJ561" s="246" t="s">
        <v>408</v>
      </c>
      <c r="AK561" s="246" t="s">
        <v>425</v>
      </c>
      <c r="AL561" s="204" t="s">
        <v>2175</v>
      </c>
      <c r="AM561" s="241"/>
      <c r="AN561" s="251"/>
      <c r="AO561" s="241" t="s">
        <v>572</v>
      </c>
      <c r="AP561" s="241"/>
      <c r="AQ561" s="241"/>
      <c r="AR561" s="241"/>
      <c r="AS561" s="241" t="s">
        <v>1028</v>
      </c>
      <c r="AT561" s="241" t="s">
        <v>1029</v>
      </c>
      <c r="AU561" s="241" t="s">
        <v>1042</v>
      </c>
      <c r="AV561" s="303" t="str">
        <f t="shared" si="227"/>
        <v>F15-14-18-3.0T N55</v>
      </c>
      <c r="AW561" s="241" t="s">
        <v>2439</v>
      </c>
      <c r="AX561" s="279" t="str">
        <f t="shared" si="223"/>
        <v>F15-14-18-3.0T N55-Viking73</v>
      </c>
    </row>
    <row r="562" spans="1:50" x14ac:dyDescent="0.25">
      <c r="A562" s="190" t="str">
        <f t="shared" si="204"/>
        <v/>
      </c>
      <c r="B562" s="279" t="str">
        <f t="shared" si="207"/>
        <v>400-62503</v>
      </c>
      <c r="C562" s="279"/>
      <c r="D562" s="279"/>
      <c r="E562" s="279">
        <f t="shared" si="209"/>
        <v>1</v>
      </c>
      <c r="F562" s="190" t="s">
        <v>535</v>
      </c>
      <c r="G562" s="198">
        <v>44674</v>
      </c>
      <c r="H562" s="205"/>
      <c r="I562" s="205"/>
      <c r="J562" s="205" t="s">
        <v>402</v>
      </c>
      <c r="K562" s="205" t="s">
        <v>2765</v>
      </c>
      <c r="L562" s="205" t="s">
        <v>27</v>
      </c>
      <c r="M562" s="200" t="s">
        <v>558</v>
      </c>
      <c r="N562" s="200"/>
      <c r="O562" s="230"/>
      <c r="P562" s="230"/>
      <c r="Q562" s="231" t="str">
        <f t="shared" si="222"/>
        <v>. Valve Body</v>
      </c>
      <c r="R562" s="231"/>
      <c r="S562" s="231" t="str">
        <f t="shared" si="211"/>
        <v/>
      </c>
      <c r="T562" s="231" t="str">
        <f>IF(O562&lt;&gt;"",_xlfn.XLOOKUP(O562,'3D. Pictures'!B:B,'3D. Pictures'!E:E,"NOT FOUND",0,1),"")</f>
        <v/>
      </c>
      <c r="U562" s="200"/>
      <c r="V562" s="201"/>
      <c r="W562" s="200"/>
      <c r="X562" s="201"/>
      <c r="Y562"/>
      <c r="Z562" s="201"/>
      <c r="AA562" s="205" t="s">
        <v>27</v>
      </c>
      <c r="AB562" s="205" t="s">
        <v>27</v>
      </c>
      <c r="AC562" s="358" t="str">
        <f t="shared" si="210"/>
        <v/>
      </c>
      <c r="AD562" s="205"/>
      <c r="AE562" s="205"/>
      <c r="AF562" s="201" t="s">
        <v>543</v>
      </c>
      <c r="AG562" s="205"/>
      <c r="AH562" s="16">
        <v>650</v>
      </c>
      <c r="AI562" s="380">
        <f t="shared" si="212"/>
        <v>650</v>
      </c>
      <c r="AJ562" s="204" t="s">
        <v>408</v>
      </c>
      <c r="AK562" s="204" t="s">
        <v>425</v>
      </c>
      <c r="AL562" s="204" t="s">
        <v>2175</v>
      </c>
      <c r="AM562" s="190"/>
      <c r="AN562" s="191">
        <v>400</v>
      </c>
      <c r="AO562" s="190" t="s">
        <v>572</v>
      </c>
      <c r="AP562" s="190">
        <v>62503</v>
      </c>
      <c r="AQ562" s="190" t="str">
        <f t="shared" ref="AQ562:AQ568" si="228">CONCATENATE(AN562,AO562,AP562)</f>
        <v>400-62503</v>
      </c>
      <c r="AR562" s="190" t="s">
        <v>905</v>
      </c>
      <c r="AS562" s="190"/>
      <c r="AT562" s="190"/>
      <c r="AU562" s="190"/>
      <c r="AV562" s="190"/>
      <c r="AW562" s="190"/>
      <c r="AX562" s="279" t="str">
        <f t="shared" si="223"/>
        <v/>
      </c>
    </row>
    <row r="563" spans="1:50" x14ac:dyDescent="0.25">
      <c r="A563" s="190" t="str">
        <f t="shared" si="204"/>
        <v/>
      </c>
      <c r="B563" s="279" t="str">
        <f t="shared" si="207"/>
        <v>400-62833</v>
      </c>
      <c r="C563" s="279"/>
      <c r="D563" s="279"/>
      <c r="E563" s="279">
        <f t="shared" si="209"/>
        <v>1</v>
      </c>
      <c r="F563" s="190" t="s">
        <v>535</v>
      </c>
      <c r="G563" s="198">
        <v>44674</v>
      </c>
      <c r="H563" s="205"/>
      <c r="I563" s="205"/>
      <c r="J563" s="205" t="s">
        <v>402</v>
      </c>
      <c r="K563" s="205" t="s">
        <v>2765</v>
      </c>
      <c r="L563" s="205" t="s">
        <v>27</v>
      </c>
      <c r="M563" s="200" t="s">
        <v>558</v>
      </c>
      <c r="N563" s="200"/>
      <c r="O563" s="230"/>
      <c r="P563" s="230"/>
      <c r="Q563" s="231" t="str">
        <f t="shared" si="222"/>
        <v>. Valve Body</v>
      </c>
      <c r="R563" s="231"/>
      <c r="S563" s="231" t="str">
        <f t="shared" si="211"/>
        <v/>
      </c>
      <c r="T563" s="231" t="str">
        <f>IF(O563&lt;&gt;"",_xlfn.XLOOKUP(O563,'3D. Pictures'!B:B,'3D. Pictures'!E:E,"NOT FOUND",0,1),"")</f>
        <v/>
      </c>
      <c r="U563" s="200"/>
      <c r="V563" s="201"/>
      <c r="W563" s="200"/>
      <c r="X563" s="201"/>
      <c r="Y563"/>
      <c r="Z563" s="201"/>
      <c r="AA563" s="205" t="s">
        <v>27</v>
      </c>
      <c r="AB563" s="205" t="s">
        <v>27</v>
      </c>
      <c r="AC563" s="358" t="str">
        <f t="shared" si="210"/>
        <v/>
      </c>
      <c r="AD563" s="205"/>
      <c r="AE563" s="205"/>
      <c r="AF563" s="201" t="s">
        <v>543</v>
      </c>
      <c r="AG563" s="205"/>
      <c r="AH563" s="16">
        <v>650</v>
      </c>
      <c r="AI563" s="380">
        <f t="shared" si="212"/>
        <v>650</v>
      </c>
      <c r="AJ563" s="204" t="s">
        <v>408</v>
      </c>
      <c r="AK563" s="204" t="s">
        <v>425</v>
      </c>
      <c r="AL563" s="204" t="s">
        <v>2175</v>
      </c>
      <c r="AM563" s="190"/>
      <c r="AN563" s="191">
        <v>400</v>
      </c>
      <c r="AO563" s="190" t="s">
        <v>572</v>
      </c>
      <c r="AP563" s="190">
        <v>62833</v>
      </c>
      <c r="AQ563" s="190" t="str">
        <f t="shared" si="228"/>
        <v>400-62833</v>
      </c>
      <c r="AR563" s="190" t="s">
        <v>906</v>
      </c>
      <c r="AS563" s="190"/>
      <c r="AT563" s="190"/>
      <c r="AU563" s="190"/>
      <c r="AV563" s="190"/>
      <c r="AW563" s="190"/>
      <c r="AX563" s="279" t="str">
        <f t="shared" si="223"/>
        <v/>
      </c>
    </row>
    <row r="564" spans="1:50" x14ac:dyDescent="0.25">
      <c r="A564" s="190" t="str">
        <f t="shared" si="204"/>
        <v/>
      </c>
      <c r="B564" s="279" t="str">
        <f t="shared" si="207"/>
        <v>400-62834</v>
      </c>
      <c r="C564" s="279"/>
      <c r="D564" s="279"/>
      <c r="E564" s="279">
        <f t="shared" si="209"/>
        <v>1</v>
      </c>
      <c r="F564" s="190" t="s">
        <v>535</v>
      </c>
      <c r="G564" s="198">
        <v>44674</v>
      </c>
      <c r="H564" s="205"/>
      <c r="I564" s="205"/>
      <c r="J564" s="205" t="s">
        <v>402</v>
      </c>
      <c r="K564" s="205" t="s">
        <v>2765</v>
      </c>
      <c r="L564" s="205" t="s">
        <v>27</v>
      </c>
      <c r="M564" s="200" t="s">
        <v>558</v>
      </c>
      <c r="N564" s="200"/>
      <c r="O564" s="230"/>
      <c r="P564" s="230"/>
      <c r="Q564" s="231" t="str">
        <f t="shared" si="222"/>
        <v>. Valve Body</v>
      </c>
      <c r="R564" s="231"/>
      <c r="S564" s="231" t="str">
        <f t="shared" si="211"/>
        <v/>
      </c>
      <c r="T564" s="231" t="str">
        <f>IF(O564&lt;&gt;"",_xlfn.XLOOKUP(O564,'3D. Pictures'!B:B,'3D. Pictures'!E:E,"NOT FOUND",0,1),"")</f>
        <v/>
      </c>
      <c r="U564" s="200"/>
      <c r="V564" s="201"/>
      <c r="W564" s="200"/>
      <c r="X564" s="201"/>
      <c r="Y564"/>
      <c r="Z564" s="201"/>
      <c r="AA564" s="205" t="s">
        <v>27</v>
      </c>
      <c r="AB564" s="205" t="s">
        <v>27</v>
      </c>
      <c r="AC564" s="358" t="str">
        <f t="shared" si="210"/>
        <v/>
      </c>
      <c r="AD564" s="205"/>
      <c r="AE564" s="205"/>
      <c r="AF564" s="201" t="s">
        <v>543</v>
      </c>
      <c r="AG564" s="205"/>
      <c r="AH564" s="16">
        <v>650</v>
      </c>
      <c r="AI564" s="380">
        <f t="shared" si="212"/>
        <v>650</v>
      </c>
      <c r="AJ564" s="204" t="s">
        <v>408</v>
      </c>
      <c r="AK564" s="204" t="s">
        <v>425</v>
      </c>
      <c r="AL564" s="204" t="s">
        <v>2175</v>
      </c>
      <c r="AM564" s="190"/>
      <c r="AN564" s="191">
        <v>400</v>
      </c>
      <c r="AO564" s="190" t="s">
        <v>572</v>
      </c>
      <c r="AP564" s="190">
        <v>62834</v>
      </c>
      <c r="AQ564" s="190" t="str">
        <f t="shared" si="228"/>
        <v>400-62834</v>
      </c>
      <c r="AR564" s="190" t="s">
        <v>907</v>
      </c>
      <c r="AS564" s="190"/>
      <c r="AT564" s="190"/>
      <c r="AU564" s="190"/>
      <c r="AV564" s="190"/>
      <c r="AW564" s="190"/>
      <c r="AX564" s="279" t="str">
        <f t="shared" si="223"/>
        <v/>
      </c>
    </row>
    <row r="565" spans="1:50" x14ac:dyDescent="0.25">
      <c r="A565" s="190" t="str">
        <f t="shared" si="204"/>
        <v/>
      </c>
      <c r="B565" s="279" t="str">
        <f t="shared" si="207"/>
        <v>400-63134</v>
      </c>
      <c r="C565" s="279"/>
      <c r="D565" s="279"/>
      <c r="E565" s="279">
        <f t="shared" si="209"/>
        <v>1</v>
      </c>
      <c r="F565" s="190" t="s">
        <v>535</v>
      </c>
      <c r="G565" s="198">
        <v>44674</v>
      </c>
      <c r="H565" s="205"/>
      <c r="I565" s="205"/>
      <c r="J565" s="205" t="s">
        <v>402</v>
      </c>
      <c r="K565" s="205" t="s">
        <v>2765</v>
      </c>
      <c r="L565" s="205" t="s">
        <v>27</v>
      </c>
      <c r="M565" s="200" t="s">
        <v>558</v>
      </c>
      <c r="N565" s="200"/>
      <c r="O565" s="230"/>
      <c r="P565" s="230"/>
      <c r="Q565" s="231" t="str">
        <f t="shared" si="222"/>
        <v>. Valve Body</v>
      </c>
      <c r="R565" s="231"/>
      <c r="S565" s="231" t="str">
        <f t="shared" si="211"/>
        <v/>
      </c>
      <c r="T565" s="231" t="str">
        <f>IF(O565&lt;&gt;"",_xlfn.XLOOKUP(O565,'3D. Pictures'!B:B,'3D. Pictures'!E:E,"NOT FOUND",0,1),"")</f>
        <v/>
      </c>
      <c r="U565" s="200"/>
      <c r="V565" s="201"/>
      <c r="W565" s="200"/>
      <c r="X565" s="201"/>
      <c r="Y565"/>
      <c r="Z565" s="201"/>
      <c r="AA565" s="205" t="s">
        <v>27</v>
      </c>
      <c r="AB565" s="205" t="s">
        <v>27</v>
      </c>
      <c r="AC565" s="358" t="str">
        <f t="shared" si="210"/>
        <v/>
      </c>
      <c r="AD565" s="205"/>
      <c r="AE565" s="205"/>
      <c r="AF565" s="201" t="s">
        <v>543</v>
      </c>
      <c r="AG565" s="205"/>
      <c r="AH565" s="16">
        <v>650</v>
      </c>
      <c r="AI565" s="380">
        <f t="shared" si="212"/>
        <v>650</v>
      </c>
      <c r="AJ565" s="204" t="s">
        <v>408</v>
      </c>
      <c r="AK565" s="204" t="s">
        <v>425</v>
      </c>
      <c r="AL565" s="204" t="s">
        <v>2175</v>
      </c>
      <c r="AM565" s="190"/>
      <c r="AN565" s="191">
        <v>400</v>
      </c>
      <c r="AO565" s="190" t="s">
        <v>572</v>
      </c>
      <c r="AP565" s="190">
        <v>63134</v>
      </c>
      <c r="AQ565" s="190" t="str">
        <f t="shared" si="228"/>
        <v>400-63134</v>
      </c>
      <c r="AR565" s="190" t="s">
        <v>904</v>
      </c>
      <c r="AS565" s="190"/>
      <c r="AT565" s="190"/>
      <c r="AU565" s="190"/>
      <c r="AV565" s="190"/>
      <c r="AW565" s="190"/>
      <c r="AX565" s="279" t="str">
        <f t="shared" si="223"/>
        <v/>
      </c>
    </row>
    <row r="566" spans="1:50" ht="15.75" thickBot="1" x14ac:dyDescent="0.3">
      <c r="A566" s="190" t="str">
        <f t="shared" si="204"/>
        <v/>
      </c>
      <c r="B566" s="279" t="str">
        <f t="shared" si="207"/>
        <v>400-62835</v>
      </c>
      <c r="C566" s="279"/>
      <c r="D566" s="279"/>
      <c r="E566" s="279">
        <f t="shared" si="209"/>
        <v>1</v>
      </c>
      <c r="F566" s="190" t="s">
        <v>535</v>
      </c>
      <c r="G566" s="198">
        <v>44674</v>
      </c>
      <c r="H566" s="205"/>
      <c r="I566" s="205"/>
      <c r="J566" s="205" t="s">
        <v>402</v>
      </c>
      <c r="K566" s="205" t="s">
        <v>2765</v>
      </c>
      <c r="L566" s="205" t="s">
        <v>27</v>
      </c>
      <c r="M566" s="200" t="s">
        <v>558</v>
      </c>
      <c r="N566" s="200"/>
      <c r="O566" s="230"/>
      <c r="P566" s="230"/>
      <c r="Q566" s="231" t="str">
        <f t="shared" si="222"/>
        <v>. Valve Body</v>
      </c>
      <c r="R566" s="231"/>
      <c r="S566" s="231" t="str">
        <f t="shared" si="211"/>
        <v/>
      </c>
      <c r="T566" s="231" t="str">
        <f>IF(O566&lt;&gt;"",_xlfn.XLOOKUP(O566,'3D. Pictures'!B:B,'3D. Pictures'!E:E,"NOT FOUND",0,1),"")</f>
        <v/>
      </c>
      <c r="U566" s="200"/>
      <c r="V566" s="201"/>
      <c r="W566" s="200"/>
      <c r="X566" s="201"/>
      <c r="Y566"/>
      <c r="Z566" s="201"/>
      <c r="AA566" s="205" t="s">
        <v>27</v>
      </c>
      <c r="AB566" s="205" t="s">
        <v>27</v>
      </c>
      <c r="AC566" s="358" t="str">
        <f t="shared" si="210"/>
        <v/>
      </c>
      <c r="AD566" s="205"/>
      <c r="AE566" s="205"/>
      <c r="AF566" s="201" t="s">
        <v>543</v>
      </c>
      <c r="AG566" s="205"/>
      <c r="AH566" s="16">
        <v>650</v>
      </c>
      <c r="AI566" s="380">
        <f t="shared" si="212"/>
        <v>650</v>
      </c>
      <c r="AJ566" s="204" t="s">
        <v>408</v>
      </c>
      <c r="AK566" s="204" t="s">
        <v>425</v>
      </c>
      <c r="AL566" s="204" t="s">
        <v>2175</v>
      </c>
      <c r="AM566" s="190"/>
      <c r="AN566" s="191">
        <v>400</v>
      </c>
      <c r="AO566" s="190" t="s">
        <v>572</v>
      </c>
      <c r="AP566" s="190">
        <v>62835</v>
      </c>
      <c r="AQ566" s="190" t="str">
        <f t="shared" si="228"/>
        <v>400-62835</v>
      </c>
      <c r="AR566" s="190" t="s">
        <v>908</v>
      </c>
      <c r="AS566" s="190"/>
      <c r="AT566" s="190"/>
      <c r="AU566" s="190"/>
      <c r="AV566" s="190"/>
      <c r="AW566" s="190"/>
      <c r="AX566" s="279" t="str">
        <f t="shared" si="223"/>
        <v/>
      </c>
    </row>
    <row r="567" spans="1:50" ht="15.75" thickBot="1" x14ac:dyDescent="0.3">
      <c r="A567" s="190" t="str">
        <f t="shared" si="204"/>
        <v>A96</v>
      </c>
      <c r="B567" s="279" t="str">
        <f t="shared" si="207"/>
        <v>400-62777</v>
      </c>
      <c r="C567" s="279"/>
      <c r="D567" s="279"/>
      <c r="E567" s="279">
        <f t="shared" si="209"/>
        <v>1</v>
      </c>
      <c r="F567" s="190" t="s">
        <v>535</v>
      </c>
      <c r="G567" s="198">
        <v>44674</v>
      </c>
      <c r="H567" s="205"/>
      <c r="I567" s="205"/>
      <c r="J567" s="205" t="s">
        <v>402</v>
      </c>
      <c r="K567" s="205" t="s">
        <v>2765</v>
      </c>
      <c r="L567" s="205" t="s">
        <v>27</v>
      </c>
      <c r="M567" s="200" t="s">
        <v>558</v>
      </c>
      <c r="N567" s="200">
        <v>86</v>
      </c>
      <c r="O567" s="230" t="s">
        <v>998</v>
      </c>
      <c r="P567" s="230" t="s">
        <v>1300</v>
      </c>
      <c r="Q567" s="231" t="str">
        <f t="shared" si="222"/>
        <v>A96. Valve Body</v>
      </c>
      <c r="R567" s="284" t="str">
        <f>HYPERLINK(VLOOKUP(O567,'3D. Pictures'!$B$3:$E$500,4,FALSE),"PIC")</f>
        <v>PIC</v>
      </c>
      <c r="S567" s="373" t="str">
        <f t="shared" si="211"/>
        <v>E.G.</v>
      </c>
      <c r="T567" s="377" t="str">
        <f>IF(O567&lt;&gt;"",_xlfn.XLOOKUP(O567,'3D. Pictures'!B:B,'3D. Pictures'!E:E,"NOT FOUND",0,1),"")</f>
        <v>https://viking-pictures.s3.us-west-1.amazonaws.com/AA1155/A96.+Valve+Body+(1).JPG</v>
      </c>
      <c r="U567" s="200">
        <v>6</v>
      </c>
      <c r="V567" s="274" t="s">
        <v>1315</v>
      </c>
      <c r="W567" s="200" t="s">
        <v>112</v>
      </c>
      <c r="X567" s="201"/>
      <c r="Y567"/>
      <c r="Z567" s="201"/>
      <c r="AA567" s="205" t="s">
        <v>27</v>
      </c>
      <c r="AB567" s="205" t="s">
        <v>27</v>
      </c>
      <c r="AC567" s="358" t="str">
        <f t="shared" si="210"/>
        <v/>
      </c>
      <c r="AD567" s="205"/>
      <c r="AE567" s="205"/>
      <c r="AF567" s="201" t="s">
        <v>543</v>
      </c>
      <c r="AG567" s="205"/>
      <c r="AH567" s="16">
        <v>650</v>
      </c>
      <c r="AI567" s="380">
        <f t="shared" si="212"/>
        <v>650</v>
      </c>
      <c r="AJ567" s="204" t="s">
        <v>408</v>
      </c>
      <c r="AK567" s="204" t="s">
        <v>425</v>
      </c>
      <c r="AL567" s="204" t="s">
        <v>2175</v>
      </c>
      <c r="AM567" s="190"/>
      <c r="AN567" s="191">
        <v>400</v>
      </c>
      <c r="AO567" s="190" t="s">
        <v>572</v>
      </c>
      <c r="AP567" s="190">
        <v>62777</v>
      </c>
      <c r="AQ567" s="190" t="str">
        <f t="shared" si="228"/>
        <v>400-62777</v>
      </c>
      <c r="AR567" s="190" t="s">
        <v>909</v>
      </c>
      <c r="AS567" s="190"/>
      <c r="AT567" s="190"/>
      <c r="AU567" s="190"/>
      <c r="AV567" s="190"/>
      <c r="AW567" s="190"/>
      <c r="AX567" s="279" t="str">
        <f t="shared" si="223"/>
        <v/>
      </c>
    </row>
    <row r="568" spans="1:50" x14ac:dyDescent="0.25">
      <c r="A568" s="190" t="str">
        <f t="shared" si="204"/>
        <v/>
      </c>
      <c r="B568" s="279" t="str">
        <f t="shared" si="207"/>
        <v>400-62722</v>
      </c>
      <c r="C568" s="279"/>
      <c r="D568" s="279"/>
      <c r="E568" s="279">
        <f t="shared" si="209"/>
        <v>1</v>
      </c>
      <c r="F568" s="190" t="s">
        <v>535</v>
      </c>
      <c r="G568" s="198">
        <v>44674</v>
      </c>
      <c r="H568" s="205"/>
      <c r="I568" s="205"/>
      <c r="J568" s="205" t="s">
        <v>402</v>
      </c>
      <c r="K568" s="205" t="s">
        <v>2765</v>
      </c>
      <c r="L568" s="205" t="s">
        <v>27</v>
      </c>
      <c r="M568" s="200" t="s">
        <v>558</v>
      </c>
      <c r="N568" s="200"/>
      <c r="O568" s="230"/>
      <c r="P568" s="230"/>
      <c r="Q568" s="231" t="str">
        <f t="shared" si="222"/>
        <v>. Valve Body</v>
      </c>
      <c r="R568" s="231"/>
      <c r="S568" s="231" t="str">
        <f t="shared" si="211"/>
        <v/>
      </c>
      <c r="T568" s="231" t="str">
        <f>IF(O568&lt;&gt;"",_xlfn.XLOOKUP(O568,'3D. Pictures'!B:B,'3D. Pictures'!E:E,"NOT FOUND",0,1),"")</f>
        <v/>
      </c>
      <c r="U568" s="200"/>
      <c r="V568" s="201"/>
      <c r="W568" s="200"/>
      <c r="X568" s="201"/>
      <c r="Y568"/>
      <c r="Z568" s="201"/>
      <c r="AA568" s="205" t="s">
        <v>27</v>
      </c>
      <c r="AB568" s="205" t="s">
        <v>27</v>
      </c>
      <c r="AC568" s="358" t="str">
        <f t="shared" si="210"/>
        <v/>
      </c>
      <c r="AD568" s="205"/>
      <c r="AE568" s="205"/>
      <c r="AF568" s="201" t="s">
        <v>543</v>
      </c>
      <c r="AG568" s="205"/>
      <c r="AH568" s="16">
        <v>650</v>
      </c>
      <c r="AI568" s="380">
        <f t="shared" si="212"/>
        <v>650</v>
      </c>
      <c r="AJ568" s="204" t="s">
        <v>408</v>
      </c>
      <c r="AK568" s="204" t="s">
        <v>425</v>
      </c>
      <c r="AL568" s="204" t="s">
        <v>2175</v>
      </c>
      <c r="AM568" s="190"/>
      <c r="AN568" s="191">
        <v>400</v>
      </c>
      <c r="AO568" s="190" t="s">
        <v>572</v>
      </c>
      <c r="AP568" s="190">
        <v>62722</v>
      </c>
      <c r="AQ568" s="190" t="str">
        <f t="shared" si="228"/>
        <v>400-62722</v>
      </c>
      <c r="AR568" s="190" t="s">
        <v>910</v>
      </c>
      <c r="AS568" s="190"/>
      <c r="AT568" s="190"/>
      <c r="AU568" s="190"/>
      <c r="AV568" s="190"/>
      <c r="AW568" s="190"/>
      <c r="AX568" s="279" t="str">
        <f t="shared" si="223"/>
        <v/>
      </c>
    </row>
    <row r="569" spans="1:50" x14ac:dyDescent="0.25">
      <c r="A569" s="190" t="str">
        <f t="shared" si="204"/>
        <v/>
      </c>
      <c r="B569" s="279" t="str">
        <f t="shared" si="207"/>
        <v/>
      </c>
      <c r="C569" s="279"/>
      <c r="D569" s="279"/>
      <c r="E569" s="279" t="str">
        <f t="shared" si="209"/>
        <v/>
      </c>
      <c r="F569" t="s">
        <v>535</v>
      </c>
      <c r="G569" s="188">
        <v>44670</v>
      </c>
      <c r="H569" s="10"/>
      <c r="I569" s="10"/>
      <c r="J569" s="10" t="s">
        <v>2771</v>
      </c>
      <c r="K569" s="10" t="s">
        <v>2765</v>
      </c>
      <c r="L569" s="10" t="s">
        <v>375</v>
      </c>
      <c r="M569" s="170" t="s">
        <v>558</v>
      </c>
      <c r="N569" s="170"/>
      <c r="O569" s="237"/>
      <c r="P569" s="237"/>
      <c r="Q569" s="231" t="str">
        <f t="shared" si="222"/>
        <v xml:space="preserve">. Transmission Assembly </v>
      </c>
      <c r="R569" s="231"/>
      <c r="S569" s="231" t="str">
        <f t="shared" si="211"/>
        <v/>
      </c>
      <c r="T569" s="231" t="str">
        <f>IF(O569&lt;&gt;"",_xlfn.XLOOKUP(O569,'3D. Pictures'!B:B,'3D. Pictures'!E:E,"NOT FOUND",0,1),"")</f>
        <v/>
      </c>
      <c r="U569" s="170"/>
      <c r="V569" s="168"/>
      <c r="W569" s="170"/>
      <c r="X569" s="168"/>
      <c r="Y569"/>
      <c r="Z569" s="168"/>
      <c r="AA569" s="10" t="s">
        <v>375</v>
      </c>
      <c r="AB569" s="10" t="s">
        <v>375</v>
      </c>
      <c r="AC569" s="359" t="str">
        <f t="shared" si="210"/>
        <v/>
      </c>
      <c r="AD569" s="10"/>
      <c r="AE569" s="10"/>
      <c r="AF569" s="168" t="s">
        <v>543</v>
      </c>
      <c r="AG569" s="16"/>
      <c r="AH569" s="10"/>
      <c r="AI569" s="380" t="str">
        <f t="shared" si="212"/>
        <v/>
      </c>
      <c r="AJ569" s="3" t="s">
        <v>2177</v>
      </c>
      <c r="AK569" s="3" t="s">
        <v>425</v>
      </c>
      <c r="AL569" s="204" t="s">
        <v>2177</v>
      </c>
      <c r="AN569" s="176"/>
      <c r="AO569" t="s">
        <v>572</v>
      </c>
      <c r="AP569" s="176"/>
      <c r="AQ569" s="176"/>
      <c r="AR569" s="176"/>
      <c r="AS569" s="176"/>
      <c r="AT569" s="176"/>
      <c r="AU569" s="176"/>
      <c r="AV569" s="176"/>
      <c r="AW569" s="176"/>
      <c r="AX569" s="279" t="str">
        <f t="shared" si="223"/>
        <v/>
      </c>
    </row>
    <row r="570" spans="1:50" x14ac:dyDescent="0.25">
      <c r="A570" s="190" t="str">
        <f t="shared" si="204"/>
        <v/>
      </c>
      <c r="B570" s="279" t="str">
        <f t="shared" si="207"/>
        <v/>
      </c>
      <c r="C570" s="279"/>
      <c r="D570" s="279"/>
      <c r="E570" s="279" t="str">
        <f t="shared" si="209"/>
        <v/>
      </c>
      <c r="F570" t="s">
        <v>535</v>
      </c>
      <c r="G570" s="188">
        <v>44674</v>
      </c>
      <c r="H570" s="10"/>
      <c r="I570" s="10"/>
      <c r="J570" s="10" t="s">
        <v>405</v>
      </c>
      <c r="K570" s="10" t="s">
        <v>2765</v>
      </c>
      <c r="L570" s="10" t="s">
        <v>2644</v>
      </c>
      <c r="M570" s="16" t="s">
        <v>559</v>
      </c>
      <c r="N570" s="16"/>
      <c r="O570" s="166"/>
      <c r="P570" s="166"/>
      <c r="Q570" s="231" t="str">
        <f t="shared" si="222"/>
        <v>. Guibos</v>
      </c>
      <c r="R570" s="231"/>
      <c r="S570" s="231" t="str">
        <f t="shared" si="211"/>
        <v/>
      </c>
      <c r="T570" s="231" t="str">
        <f>IF(O570&lt;&gt;"",_xlfn.XLOOKUP(O570,'3D. Pictures'!B:B,'3D. Pictures'!E:E,"NOT FOUND",0,1),"")</f>
        <v/>
      </c>
      <c r="U570" s="16"/>
      <c r="V570" s="16"/>
      <c r="W570" s="16"/>
      <c r="X570" s="16"/>
      <c r="Y570"/>
      <c r="Z570" s="16"/>
      <c r="AA570" s="10" t="s">
        <v>2644</v>
      </c>
      <c r="AB570" s="10" t="s">
        <v>2644</v>
      </c>
      <c r="AC570" s="359" t="str">
        <f t="shared" si="210"/>
        <v>TOSS ALL</v>
      </c>
      <c r="AD570" s="10" t="s">
        <v>2575</v>
      </c>
      <c r="AE570" s="10"/>
      <c r="AF570" s="168" t="s">
        <v>543</v>
      </c>
      <c r="AG570" s="10"/>
      <c r="AH570" s="10"/>
      <c r="AI570" s="380" t="str">
        <f t="shared" si="212"/>
        <v/>
      </c>
      <c r="AJ570" s="3" t="s">
        <v>408</v>
      </c>
      <c r="AK570" s="3" t="s">
        <v>425</v>
      </c>
      <c r="AL570" s="204" t="s">
        <v>2175</v>
      </c>
      <c r="AN570"/>
      <c r="AX570" s="279" t="str">
        <f t="shared" si="223"/>
        <v/>
      </c>
    </row>
    <row r="571" spans="1:50" x14ac:dyDescent="0.25">
      <c r="A571" s="190" t="str">
        <f t="shared" si="204"/>
        <v/>
      </c>
      <c r="B571" s="279" t="str">
        <f t="shared" si="207"/>
        <v/>
      </c>
      <c r="C571" s="279"/>
      <c r="D571" s="279"/>
      <c r="E571" s="279" t="str">
        <f t="shared" si="209"/>
        <v/>
      </c>
      <c r="F571" t="s">
        <v>535</v>
      </c>
      <c r="G571" s="188">
        <v>44674</v>
      </c>
      <c r="H571" s="10"/>
      <c r="I571" s="10"/>
      <c r="J571" s="10" t="s">
        <v>405</v>
      </c>
      <c r="K571" s="10" t="s">
        <v>2765</v>
      </c>
      <c r="L571" s="10" t="s">
        <v>38</v>
      </c>
      <c r="M571" s="189" t="s">
        <v>563</v>
      </c>
      <c r="N571" s="189"/>
      <c r="O571" s="233"/>
      <c r="P571" s="233"/>
      <c r="Q571" s="231" t="str">
        <f t="shared" si="222"/>
        <v>. Oil Pan, Transmission</v>
      </c>
      <c r="R571" s="231"/>
      <c r="S571" s="231" t="str">
        <f t="shared" si="211"/>
        <v/>
      </c>
      <c r="T571" s="231" t="str">
        <f>IF(O571&lt;&gt;"",_xlfn.XLOOKUP(O571,'3D. Pictures'!B:B,'3D. Pictures'!E:E,"NOT FOUND",0,1),"")</f>
        <v/>
      </c>
      <c r="U571" s="189"/>
      <c r="V571" s="168"/>
      <c r="W571" s="189"/>
      <c r="X571" s="168"/>
      <c r="Y571"/>
      <c r="Z571" s="168"/>
      <c r="AA571" s="10" t="s">
        <v>38</v>
      </c>
      <c r="AB571" s="10" t="s">
        <v>38</v>
      </c>
      <c r="AC571" s="359" t="str">
        <f t="shared" si="210"/>
        <v/>
      </c>
      <c r="AD571" s="10"/>
      <c r="AE571" s="10"/>
      <c r="AF571" s="168" t="s">
        <v>543</v>
      </c>
      <c r="AG571" s="10"/>
      <c r="AH571" s="10"/>
      <c r="AI571" s="380" t="str">
        <f t="shared" si="212"/>
        <v/>
      </c>
      <c r="AJ571" s="3" t="s">
        <v>408</v>
      </c>
      <c r="AK571" s="3" t="s">
        <v>425</v>
      </c>
      <c r="AL571" s="204" t="s">
        <v>2175</v>
      </c>
      <c r="AN571"/>
      <c r="AO571" t="s">
        <v>572</v>
      </c>
      <c r="AX571" s="279" t="str">
        <f t="shared" si="223"/>
        <v/>
      </c>
    </row>
    <row r="572" spans="1:50" ht="15.75" thickBot="1" x14ac:dyDescent="0.3">
      <c r="A572" s="190" t="str">
        <f t="shared" si="204"/>
        <v/>
      </c>
      <c r="B572" s="279" t="str">
        <f t="shared" si="207"/>
        <v/>
      </c>
      <c r="C572" s="279"/>
      <c r="D572" s="279"/>
      <c r="E572" s="279" t="str">
        <f t="shared" si="209"/>
        <v/>
      </c>
      <c r="F572" t="s">
        <v>536</v>
      </c>
      <c r="G572" s="188">
        <v>44683</v>
      </c>
      <c r="H572" s="16"/>
      <c r="I572" s="16"/>
      <c r="J572" s="10" t="s">
        <v>405</v>
      </c>
      <c r="K572" s="10" t="s">
        <v>2765</v>
      </c>
      <c r="L572" s="10" t="s">
        <v>2707</v>
      </c>
      <c r="M572" s="16" t="s">
        <v>559</v>
      </c>
      <c r="N572" s="16"/>
      <c r="O572" s="166"/>
      <c r="P572" s="166"/>
      <c r="Q572" s="231" t="str">
        <f t="shared" si="222"/>
        <v>. Transmission Crossmember Mount Bracket</v>
      </c>
      <c r="R572" s="231"/>
      <c r="S572" s="231" t="str">
        <f t="shared" si="211"/>
        <v/>
      </c>
      <c r="T572" s="231" t="str">
        <f>IF(O572&lt;&gt;"",_xlfn.XLOOKUP(O572,'3D. Pictures'!B:B,'3D. Pictures'!E:E,"NOT FOUND",0,1),"")</f>
        <v/>
      </c>
      <c r="U572" s="16"/>
      <c r="V572" s="16"/>
      <c r="W572" s="16"/>
      <c r="X572" s="16"/>
      <c r="Y572"/>
      <c r="Z572" s="16"/>
      <c r="AA572" s="10" t="s">
        <v>55</v>
      </c>
      <c r="AB572" s="10" t="s">
        <v>55</v>
      </c>
      <c r="AC572" s="359" t="str">
        <f t="shared" si="210"/>
        <v/>
      </c>
      <c r="AD572" s="10"/>
      <c r="AE572" s="10"/>
      <c r="AF572" s="168" t="s">
        <v>543</v>
      </c>
      <c r="AG572" s="177"/>
      <c r="AH572" s="16"/>
      <c r="AI572" s="380" t="str">
        <f t="shared" si="212"/>
        <v/>
      </c>
      <c r="AJ572" s="3" t="s">
        <v>408</v>
      </c>
      <c r="AK572" s="3" t="s">
        <v>425</v>
      </c>
      <c r="AL572" s="204" t="s">
        <v>2175</v>
      </c>
      <c r="AN572"/>
      <c r="AX572" s="279" t="str">
        <f t="shared" si="223"/>
        <v/>
      </c>
    </row>
    <row r="573" spans="1:50" ht="15.75" thickBot="1" x14ac:dyDescent="0.3">
      <c r="A573" s="190" t="str">
        <f t="shared" si="204"/>
        <v>A39</v>
      </c>
      <c r="B573" s="279" t="str">
        <f t="shared" si="207"/>
        <v/>
      </c>
      <c r="C573" s="279"/>
      <c r="D573" s="279"/>
      <c r="E573" s="279" t="str">
        <f t="shared" si="209"/>
        <v/>
      </c>
      <c r="F573" s="241" t="s">
        <v>535</v>
      </c>
      <c r="G573" s="242">
        <v>45217</v>
      </c>
      <c r="H573" s="243"/>
      <c r="I573" s="243"/>
      <c r="J573" s="243" t="s">
        <v>402</v>
      </c>
      <c r="K573" s="243" t="s">
        <v>48</v>
      </c>
      <c r="L573" s="243" t="s">
        <v>2718</v>
      </c>
      <c r="M573" s="243" t="s">
        <v>559</v>
      </c>
      <c r="N573" s="243">
        <v>29</v>
      </c>
      <c r="O573" s="244" t="s">
        <v>941</v>
      </c>
      <c r="P573" s="244" t="s">
        <v>1168</v>
      </c>
      <c r="Q573" s="231" t="str">
        <f t="shared" si="222"/>
        <v>A39. Trunk Latch WITH Soft Close Actuator Motor &amp; Cables</v>
      </c>
      <c r="R573" s="284" t="str">
        <f>HYPERLINK(VLOOKUP(O573,'3D. Pictures'!$B$3:$E$500,4,FALSE),"PIC")</f>
        <v>PIC</v>
      </c>
      <c r="S573" s="373" t="str">
        <f t="shared" si="211"/>
        <v>E.G.</v>
      </c>
      <c r="T573" s="377" t="str">
        <f>IF(O573&lt;&gt;"",_xlfn.XLOOKUP(O573,'3D. Pictures'!B:B,'3D. Pictures'!E:E,"NOT FOUND",0,1),"")</f>
        <v>https://viking-pictures.s3.us-west-1.amazonaws.com/AA1155/A39.+Trunk+Latch+WITH+Soft+Close+Actuator+Motor+%26+Cables+(1).JPG</v>
      </c>
      <c r="U573" s="243">
        <v>7</v>
      </c>
      <c r="V573" s="243" t="s">
        <v>1368</v>
      </c>
      <c r="W573" s="243" t="s">
        <v>112</v>
      </c>
      <c r="X573" s="243"/>
      <c r="Y573"/>
      <c r="Z573" s="243"/>
      <c r="AA573" s="243" t="s">
        <v>1191</v>
      </c>
      <c r="AB573" s="243" t="s">
        <v>1191</v>
      </c>
      <c r="AC573" s="358" t="str">
        <f t="shared" si="210"/>
        <v/>
      </c>
      <c r="AD573" s="243"/>
      <c r="AE573" s="243"/>
      <c r="AF573" s="179" t="s">
        <v>542</v>
      </c>
      <c r="AG573" s="243"/>
      <c r="AH573" s="16">
        <v>150</v>
      </c>
      <c r="AI573" s="380">
        <f t="shared" si="212"/>
        <v>150</v>
      </c>
      <c r="AJ573" s="246" t="s">
        <v>408</v>
      </c>
      <c r="AK573" s="246" t="s">
        <v>425</v>
      </c>
      <c r="AL573" s="204" t="s">
        <v>2175</v>
      </c>
      <c r="AM573" s="241"/>
      <c r="AN573" s="241"/>
      <c r="AO573" s="241"/>
      <c r="AP573" s="241"/>
      <c r="AQ573" s="241"/>
      <c r="AR573" s="241"/>
      <c r="AS573" s="241" t="s">
        <v>1028</v>
      </c>
      <c r="AT573" s="241" t="s">
        <v>1029</v>
      </c>
      <c r="AU573" s="241" t="s">
        <v>1030</v>
      </c>
      <c r="AV573" s="303" t="str">
        <f t="shared" ref="AV573" si="229">CONCATENATE(AS573,"-",AT573,"-",AU573)</f>
        <v>F15-14-18-ALL</v>
      </c>
      <c r="AW573" s="241" t="s">
        <v>2440</v>
      </c>
      <c r="AX573" s="279" t="str">
        <f t="shared" si="223"/>
        <v>F15-14-18-ALL-Viking74</v>
      </c>
    </row>
    <row r="574" spans="1:50" x14ac:dyDescent="0.25">
      <c r="A574" s="190" t="str">
        <f t="shared" si="204"/>
        <v/>
      </c>
      <c r="B574" s="279" t="str">
        <f t="shared" si="207"/>
        <v/>
      </c>
      <c r="C574" s="279"/>
      <c r="D574" s="279"/>
      <c r="E574" s="279" t="str">
        <f t="shared" si="209"/>
        <v/>
      </c>
      <c r="F574" t="s">
        <v>536</v>
      </c>
      <c r="G574" s="188">
        <v>45099</v>
      </c>
      <c r="H574" s="99"/>
      <c r="I574" s="168" t="s">
        <v>7</v>
      </c>
      <c r="J574" s="168" t="s">
        <v>402</v>
      </c>
      <c r="K574" s="168" t="s">
        <v>48</v>
      </c>
      <c r="L574" s="168" t="s">
        <v>2718</v>
      </c>
      <c r="M574" s="16" t="s">
        <v>559</v>
      </c>
      <c r="N574" s="16"/>
      <c r="O574" s="166"/>
      <c r="P574" s="166"/>
      <c r="Q574" s="231" t="str">
        <f t="shared" si="222"/>
        <v>. Trunk Handle (WITH Camera Slot)</v>
      </c>
      <c r="R574" s="231"/>
      <c r="S574" s="231" t="str">
        <f t="shared" si="211"/>
        <v/>
      </c>
      <c r="T574" s="231" t="str">
        <f>IF(O574&lt;&gt;"",_xlfn.XLOOKUP(O574,'3D. Pictures'!B:B,'3D. Pictures'!E:E,"NOT FOUND",0,1),"")</f>
        <v/>
      </c>
      <c r="U574" s="16"/>
      <c r="V574" s="16"/>
      <c r="W574" s="16"/>
      <c r="X574" s="16"/>
      <c r="Y574"/>
      <c r="Z574" s="16"/>
      <c r="AA574" s="168" t="s">
        <v>2646</v>
      </c>
      <c r="AB574" s="168" t="s">
        <v>2646</v>
      </c>
      <c r="AC574" s="247" t="str">
        <f t="shared" si="210"/>
        <v>remove camera &amp; sell solo, toss one w/o camera slot</v>
      </c>
      <c r="AD574" s="168" t="s">
        <v>2645</v>
      </c>
      <c r="AE574" s="168"/>
      <c r="AF574" s="168" t="s">
        <v>543</v>
      </c>
      <c r="AG574" s="168"/>
      <c r="AH574" s="168">
        <v>58</v>
      </c>
      <c r="AI574" s="380">
        <f t="shared" si="212"/>
        <v>58</v>
      </c>
      <c r="AJ574" s="3" t="s">
        <v>408</v>
      </c>
      <c r="AK574" s="3" t="s">
        <v>425</v>
      </c>
      <c r="AL574" s="204" t="s">
        <v>2175</v>
      </c>
      <c r="AM574" s="138"/>
      <c r="AN574"/>
      <c r="AX574" s="279" t="str">
        <f t="shared" si="223"/>
        <v/>
      </c>
    </row>
    <row r="575" spans="1:50" ht="15.75" thickBot="1" x14ac:dyDescent="0.3">
      <c r="A575" s="190" t="str">
        <f t="shared" ref="A575" si="230">IF(O575&lt;&gt;"",O575,"")</f>
        <v/>
      </c>
      <c r="B575" s="279" t="str">
        <f t="shared" ref="B575" si="231">IF(AQ575&lt;&gt;"",AQ575,"")</f>
        <v/>
      </c>
      <c r="C575" s="279"/>
      <c r="D575" s="279"/>
      <c r="E575" s="279" t="str">
        <f t="shared" si="209"/>
        <v/>
      </c>
      <c r="F575" t="s">
        <v>536</v>
      </c>
      <c r="G575" s="188">
        <v>45099</v>
      </c>
      <c r="H575" s="160"/>
      <c r="I575" s="172"/>
      <c r="J575" s="172" t="s">
        <v>405</v>
      </c>
      <c r="K575" s="172" t="s">
        <v>48</v>
      </c>
      <c r="L575" s="172" t="s">
        <v>2718</v>
      </c>
      <c r="M575" s="10" t="s">
        <v>559</v>
      </c>
      <c r="N575" s="10"/>
      <c r="O575" s="15"/>
      <c r="P575" s="15"/>
      <c r="Q575" s="270" t="str">
        <f t="shared" ref="Q575:Q605" si="232">CONCATENATE(O575,". ",AB575)</f>
        <v>. Trunk Handle (WITHOUT Camera Slot)</v>
      </c>
      <c r="R575" s="270"/>
      <c r="S575" s="270" t="str">
        <f t="shared" si="211"/>
        <v/>
      </c>
      <c r="T575" s="270" t="str">
        <f>IF(O575&lt;&gt;"",_xlfn.XLOOKUP(O575,'3D. Pictures'!B:B,'3D. Pictures'!E:E,"NOT FOUND",0,1),"")</f>
        <v/>
      </c>
      <c r="U575" s="10"/>
      <c r="V575" s="10"/>
      <c r="W575" s="10"/>
      <c r="X575" s="10"/>
      <c r="Y575"/>
      <c r="Z575" s="10"/>
      <c r="AA575" s="172" t="s">
        <v>2647</v>
      </c>
      <c r="AB575" s="172" t="s">
        <v>2647</v>
      </c>
      <c r="AC575" s="361" t="str">
        <f t="shared" si="210"/>
        <v>keep one with camera slot &amp; sell camera solo</v>
      </c>
      <c r="AD575" s="172" t="s">
        <v>2648</v>
      </c>
      <c r="AE575" s="172"/>
      <c r="AF575" s="172" t="s">
        <v>543</v>
      </c>
      <c r="AG575" s="172"/>
      <c r="AH575" s="172"/>
      <c r="AI575" s="380" t="str">
        <f t="shared" si="212"/>
        <v/>
      </c>
      <c r="AJ575" s="3" t="s">
        <v>408</v>
      </c>
      <c r="AK575" s="3" t="s">
        <v>425</v>
      </c>
      <c r="AL575" s="204" t="s">
        <v>2175</v>
      </c>
      <c r="AM575" s="138"/>
      <c r="AN575"/>
      <c r="AX575" s="279" t="str">
        <f t="shared" ref="AX575" si="233">IF(AW575&lt;&gt;"",_xlfn.TEXTJOIN("-",TRUE,AV575,AW575),"")</f>
        <v/>
      </c>
    </row>
    <row r="576" spans="1:50" ht="15.75" thickBot="1" x14ac:dyDescent="0.3">
      <c r="A576" s="190" t="str">
        <f t="shared" si="204"/>
        <v>A31</v>
      </c>
      <c r="B576" s="279" t="str">
        <f t="shared" si="207"/>
        <v/>
      </c>
      <c r="C576" s="279"/>
      <c r="D576" s="279"/>
      <c r="E576" s="279" t="str">
        <f t="shared" si="209"/>
        <v/>
      </c>
      <c r="F576" s="241" t="s">
        <v>535</v>
      </c>
      <c r="G576" s="242">
        <v>44684</v>
      </c>
      <c r="H576" s="243"/>
      <c r="I576" s="243"/>
      <c r="J576" s="243" t="s">
        <v>402</v>
      </c>
      <c r="K576" s="243" t="s">
        <v>48</v>
      </c>
      <c r="L576" s="243" t="s">
        <v>1377</v>
      </c>
      <c r="M576" s="243" t="s">
        <v>559</v>
      </c>
      <c r="N576" s="243">
        <v>21</v>
      </c>
      <c r="O576" s="244" t="s">
        <v>933</v>
      </c>
      <c r="P576" s="244" t="s">
        <v>1168</v>
      </c>
      <c r="Q576" s="231" t="str">
        <f t="shared" si="232"/>
        <v>A31. Battery Cable, NEGATIVE With IBS Module ON</v>
      </c>
      <c r="R576" s="284" t="str">
        <f>HYPERLINK(VLOOKUP(O576,'3D. Pictures'!$B$3:$E$500,4,FALSE),"PIC")</f>
        <v>PIC</v>
      </c>
      <c r="S576" s="373" t="str">
        <f t="shared" si="211"/>
        <v>E.G.</v>
      </c>
      <c r="T576" s="377" t="str">
        <f>IF(O576&lt;&gt;"",_xlfn.XLOOKUP(O576,'3D. Pictures'!B:B,'3D. Pictures'!E:E,"NOT FOUND",0,1),"")</f>
        <v>https://viking-pictures.s3.us-west-1.amazonaws.com/AA1155/A31.+Battery+Cable%2C+NEGATIVE+With+IBS+Module+ON+(1).JPG</v>
      </c>
      <c r="U576" s="243">
        <v>4</v>
      </c>
      <c r="V576" s="243" t="s">
        <v>1184</v>
      </c>
      <c r="W576" s="243" t="s">
        <v>111</v>
      </c>
      <c r="X576" s="243"/>
      <c r="Y576"/>
      <c r="Z576" s="243"/>
      <c r="AA576" s="243" t="s">
        <v>2070</v>
      </c>
      <c r="AB576" s="243" t="s">
        <v>2070</v>
      </c>
      <c r="AC576" s="358" t="str">
        <f t="shared" si="210"/>
        <v>toss both if 1 bad</v>
      </c>
      <c r="AD576" s="243"/>
      <c r="AE576" s="243" t="s">
        <v>1159</v>
      </c>
      <c r="AF576" s="179" t="s">
        <v>543</v>
      </c>
      <c r="AG576" s="243"/>
      <c r="AH576" s="16">
        <v>65</v>
      </c>
      <c r="AI576" s="380">
        <f t="shared" si="212"/>
        <v>65</v>
      </c>
      <c r="AJ576" s="246" t="s">
        <v>408</v>
      </c>
      <c r="AK576" s="246" t="s">
        <v>425</v>
      </c>
      <c r="AL576" s="204" t="s">
        <v>2175</v>
      </c>
      <c r="AM576" s="241"/>
      <c r="AN576" s="241"/>
      <c r="AO576" s="241"/>
      <c r="AP576" s="241"/>
      <c r="AQ576" s="241"/>
      <c r="AR576" s="241"/>
      <c r="AS576" s="241" t="s">
        <v>1028</v>
      </c>
      <c r="AT576" s="241" t="s">
        <v>1029</v>
      </c>
      <c r="AU576" s="241" t="s">
        <v>1030</v>
      </c>
      <c r="AV576" s="303" t="str">
        <f t="shared" ref="AV576:AV578" si="234">CONCATENATE(AS576,"-",AT576,"-",AU576)</f>
        <v>F15-14-18-ALL</v>
      </c>
      <c r="AW576" s="241" t="s">
        <v>2441</v>
      </c>
      <c r="AX576" s="279" t="str">
        <f t="shared" si="223"/>
        <v>F15-14-18-ALL-Viking75</v>
      </c>
    </row>
    <row r="577" spans="1:50" ht="14.25" customHeight="1" thickBot="1" x14ac:dyDescent="0.3">
      <c r="A577" s="190" t="str">
        <f t="shared" si="204"/>
        <v/>
      </c>
      <c r="B577" s="279" t="str">
        <f t="shared" si="207"/>
        <v/>
      </c>
      <c r="C577" s="279"/>
      <c r="D577" s="279"/>
      <c r="E577" s="279" t="str">
        <f t="shared" si="209"/>
        <v/>
      </c>
      <c r="F577" s="241" t="s">
        <v>535</v>
      </c>
      <c r="G577" s="242">
        <v>44683</v>
      </c>
      <c r="H577" s="243"/>
      <c r="I577" s="243"/>
      <c r="J577" s="243" t="s">
        <v>402</v>
      </c>
      <c r="K577" s="243" t="s">
        <v>48</v>
      </c>
      <c r="L577" s="243" t="s">
        <v>1377</v>
      </c>
      <c r="M577" s="243" t="s">
        <v>559</v>
      </c>
      <c r="N577" s="243"/>
      <c r="O577" s="244"/>
      <c r="P577" s="244"/>
      <c r="Q577" s="231" t="str">
        <f t="shared" si="232"/>
        <v>. Battery Cable, POSITIVE &amp; Attached Junction Bracket, THE SMALL ONE</v>
      </c>
      <c r="R577" s="244"/>
      <c r="S577" s="244" t="str">
        <f t="shared" si="211"/>
        <v/>
      </c>
      <c r="T577" s="244" t="str">
        <f>IF(O577&lt;&gt;"",_xlfn.XLOOKUP(O577,'3D. Pictures'!B:B,'3D. Pictures'!E:E,"NOT FOUND",0,1),"")</f>
        <v/>
      </c>
      <c r="U577" s="243"/>
      <c r="V577" s="243"/>
      <c r="W577" s="243"/>
      <c r="X577" s="243"/>
      <c r="Y577"/>
      <c r="Z577" s="243"/>
      <c r="AA577" s="243" t="s">
        <v>1181</v>
      </c>
      <c r="AB577" s="243" t="s">
        <v>1181</v>
      </c>
      <c r="AC577" s="358" t="str">
        <f t="shared" si="210"/>
        <v>short red/black cable w/ black terminal | small one</v>
      </c>
      <c r="AD577" s="243" t="s">
        <v>2802</v>
      </c>
      <c r="AE577" s="243" t="s">
        <v>2803</v>
      </c>
      <c r="AF577" s="179" t="s">
        <v>543</v>
      </c>
      <c r="AG577" s="243"/>
      <c r="AH577" s="16">
        <v>48</v>
      </c>
      <c r="AI577" s="380">
        <f t="shared" si="212"/>
        <v>48</v>
      </c>
      <c r="AJ577" s="246" t="s">
        <v>408</v>
      </c>
      <c r="AK577" s="246" t="s">
        <v>425</v>
      </c>
      <c r="AL577" s="204" t="s">
        <v>2175</v>
      </c>
      <c r="AM577" s="241"/>
      <c r="AN577" s="241"/>
      <c r="AO577" s="241"/>
      <c r="AP577" s="241"/>
      <c r="AQ577" s="241"/>
      <c r="AR577" s="241"/>
      <c r="AS577" s="241" t="s">
        <v>1028</v>
      </c>
      <c r="AT577" s="241" t="s">
        <v>1029</v>
      </c>
      <c r="AU577" s="241" t="s">
        <v>1030</v>
      </c>
      <c r="AV577" s="303" t="str">
        <f t="shared" si="234"/>
        <v>F15-14-18-ALL</v>
      </c>
      <c r="AW577" s="241" t="s">
        <v>2442</v>
      </c>
      <c r="AX577" s="279" t="str">
        <f t="shared" si="223"/>
        <v>F15-14-18-ALL-Viking76</v>
      </c>
    </row>
    <row r="578" spans="1:50" ht="15.75" thickBot="1" x14ac:dyDescent="0.3">
      <c r="A578" s="190" t="str">
        <f t="shared" ref="A578:A640" si="235">IF(O578&lt;&gt;"",O578,"")</f>
        <v>A32</v>
      </c>
      <c r="B578" s="279" t="str">
        <f t="shared" si="207"/>
        <v/>
      </c>
      <c r="C578" s="279"/>
      <c r="D578" s="279"/>
      <c r="E578" s="279" t="str">
        <f t="shared" si="209"/>
        <v/>
      </c>
      <c r="F578" s="241" t="s">
        <v>535</v>
      </c>
      <c r="G578" s="242">
        <v>44683</v>
      </c>
      <c r="H578" s="243"/>
      <c r="I578" s="243"/>
      <c r="J578" s="243" t="s">
        <v>402</v>
      </c>
      <c r="K578" s="244" t="s">
        <v>48</v>
      </c>
      <c r="L578" s="243" t="s">
        <v>1377</v>
      </c>
      <c r="M578" s="243" t="s">
        <v>559</v>
      </c>
      <c r="N578" s="243">
        <v>22</v>
      </c>
      <c r="O578" s="244" t="s">
        <v>934</v>
      </c>
      <c r="P578" s="244" t="s">
        <v>1168</v>
      </c>
      <c r="Q578" s="231" t="str">
        <f t="shared" si="232"/>
        <v>A32. Battery Cable, POSITIVE &amp; Attached Terminal Bracket, THE BIG PRIMARY ONE</v>
      </c>
      <c r="R578" s="284" t="str">
        <f>HYPERLINK(VLOOKUP(O578,'3D. Pictures'!$B$3:$E$500,4,FALSE),"PIC")</f>
        <v>PIC</v>
      </c>
      <c r="S578" s="373" t="str">
        <f t="shared" si="211"/>
        <v>E.G.</v>
      </c>
      <c r="T578" s="377" t="str">
        <f>IF(O578&lt;&gt;"",_xlfn.XLOOKUP(O578,'3D. Pictures'!B:B,'3D. Pictures'!E:E,"NOT FOUND",0,1),"")</f>
        <v>https://viking-pictures.s3.us-west-1.amazonaws.com/AA1155/A32.+Battery+Cable%2C+POSITIVE+%26+Attached+Terminal+Bracket%2C+THE+BIG+PRIMARY+ONE+(1).JPG</v>
      </c>
      <c r="U578" s="243">
        <v>4</v>
      </c>
      <c r="V578" s="243">
        <v>9322056</v>
      </c>
      <c r="W578" s="243" t="s">
        <v>111</v>
      </c>
      <c r="X578" s="243"/>
      <c r="Y578"/>
      <c r="Z578" s="243"/>
      <c r="AA578" s="243" t="s">
        <v>1183</v>
      </c>
      <c r="AB578" s="243" t="s">
        <v>1183</v>
      </c>
      <c r="AC578" s="358" t="str">
        <f t="shared" si="210"/>
        <v>thicker red cable w/ red terminal | BIG ONE</v>
      </c>
      <c r="AD578" s="243" t="s">
        <v>1182</v>
      </c>
      <c r="AE578" s="243" t="s">
        <v>2804</v>
      </c>
      <c r="AF578" s="179" t="s">
        <v>543</v>
      </c>
      <c r="AG578" s="243"/>
      <c r="AH578" s="16">
        <v>150</v>
      </c>
      <c r="AI578" s="380">
        <f t="shared" si="212"/>
        <v>150</v>
      </c>
      <c r="AJ578" s="246" t="s">
        <v>408</v>
      </c>
      <c r="AK578" s="246" t="s">
        <v>425</v>
      </c>
      <c r="AL578" s="204" t="s">
        <v>2175</v>
      </c>
      <c r="AM578" s="241"/>
      <c r="AN578" s="241"/>
      <c r="AO578" s="241"/>
      <c r="AP578" s="241"/>
      <c r="AQ578" s="241"/>
      <c r="AR578" s="241"/>
      <c r="AS578" s="241" t="s">
        <v>1028</v>
      </c>
      <c r="AT578" s="241" t="s">
        <v>1029</v>
      </c>
      <c r="AU578" s="241" t="s">
        <v>1030</v>
      </c>
      <c r="AV578" s="303" t="str">
        <f t="shared" si="234"/>
        <v>F15-14-18-ALL</v>
      </c>
      <c r="AW578" s="241" t="s">
        <v>2443</v>
      </c>
      <c r="AX578" s="279" t="str">
        <f t="shared" si="223"/>
        <v>F15-14-18-ALL-Viking77</v>
      </c>
    </row>
    <row r="579" spans="1:50" ht="15.75" thickBot="1" x14ac:dyDescent="0.3">
      <c r="A579" s="190" t="str">
        <f t="shared" si="235"/>
        <v>A76</v>
      </c>
      <c r="B579" s="279" t="str">
        <f t="shared" si="207"/>
        <v>596-894</v>
      </c>
      <c r="C579" s="279"/>
      <c r="D579" s="279"/>
      <c r="E579" s="279">
        <f t="shared" si="209"/>
        <v>1</v>
      </c>
      <c r="F579" s="190" t="s">
        <v>535</v>
      </c>
      <c r="G579" s="198">
        <v>45218</v>
      </c>
      <c r="H579" s="205"/>
      <c r="I579" s="205"/>
      <c r="J579" s="205" t="s">
        <v>402</v>
      </c>
      <c r="K579" s="206" t="s">
        <v>48</v>
      </c>
      <c r="L579" s="205" t="s">
        <v>855</v>
      </c>
      <c r="M579" s="208" t="s">
        <v>562</v>
      </c>
      <c r="N579" s="208">
        <v>66</v>
      </c>
      <c r="O579" s="232" t="s">
        <v>978</v>
      </c>
      <c r="P579" s="232" t="s">
        <v>1254</v>
      </c>
      <c r="Q579" s="231" t="str">
        <f t="shared" si="232"/>
        <v>A76. Camera, REAR Backup Camera</v>
      </c>
      <c r="R579" s="284" t="str">
        <f>HYPERLINK(VLOOKUP(O579,'3D. Pictures'!$B$3:$E$500,4,FALSE),"PIC")</f>
        <v>PIC</v>
      </c>
      <c r="S579" s="373" t="str">
        <f t="shared" si="211"/>
        <v>E.G.</v>
      </c>
      <c r="T579" s="377" t="str">
        <f>IF(O579&lt;&gt;"",_xlfn.XLOOKUP(O579,'3D. Pictures'!B:B,'3D. Pictures'!E:E,"NOT FOUND",0,1),"")</f>
        <v>https://viking-pictures.s3.us-west-1.amazonaws.com/AA1155/A76.+Camera%2C+REAR+Backup+Camera+(1).JPG</v>
      </c>
      <c r="U579" s="208">
        <v>4</v>
      </c>
      <c r="V579" s="201" t="s">
        <v>1270</v>
      </c>
      <c r="W579" s="208" t="s">
        <v>112</v>
      </c>
      <c r="X579" s="201"/>
      <c r="Y579"/>
      <c r="Z579" s="201"/>
      <c r="AA579" s="205" t="s">
        <v>1267</v>
      </c>
      <c r="AB579" s="205" t="s">
        <v>1267</v>
      </c>
      <c r="AC579" s="358" t="str">
        <f t="shared" si="210"/>
        <v>remove from trunk handle &amp; sell each solo | mark location</v>
      </c>
      <c r="AD579" s="205" t="s">
        <v>1268</v>
      </c>
      <c r="AE579" s="205" t="s">
        <v>1269</v>
      </c>
      <c r="AF579" s="201" t="s">
        <v>543</v>
      </c>
      <c r="AG579" s="205"/>
      <c r="AH579" s="16">
        <v>225</v>
      </c>
      <c r="AI579" s="380">
        <f t="shared" si="212"/>
        <v>225</v>
      </c>
      <c r="AJ579" s="204" t="s">
        <v>408</v>
      </c>
      <c r="AK579" s="204" t="s">
        <v>425</v>
      </c>
      <c r="AL579" s="204" t="s">
        <v>2175</v>
      </c>
      <c r="AM579" s="190"/>
      <c r="AN579" s="191">
        <v>596</v>
      </c>
      <c r="AO579" s="190" t="s">
        <v>572</v>
      </c>
      <c r="AP579" s="190">
        <v>894</v>
      </c>
      <c r="AQ579" s="190" t="str">
        <f>CONCATENATE(AN579,AO579,AP579)</f>
        <v>596-894</v>
      </c>
      <c r="AR579" s="190"/>
      <c r="AS579" s="190"/>
      <c r="AT579" s="190"/>
      <c r="AU579" s="190"/>
      <c r="AV579" s="190"/>
      <c r="AW579" s="190"/>
      <c r="AX579" s="279" t="str">
        <f t="shared" si="223"/>
        <v/>
      </c>
    </row>
    <row r="580" spans="1:50" ht="15.75" thickBot="1" x14ac:dyDescent="0.3">
      <c r="A580" s="190" t="str">
        <f t="shared" si="235"/>
        <v>A122</v>
      </c>
      <c r="B580" s="279" t="str">
        <f t="shared" si="207"/>
        <v/>
      </c>
      <c r="C580" s="279"/>
      <c r="D580" s="279"/>
      <c r="E580" s="279" t="str">
        <f t="shared" si="209"/>
        <v/>
      </c>
      <c r="F580" s="241" t="s">
        <v>535</v>
      </c>
      <c r="G580" s="242">
        <v>44684</v>
      </c>
      <c r="H580" s="243"/>
      <c r="I580" s="243" t="s">
        <v>7</v>
      </c>
      <c r="J580" s="243" t="s">
        <v>402</v>
      </c>
      <c r="K580" s="243" t="s">
        <v>48</v>
      </c>
      <c r="L580" s="243" t="s">
        <v>2712</v>
      </c>
      <c r="M580" s="243" t="s">
        <v>559</v>
      </c>
      <c r="N580" s="243">
        <v>112</v>
      </c>
      <c r="O580" s="244" t="s">
        <v>1024</v>
      </c>
      <c r="P580" s="244" t="s">
        <v>1307</v>
      </c>
      <c r="Q580" s="231" t="str">
        <f t="shared" si="232"/>
        <v>A122. Cargo Cover, Large Retractable</v>
      </c>
      <c r="R580" s="284" t="str">
        <f>HYPERLINK(VLOOKUP(O580,'3D. Pictures'!$B$3:$E$500,4,FALSE),"PIC")</f>
        <v>PIC</v>
      </c>
      <c r="S580" s="373" t="str">
        <f t="shared" si="211"/>
        <v>E.G.</v>
      </c>
      <c r="T580" s="377" t="str">
        <f>IF(O580&lt;&gt;"",_xlfn.XLOOKUP(O580,'3D. Pictures'!B:B,'3D. Pictures'!E:E,"NOT FOUND",0,1),"")</f>
        <v>https://viking-pictures.s3.us-west-1.amazonaws.com/AA1155/A122.+Cargo+Cover%2C+Large+Retractable+(1).JPG</v>
      </c>
      <c r="U580" s="243">
        <v>8</v>
      </c>
      <c r="V580" s="243" t="s">
        <v>1205</v>
      </c>
      <c r="W580" s="243" t="s">
        <v>111</v>
      </c>
      <c r="X580" s="243" t="s">
        <v>2469</v>
      </c>
      <c r="Y580"/>
      <c r="Z580" s="192" t="s">
        <v>2078</v>
      </c>
      <c r="AA580" s="243" t="s">
        <v>1366</v>
      </c>
      <c r="AB580" s="243" t="s">
        <v>1366</v>
      </c>
      <c r="AC580" s="358" t="str">
        <f t="shared" si="210"/>
        <v>only keep if minor flaws or better</v>
      </c>
      <c r="AD580" s="243" t="s">
        <v>1367</v>
      </c>
      <c r="AE580" s="243"/>
      <c r="AF580" s="179" t="s">
        <v>543</v>
      </c>
      <c r="AG580" s="243"/>
      <c r="AH580" s="16">
        <v>195</v>
      </c>
      <c r="AI580" s="380">
        <f t="shared" si="212"/>
        <v>195</v>
      </c>
      <c r="AJ580" s="246" t="s">
        <v>408</v>
      </c>
      <c r="AK580" s="246" t="s">
        <v>425</v>
      </c>
      <c r="AL580" s="204" t="s">
        <v>2175</v>
      </c>
      <c r="AN580" s="241"/>
      <c r="AO580" s="241"/>
      <c r="AP580" s="241"/>
      <c r="AQ580" s="241"/>
      <c r="AR580" s="241"/>
      <c r="AS580" s="241" t="s">
        <v>1028</v>
      </c>
      <c r="AT580" s="241" t="s">
        <v>1029</v>
      </c>
      <c r="AU580" s="241" t="s">
        <v>1030</v>
      </c>
      <c r="AV580" s="303" t="str">
        <f t="shared" ref="AV580" si="236">CONCATENATE(AS580,"-",AT580,"-",AU580)</f>
        <v>F15-14-18-ALL</v>
      </c>
      <c r="AW580" s="241" t="s">
        <v>2444</v>
      </c>
      <c r="AX580" s="279" t="str">
        <f t="shared" si="223"/>
        <v>F15-14-18-ALL-Viking78</v>
      </c>
    </row>
    <row r="581" spans="1:50" ht="15.75" thickBot="1" x14ac:dyDescent="0.3">
      <c r="A581" s="190" t="str">
        <f t="shared" si="235"/>
        <v>A107</v>
      </c>
      <c r="B581" s="279" t="str">
        <f t="shared" si="207"/>
        <v>170-60923</v>
      </c>
      <c r="C581" s="279"/>
      <c r="D581" s="279"/>
      <c r="E581" s="279">
        <f t="shared" si="209"/>
        <v>1</v>
      </c>
      <c r="F581" s="190" t="s">
        <v>535</v>
      </c>
      <c r="G581" s="198">
        <v>44674</v>
      </c>
      <c r="H581" s="224"/>
      <c r="I581" s="205"/>
      <c r="J581" s="205" t="s">
        <v>402</v>
      </c>
      <c r="K581" s="205" t="s">
        <v>48</v>
      </c>
      <c r="L581" s="205" t="s">
        <v>1378</v>
      </c>
      <c r="M581" s="200" t="s">
        <v>558</v>
      </c>
      <c r="N581" s="200">
        <v>97</v>
      </c>
      <c r="O581" s="230" t="s">
        <v>1009</v>
      </c>
      <c r="P581" s="230" t="s">
        <v>1300</v>
      </c>
      <c r="Q581" s="231" t="str">
        <f t="shared" si="232"/>
        <v>A107. Trunk Assembly - LOWER TAILGATE</v>
      </c>
      <c r="R581" s="284" t="str">
        <f>HYPERLINK(VLOOKUP(O581,'3D. Pictures'!$B$3:$E$500,4,FALSE),"PIC")</f>
        <v>PIC</v>
      </c>
      <c r="S581" s="373" t="str">
        <f t="shared" si="211"/>
        <v>E.G.</v>
      </c>
      <c r="T581" s="377" t="str">
        <f>IF(O581&lt;&gt;"",_xlfn.XLOOKUP(O581,'3D. Pictures'!B:B,'3D. Pictures'!E:E,"NOT FOUND",0,1),"")</f>
        <v>https://viking-pictures.s3.us-west-1.amazonaws.com/AA1155/A107.+Trunk+Assembly+-+LOWER+TAILGATE+(1).JPG</v>
      </c>
      <c r="U581" s="200">
        <v>8</v>
      </c>
      <c r="V581" s="201" t="s">
        <v>1340</v>
      </c>
      <c r="W581" s="200" t="s">
        <v>111</v>
      </c>
      <c r="X581" s="201"/>
      <c r="Y581"/>
      <c r="Z581" s="201"/>
      <c r="AA581" s="205" t="s">
        <v>433</v>
      </c>
      <c r="AB581" s="205" t="s">
        <v>433</v>
      </c>
      <c r="AC581" s="358" t="str">
        <f t="shared" si="210"/>
        <v/>
      </c>
      <c r="AD581" s="205"/>
      <c r="AE581" s="205"/>
      <c r="AF581" s="201" t="s">
        <v>543</v>
      </c>
      <c r="AG581" s="205"/>
      <c r="AH581" s="16">
        <v>850</v>
      </c>
      <c r="AI581" s="380">
        <f t="shared" si="212"/>
        <v>850</v>
      </c>
      <c r="AJ581" s="204" t="s">
        <v>408</v>
      </c>
      <c r="AK581" s="204" t="s">
        <v>425</v>
      </c>
      <c r="AL581" s="204" t="s">
        <v>2175</v>
      </c>
      <c r="AM581" s="190"/>
      <c r="AN581" s="191" t="s">
        <v>653</v>
      </c>
      <c r="AO581" s="190" t="s">
        <v>572</v>
      </c>
      <c r="AP581" s="190">
        <v>60923</v>
      </c>
      <c r="AQ581" s="190" t="str">
        <f>CONCATENATE(AN581,AO581,AP581)</f>
        <v>170-60923</v>
      </c>
      <c r="AR581" s="190"/>
      <c r="AS581" s="190"/>
      <c r="AT581" s="190"/>
      <c r="AU581" s="190"/>
      <c r="AV581" s="190"/>
      <c r="AW581" s="190"/>
      <c r="AX581" s="279" t="str">
        <f t="shared" si="223"/>
        <v/>
      </c>
    </row>
    <row r="582" spans="1:50" ht="15.75" thickBot="1" x14ac:dyDescent="0.3">
      <c r="A582" s="190" t="str">
        <f t="shared" si="235"/>
        <v>A11</v>
      </c>
      <c r="B582" s="279" t="str">
        <f t="shared" si="207"/>
        <v/>
      </c>
      <c r="C582" s="279"/>
      <c r="D582" s="279"/>
      <c r="E582" s="279" t="str">
        <f t="shared" si="209"/>
        <v/>
      </c>
      <c r="F582" s="241" t="s">
        <v>535</v>
      </c>
      <c r="G582" s="242">
        <v>44683</v>
      </c>
      <c r="H582" s="243"/>
      <c r="I582" s="243"/>
      <c r="J582" s="244" t="s">
        <v>402</v>
      </c>
      <c r="K582" s="243" t="s">
        <v>48</v>
      </c>
      <c r="L582" s="243" t="s">
        <v>2718</v>
      </c>
      <c r="M582" s="243" t="s">
        <v>559</v>
      </c>
      <c r="N582" s="243">
        <v>1</v>
      </c>
      <c r="O582" s="244" t="s">
        <v>913</v>
      </c>
      <c r="P582" s="244" t="s">
        <v>1035</v>
      </c>
      <c r="Q582" s="231" t="str">
        <f t="shared" si="232"/>
        <v>A11. Trunk Electric Shock SET 2</v>
      </c>
      <c r="R582" s="284" t="str">
        <f>HYPERLINK(VLOOKUP(O582,'3D. Pictures'!$B$3:$E$500,4,FALSE),"PIC")</f>
        <v>PIC</v>
      </c>
      <c r="S582" s="373" t="str">
        <f t="shared" si="211"/>
        <v>E.G.</v>
      </c>
      <c r="T582" s="377" t="str">
        <f>IF(O582&lt;&gt;"",_xlfn.XLOOKUP(O582,'3D. Pictures'!B:B,'3D. Pictures'!E:E,"NOT FOUND",0,1),"")</f>
        <v>https://viking-pictures.s3.us-west-1.amazonaws.com/AA1155/A11.+Trunk+Electric+Shock+SET+2+(1).JPG</v>
      </c>
      <c r="U582" s="243">
        <v>5</v>
      </c>
      <c r="V582" s="243" t="s">
        <v>2165</v>
      </c>
      <c r="W582" s="243" t="s">
        <v>111</v>
      </c>
      <c r="X582" s="243"/>
      <c r="Y582"/>
      <c r="Z582" s="243"/>
      <c r="AA582" s="243" t="s">
        <v>2834</v>
      </c>
      <c r="AB582" s="243" t="s">
        <v>2508</v>
      </c>
      <c r="AC582" s="358" t="str">
        <f t="shared" si="210"/>
        <v>SET 2, sell singles if 1 bad</v>
      </c>
      <c r="AD582" s="243" t="s">
        <v>2550</v>
      </c>
      <c r="AE582" s="243"/>
      <c r="AF582" s="179" t="s">
        <v>544</v>
      </c>
      <c r="AG582" s="243"/>
      <c r="AH582" s="16">
        <v>225</v>
      </c>
      <c r="AI582" s="380">
        <f t="shared" si="212"/>
        <v>155</v>
      </c>
      <c r="AJ582" s="246" t="s">
        <v>408</v>
      </c>
      <c r="AK582" s="246" t="s">
        <v>425</v>
      </c>
      <c r="AL582" s="204" t="s">
        <v>2175</v>
      </c>
      <c r="AM582" s="241"/>
      <c r="AN582" s="241"/>
      <c r="AO582" s="241"/>
      <c r="AP582" s="241"/>
      <c r="AQ582" s="241"/>
      <c r="AR582" s="241"/>
      <c r="AS582" s="241" t="s">
        <v>1028</v>
      </c>
      <c r="AT582" s="241" t="s">
        <v>1029</v>
      </c>
      <c r="AU582" s="241" t="s">
        <v>1030</v>
      </c>
      <c r="AV582" s="303" t="str">
        <f t="shared" ref="AV582:AV585" si="237">CONCATENATE(AS582,"-",AT582,"-",AU582)</f>
        <v>F15-14-18-ALL</v>
      </c>
      <c r="AW582" s="241" t="s">
        <v>2445</v>
      </c>
      <c r="AX582" s="279" t="str">
        <f t="shared" si="223"/>
        <v>F15-14-18-ALL-Viking79</v>
      </c>
    </row>
    <row r="583" spans="1:50" x14ac:dyDescent="0.25">
      <c r="A583" s="190" t="str">
        <f t="shared" si="235"/>
        <v/>
      </c>
      <c r="B583" s="279" t="str">
        <f t="shared" si="207"/>
        <v/>
      </c>
      <c r="C583" s="279"/>
      <c r="D583" s="279"/>
      <c r="E583" s="279" t="str">
        <f t="shared" si="209"/>
        <v/>
      </c>
      <c r="F583" s="241" t="s">
        <v>535</v>
      </c>
      <c r="G583" s="242">
        <v>44683</v>
      </c>
      <c r="H583" s="243"/>
      <c r="I583" s="243"/>
      <c r="J583" s="244" t="s">
        <v>402</v>
      </c>
      <c r="K583" s="243" t="s">
        <v>48</v>
      </c>
      <c r="L583" s="243" t="s">
        <v>2718</v>
      </c>
      <c r="M583" s="243" t="s">
        <v>559</v>
      </c>
      <c r="N583" s="243"/>
      <c r="O583" s="244"/>
      <c r="P583" s="244"/>
      <c r="Q583" s="231" t="str">
        <f t="shared" si="232"/>
        <v>. Trunk Electric Shock, LEFT</v>
      </c>
      <c r="R583" s="244"/>
      <c r="S583" s="244" t="str">
        <f t="shared" si="211"/>
        <v/>
      </c>
      <c r="T583" s="244" t="str">
        <f>IF(O583&lt;&gt;"",_xlfn.XLOOKUP(O583,'3D. Pictures'!B:B,'3D. Pictures'!E:E,"NOT FOUND",0,1),"")</f>
        <v/>
      </c>
      <c r="U583" s="243"/>
      <c r="V583" s="243"/>
      <c r="W583" s="243"/>
      <c r="X583" s="243"/>
      <c r="Y583"/>
      <c r="Z583" s="243"/>
      <c r="AA583" s="243" t="s">
        <v>2834</v>
      </c>
      <c r="AB583" s="243" t="s">
        <v>1032</v>
      </c>
      <c r="AC583" s="358" t="str">
        <f t="shared" si="210"/>
        <v/>
      </c>
      <c r="AD583" s="243"/>
      <c r="AE583" s="243"/>
      <c r="AF583" s="179" t="s">
        <v>543</v>
      </c>
      <c r="AG583" s="243"/>
      <c r="AH583" s="16">
        <v>120</v>
      </c>
      <c r="AI583" s="380">
        <f t="shared" si="212"/>
        <v>155</v>
      </c>
      <c r="AJ583" s="246" t="s">
        <v>408</v>
      </c>
      <c r="AK583" s="246" t="s">
        <v>425</v>
      </c>
      <c r="AL583" s="204" t="s">
        <v>2175</v>
      </c>
      <c r="AM583" s="241"/>
      <c r="AN583" s="241"/>
      <c r="AO583" s="241"/>
      <c r="AP583" s="241"/>
      <c r="AQ583" s="241"/>
      <c r="AR583" s="241"/>
      <c r="AS583" s="241" t="s">
        <v>1028</v>
      </c>
      <c r="AT583" s="241" t="s">
        <v>1029</v>
      </c>
      <c r="AU583" s="241" t="s">
        <v>1030</v>
      </c>
      <c r="AV583" s="303" t="str">
        <f t="shared" si="237"/>
        <v>F15-14-18-ALL</v>
      </c>
      <c r="AW583" s="241" t="s">
        <v>2446</v>
      </c>
      <c r="AX583" s="279" t="str">
        <f t="shared" si="223"/>
        <v>F15-14-18-ALL-Viking80</v>
      </c>
    </row>
    <row r="584" spans="1:50" ht="15.75" thickBot="1" x14ac:dyDescent="0.3">
      <c r="A584" s="190" t="str">
        <f t="shared" si="235"/>
        <v/>
      </c>
      <c r="B584" s="279" t="str">
        <f t="shared" si="207"/>
        <v/>
      </c>
      <c r="C584" s="279"/>
      <c r="D584" s="279"/>
      <c r="E584" s="279" t="str">
        <f t="shared" si="209"/>
        <v/>
      </c>
      <c r="F584" s="241" t="s">
        <v>535</v>
      </c>
      <c r="G584" s="242">
        <v>44683</v>
      </c>
      <c r="H584" s="243"/>
      <c r="I584" s="243"/>
      <c r="J584" s="244" t="s">
        <v>402</v>
      </c>
      <c r="K584" s="243" t="s">
        <v>48</v>
      </c>
      <c r="L584" s="243" t="s">
        <v>2718</v>
      </c>
      <c r="M584" s="243" t="s">
        <v>559</v>
      </c>
      <c r="N584" s="243"/>
      <c r="O584" s="244"/>
      <c r="P584" s="244"/>
      <c r="Q584" s="231" t="str">
        <f t="shared" si="232"/>
        <v>. Trunk Electric Shock, RIGHT</v>
      </c>
      <c r="R584" s="244"/>
      <c r="S584" s="244" t="str">
        <f t="shared" si="211"/>
        <v/>
      </c>
      <c r="T584" s="244" t="str">
        <f>IF(O584&lt;&gt;"",_xlfn.XLOOKUP(O584,'3D. Pictures'!B:B,'3D. Pictures'!E:E,"NOT FOUND",0,1),"")</f>
        <v/>
      </c>
      <c r="U584" s="243"/>
      <c r="V584" s="243"/>
      <c r="W584" s="243"/>
      <c r="X584" s="243"/>
      <c r="Y584"/>
      <c r="Z584" s="243"/>
      <c r="AA584" s="243" t="s">
        <v>2834</v>
      </c>
      <c r="AB584" s="243" t="s">
        <v>1033</v>
      </c>
      <c r="AC584" s="358" t="str">
        <f t="shared" si="210"/>
        <v/>
      </c>
      <c r="AD584" s="243"/>
      <c r="AE584" s="243"/>
      <c r="AF584" s="179" t="s">
        <v>543</v>
      </c>
      <c r="AG584" s="243"/>
      <c r="AH584" s="16">
        <v>120</v>
      </c>
      <c r="AI584" s="380">
        <f t="shared" si="212"/>
        <v>155</v>
      </c>
      <c r="AJ584" s="246" t="s">
        <v>408</v>
      </c>
      <c r="AK584" s="246" t="s">
        <v>425</v>
      </c>
      <c r="AL584" s="204" t="s">
        <v>2175</v>
      </c>
      <c r="AM584" s="241"/>
      <c r="AN584" s="241"/>
      <c r="AO584" s="241"/>
      <c r="AP584" s="241"/>
      <c r="AQ584" s="241"/>
      <c r="AR584" s="241"/>
      <c r="AS584" s="241" t="s">
        <v>1028</v>
      </c>
      <c r="AT584" s="241" t="s">
        <v>1029</v>
      </c>
      <c r="AU584" s="241" t="s">
        <v>1030</v>
      </c>
      <c r="AV584" s="303" t="str">
        <f t="shared" si="237"/>
        <v>F15-14-18-ALL</v>
      </c>
      <c r="AW584" s="241" t="s">
        <v>2447</v>
      </c>
      <c r="AX584" s="279" t="str">
        <f t="shared" si="223"/>
        <v>F15-14-18-ALL-Viking81</v>
      </c>
    </row>
    <row r="585" spans="1:50" ht="15.75" thickBot="1" x14ac:dyDescent="0.3">
      <c r="A585" s="190" t="str">
        <f t="shared" si="235"/>
        <v>A53</v>
      </c>
      <c r="B585" s="279" t="str">
        <f t="shared" si="207"/>
        <v/>
      </c>
      <c r="C585" s="279"/>
      <c r="D585" s="279"/>
      <c r="E585" s="279" t="str">
        <f t="shared" ref="E585:E605" si="238">IF(B585&lt;&gt;"",COUNTIF($B$9:$B$2241,B585),"")</f>
        <v/>
      </c>
      <c r="F585" s="241" t="s">
        <v>535</v>
      </c>
      <c r="G585" s="242">
        <v>44684</v>
      </c>
      <c r="H585" s="243"/>
      <c r="I585" s="243" t="s">
        <v>7</v>
      </c>
      <c r="J585" s="243" t="s">
        <v>402</v>
      </c>
      <c r="K585" s="244" t="s">
        <v>48</v>
      </c>
      <c r="L585" s="243" t="s">
        <v>2718</v>
      </c>
      <c r="M585" s="243" t="s">
        <v>559</v>
      </c>
      <c r="N585" s="243">
        <v>43</v>
      </c>
      <c r="O585" s="244" t="s">
        <v>955</v>
      </c>
      <c r="P585" s="244" t="s">
        <v>1204</v>
      </c>
      <c r="Q585" s="231" t="str">
        <f t="shared" si="232"/>
        <v>A53. Trunk Emblem</v>
      </c>
      <c r="R585" s="284" t="str">
        <f>HYPERLINK(VLOOKUP(O585,'3D. Pictures'!$B$3:$E$500,4,FALSE),"PIC")</f>
        <v>PIC</v>
      </c>
      <c r="S585" s="373" t="str">
        <f t="shared" si="211"/>
        <v>E.G.</v>
      </c>
      <c r="T585" s="377" t="str">
        <f>IF(O585&lt;&gt;"",_xlfn.XLOOKUP(O585,'3D. Pictures'!B:B,'3D. Pictures'!E:E,"NOT FOUND",0,1),"")</f>
        <v>https://viking-pictures.s3.us-west-1.amazonaws.com/AA1155/A53.+Trunk+Emblem+(1).JPG</v>
      </c>
      <c r="U585" s="243">
        <v>4</v>
      </c>
      <c r="V585" s="243" t="s">
        <v>1220</v>
      </c>
      <c r="W585" s="243" t="s">
        <v>111</v>
      </c>
      <c r="X585" s="243"/>
      <c r="Y585"/>
      <c r="Z585" s="243"/>
      <c r="AA585" s="243" t="s">
        <v>449</v>
      </c>
      <c r="AB585" s="243" t="s">
        <v>449</v>
      </c>
      <c r="AC585" s="358" t="str">
        <f t="shared" ref="AC585:AC605" si="239">_xlfn.TEXTJOIN(" | ",TRUE,AD585,AE585)</f>
        <v/>
      </c>
      <c r="AD585" s="243"/>
      <c r="AE585" s="243"/>
      <c r="AF585" s="179" t="s">
        <v>543</v>
      </c>
      <c r="AG585" s="243"/>
      <c r="AH585" s="16">
        <v>45</v>
      </c>
      <c r="AI585" s="380">
        <f t="shared" si="212"/>
        <v>45</v>
      </c>
      <c r="AJ585" s="246" t="s">
        <v>408</v>
      </c>
      <c r="AK585" s="246" t="s">
        <v>425</v>
      </c>
      <c r="AL585" s="204" t="s">
        <v>2175</v>
      </c>
      <c r="AM585" s="241"/>
      <c r="AN585" s="241"/>
      <c r="AO585" s="241"/>
      <c r="AP585" s="241"/>
      <c r="AQ585" s="241"/>
      <c r="AR585" s="241"/>
      <c r="AS585" s="241" t="s">
        <v>1028</v>
      </c>
      <c r="AT585" s="241" t="s">
        <v>1029</v>
      </c>
      <c r="AU585" s="241" t="s">
        <v>1030</v>
      </c>
      <c r="AV585" s="303" t="str">
        <f t="shared" si="237"/>
        <v>F15-14-18-ALL</v>
      </c>
      <c r="AW585" s="241" t="s">
        <v>2448</v>
      </c>
      <c r="AX585" s="279" t="str">
        <f t="shared" si="223"/>
        <v>F15-14-18-ALL-Viking82</v>
      </c>
    </row>
    <row r="586" spans="1:50" ht="15.75" thickBot="1" x14ac:dyDescent="0.3">
      <c r="A586" s="190" t="str">
        <f t="shared" si="235"/>
        <v>A34</v>
      </c>
      <c r="B586" s="279" t="str">
        <f t="shared" si="207"/>
        <v>618-56287</v>
      </c>
      <c r="C586" s="279"/>
      <c r="D586" s="279"/>
      <c r="E586" s="279">
        <f t="shared" si="238"/>
        <v>1</v>
      </c>
      <c r="F586" s="190" t="s">
        <v>535</v>
      </c>
      <c r="G586" s="198">
        <v>44674</v>
      </c>
      <c r="H586" s="205"/>
      <c r="I586" s="205"/>
      <c r="J586" s="205" t="s">
        <v>402</v>
      </c>
      <c r="K586" s="206" t="s">
        <v>48</v>
      </c>
      <c r="L586" s="205" t="s">
        <v>1379</v>
      </c>
      <c r="M586" s="200" t="s">
        <v>558</v>
      </c>
      <c r="N586" s="200">
        <v>24</v>
      </c>
      <c r="O586" s="230" t="s">
        <v>936</v>
      </c>
      <c r="P586" s="230" t="s">
        <v>1168</v>
      </c>
      <c r="Q586" s="231" t="str">
        <f t="shared" si="232"/>
        <v>A34. Wiper Motor, Trunk</v>
      </c>
      <c r="R586" s="284" t="str">
        <f>HYPERLINK(VLOOKUP(O586,'3D. Pictures'!$B$3:$E$500,4,FALSE),"PIC")</f>
        <v>PIC</v>
      </c>
      <c r="S586" s="373" t="str">
        <f t="shared" si="211"/>
        <v>E.G.</v>
      </c>
      <c r="T586" s="377" t="str">
        <f>IF(O586&lt;&gt;"",_xlfn.XLOOKUP(O586,'3D. Pictures'!B:B,'3D. Pictures'!E:E,"NOT FOUND",0,1),"")</f>
        <v>https://viking-pictures.s3.us-west-1.amazonaws.com/AA1155/A34.+Wiper+Motor%2C+Trunk+(1).JPG</v>
      </c>
      <c r="U586" s="200">
        <v>4</v>
      </c>
      <c r="V586" s="201" t="s">
        <v>1187</v>
      </c>
      <c r="W586" s="200" t="s">
        <v>111</v>
      </c>
      <c r="X586" s="201"/>
      <c r="Y586"/>
      <c r="Z586" s="201"/>
      <c r="AA586" s="205" t="s">
        <v>83</v>
      </c>
      <c r="AB586" s="205" t="s">
        <v>83</v>
      </c>
      <c r="AC586" s="358" t="str">
        <f t="shared" si="239"/>
        <v/>
      </c>
      <c r="AD586" s="205"/>
      <c r="AE586" s="205"/>
      <c r="AF586" s="201" t="s">
        <v>543</v>
      </c>
      <c r="AG586" s="205"/>
      <c r="AH586" s="16">
        <v>100</v>
      </c>
      <c r="AI586" s="380">
        <f t="shared" si="212"/>
        <v>100</v>
      </c>
      <c r="AJ586" s="204" t="s">
        <v>408</v>
      </c>
      <c r="AK586" s="204" t="s">
        <v>425</v>
      </c>
      <c r="AL586" s="204" t="s">
        <v>2175</v>
      </c>
      <c r="AM586" s="190"/>
      <c r="AN586" s="191" t="s">
        <v>654</v>
      </c>
      <c r="AO586" s="190" t="s">
        <v>572</v>
      </c>
      <c r="AP586" s="190">
        <v>56287</v>
      </c>
      <c r="AQ586" s="190" t="str">
        <f>CONCATENATE(AN586,AO586,AP586)</f>
        <v>618-56287</v>
      </c>
      <c r="AR586" s="190"/>
      <c r="AS586" s="190"/>
      <c r="AT586" s="190"/>
      <c r="AU586" s="190"/>
      <c r="AV586" s="190"/>
      <c r="AW586" s="190"/>
      <c r="AX586" s="279" t="str">
        <f t="shared" si="223"/>
        <v/>
      </c>
    </row>
    <row r="587" spans="1:50" x14ac:dyDescent="0.25">
      <c r="A587" s="190" t="str">
        <f t="shared" si="235"/>
        <v/>
      </c>
      <c r="B587" s="279" t="str">
        <f t="shared" si="207"/>
        <v/>
      </c>
      <c r="C587" s="279"/>
      <c r="D587" s="279"/>
      <c r="E587" s="279" t="str">
        <f t="shared" si="238"/>
        <v/>
      </c>
      <c r="F587" t="s">
        <v>535</v>
      </c>
      <c r="G587" s="188">
        <v>44674</v>
      </c>
      <c r="H587" s="165"/>
      <c r="I587" s="10"/>
      <c r="J587" s="10" t="s">
        <v>2771</v>
      </c>
      <c r="K587" s="15" t="s">
        <v>48</v>
      </c>
      <c r="L587" s="10" t="s">
        <v>2711</v>
      </c>
      <c r="M587" s="170" t="s">
        <v>558</v>
      </c>
      <c r="N587" s="170"/>
      <c r="O587" s="237"/>
      <c r="P587" s="237"/>
      <c r="Q587" s="231" t="str">
        <f t="shared" si="232"/>
        <v>. Trunk Assembly - UPPER TRUNK</v>
      </c>
      <c r="R587" s="231"/>
      <c r="S587" s="231" t="str">
        <f t="shared" si="211"/>
        <v/>
      </c>
      <c r="T587" s="231" t="str">
        <f>IF(O587&lt;&gt;"",_xlfn.XLOOKUP(O587,'3D. Pictures'!B:B,'3D. Pictures'!E:E,"NOT FOUND",0,1),"")</f>
        <v/>
      </c>
      <c r="U587" s="170"/>
      <c r="V587" s="168"/>
      <c r="W587" s="170"/>
      <c r="X587" s="168"/>
      <c r="Y587"/>
      <c r="Z587" s="168"/>
      <c r="AA587" s="10" t="s">
        <v>2650</v>
      </c>
      <c r="AB587" s="10" t="s">
        <v>2650</v>
      </c>
      <c r="AC587" s="359" t="str">
        <f t="shared" si="239"/>
        <v>part out</v>
      </c>
      <c r="AD587" s="10" t="s">
        <v>2649</v>
      </c>
      <c r="AE587" s="10"/>
      <c r="AF587" s="168" t="s">
        <v>543</v>
      </c>
      <c r="AG587" s="10"/>
      <c r="AH587" s="10"/>
      <c r="AI587" s="380" t="str">
        <f t="shared" si="212"/>
        <v/>
      </c>
      <c r="AJ587" s="3" t="s">
        <v>408</v>
      </c>
      <c r="AK587" s="3" t="s">
        <v>425</v>
      </c>
      <c r="AL587" s="204" t="s">
        <v>2175</v>
      </c>
      <c r="AN587"/>
      <c r="AO587" t="s">
        <v>572</v>
      </c>
      <c r="AX587" s="279" t="str">
        <f t="shared" si="223"/>
        <v/>
      </c>
    </row>
    <row r="588" spans="1:50" x14ac:dyDescent="0.25">
      <c r="A588" s="190" t="str">
        <f t="shared" si="235"/>
        <v/>
      </c>
      <c r="B588" s="279" t="str">
        <f t="shared" ref="B588:B605" si="240">IF(AQ588&lt;&gt;"",AQ588,"")</f>
        <v/>
      </c>
      <c r="C588" s="279"/>
      <c r="D588" s="279"/>
      <c r="E588" s="279" t="str">
        <f t="shared" si="238"/>
        <v/>
      </c>
      <c r="F588" t="s">
        <v>535</v>
      </c>
      <c r="G588" s="188">
        <v>44684</v>
      </c>
      <c r="H588" s="10"/>
      <c r="I588" s="10"/>
      <c r="J588" s="10" t="s">
        <v>405</v>
      </c>
      <c r="K588" s="10" t="s">
        <v>48</v>
      </c>
      <c r="L588" s="10" t="s">
        <v>2712</v>
      </c>
      <c r="M588" s="16" t="s">
        <v>559</v>
      </c>
      <c r="N588" s="16"/>
      <c r="O588" s="166"/>
      <c r="P588" s="166"/>
      <c r="Q588" s="231" t="str">
        <f t="shared" si="232"/>
        <v>. Cargo Hooks</v>
      </c>
      <c r="R588" s="231"/>
      <c r="S588" s="231" t="str">
        <f t="shared" ref="S588:S651" si="241">IF(T588&lt;&gt;"",HYPERLINK(T588,"E.G."),"")</f>
        <v/>
      </c>
      <c r="T588" s="231" t="str">
        <f>IF(O588&lt;&gt;"",_xlfn.XLOOKUP(O588,'3D. Pictures'!B:B,'3D. Pictures'!E:E,"NOT FOUND",0,1),"")</f>
        <v/>
      </c>
      <c r="U588" s="16"/>
      <c r="V588" s="16"/>
      <c r="W588" s="16"/>
      <c r="X588" s="16"/>
      <c r="Y588"/>
      <c r="Z588" s="16"/>
      <c r="AA588" s="10" t="s">
        <v>2652</v>
      </c>
      <c r="AB588" s="10" t="s">
        <v>2652</v>
      </c>
      <c r="AC588" s="359" t="str">
        <f t="shared" si="239"/>
        <v>TOSS ALL | these are the 4 that slide on rails</v>
      </c>
      <c r="AD588" s="10" t="s">
        <v>2575</v>
      </c>
      <c r="AE588" s="10" t="s">
        <v>2651</v>
      </c>
      <c r="AF588" s="168" t="s">
        <v>543</v>
      </c>
      <c r="AG588" s="10"/>
      <c r="AH588" s="10"/>
      <c r="AI588" s="380" t="str">
        <f t="shared" si="212"/>
        <v/>
      </c>
      <c r="AJ588" s="3" t="s">
        <v>408</v>
      </c>
      <c r="AK588" s="3" t="s">
        <v>425</v>
      </c>
      <c r="AL588" s="204" t="s">
        <v>2175</v>
      </c>
      <c r="AN588" s="176"/>
      <c r="AO588" s="176"/>
      <c r="AP588" s="176"/>
      <c r="AQ588" s="176"/>
      <c r="AR588" s="176"/>
      <c r="AS588" s="176"/>
      <c r="AT588" s="176"/>
      <c r="AU588" s="176"/>
      <c r="AV588" s="176"/>
      <c r="AW588" s="176"/>
      <c r="AX588" s="279" t="str">
        <f t="shared" si="223"/>
        <v/>
      </c>
    </row>
    <row r="589" spans="1:50" x14ac:dyDescent="0.25">
      <c r="A589" s="190" t="str">
        <f t="shared" si="235"/>
        <v/>
      </c>
      <c r="B589" s="279" t="str">
        <f t="shared" si="240"/>
        <v/>
      </c>
      <c r="C589" s="279"/>
      <c r="D589" s="279"/>
      <c r="E589" s="279" t="str">
        <f t="shared" si="238"/>
        <v/>
      </c>
      <c r="F589" t="s">
        <v>535</v>
      </c>
      <c r="G589" s="188">
        <v>44684</v>
      </c>
      <c r="H589" s="10"/>
      <c r="I589" s="10"/>
      <c r="J589" s="15" t="s">
        <v>405</v>
      </c>
      <c r="K589" s="10" t="s">
        <v>48</v>
      </c>
      <c r="L589" s="10" t="s">
        <v>2712</v>
      </c>
      <c r="M589" s="16" t="s">
        <v>559</v>
      </c>
      <c r="N589" s="16"/>
      <c r="O589" s="166"/>
      <c r="P589" s="166"/>
      <c r="Q589" s="231" t="str">
        <f t="shared" si="232"/>
        <v>. Cargo Net</v>
      </c>
      <c r="R589" s="231"/>
      <c r="S589" s="231" t="str">
        <f t="shared" si="241"/>
        <v/>
      </c>
      <c r="T589" s="231" t="str">
        <f>IF(O589&lt;&gt;"",_xlfn.XLOOKUP(O589,'3D. Pictures'!B:B,'3D. Pictures'!E:E,"NOT FOUND",0,1),"")</f>
        <v/>
      </c>
      <c r="U589" s="16"/>
      <c r="V589" s="16"/>
      <c r="W589" s="16"/>
      <c r="X589" s="16"/>
      <c r="Y589"/>
      <c r="Z589" s="16"/>
      <c r="AA589" s="10" t="s">
        <v>448</v>
      </c>
      <c r="AB589" s="10" t="s">
        <v>448</v>
      </c>
      <c r="AC589" s="359" t="str">
        <f t="shared" si="239"/>
        <v/>
      </c>
      <c r="AD589" s="10"/>
      <c r="AE589" s="10"/>
      <c r="AF589" s="168" t="s">
        <v>543</v>
      </c>
      <c r="AG589" s="10"/>
      <c r="AH589" s="10"/>
      <c r="AI589" s="380" t="str">
        <f t="shared" ref="AI589:AI605" si="242">IF(ISTEXT(AH589), AH589, IFERROR(AVERAGEIF(AA:AA, AA589, AH:AH), ""))</f>
        <v/>
      </c>
      <c r="AJ589" s="3" t="s">
        <v>408</v>
      </c>
      <c r="AK589" s="3" t="s">
        <v>425</v>
      </c>
      <c r="AL589" s="204" t="s">
        <v>2175</v>
      </c>
      <c r="AN589" s="176"/>
      <c r="AO589" s="176"/>
      <c r="AP589" s="176"/>
      <c r="AQ589" s="176"/>
      <c r="AR589" s="176"/>
      <c r="AS589" s="176"/>
      <c r="AT589" s="176"/>
      <c r="AU589" s="176"/>
      <c r="AV589" s="176"/>
      <c r="AW589" s="176"/>
      <c r="AX589" s="279" t="str">
        <f t="shared" si="223"/>
        <v/>
      </c>
    </row>
    <row r="590" spans="1:50" x14ac:dyDescent="0.25">
      <c r="A590" s="190" t="str">
        <f t="shared" si="235"/>
        <v/>
      </c>
      <c r="B590" s="279" t="str">
        <f t="shared" si="240"/>
        <v/>
      </c>
      <c r="C590" s="279"/>
      <c r="D590" s="279"/>
      <c r="E590" s="279" t="str">
        <f t="shared" si="238"/>
        <v/>
      </c>
      <c r="F590" t="s">
        <v>535</v>
      </c>
      <c r="G590" s="188">
        <v>44684</v>
      </c>
      <c r="H590" s="10"/>
      <c r="I590" s="10"/>
      <c r="J590" s="10" t="s">
        <v>405</v>
      </c>
      <c r="K590" s="10" t="s">
        <v>48</v>
      </c>
      <c r="L590" s="10" t="s">
        <v>2712</v>
      </c>
      <c r="M590" s="16" t="s">
        <v>559</v>
      </c>
      <c r="N590" s="16"/>
      <c r="O590" s="166"/>
      <c r="P590" s="166"/>
      <c r="Q590" s="231" t="str">
        <f t="shared" si="232"/>
        <v>. Cargo Rails</v>
      </c>
      <c r="R590" s="231"/>
      <c r="S590" s="231" t="str">
        <f t="shared" si="241"/>
        <v/>
      </c>
      <c r="T590" s="231" t="str">
        <f>IF(O590&lt;&gt;"",_xlfn.XLOOKUP(O590,'3D. Pictures'!B:B,'3D. Pictures'!E:E,"NOT FOUND",0,1),"")</f>
        <v/>
      </c>
      <c r="U590" s="16"/>
      <c r="V590" s="16"/>
      <c r="W590" s="16"/>
      <c r="X590" s="16"/>
      <c r="Y590"/>
      <c r="Z590" s="16"/>
      <c r="AA590" s="10" t="s">
        <v>2660</v>
      </c>
      <c r="AB590" s="10" t="s">
        <v>2660</v>
      </c>
      <c r="AC590" s="359" t="str">
        <f t="shared" si="239"/>
        <v>TOSS BOTH | the 2 trunk aluminum ones</v>
      </c>
      <c r="AD590" s="10" t="s">
        <v>2544</v>
      </c>
      <c r="AE590" s="10" t="s">
        <v>2653</v>
      </c>
      <c r="AF590" s="168" t="s">
        <v>543</v>
      </c>
      <c r="AG590" s="10"/>
      <c r="AH590" s="10"/>
      <c r="AI590" s="380" t="str">
        <f t="shared" si="242"/>
        <v/>
      </c>
      <c r="AJ590" s="3" t="s">
        <v>408</v>
      </c>
      <c r="AK590" s="3" t="s">
        <v>425</v>
      </c>
      <c r="AL590" s="204" t="s">
        <v>2175</v>
      </c>
      <c r="AN590" s="176"/>
      <c r="AO590" s="176"/>
      <c r="AP590" s="176"/>
      <c r="AQ590" s="176"/>
      <c r="AR590" s="176"/>
      <c r="AS590" s="176"/>
      <c r="AT590" s="176"/>
      <c r="AU590" s="176"/>
      <c r="AV590" s="176"/>
      <c r="AW590" s="176"/>
      <c r="AX590" s="279" t="str">
        <f t="shared" si="223"/>
        <v/>
      </c>
    </row>
    <row r="591" spans="1:50" x14ac:dyDescent="0.25">
      <c r="A591" s="190" t="str">
        <f t="shared" si="235"/>
        <v/>
      </c>
      <c r="B591" s="279" t="str">
        <f t="shared" si="240"/>
        <v/>
      </c>
      <c r="C591" s="279"/>
      <c r="D591" s="279"/>
      <c r="E591" s="279" t="str">
        <f t="shared" si="238"/>
        <v/>
      </c>
      <c r="F591" t="s">
        <v>535</v>
      </c>
      <c r="G591" s="188">
        <v>44671</v>
      </c>
      <c r="H591" s="10"/>
      <c r="I591" s="10"/>
      <c r="J591" s="10" t="s">
        <v>405</v>
      </c>
      <c r="K591" s="15" t="s">
        <v>48</v>
      </c>
      <c r="L591" s="10" t="s">
        <v>2698</v>
      </c>
      <c r="M591" s="16" t="s">
        <v>559</v>
      </c>
      <c r="N591" s="16"/>
      <c r="O591" s="166"/>
      <c r="P591" s="166"/>
      <c r="Q591" s="231" t="str">
        <f t="shared" si="232"/>
        <v>. License Plate Lights</v>
      </c>
      <c r="R591" s="231"/>
      <c r="S591" s="231" t="str">
        <f t="shared" si="241"/>
        <v/>
      </c>
      <c r="T591" s="231" t="str">
        <f>IF(O591&lt;&gt;"",_xlfn.XLOOKUP(O591,'3D. Pictures'!B:B,'3D. Pictures'!E:E,"NOT FOUND",0,1),"")</f>
        <v/>
      </c>
      <c r="U591" s="16"/>
      <c r="V591" s="16"/>
      <c r="W591" s="16"/>
      <c r="X591" s="16"/>
      <c r="Y591"/>
      <c r="Z591" s="16"/>
      <c r="AA591" s="10" t="s">
        <v>2654</v>
      </c>
      <c r="AB591" s="10" t="s">
        <v>2654</v>
      </c>
      <c r="AC591" s="359" t="str">
        <f t="shared" si="239"/>
        <v>TOSS BOTH</v>
      </c>
      <c r="AD591" s="10" t="s">
        <v>2544</v>
      </c>
      <c r="AE591" s="10"/>
      <c r="AF591" s="168" t="s">
        <v>543</v>
      </c>
      <c r="AG591" s="10"/>
      <c r="AH591" s="10"/>
      <c r="AI591" s="380" t="str">
        <f t="shared" si="242"/>
        <v/>
      </c>
      <c r="AJ591" s="3" t="s">
        <v>408</v>
      </c>
      <c r="AK591" s="3" t="s">
        <v>425</v>
      </c>
      <c r="AL591" s="204" t="s">
        <v>2175</v>
      </c>
      <c r="AN591" s="176"/>
      <c r="AO591" s="176"/>
      <c r="AP591" s="176"/>
      <c r="AQ591" s="176"/>
      <c r="AR591" s="176"/>
      <c r="AS591" s="176"/>
      <c r="AT591" s="176"/>
      <c r="AU591" s="176"/>
      <c r="AV591" s="176"/>
      <c r="AW591" s="176"/>
      <c r="AX591" s="279" t="str">
        <f t="shared" si="223"/>
        <v/>
      </c>
    </row>
    <row r="592" spans="1:50" x14ac:dyDescent="0.25">
      <c r="A592" s="190" t="str">
        <f t="shared" si="235"/>
        <v/>
      </c>
      <c r="B592" s="279" t="str">
        <f t="shared" si="240"/>
        <v/>
      </c>
      <c r="C592" s="279"/>
      <c r="D592" s="279"/>
      <c r="E592" s="279" t="str">
        <f t="shared" si="238"/>
        <v/>
      </c>
      <c r="F592" t="s">
        <v>536</v>
      </c>
      <c r="G592" s="188">
        <v>44993</v>
      </c>
      <c r="H592" s="10"/>
      <c r="I592" s="10"/>
      <c r="J592" s="10" t="s">
        <v>405</v>
      </c>
      <c r="K592" s="15" t="s">
        <v>48</v>
      </c>
      <c r="L592" s="10" t="s">
        <v>1377</v>
      </c>
      <c r="M592" s="16" t="s">
        <v>559</v>
      </c>
      <c r="N592" s="16"/>
      <c r="O592" s="166"/>
      <c r="P592" s="166"/>
      <c r="Q592" s="231" t="str">
        <f t="shared" si="232"/>
        <v>. Negative Battery Cable</v>
      </c>
      <c r="R592" s="231"/>
      <c r="S592" s="231" t="str">
        <f t="shared" si="241"/>
        <v/>
      </c>
      <c r="T592" s="231" t="str">
        <f>IF(O592&lt;&gt;"",_xlfn.XLOOKUP(O592,'3D. Pictures'!B:B,'3D. Pictures'!E:E,"NOT FOUND",0,1),"")</f>
        <v/>
      </c>
      <c r="U592" s="16"/>
      <c r="V592" s="16"/>
      <c r="W592" s="16"/>
      <c r="X592" s="16"/>
      <c r="Y592"/>
      <c r="Z592" s="16"/>
      <c r="AA592" s="10" t="s">
        <v>2656</v>
      </c>
      <c r="AB592" s="10" t="s">
        <v>2656</v>
      </c>
      <c r="AC592" s="359" t="str">
        <f t="shared" si="239"/>
        <v>standard brown cable no module</v>
      </c>
      <c r="AD592" s="10"/>
      <c r="AE592" s="10" t="s">
        <v>2655</v>
      </c>
      <c r="AF592" s="168" t="s">
        <v>543</v>
      </c>
      <c r="AG592" s="10">
        <v>9255047</v>
      </c>
      <c r="AH592" s="10"/>
      <c r="AI592" s="380" t="str">
        <f t="shared" si="242"/>
        <v/>
      </c>
      <c r="AJ592" s="3" t="s">
        <v>408</v>
      </c>
      <c r="AK592" s="3" t="s">
        <v>425</v>
      </c>
      <c r="AL592" s="204" t="s">
        <v>2175</v>
      </c>
      <c r="AN592" s="176"/>
      <c r="AO592" s="176"/>
      <c r="AP592" s="176"/>
      <c r="AQ592" s="176"/>
      <c r="AR592" s="176"/>
      <c r="AS592" s="176"/>
      <c r="AT592" s="176"/>
      <c r="AU592" s="176"/>
      <c r="AV592" s="176"/>
      <c r="AW592" s="176"/>
      <c r="AX592" s="279" t="str">
        <f t="shared" si="223"/>
        <v/>
      </c>
    </row>
    <row r="593" spans="1:50" x14ac:dyDescent="0.25">
      <c r="A593" s="190" t="str">
        <f t="shared" si="235"/>
        <v/>
      </c>
      <c r="B593" s="279" t="str">
        <f t="shared" si="240"/>
        <v/>
      </c>
      <c r="C593" s="279"/>
      <c r="D593" s="279"/>
      <c r="E593" s="279" t="str">
        <f t="shared" si="238"/>
        <v/>
      </c>
      <c r="F593" t="s">
        <v>535</v>
      </c>
      <c r="G593" s="188">
        <v>44684</v>
      </c>
      <c r="H593" s="10"/>
      <c r="I593" s="10"/>
      <c r="J593" s="10" t="s">
        <v>405</v>
      </c>
      <c r="K593" s="15" t="s">
        <v>48</v>
      </c>
      <c r="L593" s="10" t="s">
        <v>2713</v>
      </c>
      <c r="M593" s="16" t="s">
        <v>559</v>
      </c>
      <c r="N593" s="16"/>
      <c r="O593" s="166"/>
      <c r="P593" s="166"/>
      <c r="Q593" s="231" t="str">
        <f t="shared" si="232"/>
        <v>. Positive Battery Distribution Box</v>
      </c>
      <c r="R593" s="231"/>
      <c r="S593" s="231" t="str">
        <f t="shared" si="241"/>
        <v/>
      </c>
      <c r="T593" s="231" t="str">
        <f>IF(O593&lt;&gt;"",_xlfn.XLOOKUP(O593,'3D. Pictures'!B:B,'3D. Pictures'!E:E,"NOT FOUND",0,1),"")</f>
        <v/>
      </c>
      <c r="U593" s="16"/>
      <c r="V593" s="16"/>
      <c r="W593" s="16"/>
      <c r="X593" s="16"/>
      <c r="Y593"/>
      <c r="Z593" s="16"/>
      <c r="AA593" s="10" t="s">
        <v>2657</v>
      </c>
      <c r="AB593" s="10" t="s">
        <v>2657</v>
      </c>
      <c r="AC593" s="359" t="str">
        <f t="shared" si="239"/>
        <v>6x6 inch flat w/ red plastic on top &amp; black on bottom</v>
      </c>
      <c r="AD593" s="10"/>
      <c r="AE593" s="10" t="s">
        <v>2658</v>
      </c>
      <c r="AF593" s="168" t="s">
        <v>543</v>
      </c>
      <c r="AG593" s="10"/>
      <c r="AH593" s="10"/>
      <c r="AI593" s="380" t="str">
        <f t="shared" si="242"/>
        <v/>
      </c>
      <c r="AJ593" s="3" t="s">
        <v>408</v>
      </c>
      <c r="AK593" s="3" t="s">
        <v>425</v>
      </c>
      <c r="AL593" s="204" t="s">
        <v>2175</v>
      </c>
      <c r="AN593" s="176"/>
      <c r="AO593" s="176"/>
      <c r="AP593" s="176"/>
      <c r="AQ593" s="176"/>
      <c r="AR593" s="176"/>
      <c r="AS593" s="176"/>
      <c r="AT593" s="176"/>
      <c r="AU593" s="176"/>
      <c r="AV593" s="176"/>
      <c r="AW593" s="176"/>
      <c r="AX593" s="279" t="str">
        <f t="shared" si="223"/>
        <v/>
      </c>
    </row>
    <row r="594" spans="1:50" x14ac:dyDescent="0.25">
      <c r="A594" s="190" t="str">
        <f t="shared" si="235"/>
        <v/>
      </c>
      <c r="B594" s="279" t="str">
        <f t="shared" si="240"/>
        <v/>
      </c>
      <c r="C594" s="279"/>
      <c r="D594" s="279"/>
      <c r="E594" s="279" t="str">
        <f t="shared" si="238"/>
        <v/>
      </c>
      <c r="F594" t="s">
        <v>535</v>
      </c>
      <c r="G594" s="188">
        <v>44684</v>
      </c>
      <c r="H594" s="10"/>
      <c r="I594" s="10"/>
      <c r="J594" s="10" t="s">
        <v>405</v>
      </c>
      <c r="K594" s="15" t="s">
        <v>48</v>
      </c>
      <c r="L594" s="10" t="s">
        <v>1210</v>
      </c>
      <c r="M594" s="16" t="s">
        <v>559</v>
      </c>
      <c r="N594" s="16"/>
      <c r="O594" s="166"/>
      <c r="P594" s="166"/>
      <c r="Q594" s="231" t="str">
        <f t="shared" si="232"/>
        <v>. Switch/Button, Trunk Open Close Switch Button</v>
      </c>
      <c r="R594" s="231"/>
      <c r="S594" s="231" t="str">
        <f t="shared" si="241"/>
        <v/>
      </c>
      <c r="T594" s="231" t="str">
        <f>IF(O594&lt;&gt;"",_xlfn.XLOOKUP(O594,'3D. Pictures'!B:B,'3D. Pictures'!E:E,"NOT FOUND",0,1),"")</f>
        <v/>
      </c>
      <c r="U594" s="16"/>
      <c r="V594" s="16"/>
      <c r="W594" s="16"/>
      <c r="X594" s="16"/>
      <c r="Y594"/>
      <c r="Z594" s="16"/>
      <c r="AA594" s="10" t="s">
        <v>2661</v>
      </c>
      <c r="AB594" s="10" t="s">
        <v>2661</v>
      </c>
      <c r="AC594" s="359" t="str">
        <f t="shared" si="239"/>
        <v>trunk mounted</v>
      </c>
      <c r="AD594" s="10"/>
      <c r="AE594" s="10" t="s">
        <v>2659</v>
      </c>
      <c r="AF594" s="168" t="s">
        <v>543</v>
      </c>
      <c r="AG594" s="10"/>
      <c r="AH594" s="10"/>
      <c r="AI594" s="380" t="str">
        <f t="shared" si="242"/>
        <v/>
      </c>
      <c r="AJ594" s="3" t="s">
        <v>408</v>
      </c>
      <c r="AK594" s="3" t="s">
        <v>425</v>
      </c>
      <c r="AL594" s="204" t="s">
        <v>2175</v>
      </c>
      <c r="AN594"/>
      <c r="AX594" s="279" t="str">
        <f t="shared" si="223"/>
        <v/>
      </c>
    </row>
    <row r="595" spans="1:50" x14ac:dyDescent="0.25">
      <c r="A595" s="190" t="str">
        <f t="shared" si="235"/>
        <v/>
      </c>
      <c r="B595" s="279" t="str">
        <f t="shared" si="240"/>
        <v/>
      </c>
      <c r="C595" s="279"/>
      <c r="D595" s="279"/>
      <c r="E595" s="279" t="str">
        <f t="shared" si="238"/>
        <v/>
      </c>
      <c r="F595" t="s">
        <v>535</v>
      </c>
      <c r="G595" s="188">
        <v>44674</v>
      </c>
      <c r="H595" s="10"/>
      <c r="I595" s="10"/>
      <c r="J595" s="10" t="s">
        <v>405</v>
      </c>
      <c r="K595" s="10" t="s">
        <v>48</v>
      </c>
      <c r="L595" s="10" t="s">
        <v>2714</v>
      </c>
      <c r="M595" s="189" t="s">
        <v>560</v>
      </c>
      <c r="N595" s="189"/>
      <c r="O595" s="233"/>
      <c r="P595" s="233"/>
      <c r="Q595" s="231" t="str">
        <f t="shared" si="232"/>
        <v>. Wiper Arm, REAR</v>
      </c>
      <c r="R595" s="231"/>
      <c r="S595" s="231" t="str">
        <f t="shared" si="241"/>
        <v/>
      </c>
      <c r="T595" s="231" t="str">
        <f>IF(O595&lt;&gt;"",_xlfn.XLOOKUP(O595,'3D. Pictures'!B:B,'3D. Pictures'!E:E,"NOT FOUND",0,1),"")</f>
        <v/>
      </c>
      <c r="U595" s="189"/>
      <c r="V595" s="168"/>
      <c r="W595" s="189"/>
      <c r="X595" s="168"/>
      <c r="Y595"/>
      <c r="Z595" s="168"/>
      <c r="AA595" s="10" t="s">
        <v>434</v>
      </c>
      <c r="AB595" s="10" t="s">
        <v>434</v>
      </c>
      <c r="AC595" s="359" t="str">
        <f t="shared" si="239"/>
        <v/>
      </c>
      <c r="AD595" s="10"/>
      <c r="AE595" s="10"/>
      <c r="AF595" s="168" t="s">
        <v>543</v>
      </c>
      <c r="AG595" s="10"/>
      <c r="AH595" s="10"/>
      <c r="AI595" s="380" t="str">
        <f t="shared" si="242"/>
        <v/>
      </c>
      <c r="AJ595" s="3" t="s">
        <v>408</v>
      </c>
      <c r="AK595" s="3" t="s">
        <v>425</v>
      </c>
      <c r="AL595" s="204" t="s">
        <v>2175</v>
      </c>
      <c r="AN595" s="176"/>
      <c r="AO595" t="s">
        <v>572</v>
      </c>
      <c r="AP595" s="176"/>
      <c r="AQ595" s="176"/>
      <c r="AR595" s="176"/>
      <c r="AS595" s="176"/>
      <c r="AT595" s="176"/>
      <c r="AU595" s="176"/>
      <c r="AV595" s="176"/>
      <c r="AW595" s="176"/>
      <c r="AX595" s="279" t="str">
        <f t="shared" si="223"/>
        <v/>
      </c>
    </row>
    <row r="596" spans="1:50" x14ac:dyDescent="0.25">
      <c r="A596" s="190" t="str">
        <f t="shared" si="235"/>
        <v/>
      </c>
      <c r="B596" s="279" t="str">
        <f t="shared" si="240"/>
        <v/>
      </c>
      <c r="C596" s="279"/>
      <c r="D596" s="279"/>
      <c r="E596" s="279" t="str">
        <f t="shared" si="238"/>
        <v/>
      </c>
      <c r="F596" t="s">
        <v>535</v>
      </c>
      <c r="G596" s="188">
        <v>44684</v>
      </c>
      <c r="H596" s="19"/>
      <c r="I596" s="168" t="s">
        <v>7</v>
      </c>
      <c r="J596" s="180" t="s">
        <v>2772</v>
      </c>
      <c r="K596" s="168" t="s">
        <v>2766</v>
      </c>
      <c r="L596" s="168" t="s">
        <v>47</v>
      </c>
      <c r="M596" s="170" t="s">
        <v>558</v>
      </c>
      <c r="N596" s="170"/>
      <c r="O596" s="237"/>
      <c r="P596" s="237"/>
      <c r="Q596" s="231" t="str">
        <f t="shared" si="232"/>
        <v>. Wheels (ask DRF - tons of options)</v>
      </c>
      <c r="R596" s="231"/>
      <c r="S596" s="231" t="str">
        <f t="shared" si="241"/>
        <v/>
      </c>
      <c r="T596" s="231" t="str">
        <f>IF(O596&lt;&gt;"",_xlfn.XLOOKUP(O596,'3D. Pictures'!B:B,'3D. Pictures'!E:E,"NOT FOUND",0,1),"")</f>
        <v/>
      </c>
      <c r="U596" s="170"/>
      <c r="V596" s="168"/>
      <c r="W596" s="170"/>
      <c r="X596" s="168"/>
      <c r="Y596"/>
      <c r="Z596" s="168"/>
      <c r="AA596" s="168" t="s">
        <v>285</v>
      </c>
      <c r="AB596" s="168" t="s">
        <v>285</v>
      </c>
      <c r="AC596" s="247" t="str">
        <f t="shared" si="239"/>
        <v/>
      </c>
      <c r="AD596" s="168"/>
      <c r="AE596" s="168"/>
      <c r="AF596" s="168" t="s">
        <v>543</v>
      </c>
      <c r="AG596" s="168"/>
      <c r="AH596" s="168" t="s">
        <v>477</v>
      </c>
      <c r="AI596" s="380" t="str">
        <f t="shared" si="242"/>
        <v>Ask DRF</v>
      </c>
      <c r="AJ596" s="3" t="s">
        <v>408</v>
      </c>
      <c r="AK596" s="3" t="s">
        <v>425</v>
      </c>
      <c r="AL596" s="204" t="s">
        <v>2175</v>
      </c>
      <c r="AM596" s="138"/>
      <c r="AN596"/>
      <c r="AO596" t="s">
        <v>572</v>
      </c>
      <c r="AX596" s="279" t="str">
        <f t="shared" si="223"/>
        <v/>
      </c>
    </row>
    <row r="597" spans="1:50" ht="15.75" thickBot="1" x14ac:dyDescent="0.3">
      <c r="A597" s="190" t="str">
        <f t="shared" si="235"/>
        <v/>
      </c>
      <c r="B597" s="279" t="str">
        <f t="shared" si="240"/>
        <v>560-86054</v>
      </c>
      <c r="C597" s="279" t="s">
        <v>2139</v>
      </c>
      <c r="D597" s="279"/>
      <c r="E597" s="279">
        <f t="shared" si="238"/>
        <v>3</v>
      </c>
      <c r="F597" s="190" t="s">
        <v>535</v>
      </c>
      <c r="G597" s="198">
        <v>45219</v>
      </c>
      <c r="H597" s="210"/>
      <c r="I597" s="201"/>
      <c r="J597" s="202" t="s">
        <v>402</v>
      </c>
      <c r="K597" s="201" t="s">
        <v>2766</v>
      </c>
      <c r="L597" s="201" t="s">
        <v>47</v>
      </c>
      <c r="M597" s="200" t="s">
        <v>558</v>
      </c>
      <c r="N597" s="200"/>
      <c r="O597" s="230"/>
      <c r="P597" s="230"/>
      <c r="Q597" s="231" t="str">
        <f t="shared" si="232"/>
        <v>. Wheels SET 4 (560-86059 x2 &amp; 560-86054 x2)</v>
      </c>
      <c r="R597" s="206"/>
      <c r="S597" s="206" t="str">
        <f t="shared" si="241"/>
        <v/>
      </c>
      <c r="T597" s="206" t="str">
        <f>IF(O597&lt;&gt;"",_xlfn.XLOOKUP(O597,'3D. Pictures'!B:B,'3D. Pictures'!E:E,"NOT FOUND",0,1),"")</f>
        <v/>
      </c>
      <c r="U597" s="200"/>
      <c r="V597" s="201" t="s">
        <v>1296</v>
      </c>
      <c r="W597" s="200" t="s">
        <v>111</v>
      </c>
      <c r="X597" s="201"/>
      <c r="Y597"/>
      <c r="Z597" s="201"/>
      <c r="AA597" s="201" t="s">
        <v>2528</v>
      </c>
      <c r="AB597" s="201" t="s">
        <v>2528</v>
      </c>
      <c r="AC597" s="247" t="str">
        <f t="shared" si="239"/>
        <v>sell as SET/4, but sell singles if 1 bad</v>
      </c>
      <c r="AD597" s="201" t="s">
        <v>1298</v>
      </c>
      <c r="AE597" s="201"/>
      <c r="AF597" s="201" t="s">
        <v>1297</v>
      </c>
      <c r="AG597" s="201"/>
      <c r="AH597" s="168">
        <v>1000</v>
      </c>
      <c r="AI597" s="380">
        <f t="shared" si="242"/>
        <v>1000</v>
      </c>
      <c r="AJ597" s="204" t="s">
        <v>408</v>
      </c>
      <c r="AK597" s="204" t="s">
        <v>425</v>
      </c>
      <c r="AL597" s="204" t="s">
        <v>2805</v>
      </c>
      <c r="AM597" s="211"/>
      <c r="AN597" s="190">
        <v>560</v>
      </c>
      <c r="AO597" s="190" t="s">
        <v>572</v>
      </c>
      <c r="AP597" s="190">
        <v>86054</v>
      </c>
      <c r="AQ597" s="190" t="str">
        <f>CONCATENATE(AN597,AO597,AP597)</f>
        <v>560-86054</v>
      </c>
      <c r="AR597" s="190"/>
      <c r="AS597" s="190"/>
      <c r="AT597" s="190"/>
      <c r="AU597" s="190"/>
      <c r="AV597" s="190"/>
      <c r="AW597" s="190"/>
      <c r="AX597" s="279" t="str">
        <f t="shared" si="223"/>
        <v/>
      </c>
    </row>
    <row r="598" spans="1:50" ht="15.75" thickBot="1" x14ac:dyDescent="0.3">
      <c r="A598" s="190" t="str">
        <f t="shared" si="235"/>
        <v>A87</v>
      </c>
      <c r="B598" s="279" t="str">
        <f t="shared" si="240"/>
        <v>560-86054</v>
      </c>
      <c r="C598" s="279" t="s">
        <v>2140</v>
      </c>
      <c r="D598" s="279" t="s">
        <v>989</v>
      </c>
      <c r="E598" s="279">
        <f t="shared" si="238"/>
        <v>3</v>
      </c>
      <c r="F598" s="190" t="s">
        <v>535</v>
      </c>
      <c r="G598" s="198">
        <v>45219</v>
      </c>
      <c r="H598" s="210"/>
      <c r="I598" s="201"/>
      <c r="J598" s="202" t="s">
        <v>402</v>
      </c>
      <c r="K598" s="201" t="s">
        <v>2766</v>
      </c>
      <c r="L598" s="201" t="s">
        <v>47</v>
      </c>
      <c r="M598" s="200" t="s">
        <v>558</v>
      </c>
      <c r="N598" s="200">
        <v>77</v>
      </c>
      <c r="O598" s="230" t="s">
        <v>989</v>
      </c>
      <c r="P598" s="230" t="s">
        <v>1300</v>
      </c>
      <c r="Q598" s="231" t="str">
        <f t="shared" si="232"/>
        <v>A87. Wheel, FRONT - LEFT or RIGHT</v>
      </c>
      <c r="R598" s="284" t="str">
        <f>HYPERLINK(VLOOKUP(O598,'3D. Pictures'!$B$3:$E$500,4,FALSE),"PIC")</f>
        <v>PIC</v>
      </c>
      <c r="S598" s="373" t="str">
        <f t="shared" si="241"/>
        <v>E.G.</v>
      </c>
      <c r="T598" s="377" t="str">
        <f>IF(O598&lt;&gt;"",_xlfn.XLOOKUP(O598,'3D. Pictures'!B:B,'3D. Pictures'!E:E,"NOT FOUND",0,1),"")</f>
        <v>https://viking-pictures.s3.us-west-1.amazonaws.com/AA1155/A87.+Wheel%2C+FRONT+-+LEFT+or+RIGHT+(1).JPG</v>
      </c>
      <c r="U598" s="200">
        <v>9</v>
      </c>
      <c r="V598" s="201" t="s">
        <v>1299</v>
      </c>
      <c r="W598" s="200" t="s">
        <v>111</v>
      </c>
      <c r="X598" s="201" t="s">
        <v>2470</v>
      </c>
      <c r="Y598" t="s">
        <v>2742</v>
      </c>
      <c r="Z598" s="201"/>
      <c r="AA598" s="201" t="s">
        <v>2746</v>
      </c>
      <c r="AB598" s="201" t="s">
        <v>2746</v>
      </c>
      <c r="AC598" s="247" t="str">
        <f t="shared" si="239"/>
        <v/>
      </c>
      <c r="AD598" s="201"/>
      <c r="AE598" s="201"/>
      <c r="AF598" s="201" t="s">
        <v>543</v>
      </c>
      <c r="AG598" s="201"/>
      <c r="AH598" s="168">
        <v>350</v>
      </c>
      <c r="AI598" s="380">
        <f t="shared" si="242"/>
        <v>350</v>
      </c>
      <c r="AJ598" s="204" t="s">
        <v>408</v>
      </c>
      <c r="AK598" s="204" t="s">
        <v>425</v>
      </c>
      <c r="AL598" s="204" t="s">
        <v>2805</v>
      </c>
      <c r="AM598" s="211"/>
      <c r="AN598" s="190">
        <v>560</v>
      </c>
      <c r="AO598" s="190" t="s">
        <v>572</v>
      </c>
      <c r="AP598" s="190">
        <v>86054</v>
      </c>
      <c r="AQ598" s="190" t="str">
        <f>CONCATENATE(AN598,AO598,AP598)</f>
        <v>560-86054</v>
      </c>
      <c r="AR598" s="190"/>
      <c r="AS598" s="190"/>
      <c r="AT598" s="190"/>
      <c r="AU598" s="190"/>
      <c r="AV598" s="190"/>
      <c r="AW598" s="190"/>
      <c r="AX598" s="279" t="str">
        <f t="shared" si="223"/>
        <v/>
      </c>
    </row>
    <row r="599" spans="1:50" ht="15.75" thickBot="1" x14ac:dyDescent="0.3">
      <c r="A599" s="190" t="str">
        <f t="shared" si="235"/>
        <v>A88</v>
      </c>
      <c r="B599" s="279" t="str">
        <f t="shared" si="240"/>
        <v>560-86054</v>
      </c>
      <c r="C599" s="279" t="s">
        <v>2140</v>
      </c>
      <c r="D599" s="279" t="s">
        <v>990</v>
      </c>
      <c r="E599" s="279">
        <f t="shared" si="238"/>
        <v>3</v>
      </c>
      <c r="F599" s="190" t="s">
        <v>535</v>
      </c>
      <c r="G599" s="198">
        <v>45219</v>
      </c>
      <c r="H599" s="210"/>
      <c r="I599" s="201"/>
      <c r="J599" s="202" t="s">
        <v>402</v>
      </c>
      <c r="K599" s="201" t="s">
        <v>2766</v>
      </c>
      <c r="L599" s="201" t="s">
        <v>47</v>
      </c>
      <c r="M599" s="200" t="s">
        <v>558</v>
      </c>
      <c r="N599" s="200">
        <v>78</v>
      </c>
      <c r="O599" s="230" t="s">
        <v>990</v>
      </c>
      <c r="P599" s="230" t="s">
        <v>1300</v>
      </c>
      <c r="Q599" s="231" t="str">
        <f t="shared" si="232"/>
        <v>A88. Wheel, FRONT - LEFT or RIGHT</v>
      </c>
      <c r="R599" s="284" t="str">
        <f>HYPERLINK(VLOOKUP(O599,'3D. Pictures'!$B$3:$E$500,4,FALSE),"PIC")</f>
        <v>PIC</v>
      </c>
      <c r="S599" s="373" t="str">
        <f t="shared" si="241"/>
        <v>E.G.</v>
      </c>
      <c r="T599" s="377" t="str">
        <f>IF(O599&lt;&gt;"",_xlfn.XLOOKUP(O599,'3D. Pictures'!B:B,'3D. Pictures'!E:E,"NOT FOUND",0,1),"")</f>
        <v>https://viking-pictures.s3.us-west-1.amazonaws.com/AA1155/A88.+Wheel%2C+FRONT+-+LEFT+or+RIGHT+(1).JPG</v>
      </c>
      <c r="U599" s="200">
        <v>9</v>
      </c>
      <c r="V599" s="201" t="s">
        <v>1299</v>
      </c>
      <c r="W599" s="200" t="s">
        <v>111</v>
      </c>
      <c r="X599" s="201" t="s">
        <v>2470</v>
      </c>
      <c r="Y599" t="s">
        <v>2743</v>
      </c>
      <c r="Z599" s="201"/>
      <c r="AA599" s="201" t="s">
        <v>2746</v>
      </c>
      <c r="AB599" s="201" t="s">
        <v>2746</v>
      </c>
      <c r="AC599" s="247" t="str">
        <f t="shared" si="239"/>
        <v/>
      </c>
      <c r="AD599" s="201"/>
      <c r="AE599" s="201"/>
      <c r="AF599" s="201" t="s">
        <v>543</v>
      </c>
      <c r="AG599" s="201"/>
      <c r="AH599" s="168">
        <v>350</v>
      </c>
      <c r="AI599" s="380">
        <f t="shared" si="242"/>
        <v>350</v>
      </c>
      <c r="AJ599" s="204" t="s">
        <v>408</v>
      </c>
      <c r="AK599" s="204" t="s">
        <v>425</v>
      </c>
      <c r="AL599" s="204" t="s">
        <v>2805</v>
      </c>
      <c r="AM599" s="211"/>
      <c r="AN599" s="190">
        <v>560</v>
      </c>
      <c r="AO599" s="190" t="s">
        <v>572</v>
      </c>
      <c r="AP599" s="190">
        <v>86054</v>
      </c>
      <c r="AQ599" s="190" t="str">
        <f>CONCATENATE(AN599,AO599,AP599)</f>
        <v>560-86054</v>
      </c>
      <c r="AR599" s="190"/>
      <c r="AS599" s="190"/>
      <c r="AT599" s="190"/>
      <c r="AU599" s="190"/>
      <c r="AV599" s="190"/>
      <c r="AW599" s="190"/>
      <c r="AX599" s="279" t="str">
        <f t="shared" si="223"/>
        <v/>
      </c>
    </row>
    <row r="600" spans="1:50" ht="15.75" thickBot="1" x14ac:dyDescent="0.3">
      <c r="A600" s="190" t="str">
        <f t="shared" si="235"/>
        <v>A89</v>
      </c>
      <c r="B600" s="279" t="str">
        <f t="shared" si="240"/>
        <v>560-86059</v>
      </c>
      <c r="C600" s="279"/>
      <c r="D600" s="279"/>
      <c r="E600" s="279">
        <f t="shared" si="238"/>
        <v>2</v>
      </c>
      <c r="F600" s="190" t="s">
        <v>535</v>
      </c>
      <c r="G600" s="198">
        <v>45219</v>
      </c>
      <c r="H600" s="210"/>
      <c r="I600" s="201"/>
      <c r="J600" s="202" t="s">
        <v>402</v>
      </c>
      <c r="K600" s="201" t="s">
        <v>2766</v>
      </c>
      <c r="L600" s="201" t="s">
        <v>47</v>
      </c>
      <c r="M600" s="200" t="s">
        <v>558</v>
      </c>
      <c r="N600" s="200">
        <v>79</v>
      </c>
      <c r="O600" s="230" t="s">
        <v>991</v>
      </c>
      <c r="P600" s="230" t="s">
        <v>1300</v>
      </c>
      <c r="Q600" s="231" t="str">
        <f t="shared" si="232"/>
        <v>A89. Wheel, REAR - LEFT or RIGHT</v>
      </c>
      <c r="R600" s="284" t="str">
        <f>HYPERLINK(VLOOKUP(O600,'3D. Pictures'!$B$3:$E$500,4,FALSE),"PIC")</f>
        <v>PIC</v>
      </c>
      <c r="S600" s="373" t="str">
        <f t="shared" si="241"/>
        <v>E.G.</v>
      </c>
      <c r="T600" s="377" t="str">
        <f>IF(O600&lt;&gt;"",_xlfn.XLOOKUP(O600,'3D. Pictures'!B:B,'3D. Pictures'!E:E,"NOT FOUND",0,1),"")</f>
        <v>https://viking-pictures.s3.us-west-1.amazonaws.com/AA1155/A89.+Wheel%2C+REAR+-+LEFT+or+RIGHT+(1).JPG</v>
      </c>
      <c r="U600" s="200">
        <v>9</v>
      </c>
      <c r="V600" s="201" t="s">
        <v>2151</v>
      </c>
      <c r="W600" s="200" t="s">
        <v>111</v>
      </c>
      <c r="X600" s="201" t="s">
        <v>2470</v>
      </c>
      <c r="Y600" t="s">
        <v>2744</v>
      </c>
      <c r="Z600" s="201"/>
      <c r="AA600" s="201" t="s">
        <v>2747</v>
      </c>
      <c r="AB600" s="201" t="s">
        <v>2747</v>
      </c>
      <c r="AC600" s="247" t="str">
        <f t="shared" si="239"/>
        <v/>
      </c>
      <c r="AD600" s="201"/>
      <c r="AE600" s="201"/>
      <c r="AF600" s="201" t="s">
        <v>543</v>
      </c>
      <c r="AG600" s="201"/>
      <c r="AH600" s="168">
        <v>350</v>
      </c>
      <c r="AI600" s="380">
        <f t="shared" si="242"/>
        <v>350</v>
      </c>
      <c r="AJ600" s="204" t="s">
        <v>408</v>
      </c>
      <c r="AK600" s="204" t="s">
        <v>425</v>
      </c>
      <c r="AL600" s="204" t="s">
        <v>2805</v>
      </c>
      <c r="AM600" s="211"/>
      <c r="AN600" s="190">
        <v>560</v>
      </c>
      <c r="AO600" s="190" t="s">
        <v>572</v>
      </c>
      <c r="AP600" s="190">
        <v>86059</v>
      </c>
      <c r="AQ600" s="190" t="str">
        <f>CONCATENATE(AN600,AO600,AP600)</f>
        <v>560-86059</v>
      </c>
      <c r="AR600" s="190"/>
      <c r="AS600" s="190"/>
      <c r="AT600" s="190"/>
      <c r="AU600" s="190"/>
      <c r="AV600" s="190"/>
      <c r="AW600" s="190"/>
      <c r="AX600" s="279" t="str">
        <f t="shared" si="223"/>
        <v/>
      </c>
    </row>
    <row r="601" spans="1:50" ht="15.75" thickBot="1" x14ac:dyDescent="0.3">
      <c r="A601" s="190" t="str">
        <f t="shared" si="235"/>
        <v/>
      </c>
      <c r="B601" s="279" t="str">
        <f t="shared" si="240"/>
        <v>560-86059</v>
      </c>
      <c r="C601" s="279"/>
      <c r="D601" s="279"/>
      <c r="E601" s="279">
        <f t="shared" si="238"/>
        <v>2</v>
      </c>
      <c r="F601" s="190" t="s">
        <v>535</v>
      </c>
      <c r="G601" s="198">
        <v>45219</v>
      </c>
      <c r="H601" s="210"/>
      <c r="I601" s="201"/>
      <c r="J601" s="202" t="s">
        <v>402</v>
      </c>
      <c r="K601" s="201" t="s">
        <v>2766</v>
      </c>
      <c r="L601" s="201" t="s">
        <v>47</v>
      </c>
      <c r="M601" s="200" t="s">
        <v>558</v>
      </c>
      <c r="N601" s="200"/>
      <c r="O601" s="230"/>
      <c r="P601" s="230"/>
      <c r="Q601" s="231" t="str">
        <f t="shared" si="232"/>
        <v>. Wheel, REAR - LEFT or RIGHT</v>
      </c>
      <c r="R601" s="206"/>
      <c r="S601" s="206" t="str">
        <f t="shared" si="241"/>
        <v/>
      </c>
      <c r="T601" s="206" t="str">
        <f>IF(O601&lt;&gt;"",_xlfn.XLOOKUP(O601,'3D. Pictures'!B:B,'3D. Pictures'!E:E,"NOT FOUND",0,1),"")</f>
        <v/>
      </c>
      <c r="U601" s="200"/>
      <c r="V601" s="201" t="s">
        <v>2151</v>
      </c>
      <c r="W601" s="200" t="s">
        <v>111</v>
      </c>
      <c r="X601" s="201"/>
      <c r="Y601" t="s">
        <v>2745</v>
      </c>
      <c r="Z601" s="201"/>
      <c r="AA601" s="201" t="s">
        <v>2747</v>
      </c>
      <c r="AB601" s="201" t="s">
        <v>2747</v>
      </c>
      <c r="AC601" s="247" t="str">
        <f t="shared" si="239"/>
        <v/>
      </c>
      <c r="AD601" s="201"/>
      <c r="AE601" s="201"/>
      <c r="AF601" s="201" t="s">
        <v>543</v>
      </c>
      <c r="AG601" s="201"/>
      <c r="AH601" s="168">
        <v>350</v>
      </c>
      <c r="AI601" s="380">
        <f t="shared" si="242"/>
        <v>350</v>
      </c>
      <c r="AJ601" s="204" t="s">
        <v>408</v>
      </c>
      <c r="AK601" s="204" t="s">
        <v>425</v>
      </c>
      <c r="AL601" s="204" t="s">
        <v>2805</v>
      </c>
      <c r="AM601" s="211"/>
      <c r="AN601" s="190">
        <v>560</v>
      </c>
      <c r="AO601" s="190" t="s">
        <v>572</v>
      </c>
      <c r="AP601" s="190">
        <v>86059</v>
      </c>
      <c r="AQ601" s="190" t="str">
        <f>CONCATENATE(AN601,AO601,AP601)</f>
        <v>560-86059</v>
      </c>
      <c r="AR601" s="190"/>
      <c r="AS601" s="190"/>
      <c r="AT601" s="190"/>
      <c r="AU601" s="190"/>
      <c r="AV601" s="190"/>
      <c r="AW601" s="190"/>
      <c r="AX601" s="279" t="str">
        <f t="shared" si="223"/>
        <v/>
      </c>
    </row>
    <row r="602" spans="1:50" ht="15.75" thickBot="1" x14ac:dyDescent="0.3">
      <c r="A602" s="190" t="str">
        <f t="shared" si="235"/>
        <v>A24</v>
      </c>
      <c r="B602" s="279" t="str">
        <f t="shared" si="240"/>
        <v/>
      </c>
      <c r="C602" s="279"/>
      <c r="D602" s="279"/>
      <c r="E602" s="279" t="str">
        <f t="shared" si="238"/>
        <v/>
      </c>
      <c r="F602" s="241" t="s">
        <v>536</v>
      </c>
      <c r="G602" s="242">
        <v>44936</v>
      </c>
      <c r="H602" s="263"/>
      <c r="I602" s="263"/>
      <c r="J602" s="243" t="s">
        <v>402</v>
      </c>
      <c r="K602" s="243" t="s">
        <v>2766</v>
      </c>
      <c r="L602" s="243" t="s">
        <v>439</v>
      </c>
      <c r="M602" s="243" t="s">
        <v>559</v>
      </c>
      <c r="N602" s="243">
        <v>14</v>
      </c>
      <c r="O602" s="244" t="s">
        <v>926</v>
      </c>
      <c r="P602" s="244" t="s">
        <v>1035</v>
      </c>
      <c r="Q602" s="231" t="str">
        <f t="shared" si="232"/>
        <v>A24. TPMS Tire Pressure Sensor SET 4</v>
      </c>
      <c r="R602" s="284" t="str">
        <f>HYPERLINK(VLOOKUP(O602,'3D. Pictures'!$B$3:$E$500,4,FALSE),"PIC")</f>
        <v>PIC</v>
      </c>
      <c r="S602" s="373" t="str">
        <f t="shared" si="241"/>
        <v>E.G.</v>
      </c>
      <c r="T602" s="377" t="str">
        <f>IF(O602&lt;&gt;"",_xlfn.XLOOKUP(O602,'3D. Pictures'!B:B,'3D. Pictures'!E:E,"NOT FOUND",0,1),"")</f>
        <v>https://viking-pictures.s3.us-west-1.amazonaws.com/AA1155/A24.+TPMS+Tire+Pressure+Sensor+SET+4+(1).JPG</v>
      </c>
      <c r="U602" s="243">
        <v>3</v>
      </c>
      <c r="V602" s="243">
        <v>6855539</v>
      </c>
      <c r="W602" s="243" t="s">
        <v>111</v>
      </c>
      <c r="X602" s="243"/>
      <c r="Y602"/>
      <c r="Z602" s="243"/>
      <c r="AA602" s="243" t="s">
        <v>2518</v>
      </c>
      <c r="AB602" s="243" t="s">
        <v>2518</v>
      </c>
      <c r="AC602" s="358" t="str">
        <f t="shared" si="239"/>
        <v>if 1 bad toss all</v>
      </c>
      <c r="AD602" s="243" t="s">
        <v>1163</v>
      </c>
      <c r="AE602" s="243"/>
      <c r="AF602" s="179" t="s">
        <v>541</v>
      </c>
      <c r="AG602" s="243"/>
      <c r="AH602" s="16">
        <v>75</v>
      </c>
      <c r="AI602" s="380">
        <f t="shared" si="242"/>
        <v>75</v>
      </c>
      <c r="AJ602" s="246" t="s">
        <v>408</v>
      </c>
      <c r="AK602" s="246" t="s">
        <v>425</v>
      </c>
      <c r="AL602" s="204" t="s">
        <v>2175</v>
      </c>
      <c r="AM602" s="241"/>
      <c r="AN602" s="241"/>
      <c r="AO602" s="241"/>
      <c r="AP602" s="241"/>
      <c r="AQ602" s="241"/>
      <c r="AR602" s="241"/>
      <c r="AS602" s="241" t="s">
        <v>1028</v>
      </c>
      <c r="AT602" s="241" t="s">
        <v>1029</v>
      </c>
      <c r="AU602" s="241" t="s">
        <v>1030</v>
      </c>
      <c r="AV602" s="303" t="str">
        <f t="shared" ref="AV602" si="243">CONCATENATE(AS602,"-",AT602,"-",AU602)</f>
        <v>F15-14-18-ALL</v>
      </c>
      <c r="AW602" s="241" t="s">
        <v>2449</v>
      </c>
      <c r="AX602" s="279" t="str">
        <f t="shared" si="223"/>
        <v>F15-14-18-ALL-Viking83</v>
      </c>
    </row>
    <row r="603" spans="1:50" x14ac:dyDescent="0.25">
      <c r="A603" s="190" t="str">
        <f t="shared" si="235"/>
        <v/>
      </c>
      <c r="B603" s="279" t="str">
        <f t="shared" si="240"/>
        <v/>
      </c>
      <c r="C603" s="279"/>
      <c r="D603" s="279"/>
      <c r="E603" s="279" t="str">
        <f t="shared" si="238"/>
        <v/>
      </c>
      <c r="F603" t="s">
        <v>536</v>
      </c>
      <c r="G603" s="188">
        <v>44998</v>
      </c>
      <c r="H603" s="16"/>
      <c r="I603" s="16"/>
      <c r="J603" s="166" t="s">
        <v>402</v>
      </c>
      <c r="K603" s="166" t="s">
        <v>2766</v>
      </c>
      <c r="L603" s="166" t="s">
        <v>286</v>
      </c>
      <c r="M603" s="16" t="s">
        <v>559</v>
      </c>
      <c r="N603" s="16"/>
      <c r="O603" s="166"/>
      <c r="P603" s="166"/>
      <c r="Q603" s="231" t="str">
        <f t="shared" si="232"/>
        <v>. Wheel Lock Nuts &amp; Key</v>
      </c>
      <c r="R603" s="231"/>
      <c r="S603" s="231" t="str">
        <f t="shared" si="241"/>
        <v/>
      </c>
      <c r="T603" s="231" t="str">
        <f>IF(O603&lt;&gt;"",_xlfn.XLOOKUP(O603,'3D. Pictures'!B:B,'3D. Pictures'!E:E,"NOT FOUND",0,1),"")</f>
        <v/>
      </c>
      <c r="U603" s="166"/>
      <c r="V603" s="166"/>
      <c r="W603" s="166"/>
      <c r="X603" s="166"/>
      <c r="Y603"/>
      <c r="Z603" s="166"/>
      <c r="AA603" s="166" t="s">
        <v>287</v>
      </c>
      <c r="AB603" s="166" t="s">
        <v>287</v>
      </c>
      <c r="AC603" s="231" t="str">
        <f t="shared" si="239"/>
        <v>if 1 missing toss all</v>
      </c>
      <c r="AD603" s="166" t="s">
        <v>2662</v>
      </c>
      <c r="AE603" s="166"/>
      <c r="AF603" s="168" t="s">
        <v>543</v>
      </c>
      <c r="AG603" s="16"/>
      <c r="AH603" s="16">
        <v>70</v>
      </c>
      <c r="AI603" s="380">
        <f t="shared" si="242"/>
        <v>70</v>
      </c>
      <c r="AJ603" s="3" t="s">
        <v>408</v>
      </c>
      <c r="AK603" s="3" t="s">
        <v>425</v>
      </c>
      <c r="AL603" s="204" t="s">
        <v>2175</v>
      </c>
      <c r="AN603" s="176"/>
      <c r="AO603" s="176"/>
      <c r="AP603" s="176"/>
      <c r="AQ603" s="176"/>
      <c r="AR603" s="176"/>
      <c r="AS603" s="176"/>
      <c r="AT603" s="176"/>
      <c r="AU603" s="176"/>
      <c r="AV603" s="176"/>
      <c r="AW603" s="176"/>
      <c r="AX603" s="279" t="str">
        <f t="shared" si="223"/>
        <v/>
      </c>
    </row>
    <row r="604" spans="1:50" x14ac:dyDescent="0.25">
      <c r="A604" s="190" t="str">
        <f t="shared" si="235"/>
        <v/>
      </c>
      <c r="B604" s="279" t="str">
        <f t="shared" si="240"/>
        <v/>
      </c>
      <c r="C604" s="279"/>
      <c r="D604" s="279"/>
      <c r="E604" s="279" t="str">
        <f t="shared" si="238"/>
        <v/>
      </c>
      <c r="F604" t="s">
        <v>535</v>
      </c>
      <c r="G604" s="188">
        <v>44674</v>
      </c>
      <c r="H604" s="10"/>
      <c r="I604" s="10"/>
      <c r="J604" s="15" t="s">
        <v>405</v>
      </c>
      <c r="K604" s="15" t="s">
        <v>2766</v>
      </c>
      <c r="L604" s="15" t="s">
        <v>286</v>
      </c>
      <c r="M604" s="16" t="s">
        <v>559</v>
      </c>
      <c r="N604" s="16"/>
      <c r="O604" s="166"/>
      <c r="P604" s="166"/>
      <c r="Q604" s="231" t="str">
        <f t="shared" si="232"/>
        <v>. Lug Nuts</v>
      </c>
      <c r="R604" s="231"/>
      <c r="S604" s="231" t="str">
        <f t="shared" si="241"/>
        <v/>
      </c>
      <c r="T604" s="231" t="str">
        <f>IF(O604&lt;&gt;"",_xlfn.XLOOKUP(O604,'3D. Pictures'!B:B,'3D. Pictures'!E:E,"NOT FOUND",0,1),"")</f>
        <v/>
      </c>
      <c r="U604" s="166"/>
      <c r="V604" s="166"/>
      <c r="W604" s="166"/>
      <c r="X604" s="166"/>
      <c r="Y604"/>
      <c r="Z604" s="166"/>
      <c r="AA604" s="15" t="s">
        <v>286</v>
      </c>
      <c r="AB604" s="15" t="s">
        <v>286</v>
      </c>
      <c r="AC604" s="270" t="str">
        <f t="shared" si="239"/>
        <v/>
      </c>
      <c r="AD604" s="15"/>
      <c r="AE604" s="15"/>
      <c r="AF604" s="168" t="s">
        <v>543</v>
      </c>
      <c r="AG604" s="10"/>
      <c r="AH604" s="10"/>
      <c r="AI604" s="380" t="str">
        <f t="shared" si="242"/>
        <v/>
      </c>
      <c r="AJ604" s="3" t="s">
        <v>408</v>
      </c>
      <c r="AK604" s="3" t="s">
        <v>425</v>
      </c>
      <c r="AL604" s="204" t="s">
        <v>2175</v>
      </c>
      <c r="AN604" s="176"/>
      <c r="AO604" s="176"/>
      <c r="AP604" s="176"/>
      <c r="AQ604" s="176"/>
      <c r="AR604" s="176"/>
      <c r="AS604" s="176"/>
      <c r="AT604" s="176"/>
      <c r="AU604" s="176"/>
      <c r="AV604" s="176"/>
      <c r="AW604" s="176"/>
      <c r="AX604" s="279" t="str">
        <f t="shared" si="223"/>
        <v/>
      </c>
    </row>
    <row r="605" spans="1:50" x14ac:dyDescent="0.25">
      <c r="A605" s="190" t="str">
        <f t="shared" si="235"/>
        <v/>
      </c>
      <c r="B605" s="279" t="str">
        <f t="shared" si="240"/>
        <v/>
      </c>
      <c r="C605" s="279"/>
      <c r="D605" s="279"/>
      <c r="E605" s="279" t="str">
        <f t="shared" si="238"/>
        <v/>
      </c>
      <c r="F605" t="s">
        <v>535</v>
      </c>
      <c r="G605" s="188">
        <v>44674</v>
      </c>
      <c r="H605" s="10"/>
      <c r="I605" s="10"/>
      <c r="J605" s="10" t="s">
        <v>405</v>
      </c>
      <c r="K605" s="10" t="s">
        <v>2766</v>
      </c>
      <c r="L605" s="10" t="s">
        <v>2702</v>
      </c>
      <c r="M605" s="16" t="s">
        <v>559</v>
      </c>
      <c r="N605" s="16"/>
      <c r="O605" s="166"/>
      <c r="P605" s="166"/>
      <c r="Q605" s="231" t="str">
        <f t="shared" si="232"/>
        <v>. Wheel Speed Sensors</v>
      </c>
      <c r="R605" s="231"/>
      <c r="S605" s="231" t="str">
        <f t="shared" si="241"/>
        <v/>
      </c>
      <c r="T605" s="231" t="str">
        <f>IF(O605&lt;&gt;"",_xlfn.XLOOKUP(O605,'3D. Pictures'!B:B,'3D. Pictures'!E:E,"NOT FOUND",0,1),"")</f>
        <v/>
      </c>
      <c r="U605" s="16"/>
      <c r="V605" s="16"/>
      <c r="W605" s="16"/>
      <c r="X605" s="16"/>
      <c r="Y605"/>
      <c r="Z605" s="16"/>
      <c r="AA605" s="10" t="s">
        <v>2663</v>
      </c>
      <c r="AB605" s="10" t="s">
        <v>2663</v>
      </c>
      <c r="AC605" s="359" t="str">
        <f t="shared" si="239"/>
        <v>TOSS ALL</v>
      </c>
      <c r="AD605" s="10" t="s">
        <v>2575</v>
      </c>
      <c r="AE605" s="10"/>
      <c r="AF605" s="168" t="s">
        <v>543</v>
      </c>
      <c r="AG605" s="10"/>
      <c r="AH605" s="10"/>
      <c r="AI605" s="380" t="str">
        <f t="shared" si="242"/>
        <v/>
      </c>
      <c r="AJ605" s="3" t="s">
        <v>408</v>
      </c>
      <c r="AK605" s="3" t="s">
        <v>425</v>
      </c>
      <c r="AL605" s="204" t="s">
        <v>2175</v>
      </c>
      <c r="AN605"/>
      <c r="AX605" s="279" t="str">
        <f t="shared" si="223"/>
        <v/>
      </c>
    </row>
    <row r="606" spans="1:50" x14ac:dyDescent="0.25">
      <c r="A606" s="190" t="str">
        <f t="shared" si="235"/>
        <v/>
      </c>
      <c r="S606" s="102" t="str">
        <f t="shared" si="241"/>
        <v/>
      </c>
      <c r="T606" s="102" t="str">
        <f>IF(O606&lt;&gt;"",_xlfn.XLOOKUP(O606,'3D. Pictures'!B:B,'3D. Pictures'!E:E,"NOT FOUND",0,1),"")</f>
        <v/>
      </c>
      <c r="Y606"/>
      <c r="AO606" t="s">
        <v>572</v>
      </c>
    </row>
    <row r="607" spans="1:50" x14ac:dyDescent="0.25">
      <c r="A607" s="190" t="str">
        <f t="shared" si="235"/>
        <v/>
      </c>
      <c r="S607" s="102" t="str">
        <f t="shared" si="241"/>
        <v/>
      </c>
      <c r="T607" s="102" t="str">
        <f>IF(O607&lt;&gt;"",_xlfn.XLOOKUP(O607,'3D. Pictures'!B:B,'3D. Pictures'!E:E,"NOT FOUND",0,1),"")</f>
        <v/>
      </c>
      <c r="Y607"/>
      <c r="AO607" t="s">
        <v>572</v>
      </c>
    </row>
    <row r="608" spans="1:50" x14ac:dyDescent="0.25">
      <c r="A608" s="190" t="str">
        <f t="shared" si="235"/>
        <v/>
      </c>
      <c r="S608" s="102" t="str">
        <f t="shared" si="241"/>
        <v/>
      </c>
      <c r="T608" s="102" t="str">
        <f>IF(O608&lt;&gt;"",_xlfn.XLOOKUP(O608,'3D. Pictures'!B:B,'3D. Pictures'!E:E,"NOT FOUND",0,1),"")</f>
        <v/>
      </c>
      <c r="Y608"/>
    </row>
    <row r="609" spans="1:40" x14ac:dyDescent="0.25">
      <c r="A609" s="190" t="str">
        <f t="shared" si="235"/>
        <v/>
      </c>
      <c r="S609" s="102" t="str">
        <f t="shared" si="241"/>
        <v/>
      </c>
      <c r="T609" s="102" t="str">
        <f>IF(O609&lt;&gt;"",_xlfn.XLOOKUP(O609,'3D. Pictures'!B:B,'3D. Pictures'!E:E,"NOT FOUND",0,1),"")</f>
        <v/>
      </c>
      <c r="Y609"/>
    </row>
    <row r="610" spans="1:40" x14ac:dyDescent="0.25">
      <c r="A610" s="190" t="str">
        <f t="shared" si="235"/>
        <v/>
      </c>
      <c r="M610"/>
      <c r="N610"/>
      <c r="O610"/>
      <c r="P610"/>
      <c r="Q610"/>
      <c r="R610"/>
      <c r="S610" t="str">
        <f t="shared" si="241"/>
        <v/>
      </c>
      <c r="T610" t="str">
        <f>IF(O610&lt;&gt;"",_xlfn.XLOOKUP(O610,'3D. Pictures'!B:B,'3D. Pictures'!E:E,"NOT FOUND",0,1),"")</f>
        <v/>
      </c>
      <c r="U610"/>
      <c r="V610"/>
      <c r="W610"/>
      <c r="X610"/>
      <c r="Y610"/>
      <c r="Z610"/>
      <c r="AJ610"/>
      <c r="AK610"/>
      <c r="AL610"/>
      <c r="AN610"/>
    </row>
    <row r="611" spans="1:40" x14ac:dyDescent="0.25">
      <c r="A611" s="190" t="str">
        <f t="shared" si="235"/>
        <v/>
      </c>
      <c r="M611"/>
      <c r="N611"/>
      <c r="O611"/>
      <c r="P611"/>
      <c r="Q611"/>
      <c r="R611"/>
      <c r="S611" t="str">
        <f t="shared" si="241"/>
        <v/>
      </c>
      <c r="T611" t="str">
        <f>IF(O611&lt;&gt;"",_xlfn.XLOOKUP(O611,'3D. Pictures'!B:B,'3D. Pictures'!E:E,"NOT FOUND",0,1),"")</f>
        <v/>
      </c>
      <c r="U611"/>
      <c r="V611"/>
      <c r="W611"/>
      <c r="X611"/>
      <c r="Y611"/>
      <c r="Z611"/>
      <c r="AJ611"/>
      <c r="AK611"/>
      <c r="AL611"/>
      <c r="AN611"/>
    </row>
    <row r="612" spans="1:40" x14ac:dyDescent="0.25">
      <c r="A612" s="190" t="str">
        <f t="shared" si="235"/>
        <v/>
      </c>
      <c r="M612"/>
      <c r="N612"/>
      <c r="O612"/>
      <c r="P612"/>
      <c r="Q612"/>
      <c r="R612"/>
      <c r="S612" t="str">
        <f t="shared" si="241"/>
        <v/>
      </c>
      <c r="T612" t="str">
        <f>IF(O612&lt;&gt;"",_xlfn.XLOOKUP(O612,'3D. Pictures'!B:B,'3D. Pictures'!E:E,"NOT FOUND",0,1),"")</f>
        <v/>
      </c>
      <c r="U612"/>
      <c r="V612"/>
      <c r="W612"/>
      <c r="X612"/>
      <c r="Y612"/>
      <c r="Z612"/>
      <c r="AJ612"/>
      <c r="AK612"/>
      <c r="AL612"/>
      <c r="AN612"/>
    </row>
    <row r="613" spans="1:40" x14ac:dyDescent="0.25">
      <c r="A613" s="190" t="str">
        <f t="shared" si="235"/>
        <v/>
      </c>
      <c r="M613"/>
      <c r="N613"/>
      <c r="O613"/>
      <c r="P613"/>
      <c r="Q613"/>
      <c r="R613"/>
      <c r="S613" t="str">
        <f t="shared" si="241"/>
        <v/>
      </c>
      <c r="T613" t="str">
        <f>IF(O613&lt;&gt;"",_xlfn.XLOOKUP(O613,'3D. Pictures'!B:B,'3D. Pictures'!E:E,"NOT FOUND",0,1),"")</f>
        <v/>
      </c>
      <c r="U613"/>
      <c r="V613"/>
      <c r="W613"/>
      <c r="X613"/>
      <c r="Y613"/>
      <c r="Z613"/>
      <c r="AJ613"/>
      <c r="AK613"/>
      <c r="AL613"/>
      <c r="AN613"/>
    </row>
    <row r="614" spans="1:40" x14ac:dyDescent="0.25">
      <c r="A614" s="190" t="str">
        <f t="shared" si="235"/>
        <v/>
      </c>
      <c r="M614"/>
      <c r="N614"/>
      <c r="O614"/>
      <c r="P614"/>
      <c r="Q614"/>
      <c r="R614"/>
      <c r="S614" t="str">
        <f t="shared" si="241"/>
        <v/>
      </c>
      <c r="T614" t="str">
        <f>IF(O614&lt;&gt;"",_xlfn.XLOOKUP(O614,'3D. Pictures'!B:B,'3D. Pictures'!E:E,"NOT FOUND",0,1),"")</f>
        <v/>
      </c>
      <c r="U614"/>
      <c r="V614"/>
      <c r="W614"/>
      <c r="X614"/>
      <c r="Y614"/>
      <c r="Z614"/>
      <c r="AJ614"/>
      <c r="AK614"/>
      <c r="AL614"/>
      <c r="AN614"/>
    </row>
    <row r="615" spans="1:40" x14ac:dyDescent="0.25">
      <c r="A615" s="190" t="str">
        <f t="shared" si="235"/>
        <v/>
      </c>
      <c r="M615"/>
      <c r="N615"/>
      <c r="O615"/>
      <c r="P615"/>
      <c r="Q615"/>
      <c r="R615"/>
      <c r="S615" t="str">
        <f t="shared" si="241"/>
        <v/>
      </c>
      <c r="T615" t="str">
        <f>IF(O615&lt;&gt;"",_xlfn.XLOOKUP(O615,'3D. Pictures'!B:B,'3D. Pictures'!E:E,"NOT FOUND",0,1),"")</f>
        <v/>
      </c>
      <c r="U615"/>
      <c r="V615"/>
      <c r="W615"/>
      <c r="X615"/>
      <c r="Y615"/>
      <c r="Z615"/>
      <c r="AJ615"/>
      <c r="AK615"/>
      <c r="AL615"/>
      <c r="AN615"/>
    </row>
    <row r="616" spans="1:40" x14ac:dyDescent="0.25">
      <c r="A616" s="190" t="str">
        <f t="shared" si="235"/>
        <v/>
      </c>
      <c r="M616"/>
      <c r="N616"/>
      <c r="O616"/>
      <c r="P616"/>
      <c r="Q616"/>
      <c r="R616"/>
      <c r="S616" t="str">
        <f t="shared" si="241"/>
        <v/>
      </c>
      <c r="T616" t="str">
        <f>IF(O616&lt;&gt;"",_xlfn.XLOOKUP(O616,'3D. Pictures'!B:B,'3D. Pictures'!E:E,"NOT FOUND",0,1),"")</f>
        <v/>
      </c>
      <c r="U616"/>
      <c r="V616"/>
      <c r="W616"/>
      <c r="X616"/>
      <c r="Y616"/>
      <c r="Z616"/>
      <c r="AJ616"/>
      <c r="AK616"/>
      <c r="AL616"/>
      <c r="AN616"/>
    </row>
    <row r="617" spans="1:40" x14ac:dyDescent="0.25">
      <c r="A617" s="190" t="str">
        <f t="shared" si="235"/>
        <v/>
      </c>
      <c r="M617"/>
      <c r="N617"/>
      <c r="O617"/>
      <c r="P617"/>
      <c r="Q617"/>
      <c r="R617"/>
      <c r="S617" t="str">
        <f t="shared" si="241"/>
        <v/>
      </c>
      <c r="T617" t="str">
        <f>IF(O617&lt;&gt;"",_xlfn.XLOOKUP(O617,'3D. Pictures'!B:B,'3D. Pictures'!E:E,"NOT FOUND",0,1),"")</f>
        <v/>
      </c>
      <c r="U617"/>
      <c r="V617"/>
      <c r="W617"/>
      <c r="X617"/>
      <c r="Y617"/>
      <c r="Z617"/>
      <c r="AJ617"/>
      <c r="AK617"/>
      <c r="AL617"/>
      <c r="AN617"/>
    </row>
    <row r="618" spans="1:40" x14ac:dyDescent="0.25">
      <c r="A618" s="190" t="str">
        <f t="shared" si="235"/>
        <v/>
      </c>
      <c r="M618"/>
      <c r="N618"/>
      <c r="O618"/>
      <c r="P618"/>
      <c r="Q618"/>
      <c r="R618"/>
      <c r="S618" t="str">
        <f t="shared" si="241"/>
        <v/>
      </c>
      <c r="T618" t="str">
        <f>IF(O618&lt;&gt;"",_xlfn.XLOOKUP(O618,'3D. Pictures'!B:B,'3D. Pictures'!E:E,"NOT FOUND",0,1),"")</f>
        <v/>
      </c>
      <c r="U618"/>
      <c r="V618"/>
      <c r="W618"/>
      <c r="X618"/>
      <c r="Y618"/>
      <c r="Z618"/>
      <c r="AJ618"/>
      <c r="AK618"/>
      <c r="AL618"/>
      <c r="AN618"/>
    </row>
    <row r="619" spans="1:40" x14ac:dyDescent="0.25">
      <c r="A619" s="190" t="str">
        <f t="shared" si="235"/>
        <v/>
      </c>
      <c r="M619"/>
      <c r="N619"/>
      <c r="O619"/>
      <c r="P619"/>
      <c r="Q619"/>
      <c r="R619"/>
      <c r="S619" t="str">
        <f t="shared" si="241"/>
        <v/>
      </c>
      <c r="T619" t="str">
        <f>IF(O619&lt;&gt;"",_xlfn.XLOOKUP(O619,'3D. Pictures'!B:B,'3D. Pictures'!E:E,"NOT FOUND",0,1),"")</f>
        <v/>
      </c>
      <c r="U619"/>
      <c r="V619"/>
      <c r="W619"/>
      <c r="X619"/>
      <c r="Y619"/>
      <c r="Z619"/>
      <c r="AJ619"/>
      <c r="AK619"/>
      <c r="AL619"/>
      <c r="AN619"/>
    </row>
    <row r="620" spans="1:40" x14ac:dyDescent="0.25">
      <c r="A620" s="190" t="str">
        <f t="shared" si="235"/>
        <v/>
      </c>
      <c r="M620"/>
      <c r="N620"/>
      <c r="O620"/>
      <c r="P620"/>
      <c r="Q620"/>
      <c r="R620"/>
      <c r="S620" t="str">
        <f t="shared" si="241"/>
        <v/>
      </c>
      <c r="T620" t="str">
        <f>IF(O620&lt;&gt;"",_xlfn.XLOOKUP(O620,'3D. Pictures'!B:B,'3D. Pictures'!E:E,"NOT FOUND",0,1),"")</f>
        <v/>
      </c>
      <c r="U620"/>
      <c r="V620"/>
      <c r="W620"/>
      <c r="X620"/>
      <c r="Y620"/>
      <c r="Z620"/>
      <c r="AJ620"/>
      <c r="AK620"/>
      <c r="AL620"/>
      <c r="AN620"/>
    </row>
    <row r="621" spans="1:40" x14ac:dyDescent="0.25">
      <c r="A621" s="190" t="str">
        <f t="shared" si="235"/>
        <v/>
      </c>
      <c r="M621"/>
      <c r="N621"/>
      <c r="O621"/>
      <c r="P621"/>
      <c r="Q621"/>
      <c r="R621"/>
      <c r="S621" t="str">
        <f t="shared" si="241"/>
        <v/>
      </c>
      <c r="T621" t="str">
        <f>IF(O621&lt;&gt;"",_xlfn.XLOOKUP(O621,'3D. Pictures'!B:B,'3D. Pictures'!E:E,"NOT FOUND",0,1),"")</f>
        <v/>
      </c>
      <c r="U621"/>
      <c r="V621"/>
      <c r="W621"/>
      <c r="X621"/>
      <c r="Y621"/>
      <c r="Z621"/>
      <c r="AJ621"/>
      <c r="AK621"/>
      <c r="AL621"/>
      <c r="AN621"/>
    </row>
    <row r="622" spans="1:40" x14ac:dyDescent="0.25">
      <c r="A622" s="190" t="str">
        <f t="shared" si="235"/>
        <v/>
      </c>
      <c r="M622"/>
      <c r="N622"/>
      <c r="O622"/>
      <c r="P622"/>
      <c r="Q622"/>
      <c r="R622"/>
      <c r="S622" t="str">
        <f t="shared" si="241"/>
        <v/>
      </c>
      <c r="T622" t="str">
        <f>IF(O622&lt;&gt;"",_xlfn.XLOOKUP(O622,'3D. Pictures'!B:B,'3D. Pictures'!E:E,"NOT FOUND",0,1),"")</f>
        <v/>
      </c>
      <c r="U622"/>
      <c r="V622"/>
      <c r="W622"/>
      <c r="X622"/>
      <c r="Y622"/>
      <c r="Z622"/>
      <c r="AJ622"/>
      <c r="AK622"/>
      <c r="AL622"/>
      <c r="AN622"/>
    </row>
    <row r="623" spans="1:40" x14ac:dyDescent="0.25">
      <c r="A623" s="190" t="str">
        <f t="shared" si="235"/>
        <v/>
      </c>
      <c r="M623"/>
      <c r="N623"/>
      <c r="O623"/>
      <c r="P623"/>
      <c r="Q623"/>
      <c r="R623"/>
      <c r="S623" t="str">
        <f t="shared" si="241"/>
        <v/>
      </c>
      <c r="T623" t="str">
        <f>IF(O623&lt;&gt;"",_xlfn.XLOOKUP(O623,'3D. Pictures'!B:B,'3D. Pictures'!E:E,"NOT FOUND",0,1),"")</f>
        <v/>
      </c>
      <c r="U623"/>
      <c r="V623"/>
      <c r="W623"/>
      <c r="X623"/>
      <c r="Y623"/>
      <c r="Z623"/>
      <c r="AJ623"/>
      <c r="AK623"/>
      <c r="AL623"/>
      <c r="AN623"/>
    </row>
    <row r="624" spans="1:40" x14ac:dyDescent="0.25">
      <c r="A624" s="190" t="str">
        <f t="shared" si="235"/>
        <v/>
      </c>
      <c r="M624"/>
      <c r="N624"/>
      <c r="O624"/>
      <c r="P624"/>
      <c r="Q624"/>
      <c r="R624"/>
      <c r="S624" t="str">
        <f t="shared" si="241"/>
        <v/>
      </c>
      <c r="T624" t="str">
        <f>IF(O624&lt;&gt;"",_xlfn.XLOOKUP(O624,'3D. Pictures'!B:B,'3D. Pictures'!E:E,"NOT FOUND",0,1),"")</f>
        <v/>
      </c>
      <c r="U624"/>
      <c r="V624"/>
      <c r="W624"/>
      <c r="X624"/>
      <c r="Y624"/>
      <c r="Z624"/>
      <c r="AJ624"/>
      <c r="AK624"/>
      <c r="AL624"/>
      <c r="AN624"/>
    </row>
    <row r="625" spans="1:40" x14ac:dyDescent="0.25">
      <c r="A625" s="190" t="str">
        <f t="shared" si="235"/>
        <v/>
      </c>
      <c r="M625"/>
      <c r="N625"/>
      <c r="O625"/>
      <c r="P625"/>
      <c r="Q625"/>
      <c r="R625"/>
      <c r="S625" t="str">
        <f t="shared" si="241"/>
        <v/>
      </c>
      <c r="T625" t="str">
        <f>IF(O625&lt;&gt;"",_xlfn.XLOOKUP(O625,'3D. Pictures'!B:B,'3D. Pictures'!E:E,"NOT FOUND",0,1),"")</f>
        <v/>
      </c>
      <c r="U625"/>
      <c r="V625"/>
      <c r="W625"/>
      <c r="X625"/>
      <c r="Y625"/>
      <c r="Z625"/>
      <c r="AJ625"/>
      <c r="AK625"/>
      <c r="AL625"/>
      <c r="AN625"/>
    </row>
    <row r="626" spans="1:40" x14ac:dyDescent="0.25">
      <c r="A626" s="190" t="str">
        <f t="shared" si="235"/>
        <v/>
      </c>
      <c r="M626"/>
      <c r="N626"/>
      <c r="O626"/>
      <c r="P626"/>
      <c r="Q626"/>
      <c r="R626"/>
      <c r="S626" t="str">
        <f t="shared" si="241"/>
        <v/>
      </c>
      <c r="T626" t="str">
        <f>IF(O626&lt;&gt;"",_xlfn.XLOOKUP(O626,'3D. Pictures'!B:B,'3D. Pictures'!E:E,"NOT FOUND",0,1),"")</f>
        <v/>
      </c>
      <c r="U626"/>
      <c r="V626"/>
      <c r="W626"/>
      <c r="X626"/>
      <c r="Y626"/>
      <c r="Z626"/>
      <c r="AJ626"/>
      <c r="AK626"/>
      <c r="AL626"/>
      <c r="AN626"/>
    </row>
    <row r="627" spans="1:40" x14ac:dyDescent="0.25">
      <c r="A627" s="190" t="str">
        <f t="shared" si="235"/>
        <v/>
      </c>
      <c r="M627"/>
      <c r="N627"/>
      <c r="O627"/>
      <c r="P627"/>
      <c r="Q627"/>
      <c r="R627"/>
      <c r="S627" t="str">
        <f t="shared" si="241"/>
        <v/>
      </c>
      <c r="T627" t="str">
        <f>IF(O627&lt;&gt;"",_xlfn.XLOOKUP(O627,'3D. Pictures'!B:B,'3D. Pictures'!E:E,"NOT FOUND",0,1),"")</f>
        <v/>
      </c>
      <c r="U627"/>
      <c r="V627"/>
      <c r="W627"/>
      <c r="X627"/>
      <c r="Y627"/>
      <c r="Z627"/>
      <c r="AJ627"/>
      <c r="AK627"/>
      <c r="AL627"/>
      <c r="AN627"/>
    </row>
    <row r="628" spans="1:40" x14ac:dyDescent="0.25">
      <c r="A628" s="190" t="str">
        <f t="shared" si="235"/>
        <v/>
      </c>
      <c r="M628"/>
      <c r="N628"/>
      <c r="O628"/>
      <c r="P628"/>
      <c r="Q628"/>
      <c r="R628"/>
      <c r="S628" t="str">
        <f t="shared" si="241"/>
        <v/>
      </c>
      <c r="T628" t="str">
        <f>IF(O628&lt;&gt;"",_xlfn.XLOOKUP(O628,'3D. Pictures'!B:B,'3D. Pictures'!E:E,"NOT FOUND",0,1),"")</f>
        <v/>
      </c>
      <c r="U628"/>
      <c r="V628"/>
      <c r="W628"/>
      <c r="X628"/>
      <c r="Y628"/>
      <c r="Z628"/>
      <c r="AJ628"/>
      <c r="AK628"/>
      <c r="AL628"/>
      <c r="AN628"/>
    </row>
    <row r="629" spans="1:40" x14ac:dyDescent="0.25">
      <c r="A629" s="190" t="str">
        <f t="shared" si="235"/>
        <v/>
      </c>
      <c r="M629"/>
      <c r="N629"/>
      <c r="O629"/>
      <c r="P629"/>
      <c r="Q629"/>
      <c r="R629"/>
      <c r="S629" t="str">
        <f t="shared" si="241"/>
        <v/>
      </c>
      <c r="T629" t="str">
        <f>IF(O629&lt;&gt;"",_xlfn.XLOOKUP(O629,'3D. Pictures'!B:B,'3D. Pictures'!E:E,"NOT FOUND",0,1),"")</f>
        <v/>
      </c>
      <c r="U629"/>
      <c r="V629"/>
      <c r="W629"/>
      <c r="X629"/>
      <c r="Y629"/>
      <c r="Z629"/>
      <c r="AJ629"/>
      <c r="AK629"/>
      <c r="AL629"/>
      <c r="AN629"/>
    </row>
    <row r="630" spans="1:40" x14ac:dyDescent="0.25">
      <c r="A630" s="190" t="str">
        <f t="shared" si="235"/>
        <v/>
      </c>
      <c r="M630"/>
      <c r="N630"/>
      <c r="O630"/>
      <c r="P630"/>
      <c r="Q630"/>
      <c r="R630"/>
      <c r="S630" t="str">
        <f t="shared" si="241"/>
        <v/>
      </c>
      <c r="T630" t="str">
        <f>IF(O630&lt;&gt;"",_xlfn.XLOOKUP(O630,'3D. Pictures'!B:B,'3D. Pictures'!E:E,"NOT FOUND",0,1),"")</f>
        <v/>
      </c>
      <c r="U630"/>
      <c r="V630"/>
      <c r="W630"/>
      <c r="X630"/>
      <c r="Y630"/>
      <c r="Z630"/>
      <c r="AJ630"/>
      <c r="AK630"/>
      <c r="AL630"/>
      <c r="AN630"/>
    </row>
    <row r="631" spans="1:40" x14ac:dyDescent="0.25">
      <c r="A631" s="190" t="str">
        <f t="shared" si="235"/>
        <v/>
      </c>
      <c r="M631"/>
      <c r="N631"/>
      <c r="O631"/>
      <c r="P631"/>
      <c r="Q631"/>
      <c r="R631"/>
      <c r="S631" t="str">
        <f t="shared" si="241"/>
        <v/>
      </c>
      <c r="T631" t="str">
        <f>IF(O631&lt;&gt;"",_xlfn.XLOOKUP(O631,'3D. Pictures'!B:B,'3D. Pictures'!E:E,"NOT FOUND",0,1),"")</f>
        <v/>
      </c>
      <c r="U631"/>
      <c r="V631"/>
      <c r="W631"/>
      <c r="X631"/>
      <c r="Y631"/>
      <c r="Z631"/>
      <c r="AJ631"/>
      <c r="AK631"/>
      <c r="AL631"/>
      <c r="AN631"/>
    </row>
    <row r="632" spans="1:40" x14ac:dyDescent="0.25">
      <c r="A632" s="190" t="str">
        <f t="shared" si="235"/>
        <v/>
      </c>
      <c r="M632"/>
      <c r="N632"/>
      <c r="O632"/>
      <c r="P632"/>
      <c r="Q632"/>
      <c r="R632"/>
      <c r="S632" t="str">
        <f t="shared" si="241"/>
        <v/>
      </c>
      <c r="T632" t="str">
        <f>IF(O632&lt;&gt;"",_xlfn.XLOOKUP(O632,'3D. Pictures'!B:B,'3D. Pictures'!E:E,"NOT FOUND",0,1),"")</f>
        <v/>
      </c>
      <c r="U632"/>
      <c r="V632"/>
      <c r="W632"/>
      <c r="X632"/>
      <c r="Y632"/>
      <c r="Z632"/>
      <c r="AJ632"/>
      <c r="AK632"/>
      <c r="AL632"/>
      <c r="AN632"/>
    </row>
    <row r="633" spans="1:40" x14ac:dyDescent="0.25">
      <c r="A633" s="190" t="str">
        <f t="shared" si="235"/>
        <v/>
      </c>
      <c r="M633"/>
      <c r="N633"/>
      <c r="O633"/>
      <c r="P633"/>
      <c r="Q633"/>
      <c r="R633"/>
      <c r="S633" t="str">
        <f t="shared" si="241"/>
        <v/>
      </c>
      <c r="T633" t="str">
        <f>IF(O633&lt;&gt;"",_xlfn.XLOOKUP(O633,'3D. Pictures'!B:B,'3D. Pictures'!E:E,"NOT FOUND",0,1),"")</f>
        <v/>
      </c>
      <c r="U633"/>
      <c r="V633"/>
      <c r="W633"/>
      <c r="X633"/>
      <c r="Y633"/>
      <c r="Z633"/>
      <c r="AJ633"/>
      <c r="AK633"/>
      <c r="AL633"/>
      <c r="AN633"/>
    </row>
    <row r="634" spans="1:40" x14ac:dyDescent="0.25">
      <c r="A634" s="190" t="str">
        <f t="shared" si="235"/>
        <v/>
      </c>
      <c r="M634"/>
      <c r="N634"/>
      <c r="O634"/>
      <c r="P634"/>
      <c r="Q634"/>
      <c r="R634"/>
      <c r="S634" t="str">
        <f t="shared" si="241"/>
        <v/>
      </c>
      <c r="T634" t="str">
        <f>IF(O634&lt;&gt;"",_xlfn.XLOOKUP(O634,'3D. Pictures'!B:B,'3D. Pictures'!E:E,"NOT FOUND",0,1),"")</f>
        <v/>
      </c>
      <c r="U634"/>
      <c r="V634"/>
      <c r="W634"/>
      <c r="X634"/>
      <c r="Y634"/>
      <c r="Z634"/>
      <c r="AJ634"/>
      <c r="AK634"/>
      <c r="AL634"/>
      <c r="AN634"/>
    </row>
    <row r="635" spans="1:40" x14ac:dyDescent="0.25">
      <c r="A635" s="190" t="str">
        <f t="shared" si="235"/>
        <v/>
      </c>
      <c r="M635"/>
      <c r="N635"/>
      <c r="O635"/>
      <c r="P635"/>
      <c r="Q635"/>
      <c r="R635"/>
      <c r="S635" t="str">
        <f t="shared" si="241"/>
        <v/>
      </c>
      <c r="T635" t="str">
        <f>IF(O635&lt;&gt;"",_xlfn.XLOOKUP(O635,'3D. Pictures'!B:B,'3D. Pictures'!E:E,"NOT FOUND",0,1),"")</f>
        <v/>
      </c>
      <c r="U635"/>
      <c r="V635"/>
      <c r="W635"/>
      <c r="X635"/>
      <c r="Y635"/>
      <c r="Z635"/>
      <c r="AJ635"/>
      <c r="AK635"/>
      <c r="AL635"/>
      <c r="AN635"/>
    </row>
    <row r="636" spans="1:40" x14ac:dyDescent="0.25">
      <c r="A636" s="190" t="str">
        <f t="shared" si="235"/>
        <v/>
      </c>
      <c r="M636"/>
      <c r="N636"/>
      <c r="O636"/>
      <c r="P636"/>
      <c r="Q636"/>
      <c r="R636"/>
      <c r="S636" t="str">
        <f t="shared" si="241"/>
        <v/>
      </c>
      <c r="T636" t="str">
        <f>IF(O636&lt;&gt;"",_xlfn.XLOOKUP(O636,'3D. Pictures'!B:B,'3D. Pictures'!E:E,"NOT FOUND",0,1),"")</f>
        <v/>
      </c>
      <c r="U636"/>
      <c r="V636"/>
      <c r="W636"/>
      <c r="X636"/>
      <c r="Y636"/>
      <c r="Z636"/>
      <c r="AJ636"/>
      <c r="AK636"/>
      <c r="AL636"/>
      <c r="AN636"/>
    </row>
    <row r="637" spans="1:40" x14ac:dyDescent="0.25">
      <c r="A637" s="190" t="str">
        <f t="shared" si="235"/>
        <v/>
      </c>
      <c r="M637"/>
      <c r="N637"/>
      <c r="O637"/>
      <c r="P637"/>
      <c r="Q637"/>
      <c r="R637"/>
      <c r="S637" t="str">
        <f t="shared" si="241"/>
        <v/>
      </c>
      <c r="T637" t="str">
        <f>IF(O637&lt;&gt;"",_xlfn.XLOOKUP(O637,'3D. Pictures'!B:B,'3D. Pictures'!E:E,"NOT FOUND",0,1),"")</f>
        <v/>
      </c>
      <c r="U637"/>
      <c r="V637"/>
      <c r="W637"/>
      <c r="X637"/>
      <c r="Y637"/>
      <c r="Z637"/>
      <c r="AJ637"/>
      <c r="AK637"/>
      <c r="AL637"/>
      <c r="AN637"/>
    </row>
    <row r="638" spans="1:40" x14ac:dyDescent="0.25">
      <c r="A638" s="190" t="str">
        <f t="shared" si="235"/>
        <v/>
      </c>
      <c r="M638"/>
      <c r="N638"/>
      <c r="O638"/>
      <c r="P638"/>
      <c r="Q638"/>
      <c r="R638"/>
      <c r="S638" t="str">
        <f t="shared" si="241"/>
        <v/>
      </c>
      <c r="T638" t="str">
        <f>IF(O638&lt;&gt;"",_xlfn.XLOOKUP(O638,'3D. Pictures'!B:B,'3D. Pictures'!E:E,"NOT FOUND",0,1),"")</f>
        <v/>
      </c>
      <c r="U638"/>
      <c r="V638"/>
      <c r="W638"/>
      <c r="X638"/>
      <c r="Y638"/>
      <c r="Z638"/>
      <c r="AJ638"/>
      <c r="AK638"/>
      <c r="AL638"/>
      <c r="AN638"/>
    </row>
    <row r="639" spans="1:40" x14ac:dyDescent="0.25">
      <c r="A639" s="190" t="str">
        <f t="shared" si="235"/>
        <v/>
      </c>
      <c r="M639"/>
      <c r="N639"/>
      <c r="O639"/>
      <c r="P639"/>
      <c r="Q639"/>
      <c r="R639"/>
      <c r="S639" t="str">
        <f t="shared" si="241"/>
        <v/>
      </c>
      <c r="T639" t="str">
        <f>IF(O639&lt;&gt;"",_xlfn.XLOOKUP(O639,'3D. Pictures'!B:B,'3D. Pictures'!E:E,"NOT FOUND",0,1),"")</f>
        <v/>
      </c>
      <c r="U639"/>
      <c r="V639"/>
      <c r="W639"/>
      <c r="X639"/>
      <c r="Y639"/>
      <c r="Z639"/>
      <c r="AJ639"/>
      <c r="AK639"/>
      <c r="AL639"/>
      <c r="AN639"/>
    </row>
    <row r="640" spans="1:40" x14ac:dyDescent="0.25">
      <c r="A640" s="190" t="str">
        <f t="shared" si="235"/>
        <v/>
      </c>
      <c r="M640"/>
      <c r="N640"/>
      <c r="O640"/>
      <c r="P640"/>
      <c r="Q640"/>
      <c r="R640"/>
      <c r="S640" t="str">
        <f t="shared" si="241"/>
        <v/>
      </c>
      <c r="T640" t="str">
        <f>IF(O640&lt;&gt;"",_xlfn.XLOOKUP(O640,'3D. Pictures'!B:B,'3D. Pictures'!E:E,"NOT FOUND",0,1),"")</f>
        <v/>
      </c>
      <c r="U640"/>
      <c r="V640"/>
      <c r="W640"/>
      <c r="X640"/>
      <c r="Y640"/>
      <c r="Z640"/>
      <c r="AJ640"/>
      <c r="AK640"/>
      <c r="AL640"/>
      <c r="AN640"/>
    </row>
    <row r="641" spans="1:40" x14ac:dyDescent="0.25">
      <c r="A641" s="190" t="str">
        <f t="shared" ref="A641:A704" si="244">IF(O641&lt;&gt;"",O641,"")</f>
        <v/>
      </c>
      <c r="M641"/>
      <c r="N641"/>
      <c r="O641"/>
      <c r="P641"/>
      <c r="Q641"/>
      <c r="R641"/>
      <c r="S641" t="str">
        <f t="shared" si="241"/>
        <v/>
      </c>
      <c r="T641" t="str">
        <f>IF(O641&lt;&gt;"",_xlfn.XLOOKUP(O641,'3D. Pictures'!B:B,'3D. Pictures'!E:E,"NOT FOUND",0,1),"")</f>
        <v/>
      </c>
      <c r="U641"/>
      <c r="V641"/>
      <c r="W641"/>
      <c r="X641"/>
      <c r="Y641"/>
      <c r="Z641"/>
      <c r="AJ641"/>
      <c r="AK641"/>
      <c r="AL641"/>
      <c r="AN641"/>
    </row>
    <row r="642" spans="1:40" x14ac:dyDescent="0.25">
      <c r="A642" s="190" t="str">
        <f t="shared" si="244"/>
        <v/>
      </c>
      <c r="M642"/>
      <c r="N642"/>
      <c r="O642"/>
      <c r="P642"/>
      <c r="Q642"/>
      <c r="R642"/>
      <c r="S642" t="str">
        <f t="shared" si="241"/>
        <v/>
      </c>
      <c r="T642" t="str">
        <f>IF(O642&lt;&gt;"",_xlfn.XLOOKUP(O642,'3D. Pictures'!B:B,'3D. Pictures'!E:E,"NOT FOUND",0,1),"")</f>
        <v/>
      </c>
      <c r="U642"/>
      <c r="V642"/>
      <c r="W642"/>
      <c r="X642"/>
      <c r="Y642"/>
      <c r="Z642"/>
      <c r="AJ642"/>
      <c r="AK642"/>
      <c r="AL642"/>
      <c r="AN642"/>
    </row>
    <row r="643" spans="1:40" x14ac:dyDescent="0.25">
      <c r="A643" s="190" t="str">
        <f t="shared" si="244"/>
        <v/>
      </c>
      <c r="M643"/>
      <c r="N643"/>
      <c r="O643"/>
      <c r="P643"/>
      <c r="Q643"/>
      <c r="R643"/>
      <c r="S643" t="str">
        <f t="shared" si="241"/>
        <v/>
      </c>
      <c r="T643" t="str">
        <f>IF(O643&lt;&gt;"",_xlfn.XLOOKUP(O643,'3D. Pictures'!B:B,'3D. Pictures'!E:E,"NOT FOUND",0,1),"")</f>
        <v/>
      </c>
      <c r="U643"/>
      <c r="V643"/>
      <c r="W643"/>
      <c r="X643"/>
      <c r="Y643"/>
      <c r="Z643"/>
      <c r="AJ643"/>
      <c r="AK643"/>
      <c r="AL643"/>
      <c r="AN643"/>
    </row>
    <row r="644" spans="1:40" x14ac:dyDescent="0.25">
      <c r="A644" s="190" t="str">
        <f t="shared" si="244"/>
        <v/>
      </c>
      <c r="M644"/>
      <c r="N644"/>
      <c r="O644"/>
      <c r="P644"/>
      <c r="Q644"/>
      <c r="R644"/>
      <c r="S644" t="str">
        <f t="shared" si="241"/>
        <v/>
      </c>
      <c r="T644" t="str">
        <f>IF(O644&lt;&gt;"",_xlfn.XLOOKUP(O644,'3D. Pictures'!B:B,'3D. Pictures'!E:E,"NOT FOUND",0,1),"")</f>
        <v/>
      </c>
      <c r="U644"/>
      <c r="V644"/>
      <c r="W644"/>
      <c r="X644"/>
      <c r="Y644"/>
      <c r="Z644"/>
      <c r="AJ644"/>
      <c r="AK644"/>
      <c r="AL644"/>
      <c r="AN644"/>
    </row>
    <row r="645" spans="1:40" x14ac:dyDescent="0.25">
      <c r="A645" s="190" t="str">
        <f t="shared" si="244"/>
        <v/>
      </c>
      <c r="M645"/>
      <c r="N645"/>
      <c r="O645"/>
      <c r="P645"/>
      <c r="Q645"/>
      <c r="R645"/>
      <c r="S645" t="str">
        <f t="shared" si="241"/>
        <v/>
      </c>
      <c r="T645" t="str">
        <f>IF(O645&lt;&gt;"",_xlfn.XLOOKUP(O645,'3D. Pictures'!B:B,'3D. Pictures'!E:E,"NOT FOUND",0,1),"")</f>
        <v/>
      </c>
      <c r="U645"/>
      <c r="V645"/>
      <c r="W645"/>
      <c r="X645"/>
      <c r="Y645"/>
      <c r="Z645"/>
      <c r="AJ645"/>
      <c r="AK645"/>
      <c r="AL645"/>
      <c r="AN645"/>
    </row>
    <row r="646" spans="1:40" x14ac:dyDescent="0.25">
      <c r="A646" s="190" t="str">
        <f t="shared" si="244"/>
        <v/>
      </c>
      <c r="M646"/>
      <c r="N646"/>
      <c r="O646"/>
      <c r="P646"/>
      <c r="Q646"/>
      <c r="R646"/>
      <c r="S646" t="str">
        <f t="shared" si="241"/>
        <v/>
      </c>
      <c r="T646" t="str">
        <f>IF(O646&lt;&gt;"",_xlfn.XLOOKUP(O646,'3D. Pictures'!B:B,'3D. Pictures'!E:E,"NOT FOUND",0,1),"")</f>
        <v/>
      </c>
      <c r="U646"/>
      <c r="V646"/>
      <c r="W646"/>
      <c r="X646"/>
      <c r="Y646"/>
      <c r="Z646"/>
      <c r="AJ646"/>
      <c r="AK646"/>
      <c r="AL646"/>
      <c r="AN646"/>
    </row>
    <row r="647" spans="1:40" x14ac:dyDescent="0.25">
      <c r="A647" s="190" t="str">
        <f t="shared" si="244"/>
        <v/>
      </c>
      <c r="M647"/>
      <c r="N647"/>
      <c r="O647"/>
      <c r="P647"/>
      <c r="Q647"/>
      <c r="R647"/>
      <c r="S647" t="str">
        <f t="shared" si="241"/>
        <v/>
      </c>
      <c r="T647" t="str">
        <f>IF(O647&lt;&gt;"",_xlfn.XLOOKUP(O647,'3D. Pictures'!B:B,'3D. Pictures'!E:E,"NOT FOUND",0,1),"")</f>
        <v/>
      </c>
      <c r="U647"/>
      <c r="V647"/>
      <c r="W647"/>
      <c r="X647"/>
      <c r="Y647"/>
      <c r="Z647"/>
      <c r="AJ647"/>
      <c r="AK647"/>
      <c r="AL647"/>
      <c r="AN647"/>
    </row>
    <row r="648" spans="1:40" x14ac:dyDescent="0.25">
      <c r="A648" s="190" t="str">
        <f t="shared" si="244"/>
        <v/>
      </c>
      <c r="M648"/>
      <c r="N648"/>
      <c r="O648"/>
      <c r="P648"/>
      <c r="Q648"/>
      <c r="R648"/>
      <c r="S648" t="str">
        <f t="shared" si="241"/>
        <v/>
      </c>
      <c r="T648" t="str">
        <f>IF(O648&lt;&gt;"",_xlfn.XLOOKUP(O648,'3D. Pictures'!B:B,'3D. Pictures'!E:E,"NOT FOUND",0,1),"")</f>
        <v/>
      </c>
      <c r="U648"/>
      <c r="V648"/>
      <c r="W648"/>
      <c r="X648"/>
      <c r="Y648"/>
      <c r="Z648"/>
      <c r="AJ648"/>
      <c r="AK648"/>
      <c r="AL648"/>
      <c r="AN648"/>
    </row>
    <row r="649" spans="1:40" x14ac:dyDescent="0.25">
      <c r="A649" s="190" t="str">
        <f t="shared" si="244"/>
        <v/>
      </c>
      <c r="M649"/>
      <c r="N649"/>
      <c r="O649"/>
      <c r="P649"/>
      <c r="Q649"/>
      <c r="R649"/>
      <c r="S649" t="str">
        <f t="shared" si="241"/>
        <v/>
      </c>
      <c r="T649" t="str">
        <f>IF(O649&lt;&gt;"",_xlfn.XLOOKUP(O649,'3D. Pictures'!B:B,'3D. Pictures'!E:E,"NOT FOUND",0,1),"")</f>
        <v/>
      </c>
      <c r="U649"/>
      <c r="V649"/>
      <c r="W649"/>
      <c r="X649"/>
      <c r="Y649"/>
      <c r="Z649"/>
      <c r="AJ649"/>
      <c r="AK649"/>
      <c r="AL649"/>
      <c r="AN649"/>
    </row>
    <row r="650" spans="1:40" x14ac:dyDescent="0.25">
      <c r="A650" s="190" t="str">
        <f t="shared" si="244"/>
        <v/>
      </c>
      <c r="M650"/>
      <c r="N650"/>
      <c r="O650"/>
      <c r="P650"/>
      <c r="Q650"/>
      <c r="R650"/>
      <c r="S650" t="str">
        <f t="shared" si="241"/>
        <v/>
      </c>
      <c r="T650" t="str">
        <f>IF(O650&lt;&gt;"",_xlfn.XLOOKUP(O650,'3D. Pictures'!B:B,'3D. Pictures'!E:E,"NOT FOUND",0,1),"")</f>
        <v/>
      </c>
      <c r="U650"/>
      <c r="V650"/>
      <c r="W650"/>
      <c r="X650"/>
      <c r="Y650"/>
      <c r="Z650"/>
      <c r="AJ650"/>
      <c r="AK650"/>
      <c r="AL650"/>
      <c r="AN650"/>
    </row>
    <row r="651" spans="1:40" x14ac:dyDescent="0.25">
      <c r="A651" s="190" t="str">
        <f t="shared" si="244"/>
        <v/>
      </c>
      <c r="M651"/>
      <c r="N651"/>
      <c r="O651"/>
      <c r="P651"/>
      <c r="Q651"/>
      <c r="R651"/>
      <c r="S651" t="str">
        <f t="shared" si="241"/>
        <v/>
      </c>
      <c r="T651" t="str">
        <f>IF(O651&lt;&gt;"",_xlfn.XLOOKUP(O651,'3D. Pictures'!B:B,'3D. Pictures'!E:E,"NOT FOUND",0,1),"")</f>
        <v/>
      </c>
      <c r="U651"/>
      <c r="V651"/>
      <c r="W651"/>
      <c r="X651"/>
      <c r="Y651"/>
      <c r="Z651"/>
      <c r="AJ651"/>
      <c r="AK651"/>
      <c r="AL651"/>
      <c r="AN651"/>
    </row>
    <row r="652" spans="1:40" x14ac:dyDescent="0.25">
      <c r="A652" s="190" t="str">
        <f t="shared" si="244"/>
        <v/>
      </c>
      <c r="M652"/>
      <c r="N652"/>
      <c r="O652"/>
      <c r="P652"/>
      <c r="Q652"/>
      <c r="R652"/>
      <c r="S652" t="str">
        <f t="shared" ref="S652:S706" si="245">IF(T652&lt;&gt;"",HYPERLINK(T652,"E.G."),"")</f>
        <v/>
      </c>
      <c r="T652" t="str">
        <f>IF(O652&lt;&gt;"",_xlfn.XLOOKUP(O652,'3D. Pictures'!B:B,'3D. Pictures'!E:E,"NOT FOUND",0,1),"")</f>
        <v/>
      </c>
      <c r="U652"/>
      <c r="V652"/>
      <c r="W652"/>
      <c r="X652"/>
      <c r="Y652"/>
      <c r="Z652"/>
      <c r="AJ652"/>
      <c r="AK652"/>
      <c r="AL652"/>
      <c r="AN652"/>
    </row>
    <row r="653" spans="1:40" x14ac:dyDescent="0.25">
      <c r="A653" s="190" t="str">
        <f t="shared" si="244"/>
        <v/>
      </c>
      <c r="M653"/>
      <c r="N653"/>
      <c r="O653"/>
      <c r="P653"/>
      <c r="Q653"/>
      <c r="R653"/>
      <c r="S653" t="str">
        <f t="shared" si="245"/>
        <v/>
      </c>
      <c r="T653" t="str">
        <f>IF(O653&lt;&gt;"",_xlfn.XLOOKUP(O653,'3D. Pictures'!B:B,'3D. Pictures'!E:E,"NOT FOUND",0,1),"")</f>
        <v/>
      </c>
      <c r="U653"/>
      <c r="V653"/>
      <c r="W653"/>
      <c r="X653"/>
      <c r="Y653"/>
      <c r="Z653"/>
      <c r="AJ653"/>
      <c r="AK653"/>
      <c r="AL653"/>
      <c r="AN653"/>
    </row>
    <row r="654" spans="1:40" x14ac:dyDescent="0.25">
      <c r="A654" s="190" t="str">
        <f t="shared" si="244"/>
        <v/>
      </c>
      <c r="M654"/>
      <c r="N654"/>
      <c r="O654"/>
      <c r="P654"/>
      <c r="Q654"/>
      <c r="R654"/>
      <c r="S654" t="str">
        <f t="shared" si="245"/>
        <v/>
      </c>
      <c r="T654" t="str">
        <f>IF(O654&lt;&gt;"",_xlfn.XLOOKUP(O654,'3D. Pictures'!B:B,'3D. Pictures'!E:E,"NOT FOUND",0,1),"")</f>
        <v/>
      </c>
      <c r="U654"/>
      <c r="V654"/>
      <c r="W654"/>
      <c r="X654"/>
      <c r="Y654"/>
      <c r="Z654"/>
      <c r="AJ654"/>
      <c r="AK654"/>
      <c r="AL654"/>
      <c r="AN654"/>
    </row>
    <row r="655" spans="1:40" x14ac:dyDescent="0.25">
      <c r="A655" s="190" t="str">
        <f t="shared" si="244"/>
        <v/>
      </c>
      <c r="M655"/>
      <c r="N655"/>
      <c r="O655"/>
      <c r="P655"/>
      <c r="Q655"/>
      <c r="R655"/>
      <c r="S655" t="str">
        <f t="shared" si="245"/>
        <v/>
      </c>
      <c r="T655" t="str">
        <f>IF(O655&lt;&gt;"",_xlfn.XLOOKUP(O655,'3D. Pictures'!B:B,'3D. Pictures'!E:E,"NOT FOUND",0,1),"")</f>
        <v/>
      </c>
      <c r="U655"/>
      <c r="V655"/>
      <c r="W655"/>
      <c r="X655"/>
      <c r="Y655"/>
      <c r="Z655"/>
      <c r="AJ655"/>
      <c r="AK655"/>
      <c r="AL655"/>
      <c r="AN655"/>
    </row>
    <row r="656" spans="1:40" x14ac:dyDescent="0.25">
      <c r="A656" s="190" t="str">
        <f t="shared" si="244"/>
        <v/>
      </c>
      <c r="M656"/>
      <c r="N656"/>
      <c r="O656"/>
      <c r="P656"/>
      <c r="Q656"/>
      <c r="R656"/>
      <c r="S656" t="str">
        <f t="shared" si="245"/>
        <v/>
      </c>
      <c r="T656" t="str">
        <f>IF(O656&lt;&gt;"",_xlfn.XLOOKUP(O656,'3D. Pictures'!B:B,'3D. Pictures'!E:E,"NOT FOUND",0,1),"")</f>
        <v/>
      </c>
      <c r="U656"/>
      <c r="V656"/>
      <c r="W656"/>
      <c r="X656"/>
      <c r="Y656"/>
      <c r="Z656"/>
      <c r="AJ656"/>
      <c r="AK656"/>
      <c r="AL656"/>
      <c r="AN656"/>
    </row>
    <row r="657" spans="1:40" x14ac:dyDescent="0.25">
      <c r="A657" s="190" t="str">
        <f t="shared" si="244"/>
        <v/>
      </c>
      <c r="M657"/>
      <c r="N657"/>
      <c r="O657"/>
      <c r="P657"/>
      <c r="Q657"/>
      <c r="R657"/>
      <c r="S657" t="str">
        <f t="shared" si="245"/>
        <v/>
      </c>
      <c r="T657" t="str">
        <f>IF(O657&lt;&gt;"",_xlfn.XLOOKUP(O657,'3D. Pictures'!B:B,'3D. Pictures'!E:E,"NOT FOUND",0,1),"")</f>
        <v/>
      </c>
      <c r="U657"/>
      <c r="V657"/>
      <c r="W657"/>
      <c r="X657"/>
      <c r="Y657"/>
      <c r="Z657"/>
      <c r="AJ657"/>
      <c r="AK657"/>
      <c r="AL657"/>
      <c r="AN657"/>
    </row>
    <row r="658" spans="1:40" x14ac:dyDescent="0.25">
      <c r="A658" s="190" t="str">
        <f t="shared" si="244"/>
        <v/>
      </c>
      <c r="M658"/>
      <c r="N658"/>
      <c r="O658"/>
      <c r="P658"/>
      <c r="Q658"/>
      <c r="R658"/>
      <c r="S658" t="str">
        <f t="shared" si="245"/>
        <v/>
      </c>
      <c r="T658" t="str">
        <f>IF(O658&lt;&gt;"",_xlfn.XLOOKUP(O658,'3D. Pictures'!B:B,'3D. Pictures'!E:E,"NOT FOUND",0,1),"")</f>
        <v/>
      </c>
      <c r="U658"/>
      <c r="V658"/>
      <c r="W658"/>
      <c r="X658"/>
      <c r="Y658"/>
      <c r="Z658"/>
      <c r="AJ658"/>
      <c r="AK658"/>
      <c r="AL658"/>
      <c r="AN658"/>
    </row>
    <row r="659" spans="1:40" x14ac:dyDescent="0.25">
      <c r="A659" s="190" t="str">
        <f t="shared" si="244"/>
        <v/>
      </c>
      <c r="M659"/>
      <c r="N659"/>
      <c r="O659"/>
      <c r="P659"/>
      <c r="Q659"/>
      <c r="R659"/>
      <c r="S659" t="str">
        <f t="shared" si="245"/>
        <v/>
      </c>
      <c r="T659" t="str">
        <f>IF(O659&lt;&gt;"",_xlfn.XLOOKUP(O659,'3D. Pictures'!B:B,'3D. Pictures'!E:E,"NOT FOUND",0,1),"")</f>
        <v/>
      </c>
      <c r="U659"/>
      <c r="V659"/>
      <c r="W659"/>
      <c r="X659"/>
      <c r="Y659"/>
      <c r="Z659"/>
      <c r="AJ659"/>
      <c r="AK659"/>
      <c r="AL659"/>
      <c r="AN659"/>
    </row>
    <row r="660" spans="1:40" x14ac:dyDescent="0.25">
      <c r="A660" s="190" t="str">
        <f t="shared" si="244"/>
        <v/>
      </c>
      <c r="M660"/>
      <c r="N660"/>
      <c r="O660"/>
      <c r="P660"/>
      <c r="Q660"/>
      <c r="R660"/>
      <c r="S660" t="str">
        <f t="shared" si="245"/>
        <v/>
      </c>
      <c r="T660" t="str">
        <f>IF(O660&lt;&gt;"",_xlfn.XLOOKUP(O660,'3D. Pictures'!B:B,'3D. Pictures'!E:E,"NOT FOUND",0,1),"")</f>
        <v/>
      </c>
      <c r="U660"/>
      <c r="V660"/>
      <c r="W660"/>
      <c r="X660"/>
      <c r="Y660"/>
      <c r="Z660"/>
      <c r="AJ660"/>
      <c r="AK660"/>
      <c r="AL660"/>
      <c r="AN660"/>
    </row>
    <row r="661" spans="1:40" x14ac:dyDescent="0.25">
      <c r="A661" s="190" t="str">
        <f t="shared" si="244"/>
        <v/>
      </c>
      <c r="M661"/>
      <c r="N661"/>
      <c r="O661"/>
      <c r="P661"/>
      <c r="Q661"/>
      <c r="R661"/>
      <c r="S661" t="str">
        <f t="shared" si="245"/>
        <v/>
      </c>
      <c r="T661" t="str">
        <f>IF(O661&lt;&gt;"",_xlfn.XLOOKUP(O661,'3D. Pictures'!B:B,'3D. Pictures'!E:E,"NOT FOUND",0,1),"")</f>
        <v/>
      </c>
      <c r="U661"/>
      <c r="V661"/>
      <c r="W661"/>
      <c r="X661"/>
      <c r="Y661"/>
      <c r="Z661"/>
      <c r="AJ661"/>
      <c r="AK661"/>
      <c r="AL661"/>
      <c r="AN661"/>
    </row>
    <row r="662" spans="1:40" x14ac:dyDescent="0.25">
      <c r="A662" s="190" t="str">
        <f t="shared" si="244"/>
        <v/>
      </c>
      <c r="M662"/>
      <c r="N662"/>
      <c r="O662"/>
      <c r="P662"/>
      <c r="Q662"/>
      <c r="R662"/>
      <c r="S662" t="str">
        <f t="shared" si="245"/>
        <v/>
      </c>
      <c r="T662" t="str">
        <f>IF(O662&lt;&gt;"",_xlfn.XLOOKUP(O662,'3D. Pictures'!B:B,'3D. Pictures'!E:E,"NOT FOUND",0,1),"")</f>
        <v/>
      </c>
      <c r="U662"/>
      <c r="V662"/>
      <c r="W662"/>
      <c r="X662"/>
      <c r="Y662"/>
      <c r="Z662"/>
      <c r="AJ662"/>
      <c r="AK662"/>
      <c r="AL662"/>
      <c r="AN662"/>
    </row>
    <row r="663" spans="1:40" x14ac:dyDescent="0.25">
      <c r="A663" s="190" t="str">
        <f t="shared" si="244"/>
        <v/>
      </c>
      <c r="M663"/>
      <c r="N663"/>
      <c r="O663"/>
      <c r="P663"/>
      <c r="Q663"/>
      <c r="R663"/>
      <c r="S663" t="str">
        <f t="shared" si="245"/>
        <v/>
      </c>
      <c r="T663" t="str">
        <f>IF(O663&lt;&gt;"",_xlfn.XLOOKUP(O663,'3D. Pictures'!B:B,'3D. Pictures'!E:E,"NOT FOUND",0,1),"")</f>
        <v/>
      </c>
      <c r="U663"/>
      <c r="V663"/>
      <c r="W663"/>
      <c r="X663"/>
      <c r="Y663"/>
      <c r="Z663"/>
      <c r="AJ663"/>
      <c r="AK663"/>
      <c r="AL663"/>
      <c r="AN663"/>
    </row>
    <row r="664" spans="1:40" x14ac:dyDescent="0.25">
      <c r="A664" s="190" t="str">
        <f t="shared" si="244"/>
        <v/>
      </c>
      <c r="M664"/>
      <c r="N664"/>
      <c r="O664"/>
      <c r="P664"/>
      <c r="Q664"/>
      <c r="R664"/>
      <c r="S664" t="str">
        <f t="shared" si="245"/>
        <v/>
      </c>
      <c r="T664" t="str">
        <f>IF(O664&lt;&gt;"",_xlfn.XLOOKUP(O664,'3D. Pictures'!B:B,'3D. Pictures'!E:E,"NOT FOUND",0,1),"")</f>
        <v/>
      </c>
      <c r="U664"/>
      <c r="V664"/>
      <c r="W664"/>
      <c r="X664"/>
      <c r="Y664"/>
      <c r="Z664"/>
      <c r="AJ664"/>
      <c r="AK664"/>
      <c r="AL664"/>
      <c r="AN664"/>
    </row>
    <row r="665" spans="1:40" x14ac:dyDescent="0.25">
      <c r="A665" s="190" t="str">
        <f t="shared" si="244"/>
        <v/>
      </c>
      <c r="M665"/>
      <c r="N665"/>
      <c r="O665"/>
      <c r="P665"/>
      <c r="Q665"/>
      <c r="R665"/>
      <c r="S665" t="str">
        <f t="shared" si="245"/>
        <v/>
      </c>
      <c r="T665" t="str">
        <f>IF(O665&lt;&gt;"",_xlfn.XLOOKUP(O665,'3D. Pictures'!B:B,'3D. Pictures'!E:E,"NOT FOUND",0,1),"")</f>
        <v/>
      </c>
      <c r="U665"/>
      <c r="V665"/>
      <c r="W665"/>
      <c r="X665"/>
      <c r="Y665"/>
      <c r="Z665"/>
      <c r="AJ665"/>
      <c r="AK665"/>
      <c r="AL665"/>
      <c r="AN665"/>
    </row>
    <row r="666" spans="1:40" x14ac:dyDescent="0.25">
      <c r="A666" s="190" t="str">
        <f t="shared" si="244"/>
        <v/>
      </c>
      <c r="M666"/>
      <c r="N666"/>
      <c r="O666"/>
      <c r="P666"/>
      <c r="Q666"/>
      <c r="R666"/>
      <c r="S666" t="str">
        <f t="shared" si="245"/>
        <v/>
      </c>
      <c r="T666" t="str">
        <f>IF(O666&lt;&gt;"",_xlfn.XLOOKUP(O666,'3D. Pictures'!B:B,'3D. Pictures'!E:E,"NOT FOUND",0,1),"")</f>
        <v/>
      </c>
      <c r="U666"/>
      <c r="V666"/>
      <c r="W666"/>
      <c r="X666"/>
      <c r="Y666"/>
      <c r="Z666"/>
      <c r="AJ666"/>
      <c r="AK666"/>
      <c r="AL666"/>
      <c r="AN666"/>
    </row>
    <row r="667" spans="1:40" x14ac:dyDescent="0.25">
      <c r="A667" s="190" t="str">
        <f t="shared" si="244"/>
        <v/>
      </c>
      <c r="M667"/>
      <c r="N667"/>
      <c r="O667"/>
      <c r="P667"/>
      <c r="Q667"/>
      <c r="R667"/>
      <c r="S667" t="str">
        <f t="shared" si="245"/>
        <v/>
      </c>
      <c r="T667" t="str">
        <f>IF(O667&lt;&gt;"",_xlfn.XLOOKUP(O667,'3D. Pictures'!B:B,'3D. Pictures'!E:E,"NOT FOUND",0,1),"")</f>
        <v/>
      </c>
      <c r="U667"/>
      <c r="V667"/>
      <c r="W667"/>
      <c r="X667"/>
      <c r="Y667"/>
      <c r="Z667"/>
      <c r="AJ667"/>
      <c r="AK667"/>
      <c r="AL667"/>
      <c r="AN667"/>
    </row>
    <row r="668" spans="1:40" x14ac:dyDescent="0.25">
      <c r="A668" s="190" t="str">
        <f t="shared" si="244"/>
        <v/>
      </c>
      <c r="M668"/>
      <c r="N668"/>
      <c r="O668"/>
      <c r="P668"/>
      <c r="Q668"/>
      <c r="R668"/>
      <c r="S668" t="str">
        <f t="shared" si="245"/>
        <v/>
      </c>
      <c r="T668" t="str">
        <f>IF(O668&lt;&gt;"",_xlfn.XLOOKUP(O668,'3D. Pictures'!B:B,'3D. Pictures'!E:E,"NOT FOUND",0,1),"")</f>
        <v/>
      </c>
      <c r="U668"/>
      <c r="V668"/>
      <c r="W668"/>
      <c r="X668"/>
      <c r="Y668"/>
      <c r="Z668"/>
      <c r="AJ668"/>
      <c r="AK668"/>
      <c r="AL668"/>
      <c r="AN668"/>
    </row>
    <row r="669" spans="1:40" x14ac:dyDescent="0.25">
      <c r="A669" s="190" t="str">
        <f t="shared" si="244"/>
        <v/>
      </c>
      <c r="M669"/>
      <c r="N669"/>
      <c r="O669"/>
      <c r="P669"/>
      <c r="Q669"/>
      <c r="R669"/>
      <c r="S669" t="str">
        <f t="shared" si="245"/>
        <v/>
      </c>
      <c r="T669" t="str">
        <f>IF(O669&lt;&gt;"",_xlfn.XLOOKUP(O669,'3D. Pictures'!B:B,'3D. Pictures'!E:E,"NOT FOUND",0,1),"")</f>
        <v/>
      </c>
      <c r="U669"/>
      <c r="V669"/>
      <c r="W669"/>
      <c r="X669"/>
      <c r="Y669"/>
      <c r="Z669"/>
      <c r="AJ669"/>
      <c r="AK669"/>
      <c r="AL669"/>
      <c r="AN669"/>
    </row>
    <row r="670" spans="1:40" x14ac:dyDescent="0.25">
      <c r="A670" s="190" t="str">
        <f t="shared" si="244"/>
        <v/>
      </c>
      <c r="M670"/>
      <c r="N670"/>
      <c r="O670"/>
      <c r="P670"/>
      <c r="Q670"/>
      <c r="R670"/>
      <c r="S670" t="str">
        <f t="shared" si="245"/>
        <v/>
      </c>
      <c r="T670" t="str">
        <f>IF(O670&lt;&gt;"",_xlfn.XLOOKUP(O670,'3D. Pictures'!B:B,'3D. Pictures'!E:E,"NOT FOUND",0,1),"")</f>
        <v/>
      </c>
      <c r="U670"/>
      <c r="V670"/>
      <c r="W670"/>
      <c r="X670"/>
      <c r="Y670"/>
      <c r="Z670"/>
      <c r="AJ670"/>
      <c r="AK670"/>
      <c r="AL670"/>
      <c r="AN670"/>
    </row>
    <row r="671" spans="1:40" x14ac:dyDescent="0.25">
      <c r="A671" s="190" t="str">
        <f t="shared" si="244"/>
        <v/>
      </c>
      <c r="M671"/>
      <c r="N671"/>
      <c r="O671"/>
      <c r="P671"/>
      <c r="Q671"/>
      <c r="R671"/>
      <c r="S671" t="str">
        <f t="shared" si="245"/>
        <v/>
      </c>
      <c r="T671" t="str">
        <f>IF(O671&lt;&gt;"",_xlfn.XLOOKUP(O671,'3D. Pictures'!B:B,'3D. Pictures'!E:E,"NOT FOUND",0,1),"")</f>
        <v/>
      </c>
      <c r="U671"/>
      <c r="V671"/>
      <c r="W671"/>
      <c r="X671"/>
      <c r="Y671"/>
      <c r="Z671"/>
      <c r="AJ671"/>
      <c r="AK671"/>
      <c r="AL671"/>
      <c r="AN671"/>
    </row>
    <row r="672" spans="1:40" x14ac:dyDescent="0.25">
      <c r="A672" s="190" t="str">
        <f t="shared" si="244"/>
        <v/>
      </c>
      <c r="M672"/>
      <c r="N672"/>
      <c r="O672"/>
      <c r="P672"/>
      <c r="Q672"/>
      <c r="R672"/>
      <c r="S672" t="str">
        <f t="shared" si="245"/>
        <v/>
      </c>
      <c r="T672" t="str">
        <f>IF(O672&lt;&gt;"",_xlfn.XLOOKUP(O672,'3D. Pictures'!B:B,'3D. Pictures'!E:E,"NOT FOUND",0,1),"")</f>
        <v/>
      </c>
      <c r="U672"/>
      <c r="V672"/>
      <c r="W672"/>
      <c r="X672"/>
      <c r="Y672"/>
      <c r="Z672"/>
      <c r="AJ672"/>
      <c r="AK672"/>
      <c r="AL672"/>
      <c r="AN672"/>
    </row>
    <row r="673" spans="1:40" x14ac:dyDescent="0.25">
      <c r="A673" s="190" t="str">
        <f t="shared" si="244"/>
        <v/>
      </c>
      <c r="M673"/>
      <c r="N673"/>
      <c r="O673"/>
      <c r="P673"/>
      <c r="Q673"/>
      <c r="R673"/>
      <c r="S673" t="str">
        <f t="shared" si="245"/>
        <v/>
      </c>
      <c r="T673" t="str">
        <f>IF(O673&lt;&gt;"",_xlfn.XLOOKUP(O673,'3D. Pictures'!B:B,'3D. Pictures'!E:E,"NOT FOUND",0,1),"")</f>
        <v/>
      </c>
      <c r="U673"/>
      <c r="V673"/>
      <c r="W673"/>
      <c r="X673"/>
      <c r="Y673"/>
      <c r="Z673"/>
      <c r="AJ673"/>
      <c r="AK673"/>
      <c r="AL673"/>
      <c r="AN673"/>
    </row>
    <row r="674" spans="1:40" x14ac:dyDescent="0.25">
      <c r="A674" s="190" t="str">
        <f t="shared" si="244"/>
        <v/>
      </c>
      <c r="M674"/>
      <c r="N674"/>
      <c r="O674"/>
      <c r="P674"/>
      <c r="Q674"/>
      <c r="R674"/>
      <c r="S674" t="str">
        <f t="shared" si="245"/>
        <v/>
      </c>
      <c r="T674" t="str">
        <f>IF(O674&lt;&gt;"",_xlfn.XLOOKUP(O674,'3D. Pictures'!B:B,'3D. Pictures'!E:E,"NOT FOUND",0,1),"")</f>
        <v/>
      </c>
      <c r="U674"/>
      <c r="V674"/>
      <c r="W674"/>
      <c r="X674"/>
      <c r="Y674"/>
      <c r="Z674"/>
      <c r="AJ674"/>
      <c r="AK674"/>
      <c r="AL674"/>
      <c r="AN674"/>
    </row>
    <row r="675" spans="1:40" x14ac:dyDescent="0.25">
      <c r="A675" s="190" t="str">
        <f t="shared" si="244"/>
        <v/>
      </c>
      <c r="M675"/>
      <c r="N675"/>
      <c r="O675"/>
      <c r="P675"/>
      <c r="Q675"/>
      <c r="R675"/>
      <c r="S675" t="str">
        <f t="shared" si="245"/>
        <v/>
      </c>
      <c r="T675" t="str">
        <f>IF(O675&lt;&gt;"",_xlfn.XLOOKUP(O675,'3D. Pictures'!B:B,'3D. Pictures'!E:E,"NOT FOUND",0,1),"")</f>
        <v/>
      </c>
      <c r="U675"/>
      <c r="V675"/>
      <c r="W675"/>
      <c r="X675"/>
      <c r="Y675"/>
      <c r="Z675"/>
      <c r="AJ675"/>
      <c r="AK675"/>
      <c r="AL675"/>
      <c r="AN675"/>
    </row>
    <row r="676" spans="1:40" x14ac:dyDescent="0.25">
      <c r="A676" s="190" t="str">
        <f t="shared" si="244"/>
        <v/>
      </c>
      <c r="M676"/>
      <c r="N676"/>
      <c r="O676"/>
      <c r="P676"/>
      <c r="Q676"/>
      <c r="R676"/>
      <c r="S676" t="str">
        <f t="shared" si="245"/>
        <v/>
      </c>
      <c r="T676" t="str">
        <f>IF(O676&lt;&gt;"",_xlfn.XLOOKUP(O676,'3D. Pictures'!B:B,'3D. Pictures'!E:E,"NOT FOUND",0,1),"")</f>
        <v/>
      </c>
      <c r="U676"/>
      <c r="V676"/>
      <c r="W676"/>
      <c r="X676"/>
      <c r="Y676"/>
      <c r="Z676"/>
      <c r="AJ676"/>
      <c r="AK676"/>
      <c r="AL676"/>
      <c r="AN676"/>
    </row>
    <row r="677" spans="1:40" x14ac:dyDescent="0.25">
      <c r="A677" s="190" t="str">
        <f t="shared" si="244"/>
        <v/>
      </c>
      <c r="M677"/>
      <c r="N677"/>
      <c r="O677"/>
      <c r="P677"/>
      <c r="Q677"/>
      <c r="R677"/>
      <c r="S677" t="str">
        <f t="shared" si="245"/>
        <v/>
      </c>
      <c r="T677" t="str">
        <f>IF(O677&lt;&gt;"",_xlfn.XLOOKUP(O677,'3D. Pictures'!B:B,'3D. Pictures'!E:E,"NOT FOUND",0,1),"")</f>
        <v/>
      </c>
      <c r="U677"/>
      <c r="V677"/>
      <c r="W677"/>
      <c r="X677"/>
      <c r="Y677"/>
      <c r="Z677"/>
      <c r="AJ677"/>
      <c r="AK677"/>
      <c r="AL677"/>
      <c r="AN677"/>
    </row>
    <row r="678" spans="1:40" x14ac:dyDescent="0.25">
      <c r="A678" s="190" t="str">
        <f t="shared" si="244"/>
        <v/>
      </c>
      <c r="M678"/>
      <c r="N678"/>
      <c r="O678"/>
      <c r="P678"/>
      <c r="Q678"/>
      <c r="R678"/>
      <c r="S678" t="str">
        <f t="shared" si="245"/>
        <v/>
      </c>
      <c r="T678" t="str">
        <f>IF(O678&lt;&gt;"",_xlfn.XLOOKUP(O678,'3D. Pictures'!B:B,'3D. Pictures'!E:E,"NOT FOUND",0,1),"")</f>
        <v/>
      </c>
      <c r="U678"/>
      <c r="V678"/>
      <c r="W678"/>
      <c r="X678"/>
      <c r="Y678"/>
      <c r="Z678"/>
      <c r="AJ678"/>
      <c r="AK678"/>
      <c r="AL678"/>
      <c r="AN678"/>
    </row>
    <row r="679" spans="1:40" x14ac:dyDescent="0.25">
      <c r="A679" s="190" t="str">
        <f t="shared" si="244"/>
        <v/>
      </c>
      <c r="M679"/>
      <c r="N679"/>
      <c r="O679"/>
      <c r="P679"/>
      <c r="Q679"/>
      <c r="R679"/>
      <c r="S679" t="str">
        <f t="shared" si="245"/>
        <v/>
      </c>
      <c r="T679" t="str">
        <f>IF(O679&lt;&gt;"",_xlfn.XLOOKUP(O679,'3D. Pictures'!B:B,'3D. Pictures'!E:E,"NOT FOUND",0,1),"")</f>
        <v/>
      </c>
      <c r="U679"/>
      <c r="V679"/>
      <c r="W679"/>
      <c r="X679"/>
      <c r="Y679"/>
      <c r="Z679"/>
      <c r="AJ679"/>
      <c r="AK679"/>
      <c r="AL679"/>
      <c r="AN679"/>
    </row>
    <row r="680" spans="1:40" x14ac:dyDescent="0.25">
      <c r="A680" s="190" t="str">
        <f t="shared" si="244"/>
        <v/>
      </c>
      <c r="M680"/>
      <c r="N680"/>
      <c r="O680"/>
      <c r="P680"/>
      <c r="Q680"/>
      <c r="R680"/>
      <c r="S680" t="str">
        <f t="shared" si="245"/>
        <v/>
      </c>
      <c r="T680" t="str">
        <f>IF(O680&lt;&gt;"",_xlfn.XLOOKUP(O680,'3D. Pictures'!B:B,'3D. Pictures'!E:E,"NOT FOUND",0,1),"")</f>
        <v/>
      </c>
      <c r="U680"/>
      <c r="V680"/>
      <c r="W680"/>
      <c r="X680"/>
      <c r="Y680"/>
      <c r="Z680"/>
      <c r="AJ680"/>
      <c r="AK680"/>
      <c r="AL680"/>
      <c r="AN680"/>
    </row>
    <row r="681" spans="1:40" x14ac:dyDescent="0.25">
      <c r="A681" s="190" t="str">
        <f t="shared" si="244"/>
        <v/>
      </c>
      <c r="M681"/>
      <c r="N681"/>
      <c r="O681"/>
      <c r="P681"/>
      <c r="Q681"/>
      <c r="R681"/>
      <c r="S681" t="str">
        <f t="shared" si="245"/>
        <v/>
      </c>
      <c r="T681" t="str">
        <f>IF(O681&lt;&gt;"",_xlfn.XLOOKUP(O681,'3D. Pictures'!B:B,'3D. Pictures'!E:E,"NOT FOUND",0,1),"")</f>
        <v/>
      </c>
      <c r="U681"/>
      <c r="V681"/>
      <c r="W681"/>
      <c r="X681"/>
      <c r="Y681"/>
      <c r="Z681"/>
      <c r="AJ681"/>
      <c r="AK681"/>
      <c r="AL681"/>
      <c r="AN681"/>
    </row>
    <row r="682" spans="1:40" x14ac:dyDescent="0.25">
      <c r="A682" s="190" t="str">
        <f t="shared" si="244"/>
        <v/>
      </c>
      <c r="M682"/>
      <c r="N682"/>
      <c r="O682"/>
      <c r="P682"/>
      <c r="Q682"/>
      <c r="R682"/>
      <c r="S682" t="str">
        <f t="shared" si="245"/>
        <v/>
      </c>
      <c r="T682" t="str">
        <f>IF(O682&lt;&gt;"",_xlfn.XLOOKUP(O682,'3D. Pictures'!B:B,'3D. Pictures'!E:E,"NOT FOUND",0,1),"")</f>
        <v/>
      </c>
      <c r="U682"/>
      <c r="V682"/>
      <c r="W682"/>
      <c r="X682"/>
      <c r="Y682"/>
      <c r="Z682"/>
      <c r="AJ682"/>
      <c r="AK682"/>
      <c r="AL682"/>
      <c r="AN682"/>
    </row>
    <row r="683" spans="1:40" x14ac:dyDescent="0.25">
      <c r="A683" s="190" t="str">
        <f t="shared" si="244"/>
        <v/>
      </c>
      <c r="M683"/>
      <c r="N683"/>
      <c r="O683"/>
      <c r="P683"/>
      <c r="Q683"/>
      <c r="R683"/>
      <c r="S683" t="str">
        <f t="shared" si="245"/>
        <v/>
      </c>
      <c r="T683" t="str">
        <f>IF(O683&lt;&gt;"",_xlfn.XLOOKUP(O683,'3D. Pictures'!B:B,'3D. Pictures'!E:E,"NOT FOUND",0,1),"")</f>
        <v/>
      </c>
      <c r="U683"/>
      <c r="V683"/>
      <c r="W683"/>
      <c r="X683"/>
      <c r="Y683"/>
      <c r="Z683"/>
      <c r="AJ683"/>
      <c r="AK683"/>
      <c r="AL683"/>
      <c r="AN683"/>
    </row>
    <row r="684" spans="1:40" x14ac:dyDescent="0.25">
      <c r="A684" s="190" t="str">
        <f t="shared" si="244"/>
        <v/>
      </c>
      <c r="M684"/>
      <c r="N684"/>
      <c r="O684"/>
      <c r="P684"/>
      <c r="Q684"/>
      <c r="R684"/>
      <c r="S684" t="str">
        <f t="shared" si="245"/>
        <v/>
      </c>
      <c r="T684" t="str">
        <f>IF(O684&lt;&gt;"",_xlfn.XLOOKUP(O684,'3D. Pictures'!B:B,'3D. Pictures'!E:E,"NOT FOUND",0,1),"")</f>
        <v/>
      </c>
      <c r="U684"/>
      <c r="V684"/>
      <c r="W684"/>
      <c r="X684"/>
      <c r="Y684"/>
      <c r="Z684"/>
      <c r="AJ684"/>
      <c r="AK684"/>
      <c r="AL684"/>
      <c r="AN684"/>
    </row>
    <row r="685" spans="1:40" x14ac:dyDescent="0.25">
      <c r="A685" s="190" t="str">
        <f t="shared" si="244"/>
        <v/>
      </c>
      <c r="M685"/>
      <c r="N685"/>
      <c r="O685"/>
      <c r="P685"/>
      <c r="Q685"/>
      <c r="R685"/>
      <c r="S685" t="str">
        <f t="shared" si="245"/>
        <v/>
      </c>
      <c r="T685" t="str">
        <f>IF(O685&lt;&gt;"",_xlfn.XLOOKUP(O685,'3D. Pictures'!B:B,'3D. Pictures'!E:E,"NOT FOUND",0,1),"")</f>
        <v/>
      </c>
      <c r="U685"/>
      <c r="V685"/>
      <c r="W685"/>
      <c r="X685"/>
      <c r="Y685"/>
      <c r="Z685"/>
      <c r="AJ685"/>
      <c r="AK685"/>
      <c r="AL685"/>
      <c r="AN685"/>
    </row>
    <row r="686" spans="1:40" x14ac:dyDescent="0.25">
      <c r="A686" s="190" t="str">
        <f t="shared" si="244"/>
        <v/>
      </c>
      <c r="M686"/>
      <c r="N686"/>
      <c r="O686"/>
      <c r="P686"/>
      <c r="Q686"/>
      <c r="R686"/>
      <c r="S686" t="str">
        <f t="shared" si="245"/>
        <v/>
      </c>
      <c r="T686" t="str">
        <f>IF(O686&lt;&gt;"",_xlfn.XLOOKUP(O686,'3D. Pictures'!B:B,'3D. Pictures'!E:E,"NOT FOUND",0,1),"")</f>
        <v/>
      </c>
      <c r="U686"/>
      <c r="V686"/>
      <c r="W686"/>
      <c r="X686"/>
      <c r="Y686"/>
      <c r="Z686"/>
      <c r="AJ686"/>
      <c r="AK686"/>
      <c r="AL686"/>
      <c r="AN686"/>
    </row>
    <row r="687" spans="1:40" x14ac:dyDescent="0.25">
      <c r="A687" s="190" t="str">
        <f t="shared" si="244"/>
        <v/>
      </c>
      <c r="M687"/>
      <c r="N687"/>
      <c r="O687"/>
      <c r="P687"/>
      <c r="Q687"/>
      <c r="R687"/>
      <c r="S687" t="str">
        <f t="shared" si="245"/>
        <v/>
      </c>
      <c r="T687" t="str">
        <f>IF(O687&lt;&gt;"",_xlfn.XLOOKUP(O687,'3D. Pictures'!B:B,'3D. Pictures'!E:E,"NOT FOUND",0,1),"")</f>
        <v/>
      </c>
      <c r="U687"/>
      <c r="V687"/>
      <c r="W687"/>
      <c r="X687"/>
      <c r="Y687"/>
      <c r="Z687"/>
      <c r="AJ687"/>
      <c r="AK687"/>
      <c r="AL687"/>
      <c r="AN687"/>
    </row>
    <row r="688" spans="1:40" x14ac:dyDescent="0.25">
      <c r="A688" s="190" t="str">
        <f t="shared" si="244"/>
        <v/>
      </c>
      <c r="M688"/>
      <c r="N688"/>
      <c r="O688"/>
      <c r="P688"/>
      <c r="Q688"/>
      <c r="R688"/>
      <c r="S688" t="str">
        <f t="shared" si="245"/>
        <v/>
      </c>
      <c r="T688" t="str">
        <f>IF(O688&lt;&gt;"",_xlfn.XLOOKUP(O688,'3D. Pictures'!B:B,'3D. Pictures'!E:E,"NOT FOUND",0,1),"")</f>
        <v/>
      </c>
      <c r="U688"/>
      <c r="V688"/>
      <c r="W688"/>
      <c r="X688"/>
      <c r="Y688"/>
      <c r="Z688"/>
      <c r="AJ688"/>
      <c r="AK688"/>
      <c r="AL688"/>
      <c r="AN688"/>
    </row>
    <row r="689" spans="1:40" x14ac:dyDescent="0.25">
      <c r="A689" s="190" t="str">
        <f t="shared" si="244"/>
        <v/>
      </c>
      <c r="M689"/>
      <c r="N689"/>
      <c r="O689"/>
      <c r="P689"/>
      <c r="Q689"/>
      <c r="R689"/>
      <c r="S689" t="str">
        <f t="shared" si="245"/>
        <v/>
      </c>
      <c r="T689" t="str">
        <f>IF(O689&lt;&gt;"",_xlfn.XLOOKUP(O689,'3D. Pictures'!B:B,'3D. Pictures'!E:E,"NOT FOUND",0,1),"")</f>
        <v/>
      </c>
      <c r="U689"/>
      <c r="V689"/>
      <c r="W689"/>
      <c r="X689"/>
      <c r="Y689"/>
      <c r="Z689"/>
      <c r="AJ689"/>
      <c r="AK689"/>
      <c r="AL689"/>
      <c r="AN689"/>
    </row>
    <row r="690" spans="1:40" x14ac:dyDescent="0.25">
      <c r="A690" s="190" t="str">
        <f t="shared" si="244"/>
        <v/>
      </c>
      <c r="M690"/>
      <c r="N690"/>
      <c r="O690"/>
      <c r="P690"/>
      <c r="Q690"/>
      <c r="R690"/>
      <c r="S690" t="str">
        <f t="shared" si="245"/>
        <v/>
      </c>
      <c r="T690" t="str">
        <f>IF(O690&lt;&gt;"",_xlfn.XLOOKUP(O690,'3D. Pictures'!B:B,'3D. Pictures'!E:E,"NOT FOUND",0,1),"")</f>
        <v/>
      </c>
      <c r="U690"/>
      <c r="V690"/>
      <c r="W690"/>
      <c r="X690"/>
      <c r="Y690"/>
      <c r="Z690"/>
      <c r="AJ690"/>
      <c r="AK690"/>
      <c r="AL690"/>
      <c r="AN690"/>
    </row>
    <row r="691" spans="1:40" x14ac:dyDescent="0.25">
      <c r="A691" s="190" t="str">
        <f t="shared" si="244"/>
        <v/>
      </c>
      <c r="M691"/>
      <c r="N691"/>
      <c r="O691"/>
      <c r="P691"/>
      <c r="Q691"/>
      <c r="R691"/>
      <c r="S691" t="str">
        <f t="shared" si="245"/>
        <v/>
      </c>
      <c r="T691" t="str">
        <f>IF(O691&lt;&gt;"",_xlfn.XLOOKUP(O691,'3D. Pictures'!B:B,'3D. Pictures'!E:E,"NOT FOUND",0,1),"")</f>
        <v/>
      </c>
      <c r="U691"/>
      <c r="V691"/>
      <c r="W691"/>
      <c r="X691"/>
      <c r="Y691"/>
      <c r="Z691"/>
      <c r="AJ691"/>
      <c r="AK691"/>
      <c r="AL691"/>
      <c r="AN691"/>
    </row>
    <row r="692" spans="1:40" x14ac:dyDescent="0.25">
      <c r="A692" s="190" t="str">
        <f t="shared" si="244"/>
        <v/>
      </c>
      <c r="M692"/>
      <c r="N692"/>
      <c r="O692"/>
      <c r="P692"/>
      <c r="Q692"/>
      <c r="R692"/>
      <c r="S692" t="str">
        <f t="shared" si="245"/>
        <v/>
      </c>
      <c r="T692" t="str">
        <f>IF(O692&lt;&gt;"",_xlfn.XLOOKUP(O692,'3D. Pictures'!B:B,'3D. Pictures'!E:E,"NOT FOUND",0,1),"")</f>
        <v/>
      </c>
      <c r="U692"/>
      <c r="V692"/>
      <c r="W692"/>
      <c r="X692"/>
      <c r="Y692"/>
      <c r="Z692"/>
      <c r="AJ692"/>
      <c r="AK692"/>
      <c r="AL692"/>
      <c r="AN692"/>
    </row>
    <row r="693" spans="1:40" x14ac:dyDescent="0.25">
      <c r="A693" s="190" t="str">
        <f t="shared" si="244"/>
        <v/>
      </c>
      <c r="M693"/>
      <c r="N693"/>
      <c r="O693"/>
      <c r="P693"/>
      <c r="Q693"/>
      <c r="R693"/>
      <c r="S693" t="str">
        <f t="shared" si="245"/>
        <v/>
      </c>
      <c r="T693" t="str">
        <f>IF(O693&lt;&gt;"",_xlfn.XLOOKUP(O693,'3D. Pictures'!B:B,'3D. Pictures'!E:E,"NOT FOUND",0,1),"")</f>
        <v/>
      </c>
      <c r="U693"/>
      <c r="V693"/>
      <c r="W693"/>
      <c r="X693"/>
      <c r="Y693"/>
      <c r="Z693"/>
      <c r="AJ693"/>
      <c r="AK693"/>
      <c r="AL693"/>
      <c r="AN693"/>
    </row>
    <row r="694" spans="1:40" x14ac:dyDescent="0.25">
      <c r="A694" s="190" t="str">
        <f t="shared" si="244"/>
        <v/>
      </c>
      <c r="M694"/>
      <c r="N694"/>
      <c r="O694"/>
      <c r="P694"/>
      <c r="Q694"/>
      <c r="R694"/>
      <c r="S694" t="str">
        <f t="shared" si="245"/>
        <v/>
      </c>
      <c r="T694" t="str">
        <f>IF(O694&lt;&gt;"",_xlfn.XLOOKUP(O694,'3D. Pictures'!B:B,'3D. Pictures'!E:E,"NOT FOUND",0,1),"")</f>
        <v/>
      </c>
      <c r="U694"/>
      <c r="V694"/>
      <c r="W694"/>
      <c r="X694"/>
      <c r="Y694"/>
      <c r="Z694"/>
      <c r="AJ694"/>
      <c r="AK694"/>
      <c r="AL694"/>
      <c r="AN694"/>
    </row>
    <row r="695" spans="1:40" x14ac:dyDescent="0.25">
      <c r="A695" s="190" t="str">
        <f t="shared" si="244"/>
        <v/>
      </c>
      <c r="M695"/>
      <c r="N695"/>
      <c r="O695"/>
      <c r="P695"/>
      <c r="Q695"/>
      <c r="R695"/>
      <c r="S695" t="str">
        <f t="shared" si="245"/>
        <v/>
      </c>
      <c r="T695" t="str">
        <f>IF(O695&lt;&gt;"",_xlfn.XLOOKUP(O695,'3D. Pictures'!B:B,'3D. Pictures'!E:E,"NOT FOUND",0,1),"")</f>
        <v/>
      </c>
      <c r="U695"/>
      <c r="V695"/>
      <c r="W695"/>
      <c r="X695"/>
      <c r="Y695"/>
      <c r="Z695"/>
      <c r="AJ695"/>
      <c r="AK695"/>
      <c r="AL695"/>
      <c r="AN695"/>
    </row>
    <row r="696" spans="1:40" x14ac:dyDescent="0.25">
      <c r="A696" s="190" t="str">
        <f t="shared" si="244"/>
        <v/>
      </c>
      <c r="M696"/>
      <c r="N696"/>
      <c r="O696"/>
      <c r="P696"/>
      <c r="Q696"/>
      <c r="R696"/>
      <c r="S696" t="str">
        <f t="shared" si="245"/>
        <v/>
      </c>
      <c r="T696" t="str">
        <f>IF(O696&lt;&gt;"",_xlfn.XLOOKUP(O696,'3D. Pictures'!B:B,'3D. Pictures'!E:E,"NOT FOUND",0,1),"")</f>
        <v/>
      </c>
      <c r="U696"/>
      <c r="V696"/>
      <c r="W696"/>
      <c r="X696"/>
      <c r="Y696"/>
      <c r="Z696"/>
      <c r="AJ696"/>
      <c r="AK696"/>
      <c r="AL696"/>
      <c r="AN696"/>
    </row>
    <row r="697" spans="1:40" x14ac:dyDescent="0.25">
      <c r="A697" s="190" t="str">
        <f t="shared" si="244"/>
        <v/>
      </c>
      <c r="M697"/>
      <c r="N697"/>
      <c r="O697"/>
      <c r="P697"/>
      <c r="Q697"/>
      <c r="R697"/>
      <c r="S697" t="str">
        <f t="shared" si="245"/>
        <v/>
      </c>
      <c r="T697" t="str">
        <f>IF(O697&lt;&gt;"",_xlfn.XLOOKUP(O697,'3D. Pictures'!B:B,'3D. Pictures'!E:E,"NOT FOUND",0,1),"")</f>
        <v/>
      </c>
      <c r="U697"/>
      <c r="V697"/>
      <c r="W697"/>
      <c r="X697"/>
      <c r="Y697"/>
      <c r="Z697"/>
      <c r="AJ697"/>
      <c r="AK697"/>
      <c r="AL697"/>
      <c r="AN697"/>
    </row>
    <row r="698" spans="1:40" x14ac:dyDescent="0.25">
      <c r="A698" s="190" t="str">
        <f t="shared" si="244"/>
        <v/>
      </c>
      <c r="M698"/>
      <c r="N698"/>
      <c r="O698"/>
      <c r="P698"/>
      <c r="Q698"/>
      <c r="R698"/>
      <c r="S698" t="str">
        <f t="shared" si="245"/>
        <v/>
      </c>
      <c r="T698" t="str">
        <f>IF(O698&lt;&gt;"",_xlfn.XLOOKUP(O698,'3D. Pictures'!B:B,'3D. Pictures'!E:E,"NOT FOUND",0,1),"")</f>
        <v/>
      </c>
      <c r="U698"/>
      <c r="V698"/>
      <c r="W698"/>
      <c r="X698"/>
      <c r="Y698"/>
      <c r="Z698"/>
      <c r="AJ698"/>
      <c r="AK698"/>
      <c r="AL698"/>
      <c r="AN698"/>
    </row>
    <row r="699" spans="1:40" x14ac:dyDescent="0.25">
      <c r="A699" s="190" t="str">
        <f t="shared" si="244"/>
        <v/>
      </c>
      <c r="M699"/>
      <c r="N699"/>
      <c r="O699"/>
      <c r="P699"/>
      <c r="Q699"/>
      <c r="R699"/>
      <c r="S699" t="str">
        <f t="shared" si="245"/>
        <v/>
      </c>
      <c r="T699" t="str">
        <f>IF(O699&lt;&gt;"",_xlfn.XLOOKUP(O699,'3D. Pictures'!B:B,'3D. Pictures'!E:E,"NOT FOUND",0,1),"")</f>
        <v/>
      </c>
      <c r="U699"/>
      <c r="V699"/>
      <c r="W699"/>
      <c r="X699"/>
      <c r="Y699"/>
      <c r="Z699"/>
      <c r="AJ699"/>
      <c r="AK699"/>
      <c r="AL699"/>
      <c r="AN699"/>
    </row>
    <row r="700" spans="1:40" x14ac:dyDescent="0.25">
      <c r="A700" s="190" t="str">
        <f t="shared" si="244"/>
        <v/>
      </c>
      <c r="M700"/>
      <c r="N700"/>
      <c r="O700"/>
      <c r="P700"/>
      <c r="Q700"/>
      <c r="R700"/>
      <c r="S700" t="str">
        <f t="shared" si="245"/>
        <v/>
      </c>
      <c r="T700" t="str">
        <f>IF(O700&lt;&gt;"",_xlfn.XLOOKUP(O700,'3D. Pictures'!B:B,'3D. Pictures'!E:E,"NOT FOUND",0,1),"")</f>
        <v/>
      </c>
      <c r="U700"/>
      <c r="V700"/>
      <c r="W700"/>
      <c r="X700"/>
      <c r="Y700"/>
      <c r="Z700"/>
      <c r="AJ700"/>
      <c r="AK700"/>
      <c r="AL700"/>
      <c r="AN700"/>
    </row>
    <row r="701" spans="1:40" x14ac:dyDescent="0.25">
      <c r="A701" s="190" t="str">
        <f t="shared" si="244"/>
        <v/>
      </c>
      <c r="M701"/>
      <c r="N701"/>
      <c r="O701"/>
      <c r="P701"/>
      <c r="Q701"/>
      <c r="R701"/>
      <c r="S701" t="str">
        <f t="shared" si="245"/>
        <v/>
      </c>
      <c r="T701" t="str">
        <f>IF(O701&lt;&gt;"",_xlfn.XLOOKUP(O701,'3D. Pictures'!B:B,'3D. Pictures'!E:E,"NOT FOUND",0,1),"")</f>
        <v/>
      </c>
      <c r="U701"/>
      <c r="V701"/>
      <c r="W701"/>
      <c r="X701"/>
      <c r="Y701"/>
      <c r="Z701"/>
      <c r="AJ701"/>
      <c r="AK701"/>
      <c r="AL701"/>
      <c r="AN701"/>
    </row>
    <row r="702" spans="1:40" x14ac:dyDescent="0.25">
      <c r="A702" s="190" t="str">
        <f t="shared" si="244"/>
        <v/>
      </c>
      <c r="M702"/>
      <c r="N702"/>
      <c r="O702"/>
      <c r="P702"/>
      <c r="Q702"/>
      <c r="R702"/>
      <c r="S702" t="str">
        <f t="shared" si="245"/>
        <v/>
      </c>
      <c r="T702" t="str">
        <f>IF(O702&lt;&gt;"",_xlfn.XLOOKUP(O702,'3D. Pictures'!B:B,'3D. Pictures'!E:E,"NOT FOUND",0,1),"")</f>
        <v/>
      </c>
      <c r="U702"/>
      <c r="V702"/>
      <c r="W702"/>
      <c r="X702"/>
      <c r="Y702"/>
      <c r="Z702"/>
      <c r="AJ702"/>
      <c r="AK702"/>
      <c r="AL702"/>
      <c r="AN702"/>
    </row>
    <row r="703" spans="1:40" x14ac:dyDescent="0.25">
      <c r="A703" s="190" t="str">
        <f t="shared" si="244"/>
        <v/>
      </c>
      <c r="M703"/>
      <c r="N703"/>
      <c r="O703"/>
      <c r="P703"/>
      <c r="Q703"/>
      <c r="R703"/>
      <c r="S703" t="str">
        <f t="shared" si="245"/>
        <v/>
      </c>
      <c r="T703" t="str">
        <f>IF(O703&lt;&gt;"",_xlfn.XLOOKUP(O703,'3D. Pictures'!B:B,'3D. Pictures'!E:E,"NOT FOUND",0,1),"")</f>
        <v/>
      </c>
      <c r="U703"/>
      <c r="V703"/>
      <c r="W703"/>
      <c r="X703"/>
      <c r="Y703"/>
      <c r="Z703"/>
      <c r="AJ703"/>
      <c r="AK703"/>
      <c r="AL703"/>
      <c r="AN703"/>
    </row>
    <row r="704" spans="1:40" x14ac:dyDescent="0.25">
      <c r="A704" s="190" t="str">
        <f t="shared" si="244"/>
        <v/>
      </c>
      <c r="M704"/>
      <c r="N704"/>
      <c r="O704"/>
      <c r="P704"/>
      <c r="Q704"/>
      <c r="R704"/>
      <c r="S704" t="str">
        <f t="shared" si="245"/>
        <v/>
      </c>
      <c r="T704" t="str">
        <f>IF(O704&lt;&gt;"",_xlfn.XLOOKUP(O704,'3D. Pictures'!B:B,'3D. Pictures'!E:E,"NOT FOUND",0,1),"")</f>
        <v/>
      </c>
      <c r="U704"/>
      <c r="V704"/>
      <c r="W704"/>
      <c r="X704"/>
      <c r="Y704"/>
      <c r="Z704"/>
      <c r="AJ704"/>
      <c r="AK704"/>
      <c r="AL704"/>
      <c r="AN704"/>
    </row>
    <row r="705" spans="1:40" x14ac:dyDescent="0.25">
      <c r="A705" s="190" t="str">
        <f t="shared" ref="A705:A768" si="246">IF(O705&lt;&gt;"",O705,"")</f>
        <v/>
      </c>
      <c r="M705"/>
      <c r="N705"/>
      <c r="O705"/>
      <c r="P705"/>
      <c r="Q705"/>
      <c r="R705"/>
      <c r="S705" t="str">
        <f t="shared" si="245"/>
        <v/>
      </c>
      <c r="T705" t="str">
        <f>IF(O705&lt;&gt;"",_xlfn.XLOOKUP(O705,'3D. Pictures'!B:B,'3D. Pictures'!E:E,"NOT FOUND",0,1),"")</f>
        <v/>
      </c>
      <c r="U705"/>
      <c r="V705"/>
      <c r="W705"/>
      <c r="X705"/>
      <c r="Y705"/>
      <c r="Z705"/>
      <c r="AJ705"/>
      <c r="AK705"/>
      <c r="AL705"/>
      <c r="AN705"/>
    </row>
    <row r="706" spans="1:40" x14ac:dyDescent="0.25">
      <c r="A706" s="190" t="str">
        <f t="shared" si="246"/>
        <v/>
      </c>
      <c r="M706"/>
      <c r="N706"/>
      <c r="O706"/>
      <c r="P706"/>
      <c r="Q706"/>
      <c r="R706"/>
      <c r="S706" t="str">
        <f t="shared" si="245"/>
        <v/>
      </c>
      <c r="T706" t="str">
        <f>IF(O706&lt;&gt;"",_xlfn.XLOOKUP(O706,'3D. Pictures'!B:B,'3D. Pictures'!E:E,"NOT FOUND",0,1),"")</f>
        <v/>
      </c>
      <c r="U706"/>
      <c r="V706"/>
      <c r="W706"/>
      <c r="X706"/>
      <c r="Y706"/>
      <c r="Z706"/>
      <c r="AJ706"/>
      <c r="AK706"/>
      <c r="AL706"/>
      <c r="AN706"/>
    </row>
    <row r="707" spans="1:40" x14ac:dyDescent="0.25">
      <c r="A707" s="190" t="str">
        <f t="shared" si="246"/>
        <v/>
      </c>
      <c r="M707"/>
      <c r="N707"/>
      <c r="O707"/>
      <c r="P707"/>
      <c r="Q707"/>
      <c r="R707"/>
      <c r="S707"/>
      <c r="T707" t="str">
        <f>IF(O707&lt;&gt;"",_xlfn.XLOOKUP(O707,'3D. Pictures'!B:B,'3D. Pictures'!E:E,"NOT FOUND",0,1),"")</f>
        <v/>
      </c>
      <c r="U707"/>
      <c r="V707"/>
      <c r="W707"/>
      <c r="X707"/>
      <c r="Y707"/>
      <c r="Z707"/>
      <c r="AJ707"/>
      <c r="AK707"/>
      <c r="AL707"/>
      <c r="AN707"/>
    </row>
    <row r="708" spans="1:40" x14ac:dyDescent="0.25">
      <c r="A708" s="190" t="str">
        <f t="shared" si="246"/>
        <v/>
      </c>
      <c r="M708"/>
      <c r="N708"/>
      <c r="O708"/>
      <c r="P708"/>
      <c r="Q708"/>
      <c r="R708"/>
      <c r="S708"/>
      <c r="T708" t="str">
        <f>IF(O708&lt;&gt;"",_xlfn.XLOOKUP(O708,'3D. Pictures'!B:B,'3D. Pictures'!E:E,"NOT FOUND",0,1),"")</f>
        <v/>
      </c>
      <c r="U708"/>
      <c r="V708"/>
      <c r="W708"/>
      <c r="X708"/>
      <c r="Y708"/>
      <c r="Z708"/>
      <c r="AJ708"/>
      <c r="AK708"/>
      <c r="AL708"/>
      <c r="AN708"/>
    </row>
    <row r="709" spans="1:40" x14ac:dyDescent="0.25">
      <c r="A709" s="190" t="str">
        <f t="shared" si="246"/>
        <v/>
      </c>
      <c r="M709"/>
      <c r="N709"/>
      <c r="O709"/>
      <c r="P709"/>
      <c r="Q709"/>
      <c r="R709"/>
      <c r="S709"/>
      <c r="T709" t="str">
        <f>IF(O709&lt;&gt;"",_xlfn.XLOOKUP(O709,'3D. Pictures'!B:B,'3D. Pictures'!E:E,"NOT FOUND",0,1),"")</f>
        <v/>
      </c>
      <c r="U709"/>
      <c r="V709"/>
      <c r="W709"/>
      <c r="X709"/>
      <c r="Y709"/>
      <c r="Z709"/>
      <c r="AJ709"/>
      <c r="AK709"/>
      <c r="AL709"/>
      <c r="AN709"/>
    </row>
    <row r="710" spans="1:40" x14ac:dyDescent="0.25">
      <c r="A710" s="190" t="str">
        <f t="shared" si="246"/>
        <v/>
      </c>
      <c r="M710"/>
      <c r="N710"/>
      <c r="O710"/>
      <c r="P710"/>
      <c r="Q710"/>
      <c r="R710"/>
      <c r="S710"/>
      <c r="T710" t="str">
        <f>IF(O710&lt;&gt;"",_xlfn.XLOOKUP(O710,'3D. Pictures'!B:B,'3D. Pictures'!E:E,"NOT FOUND",0,1),"")</f>
        <v/>
      </c>
      <c r="U710"/>
      <c r="V710"/>
      <c r="W710"/>
      <c r="X710"/>
      <c r="Y710"/>
      <c r="Z710"/>
      <c r="AJ710"/>
      <c r="AK710"/>
      <c r="AL710"/>
      <c r="AN710"/>
    </row>
    <row r="711" spans="1:40" x14ac:dyDescent="0.25">
      <c r="A711" s="190" t="str">
        <f t="shared" si="246"/>
        <v/>
      </c>
      <c r="M711"/>
      <c r="N711"/>
      <c r="O711"/>
      <c r="P711"/>
      <c r="Q711"/>
      <c r="R711"/>
      <c r="S711"/>
      <c r="T711" t="str">
        <f>IF(O711&lt;&gt;"",_xlfn.XLOOKUP(O711,'3D. Pictures'!B:B,'3D. Pictures'!E:E,"NOT FOUND",0,1),"")</f>
        <v/>
      </c>
      <c r="U711"/>
      <c r="V711"/>
      <c r="W711"/>
      <c r="X711"/>
      <c r="Y711"/>
      <c r="Z711"/>
      <c r="AJ711"/>
      <c r="AK711"/>
      <c r="AL711"/>
      <c r="AN711"/>
    </row>
    <row r="712" spans="1:40" x14ac:dyDescent="0.25">
      <c r="A712" s="190" t="str">
        <f t="shared" si="246"/>
        <v/>
      </c>
      <c r="M712"/>
      <c r="N712"/>
      <c r="O712"/>
      <c r="P712"/>
      <c r="Q712"/>
      <c r="R712"/>
      <c r="S712"/>
      <c r="T712" t="str">
        <f>IF(O712&lt;&gt;"",_xlfn.XLOOKUP(O712,'3D. Pictures'!B:B,'3D. Pictures'!E:E,"NOT FOUND",0,1),"")</f>
        <v/>
      </c>
      <c r="U712"/>
      <c r="V712"/>
      <c r="W712"/>
      <c r="X712"/>
      <c r="Y712"/>
      <c r="Z712"/>
      <c r="AJ712"/>
      <c r="AK712"/>
      <c r="AL712"/>
      <c r="AN712"/>
    </row>
    <row r="713" spans="1:40" x14ac:dyDescent="0.25">
      <c r="A713" s="190" t="str">
        <f t="shared" si="246"/>
        <v/>
      </c>
      <c r="M713"/>
      <c r="N713"/>
      <c r="O713"/>
      <c r="P713"/>
      <c r="Q713"/>
      <c r="R713"/>
      <c r="S713"/>
      <c r="T713" t="str">
        <f>IF(O713&lt;&gt;"",_xlfn.XLOOKUP(O713,'3D. Pictures'!B:B,'3D. Pictures'!E:E,"NOT FOUND",0,1),"")</f>
        <v/>
      </c>
      <c r="U713"/>
      <c r="V713"/>
      <c r="W713"/>
      <c r="X713"/>
      <c r="Y713"/>
      <c r="Z713"/>
      <c r="AJ713"/>
      <c r="AK713"/>
      <c r="AL713"/>
      <c r="AN713"/>
    </row>
    <row r="714" spans="1:40" x14ac:dyDescent="0.25">
      <c r="A714" s="190" t="str">
        <f t="shared" si="246"/>
        <v/>
      </c>
      <c r="M714"/>
      <c r="N714"/>
      <c r="O714"/>
      <c r="P714"/>
      <c r="Q714"/>
      <c r="R714"/>
      <c r="S714"/>
      <c r="T714" t="str">
        <f>IF(O714&lt;&gt;"",_xlfn.XLOOKUP(O714,'3D. Pictures'!B:B,'3D. Pictures'!E:E,"NOT FOUND",0,1),"")</f>
        <v/>
      </c>
      <c r="U714"/>
      <c r="V714"/>
      <c r="W714"/>
      <c r="X714"/>
      <c r="Y714"/>
      <c r="Z714"/>
      <c r="AJ714"/>
      <c r="AK714"/>
      <c r="AL714"/>
      <c r="AN714"/>
    </row>
    <row r="715" spans="1:40" x14ac:dyDescent="0.25">
      <c r="A715" s="190" t="str">
        <f t="shared" si="246"/>
        <v/>
      </c>
      <c r="M715"/>
      <c r="N715"/>
      <c r="O715"/>
      <c r="P715"/>
      <c r="Q715"/>
      <c r="R715"/>
      <c r="S715"/>
      <c r="T715" t="str">
        <f>IF(O715&lt;&gt;"",_xlfn.XLOOKUP(O715,'3D. Pictures'!B:B,'3D. Pictures'!E:E,"NOT FOUND",0,1),"")</f>
        <v/>
      </c>
      <c r="U715"/>
      <c r="V715"/>
      <c r="W715"/>
      <c r="X715"/>
      <c r="Y715"/>
      <c r="Z715"/>
      <c r="AJ715"/>
      <c r="AK715"/>
      <c r="AL715"/>
      <c r="AN715"/>
    </row>
    <row r="716" spans="1:40" x14ac:dyDescent="0.25">
      <c r="A716" s="190" t="str">
        <f t="shared" si="246"/>
        <v/>
      </c>
      <c r="M716"/>
      <c r="N716"/>
      <c r="O716"/>
      <c r="P716"/>
      <c r="Q716"/>
      <c r="R716"/>
      <c r="S716"/>
      <c r="T716" t="str">
        <f>IF(O716&lt;&gt;"",_xlfn.XLOOKUP(O716,'3D. Pictures'!B:B,'3D. Pictures'!E:E,"NOT FOUND",0,1),"")</f>
        <v/>
      </c>
      <c r="U716"/>
      <c r="V716"/>
      <c r="W716"/>
      <c r="X716"/>
      <c r="Y716"/>
      <c r="Z716"/>
      <c r="AJ716"/>
      <c r="AK716"/>
      <c r="AL716"/>
      <c r="AN716"/>
    </row>
    <row r="717" spans="1:40" x14ac:dyDescent="0.25">
      <c r="A717" s="190" t="str">
        <f t="shared" si="246"/>
        <v/>
      </c>
      <c r="M717"/>
      <c r="N717"/>
      <c r="O717"/>
      <c r="P717"/>
      <c r="Q717"/>
      <c r="R717"/>
      <c r="S717"/>
      <c r="T717" t="str">
        <f>IF(O717&lt;&gt;"",_xlfn.XLOOKUP(O717,'3D. Pictures'!B:B,'3D. Pictures'!E:E,"NOT FOUND",0,1),"")</f>
        <v/>
      </c>
      <c r="U717"/>
      <c r="V717"/>
      <c r="W717"/>
      <c r="X717"/>
      <c r="Y717"/>
      <c r="Z717"/>
      <c r="AJ717"/>
      <c r="AK717"/>
      <c r="AL717"/>
      <c r="AN717"/>
    </row>
    <row r="718" spans="1:40" x14ac:dyDescent="0.25">
      <c r="A718" s="190" t="str">
        <f t="shared" si="246"/>
        <v/>
      </c>
      <c r="M718"/>
      <c r="N718"/>
      <c r="O718"/>
      <c r="P718"/>
      <c r="Q718"/>
      <c r="R718"/>
      <c r="S718"/>
      <c r="T718" t="str">
        <f>IF(O718&lt;&gt;"",_xlfn.XLOOKUP(O718,'3D. Pictures'!B:B,'3D. Pictures'!E:E,"NOT FOUND",0,1),"")</f>
        <v/>
      </c>
      <c r="U718"/>
      <c r="V718"/>
      <c r="W718"/>
      <c r="X718"/>
      <c r="Y718"/>
      <c r="Z718"/>
      <c r="AJ718"/>
      <c r="AK718"/>
      <c r="AL718"/>
      <c r="AN718"/>
    </row>
    <row r="719" spans="1:40" x14ac:dyDescent="0.25">
      <c r="A719" s="190" t="str">
        <f t="shared" si="246"/>
        <v/>
      </c>
      <c r="M719"/>
      <c r="N719"/>
      <c r="O719"/>
      <c r="P719"/>
      <c r="Q719"/>
      <c r="R719"/>
      <c r="S719"/>
      <c r="T719" t="str">
        <f>IF(O719&lt;&gt;"",_xlfn.XLOOKUP(O719,'3D. Pictures'!B:B,'3D. Pictures'!E:E,"NOT FOUND",0,1),"")</f>
        <v/>
      </c>
      <c r="U719"/>
      <c r="V719"/>
      <c r="W719"/>
      <c r="X719"/>
      <c r="Y719"/>
      <c r="Z719"/>
      <c r="AJ719"/>
      <c r="AK719"/>
      <c r="AL719"/>
      <c r="AN719"/>
    </row>
    <row r="720" spans="1:40" x14ac:dyDescent="0.25">
      <c r="A720" s="190" t="str">
        <f t="shared" si="246"/>
        <v/>
      </c>
      <c r="M720"/>
      <c r="N720"/>
      <c r="O720"/>
      <c r="P720"/>
      <c r="Q720"/>
      <c r="R720"/>
      <c r="S720"/>
      <c r="T720" t="str">
        <f>IF(O720&lt;&gt;"",_xlfn.XLOOKUP(O720,'3D. Pictures'!B:B,'3D. Pictures'!E:E,"NOT FOUND",0,1),"")</f>
        <v/>
      </c>
      <c r="U720"/>
      <c r="V720"/>
      <c r="W720"/>
      <c r="X720"/>
      <c r="Y720"/>
      <c r="Z720"/>
      <c r="AJ720"/>
      <c r="AK720"/>
      <c r="AL720"/>
      <c r="AN720"/>
    </row>
    <row r="721" spans="1:40" x14ac:dyDescent="0.25">
      <c r="A721" s="190" t="str">
        <f t="shared" si="246"/>
        <v/>
      </c>
      <c r="M721"/>
      <c r="N721"/>
      <c r="O721"/>
      <c r="P721"/>
      <c r="Q721"/>
      <c r="R721"/>
      <c r="S721"/>
      <c r="T721" t="str">
        <f>IF(O721&lt;&gt;"",_xlfn.XLOOKUP(O721,'3D. Pictures'!B:B,'3D. Pictures'!E:E,"NOT FOUND",0,1),"")</f>
        <v/>
      </c>
      <c r="U721"/>
      <c r="V721"/>
      <c r="W721"/>
      <c r="X721"/>
      <c r="Y721"/>
      <c r="Z721"/>
      <c r="AJ721"/>
      <c r="AK721"/>
      <c r="AL721"/>
      <c r="AN721"/>
    </row>
    <row r="722" spans="1:40" x14ac:dyDescent="0.25">
      <c r="A722" s="190" t="str">
        <f t="shared" si="246"/>
        <v/>
      </c>
      <c r="M722"/>
      <c r="N722"/>
      <c r="O722"/>
      <c r="P722"/>
      <c r="Q722"/>
      <c r="R722"/>
      <c r="S722"/>
      <c r="T722" t="str">
        <f>IF(O722&lt;&gt;"",_xlfn.XLOOKUP(O722,'3D. Pictures'!B:B,'3D. Pictures'!E:E,"NOT FOUND",0,1),"")</f>
        <v/>
      </c>
      <c r="U722"/>
      <c r="V722"/>
      <c r="W722"/>
      <c r="X722"/>
      <c r="Y722"/>
      <c r="Z722"/>
      <c r="AJ722"/>
      <c r="AK722"/>
      <c r="AL722"/>
      <c r="AN722"/>
    </row>
    <row r="723" spans="1:40" x14ac:dyDescent="0.25">
      <c r="A723" s="190" t="str">
        <f t="shared" si="246"/>
        <v/>
      </c>
      <c r="M723"/>
      <c r="N723"/>
      <c r="O723"/>
      <c r="P723"/>
      <c r="Q723"/>
      <c r="R723"/>
      <c r="S723"/>
      <c r="T723" t="str">
        <f>IF(O723&lt;&gt;"",_xlfn.XLOOKUP(O723,'3D. Pictures'!B:B,'3D. Pictures'!E:E,"NOT FOUND",0,1),"")</f>
        <v/>
      </c>
      <c r="U723"/>
      <c r="V723"/>
      <c r="W723"/>
      <c r="X723"/>
      <c r="Y723"/>
      <c r="Z723"/>
      <c r="AJ723"/>
      <c r="AK723"/>
      <c r="AL723"/>
      <c r="AN723"/>
    </row>
    <row r="724" spans="1:40" x14ac:dyDescent="0.25">
      <c r="A724" s="190" t="str">
        <f t="shared" si="246"/>
        <v/>
      </c>
      <c r="M724"/>
      <c r="N724"/>
      <c r="O724"/>
      <c r="P724"/>
      <c r="Q724"/>
      <c r="R724"/>
      <c r="S724"/>
      <c r="T724" t="str">
        <f>IF(O724&lt;&gt;"",_xlfn.XLOOKUP(O724,'3D. Pictures'!B:B,'3D. Pictures'!E:E,"NOT FOUND",0,1),"")</f>
        <v/>
      </c>
      <c r="U724"/>
      <c r="V724"/>
      <c r="W724"/>
      <c r="X724"/>
      <c r="Y724"/>
      <c r="Z724"/>
      <c r="AJ724"/>
      <c r="AK724"/>
      <c r="AL724"/>
      <c r="AN724"/>
    </row>
    <row r="725" spans="1:40" x14ac:dyDescent="0.25">
      <c r="A725" s="190" t="str">
        <f t="shared" si="246"/>
        <v/>
      </c>
      <c r="M725"/>
      <c r="N725"/>
      <c r="O725"/>
      <c r="P725"/>
      <c r="Q725"/>
      <c r="R725"/>
      <c r="S725"/>
      <c r="T725" t="str">
        <f>IF(O725&lt;&gt;"",_xlfn.XLOOKUP(O725,'3D. Pictures'!B:B,'3D. Pictures'!E:E,"NOT FOUND",0,1),"")</f>
        <v/>
      </c>
      <c r="U725"/>
      <c r="V725"/>
      <c r="W725"/>
      <c r="X725"/>
      <c r="Y725"/>
      <c r="Z725"/>
      <c r="AJ725"/>
      <c r="AK725"/>
      <c r="AL725"/>
      <c r="AN725"/>
    </row>
    <row r="726" spans="1:40" x14ac:dyDescent="0.25">
      <c r="A726" s="190" t="str">
        <f t="shared" si="246"/>
        <v/>
      </c>
      <c r="M726"/>
      <c r="N726"/>
      <c r="O726"/>
      <c r="P726"/>
      <c r="Q726"/>
      <c r="R726"/>
      <c r="S726"/>
      <c r="T726" t="str">
        <f>IF(O726&lt;&gt;"",_xlfn.XLOOKUP(O726,'3D. Pictures'!B:B,'3D. Pictures'!E:E,"NOT FOUND",0,1),"")</f>
        <v/>
      </c>
      <c r="U726"/>
      <c r="V726"/>
      <c r="W726"/>
      <c r="X726"/>
      <c r="Y726"/>
      <c r="Z726"/>
      <c r="AJ726"/>
      <c r="AK726"/>
      <c r="AL726"/>
      <c r="AN726"/>
    </row>
    <row r="727" spans="1:40" x14ac:dyDescent="0.25">
      <c r="A727" s="190" t="str">
        <f t="shared" si="246"/>
        <v/>
      </c>
      <c r="M727"/>
      <c r="N727"/>
      <c r="O727"/>
      <c r="P727"/>
      <c r="Q727"/>
      <c r="R727"/>
      <c r="S727"/>
      <c r="T727" t="str">
        <f>IF(O727&lt;&gt;"",_xlfn.XLOOKUP(O727,'3D. Pictures'!B:B,'3D. Pictures'!E:E,"NOT FOUND",0,1),"")</f>
        <v/>
      </c>
      <c r="U727"/>
      <c r="V727"/>
      <c r="W727"/>
      <c r="X727"/>
      <c r="Y727"/>
      <c r="Z727"/>
      <c r="AJ727"/>
      <c r="AK727"/>
      <c r="AL727"/>
      <c r="AN727"/>
    </row>
    <row r="728" spans="1:40" x14ac:dyDescent="0.25">
      <c r="A728" s="190" t="str">
        <f t="shared" si="246"/>
        <v/>
      </c>
      <c r="M728"/>
      <c r="N728"/>
      <c r="O728"/>
      <c r="P728"/>
      <c r="Q728"/>
      <c r="R728"/>
      <c r="S728"/>
      <c r="T728" t="str">
        <f>IF(O728&lt;&gt;"",_xlfn.XLOOKUP(O728,'3D. Pictures'!B:B,'3D. Pictures'!E:E,"NOT FOUND",0,1),"")</f>
        <v/>
      </c>
      <c r="U728"/>
      <c r="V728"/>
      <c r="W728"/>
      <c r="X728"/>
      <c r="Y728"/>
      <c r="Z728"/>
      <c r="AJ728"/>
      <c r="AK728"/>
      <c r="AL728"/>
      <c r="AN728"/>
    </row>
    <row r="729" spans="1:40" x14ac:dyDescent="0.25">
      <c r="A729" s="190" t="str">
        <f t="shared" si="246"/>
        <v/>
      </c>
      <c r="M729"/>
      <c r="N729"/>
      <c r="O729"/>
      <c r="P729"/>
      <c r="Q729"/>
      <c r="R729"/>
      <c r="S729"/>
      <c r="T729" t="str">
        <f>IF(O729&lt;&gt;"",_xlfn.XLOOKUP(O729,'3D. Pictures'!B:B,'3D. Pictures'!E:E,"NOT FOUND",0,1),"")</f>
        <v/>
      </c>
      <c r="U729"/>
      <c r="V729"/>
      <c r="W729"/>
      <c r="X729"/>
      <c r="Y729"/>
      <c r="Z729"/>
      <c r="AJ729"/>
      <c r="AK729"/>
      <c r="AL729"/>
      <c r="AN729"/>
    </row>
    <row r="730" spans="1:40" x14ac:dyDescent="0.25">
      <c r="A730" s="190" t="str">
        <f t="shared" si="246"/>
        <v/>
      </c>
      <c r="M730"/>
      <c r="N730"/>
      <c r="O730"/>
      <c r="P730"/>
      <c r="Q730"/>
      <c r="R730"/>
      <c r="S730"/>
      <c r="T730" t="str">
        <f>IF(O730&lt;&gt;"",_xlfn.XLOOKUP(O730,'3D. Pictures'!B:B,'3D. Pictures'!E:E,"NOT FOUND",0,1),"")</f>
        <v/>
      </c>
      <c r="U730"/>
      <c r="V730"/>
      <c r="W730"/>
      <c r="X730"/>
      <c r="Y730"/>
      <c r="Z730"/>
      <c r="AJ730"/>
      <c r="AK730"/>
      <c r="AL730"/>
      <c r="AN730"/>
    </row>
    <row r="731" spans="1:40" x14ac:dyDescent="0.25">
      <c r="A731" s="190" t="str">
        <f t="shared" si="246"/>
        <v/>
      </c>
      <c r="M731"/>
      <c r="N731"/>
      <c r="O731"/>
      <c r="P731"/>
      <c r="Q731"/>
      <c r="R731"/>
      <c r="S731"/>
      <c r="T731" t="str">
        <f>IF(O731&lt;&gt;"",_xlfn.XLOOKUP(O731,'3D. Pictures'!B:B,'3D. Pictures'!E:E,"NOT FOUND",0,1),"")</f>
        <v/>
      </c>
      <c r="U731"/>
      <c r="V731"/>
      <c r="W731"/>
      <c r="X731"/>
      <c r="Y731"/>
      <c r="Z731"/>
      <c r="AJ731"/>
      <c r="AK731"/>
      <c r="AL731"/>
      <c r="AN731"/>
    </row>
    <row r="732" spans="1:40" x14ac:dyDescent="0.25">
      <c r="A732" s="190" t="str">
        <f t="shared" si="246"/>
        <v/>
      </c>
      <c r="M732"/>
      <c r="N732"/>
      <c r="O732"/>
      <c r="P732"/>
      <c r="Q732"/>
      <c r="R732"/>
      <c r="S732"/>
      <c r="T732" t="str">
        <f>IF(O732&lt;&gt;"",_xlfn.XLOOKUP(O732,'3D. Pictures'!B:B,'3D. Pictures'!E:E,"NOT FOUND",0,1),"")</f>
        <v/>
      </c>
      <c r="U732"/>
      <c r="V732"/>
      <c r="W732"/>
      <c r="X732"/>
      <c r="Y732"/>
      <c r="Z732"/>
      <c r="AJ732"/>
      <c r="AK732"/>
      <c r="AL732"/>
      <c r="AN732"/>
    </row>
    <row r="733" spans="1:40" x14ac:dyDescent="0.25">
      <c r="A733" s="190" t="str">
        <f t="shared" si="246"/>
        <v/>
      </c>
      <c r="M733"/>
      <c r="N733"/>
      <c r="O733"/>
      <c r="P733"/>
      <c r="Q733"/>
      <c r="R733"/>
      <c r="S733"/>
      <c r="T733" t="str">
        <f>IF(O733&lt;&gt;"",_xlfn.XLOOKUP(O733,'3D. Pictures'!B:B,'3D. Pictures'!E:E,"NOT FOUND",0,1),"")</f>
        <v/>
      </c>
      <c r="U733"/>
      <c r="V733"/>
      <c r="W733"/>
      <c r="X733"/>
      <c r="Y733"/>
      <c r="Z733"/>
      <c r="AJ733"/>
      <c r="AK733"/>
      <c r="AL733"/>
      <c r="AN733"/>
    </row>
    <row r="734" spans="1:40" x14ac:dyDescent="0.25">
      <c r="A734" s="190" t="str">
        <f t="shared" si="246"/>
        <v/>
      </c>
      <c r="M734"/>
      <c r="N734"/>
      <c r="O734"/>
      <c r="P734"/>
      <c r="Q734"/>
      <c r="R734"/>
      <c r="S734"/>
      <c r="T734" t="str">
        <f>IF(O734&lt;&gt;"",_xlfn.XLOOKUP(O734,'3D. Pictures'!B:B,'3D. Pictures'!E:E,"NOT FOUND",0,1),"")</f>
        <v/>
      </c>
      <c r="U734"/>
      <c r="V734"/>
      <c r="W734"/>
      <c r="X734"/>
      <c r="Y734"/>
      <c r="Z734"/>
      <c r="AJ734"/>
      <c r="AK734"/>
      <c r="AL734"/>
      <c r="AN734"/>
    </row>
    <row r="735" spans="1:40" x14ac:dyDescent="0.25">
      <c r="A735" s="190" t="str">
        <f t="shared" si="246"/>
        <v/>
      </c>
      <c r="M735"/>
      <c r="N735"/>
      <c r="O735"/>
      <c r="P735"/>
      <c r="Q735"/>
      <c r="R735"/>
      <c r="S735"/>
      <c r="T735" t="str">
        <f>IF(O735&lt;&gt;"",_xlfn.XLOOKUP(O735,'3D. Pictures'!B:B,'3D. Pictures'!E:E,"NOT FOUND",0,1),"")</f>
        <v/>
      </c>
      <c r="U735"/>
      <c r="V735"/>
      <c r="W735"/>
      <c r="X735"/>
      <c r="Y735"/>
      <c r="Z735"/>
      <c r="AJ735"/>
      <c r="AK735"/>
      <c r="AL735"/>
      <c r="AN735"/>
    </row>
    <row r="736" spans="1:40" x14ac:dyDescent="0.25">
      <c r="A736" s="190" t="str">
        <f t="shared" si="246"/>
        <v/>
      </c>
      <c r="M736"/>
      <c r="N736"/>
      <c r="O736"/>
      <c r="P736"/>
      <c r="Q736"/>
      <c r="R736"/>
      <c r="S736"/>
      <c r="T736" t="str">
        <f>IF(O736&lt;&gt;"",_xlfn.XLOOKUP(O736,'3D. Pictures'!B:B,'3D. Pictures'!E:E,"NOT FOUND",0,1),"")</f>
        <v/>
      </c>
      <c r="U736"/>
      <c r="V736"/>
      <c r="W736"/>
      <c r="X736"/>
      <c r="Y736"/>
      <c r="Z736"/>
      <c r="AJ736"/>
      <c r="AK736"/>
      <c r="AL736"/>
      <c r="AN736"/>
    </row>
    <row r="737" spans="1:40" x14ac:dyDescent="0.25">
      <c r="A737" s="190" t="str">
        <f t="shared" si="246"/>
        <v/>
      </c>
      <c r="M737"/>
      <c r="N737"/>
      <c r="O737"/>
      <c r="P737"/>
      <c r="Q737"/>
      <c r="R737"/>
      <c r="S737"/>
      <c r="T737" t="str">
        <f>IF(O737&lt;&gt;"",_xlfn.XLOOKUP(O737,'3D. Pictures'!B:B,'3D. Pictures'!E:E,"NOT FOUND",0,1),"")</f>
        <v/>
      </c>
      <c r="U737"/>
      <c r="V737"/>
      <c r="W737"/>
      <c r="X737"/>
      <c r="Y737"/>
      <c r="Z737"/>
      <c r="AJ737"/>
      <c r="AK737"/>
      <c r="AL737"/>
      <c r="AN737"/>
    </row>
    <row r="738" spans="1:40" x14ac:dyDescent="0.25">
      <c r="A738" s="190" t="str">
        <f t="shared" si="246"/>
        <v/>
      </c>
      <c r="M738"/>
      <c r="N738"/>
      <c r="O738"/>
      <c r="P738"/>
      <c r="Q738"/>
      <c r="R738"/>
      <c r="S738"/>
      <c r="T738" t="str">
        <f>IF(O738&lt;&gt;"",_xlfn.XLOOKUP(O738,'3D. Pictures'!B:B,'3D. Pictures'!E:E,"NOT FOUND",0,1),"")</f>
        <v/>
      </c>
      <c r="U738"/>
      <c r="V738"/>
      <c r="W738"/>
      <c r="X738"/>
      <c r="Y738"/>
      <c r="Z738"/>
      <c r="AJ738"/>
      <c r="AK738"/>
      <c r="AL738"/>
      <c r="AN738"/>
    </row>
    <row r="739" spans="1:40" x14ac:dyDescent="0.25">
      <c r="A739" s="190" t="str">
        <f t="shared" si="246"/>
        <v/>
      </c>
      <c r="M739"/>
      <c r="N739"/>
      <c r="O739"/>
      <c r="P739"/>
      <c r="Q739"/>
      <c r="R739"/>
      <c r="S739"/>
      <c r="T739" t="str">
        <f>IF(O739&lt;&gt;"",_xlfn.XLOOKUP(O739,'3D. Pictures'!B:B,'3D. Pictures'!E:E,"NOT FOUND",0,1),"")</f>
        <v/>
      </c>
      <c r="U739"/>
      <c r="V739"/>
      <c r="W739"/>
      <c r="X739"/>
      <c r="Y739"/>
      <c r="Z739"/>
      <c r="AJ739"/>
      <c r="AK739"/>
      <c r="AL739"/>
      <c r="AN739"/>
    </row>
    <row r="740" spans="1:40" x14ac:dyDescent="0.25">
      <c r="A740" s="190" t="str">
        <f t="shared" si="246"/>
        <v/>
      </c>
      <c r="M740"/>
      <c r="N740"/>
      <c r="O740"/>
      <c r="P740"/>
      <c r="Q740"/>
      <c r="R740"/>
      <c r="S740"/>
      <c r="T740" t="str">
        <f>IF(O740&lt;&gt;"",_xlfn.XLOOKUP(O740,'3D. Pictures'!B:B,'3D. Pictures'!E:E,"NOT FOUND",0,1),"")</f>
        <v/>
      </c>
      <c r="U740"/>
      <c r="V740"/>
      <c r="W740"/>
      <c r="X740"/>
      <c r="Y740"/>
      <c r="Z740"/>
      <c r="AJ740"/>
      <c r="AK740"/>
      <c r="AL740"/>
      <c r="AN740"/>
    </row>
    <row r="741" spans="1:40" x14ac:dyDescent="0.25">
      <c r="A741" s="190" t="str">
        <f t="shared" si="246"/>
        <v/>
      </c>
      <c r="M741"/>
      <c r="N741"/>
      <c r="O741"/>
      <c r="P741"/>
      <c r="Q741"/>
      <c r="R741"/>
      <c r="S741"/>
      <c r="T741" t="str">
        <f>IF(O741&lt;&gt;"",_xlfn.XLOOKUP(O741,'3D. Pictures'!B:B,'3D. Pictures'!E:E,"NOT FOUND",0,1),"")</f>
        <v/>
      </c>
      <c r="U741"/>
      <c r="V741"/>
      <c r="W741"/>
      <c r="X741"/>
      <c r="Y741"/>
      <c r="Z741"/>
      <c r="AJ741"/>
      <c r="AK741"/>
      <c r="AL741"/>
      <c r="AN741"/>
    </row>
    <row r="742" spans="1:40" x14ac:dyDescent="0.25">
      <c r="A742" s="190" t="str">
        <f t="shared" si="246"/>
        <v/>
      </c>
      <c r="M742"/>
      <c r="N742"/>
      <c r="O742"/>
      <c r="P742"/>
      <c r="Q742"/>
      <c r="R742"/>
      <c r="S742"/>
      <c r="T742" t="str">
        <f>IF(O742&lt;&gt;"",_xlfn.XLOOKUP(O742,'3D. Pictures'!B:B,'3D. Pictures'!E:E,"NOT FOUND",0,1),"")</f>
        <v/>
      </c>
      <c r="U742"/>
      <c r="V742"/>
      <c r="W742"/>
      <c r="X742"/>
      <c r="Y742"/>
      <c r="Z742"/>
      <c r="AJ742"/>
      <c r="AK742"/>
      <c r="AL742"/>
      <c r="AN742"/>
    </row>
    <row r="743" spans="1:40" x14ac:dyDescent="0.25">
      <c r="A743" s="190" t="str">
        <f t="shared" si="246"/>
        <v/>
      </c>
      <c r="M743"/>
      <c r="N743"/>
      <c r="O743"/>
      <c r="P743"/>
      <c r="Q743"/>
      <c r="R743"/>
      <c r="S743"/>
      <c r="T743" t="str">
        <f>IF(O743&lt;&gt;"",_xlfn.XLOOKUP(O743,'3D. Pictures'!B:B,'3D. Pictures'!E:E,"NOT FOUND",0,1),"")</f>
        <v/>
      </c>
      <c r="U743"/>
      <c r="V743"/>
      <c r="W743"/>
      <c r="X743"/>
      <c r="Y743"/>
      <c r="Z743"/>
      <c r="AJ743"/>
      <c r="AK743"/>
      <c r="AL743"/>
      <c r="AN743"/>
    </row>
    <row r="744" spans="1:40" x14ac:dyDescent="0.25">
      <c r="A744" s="190" t="str">
        <f t="shared" si="246"/>
        <v/>
      </c>
      <c r="M744"/>
      <c r="N744"/>
      <c r="O744"/>
      <c r="P744"/>
      <c r="Q744"/>
      <c r="R744"/>
      <c r="S744"/>
      <c r="T744" t="str">
        <f>IF(O744&lt;&gt;"",_xlfn.XLOOKUP(O744,'3D. Pictures'!B:B,'3D. Pictures'!E:E,"NOT FOUND",0,1),"")</f>
        <v/>
      </c>
      <c r="U744"/>
      <c r="V744"/>
      <c r="W744"/>
      <c r="X744"/>
      <c r="Y744"/>
      <c r="Z744"/>
      <c r="AJ744"/>
      <c r="AK744"/>
      <c r="AL744"/>
      <c r="AN744"/>
    </row>
    <row r="745" spans="1:40" x14ac:dyDescent="0.25">
      <c r="A745" s="190" t="str">
        <f t="shared" si="246"/>
        <v/>
      </c>
      <c r="M745"/>
      <c r="N745"/>
      <c r="O745"/>
      <c r="P745"/>
      <c r="Q745"/>
      <c r="R745"/>
      <c r="S745"/>
      <c r="T745" t="str">
        <f>IF(O745&lt;&gt;"",_xlfn.XLOOKUP(O745,'3D. Pictures'!B:B,'3D. Pictures'!E:E,"NOT FOUND",0,1),"")</f>
        <v/>
      </c>
      <c r="U745"/>
      <c r="V745"/>
      <c r="W745"/>
      <c r="X745"/>
      <c r="Y745"/>
      <c r="Z745"/>
      <c r="AJ745"/>
      <c r="AK745"/>
      <c r="AL745"/>
      <c r="AN745"/>
    </row>
    <row r="746" spans="1:40" x14ac:dyDescent="0.25">
      <c r="A746" s="190" t="str">
        <f t="shared" si="246"/>
        <v/>
      </c>
      <c r="M746"/>
      <c r="N746"/>
      <c r="O746"/>
      <c r="P746"/>
      <c r="Q746"/>
      <c r="R746"/>
      <c r="S746"/>
      <c r="T746" t="str">
        <f>IF(O746&lt;&gt;"",_xlfn.XLOOKUP(O746,'3D. Pictures'!B:B,'3D. Pictures'!E:E,"NOT FOUND",0,1),"")</f>
        <v/>
      </c>
      <c r="U746"/>
      <c r="V746"/>
      <c r="W746"/>
      <c r="X746"/>
      <c r="Y746"/>
      <c r="Z746"/>
      <c r="AJ746"/>
      <c r="AK746"/>
      <c r="AL746"/>
      <c r="AN746"/>
    </row>
    <row r="747" spans="1:40" x14ac:dyDescent="0.25">
      <c r="A747" s="190" t="str">
        <f t="shared" si="246"/>
        <v/>
      </c>
      <c r="M747"/>
      <c r="N747"/>
      <c r="O747"/>
      <c r="P747"/>
      <c r="Q747"/>
      <c r="R747"/>
      <c r="S747"/>
      <c r="T747" t="str">
        <f>IF(O747&lt;&gt;"",_xlfn.XLOOKUP(O747,'3D. Pictures'!B:B,'3D. Pictures'!E:E,"NOT FOUND",0,1),"")</f>
        <v/>
      </c>
      <c r="U747"/>
      <c r="V747"/>
      <c r="W747"/>
      <c r="X747"/>
      <c r="Y747"/>
      <c r="Z747"/>
      <c r="AJ747"/>
      <c r="AK747"/>
      <c r="AL747"/>
      <c r="AN747"/>
    </row>
    <row r="748" spans="1:40" x14ac:dyDescent="0.25">
      <c r="A748" s="190" t="str">
        <f t="shared" si="246"/>
        <v/>
      </c>
      <c r="M748"/>
      <c r="N748"/>
      <c r="O748"/>
      <c r="P748"/>
      <c r="Q748"/>
      <c r="R748"/>
      <c r="S748"/>
      <c r="T748" t="str">
        <f>IF(O748&lt;&gt;"",_xlfn.XLOOKUP(O748,'3D. Pictures'!B:B,'3D. Pictures'!E:E,"NOT FOUND",0,1),"")</f>
        <v/>
      </c>
      <c r="U748"/>
      <c r="V748"/>
      <c r="W748"/>
      <c r="X748"/>
      <c r="Y748"/>
      <c r="Z748"/>
      <c r="AJ748"/>
      <c r="AK748"/>
      <c r="AL748"/>
      <c r="AN748"/>
    </row>
    <row r="749" spans="1:40" x14ac:dyDescent="0.25">
      <c r="A749" s="190" t="str">
        <f t="shared" si="246"/>
        <v/>
      </c>
      <c r="M749"/>
      <c r="N749"/>
      <c r="O749"/>
      <c r="P749"/>
      <c r="Q749"/>
      <c r="R749"/>
      <c r="S749"/>
      <c r="T749" t="str">
        <f>IF(O749&lt;&gt;"",_xlfn.XLOOKUP(O749,'3D. Pictures'!B:B,'3D. Pictures'!E:E,"NOT FOUND",0,1),"")</f>
        <v/>
      </c>
      <c r="U749"/>
      <c r="V749"/>
      <c r="W749"/>
      <c r="X749"/>
      <c r="Y749"/>
      <c r="Z749"/>
      <c r="AJ749"/>
      <c r="AK749"/>
      <c r="AL749"/>
      <c r="AN749"/>
    </row>
    <row r="750" spans="1:40" x14ac:dyDescent="0.25">
      <c r="A750" s="190" t="str">
        <f t="shared" si="246"/>
        <v/>
      </c>
      <c r="M750"/>
      <c r="N750"/>
      <c r="O750"/>
      <c r="P750"/>
      <c r="Q750"/>
      <c r="R750"/>
      <c r="S750"/>
      <c r="T750" t="str">
        <f>IF(O750&lt;&gt;"",_xlfn.XLOOKUP(O750,'3D. Pictures'!B:B,'3D. Pictures'!E:E,"NOT FOUND",0,1),"")</f>
        <v/>
      </c>
      <c r="U750"/>
      <c r="V750"/>
      <c r="W750"/>
      <c r="X750"/>
      <c r="Y750"/>
      <c r="Z750"/>
      <c r="AJ750"/>
      <c r="AK750"/>
      <c r="AL750"/>
      <c r="AN750"/>
    </row>
    <row r="751" spans="1:40" x14ac:dyDescent="0.25">
      <c r="A751" s="190" t="str">
        <f t="shared" si="246"/>
        <v/>
      </c>
      <c r="M751"/>
      <c r="N751"/>
      <c r="O751"/>
      <c r="P751"/>
      <c r="Q751"/>
      <c r="R751"/>
      <c r="S751"/>
      <c r="T751" t="str">
        <f>IF(O751&lt;&gt;"",_xlfn.XLOOKUP(O751,'3D. Pictures'!B:B,'3D. Pictures'!E:E,"NOT FOUND",0,1),"")</f>
        <v/>
      </c>
      <c r="U751"/>
      <c r="V751"/>
      <c r="W751"/>
      <c r="X751"/>
      <c r="Y751"/>
      <c r="Z751"/>
      <c r="AJ751"/>
      <c r="AK751"/>
      <c r="AL751"/>
      <c r="AN751"/>
    </row>
    <row r="752" spans="1:40" x14ac:dyDescent="0.25">
      <c r="A752" s="190" t="str">
        <f t="shared" si="246"/>
        <v/>
      </c>
      <c r="M752"/>
      <c r="N752"/>
      <c r="O752"/>
      <c r="P752"/>
      <c r="Q752"/>
      <c r="R752"/>
      <c r="S752"/>
      <c r="T752" t="str">
        <f>IF(O752&lt;&gt;"",_xlfn.XLOOKUP(O752,'3D. Pictures'!B:B,'3D. Pictures'!E:E,"NOT FOUND",0,1),"")</f>
        <v/>
      </c>
      <c r="U752"/>
      <c r="V752"/>
      <c r="W752"/>
      <c r="X752"/>
      <c r="Y752"/>
      <c r="Z752"/>
      <c r="AJ752"/>
      <c r="AK752"/>
      <c r="AL752"/>
      <c r="AN752"/>
    </row>
    <row r="753" spans="1:40" x14ac:dyDescent="0.25">
      <c r="A753" s="190" t="str">
        <f t="shared" si="246"/>
        <v/>
      </c>
      <c r="M753"/>
      <c r="N753"/>
      <c r="O753"/>
      <c r="P753"/>
      <c r="Q753"/>
      <c r="R753"/>
      <c r="S753"/>
      <c r="T753" t="str">
        <f>IF(O753&lt;&gt;"",_xlfn.XLOOKUP(O753,'3D. Pictures'!B:B,'3D. Pictures'!E:E,"NOT FOUND",0,1),"")</f>
        <v/>
      </c>
      <c r="U753"/>
      <c r="V753"/>
      <c r="W753"/>
      <c r="X753"/>
      <c r="Y753"/>
      <c r="Z753"/>
      <c r="AJ753"/>
      <c r="AK753"/>
      <c r="AL753"/>
      <c r="AN753"/>
    </row>
    <row r="754" spans="1:40" x14ac:dyDescent="0.25">
      <c r="A754" s="190" t="str">
        <f t="shared" si="246"/>
        <v/>
      </c>
      <c r="M754"/>
      <c r="N754"/>
      <c r="O754"/>
      <c r="P754"/>
      <c r="Q754"/>
      <c r="R754"/>
      <c r="S754"/>
      <c r="T754" t="str">
        <f>IF(O754&lt;&gt;"",_xlfn.XLOOKUP(O754,'3D. Pictures'!B:B,'3D. Pictures'!E:E,"NOT FOUND",0,1),"")</f>
        <v/>
      </c>
      <c r="U754"/>
      <c r="V754"/>
      <c r="W754"/>
      <c r="X754"/>
      <c r="Y754"/>
      <c r="Z754"/>
      <c r="AJ754"/>
      <c r="AK754"/>
      <c r="AL754"/>
      <c r="AN754"/>
    </row>
    <row r="755" spans="1:40" x14ac:dyDescent="0.25">
      <c r="A755" s="190" t="str">
        <f t="shared" si="246"/>
        <v/>
      </c>
      <c r="M755"/>
      <c r="N755"/>
      <c r="O755"/>
      <c r="P755"/>
      <c r="Q755"/>
      <c r="R755"/>
      <c r="S755"/>
      <c r="T755" t="str">
        <f>IF(O755&lt;&gt;"",_xlfn.XLOOKUP(O755,'3D. Pictures'!B:B,'3D. Pictures'!E:E,"NOT FOUND",0,1),"")</f>
        <v/>
      </c>
      <c r="U755"/>
      <c r="V755"/>
      <c r="W755"/>
      <c r="X755"/>
      <c r="Y755"/>
      <c r="Z755"/>
      <c r="AJ755"/>
      <c r="AK755"/>
      <c r="AL755"/>
      <c r="AN755"/>
    </row>
    <row r="756" spans="1:40" x14ac:dyDescent="0.25">
      <c r="A756" s="190" t="str">
        <f t="shared" si="246"/>
        <v/>
      </c>
      <c r="M756"/>
      <c r="N756"/>
      <c r="O756"/>
      <c r="P756"/>
      <c r="Q756"/>
      <c r="R756"/>
      <c r="S756"/>
      <c r="T756" t="str">
        <f>IF(O756&lt;&gt;"",_xlfn.XLOOKUP(O756,'3D. Pictures'!B:B,'3D. Pictures'!E:E,"NOT FOUND",0,1),"")</f>
        <v/>
      </c>
      <c r="U756"/>
      <c r="V756"/>
      <c r="W756"/>
      <c r="X756"/>
      <c r="Y756"/>
      <c r="Z756"/>
      <c r="AJ756"/>
      <c r="AK756"/>
      <c r="AL756"/>
      <c r="AN756"/>
    </row>
    <row r="757" spans="1:40" x14ac:dyDescent="0.25">
      <c r="A757" s="190" t="str">
        <f t="shared" si="246"/>
        <v/>
      </c>
      <c r="M757"/>
      <c r="N757"/>
      <c r="O757"/>
      <c r="P757"/>
      <c r="Q757"/>
      <c r="R757"/>
      <c r="S757"/>
      <c r="T757" t="str">
        <f>IF(O757&lt;&gt;"",_xlfn.XLOOKUP(O757,'3D. Pictures'!B:B,'3D. Pictures'!E:E,"NOT FOUND",0,1),"")</f>
        <v/>
      </c>
      <c r="U757"/>
      <c r="V757"/>
      <c r="W757"/>
      <c r="X757"/>
      <c r="Y757"/>
      <c r="Z757"/>
      <c r="AJ757"/>
      <c r="AK757"/>
      <c r="AL757"/>
      <c r="AN757"/>
    </row>
    <row r="758" spans="1:40" x14ac:dyDescent="0.25">
      <c r="A758" s="190" t="str">
        <f t="shared" si="246"/>
        <v/>
      </c>
      <c r="M758"/>
      <c r="N758"/>
      <c r="O758"/>
      <c r="P758"/>
      <c r="Q758"/>
      <c r="R758"/>
      <c r="S758"/>
      <c r="T758" t="str">
        <f>IF(O758&lt;&gt;"",_xlfn.XLOOKUP(O758,'3D. Pictures'!B:B,'3D. Pictures'!E:E,"NOT FOUND",0,1),"")</f>
        <v/>
      </c>
      <c r="U758"/>
      <c r="V758"/>
      <c r="W758"/>
      <c r="X758"/>
      <c r="Y758"/>
      <c r="Z758"/>
      <c r="AJ758"/>
      <c r="AK758"/>
      <c r="AL758"/>
      <c r="AN758"/>
    </row>
    <row r="759" spans="1:40" x14ac:dyDescent="0.25">
      <c r="A759" s="190" t="str">
        <f t="shared" si="246"/>
        <v/>
      </c>
      <c r="M759"/>
      <c r="N759"/>
      <c r="O759"/>
      <c r="P759"/>
      <c r="Q759"/>
      <c r="R759"/>
      <c r="S759"/>
      <c r="T759" t="str">
        <f>IF(O759&lt;&gt;"",_xlfn.XLOOKUP(O759,'3D. Pictures'!B:B,'3D. Pictures'!E:E,"NOT FOUND",0,1),"")</f>
        <v/>
      </c>
      <c r="U759"/>
      <c r="V759"/>
      <c r="W759"/>
      <c r="X759"/>
      <c r="Y759"/>
      <c r="Z759"/>
      <c r="AJ759"/>
      <c r="AK759"/>
      <c r="AL759"/>
      <c r="AN759"/>
    </row>
    <row r="760" spans="1:40" x14ac:dyDescent="0.25">
      <c r="A760" s="190" t="str">
        <f t="shared" si="246"/>
        <v/>
      </c>
      <c r="M760"/>
      <c r="N760"/>
      <c r="O760"/>
      <c r="P760"/>
      <c r="Q760"/>
      <c r="R760"/>
      <c r="S760"/>
      <c r="T760" t="str">
        <f>IF(O760&lt;&gt;"",_xlfn.XLOOKUP(O760,'3D. Pictures'!B:B,'3D. Pictures'!E:E,"NOT FOUND",0,1),"")</f>
        <v/>
      </c>
      <c r="U760"/>
      <c r="V760"/>
      <c r="W760"/>
      <c r="X760"/>
      <c r="Y760"/>
      <c r="Z760"/>
      <c r="AJ760"/>
      <c r="AK760"/>
      <c r="AL760"/>
      <c r="AN760"/>
    </row>
    <row r="761" spans="1:40" x14ac:dyDescent="0.25">
      <c r="A761" s="190" t="str">
        <f t="shared" si="246"/>
        <v/>
      </c>
      <c r="M761"/>
      <c r="N761"/>
      <c r="O761"/>
      <c r="P761"/>
      <c r="Q761"/>
      <c r="R761"/>
      <c r="S761"/>
      <c r="T761" t="str">
        <f>IF(O761&lt;&gt;"",_xlfn.XLOOKUP(O761,'3D. Pictures'!B:B,'3D. Pictures'!E:E,"NOT FOUND",0,1),"")</f>
        <v/>
      </c>
      <c r="U761"/>
      <c r="V761"/>
      <c r="W761"/>
      <c r="X761"/>
      <c r="Y761"/>
      <c r="Z761"/>
      <c r="AJ761"/>
      <c r="AK761"/>
      <c r="AL761"/>
      <c r="AN761"/>
    </row>
    <row r="762" spans="1:40" x14ac:dyDescent="0.25">
      <c r="A762" s="190" t="str">
        <f t="shared" si="246"/>
        <v/>
      </c>
      <c r="M762"/>
      <c r="N762"/>
      <c r="O762"/>
      <c r="P762"/>
      <c r="Q762"/>
      <c r="R762"/>
      <c r="S762"/>
      <c r="T762" t="str">
        <f>IF(O762&lt;&gt;"",_xlfn.XLOOKUP(O762,'3D. Pictures'!B:B,'3D. Pictures'!E:E,"NOT FOUND",0,1),"")</f>
        <v/>
      </c>
      <c r="U762"/>
      <c r="V762"/>
      <c r="W762"/>
      <c r="X762"/>
      <c r="Y762"/>
      <c r="Z762"/>
      <c r="AJ762"/>
      <c r="AK762"/>
      <c r="AL762"/>
      <c r="AN762"/>
    </row>
    <row r="763" spans="1:40" x14ac:dyDescent="0.25">
      <c r="A763" s="190" t="str">
        <f t="shared" si="246"/>
        <v/>
      </c>
      <c r="M763"/>
      <c r="N763"/>
      <c r="O763"/>
      <c r="P763"/>
      <c r="Q763"/>
      <c r="R763"/>
      <c r="S763"/>
      <c r="T763" t="str">
        <f>IF(O763&lt;&gt;"",_xlfn.XLOOKUP(O763,'3D. Pictures'!B:B,'3D. Pictures'!E:E,"NOT FOUND",0,1),"")</f>
        <v/>
      </c>
      <c r="U763"/>
      <c r="V763"/>
      <c r="W763"/>
      <c r="X763"/>
      <c r="Y763"/>
      <c r="Z763"/>
      <c r="AJ763"/>
      <c r="AK763"/>
      <c r="AL763"/>
      <c r="AN763"/>
    </row>
    <row r="764" spans="1:40" x14ac:dyDescent="0.25">
      <c r="A764" s="190" t="str">
        <f t="shared" si="246"/>
        <v/>
      </c>
      <c r="M764"/>
      <c r="N764"/>
      <c r="O764"/>
      <c r="P764"/>
      <c r="Q764"/>
      <c r="R764"/>
      <c r="S764"/>
      <c r="T764" t="str">
        <f>IF(O764&lt;&gt;"",_xlfn.XLOOKUP(O764,'3D. Pictures'!B:B,'3D. Pictures'!E:E,"NOT FOUND",0,1),"")</f>
        <v/>
      </c>
      <c r="U764"/>
      <c r="V764"/>
      <c r="W764"/>
      <c r="X764"/>
      <c r="Y764"/>
      <c r="Z764"/>
      <c r="AJ764"/>
      <c r="AK764"/>
      <c r="AL764"/>
      <c r="AN764"/>
    </row>
    <row r="765" spans="1:40" x14ac:dyDescent="0.25">
      <c r="A765" s="190" t="str">
        <f t="shared" si="246"/>
        <v/>
      </c>
      <c r="M765"/>
      <c r="N765"/>
      <c r="O765"/>
      <c r="P765"/>
      <c r="Q765"/>
      <c r="R765"/>
      <c r="S765"/>
      <c r="T765" t="str">
        <f>IF(O765&lt;&gt;"",_xlfn.XLOOKUP(O765,'3D. Pictures'!B:B,'3D. Pictures'!E:E,"NOT FOUND",0,1),"")</f>
        <v/>
      </c>
      <c r="U765"/>
      <c r="V765"/>
      <c r="W765"/>
      <c r="X765"/>
      <c r="Y765"/>
      <c r="Z765"/>
      <c r="AJ765"/>
      <c r="AK765"/>
      <c r="AL765"/>
      <c r="AN765"/>
    </row>
    <row r="766" spans="1:40" x14ac:dyDescent="0.25">
      <c r="A766" s="190" t="str">
        <f t="shared" si="246"/>
        <v/>
      </c>
      <c r="M766"/>
      <c r="N766"/>
      <c r="O766"/>
      <c r="P766"/>
      <c r="Q766"/>
      <c r="R766"/>
      <c r="S766"/>
      <c r="T766" t="str">
        <f>IF(O766&lt;&gt;"",_xlfn.XLOOKUP(O766,'3D. Pictures'!B:B,'3D. Pictures'!E:E,"NOT FOUND",0,1),"")</f>
        <v/>
      </c>
      <c r="U766"/>
      <c r="V766"/>
      <c r="W766"/>
      <c r="X766"/>
      <c r="Y766"/>
      <c r="Z766"/>
      <c r="AJ766"/>
      <c r="AK766"/>
      <c r="AL766"/>
      <c r="AN766"/>
    </row>
    <row r="767" spans="1:40" x14ac:dyDescent="0.25">
      <c r="A767" s="190" t="str">
        <f t="shared" si="246"/>
        <v/>
      </c>
      <c r="M767"/>
      <c r="N767"/>
      <c r="O767"/>
      <c r="P767"/>
      <c r="Q767"/>
      <c r="R767"/>
      <c r="S767"/>
      <c r="T767" t="str">
        <f>IF(O767&lt;&gt;"",_xlfn.XLOOKUP(O767,'3D. Pictures'!B:B,'3D. Pictures'!E:E,"NOT FOUND",0,1),"")</f>
        <v/>
      </c>
      <c r="U767"/>
      <c r="V767"/>
      <c r="W767"/>
      <c r="X767"/>
      <c r="Y767"/>
      <c r="Z767"/>
      <c r="AJ767"/>
      <c r="AK767"/>
      <c r="AL767"/>
      <c r="AN767"/>
    </row>
    <row r="768" spans="1:40" x14ac:dyDescent="0.25">
      <c r="A768" s="190" t="str">
        <f t="shared" si="246"/>
        <v/>
      </c>
      <c r="M768"/>
      <c r="N768"/>
      <c r="O768"/>
      <c r="P768"/>
      <c r="Q768"/>
      <c r="R768"/>
      <c r="S768"/>
      <c r="T768" t="str">
        <f>IF(O768&lt;&gt;"",_xlfn.XLOOKUP(O768,'3D. Pictures'!B:B,'3D. Pictures'!E:E,"NOT FOUND",0,1),"")</f>
        <v/>
      </c>
      <c r="U768"/>
      <c r="V768"/>
      <c r="W768"/>
      <c r="X768"/>
      <c r="Y768"/>
      <c r="Z768"/>
      <c r="AJ768"/>
      <c r="AK768"/>
      <c r="AL768"/>
      <c r="AN768"/>
    </row>
    <row r="769" spans="1:40" x14ac:dyDescent="0.25">
      <c r="A769" s="190" t="str">
        <f t="shared" ref="A769:A832" si="247">IF(O769&lt;&gt;"",O769,"")</f>
        <v/>
      </c>
      <c r="M769"/>
      <c r="N769"/>
      <c r="O769"/>
      <c r="P769"/>
      <c r="Q769"/>
      <c r="R769"/>
      <c r="S769"/>
      <c r="T769" t="str">
        <f>IF(O769&lt;&gt;"",_xlfn.XLOOKUP(O769,'3D. Pictures'!B:B,'3D. Pictures'!E:E,"NOT FOUND",0,1),"")</f>
        <v/>
      </c>
      <c r="U769"/>
      <c r="V769"/>
      <c r="W769"/>
      <c r="X769"/>
      <c r="Y769"/>
      <c r="Z769"/>
      <c r="AJ769"/>
      <c r="AK769"/>
      <c r="AL769"/>
      <c r="AN769"/>
    </row>
    <row r="770" spans="1:40" x14ac:dyDescent="0.25">
      <c r="A770" s="190" t="str">
        <f t="shared" si="247"/>
        <v/>
      </c>
      <c r="M770"/>
      <c r="N770"/>
      <c r="O770"/>
      <c r="P770"/>
      <c r="Q770"/>
      <c r="R770"/>
      <c r="S770"/>
      <c r="T770" t="str">
        <f>IF(O770&lt;&gt;"",_xlfn.XLOOKUP(O770,'3D. Pictures'!B:B,'3D. Pictures'!E:E,"NOT FOUND",0,1),"")</f>
        <v/>
      </c>
      <c r="U770"/>
      <c r="V770"/>
      <c r="W770"/>
      <c r="X770"/>
      <c r="Y770"/>
      <c r="Z770"/>
      <c r="AJ770"/>
      <c r="AK770"/>
      <c r="AL770"/>
      <c r="AN770"/>
    </row>
    <row r="771" spans="1:40" x14ac:dyDescent="0.25">
      <c r="A771" s="190" t="str">
        <f t="shared" si="247"/>
        <v/>
      </c>
      <c r="M771"/>
      <c r="N771"/>
      <c r="O771"/>
      <c r="P771"/>
      <c r="Q771"/>
      <c r="R771"/>
      <c r="S771"/>
      <c r="T771" t="str">
        <f>IF(O771&lt;&gt;"",_xlfn.XLOOKUP(O771,'3D. Pictures'!B:B,'3D. Pictures'!E:E,"NOT FOUND",0,1),"")</f>
        <v/>
      </c>
      <c r="U771"/>
      <c r="V771"/>
      <c r="W771"/>
      <c r="X771"/>
      <c r="Y771"/>
      <c r="Z771"/>
      <c r="AJ771"/>
      <c r="AK771"/>
      <c r="AL771"/>
      <c r="AN771"/>
    </row>
    <row r="772" spans="1:40" x14ac:dyDescent="0.25">
      <c r="A772" s="190" t="str">
        <f t="shared" si="247"/>
        <v/>
      </c>
      <c r="M772"/>
      <c r="N772"/>
      <c r="O772"/>
      <c r="P772"/>
      <c r="Q772"/>
      <c r="R772"/>
      <c r="S772"/>
      <c r="T772" t="str">
        <f>IF(O772&lt;&gt;"",_xlfn.XLOOKUP(O772,'3D. Pictures'!B:B,'3D. Pictures'!E:E,"NOT FOUND",0,1),"")</f>
        <v/>
      </c>
      <c r="U772"/>
      <c r="V772"/>
      <c r="W772"/>
      <c r="X772"/>
      <c r="Y772"/>
      <c r="Z772"/>
      <c r="AJ772"/>
      <c r="AK772"/>
      <c r="AL772"/>
      <c r="AN772"/>
    </row>
    <row r="773" spans="1:40" x14ac:dyDescent="0.25">
      <c r="A773" s="190" t="str">
        <f t="shared" si="247"/>
        <v/>
      </c>
      <c r="M773"/>
      <c r="N773"/>
      <c r="O773"/>
      <c r="P773"/>
      <c r="Q773"/>
      <c r="R773"/>
      <c r="S773"/>
      <c r="T773" t="str">
        <f>IF(O773&lt;&gt;"",_xlfn.XLOOKUP(O773,'3D. Pictures'!B:B,'3D. Pictures'!E:E,"NOT FOUND",0,1),"")</f>
        <v/>
      </c>
      <c r="U773"/>
      <c r="V773"/>
      <c r="W773"/>
      <c r="X773"/>
      <c r="Y773"/>
      <c r="Z773"/>
      <c r="AJ773"/>
      <c r="AK773"/>
      <c r="AL773"/>
      <c r="AN773"/>
    </row>
    <row r="774" spans="1:40" x14ac:dyDescent="0.25">
      <c r="A774" s="190" t="str">
        <f t="shared" si="247"/>
        <v/>
      </c>
      <c r="M774"/>
      <c r="N774"/>
      <c r="O774"/>
      <c r="P774"/>
      <c r="Q774"/>
      <c r="R774"/>
      <c r="S774"/>
      <c r="T774" t="str">
        <f>IF(O774&lt;&gt;"",_xlfn.XLOOKUP(O774,'3D. Pictures'!B:B,'3D. Pictures'!E:E,"NOT FOUND",0,1),"")</f>
        <v/>
      </c>
      <c r="U774"/>
      <c r="V774"/>
      <c r="W774"/>
      <c r="X774"/>
      <c r="Y774"/>
      <c r="Z774"/>
      <c r="AJ774"/>
      <c r="AK774"/>
      <c r="AL774"/>
      <c r="AN774"/>
    </row>
    <row r="775" spans="1:40" x14ac:dyDescent="0.25">
      <c r="A775" s="190" t="str">
        <f t="shared" si="247"/>
        <v/>
      </c>
      <c r="M775"/>
      <c r="N775"/>
      <c r="O775"/>
      <c r="P775"/>
      <c r="Q775"/>
      <c r="R775"/>
      <c r="S775"/>
      <c r="T775" t="str">
        <f>IF(O775&lt;&gt;"",_xlfn.XLOOKUP(O775,'3D. Pictures'!B:B,'3D. Pictures'!E:E,"NOT FOUND",0,1),"")</f>
        <v/>
      </c>
      <c r="U775"/>
      <c r="V775"/>
      <c r="W775"/>
      <c r="X775"/>
      <c r="Y775"/>
      <c r="Z775"/>
      <c r="AJ775"/>
      <c r="AK775"/>
      <c r="AL775"/>
      <c r="AN775"/>
    </row>
    <row r="776" spans="1:40" x14ac:dyDescent="0.25">
      <c r="A776" s="190" t="str">
        <f t="shared" si="247"/>
        <v/>
      </c>
      <c r="M776"/>
      <c r="N776"/>
      <c r="O776"/>
      <c r="P776"/>
      <c r="Q776"/>
      <c r="R776"/>
      <c r="S776"/>
      <c r="T776" t="str">
        <f>IF(O776&lt;&gt;"",_xlfn.XLOOKUP(O776,'3D. Pictures'!B:B,'3D. Pictures'!E:E,"NOT FOUND",0,1),"")</f>
        <v/>
      </c>
      <c r="U776"/>
      <c r="V776"/>
      <c r="W776"/>
      <c r="X776"/>
      <c r="Y776"/>
      <c r="Z776"/>
      <c r="AJ776"/>
      <c r="AK776"/>
      <c r="AL776"/>
      <c r="AN776"/>
    </row>
    <row r="777" spans="1:40" x14ac:dyDescent="0.25">
      <c r="A777" s="190" t="str">
        <f t="shared" si="247"/>
        <v/>
      </c>
      <c r="M777"/>
      <c r="N777"/>
      <c r="O777"/>
      <c r="P777"/>
      <c r="Q777"/>
      <c r="R777"/>
      <c r="S777"/>
      <c r="T777" t="str">
        <f>IF(O777&lt;&gt;"",_xlfn.XLOOKUP(O777,'3D. Pictures'!B:B,'3D. Pictures'!E:E,"NOT FOUND",0,1),"")</f>
        <v/>
      </c>
      <c r="U777"/>
      <c r="V777"/>
      <c r="W777"/>
      <c r="X777"/>
      <c r="Y777"/>
      <c r="Z777"/>
      <c r="AJ777"/>
      <c r="AK777"/>
      <c r="AL777"/>
      <c r="AN777"/>
    </row>
    <row r="778" spans="1:40" x14ac:dyDescent="0.25">
      <c r="A778" s="190" t="str">
        <f t="shared" si="247"/>
        <v/>
      </c>
      <c r="M778"/>
      <c r="N778"/>
      <c r="O778"/>
      <c r="P778"/>
      <c r="Q778"/>
      <c r="R778"/>
      <c r="S778"/>
      <c r="T778" t="str">
        <f>IF(O778&lt;&gt;"",_xlfn.XLOOKUP(O778,'3D. Pictures'!B:B,'3D. Pictures'!E:E,"NOT FOUND",0,1),"")</f>
        <v/>
      </c>
      <c r="U778"/>
      <c r="V778"/>
      <c r="W778"/>
      <c r="X778"/>
      <c r="Y778"/>
      <c r="Z778"/>
      <c r="AJ778"/>
      <c r="AK778"/>
      <c r="AL778"/>
      <c r="AN778"/>
    </row>
    <row r="779" spans="1:40" x14ac:dyDescent="0.25">
      <c r="A779" s="190" t="str">
        <f t="shared" si="247"/>
        <v/>
      </c>
      <c r="M779"/>
      <c r="N779"/>
      <c r="O779"/>
      <c r="P779"/>
      <c r="Q779"/>
      <c r="R779"/>
      <c r="S779"/>
      <c r="T779" t="str">
        <f>IF(O779&lt;&gt;"",_xlfn.XLOOKUP(O779,'3D. Pictures'!B:B,'3D. Pictures'!E:E,"NOT FOUND",0,1),"")</f>
        <v/>
      </c>
      <c r="U779"/>
      <c r="V779"/>
      <c r="W779"/>
      <c r="X779"/>
      <c r="Y779"/>
      <c r="Z779"/>
      <c r="AJ779"/>
      <c r="AK779"/>
      <c r="AL779"/>
      <c r="AN779"/>
    </row>
    <row r="780" spans="1:40" x14ac:dyDescent="0.25">
      <c r="A780" s="190" t="str">
        <f t="shared" si="247"/>
        <v/>
      </c>
      <c r="M780"/>
      <c r="N780"/>
      <c r="O780"/>
      <c r="P780"/>
      <c r="Q780"/>
      <c r="R780"/>
      <c r="S780"/>
      <c r="T780" t="str">
        <f>IF(O780&lt;&gt;"",_xlfn.XLOOKUP(O780,'3D. Pictures'!B:B,'3D. Pictures'!E:E,"NOT FOUND",0,1),"")</f>
        <v/>
      </c>
      <c r="U780"/>
      <c r="V780"/>
      <c r="W780"/>
      <c r="X780"/>
      <c r="Y780"/>
      <c r="Z780"/>
      <c r="AJ780"/>
      <c r="AK780"/>
      <c r="AL780"/>
      <c r="AN780"/>
    </row>
    <row r="781" spans="1:40" x14ac:dyDescent="0.25">
      <c r="A781" s="190" t="str">
        <f t="shared" si="247"/>
        <v/>
      </c>
      <c r="M781"/>
      <c r="N781"/>
      <c r="O781"/>
      <c r="P781"/>
      <c r="Q781"/>
      <c r="R781"/>
      <c r="S781"/>
      <c r="T781" t="str">
        <f>IF(O781&lt;&gt;"",_xlfn.XLOOKUP(O781,'3D. Pictures'!B:B,'3D. Pictures'!E:E,"NOT FOUND",0,1),"")</f>
        <v/>
      </c>
      <c r="U781"/>
      <c r="V781"/>
      <c r="W781"/>
      <c r="X781"/>
      <c r="Y781"/>
      <c r="Z781"/>
      <c r="AJ781"/>
      <c r="AK781"/>
      <c r="AL781"/>
      <c r="AN781"/>
    </row>
    <row r="782" spans="1:40" x14ac:dyDescent="0.25">
      <c r="A782" s="190" t="str">
        <f t="shared" si="247"/>
        <v/>
      </c>
      <c r="M782"/>
      <c r="N782"/>
      <c r="O782"/>
      <c r="P782"/>
      <c r="Q782"/>
      <c r="R782"/>
      <c r="S782"/>
      <c r="T782" t="str">
        <f>IF(O782&lt;&gt;"",_xlfn.XLOOKUP(O782,'3D. Pictures'!B:B,'3D. Pictures'!E:E,"NOT FOUND",0,1),"")</f>
        <v/>
      </c>
      <c r="U782"/>
      <c r="V782"/>
      <c r="W782"/>
      <c r="X782"/>
      <c r="Y782"/>
      <c r="Z782"/>
      <c r="AJ782"/>
      <c r="AK782"/>
      <c r="AL782"/>
      <c r="AN782"/>
    </row>
    <row r="783" spans="1:40" x14ac:dyDescent="0.25">
      <c r="A783" s="190" t="str">
        <f t="shared" si="247"/>
        <v/>
      </c>
      <c r="M783"/>
      <c r="N783"/>
      <c r="O783"/>
      <c r="P783"/>
      <c r="Q783"/>
      <c r="R783"/>
      <c r="S783"/>
      <c r="T783" t="str">
        <f>IF(O783&lt;&gt;"",_xlfn.XLOOKUP(O783,'3D. Pictures'!B:B,'3D. Pictures'!E:E,"NOT FOUND",0,1),"")</f>
        <v/>
      </c>
      <c r="U783"/>
      <c r="V783"/>
      <c r="W783"/>
      <c r="X783"/>
      <c r="Y783"/>
      <c r="Z783"/>
      <c r="AJ783"/>
      <c r="AK783"/>
      <c r="AL783"/>
      <c r="AN783"/>
    </row>
    <row r="784" spans="1:40" x14ac:dyDescent="0.25">
      <c r="A784" s="190" t="str">
        <f t="shared" si="247"/>
        <v/>
      </c>
      <c r="M784"/>
      <c r="N784"/>
      <c r="O784"/>
      <c r="P784"/>
      <c r="Q784"/>
      <c r="R784"/>
      <c r="S784"/>
      <c r="T784" t="str">
        <f>IF(O784&lt;&gt;"",_xlfn.XLOOKUP(O784,'3D. Pictures'!B:B,'3D. Pictures'!E:E,"NOT FOUND",0,1),"")</f>
        <v/>
      </c>
      <c r="U784"/>
      <c r="V784"/>
      <c r="W784"/>
      <c r="X784"/>
      <c r="Y784"/>
      <c r="Z784"/>
      <c r="AJ784"/>
      <c r="AK784"/>
      <c r="AL784"/>
      <c r="AN784"/>
    </row>
    <row r="785" spans="1:40" x14ac:dyDescent="0.25">
      <c r="A785" s="190" t="str">
        <f t="shared" si="247"/>
        <v/>
      </c>
      <c r="M785"/>
      <c r="N785"/>
      <c r="O785"/>
      <c r="P785"/>
      <c r="Q785"/>
      <c r="R785"/>
      <c r="S785"/>
      <c r="T785" t="str">
        <f>IF(O785&lt;&gt;"",_xlfn.XLOOKUP(O785,'3D. Pictures'!B:B,'3D. Pictures'!E:E,"NOT FOUND",0,1),"")</f>
        <v/>
      </c>
      <c r="U785"/>
      <c r="V785"/>
      <c r="W785"/>
      <c r="X785"/>
      <c r="Y785"/>
      <c r="Z785"/>
      <c r="AJ785"/>
      <c r="AK785"/>
      <c r="AL785"/>
      <c r="AN785"/>
    </row>
    <row r="786" spans="1:40" x14ac:dyDescent="0.25">
      <c r="A786" s="190" t="str">
        <f t="shared" si="247"/>
        <v/>
      </c>
      <c r="M786"/>
      <c r="N786"/>
      <c r="O786"/>
      <c r="P786"/>
      <c r="Q786"/>
      <c r="R786"/>
      <c r="S786"/>
      <c r="T786" t="str">
        <f>IF(O786&lt;&gt;"",_xlfn.XLOOKUP(O786,'3D. Pictures'!B:B,'3D. Pictures'!E:E,"NOT FOUND",0,1),"")</f>
        <v/>
      </c>
      <c r="U786"/>
      <c r="V786"/>
      <c r="W786"/>
      <c r="X786"/>
      <c r="Y786"/>
      <c r="Z786"/>
      <c r="AJ786"/>
      <c r="AK786"/>
      <c r="AL786"/>
      <c r="AN786"/>
    </row>
    <row r="787" spans="1:40" x14ac:dyDescent="0.25">
      <c r="A787" s="190" t="str">
        <f t="shared" si="247"/>
        <v/>
      </c>
      <c r="M787"/>
      <c r="N787"/>
      <c r="O787"/>
      <c r="P787"/>
      <c r="Q787"/>
      <c r="R787"/>
      <c r="S787"/>
      <c r="T787" t="str">
        <f>IF(O787&lt;&gt;"",_xlfn.XLOOKUP(O787,'3D. Pictures'!B:B,'3D. Pictures'!E:E,"NOT FOUND",0,1),"")</f>
        <v/>
      </c>
      <c r="U787"/>
      <c r="V787"/>
      <c r="W787"/>
      <c r="X787"/>
      <c r="Y787"/>
      <c r="Z787"/>
      <c r="AJ787"/>
      <c r="AK787"/>
      <c r="AL787"/>
      <c r="AN787"/>
    </row>
    <row r="788" spans="1:40" x14ac:dyDescent="0.25">
      <c r="A788" s="190" t="str">
        <f t="shared" si="247"/>
        <v/>
      </c>
      <c r="M788"/>
      <c r="N788"/>
      <c r="O788"/>
      <c r="P788"/>
      <c r="Q788"/>
      <c r="R788"/>
      <c r="S788"/>
      <c r="T788" t="str">
        <f>IF(O788&lt;&gt;"",_xlfn.XLOOKUP(O788,'3D. Pictures'!B:B,'3D. Pictures'!E:E,"NOT FOUND",0,1),"")</f>
        <v/>
      </c>
      <c r="U788"/>
      <c r="V788"/>
      <c r="W788"/>
      <c r="X788"/>
      <c r="Y788"/>
      <c r="Z788"/>
      <c r="AJ788"/>
      <c r="AK788"/>
      <c r="AL788"/>
      <c r="AN788"/>
    </row>
    <row r="789" spans="1:40" x14ac:dyDescent="0.25">
      <c r="A789" s="190" t="str">
        <f t="shared" si="247"/>
        <v/>
      </c>
      <c r="M789"/>
      <c r="N789"/>
      <c r="O789"/>
      <c r="P789"/>
      <c r="Q789"/>
      <c r="R789"/>
      <c r="S789"/>
      <c r="T789" t="str">
        <f>IF(O789&lt;&gt;"",_xlfn.XLOOKUP(O789,'3D. Pictures'!B:B,'3D. Pictures'!E:E,"NOT FOUND",0,1),"")</f>
        <v/>
      </c>
      <c r="U789"/>
      <c r="V789"/>
      <c r="W789"/>
      <c r="X789"/>
      <c r="Y789"/>
      <c r="Z789"/>
      <c r="AJ789"/>
      <c r="AK789"/>
      <c r="AL789"/>
      <c r="AN789"/>
    </row>
    <row r="790" spans="1:40" x14ac:dyDescent="0.25">
      <c r="A790" s="190" t="str">
        <f t="shared" si="247"/>
        <v/>
      </c>
      <c r="M790"/>
      <c r="N790"/>
      <c r="O790"/>
      <c r="P790"/>
      <c r="Q790"/>
      <c r="R790"/>
      <c r="S790"/>
      <c r="T790" t="str">
        <f>IF(O790&lt;&gt;"",_xlfn.XLOOKUP(O790,'3D. Pictures'!B:B,'3D. Pictures'!E:E,"NOT FOUND",0,1),"")</f>
        <v/>
      </c>
      <c r="U790"/>
      <c r="V790"/>
      <c r="W790"/>
      <c r="X790"/>
      <c r="Y790"/>
      <c r="Z790"/>
      <c r="AJ790"/>
      <c r="AK790"/>
      <c r="AL790"/>
      <c r="AN790"/>
    </row>
    <row r="791" spans="1:40" x14ac:dyDescent="0.25">
      <c r="A791" s="190" t="str">
        <f t="shared" si="247"/>
        <v/>
      </c>
      <c r="M791"/>
      <c r="N791"/>
      <c r="O791"/>
      <c r="P791"/>
      <c r="Q791"/>
      <c r="R791"/>
      <c r="S791"/>
      <c r="T791" t="str">
        <f>IF(O791&lt;&gt;"",_xlfn.XLOOKUP(O791,'3D. Pictures'!B:B,'3D. Pictures'!E:E,"NOT FOUND",0,1),"")</f>
        <v/>
      </c>
      <c r="U791"/>
      <c r="V791"/>
      <c r="W791"/>
      <c r="X791"/>
      <c r="Y791"/>
      <c r="Z791"/>
      <c r="AJ791"/>
      <c r="AK791"/>
      <c r="AL791"/>
      <c r="AN791"/>
    </row>
    <row r="792" spans="1:40" x14ac:dyDescent="0.25">
      <c r="A792" s="190" t="str">
        <f t="shared" si="247"/>
        <v/>
      </c>
      <c r="M792"/>
      <c r="N792"/>
      <c r="O792"/>
      <c r="P792"/>
      <c r="Q792"/>
      <c r="R792"/>
      <c r="S792"/>
      <c r="T792" t="str">
        <f>IF(O792&lt;&gt;"",_xlfn.XLOOKUP(O792,'3D. Pictures'!B:B,'3D. Pictures'!E:E,"NOT FOUND",0,1),"")</f>
        <v/>
      </c>
      <c r="U792"/>
      <c r="V792"/>
      <c r="W792"/>
      <c r="X792"/>
      <c r="Y792"/>
      <c r="Z792"/>
      <c r="AJ792"/>
      <c r="AK792"/>
      <c r="AL792"/>
      <c r="AN792"/>
    </row>
    <row r="793" spans="1:40" x14ac:dyDescent="0.25">
      <c r="A793" s="190" t="str">
        <f t="shared" si="247"/>
        <v/>
      </c>
      <c r="M793"/>
      <c r="N793"/>
      <c r="O793"/>
      <c r="P793"/>
      <c r="Q793"/>
      <c r="R793"/>
      <c r="S793"/>
      <c r="T793" t="str">
        <f>IF(O793&lt;&gt;"",_xlfn.XLOOKUP(O793,'3D. Pictures'!B:B,'3D. Pictures'!E:E,"NOT FOUND",0,1),"")</f>
        <v/>
      </c>
      <c r="U793"/>
      <c r="V793"/>
      <c r="W793"/>
      <c r="X793"/>
      <c r="Y793"/>
      <c r="Z793"/>
      <c r="AJ793"/>
      <c r="AK793"/>
      <c r="AL793"/>
      <c r="AN793"/>
    </row>
    <row r="794" spans="1:40" x14ac:dyDescent="0.25">
      <c r="A794" s="190" t="str">
        <f t="shared" si="247"/>
        <v/>
      </c>
      <c r="M794"/>
      <c r="N794"/>
      <c r="O794"/>
      <c r="P794"/>
      <c r="Q794"/>
      <c r="R794"/>
      <c r="S794"/>
      <c r="T794" t="str">
        <f>IF(O794&lt;&gt;"",_xlfn.XLOOKUP(O794,'3D. Pictures'!B:B,'3D. Pictures'!E:E,"NOT FOUND",0,1),"")</f>
        <v/>
      </c>
      <c r="U794"/>
      <c r="V794"/>
      <c r="W794"/>
      <c r="X794"/>
      <c r="Y794"/>
      <c r="Z794"/>
      <c r="AJ794"/>
      <c r="AK794"/>
      <c r="AL794"/>
      <c r="AN794"/>
    </row>
    <row r="795" spans="1:40" x14ac:dyDescent="0.25">
      <c r="A795" s="190" t="str">
        <f t="shared" si="247"/>
        <v/>
      </c>
      <c r="M795"/>
      <c r="N795"/>
      <c r="O795"/>
      <c r="P795"/>
      <c r="Q795"/>
      <c r="R795"/>
      <c r="S795"/>
      <c r="T795" t="str">
        <f>IF(O795&lt;&gt;"",_xlfn.XLOOKUP(O795,'3D. Pictures'!B:B,'3D. Pictures'!E:E,"NOT FOUND",0,1),"")</f>
        <v/>
      </c>
      <c r="U795"/>
      <c r="V795"/>
      <c r="W795"/>
      <c r="X795"/>
      <c r="Y795"/>
      <c r="Z795"/>
      <c r="AJ795"/>
      <c r="AK795"/>
      <c r="AL795"/>
      <c r="AN795"/>
    </row>
    <row r="796" spans="1:40" x14ac:dyDescent="0.25">
      <c r="A796" s="190" t="str">
        <f t="shared" si="247"/>
        <v/>
      </c>
      <c r="M796"/>
      <c r="N796"/>
      <c r="O796"/>
      <c r="P796"/>
      <c r="Q796"/>
      <c r="R796"/>
      <c r="S796"/>
      <c r="T796" t="str">
        <f>IF(O796&lt;&gt;"",_xlfn.XLOOKUP(O796,'3D. Pictures'!B:B,'3D. Pictures'!E:E,"NOT FOUND",0,1),"")</f>
        <v/>
      </c>
      <c r="U796"/>
      <c r="V796"/>
      <c r="W796"/>
      <c r="X796"/>
      <c r="Y796"/>
      <c r="Z796"/>
      <c r="AJ796"/>
      <c r="AK796"/>
      <c r="AL796"/>
      <c r="AN796"/>
    </row>
    <row r="797" spans="1:40" x14ac:dyDescent="0.25">
      <c r="A797" s="190" t="str">
        <f t="shared" si="247"/>
        <v/>
      </c>
      <c r="M797"/>
      <c r="N797"/>
      <c r="O797"/>
      <c r="P797"/>
      <c r="Q797"/>
      <c r="R797"/>
      <c r="S797"/>
      <c r="T797" t="str">
        <f>IF(O797&lt;&gt;"",_xlfn.XLOOKUP(O797,'3D. Pictures'!B:B,'3D. Pictures'!E:E,"NOT FOUND",0,1),"")</f>
        <v/>
      </c>
      <c r="U797"/>
      <c r="V797"/>
      <c r="W797"/>
      <c r="X797"/>
      <c r="Y797"/>
      <c r="Z797"/>
      <c r="AJ797"/>
      <c r="AK797"/>
      <c r="AL797"/>
      <c r="AN797"/>
    </row>
    <row r="798" spans="1:40" x14ac:dyDescent="0.25">
      <c r="A798" s="190" t="str">
        <f t="shared" si="247"/>
        <v/>
      </c>
      <c r="M798"/>
      <c r="N798"/>
      <c r="O798"/>
      <c r="P798"/>
      <c r="Q798"/>
      <c r="R798"/>
      <c r="S798"/>
      <c r="T798" t="str">
        <f>IF(O798&lt;&gt;"",_xlfn.XLOOKUP(O798,'3D. Pictures'!B:B,'3D. Pictures'!E:E,"NOT FOUND",0,1),"")</f>
        <v/>
      </c>
      <c r="U798"/>
      <c r="V798"/>
      <c r="W798"/>
      <c r="X798"/>
      <c r="Y798"/>
      <c r="Z798"/>
      <c r="AJ798"/>
      <c r="AK798"/>
      <c r="AL798"/>
      <c r="AN798"/>
    </row>
    <row r="799" spans="1:40" x14ac:dyDescent="0.25">
      <c r="A799" s="190" t="str">
        <f t="shared" si="247"/>
        <v/>
      </c>
      <c r="M799"/>
      <c r="N799"/>
      <c r="O799"/>
      <c r="P799"/>
      <c r="Q799"/>
      <c r="R799"/>
      <c r="S799"/>
      <c r="T799" t="str">
        <f>IF(O799&lt;&gt;"",_xlfn.XLOOKUP(O799,'3D. Pictures'!B:B,'3D. Pictures'!E:E,"NOT FOUND",0,1),"")</f>
        <v/>
      </c>
      <c r="U799"/>
      <c r="V799"/>
      <c r="W799"/>
      <c r="X799"/>
      <c r="Y799"/>
      <c r="Z799"/>
      <c r="AJ799"/>
      <c r="AK799"/>
      <c r="AL799"/>
      <c r="AN799"/>
    </row>
    <row r="800" spans="1:40" x14ac:dyDescent="0.25">
      <c r="A800" s="190" t="str">
        <f t="shared" si="247"/>
        <v/>
      </c>
      <c r="M800"/>
      <c r="N800"/>
      <c r="O800"/>
      <c r="P800"/>
      <c r="Q800"/>
      <c r="R800"/>
      <c r="S800"/>
      <c r="T800" t="str">
        <f>IF(O800&lt;&gt;"",_xlfn.XLOOKUP(O800,'3D. Pictures'!B:B,'3D. Pictures'!E:E,"NOT FOUND",0,1),"")</f>
        <v/>
      </c>
      <c r="U800"/>
      <c r="V800"/>
      <c r="W800"/>
      <c r="X800"/>
      <c r="Y800"/>
      <c r="Z800"/>
      <c r="AJ800"/>
      <c r="AK800"/>
      <c r="AL800"/>
      <c r="AN800"/>
    </row>
    <row r="801" spans="1:40" x14ac:dyDescent="0.25">
      <c r="A801" s="190" t="str">
        <f t="shared" si="247"/>
        <v/>
      </c>
      <c r="M801"/>
      <c r="N801"/>
      <c r="O801"/>
      <c r="P801"/>
      <c r="Q801"/>
      <c r="R801"/>
      <c r="S801"/>
      <c r="T801" t="str">
        <f>IF(O801&lt;&gt;"",_xlfn.XLOOKUP(O801,'3D. Pictures'!B:B,'3D. Pictures'!E:E,"NOT FOUND",0,1),"")</f>
        <v/>
      </c>
      <c r="U801"/>
      <c r="V801"/>
      <c r="W801"/>
      <c r="X801"/>
      <c r="Y801"/>
      <c r="Z801"/>
      <c r="AJ801"/>
      <c r="AK801"/>
      <c r="AL801"/>
      <c r="AN801"/>
    </row>
    <row r="802" spans="1:40" x14ac:dyDescent="0.25">
      <c r="A802" s="190" t="str">
        <f t="shared" si="247"/>
        <v/>
      </c>
      <c r="M802"/>
      <c r="N802"/>
      <c r="O802"/>
      <c r="P802"/>
      <c r="Q802"/>
      <c r="R802"/>
      <c r="S802"/>
      <c r="T802" t="str">
        <f>IF(O802&lt;&gt;"",_xlfn.XLOOKUP(O802,'3D. Pictures'!B:B,'3D. Pictures'!E:E,"NOT FOUND",0,1),"")</f>
        <v/>
      </c>
      <c r="U802"/>
      <c r="V802"/>
      <c r="W802"/>
      <c r="X802"/>
      <c r="Y802"/>
      <c r="Z802"/>
      <c r="AJ802"/>
      <c r="AK802"/>
      <c r="AL802"/>
      <c r="AN802"/>
    </row>
    <row r="803" spans="1:40" x14ac:dyDescent="0.25">
      <c r="A803" s="190" t="str">
        <f t="shared" si="247"/>
        <v/>
      </c>
      <c r="M803"/>
      <c r="N803"/>
      <c r="O803"/>
      <c r="P803"/>
      <c r="Q803"/>
      <c r="R803"/>
      <c r="S803"/>
      <c r="T803" t="str">
        <f>IF(O803&lt;&gt;"",_xlfn.XLOOKUP(O803,'3D. Pictures'!B:B,'3D. Pictures'!E:E,"NOT FOUND",0,1),"")</f>
        <v/>
      </c>
      <c r="U803"/>
      <c r="V803"/>
      <c r="W803"/>
      <c r="X803"/>
      <c r="Y803"/>
      <c r="Z803"/>
      <c r="AJ803"/>
      <c r="AK803"/>
      <c r="AL803"/>
      <c r="AN803"/>
    </row>
    <row r="804" spans="1:40" x14ac:dyDescent="0.25">
      <c r="A804" s="190" t="str">
        <f t="shared" si="247"/>
        <v/>
      </c>
      <c r="M804"/>
      <c r="N804"/>
      <c r="O804"/>
      <c r="P804"/>
      <c r="Q804"/>
      <c r="R804"/>
      <c r="S804"/>
      <c r="T804" t="str">
        <f>IF(O804&lt;&gt;"",_xlfn.XLOOKUP(O804,'3D. Pictures'!B:B,'3D. Pictures'!E:E,"NOT FOUND",0,1),"")</f>
        <v/>
      </c>
      <c r="U804"/>
      <c r="V804"/>
      <c r="W804"/>
      <c r="X804"/>
      <c r="Y804"/>
      <c r="Z804"/>
      <c r="AJ804"/>
      <c r="AK804"/>
      <c r="AL804"/>
      <c r="AN804"/>
    </row>
    <row r="805" spans="1:40" x14ac:dyDescent="0.25">
      <c r="A805" s="190" t="str">
        <f t="shared" si="247"/>
        <v/>
      </c>
      <c r="M805"/>
      <c r="N805"/>
      <c r="O805"/>
      <c r="P805"/>
      <c r="Q805"/>
      <c r="R805"/>
      <c r="S805"/>
      <c r="T805" t="str">
        <f>IF(O805&lt;&gt;"",_xlfn.XLOOKUP(O805,'3D. Pictures'!B:B,'3D. Pictures'!E:E,"NOT FOUND",0,1),"")</f>
        <v/>
      </c>
      <c r="U805"/>
      <c r="V805"/>
      <c r="W805"/>
      <c r="X805"/>
      <c r="Y805"/>
      <c r="Z805"/>
      <c r="AJ805"/>
      <c r="AK805"/>
      <c r="AL805"/>
      <c r="AN805"/>
    </row>
    <row r="806" spans="1:40" x14ac:dyDescent="0.25">
      <c r="A806" s="190" t="str">
        <f t="shared" si="247"/>
        <v/>
      </c>
      <c r="M806"/>
      <c r="N806"/>
      <c r="O806"/>
      <c r="P806"/>
      <c r="Q806"/>
      <c r="R806"/>
      <c r="S806"/>
      <c r="T806" t="str">
        <f>IF(O806&lt;&gt;"",_xlfn.XLOOKUP(O806,'3D. Pictures'!B:B,'3D. Pictures'!E:E,"NOT FOUND",0,1),"")</f>
        <v/>
      </c>
      <c r="U806"/>
      <c r="V806"/>
      <c r="W806"/>
      <c r="X806"/>
      <c r="Y806"/>
      <c r="Z806"/>
      <c r="AJ806"/>
      <c r="AK806"/>
      <c r="AL806"/>
      <c r="AN806"/>
    </row>
    <row r="807" spans="1:40" x14ac:dyDescent="0.25">
      <c r="A807" s="190" t="str">
        <f t="shared" si="247"/>
        <v/>
      </c>
      <c r="M807"/>
      <c r="N807"/>
      <c r="O807"/>
      <c r="P807"/>
      <c r="Q807"/>
      <c r="R807"/>
      <c r="S807"/>
      <c r="T807" t="str">
        <f>IF(O807&lt;&gt;"",_xlfn.XLOOKUP(O807,'3D. Pictures'!B:B,'3D. Pictures'!E:E,"NOT FOUND",0,1),"")</f>
        <v/>
      </c>
      <c r="U807"/>
      <c r="V807"/>
      <c r="W807"/>
      <c r="X807"/>
      <c r="Y807"/>
      <c r="Z807"/>
      <c r="AJ807"/>
      <c r="AK807"/>
      <c r="AL807"/>
      <c r="AN807"/>
    </row>
    <row r="808" spans="1:40" x14ac:dyDescent="0.25">
      <c r="A808" s="190" t="str">
        <f t="shared" si="247"/>
        <v/>
      </c>
      <c r="M808"/>
      <c r="N808"/>
      <c r="O808"/>
      <c r="P808"/>
      <c r="Q808"/>
      <c r="R808"/>
      <c r="S808"/>
      <c r="T808" t="str">
        <f>IF(O808&lt;&gt;"",_xlfn.XLOOKUP(O808,'3D. Pictures'!B:B,'3D. Pictures'!E:E,"NOT FOUND",0,1),"")</f>
        <v/>
      </c>
      <c r="U808"/>
      <c r="V808"/>
      <c r="W808"/>
      <c r="X808"/>
      <c r="Y808"/>
      <c r="Z808"/>
      <c r="AJ808"/>
      <c r="AK808"/>
      <c r="AL808"/>
      <c r="AN808"/>
    </row>
    <row r="809" spans="1:40" x14ac:dyDescent="0.25">
      <c r="A809" s="190" t="str">
        <f t="shared" si="247"/>
        <v/>
      </c>
      <c r="M809"/>
      <c r="N809"/>
      <c r="O809"/>
      <c r="P809"/>
      <c r="Q809"/>
      <c r="R809"/>
      <c r="S809"/>
      <c r="T809" t="str">
        <f>IF(O809&lt;&gt;"",_xlfn.XLOOKUP(O809,'3D. Pictures'!B:B,'3D. Pictures'!E:E,"NOT FOUND",0,1),"")</f>
        <v/>
      </c>
      <c r="U809"/>
      <c r="V809"/>
      <c r="W809"/>
      <c r="X809"/>
      <c r="Y809"/>
      <c r="Z809"/>
      <c r="AJ809"/>
      <c r="AK809"/>
      <c r="AL809"/>
      <c r="AN809"/>
    </row>
    <row r="810" spans="1:40" x14ac:dyDescent="0.25">
      <c r="A810" s="190" t="str">
        <f t="shared" si="247"/>
        <v/>
      </c>
      <c r="M810"/>
      <c r="N810"/>
      <c r="O810"/>
      <c r="P810"/>
      <c r="Q810"/>
      <c r="R810"/>
      <c r="S810"/>
      <c r="T810" t="str">
        <f>IF(O810&lt;&gt;"",_xlfn.XLOOKUP(O810,'3D. Pictures'!B:B,'3D. Pictures'!E:E,"NOT FOUND",0,1),"")</f>
        <v/>
      </c>
      <c r="U810"/>
      <c r="V810"/>
      <c r="W810"/>
      <c r="X810"/>
      <c r="Y810"/>
      <c r="Z810"/>
      <c r="AJ810"/>
      <c r="AK810"/>
      <c r="AL810"/>
      <c r="AN810"/>
    </row>
    <row r="811" spans="1:40" x14ac:dyDescent="0.25">
      <c r="A811" s="190" t="str">
        <f t="shared" si="247"/>
        <v/>
      </c>
      <c r="M811"/>
      <c r="N811"/>
      <c r="O811"/>
      <c r="P811"/>
      <c r="Q811"/>
      <c r="R811"/>
      <c r="S811"/>
      <c r="T811" t="str">
        <f>IF(O811&lt;&gt;"",_xlfn.XLOOKUP(O811,'3D. Pictures'!B:B,'3D. Pictures'!E:E,"NOT FOUND",0,1),"")</f>
        <v/>
      </c>
      <c r="U811"/>
      <c r="V811"/>
      <c r="W811"/>
      <c r="X811"/>
      <c r="Y811"/>
      <c r="Z811"/>
      <c r="AJ811"/>
      <c r="AK811"/>
      <c r="AL811"/>
      <c r="AN811"/>
    </row>
    <row r="812" spans="1:40" x14ac:dyDescent="0.25">
      <c r="A812" s="190" t="str">
        <f t="shared" si="247"/>
        <v/>
      </c>
      <c r="M812"/>
      <c r="N812"/>
      <c r="O812"/>
      <c r="P812"/>
      <c r="Q812"/>
      <c r="R812"/>
      <c r="S812"/>
      <c r="T812" t="str">
        <f>IF(O812&lt;&gt;"",_xlfn.XLOOKUP(O812,'3D. Pictures'!B:B,'3D. Pictures'!E:E,"NOT FOUND",0,1),"")</f>
        <v/>
      </c>
      <c r="U812"/>
      <c r="V812"/>
      <c r="W812"/>
      <c r="X812"/>
      <c r="Y812"/>
      <c r="Z812"/>
      <c r="AJ812"/>
      <c r="AK812"/>
      <c r="AL812"/>
      <c r="AN812"/>
    </row>
    <row r="813" spans="1:40" x14ac:dyDescent="0.25">
      <c r="A813" s="190" t="str">
        <f t="shared" si="247"/>
        <v/>
      </c>
      <c r="M813"/>
      <c r="N813"/>
      <c r="O813"/>
      <c r="P813"/>
      <c r="Q813"/>
      <c r="R813"/>
      <c r="S813"/>
      <c r="T813" t="str">
        <f>IF(O813&lt;&gt;"",_xlfn.XLOOKUP(O813,'3D. Pictures'!B:B,'3D. Pictures'!E:E,"NOT FOUND",0,1),"")</f>
        <v/>
      </c>
      <c r="U813"/>
      <c r="V813"/>
      <c r="W813"/>
      <c r="X813"/>
      <c r="Y813"/>
      <c r="Z813"/>
      <c r="AJ813"/>
      <c r="AK813"/>
      <c r="AL813"/>
      <c r="AN813"/>
    </row>
    <row r="814" spans="1:40" x14ac:dyDescent="0.25">
      <c r="A814" s="190" t="str">
        <f t="shared" si="247"/>
        <v/>
      </c>
      <c r="M814"/>
      <c r="N814"/>
      <c r="O814"/>
      <c r="P814"/>
      <c r="Q814"/>
      <c r="R814"/>
      <c r="S814"/>
      <c r="T814" t="str">
        <f>IF(O814&lt;&gt;"",_xlfn.XLOOKUP(O814,'3D. Pictures'!B:B,'3D. Pictures'!E:E,"NOT FOUND",0,1),"")</f>
        <v/>
      </c>
      <c r="U814"/>
      <c r="V814"/>
      <c r="W814"/>
      <c r="X814"/>
      <c r="Y814"/>
      <c r="Z814"/>
      <c r="AJ814"/>
      <c r="AK814"/>
      <c r="AL814"/>
      <c r="AN814"/>
    </row>
    <row r="815" spans="1:40" x14ac:dyDescent="0.25">
      <c r="A815" s="190" t="str">
        <f t="shared" si="247"/>
        <v/>
      </c>
      <c r="M815"/>
      <c r="N815"/>
      <c r="O815"/>
      <c r="P815"/>
      <c r="Q815"/>
      <c r="R815"/>
      <c r="S815"/>
      <c r="T815" t="str">
        <f>IF(O815&lt;&gt;"",_xlfn.XLOOKUP(O815,'3D. Pictures'!B:B,'3D. Pictures'!E:E,"NOT FOUND",0,1),"")</f>
        <v/>
      </c>
      <c r="U815"/>
      <c r="V815"/>
      <c r="W815"/>
      <c r="X815"/>
      <c r="Y815"/>
      <c r="Z815"/>
      <c r="AJ815"/>
      <c r="AK815"/>
      <c r="AL815"/>
      <c r="AN815"/>
    </row>
    <row r="816" spans="1:40" x14ac:dyDescent="0.25">
      <c r="A816" s="190" t="str">
        <f t="shared" si="247"/>
        <v/>
      </c>
      <c r="M816"/>
      <c r="N816"/>
      <c r="O816"/>
      <c r="P816"/>
      <c r="Q816"/>
      <c r="R816"/>
      <c r="S816"/>
      <c r="T816" t="str">
        <f>IF(O816&lt;&gt;"",_xlfn.XLOOKUP(O816,'3D. Pictures'!B:B,'3D. Pictures'!E:E,"NOT FOUND",0,1),"")</f>
        <v/>
      </c>
      <c r="U816"/>
      <c r="V816"/>
      <c r="W816"/>
      <c r="X816"/>
      <c r="Y816"/>
      <c r="Z816"/>
      <c r="AJ816"/>
      <c r="AK816"/>
      <c r="AL816"/>
      <c r="AN816"/>
    </row>
    <row r="817" spans="1:40" x14ac:dyDescent="0.25">
      <c r="A817" s="190" t="str">
        <f t="shared" si="247"/>
        <v/>
      </c>
      <c r="M817"/>
      <c r="N817"/>
      <c r="O817"/>
      <c r="P817"/>
      <c r="Q817"/>
      <c r="R817"/>
      <c r="S817"/>
      <c r="T817" t="str">
        <f>IF(O817&lt;&gt;"",_xlfn.XLOOKUP(O817,'3D. Pictures'!B:B,'3D. Pictures'!E:E,"NOT FOUND",0,1),"")</f>
        <v/>
      </c>
      <c r="U817"/>
      <c r="V817"/>
      <c r="W817"/>
      <c r="X817"/>
      <c r="Y817"/>
      <c r="Z817"/>
      <c r="AJ817"/>
      <c r="AK817"/>
      <c r="AL817"/>
      <c r="AN817"/>
    </row>
    <row r="818" spans="1:40" x14ac:dyDescent="0.25">
      <c r="A818" s="190" t="str">
        <f t="shared" si="247"/>
        <v/>
      </c>
      <c r="M818"/>
      <c r="N818"/>
      <c r="O818"/>
      <c r="P818"/>
      <c r="Q818"/>
      <c r="R818"/>
      <c r="S818"/>
      <c r="T818" t="str">
        <f>IF(O818&lt;&gt;"",_xlfn.XLOOKUP(O818,'3D. Pictures'!B:B,'3D. Pictures'!E:E,"NOT FOUND",0,1),"")</f>
        <v/>
      </c>
      <c r="U818"/>
      <c r="V818"/>
      <c r="W818"/>
      <c r="X818"/>
      <c r="Y818"/>
      <c r="Z818"/>
      <c r="AJ818"/>
      <c r="AK818"/>
      <c r="AL818"/>
      <c r="AN818"/>
    </row>
    <row r="819" spans="1:40" x14ac:dyDescent="0.25">
      <c r="A819" s="190" t="str">
        <f t="shared" si="247"/>
        <v/>
      </c>
      <c r="M819"/>
      <c r="N819"/>
      <c r="O819"/>
      <c r="P819"/>
      <c r="Q819"/>
      <c r="R819"/>
      <c r="S819"/>
      <c r="T819" t="str">
        <f>IF(O819&lt;&gt;"",_xlfn.XLOOKUP(O819,'3D. Pictures'!B:B,'3D. Pictures'!E:E,"NOT FOUND",0,1),"")</f>
        <v/>
      </c>
      <c r="U819"/>
      <c r="V819"/>
      <c r="W819"/>
      <c r="X819"/>
      <c r="Y819"/>
      <c r="Z819"/>
      <c r="AJ819"/>
      <c r="AK819"/>
      <c r="AL819"/>
      <c r="AN819"/>
    </row>
    <row r="820" spans="1:40" x14ac:dyDescent="0.25">
      <c r="A820" s="190" t="str">
        <f t="shared" si="247"/>
        <v/>
      </c>
      <c r="M820"/>
      <c r="N820"/>
      <c r="O820"/>
      <c r="P820"/>
      <c r="Q820"/>
      <c r="R820"/>
      <c r="S820"/>
      <c r="T820" t="str">
        <f>IF(O820&lt;&gt;"",_xlfn.XLOOKUP(O820,'3D. Pictures'!B:B,'3D. Pictures'!E:E,"NOT FOUND",0,1),"")</f>
        <v/>
      </c>
      <c r="U820"/>
      <c r="V820"/>
      <c r="W820"/>
      <c r="X820"/>
      <c r="Y820"/>
      <c r="Z820"/>
      <c r="AJ820"/>
      <c r="AK820"/>
      <c r="AL820"/>
      <c r="AN820"/>
    </row>
    <row r="821" spans="1:40" x14ac:dyDescent="0.25">
      <c r="A821" s="190" t="str">
        <f t="shared" si="247"/>
        <v/>
      </c>
      <c r="M821"/>
      <c r="N821"/>
      <c r="O821"/>
      <c r="P821"/>
      <c r="Q821"/>
      <c r="R821"/>
      <c r="S821"/>
      <c r="T821" t="str">
        <f>IF(O821&lt;&gt;"",_xlfn.XLOOKUP(O821,'3D. Pictures'!B:B,'3D. Pictures'!E:E,"NOT FOUND",0,1),"")</f>
        <v/>
      </c>
      <c r="U821"/>
      <c r="V821"/>
      <c r="W821"/>
      <c r="X821"/>
      <c r="Y821"/>
      <c r="Z821"/>
      <c r="AJ821"/>
      <c r="AK821"/>
      <c r="AL821"/>
      <c r="AN821"/>
    </row>
    <row r="822" spans="1:40" x14ac:dyDescent="0.25">
      <c r="A822" s="190" t="str">
        <f t="shared" si="247"/>
        <v/>
      </c>
      <c r="M822"/>
      <c r="N822"/>
      <c r="O822"/>
      <c r="P822"/>
      <c r="Q822"/>
      <c r="R822"/>
      <c r="S822"/>
      <c r="T822" t="str">
        <f>IF(O822&lt;&gt;"",_xlfn.XLOOKUP(O822,'3D. Pictures'!B:B,'3D. Pictures'!E:E,"NOT FOUND",0,1),"")</f>
        <v/>
      </c>
      <c r="U822"/>
      <c r="V822"/>
      <c r="W822"/>
      <c r="X822"/>
      <c r="Y822"/>
      <c r="Z822"/>
      <c r="AJ822"/>
      <c r="AK822"/>
      <c r="AL822"/>
      <c r="AN822"/>
    </row>
    <row r="823" spans="1:40" x14ac:dyDescent="0.25">
      <c r="A823" s="190" t="str">
        <f t="shared" si="247"/>
        <v/>
      </c>
      <c r="M823"/>
      <c r="N823"/>
      <c r="O823"/>
      <c r="P823"/>
      <c r="Q823"/>
      <c r="R823"/>
      <c r="S823"/>
      <c r="T823" t="str">
        <f>IF(O823&lt;&gt;"",_xlfn.XLOOKUP(O823,'3D. Pictures'!B:B,'3D. Pictures'!E:E,"NOT FOUND",0,1),"")</f>
        <v/>
      </c>
      <c r="U823"/>
      <c r="V823"/>
      <c r="W823"/>
      <c r="X823"/>
      <c r="Y823"/>
      <c r="Z823"/>
      <c r="AJ823"/>
      <c r="AK823"/>
      <c r="AL823"/>
      <c r="AN823"/>
    </row>
    <row r="824" spans="1:40" x14ac:dyDescent="0.25">
      <c r="A824" s="190" t="str">
        <f t="shared" si="247"/>
        <v/>
      </c>
      <c r="M824"/>
      <c r="N824"/>
      <c r="O824"/>
      <c r="P824"/>
      <c r="Q824"/>
      <c r="R824"/>
      <c r="S824"/>
      <c r="T824" t="str">
        <f>IF(O824&lt;&gt;"",_xlfn.XLOOKUP(O824,'3D. Pictures'!B:B,'3D. Pictures'!E:E,"NOT FOUND",0,1),"")</f>
        <v/>
      </c>
      <c r="U824"/>
      <c r="V824"/>
      <c r="W824"/>
      <c r="X824"/>
      <c r="Y824"/>
      <c r="Z824"/>
      <c r="AJ824"/>
      <c r="AK824"/>
      <c r="AL824"/>
      <c r="AN824"/>
    </row>
    <row r="825" spans="1:40" x14ac:dyDescent="0.25">
      <c r="A825" s="190" t="str">
        <f t="shared" si="247"/>
        <v/>
      </c>
      <c r="M825"/>
      <c r="N825"/>
      <c r="O825"/>
      <c r="P825"/>
      <c r="Q825"/>
      <c r="R825"/>
      <c r="S825"/>
      <c r="T825" t="str">
        <f>IF(O825&lt;&gt;"",_xlfn.XLOOKUP(O825,'3D. Pictures'!B:B,'3D. Pictures'!E:E,"NOT FOUND",0,1),"")</f>
        <v/>
      </c>
      <c r="U825"/>
      <c r="V825"/>
      <c r="W825"/>
      <c r="X825"/>
      <c r="Y825"/>
      <c r="Z825"/>
      <c r="AJ825"/>
      <c r="AK825"/>
      <c r="AL825"/>
      <c r="AN825"/>
    </row>
    <row r="826" spans="1:40" x14ac:dyDescent="0.25">
      <c r="A826" s="190" t="str">
        <f t="shared" si="247"/>
        <v/>
      </c>
      <c r="M826"/>
      <c r="N826"/>
      <c r="O826"/>
      <c r="P826"/>
      <c r="Q826"/>
      <c r="R826"/>
      <c r="S826"/>
      <c r="T826" t="str">
        <f>IF(O826&lt;&gt;"",_xlfn.XLOOKUP(O826,'3D. Pictures'!B:B,'3D. Pictures'!E:E,"NOT FOUND",0,1),"")</f>
        <v/>
      </c>
      <c r="U826"/>
      <c r="V826"/>
      <c r="W826"/>
      <c r="X826"/>
      <c r="Y826"/>
      <c r="Z826"/>
      <c r="AJ826"/>
      <c r="AK826"/>
      <c r="AL826"/>
      <c r="AN826"/>
    </row>
    <row r="827" spans="1:40" x14ac:dyDescent="0.25">
      <c r="A827" s="190" t="str">
        <f t="shared" si="247"/>
        <v/>
      </c>
      <c r="M827"/>
      <c r="N827"/>
      <c r="O827"/>
      <c r="P827"/>
      <c r="Q827"/>
      <c r="R827"/>
      <c r="S827"/>
      <c r="T827" t="str">
        <f>IF(O827&lt;&gt;"",_xlfn.XLOOKUP(O827,'3D. Pictures'!B:B,'3D. Pictures'!E:E,"NOT FOUND",0,1),"")</f>
        <v/>
      </c>
      <c r="U827"/>
      <c r="V827"/>
      <c r="W827"/>
      <c r="X827"/>
      <c r="Y827"/>
      <c r="Z827"/>
      <c r="AJ827"/>
      <c r="AK827"/>
      <c r="AL827"/>
      <c r="AN827"/>
    </row>
    <row r="828" spans="1:40" x14ac:dyDescent="0.25">
      <c r="A828" s="190" t="str">
        <f t="shared" si="247"/>
        <v/>
      </c>
      <c r="M828"/>
      <c r="N828"/>
      <c r="O828"/>
      <c r="P828"/>
      <c r="Q828"/>
      <c r="R828"/>
      <c r="S828"/>
      <c r="T828" t="str">
        <f>IF(O828&lt;&gt;"",_xlfn.XLOOKUP(O828,'3D. Pictures'!B:B,'3D. Pictures'!E:E,"NOT FOUND",0,1),"")</f>
        <v/>
      </c>
      <c r="U828"/>
      <c r="V828"/>
      <c r="W828"/>
      <c r="X828"/>
      <c r="Y828"/>
      <c r="Z828"/>
      <c r="AJ828"/>
      <c r="AK828"/>
      <c r="AL828"/>
      <c r="AN828"/>
    </row>
    <row r="829" spans="1:40" x14ac:dyDescent="0.25">
      <c r="A829" s="190" t="str">
        <f t="shared" si="247"/>
        <v/>
      </c>
      <c r="M829"/>
      <c r="N829"/>
      <c r="O829"/>
      <c r="P829"/>
      <c r="Q829"/>
      <c r="R829"/>
      <c r="S829"/>
      <c r="T829" t="str">
        <f>IF(O829&lt;&gt;"",_xlfn.XLOOKUP(O829,'3D. Pictures'!B:B,'3D. Pictures'!E:E,"NOT FOUND",0,1),"")</f>
        <v/>
      </c>
      <c r="U829"/>
      <c r="V829"/>
      <c r="W829"/>
      <c r="X829"/>
      <c r="Y829"/>
      <c r="Z829"/>
      <c r="AJ829"/>
      <c r="AK829"/>
      <c r="AL829"/>
      <c r="AN829"/>
    </row>
    <row r="830" spans="1:40" x14ac:dyDescent="0.25">
      <c r="A830" s="190" t="str">
        <f t="shared" si="247"/>
        <v/>
      </c>
      <c r="M830"/>
      <c r="N830"/>
      <c r="O830"/>
      <c r="P830"/>
      <c r="Q830"/>
      <c r="R830"/>
      <c r="S830"/>
      <c r="T830" t="str">
        <f>IF(O830&lt;&gt;"",_xlfn.XLOOKUP(O830,'3D. Pictures'!B:B,'3D. Pictures'!E:E,"NOT FOUND",0,1),"")</f>
        <v/>
      </c>
      <c r="U830"/>
      <c r="V830"/>
      <c r="W830"/>
      <c r="X830"/>
      <c r="Y830"/>
      <c r="Z830"/>
      <c r="AJ830"/>
      <c r="AK830"/>
      <c r="AL830"/>
      <c r="AN830"/>
    </row>
    <row r="831" spans="1:40" x14ac:dyDescent="0.25">
      <c r="A831" s="190" t="str">
        <f t="shared" si="247"/>
        <v/>
      </c>
      <c r="M831"/>
      <c r="N831"/>
      <c r="O831"/>
      <c r="P831"/>
      <c r="Q831"/>
      <c r="R831"/>
      <c r="S831"/>
      <c r="T831" t="str">
        <f>IF(O831&lt;&gt;"",_xlfn.XLOOKUP(O831,'3D. Pictures'!B:B,'3D. Pictures'!E:E,"NOT FOUND",0,1),"")</f>
        <v/>
      </c>
      <c r="U831"/>
      <c r="V831"/>
      <c r="W831"/>
      <c r="X831"/>
      <c r="Y831"/>
      <c r="Z831"/>
      <c r="AJ831"/>
      <c r="AK831"/>
      <c r="AL831"/>
      <c r="AN831"/>
    </row>
    <row r="832" spans="1:40" x14ac:dyDescent="0.25">
      <c r="A832" s="190" t="str">
        <f t="shared" si="247"/>
        <v/>
      </c>
      <c r="M832"/>
      <c r="N832"/>
      <c r="O832"/>
      <c r="P832"/>
      <c r="Q832"/>
      <c r="R832"/>
      <c r="S832"/>
      <c r="T832" t="str">
        <f>IF(O832&lt;&gt;"",_xlfn.XLOOKUP(O832,'3D. Pictures'!B:B,'3D. Pictures'!E:E,"NOT FOUND",0,1),"")</f>
        <v/>
      </c>
      <c r="U832"/>
      <c r="V832"/>
      <c r="W832"/>
      <c r="X832"/>
      <c r="Y832"/>
      <c r="Z832"/>
      <c r="AJ832"/>
      <c r="AK832"/>
      <c r="AL832"/>
      <c r="AN832"/>
    </row>
    <row r="833" spans="1:40" x14ac:dyDescent="0.25">
      <c r="A833" s="190" t="str">
        <f t="shared" ref="A833:A896" si="248">IF(O833&lt;&gt;"",O833,"")</f>
        <v/>
      </c>
      <c r="M833"/>
      <c r="N833"/>
      <c r="O833"/>
      <c r="P833"/>
      <c r="Q833"/>
      <c r="R833"/>
      <c r="S833"/>
      <c r="T833" t="str">
        <f>IF(O833&lt;&gt;"",_xlfn.XLOOKUP(O833,'3D. Pictures'!B:B,'3D. Pictures'!E:E,"NOT FOUND",0,1),"")</f>
        <v/>
      </c>
      <c r="U833"/>
      <c r="V833"/>
      <c r="W833"/>
      <c r="X833"/>
      <c r="Y833"/>
      <c r="Z833"/>
      <c r="AJ833"/>
      <c r="AK833"/>
      <c r="AL833"/>
      <c r="AN833"/>
    </row>
    <row r="834" spans="1:40" x14ac:dyDescent="0.25">
      <c r="A834" s="190" t="str">
        <f t="shared" si="248"/>
        <v/>
      </c>
      <c r="M834"/>
      <c r="N834"/>
      <c r="O834"/>
      <c r="P834"/>
      <c r="Q834"/>
      <c r="R834"/>
      <c r="S834"/>
      <c r="T834" t="str">
        <f>IF(O834&lt;&gt;"",_xlfn.XLOOKUP(O834,'3D. Pictures'!B:B,'3D. Pictures'!E:E,"NOT FOUND",0,1),"")</f>
        <v/>
      </c>
      <c r="U834"/>
      <c r="V834"/>
      <c r="W834"/>
      <c r="X834"/>
      <c r="Y834"/>
      <c r="Z834"/>
      <c r="AJ834"/>
      <c r="AK834"/>
      <c r="AL834"/>
      <c r="AN834"/>
    </row>
    <row r="835" spans="1:40" x14ac:dyDescent="0.25">
      <c r="A835" s="190" t="str">
        <f t="shared" si="248"/>
        <v/>
      </c>
      <c r="M835"/>
      <c r="N835"/>
      <c r="O835"/>
      <c r="P835"/>
      <c r="Q835"/>
      <c r="R835"/>
      <c r="S835"/>
      <c r="T835" t="str">
        <f>IF(O835&lt;&gt;"",_xlfn.XLOOKUP(O835,'3D. Pictures'!B:B,'3D. Pictures'!E:E,"NOT FOUND",0,1),"")</f>
        <v/>
      </c>
      <c r="U835"/>
      <c r="V835"/>
      <c r="W835"/>
      <c r="X835"/>
      <c r="Y835"/>
      <c r="Z835"/>
      <c r="AJ835"/>
      <c r="AK835"/>
      <c r="AL835"/>
      <c r="AN835"/>
    </row>
    <row r="836" spans="1:40" x14ac:dyDescent="0.25">
      <c r="A836" s="190" t="str">
        <f t="shared" si="248"/>
        <v/>
      </c>
      <c r="M836"/>
      <c r="N836"/>
      <c r="O836"/>
      <c r="P836"/>
      <c r="Q836"/>
      <c r="R836"/>
      <c r="S836"/>
      <c r="T836" t="str">
        <f>IF(O836&lt;&gt;"",_xlfn.XLOOKUP(O836,'3D. Pictures'!B:B,'3D. Pictures'!E:E,"NOT FOUND",0,1),"")</f>
        <v/>
      </c>
      <c r="U836"/>
      <c r="V836"/>
      <c r="W836"/>
      <c r="X836"/>
      <c r="Y836"/>
      <c r="Z836"/>
      <c r="AJ836"/>
      <c r="AK836"/>
      <c r="AL836"/>
      <c r="AN836"/>
    </row>
    <row r="837" spans="1:40" x14ac:dyDescent="0.25">
      <c r="A837" s="190" t="str">
        <f t="shared" si="248"/>
        <v/>
      </c>
      <c r="M837"/>
      <c r="N837"/>
      <c r="O837"/>
      <c r="P837"/>
      <c r="Q837"/>
      <c r="R837"/>
      <c r="S837"/>
      <c r="T837" t="str">
        <f>IF(O837&lt;&gt;"",_xlfn.XLOOKUP(O837,'3D. Pictures'!B:B,'3D. Pictures'!E:E,"NOT FOUND",0,1),"")</f>
        <v/>
      </c>
      <c r="U837"/>
      <c r="V837"/>
      <c r="W837"/>
      <c r="X837"/>
      <c r="Y837"/>
      <c r="Z837"/>
      <c r="AJ837"/>
      <c r="AK837"/>
      <c r="AL837"/>
      <c r="AN837"/>
    </row>
    <row r="838" spans="1:40" x14ac:dyDescent="0.25">
      <c r="A838" s="190" t="str">
        <f t="shared" si="248"/>
        <v/>
      </c>
      <c r="M838"/>
      <c r="N838"/>
      <c r="O838"/>
      <c r="P838"/>
      <c r="Q838"/>
      <c r="R838"/>
      <c r="S838"/>
      <c r="T838" t="str">
        <f>IF(O838&lt;&gt;"",_xlfn.XLOOKUP(O838,'3D. Pictures'!B:B,'3D. Pictures'!E:E,"NOT FOUND",0,1),"")</f>
        <v/>
      </c>
      <c r="U838"/>
      <c r="V838"/>
      <c r="W838"/>
      <c r="X838"/>
      <c r="Y838"/>
      <c r="Z838"/>
      <c r="AJ838"/>
      <c r="AK838"/>
      <c r="AL838"/>
      <c r="AN838"/>
    </row>
    <row r="839" spans="1:40" x14ac:dyDescent="0.25">
      <c r="A839" s="190" t="str">
        <f t="shared" si="248"/>
        <v/>
      </c>
      <c r="M839"/>
      <c r="N839"/>
      <c r="O839"/>
      <c r="P839"/>
      <c r="Q839"/>
      <c r="R839"/>
      <c r="S839"/>
      <c r="T839" t="str">
        <f>IF(O839&lt;&gt;"",_xlfn.XLOOKUP(O839,'3D. Pictures'!B:B,'3D. Pictures'!E:E,"NOT FOUND",0,1),"")</f>
        <v/>
      </c>
      <c r="U839"/>
      <c r="V839"/>
      <c r="W839"/>
      <c r="X839"/>
      <c r="Y839"/>
      <c r="Z839"/>
      <c r="AJ839"/>
      <c r="AK839"/>
      <c r="AL839"/>
      <c r="AN839"/>
    </row>
    <row r="840" spans="1:40" x14ac:dyDescent="0.25">
      <c r="A840" s="190" t="str">
        <f t="shared" si="248"/>
        <v/>
      </c>
      <c r="M840"/>
      <c r="N840"/>
      <c r="O840"/>
      <c r="P840"/>
      <c r="Q840"/>
      <c r="R840"/>
      <c r="S840"/>
      <c r="T840" t="str">
        <f>IF(O840&lt;&gt;"",_xlfn.XLOOKUP(O840,'3D. Pictures'!B:B,'3D. Pictures'!E:E,"NOT FOUND",0,1),"")</f>
        <v/>
      </c>
      <c r="U840"/>
      <c r="V840"/>
      <c r="W840"/>
      <c r="X840"/>
      <c r="Y840"/>
      <c r="Z840"/>
      <c r="AJ840"/>
      <c r="AK840"/>
      <c r="AL840"/>
      <c r="AN840"/>
    </row>
    <row r="841" spans="1:40" x14ac:dyDescent="0.25">
      <c r="A841" s="190" t="str">
        <f t="shared" si="248"/>
        <v/>
      </c>
      <c r="M841"/>
      <c r="N841"/>
      <c r="O841"/>
      <c r="P841"/>
      <c r="Q841"/>
      <c r="R841"/>
      <c r="S841"/>
      <c r="T841" t="str">
        <f>IF(O841&lt;&gt;"",_xlfn.XLOOKUP(O841,'3D. Pictures'!B:B,'3D. Pictures'!E:E,"NOT FOUND",0,1),"")</f>
        <v/>
      </c>
      <c r="U841"/>
      <c r="V841"/>
      <c r="W841"/>
      <c r="X841"/>
      <c r="Y841"/>
      <c r="Z841"/>
      <c r="AJ841"/>
      <c r="AK841"/>
      <c r="AL841"/>
      <c r="AN841"/>
    </row>
    <row r="842" spans="1:40" x14ac:dyDescent="0.25">
      <c r="A842" s="190" t="str">
        <f t="shared" si="248"/>
        <v/>
      </c>
      <c r="M842"/>
      <c r="N842"/>
      <c r="O842"/>
      <c r="P842"/>
      <c r="Q842"/>
      <c r="R842"/>
      <c r="S842"/>
      <c r="T842" t="str">
        <f>IF(O842&lt;&gt;"",_xlfn.XLOOKUP(O842,'3D. Pictures'!B:B,'3D. Pictures'!E:E,"NOT FOUND",0,1),"")</f>
        <v/>
      </c>
      <c r="U842"/>
      <c r="V842"/>
      <c r="W842"/>
      <c r="X842"/>
      <c r="Y842"/>
      <c r="Z842"/>
      <c r="AJ842"/>
      <c r="AK842"/>
      <c r="AL842"/>
      <c r="AN842"/>
    </row>
    <row r="843" spans="1:40" x14ac:dyDescent="0.25">
      <c r="A843" s="190" t="str">
        <f t="shared" si="248"/>
        <v/>
      </c>
      <c r="M843"/>
      <c r="N843"/>
      <c r="O843"/>
      <c r="P843"/>
      <c r="Q843"/>
      <c r="R843"/>
      <c r="S843"/>
      <c r="T843" t="str">
        <f>IF(O843&lt;&gt;"",_xlfn.XLOOKUP(O843,'3D. Pictures'!B:B,'3D. Pictures'!E:E,"NOT FOUND",0,1),"")</f>
        <v/>
      </c>
      <c r="U843"/>
      <c r="V843"/>
      <c r="W843"/>
      <c r="X843"/>
      <c r="Y843"/>
      <c r="Z843"/>
      <c r="AJ843"/>
      <c r="AK843"/>
      <c r="AL843"/>
      <c r="AN843"/>
    </row>
    <row r="844" spans="1:40" x14ac:dyDescent="0.25">
      <c r="A844" s="190" t="str">
        <f t="shared" si="248"/>
        <v/>
      </c>
      <c r="M844"/>
      <c r="N844"/>
      <c r="O844"/>
      <c r="P844"/>
      <c r="Q844"/>
      <c r="R844"/>
      <c r="S844"/>
      <c r="T844" t="str">
        <f>IF(O844&lt;&gt;"",_xlfn.XLOOKUP(O844,'3D. Pictures'!B:B,'3D. Pictures'!E:E,"NOT FOUND",0,1),"")</f>
        <v/>
      </c>
      <c r="U844"/>
      <c r="V844"/>
      <c r="W844"/>
      <c r="X844"/>
      <c r="Y844"/>
      <c r="Z844"/>
      <c r="AJ844"/>
      <c r="AK844"/>
      <c r="AL844"/>
      <c r="AN844"/>
    </row>
    <row r="845" spans="1:40" x14ac:dyDescent="0.25">
      <c r="A845" s="190" t="str">
        <f t="shared" si="248"/>
        <v/>
      </c>
      <c r="M845"/>
      <c r="N845"/>
      <c r="O845"/>
      <c r="P845"/>
      <c r="Q845"/>
      <c r="R845"/>
      <c r="S845"/>
      <c r="T845" t="str">
        <f>IF(O845&lt;&gt;"",_xlfn.XLOOKUP(O845,'3D. Pictures'!B:B,'3D. Pictures'!E:E,"NOT FOUND",0,1),"")</f>
        <v/>
      </c>
      <c r="U845"/>
      <c r="V845"/>
      <c r="W845"/>
      <c r="X845"/>
      <c r="Y845"/>
      <c r="Z845"/>
      <c r="AJ845"/>
      <c r="AK845"/>
      <c r="AL845"/>
      <c r="AN845"/>
    </row>
    <row r="846" spans="1:40" x14ac:dyDescent="0.25">
      <c r="A846" s="190" t="str">
        <f t="shared" si="248"/>
        <v/>
      </c>
      <c r="M846"/>
      <c r="N846"/>
      <c r="O846"/>
      <c r="P846"/>
      <c r="Q846"/>
      <c r="R846"/>
      <c r="S846"/>
      <c r="T846" t="str">
        <f>IF(O846&lt;&gt;"",_xlfn.XLOOKUP(O846,'3D. Pictures'!B:B,'3D. Pictures'!E:E,"NOT FOUND",0,1),"")</f>
        <v/>
      </c>
      <c r="U846"/>
      <c r="V846"/>
      <c r="W846"/>
      <c r="X846"/>
      <c r="Y846"/>
      <c r="Z846"/>
      <c r="AJ846"/>
      <c r="AK846"/>
      <c r="AL846"/>
      <c r="AN846"/>
    </row>
    <row r="847" spans="1:40" x14ac:dyDescent="0.25">
      <c r="A847" s="190" t="str">
        <f t="shared" si="248"/>
        <v/>
      </c>
      <c r="M847"/>
      <c r="N847"/>
      <c r="O847"/>
      <c r="P847"/>
      <c r="Q847"/>
      <c r="R847"/>
      <c r="S847"/>
      <c r="T847" t="str">
        <f>IF(O847&lt;&gt;"",_xlfn.XLOOKUP(O847,'3D. Pictures'!B:B,'3D. Pictures'!E:E,"NOT FOUND",0,1),"")</f>
        <v/>
      </c>
      <c r="U847"/>
      <c r="V847"/>
      <c r="W847"/>
      <c r="X847"/>
      <c r="Y847"/>
      <c r="Z847"/>
      <c r="AJ847"/>
      <c r="AK847"/>
      <c r="AL847"/>
      <c r="AN847"/>
    </row>
    <row r="848" spans="1:40" x14ac:dyDescent="0.25">
      <c r="A848" s="190" t="str">
        <f t="shared" si="248"/>
        <v/>
      </c>
      <c r="M848"/>
      <c r="N848"/>
      <c r="O848"/>
      <c r="P848"/>
      <c r="Q848"/>
      <c r="R848"/>
      <c r="S848"/>
      <c r="T848" t="str">
        <f>IF(O848&lt;&gt;"",_xlfn.XLOOKUP(O848,'3D. Pictures'!B:B,'3D. Pictures'!E:E,"NOT FOUND",0,1),"")</f>
        <v/>
      </c>
      <c r="U848"/>
      <c r="V848"/>
      <c r="W848"/>
      <c r="X848"/>
      <c r="Y848"/>
      <c r="Z848"/>
      <c r="AJ848"/>
      <c r="AK848"/>
      <c r="AL848"/>
      <c r="AN848"/>
    </row>
    <row r="849" spans="1:40" x14ac:dyDescent="0.25">
      <c r="A849" s="190" t="str">
        <f t="shared" si="248"/>
        <v/>
      </c>
      <c r="M849"/>
      <c r="N849"/>
      <c r="O849"/>
      <c r="P849"/>
      <c r="Q849"/>
      <c r="R849"/>
      <c r="S849"/>
      <c r="T849" t="str">
        <f>IF(O849&lt;&gt;"",_xlfn.XLOOKUP(O849,'3D. Pictures'!B:B,'3D. Pictures'!E:E,"NOT FOUND",0,1),"")</f>
        <v/>
      </c>
      <c r="U849"/>
      <c r="V849"/>
      <c r="W849"/>
      <c r="X849"/>
      <c r="Y849"/>
      <c r="Z849"/>
      <c r="AJ849"/>
      <c r="AK849"/>
      <c r="AL849"/>
      <c r="AN849"/>
    </row>
    <row r="850" spans="1:40" x14ac:dyDescent="0.25">
      <c r="A850" s="190" t="str">
        <f t="shared" si="248"/>
        <v/>
      </c>
      <c r="M850"/>
      <c r="N850"/>
      <c r="O850"/>
      <c r="P850"/>
      <c r="Q850"/>
      <c r="R850"/>
      <c r="S850"/>
      <c r="T850" t="str">
        <f>IF(O850&lt;&gt;"",_xlfn.XLOOKUP(O850,'3D. Pictures'!B:B,'3D. Pictures'!E:E,"NOT FOUND",0,1),"")</f>
        <v/>
      </c>
      <c r="U850"/>
      <c r="V850"/>
      <c r="W850"/>
      <c r="X850"/>
      <c r="Y850"/>
      <c r="Z850"/>
      <c r="AJ850"/>
      <c r="AK850"/>
      <c r="AL850"/>
      <c r="AN850"/>
    </row>
    <row r="851" spans="1:40" x14ac:dyDescent="0.25">
      <c r="A851" s="190" t="str">
        <f t="shared" si="248"/>
        <v/>
      </c>
      <c r="M851"/>
      <c r="N851"/>
      <c r="O851"/>
      <c r="P851"/>
      <c r="Q851"/>
      <c r="R851"/>
      <c r="S851"/>
      <c r="T851" t="str">
        <f>IF(O851&lt;&gt;"",_xlfn.XLOOKUP(O851,'3D. Pictures'!B:B,'3D. Pictures'!E:E,"NOT FOUND",0,1),"")</f>
        <v/>
      </c>
      <c r="U851"/>
      <c r="V851"/>
      <c r="W851"/>
      <c r="X851"/>
      <c r="Y851"/>
      <c r="Z851"/>
      <c r="AJ851"/>
      <c r="AK851"/>
      <c r="AL851"/>
      <c r="AN851"/>
    </row>
    <row r="852" spans="1:40" x14ac:dyDescent="0.25">
      <c r="A852" s="190" t="str">
        <f t="shared" si="248"/>
        <v/>
      </c>
      <c r="M852"/>
      <c r="N852"/>
      <c r="O852"/>
      <c r="P852"/>
      <c r="Q852"/>
      <c r="R852"/>
      <c r="S852"/>
      <c r="T852" t="str">
        <f>IF(O852&lt;&gt;"",_xlfn.XLOOKUP(O852,'3D. Pictures'!B:B,'3D. Pictures'!E:E,"NOT FOUND",0,1),"")</f>
        <v/>
      </c>
      <c r="U852"/>
      <c r="V852"/>
      <c r="W852"/>
      <c r="X852"/>
      <c r="Y852"/>
      <c r="Z852"/>
      <c r="AJ852"/>
      <c r="AK852"/>
      <c r="AL852"/>
      <c r="AN852"/>
    </row>
    <row r="853" spans="1:40" x14ac:dyDescent="0.25">
      <c r="A853" s="190" t="str">
        <f t="shared" si="248"/>
        <v/>
      </c>
      <c r="M853"/>
      <c r="N853"/>
      <c r="O853"/>
      <c r="P853"/>
      <c r="Q853"/>
      <c r="R853"/>
      <c r="S853"/>
      <c r="T853" t="str">
        <f>IF(O853&lt;&gt;"",_xlfn.XLOOKUP(O853,'3D. Pictures'!B:B,'3D. Pictures'!E:E,"NOT FOUND",0,1),"")</f>
        <v/>
      </c>
      <c r="U853"/>
      <c r="V853"/>
      <c r="W853"/>
      <c r="X853"/>
      <c r="Y853"/>
      <c r="Z853"/>
      <c r="AJ853"/>
      <c r="AK853"/>
      <c r="AL853"/>
      <c r="AN853"/>
    </row>
    <row r="854" spans="1:40" x14ac:dyDescent="0.25">
      <c r="A854" s="190" t="str">
        <f t="shared" si="248"/>
        <v/>
      </c>
      <c r="M854"/>
      <c r="N854"/>
      <c r="O854"/>
      <c r="P854"/>
      <c r="Q854"/>
      <c r="R854"/>
      <c r="S854"/>
      <c r="T854" t="str">
        <f>IF(O854&lt;&gt;"",_xlfn.XLOOKUP(O854,'3D. Pictures'!B:B,'3D. Pictures'!E:E,"NOT FOUND",0,1),"")</f>
        <v/>
      </c>
      <c r="U854"/>
      <c r="V854"/>
      <c r="W854"/>
      <c r="X854"/>
      <c r="Y854"/>
      <c r="Z854"/>
      <c r="AJ854"/>
      <c r="AK854"/>
      <c r="AL854"/>
      <c r="AN854"/>
    </row>
    <row r="855" spans="1:40" x14ac:dyDescent="0.25">
      <c r="A855" s="190" t="str">
        <f t="shared" si="248"/>
        <v/>
      </c>
      <c r="M855"/>
      <c r="N855"/>
      <c r="O855"/>
      <c r="P855"/>
      <c r="Q855"/>
      <c r="R855"/>
      <c r="S855"/>
      <c r="T855" t="str">
        <f>IF(O855&lt;&gt;"",_xlfn.XLOOKUP(O855,'3D. Pictures'!B:B,'3D. Pictures'!E:E,"NOT FOUND",0,1),"")</f>
        <v/>
      </c>
      <c r="U855"/>
      <c r="V855"/>
      <c r="W855"/>
      <c r="X855"/>
      <c r="Y855"/>
      <c r="Z855"/>
      <c r="AJ855"/>
      <c r="AK855"/>
      <c r="AL855"/>
      <c r="AN855"/>
    </row>
    <row r="856" spans="1:40" x14ac:dyDescent="0.25">
      <c r="A856" s="190" t="str">
        <f t="shared" si="248"/>
        <v/>
      </c>
      <c r="M856"/>
      <c r="N856"/>
      <c r="O856"/>
      <c r="P856"/>
      <c r="Q856"/>
      <c r="R856"/>
      <c r="S856"/>
      <c r="T856" t="str">
        <f>IF(O856&lt;&gt;"",_xlfn.XLOOKUP(O856,'3D. Pictures'!B:B,'3D. Pictures'!E:E,"NOT FOUND",0,1),"")</f>
        <v/>
      </c>
      <c r="U856"/>
      <c r="V856"/>
      <c r="W856"/>
      <c r="X856"/>
      <c r="Y856"/>
      <c r="Z856"/>
      <c r="AJ856"/>
      <c r="AK856"/>
      <c r="AL856"/>
      <c r="AN856"/>
    </row>
    <row r="857" spans="1:40" x14ac:dyDescent="0.25">
      <c r="A857" s="190" t="str">
        <f t="shared" si="248"/>
        <v/>
      </c>
      <c r="M857"/>
      <c r="N857"/>
      <c r="O857"/>
      <c r="P857"/>
      <c r="Q857"/>
      <c r="R857"/>
      <c r="S857"/>
      <c r="T857" t="str">
        <f>IF(O857&lt;&gt;"",_xlfn.XLOOKUP(O857,'3D. Pictures'!B:B,'3D. Pictures'!E:E,"NOT FOUND",0,1),"")</f>
        <v/>
      </c>
      <c r="U857"/>
      <c r="V857"/>
      <c r="W857"/>
      <c r="X857"/>
      <c r="Y857"/>
      <c r="Z857"/>
      <c r="AJ857"/>
      <c r="AK857"/>
      <c r="AL857"/>
      <c r="AN857"/>
    </row>
    <row r="858" spans="1:40" x14ac:dyDescent="0.25">
      <c r="A858" s="190" t="str">
        <f t="shared" si="248"/>
        <v/>
      </c>
      <c r="M858"/>
      <c r="N858"/>
      <c r="O858"/>
      <c r="P858"/>
      <c r="Q858"/>
      <c r="R858"/>
      <c r="S858"/>
      <c r="T858" t="str">
        <f>IF(O858&lt;&gt;"",_xlfn.XLOOKUP(O858,'3D. Pictures'!B:B,'3D. Pictures'!E:E,"NOT FOUND",0,1),"")</f>
        <v/>
      </c>
      <c r="U858"/>
      <c r="V858"/>
      <c r="W858"/>
      <c r="X858"/>
      <c r="Y858"/>
      <c r="Z858"/>
      <c r="AJ858"/>
      <c r="AK858"/>
      <c r="AL858"/>
      <c r="AN858"/>
    </row>
    <row r="859" spans="1:40" x14ac:dyDescent="0.25">
      <c r="A859" s="190" t="str">
        <f t="shared" si="248"/>
        <v/>
      </c>
      <c r="M859"/>
      <c r="N859"/>
      <c r="O859"/>
      <c r="P859"/>
      <c r="Q859"/>
      <c r="R859"/>
      <c r="S859"/>
      <c r="T859" t="str">
        <f>IF(O859&lt;&gt;"",_xlfn.XLOOKUP(O859,'3D. Pictures'!B:B,'3D. Pictures'!E:E,"NOT FOUND",0,1),"")</f>
        <v/>
      </c>
      <c r="U859"/>
      <c r="V859"/>
      <c r="W859"/>
      <c r="X859"/>
      <c r="Y859"/>
      <c r="Z859"/>
      <c r="AJ859"/>
      <c r="AK859"/>
      <c r="AL859"/>
      <c r="AN859"/>
    </row>
    <row r="860" spans="1:40" x14ac:dyDescent="0.25">
      <c r="A860" s="190" t="str">
        <f t="shared" si="248"/>
        <v/>
      </c>
      <c r="M860"/>
      <c r="N860"/>
      <c r="O860"/>
      <c r="P860"/>
      <c r="Q860"/>
      <c r="R860"/>
      <c r="S860"/>
      <c r="T860" t="str">
        <f>IF(O860&lt;&gt;"",_xlfn.XLOOKUP(O860,'3D. Pictures'!B:B,'3D. Pictures'!E:E,"NOT FOUND",0,1),"")</f>
        <v/>
      </c>
      <c r="U860"/>
      <c r="V860"/>
      <c r="W860"/>
      <c r="X860"/>
      <c r="Y860"/>
      <c r="Z860"/>
      <c r="AJ860"/>
      <c r="AK860"/>
      <c r="AL860"/>
      <c r="AN860"/>
    </row>
    <row r="861" spans="1:40" x14ac:dyDescent="0.25">
      <c r="A861" s="190" t="str">
        <f t="shared" si="248"/>
        <v/>
      </c>
      <c r="M861"/>
      <c r="N861"/>
      <c r="O861"/>
      <c r="P861"/>
      <c r="Q861"/>
      <c r="R861"/>
      <c r="S861"/>
      <c r="T861" t="str">
        <f>IF(O861&lt;&gt;"",_xlfn.XLOOKUP(O861,'3D. Pictures'!B:B,'3D. Pictures'!E:E,"NOT FOUND",0,1),"")</f>
        <v/>
      </c>
      <c r="U861"/>
      <c r="V861"/>
      <c r="W861"/>
      <c r="X861"/>
      <c r="Y861"/>
      <c r="Z861"/>
      <c r="AJ861"/>
      <c r="AK861"/>
      <c r="AL861"/>
      <c r="AN861"/>
    </row>
    <row r="862" spans="1:40" x14ac:dyDescent="0.25">
      <c r="A862" s="190" t="str">
        <f t="shared" si="248"/>
        <v/>
      </c>
      <c r="M862"/>
      <c r="N862"/>
      <c r="O862"/>
      <c r="P862"/>
      <c r="Q862"/>
      <c r="R862"/>
      <c r="S862"/>
      <c r="T862" t="str">
        <f>IF(O862&lt;&gt;"",_xlfn.XLOOKUP(O862,'3D. Pictures'!B:B,'3D. Pictures'!E:E,"NOT FOUND",0,1),"")</f>
        <v/>
      </c>
      <c r="U862"/>
      <c r="V862"/>
      <c r="W862"/>
      <c r="X862"/>
      <c r="Y862"/>
      <c r="Z862"/>
      <c r="AJ862"/>
      <c r="AK862"/>
      <c r="AL862"/>
      <c r="AN862"/>
    </row>
    <row r="863" spans="1:40" x14ac:dyDescent="0.25">
      <c r="A863" s="190" t="str">
        <f t="shared" si="248"/>
        <v/>
      </c>
      <c r="M863"/>
      <c r="N863"/>
      <c r="O863"/>
      <c r="P863"/>
      <c r="Q863"/>
      <c r="R863"/>
      <c r="S863"/>
      <c r="T863" t="str">
        <f>IF(O863&lt;&gt;"",_xlfn.XLOOKUP(O863,'3D. Pictures'!B:B,'3D. Pictures'!E:E,"NOT FOUND",0,1),"")</f>
        <v/>
      </c>
      <c r="U863"/>
      <c r="V863"/>
      <c r="W863"/>
      <c r="X863"/>
      <c r="Y863"/>
      <c r="Z863"/>
      <c r="AJ863"/>
      <c r="AK863"/>
      <c r="AL863"/>
      <c r="AN863"/>
    </row>
    <row r="864" spans="1:40" x14ac:dyDescent="0.25">
      <c r="A864" s="190" t="str">
        <f t="shared" si="248"/>
        <v/>
      </c>
      <c r="M864"/>
      <c r="N864"/>
      <c r="O864"/>
      <c r="P864"/>
      <c r="Q864"/>
      <c r="R864"/>
      <c r="S864"/>
      <c r="T864" t="str">
        <f>IF(O864&lt;&gt;"",_xlfn.XLOOKUP(O864,'3D. Pictures'!B:B,'3D. Pictures'!E:E,"NOT FOUND",0,1),"")</f>
        <v/>
      </c>
      <c r="U864"/>
      <c r="V864"/>
      <c r="W864"/>
      <c r="X864"/>
      <c r="Y864"/>
      <c r="Z864"/>
      <c r="AJ864"/>
      <c r="AK864"/>
      <c r="AL864"/>
      <c r="AN864"/>
    </row>
    <row r="865" spans="1:40" x14ac:dyDescent="0.25">
      <c r="A865" s="190" t="str">
        <f t="shared" si="248"/>
        <v/>
      </c>
      <c r="M865"/>
      <c r="N865"/>
      <c r="O865"/>
      <c r="P865"/>
      <c r="Q865"/>
      <c r="R865"/>
      <c r="S865"/>
      <c r="T865" t="str">
        <f>IF(O865&lt;&gt;"",_xlfn.XLOOKUP(O865,'3D. Pictures'!B:B,'3D. Pictures'!E:E,"NOT FOUND",0,1),"")</f>
        <v/>
      </c>
      <c r="U865"/>
      <c r="V865"/>
      <c r="W865"/>
      <c r="X865"/>
      <c r="Y865"/>
      <c r="Z865"/>
      <c r="AJ865"/>
      <c r="AK865"/>
      <c r="AL865"/>
      <c r="AN865"/>
    </row>
    <row r="866" spans="1:40" x14ac:dyDescent="0.25">
      <c r="A866" s="190" t="str">
        <f t="shared" si="248"/>
        <v/>
      </c>
      <c r="M866"/>
      <c r="N866"/>
      <c r="O866"/>
      <c r="P866"/>
      <c r="Q866"/>
      <c r="R866"/>
      <c r="S866"/>
      <c r="T866" t="str">
        <f>IF(O866&lt;&gt;"",_xlfn.XLOOKUP(O866,'3D. Pictures'!B:B,'3D. Pictures'!E:E,"NOT FOUND",0,1),"")</f>
        <v/>
      </c>
      <c r="U866"/>
      <c r="V866"/>
      <c r="W866"/>
      <c r="X866"/>
      <c r="Y866"/>
      <c r="Z866"/>
      <c r="AJ866"/>
      <c r="AK866"/>
      <c r="AL866"/>
      <c r="AN866"/>
    </row>
    <row r="867" spans="1:40" x14ac:dyDescent="0.25">
      <c r="A867" s="190" t="str">
        <f t="shared" si="248"/>
        <v/>
      </c>
      <c r="M867"/>
      <c r="N867"/>
      <c r="O867"/>
      <c r="P867"/>
      <c r="Q867"/>
      <c r="R867"/>
      <c r="S867"/>
      <c r="T867" t="str">
        <f>IF(O867&lt;&gt;"",_xlfn.XLOOKUP(O867,'3D. Pictures'!B:B,'3D. Pictures'!E:E,"NOT FOUND",0,1),"")</f>
        <v/>
      </c>
      <c r="U867"/>
      <c r="V867"/>
      <c r="W867"/>
      <c r="X867"/>
      <c r="Y867"/>
      <c r="Z867"/>
      <c r="AJ867"/>
      <c r="AK867"/>
      <c r="AL867"/>
      <c r="AN867"/>
    </row>
    <row r="868" spans="1:40" x14ac:dyDescent="0.25">
      <c r="A868" s="190" t="str">
        <f t="shared" si="248"/>
        <v/>
      </c>
      <c r="M868"/>
      <c r="N868"/>
      <c r="O868"/>
      <c r="P868"/>
      <c r="Q868"/>
      <c r="R868"/>
      <c r="S868"/>
      <c r="T868" t="str">
        <f>IF(O868&lt;&gt;"",_xlfn.XLOOKUP(O868,'3D. Pictures'!B:B,'3D. Pictures'!E:E,"NOT FOUND",0,1),"")</f>
        <v/>
      </c>
      <c r="U868"/>
      <c r="V868"/>
      <c r="W868"/>
      <c r="X868"/>
      <c r="Y868"/>
      <c r="Z868"/>
      <c r="AJ868"/>
      <c r="AK868"/>
      <c r="AL868"/>
      <c r="AN868"/>
    </row>
    <row r="869" spans="1:40" x14ac:dyDescent="0.25">
      <c r="A869" s="190" t="str">
        <f t="shared" si="248"/>
        <v/>
      </c>
      <c r="M869"/>
      <c r="N869"/>
      <c r="O869"/>
      <c r="P869"/>
      <c r="Q869"/>
      <c r="R869"/>
      <c r="S869"/>
      <c r="T869" t="str">
        <f>IF(O869&lt;&gt;"",_xlfn.XLOOKUP(O869,'3D. Pictures'!B:B,'3D. Pictures'!E:E,"NOT FOUND",0,1),"")</f>
        <v/>
      </c>
      <c r="U869"/>
      <c r="V869"/>
      <c r="W869"/>
      <c r="X869"/>
      <c r="Y869"/>
      <c r="Z869"/>
      <c r="AJ869"/>
      <c r="AK869"/>
      <c r="AL869"/>
      <c r="AN869"/>
    </row>
    <row r="870" spans="1:40" x14ac:dyDescent="0.25">
      <c r="A870" s="190" t="str">
        <f t="shared" si="248"/>
        <v/>
      </c>
      <c r="M870"/>
      <c r="N870"/>
      <c r="O870"/>
      <c r="P870"/>
      <c r="Q870"/>
      <c r="R870"/>
      <c r="S870"/>
      <c r="T870" t="str">
        <f>IF(O870&lt;&gt;"",_xlfn.XLOOKUP(O870,'3D. Pictures'!B:B,'3D. Pictures'!E:E,"NOT FOUND",0,1),"")</f>
        <v/>
      </c>
      <c r="U870"/>
      <c r="V870"/>
      <c r="W870"/>
      <c r="X870"/>
      <c r="Y870"/>
      <c r="Z870"/>
      <c r="AJ870"/>
      <c r="AK870"/>
      <c r="AL870"/>
      <c r="AN870"/>
    </row>
    <row r="871" spans="1:40" x14ac:dyDescent="0.25">
      <c r="A871" s="190" t="str">
        <f t="shared" si="248"/>
        <v/>
      </c>
      <c r="M871"/>
      <c r="N871"/>
      <c r="O871"/>
      <c r="P871"/>
      <c r="Q871"/>
      <c r="R871"/>
      <c r="S871"/>
      <c r="T871" t="str">
        <f>IF(O871&lt;&gt;"",_xlfn.XLOOKUP(O871,'3D. Pictures'!B:B,'3D. Pictures'!E:E,"NOT FOUND",0,1),"")</f>
        <v/>
      </c>
      <c r="U871"/>
      <c r="V871"/>
      <c r="W871"/>
      <c r="X871"/>
      <c r="Y871"/>
      <c r="Z871"/>
      <c r="AJ871"/>
      <c r="AK871"/>
      <c r="AL871"/>
      <c r="AN871"/>
    </row>
    <row r="872" spans="1:40" x14ac:dyDescent="0.25">
      <c r="A872" s="190" t="str">
        <f t="shared" si="248"/>
        <v/>
      </c>
      <c r="M872"/>
      <c r="N872"/>
      <c r="O872"/>
      <c r="P872"/>
      <c r="Q872"/>
      <c r="R872"/>
      <c r="S872"/>
      <c r="T872" t="str">
        <f>IF(O872&lt;&gt;"",_xlfn.XLOOKUP(O872,'3D. Pictures'!B:B,'3D. Pictures'!E:E,"NOT FOUND",0,1),"")</f>
        <v/>
      </c>
      <c r="U872"/>
      <c r="V872"/>
      <c r="W872"/>
      <c r="X872"/>
      <c r="Y872"/>
      <c r="Z872"/>
      <c r="AJ872"/>
      <c r="AK872"/>
      <c r="AL872"/>
      <c r="AN872"/>
    </row>
    <row r="873" spans="1:40" x14ac:dyDescent="0.25">
      <c r="A873" s="190" t="str">
        <f t="shared" si="248"/>
        <v/>
      </c>
      <c r="M873"/>
      <c r="N873"/>
      <c r="O873"/>
      <c r="P873"/>
      <c r="Q873"/>
      <c r="R873"/>
      <c r="S873"/>
      <c r="T873" t="str">
        <f>IF(O873&lt;&gt;"",_xlfn.XLOOKUP(O873,'3D. Pictures'!B:B,'3D. Pictures'!E:E,"NOT FOUND",0,1),"")</f>
        <v/>
      </c>
      <c r="U873"/>
      <c r="V873"/>
      <c r="W873"/>
      <c r="X873"/>
      <c r="Y873"/>
      <c r="Z873"/>
      <c r="AJ873"/>
      <c r="AK873"/>
      <c r="AL873"/>
      <c r="AN873"/>
    </row>
    <row r="874" spans="1:40" x14ac:dyDescent="0.25">
      <c r="A874" s="190" t="str">
        <f t="shared" si="248"/>
        <v/>
      </c>
      <c r="M874"/>
      <c r="N874"/>
      <c r="O874"/>
      <c r="P874"/>
      <c r="Q874"/>
      <c r="R874"/>
      <c r="S874"/>
      <c r="T874" t="str">
        <f>IF(O874&lt;&gt;"",_xlfn.XLOOKUP(O874,'3D. Pictures'!B:B,'3D. Pictures'!E:E,"NOT FOUND",0,1),"")</f>
        <v/>
      </c>
      <c r="U874"/>
      <c r="V874"/>
      <c r="W874"/>
      <c r="X874"/>
      <c r="Y874"/>
      <c r="Z874"/>
      <c r="AJ874"/>
      <c r="AK874"/>
      <c r="AL874"/>
      <c r="AN874"/>
    </row>
    <row r="875" spans="1:40" x14ac:dyDescent="0.25">
      <c r="A875" s="190" t="str">
        <f t="shared" si="248"/>
        <v/>
      </c>
      <c r="M875"/>
      <c r="N875"/>
      <c r="O875"/>
      <c r="P875"/>
      <c r="Q875"/>
      <c r="R875"/>
      <c r="S875"/>
      <c r="T875" t="str">
        <f>IF(O875&lt;&gt;"",_xlfn.XLOOKUP(O875,'3D. Pictures'!B:B,'3D. Pictures'!E:E,"NOT FOUND",0,1),"")</f>
        <v/>
      </c>
      <c r="U875"/>
      <c r="V875"/>
      <c r="W875"/>
      <c r="X875"/>
      <c r="Y875"/>
      <c r="Z875"/>
      <c r="AJ875"/>
      <c r="AK875"/>
      <c r="AL875"/>
      <c r="AN875"/>
    </row>
    <row r="876" spans="1:40" x14ac:dyDescent="0.25">
      <c r="A876" s="190" t="str">
        <f t="shared" si="248"/>
        <v/>
      </c>
      <c r="M876"/>
      <c r="N876"/>
      <c r="O876"/>
      <c r="P876"/>
      <c r="Q876"/>
      <c r="R876"/>
      <c r="S876"/>
      <c r="T876" t="str">
        <f>IF(O876&lt;&gt;"",_xlfn.XLOOKUP(O876,'3D. Pictures'!B:B,'3D. Pictures'!E:E,"NOT FOUND",0,1),"")</f>
        <v/>
      </c>
      <c r="U876"/>
      <c r="V876"/>
      <c r="W876"/>
      <c r="X876"/>
      <c r="Y876"/>
      <c r="Z876"/>
      <c r="AJ876"/>
      <c r="AK876"/>
      <c r="AL876"/>
      <c r="AN876"/>
    </row>
    <row r="877" spans="1:40" x14ac:dyDescent="0.25">
      <c r="A877" s="190" t="str">
        <f t="shared" si="248"/>
        <v/>
      </c>
      <c r="M877"/>
      <c r="N877"/>
      <c r="O877"/>
      <c r="P877"/>
      <c r="Q877"/>
      <c r="R877"/>
      <c r="S877"/>
      <c r="T877" t="str">
        <f>IF(O877&lt;&gt;"",_xlfn.XLOOKUP(O877,'3D. Pictures'!B:B,'3D. Pictures'!E:E,"NOT FOUND",0,1),"")</f>
        <v/>
      </c>
      <c r="U877"/>
      <c r="V877"/>
      <c r="W877"/>
      <c r="X877"/>
      <c r="Y877"/>
      <c r="Z877"/>
      <c r="AJ877"/>
      <c r="AK877"/>
      <c r="AL877"/>
      <c r="AN877"/>
    </row>
    <row r="878" spans="1:40" x14ac:dyDescent="0.25">
      <c r="A878" s="190" t="str">
        <f t="shared" si="248"/>
        <v/>
      </c>
      <c r="M878"/>
      <c r="N878"/>
      <c r="O878"/>
      <c r="P878"/>
      <c r="Q878"/>
      <c r="R878"/>
      <c r="S878"/>
      <c r="T878" t="str">
        <f>IF(O878&lt;&gt;"",_xlfn.XLOOKUP(O878,'3D. Pictures'!B:B,'3D. Pictures'!E:E,"NOT FOUND",0,1),"")</f>
        <v/>
      </c>
      <c r="U878"/>
      <c r="V878"/>
      <c r="W878"/>
      <c r="X878"/>
      <c r="Y878"/>
      <c r="Z878"/>
      <c r="AJ878"/>
      <c r="AK878"/>
      <c r="AL878"/>
      <c r="AN878"/>
    </row>
    <row r="879" spans="1:40" x14ac:dyDescent="0.25">
      <c r="A879" s="190" t="str">
        <f t="shared" si="248"/>
        <v/>
      </c>
      <c r="M879"/>
      <c r="N879"/>
      <c r="O879"/>
      <c r="P879"/>
      <c r="Q879"/>
      <c r="R879"/>
      <c r="S879"/>
      <c r="T879" t="str">
        <f>IF(O879&lt;&gt;"",_xlfn.XLOOKUP(O879,'3D. Pictures'!B:B,'3D. Pictures'!E:E,"NOT FOUND",0,1),"")</f>
        <v/>
      </c>
      <c r="U879"/>
      <c r="V879"/>
      <c r="W879"/>
      <c r="X879"/>
      <c r="Y879"/>
      <c r="Z879"/>
      <c r="AJ879"/>
      <c r="AK879"/>
      <c r="AL879"/>
      <c r="AN879"/>
    </row>
    <row r="880" spans="1:40" x14ac:dyDescent="0.25">
      <c r="A880" s="190" t="str">
        <f t="shared" si="248"/>
        <v/>
      </c>
      <c r="M880"/>
      <c r="N880"/>
      <c r="O880"/>
      <c r="P880"/>
      <c r="Q880"/>
      <c r="R880"/>
      <c r="S880"/>
      <c r="T880" t="str">
        <f>IF(O880&lt;&gt;"",_xlfn.XLOOKUP(O880,'3D. Pictures'!B:B,'3D. Pictures'!E:E,"NOT FOUND",0,1),"")</f>
        <v/>
      </c>
      <c r="U880"/>
      <c r="V880"/>
      <c r="W880"/>
      <c r="X880"/>
      <c r="Y880"/>
      <c r="Z880"/>
      <c r="AJ880"/>
      <c r="AK880"/>
      <c r="AL880"/>
      <c r="AN880"/>
    </row>
    <row r="881" spans="1:40" x14ac:dyDescent="0.25">
      <c r="A881" s="190" t="str">
        <f t="shared" si="248"/>
        <v/>
      </c>
      <c r="M881"/>
      <c r="N881"/>
      <c r="O881"/>
      <c r="P881"/>
      <c r="Q881"/>
      <c r="R881"/>
      <c r="S881"/>
      <c r="T881" t="str">
        <f>IF(O881&lt;&gt;"",_xlfn.XLOOKUP(O881,'3D. Pictures'!B:B,'3D. Pictures'!E:E,"NOT FOUND",0,1),"")</f>
        <v/>
      </c>
      <c r="U881"/>
      <c r="V881"/>
      <c r="W881"/>
      <c r="X881"/>
      <c r="Y881"/>
      <c r="Z881"/>
      <c r="AJ881"/>
      <c r="AK881"/>
      <c r="AL881"/>
      <c r="AN881"/>
    </row>
    <row r="882" spans="1:40" x14ac:dyDescent="0.25">
      <c r="A882" s="190" t="str">
        <f t="shared" si="248"/>
        <v/>
      </c>
      <c r="M882"/>
      <c r="N882"/>
      <c r="O882"/>
      <c r="P882"/>
      <c r="Q882"/>
      <c r="R882"/>
      <c r="S882"/>
      <c r="T882" t="str">
        <f>IF(O882&lt;&gt;"",_xlfn.XLOOKUP(O882,'3D. Pictures'!B:B,'3D. Pictures'!E:E,"NOT FOUND",0,1),"")</f>
        <v/>
      </c>
      <c r="U882"/>
      <c r="V882"/>
      <c r="W882"/>
      <c r="X882"/>
      <c r="Y882"/>
      <c r="Z882"/>
      <c r="AJ882"/>
      <c r="AK882"/>
      <c r="AL882"/>
      <c r="AN882"/>
    </row>
    <row r="883" spans="1:40" x14ac:dyDescent="0.25">
      <c r="A883" s="190" t="str">
        <f t="shared" si="248"/>
        <v/>
      </c>
      <c r="M883"/>
      <c r="N883"/>
      <c r="O883"/>
      <c r="P883"/>
      <c r="Q883"/>
      <c r="R883"/>
      <c r="S883"/>
      <c r="T883" t="str">
        <f>IF(O883&lt;&gt;"",_xlfn.XLOOKUP(O883,'3D. Pictures'!B:B,'3D. Pictures'!E:E,"NOT FOUND",0,1),"")</f>
        <v/>
      </c>
      <c r="U883"/>
      <c r="V883"/>
      <c r="W883"/>
      <c r="X883"/>
      <c r="Y883"/>
      <c r="Z883"/>
      <c r="AJ883"/>
      <c r="AK883"/>
      <c r="AL883"/>
      <c r="AN883"/>
    </row>
    <row r="884" spans="1:40" x14ac:dyDescent="0.25">
      <c r="A884" s="190" t="str">
        <f t="shared" si="248"/>
        <v/>
      </c>
      <c r="M884"/>
      <c r="N884"/>
      <c r="O884"/>
      <c r="P884"/>
      <c r="Q884"/>
      <c r="R884"/>
      <c r="S884"/>
      <c r="T884" t="str">
        <f>IF(O884&lt;&gt;"",_xlfn.XLOOKUP(O884,'3D. Pictures'!B:B,'3D. Pictures'!E:E,"NOT FOUND",0,1),"")</f>
        <v/>
      </c>
      <c r="U884"/>
      <c r="V884"/>
      <c r="W884"/>
      <c r="X884"/>
      <c r="Y884"/>
      <c r="Z884"/>
      <c r="AJ884"/>
      <c r="AK884"/>
      <c r="AL884"/>
      <c r="AN884"/>
    </row>
    <row r="885" spans="1:40" x14ac:dyDescent="0.25">
      <c r="A885" s="190" t="str">
        <f t="shared" si="248"/>
        <v/>
      </c>
      <c r="M885"/>
      <c r="N885"/>
      <c r="O885"/>
      <c r="P885"/>
      <c r="Q885"/>
      <c r="R885"/>
      <c r="S885"/>
      <c r="T885" t="str">
        <f>IF(O885&lt;&gt;"",_xlfn.XLOOKUP(O885,'3D. Pictures'!B:B,'3D. Pictures'!E:E,"NOT FOUND",0,1),"")</f>
        <v/>
      </c>
      <c r="U885"/>
      <c r="V885"/>
      <c r="W885"/>
      <c r="X885"/>
      <c r="Y885"/>
      <c r="Z885"/>
      <c r="AJ885"/>
      <c r="AK885"/>
      <c r="AL885"/>
      <c r="AN885"/>
    </row>
    <row r="886" spans="1:40" x14ac:dyDescent="0.25">
      <c r="A886" s="190" t="str">
        <f t="shared" si="248"/>
        <v/>
      </c>
      <c r="M886"/>
      <c r="N886"/>
      <c r="O886"/>
      <c r="P886"/>
      <c r="Q886"/>
      <c r="R886"/>
      <c r="S886"/>
      <c r="T886" t="str">
        <f>IF(O886&lt;&gt;"",_xlfn.XLOOKUP(O886,'3D. Pictures'!B:B,'3D. Pictures'!E:E,"NOT FOUND",0,1),"")</f>
        <v/>
      </c>
      <c r="U886"/>
      <c r="V886"/>
      <c r="W886"/>
      <c r="X886"/>
      <c r="Y886"/>
      <c r="Z886"/>
      <c r="AJ886"/>
      <c r="AK886"/>
      <c r="AL886"/>
      <c r="AN886"/>
    </row>
    <row r="887" spans="1:40" x14ac:dyDescent="0.25">
      <c r="A887" s="190" t="str">
        <f t="shared" si="248"/>
        <v/>
      </c>
      <c r="M887"/>
      <c r="N887"/>
      <c r="O887"/>
      <c r="P887"/>
      <c r="Q887"/>
      <c r="R887"/>
      <c r="S887"/>
      <c r="T887" t="str">
        <f>IF(O887&lt;&gt;"",_xlfn.XLOOKUP(O887,'3D. Pictures'!B:B,'3D. Pictures'!E:E,"NOT FOUND",0,1),"")</f>
        <v/>
      </c>
      <c r="U887"/>
      <c r="V887"/>
      <c r="W887"/>
      <c r="X887"/>
      <c r="Y887"/>
      <c r="Z887"/>
      <c r="AJ887"/>
      <c r="AK887"/>
      <c r="AL887"/>
      <c r="AN887"/>
    </row>
    <row r="888" spans="1:40" x14ac:dyDescent="0.25">
      <c r="A888" s="190" t="str">
        <f t="shared" si="248"/>
        <v/>
      </c>
      <c r="M888"/>
      <c r="N888"/>
      <c r="O888"/>
      <c r="P888"/>
      <c r="Q888"/>
      <c r="R888"/>
      <c r="S888"/>
      <c r="T888" t="str">
        <f>IF(O888&lt;&gt;"",_xlfn.XLOOKUP(O888,'3D. Pictures'!B:B,'3D. Pictures'!E:E,"NOT FOUND",0,1),"")</f>
        <v/>
      </c>
      <c r="U888"/>
      <c r="V888"/>
      <c r="W888"/>
      <c r="X888"/>
      <c r="Y888"/>
      <c r="Z888"/>
      <c r="AJ888"/>
      <c r="AK888"/>
      <c r="AL888"/>
      <c r="AN888"/>
    </row>
    <row r="889" spans="1:40" x14ac:dyDescent="0.25">
      <c r="A889" s="190" t="str">
        <f t="shared" si="248"/>
        <v/>
      </c>
      <c r="M889"/>
      <c r="N889"/>
      <c r="O889"/>
      <c r="P889"/>
      <c r="Q889"/>
      <c r="R889"/>
      <c r="S889"/>
      <c r="T889" t="str">
        <f>IF(O889&lt;&gt;"",_xlfn.XLOOKUP(O889,'3D. Pictures'!B:B,'3D. Pictures'!E:E,"NOT FOUND",0,1),"")</f>
        <v/>
      </c>
      <c r="U889"/>
      <c r="V889"/>
      <c r="W889"/>
      <c r="X889"/>
      <c r="Y889"/>
      <c r="Z889"/>
      <c r="AJ889"/>
      <c r="AK889"/>
      <c r="AL889"/>
      <c r="AN889"/>
    </row>
    <row r="890" spans="1:40" x14ac:dyDescent="0.25">
      <c r="A890" s="190" t="str">
        <f t="shared" si="248"/>
        <v/>
      </c>
      <c r="M890"/>
      <c r="N890"/>
      <c r="O890"/>
      <c r="P890"/>
      <c r="Q890"/>
      <c r="R890"/>
      <c r="S890"/>
      <c r="T890" t="str">
        <f>IF(O890&lt;&gt;"",_xlfn.XLOOKUP(O890,'3D. Pictures'!B:B,'3D. Pictures'!E:E,"NOT FOUND",0,1),"")</f>
        <v/>
      </c>
      <c r="U890"/>
      <c r="V890"/>
      <c r="W890"/>
      <c r="X890"/>
      <c r="Y890"/>
      <c r="Z890"/>
      <c r="AJ890"/>
      <c r="AK890"/>
      <c r="AL890"/>
      <c r="AN890"/>
    </row>
    <row r="891" spans="1:40" x14ac:dyDescent="0.25">
      <c r="A891" s="190" t="str">
        <f t="shared" si="248"/>
        <v/>
      </c>
      <c r="M891"/>
      <c r="N891"/>
      <c r="O891"/>
      <c r="P891"/>
      <c r="Q891"/>
      <c r="R891"/>
      <c r="S891"/>
      <c r="T891" t="str">
        <f>IF(O891&lt;&gt;"",_xlfn.XLOOKUP(O891,'3D. Pictures'!B:B,'3D. Pictures'!E:E,"NOT FOUND",0,1),"")</f>
        <v/>
      </c>
      <c r="U891"/>
      <c r="V891"/>
      <c r="W891"/>
      <c r="X891"/>
      <c r="Y891"/>
      <c r="Z891"/>
      <c r="AJ891"/>
      <c r="AK891"/>
      <c r="AL891"/>
      <c r="AN891"/>
    </row>
    <row r="892" spans="1:40" x14ac:dyDescent="0.25">
      <c r="A892" s="190" t="str">
        <f t="shared" si="248"/>
        <v/>
      </c>
      <c r="M892"/>
      <c r="N892"/>
      <c r="O892"/>
      <c r="P892"/>
      <c r="Q892"/>
      <c r="R892"/>
      <c r="S892"/>
      <c r="T892" t="str">
        <f>IF(O892&lt;&gt;"",_xlfn.XLOOKUP(O892,'3D. Pictures'!B:B,'3D. Pictures'!E:E,"NOT FOUND",0,1),"")</f>
        <v/>
      </c>
      <c r="U892"/>
      <c r="V892"/>
      <c r="W892"/>
      <c r="X892"/>
      <c r="Y892"/>
      <c r="Z892"/>
      <c r="AJ892"/>
      <c r="AK892"/>
      <c r="AL892"/>
      <c r="AN892"/>
    </row>
    <row r="893" spans="1:40" x14ac:dyDescent="0.25">
      <c r="A893" s="190" t="str">
        <f t="shared" si="248"/>
        <v/>
      </c>
      <c r="M893"/>
      <c r="N893"/>
      <c r="O893"/>
      <c r="P893"/>
      <c r="Q893"/>
      <c r="R893"/>
      <c r="S893"/>
      <c r="T893" t="str">
        <f>IF(O893&lt;&gt;"",_xlfn.XLOOKUP(O893,'3D. Pictures'!B:B,'3D. Pictures'!E:E,"NOT FOUND",0,1),"")</f>
        <v/>
      </c>
      <c r="U893"/>
      <c r="V893"/>
      <c r="W893"/>
      <c r="X893"/>
      <c r="Y893"/>
      <c r="Z893"/>
      <c r="AJ893"/>
      <c r="AK893"/>
      <c r="AL893"/>
      <c r="AN893"/>
    </row>
    <row r="894" spans="1:40" x14ac:dyDescent="0.25">
      <c r="A894" s="190" t="str">
        <f t="shared" si="248"/>
        <v/>
      </c>
      <c r="M894"/>
      <c r="N894"/>
      <c r="O894"/>
      <c r="P894"/>
      <c r="Q894"/>
      <c r="R894"/>
      <c r="S894"/>
      <c r="T894" t="str">
        <f>IF(O894&lt;&gt;"",_xlfn.XLOOKUP(O894,'3D. Pictures'!B:B,'3D. Pictures'!E:E,"NOT FOUND",0,1),"")</f>
        <v/>
      </c>
      <c r="U894"/>
      <c r="V894"/>
      <c r="W894"/>
      <c r="X894"/>
      <c r="Y894"/>
      <c r="Z894"/>
      <c r="AJ894"/>
      <c r="AK894"/>
      <c r="AL894"/>
      <c r="AN894"/>
    </row>
    <row r="895" spans="1:40" x14ac:dyDescent="0.25">
      <c r="A895" s="190" t="str">
        <f t="shared" si="248"/>
        <v/>
      </c>
      <c r="M895"/>
      <c r="N895"/>
      <c r="O895"/>
      <c r="P895"/>
      <c r="Q895"/>
      <c r="R895"/>
      <c r="S895"/>
      <c r="T895" t="str">
        <f>IF(O895&lt;&gt;"",_xlfn.XLOOKUP(O895,'3D. Pictures'!B:B,'3D. Pictures'!E:E,"NOT FOUND",0,1),"")</f>
        <v/>
      </c>
      <c r="U895"/>
      <c r="V895"/>
      <c r="W895"/>
      <c r="X895"/>
      <c r="Y895"/>
      <c r="Z895"/>
      <c r="AJ895"/>
      <c r="AK895"/>
      <c r="AL895"/>
      <c r="AN895"/>
    </row>
    <row r="896" spans="1:40" x14ac:dyDescent="0.25">
      <c r="A896" s="190" t="str">
        <f t="shared" si="248"/>
        <v/>
      </c>
      <c r="M896"/>
      <c r="N896"/>
      <c r="O896"/>
      <c r="P896"/>
      <c r="Q896"/>
      <c r="R896"/>
      <c r="S896"/>
      <c r="T896" t="str">
        <f>IF(O896&lt;&gt;"",_xlfn.XLOOKUP(O896,'3D. Pictures'!B:B,'3D. Pictures'!E:E,"NOT FOUND",0,1),"")</f>
        <v/>
      </c>
      <c r="U896"/>
      <c r="V896"/>
      <c r="W896"/>
      <c r="X896"/>
      <c r="Y896"/>
      <c r="Z896"/>
      <c r="AJ896"/>
      <c r="AK896"/>
      <c r="AL896"/>
      <c r="AN896"/>
    </row>
    <row r="897" spans="1:40" x14ac:dyDescent="0.25">
      <c r="A897" s="190" t="str">
        <f t="shared" ref="A897:A960" si="249">IF(O897&lt;&gt;"",O897,"")</f>
        <v/>
      </c>
      <c r="M897"/>
      <c r="N897"/>
      <c r="O897"/>
      <c r="P897"/>
      <c r="Q897"/>
      <c r="R897"/>
      <c r="S897"/>
      <c r="T897" t="str">
        <f>IF(O897&lt;&gt;"",_xlfn.XLOOKUP(O897,'3D. Pictures'!B:B,'3D. Pictures'!E:E,"NOT FOUND",0,1),"")</f>
        <v/>
      </c>
      <c r="U897"/>
      <c r="V897"/>
      <c r="W897"/>
      <c r="X897"/>
      <c r="Y897"/>
      <c r="Z897"/>
      <c r="AJ897"/>
      <c r="AK897"/>
      <c r="AL897"/>
      <c r="AN897"/>
    </row>
    <row r="898" spans="1:40" x14ac:dyDescent="0.25">
      <c r="A898" s="190" t="str">
        <f t="shared" si="249"/>
        <v/>
      </c>
      <c r="M898"/>
      <c r="N898"/>
      <c r="O898"/>
      <c r="P898"/>
      <c r="Q898"/>
      <c r="R898"/>
      <c r="S898"/>
      <c r="T898" t="str">
        <f>IF(O898&lt;&gt;"",_xlfn.XLOOKUP(O898,'3D. Pictures'!B:B,'3D. Pictures'!E:E,"NOT FOUND",0,1),"")</f>
        <v/>
      </c>
      <c r="U898"/>
      <c r="V898"/>
      <c r="W898"/>
      <c r="X898"/>
      <c r="Y898"/>
      <c r="Z898"/>
      <c r="AJ898"/>
      <c r="AK898"/>
      <c r="AL898"/>
      <c r="AN898"/>
    </row>
    <row r="899" spans="1:40" x14ac:dyDescent="0.25">
      <c r="A899" s="190" t="str">
        <f t="shared" si="249"/>
        <v/>
      </c>
      <c r="M899"/>
      <c r="N899"/>
      <c r="O899"/>
      <c r="P899"/>
      <c r="Q899"/>
      <c r="R899"/>
      <c r="S899"/>
      <c r="T899" t="str">
        <f>IF(O899&lt;&gt;"",_xlfn.XLOOKUP(O899,'3D. Pictures'!B:B,'3D. Pictures'!E:E,"NOT FOUND",0,1),"")</f>
        <v/>
      </c>
      <c r="U899"/>
      <c r="V899"/>
      <c r="W899"/>
      <c r="X899"/>
      <c r="Y899"/>
      <c r="Z899"/>
      <c r="AJ899"/>
      <c r="AK899"/>
      <c r="AL899"/>
      <c r="AN899"/>
    </row>
    <row r="900" spans="1:40" x14ac:dyDescent="0.25">
      <c r="A900" s="190" t="str">
        <f t="shared" si="249"/>
        <v/>
      </c>
      <c r="M900"/>
      <c r="N900"/>
      <c r="O900"/>
      <c r="P900"/>
      <c r="Q900"/>
      <c r="R900"/>
      <c r="S900"/>
      <c r="T900" t="str">
        <f>IF(O900&lt;&gt;"",_xlfn.XLOOKUP(O900,'3D. Pictures'!B:B,'3D. Pictures'!E:E,"NOT FOUND",0,1),"")</f>
        <v/>
      </c>
      <c r="U900"/>
      <c r="V900"/>
      <c r="W900"/>
      <c r="X900"/>
      <c r="Y900"/>
      <c r="Z900"/>
      <c r="AJ900"/>
      <c r="AK900"/>
      <c r="AL900"/>
      <c r="AN900"/>
    </row>
    <row r="901" spans="1:40" x14ac:dyDescent="0.25">
      <c r="A901" s="190" t="str">
        <f t="shared" si="249"/>
        <v/>
      </c>
      <c r="M901"/>
      <c r="N901"/>
      <c r="O901"/>
      <c r="P901"/>
      <c r="Q901"/>
      <c r="R901"/>
      <c r="S901"/>
      <c r="T901" t="str">
        <f>IF(O901&lt;&gt;"",_xlfn.XLOOKUP(O901,'3D. Pictures'!B:B,'3D. Pictures'!E:E,"NOT FOUND",0,1),"")</f>
        <v/>
      </c>
      <c r="U901"/>
      <c r="V901"/>
      <c r="W901"/>
      <c r="X901"/>
      <c r="Y901"/>
      <c r="Z901"/>
      <c r="AJ901"/>
      <c r="AK901"/>
      <c r="AL901"/>
      <c r="AN901"/>
    </row>
    <row r="902" spans="1:40" x14ac:dyDescent="0.25">
      <c r="A902" s="190" t="str">
        <f t="shared" si="249"/>
        <v/>
      </c>
      <c r="M902"/>
      <c r="N902"/>
      <c r="O902"/>
      <c r="P902"/>
      <c r="Q902"/>
      <c r="R902"/>
      <c r="S902"/>
      <c r="T902" t="str">
        <f>IF(O902&lt;&gt;"",_xlfn.XLOOKUP(O902,'3D. Pictures'!B:B,'3D. Pictures'!E:E,"NOT FOUND",0,1),"")</f>
        <v/>
      </c>
      <c r="U902"/>
      <c r="V902"/>
      <c r="W902"/>
      <c r="X902"/>
      <c r="Y902"/>
      <c r="Z902"/>
      <c r="AJ902"/>
      <c r="AK902"/>
      <c r="AL902"/>
      <c r="AN902"/>
    </row>
    <row r="903" spans="1:40" x14ac:dyDescent="0.25">
      <c r="A903" s="190" t="str">
        <f t="shared" si="249"/>
        <v/>
      </c>
      <c r="M903"/>
      <c r="N903"/>
      <c r="O903"/>
      <c r="P903"/>
      <c r="Q903"/>
      <c r="R903"/>
      <c r="S903"/>
      <c r="T903" t="str">
        <f>IF(O903&lt;&gt;"",_xlfn.XLOOKUP(O903,'3D. Pictures'!B:B,'3D. Pictures'!E:E,"NOT FOUND",0,1),"")</f>
        <v/>
      </c>
      <c r="U903"/>
      <c r="V903"/>
      <c r="W903"/>
      <c r="X903"/>
      <c r="Y903"/>
      <c r="Z903"/>
      <c r="AJ903"/>
      <c r="AK903"/>
      <c r="AL903"/>
      <c r="AN903"/>
    </row>
    <row r="904" spans="1:40" x14ac:dyDescent="0.25">
      <c r="A904" s="190" t="str">
        <f t="shared" si="249"/>
        <v/>
      </c>
      <c r="M904"/>
      <c r="N904"/>
      <c r="O904"/>
      <c r="P904"/>
      <c r="Q904"/>
      <c r="R904"/>
      <c r="S904"/>
      <c r="T904" t="str">
        <f>IF(O904&lt;&gt;"",_xlfn.XLOOKUP(O904,'3D. Pictures'!B:B,'3D. Pictures'!E:E,"NOT FOUND",0,1),"")</f>
        <v/>
      </c>
      <c r="U904"/>
      <c r="V904"/>
      <c r="W904"/>
      <c r="X904"/>
      <c r="Y904"/>
      <c r="Z904"/>
      <c r="AJ904"/>
      <c r="AK904"/>
      <c r="AL904"/>
      <c r="AN904"/>
    </row>
    <row r="905" spans="1:40" x14ac:dyDescent="0.25">
      <c r="A905" s="190" t="str">
        <f t="shared" si="249"/>
        <v/>
      </c>
      <c r="M905"/>
      <c r="N905"/>
      <c r="O905"/>
      <c r="P905"/>
      <c r="Q905"/>
      <c r="R905"/>
      <c r="S905"/>
      <c r="T905" t="str">
        <f>IF(O905&lt;&gt;"",_xlfn.XLOOKUP(O905,'3D. Pictures'!B:B,'3D. Pictures'!E:E,"NOT FOUND",0,1),"")</f>
        <v/>
      </c>
      <c r="U905"/>
      <c r="V905"/>
      <c r="W905"/>
      <c r="X905"/>
      <c r="Y905"/>
      <c r="Z905"/>
      <c r="AJ905"/>
      <c r="AK905"/>
      <c r="AL905"/>
      <c r="AN905"/>
    </row>
    <row r="906" spans="1:40" x14ac:dyDescent="0.25">
      <c r="A906" s="190" t="str">
        <f t="shared" si="249"/>
        <v/>
      </c>
      <c r="M906"/>
      <c r="N906"/>
      <c r="O906"/>
      <c r="P906"/>
      <c r="Q906"/>
      <c r="R906"/>
      <c r="S906"/>
      <c r="T906" t="str">
        <f>IF(O906&lt;&gt;"",_xlfn.XLOOKUP(O906,'3D. Pictures'!B:B,'3D. Pictures'!E:E,"NOT FOUND",0,1),"")</f>
        <v/>
      </c>
      <c r="U906"/>
      <c r="V906"/>
      <c r="W906"/>
      <c r="X906"/>
      <c r="Y906"/>
      <c r="Z906"/>
      <c r="AJ906"/>
      <c r="AK906"/>
      <c r="AL906"/>
      <c r="AN906"/>
    </row>
    <row r="907" spans="1:40" x14ac:dyDescent="0.25">
      <c r="A907" s="190" t="str">
        <f t="shared" si="249"/>
        <v/>
      </c>
      <c r="M907"/>
      <c r="N907"/>
      <c r="O907"/>
      <c r="P907"/>
      <c r="Q907"/>
      <c r="R907"/>
      <c r="S907"/>
      <c r="T907" t="str">
        <f>IF(O907&lt;&gt;"",_xlfn.XLOOKUP(O907,'3D. Pictures'!B:B,'3D. Pictures'!E:E,"NOT FOUND",0,1),"")</f>
        <v/>
      </c>
      <c r="U907"/>
      <c r="V907"/>
      <c r="W907"/>
      <c r="X907"/>
      <c r="Y907"/>
      <c r="Z907"/>
      <c r="AJ907"/>
      <c r="AK907"/>
      <c r="AL907"/>
      <c r="AN907"/>
    </row>
    <row r="908" spans="1:40" x14ac:dyDescent="0.25">
      <c r="A908" s="190" t="str">
        <f t="shared" si="249"/>
        <v/>
      </c>
      <c r="M908"/>
      <c r="N908"/>
      <c r="O908"/>
      <c r="P908"/>
      <c r="Q908"/>
      <c r="R908"/>
      <c r="S908"/>
      <c r="T908" t="str">
        <f>IF(O908&lt;&gt;"",_xlfn.XLOOKUP(O908,'3D. Pictures'!B:B,'3D. Pictures'!E:E,"NOT FOUND",0,1),"")</f>
        <v/>
      </c>
      <c r="U908"/>
      <c r="V908"/>
      <c r="W908"/>
      <c r="X908"/>
      <c r="Y908"/>
      <c r="Z908"/>
      <c r="AJ908"/>
      <c r="AK908"/>
      <c r="AL908"/>
      <c r="AN908"/>
    </row>
    <row r="909" spans="1:40" x14ac:dyDescent="0.25">
      <c r="A909" s="190" t="str">
        <f t="shared" si="249"/>
        <v/>
      </c>
      <c r="M909"/>
      <c r="N909"/>
      <c r="O909"/>
      <c r="P909"/>
      <c r="Q909"/>
      <c r="R909"/>
      <c r="S909"/>
      <c r="T909" t="str">
        <f>IF(O909&lt;&gt;"",_xlfn.XLOOKUP(O909,'3D. Pictures'!B:B,'3D. Pictures'!E:E,"NOT FOUND",0,1),"")</f>
        <v/>
      </c>
      <c r="U909"/>
      <c r="V909"/>
      <c r="W909"/>
      <c r="X909"/>
      <c r="Y909"/>
      <c r="Z909"/>
      <c r="AJ909"/>
      <c r="AK909"/>
      <c r="AL909"/>
      <c r="AN909"/>
    </row>
    <row r="910" spans="1:40" x14ac:dyDescent="0.25">
      <c r="A910" s="190" t="str">
        <f t="shared" si="249"/>
        <v/>
      </c>
      <c r="M910"/>
      <c r="N910"/>
      <c r="O910"/>
      <c r="P910"/>
      <c r="Q910"/>
      <c r="R910"/>
      <c r="S910"/>
      <c r="T910" t="str">
        <f>IF(O910&lt;&gt;"",_xlfn.XLOOKUP(O910,'3D. Pictures'!B:B,'3D. Pictures'!E:E,"NOT FOUND",0,1),"")</f>
        <v/>
      </c>
      <c r="U910"/>
      <c r="V910"/>
      <c r="W910"/>
      <c r="X910"/>
      <c r="Y910"/>
      <c r="Z910"/>
      <c r="AJ910"/>
      <c r="AK910"/>
      <c r="AL910"/>
      <c r="AN910"/>
    </row>
    <row r="911" spans="1:40" x14ac:dyDescent="0.25">
      <c r="A911" s="190" t="str">
        <f t="shared" si="249"/>
        <v/>
      </c>
      <c r="M911"/>
      <c r="N911"/>
      <c r="O911"/>
      <c r="P911"/>
      <c r="Q911"/>
      <c r="R911"/>
      <c r="S911"/>
      <c r="T911" t="str">
        <f>IF(O911&lt;&gt;"",_xlfn.XLOOKUP(O911,'3D. Pictures'!B:B,'3D. Pictures'!E:E,"NOT FOUND",0,1),"")</f>
        <v/>
      </c>
      <c r="U911"/>
      <c r="V911"/>
      <c r="W911"/>
      <c r="X911"/>
      <c r="Y911"/>
      <c r="Z911"/>
      <c r="AJ911"/>
      <c r="AK911"/>
      <c r="AL911"/>
      <c r="AN911"/>
    </row>
    <row r="912" spans="1:40" x14ac:dyDescent="0.25">
      <c r="A912" s="190" t="str">
        <f t="shared" si="249"/>
        <v/>
      </c>
      <c r="M912"/>
      <c r="N912"/>
      <c r="O912"/>
      <c r="P912"/>
      <c r="Q912"/>
      <c r="R912"/>
      <c r="S912"/>
      <c r="T912" t="str">
        <f>IF(O912&lt;&gt;"",_xlfn.XLOOKUP(O912,'3D. Pictures'!B:B,'3D. Pictures'!E:E,"NOT FOUND",0,1),"")</f>
        <v/>
      </c>
      <c r="U912"/>
      <c r="V912"/>
      <c r="W912"/>
      <c r="X912"/>
      <c r="Y912"/>
      <c r="Z912"/>
      <c r="AJ912"/>
      <c r="AK912"/>
      <c r="AL912"/>
      <c r="AN912"/>
    </row>
    <row r="913" spans="1:40" x14ac:dyDescent="0.25">
      <c r="A913" s="190" t="str">
        <f t="shared" si="249"/>
        <v/>
      </c>
      <c r="M913"/>
      <c r="N913"/>
      <c r="O913"/>
      <c r="P913"/>
      <c r="Q913"/>
      <c r="R913"/>
      <c r="S913"/>
      <c r="T913" t="str">
        <f>IF(O913&lt;&gt;"",_xlfn.XLOOKUP(O913,'3D. Pictures'!B:B,'3D. Pictures'!E:E,"NOT FOUND",0,1),"")</f>
        <v/>
      </c>
      <c r="U913"/>
      <c r="V913"/>
      <c r="W913"/>
      <c r="X913"/>
      <c r="Y913"/>
      <c r="Z913"/>
      <c r="AJ913"/>
      <c r="AK913"/>
      <c r="AL913"/>
      <c r="AN913"/>
    </row>
    <row r="914" spans="1:40" x14ac:dyDescent="0.25">
      <c r="A914" s="190" t="str">
        <f t="shared" si="249"/>
        <v/>
      </c>
      <c r="M914"/>
      <c r="N914"/>
      <c r="O914"/>
      <c r="P914"/>
      <c r="Q914"/>
      <c r="R914"/>
      <c r="S914"/>
      <c r="T914" t="str">
        <f>IF(O914&lt;&gt;"",_xlfn.XLOOKUP(O914,'3D. Pictures'!B:B,'3D. Pictures'!E:E,"NOT FOUND",0,1),"")</f>
        <v/>
      </c>
      <c r="U914"/>
      <c r="V914"/>
      <c r="W914"/>
      <c r="X914"/>
      <c r="Y914"/>
      <c r="Z914"/>
      <c r="AJ914"/>
      <c r="AK914"/>
      <c r="AL914"/>
      <c r="AN914"/>
    </row>
    <row r="915" spans="1:40" x14ac:dyDescent="0.25">
      <c r="A915" s="190" t="str">
        <f t="shared" si="249"/>
        <v/>
      </c>
      <c r="M915"/>
      <c r="N915"/>
      <c r="O915"/>
      <c r="P915"/>
      <c r="Q915"/>
      <c r="R915"/>
      <c r="S915"/>
      <c r="T915" t="str">
        <f>IF(O915&lt;&gt;"",_xlfn.XLOOKUP(O915,'3D. Pictures'!B:B,'3D. Pictures'!E:E,"NOT FOUND",0,1),"")</f>
        <v/>
      </c>
      <c r="U915"/>
      <c r="V915"/>
      <c r="W915"/>
      <c r="X915"/>
      <c r="Y915"/>
      <c r="Z915"/>
      <c r="AJ915"/>
      <c r="AK915"/>
      <c r="AL915"/>
      <c r="AN915"/>
    </row>
    <row r="916" spans="1:40" x14ac:dyDescent="0.25">
      <c r="A916" s="190" t="str">
        <f t="shared" si="249"/>
        <v/>
      </c>
      <c r="M916"/>
      <c r="N916"/>
      <c r="O916"/>
      <c r="P916"/>
      <c r="Q916"/>
      <c r="R916"/>
      <c r="S916"/>
      <c r="T916" t="str">
        <f>IF(O916&lt;&gt;"",_xlfn.XLOOKUP(O916,'3D. Pictures'!B:B,'3D. Pictures'!E:E,"NOT FOUND",0,1),"")</f>
        <v/>
      </c>
      <c r="U916"/>
      <c r="V916"/>
      <c r="W916"/>
      <c r="X916"/>
      <c r="Y916"/>
      <c r="Z916"/>
      <c r="AJ916"/>
      <c r="AK916"/>
      <c r="AL916"/>
      <c r="AN916"/>
    </row>
    <row r="917" spans="1:40" x14ac:dyDescent="0.25">
      <c r="A917" s="190" t="str">
        <f t="shared" si="249"/>
        <v/>
      </c>
      <c r="M917"/>
      <c r="N917"/>
      <c r="O917"/>
      <c r="P917"/>
      <c r="Q917"/>
      <c r="R917"/>
      <c r="S917"/>
      <c r="T917" t="str">
        <f>IF(O917&lt;&gt;"",_xlfn.XLOOKUP(O917,'3D. Pictures'!B:B,'3D. Pictures'!E:E,"NOT FOUND",0,1),"")</f>
        <v/>
      </c>
      <c r="U917"/>
      <c r="V917"/>
      <c r="W917"/>
      <c r="X917"/>
      <c r="Y917"/>
      <c r="Z917"/>
      <c r="AJ917"/>
      <c r="AK917"/>
      <c r="AL917"/>
      <c r="AN917"/>
    </row>
    <row r="918" spans="1:40" x14ac:dyDescent="0.25">
      <c r="A918" s="190" t="str">
        <f t="shared" si="249"/>
        <v/>
      </c>
      <c r="M918"/>
      <c r="N918"/>
      <c r="O918"/>
      <c r="P918"/>
      <c r="Q918"/>
      <c r="R918"/>
      <c r="S918"/>
      <c r="T918" t="str">
        <f>IF(O918&lt;&gt;"",_xlfn.XLOOKUP(O918,'3D. Pictures'!B:B,'3D. Pictures'!E:E,"NOT FOUND",0,1),"")</f>
        <v/>
      </c>
      <c r="U918"/>
      <c r="V918"/>
      <c r="W918"/>
      <c r="X918"/>
      <c r="Y918"/>
      <c r="Z918"/>
      <c r="AJ918"/>
      <c r="AK918"/>
      <c r="AL918"/>
      <c r="AN918"/>
    </row>
    <row r="919" spans="1:40" x14ac:dyDescent="0.25">
      <c r="A919" s="190" t="str">
        <f t="shared" si="249"/>
        <v/>
      </c>
      <c r="M919"/>
      <c r="N919"/>
      <c r="O919"/>
      <c r="P919"/>
      <c r="Q919"/>
      <c r="R919"/>
      <c r="S919"/>
      <c r="T919" t="str">
        <f>IF(O919&lt;&gt;"",_xlfn.XLOOKUP(O919,'3D. Pictures'!B:B,'3D. Pictures'!E:E,"NOT FOUND",0,1),"")</f>
        <v/>
      </c>
      <c r="U919"/>
      <c r="V919"/>
      <c r="W919"/>
      <c r="X919"/>
      <c r="Y919"/>
      <c r="Z919"/>
      <c r="AJ919"/>
      <c r="AK919"/>
      <c r="AL919"/>
      <c r="AN919"/>
    </row>
    <row r="920" spans="1:40" x14ac:dyDescent="0.25">
      <c r="A920" s="190" t="str">
        <f t="shared" si="249"/>
        <v/>
      </c>
      <c r="M920"/>
      <c r="N920"/>
      <c r="O920"/>
      <c r="P920"/>
      <c r="Q920"/>
      <c r="R920"/>
      <c r="S920"/>
      <c r="T920" t="str">
        <f>IF(O920&lt;&gt;"",_xlfn.XLOOKUP(O920,'3D. Pictures'!B:B,'3D. Pictures'!E:E,"NOT FOUND",0,1),"")</f>
        <v/>
      </c>
      <c r="U920"/>
      <c r="V920"/>
      <c r="W920"/>
      <c r="X920"/>
      <c r="Y920"/>
      <c r="Z920"/>
      <c r="AJ920"/>
      <c r="AK920"/>
      <c r="AL920"/>
      <c r="AN920"/>
    </row>
    <row r="921" spans="1:40" x14ac:dyDescent="0.25">
      <c r="A921" s="190" t="str">
        <f t="shared" si="249"/>
        <v/>
      </c>
      <c r="M921"/>
      <c r="N921"/>
      <c r="O921"/>
      <c r="P921"/>
      <c r="Q921"/>
      <c r="R921"/>
      <c r="S921"/>
      <c r="T921" t="str">
        <f>IF(O921&lt;&gt;"",_xlfn.XLOOKUP(O921,'3D. Pictures'!B:B,'3D. Pictures'!E:E,"NOT FOUND",0,1),"")</f>
        <v/>
      </c>
      <c r="U921"/>
      <c r="V921"/>
      <c r="W921"/>
      <c r="X921"/>
      <c r="Y921"/>
      <c r="Z921"/>
      <c r="AJ921"/>
      <c r="AK921"/>
      <c r="AL921"/>
      <c r="AN921"/>
    </row>
    <row r="922" spans="1:40" x14ac:dyDescent="0.25">
      <c r="A922" s="190" t="str">
        <f t="shared" si="249"/>
        <v/>
      </c>
      <c r="M922"/>
      <c r="N922"/>
      <c r="O922"/>
      <c r="P922"/>
      <c r="Q922"/>
      <c r="R922"/>
      <c r="S922"/>
      <c r="T922" t="str">
        <f>IF(O922&lt;&gt;"",_xlfn.XLOOKUP(O922,'3D. Pictures'!B:B,'3D. Pictures'!E:E,"NOT FOUND",0,1),"")</f>
        <v/>
      </c>
      <c r="U922"/>
      <c r="V922"/>
      <c r="W922"/>
      <c r="X922"/>
      <c r="Y922"/>
      <c r="Z922"/>
      <c r="AJ922"/>
      <c r="AK922"/>
      <c r="AL922"/>
      <c r="AN922"/>
    </row>
    <row r="923" spans="1:40" x14ac:dyDescent="0.25">
      <c r="A923" s="190" t="str">
        <f t="shared" si="249"/>
        <v/>
      </c>
      <c r="M923"/>
      <c r="N923"/>
      <c r="O923"/>
      <c r="P923"/>
      <c r="Q923"/>
      <c r="R923"/>
      <c r="S923"/>
      <c r="T923" t="str">
        <f>IF(O923&lt;&gt;"",_xlfn.XLOOKUP(O923,'3D. Pictures'!B:B,'3D. Pictures'!E:E,"NOT FOUND",0,1),"")</f>
        <v/>
      </c>
      <c r="U923"/>
      <c r="V923"/>
      <c r="W923"/>
      <c r="X923"/>
      <c r="Y923"/>
      <c r="Z923"/>
      <c r="AJ923"/>
      <c r="AK923"/>
      <c r="AL923"/>
      <c r="AN923"/>
    </row>
    <row r="924" spans="1:40" x14ac:dyDescent="0.25">
      <c r="A924" s="190" t="str">
        <f t="shared" si="249"/>
        <v/>
      </c>
      <c r="M924"/>
      <c r="N924"/>
      <c r="O924"/>
      <c r="P924"/>
      <c r="Q924"/>
      <c r="R924"/>
      <c r="S924"/>
      <c r="T924" t="str">
        <f>IF(O924&lt;&gt;"",_xlfn.XLOOKUP(O924,'3D. Pictures'!B:B,'3D. Pictures'!E:E,"NOT FOUND",0,1),"")</f>
        <v/>
      </c>
      <c r="U924"/>
      <c r="V924"/>
      <c r="W924"/>
      <c r="X924"/>
      <c r="Y924"/>
      <c r="Z924"/>
      <c r="AJ924"/>
      <c r="AK924"/>
      <c r="AL924"/>
      <c r="AN924"/>
    </row>
    <row r="925" spans="1:40" x14ac:dyDescent="0.25">
      <c r="A925" s="190" t="str">
        <f t="shared" si="249"/>
        <v/>
      </c>
      <c r="M925"/>
      <c r="N925"/>
      <c r="O925"/>
      <c r="P925"/>
      <c r="Q925"/>
      <c r="R925"/>
      <c r="S925"/>
      <c r="T925" t="str">
        <f>IF(O925&lt;&gt;"",_xlfn.XLOOKUP(O925,'3D. Pictures'!B:B,'3D. Pictures'!E:E,"NOT FOUND",0,1),"")</f>
        <v/>
      </c>
      <c r="U925"/>
      <c r="V925"/>
      <c r="W925"/>
      <c r="X925"/>
      <c r="Y925"/>
      <c r="Z925"/>
      <c r="AJ925"/>
      <c r="AK925"/>
      <c r="AL925"/>
      <c r="AN925"/>
    </row>
    <row r="926" spans="1:40" x14ac:dyDescent="0.25">
      <c r="A926" s="190" t="str">
        <f t="shared" si="249"/>
        <v/>
      </c>
      <c r="M926"/>
      <c r="N926"/>
      <c r="O926"/>
      <c r="P926"/>
      <c r="Q926"/>
      <c r="R926"/>
      <c r="S926"/>
      <c r="T926" t="str">
        <f>IF(O926&lt;&gt;"",_xlfn.XLOOKUP(O926,'3D. Pictures'!B:B,'3D. Pictures'!E:E,"NOT FOUND",0,1),"")</f>
        <v/>
      </c>
      <c r="U926"/>
      <c r="V926"/>
      <c r="W926"/>
      <c r="X926"/>
      <c r="Y926"/>
      <c r="Z926"/>
      <c r="AJ926"/>
      <c r="AK926"/>
      <c r="AL926"/>
      <c r="AN926"/>
    </row>
    <row r="927" spans="1:40" x14ac:dyDescent="0.25">
      <c r="A927" s="190" t="str">
        <f t="shared" si="249"/>
        <v/>
      </c>
      <c r="M927"/>
      <c r="N927"/>
      <c r="O927"/>
      <c r="P927"/>
      <c r="Q927"/>
      <c r="R927"/>
      <c r="S927"/>
      <c r="T927" t="str">
        <f>IF(O927&lt;&gt;"",_xlfn.XLOOKUP(O927,'3D. Pictures'!B:B,'3D. Pictures'!E:E,"NOT FOUND",0,1),"")</f>
        <v/>
      </c>
      <c r="U927"/>
      <c r="V927"/>
      <c r="W927"/>
      <c r="X927"/>
      <c r="Y927"/>
      <c r="Z927"/>
      <c r="AJ927"/>
      <c r="AK927"/>
      <c r="AL927"/>
      <c r="AN927"/>
    </row>
    <row r="928" spans="1:40" x14ac:dyDescent="0.25">
      <c r="A928" s="190" t="str">
        <f t="shared" si="249"/>
        <v/>
      </c>
      <c r="M928"/>
      <c r="N928"/>
      <c r="O928"/>
      <c r="P928"/>
      <c r="Q928"/>
      <c r="R928"/>
      <c r="S928"/>
      <c r="T928" t="str">
        <f>IF(O928&lt;&gt;"",_xlfn.XLOOKUP(O928,'3D. Pictures'!B:B,'3D. Pictures'!E:E,"NOT FOUND",0,1),"")</f>
        <v/>
      </c>
      <c r="U928"/>
      <c r="V928"/>
      <c r="W928"/>
      <c r="X928"/>
      <c r="Y928"/>
      <c r="Z928"/>
      <c r="AJ928"/>
      <c r="AK928"/>
      <c r="AL928"/>
      <c r="AN928"/>
    </row>
    <row r="929" spans="1:40" x14ac:dyDescent="0.25">
      <c r="A929" s="190" t="str">
        <f t="shared" si="249"/>
        <v/>
      </c>
      <c r="M929"/>
      <c r="N929"/>
      <c r="O929"/>
      <c r="P929"/>
      <c r="Q929"/>
      <c r="R929"/>
      <c r="S929"/>
      <c r="T929" t="str">
        <f>IF(O929&lt;&gt;"",_xlfn.XLOOKUP(O929,'3D. Pictures'!B:B,'3D. Pictures'!E:E,"NOT FOUND",0,1),"")</f>
        <v/>
      </c>
      <c r="U929"/>
      <c r="V929"/>
      <c r="W929"/>
      <c r="X929"/>
      <c r="Y929"/>
      <c r="Z929"/>
      <c r="AJ929"/>
      <c r="AK929"/>
      <c r="AL929"/>
      <c r="AN929"/>
    </row>
    <row r="930" spans="1:40" x14ac:dyDescent="0.25">
      <c r="A930" s="190" t="str">
        <f t="shared" si="249"/>
        <v/>
      </c>
      <c r="M930"/>
      <c r="N930"/>
      <c r="O930"/>
      <c r="P930"/>
      <c r="Q930"/>
      <c r="R930"/>
      <c r="S930"/>
      <c r="T930" t="str">
        <f>IF(O930&lt;&gt;"",_xlfn.XLOOKUP(O930,'3D. Pictures'!B:B,'3D. Pictures'!E:E,"NOT FOUND",0,1),"")</f>
        <v/>
      </c>
      <c r="U930"/>
      <c r="V930"/>
      <c r="W930"/>
      <c r="X930"/>
      <c r="Y930"/>
      <c r="Z930"/>
      <c r="AJ930"/>
      <c r="AK930"/>
      <c r="AL930"/>
      <c r="AN930"/>
    </row>
    <row r="931" spans="1:40" x14ac:dyDescent="0.25">
      <c r="A931" s="190" t="str">
        <f t="shared" si="249"/>
        <v/>
      </c>
      <c r="M931"/>
      <c r="N931"/>
      <c r="O931"/>
      <c r="P931"/>
      <c r="Q931"/>
      <c r="R931"/>
      <c r="S931"/>
      <c r="T931" t="str">
        <f>IF(O931&lt;&gt;"",_xlfn.XLOOKUP(O931,'3D. Pictures'!B:B,'3D. Pictures'!E:E,"NOT FOUND",0,1),"")</f>
        <v/>
      </c>
      <c r="U931"/>
      <c r="V931"/>
      <c r="W931"/>
      <c r="X931"/>
      <c r="Y931"/>
      <c r="Z931"/>
      <c r="AJ931"/>
      <c r="AK931"/>
      <c r="AL931"/>
      <c r="AN931"/>
    </row>
    <row r="932" spans="1:40" x14ac:dyDescent="0.25">
      <c r="A932" s="190" t="str">
        <f t="shared" si="249"/>
        <v/>
      </c>
      <c r="M932"/>
      <c r="N932"/>
      <c r="O932"/>
      <c r="P932"/>
      <c r="Q932"/>
      <c r="R932"/>
      <c r="S932"/>
      <c r="T932" t="str">
        <f>IF(O932&lt;&gt;"",_xlfn.XLOOKUP(O932,'3D. Pictures'!B:B,'3D. Pictures'!E:E,"NOT FOUND",0,1),"")</f>
        <v/>
      </c>
      <c r="U932"/>
      <c r="V932"/>
      <c r="W932"/>
      <c r="X932"/>
      <c r="Y932"/>
      <c r="Z932"/>
      <c r="AJ932"/>
      <c r="AK932"/>
      <c r="AL932"/>
      <c r="AN932"/>
    </row>
    <row r="933" spans="1:40" x14ac:dyDescent="0.25">
      <c r="A933" s="190" t="str">
        <f t="shared" si="249"/>
        <v/>
      </c>
      <c r="M933"/>
      <c r="N933"/>
      <c r="O933"/>
      <c r="P933"/>
      <c r="Q933"/>
      <c r="R933"/>
      <c r="S933"/>
      <c r="T933" t="str">
        <f>IF(O933&lt;&gt;"",_xlfn.XLOOKUP(O933,'3D. Pictures'!B:B,'3D. Pictures'!E:E,"NOT FOUND",0,1),"")</f>
        <v/>
      </c>
      <c r="U933"/>
      <c r="V933"/>
      <c r="W933"/>
      <c r="X933"/>
      <c r="Y933"/>
      <c r="Z933"/>
      <c r="AJ933"/>
      <c r="AK933"/>
      <c r="AL933"/>
      <c r="AN933"/>
    </row>
    <row r="934" spans="1:40" x14ac:dyDescent="0.25">
      <c r="A934" s="190" t="str">
        <f t="shared" si="249"/>
        <v/>
      </c>
      <c r="M934"/>
      <c r="N934"/>
      <c r="O934"/>
      <c r="P934"/>
      <c r="Q934"/>
      <c r="R934"/>
      <c r="S934"/>
      <c r="T934" t="str">
        <f>IF(O934&lt;&gt;"",_xlfn.XLOOKUP(O934,'3D. Pictures'!B:B,'3D. Pictures'!E:E,"NOT FOUND",0,1),"")</f>
        <v/>
      </c>
      <c r="U934"/>
      <c r="V934"/>
      <c r="W934"/>
      <c r="X934"/>
      <c r="Y934"/>
      <c r="Z934"/>
      <c r="AJ934"/>
      <c r="AK934"/>
      <c r="AL934"/>
      <c r="AN934"/>
    </row>
    <row r="935" spans="1:40" x14ac:dyDescent="0.25">
      <c r="A935" s="190" t="str">
        <f t="shared" si="249"/>
        <v/>
      </c>
      <c r="M935"/>
      <c r="N935"/>
      <c r="O935"/>
      <c r="P935"/>
      <c r="Q935"/>
      <c r="R935"/>
      <c r="S935"/>
      <c r="T935" t="str">
        <f>IF(O935&lt;&gt;"",_xlfn.XLOOKUP(O935,'3D. Pictures'!B:B,'3D. Pictures'!E:E,"NOT FOUND",0,1),"")</f>
        <v/>
      </c>
      <c r="U935"/>
      <c r="V935"/>
      <c r="W935"/>
      <c r="X935"/>
      <c r="Y935"/>
      <c r="Z935"/>
      <c r="AJ935"/>
      <c r="AK935"/>
      <c r="AL935"/>
      <c r="AN935"/>
    </row>
    <row r="936" spans="1:40" x14ac:dyDescent="0.25">
      <c r="A936" s="190" t="str">
        <f t="shared" si="249"/>
        <v/>
      </c>
      <c r="M936"/>
      <c r="N936"/>
      <c r="O936"/>
      <c r="P936"/>
      <c r="Q936"/>
      <c r="R936"/>
      <c r="S936"/>
      <c r="T936" t="str">
        <f>IF(O936&lt;&gt;"",_xlfn.XLOOKUP(O936,'3D. Pictures'!B:B,'3D. Pictures'!E:E,"NOT FOUND",0,1),"")</f>
        <v/>
      </c>
      <c r="U936"/>
      <c r="V936"/>
      <c r="W936"/>
      <c r="X936"/>
      <c r="Y936"/>
      <c r="Z936"/>
      <c r="AJ936"/>
      <c r="AK936"/>
      <c r="AL936"/>
      <c r="AN936"/>
    </row>
    <row r="937" spans="1:40" x14ac:dyDescent="0.25">
      <c r="A937" s="190" t="str">
        <f t="shared" si="249"/>
        <v/>
      </c>
      <c r="M937"/>
      <c r="N937"/>
      <c r="O937"/>
      <c r="P937"/>
      <c r="Q937"/>
      <c r="R937"/>
      <c r="S937"/>
      <c r="T937" t="str">
        <f>IF(O937&lt;&gt;"",_xlfn.XLOOKUP(O937,'3D. Pictures'!B:B,'3D. Pictures'!E:E,"NOT FOUND",0,1),"")</f>
        <v/>
      </c>
      <c r="U937"/>
      <c r="V937"/>
      <c r="W937"/>
      <c r="X937"/>
      <c r="Y937"/>
      <c r="Z937"/>
      <c r="AJ937"/>
      <c r="AK937"/>
      <c r="AL937"/>
      <c r="AN937"/>
    </row>
    <row r="938" spans="1:40" x14ac:dyDescent="0.25">
      <c r="A938" s="190" t="str">
        <f t="shared" si="249"/>
        <v/>
      </c>
      <c r="M938"/>
      <c r="N938"/>
      <c r="O938"/>
      <c r="P938"/>
      <c r="Q938"/>
      <c r="R938"/>
      <c r="S938"/>
      <c r="T938" t="str">
        <f>IF(O938&lt;&gt;"",_xlfn.XLOOKUP(O938,'3D. Pictures'!B:B,'3D. Pictures'!E:E,"NOT FOUND",0,1),"")</f>
        <v/>
      </c>
      <c r="U938"/>
      <c r="V938"/>
      <c r="W938"/>
      <c r="X938"/>
      <c r="Y938"/>
      <c r="Z938"/>
      <c r="AJ938"/>
      <c r="AK938"/>
      <c r="AL938"/>
      <c r="AN938"/>
    </row>
    <row r="939" spans="1:40" x14ac:dyDescent="0.25">
      <c r="A939" s="190" t="str">
        <f t="shared" si="249"/>
        <v/>
      </c>
      <c r="M939"/>
      <c r="N939"/>
      <c r="O939"/>
      <c r="P939"/>
      <c r="Q939"/>
      <c r="R939"/>
      <c r="S939"/>
      <c r="T939" t="str">
        <f>IF(O939&lt;&gt;"",_xlfn.XLOOKUP(O939,'3D. Pictures'!B:B,'3D. Pictures'!E:E,"NOT FOUND",0,1),"")</f>
        <v/>
      </c>
      <c r="U939"/>
      <c r="V939"/>
      <c r="W939"/>
      <c r="X939"/>
      <c r="Y939"/>
      <c r="Z939"/>
      <c r="AJ939"/>
      <c r="AK939"/>
      <c r="AL939"/>
      <c r="AN939"/>
    </row>
    <row r="940" spans="1:40" x14ac:dyDescent="0.25">
      <c r="A940" s="190" t="str">
        <f t="shared" si="249"/>
        <v/>
      </c>
      <c r="M940"/>
      <c r="N940"/>
      <c r="O940"/>
      <c r="P940"/>
      <c r="Q940"/>
      <c r="R940"/>
      <c r="S940"/>
      <c r="T940" t="str">
        <f>IF(O940&lt;&gt;"",_xlfn.XLOOKUP(O940,'3D. Pictures'!B:B,'3D. Pictures'!E:E,"NOT FOUND",0,1),"")</f>
        <v/>
      </c>
      <c r="U940"/>
      <c r="V940"/>
      <c r="W940"/>
      <c r="X940"/>
      <c r="Y940"/>
      <c r="Z940"/>
      <c r="AJ940"/>
      <c r="AK940"/>
      <c r="AL940"/>
      <c r="AN940"/>
    </row>
    <row r="941" spans="1:40" x14ac:dyDescent="0.25">
      <c r="A941" s="190" t="str">
        <f t="shared" si="249"/>
        <v/>
      </c>
      <c r="M941"/>
      <c r="N941"/>
      <c r="O941"/>
      <c r="P941"/>
      <c r="Q941"/>
      <c r="R941"/>
      <c r="S941"/>
      <c r="T941" t="str">
        <f>IF(O941&lt;&gt;"",_xlfn.XLOOKUP(O941,'3D. Pictures'!B:B,'3D. Pictures'!E:E,"NOT FOUND",0,1),"")</f>
        <v/>
      </c>
      <c r="U941"/>
      <c r="V941"/>
      <c r="W941"/>
      <c r="X941"/>
      <c r="Y941"/>
      <c r="Z941"/>
      <c r="AJ941"/>
      <c r="AK941"/>
      <c r="AL941"/>
      <c r="AN941"/>
    </row>
    <row r="942" spans="1:40" x14ac:dyDescent="0.25">
      <c r="A942" s="190" t="str">
        <f t="shared" si="249"/>
        <v/>
      </c>
      <c r="M942"/>
      <c r="N942"/>
      <c r="O942"/>
      <c r="P942"/>
      <c r="Q942"/>
      <c r="R942"/>
      <c r="S942"/>
      <c r="T942" t="str">
        <f>IF(O942&lt;&gt;"",_xlfn.XLOOKUP(O942,'3D. Pictures'!B:B,'3D. Pictures'!E:E,"NOT FOUND",0,1),"")</f>
        <v/>
      </c>
      <c r="U942"/>
      <c r="V942"/>
      <c r="W942"/>
      <c r="X942"/>
      <c r="Y942"/>
      <c r="Z942"/>
      <c r="AJ942"/>
      <c r="AK942"/>
      <c r="AL942"/>
      <c r="AN942"/>
    </row>
    <row r="943" spans="1:40" x14ac:dyDescent="0.25">
      <c r="A943" s="190" t="str">
        <f t="shared" si="249"/>
        <v/>
      </c>
      <c r="M943"/>
      <c r="N943"/>
      <c r="O943"/>
      <c r="P943"/>
      <c r="Q943"/>
      <c r="R943"/>
      <c r="S943"/>
      <c r="T943" t="str">
        <f>IF(O943&lt;&gt;"",_xlfn.XLOOKUP(O943,'3D. Pictures'!B:B,'3D. Pictures'!E:E,"NOT FOUND",0,1),"")</f>
        <v/>
      </c>
      <c r="U943"/>
      <c r="V943"/>
      <c r="W943"/>
      <c r="X943"/>
      <c r="Y943"/>
      <c r="Z943"/>
      <c r="AJ943"/>
      <c r="AK943"/>
      <c r="AL943"/>
      <c r="AN943"/>
    </row>
    <row r="944" spans="1:40" x14ac:dyDescent="0.25">
      <c r="A944" s="190" t="str">
        <f t="shared" si="249"/>
        <v/>
      </c>
      <c r="M944"/>
      <c r="N944"/>
      <c r="O944"/>
      <c r="P944"/>
      <c r="Q944"/>
      <c r="R944"/>
      <c r="S944"/>
      <c r="T944" t="str">
        <f>IF(O944&lt;&gt;"",_xlfn.XLOOKUP(O944,'3D. Pictures'!B:B,'3D. Pictures'!E:E,"NOT FOUND",0,1),"")</f>
        <v/>
      </c>
      <c r="U944"/>
      <c r="V944"/>
      <c r="W944"/>
      <c r="X944"/>
      <c r="Y944"/>
      <c r="Z944"/>
      <c r="AJ944"/>
      <c r="AK944"/>
      <c r="AL944"/>
      <c r="AN944"/>
    </row>
    <row r="945" spans="1:40" x14ac:dyDescent="0.25">
      <c r="A945" s="190" t="str">
        <f t="shared" si="249"/>
        <v/>
      </c>
      <c r="M945"/>
      <c r="N945"/>
      <c r="O945"/>
      <c r="P945"/>
      <c r="Q945"/>
      <c r="R945"/>
      <c r="S945"/>
      <c r="T945" t="str">
        <f>IF(O945&lt;&gt;"",_xlfn.XLOOKUP(O945,'3D. Pictures'!B:B,'3D. Pictures'!E:E,"NOT FOUND",0,1),"")</f>
        <v/>
      </c>
      <c r="U945"/>
      <c r="V945"/>
      <c r="W945"/>
      <c r="X945"/>
      <c r="Y945"/>
      <c r="Z945"/>
      <c r="AJ945"/>
      <c r="AK945"/>
      <c r="AL945"/>
      <c r="AN945"/>
    </row>
    <row r="946" spans="1:40" x14ac:dyDescent="0.25">
      <c r="A946" s="190" t="str">
        <f t="shared" si="249"/>
        <v/>
      </c>
      <c r="M946"/>
      <c r="N946"/>
      <c r="O946"/>
      <c r="P946"/>
      <c r="Q946"/>
      <c r="R946"/>
      <c r="S946"/>
      <c r="T946" t="str">
        <f>IF(O946&lt;&gt;"",_xlfn.XLOOKUP(O946,'3D. Pictures'!B:B,'3D. Pictures'!E:E,"NOT FOUND",0,1),"")</f>
        <v/>
      </c>
      <c r="U946"/>
      <c r="V946"/>
      <c r="W946"/>
      <c r="X946"/>
      <c r="Y946"/>
      <c r="Z946"/>
      <c r="AJ946"/>
      <c r="AK946"/>
      <c r="AL946"/>
      <c r="AN946"/>
    </row>
    <row r="947" spans="1:40" x14ac:dyDescent="0.25">
      <c r="A947" s="190" t="str">
        <f t="shared" si="249"/>
        <v/>
      </c>
      <c r="M947"/>
      <c r="N947"/>
      <c r="O947"/>
      <c r="P947"/>
      <c r="Q947"/>
      <c r="R947"/>
      <c r="S947"/>
      <c r="T947" t="str">
        <f>IF(O947&lt;&gt;"",_xlfn.XLOOKUP(O947,'3D. Pictures'!B:B,'3D. Pictures'!E:E,"NOT FOUND",0,1),"")</f>
        <v/>
      </c>
      <c r="U947"/>
      <c r="V947"/>
      <c r="W947"/>
      <c r="X947"/>
      <c r="Y947"/>
      <c r="Z947"/>
      <c r="AJ947"/>
      <c r="AK947"/>
      <c r="AL947"/>
      <c r="AN947"/>
    </row>
    <row r="948" spans="1:40" x14ac:dyDescent="0.25">
      <c r="A948" s="190" t="str">
        <f t="shared" si="249"/>
        <v/>
      </c>
      <c r="M948"/>
      <c r="N948"/>
      <c r="O948"/>
      <c r="P948"/>
      <c r="Q948"/>
      <c r="R948"/>
      <c r="S948"/>
      <c r="T948" t="str">
        <f>IF(O948&lt;&gt;"",_xlfn.XLOOKUP(O948,'3D. Pictures'!B:B,'3D. Pictures'!E:E,"NOT FOUND",0,1),"")</f>
        <v/>
      </c>
      <c r="U948"/>
      <c r="V948"/>
      <c r="W948"/>
      <c r="X948"/>
      <c r="Y948"/>
      <c r="Z948"/>
      <c r="AJ948"/>
      <c r="AK948"/>
      <c r="AL948"/>
      <c r="AN948"/>
    </row>
    <row r="949" spans="1:40" x14ac:dyDescent="0.25">
      <c r="A949" s="190" t="str">
        <f t="shared" si="249"/>
        <v/>
      </c>
      <c r="M949"/>
      <c r="N949"/>
      <c r="O949"/>
      <c r="P949"/>
      <c r="Q949"/>
      <c r="R949"/>
      <c r="S949"/>
      <c r="T949" t="str">
        <f>IF(O949&lt;&gt;"",_xlfn.XLOOKUP(O949,'3D. Pictures'!B:B,'3D. Pictures'!E:E,"NOT FOUND",0,1),"")</f>
        <v/>
      </c>
      <c r="U949"/>
      <c r="V949"/>
      <c r="W949"/>
      <c r="X949"/>
      <c r="Y949"/>
      <c r="Z949"/>
      <c r="AJ949"/>
      <c r="AK949"/>
      <c r="AL949"/>
      <c r="AN949"/>
    </row>
    <row r="950" spans="1:40" x14ac:dyDescent="0.25">
      <c r="A950" s="190" t="str">
        <f t="shared" si="249"/>
        <v/>
      </c>
      <c r="M950"/>
      <c r="N950"/>
      <c r="O950"/>
      <c r="P950"/>
      <c r="Q950"/>
      <c r="R950"/>
      <c r="S950"/>
      <c r="T950" t="str">
        <f>IF(O950&lt;&gt;"",_xlfn.XLOOKUP(O950,'3D. Pictures'!B:B,'3D. Pictures'!E:E,"NOT FOUND",0,1),"")</f>
        <v/>
      </c>
      <c r="U950"/>
      <c r="V950"/>
      <c r="W950"/>
      <c r="X950"/>
      <c r="Y950"/>
      <c r="Z950"/>
      <c r="AJ950"/>
      <c r="AK950"/>
      <c r="AL950"/>
      <c r="AN950"/>
    </row>
    <row r="951" spans="1:40" x14ac:dyDescent="0.25">
      <c r="A951" s="190" t="str">
        <f t="shared" si="249"/>
        <v/>
      </c>
      <c r="M951"/>
      <c r="N951"/>
      <c r="O951"/>
      <c r="P951"/>
      <c r="Q951"/>
      <c r="R951"/>
      <c r="S951"/>
      <c r="T951" t="str">
        <f>IF(O951&lt;&gt;"",_xlfn.XLOOKUP(O951,'3D. Pictures'!B:B,'3D. Pictures'!E:E,"NOT FOUND",0,1),"")</f>
        <v/>
      </c>
      <c r="U951"/>
      <c r="V951"/>
      <c r="W951"/>
      <c r="X951"/>
      <c r="Y951"/>
      <c r="Z951"/>
      <c r="AJ951"/>
      <c r="AK951"/>
      <c r="AL951"/>
      <c r="AN951"/>
    </row>
    <row r="952" spans="1:40" x14ac:dyDescent="0.25">
      <c r="A952" s="190" t="str">
        <f t="shared" si="249"/>
        <v/>
      </c>
      <c r="M952"/>
      <c r="N952"/>
      <c r="O952"/>
      <c r="P952"/>
      <c r="Q952"/>
      <c r="R952"/>
      <c r="S952"/>
      <c r="T952" t="str">
        <f>IF(O952&lt;&gt;"",_xlfn.XLOOKUP(O952,'3D. Pictures'!B:B,'3D. Pictures'!E:E,"NOT FOUND",0,1),"")</f>
        <v/>
      </c>
      <c r="U952"/>
      <c r="V952"/>
      <c r="W952"/>
      <c r="X952"/>
      <c r="Y952"/>
      <c r="Z952"/>
      <c r="AJ952"/>
      <c r="AK952"/>
      <c r="AL952"/>
      <c r="AN952"/>
    </row>
    <row r="953" spans="1:40" x14ac:dyDescent="0.25">
      <c r="A953" s="190" t="str">
        <f t="shared" si="249"/>
        <v/>
      </c>
      <c r="M953"/>
      <c r="N953"/>
      <c r="O953"/>
      <c r="P953"/>
      <c r="Q953"/>
      <c r="R953"/>
      <c r="S953"/>
      <c r="T953" t="str">
        <f>IF(O953&lt;&gt;"",_xlfn.XLOOKUP(O953,'3D. Pictures'!B:B,'3D. Pictures'!E:E,"NOT FOUND",0,1),"")</f>
        <v/>
      </c>
      <c r="U953"/>
      <c r="V953"/>
      <c r="W953"/>
      <c r="X953"/>
      <c r="Y953"/>
      <c r="Z953"/>
      <c r="AJ953"/>
      <c r="AK953"/>
      <c r="AL953"/>
      <c r="AN953"/>
    </row>
    <row r="954" spans="1:40" x14ac:dyDescent="0.25">
      <c r="A954" s="190" t="str">
        <f t="shared" si="249"/>
        <v/>
      </c>
      <c r="M954"/>
      <c r="N954"/>
      <c r="O954"/>
      <c r="P954"/>
      <c r="Q954"/>
      <c r="R954"/>
      <c r="S954"/>
      <c r="T954" t="str">
        <f>IF(O954&lt;&gt;"",_xlfn.XLOOKUP(O954,'3D. Pictures'!B:B,'3D. Pictures'!E:E,"NOT FOUND",0,1),"")</f>
        <v/>
      </c>
      <c r="U954"/>
      <c r="V954"/>
      <c r="W954"/>
      <c r="X954"/>
      <c r="Y954"/>
      <c r="Z954"/>
      <c r="AJ954"/>
      <c r="AK954"/>
      <c r="AL954"/>
      <c r="AN954"/>
    </row>
    <row r="955" spans="1:40" x14ac:dyDescent="0.25">
      <c r="A955" s="190" t="str">
        <f t="shared" si="249"/>
        <v/>
      </c>
      <c r="M955"/>
      <c r="N955"/>
      <c r="O955"/>
      <c r="P955"/>
      <c r="Q955"/>
      <c r="R955"/>
      <c r="S955"/>
      <c r="T955" t="str">
        <f>IF(O955&lt;&gt;"",_xlfn.XLOOKUP(O955,'3D. Pictures'!B:B,'3D. Pictures'!E:E,"NOT FOUND",0,1),"")</f>
        <v/>
      </c>
      <c r="U955"/>
      <c r="V955"/>
      <c r="W955"/>
      <c r="X955"/>
      <c r="Y955"/>
      <c r="Z955"/>
      <c r="AJ955"/>
      <c r="AK955"/>
      <c r="AL955"/>
      <c r="AN955"/>
    </row>
    <row r="956" spans="1:40" x14ac:dyDescent="0.25">
      <c r="A956" s="190" t="str">
        <f t="shared" si="249"/>
        <v/>
      </c>
      <c r="M956"/>
      <c r="N956"/>
      <c r="O956"/>
      <c r="P956"/>
      <c r="Q956"/>
      <c r="R956"/>
      <c r="S956"/>
      <c r="T956" t="str">
        <f>IF(O956&lt;&gt;"",_xlfn.XLOOKUP(O956,'3D. Pictures'!B:B,'3D. Pictures'!E:E,"NOT FOUND",0,1),"")</f>
        <v/>
      </c>
      <c r="U956"/>
      <c r="V956"/>
      <c r="W956"/>
      <c r="X956"/>
      <c r="Y956"/>
      <c r="Z956"/>
      <c r="AJ956"/>
      <c r="AK956"/>
      <c r="AL956"/>
      <c r="AN956"/>
    </row>
    <row r="957" spans="1:40" x14ac:dyDescent="0.25">
      <c r="A957" s="190" t="str">
        <f t="shared" si="249"/>
        <v/>
      </c>
      <c r="M957"/>
      <c r="N957"/>
      <c r="O957"/>
      <c r="P957"/>
      <c r="Q957"/>
      <c r="R957"/>
      <c r="S957"/>
      <c r="T957" t="str">
        <f>IF(O957&lt;&gt;"",_xlfn.XLOOKUP(O957,'3D. Pictures'!B:B,'3D. Pictures'!E:E,"NOT FOUND",0,1),"")</f>
        <v/>
      </c>
      <c r="U957"/>
      <c r="V957"/>
      <c r="W957"/>
      <c r="X957"/>
      <c r="Y957"/>
      <c r="Z957"/>
      <c r="AJ957"/>
      <c r="AK957"/>
      <c r="AL957"/>
      <c r="AN957"/>
    </row>
    <row r="958" spans="1:40" x14ac:dyDescent="0.25">
      <c r="A958" s="190" t="str">
        <f t="shared" si="249"/>
        <v/>
      </c>
      <c r="M958"/>
      <c r="N958"/>
      <c r="O958"/>
      <c r="P958"/>
      <c r="Q958"/>
      <c r="R958"/>
      <c r="S958"/>
      <c r="T958" t="str">
        <f>IF(O958&lt;&gt;"",_xlfn.XLOOKUP(O958,'3D. Pictures'!B:B,'3D. Pictures'!E:E,"NOT FOUND",0,1),"")</f>
        <v/>
      </c>
      <c r="U958"/>
      <c r="V958"/>
      <c r="W958"/>
      <c r="X958"/>
      <c r="Y958"/>
      <c r="Z958"/>
      <c r="AJ958"/>
      <c r="AK958"/>
      <c r="AL958"/>
      <c r="AN958"/>
    </row>
    <row r="959" spans="1:40" x14ac:dyDescent="0.25">
      <c r="A959" s="190" t="str">
        <f t="shared" si="249"/>
        <v/>
      </c>
      <c r="M959"/>
      <c r="N959"/>
      <c r="O959"/>
      <c r="P959"/>
      <c r="Q959"/>
      <c r="R959"/>
      <c r="S959"/>
      <c r="T959" t="str">
        <f>IF(O959&lt;&gt;"",_xlfn.XLOOKUP(O959,'3D. Pictures'!B:B,'3D. Pictures'!E:E,"NOT FOUND",0,1),"")</f>
        <v/>
      </c>
      <c r="U959"/>
      <c r="V959"/>
      <c r="W959"/>
      <c r="X959"/>
      <c r="Y959"/>
      <c r="Z959"/>
      <c r="AJ959"/>
      <c r="AK959"/>
      <c r="AL959"/>
      <c r="AN959"/>
    </row>
    <row r="960" spans="1:40" x14ac:dyDescent="0.25">
      <c r="A960" s="190" t="str">
        <f t="shared" si="249"/>
        <v/>
      </c>
      <c r="M960"/>
      <c r="N960"/>
      <c r="O960"/>
      <c r="P960"/>
      <c r="Q960"/>
      <c r="R960"/>
      <c r="S960"/>
      <c r="T960" t="str">
        <f>IF(O960&lt;&gt;"",_xlfn.XLOOKUP(O960,'3D. Pictures'!B:B,'3D. Pictures'!E:E,"NOT FOUND",0,1),"")</f>
        <v/>
      </c>
      <c r="U960"/>
      <c r="V960"/>
      <c r="W960"/>
      <c r="X960"/>
      <c r="Y960"/>
      <c r="Z960"/>
      <c r="AJ960"/>
      <c r="AK960"/>
      <c r="AL960"/>
      <c r="AN960"/>
    </row>
    <row r="961" spans="1:40" x14ac:dyDescent="0.25">
      <c r="A961" s="190" t="str">
        <f t="shared" ref="A961:A1024" si="250">IF(O961&lt;&gt;"",O961,"")</f>
        <v/>
      </c>
      <c r="M961"/>
      <c r="N961"/>
      <c r="O961"/>
      <c r="P961"/>
      <c r="Q961"/>
      <c r="R961"/>
      <c r="S961"/>
      <c r="T961" t="str">
        <f>IF(O961&lt;&gt;"",_xlfn.XLOOKUP(O961,'3D. Pictures'!B:B,'3D. Pictures'!E:E,"NOT FOUND",0,1),"")</f>
        <v/>
      </c>
      <c r="U961"/>
      <c r="V961"/>
      <c r="W961"/>
      <c r="X961"/>
      <c r="Y961"/>
      <c r="Z961"/>
      <c r="AJ961"/>
      <c r="AK961"/>
      <c r="AL961"/>
      <c r="AN961"/>
    </row>
    <row r="962" spans="1:40" x14ac:dyDescent="0.25">
      <c r="A962" s="190" t="str">
        <f t="shared" si="250"/>
        <v/>
      </c>
      <c r="M962"/>
      <c r="N962"/>
      <c r="O962"/>
      <c r="P962"/>
      <c r="Q962"/>
      <c r="R962"/>
      <c r="S962"/>
      <c r="T962" t="str">
        <f>IF(O962&lt;&gt;"",_xlfn.XLOOKUP(O962,'3D. Pictures'!B:B,'3D. Pictures'!E:E,"NOT FOUND",0,1),"")</f>
        <v/>
      </c>
      <c r="U962"/>
      <c r="V962"/>
      <c r="W962"/>
      <c r="X962"/>
      <c r="Y962"/>
      <c r="Z962"/>
      <c r="AJ962"/>
      <c r="AK962"/>
      <c r="AL962"/>
      <c r="AN962"/>
    </row>
    <row r="963" spans="1:40" x14ac:dyDescent="0.25">
      <c r="A963" s="190" t="str">
        <f t="shared" si="250"/>
        <v/>
      </c>
      <c r="M963"/>
      <c r="N963"/>
      <c r="O963"/>
      <c r="P963"/>
      <c r="Q963"/>
      <c r="R963"/>
      <c r="S963"/>
      <c r="T963" t="str">
        <f>IF(O963&lt;&gt;"",_xlfn.XLOOKUP(O963,'3D. Pictures'!B:B,'3D. Pictures'!E:E,"NOT FOUND",0,1),"")</f>
        <v/>
      </c>
      <c r="U963"/>
      <c r="V963"/>
      <c r="W963"/>
      <c r="X963"/>
      <c r="Y963"/>
      <c r="Z963"/>
      <c r="AJ963"/>
      <c r="AK963"/>
      <c r="AL963"/>
      <c r="AN963"/>
    </row>
    <row r="964" spans="1:40" x14ac:dyDescent="0.25">
      <c r="A964" s="190" t="str">
        <f t="shared" si="250"/>
        <v/>
      </c>
      <c r="M964"/>
      <c r="N964"/>
      <c r="O964"/>
      <c r="P964"/>
      <c r="Q964"/>
      <c r="R964"/>
      <c r="S964"/>
      <c r="T964" t="str">
        <f>IF(O964&lt;&gt;"",_xlfn.XLOOKUP(O964,'3D. Pictures'!B:B,'3D. Pictures'!E:E,"NOT FOUND",0,1),"")</f>
        <v/>
      </c>
      <c r="U964"/>
      <c r="V964"/>
      <c r="W964"/>
      <c r="X964"/>
      <c r="Y964"/>
      <c r="Z964"/>
      <c r="AJ964"/>
      <c r="AK964"/>
      <c r="AL964"/>
      <c r="AN964"/>
    </row>
    <row r="965" spans="1:40" x14ac:dyDescent="0.25">
      <c r="A965" s="190" t="str">
        <f t="shared" si="250"/>
        <v/>
      </c>
      <c r="M965"/>
      <c r="N965"/>
      <c r="O965"/>
      <c r="P965"/>
      <c r="Q965"/>
      <c r="R965"/>
      <c r="S965"/>
      <c r="T965" t="str">
        <f>IF(O965&lt;&gt;"",_xlfn.XLOOKUP(O965,'3D. Pictures'!B:B,'3D. Pictures'!E:E,"NOT FOUND",0,1),"")</f>
        <v/>
      </c>
      <c r="U965"/>
      <c r="V965"/>
      <c r="W965"/>
      <c r="X965"/>
      <c r="Y965"/>
      <c r="Z965"/>
      <c r="AJ965"/>
      <c r="AK965"/>
      <c r="AL965"/>
      <c r="AN965"/>
    </row>
    <row r="966" spans="1:40" x14ac:dyDescent="0.25">
      <c r="A966" s="190" t="str">
        <f t="shared" si="250"/>
        <v/>
      </c>
      <c r="M966"/>
      <c r="N966"/>
      <c r="O966"/>
      <c r="P966"/>
      <c r="Q966"/>
      <c r="R966"/>
      <c r="S966"/>
      <c r="T966" t="str">
        <f>IF(O966&lt;&gt;"",_xlfn.XLOOKUP(O966,'3D. Pictures'!B:B,'3D. Pictures'!E:E,"NOT FOUND",0,1),"")</f>
        <v/>
      </c>
      <c r="U966"/>
      <c r="V966"/>
      <c r="W966"/>
      <c r="X966"/>
      <c r="Y966"/>
      <c r="Z966"/>
      <c r="AJ966"/>
      <c r="AK966"/>
      <c r="AL966"/>
      <c r="AN966"/>
    </row>
    <row r="967" spans="1:40" x14ac:dyDescent="0.25">
      <c r="A967" s="190" t="str">
        <f t="shared" si="250"/>
        <v/>
      </c>
      <c r="M967"/>
      <c r="N967"/>
      <c r="O967"/>
      <c r="P967"/>
      <c r="Q967"/>
      <c r="R967"/>
      <c r="S967"/>
      <c r="T967" t="str">
        <f>IF(O967&lt;&gt;"",_xlfn.XLOOKUP(O967,'3D. Pictures'!B:B,'3D. Pictures'!E:E,"NOT FOUND",0,1),"")</f>
        <v/>
      </c>
      <c r="U967"/>
      <c r="V967"/>
      <c r="W967"/>
      <c r="X967"/>
      <c r="Y967"/>
      <c r="Z967"/>
      <c r="AJ967"/>
      <c r="AK967"/>
      <c r="AL967"/>
      <c r="AN967"/>
    </row>
    <row r="968" spans="1:40" x14ac:dyDescent="0.25">
      <c r="A968" s="190" t="str">
        <f t="shared" si="250"/>
        <v/>
      </c>
      <c r="M968"/>
      <c r="N968"/>
      <c r="O968"/>
      <c r="P968"/>
      <c r="Q968"/>
      <c r="R968"/>
      <c r="S968"/>
      <c r="T968" t="str">
        <f>IF(O968&lt;&gt;"",_xlfn.XLOOKUP(O968,'3D. Pictures'!B:B,'3D. Pictures'!E:E,"NOT FOUND",0,1),"")</f>
        <v/>
      </c>
      <c r="U968"/>
      <c r="V968"/>
      <c r="W968"/>
      <c r="X968"/>
      <c r="Y968"/>
      <c r="Z968"/>
      <c r="AJ968"/>
      <c r="AK968"/>
      <c r="AL968"/>
      <c r="AN968"/>
    </row>
    <row r="969" spans="1:40" x14ac:dyDescent="0.25">
      <c r="A969" s="190" t="str">
        <f t="shared" si="250"/>
        <v/>
      </c>
      <c r="M969"/>
      <c r="N969"/>
      <c r="O969"/>
      <c r="P969"/>
      <c r="Q969"/>
      <c r="R969"/>
      <c r="S969"/>
      <c r="T969" t="str">
        <f>IF(O969&lt;&gt;"",_xlfn.XLOOKUP(O969,'3D. Pictures'!B:B,'3D. Pictures'!E:E,"NOT FOUND",0,1),"")</f>
        <v/>
      </c>
      <c r="U969"/>
      <c r="V969"/>
      <c r="W969"/>
      <c r="X969"/>
      <c r="Y969"/>
      <c r="Z969"/>
      <c r="AJ969"/>
      <c r="AK969"/>
      <c r="AL969"/>
      <c r="AN969"/>
    </row>
    <row r="970" spans="1:40" x14ac:dyDescent="0.25">
      <c r="A970" s="190" t="str">
        <f t="shared" si="250"/>
        <v/>
      </c>
      <c r="M970"/>
      <c r="N970"/>
      <c r="O970"/>
      <c r="P970"/>
      <c r="Q970"/>
      <c r="R970"/>
      <c r="S970"/>
      <c r="T970" t="str">
        <f>IF(O970&lt;&gt;"",_xlfn.XLOOKUP(O970,'3D. Pictures'!B:B,'3D. Pictures'!E:E,"NOT FOUND",0,1),"")</f>
        <v/>
      </c>
      <c r="U970"/>
      <c r="V970"/>
      <c r="W970"/>
      <c r="X970"/>
      <c r="Y970"/>
      <c r="Z970"/>
      <c r="AJ970"/>
      <c r="AK970"/>
      <c r="AL970"/>
      <c r="AN970"/>
    </row>
    <row r="971" spans="1:40" x14ac:dyDescent="0.25">
      <c r="A971" s="190" t="str">
        <f t="shared" si="250"/>
        <v/>
      </c>
      <c r="M971"/>
      <c r="N971"/>
      <c r="O971"/>
      <c r="P971"/>
      <c r="Q971"/>
      <c r="R971"/>
      <c r="S971"/>
      <c r="T971" t="str">
        <f>IF(O971&lt;&gt;"",_xlfn.XLOOKUP(O971,'3D. Pictures'!B:B,'3D. Pictures'!E:E,"NOT FOUND",0,1),"")</f>
        <v/>
      </c>
      <c r="U971"/>
      <c r="V971"/>
      <c r="W971"/>
      <c r="X971"/>
      <c r="Y971"/>
      <c r="Z971"/>
      <c r="AJ971"/>
      <c r="AK971"/>
      <c r="AL971"/>
      <c r="AN971"/>
    </row>
    <row r="972" spans="1:40" x14ac:dyDescent="0.25">
      <c r="A972" s="190" t="str">
        <f t="shared" si="250"/>
        <v/>
      </c>
      <c r="M972"/>
      <c r="N972"/>
      <c r="O972"/>
      <c r="P972"/>
      <c r="Q972"/>
      <c r="R972"/>
      <c r="S972"/>
      <c r="T972" t="str">
        <f>IF(O972&lt;&gt;"",_xlfn.XLOOKUP(O972,'3D. Pictures'!B:B,'3D. Pictures'!E:E,"NOT FOUND",0,1),"")</f>
        <v/>
      </c>
      <c r="U972"/>
      <c r="V972"/>
      <c r="W972"/>
      <c r="X972"/>
      <c r="Y972"/>
      <c r="Z972"/>
      <c r="AJ972"/>
      <c r="AK972"/>
      <c r="AL972"/>
      <c r="AN972"/>
    </row>
    <row r="973" spans="1:40" x14ac:dyDescent="0.25">
      <c r="A973" s="190" t="str">
        <f t="shared" si="250"/>
        <v/>
      </c>
      <c r="M973"/>
      <c r="N973"/>
      <c r="O973"/>
      <c r="P973"/>
      <c r="Q973"/>
      <c r="R973"/>
      <c r="S973"/>
      <c r="T973" t="str">
        <f>IF(O973&lt;&gt;"",_xlfn.XLOOKUP(O973,'3D. Pictures'!B:B,'3D. Pictures'!E:E,"NOT FOUND",0,1),"")</f>
        <v/>
      </c>
      <c r="U973"/>
      <c r="V973"/>
      <c r="W973"/>
      <c r="X973"/>
      <c r="Y973"/>
      <c r="Z973"/>
      <c r="AJ973"/>
      <c r="AK973"/>
      <c r="AL973"/>
      <c r="AN973"/>
    </row>
    <row r="974" spans="1:40" x14ac:dyDescent="0.25">
      <c r="A974" s="190" t="str">
        <f t="shared" si="250"/>
        <v/>
      </c>
      <c r="M974"/>
      <c r="N974"/>
      <c r="O974"/>
      <c r="P974"/>
      <c r="Q974"/>
      <c r="R974"/>
      <c r="S974"/>
      <c r="T974" t="str">
        <f>IF(O974&lt;&gt;"",_xlfn.XLOOKUP(O974,'3D. Pictures'!B:B,'3D. Pictures'!E:E,"NOT FOUND",0,1),"")</f>
        <v/>
      </c>
      <c r="U974"/>
      <c r="V974"/>
      <c r="W974"/>
      <c r="X974"/>
      <c r="Y974"/>
      <c r="Z974"/>
      <c r="AJ974"/>
      <c r="AK974"/>
      <c r="AL974"/>
      <c r="AN974"/>
    </row>
    <row r="975" spans="1:40" x14ac:dyDescent="0.25">
      <c r="A975" s="190" t="str">
        <f t="shared" si="250"/>
        <v/>
      </c>
      <c r="M975"/>
      <c r="N975"/>
      <c r="O975"/>
      <c r="P975"/>
      <c r="Q975"/>
      <c r="R975"/>
      <c r="S975"/>
      <c r="T975" t="str">
        <f>IF(O975&lt;&gt;"",_xlfn.XLOOKUP(O975,'3D. Pictures'!B:B,'3D. Pictures'!E:E,"NOT FOUND",0,1),"")</f>
        <v/>
      </c>
      <c r="U975"/>
      <c r="V975"/>
      <c r="W975"/>
      <c r="X975"/>
      <c r="Y975"/>
      <c r="Z975"/>
      <c r="AJ975"/>
      <c r="AK975"/>
      <c r="AL975"/>
      <c r="AN975"/>
    </row>
    <row r="976" spans="1:40" x14ac:dyDescent="0.25">
      <c r="A976" s="190" t="str">
        <f t="shared" si="250"/>
        <v/>
      </c>
      <c r="M976"/>
      <c r="N976"/>
      <c r="O976"/>
      <c r="P976"/>
      <c r="Q976"/>
      <c r="R976"/>
      <c r="S976"/>
      <c r="T976" t="str">
        <f>IF(O976&lt;&gt;"",_xlfn.XLOOKUP(O976,'3D. Pictures'!B:B,'3D. Pictures'!E:E,"NOT FOUND",0,1),"")</f>
        <v/>
      </c>
      <c r="U976"/>
      <c r="V976"/>
      <c r="W976"/>
      <c r="X976"/>
      <c r="Y976"/>
      <c r="Z976"/>
      <c r="AJ976"/>
      <c r="AK976"/>
      <c r="AL976"/>
      <c r="AN976"/>
    </row>
    <row r="977" spans="1:40" x14ac:dyDescent="0.25">
      <c r="A977" s="190" t="str">
        <f t="shared" si="250"/>
        <v/>
      </c>
      <c r="M977"/>
      <c r="N977"/>
      <c r="O977"/>
      <c r="P977"/>
      <c r="Q977"/>
      <c r="R977"/>
      <c r="S977"/>
      <c r="T977" t="str">
        <f>IF(O977&lt;&gt;"",_xlfn.XLOOKUP(O977,'3D. Pictures'!B:B,'3D. Pictures'!E:E,"NOT FOUND",0,1),"")</f>
        <v/>
      </c>
      <c r="U977"/>
      <c r="V977"/>
      <c r="W977"/>
      <c r="X977"/>
      <c r="Y977"/>
      <c r="Z977"/>
      <c r="AJ977"/>
      <c r="AK977"/>
      <c r="AL977"/>
      <c r="AN977"/>
    </row>
    <row r="978" spans="1:40" x14ac:dyDescent="0.25">
      <c r="A978" s="190" t="str">
        <f t="shared" si="250"/>
        <v/>
      </c>
      <c r="M978"/>
      <c r="N978"/>
      <c r="O978"/>
      <c r="P978"/>
      <c r="Q978"/>
      <c r="R978"/>
      <c r="S978"/>
      <c r="T978" t="str">
        <f>IF(O978&lt;&gt;"",_xlfn.XLOOKUP(O978,'3D. Pictures'!B:B,'3D. Pictures'!E:E,"NOT FOUND",0,1),"")</f>
        <v/>
      </c>
      <c r="U978"/>
      <c r="V978"/>
      <c r="W978"/>
      <c r="X978"/>
      <c r="Y978"/>
      <c r="Z978"/>
      <c r="AJ978"/>
      <c r="AK978"/>
      <c r="AL978"/>
      <c r="AN978"/>
    </row>
    <row r="979" spans="1:40" x14ac:dyDescent="0.25">
      <c r="A979" s="190" t="str">
        <f t="shared" si="250"/>
        <v/>
      </c>
      <c r="M979"/>
      <c r="N979"/>
      <c r="O979"/>
      <c r="P979"/>
      <c r="Q979"/>
      <c r="R979"/>
      <c r="S979"/>
      <c r="T979" t="str">
        <f>IF(O979&lt;&gt;"",_xlfn.XLOOKUP(O979,'3D. Pictures'!B:B,'3D. Pictures'!E:E,"NOT FOUND",0,1),"")</f>
        <v/>
      </c>
      <c r="U979"/>
      <c r="V979"/>
      <c r="W979"/>
      <c r="X979"/>
      <c r="Y979"/>
      <c r="Z979"/>
      <c r="AJ979"/>
      <c r="AK979"/>
      <c r="AL979"/>
      <c r="AN979"/>
    </row>
    <row r="980" spans="1:40" x14ac:dyDescent="0.25">
      <c r="A980" s="190" t="str">
        <f t="shared" si="250"/>
        <v/>
      </c>
      <c r="M980"/>
      <c r="N980"/>
      <c r="O980"/>
      <c r="P980"/>
      <c r="Q980"/>
      <c r="R980"/>
      <c r="S980"/>
      <c r="T980" t="str">
        <f>IF(O980&lt;&gt;"",_xlfn.XLOOKUP(O980,'3D. Pictures'!B:B,'3D. Pictures'!E:E,"NOT FOUND",0,1),"")</f>
        <v/>
      </c>
      <c r="U980"/>
      <c r="V980"/>
      <c r="W980"/>
      <c r="X980"/>
      <c r="Y980"/>
      <c r="Z980"/>
      <c r="AJ980"/>
      <c r="AK980"/>
      <c r="AL980"/>
      <c r="AN980"/>
    </row>
    <row r="981" spans="1:40" x14ac:dyDescent="0.25">
      <c r="A981" s="190" t="str">
        <f t="shared" si="250"/>
        <v/>
      </c>
      <c r="M981"/>
      <c r="N981"/>
      <c r="O981"/>
      <c r="P981"/>
      <c r="Q981"/>
      <c r="R981"/>
      <c r="S981"/>
      <c r="T981" t="str">
        <f>IF(O981&lt;&gt;"",_xlfn.XLOOKUP(O981,'3D. Pictures'!B:B,'3D. Pictures'!E:E,"NOT FOUND",0,1),"")</f>
        <v/>
      </c>
      <c r="U981"/>
      <c r="V981"/>
      <c r="W981"/>
      <c r="X981"/>
      <c r="Y981"/>
      <c r="Z981"/>
      <c r="AJ981"/>
      <c r="AK981"/>
      <c r="AL981"/>
      <c r="AN981"/>
    </row>
    <row r="982" spans="1:40" x14ac:dyDescent="0.25">
      <c r="A982" s="190" t="str">
        <f t="shared" si="250"/>
        <v/>
      </c>
      <c r="M982"/>
      <c r="N982"/>
      <c r="O982"/>
      <c r="P982"/>
      <c r="Q982"/>
      <c r="R982"/>
      <c r="S982"/>
      <c r="T982" t="str">
        <f>IF(O982&lt;&gt;"",_xlfn.XLOOKUP(O982,'3D. Pictures'!B:B,'3D. Pictures'!E:E,"NOT FOUND",0,1),"")</f>
        <v/>
      </c>
      <c r="U982"/>
      <c r="V982"/>
      <c r="W982"/>
      <c r="X982"/>
      <c r="Y982"/>
      <c r="Z982"/>
      <c r="AJ982"/>
      <c r="AK982"/>
      <c r="AL982"/>
      <c r="AN982"/>
    </row>
    <row r="983" spans="1:40" x14ac:dyDescent="0.25">
      <c r="A983" s="190" t="str">
        <f t="shared" si="250"/>
        <v/>
      </c>
      <c r="M983"/>
      <c r="N983"/>
      <c r="O983"/>
      <c r="P983"/>
      <c r="Q983"/>
      <c r="R983"/>
      <c r="S983"/>
      <c r="T983" t="str">
        <f>IF(O983&lt;&gt;"",_xlfn.XLOOKUP(O983,'3D. Pictures'!B:B,'3D. Pictures'!E:E,"NOT FOUND",0,1),"")</f>
        <v/>
      </c>
      <c r="U983"/>
      <c r="V983"/>
      <c r="W983"/>
      <c r="X983"/>
      <c r="Y983"/>
      <c r="Z983"/>
      <c r="AJ983"/>
      <c r="AK983"/>
      <c r="AL983"/>
      <c r="AN983"/>
    </row>
    <row r="984" spans="1:40" x14ac:dyDescent="0.25">
      <c r="A984" s="190" t="str">
        <f t="shared" si="250"/>
        <v/>
      </c>
      <c r="M984"/>
      <c r="N984"/>
      <c r="O984"/>
      <c r="P984"/>
      <c r="Q984"/>
      <c r="R984"/>
      <c r="S984"/>
      <c r="T984" t="str">
        <f>IF(O984&lt;&gt;"",_xlfn.XLOOKUP(O984,'3D. Pictures'!B:B,'3D. Pictures'!E:E,"NOT FOUND",0,1),"")</f>
        <v/>
      </c>
      <c r="U984"/>
      <c r="V984"/>
      <c r="W984"/>
      <c r="X984"/>
      <c r="Y984"/>
      <c r="Z984"/>
      <c r="AJ984"/>
      <c r="AK984"/>
      <c r="AL984"/>
      <c r="AN984"/>
    </row>
    <row r="985" spans="1:40" x14ac:dyDescent="0.25">
      <c r="A985" s="190" t="str">
        <f t="shared" si="250"/>
        <v/>
      </c>
      <c r="M985"/>
      <c r="N985"/>
      <c r="O985"/>
      <c r="P985"/>
      <c r="Q985"/>
      <c r="R985"/>
      <c r="S985"/>
      <c r="T985" t="str">
        <f>IF(O985&lt;&gt;"",_xlfn.XLOOKUP(O985,'3D. Pictures'!B:B,'3D. Pictures'!E:E,"NOT FOUND",0,1),"")</f>
        <v/>
      </c>
      <c r="U985"/>
      <c r="V985"/>
      <c r="W985"/>
      <c r="X985"/>
      <c r="Y985"/>
      <c r="Z985"/>
      <c r="AJ985"/>
      <c r="AK985"/>
      <c r="AL985"/>
      <c r="AN985"/>
    </row>
    <row r="986" spans="1:40" x14ac:dyDescent="0.25">
      <c r="A986" s="190" t="str">
        <f t="shared" si="250"/>
        <v/>
      </c>
      <c r="M986"/>
      <c r="N986"/>
      <c r="O986"/>
      <c r="P986"/>
      <c r="Q986"/>
      <c r="R986"/>
      <c r="S986"/>
      <c r="T986" t="str">
        <f>IF(O986&lt;&gt;"",_xlfn.XLOOKUP(O986,'3D. Pictures'!B:B,'3D. Pictures'!E:E,"NOT FOUND",0,1),"")</f>
        <v/>
      </c>
      <c r="U986"/>
      <c r="V986"/>
      <c r="W986"/>
      <c r="X986"/>
      <c r="Y986"/>
      <c r="Z986"/>
      <c r="AJ986"/>
      <c r="AK986"/>
      <c r="AL986"/>
      <c r="AN986"/>
    </row>
    <row r="987" spans="1:40" x14ac:dyDescent="0.25">
      <c r="A987" s="190" t="str">
        <f t="shared" si="250"/>
        <v/>
      </c>
      <c r="M987"/>
      <c r="N987"/>
      <c r="O987"/>
      <c r="P987"/>
      <c r="Q987"/>
      <c r="R987"/>
      <c r="S987"/>
      <c r="T987" t="str">
        <f>IF(O987&lt;&gt;"",_xlfn.XLOOKUP(O987,'3D. Pictures'!B:B,'3D. Pictures'!E:E,"NOT FOUND",0,1),"")</f>
        <v/>
      </c>
      <c r="U987"/>
      <c r="V987"/>
      <c r="W987"/>
      <c r="X987"/>
      <c r="Y987"/>
      <c r="Z987"/>
      <c r="AJ987"/>
      <c r="AK987"/>
      <c r="AL987"/>
      <c r="AN987"/>
    </row>
    <row r="988" spans="1:40" x14ac:dyDescent="0.25">
      <c r="A988" s="190" t="str">
        <f t="shared" si="250"/>
        <v/>
      </c>
      <c r="M988"/>
      <c r="N988"/>
      <c r="O988"/>
      <c r="P988"/>
      <c r="Q988"/>
      <c r="R988"/>
      <c r="S988"/>
      <c r="T988" t="str">
        <f>IF(O988&lt;&gt;"",_xlfn.XLOOKUP(O988,'3D. Pictures'!B:B,'3D. Pictures'!E:E,"NOT FOUND",0,1),"")</f>
        <v/>
      </c>
      <c r="U988"/>
      <c r="V988"/>
      <c r="W988"/>
      <c r="X988"/>
      <c r="Y988"/>
      <c r="Z988"/>
      <c r="AJ988"/>
      <c r="AK988"/>
      <c r="AL988"/>
      <c r="AN988"/>
    </row>
    <row r="989" spans="1:40" x14ac:dyDescent="0.25">
      <c r="A989" s="190" t="str">
        <f t="shared" si="250"/>
        <v/>
      </c>
      <c r="M989"/>
      <c r="N989"/>
      <c r="O989"/>
      <c r="P989"/>
      <c r="Q989"/>
      <c r="R989"/>
      <c r="S989"/>
      <c r="T989"/>
      <c r="U989"/>
      <c r="V989"/>
      <c r="W989"/>
      <c r="X989"/>
      <c r="Y989"/>
      <c r="Z989"/>
      <c r="AJ989"/>
      <c r="AK989"/>
      <c r="AL989"/>
      <c r="AN989"/>
    </row>
    <row r="990" spans="1:40" x14ac:dyDescent="0.25">
      <c r="A990" s="190" t="str">
        <f t="shared" si="250"/>
        <v/>
      </c>
      <c r="M990"/>
      <c r="N990"/>
      <c r="O990"/>
      <c r="P990"/>
      <c r="Q990"/>
      <c r="R990"/>
      <c r="S990"/>
      <c r="T990"/>
      <c r="U990"/>
      <c r="V990"/>
      <c r="W990"/>
      <c r="X990"/>
      <c r="Y990"/>
      <c r="Z990"/>
      <c r="AJ990"/>
      <c r="AK990"/>
      <c r="AL990"/>
      <c r="AN990"/>
    </row>
    <row r="991" spans="1:40" x14ac:dyDescent="0.25">
      <c r="A991" s="190" t="str">
        <f t="shared" si="250"/>
        <v/>
      </c>
      <c r="M991"/>
      <c r="N991"/>
      <c r="O991"/>
      <c r="P991"/>
      <c r="Q991"/>
      <c r="R991"/>
      <c r="S991"/>
      <c r="T991"/>
      <c r="U991"/>
      <c r="V991"/>
      <c r="W991"/>
      <c r="X991"/>
      <c r="Y991"/>
      <c r="Z991"/>
      <c r="AJ991"/>
      <c r="AK991"/>
      <c r="AL991"/>
      <c r="AN991"/>
    </row>
    <row r="992" spans="1:40" x14ac:dyDescent="0.25">
      <c r="A992" s="190" t="str">
        <f t="shared" si="250"/>
        <v/>
      </c>
      <c r="M992"/>
      <c r="N992"/>
      <c r="O992"/>
      <c r="P992"/>
      <c r="Q992"/>
      <c r="R992"/>
      <c r="S992"/>
      <c r="T992"/>
      <c r="U992"/>
      <c r="V992"/>
      <c r="W992"/>
      <c r="X992"/>
      <c r="Y992"/>
      <c r="Z992"/>
      <c r="AJ992"/>
      <c r="AK992"/>
      <c r="AL992"/>
      <c r="AN992"/>
    </row>
    <row r="993" spans="1:40" x14ac:dyDescent="0.25">
      <c r="A993" s="190" t="str">
        <f t="shared" si="250"/>
        <v/>
      </c>
      <c r="M993"/>
      <c r="N993"/>
      <c r="O993"/>
      <c r="P993"/>
      <c r="Q993"/>
      <c r="R993"/>
      <c r="S993"/>
      <c r="T993"/>
      <c r="U993"/>
      <c r="V993"/>
      <c r="W993"/>
      <c r="X993"/>
      <c r="Y993"/>
      <c r="Z993"/>
      <c r="AJ993"/>
      <c r="AK993"/>
      <c r="AL993"/>
      <c r="AN993"/>
    </row>
    <row r="994" spans="1:40" x14ac:dyDescent="0.25">
      <c r="A994" s="190" t="str">
        <f t="shared" si="250"/>
        <v/>
      </c>
      <c r="M994"/>
      <c r="N994"/>
      <c r="O994"/>
      <c r="P994"/>
      <c r="Q994"/>
      <c r="R994"/>
      <c r="S994"/>
      <c r="T994"/>
      <c r="U994"/>
      <c r="V994"/>
      <c r="W994"/>
      <c r="X994"/>
      <c r="Y994"/>
      <c r="Z994"/>
      <c r="AJ994"/>
      <c r="AK994"/>
      <c r="AL994"/>
      <c r="AN994"/>
    </row>
    <row r="995" spans="1:40" x14ac:dyDescent="0.25">
      <c r="A995" s="190" t="str">
        <f t="shared" si="250"/>
        <v/>
      </c>
      <c r="M995"/>
      <c r="N995"/>
      <c r="O995"/>
      <c r="P995"/>
      <c r="Q995"/>
      <c r="R995"/>
      <c r="S995"/>
      <c r="T995"/>
      <c r="U995"/>
      <c r="V995"/>
      <c r="W995"/>
      <c r="X995"/>
      <c r="Y995"/>
      <c r="Z995"/>
      <c r="AJ995"/>
      <c r="AK995"/>
      <c r="AL995"/>
      <c r="AN995"/>
    </row>
    <row r="996" spans="1:40" x14ac:dyDescent="0.25">
      <c r="A996" s="190" t="str">
        <f t="shared" si="250"/>
        <v/>
      </c>
      <c r="M996"/>
      <c r="N996"/>
      <c r="O996"/>
      <c r="P996"/>
      <c r="Q996"/>
      <c r="R996"/>
      <c r="S996"/>
      <c r="T996"/>
      <c r="U996"/>
      <c r="V996"/>
      <c r="W996"/>
      <c r="X996"/>
      <c r="Y996"/>
      <c r="Z996"/>
      <c r="AJ996"/>
      <c r="AK996"/>
      <c r="AL996"/>
      <c r="AN996"/>
    </row>
    <row r="997" spans="1:40" x14ac:dyDescent="0.25">
      <c r="A997" s="190" t="str">
        <f t="shared" si="250"/>
        <v/>
      </c>
      <c r="M997"/>
      <c r="N997"/>
      <c r="O997"/>
      <c r="P997"/>
      <c r="Q997"/>
      <c r="R997"/>
      <c r="S997"/>
      <c r="T997"/>
      <c r="U997"/>
      <c r="V997"/>
      <c r="W997"/>
      <c r="X997"/>
      <c r="Y997"/>
      <c r="Z997"/>
      <c r="AJ997"/>
      <c r="AK997"/>
      <c r="AL997"/>
      <c r="AN997"/>
    </row>
    <row r="998" spans="1:40" x14ac:dyDescent="0.25">
      <c r="A998" s="190" t="str">
        <f t="shared" si="250"/>
        <v/>
      </c>
      <c r="M998"/>
      <c r="N998"/>
      <c r="O998"/>
      <c r="P998"/>
      <c r="Q998"/>
      <c r="R998"/>
      <c r="S998"/>
      <c r="T998"/>
      <c r="U998"/>
      <c r="V998"/>
      <c r="W998"/>
      <c r="X998"/>
      <c r="Y998"/>
      <c r="Z998"/>
      <c r="AJ998"/>
      <c r="AK998"/>
      <c r="AL998"/>
      <c r="AN998"/>
    </row>
    <row r="999" spans="1:40" x14ac:dyDescent="0.25">
      <c r="A999" s="190" t="str">
        <f t="shared" si="250"/>
        <v/>
      </c>
      <c r="M999"/>
      <c r="N999"/>
      <c r="O999"/>
      <c r="P999"/>
      <c r="Q999"/>
      <c r="R999"/>
      <c r="S999"/>
      <c r="T999"/>
      <c r="U999"/>
      <c r="V999"/>
      <c r="W999"/>
      <c r="X999"/>
      <c r="Y999"/>
      <c r="Z999"/>
      <c r="AJ999"/>
      <c r="AK999"/>
      <c r="AL999"/>
      <c r="AN999"/>
    </row>
    <row r="1000" spans="1:40" x14ac:dyDescent="0.25">
      <c r="A1000" s="190" t="str">
        <f t="shared" si="250"/>
        <v/>
      </c>
      <c r="M1000"/>
      <c r="N1000"/>
      <c r="O1000"/>
      <c r="P1000"/>
      <c r="Q1000"/>
      <c r="R1000"/>
      <c r="S1000"/>
      <c r="T1000"/>
      <c r="U1000"/>
      <c r="V1000"/>
      <c r="W1000"/>
      <c r="X1000"/>
      <c r="Y1000"/>
      <c r="Z1000"/>
      <c r="AJ1000"/>
      <c r="AK1000"/>
      <c r="AL1000"/>
      <c r="AN1000"/>
    </row>
    <row r="1001" spans="1:40" x14ac:dyDescent="0.25">
      <c r="A1001" s="190" t="str">
        <f t="shared" si="250"/>
        <v/>
      </c>
      <c r="M1001"/>
      <c r="N1001"/>
      <c r="O1001"/>
      <c r="P1001"/>
      <c r="Q1001"/>
      <c r="R1001"/>
      <c r="S1001"/>
      <c r="T1001"/>
      <c r="U1001"/>
      <c r="V1001"/>
      <c r="W1001"/>
      <c r="X1001"/>
      <c r="Y1001"/>
      <c r="Z1001"/>
      <c r="AJ1001"/>
      <c r="AK1001"/>
      <c r="AL1001"/>
      <c r="AN1001"/>
    </row>
    <row r="1002" spans="1:40" x14ac:dyDescent="0.25">
      <c r="A1002" s="190" t="str">
        <f t="shared" si="250"/>
        <v/>
      </c>
      <c r="M1002"/>
      <c r="N1002"/>
      <c r="O1002"/>
      <c r="P1002"/>
      <c r="Q1002"/>
      <c r="R1002"/>
      <c r="S1002"/>
      <c r="T1002"/>
      <c r="U1002"/>
      <c r="V1002"/>
      <c r="W1002"/>
      <c r="X1002"/>
      <c r="Y1002"/>
      <c r="Z1002"/>
      <c r="AJ1002"/>
      <c r="AK1002"/>
      <c r="AL1002"/>
      <c r="AN1002"/>
    </row>
    <row r="1003" spans="1:40" x14ac:dyDescent="0.25">
      <c r="A1003" s="190" t="str">
        <f t="shared" si="250"/>
        <v/>
      </c>
      <c r="M1003"/>
      <c r="N1003"/>
      <c r="O1003"/>
      <c r="P1003"/>
      <c r="Q1003"/>
      <c r="R1003"/>
      <c r="S1003"/>
      <c r="T1003"/>
      <c r="U1003"/>
      <c r="V1003"/>
      <c r="W1003"/>
      <c r="X1003"/>
      <c r="Y1003"/>
      <c r="Z1003"/>
      <c r="AJ1003"/>
      <c r="AK1003"/>
      <c r="AL1003"/>
      <c r="AN1003"/>
    </row>
    <row r="1004" spans="1:40" x14ac:dyDescent="0.25">
      <c r="A1004" s="190" t="str">
        <f t="shared" si="250"/>
        <v/>
      </c>
      <c r="M1004"/>
      <c r="N1004"/>
      <c r="O1004"/>
      <c r="P1004"/>
      <c r="Q1004"/>
      <c r="R1004"/>
      <c r="S1004"/>
      <c r="T1004"/>
      <c r="U1004"/>
      <c r="V1004"/>
      <c r="W1004"/>
      <c r="X1004"/>
      <c r="Y1004"/>
      <c r="Z1004"/>
      <c r="AJ1004"/>
      <c r="AK1004"/>
      <c r="AL1004"/>
      <c r="AN1004"/>
    </row>
    <row r="1005" spans="1:40" x14ac:dyDescent="0.25">
      <c r="A1005" s="190" t="str">
        <f t="shared" si="250"/>
        <v/>
      </c>
      <c r="M1005"/>
      <c r="N1005"/>
      <c r="O1005"/>
      <c r="P1005"/>
      <c r="Q1005"/>
      <c r="R1005"/>
      <c r="S1005"/>
      <c r="T1005"/>
      <c r="U1005"/>
      <c r="V1005"/>
      <c r="W1005"/>
      <c r="X1005"/>
      <c r="Y1005"/>
      <c r="Z1005"/>
      <c r="AJ1005"/>
      <c r="AK1005"/>
      <c r="AL1005"/>
      <c r="AN1005"/>
    </row>
    <row r="1006" spans="1:40" x14ac:dyDescent="0.25">
      <c r="A1006" s="190" t="str">
        <f t="shared" si="250"/>
        <v/>
      </c>
      <c r="M1006"/>
      <c r="N1006"/>
      <c r="O1006"/>
      <c r="P1006"/>
      <c r="Q1006"/>
      <c r="R1006"/>
      <c r="S1006"/>
      <c r="T1006"/>
      <c r="U1006"/>
      <c r="V1006"/>
      <c r="W1006"/>
      <c r="X1006"/>
      <c r="Y1006"/>
      <c r="Z1006"/>
      <c r="AJ1006"/>
      <c r="AK1006"/>
      <c r="AL1006"/>
      <c r="AN1006"/>
    </row>
    <row r="1007" spans="1:40" x14ac:dyDescent="0.25">
      <c r="A1007" s="190" t="str">
        <f t="shared" si="250"/>
        <v/>
      </c>
      <c r="M1007"/>
      <c r="N1007"/>
      <c r="O1007"/>
      <c r="P1007"/>
      <c r="Q1007"/>
      <c r="R1007"/>
      <c r="S1007"/>
      <c r="T1007"/>
      <c r="U1007"/>
      <c r="V1007"/>
      <c r="W1007"/>
      <c r="X1007"/>
      <c r="Y1007"/>
      <c r="Z1007"/>
      <c r="AJ1007"/>
      <c r="AK1007"/>
      <c r="AL1007"/>
      <c r="AN1007"/>
    </row>
    <row r="1008" spans="1:40" x14ac:dyDescent="0.25">
      <c r="A1008" s="190" t="str">
        <f t="shared" si="250"/>
        <v/>
      </c>
      <c r="M1008"/>
      <c r="N1008"/>
      <c r="O1008"/>
      <c r="P1008"/>
      <c r="Q1008"/>
      <c r="R1008"/>
      <c r="S1008"/>
      <c r="T1008"/>
      <c r="U1008"/>
      <c r="V1008"/>
      <c r="W1008"/>
      <c r="X1008"/>
      <c r="Y1008"/>
      <c r="Z1008"/>
      <c r="AJ1008"/>
      <c r="AK1008"/>
      <c r="AL1008"/>
      <c r="AN1008"/>
    </row>
    <row r="1009" spans="1:40" x14ac:dyDescent="0.25">
      <c r="A1009" s="190" t="str">
        <f t="shared" si="250"/>
        <v/>
      </c>
      <c r="M1009"/>
      <c r="N1009"/>
      <c r="O1009"/>
      <c r="P1009"/>
      <c r="Q1009"/>
      <c r="R1009"/>
      <c r="S1009"/>
      <c r="T1009"/>
      <c r="U1009"/>
      <c r="V1009"/>
      <c r="W1009"/>
      <c r="X1009"/>
      <c r="Y1009"/>
      <c r="Z1009"/>
      <c r="AJ1009"/>
      <c r="AK1009"/>
      <c r="AL1009"/>
      <c r="AN1009"/>
    </row>
    <row r="1010" spans="1:40" x14ac:dyDescent="0.25">
      <c r="A1010" s="190" t="str">
        <f t="shared" si="250"/>
        <v/>
      </c>
      <c r="M1010"/>
      <c r="N1010"/>
      <c r="O1010"/>
      <c r="P1010"/>
      <c r="Q1010"/>
      <c r="R1010"/>
      <c r="S1010"/>
      <c r="T1010"/>
      <c r="U1010"/>
      <c r="V1010"/>
      <c r="W1010"/>
      <c r="X1010"/>
      <c r="Y1010"/>
      <c r="Z1010"/>
      <c r="AJ1010"/>
      <c r="AK1010"/>
      <c r="AL1010"/>
      <c r="AN1010"/>
    </row>
    <row r="1011" spans="1:40" x14ac:dyDescent="0.25">
      <c r="A1011" s="190" t="str">
        <f t="shared" si="250"/>
        <v/>
      </c>
      <c r="M1011"/>
      <c r="N1011"/>
      <c r="O1011"/>
      <c r="P1011"/>
      <c r="Q1011"/>
      <c r="R1011"/>
      <c r="S1011"/>
      <c r="T1011"/>
      <c r="U1011"/>
      <c r="V1011"/>
      <c r="W1011"/>
      <c r="X1011"/>
      <c r="Y1011"/>
      <c r="Z1011"/>
      <c r="AJ1011"/>
      <c r="AK1011"/>
      <c r="AL1011"/>
      <c r="AN1011"/>
    </row>
    <row r="1012" spans="1:40" x14ac:dyDescent="0.25">
      <c r="A1012" s="190" t="str">
        <f t="shared" si="250"/>
        <v/>
      </c>
      <c r="M1012"/>
      <c r="N1012"/>
      <c r="O1012"/>
      <c r="P1012"/>
      <c r="Q1012"/>
      <c r="R1012"/>
      <c r="S1012"/>
      <c r="T1012"/>
      <c r="U1012"/>
      <c r="V1012"/>
      <c r="W1012"/>
      <c r="X1012"/>
      <c r="Y1012"/>
      <c r="Z1012"/>
      <c r="AJ1012"/>
      <c r="AK1012"/>
      <c r="AL1012"/>
      <c r="AN1012"/>
    </row>
    <row r="1013" spans="1:40" x14ac:dyDescent="0.25">
      <c r="A1013" s="190" t="str">
        <f t="shared" si="250"/>
        <v/>
      </c>
      <c r="M1013"/>
      <c r="N1013"/>
      <c r="O1013"/>
      <c r="P1013"/>
      <c r="Q1013"/>
      <c r="R1013"/>
      <c r="S1013"/>
      <c r="T1013"/>
      <c r="U1013"/>
      <c r="V1013"/>
      <c r="W1013"/>
      <c r="X1013"/>
      <c r="Y1013"/>
      <c r="Z1013"/>
      <c r="AJ1013"/>
      <c r="AK1013"/>
      <c r="AL1013"/>
      <c r="AN1013"/>
    </row>
    <row r="1014" spans="1:40" x14ac:dyDescent="0.25">
      <c r="A1014" s="190" t="str">
        <f t="shared" si="250"/>
        <v/>
      </c>
      <c r="M1014"/>
      <c r="N1014"/>
      <c r="O1014"/>
      <c r="P1014"/>
      <c r="Q1014"/>
      <c r="R1014"/>
      <c r="S1014"/>
      <c r="T1014"/>
      <c r="U1014"/>
      <c r="V1014"/>
      <c r="W1014"/>
      <c r="X1014"/>
      <c r="Y1014"/>
      <c r="Z1014"/>
      <c r="AJ1014"/>
      <c r="AK1014"/>
      <c r="AL1014"/>
      <c r="AN1014"/>
    </row>
    <row r="1015" spans="1:40" x14ac:dyDescent="0.25">
      <c r="A1015" s="190" t="str">
        <f t="shared" si="250"/>
        <v/>
      </c>
      <c r="M1015"/>
      <c r="N1015"/>
      <c r="O1015"/>
      <c r="P1015"/>
      <c r="Q1015"/>
      <c r="R1015"/>
      <c r="S1015"/>
      <c r="T1015"/>
      <c r="U1015"/>
      <c r="V1015"/>
      <c r="W1015"/>
      <c r="X1015"/>
      <c r="Y1015"/>
      <c r="Z1015"/>
      <c r="AJ1015"/>
      <c r="AK1015"/>
      <c r="AL1015"/>
      <c r="AN1015"/>
    </row>
    <row r="1016" spans="1:40" x14ac:dyDescent="0.25">
      <c r="A1016" s="190" t="str">
        <f t="shared" si="250"/>
        <v/>
      </c>
      <c r="M1016"/>
      <c r="N1016"/>
      <c r="O1016"/>
      <c r="P1016"/>
      <c r="Q1016"/>
      <c r="R1016"/>
      <c r="S1016"/>
      <c r="T1016"/>
      <c r="U1016"/>
      <c r="V1016"/>
      <c r="W1016"/>
      <c r="X1016"/>
      <c r="Y1016"/>
      <c r="Z1016"/>
      <c r="AJ1016"/>
      <c r="AK1016"/>
      <c r="AL1016"/>
      <c r="AN1016"/>
    </row>
    <row r="1017" spans="1:40" x14ac:dyDescent="0.25">
      <c r="A1017" s="190" t="str">
        <f t="shared" si="250"/>
        <v/>
      </c>
      <c r="M1017"/>
      <c r="N1017"/>
      <c r="O1017"/>
      <c r="P1017"/>
      <c r="Q1017"/>
      <c r="R1017"/>
      <c r="S1017"/>
      <c r="T1017"/>
      <c r="U1017"/>
      <c r="V1017"/>
      <c r="W1017"/>
      <c r="X1017"/>
      <c r="Y1017"/>
      <c r="Z1017"/>
      <c r="AJ1017"/>
      <c r="AK1017"/>
      <c r="AL1017"/>
      <c r="AN1017"/>
    </row>
    <row r="1018" spans="1:40" x14ac:dyDescent="0.25">
      <c r="A1018" s="190" t="str">
        <f t="shared" si="250"/>
        <v/>
      </c>
      <c r="M1018"/>
      <c r="N1018"/>
      <c r="O1018"/>
      <c r="P1018"/>
      <c r="Q1018"/>
      <c r="R1018"/>
      <c r="S1018"/>
      <c r="T1018"/>
      <c r="U1018"/>
      <c r="V1018"/>
      <c r="W1018"/>
      <c r="X1018"/>
      <c r="Y1018"/>
      <c r="Z1018"/>
      <c r="AJ1018"/>
      <c r="AK1018"/>
      <c r="AL1018"/>
      <c r="AN1018"/>
    </row>
    <row r="1019" spans="1:40" x14ac:dyDescent="0.25">
      <c r="A1019" s="190" t="str">
        <f t="shared" si="250"/>
        <v/>
      </c>
      <c r="M1019"/>
      <c r="N1019"/>
      <c r="O1019"/>
      <c r="P1019"/>
      <c r="Q1019"/>
      <c r="R1019"/>
      <c r="S1019"/>
      <c r="T1019"/>
      <c r="U1019"/>
      <c r="V1019"/>
      <c r="W1019"/>
      <c r="X1019"/>
      <c r="Y1019"/>
      <c r="Z1019"/>
      <c r="AJ1019"/>
      <c r="AK1019"/>
      <c r="AL1019"/>
      <c r="AN1019"/>
    </row>
    <row r="1020" spans="1:40" x14ac:dyDescent="0.25">
      <c r="A1020" s="190" t="str">
        <f t="shared" si="250"/>
        <v/>
      </c>
      <c r="M1020"/>
      <c r="N1020"/>
      <c r="O1020"/>
      <c r="P1020"/>
      <c r="Q1020"/>
      <c r="R1020"/>
      <c r="S1020"/>
      <c r="T1020"/>
      <c r="U1020"/>
      <c r="V1020"/>
      <c r="W1020"/>
      <c r="X1020"/>
      <c r="Y1020"/>
      <c r="Z1020"/>
      <c r="AJ1020"/>
      <c r="AK1020"/>
      <c r="AL1020"/>
      <c r="AN1020"/>
    </row>
    <row r="1021" spans="1:40" x14ac:dyDescent="0.25">
      <c r="A1021" s="190" t="str">
        <f t="shared" si="250"/>
        <v/>
      </c>
      <c r="M1021"/>
      <c r="N1021"/>
      <c r="O1021"/>
      <c r="P1021"/>
      <c r="Q1021"/>
      <c r="R1021"/>
      <c r="S1021"/>
      <c r="T1021"/>
      <c r="U1021"/>
      <c r="V1021"/>
      <c r="W1021"/>
      <c r="X1021"/>
      <c r="Y1021"/>
      <c r="Z1021"/>
      <c r="AJ1021"/>
      <c r="AK1021"/>
      <c r="AL1021"/>
      <c r="AN1021"/>
    </row>
    <row r="1022" spans="1:40" x14ac:dyDescent="0.25">
      <c r="A1022" s="190" t="str">
        <f t="shared" si="250"/>
        <v/>
      </c>
      <c r="M1022"/>
      <c r="N1022"/>
      <c r="O1022"/>
      <c r="P1022"/>
      <c r="Q1022"/>
      <c r="R1022"/>
      <c r="S1022"/>
      <c r="T1022"/>
      <c r="U1022"/>
      <c r="V1022"/>
      <c r="W1022"/>
      <c r="X1022"/>
      <c r="Y1022"/>
      <c r="Z1022"/>
      <c r="AJ1022"/>
      <c r="AK1022"/>
      <c r="AL1022"/>
      <c r="AN1022"/>
    </row>
    <row r="1023" spans="1:40" x14ac:dyDescent="0.25">
      <c r="A1023" s="190" t="str">
        <f t="shared" si="250"/>
        <v/>
      </c>
      <c r="M1023"/>
      <c r="N1023"/>
      <c r="O1023"/>
      <c r="P1023"/>
      <c r="Q1023"/>
      <c r="R1023"/>
      <c r="S1023"/>
      <c r="T1023"/>
      <c r="U1023"/>
      <c r="V1023"/>
      <c r="W1023"/>
      <c r="X1023"/>
      <c r="Y1023"/>
      <c r="Z1023"/>
      <c r="AJ1023"/>
      <c r="AK1023"/>
      <c r="AL1023"/>
      <c r="AN1023"/>
    </row>
    <row r="1024" spans="1:40" x14ac:dyDescent="0.25">
      <c r="A1024" s="190" t="str">
        <f t="shared" si="250"/>
        <v/>
      </c>
      <c r="M1024"/>
      <c r="N1024"/>
      <c r="O1024"/>
      <c r="P1024"/>
      <c r="Q1024"/>
      <c r="R1024"/>
      <c r="S1024"/>
      <c r="T1024"/>
      <c r="U1024"/>
      <c r="V1024"/>
      <c r="W1024"/>
      <c r="X1024"/>
      <c r="Y1024"/>
      <c r="Z1024"/>
      <c r="AJ1024"/>
      <c r="AK1024"/>
      <c r="AL1024"/>
      <c r="AN1024"/>
    </row>
    <row r="1025" spans="1:40" x14ac:dyDescent="0.25">
      <c r="A1025" s="190" t="str">
        <f t="shared" ref="A1025:A1026" si="251">IF(O1025&lt;&gt;"",O1025,"")</f>
        <v/>
      </c>
      <c r="M1025"/>
      <c r="N1025"/>
      <c r="O1025"/>
      <c r="P1025"/>
      <c r="Q1025"/>
      <c r="R1025"/>
      <c r="S1025"/>
      <c r="T1025"/>
      <c r="U1025"/>
      <c r="V1025"/>
      <c r="W1025"/>
      <c r="X1025"/>
      <c r="Y1025"/>
      <c r="Z1025"/>
      <c r="AJ1025"/>
      <c r="AK1025"/>
      <c r="AL1025"/>
      <c r="AN1025"/>
    </row>
    <row r="1026" spans="1:40" x14ac:dyDescent="0.25">
      <c r="A1026" s="190" t="str">
        <f t="shared" si="251"/>
        <v/>
      </c>
      <c r="M1026"/>
      <c r="N1026"/>
      <c r="O1026"/>
      <c r="P1026"/>
      <c r="Q1026"/>
      <c r="R1026"/>
      <c r="S1026"/>
      <c r="T1026"/>
      <c r="U1026"/>
      <c r="V1026"/>
      <c r="W1026"/>
      <c r="X1026"/>
      <c r="Y1026"/>
      <c r="Z1026"/>
      <c r="AJ1026"/>
      <c r="AK1026"/>
      <c r="AL1026"/>
      <c r="AN1026"/>
    </row>
    <row r="1027" spans="1:40" x14ac:dyDescent="0.25">
      <c r="M1027"/>
      <c r="N1027"/>
      <c r="O1027"/>
      <c r="P1027"/>
      <c r="Q1027"/>
      <c r="R1027"/>
      <c r="S1027"/>
      <c r="T1027"/>
      <c r="U1027"/>
      <c r="V1027"/>
      <c r="W1027"/>
      <c r="X1027"/>
      <c r="Y1027"/>
      <c r="Z1027"/>
      <c r="AJ1027"/>
      <c r="AK1027"/>
      <c r="AL1027"/>
      <c r="AN1027"/>
    </row>
    <row r="1028" spans="1:40" x14ac:dyDescent="0.25">
      <c r="M1028"/>
      <c r="N1028"/>
      <c r="O1028"/>
      <c r="P1028"/>
      <c r="Q1028"/>
      <c r="R1028"/>
      <c r="S1028"/>
      <c r="T1028"/>
      <c r="U1028"/>
      <c r="V1028"/>
      <c r="W1028"/>
      <c r="X1028"/>
      <c r="Y1028"/>
      <c r="Z1028"/>
      <c r="AJ1028"/>
      <c r="AK1028"/>
      <c r="AL1028"/>
      <c r="AN1028"/>
    </row>
    <row r="1029" spans="1:40" x14ac:dyDescent="0.25">
      <c r="M1029"/>
      <c r="N1029"/>
      <c r="O1029"/>
      <c r="P1029"/>
      <c r="Q1029"/>
      <c r="R1029"/>
      <c r="S1029"/>
      <c r="T1029"/>
      <c r="U1029"/>
      <c r="V1029"/>
      <c r="W1029"/>
      <c r="X1029"/>
      <c r="Y1029"/>
      <c r="Z1029"/>
      <c r="AJ1029"/>
      <c r="AK1029"/>
      <c r="AL1029"/>
      <c r="AN1029"/>
    </row>
    <row r="1030" spans="1:40" x14ac:dyDescent="0.25">
      <c r="M1030"/>
      <c r="N1030"/>
      <c r="O1030"/>
      <c r="P1030"/>
      <c r="Q1030"/>
      <c r="R1030"/>
      <c r="S1030"/>
      <c r="T1030"/>
      <c r="U1030"/>
      <c r="V1030"/>
      <c r="W1030"/>
      <c r="X1030"/>
      <c r="Y1030"/>
      <c r="Z1030"/>
      <c r="AJ1030"/>
      <c r="AK1030"/>
      <c r="AL1030"/>
      <c r="AN1030"/>
    </row>
    <row r="1031" spans="1:40" x14ac:dyDescent="0.25">
      <c r="M1031"/>
      <c r="N1031"/>
      <c r="O1031"/>
      <c r="P1031"/>
      <c r="Q1031"/>
      <c r="R1031"/>
      <c r="S1031"/>
      <c r="T1031"/>
      <c r="U1031"/>
      <c r="V1031"/>
      <c r="W1031"/>
      <c r="X1031"/>
      <c r="Y1031"/>
      <c r="Z1031"/>
      <c r="AJ1031"/>
      <c r="AK1031"/>
      <c r="AL1031"/>
      <c r="AN1031"/>
    </row>
    <row r="1032" spans="1:40" x14ac:dyDescent="0.25">
      <c r="M1032"/>
      <c r="N1032"/>
      <c r="O1032"/>
      <c r="P1032"/>
      <c r="Q1032"/>
      <c r="R1032"/>
      <c r="S1032"/>
      <c r="T1032"/>
      <c r="U1032"/>
      <c r="V1032"/>
      <c r="W1032"/>
      <c r="X1032"/>
      <c r="Y1032"/>
      <c r="Z1032"/>
      <c r="AJ1032"/>
      <c r="AK1032"/>
      <c r="AL1032"/>
      <c r="AN1032"/>
    </row>
    <row r="1033" spans="1:40" x14ac:dyDescent="0.25">
      <c r="M1033"/>
      <c r="N1033"/>
      <c r="O1033"/>
      <c r="P1033"/>
      <c r="Q1033"/>
      <c r="R1033"/>
      <c r="S1033"/>
      <c r="T1033"/>
      <c r="U1033"/>
      <c r="V1033"/>
      <c r="W1033"/>
      <c r="X1033"/>
      <c r="Y1033"/>
      <c r="Z1033"/>
      <c r="AJ1033"/>
      <c r="AK1033"/>
      <c r="AL1033"/>
      <c r="AN1033"/>
    </row>
    <row r="1034" spans="1:40" x14ac:dyDescent="0.25">
      <c r="M1034"/>
      <c r="N1034"/>
      <c r="O1034"/>
      <c r="P1034"/>
      <c r="Q1034"/>
      <c r="R1034"/>
      <c r="S1034"/>
      <c r="T1034"/>
      <c r="U1034"/>
      <c r="V1034"/>
      <c r="W1034"/>
      <c r="X1034"/>
      <c r="Y1034"/>
      <c r="Z1034"/>
      <c r="AJ1034"/>
      <c r="AK1034"/>
      <c r="AL1034"/>
      <c r="AN1034"/>
    </row>
    <row r="1035" spans="1:40" x14ac:dyDescent="0.25">
      <c r="M1035"/>
      <c r="N1035"/>
      <c r="O1035"/>
      <c r="P1035"/>
      <c r="Q1035"/>
      <c r="R1035"/>
      <c r="S1035"/>
      <c r="T1035"/>
      <c r="U1035"/>
      <c r="V1035"/>
      <c r="W1035"/>
      <c r="X1035"/>
      <c r="Y1035"/>
      <c r="Z1035"/>
      <c r="AJ1035"/>
      <c r="AK1035"/>
      <c r="AL1035"/>
      <c r="AN1035"/>
    </row>
    <row r="1036" spans="1:40" x14ac:dyDescent="0.25">
      <c r="M1036"/>
      <c r="N1036"/>
      <c r="O1036"/>
      <c r="P1036"/>
      <c r="Q1036"/>
      <c r="R1036"/>
      <c r="S1036"/>
      <c r="T1036"/>
      <c r="U1036"/>
      <c r="V1036"/>
      <c r="W1036"/>
      <c r="X1036"/>
      <c r="Y1036"/>
      <c r="Z1036"/>
      <c r="AJ1036"/>
      <c r="AK1036"/>
      <c r="AL1036"/>
      <c r="AN1036"/>
    </row>
    <row r="1037" spans="1:40" x14ac:dyDescent="0.25">
      <c r="M1037"/>
      <c r="N1037"/>
      <c r="O1037"/>
      <c r="P1037"/>
      <c r="Q1037"/>
      <c r="R1037"/>
      <c r="S1037"/>
      <c r="T1037"/>
      <c r="U1037"/>
      <c r="V1037"/>
      <c r="W1037"/>
      <c r="X1037"/>
      <c r="Y1037"/>
      <c r="Z1037"/>
      <c r="AJ1037"/>
      <c r="AK1037"/>
      <c r="AL1037"/>
      <c r="AN1037"/>
    </row>
    <row r="1038" spans="1:40" x14ac:dyDescent="0.25">
      <c r="M1038"/>
      <c r="N1038"/>
      <c r="O1038"/>
      <c r="P1038"/>
      <c r="Q1038"/>
      <c r="R1038"/>
      <c r="S1038"/>
      <c r="T1038"/>
      <c r="U1038"/>
      <c r="V1038"/>
      <c r="W1038"/>
      <c r="X1038"/>
      <c r="Y1038"/>
      <c r="Z1038"/>
      <c r="AJ1038"/>
      <c r="AK1038"/>
      <c r="AL1038"/>
      <c r="AN1038"/>
    </row>
    <row r="1039" spans="1:40" x14ac:dyDescent="0.25">
      <c r="M1039"/>
      <c r="N1039"/>
      <c r="O1039"/>
      <c r="P1039"/>
      <c r="Q1039"/>
      <c r="R1039"/>
      <c r="S1039"/>
      <c r="T1039"/>
      <c r="U1039"/>
      <c r="V1039"/>
      <c r="W1039"/>
      <c r="X1039"/>
      <c r="Y1039"/>
      <c r="Z1039"/>
      <c r="AJ1039"/>
      <c r="AK1039"/>
      <c r="AL1039"/>
      <c r="AN1039"/>
    </row>
    <row r="1040" spans="1:40" x14ac:dyDescent="0.25">
      <c r="M1040"/>
      <c r="N1040"/>
      <c r="O1040"/>
      <c r="P1040"/>
      <c r="Q1040"/>
      <c r="R1040"/>
      <c r="S1040"/>
      <c r="T1040"/>
      <c r="U1040"/>
      <c r="V1040"/>
      <c r="W1040"/>
      <c r="X1040"/>
      <c r="Y1040"/>
      <c r="Z1040"/>
      <c r="AJ1040"/>
      <c r="AK1040"/>
      <c r="AL1040"/>
      <c r="AN1040"/>
    </row>
    <row r="1041" spans="35:35" customFormat="1" x14ac:dyDescent="0.25">
      <c r="AI1041" s="372"/>
    </row>
    <row r="1042" spans="35:35" customFormat="1" x14ac:dyDescent="0.25">
      <c r="AI1042" s="372"/>
    </row>
    <row r="1043" spans="35:35" customFormat="1" x14ac:dyDescent="0.25">
      <c r="AI1043" s="372"/>
    </row>
    <row r="1044" spans="35:35" customFormat="1" x14ac:dyDescent="0.25">
      <c r="AI1044" s="372"/>
    </row>
    <row r="1045" spans="35:35" customFormat="1" x14ac:dyDescent="0.25">
      <c r="AI1045" s="372"/>
    </row>
    <row r="1046" spans="35:35" customFormat="1" x14ac:dyDescent="0.25">
      <c r="AI1046" s="372"/>
    </row>
    <row r="1047" spans="35:35" customFormat="1" x14ac:dyDescent="0.25">
      <c r="AI1047" s="372"/>
    </row>
    <row r="1048" spans="35:35" customFormat="1" x14ac:dyDescent="0.25">
      <c r="AI1048" s="372"/>
    </row>
    <row r="1049" spans="35:35" customFormat="1" x14ac:dyDescent="0.25">
      <c r="AI1049" s="372"/>
    </row>
    <row r="1050" spans="35:35" customFormat="1" x14ac:dyDescent="0.25">
      <c r="AI1050" s="372"/>
    </row>
    <row r="1051" spans="35:35" customFormat="1" x14ac:dyDescent="0.25">
      <c r="AI1051" s="372"/>
    </row>
    <row r="1052" spans="35:35" customFormat="1" x14ac:dyDescent="0.25">
      <c r="AI1052" s="372"/>
    </row>
    <row r="1053" spans="35:35" customFormat="1" x14ac:dyDescent="0.25">
      <c r="AI1053" s="372"/>
    </row>
    <row r="1054" spans="35:35" customFormat="1" x14ac:dyDescent="0.25">
      <c r="AI1054" s="372"/>
    </row>
    <row r="1055" spans="35:35" customFormat="1" x14ac:dyDescent="0.25">
      <c r="AI1055" s="372"/>
    </row>
    <row r="1056" spans="35:35" customFormat="1" x14ac:dyDescent="0.25">
      <c r="AI1056" s="372"/>
    </row>
    <row r="1057" spans="35:35" customFormat="1" x14ac:dyDescent="0.25">
      <c r="AI1057" s="372"/>
    </row>
    <row r="1058" spans="35:35" customFormat="1" x14ac:dyDescent="0.25">
      <c r="AI1058" s="372"/>
    </row>
    <row r="1059" spans="35:35" customFormat="1" x14ac:dyDescent="0.25">
      <c r="AI1059" s="372"/>
    </row>
    <row r="1060" spans="35:35" customFormat="1" x14ac:dyDescent="0.25">
      <c r="AI1060" s="372"/>
    </row>
    <row r="1061" spans="35:35" customFormat="1" x14ac:dyDescent="0.25">
      <c r="AI1061" s="372"/>
    </row>
    <row r="1062" spans="35:35" customFormat="1" x14ac:dyDescent="0.25">
      <c r="AI1062" s="372"/>
    </row>
    <row r="1063" spans="35:35" customFormat="1" x14ac:dyDescent="0.25">
      <c r="AI1063" s="372"/>
    </row>
    <row r="1064" spans="35:35" customFormat="1" x14ac:dyDescent="0.25">
      <c r="AI1064" s="372"/>
    </row>
    <row r="1065" spans="35:35" customFormat="1" x14ac:dyDescent="0.25">
      <c r="AI1065" s="372"/>
    </row>
    <row r="1066" spans="35:35" customFormat="1" x14ac:dyDescent="0.25">
      <c r="AI1066" s="372"/>
    </row>
    <row r="1067" spans="35:35" customFormat="1" x14ac:dyDescent="0.25">
      <c r="AI1067" s="372"/>
    </row>
    <row r="1068" spans="35:35" customFormat="1" x14ac:dyDescent="0.25">
      <c r="AI1068" s="372"/>
    </row>
    <row r="1069" spans="35:35" customFormat="1" x14ac:dyDescent="0.25">
      <c r="AI1069" s="372"/>
    </row>
    <row r="1070" spans="35:35" customFormat="1" x14ac:dyDescent="0.25">
      <c r="AI1070" s="372"/>
    </row>
    <row r="1071" spans="35:35" customFormat="1" x14ac:dyDescent="0.25">
      <c r="AI1071" s="372"/>
    </row>
    <row r="1072" spans="35:35" customFormat="1" x14ac:dyDescent="0.25">
      <c r="AI1072" s="372"/>
    </row>
    <row r="1073" spans="35:35" customFormat="1" x14ac:dyDescent="0.25">
      <c r="AI1073" s="372"/>
    </row>
    <row r="1074" spans="35:35" customFormat="1" x14ac:dyDescent="0.25">
      <c r="AI1074" s="372"/>
    </row>
    <row r="1075" spans="35:35" customFormat="1" x14ac:dyDescent="0.25">
      <c r="AI1075" s="372"/>
    </row>
    <row r="1076" spans="35:35" customFormat="1" x14ac:dyDescent="0.25">
      <c r="AI1076" s="372"/>
    </row>
    <row r="1077" spans="35:35" customFormat="1" x14ac:dyDescent="0.25">
      <c r="AI1077" s="372"/>
    </row>
    <row r="1078" spans="35:35" customFormat="1" x14ac:dyDescent="0.25">
      <c r="AI1078" s="372"/>
    </row>
    <row r="1079" spans="35:35" customFormat="1" x14ac:dyDescent="0.25">
      <c r="AI1079" s="372"/>
    </row>
    <row r="1080" spans="35:35" customFormat="1" x14ac:dyDescent="0.25">
      <c r="AI1080" s="372"/>
    </row>
    <row r="1081" spans="35:35" customFormat="1" x14ac:dyDescent="0.25">
      <c r="AI1081" s="372"/>
    </row>
    <row r="1082" spans="35:35" customFormat="1" x14ac:dyDescent="0.25">
      <c r="AI1082" s="372"/>
    </row>
    <row r="1083" spans="35:35" customFormat="1" x14ac:dyDescent="0.25">
      <c r="AI1083" s="372"/>
    </row>
    <row r="1084" spans="35:35" customFormat="1" x14ac:dyDescent="0.25">
      <c r="AI1084" s="372"/>
    </row>
    <row r="1085" spans="35:35" customFormat="1" x14ac:dyDescent="0.25">
      <c r="AI1085" s="372"/>
    </row>
    <row r="1086" spans="35:35" customFormat="1" x14ac:dyDescent="0.25">
      <c r="AI1086" s="372"/>
    </row>
    <row r="1087" spans="35:35" customFormat="1" x14ac:dyDescent="0.25">
      <c r="AI1087" s="372"/>
    </row>
    <row r="1088" spans="35:35" customFormat="1" x14ac:dyDescent="0.25">
      <c r="AI1088" s="372"/>
    </row>
    <row r="1089" spans="35:35" customFormat="1" x14ac:dyDescent="0.25">
      <c r="AI1089" s="372"/>
    </row>
    <row r="1090" spans="35:35" customFormat="1" x14ac:dyDescent="0.25">
      <c r="AI1090" s="372"/>
    </row>
    <row r="1091" spans="35:35" customFormat="1" x14ac:dyDescent="0.25">
      <c r="AI1091" s="372"/>
    </row>
    <row r="1092" spans="35:35" customFormat="1" x14ac:dyDescent="0.25">
      <c r="AI1092" s="372"/>
    </row>
    <row r="1093" spans="35:35" customFormat="1" x14ac:dyDescent="0.25">
      <c r="AI1093" s="372"/>
    </row>
    <row r="1094" spans="35:35" customFormat="1" x14ac:dyDescent="0.25">
      <c r="AI1094" s="372"/>
    </row>
    <row r="1095" spans="35:35" customFormat="1" x14ac:dyDescent="0.25">
      <c r="AI1095" s="372"/>
    </row>
    <row r="1096" spans="35:35" customFormat="1" x14ac:dyDescent="0.25">
      <c r="AI1096" s="372"/>
    </row>
    <row r="1097" spans="35:35" customFormat="1" x14ac:dyDescent="0.25">
      <c r="AI1097" s="372"/>
    </row>
    <row r="1098" spans="35:35" customFormat="1" x14ac:dyDescent="0.25">
      <c r="AI1098" s="372"/>
    </row>
    <row r="1099" spans="35:35" customFormat="1" x14ac:dyDescent="0.25">
      <c r="AI1099" s="372"/>
    </row>
    <row r="1100" spans="35:35" customFormat="1" x14ac:dyDescent="0.25">
      <c r="AI1100" s="372"/>
    </row>
    <row r="1101" spans="35:35" customFormat="1" x14ac:dyDescent="0.25">
      <c r="AI1101" s="372"/>
    </row>
    <row r="1102" spans="35:35" customFormat="1" x14ac:dyDescent="0.25">
      <c r="AI1102" s="372"/>
    </row>
    <row r="1103" spans="35:35" customFormat="1" x14ac:dyDescent="0.25">
      <c r="AI1103" s="372"/>
    </row>
    <row r="1104" spans="35:35" customFormat="1" x14ac:dyDescent="0.25">
      <c r="AI1104" s="372"/>
    </row>
    <row r="1105" spans="35:35" customFormat="1" x14ac:dyDescent="0.25">
      <c r="AI1105" s="372"/>
    </row>
    <row r="1106" spans="35:35" customFormat="1" x14ac:dyDescent="0.25">
      <c r="AI1106" s="372"/>
    </row>
    <row r="1107" spans="35:35" customFormat="1" x14ac:dyDescent="0.25">
      <c r="AI1107" s="372"/>
    </row>
    <row r="1108" spans="35:35" customFormat="1" x14ac:dyDescent="0.25">
      <c r="AI1108" s="372"/>
    </row>
    <row r="1109" spans="35:35" customFormat="1" x14ac:dyDescent="0.25">
      <c r="AI1109" s="372"/>
    </row>
    <row r="1110" spans="35:35" customFormat="1" x14ac:dyDescent="0.25">
      <c r="AI1110" s="372"/>
    </row>
    <row r="1111" spans="35:35" customFormat="1" x14ac:dyDescent="0.25">
      <c r="AI1111" s="372"/>
    </row>
    <row r="1112" spans="35:35" customFormat="1" x14ac:dyDescent="0.25">
      <c r="AI1112" s="372"/>
    </row>
    <row r="1113" spans="35:35" customFormat="1" x14ac:dyDescent="0.25">
      <c r="AI1113" s="372"/>
    </row>
    <row r="1114" spans="35:35" customFormat="1" x14ac:dyDescent="0.25">
      <c r="AI1114" s="372"/>
    </row>
    <row r="1115" spans="35:35" customFormat="1" x14ac:dyDescent="0.25">
      <c r="AI1115" s="372"/>
    </row>
    <row r="1116" spans="35:35" customFormat="1" x14ac:dyDescent="0.25">
      <c r="AI1116" s="372"/>
    </row>
    <row r="1117" spans="35:35" customFormat="1" x14ac:dyDescent="0.25">
      <c r="AI1117" s="372"/>
    </row>
    <row r="1118" spans="35:35" customFormat="1" x14ac:dyDescent="0.25">
      <c r="AI1118" s="372"/>
    </row>
    <row r="1119" spans="35:35" customFormat="1" x14ac:dyDescent="0.25">
      <c r="AI1119" s="372"/>
    </row>
    <row r="1120" spans="35:35" customFormat="1" x14ac:dyDescent="0.25">
      <c r="AI1120" s="372"/>
    </row>
    <row r="1121" spans="35:35" customFormat="1" x14ac:dyDescent="0.25">
      <c r="AI1121" s="372"/>
    </row>
    <row r="1122" spans="35:35" customFormat="1" x14ac:dyDescent="0.25">
      <c r="AI1122" s="372"/>
    </row>
    <row r="1123" spans="35:35" customFormat="1" x14ac:dyDescent="0.25">
      <c r="AI1123" s="372"/>
    </row>
    <row r="1124" spans="35:35" customFormat="1" x14ac:dyDescent="0.25">
      <c r="AI1124" s="372"/>
    </row>
    <row r="1125" spans="35:35" customFormat="1" x14ac:dyDescent="0.25">
      <c r="AI1125" s="372"/>
    </row>
    <row r="1126" spans="35:35" customFormat="1" x14ac:dyDescent="0.25">
      <c r="AI1126" s="372"/>
    </row>
    <row r="1127" spans="35:35" customFormat="1" x14ac:dyDescent="0.25">
      <c r="AI1127" s="372"/>
    </row>
    <row r="1128" spans="35:35" customFormat="1" x14ac:dyDescent="0.25">
      <c r="AI1128" s="372"/>
    </row>
    <row r="1129" spans="35:35" customFormat="1" x14ac:dyDescent="0.25">
      <c r="AI1129" s="372"/>
    </row>
    <row r="1130" spans="35:35" customFormat="1" x14ac:dyDescent="0.25">
      <c r="AI1130" s="372"/>
    </row>
    <row r="1131" spans="35:35" customFormat="1" x14ac:dyDescent="0.25">
      <c r="AI1131" s="372"/>
    </row>
    <row r="1132" spans="35:35" customFormat="1" x14ac:dyDescent="0.25">
      <c r="AI1132" s="372"/>
    </row>
    <row r="1133" spans="35:35" customFormat="1" x14ac:dyDescent="0.25">
      <c r="AI1133" s="372"/>
    </row>
    <row r="1134" spans="35:35" customFormat="1" x14ac:dyDescent="0.25">
      <c r="AI1134" s="372"/>
    </row>
    <row r="1135" spans="35:35" customFormat="1" x14ac:dyDescent="0.25">
      <c r="AI1135" s="372"/>
    </row>
    <row r="1136" spans="35:35" customFormat="1" x14ac:dyDescent="0.25">
      <c r="AI1136" s="372"/>
    </row>
    <row r="1137" spans="35:35" customFormat="1" x14ac:dyDescent="0.25">
      <c r="AI1137" s="372"/>
    </row>
    <row r="1138" spans="35:35" customFormat="1" x14ac:dyDescent="0.25">
      <c r="AI1138" s="372"/>
    </row>
    <row r="1139" spans="35:35" customFormat="1" x14ac:dyDescent="0.25">
      <c r="AI1139" s="372"/>
    </row>
    <row r="1140" spans="35:35" customFormat="1" x14ac:dyDescent="0.25">
      <c r="AI1140" s="372"/>
    </row>
    <row r="1141" spans="35:35" customFormat="1" x14ac:dyDescent="0.25">
      <c r="AI1141" s="372"/>
    </row>
    <row r="1142" spans="35:35" customFormat="1" x14ac:dyDescent="0.25">
      <c r="AI1142" s="372"/>
    </row>
    <row r="1143" spans="35:35" customFormat="1" x14ac:dyDescent="0.25">
      <c r="AI1143" s="372"/>
    </row>
    <row r="1144" spans="35:35" customFormat="1" x14ac:dyDescent="0.25">
      <c r="AI1144" s="372"/>
    </row>
    <row r="1145" spans="35:35" customFormat="1" x14ac:dyDescent="0.25">
      <c r="AI1145" s="372"/>
    </row>
    <row r="1146" spans="35:35" customFormat="1" x14ac:dyDescent="0.25">
      <c r="AI1146" s="372"/>
    </row>
    <row r="1147" spans="35:35" customFormat="1" x14ac:dyDescent="0.25">
      <c r="AI1147" s="372"/>
    </row>
    <row r="1148" spans="35:35" customFormat="1" x14ac:dyDescent="0.25">
      <c r="AI1148" s="372"/>
    </row>
    <row r="1149" spans="35:35" customFormat="1" x14ac:dyDescent="0.25">
      <c r="AI1149" s="372"/>
    </row>
    <row r="1150" spans="35:35" customFormat="1" x14ac:dyDescent="0.25">
      <c r="AI1150" s="372"/>
    </row>
    <row r="1151" spans="35:35" customFormat="1" x14ac:dyDescent="0.25">
      <c r="AI1151" s="372"/>
    </row>
    <row r="1152" spans="35:35" customFormat="1" x14ac:dyDescent="0.25">
      <c r="AI1152" s="372"/>
    </row>
    <row r="1153" spans="35:35" customFormat="1" x14ac:dyDescent="0.25">
      <c r="AI1153" s="372"/>
    </row>
    <row r="1154" spans="35:35" customFormat="1" x14ac:dyDescent="0.25">
      <c r="AI1154" s="372"/>
    </row>
    <row r="1155" spans="35:35" customFormat="1" x14ac:dyDescent="0.25">
      <c r="AI1155" s="372"/>
    </row>
    <row r="1156" spans="35:35" customFormat="1" x14ac:dyDescent="0.25">
      <c r="AI1156" s="372"/>
    </row>
    <row r="1157" spans="35:35" customFormat="1" x14ac:dyDescent="0.25">
      <c r="AI1157" s="372"/>
    </row>
    <row r="1158" spans="35:35" customFormat="1" x14ac:dyDescent="0.25">
      <c r="AI1158" s="372"/>
    </row>
    <row r="1159" spans="35:35" customFormat="1" x14ac:dyDescent="0.25">
      <c r="AI1159" s="372"/>
    </row>
    <row r="1160" spans="35:35" customFormat="1" x14ac:dyDescent="0.25">
      <c r="AI1160" s="372"/>
    </row>
    <row r="1161" spans="35:35" customFormat="1" x14ac:dyDescent="0.25">
      <c r="AI1161" s="372"/>
    </row>
    <row r="1162" spans="35:35" customFormat="1" x14ac:dyDescent="0.25">
      <c r="AI1162" s="372"/>
    </row>
    <row r="1163" spans="35:35" customFormat="1" x14ac:dyDescent="0.25">
      <c r="AI1163" s="372"/>
    </row>
    <row r="1164" spans="35:35" customFormat="1" x14ac:dyDescent="0.25">
      <c r="AI1164" s="372"/>
    </row>
    <row r="1165" spans="35:35" customFormat="1" x14ac:dyDescent="0.25">
      <c r="AI1165" s="372"/>
    </row>
    <row r="1166" spans="35:35" customFormat="1" x14ac:dyDescent="0.25">
      <c r="AI1166" s="372"/>
    </row>
    <row r="1167" spans="35:35" customFormat="1" x14ac:dyDescent="0.25">
      <c r="AI1167" s="372"/>
    </row>
    <row r="1168" spans="35:35" customFormat="1" x14ac:dyDescent="0.25">
      <c r="AI1168" s="372"/>
    </row>
    <row r="1169" spans="35:35" customFormat="1" x14ac:dyDescent="0.25">
      <c r="AI1169" s="372"/>
    </row>
    <row r="1170" spans="35:35" customFormat="1" x14ac:dyDescent="0.25">
      <c r="AI1170" s="372"/>
    </row>
    <row r="1171" spans="35:35" customFormat="1" x14ac:dyDescent="0.25">
      <c r="AI1171" s="372"/>
    </row>
    <row r="1172" spans="35:35" customFormat="1" x14ac:dyDescent="0.25">
      <c r="AI1172" s="372"/>
    </row>
    <row r="1173" spans="35:35" customFormat="1" x14ac:dyDescent="0.25">
      <c r="AI1173" s="372"/>
    </row>
    <row r="1174" spans="35:35" customFormat="1" x14ac:dyDescent="0.25">
      <c r="AI1174" s="372"/>
    </row>
    <row r="1175" spans="35:35" customFormat="1" x14ac:dyDescent="0.25">
      <c r="AI1175" s="372"/>
    </row>
    <row r="1176" spans="35:35" customFormat="1" x14ac:dyDescent="0.25">
      <c r="AI1176" s="372"/>
    </row>
    <row r="1177" spans="35:35" customFormat="1" x14ac:dyDescent="0.25">
      <c r="AI1177" s="372"/>
    </row>
    <row r="1178" spans="35:35" customFormat="1" x14ac:dyDescent="0.25">
      <c r="AI1178" s="372"/>
    </row>
    <row r="1179" spans="35:35" customFormat="1" x14ac:dyDescent="0.25">
      <c r="AI1179" s="372"/>
    </row>
    <row r="1180" spans="35:35" customFormat="1" x14ac:dyDescent="0.25">
      <c r="AI1180" s="372"/>
    </row>
    <row r="1181" spans="35:35" customFormat="1" x14ac:dyDescent="0.25">
      <c r="AI1181" s="372"/>
    </row>
    <row r="1182" spans="35:35" customFormat="1" x14ac:dyDescent="0.25">
      <c r="AI1182" s="372"/>
    </row>
    <row r="1183" spans="35:35" customFormat="1" x14ac:dyDescent="0.25">
      <c r="AI1183" s="372"/>
    </row>
    <row r="1184" spans="35:35" customFormat="1" x14ac:dyDescent="0.25">
      <c r="AI1184" s="372"/>
    </row>
    <row r="1185" spans="35:35" customFormat="1" x14ac:dyDescent="0.25">
      <c r="AI1185" s="372"/>
    </row>
    <row r="1186" spans="35:35" customFormat="1" x14ac:dyDescent="0.25">
      <c r="AI1186" s="372"/>
    </row>
    <row r="1187" spans="35:35" customFormat="1" x14ac:dyDescent="0.25">
      <c r="AI1187" s="372"/>
    </row>
    <row r="1188" spans="35:35" customFormat="1" x14ac:dyDescent="0.25">
      <c r="AI1188" s="372"/>
    </row>
    <row r="1189" spans="35:35" customFormat="1" x14ac:dyDescent="0.25">
      <c r="AI1189" s="372"/>
    </row>
    <row r="1190" spans="35:35" customFormat="1" x14ac:dyDescent="0.25">
      <c r="AI1190" s="372"/>
    </row>
    <row r="1191" spans="35:35" customFormat="1" x14ac:dyDescent="0.25">
      <c r="AI1191" s="372"/>
    </row>
    <row r="1192" spans="35:35" customFormat="1" x14ac:dyDescent="0.25">
      <c r="AI1192" s="372"/>
    </row>
    <row r="1193" spans="35:35" customFormat="1" x14ac:dyDescent="0.25">
      <c r="AI1193" s="372"/>
    </row>
    <row r="1194" spans="35:35" customFormat="1" x14ac:dyDescent="0.25">
      <c r="AI1194" s="372"/>
    </row>
    <row r="1195" spans="35:35" customFormat="1" x14ac:dyDescent="0.25">
      <c r="AI1195" s="372"/>
    </row>
    <row r="1196" spans="35:35" customFormat="1" x14ac:dyDescent="0.25">
      <c r="AI1196" s="372"/>
    </row>
    <row r="1197" spans="35:35" customFormat="1" x14ac:dyDescent="0.25">
      <c r="AI1197" s="372"/>
    </row>
    <row r="1198" spans="35:35" customFormat="1" x14ac:dyDescent="0.25">
      <c r="AI1198" s="372"/>
    </row>
    <row r="1199" spans="35:35" customFormat="1" x14ac:dyDescent="0.25">
      <c r="AI1199" s="372"/>
    </row>
    <row r="1200" spans="35:35" customFormat="1" x14ac:dyDescent="0.25">
      <c r="AI1200" s="372"/>
    </row>
    <row r="1201" spans="35:35" customFormat="1" x14ac:dyDescent="0.25">
      <c r="AI1201" s="372"/>
    </row>
    <row r="1202" spans="35:35" customFormat="1" x14ac:dyDescent="0.25">
      <c r="AI1202" s="372"/>
    </row>
    <row r="1203" spans="35:35" customFormat="1" x14ac:dyDescent="0.25">
      <c r="AI1203" s="372"/>
    </row>
    <row r="1204" spans="35:35" customFormat="1" x14ac:dyDescent="0.25">
      <c r="AI1204" s="372"/>
    </row>
    <row r="1205" spans="35:35" customFormat="1" x14ac:dyDescent="0.25">
      <c r="AI1205" s="372"/>
    </row>
    <row r="1206" spans="35:35" customFormat="1" x14ac:dyDescent="0.25">
      <c r="AI1206" s="372"/>
    </row>
    <row r="1207" spans="35:35" customFormat="1" x14ac:dyDescent="0.25">
      <c r="AI1207" s="372"/>
    </row>
    <row r="1208" spans="35:35" customFormat="1" x14ac:dyDescent="0.25">
      <c r="AI1208" s="372"/>
    </row>
    <row r="1209" spans="35:35" customFormat="1" x14ac:dyDescent="0.25">
      <c r="AI1209" s="372"/>
    </row>
    <row r="1210" spans="35:35" customFormat="1" x14ac:dyDescent="0.25">
      <c r="AI1210" s="372"/>
    </row>
    <row r="1211" spans="35:35" customFormat="1" x14ac:dyDescent="0.25">
      <c r="AI1211" s="372"/>
    </row>
    <row r="1212" spans="35:35" customFormat="1" x14ac:dyDescent="0.25">
      <c r="AI1212" s="372"/>
    </row>
    <row r="1213" spans="35:35" customFormat="1" x14ac:dyDescent="0.25">
      <c r="AI1213" s="372"/>
    </row>
    <row r="1214" spans="35:35" customFormat="1" x14ac:dyDescent="0.25">
      <c r="AI1214" s="372"/>
    </row>
    <row r="1215" spans="35:35" customFormat="1" x14ac:dyDescent="0.25">
      <c r="AI1215" s="372"/>
    </row>
    <row r="1216" spans="35:35" customFormat="1" x14ac:dyDescent="0.25">
      <c r="AI1216" s="372"/>
    </row>
    <row r="1217" spans="35:35" customFormat="1" x14ac:dyDescent="0.25">
      <c r="AI1217" s="372"/>
    </row>
    <row r="1218" spans="35:35" customFormat="1" x14ac:dyDescent="0.25">
      <c r="AI1218" s="372"/>
    </row>
    <row r="1219" spans="35:35" customFormat="1" x14ac:dyDescent="0.25">
      <c r="AI1219" s="372"/>
    </row>
    <row r="1220" spans="35:35" customFormat="1" x14ac:dyDescent="0.25">
      <c r="AI1220" s="372"/>
    </row>
    <row r="1221" spans="35:35" customFormat="1" x14ac:dyDescent="0.25">
      <c r="AI1221" s="372"/>
    </row>
    <row r="1222" spans="35:35" customFormat="1" x14ac:dyDescent="0.25">
      <c r="AI1222" s="372"/>
    </row>
    <row r="1223" spans="35:35" customFormat="1" x14ac:dyDescent="0.25">
      <c r="AI1223" s="372"/>
    </row>
    <row r="1224" spans="35:35" customFormat="1" x14ac:dyDescent="0.25">
      <c r="AI1224" s="372"/>
    </row>
    <row r="1225" spans="35:35" customFormat="1" x14ac:dyDescent="0.25">
      <c r="AI1225" s="372"/>
    </row>
    <row r="1226" spans="35:35" customFormat="1" x14ac:dyDescent="0.25">
      <c r="AI1226" s="372"/>
    </row>
    <row r="1227" spans="35:35" customFormat="1" x14ac:dyDescent="0.25">
      <c r="AI1227" s="372"/>
    </row>
    <row r="1228" spans="35:35" customFormat="1" x14ac:dyDescent="0.25">
      <c r="AI1228" s="372"/>
    </row>
    <row r="1229" spans="35:35" customFormat="1" x14ac:dyDescent="0.25">
      <c r="AI1229" s="372"/>
    </row>
    <row r="1230" spans="35:35" customFormat="1" x14ac:dyDescent="0.25">
      <c r="AI1230" s="372"/>
    </row>
    <row r="1231" spans="35:35" customFormat="1" x14ac:dyDescent="0.25">
      <c r="AI1231" s="372"/>
    </row>
    <row r="1232" spans="35:35" customFormat="1" x14ac:dyDescent="0.25">
      <c r="AI1232" s="372"/>
    </row>
    <row r="1233" spans="35:35" customFormat="1" x14ac:dyDescent="0.25">
      <c r="AI1233" s="372"/>
    </row>
    <row r="1234" spans="35:35" customFormat="1" x14ac:dyDescent="0.25">
      <c r="AI1234" s="372"/>
    </row>
    <row r="1235" spans="35:35" customFormat="1" x14ac:dyDescent="0.25">
      <c r="AI1235" s="372"/>
    </row>
    <row r="1236" spans="35:35" customFormat="1" x14ac:dyDescent="0.25">
      <c r="AI1236" s="372"/>
    </row>
    <row r="1237" spans="35:35" customFormat="1" x14ac:dyDescent="0.25">
      <c r="AI1237" s="372"/>
    </row>
    <row r="1238" spans="35:35" customFormat="1" x14ac:dyDescent="0.25">
      <c r="AI1238" s="372"/>
    </row>
    <row r="1239" spans="35:35" customFormat="1" x14ac:dyDescent="0.25">
      <c r="AI1239" s="372"/>
    </row>
    <row r="1240" spans="35:35" customFormat="1" x14ac:dyDescent="0.25">
      <c r="AI1240" s="372"/>
    </row>
    <row r="1241" spans="35:35" customFormat="1" x14ac:dyDescent="0.25">
      <c r="AI1241" s="372"/>
    </row>
    <row r="1242" spans="35:35" customFormat="1" x14ac:dyDescent="0.25">
      <c r="AI1242" s="372"/>
    </row>
    <row r="1243" spans="35:35" customFormat="1" x14ac:dyDescent="0.25">
      <c r="AI1243" s="372"/>
    </row>
    <row r="1244" spans="35:35" customFormat="1" x14ac:dyDescent="0.25">
      <c r="AI1244" s="372"/>
    </row>
    <row r="1245" spans="35:35" customFormat="1" x14ac:dyDescent="0.25">
      <c r="AI1245" s="372"/>
    </row>
    <row r="1246" spans="35:35" customFormat="1" x14ac:dyDescent="0.25">
      <c r="AI1246" s="372"/>
    </row>
    <row r="1247" spans="35:35" customFormat="1" x14ac:dyDescent="0.25">
      <c r="AI1247" s="372"/>
    </row>
    <row r="1248" spans="35:35" customFormat="1" x14ac:dyDescent="0.25">
      <c r="AI1248" s="372"/>
    </row>
    <row r="1249" spans="35:35" customFormat="1" x14ac:dyDescent="0.25">
      <c r="AI1249" s="372"/>
    </row>
    <row r="1250" spans="35:35" customFormat="1" x14ac:dyDescent="0.25">
      <c r="AI1250" s="372"/>
    </row>
    <row r="1251" spans="35:35" customFormat="1" x14ac:dyDescent="0.25">
      <c r="AI1251" s="372"/>
    </row>
    <row r="1252" spans="35:35" customFormat="1" x14ac:dyDescent="0.25">
      <c r="AI1252" s="372"/>
    </row>
    <row r="1253" spans="35:35" customFormat="1" x14ac:dyDescent="0.25">
      <c r="AI1253" s="372"/>
    </row>
    <row r="1254" spans="35:35" customFormat="1" x14ac:dyDescent="0.25">
      <c r="AI1254" s="372"/>
    </row>
    <row r="1255" spans="35:35" customFormat="1" x14ac:dyDescent="0.25">
      <c r="AI1255" s="372"/>
    </row>
    <row r="1256" spans="35:35" customFormat="1" x14ac:dyDescent="0.25">
      <c r="AI1256" s="372"/>
    </row>
    <row r="1257" spans="35:35" customFormat="1" x14ac:dyDescent="0.25">
      <c r="AI1257" s="372"/>
    </row>
    <row r="1258" spans="35:35" customFormat="1" x14ac:dyDescent="0.25">
      <c r="AI1258" s="372"/>
    </row>
    <row r="1259" spans="35:35" customFormat="1" x14ac:dyDescent="0.25">
      <c r="AI1259" s="372"/>
    </row>
    <row r="1260" spans="35:35" customFormat="1" x14ac:dyDescent="0.25">
      <c r="AI1260" s="372"/>
    </row>
    <row r="1261" spans="35:35" customFormat="1" x14ac:dyDescent="0.25">
      <c r="AI1261" s="372"/>
    </row>
    <row r="1262" spans="35:35" customFormat="1" x14ac:dyDescent="0.25">
      <c r="AI1262" s="372"/>
    </row>
    <row r="1263" spans="35:35" customFormat="1" x14ac:dyDescent="0.25">
      <c r="AI1263" s="372"/>
    </row>
    <row r="1264" spans="35:35" customFormat="1" x14ac:dyDescent="0.25">
      <c r="AI1264" s="372"/>
    </row>
    <row r="1265" spans="35:35" customFormat="1" x14ac:dyDescent="0.25">
      <c r="AI1265" s="372"/>
    </row>
    <row r="1266" spans="35:35" customFormat="1" x14ac:dyDescent="0.25">
      <c r="AI1266" s="372"/>
    </row>
    <row r="1267" spans="35:35" customFormat="1" x14ac:dyDescent="0.25">
      <c r="AI1267" s="372"/>
    </row>
    <row r="1268" spans="35:35" customFormat="1" x14ac:dyDescent="0.25">
      <c r="AI1268" s="372"/>
    </row>
    <row r="1269" spans="35:35" customFormat="1" x14ac:dyDescent="0.25">
      <c r="AI1269" s="372"/>
    </row>
    <row r="1270" spans="35:35" customFormat="1" x14ac:dyDescent="0.25">
      <c r="AI1270" s="372"/>
    </row>
    <row r="1271" spans="35:35" customFormat="1" x14ac:dyDescent="0.25">
      <c r="AI1271" s="372"/>
    </row>
    <row r="1272" spans="35:35" customFormat="1" x14ac:dyDescent="0.25">
      <c r="AI1272" s="372"/>
    </row>
    <row r="1273" spans="35:35" customFormat="1" x14ac:dyDescent="0.25">
      <c r="AI1273" s="372"/>
    </row>
    <row r="1274" spans="35:35" customFormat="1" x14ac:dyDescent="0.25">
      <c r="AI1274" s="372"/>
    </row>
    <row r="1275" spans="35:35" customFormat="1" x14ac:dyDescent="0.25">
      <c r="AI1275" s="372"/>
    </row>
    <row r="1276" spans="35:35" customFormat="1" x14ac:dyDescent="0.25">
      <c r="AI1276" s="372"/>
    </row>
    <row r="1277" spans="35:35" customFormat="1" x14ac:dyDescent="0.25">
      <c r="AI1277" s="372"/>
    </row>
    <row r="1278" spans="35:35" customFormat="1" x14ac:dyDescent="0.25">
      <c r="AI1278" s="372"/>
    </row>
    <row r="1279" spans="35:35" customFormat="1" x14ac:dyDescent="0.25">
      <c r="AI1279" s="372"/>
    </row>
    <row r="1280" spans="35:35" customFormat="1" x14ac:dyDescent="0.25">
      <c r="AI1280" s="372"/>
    </row>
    <row r="1281" spans="35:35" customFormat="1" x14ac:dyDescent="0.25">
      <c r="AI1281" s="372"/>
    </row>
    <row r="1282" spans="35:35" customFormat="1" x14ac:dyDescent="0.25">
      <c r="AI1282" s="372"/>
    </row>
    <row r="1283" spans="35:35" customFormat="1" x14ac:dyDescent="0.25">
      <c r="AI1283" s="372"/>
    </row>
    <row r="1284" spans="35:35" customFormat="1" x14ac:dyDescent="0.25">
      <c r="AI1284" s="372"/>
    </row>
    <row r="1285" spans="35:35" customFormat="1" x14ac:dyDescent="0.25">
      <c r="AI1285" s="372"/>
    </row>
    <row r="1286" spans="35:35" customFormat="1" x14ac:dyDescent="0.25">
      <c r="AI1286" s="372"/>
    </row>
    <row r="1287" spans="35:35" customFormat="1" x14ac:dyDescent="0.25">
      <c r="AI1287" s="372"/>
    </row>
    <row r="1288" spans="35:35" customFormat="1" x14ac:dyDescent="0.25">
      <c r="AI1288" s="372"/>
    </row>
    <row r="1289" spans="35:35" customFormat="1" x14ac:dyDescent="0.25">
      <c r="AI1289" s="372"/>
    </row>
    <row r="1290" spans="35:35" customFormat="1" x14ac:dyDescent="0.25">
      <c r="AI1290" s="372"/>
    </row>
    <row r="1291" spans="35:35" customFormat="1" x14ac:dyDescent="0.25">
      <c r="AI1291" s="372"/>
    </row>
    <row r="1292" spans="35:35" customFormat="1" x14ac:dyDescent="0.25">
      <c r="AI1292" s="372"/>
    </row>
    <row r="1293" spans="35:35" customFormat="1" x14ac:dyDescent="0.25">
      <c r="AI1293" s="372"/>
    </row>
    <row r="1294" spans="35:35" customFormat="1" x14ac:dyDescent="0.25">
      <c r="AI1294" s="372"/>
    </row>
    <row r="1295" spans="35:35" customFormat="1" x14ac:dyDescent="0.25">
      <c r="AI1295" s="372"/>
    </row>
    <row r="1296" spans="35:35" customFormat="1" x14ac:dyDescent="0.25">
      <c r="AI1296" s="372"/>
    </row>
    <row r="1297" spans="35:35" customFormat="1" x14ac:dyDescent="0.25">
      <c r="AI1297" s="372"/>
    </row>
    <row r="1298" spans="35:35" customFormat="1" x14ac:dyDescent="0.25">
      <c r="AI1298" s="372"/>
    </row>
    <row r="1299" spans="35:35" customFormat="1" x14ac:dyDescent="0.25">
      <c r="AI1299" s="372"/>
    </row>
    <row r="1300" spans="35:35" customFormat="1" x14ac:dyDescent="0.25">
      <c r="AI1300" s="372"/>
    </row>
    <row r="1301" spans="35:35" customFormat="1" x14ac:dyDescent="0.25">
      <c r="AI1301" s="372"/>
    </row>
    <row r="1302" spans="35:35" customFormat="1" x14ac:dyDescent="0.25">
      <c r="AI1302" s="372"/>
    </row>
    <row r="1303" spans="35:35" customFormat="1" x14ac:dyDescent="0.25">
      <c r="AI1303" s="372"/>
    </row>
    <row r="1304" spans="35:35" customFormat="1" x14ac:dyDescent="0.25">
      <c r="AI1304" s="372"/>
    </row>
    <row r="1305" spans="35:35" customFormat="1" x14ac:dyDescent="0.25">
      <c r="AI1305" s="372"/>
    </row>
    <row r="1306" spans="35:35" customFormat="1" x14ac:dyDescent="0.25">
      <c r="AI1306" s="372"/>
    </row>
    <row r="1307" spans="35:35" customFormat="1" x14ac:dyDescent="0.25">
      <c r="AI1307" s="372"/>
    </row>
    <row r="1308" spans="35:35" customFormat="1" x14ac:dyDescent="0.25">
      <c r="AI1308" s="372"/>
    </row>
    <row r="1309" spans="35:35" customFormat="1" x14ac:dyDescent="0.25">
      <c r="AI1309" s="372"/>
    </row>
    <row r="1310" spans="35:35" customFormat="1" x14ac:dyDescent="0.25">
      <c r="AI1310" s="372"/>
    </row>
    <row r="1311" spans="35:35" customFormat="1" x14ac:dyDescent="0.25">
      <c r="AI1311" s="372"/>
    </row>
    <row r="1312" spans="35:35" customFormat="1" x14ac:dyDescent="0.25">
      <c r="AI1312" s="372"/>
    </row>
    <row r="1313" spans="35:35" customFormat="1" x14ac:dyDescent="0.25">
      <c r="AI1313" s="372"/>
    </row>
    <row r="1314" spans="35:35" customFormat="1" x14ac:dyDescent="0.25">
      <c r="AI1314" s="372"/>
    </row>
    <row r="1315" spans="35:35" customFormat="1" x14ac:dyDescent="0.25">
      <c r="AI1315" s="372"/>
    </row>
    <row r="1316" spans="35:35" customFormat="1" x14ac:dyDescent="0.25">
      <c r="AI1316" s="372"/>
    </row>
    <row r="1317" spans="35:35" customFormat="1" x14ac:dyDescent="0.25">
      <c r="AI1317" s="372"/>
    </row>
    <row r="1318" spans="35:35" customFormat="1" x14ac:dyDescent="0.25">
      <c r="AI1318" s="372"/>
    </row>
    <row r="1319" spans="35:35" customFormat="1" x14ac:dyDescent="0.25">
      <c r="AI1319" s="372"/>
    </row>
    <row r="1320" spans="35:35" customFormat="1" x14ac:dyDescent="0.25">
      <c r="AI1320" s="372"/>
    </row>
    <row r="1321" spans="35:35" customFormat="1" x14ac:dyDescent="0.25">
      <c r="AI1321" s="372"/>
    </row>
    <row r="1322" spans="35:35" customFormat="1" x14ac:dyDescent="0.25">
      <c r="AI1322" s="372"/>
    </row>
    <row r="1323" spans="35:35" customFormat="1" x14ac:dyDescent="0.25">
      <c r="AI1323" s="372"/>
    </row>
    <row r="1324" spans="35:35" customFormat="1" x14ac:dyDescent="0.25">
      <c r="AI1324" s="372"/>
    </row>
    <row r="1325" spans="35:35" customFormat="1" x14ac:dyDescent="0.25">
      <c r="AI1325" s="372"/>
    </row>
    <row r="1326" spans="35:35" customFormat="1" x14ac:dyDescent="0.25">
      <c r="AI1326" s="372"/>
    </row>
    <row r="1327" spans="35:35" customFormat="1" x14ac:dyDescent="0.25">
      <c r="AI1327" s="372"/>
    </row>
    <row r="1328" spans="35:35" customFormat="1" x14ac:dyDescent="0.25">
      <c r="AI1328" s="372"/>
    </row>
    <row r="1329" spans="35:35" customFormat="1" x14ac:dyDescent="0.25">
      <c r="AI1329" s="372"/>
    </row>
    <row r="1330" spans="35:35" customFormat="1" x14ac:dyDescent="0.25">
      <c r="AI1330" s="372"/>
    </row>
    <row r="1331" spans="35:35" customFormat="1" x14ac:dyDescent="0.25">
      <c r="AI1331" s="372"/>
    </row>
    <row r="1332" spans="35:35" customFormat="1" x14ac:dyDescent="0.25">
      <c r="AI1332" s="372"/>
    </row>
    <row r="1333" spans="35:35" customFormat="1" x14ac:dyDescent="0.25">
      <c r="AI1333" s="372"/>
    </row>
    <row r="1334" spans="35:35" customFormat="1" x14ac:dyDescent="0.25">
      <c r="AI1334" s="372"/>
    </row>
    <row r="1335" spans="35:35" customFormat="1" x14ac:dyDescent="0.25">
      <c r="AI1335" s="372"/>
    </row>
    <row r="1336" spans="35:35" customFormat="1" x14ac:dyDescent="0.25">
      <c r="AI1336" s="372"/>
    </row>
    <row r="1337" spans="35:35" customFormat="1" x14ac:dyDescent="0.25">
      <c r="AI1337" s="372"/>
    </row>
    <row r="1338" spans="35:35" customFormat="1" x14ac:dyDescent="0.25">
      <c r="AI1338" s="372"/>
    </row>
    <row r="1339" spans="35:35" customFormat="1" x14ac:dyDescent="0.25">
      <c r="AI1339" s="372"/>
    </row>
    <row r="1340" spans="35:35" customFormat="1" x14ac:dyDescent="0.25">
      <c r="AI1340" s="372"/>
    </row>
    <row r="1341" spans="35:35" customFormat="1" x14ac:dyDescent="0.25">
      <c r="AI1341" s="372"/>
    </row>
    <row r="1342" spans="35:35" customFormat="1" x14ac:dyDescent="0.25">
      <c r="AI1342" s="372"/>
    </row>
    <row r="1343" spans="35:35" customFormat="1" x14ac:dyDescent="0.25">
      <c r="AI1343" s="372"/>
    </row>
    <row r="1344" spans="35:35" customFormat="1" x14ac:dyDescent="0.25">
      <c r="AI1344" s="372"/>
    </row>
    <row r="1345" spans="35:35" customFormat="1" x14ac:dyDescent="0.25">
      <c r="AI1345" s="372"/>
    </row>
    <row r="1346" spans="35:35" customFormat="1" x14ac:dyDescent="0.25">
      <c r="AI1346" s="372"/>
    </row>
    <row r="1347" spans="35:35" customFormat="1" x14ac:dyDescent="0.25">
      <c r="AI1347" s="372"/>
    </row>
    <row r="1348" spans="35:35" customFormat="1" x14ac:dyDescent="0.25">
      <c r="AI1348" s="372"/>
    </row>
    <row r="1349" spans="35:35" customFormat="1" x14ac:dyDescent="0.25">
      <c r="AI1349" s="372"/>
    </row>
    <row r="1350" spans="35:35" customFormat="1" x14ac:dyDescent="0.25">
      <c r="AI1350" s="372"/>
    </row>
    <row r="1351" spans="35:35" customFormat="1" x14ac:dyDescent="0.25">
      <c r="AI1351" s="372"/>
    </row>
    <row r="1352" spans="35:35" customFormat="1" x14ac:dyDescent="0.25">
      <c r="AI1352" s="372"/>
    </row>
    <row r="1353" spans="35:35" customFormat="1" x14ac:dyDescent="0.25">
      <c r="AI1353" s="372"/>
    </row>
    <row r="1354" spans="35:35" customFormat="1" x14ac:dyDescent="0.25">
      <c r="AI1354" s="372"/>
    </row>
    <row r="1355" spans="35:35" customFormat="1" x14ac:dyDescent="0.25">
      <c r="AI1355" s="372"/>
    </row>
    <row r="1356" spans="35:35" customFormat="1" x14ac:dyDescent="0.25">
      <c r="AI1356" s="372"/>
    </row>
    <row r="1357" spans="35:35" customFormat="1" x14ac:dyDescent="0.25">
      <c r="AI1357" s="372"/>
    </row>
    <row r="1358" spans="35:35" customFormat="1" x14ac:dyDescent="0.25">
      <c r="AI1358" s="372"/>
    </row>
    <row r="1359" spans="35:35" customFormat="1" x14ac:dyDescent="0.25">
      <c r="AI1359" s="372"/>
    </row>
    <row r="1360" spans="35:35" customFormat="1" x14ac:dyDescent="0.25">
      <c r="AI1360" s="372"/>
    </row>
    <row r="1361" spans="35:35" customFormat="1" x14ac:dyDescent="0.25">
      <c r="AI1361" s="372"/>
    </row>
    <row r="1362" spans="35:35" customFormat="1" x14ac:dyDescent="0.25">
      <c r="AI1362" s="372"/>
    </row>
    <row r="1363" spans="35:35" customFormat="1" x14ac:dyDescent="0.25">
      <c r="AI1363" s="372"/>
    </row>
    <row r="1364" spans="35:35" customFormat="1" x14ac:dyDescent="0.25">
      <c r="AI1364" s="372"/>
    </row>
    <row r="1365" spans="35:35" customFormat="1" x14ac:dyDescent="0.25">
      <c r="AI1365" s="372"/>
    </row>
    <row r="1366" spans="35:35" customFormat="1" x14ac:dyDescent="0.25">
      <c r="AI1366" s="372"/>
    </row>
    <row r="1367" spans="35:35" customFormat="1" x14ac:dyDescent="0.25">
      <c r="AI1367" s="372"/>
    </row>
    <row r="1368" spans="35:35" customFormat="1" x14ac:dyDescent="0.25">
      <c r="AI1368" s="372"/>
    </row>
    <row r="1369" spans="35:35" customFormat="1" x14ac:dyDescent="0.25">
      <c r="AI1369" s="372"/>
    </row>
    <row r="1370" spans="35:35" customFormat="1" x14ac:dyDescent="0.25">
      <c r="AI1370" s="372"/>
    </row>
    <row r="1371" spans="35:35" customFormat="1" x14ac:dyDescent="0.25">
      <c r="AI1371" s="372"/>
    </row>
    <row r="1372" spans="35:35" customFormat="1" x14ac:dyDescent="0.25">
      <c r="AI1372" s="372"/>
    </row>
    <row r="1373" spans="35:35" customFormat="1" x14ac:dyDescent="0.25">
      <c r="AI1373" s="372"/>
    </row>
    <row r="1374" spans="35:35" customFormat="1" x14ac:dyDescent="0.25">
      <c r="AI1374" s="372"/>
    </row>
    <row r="1375" spans="35:35" customFormat="1" x14ac:dyDescent="0.25">
      <c r="AI1375" s="372"/>
    </row>
    <row r="1376" spans="35:35" customFormat="1" x14ac:dyDescent="0.25">
      <c r="AI1376" s="372"/>
    </row>
    <row r="1377" spans="35:35" customFormat="1" x14ac:dyDescent="0.25">
      <c r="AI1377" s="372"/>
    </row>
    <row r="1378" spans="35:35" customFormat="1" x14ac:dyDescent="0.25">
      <c r="AI1378" s="372"/>
    </row>
    <row r="1379" spans="35:35" customFormat="1" x14ac:dyDescent="0.25">
      <c r="AI1379" s="372"/>
    </row>
    <row r="1380" spans="35:35" customFormat="1" x14ac:dyDescent="0.25">
      <c r="AI1380" s="372"/>
    </row>
    <row r="1381" spans="35:35" customFormat="1" x14ac:dyDescent="0.25">
      <c r="AI1381" s="372"/>
    </row>
    <row r="1382" spans="35:35" customFormat="1" x14ac:dyDescent="0.25">
      <c r="AI1382" s="372"/>
    </row>
    <row r="1383" spans="35:35" customFormat="1" x14ac:dyDescent="0.25">
      <c r="AI1383" s="372"/>
    </row>
    <row r="1384" spans="35:35" customFormat="1" x14ac:dyDescent="0.25">
      <c r="AI1384" s="372"/>
    </row>
    <row r="1385" spans="35:35" customFormat="1" x14ac:dyDescent="0.25">
      <c r="AI1385" s="372"/>
    </row>
    <row r="1386" spans="35:35" customFormat="1" x14ac:dyDescent="0.25">
      <c r="AI1386" s="372"/>
    </row>
    <row r="1387" spans="35:35" customFormat="1" x14ac:dyDescent="0.25">
      <c r="AI1387" s="372"/>
    </row>
    <row r="1388" spans="35:35" customFormat="1" x14ac:dyDescent="0.25">
      <c r="AI1388" s="372"/>
    </row>
    <row r="1389" spans="35:35" customFormat="1" x14ac:dyDescent="0.25">
      <c r="AI1389" s="372"/>
    </row>
    <row r="1390" spans="35:35" customFormat="1" x14ac:dyDescent="0.25">
      <c r="AI1390" s="372"/>
    </row>
    <row r="1391" spans="35:35" customFormat="1" x14ac:dyDescent="0.25">
      <c r="AI1391" s="372"/>
    </row>
    <row r="1392" spans="35:35" customFormat="1" x14ac:dyDescent="0.25">
      <c r="AI1392" s="372"/>
    </row>
    <row r="1393" spans="35:35" customFormat="1" x14ac:dyDescent="0.25">
      <c r="AI1393" s="372"/>
    </row>
    <row r="1394" spans="35:35" customFormat="1" x14ac:dyDescent="0.25">
      <c r="AI1394" s="372"/>
    </row>
    <row r="1395" spans="35:35" customFormat="1" x14ac:dyDescent="0.25">
      <c r="AI1395" s="372"/>
    </row>
    <row r="1396" spans="35:35" customFormat="1" x14ac:dyDescent="0.25">
      <c r="AI1396" s="372"/>
    </row>
    <row r="1397" spans="35:35" customFormat="1" x14ac:dyDescent="0.25">
      <c r="AI1397" s="372"/>
    </row>
    <row r="1398" spans="35:35" customFormat="1" x14ac:dyDescent="0.25">
      <c r="AI1398" s="372"/>
    </row>
    <row r="1399" spans="35:35" customFormat="1" x14ac:dyDescent="0.25">
      <c r="AI1399" s="372"/>
    </row>
    <row r="1400" spans="35:35" customFormat="1" x14ac:dyDescent="0.25">
      <c r="AI1400" s="372"/>
    </row>
    <row r="1401" spans="35:35" customFormat="1" x14ac:dyDescent="0.25">
      <c r="AI1401" s="372"/>
    </row>
    <row r="1402" spans="35:35" customFormat="1" x14ac:dyDescent="0.25">
      <c r="AI1402" s="372"/>
    </row>
    <row r="1403" spans="35:35" customFormat="1" x14ac:dyDescent="0.25">
      <c r="AI1403" s="372"/>
    </row>
    <row r="1404" spans="35:35" customFormat="1" x14ac:dyDescent="0.25">
      <c r="AI1404" s="372"/>
    </row>
    <row r="1405" spans="35:35" customFormat="1" x14ac:dyDescent="0.25">
      <c r="AI1405" s="372"/>
    </row>
    <row r="1406" spans="35:35" customFormat="1" x14ac:dyDescent="0.25">
      <c r="AI1406" s="372"/>
    </row>
    <row r="1407" spans="35:35" customFormat="1" x14ac:dyDescent="0.25">
      <c r="AI1407" s="372"/>
    </row>
    <row r="1408" spans="35:35" customFormat="1" x14ac:dyDescent="0.25">
      <c r="AI1408" s="372"/>
    </row>
    <row r="1409" spans="25:35" customFormat="1" x14ac:dyDescent="0.25">
      <c r="AI1409" s="372"/>
    </row>
    <row r="1410" spans="25:35" customFormat="1" x14ac:dyDescent="0.25">
      <c r="AI1410" s="372"/>
    </row>
    <row r="1411" spans="25:35" customFormat="1" x14ac:dyDescent="0.25">
      <c r="AI1411" s="372"/>
    </row>
    <row r="1412" spans="25:35" customFormat="1" x14ac:dyDescent="0.25">
      <c r="AI1412" s="372"/>
    </row>
    <row r="1413" spans="25:35" customFormat="1" x14ac:dyDescent="0.25">
      <c r="AI1413" s="372"/>
    </row>
    <row r="1414" spans="25:35" customFormat="1" x14ac:dyDescent="0.25">
      <c r="AI1414" s="372"/>
    </row>
    <row r="1415" spans="25:35" customFormat="1" x14ac:dyDescent="0.25">
      <c r="Y1415" s="102"/>
      <c r="AI1415" s="372"/>
    </row>
    <row r="1416" spans="25:35" customFormat="1" x14ac:dyDescent="0.25">
      <c r="Y1416" s="102"/>
      <c r="AI1416" s="372"/>
    </row>
    <row r="1417" spans="25:35" customFormat="1" x14ac:dyDescent="0.25">
      <c r="Y1417" s="102"/>
      <c r="AI1417" s="372"/>
    </row>
    <row r="1418" spans="25:35" customFormat="1" x14ac:dyDescent="0.25">
      <c r="Y1418" s="102"/>
      <c r="AI1418" s="372"/>
    </row>
    <row r="1419" spans="25:35" customFormat="1" x14ac:dyDescent="0.25">
      <c r="Y1419" s="102"/>
      <c r="AI1419" s="372"/>
    </row>
    <row r="1420" spans="25:35" customFormat="1" x14ac:dyDescent="0.25">
      <c r="Y1420" s="102"/>
      <c r="AI1420" s="372"/>
    </row>
    <row r="1421" spans="25:35" customFormat="1" x14ac:dyDescent="0.25">
      <c r="Y1421" s="102"/>
      <c r="AI1421" s="372"/>
    </row>
    <row r="1422" spans="25:35" customFormat="1" x14ac:dyDescent="0.25">
      <c r="Y1422" s="102"/>
      <c r="AI1422" s="372"/>
    </row>
    <row r="1423" spans="25:35" customFormat="1" x14ac:dyDescent="0.25">
      <c r="Y1423" s="102"/>
      <c r="AI1423" s="372"/>
    </row>
    <row r="1424" spans="25:35" customFormat="1" x14ac:dyDescent="0.25">
      <c r="Y1424" s="102"/>
      <c r="AI1424" s="372"/>
    </row>
    <row r="1425" spans="25:35" customFormat="1" x14ac:dyDescent="0.25">
      <c r="Y1425" s="102"/>
      <c r="AI1425" s="372"/>
    </row>
    <row r="1426" spans="25:35" customFormat="1" x14ac:dyDescent="0.25">
      <c r="Y1426" s="102"/>
      <c r="AI1426" s="372"/>
    </row>
    <row r="1427" spans="25:35" customFormat="1" x14ac:dyDescent="0.25">
      <c r="Y1427" s="102"/>
      <c r="AI1427" s="372"/>
    </row>
    <row r="1428" spans="25:35" customFormat="1" x14ac:dyDescent="0.25">
      <c r="Y1428" s="102"/>
      <c r="AI1428" s="372"/>
    </row>
    <row r="1429" spans="25:35" customFormat="1" x14ac:dyDescent="0.25">
      <c r="Y1429" s="102"/>
      <c r="AI1429" s="372"/>
    </row>
    <row r="1430" spans="25:35" customFormat="1" x14ac:dyDescent="0.25">
      <c r="Y1430" s="102"/>
      <c r="AI1430" s="372"/>
    </row>
    <row r="1431" spans="25:35" customFormat="1" x14ac:dyDescent="0.25">
      <c r="Y1431" s="102"/>
      <c r="AI1431" s="372"/>
    </row>
    <row r="1432" spans="25:35" customFormat="1" x14ac:dyDescent="0.25">
      <c r="Y1432" s="102"/>
      <c r="AI1432" s="372"/>
    </row>
    <row r="1433" spans="25:35" customFormat="1" x14ac:dyDescent="0.25">
      <c r="Y1433" s="102"/>
      <c r="AI1433" s="372"/>
    </row>
    <row r="1434" spans="25:35" customFormat="1" x14ac:dyDescent="0.25">
      <c r="Y1434" s="102"/>
      <c r="AI1434" s="372"/>
    </row>
    <row r="1435" spans="25:35" customFormat="1" x14ac:dyDescent="0.25">
      <c r="Y1435" s="102"/>
      <c r="AI1435" s="372"/>
    </row>
    <row r="1436" spans="25:35" customFormat="1" x14ac:dyDescent="0.25">
      <c r="Y1436" s="102"/>
      <c r="AI1436" s="372"/>
    </row>
    <row r="1437" spans="25:35" customFormat="1" x14ac:dyDescent="0.25">
      <c r="Y1437" s="102"/>
      <c r="AI1437" s="372"/>
    </row>
    <row r="1438" spans="25:35" customFormat="1" x14ac:dyDescent="0.25">
      <c r="Y1438" s="102"/>
      <c r="AI1438" s="372"/>
    </row>
    <row r="1439" spans="25:35" customFormat="1" x14ac:dyDescent="0.25">
      <c r="Y1439" s="102"/>
      <c r="AI1439" s="372"/>
    </row>
    <row r="1440" spans="25:35" customFormat="1" x14ac:dyDescent="0.25">
      <c r="Y1440" s="102"/>
      <c r="AI1440" s="372"/>
    </row>
    <row r="1441" spans="25:35" customFormat="1" x14ac:dyDescent="0.25">
      <c r="Y1441" s="102"/>
      <c r="AI1441" s="372"/>
    </row>
    <row r="1442" spans="25:35" customFormat="1" x14ac:dyDescent="0.25">
      <c r="Y1442" s="102"/>
      <c r="AI1442" s="372"/>
    </row>
    <row r="1443" spans="25:35" customFormat="1" x14ac:dyDescent="0.25">
      <c r="Y1443" s="102"/>
      <c r="AI1443" s="372"/>
    </row>
    <row r="1444" spans="25:35" customFormat="1" x14ac:dyDescent="0.25">
      <c r="Y1444" s="102"/>
      <c r="AI1444" s="372"/>
    </row>
    <row r="1445" spans="25:35" customFormat="1" x14ac:dyDescent="0.25">
      <c r="Y1445" s="102"/>
      <c r="AI1445" s="372"/>
    </row>
    <row r="1446" spans="25:35" customFormat="1" x14ac:dyDescent="0.25">
      <c r="Y1446" s="102"/>
      <c r="AI1446" s="372"/>
    </row>
    <row r="1447" spans="25:35" customFormat="1" x14ac:dyDescent="0.25">
      <c r="Y1447" s="102"/>
      <c r="AI1447" s="372"/>
    </row>
    <row r="1448" spans="25:35" customFormat="1" x14ac:dyDescent="0.25">
      <c r="Y1448" s="102"/>
      <c r="AI1448" s="372"/>
    </row>
    <row r="1449" spans="25:35" customFormat="1" x14ac:dyDescent="0.25">
      <c r="Y1449" s="102"/>
      <c r="AI1449" s="372"/>
    </row>
    <row r="1450" spans="25:35" customFormat="1" x14ac:dyDescent="0.25">
      <c r="Y1450" s="102"/>
      <c r="AI1450" s="372"/>
    </row>
    <row r="1451" spans="25:35" customFormat="1" x14ac:dyDescent="0.25">
      <c r="Y1451" s="102"/>
      <c r="AI1451" s="372"/>
    </row>
    <row r="1452" spans="25:35" customFormat="1" x14ac:dyDescent="0.25">
      <c r="Y1452" s="102"/>
      <c r="AI1452" s="372"/>
    </row>
    <row r="1453" spans="25:35" customFormat="1" x14ac:dyDescent="0.25">
      <c r="Y1453" s="102"/>
      <c r="AI1453" s="372"/>
    </row>
    <row r="1454" spans="25:35" customFormat="1" x14ac:dyDescent="0.25">
      <c r="Y1454" s="102"/>
      <c r="AI1454" s="372"/>
    </row>
    <row r="1455" spans="25:35" customFormat="1" x14ac:dyDescent="0.25">
      <c r="Y1455" s="102"/>
      <c r="AI1455" s="372"/>
    </row>
    <row r="1456" spans="25:35" customFormat="1" x14ac:dyDescent="0.25">
      <c r="Y1456" s="102"/>
      <c r="AI1456" s="372"/>
    </row>
    <row r="1457" spans="25:35" customFormat="1" x14ac:dyDescent="0.25">
      <c r="Y1457" s="102"/>
      <c r="AI1457" s="372"/>
    </row>
    <row r="1458" spans="25:35" customFormat="1" x14ac:dyDescent="0.25">
      <c r="Y1458" s="102"/>
      <c r="AI1458" s="372"/>
    </row>
    <row r="1459" spans="25:35" customFormat="1" x14ac:dyDescent="0.25">
      <c r="Y1459" s="102"/>
      <c r="AI1459" s="372"/>
    </row>
    <row r="1460" spans="25:35" customFormat="1" x14ac:dyDescent="0.25">
      <c r="Y1460" s="102"/>
      <c r="AI1460" s="372"/>
    </row>
    <row r="1461" spans="25:35" customFormat="1" x14ac:dyDescent="0.25">
      <c r="Y1461" s="102"/>
      <c r="AI1461" s="372"/>
    </row>
    <row r="1462" spans="25:35" customFormat="1" x14ac:dyDescent="0.25">
      <c r="Y1462" s="102"/>
      <c r="AI1462" s="372"/>
    </row>
    <row r="1463" spans="25:35" customFormat="1" x14ac:dyDescent="0.25">
      <c r="Y1463" s="102"/>
      <c r="AI1463" s="372"/>
    </row>
    <row r="1464" spans="25:35" customFormat="1" x14ac:dyDescent="0.25">
      <c r="Y1464" s="102"/>
      <c r="AI1464" s="372"/>
    </row>
    <row r="1465" spans="25:35" customFormat="1" x14ac:dyDescent="0.25">
      <c r="Y1465" s="102"/>
      <c r="AI1465" s="372"/>
    </row>
    <row r="1466" spans="25:35" customFormat="1" x14ac:dyDescent="0.25">
      <c r="Y1466" s="102"/>
      <c r="AI1466" s="372"/>
    </row>
    <row r="1467" spans="25:35" customFormat="1" x14ac:dyDescent="0.25">
      <c r="Y1467" s="102"/>
      <c r="AI1467" s="372"/>
    </row>
    <row r="1468" spans="25:35" customFormat="1" x14ac:dyDescent="0.25">
      <c r="Y1468" s="102"/>
      <c r="AI1468" s="372"/>
    </row>
    <row r="1469" spans="25:35" customFormat="1" x14ac:dyDescent="0.25">
      <c r="Y1469" s="102"/>
      <c r="AI1469" s="372"/>
    </row>
    <row r="1470" spans="25:35" customFormat="1" x14ac:dyDescent="0.25">
      <c r="Y1470" s="102"/>
      <c r="AI1470" s="372"/>
    </row>
    <row r="1471" spans="25:35" customFormat="1" x14ac:dyDescent="0.25">
      <c r="Y1471" s="102"/>
      <c r="AI1471" s="372"/>
    </row>
    <row r="1472" spans="25:35" customFormat="1" x14ac:dyDescent="0.25">
      <c r="Y1472" s="102"/>
      <c r="AI1472" s="372"/>
    </row>
    <row r="1473" spans="25:35" customFormat="1" x14ac:dyDescent="0.25">
      <c r="Y1473" s="102"/>
      <c r="AI1473" s="372"/>
    </row>
    <row r="1474" spans="25:35" customFormat="1" x14ac:dyDescent="0.25">
      <c r="Y1474" s="102"/>
      <c r="AI1474" s="372"/>
    </row>
    <row r="1475" spans="25:35" customFormat="1" x14ac:dyDescent="0.25">
      <c r="Y1475" s="102"/>
      <c r="AI1475" s="372"/>
    </row>
    <row r="1476" spans="25:35" customFormat="1" x14ac:dyDescent="0.25">
      <c r="Y1476" s="102"/>
      <c r="AI1476" s="372"/>
    </row>
    <row r="1477" spans="25:35" customFormat="1" x14ac:dyDescent="0.25">
      <c r="Y1477" s="102"/>
      <c r="AI1477" s="372"/>
    </row>
    <row r="1478" spans="25:35" customFormat="1" x14ac:dyDescent="0.25">
      <c r="Y1478" s="102"/>
      <c r="AI1478" s="372"/>
    </row>
    <row r="1479" spans="25:35" customFormat="1" x14ac:dyDescent="0.25">
      <c r="Y1479" s="102"/>
      <c r="AI1479" s="372"/>
    </row>
    <row r="1480" spans="25:35" customFormat="1" x14ac:dyDescent="0.25">
      <c r="Y1480" s="102"/>
      <c r="AI1480" s="372"/>
    </row>
    <row r="1481" spans="25:35" customFormat="1" x14ac:dyDescent="0.25">
      <c r="Y1481" s="102"/>
      <c r="AI1481" s="372"/>
    </row>
    <row r="1482" spans="25:35" customFormat="1" x14ac:dyDescent="0.25">
      <c r="Y1482" s="102"/>
      <c r="AI1482" s="372"/>
    </row>
    <row r="1483" spans="25:35" customFormat="1" x14ac:dyDescent="0.25">
      <c r="Y1483" s="102"/>
      <c r="AI1483" s="372"/>
    </row>
    <row r="1484" spans="25:35" customFormat="1" x14ac:dyDescent="0.25">
      <c r="Y1484" s="102"/>
      <c r="AI1484" s="372"/>
    </row>
    <row r="1485" spans="25:35" customFormat="1" x14ac:dyDescent="0.25">
      <c r="Y1485" s="102"/>
      <c r="AI1485" s="372"/>
    </row>
    <row r="1486" spans="25:35" customFormat="1" x14ac:dyDescent="0.25">
      <c r="Y1486" s="102"/>
      <c r="AI1486" s="372"/>
    </row>
    <row r="1487" spans="25:35" customFormat="1" x14ac:dyDescent="0.25">
      <c r="Y1487" s="102"/>
      <c r="AI1487" s="372"/>
    </row>
    <row r="1488" spans="25:35" customFormat="1" x14ac:dyDescent="0.25">
      <c r="Y1488" s="102"/>
      <c r="AI1488" s="372"/>
    </row>
  </sheetData>
  <mergeCells count="2">
    <mergeCell ref="I1:AD1"/>
    <mergeCell ref="H2:AD2"/>
  </mergeCells>
  <phoneticPr fontId="31" type="noConversion"/>
  <conditionalFormatting sqref="Z312:Z315">
    <cfRule type="containsText" dxfId="37" priority="26" operator="containsText" text="[YES-ENTER]">
      <formula>NOT(ISERROR(SEARCH("[YES-ENTER]",Z312)))</formula>
    </cfRule>
  </conditionalFormatting>
  <conditionalFormatting sqref="Z337">
    <cfRule type="containsText" dxfId="36" priority="25" operator="containsText" text="[YES-ENTER]">
      <formula>NOT(ISERROR(SEARCH("[YES-ENTER]",Z337)))</formula>
    </cfRule>
  </conditionalFormatting>
  <conditionalFormatting sqref="Z338">
    <cfRule type="containsText" dxfId="35" priority="24" operator="containsText" text="[YES-ENTER]">
      <formula>NOT(ISERROR(SEARCH("[YES-ENTER]",Z338)))</formula>
    </cfRule>
  </conditionalFormatting>
  <conditionalFormatting sqref="Z339">
    <cfRule type="containsText" dxfId="34" priority="23" operator="containsText" text="[YES-ENTER]">
      <formula>NOT(ISERROR(SEARCH("[YES-ENTER]",Z339)))</formula>
    </cfRule>
  </conditionalFormatting>
  <conditionalFormatting sqref="Z340">
    <cfRule type="containsText" dxfId="33" priority="22" operator="containsText" text="[YES-ENTER]">
      <formula>NOT(ISERROR(SEARCH("[YES-ENTER]",Z340)))</formula>
    </cfRule>
  </conditionalFormatting>
  <conditionalFormatting sqref="Z341">
    <cfRule type="containsText" dxfId="32" priority="21" operator="containsText" text="[YES-ENTER]">
      <formula>NOT(ISERROR(SEARCH("[YES-ENTER]",Z341)))</formula>
    </cfRule>
  </conditionalFormatting>
  <conditionalFormatting sqref="Z342">
    <cfRule type="containsText" dxfId="31" priority="20" operator="containsText" text="[YES-ENTER]">
      <formula>NOT(ISERROR(SEARCH("[YES-ENTER]",Z342)))</formula>
    </cfRule>
  </conditionalFormatting>
  <conditionalFormatting sqref="Z343">
    <cfRule type="containsText" dxfId="30" priority="19" operator="containsText" text="[YES-ENTER]">
      <formula>NOT(ISERROR(SEARCH("[YES-ENTER]",Z343)))</formula>
    </cfRule>
  </conditionalFormatting>
  <conditionalFormatting sqref="Z344">
    <cfRule type="containsText" dxfId="29" priority="18" operator="containsText" text="[YES-ENTER]">
      <formula>NOT(ISERROR(SEARCH("[YES-ENTER]",Z344)))</formula>
    </cfRule>
  </conditionalFormatting>
  <conditionalFormatting sqref="Z345">
    <cfRule type="containsText" dxfId="28" priority="17" operator="containsText" text="[YES-ENTER]">
      <formula>NOT(ISERROR(SEARCH("[YES-ENTER]",Z345)))</formula>
    </cfRule>
  </conditionalFormatting>
  <conditionalFormatting sqref="Z346">
    <cfRule type="containsText" dxfId="27" priority="16" operator="containsText" text="[YES-ENTER]">
      <formula>NOT(ISERROR(SEARCH("[YES-ENTER]",Z346)))</formula>
    </cfRule>
  </conditionalFormatting>
  <conditionalFormatting sqref="Z347">
    <cfRule type="containsText" dxfId="26" priority="15" operator="containsText" text="[YES-ENTER]">
      <formula>NOT(ISERROR(SEARCH("[YES-ENTER]",Z347)))</formula>
    </cfRule>
  </conditionalFormatting>
  <conditionalFormatting sqref="Z348">
    <cfRule type="containsText" dxfId="25" priority="14" operator="containsText" text="[YES-ENTER]">
      <formula>NOT(ISERROR(SEARCH("[YES-ENTER]",Z348)))</formula>
    </cfRule>
  </conditionalFormatting>
  <conditionalFormatting sqref="Z360">
    <cfRule type="containsText" dxfId="24" priority="13" operator="containsText" text="[YES-ENTER]">
      <formula>NOT(ISERROR(SEARCH("[YES-ENTER]",Z360)))</formula>
    </cfRule>
  </conditionalFormatting>
  <conditionalFormatting sqref="Z457">
    <cfRule type="containsText" dxfId="23" priority="12" operator="containsText" text="[YES-ENTER]">
      <formula>NOT(ISERROR(SEARCH("[YES-ENTER]",Z457)))</formula>
    </cfRule>
  </conditionalFormatting>
  <conditionalFormatting sqref="Z458">
    <cfRule type="containsText" dxfId="22" priority="11" operator="containsText" text="[YES-ENTER]">
      <formula>NOT(ISERROR(SEARCH("[YES-ENTER]",Z458)))</formula>
    </cfRule>
  </conditionalFormatting>
  <conditionalFormatting sqref="Z459">
    <cfRule type="containsText" dxfId="21" priority="10" operator="containsText" text="[YES-ENTER]">
      <formula>NOT(ISERROR(SEARCH("[YES-ENTER]",Z459)))</formula>
    </cfRule>
  </conditionalFormatting>
  <conditionalFormatting sqref="Z461">
    <cfRule type="containsText" dxfId="20" priority="9" operator="containsText" text="[YES-ENTER]">
      <formula>NOT(ISERROR(SEARCH("[YES-ENTER]",Z461)))</formula>
    </cfRule>
  </conditionalFormatting>
  <conditionalFormatting sqref="Z463">
    <cfRule type="containsText" dxfId="19" priority="8" operator="containsText" text="[YES-ENTER]">
      <formula>NOT(ISERROR(SEARCH("[YES-ENTER]",Z463)))</formula>
    </cfRule>
  </conditionalFormatting>
  <conditionalFormatting sqref="Z464">
    <cfRule type="containsText" dxfId="18" priority="7" operator="containsText" text="[YES-ENTER]">
      <formula>NOT(ISERROR(SEARCH("[YES-ENTER]",Z464)))</formula>
    </cfRule>
  </conditionalFormatting>
  <conditionalFormatting sqref="Z580">
    <cfRule type="containsText" dxfId="17" priority="6" operator="containsText" text="[YES-ENTER]">
      <formula>NOT(ISERROR(SEARCH("[YES-ENTER]",Z580)))</formula>
    </cfRule>
  </conditionalFormatting>
  <conditionalFormatting sqref="Z305">
    <cfRule type="containsText" dxfId="16" priority="5" operator="containsText" text="[YES-ENTER]">
      <formula>NOT(ISERROR(SEARCH("[YES-ENTER]",Z305)))</formula>
    </cfRule>
  </conditionalFormatting>
  <conditionalFormatting sqref="Z467">
    <cfRule type="containsText" dxfId="15" priority="3" operator="containsText" text="[YES-ENTER]">
      <formula>NOT(ISERROR(SEARCH("[YES-ENTER]",Z467)))</formula>
    </cfRule>
  </conditionalFormatting>
  <conditionalFormatting sqref="Z479">
    <cfRule type="containsText" dxfId="14" priority="2" operator="containsText" text="[YES-ENTER]">
      <formula>NOT(ISERROR(SEARCH("[YES-ENTER]",Z479)))</formula>
    </cfRule>
  </conditionalFormatting>
  <hyperlinks>
    <hyperlink ref="T11" r:id="rId1" display="https://viking-pictures.s3.us-west-1.amazonaws.com/AA1155/A47.+Door+Handle%2C+Exterior+-+FRONT+-+LEFT+(1).JPG" xr:uid="{A151380A-39BD-4E15-BD0A-102FBD84BF3D}"/>
  </hyperlinks>
  <pageMargins left="0.7" right="0.7" top="0.75" bottom="0.75" header="0.3" footer="0.3"/>
  <pageSetup scale="20" fitToHeight="0" orientation="landscape" horizontalDpi="4294967293"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UpdateUniqueIDs">
                <anchor moveWithCells="1" sizeWithCells="1">
                  <from>
                    <xdr:col>49</xdr:col>
                    <xdr:colOff>9525</xdr:colOff>
                    <xdr:row>2</xdr:row>
                    <xdr:rowOff>180975</xdr:rowOff>
                  </from>
                  <to>
                    <xdr:col>50</xdr:col>
                    <xdr:colOff>0</xdr:colOff>
                    <xdr:row>5</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F14D-2D5E-4B62-A70D-0AAC7C3B7B7C}">
  <sheetPr codeName="Sheet9"/>
  <dimension ref="A1:AX377"/>
  <sheetViews>
    <sheetView topLeftCell="S1" workbookViewId="0">
      <selection activeCell="AY1" sqref="AY1"/>
    </sheetView>
  </sheetViews>
  <sheetFormatPr defaultRowHeight="15" x14ac:dyDescent="0.25"/>
  <cols>
    <col min="7" max="7" width="12.42578125" customWidth="1"/>
  </cols>
  <sheetData>
    <row r="1" spans="1:50" s="1" customFormat="1" ht="15.75" thickBot="1" x14ac:dyDescent="0.3">
      <c r="A1" s="1" t="s">
        <v>1372</v>
      </c>
      <c r="B1" s="1" t="s">
        <v>579</v>
      </c>
      <c r="C1" s="1" t="s">
        <v>2363</v>
      </c>
      <c r="D1" s="1" t="s">
        <v>2141</v>
      </c>
      <c r="E1" s="1" t="s">
        <v>2084</v>
      </c>
      <c r="F1" s="1" t="s">
        <v>538</v>
      </c>
      <c r="G1" s="1" t="s">
        <v>539</v>
      </c>
      <c r="H1" s="2" t="s">
        <v>330</v>
      </c>
      <c r="I1" s="9" t="s">
        <v>2</v>
      </c>
      <c r="J1" s="9" t="s">
        <v>2770</v>
      </c>
      <c r="K1" s="9" t="s">
        <v>1</v>
      </c>
      <c r="L1" s="9" t="s">
        <v>2752</v>
      </c>
      <c r="M1" s="9" t="s">
        <v>561</v>
      </c>
      <c r="N1" s="9" t="s">
        <v>1025</v>
      </c>
      <c r="O1" s="9" t="s">
        <v>1372</v>
      </c>
      <c r="P1" s="9" t="s">
        <v>1034</v>
      </c>
      <c r="Q1" s="9" t="s">
        <v>912</v>
      </c>
      <c r="R1" s="9" t="s">
        <v>2850</v>
      </c>
      <c r="S1" s="9" t="s">
        <v>2148</v>
      </c>
      <c r="T1" s="9" t="s">
        <v>2849</v>
      </c>
      <c r="U1" s="9" t="s">
        <v>911</v>
      </c>
      <c r="V1" s="9" t="s">
        <v>1036</v>
      </c>
      <c r="W1" s="248" t="s">
        <v>1037</v>
      </c>
      <c r="X1" s="9" t="s">
        <v>1348</v>
      </c>
      <c r="Y1" s="9" t="s">
        <v>2461</v>
      </c>
      <c r="Z1" s="9" t="s">
        <v>2076</v>
      </c>
      <c r="AA1" s="9" t="s">
        <v>2749</v>
      </c>
      <c r="AB1" s="9" t="s">
        <v>2748</v>
      </c>
      <c r="AC1" s="9" t="s">
        <v>2773</v>
      </c>
      <c r="AD1" s="9" t="s">
        <v>550</v>
      </c>
      <c r="AE1" s="9" t="s">
        <v>549</v>
      </c>
      <c r="AF1" s="9" t="s">
        <v>540</v>
      </c>
      <c r="AG1" s="9" t="s">
        <v>545</v>
      </c>
      <c r="AH1" s="17" t="s">
        <v>3</v>
      </c>
      <c r="AI1" s="384" t="s">
        <v>2851</v>
      </c>
      <c r="AJ1" s="4" t="s">
        <v>60</v>
      </c>
      <c r="AK1" s="4" t="s">
        <v>525</v>
      </c>
      <c r="AL1" s="4" t="s">
        <v>2174</v>
      </c>
      <c r="AM1" s="98" t="s">
        <v>28</v>
      </c>
      <c r="AN1" s="1" t="s">
        <v>568</v>
      </c>
      <c r="AO1" s="1" t="s">
        <v>572</v>
      </c>
      <c r="AP1" s="1" t="s">
        <v>594</v>
      </c>
      <c r="AQ1" s="1" t="s">
        <v>579</v>
      </c>
      <c r="AR1" s="1" t="s">
        <v>569</v>
      </c>
      <c r="AS1" s="1" t="s">
        <v>525</v>
      </c>
      <c r="AT1" s="1" t="s">
        <v>2365</v>
      </c>
      <c r="AU1" s="1" t="s">
        <v>2364</v>
      </c>
      <c r="AV1" s="1" t="s">
        <v>1027</v>
      </c>
      <c r="AW1" s="1" t="s">
        <v>2366</v>
      </c>
      <c r="AX1" s="1" t="s">
        <v>2083</v>
      </c>
    </row>
    <row r="2" spans="1:50" ht="15.75" thickBot="1" x14ac:dyDescent="0.3">
      <c r="A2" s="190" t="str">
        <f t="shared" ref="A2:A65" si="0">IF(O2&lt;&gt;"",O2,"")</f>
        <v/>
      </c>
      <c r="B2" s="241" t="str">
        <f>IF(AQ2&lt;&gt;"",AQ2,"")</f>
        <v/>
      </c>
      <c r="C2" s="241"/>
      <c r="D2" s="241"/>
      <c r="E2" s="241" t="str">
        <f t="shared" ref="E2:E65" si="1">IF(B2&lt;&gt;"",COUNTIF($B$9:$B$2241,B2),"")</f>
        <v/>
      </c>
      <c r="F2" s="241" t="s">
        <v>535</v>
      </c>
      <c r="G2" s="242">
        <v>44683</v>
      </c>
      <c r="H2" s="243"/>
      <c r="I2" s="243"/>
      <c r="J2" s="244" t="s">
        <v>402</v>
      </c>
      <c r="K2" s="244" t="s">
        <v>2753</v>
      </c>
      <c r="L2" s="244" t="s">
        <v>552</v>
      </c>
      <c r="M2" s="244" t="s">
        <v>559</v>
      </c>
      <c r="N2" s="244"/>
      <c r="O2" s="244"/>
      <c r="P2" s="244"/>
      <c r="Q2" s="244" t="str">
        <f t="shared" ref="Q2:Q65" si="2">CONCATENATE(O2,". ",AB2)</f>
        <v>. Scuff Plates SET 4</v>
      </c>
      <c r="R2" s="244"/>
      <c r="S2" s="244" t="str">
        <f t="shared" ref="S2" si="3">IF(T2&lt;&gt;"",HYPERLINK(T2,"E.G."),"")</f>
        <v/>
      </c>
      <c r="T2" s="244" t="str">
        <f>IF(O2&lt;&gt;"",_xlfn.XLOOKUP(O2,'3D. Pictures'!B:B,'3D. Pictures'!E:E,"NOT FOUND",0,1),"")</f>
        <v/>
      </c>
      <c r="U2" s="244"/>
      <c r="V2" s="244"/>
      <c r="W2" s="244"/>
      <c r="X2" s="244"/>
      <c r="Y2" s="206"/>
      <c r="Z2" s="244"/>
      <c r="AA2" s="244" t="s">
        <v>2750</v>
      </c>
      <c r="AB2" s="244" t="s">
        <v>2509</v>
      </c>
      <c r="AC2" s="231" t="str">
        <f>_xlfn.TEXTJOIN(" | ",TRUE,AD2,AE2)</f>
        <v>SET4, if some bad sell SET2, toss singles</v>
      </c>
      <c r="AD2" s="244" t="s">
        <v>1199</v>
      </c>
      <c r="AE2" s="244"/>
      <c r="AF2" s="244" t="s">
        <v>541</v>
      </c>
      <c r="AG2" s="243"/>
      <c r="AH2" s="16">
        <v>100</v>
      </c>
      <c r="AI2" s="380">
        <f>IF(ISTEXT(AH2), AH2, IFERROR(AVERAGEIF(AA:AA, AA2, AH:AH), ""))</f>
        <v>100</v>
      </c>
      <c r="AJ2" s="246" t="s">
        <v>408</v>
      </c>
      <c r="AK2" s="246" t="s">
        <v>425</v>
      </c>
      <c r="AL2" s="246" t="s">
        <v>2175</v>
      </c>
      <c r="AM2" s="241"/>
      <c r="AN2" s="241"/>
      <c r="AO2" s="241"/>
      <c r="AP2" s="241"/>
      <c r="AQ2" s="241"/>
      <c r="AR2" s="241"/>
      <c r="AS2" s="241"/>
      <c r="AT2" s="241"/>
      <c r="AU2" s="241"/>
      <c r="AV2" s="241"/>
      <c r="AW2" s="241"/>
      <c r="AX2" s="279" t="str">
        <f t="shared" ref="AX2:AX50" si="4">IF(AW2&lt;&gt;"",_xlfn.TEXTJOIN("-",TRUE,AV2,AW2),"")</f>
        <v/>
      </c>
    </row>
    <row r="3" spans="1:50" ht="15.75" thickBot="1" x14ac:dyDescent="0.3">
      <c r="A3" s="190" t="str">
        <f t="shared" si="0"/>
        <v>A47</v>
      </c>
      <c r="B3" s="279" t="str">
        <f t="shared" ref="B3:B66" si="5">IF(AQ3&lt;&gt;"",AQ3,"")</f>
        <v>129-52061</v>
      </c>
      <c r="C3" s="279" t="s">
        <v>2085</v>
      </c>
      <c r="D3" s="279"/>
      <c r="E3" s="279">
        <f t="shared" si="1"/>
        <v>1</v>
      </c>
      <c r="F3" s="190" t="s">
        <v>535</v>
      </c>
      <c r="G3" s="198">
        <v>44670</v>
      </c>
      <c r="H3" s="207"/>
      <c r="I3" s="200" t="s">
        <v>7</v>
      </c>
      <c r="J3" s="201" t="s">
        <v>402</v>
      </c>
      <c r="K3" s="201" t="s">
        <v>2754</v>
      </c>
      <c r="L3" s="201" t="s">
        <v>551</v>
      </c>
      <c r="M3" s="200" t="s">
        <v>558</v>
      </c>
      <c r="N3" s="200">
        <v>37</v>
      </c>
      <c r="O3" s="230" t="s">
        <v>949</v>
      </c>
      <c r="P3" s="230" t="s">
        <v>1204</v>
      </c>
      <c r="Q3" s="231" t="str">
        <f t="shared" si="2"/>
        <v>A47. Door Handle, Exterior - FRONT - LEFT</v>
      </c>
      <c r="R3" s="284" t="str">
        <f>HYPERLINK(VLOOKUP(O3,'3D. Pictures'!$B$3:$E$500,4,FALSE),"PIC")</f>
        <v>PIC</v>
      </c>
      <c r="S3" s="284" t="str">
        <f>IF(T3&lt;&gt;"",HYPERLINK(T3,"E.G."),"")</f>
        <v>E.G.</v>
      </c>
      <c r="T3" s="376" t="str">
        <f>IF(O3&lt;&gt;"",_xlfn.XLOOKUP(O3,'3D. Pictures'!B:B,'3D. Pictures'!E:E,"NOT FOUND",0,1),"")</f>
        <v>https://viking-pictures.s3.us-west-1.amazonaws.com/AA1155/A47.+Door+Handle%2C+Exterior+-+FRONT+-+LEFT+(1).JPG</v>
      </c>
      <c r="U3" s="283">
        <v>5</v>
      </c>
      <c r="V3" s="201" t="s">
        <v>1213</v>
      </c>
      <c r="W3" s="200" t="s">
        <v>111</v>
      </c>
      <c r="X3" s="201"/>
      <c r="Y3" s="201"/>
      <c r="Z3" s="201"/>
      <c r="AA3" s="201" t="s">
        <v>578</v>
      </c>
      <c r="AB3" s="201" t="s">
        <v>578</v>
      </c>
      <c r="AC3" s="247" t="str">
        <f t="shared" ref="AC3:AC66" si="6">_xlfn.TEXTJOIN(" | ",TRUE,AD3,AE3)</f>
        <v>on base w/ cable, remove lock cyl &amp; put w/ SET A</v>
      </c>
      <c r="AD3" s="201" t="s">
        <v>564</v>
      </c>
      <c r="AE3" s="201"/>
      <c r="AF3" s="201" t="s">
        <v>543</v>
      </c>
      <c r="AG3" s="201" t="s">
        <v>583</v>
      </c>
      <c r="AH3" s="362">
        <v>150</v>
      </c>
      <c r="AI3" s="380">
        <f>IF(ISTEXT(AH3), AH3, IFERROR(AVERAGEIF(AA:AA, AA3, AH:AH), ""))</f>
        <v>150</v>
      </c>
      <c r="AJ3" s="204" t="s">
        <v>408</v>
      </c>
      <c r="AK3" s="204" t="s">
        <v>425</v>
      </c>
      <c r="AL3" s="204" t="s">
        <v>2175</v>
      </c>
      <c r="AM3" s="203"/>
      <c r="AN3" s="191">
        <v>129</v>
      </c>
      <c r="AO3" s="190" t="s">
        <v>572</v>
      </c>
      <c r="AP3" s="190">
        <v>52061</v>
      </c>
      <c r="AQ3" s="190" t="str">
        <f>CONCATENATE(AN3,AO3,AP3)</f>
        <v>129-52061</v>
      </c>
      <c r="AR3" s="190" t="s">
        <v>570</v>
      </c>
      <c r="AS3" s="190"/>
      <c r="AT3" s="190"/>
      <c r="AU3" s="190"/>
      <c r="AV3" s="190"/>
      <c r="AW3" s="190"/>
      <c r="AX3" s="279" t="str">
        <f t="shared" si="4"/>
        <v/>
      </c>
    </row>
    <row r="4" spans="1:50" ht="15.75" thickBot="1" x14ac:dyDescent="0.3">
      <c r="A4" s="190" t="str">
        <f t="shared" si="0"/>
        <v>A30</v>
      </c>
      <c r="B4" s="279" t="str">
        <f t="shared" si="5"/>
        <v>285-999723</v>
      </c>
      <c r="C4" s="279"/>
      <c r="D4" s="279"/>
      <c r="E4" s="279">
        <f t="shared" si="1"/>
        <v>0</v>
      </c>
      <c r="F4" s="190" t="s">
        <v>535</v>
      </c>
      <c r="G4" s="198">
        <v>44670</v>
      </c>
      <c r="H4" s="205"/>
      <c r="I4" s="205"/>
      <c r="J4" s="205" t="s">
        <v>402</v>
      </c>
      <c r="K4" s="205" t="s">
        <v>2754</v>
      </c>
      <c r="L4" s="205" t="s">
        <v>553</v>
      </c>
      <c r="M4" s="208" t="s">
        <v>560</v>
      </c>
      <c r="N4" s="208">
        <v>20</v>
      </c>
      <c r="O4" s="232" t="s">
        <v>932</v>
      </c>
      <c r="P4" s="232" t="s">
        <v>1168</v>
      </c>
      <c r="Q4" s="231" t="str">
        <f t="shared" si="2"/>
        <v>A30. Door Latch, FRONT - LEFT Soft Close WITH Actuator SET 2</v>
      </c>
      <c r="R4" s="284" t="str">
        <f>HYPERLINK(VLOOKUP(O4,'3D. Pictures'!$B$3:$E$500,4,FALSE),"PIC")</f>
        <v>PIC</v>
      </c>
      <c r="S4" s="284" t="str">
        <f t="shared" ref="S4:S67" si="7">IF(T4&lt;&gt;"",HYPERLINK(T4,"E.G."),"")</f>
        <v>E.G.</v>
      </c>
      <c r="T4" s="377" t="str">
        <f>IF(O4&lt;&gt;"",_xlfn.XLOOKUP(O4,'3D. Pictures'!B:B,'3D. Pictures'!E:E,"NOT FOUND",0,1),"")</f>
        <v>https://viking-pictures.s3.us-west-1.amazonaws.com/AA1155/A30.+Door+Latch%2C+FRONT+-+LEFT+Soft+Close+WITH+Actuator+SET+2+(1).JPG</v>
      </c>
      <c r="U4" s="208">
        <v>6</v>
      </c>
      <c r="V4" s="201" t="s">
        <v>1177</v>
      </c>
      <c r="W4" s="208" t="s">
        <v>111</v>
      </c>
      <c r="X4" s="201"/>
      <c r="Y4" s="201"/>
      <c r="Z4" s="201"/>
      <c r="AA4" s="205" t="s">
        <v>2479</v>
      </c>
      <c r="AB4" s="205" t="s">
        <v>2479</v>
      </c>
      <c r="AC4" s="358" t="str">
        <f t="shared" si="6"/>
        <v>w/ cable + white actuator motor | toss both if 1 bad</v>
      </c>
      <c r="AD4" s="205" t="s">
        <v>2774</v>
      </c>
      <c r="AE4" s="205" t="s">
        <v>1159</v>
      </c>
      <c r="AF4" s="201" t="s">
        <v>543</v>
      </c>
      <c r="AG4" s="205"/>
      <c r="AH4" s="167">
        <v>250</v>
      </c>
      <c r="AI4" s="380">
        <f t="shared" ref="AI4:AI67" si="8">IF(ISTEXT(AH4), AH4, IFERROR(AVERAGEIF(AA:AA, AA4, AH:AH), ""))</f>
        <v>250</v>
      </c>
      <c r="AJ4" s="204" t="s">
        <v>408</v>
      </c>
      <c r="AK4" s="204" t="s">
        <v>425</v>
      </c>
      <c r="AL4" s="204" t="s">
        <v>2175</v>
      </c>
      <c r="AM4" s="190"/>
      <c r="AN4" s="191">
        <v>285</v>
      </c>
      <c r="AO4" s="190" t="s">
        <v>572</v>
      </c>
      <c r="AP4" s="190">
        <v>999723</v>
      </c>
      <c r="AQ4" s="190" t="str">
        <f>CONCATENATE(AN4,AO4,AP4)</f>
        <v>285-999723</v>
      </c>
      <c r="AR4" s="190" t="s">
        <v>595</v>
      </c>
      <c r="AS4" s="190"/>
      <c r="AT4" s="190"/>
      <c r="AU4" s="190"/>
      <c r="AV4" s="190"/>
      <c r="AW4" s="190"/>
      <c r="AX4" s="279" t="str">
        <f t="shared" si="4"/>
        <v/>
      </c>
    </row>
    <row r="5" spans="1:50" x14ac:dyDescent="0.25">
      <c r="A5" s="190" t="str">
        <f t="shared" si="0"/>
        <v/>
      </c>
      <c r="B5" s="279" t="str">
        <f t="shared" si="5"/>
        <v>285-999717</v>
      </c>
      <c r="C5" s="279"/>
      <c r="D5" s="279"/>
      <c r="E5" s="279">
        <f t="shared" si="1"/>
        <v>0</v>
      </c>
      <c r="F5" s="190" t="s">
        <v>535</v>
      </c>
      <c r="G5" s="198">
        <v>44670</v>
      </c>
      <c r="H5" s="205"/>
      <c r="I5" s="205"/>
      <c r="J5" s="205" t="s">
        <v>402</v>
      </c>
      <c r="K5" s="205" t="s">
        <v>2754</v>
      </c>
      <c r="L5" s="205" t="s">
        <v>553</v>
      </c>
      <c r="M5" s="208" t="s">
        <v>560</v>
      </c>
      <c r="N5" s="208"/>
      <c r="O5" s="232"/>
      <c r="P5" s="232"/>
      <c r="Q5" s="231" t="str">
        <f t="shared" si="2"/>
        <v>. Door Latch, FRONT - LEFT WITHOUT Soft Close</v>
      </c>
      <c r="R5" s="231"/>
      <c r="S5" s="231" t="str">
        <f t="shared" si="7"/>
        <v/>
      </c>
      <c r="T5" s="231" t="str">
        <f>IF(O5&lt;&gt;"",_xlfn.XLOOKUP(O5,'3D. Pictures'!B:B,'3D. Pictures'!E:E,"NOT FOUND",0,1),"")</f>
        <v/>
      </c>
      <c r="U5" s="208"/>
      <c r="V5" s="201" t="s">
        <v>1178</v>
      </c>
      <c r="W5" s="208" t="s">
        <v>111</v>
      </c>
      <c r="X5" s="201"/>
      <c r="Y5" s="201"/>
      <c r="Z5" s="201"/>
      <c r="AA5" s="205" t="s">
        <v>1174</v>
      </c>
      <c r="AB5" s="205" t="s">
        <v>1174</v>
      </c>
      <c r="AC5" s="358" t="str">
        <f t="shared" si="6"/>
        <v>w/ cable</v>
      </c>
      <c r="AD5" s="205" t="s">
        <v>597</v>
      </c>
      <c r="AE5" s="205"/>
      <c r="AF5" s="201" t="s">
        <v>543</v>
      </c>
      <c r="AG5" s="205"/>
      <c r="AH5" s="167">
        <v>78</v>
      </c>
      <c r="AI5" s="380">
        <f t="shared" si="8"/>
        <v>78</v>
      </c>
      <c r="AJ5" s="204" t="s">
        <v>408</v>
      </c>
      <c r="AK5" s="204" t="s">
        <v>425</v>
      </c>
      <c r="AL5" s="204" t="s">
        <v>2175</v>
      </c>
      <c r="AM5" s="190"/>
      <c r="AN5" s="191">
        <v>285</v>
      </c>
      <c r="AO5" s="190" t="s">
        <v>572</v>
      </c>
      <c r="AP5" s="190">
        <v>999717</v>
      </c>
      <c r="AQ5" s="190" t="str">
        <f>CONCATENATE(AN5,AO5,AP5)</f>
        <v>285-999717</v>
      </c>
      <c r="AR5" s="190" t="s">
        <v>596</v>
      </c>
      <c r="AS5" s="190"/>
      <c r="AT5" s="190"/>
      <c r="AU5" s="190"/>
      <c r="AV5" s="190"/>
      <c r="AW5" s="190"/>
      <c r="AX5" s="279" t="str">
        <f t="shared" si="4"/>
        <v/>
      </c>
    </row>
    <row r="6" spans="1:50" x14ac:dyDescent="0.25">
      <c r="A6" s="190" t="str">
        <f t="shared" si="0"/>
        <v/>
      </c>
      <c r="B6" s="279" t="str">
        <f t="shared" si="5"/>
        <v/>
      </c>
      <c r="C6" s="279"/>
      <c r="D6" s="279"/>
      <c r="E6" s="279" t="str">
        <f t="shared" si="1"/>
        <v/>
      </c>
      <c r="F6" t="s">
        <v>535</v>
      </c>
      <c r="G6" s="188">
        <v>44684</v>
      </c>
      <c r="H6" s="16"/>
      <c r="I6" s="16"/>
      <c r="J6" s="16" t="s">
        <v>402</v>
      </c>
      <c r="K6" s="166" t="s">
        <v>2754</v>
      </c>
      <c r="L6" s="16" t="s">
        <v>554</v>
      </c>
      <c r="M6" s="166" t="s">
        <v>559</v>
      </c>
      <c r="N6" s="166"/>
      <c r="O6" s="166"/>
      <c r="P6" s="166"/>
      <c r="Q6" s="231" t="str">
        <f t="shared" si="2"/>
        <v>. Door Lock Cylinder - LEFT FRONT (put in module box for SET A)</v>
      </c>
      <c r="R6" s="231"/>
      <c r="S6" s="231" t="str">
        <f t="shared" si="7"/>
        <v/>
      </c>
      <c r="T6" s="231" t="str">
        <f>IF(O6&lt;&gt;"",_xlfn.XLOOKUP(O6,'3D. Pictures'!B:B,'3D. Pictures'!E:E,"NOT FOUND",0,1),"")</f>
        <v/>
      </c>
      <c r="U6" s="166"/>
      <c r="V6" s="166"/>
      <c r="W6" s="166"/>
      <c r="X6" s="166"/>
      <c r="Y6" s="166"/>
      <c r="Z6" s="166"/>
      <c r="AA6" s="16" t="s">
        <v>470</v>
      </c>
      <c r="AB6" s="16" t="s">
        <v>470</v>
      </c>
      <c r="AC6" s="358" t="str">
        <f t="shared" si="6"/>
        <v/>
      </c>
      <c r="AD6" s="16"/>
      <c r="AE6" s="16"/>
      <c r="AF6" s="168" t="s">
        <v>543</v>
      </c>
      <c r="AG6" s="16" t="s">
        <v>471</v>
      </c>
      <c r="AH6" s="167" t="s">
        <v>458</v>
      </c>
      <c r="AI6" s="380" t="str">
        <f t="shared" si="8"/>
        <v>SET A (xxx)</v>
      </c>
      <c r="AJ6" s="3" t="s">
        <v>408</v>
      </c>
      <c r="AK6" s="3" t="s">
        <v>425</v>
      </c>
      <c r="AL6" s="204" t="s">
        <v>2175</v>
      </c>
      <c r="AX6" s="279" t="str">
        <f t="shared" si="4"/>
        <v/>
      </c>
    </row>
    <row r="7" spans="1:50" ht="15.75" thickBot="1" x14ac:dyDescent="0.3">
      <c r="A7" s="190" t="str">
        <f t="shared" si="0"/>
        <v/>
      </c>
      <c r="B7" s="279" t="str">
        <f t="shared" si="5"/>
        <v>128-11745</v>
      </c>
      <c r="C7" s="279"/>
      <c r="D7" s="279"/>
      <c r="E7" s="279">
        <f t="shared" si="1"/>
        <v>0</v>
      </c>
      <c r="F7" s="190" t="s">
        <v>535</v>
      </c>
      <c r="G7" s="198">
        <v>44670</v>
      </c>
      <c r="H7" s="199"/>
      <c r="I7" s="200" t="s">
        <v>7</v>
      </c>
      <c r="J7" s="201" t="s">
        <v>402</v>
      </c>
      <c r="K7" s="202" t="s">
        <v>2754</v>
      </c>
      <c r="L7" s="201" t="s">
        <v>49</v>
      </c>
      <c r="M7" s="200" t="s">
        <v>558</v>
      </c>
      <c r="N7" s="200"/>
      <c r="O7" s="230"/>
      <c r="P7" s="230"/>
      <c r="Q7" s="231" t="str">
        <f t="shared" si="2"/>
        <v>. Mirror, Door - FRONT LEFT</v>
      </c>
      <c r="R7" s="231"/>
      <c r="S7" s="231" t="str">
        <f t="shared" si="7"/>
        <v/>
      </c>
      <c r="T7" s="231" t="str">
        <f>IF(O7&lt;&gt;"",_xlfn.XLOOKUP(O7,'3D. Pictures'!B:B,'3D. Pictures'!E:E,"NOT FOUND",0,1),"")</f>
        <v/>
      </c>
      <c r="U7" s="200"/>
      <c r="V7" s="201"/>
      <c r="W7" s="200"/>
      <c r="X7" s="201"/>
      <c r="Y7" s="201"/>
      <c r="Z7" s="201"/>
      <c r="AA7" s="201" t="s">
        <v>1350</v>
      </c>
      <c r="AB7" s="201" t="s">
        <v>1350</v>
      </c>
      <c r="AC7" s="247" t="str">
        <f t="shared" si="6"/>
        <v/>
      </c>
      <c r="AD7" s="201"/>
      <c r="AE7" s="201"/>
      <c r="AF7" s="201" t="s">
        <v>543</v>
      </c>
      <c r="AG7" s="201"/>
      <c r="AH7" s="362">
        <v>1000</v>
      </c>
      <c r="AI7" s="380">
        <f t="shared" si="8"/>
        <v>1000</v>
      </c>
      <c r="AJ7" s="204" t="s">
        <v>408</v>
      </c>
      <c r="AK7" s="204" t="s">
        <v>425</v>
      </c>
      <c r="AL7" s="204" t="s">
        <v>2175</v>
      </c>
      <c r="AM7" s="190"/>
      <c r="AN7" s="191">
        <v>128</v>
      </c>
      <c r="AO7" s="190" t="s">
        <v>572</v>
      </c>
      <c r="AP7" s="190">
        <v>11745</v>
      </c>
      <c r="AQ7" s="190" t="str">
        <f t="shared" ref="AQ7:AQ8" si="9">CONCATENATE(AN7,AO7,AP7)</f>
        <v>128-11745</v>
      </c>
      <c r="AR7" s="190" t="s">
        <v>584</v>
      </c>
      <c r="AS7" s="190"/>
      <c r="AT7" s="190"/>
      <c r="AU7" s="190"/>
      <c r="AV7" s="190"/>
      <c r="AW7" s="190"/>
      <c r="AX7" s="279" t="str">
        <f t="shared" si="4"/>
        <v/>
      </c>
    </row>
    <row r="8" spans="1:50" ht="15.75" thickBot="1" x14ac:dyDescent="0.3">
      <c r="A8" s="190" t="str">
        <f t="shared" si="0"/>
        <v>A58</v>
      </c>
      <c r="B8" s="279" t="str">
        <f t="shared" si="5"/>
        <v>641-54182</v>
      </c>
      <c r="C8" s="279"/>
      <c r="D8" s="279"/>
      <c r="E8" s="279">
        <f t="shared" si="1"/>
        <v>0</v>
      </c>
      <c r="F8" s="190" t="s">
        <v>535</v>
      </c>
      <c r="G8" s="198">
        <v>45218</v>
      </c>
      <c r="H8" s="199"/>
      <c r="I8" s="200" t="s">
        <v>7</v>
      </c>
      <c r="J8" s="201" t="s">
        <v>402</v>
      </c>
      <c r="K8" s="202" t="s">
        <v>2754</v>
      </c>
      <c r="L8" s="201" t="s">
        <v>1210</v>
      </c>
      <c r="M8" s="200" t="s">
        <v>558</v>
      </c>
      <c r="N8" s="200">
        <v>48</v>
      </c>
      <c r="O8" s="230" t="s">
        <v>960</v>
      </c>
      <c r="P8" s="230" t="s">
        <v>1204</v>
      </c>
      <c r="Q8" s="231" t="str">
        <f t="shared" si="2"/>
        <v>A58. Switch, Window Master</v>
      </c>
      <c r="R8" s="284" t="str">
        <f>HYPERLINK(VLOOKUP(O8,'3D. Pictures'!$B$3:$E$500,4,FALSE),"PIC")</f>
        <v>PIC</v>
      </c>
      <c r="S8" s="373" t="str">
        <f t="shared" si="7"/>
        <v>E.G.</v>
      </c>
      <c r="T8" s="377" t="str">
        <f>IF(O8&lt;&gt;"",_xlfn.XLOOKUP(O8,'3D. Pictures'!B:B,'3D. Pictures'!E:E,"NOT FOUND",0,1),"")</f>
        <v>https://viking-pictures.s3.us-west-1.amazonaws.com/AA1155/A58.+Switch%2C+Window+Master+(1).JPG</v>
      </c>
      <c r="U8" s="200">
        <v>5</v>
      </c>
      <c r="V8" s="201" t="s">
        <v>1238</v>
      </c>
      <c r="W8" s="200" t="s">
        <v>111</v>
      </c>
      <c r="X8" s="201"/>
      <c r="Y8" s="201"/>
      <c r="Z8" s="201"/>
      <c r="AA8" s="201" t="s">
        <v>575</v>
      </c>
      <c r="AB8" s="201" t="s">
        <v>575</v>
      </c>
      <c r="AC8" s="247" t="str">
        <f t="shared" si="6"/>
        <v>remove &amp; toss trim</v>
      </c>
      <c r="AD8" s="201" t="s">
        <v>574</v>
      </c>
      <c r="AE8" s="201"/>
      <c r="AF8" s="201" t="s">
        <v>543</v>
      </c>
      <c r="AG8" s="201"/>
      <c r="AH8" s="168">
        <v>45</v>
      </c>
      <c r="AI8" s="380">
        <f t="shared" si="8"/>
        <v>45</v>
      </c>
      <c r="AJ8" s="204" t="s">
        <v>408</v>
      </c>
      <c r="AK8" s="204" t="s">
        <v>425</v>
      </c>
      <c r="AL8" s="204" t="s">
        <v>2175</v>
      </c>
      <c r="AM8" s="190"/>
      <c r="AN8" s="191" t="s">
        <v>598</v>
      </c>
      <c r="AO8" s="190" t="s">
        <v>572</v>
      </c>
      <c r="AP8" s="190">
        <v>54182</v>
      </c>
      <c r="AQ8" s="190" t="str">
        <f t="shared" si="9"/>
        <v>641-54182</v>
      </c>
      <c r="AR8" s="190" t="s">
        <v>1236</v>
      </c>
      <c r="AS8" s="190"/>
      <c r="AT8" s="190"/>
      <c r="AU8" s="190"/>
      <c r="AV8" s="190"/>
      <c r="AW8" s="190"/>
      <c r="AX8" s="279" t="str">
        <f t="shared" si="4"/>
        <v/>
      </c>
    </row>
    <row r="9" spans="1:50" x14ac:dyDescent="0.25">
      <c r="A9" s="190" t="str">
        <f t="shared" si="0"/>
        <v/>
      </c>
      <c r="B9" s="279" t="str">
        <f t="shared" si="5"/>
        <v/>
      </c>
      <c r="C9" s="279"/>
      <c r="D9" s="279"/>
      <c r="E9" s="279" t="str">
        <f t="shared" si="1"/>
        <v/>
      </c>
      <c r="F9" t="s">
        <v>535</v>
      </c>
      <c r="G9" s="188">
        <v>44670</v>
      </c>
      <c r="H9" s="10"/>
      <c r="I9" s="10"/>
      <c r="J9" s="10" t="s">
        <v>405</v>
      </c>
      <c r="K9" s="15" t="s">
        <v>2754</v>
      </c>
      <c r="L9" s="10" t="s">
        <v>555</v>
      </c>
      <c r="M9" s="166" t="s">
        <v>559</v>
      </c>
      <c r="N9" s="166"/>
      <c r="O9" s="166"/>
      <c r="P9" s="166"/>
      <c r="Q9" s="231" t="str">
        <f t="shared" si="2"/>
        <v>. Door Handle, Interior</v>
      </c>
      <c r="R9" s="231"/>
      <c r="S9" s="231" t="str">
        <f t="shared" si="7"/>
        <v/>
      </c>
      <c r="T9" s="231" t="str">
        <f>IF(O9&lt;&gt;"",_xlfn.XLOOKUP(O9,'3D. Pictures'!B:B,'3D. Pictures'!E:E,"NOT FOUND",0,1),"")</f>
        <v/>
      </c>
      <c r="U9" s="166"/>
      <c r="V9" s="166"/>
      <c r="W9" s="166"/>
      <c r="X9" s="166"/>
      <c r="Y9" s="166"/>
      <c r="Z9" s="166"/>
      <c r="AA9" s="10" t="s">
        <v>555</v>
      </c>
      <c r="AB9" s="10" t="s">
        <v>555</v>
      </c>
      <c r="AC9" s="359" t="str">
        <f t="shared" si="6"/>
        <v>if trim doesn't remove easy put handle w/ trim SET</v>
      </c>
      <c r="AD9" s="10" t="s">
        <v>2806</v>
      </c>
      <c r="AE9" s="10"/>
      <c r="AF9" s="168" t="s">
        <v>543</v>
      </c>
      <c r="AG9" s="10"/>
      <c r="AH9" s="10"/>
      <c r="AI9" s="380" t="str">
        <f t="shared" si="8"/>
        <v/>
      </c>
      <c r="AJ9" s="3" t="s">
        <v>408</v>
      </c>
      <c r="AK9" s="3" t="s">
        <v>425</v>
      </c>
      <c r="AL9" s="204" t="s">
        <v>2175</v>
      </c>
      <c r="AX9" s="279" t="str">
        <f t="shared" si="4"/>
        <v/>
      </c>
    </row>
    <row r="10" spans="1:50" x14ac:dyDescent="0.25">
      <c r="A10" s="190" t="str">
        <f t="shared" si="0"/>
        <v/>
      </c>
      <c r="B10" s="279" t="str">
        <f t="shared" si="5"/>
        <v/>
      </c>
      <c r="C10" s="279"/>
      <c r="D10" s="279"/>
      <c r="E10" s="279" t="str">
        <f t="shared" si="1"/>
        <v/>
      </c>
      <c r="F10" t="s">
        <v>536</v>
      </c>
      <c r="G10" s="188">
        <v>44936</v>
      </c>
      <c r="H10" s="10"/>
      <c r="I10" s="10"/>
      <c r="J10" s="15" t="s">
        <v>405</v>
      </c>
      <c r="K10" s="10" t="s">
        <v>2754</v>
      </c>
      <c r="L10" s="201" t="s">
        <v>1210</v>
      </c>
      <c r="M10" s="189" t="s">
        <v>562</v>
      </c>
      <c r="N10" s="189"/>
      <c r="O10" s="233"/>
      <c r="P10" s="233"/>
      <c r="Q10" s="231" t="str">
        <f t="shared" si="2"/>
        <v>. Door Lock Unlock Switch, FRONT - LEFT</v>
      </c>
      <c r="R10" s="231"/>
      <c r="S10" s="231" t="str">
        <f t="shared" si="7"/>
        <v/>
      </c>
      <c r="T10" s="231" t="str">
        <f>IF(O10&lt;&gt;"",_xlfn.XLOOKUP(O10,'3D. Pictures'!B:B,'3D. Pictures'!E:E,"NOT FOUND",0,1),"")</f>
        <v/>
      </c>
      <c r="U10" s="189"/>
      <c r="V10" s="168"/>
      <c r="W10" s="189"/>
      <c r="X10" s="168"/>
      <c r="Y10" s="168"/>
      <c r="Z10" s="168"/>
      <c r="AA10" t="s">
        <v>2722</v>
      </c>
      <c r="AB10" t="s">
        <v>2722</v>
      </c>
      <c r="AC10" s="279" t="str">
        <f t="shared" si="6"/>
        <v/>
      </c>
      <c r="AD10" s="10"/>
      <c r="AE10" s="10"/>
      <c r="AF10" s="168" t="s">
        <v>543</v>
      </c>
      <c r="AG10" s="10"/>
      <c r="AH10" s="10"/>
      <c r="AI10" s="380" t="str">
        <f t="shared" si="8"/>
        <v/>
      </c>
      <c r="AJ10" s="3" t="s">
        <v>408</v>
      </c>
      <c r="AK10" s="3" t="s">
        <v>425</v>
      </c>
      <c r="AL10" s="204" t="s">
        <v>2175</v>
      </c>
      <c r="AO10" t="s">
        <v>572</v>
      </c>
      <c r="AX10" s="279" t="str">
        <f t="shared" si="4"/>
        <v/>
      </c>
    </row>
    <row r="11" spans="1:50" x14ac:dyDescent="0.25">
      <c r="A11" s="190" t="str">
        <f t="shared" si="0"/>
        <v/>
      </c>
      <c r="B11" s="279" t="str">
        <f t="shared" si="5"/>
        <v/>
      </c>
      <c r="C11" s="279"/>
      <c r="D11" s="279"/>
      <c r="E11" s="279" t="str">
        <f t="shared" si="1"/>
        <v/>
      </c>
      <c r="F11" t="s">
        <v>535</v>
      </c>
      <c r="G11" s="188">
        <v>44670</v>
      </c>
      <c r="H11" s="10"/>
      <c r="I11" s="10"/>
      <c r="J11" s="10" t="s">
        <v>405</v>
      </c>
      <c r="K11" s="10" t="s">
        <v>2754</v>
      </c>
      <c r="L11" s="10" t="s">
        <v>40</v>
      </c>
      <c r="M11" s="166" t="s">
        <v>559</v>
      </c>
      <c r="N11" s="166"/>
      <c r="O11" s="166"/>
      <c r="P11" s="166"/>
      <c r="Q11" s="231" t="str">
        <f t="shared" si="2"/>
        <v>. Door Panel</v>
      </c>
      <c r="R11" s="231"/>
      <c r="S11" s="231" t="str">
        <f t="shared" si="7"/>
        <v/>
      </c>
      <c r="T11" s="231" t="str">
        <f>IF(O11&lt;&gt;"",_xlfn.XLOOKUP(O11,'3D. Pictures'!B:B,'3D. Pictures'!E:E,"NOT FOUND",0,1),"")</f>
        <v/>
      </c>
      <c r="U11" s="166"/>
      <c r="V11" s="166"/>
      <c r="W11" s="166"/>
      <c r="X11" s="166"/>
      <c r="Y11" s="166"/>
      <c r="Z11" s="166"/>
      <c r="AA11" s="10" t="s">
        <v>40</v>
      </c>
      <c r="AB11" s="10" t="s">
        <v>40</v>
      </c>
      <c r="AC11" s="359" t="str">
        <f t="shared" si="6"/>
        <v/>
      </c>
      <c r="AD11" s="10"/>
      <c r="AE11" s="10"/>
      <c r="AF11" s="168" t="s">
        <v>543</v>
      </c>
      <c r="AG11" s="16"/>
      <c r="AH11" s="10"/>
      <c r="AI11" s="380" t="str">
        <f t="shared" si="8"/>
        <v/>
      </c>
      <c r="AJ11" s="3" t="s">
        <v>408</v>
      </c>
      <c r="AK11" s="3" t="s">
        <v>425</v>
      </c>
      <c r="AL11" s="204" t="s">
        <v>2175</v>
      </c>
      <c r="AX11" s="279" t="str">
        <f t="shared" si="4"/>
        <v/>
      </c>
    </row>
    <row r="12" spans="1:50" x14ac:dyDescent="0.25">
      <c r="A12" s="190" t="str">
        <f t="shared" si="0"/>
        <v/>
      </c>
      <c r="B12" s="279" t="str">
        <f t="shared" si="5"/>
        <v/>
      </c>
      <c r="C12" s="279"/>
      <c r="D12" s="279"/>
      <c r="E12" s="279" t="str">
        <f t="shared" si="1"/>
        <v/>
      </c>
      <c r="F12" t="s">
        <v>537</v>
      </c>
      <c r="G12" s="188">
        <v>44928</v>
      </c>
      <c r="H12" s="10"/>
      <c r="I12" s="10"/>
      <c r="J12" s="15" t="s">
        <v>405</v>
      </c>
      <c r="K12" s="10" t="s">
        <v>2754</v>
      </c>
      <c r="L12" s="201" t="s">
        <v>1210</v>
      </c>
      <c r="M12" s="189" t="s">
        <v>562</v>
      </c>
      <c r="N12" s="189"/>
      <c r="O12" s="233"/>
      <c r="P12" s="233"/>
      <c r="Q12" s="231" t="str">
        <f t="shared" si="2"/>
        <v>. Trunk Release Switch</v>
      </c>
      <c r="R12" s="231"/>
      <c r="S12" s="231" t="str">
        <f t="shared" si="7"/>
        <v/>
      </c>
      <c r="T12" s="231" t="str">
        <f>IF(O12&lt;&gt;"",_xlfn.XLOOKUP(O12,'3D. Pictures'!B:B,'3D. Pictures'!E:E,"NOT FOUND",0,1),"")</f>
        <v/>
      </c>
      <c r="U12" s="189"/>
      <c r="V12" s="168"/>
      <c r="W12" s="189"/>
      <c r="X12" s="168"/>
      <c r="Y12" s="168"/>
      <c r="Z12" s="168"/>
      <c r="AA12" s="10" t="s">
        <v>497</v>
      </c>
      <c r="AB12" s="10" t="s">
        <v>497</v>
      </c>
      <c r="AC12" s="359" t="str">
        <f t="shared" si="6"/>
        <v>front left door mounted</v>
      </c>
      <c r="AD12" s="10"/>
      <c r="AE12" s="10" t="s">
        <v>2664</v>
      </c>
      <c r="AF12" s="168" t="s">
        <v>543</v>
      </c>
      <c r="AG12" s="16"/>
      <c r="AH12" s="10"/>
      <c r="AI12" s="380" t="str">
        <f t="shared" si="8"/>
        <v/>
      </c>
      <c r="AJ12" s="3" t="s">
        <v>408</v>
      </c>
      <c r="AK12" s="3" t="s">
        <v>425</v>
      </c>
      <c r="AL12" s="204" t="s">
        <v>2175</v>
      </c>
      <c r="AO12" t="s">
        <v>572</v>
      </c>
      <c r="AX12" s="279" t="str">
        <f t="shared" si="4"/>
        <v/>
      </c>
    </row>
    <row r="13" spans="1:50" ht="15.75" thickBot="1" x14ac:dyDescent="0.3">
      <c r="A13" s="190" t="str">
        <f t="shared" si="0"/>
        <v/>
      </c>
      <c r="B13" s="279" t="str">
        <f t="shared" si="5"/>
        <v/>
      </c>
      <c r="C13" s="279"/>
      <c r="D13" s="279"/>
      <c r="E13" s="279" t="str">
        <f t="shared" si="1"/>
        <v/>
      </c>
      <c r="F13" t="s">
        <v>535</v>
      </c>
      <c r="G13" s="188">
        <v>44670</v>
      </c>
      <c r="H13" s="157"/>
      <c r="I13" s="174"/>
      <c r="J13" s="10" t="s">
        <v>405</v>
      </c>
      <c r="K13" s="15" t="s">
        <v>2754</v>
      </c>
      <c r="L13" s="10" t="s">
        <v>556</v>
      </c>
      <c r="M13" s="164" t="s">
        <v>558</v>
      </c>
      <c r="N13" s="164"/>
      <c r="O13" s="234"/>
      <c r="P13" s="234"/>
      <c r="Q13" s="231" t="str">
        <f t="shared" si="2"/>
        <v>. Window Motor &amp; Regulator</v>
      </c>
      <c r="R13" s="231"/>
      <c r="S13" s="231" t="str">
        <f t="shared" si="7"/>
        <v/>
      </c>
      <c r="T13" s="231" t="str">
        <f>IF(O13&lt;&gt;"",_xlfn.XLOOKUP(O13,'3D. Pictures'!B:B,'3D. Pictures'!E:E,"NOT FOUND",0,1),"")</f>
        <v/>
      </c>
      <c r="U13" s="164"/>
      <c r="V13" s="16"/>
      <c r="W13" s="164"/>
      <c r="X13" s="16"/>
      <c r="Y13" s="16"/>
      <c r="Z13" s="16"/>
      <c r="AA13" s="10" t="s">
        <v>556</v>
      </c>
      <c r="AB13" s="10" t="s">
        <v>556</v>
      </c>
      <c r="AC13" s="359" t="str">
        <f t="shared" si="6"/>
        <v/>
      </c>
      <c r="AD13" s="10"/>
      <c r="AE13" s="10"/>
      <c r="AF13" s="168" t="s">
        <v>543</v>
      </c>
      <c r="AG13" s="10"/>
      <c r="AH13" s="10"/>
      <c r="AI13" s="380" t="str">
        <f t="shared" si="8"/>
        <v/>
      </c>
      <c r="AJ13" s="3" t="s">
        <v>408</v>
      </c>
      <c r="AK13" s="3" t="s">
        <v>425</v>
      </c>
      <c r="AL13" s="204" t="s">
        <v>2175</v>
      </c>
      <c r="AO13" t="s">
        <v>572</v>
      </c>
      <c r="AX13" s="279" t="str">
        <f t="shared" si="4"/>
        <v/>
      </c>
    </row>
    <row r="14" spans="1:50" ht="15.75" thickBot="1" x14ac:dyDescent="0.3">
      <c r="A14" s="190" t="str">
        <f t="shared" si="0"/>
        <v>A49</v>
      </c>
      <c r="B14" s="279" t="str">
        <f t="shared" si="5"/>
        <v>129-52061</v>
      </c>
      <c r="C14" s="279" t="s">
        <v>2086</v>
      </c>
      <c r="D14" s="279"/>
      <c r="E14" s="279">
        <f t="shared" si="1"/>
        <v>1</v>
      </c>
      <c r="F14" s="190" t="s">
        <v>535</v>
      </c>
      <c r="G14" s="198">
        <v>44670</v>
      </c>
      <c r="H14" s="199"/>
      <c r="I14" s="200" t="s">
        <v>7</v>
      </c>
      <c r="J14" s="201" t="s">
        <v>402</v>
      </c>
      <c r="K14" s="202" t="s">
        <v>2755</v>
      </c>
      <c r="L14" s="201" t="s">
        <v>551</v>
      </c>
      <c r="M14" s="192" t="s">
        <v>558</v>
      </c>
      <c r="N14" s="192">
        <v>39</v>
      </c>
      <c r="O14" s="229" t="s">
        <v>951</v>
      </c>
      <c r="P14" s="229" t="s">
        <v>1204</v>
      </c>
      <c r="Q14" s="231" t="str">
        <f t="shared" si="2"/>
        <v>A49. Door Handle, Exterior - REAR - LEFT</v>
      </c>
      <c r="R14" s="284" t="str">
        <f>HYPERLINK(VLOOKUP(O14,'3D. Pictures'!$B$3:$E$500,4,FALSE),"PIC")</f>
        <v>PIC</v>
      </c>
      <c r="S14" s="373" t="str">
        <f t="shared" si="7"/>
        <v>E.G.</v>
      </c>
      <c r="T14" s="377" t="str">
        <f>IF(O14&lt;&gt;"",_xlfn.XLOOKUP(O14,'3D. Pictures'!B:B,'3D. Pictures'!E:E,"NOT FOUND",0,1),"")</f>
        <v>https://viking-pictures.s3.us-west-1.amazonaws.com/AA1155/A49.+Door+Handle%2C+Exterior+-+REAR+-+LEFT+(1).JPG</v>
      </c>
      <c r="U14" s="192">
        <v>5</v>
      </c>
      <c r="V14" s="201" t="s">
        <v>1213</v>
      </c>
      <c r="W14" s="192" t="s">
        <v>111</v>
      </c>
      <c r="X14" s="205"/>
      <c r="Y14" s="205"/>
      <c r="Z14" s="205"/>
      <c r="AA14" s="201" t="s">
        <v>576</v>
      </c>
      <c r="AB14" s="201" t="s">
        <v>576</v>
      </c>
      <c r="AC14" s="247" t="str">
        <f t="shared" si="6"/>
        <v>on base w/ cable</v>
      </c>
      <c r="AD14" s="201" t="s">
        <v>573</v>
      </c>
      <c r="AE14" s="201"/>
      <c r="AF14" s="201" t="s">
        <v>543</v>
      </c>
      <c r="AG14" s="201" t="s">
        <v>583</v>
      </c>
      <c r="AH14" s="362">
        <v>140</v>
      </c>
      <c r="AI14" s="380">
        <f t="shared" si="8"/>
        <v>140</v>
      </c>
      <c r="AJ14" s="204" t="s">
        <v>408</v>
      </c>
      <c r="AK14" s="204" t="s">
        <v>425</v>
      </c>
      <c r="AL14" s="204" t="s">
        <v>2175</v>
      </c>
      <c r="AM14" s="190"/>
      <c r="AN14" s="191" t="s">
        <v>599</v>
      </c>
      <c r="AO14" s="190" t="s">
        <v>572</v>
      </c>
      <c r="AP14" s="190">
        <v>52061</v>
      </c>
      <c r="AQ14" s="190" t="str">
        <f>CONCATENATE(AN14,AO14,AP14)</f>
        <v>129-52061</v>
      </c>
      <c r="AR14" s="190" t="s">
        <v>570</v>
      </c>
      <c r="AS14" s="190"/>
      <c r="AT14" s="190"/>
      <c r="AU14" s="190"/>
      <c r="AV14" s="190"/>
      <c r="AW14" s="190"/>
      <c r="AX14" s="279" t="str">
        <f t="shared" si="4"/>
        <v/>
      </c>
    </row>
    <row r="15" spans="1:50" ht="15.75" thickBot="1" x14ac:dyDescent="0.3">
      <c r="A15" s="190" t="str">
        <f t="shared" si="0"/>
        <v>A28</v>
      </c>
      <c r="B15" s="279" t="str">
        <f t="shared" si="5"/>
        <v>286-999771</v>
      </c>
      <c r="C15" s="279"/>
      <c r="D15" s="279"/>
      <c r="E15" s="279">
        <f t="shared" si="1"/>
        <v>1</v>
      </c>
      <c r="F15" s="190" t="s">
        <v>535</v>
      </c>
      <c r="G15" s="198">
        <v>44670</v>
      </c>
      <c r="H15" s="209"/>
      <c r="I15" s="205"/>
      <c r="J15" s="205" t="s">
        <v>402</v>
      </c>
      <c r="K15" s="206" t="s">
        <v>2755</v>
      </c>
      <c r="L15" s="205" t="s">
        <v>553</v>
      </c>
      <c r="M15" s="192" t="s">
        <v>558</v>
      </c>
      <c r="N15" s="192">
        <v>18</v>
      </c>
      <c r="O15" s="229" t="s">
        <v>930</v>
      </c>
      <c r="P15" s="229" t="s">
        <v>1168</v>
      </c>
      <c r="Q15" s="231" t="str">
        <f t="shared" si="2"/>
        <v>A28. Door Latch, REAR - LEFT Soft Close WITH Actuator SET 2</v>
      </c>
      <c r="R15" s="284" t="str">
        <f>HYPERLINK(VLOOKUP(O15,'3D. Pictures'!$B$3:$E$500,4,FALSE),"PIC")</f>
        <v>PIC</v>
      </c>
      <c r="S15" s="373" t="str">
        <f t="shared" si="7"/>
        <v>E.G.</v>
      </c>
      <c r="T15" s="377" t="str">
        <f>IF(O15&lt;&gt;"",_xlfn.XLOOKUP(O15,'3D. Pictures'!B:B,'3D. Pictures'!E:E,"NOT FOUND",0,1),"")</f>
        <v>https://viking-pictures.s3.us-west-1.amazonaws.com/AA1155/A28.+Door+Latch%2C+REAR+-+LEFT+Soft+Close+WITH+Actuator+SET+2+(1).JPG</v>
      </c>
      <c r="U15" s="192">
        <v>5</v>
      </c>
      <c r="V15" s="205" t="s">
        <v>1175</v>
      </c>
      <c r="W15" s="192" t="s">
        <v>111</v>
      </c>
      <c r="X15" s="205"/>
      <c r="Y15" s="205"/>
      <c r="Z15" s="205"/>
      <c r="AA15" s="205" t="s">
        <v>2480</v>
      </c>
      <c r="AB15" s="205" t="s">
        <v>2480</v>
      </c>
      <c r="AC15" s="358" t="str">
        <f t="shared" si="6"/>
        <v>w/ cable + white actuator motor | toss both if 1 bad</v>
      </c>
      <c r="AD15" s="205" t="s">
        <v>2774</v>
      </c>
      <c r="AE15" s="205" t="s">
        <v>1159</v>
      </c>
      <c r="AF15" s="201" t="s">
        <v>543</v>
      </c>
      <c r="AG15" s="205"/>
      <c r="AH15" s="167">
        <v>245</v>
      </c>
      <c r="AI15" s="380">
        <f t="shared" si="8"/>
        <v>245</v>
      </c>
      <c r="AJ15" s="204" t="s">
        <v>408</v>
      </c>
      <c r="AK15" s="204" t="s">
        <v>425</v>
      </c>
      <c r="AL15" s="204" t="s">
        <v>2175</v>
      </c>
      <c r="AM15" s="190"/>
      <c r="AN15" s="191">
        <v>286</v>
      </c>
      <c r="AO15" s="190" t="s">
        <v>572</v>
      </c>
      <c r="AP15" s="190">
        <v>999771</v>
      </c>
      <c r="AQ15" s="190" t="str">
        <f>CONCATENATE(AN15,AO15,AP15)</f>
        <v>286-999771</v>
      </c>
      <c r="AR15" s="190" t="s">
        <v>595</v>
      </c>
      <c r="AS15" s="190"/>
      <c r="AT15" s="190"/>
      <c r="AU15" s="190"/>
      <c r="AV15" s="190"/>
      <c r="AW15" s="190"/>
      <c r="AX15" s="279" t="str">
        <f t="shared" si="4"/>
        <v/>
      </c>
    </row>
    <row r="16" spans="1:50" x14ac:dyDescent="0.25">
      <c r="A16" s="190" t="str">
        <f t="shared" si="0"/>
        <v/>
      </c>
      <c r="B16" s="279" t="str">
        <f t="shared" si="5"/>
        <v>286-999763</v>
      </c>
      <c r="C16" s="279"/>
      <c r="D16" s="279"/>
      <c r="E16" s="279">
        <f t="shared" si="1"/>
        <v>1</v>
      </c>
      <c r="F16" s="190" t="s">
        <v>535</v>
      </c>
      <c r="G16" s="198">
        <v>44670</v>
      </c>
      <c r="H16" s="209"/>
      <c r="I16" s="205"/>
      <c r="J16" s="205" t="s">
        <v>402</v>
      </c>
      <c r="K16" s="206" t="s">
        <v>2755</v>
      </c>
      <c r="L16" s="205" t="s">
        <v>553</v>
      </c>
      <c r="M16" s="192" t="s">
        <v>558</v>
      </c>
      <c r="N16" s="192"/>
      <c r="O16" s="229"/>
      <c r="P16" s="229"/>
      <c r="Q16" s="231" t="str">
        <f t="shared" si="2"/>
        <v>. Door Latch, REAR - LEFT WITHOUT Soft Close</v>
      </c>
      <c r="R16" s="231"/>
      <c r="S16" s="231" t="str">
        <f t="shared" si="7"/>
        <v/>
      </c>
      <c r="T16" s="231" t="str">
        <f>IF(O16&lt;&gt;"",_xlfn.XLOOKUP(O16,'3D. Pictures'!B:B,'3D. Pictures'!E:E,"NOT FOUND",0,1),"")</f>
        <v/>
      </c>
      <c r="U16" s="192"/>
      <c r="V16" s="205" t="s">
        <v>1176</v>
      </c>
      <c r="W16" s="192" t="s">
        <v>111</v>
      </c>
      <c r="X16" s="205"/>
      <c r="Y16" s="205"/>
      <c r="Z16" s="205"/>
      <c r="AA16" s="205" t="s">
        <v>1173</v>
      </c>
      <c r="AB16" s="205" t="s">
        <v>1173</v>
      </c>
      <c r="AC16" s="358" t="str">
        <f t="shared" si="6"/>
        <v>w/ cable</v>
      </c>
      <c r="AD16" s="205" t="s">
        <v>597</v>
      </c>
      <c r="AE16" s="205"/>
      <c r="AF16" s="201" t="s">
        <v>543</v>
      </c>
      <c r="AG16" s="205"/>
      <c r="AH16" s="167">
        <v>75</v>
      </c>
      <c r="AI16" s="380">
        <f t="shared" si="8"/>
        <v>75</v>
      </c>
      <c r="AJ16" s="204" t="s">
        <v>408</v>
      </c>
      <c r="AK16" s="204" t="s">
        <v>425</v>
      </c>
      <c r="AL16" s="204" t="s">
        <v>2175</v>
      </c>
      <c r="AM16" s="190"/>
      <c r="AN16" s="191">
        <v>286</v>
      </c>
      <c r="AO16" s="190" t="s">
        <v>572</v>
      </c>
      <c r="AP16" s="190">
        <v>999763</v>
      </c>
      <c r="AQ16" s="190" t="str">
        <f>CONCATENATE(AN16,AO16,AP16)</f>
        <v>286-999763</v>
      </c>
      <c r="AR16" s="190" t="s">
        <v>596</v>
      </c>
      <c r="AS16" s="190"/>
      <c r="AT16" s="190"/>
      <c r="AU16" s="190"/>
      <c r="AV16" s="190"/>
      <c r="AW16" s="190"/>
      <c r="AX16" s="279" t="str">
        <f t="shared" si="4"/>
        <v/>
      </c>
    </row>
    <row r="17" spans="1:50" x14ac:dyDescent="0.25">
      <c r="A17" s="190" t="str">
        <f t="shared" si="0"/>
        <v/>
      </c>
      <c r="B17" s="279" t="str">
        <f t="shared" si="5"/>
        <v>263-999496</v>
      </c>
      <c r="C17" s="279"/>
      <c r="D17" s="279"/>
      <c r="E17" s="279">
        <f t="shared" si="1"/>
        <v>1</v>
      </c>
      <c r="F17" s="190" t="s">
        <v>536</v>
      </c>
      <c r="G17" s="198">
        <v>44811</v>
      </c>
      <c r="H17" s="210"/>
      <c r="I17" s="210"/>
      <c r="J17" s="206" t="s">
        <v>402</v>
      </c>
      <c r="K17" s="205" t="s">
        <v>2755</v>
      </c>
      <c r="L17" s="201" t="s">
        <v>490</v>
      </c>
      <c r="M17" s="208" t="s">
        <v>560</v>
      </c>
      <c r="N17" s="208"/>
      <c r="O17" s="232"/>
      <c r="P17" s="232"/>
      <c r="Q17" s="231" t="str">
        <f t="shared" si="2"/>
        <v>. Window Sun Shade, REAR - LEFT</v>
      </c>
      <c r="R17" s="231"/>
      <c r="S17" s="231" t="str">
        <f t="shared" si="7"/>
        <v/>
      </c>
      <c r="T17" s="231" t="str">
        <f>IF(O17&lt;&gt;"",_xlfn.XLOOKUP(O17,'3D. Pictures'!B:B,'3D. Pictures'!E:E,"NOT FOUND",0,1),"")</f>
        <v/>
      </c>
      <c r="U17" s="208"/>
      <c r="V17" s="201"/>
      <c r="W17" s="208"/>
      <c r="X17" s="201"/>
      <c r="Y17" s="201"/>
      <c r="Z17" s="201"/>
      <c r="AA17" s="201" t="s">
        <v>655</v>
      </c>
      <c r="AB17" s="201" t="s">
        <v>655</v>
      </c>
      <c r="AC17" s="247" t="str">
        <f t="shared" si="6"/>
        <v/>
      </c>
      <c r="AD17" s="201"/>
      <c r="AE17" s="201"/>
      <c r="AF17" s="201" t="s">
        <v>543</v>
      </c>
      <c r="AG17" s="201"/>
      <c r="AH17" s="168">
        <v>190</v>
      </c>
      <c r="AI17" s="380">
        <f t="shared" si="8"/>
        <v>190</v>
      </c>
      <c r="AJ17" s="204" t="s">
        <v>408</v>
      </c>
      <c r="AK17" s="204" t="s">
        <v>425</v>
      </c>
      <c r="AL17" s="204" t="s">
        <v>2175</v>
      </c>
      <c r="AM17" s="211"/>
      <c r="AN17" s="191" t="s">
        <v>600</v>
      </c>
      <c r="AO17" s="190" t="s">
        <v>572</v>
      </c>
      <c r="AP17" s="190">
        <v>999496</v>
      </c>
      <c r="AQ17" s="190" t="str">
        <f>CONCATENATE(AN17,AO17,AP17)</f>
        <v>263-999496</v>
      </c>
      <c r="AR17" s="190"/>
      <c r="AS17" s="190"/>
      <c r="AT17" s="190"/>
      <c r="AU17" s="190"/>
      <c r="AV17" s="190"/>
      <c r="AW17" s="190"/>
      <c r="AX17" s="279" t="str">
        <f t="shared" si="4"/>
        <v/>
      </c>
    </row>
    <row r="18" spans="1:50" x14ac:dyDescent="0.25">
      <c r="A18" s="190" t="str">
        <f t="shared" si="0"/>
        <v/>
      </c>
      <c r="B18" s="279" t="str">
        <f t="shared" si="5"/>
        <v/>
      </c>
      <c r="C18" s="279"/>
      <c r="D18" s="279"/>
      <c r="E18" s="279" t="str">
        <f t="shared" si="1"/>
        <v/>
      </c>
      <c r="F18" t="s">
        <v>535</v>
      </c>
      <c r="G18" s="188">
        <v>44670</v>
      </c>
      <c r="H18" s="10"/>
      <c r="I18" s="10"/>
      <c r="J18" s="10" t="s">
        <v>405</v>
      </c>
      <c r="K18" s="10" t="s">
        <v>2755</v>
      </c>
      <c r="L18" s="10" t="s">
        <v>555</v>
      </c>
      <c r="M18" s="16" t="s">
        <v>559</v>
      </c>
      <c r="N18" s="16"/>
      <c r="O18" s="166"/>
      <c r="P18" s="166"/>
      <c r="Q18" s="231" t="str">
        <f t="shared" si="2"/>
        <v>. Door Handle, Interior</v>
      </c>
      <c r="R18" s="231"/>
      <c r="S18" s="231" t="str">
        <f t="shared" si="7"/>
        <v/>
      </c>
      <c r="T18" s="231" t="str">
        <f>IF(O18&lt;&gt;"",_xlfn.XLOOKUP(O18,'3D. Pictures'!B:B,'3D. Pictures'!E:E,"NOT FOUND",0,1),"")</f>
        <v/>
      </c>
      <c r="U18" s="16"/>
      <c r="V18" s="16"/>
      <c r="W18" s="16"/>
      <c r="X18" s="16"/>
      <c r="Y18" s="16"/>
      <c r="Z18" s="16"/>
      <c r="AA18" s="10" t="s">
        <v>555</v>
      </c>
      <c r="AB18" s="10" t="s">
        <v>555</v>
      </c>
      <c r="AC18" s="359" t="str">
        <f t="shared" si="6"/>
        <v>if trim doesn't remove easy put handle w/ trim SET</v>
      </c>
      <c r="AD18" s="10" t="s">
        <v>2806</v>
      </c>
      <c r="AE18" s="10"/>
      <c r="AF18" s="168" t="s">
        <v>543</v>
      </c>
      <c r="AG18" s="16"/>
      <c r="AH18" s="16"/>
      <c r="AI18" s="380" t="str">
        <f t="shared" si="8"/>
        <v/>
      </c>
      <c r="AJ18" s="3" t="s">
        <v>408</v>
      </c>
      <c r="AK18" s="3" t="s">
        <v>425</v>
      </c>
      <c r="AL18" s="204" t="s">
        <v>2175</v>
      </c>
      <c r="AX18" s="279" t="str">
        <f t="shared" si="4"/>
        <v/>
      </c>
    </row>
    <row r="19" spans="1:50" x14ac:dyDescent="0.25">
      <c r="A19" s="190" t="str">
        <f t="shared" si="0"/>
        <v/>
      </c>
      <c r="B19" s="279" t="str">
        <f t="shared" si="5"/>
        <v/>
      </c>
      <c r="C19" s="279"/>
      <c r="D19" s="279"/>
      <c r="E19" s="279" t="str">
        <f t="shared" si="1"/>
        <v/>
      </c>
      <c r="F19" t="s">
        <v>535</v>
      </c>
      <c r="G19" s="188">
        <v>44670</v>
      </c>
      <c r="H19" s="10"/>
      <c r="I19" s="10"/>
      <c r="J19" s="10" t="s">
        <v>405</v>
      </c>
      <c r="K19" s="15" t="s">
        <v>2755</v>
      </c>
      <c r="L19" s="10" t="s">
        <v>40</v>
      </c>
      <c r="M19" s="16" t="s">
        <v>559</v>
      </c>
      <c r="N19" s="16"/>
      <c r="O19" s="166"/>
      <c r="P19" s="166"/>
      <c r="Q19" s="231" t="str">
        <f t="shared" si="2"/>
        <v>. Door Panel</v>
      </c>
      <c r="R19" s="231"/>
      <c r="S19" s="231" t="str">
        <f t="shared" si="7"/>
        <v/>
      </c>
      <c r="T19" s="231" t="str">
        <f>IF(O19&lt;&gt;"",_xlfn.XLOOKUP(O19,'3D. Pictures'!B:B,'3D. Pictures'!E:E,"NOT FOUND",0,1),"")</f>
        <v/>
      </c>
      <c r="U19" s="16"/>
      <c r="V19" s="16"/>
      <c r="W19" s="16"/>
      <c r="X19" s="16"/>
      <c r="Y19" s="16"/>
      <c r="Z19" s="16"/>
      <c r="AA19" s="10" t="s">
        <v>40</v>
      </c>
      <c r="AB19" s="10" t="s">
        <v>40</v>
      </c>
      <c r="AC19" s="359" t="str">
        <f t="shared" si="6"/>
        <v/>
      </c>
      <c r="AD19" s="10"/>
      <c r="AE19" s="10"/>
      <c r="AF19" s="168" t="s">
        <v>543</v>
      </c>
      <c r="AG19" s="10"/>
      <c r="AH19" s="10"/>
      <c r="AI19" s="380" t="str">
        <f t="shared" si="8"/>
        <v/>
      </c>
      <c r="AJ19" s="3" t="s">
        <v>408</v>
      </c>
      <c r="AK19" s="3" t="s">
        <v>425</v>
      </c>
      <c r="AL19" s="204" t="s">
        <v>2175</v>
      </c>
      <c r="AX19" s="279" t="str">
        <f t="shared" si="4"/>
        <v/>
      </c>
    </row>
    <row r="20" spans="1:50" x14ac:dyDescent="0.25">
      <c r="A20" s="190" t="str">
        <f t="shared" si="0"/>
        <v/>
      </c>
      <c r="B20" s="279" t="str">
        <f t="shared" si="5"/>
        <v/>
      </c>
      <c r="C20" s="279"/>
      <c r="D20" s="279"/>
      <c r="E20" s="279" t="str">
        <f t="shared" si="1"/>
        <v/>
      </c>
      <c r="F20" t="s">
        <v>535</v>
      </c>
      <c r="G20" s="188">
        <v>44670</v>
      </c>
      <c r="H20" s="159"/>
      <c r="I20" s="10"/>
      <c r="J20" s="10" t="s">
        <v>405</v>
      </c>
      <c r="K20" s="15" t="s">
        <v>2755</v>
      </c>
      <c r="L20" s="201" t="s">
        <v>1210</v>
      </c>
      <c r="M20" s="16" t="s">
        <v>559</v>
      </c>
      <c r="N20" s="16"/>
      <c r="O20" s="166"/>
      <c r="P20" s="166"/>
      <c r="Q20" s="231" t="str">
        <f t="shared" si="2"/>
        <v>. Switch, Window</v>
      </c>
      <c r="R20" s="231"/>
      <c r="S20" s="231" t="str">
        <f t="shared" si="7"/>
        <v/>
      </c>
      <c r="T20" s="231" t="str">
        <f>IF(O20&lt;&gt;"",_xlfn.XLOOKUP(O20,'3D. Pictures'!B:B,'3D. Pictures'!E:E,"NOT FOUND",0,1),"")</f>
        <v/>
      </c>
      <c r="U20" s="16"/>
      <c r="V20" s="16"/>
      <c r="W20" s="16"/>
      <c r="X20" s="16"/>
      <c r="Y20" s="16"/>
      <c r="Z20" s="16"/>
      <c r="AA20" s="10" t="s">
        <v>56</v>
      </c>
      <c r="AB20" s="10" t="s">
        <v>56</v>
      </c>
      <c r="AC20" s="359" t="str">
        <f t="shared" si="6"/>
        <v/>
      </c>
      <c r="AD20" s="10"/>
      <c r="AE20" s="10"/>
      <c r="AF20" s="168" t="s">
        <v>543</v>
      </c>
      <c r="AG20" s="10"/>
      <c r="AH20" s="10"/>
      <c r="AI20" s="380" t="str">
        <f t="shared" si="8"/>
        <v/>
      </c>
      <c r="AJ20" s="3" t="s">
        <v>408</v>
      </c>
      <c r="AK20" s="3" t="s">
        <v>425</v>
      </c>
      <c r="AL20" s="204" t="s">
        <v>2175</v>
      </c>
      <c r="AX20" s="279" t="str">
        <f t="shared" si="4"/>
        <v/>
      </c>
    </row>
    <row r="21" spans="1:50" ht="15.75" thickBot="1" x14ac:dyDescent="0.3">
      <c r="A21" s="190" t="str">
        <f t="shared" si="0"/>
        <v/>
      </c>
      <c r="B21" s="279" t="str">
        <f t="shared" si="5"/>
        <v/>
      </c>
      <c r="C21" s="279"/>
      <c r="D21" s="279"/>
      <c r="E21" s="279" t="str">
        <f t="shared" si="1"/>
        <v/>
      </c>
      <c r="F21" t="s">
        <v>535</v>
      </c>
      <c r="G21" s="188">
        <v>44670</v>
      </c>
      <c r="H21" s="157"/>
      <c r="I21" s="174"/>
      <c r="J21" s="10" t="s">
        <v>405</v>
      </c>
      <c r="K21" s="15" t="s">
        <v>2755</v>
      </c>
      <c r="L21" s="10" t="s">
        <v>556</v>
      </c>
      <c r="M21" s="164" t="s">
        <v>558</v>
      </c>
      <c r="N21" s="164"/>
      <c r="O21" s="234"/>
      <c r="P21" s="234"/>
      <c r="Q21" s="231" t="str">
        <f t="shared" si="2"/>
        <v>. Window Motor &amp; Regulator</v>
      </c>
      <c r="R21" s="231"/>
      <c r="S21" s="231" t="str">
        <f t="shared" si="7"/>
        <v/>
      </c>
      <c r="T21" s="231" t="str">
        <f>IF(O21&lt;&gt;"",_xlfn.XLOOKUP(O21,'3D. Pictures'!B:B,'3D. Pictures'!E:E,"NOT FOUND",0,1),"")</f>
        <v/>
      </c>
      <c r="U21" s="164"/>
      <c r="V21" s="16"/>
      <c r="W21" s="164"/>
      <c r="X21" s="16"/>
      <c r="Y21" s="16"/>
      <c r="Z21" s="16"/>
      <c r="AA21" s="10" t="s">
        <v>556</v>
      </c>
      <c r="AB21" s="10" t="s">
        <v>556</v>
      </c>
      <c r="AC21" s="359" t="str">
        <f t="shared" si="6"/>
        <v/>
      </c>
      <c r="AD21" s="10"/>
      <c r="AE21" s="10"/>
      <c r="AF21" s="168" t="s">
        <v>543</v>
      </c>
      <c r="AG21" s="10"/>
      <c r="AH21" s="10"/>
      <c r="AI21" s="380" t="str">
        <f t="shared" si="8"/>
        <v/>
      </c>
      <c r="AJ21" s="3" t="s">
        <v>408</v>
      </c>
      <c r="AK21" s="3" t="s">
        <v>425</v>
      </c>
      <c r="AL21" s="204" t="s">
        <v>2175</v>
      </c>
      <c r="AO21" t="s">
        <v>572</v>
      </c>
      <c r="AX21" s="279" t="str">
        <f t="shared" si="4"/>
        <v/>
      </c>
    </row>
    <row r="22" spans="1:50" ht="15.75" thickBot="1" x14ac:dyDescent="0.3">
      <c r="A22" s="190" t="str">
        <f t="shared" si="0"/>
        <v>A118</v>
      </c>
      <c r="B22" s="279" t="str">
        <f t="shared" si="5"/>
        <v>129-52060</v>
      </c>
      <c r="C22" s="279" t="s">
        <v>2089</v>
      </c>
      <c r="D22" s="279"/>
      <c r="E22" s="279">
        <f t="shared" si="1"/>
        <v>2</v>
      </c>
      <c r="F22" s="190" t="s">
        <v>535</v>
      </c>
      <c r="G22" s="198">
        <v>44670</v>
      </c>
      <c r="H22" s="199"/>
      <c r="I22" s="200" t="s">
        <v>7</v>
      </c>
      <c r="J22" s="201" t="s">
        <v>402</v>
      </c>
      <c r="K22" s="202" t="s">
        <v>2756</v>
      </c>
      <c r="L22" s="201" t="s">
        <v>551</v>
      </c>
      <c r="M22" s="200" t="s">
        <v>558</v>
      </c>
      <c r="N22" s="200">
        <v>108</v>
      </c>
      <c r="O22" s="230" t="s">
        <v>1020</v>
      </c>
      <c r="P22" s="230" t="s">
        <v>1307</v>
      </c>
      <c r="Q22" s="231" t="str">
        <f t="shared" si="2"/>
        <v>A118. Door Handle, Exterior - FRONT - RIGHT</v>
      </c>
      <c r="R22" s="284" t="str">
        <f>HYPERLINK(VLOOKUP(O22,'3D. Pictures'!$B$3:$E$500,4,FALSE),"PIC")</f>
        <v>PIC</v>
      </c>
      <c r="S22" s="373" t="str">
        <f t="shared" si="7"/>
        <v>E.G.</v>
      </c>
      <c r="T22" s="377" t="str">
        <f>IF(O22&lt;&gt;"",_xlfn.XLOOKUP(O22,'3D. Pictures'!B:B,'3D. Pictures'!E:E,"NOT FOUND",0,1),"")</f>
        <v>https://viking-pictures.s3.us-west-1.amazonaws.com/AA1155/A118.+Door+Handle%2C+Exterior+-+FRONT+-+RIGHT+(1).JPG</v>
      </c>
      <c r="U22" s="200">
        <v>6</v>
      </c>
      <c r="V22" s="205" t="s">
        <v>1218</v>
      </c>
      <c r="W22" s="200" t="s">
        <v>111</v>
      </c>
      <c r="X22" s="201" t="s">
        <v>2463</v>
      </c>
      <c r="Y22" s="201"/>
      <c r="Z22" s="201"/>
      <c r="AA22" s="201" t="s">
        <v>577</v>
      </c>
      <c r="AB22" s="201" t="s">
        <v>577</v>
      </c>
      <c r="AC22" s="247" t="str">
        <f t="shared" si="6"/>
        <v>on base w/ cable</v>
      </c>
      <c r="AD22" s="201" t="s">
        <v>573</v>
      </c>
      <c r="AE22" s="201"/>
      <c r="AF22" s="201" t="s">
        <v>543</v>
      </c>
      <c r="AG22" s="201" t="s">
        <v>582</v>
      </c>
      <c r="AH22" s="362">
        <v>175</v>
      </c>
      <c r="AI22" s="380">
        <f t="shared" si="8"/>
        <v>175</v>
      </c>
      <c r="AJ22" s="204" t="s">
        <v>408</v>
      </c>
      <c r="AK22" s="204" t="s">
        <v>425</v>
      </c>
      <c r="AL22" s="204" t="s">
        <v>2175</v>
      </c>
      <c r="AM22" s="190"/>
      <c r="AN22" s="191" t="s">
        <v>599</v>
      </c>
      <c r="AO22" s="190" t="s">
        <v>572</v>
      </c>
      <c r="AP22" s="190">
        <v>52060</v>
      </c>
      <c r="AQ22" s="190" t="str">
        <f>CONCATENATE(AN22,AO22,AP22)</f>
        <v>129-52060</v>
      </c>
      <c r="AR22" s="190" t="s">
        <v>570</v>
      </c>
      <c r="AS22" s="190"/>
      <c r="AT22" s="190"/>
      <c r="AU22" s="190"/>
      <c r="AV22" s="190"/>
      <c r="AW22" s="190"/>
      <c r="AX22" s="279" t="str">
        <f t="shared" si="4"/>
        <v/>
      </c>
    </row>
    <row r="23" spans="1:50" ht="15.75" thickBot="1" x14ac:dyDescent="0.3">
      <c r="A23" s="190" t="str">
        <f t="shared" si="0"/>
        <v>A29</v>
      </c>
      <c r="B23" s="279" t="str">
        <f t="shared" si="5"/>
        <v>285-999722</v>
      </c>
      <c r="C23" s="279"/>
      <c r="D23" s="279"/>
      <c r="E23" s="279">
        <f t="shared" si="1"/>
        <v>1</v>
      </c>
      <c r="F23" s="190" t="s">
        <v>535</v>
      </c>
      <c r="G23" s="198">
        <v>44670</v>
      </c>
      <c r="H23" s="205"/>
      <c r="I23" s="205"/>
      <c r="J23" s="205" t="s">
        <v>402</v>
      </c>
      <c r="K23" s="205" t="s">
        <v>2756</v>
      </c>
      <c r="L23" s="205" t="s">
        <v>553</v>
      </c>
      <c r="M23" s="192" t="s">
        <v>558</v>
      </c>
      <c r="N23" s="192">
        <v>19</v>
      </c>
      <c r="O23" s="229" t="s">
        <v>931</v>
      </c>
      <c r="P23" s="229" t="s">
        <v>1168</v>
      </c>
      <c r="Q23" s="231" t="str">
        <f t="shared" si="2"/>
        <v>A29. Door Latch, FRONT - RIGHT Soft Close WITH Actuator SET 2</v>
      </c>
      <c r="R23" s="284" t="str">
        <f>HYPERLINK(VLOOKUP(O23,'3D. Pictures'!$B$3:$E$500,4,FALSE),"PIC")</f>
        <v>PIC</v>
      </c>
      <c r="S23" s="373" t="str">
        <f t="shared" si="7"/>
        <v>E.G.</v>
      </c>
      <c r="T23" s="377" t="str">
        <f>IF(O23&lt;&gt;"",_xlfn.XLOOKUP(O23,'3D. Pictures'!B:B,'3D. Pictures'!E:E,"NOT FOUND",0,1),"")</f>
        <v>https://viking-pictures.s3.us-west-1.amazonaws.com/AA1155/A29.+Door+Latch%2C+FRONT+-+RIGHT+Soft+Close+WITH+Actuator+SET+2+(1).JPG</v>
      </c>
      <c r="U23" s="192">
        <v>7</v>
      </c>
      <c r="V23" s="205" t="s">
        <v>1179</v>
      </c>
      <c r="W23" s="192" t="s">
        <v>111</v>
      </c>
      <c r="X23" s="205"/>
      <c r="Y23" s="205"/>
      <c r="Z23" s="205"/>
      <c r="AA23" s="205" t="s">
        <v>2481</v>
      </c>
      <c r="AB23" s="205" t="s">
        <v>2481</v>
      </c>
      <c r="AC23" s="358" t="str">
        <f t="shared" si="6"/>
        <v>w/ cable + white actuator motor | toss both if 1 bad</v>
      </c>
      <c r="AD23" s="205" t="s">
        <v>2774</v>
      </c>
      <c r="AE23" s="205" t="s">
        <v>1159</v>
      </c>
      <c r="AF23" s="201" t="s">
        <v>543</v>
      </c>
      <c r="AG23" s="205"/>
      <c r="AH23" s="167">
        <v>250</v>
      </c>
      <c r="AI23" s="380">
        <f t="shared" si="8"/>
        <v>250</v>
      </c>
      <c r="AJ23" s="204" t="s">
        <v>408</v>
      </c>
      <c r="AK23" s="204" t="s">
        <v>425</v>
      </c>
      <c r="AL23" s="204" t="s">
        <v>2175</v>
      </c>
      <c r="AM23" s="190"/>
      <c r="AN23" s="191">
        <v>285</v>
      </c>
      <c r="AO23" s="190" t="s">
        <v>572</v>
      </c>
      <c r="AP23" s="190">
        <v>999722</v>
      </c>
      <c r="AQ23" s="190" t="str">
        <f>CONCATENATE(AN23,AO23,AP23)</f>
        <v>285-999722</v>
      </c>
      <c r="AR23" s="190" t="s">
        <v>595</v>
      </c>
      <c r="AS23" s="190"/>
      <c r="AT23" s="190"/>
      <c r="AU23" s="190"/>
      <c r="AV23" s="190"/>
      <c r="AW23" s="190"/>
      <c r="AX23" s="279" t="str">
        <f t="shared" si="4"/>
        <v/>
      </c>
    </row>
    <row r="24" spans="1:50" x14ac:dyDescent="0.25">
      <c r="A24" s="190" t="str">
        <f t="shared" si="0"/>
        <v/>
      </c>
      <c r="B24" s="279" t="str">
        <f t="shared" si="5"/>
        <v>285-999716</v>
      </c>
      <c r="C24" s="279"/>
      <c r="D24" s="279"/>
      <c r="E24" s="279">
        <f t="shared" si="1"/>
        <v>1</v>
      </c>
      <c r="F24" s="190" t="s">
        <v>535</v>
      </c>
      <c r="G24" s="198">
        <v>44670</v>
      </c>
      <c r="H24" s="205"/>
      <c r="I24" s="205"/>
      <c r="J24" s="205" t="s">
        <v>402</v>
      </c>
      <c r="K24" s="205" t="s">
        <v>2756</v>
      </c>
      <c r="L24" s="205" t="s">
        <v>553</v>
      </c>
      <c r="M24" s="192" t="s">
        <v>558</v>
      </c>
      <c r="N24" s="192"/>
      <c r="O24" s="229"/>
      <c r="P24" s="229"/>
      <c r="Q24" s="231" t="str">
        <f t="shared" si="2"/>
        <v>. Door Latch, FRONT - RIGHT WITHOUT Soft Close</v>
      </c>
      <c r="R24" s="231"/>
      <c r="S24" s="231" t="str">
        <f t="shared" si="7"/>
        <v/>
      </c>
      <c r="T24" s="231" t="str">
        <f>IF(O24&lt;&gt;"",_xlfn.XLOOKUP(O24,'3D. Pictures'!B:B,'3D. Pictures'!E:E,"NOT FOUND",0,1),"")</f>
        <v/>
      </c>
      <c r="U24" s="192"/>
      <c r="V24" s="205" t="s">
        <v>1180</v>
      </c>
      <c r="W24" s="192" t="s">
        <v>111</v>
      </c>
      <c r="X24" s="205"/>
      <c r="Y24" s="205"/>
      <c r="Z24" s="205"/>
      <c r="AA24" s="205" t="s">
        <v>1172</v>
      </c>
      <c r="AB24" s="205" t="s">
        <v>1172</v>
      </c>
      <c r="AC24" s="358" t="str">
        <f t="shared" si="6"/>
        <v>w/ cable</v>
      </c>
      <c r="AD24" s="205" t="s">
        <v>597</v>
      </c>
      <c r="AE24" s="205"/>
      <c r="AF24" s="201" t="s">
        <v>543</v>
      </c>
      <c r="AG24" s="205"/>
      <c r="AH24" s="167">
        <v>78</v>
      </c>
      <c r="AI24" s="380">
        <f t="shared" si="8"/>
        <v>78</v>
      </c>
      <c r="AJ24" s="204" t="s">
        <v>408</v>
      </c>
      <c r="AK24" s="204" t="s">
        <v>425</v>
      </c>
      <c r="AL24" s="204" t="s">
        <v>2175</v>
      </c>
      <c r="AM24" s="190"/>
      <c r="AN24" s="191">
        <v>285</v>
      </c>
      <c r="AO24" s="190" t="s">
        <v>572</v>
      </c>
      <c r="AP24" s="190">
        <v>999716</v>
      </c>
      <c r="AQ24" s="190" t="str">
        <f>CONCATENATE(AN24,AO24,AP24)</f>
        <v>285-999716</v>
      </c>
      <c r="AR24" s="190" t="s">
        <v>596</v>
      </c>
      <c r="AS24" s="190"/>
      <c r="AT24" s="190"/>
      <c r="AU24" s="190"/>
      <c r="AV24" s="190"/>
      <c r="AW24" s="190"/>
      <c r="AX24" s="279" t="str">
        <f t="shared" si="4"/>
        <v/>
      </c>
    </row>
    <row r="25" spans="1:50" x14ac:dyDescent="0.25">
      <c r="A25" s="190" t="str">
        <f t="shared" si="0"/>
        <v/>
      </c>
      <c r="B25" s="279" t="str">
        <f t="shared" si="5"/>
        <v>128-11744</v>
      </c>
      <c r="C25" s="279"/>
      <c r="D25" s="279"/>
      <c r="E25" s="279">
        <f t="shared" si="1"/>
        <v>1</v>
      </c>
      <c r="F25" s="190" t="s">
        <v>535</v>
      </c>
      <c r="G25" s="198">
        <v>44670</v>
      </c>
      <c r="H25" s="199"/>
      <c r="I25" s="200" t="s">
        <v>7</v>
      </c>
      <c r="J25" s="201" t="s">
        <v>402</v>
      </c>
      <c r="K25" s="202" t="s">
        <v>2756</v>
      </c>
      <c r="L25" s="201" t="s">
        <v>49</v>
      </c>
      <c r="M25" s="200" t="s">
        <v>558</v>
      </c>
      <c r="N25" s="200"/>
      <c r="O25" s="230"/>
      <c r="P25" s="230"/>
      <c r="Q25" s="231" t="str">
        <f t="shared" si="2"/>
        <v>. Mirror, Door - FRONT RIGHT</v>
      </c>
      <c r="R25" s="231"/>
      <c r="S25" s="231" t="str">
        <f t="shared" si="7"/>
        <v/>
      </c>
      <c r="T25" s="231" t="str">
        <f>IF(O25&lt;&gt;"",_xlfn.XLOOKUP(O25,'3D. Pictures'!B:B,'3D. Pictures'!E:E,"NOT FOUND",0,1),"")</f>
        <v/>
      </c>
      <c r="U25" s="200"/>
      <c r="V25" s="201"/>
      <c r="W25" s="200"/>
      <c r="X25" s="201"/>
      <c r="Y25" s="201"/>
      <c r="Z25" s="201"/>
      <c r="AA25" s="201" t="s">
        <v>1349</v>
      </c>
      <c r="AB25" s="201" t="s">
        <v>1349</v>
      </c>
      <c r="AC25" s="247" t="str">
        <f t="shared" si="6"/>
        <v/>
      </c>
      <c r="AD25" s="201"/>
      <c r="AE25" s="201"/>
      <c r="AF25" s="201" t="s">
        <v>543</v>
      </c>
      <c r="AG25" s="201"/>
      <c r="AH25" s="362">
        <v>1000</v>
      </c>
      <c r="AI25" s="380">
        <f t="shared" si="8"/>
        <v>1000</v>
      </c>
      <c r="AJ25" s="204" t="s">
        <v>408</v>
      </c>
      <c r="AK25" s="204" t="s">
        <v>425</v>
      </c>
      <c r="AL25" s="204" t="s">
        <v>2175</v>
      </c>
      <c r="AM25" s="190"/>
      <c r="AN25" s="191">
        <v>128</v>
      </c>
      <c r="AO25" s="190" t="s">
        <v>572</v>
      </c>
      <c r="AP25" s="190">
        <v>11744</v>
      </c>
      <c r="AQ25" s="190" t="str">
        <f t="shared" ref="AQ25" si="10">CONCATENATE(AN25,AO25,AP25)</f>
        <v>128-11744</v>
      </c>
      <c r="AR25" s="190" t="s">
        <v>584</v>
      </c>
      <c r="AS25" s="190"/>
      <c r="AT25" s="190"/>
      <c r="AU25" s="190"/>
      <c r="AV25" s="190"/>
      <c r="AW25" s="190"/>
      <c r="AX25" s="279" t="str">
        <f t="shared" si="4"/>
        <v/>
      </c>
    </row>
    <row r="26" spans="1:50" x14ac:dyDescent="0.25">
      <c r="A26" s="190" t="str">
        <f t="shared" si="0"/>
        <v/>
      </c>
      <c r="B26" s="279" t="str">
        <f t="shared" si="5"/>
        <v/>
      </c>
      <c r="C26" s="279"/>
      <c r="D26" s="279"/>
      <c r="E26" s="279" t="str">
        <f t="shared" si="1"/>
        <v/>
      </c>
      <c r="F26" t="s">
        <v>535</v>
      </c>
      <c r="G26" s="188">
        <v>44670</v>
      </c>
      <c r="H26" s="10"/>
      <c r="I26" s="10"/>
      <c r="J26" s="10" t="s">
        <v>405</v>
      </c>
      <c r="K26" s="10" t="s">
        <v>2756</v>
      </c>
      <c r="L26" s="10" t="s">
        <v>555</v>
      </c>
      <c r="M26" s="16" t="s">
        <v>559</v>
      </c>
      <c r="N26" s="16"/>
      <c r="O26" s="166"/>
      <c r="P26" s="166"/>
      <c r="Q26" s="231" t="str">
        <f t="shared" si="2"/>
        <v>. Door Handle, Interior</v>
      </c>
      <c r="R26" s="231"/>
      <c r="S26" s="231" t="str">
        <f t="shared" si="7"/>
        <v/>
      </c>
      <c r="T26" s="231" t="str">
        <f>IF(O26&lt;&gt;"",_xlfn.XLOOKUP(O26,'3D. Pictures'!B:B,'3D. Pictures'!E:E,"NOT FOUND",0,1),"")</f>
        <v/>
      </c>
      <c r="U26" s="16"/>
      <c r="V26" s="16"/>
      <c r="W26" s="16"/>
      <c r="X26" s="16"/>
      <c r="Y26" s="16"/>
      <c r="Z26" s="16"/>
      <c r="AA26" s="10" t="s">
        <v>555</v>
      </c>
      <c r="AB26" s="10" t="s">
        <v>555</v>
      </c>
      <c r="AC26" s="359" t="str">
        <f t="shared" si="6"/>
        <v>if trim doesn't remove easy put handle w/ trim SET</v>
      </c>
      <c r="AD26" s="10" t="s">
        <v>2806</v>
      </c>
      <c r="AE26" s="10"/>
      <c r="AF26" s="168" t="s">
        <v>543</v>
      </c>
      <c r="AG26" s="10"/>
      <c r="AH26" s="10"/>
      <c r="AI26" s="380" t="str">
        <f t="shared" si="8"/>
        <v/>
      </c>
      <c r="AJ26" s="3" t="s">
        <v>408</v>
      </c>
      <c r="AK26" s="3" t="s">
        <v>425</v>
      </c>
      <c r="AL26" s="204" t="s">
        <v>2175</v>
      </c>
      <c r="AX26" s="279" t="str">
        <f t="shared" si="4"/>
        <v/>
      </c>
    </row>
    <row r="27" spans="1:50" x14ac:dyDescent="0.25">
      <c r="A27" s="190" t="str">
        <f t="shared" si="0"/>
        <v/>
      </c>
      <c r="B27" s="279" t="str">
        <f t="shared" si="5"/>
        <v/>
      </c>
      <c r="C27" s="279"/>
      <c r="D27" s="279"/>
      <c r="E27" s="279" t="str">
        <f t="shared" si="1"/>
        <v/>
      </c>
      <c r="F27" t="s">
        <v>535</v>
      </c>
      <c r="G27" s="188">
        <v>44670</v>
      </c>
      <c r="H27" s="10"/>
      <c r="I27" s="10"/>
      <c r="J27" s="10" t="s">
        <v>405</v>
      </c>
      <c r="K27" s="10" t="s">
        <v>2756</v>
      </c>
      <c r="L27" s="10" t="s">
        <v>40</v>
      </c>
      <c r="M27" s="16" t="s">
        <v>559</v>
      </c>
      <c r="N27" s="16"/>
      <c r="O27" s="166"/>
      <c r="P27" s="166"/>
      <c r="Q27" s="231" t="str">
        <f t="shared" si="2"/>
        <v>. Door Panel</v>
      </c>
      <c r="R27" s="231"/>
      <c r="S27" s="231" t="str">
        <f t="shared" si="7"/>
        <v/>
      </c>
      <c r="T27" s="231" t="str">
        <f>IF(O27&lt;&gt;"",_xlfn.XLOOKUP(O27,'3D. Pictures'!B:B,'3D. Pictures'!E:E,"NOT FOUND",0,1),"")</f>
        <v/>
      </c>
      <c r="U27" s="16"/>
      <c r="V27" s="16"/>
      <c r="W27" s="16"/>
      <c r="X27" s="16"/>
      <c r="Y27" s="16"/>
      <c r="Z27" s="16"/>
      <c r="AA27" s="10" t="s">
        <v>40</v>
      </c>
      <c r="AB27" s="10" t="s">
        <v>40</v>
      </c>
      <c r="AC27" s="359" t="str">
        <f t="shared" si="6"/>
        <v/>
      </c>
      <c r="AD27" s="10"/>
      <c r="AE27" s="10"/>
      <c r="AF27" s="168" t="s">
        <v>543</v>
      </c>
      <c r="AG27" s="10"/>
      <c r="AH27" s="10"/>
      <c r="AI27" s="380" t="str">
        <f t="shared" si="8"/>
        <v/>
      </c>
      <c r="AJ27" s="3" t="s">
        <v>408</v>
      </c>
      <c r="AK27" s="3" t="s">
        <v>425</v>
      </c>
      <c r="AL27" s="204" t="s">
        <v>2175</v>
      </c>
      <c r="AX27" s="279" t="str">
        <f t="shared" si="4"/>
        <v/>
      </c>
    </row>
    <row r="28" spans="1:50" x14ac:dyDescent="0.25">
      <c r="A28" s="190" t="str">
        <f t="shared" si="0"/>
        <v/>
      </c>
      <c r="B28" s="279" t="str">
        <f t="shared" si="5"/>
        <v/>
      </c>
      <c r="C28" s="279"/>
      <c r="D28" s="279"/>
      <c r="E28" s="279" t="str">
        <f t="shared" si="1"/>
        <v/>
      </c>
      <c r="F28" t="s">
        <v>535</v>
      </c>
      <c r="G28" s="188">
        <v>44670</v>
      </c>
      <c r="H28" s="159"/>
      <c r="I28" s="10"/>
      <c r="J28" s="10" t="s">
        <v>405</v>
      </c>
      <c r="K28" s="15" t="s">
        <v>2756</v>
      </c>
      <c r="L28" s="201" t="s">
        <v>1210</v>
      </c>
      <c r="M28" s="16" t="s">
        <v>559</v>
      </c>
      <c r="N28" s="16"/>
      <c r="O28" s="166"/>
      <c r="P28" s="166"/>
      <c r="Q28" s="231" t="str">
        <f t="shared" si="2"/>
        <v>. Switch, Window</v>
      </c>
      <c r="R28" s="231"/>
      <c r="S28" s="231" t="str">
        <f t="shared" si="7"/>
        <v/>
      </c>
      <c r="T28" s="231" t="str">
        <f>IF(O28&lt;&gt;"",_xlfn.XLOOKUP(O28,'3D. Pictures'!B:B,'3D. Pictures'!E:E,"NOT FOUND",0,1),"")</f>
        <v/>
      </c>
      <c r="U28" s="16"/>
      <c r="V28" s="16"/>
      <c r="W28" s="16"/>
      <c r="X28" s="16"/>
      <c r="Y28" s="16"/>
      <c r="Z28" s="16"/>
      <c r="AA28" s="10" t="s">
        <v>56</v>
      </c>
      <c r="AB28" s="10" t="s">
        <v>56</v>
      </c>
      <c r="AC28" s="359" t="str">
        <f t="shared" si="6"/>
        <v/>
      </c>
      <c r="AD28" s="10"/>
      <c r="AE28" s="10"/>
      <c r="AF28" s="168" t="s">
        <v>543</v>
      </c>
      <c r="AG28" s="10"/>
      <c r="AH28" s="10"/>
      <c r="AI28" s="380" t="str">
        <f t="shared" si="8"/>
        <v/>
      </c>
      <c r="AJ28" s="3" t="s">
        <v>408</v>
      </c>
      <c r="AK28" s="3" t="s">
        <v>425</v>
      </c>
      <c r="AL28" s="204" t="s">
        <v>2175</v>
      </c>
      <c r="AX28" s="279" t="str">
        <f t="shared" si="4"/>
        <v/>
      </c>
    </row>
    <row r="29" spans="1:50" ht="15.75" thickBot="1" x14ac:dyDescent="0.3">
      <c r="A29" s="190" t="str">
        <f t="shared" si="0"/>
        <v/>
      </c>
      <c r="B29" s="279" t="str">
        <f t="shared" si="5"/>
        <v/>
      </c>
      <c r="C29" s="279"/>
      <c r="D29" s="279"/>
      <c r="E29" s="279" t="str">
        <f t="shared" si="1"/>
        <v/>
      </c>
      <c r="F29" t="s">
        <v>535</v>
      </c>
      <c r="G29" s="188">
        <v>44670</v>
      </c>
      <c r="H29" s="157"/>
      <c r="I29" s="174"/>
      <c r="J29" s="10" t="s">
        <v>405</v>
      </c>
      <c r="K29" s="15" t="s">
        <v>2756</v>
      </c>
      <c r="L29" s="10" t="s">
        <v>556</v>
      </c>
      <c r="M29" s="164" t="s">
        <v>558</v>
      </c>
      <c r="N29" s="164"/>
      <c r="O29" s="234"/>
      <c r="P29" s="234"/>
      <c r="Q29" s="231" t="str">
        <f t="shared" si="2"/>
        <v>. Window Motor &amp; Regulator</v>
      </c>
      <c r="R29" s="231"/>
      <c r="S29" s="231" t="str">
        <f t="shared" si="7"/>
        <v/>
      </c>
      <c r="T29" s="231" t="str">
        <f>IF(O29&lt;&gt;"",_xlfn.XLOOKUP(O29,'3D. Pictures'!B:B,'3D. Pictures'!E:E,"NOT FOUND",0,1),"")</f>
        <v/>
      </c>
      <c r="U29" s="164"/>
      <c r="V29" s="16"/>
      <c r="W29" s="164"/>
      <c r="X29" s="16"/>
      <c r="Y29" s="16"/>
      <c r="Z29" s="16"/>
      <c r="AA29" s="10" t="s">
        <v>556</v>
      </c>
      <c r="AB29" s="10" t="s">
        <v>556</v>
      </c>
      <c r="AC29" s="359" t="str">
        <f t="shared" si="6"/>
        <v/>
      </c>
      <c r="AD29" s="10"/>
      <c r="AE29" s="10"/>
      <c r="AF29" s="168" t="s">
        <v>543</v>
      </c>
      <c r="AG29" s="10"/>
      <c r="AH29" s="10"/>
      <c r="AI29" s="380" t="str">
        <f t="shared" si="8"/>
        <v/>
      </c>
      <c r="AJ29" s="3" t="s">
        <v>408</v>
      </c>
      <c r="AK29" s="3" t="s">
        <v>425</v>
      </c>
      <c r="AL29" s="204" t="s">
        <v>2175</v>
      </c>
      <c r="AO29" t="s">
        <v>572</v>
      </c>
      <c r="AX29" s="279" t="str">
        <f t="shared" si="4"/>
        <v/>
      </c>
    </row>
    <row r="30" spans="1:50" ht="15.75" thickBot="1" x14ac:dyDescent="0.3">
      <c r="A30" s="190" t="str">
        <f t="shared" si="0"/>
        <v>A52</v>
      </c>
      <c r="B30" s="279" t="str">
        <f t="shared" si="5"/>
        <v>129-52060</v>
      </c>
      <c r="C30" s="279" t="s">
        <v>2090</v>
      </c>
      <c r="D30" s="279"/>
      <c r="E30" s="279">
        <f t="shared" si="1"/>
        <v>2</v>
      </c>
      <c r="F30" s="190" t="s">
        <v>535</v>
      </c>
      <c r="G30" s="198">
        <v>44670</v>
      </c>
      <c r="H30" s="199"/>
      <c r="I30" s="200" t="s">
        <v>7</v>
      </c>
      <c r="J30" s="201" t="s">
        <v>402</v>
      </c>
      <c r="K30" s="201" t="s">
        <v>2757</v>
      </c>
      <c r="L30" s="201" t="s">
        <v>551</v>
      </c>
      <c r="M30" s="192" t="s">
        <v>558</v>
      </c>
      <c r="N30" s="192">
        <v>42</v>
      </c>
      <c r="O30" s="229" t="s">
        <v>954</v>
      </c>
      <c r="P30" s="229" t="s">
        <v>1204</v>
      </c>
      <c r="Q30" s="231" t="str">
        <f t="shared" si="2"/>
        <v>A52. Door Handle, Exterior - REAR - RIGHT</v>
      </c>
      <c r="R30" s="284" t="str">
        <f>HYPERLINK(VLOOKUP(O30,'3D. Pictures'!$B$3:$E$500,4,FALSE),"PIC")</f>
        <v>PIC</v>
      </c>
      <c r="S30" s="373" t="str">
        <f t="shared" si="7"/>
        <v>E.G.</v>
      </c>
      <c r="T30" s="377" t="str">
        <f>IF(O30&lt;&gt;"",_xlfn.XLOOKUP(O30,'3D. Pictures'!B:B,'3D. Pictures'!E:E,"NOT FOUND",0,1),"")</f>
        <v>https://viking-pictures.s3.us-west-1.amazonaws.com/AA1155/A52.+Door+Handle%2C+Exterior+-+REAR+-+RIGHT+(1).JPG</v>
      </c>
      <c r="U30" s="192">
        <v>5</v>
      </c>
      <c r="V30" s="205" t="s">
        <v>1218</v>
      </c>
      <c r="W30" s="192" t="s">
        <v>111</v>
      </c>
      <c r="X30" s="205"/>
      <c r="Y30" s="205"/>
      <c r="Z30" s="205"/>
      <c r="AA30" s="201" t="s">
        <v>580</v>
      </c>
      <c r="AB30" s="201" t="s">
        <v>580</v>
      </c>
      <c r="AC30" s="247" t="str">
        <f t="shared" si="6"/>
        <v>on base w/ cable</v>
      </c>
      <c r="AD30" s="201" t="s">
        <v>573</v>
      </c>
      <c r="AE30" s="201"/>
      <c r="AF30" s="201" t="s">
        <v>543</v>
      </c>
      <c r="AG30" s="201" t="s">
        <v>582</v>
      </c>
      <c r="AH30" s="362">
        <v>175</v>
      </c>
      <c r="AI30" s="380">
        <f t="shared" si="8"/>
        <v>175</v>
      </c>
      <c r="AJ30" s="204" t="s">
        <v>408</v>
      </c>
      <c r="AK30" s="204" t="s">
        <v>425</v>
      </c>
      <c r="AL30" s="204" t="s">
        <v>2175</v>
      </c>
      <c r="AM30" s="190"/>
      <c r="AN30" s="191" t="s">
        <v>599</v>
      </c>
      <c r="AO30" s="190" t="s">
        <v>572</v>
      </c>
      <c r="AP30" s="190">
        <v>52060</v>
      </c>
      <c r="AQ30" s="190" t="str">
        <f>CONCATENATE(AN30,AO30,AP30)</f>
        <v>129-52060</v>
      </c>
      <c r="AR30" s="190" t="s">
        <v>570</v>
      </c>
      <c r="AS30" s="190"/>
      <c r="AT30" s="190"/>
      <c r="AU30" s="190"/>
      <c r="AV30" s="190"/>
      <c r="AW30" s="190"/>
      <c r="AX30" s="279" t="str">
        <f t="shared" si="4"/>
        <v/>
      </c>
    </row>
    <row r="31" spans="1:50" ht="15.75" thickBot="1" x14ac:dyDescent="0.3">
      <c r="A31" s="190" t="str">
        <f t="shared" si="0"/>
        <v>A27</v>
      </c>
      <c r="B31" s="279" t="str">
        <f t="shared" si="5"/>
        <v>286-999770</v>
      </c>
      <c r="C31" s="279"/>
      <c r="D31" s="279"/>
      <c r="E31" s="279">
        <f t="shared" si="1"/>
        <v>1</v>
      </c>
      <c r="F31" s="190" t="s">
        <v>535</v>
      </c>
      <c r="G31" s="198">
        <v>44670</v>
      </c>
      <c r="H31" s="205"/>
      <c r="I31" s="205"/>
      <c r="J31" s="205" t="s">
        <v>402</v>
      </c>
      <c r="K31" s="205" t="s">
        <v>2757</v>
      </c>
      <c r="L31" s="205" t="s">
        <v>553</v>
      </c>
      <c r="M31" s="192" t="s">
        <v>558</v>
      </c>
      <c r="N31" s="192">
        <v>17</v>
      </c>
      <c r="O31" s="229" t="s">
        <v>929</v>
      </c>
      <c r="P31" s="229" t="s">
        <v>1168</v>
      </c>
      <c r="Q31" s="231" t="str">
        <f t="shared" si="2"/>
        <v>A27. Door Latch, REAR - RIGHT Soft Close WITH Actuator SET 2</v>
      </c>
      <c r="R31" s="284" t="str">
        <f>HYPERLINK(VLOOKUP(O31,'3D. Pictures'!$B$3:$E$500,4,FALSE),"PIC")</f>
        <v>PIC</v>
      </c>
      <c r="S31" s="373" t="str">
        <f t="shared" si="7"/>
        <v>E.G.</v>
      </c>
      <c r="T31" s="377" t="str">
        <f>IF(O31&lt;&gt;"",_xlfn.XLOOKUP(O31,'3D. Pictures'!B:B,'3D. Pictures'!E:E,"NOT FOUND",0,1),"")</f>
        <v>https://viking-pictures.s3.us-west-1.amazonaws.com/AA1155/A27.+Door+Latch%2C+REAR+-+RIGHT+Soft+Close+WITH+Actuator+SET+2+(1).JPG</v>
      </c>
      <c r="U31" s="192">
        <v>6</v>
      </c>
      <c r="V31" s="205" t="s">
        <v>1169</v>
      </c>
      <c r="W31" s="192" t="s">
        <v>111</v>
      </c>
      <c r="X31" s="205"/>
      <c r="Y31" s="205"/>
      <c r="Z31" s="205"/>
      <c r="AA31" s="205" t="s">
        <v>2482</v>
      </c>
      <c r="AB31" s="205" t="s">
        <v>2482</v>
      </c>
      <c r="AC31" s="358" t="str">
        <f t="shared" si="6"/>
        <v>w/ cable + white actuator motor | toss both if 1 bad</v>
      </c>
      <c r="AD31" s="205" t="s">
        <v>2774</v>
      </c>
      <c r="AE31" s="205" t="s">
        <v>1159</v>
      </c>
      <c r="AF31" s="201" t="s">
        <v>543</v>
      </c>
      <c r="AG31" s="205"/>
      <c r="AH31" s="167">
        <v>245</v>
      </c>
      <c r="AI31" s="380">
        <f t="shared" si="8"/>
        <v>245</v>
      </c>
      <c r="AJ31" s="204" t="s">
        <v>408</v>
      </c>
      <c r="AK31" s="204" t="s">
        <v>425</v>
      </c>
      <c r="AL31" s="204" t="s">
        <v>2175</v>
      </c>
      <c r="AM31" s="190"/>
      <c r="AN31" s="191">
        <v>286</v>
      </c>
      <c r="AO31" s="190" t="s">
        <v>572</v>
      </c>
      <c r="AP31" s="190">
        <v>999770</v>
      </c>
      <c r="AQ31" s="190" t="str">
        <f>CONCATENATE(AN31,AO31,AP31)</f>
        <v>286-999770</v>
      </c>
      <c r="AR31" s="190" t="s">
        <v>595</v>
      </c>
      <c r="AS31" s="190"/>
      <c r="AT31" s="190"/>
      <c r="AU31" s="190"/>
      <c r="AV31" s="190"/>
      <c r="AW31" s="190"/>
      <c r="AX31" s="279" t="str">
        <f t="shared" si="4"/>
        <v/>
      </c>
    </row>
    <row r="32" spans="1:50" x14ac:dyDescent="0.25">
      <c r="A32" s="190" t="str">
        <f t="shared" si="0"/>
        <v/>
      </c>
      <c r="B32" s="279" t="str">
        <f t="shared" si="5"/>
        <v>286-999762</v>
      </c>
      <c r="C32" s="279"/>
      <c r="D32" s="279"/>
      <c r="E32" s="279">
        <f t="shared" si="1"/>
        <v>1</v>
      </c>
      <c r="F32" s="190" t="s">
        <v>535</v>
      </c>
      <c r="G32" s="198">
        <v>44670</v>
      </c>
      <c r="H32" s="205"/>
      <c r="I32" s="205"/>
      <c r="J32" s="205" t="s">
        <v>402</v>
      </c>
      <c r="K32" s="205" t="s">
        <v>2757</v>
      </c>
      <c r="L32" s="205" t="s">
        <v>553</v>
      </c>
      <c r="M32" s="192" t="s">
        <v>558</v>
      </c>
      <c r="N32" s="192"/>
      <c r="O32" s="229"/>
      <c r="P32" s="229"/>
      <c r="Q32" s="231" t="str">
        <f t="shared" si="2"/>
        <v>. Door Latch, REAR - RIGHT WITHOUT Soft Close</v>
      </c>
      <c r="R32" s="231"/>
      <c r="S32" s="231" t="str">
        <f t="shared" si="7"/>
        <v/>
      </c>
      <c r="T32" s="231" t="str">
        <f>IF(O32&lt;&gt;"",_xlfn.XLOOKUP(O32,'3D. Pictures'!B:B,'3D. Pictures'!E:E,"NOT FOUND",0,1),"")</f>
        <v/>
      </c>
      <c r="U32" s="192"/>
      <c r="V32" s="205" t="s">
        <v>1171</v>
      </c>
      <c r="W32" s="192" t="s">
        <v>111</v>
      </c>
      <c r="X32" s="205"/>
      <c r="Y32" s="205"/>
      <c r="Z32" s="205"/>
      <c r="AA32" s="205" t="s">
        <v>1170</v>
      </c>
      <c r="AB32" s="205" t="s">
        <v>1170</v>
      </c>
      <c r="AC32" s="358" t="str">
        <f t="shared" si="6"/>
        <v>w/ cable</v>
      </c>
      <c r="AD32" s="205" t="s">
        <v>597</v>
      </c>
      <c r="AE32" s="205"/>
      <c r="AF32" s="201" t="s">
        <v>543</v>
      </c>
      <c r="AG32" s="205"/>
      <c r="AH32" s="167">
        <v>75</v>
      </c>
      <c r="AI32" s="380">
        <f t="shared" si="8"/>
        <v>75</v>
      </c>
      <c r="AJ32" s="204" t="s">
        <v>408</v>
      </c>
      <c r="AK32" s="204" t="s">
        <v>425</v>
      </c>
      <c r="AL32" s="204" t="s">
        <v>2175</v>
      </c>
      <c r="AM32" s="190"/>
      <c r="AN32" s="191">
        <v>286</v>
      </c>
      <c r="AO32" s="190" t="s">
        <v>572</v>
      </c>
      <c r="AP32" s="190">
        <v>999762</v>
      </c>
      <c r="AQ32" s="190" t="str">
        <f>CONCATENATE(AN32,AO32,AP32)</f>
        <v>286-999762</v>
      </c>
      <c r="AR32" s="190" t="s">
        <v>596</v>
      </c>
      <c r="AS32" s="190"/>
      <c r="AT32" s="190"/>
      <c r="AU32" s="190"/>
      <c r="AV32" s="190"/>
      <c r="AW32" s="190"/>
      <c r="AX32" s="279" t="str">
        <f t="shared" si="4"/>
        <v/>
      </c>
    </row>
    <row r="33" spans="1:50" x14ac:dyDescent="0.25">
      <c r="A33" s="190" t="str">
        <f t="shared" si="0"/>
        <v/>
      </c>
      <c r="B33" s="279" t="str">
        <f t="shared" si="5"/>
        <v>263-999495</v>
      </c>
      <c r="C33" s="279"/>
      <c r="D33" s="279"/>
      <c r="E33" s="279">
        <f t="shared" si="1"/>
        <v>1</v>
      </c>
      <c r="F33" s="190" t="s">
        <v>535</v>
      </c>
      <c r="G33" s="198">
        <v>45208</v>
      </c>
      <c r="H33" s="210"/>
      <c r="I33" s="210"/>
      <c r="J33" s="206" t="s">
        <v>402</v>
      </c>
      <c r="K33" s="205" t="s">
        <v>2757</v>
      </c>
      <c r="L33" s="201" t="s">
        <v>490</v>
      </c>
      <c r="M33" s="192" t="s">
        <v>558</v>
      </c>
      <c r="N33" s="192"/>
      <c r="O33" s="229"/>
      <c r="P33" s="229"/>
      <c r="Q33" s="231" t="str">
        <f t="shared" si="2"/>
        <v>. Window Sun Shade, REAR - RIGHT</v>
      </c>
      <c r="R33" s="231"/>
      <c r="S33" s="231" t="str">
        <f t="shared" si="7"/>
        <v/>
      </c>
      <c r="T33" s="231" t="str">
        <f>IF(O33&lt;&gt;"",_xlfn.XLOOKUP(O33,'3D. Pictures'!B:B,'3D. Pictures'!E:E,"NOT FOUND",0,1),"")</f>
        <v/>
      </c>
      <c r="U33" s="192"/>
      <c r="V33" s="205"/>
      <c r="W33" s="192"/>
      <c r="X33" s="205"/>
      <c r="Y33" s="205"/>
      <c r="Z33" s="205"/>
      <c r="AA33" s="201" t="s">
        <v>656</v>
      </c>
      <c r="AB33" s="201" t="s">
        <v>656</v>
      </c>
      <c r="AC33" s="247" t="str">
        <f t="shared" si="6"/>
        <v/>
      </c>
      <c r="AD33" s="201"/>
      <c r="AE33" s="201"/>
      <c r="AF33" s="201" t="s">
        <v>543</v>
      </c>
      <c r="AG33" s="201"/>
      <c r="AH33" s="168">
        <v>190</v>
      </c>
      <c r="AI33" s="380">
        <f t="shared" si="8"/>
        <v>190</v>
      </c>
      <c r="AJ33" s="204" t="s">
        <v>408</v>
      </c>
      <c r="AK33" s="204" t="s">
        <v>425</v>
      </c>
      <c r="AL33" s="204" t="s">
        <v>2175</v>
      </c>
      <c r="AM33" s="211"/>
      <c r="AN33" s="191" t="s">
        <v>600</v>
      </c>
      <c r="AO33" s="190" t="s">
        <v>572</v>
      </c>
      <c r="AP33" s="190">
        <v>999495</v>
      </c>
      <c r="AQ33" s="190" t="str">
        <f>CONCATENATE(AN33,AO33,AP33)</f>
        <v>263-999495</v>
      </c>
      <c r="AR33" s="190"/>
      <c r="AS33" s="190"/>
      <c r="AT33" s="190"/>
      <c r="AU33" s="190"/>
      <c r="AV33" s="190"/>
      <c r="AW33" s="190"/>
      <c r="AX33" s="279" t="str">
        <f t="shared" si="4"/>
        <v/>
      </c>
    </row>
    <row r="34" spans="1:50" x14ac:dyDescent="0.25">
      <c r="A34" s="190" t="str">
        <f t="shared" si="0"/>
        <v/>
      </c>
      <c r="B34" s="279" t="str">
        <f t="shared" si="5"/>
        <v/>
      </c>
      <c r="C34" s="279"/>
      <c r="D34" s="279"/>
      <c r="E34" s="279" t="str">
        <f t="shared" si="1"/>
        <v/>
      </c>
      <c r="F34" t="s">
        <v>535</v>
      </c>
      <c r="G34" s="188">
        <v>44670</v>
      </c>
      <c r="H34" s="10"/>
      <c r="I34" s="10"/>
      <c r="J34" s="10" t="s">
        <v>405</v>
      </c>
      <c r="K34" s="10" t="s">
        <v>2757</v>
      </c>
      <c r="L34" s="10" t="s">
        <v>555</v>
      </c>
      <c r="M34" s="168" t="s">
        <v>559</v>
      </c>
      <c r="N34" s="168"/>
      <c r="O34" s="171"/>
      <c r="P34" s="171"/>
      <c r="Q34" s="231" t="str">
        <f t="shared" si="2"/>
        <v>. Door Handle, Interior</v>
      </c>
      <c r="R34" s="231"/>
      <c r="S34" s="231" t="str">
        <f t="shared" si="7"/>
        <v/>
      </c>
      <c r="T34" s="231" t="str">
        <f>IF(O34&lt;&gt;"",_xlfn.XLOOKUP(O34,'3D. Pictures'!B:B,'3D. Pictures'!E:E,"NOT FOUND",0,1),"")</f>
        <v/>
      </c>
      <c r="U34" s="168"/>
      <c r="V34" s="168"/>
      <c r="W34" s="168"/>
      <c r="X34" s="168"/>
      <c r="Y34" s="168"/>
      <c r="Z34" s="168"/>
      <c r="AA34" s="10" t="s">
        <v>555</v>
      </c>
      <c r="AB34" s="10" t="s">
        <v>555</v>
      </c>
      <c r="AC34" s="359" t="str">
        <f t="shared" si="6"/>
        <v>if trim doesn't remove easy put handle w/ trim SET</v>
      </c>
      <c r="AD34" s="10" t="s">
        <v>2806</v>
      </c>
      <c r="AE34" s="10"/>
      <c r="AF34" s="168" t="s">
        <v>543</v>
      </c>
      <c r="AG34" s="10"/>
      <c r="AH34" s="10"/>
      <c r="AI34" s="380" t="str">
        <f t="shared" si="8"/>
        <v/>
      </c>
      <c r="AJ34" s="3" t="s">
        <v>408</v>
      </c>
      <c r="AK34" s="3" t="s">
        <v>425</v>
      </c>
      <c r="AL34" s="204" t="s">
        <v>2175</v>
      </c>
      <c r="AX34" s="279" t="str">
        <f t="shared" si="4"/>
        <v/>
      </c>
    </row>
    <row r="35" spans="1:50" x14ac:dyDescent="0.25">
      <c r="A35" s="190" t="str">
        <f t="shared" si="0"/>
        <v/>
      </c>
      <c r="B35" s="279" t="str">
        <f t="shared" si="5"/>
        <v/>
      </c>
      <c r="C35" s="279"/>
      <c r="D35" s="279"/>
      <c r="E35" s="279" t="str">
        <f t="shared" si="1"/>
        <v/>
      </c>
      <c r="F35" t="s">
        <v>535</v>
      </c>
      <c r="G35" s="188">
        <v>44670</v>
      </c>
      <c r="H35" s="10"/>
      <c r="I35" s="10"/>
      <c r="J35" s="10" t="s">
        <v>405</v>
      </c>
      <c r="K35" s="10" t="s">
        <v>2757</v>
      </c>
      <c r="L35" s="10" t="s">
        <v>40</v>
      </c>
      <c r="M35" s="168" t="s">
        <v>559</v>
      </c>
      <c r="N35" s="168"/>
      <c r="O35" s="171"/>
      <c r="P35" s="171"/>
      <c r="Q35" s="231" t="str">
        <f t="shared" si="2"/>
        <v>. Door Panel</v>
      </c>
      <c r="R35" s="231"/>
      <c r="S35" s="231" t="str">
        <f t="shared" si="7"/>
        <v/>
      </c>
      <c r="T35" s="231" t="str">
        <f>IF(O35&lt;&gt;"",_xlfn.XLOOKUP(O35,'3D. Pictures'!B:B,'3D. Pictures'!E:E,"NOT FOUND",0,1),"")</f>
        <v/>
      </c>
      <c r="U35" s="168"/>
      <c r="V35" s="168"/>
      <c r="W35" s="168"/>
      <c r="X35" s="168"/>
      <c r="Y35" s="168"/>
      <c r="Z35" s="168"/>
      <c r="AA35" s="10" t="s">
        <v>40</v>
      </c>
      <c r="AB35" s="10" t="s">
        <v>40</v>
      </c>
      <c r="AC35" s="359" t="str">
        <f t="shared" si="6"/>
        <v/>
      </c>
      <c r="AD35" s="10"/>
      <c r="AE35" s="10"/>
      <c r="AF35" s="168" t="s">
        <v>543</v>
      </c>
      <c r="AG35" s="10"/>
      <c r="AH35" s="10"/>
      <c r="AI35" s="380" t="str">
        <f t="shared" si="8"/>
        <v/>
      </c>
      <c r="AJ35" s="3" t="s">
        <v>408</v>
      </c>
      <c r="AK35" s="3" t="s">
        <v>425</v>
      </c>
      <c r="AL35" s="204" t="s">
        <v>2175</v>
      </c>
      <c r="AX35" s="279" t="str">
        <f t="shared" si="4"/>
        <v/>
      </c>
    </row>
    <row r="36" spans="1:50" x14ac:dyDescent="0.25">
      <c r="A36" s="190" t="str">
        <f t="shared" si="0"/>
        <v/>
      </c>
      <c r="B36" s="279" t="str">
        <f t="shared" si="5"/>
        <v/>
      </c>
      <c r="C36" s="279"/>
      <c r="D36" s="279"/>
      <c r="E36" s="279" t="str">
        <f t="shared" si="1"/>
        <v/>
      </c>
      <c r="F36" t="s">
        <v>535</v>
      </c>
      <c r="G36" s="188">
        <v>44670</v>
      </c>
      <c r="H36" s="159"/>
      <c r="I36" s="10"/>
      <c r="J36" s="10" t="s">
        <v>405</v>
      </c>
      <c r="K36" s="10" t="s">
        <v>2757</v>
      </c>
      <c r="L36" s="201" t="s">
        <v>1210</v>
      </c>
      <c r="M36" s="168" t="s">
        <v>559</v>
      </c>
      <c r="N36" s="168"/>
      <c r="O36" s="171"/>
      <c r="P36" s="171"/>
      <c r="Q36" s="231" t="str">
        <f t="shared" si="2"/>
        <v>. Switch, Window</v>
      </c>
      <c r="R36" s="231"/>
      <c r="S36" s="231" t="str">
        <f t="shared" si="7"/>
        <v/>
      </c>
      <c r="T36" s="231" t="str">
        <f>IF(O36&lt;&gt;"",_xlfn.XLOOKUP(O36,'3D. Pictures'!B:B,'3D. Pictures'!E:E,"NOT FOUND",0,1),"")</f>
        <v/>
      </c>
      <c r="U36" s="168"/>
      <c r="V36" s="168"/>
      <c r="W36" s="168"/>
      <c r="X36" s="168"/>
      <c r="Y36" s="168"/>
      <c r="Z36" s="168"/>
      <c r="AA36" s="10" t="s">
        <v>56</v>
      </c>
      <c r="AB36" s="10" t="s">
        <v>56</v>
      </c>
      <c r="AC36" s="359" t="str">
        <f t="shared" si="6"/>
        <v/>
      </c>
      <c r="AD36" s="10"/>
      <c r="AE36" s="10"/>
      <c r="AF36" s="168" t="s">
        <v>543</v>
      </c>
      <c r="AG36" s="10"/>
      <c r="AH36" s="10"/>
      <c r="AI36" s="380" t="str">
        <f t="shared" si="8"/>
        <v/>
      </c>
      <c r="AJ36" s="3" t="s">
        <v>408</v>
      </c>
      <c r="AK36" s="3" t="s">
        <v>425</v>
      </c>
      <c r="AL36" s="204" t="s">
        <v>2175</v>
      </c>
      <c r="AX36" s="279" t="str">
        <f t="shared" si="4"/>
        <v/>
      </c>
    </row>
    <row r="37" spans="1:50" x14ac:dyDescent="0.25">
      <c r="A37" s="190" t="str">
        <f t="shared" si="0"/>
        <v/>
      </c>
      <c r="B37" s="279" t="str">
        <f t="shared" si="5"/>
        <v/>
      </c>
      <c r="C37" s="279"/>
      <c r="D37" s="279"/>
      <c r="E37" s="279" t="str">
        <f t="shared" si="1"/>
        <v/>
      </c>
      <c r="F37" t="s">
        <v>535</v>
      </c>
      <c r="G37" s="188">
        <v>44670</v>
      </c>
      <c r="H37" s="157"/>
      <c r="I37" s="174"/>
      <c r="J37" s="10" t="s">
        <v>405</v>
      </c>
      <c r="K37" s="10" t="s">
        <v>2757</v>
      </c>
      <c r="L37" s="10" t="s">
        <v>556</v>
      </c>
      <c r="M37" s="164" t="s">
        <v>558</v>
      </c>
      <c r="N37" s="164"/>
      <c r="O37" s="234"/>
      <c r="P37" s="234"/>
      <c r="Q37" s="231" t="str">
        <f t="shared" si="2"/>
        <v>. Window Motor &amp; Regulator</v>
      </c>
      <c r="R37" s="231"/>
      <c r="S37" s="231" t="str">
        <f t="shared" si="7"/>
        <v/>
      </c>
      <c r="T37" s="231" t="str">
        <f>IF(O37&lt;&gt;"",_xlfn.XLOOKUP(O37,'3D. Pictures'!B:B,'3D. Pictures'!E:E,"NOT FOUND",0,1),"")</f>
        <v/>
      </c>
      <c r="U37" s="164"/>
      <c r="V37" s="16"/>
      <c r="W37" s="164"/>
      <c r="X37" s="16"/>
      <c r="Y37" s="16"/>
      <c r="Z37" s="16"/>
      <c r="AA37" s="10" t="s">
        <v>556</v>
      </c>
      <c r="AB37" s="10" t="s">
        <v>556</v>
      </c>
      <c r="AC37" s="359" t="str">
        <f t="shared" si="6"/>
        <v/>
      </c>
      <c r="AD37" s="10"/>
      <c r="AE37" s="10"/>
      <c r="AF37" s="168" t="s">
        <v>543</v>
      </c>
      <c r="AG37" s="10"/>
      <c r="AH37" s="10"/>
      <c r="AI37" s="380" t="str">
        <f t="shared" si="8"/>
        <v/>
      </c>
      <c r="AJ37" s="3" t="s">
        <v>408</v>
      </c>
      <c r="AK37" s="3" t="s">
        <v>425</v>
      </c>
      <c r="AL37" s="204" t="s">
        <v>2175</v>
      </c>
      <c r="AO37" t="s">
        <v>572</v>
      </c>
      <c r="AX37" s="279" t="str">
        <f t="shared" si="4"/>
        <v/>
      </c>
    </row>
    <row r="38" spans="1:50" x14ac:dyDescent="0.25">
      <c r="A38" s="190" t="str">
        <f t="shared" si="0"/>
        <v/>
      </c>
      <c r="B38" s="279" t="str">
        <f t="shared" si="5"/>
        <v>682-50388</v>
      </c>
      <c r="C38" s="279"/>
      <c r="D38" s="279"/>
      <c r="E38" s="279">
        <f t="shared" si="1"/>
        <v>1</v>
      </c>
      <c r="F38" s="190" t="s">
        <v>535</v>
      </c>
      <c r="G38" s="198">
        <v>44670</v>
      </c>
      <c r="H38" s="210"/>
      <c r="I38" s="205"/>
      <c r="J38" s="205" t="s">
        <v>402</v>
      </c>
      <c r="K38" s="205" t="s">
        <v>237</v>
      </c>
      <c r="L38" s="205" t="s">
        <v>358</v>
      </c>
      <c r="M38" s="192" t="s">
        <v>558</v>
      </c>
      <c r="N38" s="192"/>
      <c r="O38" s="229"/>
      <c r="P38" s="229"/>
      <c r="Q38" s="231" t="str">
        <f t="shared" si="2"/>
        <v>. A/C Compressor</v>
      </c>
      <c r="R38" s="231"/>
      <c r="S38" s="231" t="str">
        <f t="shared" si="7"/>
        <v/>
      </c>
      <c r="T38" s="231" t="str">
        <f>IF(O38&lt;&gt;"",_xlfn.XLOOKUP(O38,'3D. Pictures'!B:B,'3D. Pictures'!E:E,"NOT FOUND",0,1),"")</f>
        <v/>
      </c>
      <c r="U38" s="192"/>
      <c r="V38" s="205"/>
      <c r="W38" s="192"/>
      <c r="X38" s="205"/>
      <c r="Y38" s="205"/>
      <c r="Z38" s="205"/>
      <c r="AA38" s="205" t="s">
        <v>358</v>
      </c>
      <c r="AB38" s="205" t="s">
        <v>358</v>
      </c>
      <c r="AC38" s="358" t="str">
        <f t="shared" si="6"/>
        <v/>
      </c>
      <c r="AD38" s="205"/>
      <c r="AE38" s="205"/>
      <c r="AF38" s="201" t="s">
        <v>543</v>
      </c>
      <c r="AG38" s="205"/>
      <c r="AH38" s="18">
        <v>150</v>
      </c>
      <c r="AI38" s="380">
        <f t="shared" si="8"/>
        <v>150</v>
      </c>
      <c r="AJ38" s="204" t="s">
        <v>2176</v>
      </c>
      <c r="AK38" s="204" t="s">
        <v>425</v>
      </c>
      <c r="AL38" s="204" t="s">
        <v>2177</v>
      </c>
      <c r="AM38" s="190"/>
      <c r="AN38" s="191" t="s">
        <v>601</v>
      </c>
      <c r="AO38" s="190" t="s">
        <v>572</v>
      </c>
      <c r="AP38" s="190">
        <v>50388</v>
      </c>
      <c r="AQ38" s="190" t="str">
        <f>CONCATENATE(AN38,AO38,AP38)</f>
        <v>682-50388</v>
      </c>
      <c r="AR38" s="190" t="s">
        <v>2176</v>
      </c>
      <c r="AS38" s="190"/>
      <c r="AT38" s="190"/>
      <c r="AU38" s="190"/>
      <c r="AV38" s="190"/>
      <c r="AW38" s="190"/>
      <c r="AX38" s="279" t="str">
        <f t="shared" si="4"/>
        <v/>
      </c>
    </row>
    <row r="39" spans="1:50" x14ac:dyDescent="0.25">
      <c r="A39" s="190" t="str">
        <f t="shared" si="0"/>
        <v/>
      </c>
      <c r="B39" s="279" t="str">
        <f t="shared" si="5"/>
        <v/>
      </c>
      <c r="C39" s="279"/>
      <c r="D39" s="279"/>
      <c r="E39" s="279" t="str">
        <f t="shared" si="1"/>
        <v/>
      </c>
      <c r="F39" t="s">
        <v>536</v>
      </c>
      <c r="G39" s="188">
        <v>45099</v>
      </c>
      <c r="H39" s="10"/>
      <c r="I39" s="10"/>
      <c r="J39" s="16" t="s">
        <v>402</v>
      </c>
      <c r="K39" s="16" t="s">
        <v>237</v>
      </c>
      <c r="L39" s="16" t="s">
        <v>2665</v>
      </c>
      <c r="M39" s="16" t="s">
        <v>559</v>
      </c>
      <c r="N39" s="16"/>
      <c r="O39" s="166"/>
      <c r="P39" s="166"/>
      <c r="Q39" s="231" t="str">
        <f t="shared" si="2"/>
        <v>. Air Induction Charge Pipe</v>
      </c>
      <c r="R39" s="231"/>
      <c r="S39" s="231" t="str">
        <f t="shared" si="7"/>
        <v/>
      </c>
      <c r="T39" s="231" t="str">
        <f>IF(O39&lt;&gt;"",_xlfn.XLOOKUP(O39,'3D. Pictures'!B:B,'3D. Pictures'!E:E,"NOT FOUND",0,1),"")</f>
        <v/>
      </c>
      <c r="U39" s="16"/>
      <c r="V39" s="16"/>
      <c r="W39" s="16"/>
      <c r="X39" s="16"/>
      <c r="Y39" s="205"/>
      <c r="Z39" s="16"/>
      <c r="AA39" s="16" t="s">
        <v>523</v>
      </c>
      <c r="AB39" s="16" t="s">
        <v>523</v>
      </c>
      <c r="AC39" s="358" t="str">
        <f t="shared" si="6"/>
        <v/>
      </c>
      <c r="AD39" s="16"/>
      <c r="AE39" s="16"/>
      <c r="AF39" s="168" t="s">
        <v>543</v>
      </c>
      <c r="AG39" s="16">
        <v>8626487</v>
      </c>
      <c r="AH39" s="363">
        <v>105</v>
      </c>
      <c r="AI39" s="380">
        <f t="shared" si="8"/>
        <v>105</v>
      </c>
      <c r="AJ39" s="3" t="s">
        <v>2176</v>
      </c>
      <c r="AK39" s="3" t="s">
        <v>425</v>
      </c>
      <c r="AL39" s="204" t="s">
        <v>2177</v>
      </c>
      <c r="AX39" s="279" t="str">
        <f t="shared" si="4"/>
        <v/>
      </c>
    </row>
    <row r="40" spans="1:50" x14ac:dyDescent="0.25">
      <c r="A40" s="190" t="str">
        <f t="shared" si="0"/>
        <v/>
      </c>
      <c r="B40" s="279" t="str">
        <f t="shared" si="5"/>
        <v/>
      </c>
      <c r="C40" s="279"/>
      <c r="D40" s="279"/>
      <c r="E40" s="279" t="str">
        <f t="shared" si="1"/>
        <v/>
      </c>
      <c r="F40" t="s">
        <v>536</v>
      </c>
      <c r="G40" s="188">
        <v>45099</v>
      </c>
      <c r="H40" s="10"/>
      <c r="I40" s="10"/>
      <c r="J40" s="16" t="s">
        <v>402</v>
      </c>
      <c r="K40" s="16" t="s">
        <v>237</v>
      </c>
      <c r="L40" s="16" t="s">
        <v>2665</v>
      </c>
      <c r="M40" s="16" t="s">
        <v>559</v>
      </c>
      <c r="N40" s="16"/>
      <c r="O40" s="166"/>
      <c r="P40" s="166"/>
      <c r="Q40" s="231" t="str">
        <f t="shared" si="2"/>
        <v>. Air Intake Upper Duct Tube</v>
      </c>
      <c r="R40" s="231"/>
      <c r="S40" s="231" t="str">
        <f t="shared" si="7"/>
        <v/>
      </c>
      <c r="T40" s="231" t="str">
        <f>IF(O40&lt;&gt;"",_xlfn.XLOOKUP(O40,'3D. Pictures'!B:B,'3D. Pictures'!E:E,"NOT FOUND",0,1),"")</f>
        <v/>
      </c>
      <c r="U40" s="16"/>
      <c r="V40" s="16"/>
      <c r="W40" s="16"/>
      <c r="X40" s="16"/>
      <c r="Y40" s="16"/>
      <c r="Z40" s="16"/>
      <c r="AA40" s="16" t="s">
        <v>2530</v>
      </c>
      <c r="AB40" s="16" t="s">
        <v>2530</v>
      </c>
      <c r="AC40" s="358" t="str">
        <f t="shared" si="6"/>
        <v>2 Pieces Keep Together</v>
      </c>
      <c r="AD40" s="16" t="s">
        <v>2529</v>
      </c>
      <c r="AE40" s="16"/>
      <c r="AF40" s="168" t="s">
        <v>543</v>
      </c>
      <c r="AG40" s="16">
        <v>13717605585</v>
      </c>
      <c r="AH40" s="363">
        <v>125</v>
      </c>
      <c r="AI40" s="380">
        <f t="shared" si="8"/>
        <v>125</v>
      </c>
      <c r="AJ40" s="3" t="s">
        <v>2176</v>
      </c>
      <c r="AK40" s="3" t="s">
        <v>425</v>
      </c>
      <c r="AL40" s="204" t="s">
        <v>2177</v>
      </c>
      <c r="AX40" s="279" t="str">
        <f t="shared" si="4"/>
        <v/>
      </c>
    </row>
    <row r="41" spans="1:50" x14ac:dyDescent="0.25">
      <c r="A41" s="190" t="str">
        <f t="shared" si="0"/>
        <v/>
      </c>
      <c r="B41" s="279" t="str">
        <f t="shared" si="5"/>
        <v>601-60994</v>
      </c>
      <c r="C41" s="279"/>
      <c r="D41" s="279"/>
      <c r="E41" s="279">
        <f t="shared" si="1"/>
        <v>1</v>
      </c>
      <c r="F41" s="190" t="s">
        <v>535</v>
      </c>
      <c r="G41" s="198">
        <v>44670</v>
      </c>
      <c r="H41" s="210"/>
      <c r="I41" s="205"/>
      <c r="J41" s="205" t="s">
        <v>402</v>
      </c>
      <c r="K41" s="205" t="s">
        <v>237</v>
      </c>
      <c r="L41" s="205" t="s">
        <v>44</v>
      </c>
      <c r="M41" s="192" t="s">
        <v>558</v>
      </c>
      <c r="N41" s="192"/>
      <c r="O41" s="229"/>
      <c r="P41" s="229"/>
      <c r="Q41" s="231" t="str">
        <f t="shared" si="2"/>
        <v>. Alternator</v>
      </c>
      <c r="R41" s="231"/>
      <c r="S41" s="231" t="str">
        <f t="shared" si="7"/>
        <v/>
      </c>
      <c r="T41" s="231" t="str">
        <f>IF(O41&lt;&gt;"",_xlfn.XLOOKUP(O41,'3D. Pictures'!B:B,'3D. Pictures'!E:E,"NOT FOUND",0,1),"")</f>
        <v/>
      </c>
      <c r="U41" s="192"/>
      <c r="V41" s="205"/>
      <c r="W41" s="192"/>
      <c r="X41" s="205"/>
      <c r="Y41" s="16"/>
      <c r="Z41" s="205"/>
      <c r="AA41" s="205" t="s">
        <v>44</v>
      </c>
      <c r="AB41" s="205" t="s">
        <v>44</v>
      </c>
      <c r="AC41" s="358" t="str">
        <f t="shared" si="6"/>
        <v/>
      </c>
      <c r="AD41" s="205"/>
      <c r="AE41" s="205"/>
      <c r="AF41" s="201" t="s">
        <v>543</v>
      </c>
      <c r="AG41" s="205"/>
      <c r="AH41" s="16">
        <v>100</v>
      </c>
      <c r="AI41" s="380">
        <f t="shared" si="8"/>
        <v>100</v>
      </c>
      <c r="AJ41" s="204" t="s">
        <v>2176</v>
      </c>
      <c r="AK41" s="204" t="s">
        <v>425</v>
      </c>
      <c r="AL41" s="204" t="s">
        <v>2177</v>
      </c>
      <c r="AM41" s="190"/>
      <c r="AN41" s="191" t="s">
        <v>602</v>
      </c>
      <c r="AO41" s="190" t="s">
        <v>572</v>
      </c>
      <c r="AP41" s="190">
        <v>60994</v>
      </c>
      <c r="AQ41" s="190" t="str">
        <f>CONCATENATE(AN41,AO41,AP41)</f>
        <v>601-60994</v>
      </c>
      <c r="AR41" s="190"/>
      <c r="AS41" s="190"/>
      <c r="AT41" s="190"/>
      <c r="AU41" s="190"/>
      <c r="AV41" s="190"/>
      <c r="AW41" s="190"/>
      <c r="AX41" s="279" t="str">
        <f t="shared" si="4"/>
        <v/>
      </c>
    </row>
    <row r="42" spans="1:50" x14ac:dyDescent="0.25">
      <c r="A42" s="190" t="str">
        <f t="shared" si="0"/>
        <v/>
      </c>
      <c r="B42" s="279" t="str">
        <f t="shared" si="5"/>
        <v/>
      </c>
      <c r="C42" s="279"/>
      <c r="D42" s="279"/>
      <c r="E42" s="279" t="str">
        <f t="shared" si="1"/>
        <v/>
      </c>
      <c r="F42" t="s">
        <v>537</v>
      </c>
      <c r="G42" s="188">
        <v>45091</v>
      </c>
      <c r="H42" s="19" t="s">
        <v>81</v>
      </c>
      <c r="I42" s="99"/>
      <c r="J42" s="99" t="s">
        <v>402</v>
      </c>
      <c r="K42" s="99" t="s">
        <v>237</v>
      </c>
      <c r="L42" s="99" t="s">
        <v>2666</v>
      </c>
      <c r="M42" s="164" t="s">
        <v>558</v>
      </c>
      <c r="N42" s="164"/>
      <c r="O42" s="234"/>
      <c r="P42" s="234"/>
      <c r="Q42" s="231" t="str">
        <f t="shared" si="2"/>
        <v>. Camshaft, Eccentric</v>
      </c>
      <c r="R42" s="231"/>
      <c r="S42" s="231" t="str">
        <f t="shared" si="7"/>
        <v/>
      </c>
      <c r="T42" s="231" t="str">
        <f>IF(O42&lt;&gt;"",_xlfn.XLOOKUP(O42,'3D. Pictures'!B:B,'3D. Pictures'!E:E,"NOT FOUND",0,1),"")</f>
        <v/>
      </c>
      <c r="U42" s="164"/>
      <c r="V42" s="16"/>
      <c r="W42" s="164"/>
      <c r="X42" s="16"/>
      <c r="Y42" s="16"/>
      <c r="Z42" s="16"/>
      <c r="AA42" s="99" t="s">
        <v>2532</v>
      </c>
      <c r="AB42" s="99" t="s">
        <v>2532</v>
      </c>
      <c r="AC42" s="360" t="str">
        <f t="shared" si="6"/>
        <v>on head unless parting out</v>
      </c>
      <c r="AD42" s="99" t="s">
        <v>2531</v>
      </c>
      <c r="AE42" s="99"/>
      <c r="AF42" s="168" t="s">
        <v>543</v>
      </c>
      <c r="AG42" s="99"/>
      <c r="AH42" s="364">
        <v>175</v>
      </c>
      <c r="AI42" s="380">
        <f t="shared" si="8"/>
        <v>175</v>
      </c>
      <c r="AJ42" s="181" t="s">
        <v>2176</v>
      </c>
      <c r="AK42" s="181" t="s">
        <v>425</v>
      </c>
      <c r="AL42" s="204" t="s">
        <v>2177</v>
      </c>
      <c r="AM42" s="182"/>
      <c r="AN42" s="45"/>
      <c r="AO42" t="s">
        <v>572</v>
      </c>
      <c r="AX42" s="279" t="str">
        <f t="shared" si="4"/>
        <v/>
      </c>
    </row>
    <row r="43" spans="1:50" x14ac:dyDescent="0.25">
      <c r="A43" s="190" t="str">
        <f t="shared" si="0"/>
        <v/>
      </c>
      <c r="B43" s="279" t="str">
        <f t="shared" si="5"/>
        <v/>
      </c>
      <c r="C43" s="279"/>
      <c r="D43" s="279"/>
      <c r="E43" s="279" t="str">
        <f t="shared" si="1"/>
        <v/>
      </c>
      <c r="F43" t="s">
        <v>537</v>
      </c>
      <c r="G43" s="188">
        <v>45091</v>
      </c>
      <c r="H43" s="19" t="s">
        <v>81</v>
      </c>
      <c r="I43" s="99"/>
      <c r="J43" s="99" t="s">
        <v>402</v>
      </c>
      <c r="K43" s="99" t="s">
        <v>237</v>
      </c>
      <c r="L43" s="99" t="s">
        <v>2666</v>
      </c>
      <c r="M43" s="164" t="s">
        <v>558</v>
      </c>
      <c r="N43" s="164"/>
      <c r="O43" s="234"/>
      <c r="P43" s="234"/>
      <c r="Q43" s="231" t="str">
        <f t="shared" si="2"/>
        <v>. Camshaft, Exhaust</v>
      </c>
      <c r="R43" s="231"/>
      <c r="S43" s="231" t="str">
        <f t="shared" si="7"/>
        <v/>
      </c>
      <c r="T43" s="231" t="str">
        <f>IF(O43&lt;&gt;"",_xlfn.XLOOKUP(O43,'3D. Pictures'!B:B,'3D. Pictures'!E:E,"NOT FOUND",0,1),"")</f>
        <v/>
      </c>
      <c r="U43" s="164"/>
      <c r="V43" s="16"/>
      <c r="W43" s="164"/>
      <c r="X43" s="16"/>
      <c r="Y43" s="205"/>
      <c r="Z43" s="16"/>
      <c r="AA43" s="99" t="s">
        <v>2533</v>
      </c>
      <c r="AB43" s="99" t="s">
        <v>2533</v>
      </c>
      <c r="AC43" s="360" t="str">
        <f t="shared" si="6"/>
        <v>on head unless parting out</v>
      </c>
      <c r="AD43" s="99" t="s">
        <v>2531</v>
      </c>
      <c r="AE43" s="99"/>
      <c r="AF43" s="168" t="s">
        <v>543</v>
      </c>
      <c r="AG43" s="99"/>
      <c r="AH43" s="364">
        <v>240</v>
      </c>
      <c r="AI43" s="380">
        <f t="shared" si="8"/>
        <v>240</v>
      </c>
      <c r="AJ43" s="181" t="s">
        <v>2176</v>
      </c>
      <c r="AK43" s="181" t="s">
        <v>425</v>
      </c>
      <c r="AL43" s="204" t="s">
        <v>2177</v>
      </c>
      <c r="AM43" s="182"/>
      <c r="AN43" s="45"/>
      <c r="AO43" t="s">
        <v>572</v>
      </c>
      <c r="AX43" s="279" t="str">
        <f t="shared" si="4"/>
        <v/>
      </c>
    </row>
    <row r="44" spans="1:50" x14ac:dyDescent="0.25">
      <c r="A44" s="190" t="str">
        <f t="shared" si="0"/>
        <v/>
      </c>
      <c r="B44" s="279" t="str">
        <f t="shared" si="5"/>
        <v/>
      </c>
      <c r="C44" s="279"/>
      <c r="D44" s="279"/>
      <c r="E44" s="279" t="str">
        <f t="shared" si="1"/>
        <v/>
      </c>
      <c r="F44" t="s">
        <v>537</v>
      </c>
      <c r="G44" s="188">
        <v>45091</v>
      </c>
      <c r="H44" s="19" t="s">
        <v>81</v>
      </c>
      <c r="I44" s="99"/>
      <c r="J44" s="99" t="s">
        <v>402</v>
      </c>
      <c r="K44" s="99" t="s">
        <v>237</v>
      </c>
      <c r="L44" s="99" t="s">
        <v>2666</v>
      </c>
      <c r="M44" s="164" t="s">
        <v>558</v>
      </c>
      <c r="N44" s="164"/>
      <c r="O44" s="234"/>
      <c r="P44" s="234"/>
      <c r="Q44" s="231" t="str">
        <f t="shared" si="2"/>
        <v>. Camshaft, Intake</v>
      </c>
      <c r="R44" s="231"/>
      <c r="S44" s="231" t="str">
        <f t="shared" si="7"/>
        <v/>
      </c>
      <c r="T44" s="231" t="str">
        <f>IF(O44&lt;&gt;"",_xlfn.XLOOKUP(O44,'3D. Pictures'!B:B,'3D. Pictures'!E:E,"NOT FOUND",0,1),"")</f>
        <v/>
      </c>
      <c r="U44" s="164"/>
      <c r="V44" s="16"/>
      <c r="W44" s="164"/>
      <c r="X44" s="16"/>
      <c r="Y44" s="205"/>
      <c r="Z44" s="16"/>
      <c r="AA44" s="99" t="s">
        <v>2534</v>
      </c>
      <c r="AB44" s="99" t="s">
        <v>2534</v>
      </c>
      <c r="AC44" s="360" t="str">
        <f t="shared" si="6"/>
        <v>on head unless parting out</v>
      </c>
      <c r="AD44" s="99" t="s">
        <v>2531</v>
      </c>
      <c r="AE44" s="99"/>
      <c r="AF44" s="168" t="s">
        <v>543</v>
      </c>
      <c r="AG44" s="99"/>
      <c r="AH44" s="364">
        <v>400</v>
      </c>
      <c r="AI44" s="380">
        <f t="shared" si="8"/>
        <v>400</v>
      </c>
      <c r="AJ44" s="181" t="s">
        <v>2176</v>
      </c>
      <c r="AK44" s="181" t="s">
        <v>425</v>
      </c>
      <c r="AL44" s="204" t="s">
        <v>2177</v>
      </c>
      <c r="AM44" s="182"/>
      <c r="AN44" s="45"/>
      <c r="AO44" t="s">
        <v>572</v>
      </c>
      <c r="AX44" s="279" t="str">
        <f t="shared" si="4"/>
        <v/>
      </c>
    </row>
    <row r="45" spans="1:50" x14ac:dyDescent="0.25">
      <c r="A45" s="190" t="str">
        <f t="shared" si="0"/>
        <v/>
      </c>
      <c r="B45" s="279" t="str">
        <f t="shared" si="5"/>
        <v/>
      </c>
      <c r="C45" s="279"/>
      <c r="D45" s="279"/>
      <c r="E45" s="279" t="str">
        <f t="shared" si="1"/>
        <v/>
      </c>
      <c r="F45" t="s">
        <v>535</v>
      </c>
      <c r="G45" s="188">
        <v>44670</v>
      </c>
      <c r="H45" s="19" t="s">
        <v>81</v>
      </c>
      <c r="I45" s="99"/>
      <c r="J45" s="99" t="s">
        <v>402</v>
      </c>
      <c r="K45" s="99" t="s">
        <v>237</v>
      </c>
      <c r="L45" s="99" t="s">
        <v>54</v>
      </c>
      <c r="M45" s="16" t="s">
        <v>559</v>
      </c>
      <c r="N45" s="16"/>
      <c r="O45" s="166"/>
      <c r="P45" s="166"/>
      <c r="Q45" s="231" t="str">
        <f t="shared" si="2"/>
        <v>. Crank Shaft</v>
      </c>
      <c r="R45" s="231"/>
      <c r="S45" s="231" t="str">
        <f t="shared" si="7"/>
        <v/>
      </c>
      <c r="T45" s="231" t="str">
        <f>IF(O45&lt;&gt;"",_xlfn.XLOOKUP(O45,'3D. Pictures'!B:B,'3D. Pictures'!E:E,"NOT FOUND",0,1),"")</f>
        <v/>
      </c>
      <c r="U45" s="16"/>
      <c r="V45" s="16"/>
      <c r="W45" s="16"/>
      <c r="X45" s="16"/>
      <c r="Y45" s="205"/>
      <c r="Z45" s="16"/>
      <c r="AA45" s="99" t="s">
        <v>54</v>
      </c>
      <c r="AB45" s="99" t="s">
        <v>54</v>
      </c>
      <c r="AC45" s="360" t="str">
        <f t="shared" si="6"/>
        <v/>
      </c>
      <c r="AD45" s="99"/>
      <c r="AE45" s="99"/>
      <c r="AF45" s="168" t="s">
        <v>543</v>
      </c>
      <c r="AG45" s="160"/>
      <c r="AH45" s="365">
        <v>1600</v>
      </c>
      <c r="AI45" s="380">
        <f t="shared" si="8"/>
        <v>1600</v>
      </c>
      <c r="AJ45" s="3" t="s">
        <v>2176</v>
      </c>
      <c r="AK45" s="3" t="s">
        <v>425</v>
      </c>
      <c r="AL45" s="204" t="s">
        <v>2177</v>
      </c>
      <c r="AM45" s="138" t="s">
        <v>81</v>
      </c>
      <c r="AX45" s="279" t="str">
        <f t="shared" si="4"/>
        <v/>
      </c>
    </row>
    <row r="46" spans="1:50" ht="15.75" thickBot="1" x14ac:dyDescent="0.3">
      <c r="A46" s="190" t="str">
        <f t="shared" si="0"/>
        <v/>
      </c>
      <c r="B46" s="279" t="str">
        <f t="shared" si="5"/>
        <v>306-50551</v>
      </c>
      <c r="C46" s="279"/>
      <c r="D46" s="279"/>
      <c r="E46" s="279">
        <f t="shared" si="1"/>
        <v>1</v>
      </c>
      <c r="F46" s="190" t="s">
        <v>535</v>
      </c>
      <c r="G46" s="198">
        <v>44670</v>
      </c>
      <c r="H46" s="210" t="s">
        <v>81</v>
      </c>
      <c r="I46" s="213"/>
      <c r="J46" s="213" t="s">
        <v>402</v>
      </c>
      <c r="K46" s="213" t="s">
        <v>237</v>
      </c>
      <c r="L46" s="213" t="s">
        <v>403</v>
      </c>
      <c r="M46" s="192" t="s">
        <v>558</v>
      </c>
      <c r="N46" s="192"/>
      <c r="O46" s="229"/>
      <c r="P46" s="229"/>
      <c r="Q46" s="231" t="str">
        <f t="shared" si="2"/>
        <v>. Cylinder Head</v>
      </c>
      <c r="R46" s="231"/>
      <c r="S46" s="231" t="str">
        <f t="shared" si="7"/>
        <v/>
      </c>
      <c r="T46" s="231" t="str">
        <f>IF(O46&lt;&gt;"",_xlfn.XLOOKUP(O46,'3D. Pictures'!B:B,'3D. Pictures'!E:E,"NOT FOUND",0,1),"")</f>
        <v/>
      </c>
      <c r="U46" s="192"/>
      <c r="V46" s="205"/>
      <c r="W46" s="192"/>
      <c r="X46" s="205"/>
      <c r="Y46" s="205"/>
      <c r="Z46" s="205"/>
      <c r="AA46" s="213" t="s">
        <v>403</v>
      </c>
      <c r="AB46" s="213" t="s">
        <v>403</v>
      </c>
      <c r="AC46" s="360" t="str">
        <f t="shared" si="6"/>
        <v/>
      </c>
      <c r="AD46" s="213"/>
      <c r="AE46" s="213"/>
      <c r="AF46" s="201" t="s">
        <v>543</v>
      </c>
      <c r="AG46" s="213"/>
      <c r="AH46" s="364">
        <v>1250</v>
      </c>
      <c r="AI46" s="380">
        <f t="shared" si="8"/>
        <v>1250</v>
      </c>
      <c r="AJ46" s="204" t="s">
        <v>2176</v>
      </c>
      <c r="AK46" s="204" t="s">
        <v>425</v>
      </c>
      <c r="AL46" s="204" t="s">
        <v>2177</v>
      </c>
      <c r="AM46" s="211" t="s">
        <v>81</v>
      </c>
      <c r="AN46" s="191" t="s">
        <v>603</v>
      </c>
      <c r="AO46" s="190" t="s">
        <v>572</v>
      </c>
      <c r="AP46" s="190">
        <v>50551</v>
      </c>
      <c r="AQ46" s="190" t="str">
        <f>CONCATENATE(AN46,AO46,AP46)</f>
        <v>306-50551</v>
      </c>
      <c r="AR46" s="190"/>
      <c r="AS46" s="190"/>
      <c r="AT46" s="190"/>
      <c r="AU46" s="190"/>
      <c r="AV46" s="190"/>
      <c r="AW46" s="190"/>
      <c r="AX46" s="279" t="str">
        <f t="shared" si="4"/>
        <v/>
      </c>
    </row>
    <row r="47" spans="1:50" ht="15.75" thickBot="1" x14ac:dyDescent="0.3">
      <c r="A47" s="190" t="str">
        <f t="shared" si="0"/>
        <v>A109</v>
      </c>
      <c r="B47" s="279" t="str">
        <f t="shared" si="5"/>
        <v>300-70932</v>
      </c>
      <c r="C47" s="279" t="s">
        <v>2093</v>
      </c>
      <c r="D47" s="279"/>
      <c r="E47" s="279">
        <f t="shared" si="1"/>
        <v>1</v>
      </c>
      <c r="F47" s="190" t="s">
        <v>535</v>
      </c>
      <c r="G47" s="198">
        <v>45084</v>
      </c>
      <c r="H47" s="210" t="s">
        <v>81</v>
      </c>
      <c r="I47" s="213" t="s">
        <v>507</v>
      </c>
      <c r="J47" s="213" t="s">
        <v>402</v>
      </c>
      <c r="K47" s="213" t="s">
        <v>237</v>
      </c>
      <c r="L47" s="213" t="s">
        <v>1344</v>
      </c>
      <c r="M47" s="192" t="s">
        <v>558</v>
      </c>
      <c r="N47" s="192">
        <v>99</v>
      </c>
      <c r="O47" s="229" t="s">
        <v>1011</v>
      </c>
      <c r="P47" s="229" t="s">
        <v>237</v>
      </c>
      <c r="Q47" s="231" t="str">
        <f t="shared" si="2"/>
        <v>A109. Engine Assembly as FULL ASSEMBLY</v>
      </c>
      <c r="R47" s="284" t="str">
        <f>HYPERLINK(VLOOKUP(O47,'3D. Pictures'!$B$3:$E$500,4,FALSE),"PIC")</f>
        <v>PIC</v>
      </c>
      <c r="S47" s="373" t="str">
        <f t="shared" si="7"/>
        <v>E.G.</v>
      </c>
      <c r="T47" s="377" t="str">
        <f>IF(O47&lt;&gt;"",_xlfn.XLOOKUP(O47,'3D. Pictures'!B:B,'3D. Pictures'!E:E,"NOT FOUND",0,1),"")</f>
        <v>https://viking-pictures.s3.us-west-1.amazonaws.com/AA1155/A109.+Engine+Assembly+as+FULL+ASSEMBLY+(1).JPG</v>
      </c>
      <c r="U47" s="192">
        <v>14</v>
      </c>
      <c r="V47" s="205" t="s">
        <v>1342</v>
      </c>
      <c r="W47" s="192" t="s">
        <v>111</v>
      </c>
      <c r="X47" s="205"/>
      <c r="Y47" s="16"/>
      <c r="Z47" s="205"/>
      <c r="AA47" s="213" t="s">
        <v>2775</v>
      </c>
      <c r="AB47" s="213" t="s">
        <v>1343</v>
      </c>
      <c r="AC47" s="360" t="str">
        <f t="shared" si="6"/>
        <v>keep only &lt;125k, sell long block if accessories bad</v>
      </c>
      <c r="AD47" s="213" t="s">
        <v>2751</v>
      </c>
      <c r="AE47" s="213"/>
      <c r="AF47" s="201" t="s">
        <v>543</v>
      </c>
      <c r="AG47" s="213"/>
      <c r="AH47" s="99">
        <v>6000</v>
      </c>
      <c r="AI47" s="380">
        <f t="shared" si="8"/>
        <v>6000</v>
      </c>
      <c r="AJ47" s="204" t="s">
        <v>2176</v>
      </c>
      <c r="AK47" s="204" t="s">
        <v>425</v>
      </c>
      <c r="AL47" s="204" t="s">
        <v>2177</v>
      </c>
      <c r="AM47" s="211" t="s">
        <v>81</v>
      </c>
      <c r="AN47" s="191" t="s">
        <v>604</v>
      </c>
      <c r="AO47" s="190" t="s">
        <v>572</v>
      </c>
      <c r="AP47" s="190">
        <v>70932</v>
      </c>
      <c r="AQ47" s="190" t="str">
        <f>CONCATENATE(AN47,AO47,AP47)</f>
        <v>300-70932</v>
      </c>
      <c r="AR47" s="190"/>
      <c r="AS47" s="190"/>
      <c r="AT47" s="190"/>
      <c r="AU47" s="190"/>
      <c r="AV47" s="190"/>
      <c r="AW47" s="190"/>
      <c r="AX47" s="279" t="str">
        <f t="shared" si="4"/>
        <v/>
      </c>
    </row>
    <row r="48" spans="1:50" x14ac:dyDescent="0.25">
      <c r="A48" s="190" t="str">
        <f t="shared" si="0"/>
        <v/>
      </c>
      <c r="B48" s="279" t="str">
        <f t="shared" si="5"/>
        <v/>
      </c>
      <c r="C48" s="279"/>
      <c r="D48" s="279"/>
      <c r="E48" s="279" t="str">
        <f t="shared" si="1"/>
        <v/>
      </c>
      <c r="F48" t="s">
        <v>535</v>
      </c>
      <c r="G48" s="188">
        <v>44670</v>
      </c>
      <c r="H48" s="19" t="s">
        <v>81</v>
      </c>
      <c r="I48" s="99"/>
      <c r="J48" s="99" t="s">
        <v>402</v>
      </c>
      <c r="K48" s="99" t="s">
        <v>237</v>
      </c>
      <c r="L48" s="99" t="s">
        <v>2667</v>
      </c>
      <c r="M48" s="164" t="s">
        <v>558</v>
      </c>
      <c r="N48" s="164"/>
      <c r="O48" s="234"/>
      <c r="P48" s="234"/>
      <c r="Q48" s="231" t="str">
        <f t="shared" si="2"/>
        <v>. Engine Cylinder Block</v>
      </c>
      <c r="R48" s="231"/>
      <c r="S48" s="231" t="str">
        <f t="shared" si="7"/>
        <v/>
      </c>
      <c r="T48" s="231" t="str">
        <f>IF(O48&lt;&gt;"",_xlfn.XLOOKUP(O48,'3D. Pictures'!B:B,'3D. Pictures'!E:E,"NOT FOUND",0,1),"")</f>
        <v/>
      </c>
      <c r="U48" s="164"/>
      <c r="V48" s="16"/>
      <c r="W48" s="164"/>
      <c r="X48" s="16"/>
      <c r="Y48" s="205"/>
      <c r="Z48" s="16"/>
      <c r="AA48" s="99" t="s">
        <v>2538</v>
      </c>
      <c r="AB48" s="99" t="s">
        <v>2538</v>
      </c>
      <c r="AC48" s="360" t="str">
        <f t="shared" si="6"/>
        <v>leave crank cradle ON</v>
      </c>
      <c r="AD48" s="99" t="s">
        <v>2535</v>
      </c>
      <c r="AE48" s="99"/>
      <c r="AF48" s="168" t="s">
        <v>543</v>
      </c>
      <c r="AG48" s="99"/>
      <c r="AH48" s="364">
        <v>750</v>
      </c>
      <c r="AI48" s="380">
        <f t="shared" si="8"/>
        <v>750</v>
      </c>
      <c r="AJ48" s="3" t="s">
        <v>2176</v>
      </c>
      <c r="AK48" s="3" t="s">
        <v>425</v>
      </c>
      <c r="AL48" s="204" t="s">
        <v>2177</v>
      </c>
      <c r="AM48" s="138" t="s">
        <v>81</v>
      </c>
      <c r="AN48" s="45"/>
      <c r="AO48" t="s">
        <v>572</v>
      </c>
      <c r="AX48" s="279" t="str">
        <f t="shared" si="4"/>
        <v/>
      </c>
    </row>
    <row r="49" spans="1:50" x14ac:dyDescent="0.25">
      <c r="A49" s="190" t="str">
        <f t="shared" si="0"/>
        <v/>
      </c>
      <c r="B49" s="279" t="str">
        <f t="shared" si="5"/>
        <v/>
      </c>
      <c r="C49" s="279"/>
      <c r="D49" s="279"/>
      <c r="E49" s="279" t="str">
        <f t="shared" si="1"/>
        <v/>
      </c>
      <c r="F49" t="s">
        <v>536</v>
      </c>
      <c r="G49" s="188">
        <v>45099</v>
      </c>
      <c r="H49" s="19"/>
      <c r="I49" s="16"/>
      <c r="J49" s="16" t="s">
        <v>402</v>
      </c>
      <c r="K49" s="16" t="s">
        <v>237</v>
      </c>
      <c r="L49" s="16" t="s">
        <v>2668</v>
      </c>
      <c r="M49" s="16" t="s">
        <v>559</v>
      </c>
      <c r="N49" s="16"/>
      <c r="O49" s="166"/>
      <c r="P49" s="166"/>
      <c r="Q49" s="231" t="str">
        <f t="shared" si="2"/>
        <v>. Engine Mount Bracket SET 2</v>
      </c>
      <c r="R49" s="231"/>
      <c r="S49" s="231" t="str">
        <f t="shared" si="7"/>
        <v/>
      </c>
      <c r="T49" s="231" t="str">
        <f>IF(O49&lt;&gt;"",_xlfn.XLOOKUP(O49,'3D. Pictures'!B:B,'3D. Pictures'!E:E,"NOT FOUND",0,1),"")</f>
        <v/>
      </c>
      <c r="U49" s="16"/>
      <c r="V49" s="16"/>
      <c r="W49" s="16"/>
      <c r="X49" s="16"/>
      <c r="Y49" s="205"/>
      <c r="Z49" s="16"/>
      <c r="AA49" s="16" t="s">
        <v>2536</v>
      </c>
      <c r="AB49" s="16" t="s">
        <v>2536</v>
      </c>
      <c r="AC49" s="358" t="str">
        <f t="shared" si="6"/>
        <v>SET2, toss both if 1 bad | triangle shaped metal ones</v>
      </c>
      <c r="AD49" s="16" t="s">
        <v>2223</v>
      </c>
      <c r="AE49" s="16" t="s">
        <v>2537</v>
      </c>
      <c r="AF49" s="168" t="s">
        <v>544</v>
      </c>
      <c r="AG49" s="16"/>
      <c r="AH49" s="363">
        <v>120</v>
      </c>
      <c r="AI49" s="380">
        <f t="shared" si="8"/>
        <v>120</v>
      </c>
      <c r="AJ49" s="3" t="s">
        <v>2176</v>
      </c>
      <c r="AK49" s="3" t="s">
        <v>425</v>
      </c>
      <c r="AL49" s="204" t="s">
        <v>2177</v>
      </c>
      <c r="AX49" s="279" t="str">
        <f t="shared" si="4"/>
        <v/>
      </c>
    </row>
    <row r="50" spans="1:50" x14ac:dyDescent="0.25">
      <c r="A50" s="190" t="str">
        <f t="shared" si="0"/>
        <v/>
      </c>
      <c r="B50" s="303" t="str">
        <f t="shared" si="5"/>
        <v/>
      </c>
      <c r="C50" s="303"/>
      <c r="D50" s="303"/>
      <c r="E50" s="303" t="str">
        <f t="shared" si="1"/>
        <v/>
      </c>
      <c r="F50" s="303" t="s">
        <v>535</v>
      </c>
      <c r="G50" s="304">
        <v>45244</v>
      </c>
      <c r="H50" s="305"/>
      <c r="I50" s="306"/>
      <c r="J50" s="306" t="s">
        <v>402</v>
      </c>
      <c r="K50" s="306" t="s">
        <v>237</v>
      </c>
      <c r="L50" s="306" t="s">
        <v>2668</v>
      </c>
      <c r="M50" s="306" t="s">
        <v>559</v>
      </c>
      <c r="N50" s="306"/>
      <c r="O50" s="307"/>
      <c r="P50" s="307"/>
      <c r="Q50" s="307" t="str">
        <f t="shared" si="2"/>
        <v>. Engine Motor Mount SET 2</v>
      </c>
      <c r="R50" s="307"/>
      <c r="S50" s="307" t="str">
        <f t="shared" si="7"/>
        <v/>
      </c>
      <c r="T50" s="307" t="str">
        <f>IF(O50&lt;&gt;"",_xlfn.XLOOKUP(O50,'3D. Pictures'!B:B,'3D. Pictures'!E:E,"NOT FOUND",0,1),"")</f>
        <v/>
      </c>
      <c r="U50" s="306"/>
      <c r="V50" s="306">
        <v>6780653</v>
      </c>
      <c r="W50" s="194" t="s">
        <v>111</v>
      </c>
      <c r="X50" s="306"/>
      <c r="Y50" s="16"/>
      <c r="Z50" s="306"/>
      <c r="AA50" s="306" t="s">
        <v>2483</v>
      </c>
      <c r="AB50" s="306" t="s">
        <v>2483</v>
      </c>
      <c r="AC50" s="358" t="str">
        <f t="shared" si="6"/>
        <v>SET2, toss both if 1 bad | black metal w/ rubber, leaks=toss</v>
      </c>
      <c r="AD50" s="306" t="s">
        <v>2223</v>
      </c>
      <c r="AE50" s="306" t="s">
        <v>2781</v>
      </c>
      <c r="AF50" s="309" t="s">
        <v>544</v>
      </c>
      <c r="AG50" s="306"/>
      <c r="AH50" s="363">
        <v>65</v>
      </c>
      <c r="AI50" s="380">
        <f t="shared" si="8"/>
        <v>65</v>
      </c>
      <c r="AJ50" s="310" t="s">
        <v>2198</v>
      </c>
      <c r="AK50" s="310" t="s">
        <v>425</v>
      </c>
      <c r="AL50" s="310" t="s">
        <v>2198</v>
      </c>
      <c r="AM50" s="303"/>
      <c r="AN50" s="303"/>
      <c r="AO50" s="303"/>
      <c r="AP50" s="303"/>
      <c r="AQ50" s="303"/>
      <c r="AR50" s="303"/>
      <c r="AS50" s="303"/>
      <c r="AT50" s="303"/>
      <c r="AU50" s="303"/>
      <c r="AV50" s="303"/>
      <c r="AW50" s="303"/>
      <c r="AX50" s="279" t="str">
        <f t="shared" si="4"/>
        <v/>
      </c>
    </row>
    <row r="51" spans="1:50" x14ac:dyDescent="0.25">
      <c r="A51" s="190" t="str">
        <f t="shared" si="0"/>
        <v/>
      </c>
      <c r="B51" s="241" t="str">
        <f t="shared" si="5"/>
        <v/>
      </c>
      <c r="C51" s="241"/>
      <c r="D51" s="241"/>
      <c r="E51" s="241" t="str">
        <f t="shared" si="1"/>
        <v/>
      </c>
      <c r="F51" s="241" t="s">
        <v>535</v>
      </c>
      <c r="G51" s="242">
        <v>45244</v>
      </c>
      <c r="H51" s="252"/>
      <c r="I51" s="243"/>
      <c r="J51" s="243" t="s">
        <v>402</v>
      </c>
      <c r="K51" s="243" t="s">
        <v>237</v>
      </c>
      <c r="L51" s="243" t="s">
        <v>2715</v>
      </c>
      <c r="M51" s="243" t="s">
        <v>559</v>
      </c>
      <c r="N51" s="243"/>
      <c r="O51" s="244"/>
      <c r="P51" s="244"/>
      <c r="Q51" s="231" t="str">
        <f t="shared" si="2"/>
        <v>. Engine Oil Level Sensor</v>
      </c>
      <c r="R51" s="244"/>
      <c r="S51" s="244" t="str">
        <f t="shared" si="7"/>
        <v/>
      </c>
      <c r="T51" s="244" t="str">
        <f>IF(O51&lt;&gt;"",_xlfn.XLOOKUP(O51,'3D. Pictures'!B:B,'3D. Pictures'!E:E,"NOT FOUND",0,1),"")</f>
        <v/>
      </c>
      <c r="U51" s="243"/>
      <c r="V51" s="243"/>
      <c r="W51" s="243"/>
      <c r="X51" s="243"/>
      <c r="Y51" s="205"/>
      <c r="Z51" s="243"/>
      <c r="AA51" s="243" t="s">
        <v>85</v>
      </c>
      <c r="AB51" s="243" t="s">
        <v>85</v>
      </c>
      <c r="AC51" s="358" t="str">
        <f t="shared" si="6"/>
        <v/>
      </c>
      <c r="AD51" s="243"/>
      <c r="AE51" s="243"/>
      <c r="AF51" s="179" t="s">
        <v>543</v>
      </c>
      <c r="AG51" s="243"/>
      <c r="AH51" s="16">
        <v>75</v>
      </c>
      <c r="AI51" s="380">
        <f t="shared" si="8"/>
        <v>75</v>
      </c>
      <c r="AJ51" s="246" t="s">
        <v>2194</v>
      </c>
      <c r="AK51" s="246" t="s">
        <v>425</v>
      </c>
      <c r="AL51" s="246" t="s">
        <v>2631</v>
      </c>
      <c r="AM51" s="241"/>
      <c r="AN51" s="241"/>
      <c r="AO51" s="241"/>
      <c r="AP51" s="241"/>
      <c r="AQ51" s="241"/>
      <c r="AR51" s="241"/>
      <c r="AS51" s="241" t="s">
        <v>1028</v>
      </c>
      <c r="AT51" s="241" t="s">
        <v>2194</v>
      </c>
      <c r="AU51" s="241" t="s">
        <v>1030</v>
      </c>
      <c r="AV51" s="303" t="str">
        <f>CONCATENATE(AS51,"-",AT51,"-",AU51)</f>
        <v>F15-14-18 3.0T N55 &amp; 4.4TT N63T-ALL</v>
      </c>
      <c r="AW51" s="241" t="s">
        <v>2367</v>
      </c>
      <c r="AX51" s="279" t="str">
        <f>IF(AW51&lt;&gt;"",_xlfn.TEXTJOIN("-",TRUE,AV51,AW51),"")</f>
        <v>F15-14-18 3.0T N55 &amp; 4.4TT N63T-ALL-Viking1</v>
      </c>
    </row>
    <row r="52" spans="1:50" x14ac:dyDescent="0.25">
      <c r="A52" s="190" t="str">
        <f t="shared" si="0"/>
        <v/>
      </c>
      <c r="B52" s="279" t="str">
        <f t="shared" si="5"/>
        <v>322-67441</v>
      </c>
      <c r="C52" s="279"/>
      <c r="D52" s="279"/>
      <c r="E52" s="279">
        <f t="shared" si="1"/>
        <v>1</v>
      </c>
      <c r="F52" s="190" t="s">
        <v>535</v>
      </c>
      <c r="G52" s="198">
        <v>44670</v>
      </c>
      <c r="H52" s="210" t="s">
        <v>81</v>
      </c>
      <c r="I52" s="213"/>
      <c r="J52" s="213" t="s">
        <v>402</v>
      </c>
      <c r="K52" s="213" t="s">
        <v>237</v>
      </c>
      <c r="L52" s="213" t="s">
        <v>2182</v>
      </c>
      <c r="M52" s="192" t="s">
        <v>558</v>
      </c>
      <c r="N52" s="192"/>
      <c r="O52" s="229"/>
      <c r="P52" s="229"/>
      <c r="Q52" s="231" t="str">
        <f t="shared" si="2"/>
        <v>. Fuel Injector SET 6</v>
      </c>
      <c r="R52" s="231"/>
      <c r="S52" s="231" t="str">
        <f t="shared" si="7"/>
        <v/>
      </c>
      <c r="T52" s="231" t="str">
        <f>IF(O52&lt;&gt;"",_xlfn.XLOOKUP(O52,'3D. Pictures'!B:B,'3D. Pictures'!E:E,"NOT FOUND",0,1),"")</f>
        <v/>
      </c>
      <c r="U52" s="192"/>
      <c r="V52" s="205"/>
      <c r="W52" s="192"/>
      <c r="X52" s="205"/>
      <c r="Y52" s="205"/>
      <c r="Z52" s="205"/>
      <c r="AA52" s="213" t="s">
        <v>2182</v>
      </c>
      <c r="AB52" s="213" t="s">
        <v>2519</v>
      </c>
      <c r="AC52" s="360" t="str">
        <f t="shared" si="6"/>
        <v>SET 6, sell SET 4 &amp; singles if 1 bad | note broken caps</v>
      </c>
      <c r="AD52" s="213" t="s">
        <v>2776</v>
      </c>
      <c r="AE52" s="213" t="s">
        <v>2777</v>
      </c>
      <c r="AF52" s="201" t="s">
        <v>546</v>
      </c>
      <c r="AG52" s="213"/>
      <c r="AH52" s="99">
        <v>200</v>
      </c>
      <c r="AI52" s="380">
        <f t="shared" si="8"/>
        <v>200</v>
      </c>
      <c r="AJ52" s="204" t="s">
        <v>2176</v>
      </c>
      <c r="AK52" s="204" t="s">
        <v>425</v>
      </c>
      <c r="AL52" s="204" t="s">
        <v>2177</v>
      </c>
      <c r="AM52" s="211" t="s">
        <v>81</v>
      </c>
      <c r="AN52" s="191" t="s">
        <v>605</v>
      </c>
      <c r="AO52" s="190" t="s">
        <v>572</v>
      </c>
      <c r="AP52" s="190">
        <v>67441</v>
      </c>
      <c r="AQ52" s="190" t="str">
        <f t="shared" ref="AQ52:AQ55" si="11">CONCATENATE(AN52,AO52,AP52)</f>
        <v>322-67441</v>
      </c>
      <c r="AR52" s="190" t="s">
        <v>2180</v>
      </c>
      <c r="AS52" s="190"/>
      <c r="AT52" s="190"/>
      <c r="AU52" s="190"/>
      <c r="AV52" s="190"/>
      <c r="AW52" s="190"/>
      <c r="AX52" s="279" t="str">
        <f>IF(AW52&lt;&gt;"",_xlfn.TEXTJOIN("-",TRUE,AV52,AW52),"")</f>
        <v/>
      </c>
    </row>
    <row r="53" spans="1:50" x14ac:dyDescent="0.25">
      <c r="A53" s="190" t="str">
        <f t="shared" si="0"/>
        <v/>
      </c>
      <c r="B53" s="279" t="str">
        <f t="shared" si="5"/>
        <v>323-59654</v>
      </c>
      <c r="C53" s="279"/>
      <c r="D53" s="279"/>
      <c r="E53" s="279">
        <f t="shared" si="1"/>
        <v>1</v>
      </c>
      <c r="F53" s="190" t="s">
        <v>536</v>
      </c>
      <c r="G53" s="198">
        <v>45107</v>
      </c>
      <c r="H53" s="205"/>
      <c r="I53" s="192"/>
      <c r="J53" s="205" t="s">
        <v>402</v>
      </c>
      <c r="K53" s="205" t="s">
        <v>237</v>
      </c>
      <c r="L53" s="205" t="s">
        <v>2669</v>
      </c>
      <c r="M53" s="192" t="s">
        <v>558</v>
      </c>
      <c r="N53" s="192"/>
      <c r="O53" s="229"/>
      <c r="P53" s="229"/>
      <c r="Q53" s="231" t="str">
        <f t="shared" si="2"/>
        <v>. Fuel Pump, High Pressure Engine Mounted</v>
      </c>
      <c r="R53" s="231"/>
      <c r="S53" s="231" t="str">
        <f t="shared" si="7"/>
        <v/>
      </c>
      <c r="T53" s="231" t="str">
        <f>IF(O53&lt;&gt;"",_xlfn.XLOOKUP(O53,'3D. Pictures'!B:B,'3D. Pictures'!E:E,"NOT FOUND",0,1),"")</f>
        <v/>
      </c>
      <c r="U53" s="192"/>
      <c r="V53" s="205"/>
      <c r="W53" s="192"/>
      <c r="X53" s="205"/>
      <c r="Y53" s="205"/>
      <c r="Z53" s="205"/>
      <c r="AA53" s="205" t="s">
        <v>521</v>
      </c>
      <c r="AB53" s="205" t="s">
        <v>521</v>
      </c>
      <c r="AC53" s="358" t="str">
        <f t="shared" si="6"/>
        <v/>
      </c>
      <c r="AD53" s="205"/>
      <c r="AE53" s="205"/>
      <c r="AF53" s="201" t="s">
        <v>543</v>
      </c>
      <c r="AG53" s="205"/>
      <c r="AH53" s="18">
        <v>100</v>
      </c>
      <c r="AI53" s="380">
        <f t="shared" si="8"/>
        <v>100</v>
      </c>
      <c r="AJ53" s="204" t="s">
        <v>2176</v>
      </c>
      <c r="AK53" s="204" t="s">
        <v>425</v>
      </c>
      <c r="AL53" s="204" t="s">
        <v>2177</v>
      </c>
      <c r="AM53" s="190"/>
      <c r="AN53" s="191" t="s">
        <v>606</v>
      </c>
      <c r="AO53" s="190" t="s">
        <v>572</v>
      </c>
      <c r="AP53" s="190">
        <v>59654</v>
      </c>
      <c r="AQ53" s="190" t="str">
        <f t="shared" si="11"/>
        <v>323-59654</v>
      </c>
      <c r="AR53" s="190"/>
      <c r="AS53" s="190"/>
      <c r="AT53" s="190"/>
      <c r="AU53" s="190"/>
      <c r="AV53" s="190"/>
      <c r="AW53" s="190"/>
      <c r="AX53" s="279" t="str">
        <f t="shared" ref="AX53:AX55" si="12">IF(AW53&lt;&gt;"",_xlfn.TEXTJOIN("-",TRUE,AV53,AW53),"")</f>
        <v/>
      </c>
    </row>
    <row r="54" spans="1:50" x14ac:dyDescent="0.25">
      <c r="A54" s="190" t="str">
        <f t="shared" si="0"/>
        <v/>
      </c>
      <c r="B54" s="294" t="str">
        <f t="shared" si="5"/>
        <v>323-59473</v>
      </c>
      <c r="C54" s="294"/>
      <c r="D54" s="279">
        <f>O54</f>
        <v>0</v>
      </c>
      <c r="E54" s="294">
        <f t="shared" si="1"/>
        <v>2</v>
      </c>
      <c r="F54" s="294" t="s">
        <v>535</v>
      </c>
      <c r="G54" s="295">
        <v>45245</v>
      </c>
      <c r="H54" s="296"/>
      <c r="I54" s="297"/>
      <c r="J54" s="300" t="s">
        <v>402</v>
      </c>
      <c r="K54" s="300" t="s">
        <v>237</v>
      </c>
      <c r="L54" s="300" t="s">
        <v>2669</v>
      </c>
      <c r="M54" s="195" t="s">
        <v>558</v>
      </c>
      <c r="N54" s="195"/>
      <c r="O54" s="298"/>
      <c r="P54" s="298"/>
      <c r="Q54" s="299" t="str">
        <f t="shared" si="2"/>
        <v>. Fuel Pump, High Pressure Engine Mounted - LEFT or RIGHT (plug w/ all rounded corners)</v>
      </c>
      <c r="R54" s="299"/>
      <c r="S54" s="299" t="str">
        <f t="shared" si="7"/>
        <v/>
      </c>
      <c r="T54" s="299" t="str">
        <f>IF(O54&lt;&gt;"",_xlfn.XLOOKUP(O54,'3D. Pictures'!B:B,'3D. Pictures'!E:E,"NOT FOUND",0,1),"")</f>
        <v/>
      </c>
      <c r="U54" s="195"/>
      <c r="V54" s="300" t="s">
        <v>2306</v>
      </c>
      <c r="W54" s="195" t="s">
        <v>111</v>
      </c>
      <c r="X54" s="300"/>
      <c r="Y54" s="205"/>
      <c r="Z54" s="300"/>
      <c r="AA54" s="300" t="s">
        <v>2779</v>
      </c>
      <c r="AB54" s="300" t="s">
        <v>2779</v>
      </c>
      <c r="AC54" s="358" t="str">
        <f t="shared" si="6"/>
        <v>with roller cap, tag as SINGLE | 2 per car (identical)</v>
      </c>
      <c r="AD54" s="300" t="s">
        <v>2321</v>
      </c>
      <c r="AE54" s="300" t="s">
        <v>2318</v>
      </c>
      <c r="AF54" s="302" t="s">
        <v>543</v>
      </c>
      <c r="AG54" s="300" t="s">
        <v>2729</v>
      </c>
      <c r="AH54" s="16">
        <v>95</v>
      </c>
      <c r="AI54" s="380">
        <f t="shared" si="8"/>
        <v>95</v>
      </c>
      <c r="AJ54" s="301" t="s">
        <v>2198</v>
      </c>
      <c r="AK54" s="301" t="s">
        <v>425</v>
      </c>
      <c r="AL54" s="301" t="s">
        <v>2198</v>
      </c>
      <c r="AM54" s="294"/>
      <c r="AN54" s="326" t="s">
        <v>606</v>
      </c>
      <c r="AO54" s="294" t="s">
        <v>572</v>
      </c>
      <c r="AP54" s="294">
        <v>59473</v>
      </c>
      <c r="AQ54" s="294" t="str">
        <f t="shared" si="11"/>
        <v>323-59473</v>
      </c>
      <c r="AR54" s="294"/>
      <c r="AS54" s="294"/>
      <c r="AT54" s="294"/>
      <c r="AU54" s="294"/>
      <c r="AV54" s="294"/>
      <c r="AW54" s="294"/>
      <c r="AX54" s="279" t="str">
        <f t="shared" si="12"/>
        <v/>
      </c>
    </row>
    <row r="55" spans="1:50" x14ac:dyDescent="0.25">
      <c r="A55" s="190" t="str">
        <f t="shared" si="0"/>
        <v/>
      </c>
      <c r="B55" s="294" t="str">
        <f t="shared" si="5"/>
        <v>323-59473</v>
      </c>
      <c r="C55" s="294"/>
      <c r="D55" s="279">
        <f>O55</f>
        <v>0</v>
      </c>
      <c r="E55" s="294">
        <f t="shared" si="1"/>
        <v>2</v>
      </c>
      <c r="F55" s="294" t="s">
        <v>535</v>
      </c>
      <c r="G55" s="295">
        <v>45245</v>
      </c>
      <c r="H55" s="296"/>
      <c r="I55" s="297"/>
      <c r="J55" s="300" t="s">
        <v>402</v>
      </c>
      <c r="K55" s="300" t="s">
        <v>237</v>
      </c>
      <c r="L55" s="300" t="s">
        <v>2669</v>
      </c>
      <c r="M55" s="195" t="s">
        <v>558</v>
      </c>
      <c r="N55" s="195"/>
      <c r="O55" s="298"/>
      <c r="P55" s="298"/>
      <c r="Q55" s="299" t="str">
        <f t="shared" si="2"/>
        <v>. Fuel Pump, High Pressure Engine Mounted - LEFT or RIGHT (plug with 1 flat side)</v>
      </c>
      <c r="R55" s="299"/>
      <c r="S55" s="299" t="str">
        <f t="shared" si="7"/>
        <v/>
      </c>
      <c r="T55" s="299" t="str">
        <f>IF(O55&lt;&gt;"",_xlfn.XLOOKUP(O55,'3D. Pictures'!B:B,'3D. Pictures'!E:E,"NOT FOUND",0,1),"")</f>
        <v/>
      </c>
      <c r="U55" s="195"/>
      <c r="V55" s="300" t="s">
        <v>2306</v>
      </c>
      <c r="W55" s="195" t="s">
        <v>111</v>
      </c>
      <c r="X55" s="300"/>
      <c r="Y55" s="205"/>
      <c r="Z55" s="300"/>
      <c r="AA55" s="300" t="s">
        <v>2728</v>
      </c>
      <c r="AB55" s="300" t="s">
        <v>2728</v>
      </c>
      <c r="AC55" s="358" t="str">
        <f t="shared" si="6"/>
        <v>with roller cap, tag as SINGLE | 2 per car (identical)</v>
      </c>
      <c r="AD55" s="300" t="s">
        <v>2321</v>
      </c>
      <c r="AE55" s="300" t="s">
        <v>2318</v>
      </c>
      <c r="AF55" s="302" t="s">
        <v>543</v>
      </c>
      <c r="AG55" s="300" t="s">
        <v>2729</v>
      </c>
      <c r="AH55" s="16">
        <v>95</v>
      </c>
      <c r="AI55" s="380">
        <f t="shared" si="8"/>
        <v>95</v>
      </c>
      <c r="AJ55" s="301" t="s">
        <v>2198</v>
      </c>
      <c r="AK55" s="301" t="s">
        <v>425</v>
      </c>
      <c r="AL55" s="301" t="s">
        <v>2198</v>
      </c>
      <c r="AM55" s="294"/>
      <c r="AN55" s="326" t="s">
        <v>606</v>
      </c>
      <c r="AO55" s="294" t="s">
        <v>572</v>
      </c>
      <c r="AP55" s="294">
        <v>59473</v>
      </c>
      <c r="AQ55" s="294" t="str">
        <f t="shared" si="11"/>
        <v>323-59473</v>
      </c>
      <c r="AR55" s="294"/>
      <c r="AS55" s="294"/>
      <c r="AT55" s="294"/>
      <c r="AU55" s="294"/>
      <c r="AV55" s="294"/>
      <c r="AW55" s="294"/>
      <c r="AX55" s="279" t="str">
        <f t="shared" si="12"/>
        <v/>
      </c>
    </row>
    <row r="56" spans="1:50" x14ac:dyDescent="0.25">
      <c r="A56" s="190" t="str">
        <f t="shared" si="0"/>
        <v/>
      </c>
      <c r="B56" s="303" t="str">
        <f t="shared" si="5"/>
        <v/>
      </c>
      <c r="C56" s="303"/>
      <c r="D56" s="303"/>
      <c r="E56" s="303" t="str">
        <f t="shared" si="1"/>
        <v/>
      </c>
      <c r="F56" s="303" t="s">
        <v>535</v>
      </c>
      <c r="G56" s="304">
        <v>45245</v>
      </c>
      <c r="H56" s="305"/>
      <c r="I56" s="306"/>
      <c r="J56" s="306" t="s">
        <v>402</v>
      </c>
      <c r="K56" s="306" t="s">
        <v>237</v>
      </c>
      <c r="L56" s="306" t="s">
        <v>514</v>
      </c>
      <c r="M56" s="306" t="s">
        <v>559</v>
      </c>
      <c r="N56" s="306"/>
      <c r="O56" s="307"/>
      <c r="P56" s="307"/>
      <c r="Q56" s="307" t="str">
        <f t="shared" si="2"/>
        <v>. Fuel Rail</v>
      </c>
      <c r="R56" s="307"/>
      <c r="S56" s="307" t="str">
        <f t="shared" si="7"/>
        <v/>
      </c>
      <c r="T56" s="307" t="str">
        <f>IF(O56&lt;&gt;"",_xlfn.XLOOKUP(O56,'3D. Pictures'!B:B,'3D. Pictures'!E:E,"NOT FOUND",0,1),"")</f>
        <v/>
      </c>
      <c r="U56" s="306"/>
      <c r="V56" s="306"/>
      <c r="W56" s="306"/>
      <c r="X56" s="306"/>
      <c r="Y56" s="16"/>
      <c r="Z56" s="306"/>
      <c r="AA56" s="306" t="s">
        <v>514</v>
      </c>
      <c r="AB56" s="306" t="s">
        <v>514</v>
      </c>
      <c r="AC56" s="358" t="str">
        <f t="shared" si="6"/>
        <v/>
      </c>
      <c r="AD56" s="306"/>
      <c r="AE56" s="306"/>
      <c r="AF56" s="309" t="s">
        <v>543</v>
      </c>
      <c r="AG56" s="306"/>
      <c r="AH56" s="16">
        <v>95</v>
      </c>
      <c r="AI56" s="380">
        <f t="shared" si="8"/>
        <v>95</v>
      </c>
      <c r="AJ56" s="310" t="s">
        <v>2176</v>
      </c>
      <c r="AK56" s="310" t="s">
        <v>425</v>
      </c>
      <c r="AL56" s="310" t="s">
        <v>2177</v>
      </c>
      <c r="AM56" s="303"/>
      <c r="AN56" s="303"/>
      <c r="AO56" s="303"/>
      <c r="AP56" s="303"/>
      <c r="AQ56" s="303"/>
      <c r="AR56" s="303"/>
      <c r="AS56" s="303" t="s">
        <v>1028</v>
      </c>
      <c r="AT56" s="303" t="s">
        <v>2198</v>
      </c>
      <c r="AU56" s="303" t="s">
        <v>1030</v>
      </c>
      <c r="AV56" s="303" t="str">
        <f>CONCATENATE(AS56,"-",AT56,"-",AU56)</f>
        <v>F15-14-18 4.4TT N63T-ALL</v>
      </c>
      <c r="AW56" s="303" t="s">
        <v>2368</v>
      </c>
      <c r="AX56" s="279" t="str">
        <f>IF(AW56&lt;&gt;"",_xlfn.TEXTJOIN("-",TRUE,AV56,AW56),"")</f>
        <v>F15-14-18 4.4TT N63T-ALL-Viking2</v>
      </c>
    </row>
    <row r="57" spans="1:50" x14ac:dyDescent="0.25">
      <c r="A57" s="190" t="str">
        <f t="shared" si="0"/>
        <v/>
      </c>
      <c r="B57" s="303" t="str">
        <f t="shared" si="5"/>
        <v/>
      </c>
      <c r="C57" s="303"/>
      <c r="D57" s="303"/>
      <c r="E57" s="303" t="str">
        <f t="shared" si="1"/>
        <v/>
      </c>
      <c r="F57" s="303" t="s">
        <v>535</v>
      </c>
      <c r="G57" s="304">
        <v>45245</v>
      </c>
      <c r="H57" s="305"/>
      <c r="I57" s="306"/>
      <c r="J57" s="306" t="s">
        <v>402</v>
      </c>
      <c r="K57" s="306" t="s">
        <v>237</v>
      </c>
      <c r="L57" s="306" t="s">
        <v>514</v>
      </c>
      <c r="M57" s="306" t="s">
        <v>559</v>
      </c>
      <c r="N57" s="306"/>
      <c r="O57" s="307"/>
      <c r="P57" s="307"/>
      <c r="Q57" s="307" t="str">
        <f t="shared" si="2"/>
        <v>. Fuel Rail - LEFT</v>
      </c>
      <c r="R57" s="307"/>
      <c r="S57" s="307" t="str">
        <f t="shared" si="7"/>
        <v/>
      </c>
      <c r="T57" s="307" t="str">
        <f>IF(O57&lt;&gt;"",_xlfn.XLOOKUP(O57,'3D. Pictures'!B:B,'3D. Pictures'!E:E,"NOT FOUND",0,1),"")</f>
        <v/>
      </c>
      <c r="U57" s="306"/>
      <c r="V57" s="306" t="s">
        <v>2308</v>
      </c>
      <c r="W57" s="306" t="s">
        <v>111</v>
      </c>
      <c r="X57" s="306"/>
      <c r="Y57" s="205"/>
      <c r="Z57" s="306"/>
      <c r="AA57" s="306" t="s">
        <v>2282</v>
      </c>
      <c r="AB57" s="306" t="s">
        <v>2282</v>
      </c>
      <c r="AC57" s="358" t="str">
        <f t="shared" si="6"/>
        <v>tag as SINGLE</v>
      </c>
      <c r="AD57" s="306" t="s">
        <v>2320</v>
      </c>
      <c r="AE57" s="306"/>
      <c r="AF57" s="309" t="s">
        <v>543</v>
      </c>
      <c r="AG57" s="306"/>
      <c r="AH57" s="16">
        <v>120</v>
      </c>
      <c r="AI57" s="380">
        <f t="shared" si="8"/>
        <v>120</v>
      </c>
      <c r="AJ57" s="310" t="s">
        <v>2198</v>
      </c>
      <c r="AK57" s="310" t="s">
        <v>425</v>
      </c>
      <c r="AL57" s="310" t="s">
        <v>2198</v>
      </c>
      <c r="AM57" s="303"/>
      <c r="AN57" s="303"/>
      <c r="AO57" s="303"/>
      <c r="AP57" s="303"/>
      <c r="AQ57" s="303"/>
      <c r="AR57" s="303"/>
      <c r="AS57" s="303" t="s">
        <v>1028</v>
      </c>
      <c r="AT57" s="303" t="s">
        <v>2198</v>
      </c>
      <c r="AU57" s="303" t="s">
        <v>1030</v>
      </c>
      <c r="AV57" s="303" t="str">
        <f>CONCATENATE(AS57,"-",AT57,"-",AU57)</f>
        <v>F15-14-18 4.4TT N63T-ALL</v>
      </c>
      <c r="AW57" s="303" t="s">
        <v>2369</v>
      </c>
      <c r="AX57" s="279" t="str">
        <f t="shared" ref="AX57:AX120" si="13">IF(AW57&lt;&gt;"",_xlfn.TEXTJOIN("-",TRUE,AV57,AW57),"")</f>
        <v>F15-14-18 4.4TT N63T-ALL-Viking3</v>
      </c>
    </row>
    <row r="58" spans="1:50" x14ac:dyDescent="0.25">
      <c r="A58" s="190" t="str">
        <f t="shared" si="0"/>
        <v/>
      </c>
      <c r="B58" s="303" t="str">
        <f t="shared" si="5"/>
        <v/>
      </c>
      <c r="C58" s="303"/>
      <c r="D58" s="303"/>
      <c r="E58" s="303" t="str">
        <f t="shared" si="1"/>
        <v/>
      </c>
      <c r="F58" s="303" t="s">
        <v>535</v>
      </c>
      <c r="G58" s="304">
        <v>45245</v>
      </c>
      <c r="H58" s="305"/>
      <c r="I58" s="306"/>
      <c r="J58" s="306" t="s">
        <v>402</v>
      </c>
      <c r="K58" s="306" t="s">
        <v>237</v>
      </c>
      <c r="L58" s="306" t="s">
        <v>514</v>
      </c>
      <c r="M58" s="306" t="s">
        <v>559</v>
      </c>
      <c r="N58" s="306"/>
      <c r="O58" s="307"/>
      <c r="P58" s="307"/>
      <c r="Q58" s="307" t="str">
        <f t="shared" si="2"/>
        <v>. Fuel Rail - RIGHT</v>
      </c>
      <c r="R58" s="307"/>
      <c r="S58" s="307" t="str">
        <f t="shared" si="7"/>
        <v/>
      </c>
      <c r="T58" s="307" t="str">
        <f>IF(O58&lt;&gt;"",_xlfn.XLOOKUP(O58,'3D. Pictures'!B:B,'3D. Pictures'!E:E,"NOT FOUND",0,1),"")</f>
        <v/>
      </c>
      <c r="U58" s="306"/>
      <c r="V58" s="306" t="s">
        <v>2307</v>
      </c>
      <c r="W58" s="306" t="s">
        <v>111</v>
      </c>
      <c r="X58" s="306"/>
      <c r="Y58" s="16"/>
      <c r="Z58" s="306"/>
      <c r="AA58" s="306" t="s">
        <v>2283</v>
      </c>
      <c r="AB58" s="306" t="s">
        <v>2283</v>
      </c>
      <c r="AC58" s="358" t="str">
        <f t="shared" si="6"/>
        <v>tag as SINGLE</v>
      </c>
      <c r="AD58" s="306" t="s">
        <v>2320</v>
      </c>
      <c r="AE58" s="306"/>
      <c r="AF58" s="309" t="s">
        <v>543</v>
      </c>
      <c r="AG58" s="306"/>
      <c r="AH58" s="16">
        <v>120</v>
      </c>
      <c r="AI58" s="380">
        <f t="shared" si="8"/>
        <v>120</v>
      </c>
      <c r="AJ58" s="310" t="s">
        <v>2198</v>
      </c>
      <c r="AK58" s="310" t="s">
        <v>425</v>
      </c>
      <c r="AL58" s="310" t="s">
        <v>2198</v>
      </c>
      <c r="AM58" s="303"/>
      <c r="AN58" s="303"/>
      <c r="AO58" s="303"/>
      <c r="AP58" s="303"/>
      <c r="AQ58" s="303"/>
      <c r="AR58" s="303"/>
      <c r="AS58" s="303" t="s">
        <v>1028</v>
      </c>
      <c r="AT58" s="303" t="s">
        <v>2198</v>
      </c>
      <c r="AU58" s="303" t="s">
        <v>1030</v>
      </c>
      <c r="AV58" s="303" t="str">
        <f>CONCATENATE(AS58,"-",AT58,"-",AU58)</f>
        <v>F15-14-18 4.4TT N63T-ALL</v>
      </c>
      <c r="AW58" s="303" t="s">
        <v>2370</v>
      </c>
      <c r="AX58" s="279" t="str">
        <f t="shared" si="13"/>
        <v>F15-14-18 4.4TT N63T-ALL-Viking4</v>
      </c>
    </row>
    <row r="59" spans="1:50" x14ac:dyDescent="0.25">
      <c r="A59" s="190" t="str">
        <f t="shared" si="0"/>
        <v/>
      </c>
      <c r="B59" s="279" t="str">
        <f t="shared" si="5"/>
        <v>309-50677</v>
      </c>
      <c r="C59" s="279"/>
      <c r="D59" s="279"/>
      <c r="E59" s="279">
        <f t="shared" si="1"/>
        <v>1</v>
      </c>
      <c r="F59" s="190" t="s">
        <v>535</v>
      </c>
      <c r="G59" s="198">
        <v>44670</v>
      </c>
      <c r="H59" s="210"/>
      <c r="I59" s="205"/>
      <c r="J59" s="205" t="s">
        <v>402</v>
      </c>
      <c r="K59" s="205" t="s">
        <v>237</v>
      </c>
      <c r="L59" s="205" t="s">
        <v>41</v>
      </c>
      <c r="M59" s="192" t="s">
        <v>558</v>
      </c>
      <c r="N59" s="192"/>
      <c r="O59" s="229"/>
      <c r="P59" s="229"/>
      <c r="Q59" s="231" t="str">
        <f t="shared" si="2"/>
        <v>. Harmonic Balancer</v>
      </c>
      <c r="R59" s="231"/>
      <c r="S59" s="231" t="str">
        <f t="shared" si="7"/>
        <v/>
      </c>
      <c r="T59" s="231" t="str">
        <f>IF(O59&lt;&gt;"",_xlfn.XLOOKUP(O59,'3D. Pictures'!B:B,'3D. Pictures'!E:E,"NOT FOUND",0,1),"")</f>
        <v/>
      </c>
      <c r="U59" s="192"/>
      <c r="V59" s="205"/>
      <c r="W59" s="192"/>
      <c r="X59" s="205"/>
      <c r="Y59" s="206"/>
      <c r="Z59" s="205"/>
      <c r="AA59" s="205" t="s">
        <v>41</v>
      </c>
      <c r="AB59" s="205" t="s">
        <v>41</v>
      </c>
      <c r="AC59" s="358" t="str">
        <f t="shared" si="6"/>
        <v>Harmonic Balancer | Harmonic Balancer</v>
      </c>
      <c r="AD59" s="205" t="s">
        <v>41</v>
      </c>
      <c r="AE59" s="205" t="s">
        <v>41</v>
      </c>
      <c r="AF59" s="201" t="s">
        <v>543</v>
      </c>
      <c r="AG59" s="205"/>
      <c r="AH59" s="16">
        <v>225</v>
      </c>
      <c r="AI59" s="380">
        <f t="shared" si="8"/>
        <v>225</v>
      </c>
      <c r="AJ59" s="204" t="s">
        <v>2176</v>
      </c>
      <c r="AK59" s="204" t="s">
        <v>425</v>
      </c>
      <c r="AL59" s="204" t="s">
        <v>2177</v>
      </c>
      <c r="AM59" s="190"/>
      <c r="AN59" s="191" t="s">
        <v>607</v>
      </c>
      <c r="AO59" s="190" t="s">
        <v>572</v>
      </c>
      <c r="AP59" s="190">
        <v>50677</v>
      </c>
      <c r="AQ59" s="190" t="str">
        <f t="shared" ref="AQ59:AQ70" si="14">CONCATENATE(AN59,AO59,AP59)</f>
        <v>309-50677</v>
      </c>
      <c r="AR59" s="190"/>
      <c r="AS59" s="190"/>
      <c r="AT59" s="190"/>
      <c r="AU59" s="190"/>
      <c r="AV59" s="190"/>
      <c r="AW59" s="190"/>
      <c r="AX59" s="279" t="str">
        <f t="shared" si="13"/>
        <v/>
      </c>
    </row>
    <row r="60" spans="1:50" x14ac:dyDescent="0.25">
      <c r="A60" s="190" t="str">
        <f t="shared" si="0"/>
        <v/>
      </c>
      <c r="B60" s="311" t="str">
        <f t="shared" si="5"/>
        <v>309-50638</v>
      </c>
      <c r="C60" s="311"/>
      <c r="D60" s="311"/>
      <c r="E60" s="311">
        <f t="shared" si="1"/>
        <v>1</v>
      </c>
      <c r="F60" s="311" t="s">
        <v>535</v>
      </c>
      <c r="G60" s="312">
        <v>45245</v>
      </c>
      <c r="H60" s="313"/>
      <c r="I60" s="314"/>
      <c r="J60" s="314" t="s">
        <v>405</v>
      </c>
      <c r="K60" s="314" t="s">
        <v>237</v>
      </c>
      <c r="L60" s="314" t="s">
        <v>41</v>
      </c>
      <c r="M60" s="315" t="s">
        <v>558</v>
      </c>
      <c r="N60" s="193"/>
      <c r="O60" s="316"/>
      <c r="P60" s="316"/>
      <c r="Q60" s="317" t="str">
        <f t="shared" si="2"/>
        <v>. Harmonic Balancer</v>
      </c>
      <c r="R60" s="317"/>
      <c r="S60" s="317" t="str">
        <f t="shared" si="7"/>
        <v/>
      </c>
      <c r="T60" s="317" t="str">
        <f>IF(O60&lt;&gt;"",_xlfn.XLOOKUP(O60,'3D. Pictures'!B:B,'3D. Pictures'!E:E,"NOT FOUND",0,1),"")</f>
        <v/>
      </c>
      <c r="U60" s="193"/>
      <c r="V60" s="318"/>
      <c r="W60" s="193"/>
      <c r="X60" s="318"/>
      <c r="Y60" s="16"/>
      <c r="Z60" s="318"/>
      <c r="AA60" s="314" t="s">
        <v>41</v>
      </c>
      <c r="AB60" s="314" t="s">
        <v>41</v>
      </c>
      <c r="AC60" s="359" t="str">
        <f t="shared" si="6"/>
        <v>Harmonic Balancer | Harmonic Balancer</v>
      </c>
      <c r="AD60" s="314" t="s">
        <v>41</v>
      </c>
      <c r="AE60" s="314" t="s">
        <v>41</v>
      </c>
      <c r="AF60" s="319" t="s">
        <v>543</v>
      </c>
      <c r="AG60" s="314"/>
      <c r="AH60" s="10"/>
      <c r="AI60" s="380">
        <f t="shared" si="8"/>
        <v>225</v>
      </c>
      <c r="AJ60" s="320" t="s">
        <v>2198</v>
      </c>
      <c r="AK60" s="320" t="s">
        <v>425</v>
      </c>
      <c r="AL60" s="320" t="s">
        <v>2198</v>
      </c>
      <c r="AM60" s="311"/>
      <c r="AN60" s="311" t="s">
        <v>607</v>
      </c>
      <c r="AO60" s="311" t="s">
        <v>572</v>
      </c>
      <c r="AP60" s="311">
        <v>50638</v>
      </c>
      <c r="AQ60" s="311" t="str">
        <f t="shared" si="14"/>
        <v>309-50638</v>
      </c>
      <c r="AR60" s="311"/>
      <c r="AS60" s="311"/>
      <c r="AT60" s="311"/>
      <c r="AU60" s="311"/>
      <c r="AV60" s="311"/>
      <c r="AW60" s="311"/>
      <c r="AX60" s="279" t="str">
        <f t="shared" si="13"/>
        <v/>
      </c>
    </row>
    <row r="61" spans="1:50" x14ac:dyDescent="0.25">
      <c r="A61" s="190" t="str">
        <f t="shared" si="0"/>
        <v/>
      </c>
      <c r="B61" s="279" t="str">
        <f t="shared" si="5"/>
        <v>610-50203</v>
      </c>
      <c r="C61" s="279" t="s">
        <v>2096</v>
      </c>
      <c r="D61" s="279"/>
      <c r="E61" s="279">
        <f t="shared" si="1"/>
        <v>1</v>
      </c>
      <c r="F61" s="190" t="s">
        <v>535</v>
      </c>
      <c r="G61" s="198">
        <v>44670</v>
      </c>
      <c r="H61" s="210"/>
      <c r="I61" s="205"/>
      <c r="J61" s="205" t="s">
        <v>402</v>
      </c>
      <c r="K61" s="205" t="s">
        <v>237</v>
      </c>
      <c r="L61" s="205" t="s">
        <v>666</v>
      </c>
      <c r="M61" s="192" t="s">
        <v>558</v>
      </c>
      <c r="N61" s="192"/>
      <c r="O61" s="229"/>
      <c r="P61" s="229"/>
      <c r="Q61" s="231" t="str">
        <f t="shared" si="2"/>
        <v>. Ignition Coils SET 6</v>
      </c>
      <c r="R61" s="231"/>
      <c r="S61" s="231" t="str">
        <f t="shared" si="7"/>
        <v/>
      </c>
      <c r="T61" s="231" t="str">
        <f>IF(O61&lt;&gt;"",_xlfn.XLOOKUP(O61,'3D. Pictures'!B:B,'3D. Pictures'!E:E,"NOT FOUND",0,1),"")</f>
        <v/>
      </c>
      <c r="U61" s="192"/>
      <c r="V61" s="205"/>
      <c r="W61" s="192"/>
      <c r="X61" s="205"/>
      <c r="Y61" s="16"/>
      <c r="Z61" s="205"/>
      <c r="AA61" s="205" t="s">
        <v>666</v>
      </c>
      <c r="AB61" s="205" t="s">
        <v>668</v>
      </c>
      <c r="AC61" s="358" t="str">
        <f t="shared" si="6"/>
        <v>SET 6, if some bad sell SET 4, toss singles</v>
      </c>
      <c r="AD61" s="205" t="s">
        <v>667</v>
      </c>
      <c r="AE61" s="205"/>
      <c r="AF61" s="201" t="s">
        <v>546</v>
      </c>
      <c r="AG61" s="205" t="s">
        <v>404</v>
      </c>
      <c r="AH61" s="16">
        <v>75</v>
      </c>
      <c r="AI61" s="380">
        <f t="shared" si="8"/>
        <v>75</v>
      </c>
      <c r="AJ61" s="204" t="s">
        <v>2176</v>
      </c>
      <c r="AK61" s="204" t="s">
        <v>425</v>
      </c>
      <c r="AL61" s="204" t="s">
        <v>2177</v>
      </c>
      <c r="AM61" s="190"/>
      <c r="AN61" s="191" t="s">
        <v>608</v>
      </c>
      <c r="AO61" s="190" t="s">
        <v>572</v>
      </c>
      <c r="AP61" s="190">
        <v>50203</v>
      </c>
      <c r="AQ61" s="190" t="str">
        <f t="shared" si="14"/>
        <v>610-50203</v>
      </c>
      <c r="AR61" s="190"/>
      <c r="AS61" s="190"/>
      <c r="AT61" s="190"/>
      <c r="AU61" s="190"/>
      <c r="AV61" s="190"/>
      <c r="AW61" s="190"/>
      <c r="AX61" s="279" t="str">
        <f t="shared" si="13"/>
        <v/>
      </c>
    </row>
    <row r="62" spans="1:50" x14ac:dyDescent="0.25">
      <c r="A62" s="190" t="str">
        <f t="shared" si="0"/>
        <v/>
      </c>
      <c r="B62" s="294" t="str">
        <f t="shared" si="5"/>
        <v>610-50126</v>
      </c>
      <c r="C62" s="294"/>
      <c r="D62" s="294"/>
      <c r="E62" s="294">
        <f t="shared" si="1"/>
        <v>1</v>
      </c>
      <c r="F62" s="294" t="s">
        <v>535</v>
      </c>
      <c r="G62" s="295">
        <v>45245</v>
      </c>
      <c r="H62" s="296"/>
      <c r="I62" s="297"/>
      <c r="J62" s="300" t="s">
        <v>402</v>
      </c>
      <c r="K62" s="300" t="s">
        <v>237</v>
      </c>
      <c r="L62" s="300" t="s">
        <v>666</v>
      </c>
      <c r="M62" s="195" t="s">
        <v>558</v>
      </c>
      <c r="N62" s="195"/>
      <c r="O62" s="298"/>
      <c r="P62" s="298"/>
      <c r="Q62" s="299" t="str">
        <f t="shared" si="2"/>
        <v>. Ignition Coils SET 8 (Bosch)</v>
      </c>
      <c r="R62" s="299"/>
      <c r="S62" s="299" t="str">
        <f t="shared" si="7"/>
        <v/>
      </c>
      <c r="T62" s="299" t="str">
        <f>IF(O62&lt;&gt;"",_xlfn.XLOOKUP(O62,'3D. Pictures'!B:B,'3D. Pictures'!E:E,"NOT FOUND",0,1),"")</f>
        <v/>
      </c>
      <c r="U62" s="195"/>
      <c r="V62" s="300"/>
      <c r="W62" s="195" t="s">
        <v>112</v>
      </c>
      <c r="X62" s="300"/>
      <c r="Y62" s="16"/>
      <c r="Z62" s="300"/>
      <c r="AA62" s="300" t="s">
        <v>2807</v>
      </c>
      <c r="AB62" s="300" t="s">
        <v>2731</v>
      </c>
      <c r="AC62" s="358" t="str">
        <f t="shared" si="6"/>
        <v>SET 8, if 1 bad toss all</v>
      </c>
      <c r="AD62" s="300" t="s">
        <v>2293</v>
      </c>
      <c r="AE62" s="300"/>
      <c r="AF62" s="302" t="s">
        <v>2199</v>
      </c>
      <c r="AG62" s="300"/>
      <c r="AH62" s="16">
        <v>75</v>
      </c>
      <c r="AI62" s="380">
        <f t="shared" si="8"/>
        <v>75</v>
      </c>
      <c r="AJ62" s="301" t="s">
        <v>2198</v>
      </c>
      <c r="AK62" s="301" t="s">
        <v>425</v>
      </c>
      <c r="AL62" s="301" t="s">
        <v>2198</v>
      </c>
      <c r="AM62" s="294"/>
      <c r="AN62" s="326" t="s">
        <v>608</v>
      </c>
      <c r="AO62" s="294" t="s">
        <v>572</v>
      </c>
      <c r="AP62" s="294">
        <v>50126</v>
      </c>
      <c r="AQ62" s="294" t="str">
        <f t="shared" si="14"/>
        <v>610-50126</v>
      </c>
      <c r="AR62" s="294" t="s">
        <v>2294</v>
      </c>
      <c r="AS62" s="294"/>
      <c r="AT62" s="294"/>
      <c r="AU62" s="294"/>
      <c r="AV62" s="294"/>
      <c r="AW62" s="294"/>
      <c r="AX62" s="279" t="str">
        <f t="shared" si="13"/>
        <v/>
      </c>
    </row>
    <row r="63" spans="1:50" x14ac:dyDescent="0.25">
      <c r="A63" s="190" t="str">
        <f t="shared" si="0"/>
        <v/>
      </c>
      <c r="B63" s="294" t="str">
        <f t="shared" si="5"/>
        <v>610-58805</v>
      </c>
      <c r="C63" s="294"/>
      <c r="D63" s="294"/>
      <c r="E63" s="294">
        <f t="shared" si="1"/>
        <v>1</v>
      </c>
      <c r="F63" s="294" t="s">
        <v>535</v>
      </c>
      <c r="G63" s="295">
        <v>45245</v>
      </c>
      <c r="H63" s="296"/>
      <c r="I63" s="297"/>
      <c r="J63" s="300" t="s">
        <v>402</v>
      </c>
      <c r="K63" s="300" t="s">
        <v>237</v>
      </c>
      <c r="L63" s="300" t="s">
        <v>666</v>
      </c>
      <c r="M63" s="195" t="s">
        <v>558</v>
      </c>
      <c r="N63" s="195"/>
      <c r="O63" s="298"/>
      <c r="P63" s="298"/>
      <c r="Q63" s="299" t="str">
        <f t="shared" si="2"/>
        <v>. Ignition Coils SET 8 (Delphi)</v>
      </c>
      <c r="R63" s="299"/>
      <c r="S63" s="299" t="str">
        <f t="shared" si="7"/>
        <v/>
      </c>
      <c r="T63" s="299" t="str">
        <f>IF(O63&lt;&gt;"",_xlfn.XLOOKUP(O63,'3D. Pictures'!B:B,'3D. Pictures'!E:E,"NOT FOUND",0,1),"")</f>
        <v/>
      </c>
      <c r="U63" s="195"/>
      <c r="V63" s="300" t="s">
        <v>2297</v>
      </c>
      <c r="W63" s="195" t="s">
        <v>111</v>
      </c>
      <c r="X63" s="300"/>
      <c r="Y63" s="16"/>
      <c r="Z63" s="300"/>
      <c r="AA63" s="300" t="s">
        <v>2808</v>
      </c>
      <c r="AB63" s="300" t="s">
        <v>2732</v>
      </c>
      <c r="AC63" s="358" t="str">
        <f t="shared" si="6"/>
        <v>SET 8, if some bad sell SET 4 &amp; singles</v>
      </c>
      <c r="AD63" s="300" t="s">
        <v>2296</v>
      </c>
      <c r="AE63" s="300"/>
      <c r="AF63" s="302" t="s">
        <v>2199</v>
      </c>
      <c r="AG63" s="300"/>
      <c r="AH63" s="16">
        <v>200</v>
      </c>
      <c r="AI63" s="380">
        <f t="shared" si="8"/>
        <v>200</v>
      </c>
      <c r="AJ63" s="301" t="s">
        <v>2198</v>
      </c>
      <c r="AK63" s="301" t="s">
        <v>425</v>
      </c>
      <c r="AL63" s="301" t="s">
        <v>2198</v>
      </c>
      <c r="AM63" s="294"/>
      <c r="AN63" s="326" t="s">
        <v>608</v>
      </c>
      <c r="AO63" s="294" t="s">
        <v>572</v>
      </c>
      <c r="AP63" s="294">
        <v>58805</v>
      </c>
      <c r="AQ63" s="294" t="str">
        <f t="shared" si="14"/>
        <v>610-58805</v>
      </c>
      <c r="AR63" s="294" t="s">
        <v>2295</v>
      </c>
      <c r="AS63" s="294"/>
      <c r="AT63" s="294"/>
      <c r="AU63" s="294"/>
      <c r="AV63" s="294"/>
      <c r="AW63" s="294"/>
      <c r="AX63" s="279" t="str">
        <f t="shared" si="13"/>
        <v/>
      </c>
    </row>
    <row r="64" spans="1:50" x14ac:dyDescent="0.25">
      <c r="A64" s="190" t="str">
        <f t="shared" si="0"/>
        <v/>
      </c>
      <c r="B64" s="279" t="str">
        <f t="shared" si="5"/>
        <v>329-50523</v>
      </c>
      <c r="C64" s="279"/>
      <c r="D64" s="279"/>
      <c r="E64" s="279">
        <f t="shared" si="1"/>
        <v>1</v>
      </c>
      <c r="F64" s="190" t="s">
        <v>536</v>
      </c>
      <c r="G64" s="198">
        <v>45099</v>
      </c>
      <c r="H64" s="214"/>
      <c r="I64" s="215"/>
      <c r="J64" s="205" t="s">
        <v>402</v>
      </c>
      <c r="K64" s="205" t="s">
        <v>237</v>
      </c>
      <c r="L64" s="205" t="s">
        <v>515</v>
      </c>
      <c r="M64" s="192" t="s">
        <v>558</v>
      </c>
      <c r="N64" s="192"/>
      <c r="O64" s="229"/>
      <c r="P64" s="229"/>
      <c r="Q64" s="231" t="str">
        <f t="shared" si="2"/>
        <v xml:space="preserve">. Intake Manifold </v>
      </c>
      <c r="R64" s="231"/>
      <c r="S64" s="231" t="str">
        <f t="shared" si="7"/>
        <v/>
      </c>
      <c r="T64" s="231" t="str">
        <f>IF(O64&lt;&gt;"",_xlfn.XLOOKUP(O64,'3D. Pictures'!B:B,'3D. Pictures'!E:E,"NOT FOUND",0,1),"")</f>
        <v/>
      </c>
      <c r="U64" s="192"/>
      <c r="V64" s="205"/>
      <c r="W64" s="192"/>
      <c r="X64" s="205"/>
      <c r="Y64" s="205"/>
      <c r="Z64" s="205"/>
      <c r="AA64" s="205" t="s">
        <v>515</v>
      </c>
      <c r="AB64" s="205" t="s">
        <v>515</v>
      </c>
      <c r="AC64" s="358" t="str">
        <f t="shared" si="6"/>
        <v/>
      </c>
      <c r="AD64" s="205"/>
      <c r="AE64" s="205"/>
      <c r="AF64" s="201" t="s">
        <v>543</v>
      </c>
      <c r="AG64" s="205"/>
      <c r="AH64" s="16">
        <v>90</v>
      </c>
      <c r="AI64" s="380">
        <f t="shared" si="8"/>
        <v>90</v>
      </c>
      <c r="AJ64" s="204" t="s">
        <v>2176</v>
      </c>
      <c r="AK64" s="204" t="s">
        <v>425</v>
      </c>
      <c r="AL64" s="204" t="s">
        <v>2177</v>
      </c>
      <c r="AM64" s="190"/>
      <c r="AN64" s="191" t="s">
        <v>609</v>
      </c>
      <c r="AO64" s="190" t="s">
        <v>572</v>
      </c>
      <c r="AP64" s="190">
        <v>50523</v>
      </c>
      <c r="AQ64" s="190" t="str">
        <f t="shared" si="14"/>
        <v>329-50523</v>
      </c>
      <c r="AR64" s="190"/>
      <c r="AS64" s="190"/>
      <c r="AT64" s="190"/>
      <c r="AU64" s="190"/>
      <c r="AV64" s="190"/>
      <c r="AW64" s="190"/>
      <c r="AX64" s="279" t="str">
        <f t="shared" si="13"/>
        <v/>
      </c>
    </row>
    <row r="65" spans="1:50" x14ac:dyDescent="0.25">
      <c r="A65" s="190" t="str">
        <f t="shared" si="0"/>
        <v/>
      </c>
      <c r="B65" s="294" t="str">
        <f t="shared" si="5"/>
        <v>329-59979</v>
      </c>
      <c r="C65" s="294"/>
      <c r="D65" s="294"/>
      <c r="E65" s="294">
        <f t="shared" si="1"/>
        <v>1</v>
      </c>
      <c r="F65" s="294" t="s">
        <v>535</v>
      </c>
      <c r="G65" s="295">
        <v>45244</v>
      </c>
      <c r="H65" s="296"/>
      <c r="I65" s="297"/>
      <c r="J65" s="300" t="s">
        <v>402</v>
      </c>
      <c r="K65" s="300" t="s">
        <v>237</v>
      </c>
      <c r="L65" s="300" t="s">
        <v>515</v>
      </c>
      <c r="M65" s="195" t="s">
        <v>558</v>
      </c>
      <c r="N65" s="195"/>
      <c r="O65" s="298"/>
      <c r="P65" s="298"/>
      <c r="Q65" s="299" t="str">
        <f t="shared" si="2"/>
        <v>. Intake Manifold, LEFT</v>
      </c>
      <c r="R65" s="299"/>
      <c r="S65" s="299" t="str">
        <f t="shared" si="7"/>
        <v/>
      </c>
      <c r="T65" s="299" t="str">
        <f>IF(O65&lt;&gt;"",_xlfn.XLOOKUP(O65,'3D. Pictures'!B:B,'3D. Pictures'!E:E,"NOT FOUND",0,1),"")</f>
        <v/>
      </c>
      <c r="U65" s="195"/>
      <c r="V65" s="300" t="s">
        <v>2221</v>
      </c>
      <c r="W65" s="195" t="s">
        <v>111</v>
      </c>
      <c r="X65" s="300"/>
      <c r="Y65" s="205"/>
      <c r="Z65" s="300"/>
      <c r="AA65" s="300" t="s">
        <v>2219</v>
      </c>
      <c r="AB65" s="300" t="s">
        <v>2219</v>
      </c>
      <c r="AC65" s="358" t="str">
        <f t="shared" si="6"/>
        <v/>
      </c>
      <c r="AD65" s="300"/>
      <c r="AE65" s="300"/>
      <c r="AF65" s="302" t="s">
        <v>543</v>
      </c>
      <c r="AG65" s="300"/>
      <c r="AH65" s="16">
        <v>100</v>
      </c>
      <c r="AI65" s="380">
        <f t="shared" si="8"/>
        <v>100</v>
      </c>
      <c r="AJ65" s="301" t="s">
        <v>2198</v>
      </c>
      <c r="AK65" s="301" t="s">
        <v>425</v>
      </c>
      <c r="AL65" s="301" t="s">
        <v>2198</v>
      </c>
      <c r="AM65" s="294"/>
      <c r="AN65" s="326" t="s">
        <v>609</v>
      </c>
      <c r="AO65" s="294" t="s">
        <v>572</v>
      </c>
      <c r="AP65" s="294">
        <v>59979</v>
      </c>
      <c r="AQ65" s="294" t="str">
        <f t="shared" si="14"/>
        <v>329-59979</v>
      </c>
      <c r="AR65" s="294"/>
      <c r="AS65" s="294"/>
      <c r="AT65" s="294"/>
      <c r="AU65" s="294"/>
      <c r="AV65" s="294"/>
      <c r="AW65" s="294"/>
      <c r="AX65" s="279" t="str">
        <f t="shared" si="13"/>
        <v/>
      </c>
    </row>
    <row r="66" spans="1:50" x14ac:dyDescent="0.25">
      <c r="A66" s="190" t="str">
        <f t="shared" ref="A66:A129" si="15">IF(O66&lt;&gt;"",O66,"")</f>
        <v/>
      </c>
      <c r="B66" s="294" t="str">
        <f t="shared" si="5"/>
        <v>329-59978</v>
      </c>
      <c r="C66" s="294"/>
      <c r="D66" s="294"/>
      <c r="E66" s="294">
        <f t="shared" ref="E66:E129" si="16">IF(B66&lt;&gt;"",COUNTIF($B$9:$B$2241,B66),"")</f>
        <v>1</v>
      </c>
      <c r="F66" s="294" t="s">
        <v>535</v>
      </c>
      <c r="G66" s="295">
        <v>45244</v>
      </c>
      <c r="H66" s="296"/>
      <c r="I66" s="297"/>
      <c r="J66" s="300" t="s">
        <v>402</v>
      </c>
      <c r="K66" s="300" t="s">
        <v>237</v>
      </c>
      <c r="L66" s="300" t="s">
        <v>515</v>
      </c>
      <c r="M66" s="195" t="s">
        <v>558</v>
      </c>
      <c r="N66" s="195"/>
      <c r="O66" s="298"/>
      <c r="P66" s="298"/>
      <c r="Q66" s="299" t="str">
        <f t="shared" ref="Q66:Q129" si="17">CONCATENATE(O66,". ",AB66)</f>
        <v>. Intake Manifold, RIGHT</v>
      </c>
      <c r="R66" s="299"/>
      <c r="S66" s="299" t="str">
        <f t="shared" si="7"/>
        <v/>
      </c>
      <c r="T66" s="299" t="str">
        <f>IF(O66&lt;&gt;"",_xlfn.XLOOKUP(O66,'3D. Pictures'!B:B,'3D. Pictures'!E:E,"NOT FOUND",0,1),"")</f>
        <v/>
      </c>
      <c r="U66" s="195"/>
      <c r="V66" s="300" t="s">
        <v>2222</v>
      </c>
      <c r="W66" s="195" t="s">
        <v>111</v>
      </c>
      <c r="X66" s="300"/>
      <c r="Y66" s="205"/>
      <c r="Z66" s="300"/>
      <c r="AA66" s="300" t="s">
        <v>2220</v>
      </c>
      <c r="AB66" s="300" t="s">
        <v>2220</v>
      </c>
      <c r="AC66" s="358" t="str">
        <f t="shared" si="6"/>
        <v/>
      </c>
      <c r="AD66" s="300"/>
      <c r="AE66" s="300"/>
      <c r="AF66" s="302" t="s">
        <v>543</v>
      </c>
      <c r="AG66" s="300"/>
      <c r="AH66" s="16">
        <v>100</v>
      </c>
      <c r="AI66" s="380">
        <f t="shared" si="8"/>
        <v>100</v>
      </c>
      <c r="AJ66" s="301" t="s">
        <v>2198</v>
      </c>
      <c r="AK66" s="301" t="s">
        <v>425</v>
      </c>
      <c r="AL66" s="301" t="s">
        <v>2198</v>
      </c>
      <c r="AM66" s="294"/>
      <c r="AN66" s="326" t="s">
        <v>609</v>
      </c>
      <c r="AO66" s="294" t="s">
        <v>572</v>
      </c>
      <c r="AP66" s="294">
        <v>59978</v>
      </c>
      <c r="AQ66" s="294" t="str">
        <f t="shared" si="14"/>
        <v>329-59978</v>
      </c>
      <c r="AR66" s="294"/>
      <c r="AS66" s="294"/>
      <c r="AT66" s="294"/>
      <c r="AU66" s="294"/>
      <c r="AV66" s="294"/>
      <c r="AW66" s="294"/>
      <c r="AX66" s="279" t="str">
        <f t="shared" si="13"/>
        <v/>
      </c>
    </row>
    <row r="67" spans="1:50" x14ac:dyDescent="0.25">
      <c r="A67" s="190" t="str">
        <f t="shared" si="15"/>
        <v/>
      </c>
      <c r="B67" s="279" t="str">
        <f t="shared" ref="B67:B130" si="18">IF(AQ67&lt;&gt;"",AQ67,"")</f>
        <v>311-59542</v>
      </c>
      <c r="C67" s="279"/>
      <c r="D67" s="279"/>
      <c r="E67" s="279">
        <f t="shared" si="16"/>
        <v>1</v>
      </c>
      <c r="F67" s="190" t="s">
        <v>535</v>
      </c>
      <c r="G67" s="198">
        <v>44670</v>
      </c>
      <c r="H67" s="210" t="s">
        <v>81</v>
      </c>
      <c r="I67" s="213"/>
      <c r="J67" s="213" t="s">
        <v>402</v>
      </c>
      <c r="K67" s="213" t="s">
        <v>237</v>
      </c>
      <c r="L67" s="213" t="s">
        <v>87</v>
      </c>
      <c r="M67" s="192" t="s">
        <v>558</v>
      </c>
      <c r="N67" s="192"/>
      <c r="O67" s="229"/>
      <c r="P67" s="229"/>
      <c r="Q67" s="231" t="str">
        <f t="shared" si="17"/>
        <v>. Oil Pan, Engine</v>
      </c>
      <c r="R67" s="231"/>
      <c r="S67" s="231" t="str">
        <f t="shared" si="7"/>
        <v/>
      </c>
      <c r="T67" s="231" t="str">
        <f>IF(O67&lt;&gt;"",_xlfn.XLOOKUP(O67,'3D. Pictures'!B:B,'3D. Pictures'!E:E,"NOT FOUND",0,1),"")</f>
        <v/>
      </c>
      <c r="U67" s="192"/>
      <c r="V67" s="205"/>
      <c r="W67" s="192"/>
      <c r="X67" s="205"/>
      <c r="Y67" s="205"/>
      <c r="Z67" s="205"/>
      <c r="AA67" s="213" t="s">
        <v>87</v>
      </c>
      <c r="AB67" s="213" t="s">
        <v>87</v>
      </c>
      <c r="AC67" s="360" t="str">
        <f t="shared" ref="AC67:AC130" si="19">_xlfn.TEXTJOIN(" | ",TRUE,AD67,AE67)</f>
        <v>w/ drain bolt | check drain bolt &amp; hole for threading</v>
      </c>
      <c r="AD67" s="213" t="s">
        <v>664</v>
      </c>
      <c r="AE67" s="213" t="s">
        <v>665</v>
      </c>
      <c r="AF67" s="201" t="s">
        <v>543</v>
      </c>
      <c r="AG67" s="213"/>
      <c r="AH67" s="99">
        <v>750</v>
      </c>
      <c r="AI67" s="380">
        <f t="shared" si="8"/>
        <v>750</v>
      </c>
      <c r="AJ67" s="204" t="s">
        <v>2176</v>
      </c>
      <c r="AK67" s="204" t="s">
        <v>425</v>
      </c>
      <c r="AL67" s="204" t="s">
        <v>2177</v>
      </c>
      <c r="AM67" s="211" t="s">
        <v>81</v>
      </c>
      <c r="AN67" s="191" t="s">
        <v>610</v>
      </c>
      <c r="AO67" s="190" t="s">
        <v>572</v>
      </c>
      <c r="AP67" s="190">
        <v>59542</v>
      </c>
      <c r="AQ67" s="190" t="str">
        <f t="shared" si="14"/>
        <v>311-59542</v>
      </c>
      <c r="AR67" s="190"/>
      <c r="AS67" s="190"/>
      <c r="AT67" s="190"/>
      <c r="AU67" s="190"/>
      <c r="AV67" s="190"/>
      <c r="AW67" s="190"/>
      <c r="AX67" s="279" t="str">
        <f t="shared" si="13"/>
        <v/>
      </c>
    </row>
    <row r="68" spans="1:50" x14ac:dyDescent="0.25">
      <c r="A68" s="190" t="str">
        <f t="shared" si="15"/>
        <v/>
      </c>
      <c r="B68" s="294" t="str">
        <f t="shared" si="18"/>
        <v>311-50312</v>
      </c>
      <c r="C68" s="294"/>
      <c r="D68" s="294"/>
      <c r="E68" s="294">
        <f t="shared" si="16"/>
        <v>1</v>
      </c>
      <c r="F68" s="294" t="s">
        <v>535</v>
      </c>
      <c r="G68" s="295">
        <v>45245</v>
      </c>
      <c r="H68" s="323" t="s">
        <v>81</v>
      </c>
      <c r="I68" s="324"/>
      <c r="J68" s="324" t="s">
        <v>402</v>
      </c>
      <c r="K68" s="324" t="s">
        <v>237</v>
      </c>
      <c r="L68" s="324" t="s">
        <v>87</v>
      </c>
      <c r="M68" s="195" t="s">
        <v>558</v>
      </c>
      <c r="N68" s="195"/>
      <c r="O68" s="298"/>
      <c r="P68" s="298"/>
      <c r="Q68" s="299" t="str">
        <f t="shared" si="17"/>
        <v>. Oil Pan, Engine UPPER</v>
      </c>
      <c r="R68" s="299"/>
      <c r="S68" s="299" t="str">
        <f t="shared" ref="S68:S131" si="20">IF(T68&lt;&gt;"",HYPERLINK(T68,"E.G."),"")</f>
        <v/>
      </c>
      <c r="T68" s="299" t="str">
        <f>IF(O68&lt;&gt;"",_xlfn.XLOOKUP(O68,'3D. Pictures'!B:B,'3D. Pictures'!E:E,"NOT FOUND",0,1),"")</f>
        <v/>
      </c>
      <c r="U68" s="195"/>
      <c r="V68" s="300" t="s">
        <v>2317</v>
      </c>
      <c r="W68" s="195" t="s">
        <v>111</v>
      </c>
      <c r="X68" s="300"/>
      <c r="Y68" s="205"/>
      <c r="Z68" s="300"/>
      <c r="AA68" s="324" t="s">
        <v>2313</v>
      </c>
      <c r="AB68" s="324" t="s">
        <v>2313</v>
      </c>
      <c r="AC68" s="360" t="str">
        <f t="shared" si="19"/>
        <v>sell lower separately, tag as single</v>
      </c>
      <c r="AD68" s="324" t="s">
        <v>2315</v>
      </c>
      <c r="AE68" s="324"/>
      <c r="AF68" s="302" t="s">
        <v>543</v>
      </c>
      <c r="AG68" s="324"/>
      <c r="AH68" s="99">
        <v>500</v>
      </c>
      <c r="AI68" s="380">
        <f t="shared" ref="AI68:AI131" si="21">IF(ISTEXT(AH68), AH68, IFERROR(AVERAGEIF(AA:AA, AA68, AH:AH), ""))</f>
        <v>500</v>
      </c>
      <c r="AJ68" s="301" t="s">
        <v>2198</v>
      </c>
      <c r="AK68" s="301" t="s">
        <v>425</v>
      </c>
      <c r="AL68" s="301" t="s">
        <v>2198</v>
      </c>
      <c r="AM68" s="325" t="s">
        <v>81</v>
      </c>
      <c r="AN68" s="326" t="s">
        <v>610</v>
      </c>
      <c r="AO68" s="294" t="s">
        <v>572</v>
      </c>
      <c r="AP68" s="294">
        <v>50312</v>
      </c>
      <c r="AQ68" s="294" t="str">
        <f t="shared" si="14"/>
        <v>311-50312</v>
      </c>
      <c r="AR68" s="294"/>
      <c r="AS68" s="294"/>
      <c r="AT68" s="294"/>
      <c r="AU68" s="294"/>
      <c r="AV68" s="294"/>
      <c r="AW68" s="294"/>
      <c r="AX68" s="279" t="str">
        <f t="shared" si="13"/>
        <v/>
      </c>
    </row>
    <row r="69" spans="1:50" x14ac:dyDescent="0.25">
      <c r="A69" s="190" t="str">
        <f t="shared" si="15"/>
        <v/>
      </c>
      <c r="B69" s="294" t="str">
        <f t="shared" si="18"/>
        <v>311-50313</v>
      </c>
      <c r="C69" s="294"/>
      <c r="D69" s="294"/>
      <c r="E69" s="294">
        <f t="shared" si="16"/>
        <v>1</v>
      </c>
      <c r="F69" s="294" t="s">
        <v>535</v>
      </c>
      <c r="G69" s="295">
        <v>45245</v>
      </c>
      <c r="H69" s="323" t="s">
        <v>81</v>
      </c>
      <c r="I69" s="324"/>
      <c r="J69" s="324" t="s">
        <v>402</v>
      </c>
      <c r="K69" s="324" t="s">
        <v>237</v>
      </c>
      <c r="L69" s="324" t="s">
        <v>87</v>
      </c>
      <c r="M69" s="195" t="s">
        <v>558</v>
      </c>
      <c r="N69" s="195"/>
      <c r="O69" s="298"/>
      <c r="P69" s="298"/>
      <c r="Q69" s="299" t="str">
        <f t="shared" si="17"/>
        <v>. Oil Pan, Engine LOWER</v>
      </c>
      <c r="R69" s="299"/>
      <c r="S69" s="299" t="str">
        <f t="shared" si="20"/>
        <v/>
      </c>
      <c r="T69" s="299" t="str">
        <f>IF(O69&lt;&gt;"",_xlfn.XLOOKUP(O69,'3D. Pictures'!B:B,'3D. Pictures'!E:E,"NOT FOUND",0,1),"")</f>
        <v/>
      </c>
      <c r="U69" s="195"/>
      <c r="V69" s="300" t="s">
        <v>2316</v>
      </c>
      <c r="W69" s="195" t="s">
        <v>111</v>
      </c>
      <c r="X69" s="300"/>
      <c r="Y69" s="205"/>
      <c r="Z69" s="300"/>
      <c r="AA69" s="324" t="s">
        <v>2314</v>
      </c>
      <c r="AB69" s="324" t="s">
        <v>2314</v>
      </c>
      <c r="AC69" s="360" t="str">
        <f t="shared" si="19"/>
        <v>w/ bolt, upper solo, tag single | check bolt+hole for threading</v>
      </c>
      <c r="AD69" s="324" t="s">
        <v>2782</v>
      </c>
      <c r="AE69" s="324" t="s">
        <v>2783</v>
      </c>
      <c r="AF69" s="302" t="s">
        <v>543</v>
      </c>
      <c r="AG69" s="324"/>
      <c r="AH69" s="99">
        <v>200</v>
      </c>
      <c r="AI69" s="380">
        <f t="shared" si="21"/>
        <v>200</v>
      </c>
      <c r="AJ69" s="301" t="s">
        <v>2198</v>
      </c>
      <c r="AK69" s="301" t="s">
        <v>425</v>
      </c>
      <c r="AL69" s="301" t="s">
        <v>2198</v>
      </c>
      <c r="AM69" s="325" t="s">
        <v>81</v>
      </c>
      <c r="AN69" s="326" t="s">
        <v>610</v>
      </c>
      <c r="AO69" s="294" t="s">
        <v>572</v>
      </c>
      <c r="AP69" s="294">
        <v>50313</v>
      </c>
      <c r="AQ69" s="294" t="str">
        <f t="shared" si="14"/>
        <v>311-50313</v>
      </c>
      <c r="AR69" s="294"/>
      <c r="AS69" s="294"/>
      <c r="AT69" s="294"/>
      <c r="AU69" s="294"/>
      <c r="AV69" s="294"/>
      <c r="AW69" s="294"/>
      <c r="AX69" s="279" t="str">
        <f t="shared" si="13"/>
        <v/>
      </c>
    </row>
    <row r="70" spans="1:50" x14ac:dyDescent="0.25">
      <c r="A70" s="190" t="str">
        <f t="shared" si="15"/>
        <v/>
      </c>
      <c r="B70" s="294" t="str">
        <f t="shared" si="18"/>
        <v>321-53372</v>
      </c>
      <c r="C70" s="294"/>
      <c r="D70" s="279">
        <f>O70</f>
        <v>0</v>
      </c>
      <c r="E70" s="294">
        <f t="shared" si="16"/>
        <v>1</v>
      </c>
      <c r="F70" s="294" t="s">
        <v>535</v>
      </c>
      <c r="G70" s="295">
        <v>45245</v>
      </c>
      <c r="H70" s="323" t="s">
        <v>81</v>
      </c>
      <c r="I70" s="324"/>
      <c r="J70" s="324" t="s">
        <v>402</v>
      </c>
      <c r="K70" s="324" t="s">
        <v>237</v>
      </c>
      <c r="L70" s="324" t="s">
        <v>424</v>
      </c>
      <c r="M70" s="195" t="s">
        <v>558</v>
      </c>
      <c r="N70" s="195"/>
      <c r="O70" s="298"/>
      <c r="P70" s="298"/>
      <c r="Q70" s="299" t="str">
        <f t="shared" si="17"/>
        <v>. Turbocharger</v>
      </c>
      <c r="R70" s="299"/>
      <c r="S70" s="299" t="str">
        <f t="shared" si="20"/>
        <v/>
      </c>
      <c r="T70" s="299" t="str">
        <f>IF(O70&lt;&gt;"",_xlfn.XLOOKUP(O70,'3D. Pictures'!B:B,'3D. Pictures'!E:E,"NOT FOUND",0,1),"")</f>
        <v/>
      </c>
      <c r="U70" s="195"/>
      <c r="V70" s="300" t="s">
        <v>2319</v>
      </c>
      <c r="W70" s="195" t="s">
        <v>111</v>
      </c>
      <c r="X70" s="300"/>
      <c r="Y70" s="205"/>
      <c r="Z70" s="300"/>
      <c r="AA70" s="324" t="s">
        <v>2735</v>
      </c>
      <c r="AB70" s="324" t="s">
        <v>2735</v>
      </c>
      <c r="AC70" s="360" t="str">
        <f t="shared" si="19"/>
        <v>tag as SINGLE | 2 per car (identical)</v>
      </c>
      <c r="AD70" s="324" t="s">
        <v>2320</v>
      </c>
      <c r="AE70" s="324" t="s">
        <v>2318</v>
      </c>
      <c r="AF70" s="302" t="s">
        <v>543</v>
      </c>
      <c r="AG70" s="324" t="s">
        <v>2729</v>
      </c>
      <c r="AH70" s="99">
        <v>265</v>
      </c>
      <c r="AI70" s="380">
        <f t="shared" si="21"/>
        <v>265</v>
      </c>
      <c r="AJ70" s="301" t="s">
        <v>2198</v>
      </c>
      <c r="AK70" s="301" t="s">
        <v>425</v>
      </c>
      <c r="AL70" s="301" t="s">
        <v>2198</v>
      </c>
      <c r="AM70" s="325" t="s">
        <v>81</v>
      </c>
      <c r="AN70" s="326">
        <v>321</v>
      </c>
      <c r="AO70" s="294" t="s">
        <v>572</v>
      </c>
      <c r="AP70" s="294">
        <v>53372</v>
      </c>
      <c r="AQ70" s="294" t="str">
        <f t="shared" si="14"/>
        <v>321-53372</v>
      </c>
      <c r="AR70" s="294"/>
      <c r="AS70" s="294"/>
      <c r="AT70" s="294"/>
      <c r="AU70" s="294"/>
      <c r="AV70" s="294"/>
      <c r="AW70" s="294"/>
      <c r="AX70" s="279" t="str">
        <f t="shared" si="13"/>
        <v/>
      </c>
    </row>
    <row r="71" spans="1:50" x14ac:dyDescent="0.25">
      <c r="A71" s="190" t="str">
        <f t="shared" si="15"/>
        <v/>
      </c>
      <c r="B71" s="279" t="str">
        <f t="shared" si="18"/>
        <v/>
      </c>
      <c r="C71" s="279"/>
      <c r="D71" s="279"/>
      <c r="E71" s="279" t="str">
        <f t="shared" si="16"/>
        <v/>
      </c>
      <c r="F71" t="s">
        <v>536</v>
      </c>
      <c r="G71" s="188">
        <v>45099</v>
      </c>
      <c r="H71" s="10"/>
      <c r="I71" s="174"/>
      <c r="J71" s="16" t="s">
        <v>402</v>
      </c>
      <c r="K71" s="16" t="s">
        <v>237</v>
      </c>
      <c r="L71" s="16" t="s">
        <v>516</v>
      </c>
      <c r="M71" s="16" t="s">
        <v>559</v>
      </c>
      <c r="N71" s="16"/>
      <c r="O71" s="166"/>
      <c r="P71" s="166"/>
      <c r="Q71" s="231" t="str">
        <f t="shared" si="17"/>
        <v xml:space="preserve">. Oil Pressure Solenoid </v>
      </c>
      <c r="R71" s="231"/>
      <c r="S71" s="231" t="str">
        <f t="shared" si="20"/>
        <v/>
      </c>
      <c r="T71" s="231" t="str">
        <f>IF(O71&lt;&gt;"",_xlfn.XLOOKUP(O71,'3D. Pictures'!B:B,'3D. Pictures'!E:E,"NOT FOUND",0,1),"")</f>
        <v/>
      </c>
      <c r="U71" s="16"/>
      <c r="V71" s="16"/>
      <c r="W71" s="16"/>
      <c r="X71" s="16"/>
      <c r="Y71" s="205"/>
      <c r="Z71" s="16"/>
      <c r="AA71" s="16" t="s">
        <v>516</v>
      </c>
      <c r="AB71" s="16" t="s">
        <v>516</v>
      </c>
      <c r="AC71" s="358" t="str">
        <f t="shared" si="19"/>
        <v/>
      </c>
      <c r="AD71" s="16"/>
      <c r="AE71" s="16"/>
      <c r="AF71" s="168" t="s">
        <v>543</v>
      </c>
      <c r="AG71" s="16"/>
      <c r="AH71" s="16">
        <v>55</v>
      </c>
      <c r="AI71" s="380">
        <f t="shared" si="21"/>
        <v>55</v>
      </c>
      <c r="AJ71" s="3" t="s">
        <v>408</v>
      </c>
      <c r="AK71" s="3" t="s">
        <v>425</v>
      </c>
      <c r="AL71" s="204" t="s">
        <v>2175</v>
      </c>
      <c r="AX71" s="279" t="str">
        <f t="shared" si="13"/>
        <v/>
      </c>
    </row>
    <row r="72" spans="1:50" x14ac:dyDescent="0.25">
      <c r="A72" s="190" t="str">
        <f t="shared" si="15"/>
        <v/>
      </c>
      <c r="B72" s="303" t="str">
        <f t="shared" si="18"/>
        <v/>
      </c>
      <c r="C72" s="303"/>
      <c r="D72" s="303"/>
      <c r="E72" s="303" t="str">
        <f t="shared" si="16"/>
        <v/>
      </c>
      <c r="F72" s="303" t="s">
        <v>535</v>
      </c>
      <c r="G72" s="304">
        <v>45245</v>
      </c>
      <c r="H72" s="305"/>
      <c r="I72" s="306"/>
      <c r="J72" s="306" t="s">
        <v>402</v>
      </c>
      <c r="K72" s="306" t="s">
        <v>237</v>
      </c>
      <c r="L72" s="306" t="s">
        <v>389</v>
      </c>
      <c r="M72" s="306" t="s">
        <v>559</v>
      </c>
      <c r="N72" s="306"/>
      <c r="O72" s="307"/>
      <c r="P72" s="307"/>
      <c r="Q72" s="307" t="str">
        <f t="shared" si="17"/>
        <v xml:space="preserve">. Oil Pump </v>
      </c>
      <c r="R72" s="307"/>
      <c r="S72" s="307" t="str">
        <f t="shared" si="20"/>
        <v/>
      </c>
      <c r="T72" s="307" t="str">
        <f>IF(O72&lt;&gt;"",_xlfn.XLOOKUP(O72,'3D. Pictures'!B:B,'3D. Pictures'!E:E,"NOT FOUND",0,1),"")</f>
        <v/>
      </c>
      <c r="U72" s="306"/>
      <c r="V72" s="306">
        <v>7613549</v>
      </c>
      <c r="W72" s="306" t="s">
        <v>111</v>
      </c>
      <c r="X72" s="306"/>
      <c r="Y72" s="205"/>
      <c r="Z72" s="306"/>
      <c r="AA72" s="306" t="s">
        <v>389</v>
      </c>
      <c r="AB72" s="306" t="s">
        <v>389</v>
      </c>
      <c r="AC72" s="358" t="str">
        <f t="shared" si="19"/>
        <v>toss pickup tube</v>
      </c>
      <c r="AD72" s="306" t="s">
        <v>2311</v>
      </c>
      <c r="AE72" s="306"/>
      <c r="AF72" s="309" t="s">
        <v>543</v>
      </c>
      <c r="AG72" s="306"/>
      <c r="AH72" s="16">
        <v>100</v>
      </c>
      <c r="AI72" s="380">
        <f t="shared" si="21"/>
        <v>100</v>
      </c>
      <c r="AJ72" s="310" t="s">
        <v>2176</v>
      </c>
      <c r="AK72" s="310" t="s">
        <v>425</v>
      </c>
      <c r="AL72" s="310" t="s">
        <v>2177</v>
      </c>
      <c r="AM72" s="303"/>
      <c r="AN72" s="303"/>
      <c r="AO72" s="303"/>
      <c r="AP72" s="303"/>
      <c r="AQ72" s="303"/>
      <c r="AR72" s="303"/>
      <c r="AS72" s="303"/>
      <c r="AT72" s="303"/>
      <c r="AU72" s="303"/>
      <c r="AV72" s="303"/>
      <c r="AW72" s="303"/>
      <c r="AX72" s="279" t="str">
        <f t="shared" si="13"/>
        <v/>
      </c>
    </row>
    <row r="73" spans="1:50" ht="15.75" thickBot="1" x14ac:dyDescent="0.3">
      <c r="A73" s="190" t="str">
        <f t="shared" si="15"/>
        <v/>
      </c>
      <c r="B73" s="303" t="str">
        <f t="shared" si="18"/>
        <v/>
      </c>
      <c r="C73" s="303"/>
      <c r="D73" s="303"/>
      <c r="E73" s="303" t="str">
        <f t="shared" si="16"/>
        <v/>
      </c>
      <c r="F73" s="303" t="s">
        <v>535</v>
      </c>
      <c r="G73" s="304">
        <v>45245</v>
      </c>
      <c r="H73" s="305"/>
      <c r="I73" s="306"/>
      <c r="J73" s="306" t="s">
        <v>402</v>
      </c>
      <c r="K73" s="306" t="s">
        <v>237</v>
      </c>
      <c r="L73" s="306" t="s">
        <v>389</v>
      </c>
      <c r="M73" s="306" t="s">
        <v>559</v>
      </c>
      <c r="N73" s="306"/>
      <c r="O73" s="307"/>
      <c r="P73" s="307"/>
      <c r="Q73" s="307" t="str">
        <f t="shared" si="17"/>
        <v>. Oil Pump with Pickup Tube</v>
      </c>
      <c r="R73" s="307"/>
      <c r="S73" s="307" t="str">
        <f t="shared" si="20"/>
        <v/>
      </c>
      <c r="T73" s="307" t="str">
        <f>IF(O73&lt;&gt;"",_xlfn.XLOOKUP(O73,'3D. Pictures'!B:B,'3D. Pictures'!E:E,"NOT FOUND",0,1),"")</f>
        <v/>
      </c>
      <c r="U73" s="306"/>
      <c r="V73" s="306">
        <v>7643256</v>
      </c>
      <c r="W73" s="306" t="s">
        <v>111</v>
      </c>
      <c r="X73" s="306"/>
      <c r="Y73" s="243"/>
      <c r="Z73" s="306"/>
      <c r="AA73" s="306" t="s">
        <v>2309</v>
      </c>
      <c r="AB73" s="306" t="s">
        <v>2309</v>
      </c>
      <c r="AC73" s="358" t="str">
        <f t="shared" si="19"/>
        <v>with pickup tube ON, sell same price if missing</v>
      </c>
      <c r="AD73" s="306" t="s">
        <v>2310</v>
      </c>
      <c r="AE73" s="306"/>
      <c r="AF73" s="309" t="s">
        <v>543</v>
      </c>
      <c r="AG73" s="306"/>
      <c r="AH73" s="16">
        <v>95</v>
      </c>
      <c r="AI73" s="380">
        <f t="shared" si="21"/>
        <v>95</v>
      </c>
      <c r="AJ73" s="310" t="s">
        <v>2198</v>
      </c>
      <c r="AK73" s="310" t="s">
        <v>425</v>
      </c>
      <c r="AL73" s="310" t="s">
        <v>2198</v>
      </c>
      <c r="AM73" s="303"/>
      <c r="AN73" s="303"/>
      <c r="AO73" s="303"/>
      <c r="AP73" s="303"/>
      <c r="AQ73" s="303"/>
      <c r="AR73" s="303"/>
      <c r="AS73" s="303"/>
      <c r="AT73" s="303"/>
      <c r="AU73" s="303"/>
      <c r="AV73" s="303"/>
      <c r="AW73" s="303"/>
      <c r="AX73" s="279" t="str">
        <f t="shared" si="13"/>
        <v/>
      </c>
    </row>
    <row r="74" spans="1:50" ht="15.75" thickBot="1" x14ac:dyDescent="0.3">
      <c r="A74" s="190" t="str">
        <f t="shared" si="15"/>
        <v>A44</v>
      </c>
      <c r="B74" s="241" t="str">
        <f t="shared" si="18"/>
        <v/>
      </c>
      <c r="C74" s="241"/>
      <c r="D74" s="241"/>
      <c r="E74" s="241" t="str">
        <f t="shared" si="16"/>
        <v/>
      </c>
      <c r="F74" s="241" t="s">
        <v>536</v>
      </c>
      <c r="G74" s="242">
        <v>44691</v>
      </c>
      <c r="H74" s="252"/>
      <c r="I74" s="243"/>
      <c r="J74" s="243" t="s">
        <v>402</v>
      </c>
      <c r="K74" s="243" t="s">
        <v>237</v>
      </c>
      <c r="L74" s="243" t="s">
        <v>2715</v>
      </c>
      <c r="M74" s="243" t="s">
        <v>559</v>
      </c>
      <c r="N74" s="243">
        <v>34</v>
      </c>
      <c r="O74" s="244" t="s">
        <v>946</v>
      </c>
      <c r="P74" s="244" t="s">
        <v>1168</v>
      </c>
      <c r="Q74" s="231" t="str">
        <f t="shared" si="17"/>
        <v>A44. Oxygen Sensor SET 2</v>
      </c>
      <c r="R74" s="293" t="str">
        <f>HYPERLINK(VLOOKUP(O74,'3D. Pictures'!$B$3:$E$500,4,FALSE),"PIC")</f>
        <v>PIC</v>
      </c>
      <c r="S74" s="374" t="str">
        <f t="shared" si="20"/>
        <v>E.G.</v>
      </c>
      <c r="T74" s="378" t="str">
        <f>IF(O74&lt;&gt;"",_xlfn.XLOOKUP(O74,'3D. Pictures'!B:B,'3D. Pictures'!E:E,"NOT FOUND",0,1),"")</f>
        <v>https://viking-pictures.s3.us-west-1.amazonaws.com/AA1155/A44.+Oxygen+Sensor+SET+2+(1).JPG</v>
      </c>
      <c r="U74" s="243">
        <v>5</v>
      </c>
      <c r="V74" s="243" t="s">
        <v>2153</v>
      </c>
      <c r="W74" s="243" t="s">
        <v>111</v>
      </c>
      <c r="X74" s="243"/>
      <c r="Y74" s="205"/>
      <c r="Z74" s="243"/>
      <c r="AA74" s="243" t="s">
        <v>2809</v>
      </c>
      <c r="AB74" s="243" t="s">
        <v>1369</v>
      </c>
      <c r="AC74" s="358" t="str">
        <f t="shared" si="19"/>
        <v>SET 2, toss both if 1 bad | remove w/ correct wrench</v>
      </c>
      <c r="AD74" s="243" t="s">
        <v>2551</v>
      </c>
      <c r="AE74" s="243" t="s">
        <v>658</v>
      </c>
      <c r="AF74" s="179" t="s">
        <v>544</v>
      </c>
      <c r="AG74" s="243"/>
      <c r="AH74" s="16">
        <v>75</v>
      </c>
      <c r="AI74" s="380">
        <f t="shared" si="21"/>
        <v>75</v>
      </c>
      <c r="AJ74" s="246" t="s">
        <v>2176</v>
      </c>
      <c r="AK74" s="246" t="s">
        <v>425</v>
      </c>
      <c r="AL74" s="246" t="s">
        <v>2177</v>
      </c>
      <c r="AM74" s="241"/>
      <c r="AN74" s="241"/>
      <c r="AO74" s="241"/>
      <c r="AP74" s="241"/>
      <c r="AQ74" s="241"/>
      <c r="AR74" s="241"/>
      <c r="AS74" s="241" t="s">
        <v>1028</v>
      </c>
      <c r="AT74" s="241" t="s">
        <v>513</v>
      </c>
      <c r="AU74" s="241" t="s">
        <v>1030</v>
      </c>
      <c r="AV74" s="303" t="str">
        <f t="shared" ref="AV74:AV75" si="22">CONCATENATE(AS74,"-",AT74,"-",AU74)</f>
        <v>F15-14-18 3.0L N55-ALL</v>
      </c>
      <c r="AW74" s="241" t="s">
        <v>2371</v>
      </c>
      <c r="AX74" s="279" t="str">
        <f t="shared" si="13"/>
        <v>F15-14-18 3.0L N55-ALL-Viking5</v>
      </c>
    </row>
    <row r="75" spans="1:50" x14ac:dyDescent="0.25">
      <c r="A75" s="190" t="str">
        <f t="shared" si="15"/>
        <v/>
      </c>
      <c r="B75" s="303" t="str">
        <f t="shared" si="18"/>
        <v/>
      </c>
      <c r="C75" s="303"/>
      <c r="D75" s="279">
        <f>O75</f>
        <v>0</v>
      </c>
      <c r="E75" s="303" t="str">
        <f t="shared" si="16"/>
        <v/>
      </c>
      <c r="F75" s="303" t="s">
        <v>535</v>
      </c>
      <c r="G75" s="304">
        <v>45245</v>
      </c>
      <c r="H75" s="305"/>
      <c r="I75" s="306"/>
      <c r="J75" s="306" t="s">
        <v>402</v>
      </c>
      <c r="K75" s="306" t="s">
        <v>237</v>
      </c>
      <c r="L75" s="306" t="s">
        <v>2299</v>
      </c>
      <c r="M75" s="306" t="s">
        <v>559</v>
      </c>
      <c r="N75" s="306"/>
      <c r="O75" s="307"/>
      <c r="P75" s="307"/>
      <c r="Q75" s="307" t="str">
        <f t="shared" si="17"/>
        <v>. VVT Timing Actuator Motor</v>
      </c>
      <c r="R75" s="307"/>
      <c r="S75" s="307" t="str">
        <f t="shared" si="20"/>
        <v/>
      </c>
      <c r="T75" s="307" t="str">
        <f>IF(O75&lt;&gt;"",_xlfn.XLOOKUP(O75,'3D. Pictures'!B:B,'3D. Pictures'!E:E,"NOT FOUND",0,1),"")</f>
        <v/>
      </c>
      <c r="U75" s="306"/>
      <c r="V75" s="306">
        <v>7605025</v>
      </c>
      <c r="W75" s="306" t="s">
        <v>111</v>
      </c>
      <c r="X75" s="306"/>
      <c r="Y75" s="16"/>
      <c r="Z75" s="306"/>
      <c r="AA75" s="306" t="s">
        <v>2736</v>
      </c>
      <c r="AB75" s="306" t="s">
        <v>2736</v>
      </c>
      <c r="AC75" s="358" t="str">
        <f t="shared" si="19"/>
        <v>tag as SINGLE | 2 per car (identical)</v>
      </c>
      <c r="AD75" s="306" t="s">
        <v>2320</v>
      </c>
      <c r="AE75" s="306" t="s">
        <v>2318</v>
      </c>
      <c r="AF75" s="309" t="s">
        <v>543</v>
      </c>
      <c r="AG75" s="306" t="s">
        <v>2729</v>
      </c>
      <c r="AH75" s="16">
        <v>55</v>
      </c>
      <c r="AI75" s="380">
        <f t="shared" si="21"/>
        <v>55</v>
      </c>
      <c r="AJ75" s="310" t="s">
        <v>2198</v>
      </c>
      <c r="AK75" s="310" t="s">
        <v>425</v>
      </c>
      <c r="AL75" s="310" t="s">
        <v>2198</v>
      </c>
      <c r="AM75" s="303"/>
      <c r="AN75" s="303"/>
      <c r="AO75" s="303"/>
      <c r="AP75" s="303"/>
      <c r="AQ75" s="303"/>
      <c r="AR75" s="303"/>
      <c r="AS75" s="303" t="s">
        <v>1028</v>
      </c>
      <c r="AT75" s="303" t="s">
        <v>2198</v>
      </c>
      <c r="AU75" s="303" t="s">
        <v>1030</v>
      </c>
      <c r="AV75" s="303" t="str">
        <f t="shared" si="22"/>
        <v>F15-14-18 4.4TT N63T-ALL</v>
      </c>
      <c r="AW75" s="303" t="s">
        <v>2373</v>
      </c>
      <c r="AX75" s="279" t="str">
        <f t="shared" si="13"/>
        <v>F15-14-18 4.4TT N63T-ALL-Viking7</v>
      </c>
    </row>
    <row r="76" spans="1:50" x14ac:dyDescent="0.25">
      <c r="A76" s="190" t="str">
        <f t="shared" si="15"/>
        <v/>
      </c>
      <c r="B76" s="279" t="str">
        <f t="shared" si="18"/>
        <v>304-999565</v>
      </c>
      <c r="C76" s="279" t="s">
        <v>2098</v>
      </c>
      <c r="D76" s="279"/>
      <c r="E76" s="279">
        <f t="shared" si="16"/>
        <v>3</v>
      </c>
      <c r="F76" s="190" t="s">
        <v>535</v>
      </c>
      <c r="G76" s="198">
        <v>44670</v>
      </c>
      <c r="H76" s="210" t="s">
        <v>81</v>
      </c>
      <c r="I76" s="213"/>
      <c r="J76" s="213" t="s">
        <v>402</v>
      </c>
      <c r="K76" s="213" t="s">
        <v>237</v>
      </c>
      <c r="L76" s="213" t="s">
        <v>2670</v>
      </c>
      <c r="M76" s="192" t="s">
        <v>558</v>
      </c>
      <c r="N76" s="192"/>
      <c r="O76" s="229"/>
      <c r="P76" s="229"/>
      <c r="Q76" s="231" t="str">
        <f t="shared" si="17"/>
        <v>. Pistons &amp; Rods SET 6</v>
      </c>
      <c r="R76" s="231"/>
      <c r="S76" s="231" t="str">
        <f t="shared" si="20"/>
        <v/>
      </c>
      <c r="T76" s="231" t="str">
        <f>IF(O76&lt;&gt;"",_xlfn.XLOOKUP(O76,'3D. Pictures'!B:B,'3D. Pictures'!E:E,"NOT FOUND",0,1),"")</f>
        <v/>
      </c>
      <c r="U76" s="192"/>
      <c r="V76" s="205"/>
      <c r="W76" s="192"/>
      <c r="X76" s="205"/>
      <c r="Y76" s="16"/>
      <c r="Z76" s="205"/>
      <c r="AA76" s="213" t="s">
        <v>2853</v>
      </c>
      <c r="AB76" s="213" t="s">
        <v>2521</v>
      </c>
      <c r="AC76" s="360" t="str">
        <f t="shared" si="19"/>
        <v>SET 6, sell singles if 1 bad, sell rods SET6 if pistons bad</v>
      </c>
      <c r="AD76" s="213" t="s">
        <v>2811</v>
      </c>
      <c r="AE76" s="213"/>
      <c r="AF76" s="201" t="s">
        <v>546</v>
      </c>
      <c r="AG76" s="213"/>
      <c r="AH76" s="99">
        <v>850</v>
      </c>
      <c r="AI76" s="380">
        <f t="shared" si="21"/>
        <v>850</v>
      </c>
      <c r="AJ76" s="204" t="s">
        <v>2176</v>
      </c>
      <c r="AK76" s="204" t="s">
        <v>425</v>
      </c>
      <c r="AL76" s="204" t="s">
        <v>2177</v>
      </c>
      <c r="AM76" s="211" t="s">
        <v>81</v>
      </c>
      <c r="AN76" s="191" t="s">
        <v>611</v>
      </c>
      <c r="AO76" s="190" t="s">
        <v>572</v>
      </c>
      <c r="AP76" s="190">
        <v>999565</v>
      </c>
      <c r="AQ76" s="190" t="str">
        <f t="shared" ref="AQ76:AQ84" si="23">CONCATENATE(AN76,AO76,AP76)</f>
        <v>304-999565</v>
      </c>
      <c r="AR76" s="190"/>
      <c r="AS76" s="190"/>
      <c r="AT76" s="190"/>
      <c r="AU76" s="190"/>
      <c r="AV76" s="190"/>
      <c r="AW76" s="190"/>
      <c r="AX76" s="279" t="str">
        <f t="shared" si="13"/>
        <v/>
      </c>
    </row>
    <row r="77" spans="1:50" x14ac:dyDescent="0.25">
      <c r="A77" s="190" t="str">
        <f t="shared" si="15"/>
        <v/>
      </c>
      <c r="B77" s="279" t="str">
        <f t="shared" si="18"/>
        <v>304-999565</v>
      </c>
      <c r="C77" s="279" t="s">
        <v>2099</v>
      </c>
      <c r="D77" s="279"/>
      <c r="E77" s="279">
        <f t="shared" si="16"/>
        <v>3</v>
      </c>
      <c r="F77" s="190" t="s">
        <v>535</v>
      </c>
      <c r="G77" s="198">
        <v>44670</v>
      </c>
      <c r="H77" s="210" t="s">
        <v>81</v>
      </c>
      <c r="I77" s="213"/>
      <c r="J77" s="213" t="s">
        <v>402</v>
      </c>
      <c r="K77" s="213" t="s">
        <v>237</v>
      </c>
      <c r="L77" s="213" t="s">
        <v>2670</v>
      </c>
      <c r="M77" s="192" t="s">
        <v>558</v>
      </c>
      <c r="N77" s="192"/>
      <c r="O77" s="229"/>
      <c r="P77" s="229"/>
      <c r="Q77" s="231" t="str">
        <f t="shared" si="17"/>
        <v>. Pistons Single</v>
      </c>
      <c r="R77" s="231"/>
      <c r="S77" s="231" t="str">
        <f t="shared" si="20"/>
        <v/>
      </c>
      <c r="T77" s="231" t="str">
        <f>IF(O77&lt;&gt;"",_xlfn.XLOOKUP(O77,'3D. Pictures'!B:B,'3D. Pictures'!E:E,"NOT FOUND",0,1),"")</f>
        <v/>
      </c>
      <c r="U77" s="192"/>
      <c r="V77" s="205"/>
      <c r="W77" s="192"/>
      <c r="X77" s="205"/>
      <c r="Y77" s="16"/>
      <c r="Z77" s="205"/>
      <c r="AA77" s="213" t="s">
        <v>669</v>
      </c>
      <c r="AB77" s="213" t="s">
        <v>669</v>
      </c>
      <c r="AC77" s="360" t="str">
        <f t="shared" si="19"/>
        <v/>
      </c>
      <c r="AD77" s="213"/>
      <c r="AE77" s="213"/>
      <c r="AF77" s="201" t="s">
        <v>543</v>
      </c>
      <c r="AG77" s="213"/>
      <c r="AH77" s="99">
        <v>150</v>
      </c>
      <c r="AI77" s="380">
        <f t="shared" si="21"/>
        <v>150</v>
      </c>
      <c r="AJ77" s="204" t="s">
        <v>2176</v>
      </c>
      <c r="AK77" s="204" t="s">
        <v>425</v>
      </c>
      <c r="AL77" s="204" t="s">
        <v>2177</v>
      </c>
      <c r="AM77" s="211" t="s">
        <v>81</v>
      </c>
      <c r="AN77" s="191" t="s">
        <v>611</v>
      </c>
      <c r="AO77" s="190" t="s">
        <v>572</v>
      </c>
      <c r="AP77" s="190">
        <v>999565</v>
      </c>
      <c r="AQ77" s="190" t="str">
        <f t="shared" si="23"/>
        <v>304-999565</v>
      </c>
      <c r="AR77" s="190"/>
      <c r="AS77" s="190"/>
      <c r="AT77" s="190"/>
      <c r="AU77" s="190"/>
      <c r="AV77" s="190"/>
      <c r="AW77" s="190"/>
      <c r="AX77" s="279" t="str">
        <f t="shared" si="13"/>
        <v/>
      </c>
    </row>
    <row r="78" spans="1:50" x14ac:dyDescent="0.25">
      <c r="A78" s="190" t="str">
        <f t="shared" si="15"/>
        <v/>
      </c>
      <c r="B78" s="279" t="str">
        <f t="shared" si="18"/>
        <v>304-999565</v>
      </c>
      <c r="C78" s="279" t="s">
        <v>2100</v>
      </c>
      <c r="D78" s="279"/>
      <c r="E78" s="279">
        <f t="shared" si="16"/>
        <v>3</v>
      </c>
      <c r="F78" s="190" t="s">
        <v>535</v>
      </c>
      <c r="G78" s="198">
        <v>44670</v>
      </c>
      <c r="H78" s="210" t="s">
        <v>81</v>
      </c>
      <c r="I78" s="213"/>
      <c r="J78" s="213" t="s">
        <v>402</v>
      </c>
      <c r="K78" s="213" t="s">
        <v>237</v>
      </c>
      <c r="L78" s="213" t="s">
        <v>2670</v>
      </c>
      <c r="M78" s="192" t="s">
        <v>558</v>
      </c>
      <c r="N78" s="192"/>
      <c r="O78" s="229"/>
      <c r="P78" s="229"/>
      <c r="Q78" s="231" t="str">
        <f t="shared" si="17"/>
        <v>. Piston Rod SET 6</v>
      </c>
      <c r="R78" s="231"/>
      <c r="S78" s="231" t="str">
        <f t="shared" si="20"/>
        <v/>
      </c>
      <c r="T78" s="231" t="str">
        <f>IF(O78&lt;&gt;"",_xlfn.XLOOKUP(O78,'3D. Pictures'!B:B,'3D. Pictures'!E:E,"NOT FOUND",0,1),"")</f>
        <v/>
      </c>
      <c r="U78" s="192"/>
      <c r="V78" s="205"/>
      <c r="W78" s="192"/>
      <c r="X78" s="205"/>
      <c r="Y78" s="16"/>
      <c r="Z78" s="205"/>
      <c r="AA78" s="213" t="s">
        <v>2852</v>
      </c>
      <c r="AB78" s="213" t="s">
        <v>2522</v>
      </c>
      <c r="AC78" s="360" t="str">
        <f t="shared" si="19"/>
        <v>toss all if 1 bad</v>
      </c>
      <c r="AD78" s="213" t="s">
        <v>2281</v>
      </c>
      <c r="AE78" s="213"/>
      <c r="AF78" s="201" t="s">
        <v>546</v>
      </c>
      <c r="AG78" s="213"/>
      <c r="AH78" s="99">
        <v>200</v>
      </c>
      <c r="AI78" s="380">
        <f t="shared" si="21"/>
        <v>200</v>
      </c>
      <c r="AJ78" s="204" t="s">
        <v>2176</v>
      </c>
      <c r="AK78" s="204" t="s">
        <v>425</v>
      </c>
      <c r="AL78" s="204" t="s">
        <v>2177</v>
      </c>
      <c r="AM78" s="211" t="s">
        <v>81</v>
      </c>
      <c r="AN78" s="191" t="s">
        <v>611</v>
      </c>
      <c r="AO78" s="190" t="s">
        <v>572</v>
      </c>
      <c r="AP78" s="190">
        <v>999565</v>
      </c>
      <c r="AQ78" s="190" t="str">
        <f t="shared" si="23"/>
        <v>304-999565</v>
      </c>
      <c r="AR78" s="190"/>
      <c r="AS78" s="190"/>
      <c r="AT78" s="190"/>
      <c r="AU78" s="190"/>
      <c r="AV78" s="190"/>
      <c r="AW78" s="190"/>
      <c r="AX78" s="279" t="str">
        <f t="shared" si="13"/>
        <v/>
      </c>
    </row>
    <row r="79" spans="1:50" x14ac:dyDescent="0.25">
      <c r="A79" s="190" t="str">
        <f t="shared" si="15"/>
        <v/>
      </c>
      <c r="B79" s="294" t="str">
        <f t="shared" si="18"/>
        <v>304-999555</v>
      </c>
      <c r="C79" s="294" t="s">
        <v>2347</v>
      </c>
      <c r="D79" s="294"/>
      <c r="E79" s="294">
        <f t="shared" si="16"/>
        <v>5</v>
      </c>
      <c r="F79" s="294" t="s">
        <v>535</v>
      </c>
      <c r="G79" s="295">
        <v>44670</v>
      </c>
      <c r="H79" s="323" t="s">
        <v>81</v>
      </c>
      <c r="I79" s="324"/>
      <c r="J79" s="324" t="s">
        <v>402</v>
      </c>
      <c r="K79" s="324" t="s">
        <v>237</v>
      </c>
      <c r="L79" s="324" t="s">
        <v>2670</v>
      </c>
      <c r="M79" s="195" t="s">
        <v>558</v>
      </c>
      <c r="N79" s="195"/>
      <c r="O79" s="298"/>
      <c r="P79" s="298"/>
      <c r="Q79" s="299" t="str">
        <f t="shared" si="17"/>
        <v>. Pistons &amp; Rods SET 8</v>
      </c>
      <c r="R79" s="299"/>
      <c r="S79" s="299" t="str">
        <f t="shared" si="20"/>
        <v/>
      </c>
      <c r="T79" s="299" t="str">
        <f>IF(O79&lt;&gt;"",_xlfn.XLOOKUP(O79,'3D. Pictures'!B:B,'3D. Pictures'!E:E,"NOT FOUND",0,1),"")</f>
        <v/>
      </c>
      <c r="U79" s="195"/>
      <c r="V79" s="300"/>
      <c r="W79" s="195"/>
      <c r="X79" s="300"/>
      <c r="Y79" s="16"/>
      <c r="Z79" s="300"/>
      <c r="AA79" s="324" t="s">
        <v>2523</v>
      </c>
      <c r="AB79" s="324" t="s">
        <v>2523</v>
      </c>
      <c r="AC79" s="360" t="str">
        <f t="shared" si="19"/>
        <v>SET 8, sell singles if 1 bad, sell rods SET 8 if pistons bad</v>
      </c>
      <c r="AD79" s="324" t="s">
        <v>2812</v>
      </c>
      <c r="AE79" s="324"/>
      <c r="AF79" s="302" t="s">
        <v>2199</v>
      </c>
      <c r="AG79" s="324"/>
      <c r="AH79" s="99">
        <v>1200</v>
      </c>
      <c r="AI79" s="380">
        <f t="shared" si="21"/>
        <v>1200</v>
      </c>
      <c r="AJ79" s="301" t="s">
        <v>2198</v>
      </c>
      <c r="AK79" s="301" t="s">
        <v>425</v>
      </c>
      <c r="AL79" s="301" t="s">
        <v>2198</v>
      </c>
      <c r="AM79" s="325" t="s">
        <v>81</v>
      </c>
      <c r="AN79" s="326" t="s">
        <v>611</v>
      </c>
      <c r="AO79" s="294" t="s">
        <v>572</v>
      </c>
      <c r="AP79" s="294">
        <v>999555</v>
      </c>
      <c r="AQ79" s="294" t="str">
        <f t="shared" si="23"/>
        <v>304-999555</v>
      </c>
      <c r="AR79" s="294"/>
      <c r="AS79" s="294"/>
      <c r="AT79" s="294"/>
      <c r="AU79" s="294"/>
      <c r="AV79" s="294"/>
      <c r="AW79" s="294"/>
      <c r="AX79" s="279" t="str">
        <f t="shared" si="13"/>
        <v/>
      </c>
    </row>
    <row r="80" spans="1:50" x14ac:dyDescent="0.25">
      <c r="A80" s="190" t="str">
        <f t="shared" si="15"/>
        <v/>
      </c>
      <c r="B80" s="294" t="str">
        <f t="shared" si="18"/>
        <v>304-999555</v>
      </c>
      <c r="C80" s="294" t="s">
        <v>2348</v>
      </c>
      <c r="D80" s="294"/>
      <c r="E80" s="294">
        <f t="shared" si="16"/>
        <v>5</v>
      </c>
      <c r="F80" s="294" t="s">
        <v>535</v>
      </c>
      <c r="G80" s="295">
        <v>44670</v>
      </c>
      <c r="H80" s="323" t="s">
        <v>81</v>
      </c>
      <c r="I80" s="324"/>
      <c r="J80" s="324" t="s">
        <v>402</v>
      </c>
      <c r="K80" s="324" t="s">
        <v>237</v>
      </c>
      <c r="L80" s="324" t="s">
        <v>2670</v>
      </c>
      <c r="M80" s="195" t="s">
        <v>558</v>
      </c>
      <c r="N80" s="195"/>
      <c r="O80" s="298"/>
      <c r="P80" s="298"/>
      <c r="Q80" s="299" t="str">
        <f t="shared" si="17"/>
        <v>. Pistons &amp; Rods SET 4</v>
      </c>
      <c r="R80" s="299"/>
      <c r="S80" s="299" t="str">
        <f t="shared" si="20"/>
        <v/>
      </c>
      <c r="T80" s="299" t="str">
        <f>IF(O80&lt;&gt;"",_xlfn.XLOOKUP(O80,'3D. Pictures'!B:B,'3D. Pictures'!E:E,"NOT FOUND",0,1),"")</f>
        <v/>
      </c>
      <c r="U80" s="195"/>
      <c r="V80" s="300"/>
      <c r="W80" s="195"/>
      <c r="X80" s="300"/>
      <c r="Y80" s="205"/>
      <c r="Z80" s="300"/>
      <c r="AA80" s="324" t="s">
        <v>2512</v>
      </c>
      <c r="AB80" s="324" t="s">
        <v>2512</v>
      </c>
      <c r="AC80" s="360" t="str">
        <f t="shared" si="19"/>
        <v/>
      </c>
      <c r="AD80" s="324"/>
      <c r="AE80" s="324"/>
      <c r="AF80" s="302" t="s">
        <v>541</v>
      </c>
      <c r="AG80" s="324"/>
      <c r="AH80" s="99">
        <v>600</v>
      </c>
      <c r="AI80" s="380">
        <f t="shared" si="21"/>
        <v>600</v>
      </c>
      <c r="AJ80" s="301" t="s">
        <v>2198</v>
      </c>
      <c r="AK80" s="301" t="s">
        <v>425</v>
      </c>
      <c r="AL80" s="301" t="s">
        <v>2198</v>
      </c>
      <c r="AM80" s="325" t="s">
        <v>81</v>
      </c>
      <c r="AN80" s="326" t="s">
        <v>611</v>
      </c>
      <c r="AO80" s="294" t="s">
        <v>572</v>
      </c>
      <c r="AP80" s="294">
        <v>999555</v>
      </c>
      <c r="AQ80" s="294" t="str">
        <f t="shared" si="23"/>
        <v>304-999555</v>
      </c>
      <c r="AR80" s="294"/>
      <c r="AS80" s="294"/>
      <c r="AT80" s="294"/>
      <c r="AU80" s="294"/>
      <c r="AV80" s="294"/>
      <c r="AW80" s="294"/>
      <c r="AX80" s="279" t="str">
        <f t="shared" si="13"/>
        <v/>
      </c>
    </row>
    <row r="81" spans="1:50" x14ac:dyDescent="0.25">
      <c r="A81" s="190" t="str">
        <f t="shared" si="15"/>
        <v/>
      </c>
      <c r="B81" s="294" t="str">
        <f t="shared" si="18"/>
        <v>304-999555</v>
      </c>
      <c r="C81" s="294" t="s">
        <v>2350</v>
      </c>
      <c r="D81" s="294"/>
      <c r="E81" s="294">
        <f t="shared" si="16"/>
        <v>5</v>
      </c>
      <c r="F81" s="294" t="s">
        <v>535</v>
      </c>
      <c r="G81" s="295">
        <v>44670</v>
      </c>
      <c r="H81" s="323" t="s">
        <v>81</v>
      </c>
      <c r="I81" s="324"/>
      <c r="J81" s="324" t="s">
        <v>402</v>
      </c>
      <c r="K81" s="324" t="s">
        <v>237</v>
      </c>
      <c r="L81" s="324" t="s">
        <v>2670</v>
      </c>
      <c r="M81" s="195" t="s">
        <v>558</v>
      </c>
      <c r="N81" s="195"/>
      <c r="O81" s="298"/>
      <c r="P81" s="298"/>
      <c r="Q81" s="299" t="str">
        <f t="shared" si="17"/>
        <v>. Pistons Rods SET 8</v>
      </c>
      <c r="R81" s="299"/>
      <c r="S81" s="299" t="str">
        <f t="shared" si="20"/>
        <v/>
      </c>
      <c r="T81" s="299" t="str">
        <f>IF(O81&lt;&gt;"",_xlfn.XLOOKUP(O81,'3D. Pictures'!B:B,'3D. Pictures'!E:E,"NOT FOUND",0,1),"")</f>
        <v/>
      </c>
      <c r="U81" s="195"/>
      <c r="V81" s="300"/>
      <c r="W81" s="195"/>
      <c r="X81" s="300"/>
      <c r="Y81" s="205"/>
      <c r="Z81" s="300"/>
      <c r="AA81" s="324" t="s">
        <v>2524</v>
      </c>
      <c r="AB81" s="324" t="s">
        <v>2524</v>
      </c>
      <c r="AC81" s="360" t="str">
        <f t="shared" si="19"/>
        <v>SET 8, sell SET 4 &amp; singles if 1 bad</v>
      </c>
      <c r="AD81" s="324" t="s">
        <v>2778</v>
      </c>
      <c r="AE81" s="324"/>
      <c r="AF81" s="302" t="s">
        <v>2199</v>
      </c>
      <c r="AG81" s="324"/>
      <c r="AH81" s="99">
        <v>400</v>
      </c>
      <c r="AI81" s="380">
        <f t="shared" si="21"/>
        <v>400</v>
      </c>
      <c r="AJ81" s="301" t="s">
        <v>2198</v>
      </c>
      <c r="AK81" s="301" t="s">
        <v>425</v>
      </c>
      <c r="AL81" s="301" t="s">
        <v>2198</v>
      </c>
      <c r="AM81" s="325" t="s">
        <v>81</v>
      </c>
      <c r="AN81" s="326" t="s">
        <v>611</v>
      </c>
      <c r="AO81" s="294" t="s">
        <v>572</v>
      </c>
      <c r="AP81" s="294">
        <v>999555</v>
      </c>
      <c r="AQ81" s="294" t="str">
        <f t="shared" si="23"/>
        <v>304-999555</v>
      </c>
      <c r="AR81" s="294"/>
      <c r="AS81" s="294"/>
      <c r="AT81" s="294"/>
      <c r="AU81" s="294"/>
      <c r="AV81" s="294"/>
      <c r="AW81" s="294"/>
      <c r="AX81" s="279" t="str">
        <f t="shared" si="13"/>
        <v/>
      </c>
    </row>
    <row r="82" spans="1:50" x14ac:dyDescent="0.25">
      <c r="A82" s="190" t="str">
        <f t="shared" si="15"/>
        <v/>
      </c>
      <c r="B82" s="294" t="str">
        <f t="shared" si="18"/>
        <v>304-999555</v>
      </c>
      <c r="C82" s="294" t="s">
        <v>2351</v>
      </c>
      <c r="D82" s="294"/>
      <c r="E82" s="294">
        <f t="shared" si="16"/>
        <v>5</v>
      </c>
      <c r="F82" s="294" t="s">
        <v>535</v>
      </c>
      <c r="G82" s="295">
        <v>44670</v>
      </c>
      <c r="H82" s="323" t="s">
        <v>81</v>
      </c>
      <c r="I82" s="324"/>
      <c r="J82" s="324" t="s">
        <v>402</v>
      </c>
      <c r="K82" s="324" t="s">
        <v>237</v>
      </c>
      <c r="L82" s="324" t="s">
        <v>2670</v>
      </c>
      <c r="M82" s="195" t="s">
        <v>558</v>
      </c>
      <c r="N82" s="195"/>
      <c r="O82" s="298"/>
      <c r="P82" s="298"/>
      <c r="Q82" s="299" t="str">
        <f t="shared" si="17"/>
        <v>. Pistons Rods SET 4</v>
      </c>
      <c r="R82" s="299"/>
      <c r="S82" s="299" t="str">
        <f t="shared" si="20"/>
        <v/>
      </c>
      <c r="T82" s="299" t="str">
        <f>IF(O82&lt;&gt;"",_xlfn.XLOOKUP(O82,'3D. Pictures'!B:B,'3D. Pictures'!E:E,"NOT FOUND",0,1),"")</f>
        <v/>
      </c>
      <c r="U82" s="195"/>
      <c r="V82" s="300"/>
      <c r="W82" s="195"/>
      <c r="X82" s="300"/>
      <c r="Y82" s="205"/>
      <c r="Z82" s="300"/>
      <c r="AA82" s="324" t="s">
        <v>2513</v>
      </c>
      <c r="AB82" s="324" t="s">
        <v>2513</v>
      </c>
      <c r="AC82" s="360" t="str">
        <f t="shared" si="19"/>
        <v/>
      </c>
      <c r="AD82" s="324"/>
      <c r="AE82" s="324"/>
      <c r="AF82" s="302" t="s">
        <v>541</v>
      </c>
      <c r="AG82" s="324"/>
      <c r="AH82" s="99">
        <v>250</v>
      </c>
      <c r="AI82" s="380">
        <f t="shared" si="21"/>
        <v>250</v>
      </c>
      <c r="AJ82" s="301" t="s">
        <v>2198</v>
      </c>
      <c r="AK82" s="301" t="s">
        <v>425</v>
      </c>
      <c r="AL82" s="301" t="s">
        <v>2198</v>
      </c>
      <c r="AM82" s="325" t="s">
        <v>81</v>
      </c>
      <c r="AN82" s="326" t="s">
        <v>611</v>
      </c>
      <c r="AO82" s="294" t="s">
        <v>572</v>
      </c>
      <c r="AP82" s="294">
        <v>999555</v>
      </c>
      <c r="AQ82" s="294" t="str">
        <f t="shared" si="23"/>
        <v>304-999555</v>
      </c>
      <c r="AR82" s="294"/>
      <c r="AS82" s="294"/>
      <c r="AT82" s="294"/>
      <c r="AU82" s="294"/>
      <c r="AV82" s="294"/>
      <c r="AW82" s="294"/>
      <c r="AX82" s="279" t="str">
        <f t="shared" si="13"/>
        <v/>
      </c>
    </row>
    <row r="83" spans="1:50" x14ac:dyDescent="0.25">
      <c r="A83" s="190" t="str">
        <f t="shared" si="15"/>
        <v/>
      </c>
      <c r="B83" s="294" t="str">
        <f t="shared" si="18"/>
        <v>304-999555</v>
      </c>
      <c r="C83" s="294" t="s">
        <v>2352</v>
      </c>
      <c r="D83" s="294"/>
      <c r="E83" s="294">
        <f t="shared" si="16"/>
        <v>5</v>
      </c>
      <c r="F83" s="294" t="s">
        <v>535</v>
      </c>
      <c r="G83" s="295">
        <v>44670</v>
      </c>
      <c r="H83" s="323" t="s">
        <v>81</v>
      </c>
      <c r="I83" s="324"/>
      <c r="J83" s="324" t="s">
        <v>402</v>
      </c>
      <c r="K83" s="324" t="s">
        <v>237</v>
      </c>
      <c r="L83" s="324" t="s">
        <v>2670</v>
      </c>
      <c r="M83" s="195" t="s">
        <v>558</v>
      </c>
      <c r="N83" s="195"/>
      <c r="O83" s="298"/>
      <c r="P83" s="298"/>
      <c r="Q83" s="299" t="str">
        <f t="shared" si="17"/>
        <v>. Piston Rods Single</v>
      </c>
      <c r="R83" s="299"/>
      <c r="S83" s="299" t="str">
        <f t="shared" si="20"/>
        <v/>
      </c>
      <c r="T83" s="299" t="str">
        <f>IF(O83&lt;&gt;"",_xlfn.XLOOKUP(O83,'3D. Pictures'!B:B,'3D. Pictures'!E:E,"NOT FOUND",0,1),"")</f>
        <v/>
      </c>
      <c r="U83" s="195"/>
      <c r="V83" s="300"/>
      <c r="W83" s="195"/>
      <c r="X83" s="300"/>
      <c r="Y83" s="205"/>
      <c r="Z83" s="300"/>
      <c r="AA83" s="324" t="s">
        <v>2346</v>
      </c>
      <c r="AB83" s="324" t="s">
        <v>2346</v>
      </c>
      <c r="AC83" s="360" t="str">
        <f t="shared" si="19"/>
        <v/>
      </c>
      <c r="AD83" s="324"/>
      <c r="AE83" s="324"/>
      <c r="AF83" s="302" t="s">
        <v>543</v>
      </c>
      <c r="AG83" s="324"/>
      <c r="AH83" s="99">
        <v>95</v>
      </c>
      <c r="AI83" s="380">
        <f t="shared" si="21"/>
        <v>95</v>
      </c>
      <c r="AJ83" s="301" t="s">
        <v>2198</v>
      </c>
      <c r="AK83" s="301" t="s">
        <v>425</v>
      </c>
      <c r="AL83" s="301" t="s">
        <v>2198</v>
      </c>
      <c r="AM83" s="325" t="s">
        <v>81</v>
      </c>
      <c r="AN83" s="326" t="s">
        <v>611</v>
      </c>
      <c r="AO83" s="294" t="s">
        <v>572</v>
      </c>
      <c r="AP83" s="294">
        <v>999555</v>
      </c>
      <c r="AQ83" s="294" t="str">
        <f t="shared" si="23"/>
        <v>304-999555</v>
      </c>
      <c r="AR83" s="294"/>
      <c r="AS83" s="294"/>
      <c r="AT83" s="294"/>
      <c r="AU83" s="294"/>
      <c r="AV83" s="294"/>
      <c r="AW83" s="294"/>
      <c r="AX83" s="279" t="str">
        <f t="shared" si="13"/>
        <v/>
      </c>
    </row>
    <row r="84" spans="1:50" x14ac:dyDescent="0.25">
      <c r="A84" s="190" t="str">
        <f t="shared" si="15"/>
        <v/>
      </c>
      <c r="B84" s="279" t="str">
        <f t="shared" si="18"/>
        <v>553-50399</v>
      </c>
      <c r="C84" s="279"/>
      <c r="D84" s="279"/>
      <c r="E84" s="279">
        <f t="shared" si="16"/>
        <v>1</v>
      </c>
      <c r="F84" s="190" t="s">
        <v>535</v>
      </c>
      <c r="G84" s="198">
        <v>44670</v>
      </c>
      <c r="H84" s="210"/>
      <c r="I84" s="205"/>
      <c r="J84" s="205" t="s">
        <v>402</v>
      </c>
      <c r="K84" s="205" t="s">
        <v>237</v>
      </c>
      <c r="L84" s="205" t="s">
        <v>659</v>
      </c>
      <c r="M84" s="192" t="s">
        <v>558</v>
      </c>
      <c r="N84" s="192"/>
      <c r="O84" s="229"/>
      <c r="P84" s="229"/>
      <c r="Q84" s="231" t="str">
        <f t="shared" si="17"/>
        <v>. Power Steering Pump (WITH Active Suspension Adaptive Drive)</v>
      </c>
      <c r="R84" s="231"/>
      <c r="S84" s="231" t="str">
        <f t="shared" si="20"/>
        <v/>
      </c>
      <c r="T84" s="231" t="str">
        <f>IF(O84&lt;&gt;"",_xlfn.XLOOKUP(O84,'3D. Pictures'!B:B,'3D. Pictures'!E:E,"NOT FOUND",0,1),"")</f>
        <v/>
      </c>
      <c r="U84" s="192"/>
      <c r="V84" s="205"/>
      <c r="W84" s="192"/>
      <c r="X84" s="205"/>
      <c r="Y84" s="205"/>
      <c r="Z84" s="205"/>
      <c r="AA84" s="205" t="s">
        <v>659</v>
      </c>
      <c r="AB84" s="205" t="s">
        <v>2737</v>
      </c>
      <c r="AC84" s="358" t="str">
        <f t="shared" si="19"/>
        <v>w/ Pulley</v>
      </c>
      <c r="AD84" s="205" t="s">
        <v>657</v>
      </c>
      <c r="AE84" s="205"/>
      <c r="AF84" s="201" t="s">
        <v>543</v>
      </c>
      <c r="AG84" s="205"/>
      <c r="AH84" s="16">
        <v>400</v>
      </c>
      <c r="AI84" s="380">
        <f t="shared" si="21"/>
        <v>400</v>
      </c>
      <c r="AJ84" s="204" t="s">
        <v>2176</v>
      </c>
      <c r="AK84" s="204" t="s">
        <v>425</v>
      </c>
      <c r="AL84" s="204" t="s">
        <v>2177</v>
      </c>
      <c r="AM84" s="190"/>
      <c r="AN84" s="191" t="s">
        <v>612</v>
      </c>
      <c r="AO84" s="190" t="s">
        <v>572</v>
      </c>
      <c r="AP84" s="190">
        <v>50399</v>
      </c>
      <c r="AQ84" s="190" t="str">
        <f t="shared" si="23"/>
        <v>553-50399</v>
      </c>
      <c r="AR84" s="190" t="s">
        <v>660</v>
      </c>
      <c r="AS84" s="190"/>
      <c r="AT84" s="190"/>
      <c r="AU84" s="190"/>
      <c r="AV84" s="190"/>
      <c r="AW84" s="190"/>
      <c r="AX84" s="279" t="str">
        <f t="shared" si="13"/>
        <v/>
      </c>
    </row>
    <row r="85" spans="1:50" x14ac:dyDescent="0.25">
      <c r="A85" s="190" t="str">
        <f t="shared" si="15"/>
        <v/>
      </c>
      <c r="B85" s="279" t="str">
        <f t="shared" si="18"/>
        <v/>
      </c>
      <c r="C85" s="279"/>
      <c r="D85" s="279"/>
      <c r="E85" s="279" t="str">
        <f t="shared" si="16"/>
        <v/>
      </c>
      <c r="F85" t="s">
        <v>536</v>
      </c>
      <c r="G85" s="188">
        <v>45099</v>
      </c>
      <c r="H85" s="19"/>
      <c r="I85" s="16"/>
      <c r="J85" s="16" t="s">
        <v>402</v>
      </c>
      <c r="K85" s="16" t="s">
        <v>237</v>
      </c>
      <c r="L85" s="16" t="s">
        <v>391</v>
      </c>
      <c r="M85" s="16" t="s">
        <v>559</v>
      </c>
      <c r="N85" s="16"/>
      <c r="O85" s="166"/>
      <c r="P85" s="166"/>
      <c r="Q85" s="231" t="str">
        <f t="shared" si="17"/>
        <v>. Thermostat Housing</v>
      </c>
      <c r="R85" s="231"/>
      <c r="S85" s="231" t="str">
        <f t="shared" si="20"/>
        <v/>
      </c>
      <c r="T85" s="231" t="str">
        <f>IF(O85&lt;&gt;"",_xlfn.XLOOKUP(O85,'3D. Pictures'!B:B,'3D. Pictures'!E:E,"NOT FOUND",0,1),"")</f>
        <v/>
      </c>
      <c r="U85" s="16"/>
      <c r="V85" s="16"/>
      <c r="W85" s="16"/>
      <c r="X85" s="16"/>
      <c r="Y85" s="205"/>
      <c r="Z85" s="16"/>
      <c r="AA85" s="16" t="s">
        <v>391</v>
      </c>
      <c r="AB85" s="16" t="s">
        <v>391</v>
      </c>
      <c r="AC85" s="358" t="str">
        <f t="shared" si="19"/>
        <v/>
      </c>
      <c r="AD85" s="16"/>
      <c r="AE85" s="16"/>
      <c r="AF85" s="168" t="s">
        <v>543</v>
      </c>
      <c r="AG85" s="16"/>
      <c r="AH85" s="16">
        <v>45</v>
      </c>
      <c r="AI85" s="380">
        <f t="shared" si="21"/>
        <v>45</v>
      </c>
      <c r="AJ85" s="183" t="s">
        <v>2176</v>
      </c>
      <c r="AK85" s="183" t="s">
        <v>425</v>
      </c>
      <c r="AL85" s="204" t="s">
        <v>2177</v>
      </c>
      <c r="AX85" s="279" t="str">
        <f t="shared" si="13"/>
        <v/>
      </c>
    </row>
    <row r="86" spans="1:50" x14ac:dyDescent="0.25">
      <c r="A86" s="190" t="str">
        <f t="shared" si="15"/>
        <v/>
      </c>
      <c r="B86" s="303" t="str">
        <f t="shared" si="18"/>
        <v/>
      </c>
      <c r="C86" s="303"/>
      <c r="D86" s="303"/>
      <c r="E86" s="303" t="str">
        <f t="shared" si="16"/>
        <v/>
      </c>
      <c r="F86" s="303" t="s">
        <v>535</v>
      </c>
      <c r="G86" s="304">
        <v>45245</v>
      </c>
      <c r="H86" s="305"/>
      <c r="I86" s="306"/>
      <c r="J86" s="306" t="s">
        <v>402</v>
      </c>
      <c r="K86" s="306" t="s">
        <v>237</v>
      </c>
      <c r="L86" s="306" t="s">
        <v>2345</v>
      </c>
      <c r="M86" s="343" t="s">
        <v>558</v>
      </c>
      <c r="N86" s="343"/>
      <c r="O86" s="344"/>
      <c r="P86" s="344"/>
      <c r="Q86" s="307" t="str">
        <f t="shared" si="17"/>
        <v>. Timing Gear SET 2</v>
      </c>
      <c r="R86" s="307"/>
      <c r="S86" s="307" t="str">
        <f t="shared" si="20"/>
        <v/>
      </c>
      <c r="T86" s="307" t="str">
        <f>IF(O86&lt;&gt;"",_xlfn.XLOOKUP(O86,'3D. Pictures'!B:B,'3D. Pictures'!E:E,"NOT FOUND",0,1),"")</f>
        <v/>
      </c>
      <c r="U86" s="343"/>
      <c r="V86" s="306" t="s">
        <v>2335</v>
      </c>
      <c r="W86" s="343" t="s">
        <v>111</v>
      </c>
      <c r="X86" s="306"/>
      <c r="Y86" s="205"/>
      <c r="Z86" s="306"/>
      <c r="AA86" s="306" t="s">
        <v>2345</v>
      </c>
      <c r="AB86" s="306" t="s">
        <v>2484</v>
      </c>
      <c r="AC86" s="358" t="str">
        <f t="shared" si="19"/>
        <v>head if good, SET2 if not, single if 1 bad | mark side &amp; int/exh</v>
      </c>
      <c r="AD86" s="306" t="s">
        <v>2784</v>
      </c>
      <c r="AE86" s="306" t="s">
        <v>2785</v>
      </c>
      <c r="AF86" s="309" t="s">
        <v>2334</v>
      </c>
      <c r="AG86" s="306"/>
      <c r="AH86" s="16">
        <v>125</v>
      </c>
      <c r="AI86" s="380">
        <f t="shared" si="21"/>
        <v>125</v>
      </c>
      <c r="AJ86" s="310" t="s">
        <v>2176</v>
      </c>
      <c r="AK86" s="310" t="s">
        <v>425</v>
      </c>
      <c r="AL86" s="310" t="s">
        <v>2177</v>
      </c>
      <c r="AM86" s="303"/>
      <c r="AN86" s="332"/>
      <c r="AO86" s="303" t="s">
        <v>572</v>
      </c>
      <c r="AP86" s="303"/>
      <c r="AQ86" s="303"/>
      <c r="AR86" s="303"/>
      <c r="AS86" s="303"/>
      <c r="AT86" s="303"/>
      <c r="AU86" s="303"/>
      <c r="AV86" s="303"/>
      <c r="AW86" s="303"/>
      <c r="AX86" s="279" t="str">
        <f t="shared" si="13"/>
        <v/>
      </c>
    </row>
    <row r="87" spans="1:50" x14ac:dyDescent="0.25">
      <c r="A87" s="190" t="str">
        <f t="shared" si="15"/>
        <v/>
      </c>
      <c r="B87" s="303" t="str">
        <f t="shared" si="18"/>
        <v/>
      </c>
      <c r="C87" s="303"/>
      <c r="D87" s="303"/>
      <c r="E87" s="303" t="str">
        <f t="shared" si="16"/>
        <v/>
      </c>
      <c r="F87" s="303" t="s">
        <v>535</v>
      </c>
      <c r="G87" s="304">
        <v>45245</v>
      </c>
      <c r="H87" s="305"/>
      <c r="I87" s="306"/>
      <c r="J87" s="306" t="s">
        <v>402</v>
      </c>
      <c r="K87" s="306" t="s">
        <v>237</v>
      </c>
      <c r="L87" s="306" t="s">
        <v>2345</v>
      </c>
      <c r="M87" s="343" t="s">
        <v>558</v>
      </c>
      <c r="N87" s="343"/>
      <c r="O87" s="344"/>
      <c r="P87" s="344"/>
      <c r="Q87" s="307" t="str">
        <f t="shared" si="17"/>
        <v>. Timing Gear SET 2 - LEFT</v>
      </c>
      <c r="R87" s="307"/>
      <c r="S87" s="307" t="str">
        <f t="shared" si="20"/>
        <v/>
      </c>
      <c r="T87" s="307" t="str">
        <f>IF(O87&lt;&gt;"",_xlfn.XLOOKUP(O87,'3D. Pictures'!B:B,'3D. Pictures'!E:E,"NOT FOUND",0,1),"")</f>
        <v/>
      </c>
      <c r="U87" s="343"/>
      <c r="V87" s="306" t="s">
        <v>2338</v>
      </c>
      <c r="W87" s="343" t="s">
        <v>111</v>
      </c>
      <c r="X87" s="306"/>
      <c r="Y87" s="205"/>
      <c r="Z87" s="306"/>
      <c r="AA87" s="306" t="s">
        <v>2813</v>
      </c>
      <c r="AB87" s="306" t="s">
        <v>2485</v>
      </c>
      <c r="AC87" s="358" t="str">
        <f t="shared" si="19"/>
        <v>head if good, SET2 if not, single if 1 bad | mark side &amp; int/exh</v>
      </c>
      <c r="AD87" s="306" t="s">
        <v>2784</v>
      </c>
      <c r="AE87" s="306" t="s">
        <v>2785</v>
      </c>
      <c r="AF87" s="309" t="s">
        <v>2334</v>
      </c>
      <c r="AG87" s="306"/>
      <c r="AH87" s="16">
        <v>250</v>
      </c>
      <c r="AI87" s="380">
        <f t="shared" si="21"/>
        <v>250</v>
      </c>
      <c r="AJ87" s="310" t="s">
        <v>2198</v>
      </c>
      <c r="AK87" s="310" t="s">
        <v>425</v>
      </c>
      <c r="AL87" s="310" t="s">
        <v>2198</v>
      </c>
      <c r="AM87" s="303"/>
      <c r="AN87" s="332"/>
      <c r="AO87" s="303" t="s">
        <v>572</v>
      </c>
      <c r="AP87" s="303"/>
      <c r="AQ87" s="303"/>
      <c r="AR87" s="303"/>
      <c r="AS87" s="303"/>
      <c r="AT87" s="303"/>
      <c r="AU87" s="303"/>
      <c r="AV87" s="303"/>
      <c r="AW87" s="303"/>
      <c r="AX87" s="279" t="str">
        <f t="shared" si="13"/>
        <v/>
      </c>
    </row>
    <row r="88" spans="1:50" x14ac:dyDescent="0.25">
      <c r="A88" s="190" t="str">
        <f t="shared" si="15"/>
        <v/>
      </c>
      <c r="B88" s="303" t="str">
        <f t="shared" si="18"/>
        <v/>
      </c>
      <c r="C88" s="303"/>
      <c r="D88" s="303"/>
      <c r="E88" s="303" t="str">
        <f t="shared" si="16"/>
        <v/>
      </c>
      <c r="F88" s="303" t="s">
        <v>535</v>
      </c>
      <c r="G88" s="304">
        <v>45245</v>
      </c>
      <c r="H88" s="305"/>
      <c r="I88" s="306"/>
      <c r="J88" s="306" t="s">
        <v>402</v>
      </c>
      <c r="K88" s="306" t="s">
        <v>237</v>
      </c>
      <c r="L88" s="306" t="s">
        <v>2345</v>
      </c>
      <c r="M88" s="343" t="s">
        <v>558</v>
      </c>
      <c r="N88" s="343"/>
      <c r="O88" s="344"/>
      <c r="P88" s="344"/>
      <c r="Q88" s="307" t="str">
        <f t="shared" si="17"/>
        <v>. Timing Gear SET 2 - RIGHT</v>
      </c>
      <c r="R88" s="307"/>
      <c r="S88" s="307" t="str">
        <f t="shared" si="20"/>
        <v/>
      </c>
      <c r="T88" s="307" t="str">
        <f>IF(O88&lt;&gt;"",_xlfn.XLOOKUP(O88,'3D. Pictures'!B:B,'3D. Pictures'!E:E,"NOT FOUND",0,1),"")</f>
        <v/>
      </c>
      <c r="U88" s="343"/>
      <c r="V88" s="306" t="s">
        <v>2338</v>
      </c>
      <c r="W88" s="343" t="s">
        <v>111</v>
      </c>
      <c r="X88" s="306"/>
      <c r="Y88" s="205"/>
      <c r="Z88" s="306"/>
      <c r="AA88" s="306" t="s">
        <v>2829</v>
      </c>
      <c r="AB88" s="306" t="s">
        <v>2486</v>
      </c>
      <c r="AC88" s="358" t="str">
        <f t="shared" si="19"/>
        <v>head if good, SET2 if not, single if 1 bad | mark side &amp; int/exh</v>
      </c>
      <c r="AD88" s="306" t="s">
        <v>2784</v>
      </c>
      <c r="AE88" s="306" t="s">
        <v>2785</v>
      </c>
      <c r="AF88" s="309" t="s">
        <v>2334</v>
      </c>
      <c r="AG88" s="306"/>
      <c r="AH88" s="16">
        <v>250</v>
      </c>
      <c r="AI88" s="380">
        <f t="shared" si="21"/>
        <v>250</v>
      </c>
      <c r="AJ88" s="310" t="s">
        <v>2198</v>
      </c>
      <c r="AK88" s="310" t="s">
        <v>425</v>
      </c>
      <c r="AL88" s="310" t="s">
        <v>2198</v>
      </c>
      <c r="AM88" s="303"/>
      <c r="AN88" s="332"/>
      <c r="AO88" s="303" t="s">
        <v>572</v>
      </c>
      <c r="AP88" s="303"/>
      <c r="AQ88" s="303"/>
      <c r="AR88" s="303"/>
      <c r="AS88" s="303"/>
      <c r="AT88" s="303"/>
      <c r="AU88" s="303"/>
      <c r="AV88" s="303"/>
      <c r="AW88" s="303"/>
      <c r="AX88" s="279" t="str">
        <f t="shared" si="13"/>
        <v/>
      </c>
    </row>
    <row r="89" spans="1:50" x14ac:dyDescent="0.25">
      <c r="A89" s="190" t="str">
        <f t="shared" si="15"/>
        <v/>
      </c>
      <c r="B89" s="279" t="str">
        <f t="shared" si="18"/>
        <v>350-999773</v>
      </c>
      <c r="C89" s="279"/>
      <c r="D89" s="279"/>
      <c r="E89" s="279">
        <f t="shared" si="16"/>
        <v>1</v>
      </c>
      <c r="F89" s="190" t="s">
        <v>535</v>
      </c>
      <c r="G89" s="198">
        <v>44670</v>
      </c>
      <c r="H89" s="210"/>
      <c r="I89" s="205"/>
      <c r="J89" s="205" t="s">
        <v>402</v>
      </c>
      <c r="K89" s="205" t="s">
        <v>237</v>
      </c>
      <c r="L89" s="205" t="s">
        <v>407</v>
      </c>
      <c r="M89" s="212" t="s">
        <v>560</v>
      </c>
      <c r="N89" s="212"/>
      <c r="O89" s="236"/>
      <c r="P89" s="236"/>
      <c r="Q89" s="231" t="str">
        <f t="shared" si="17"/>
        <v>. Valve Cover</v>
      </c>
      <c r="R89" s="231"/>
      <c r="S89" s="231" t="str">
        <f t="shared" si="20"/>
        <v/>
      </c>
      <c r="T89" s="231" t="str">
        <f>IF(O89&lt;&gt;"",_xlfn.XLOOKUP(O89,'3D. Pictures'!B:B,'3D. Pictures'!E:E,"NOT FOUND",0,1),"")</f>
        <v/>
      </c>
      <c r="U89" s="212"/>
      <c r="V89" s="205"/>
      <c r="W89" s="212"/>
      <c r="X89" s="205"/>
      <c r="Y89" s="205"/>
      <c r="Z89" s="205"/>
      <c r="AA89" s="205" t="s">
        <v>407</v>
      </c>
      <c r="AB89" s="205" t="s">
        <v>407</v>
      </c>
      <c r="AC89" s="358" t="str">
        <f t="shared" si="19"/>
        <v/>
      </c>
      <c r="AD89" s="205"/>
      <c r="AE89" s="205"/>
      <c r="AF89" s="201" t="s">
        <v>543</v>
      </c>
      <c r="AG89" s="205"/>
      <c r="AH89" s="16">
        <v>120</v>
      </c>
      <c r="AI89" s="380">
        <f t="shared" si="21"/>
        <v>120</v>
      </c>
      <c r="AJ89" s="204" t="s">
        <v>2176</v>
      </c>
      <c r="AK89" s="204" t="s">
        <v>425</v>
      </c>
      <c r="AL89" s="204" t="s">
        <v>2177</v>
      </c>
      <c r="AM89" s="190"/>
      <c r="AN89" s="191" t="s">
        <v>613</v>
      </c>
      <c r="AO89" s="190" t="s">
        <v>572</v>
      </c>
      <c r="AP89" s="190">
        <v>999773</v>
      </c>
      <c r="AQ89" s="190" t="str">
        <f>CONCATENATE(AN89,AO89,AP89)</f>
        <v>350-999773</v>
      </c>
      <c r="AR89" s="190"/>
      <c r="AS89" s="190"/>
      <c r="AT89" s="190"/>
      <c r="AU89" s="190"/>
      <c r="AV89" s="190"/>
      <c r="AW89" s="190"/>
      <c r="AX89" s="279" t="str">
        <f t="shared" si="13"/>
        <v/>
      </c>
    </row>
    <row r="90" spans="1:50" x14ac:dyDescent="0.25">
      <c r="A90" s="190" t="str">
        <f t="shared" si="15"/>
        <v/>
      </c>
      <c r="B90" s="294" t="str">
        <f t="shared" si="18"/>
        <v>350-998912</v>
      </c>
      <c r="C90" s="294"/>
      <c r="D90" s="294"/>
      <c r="E90" s="294">
        <f t="shared" si="16"/>
        <v>1</v>
      </c>
      <c r="F90" s="294" t="s">
        <v>535</v>
      </c>
      <c r="G90" s="295">
        <v>45244</v>
      </c>
      <c r="H90" s="323"/>
      <c r="I90" s="300"/>
      <c r="J90" s="300" t="s">
        <v>402</v>
      </c>
      <c r="K90" s="300" t="s">
        <v>237</v>
      </c>
      <c r="L90" s="300" t="s">
        <v>2211</v>
      </c>
      <c r="M90" s="336" t="s">
        <v>560</v>
      </c>
      <c r="N90" s="336"/>
      <c r="O90" s="337"/>
      <c r="P90" s="337"/>
      <c r="Q90" s="299" t="str">
        <f t="shared" si="17"/>
        <v>. Engine Cover SET 2</v>
      </c>
      <c r="R90" s="299"/>
      <c r="S90" s="299" t="str">
        <f t="shared" si="20"/>
        <v/>
      </c>
      <c r="T90" s="299" t="str">
        <f>IF(O90&lt;&gt;"",_xlfn.XLOOKUP(O90,'3D. Pictures'!B:B,'3D. Pictures'!E:E,"NOT FOUND",0,1),"")</f>
        <v/>
      </c>
      <c r="U90" s="336"/>
      <c r="V90" s="300" t="s">
        <v>2214</v>
      </c>
      <c r="W90" s="336" t="s">
        <v>111</v>
      </c>
      <c r="X90" s="300"/>
      <c r="Y90" s="205"/>
      <c r="Z90" s="300"/>
      <c r="AA90" s="300" t="s">
        <v>2211</v>
      </c>
      <c r="AB90" s="300" t="s">
        <v>2487</v>
      </c>
      <c r="AC90" s="358" t="str">
        <f t="shared" si="19"/>
        <v>SET2, single if 1 bad</v>
      </c>
      <c r="AD90" s="300" t="s">
        <v>2786</v>
      </c>
      <c r="AE90" s="300"/>
      <c r="AF90" s="302" t="s">
        <v>544</v>
      </c>
      <c r="AG90" s="300"/>
      <c r="AH90" s="16">
        <v>225</v>
      </c>
      <c r="AI90" s="380">
        <f t="shared" si="21"/>
        <v>225</v>
      </c>
      <c r="AJ90" s="301" t="s">
        <v>2198</v>
      </c>
      <c r="AK90" s="301" t="s">
        <v>425</v>
      </c>
      <c r="AL90" s="301" t="s">
        <v>2198</v>
      </c>
      <c r="AM90" s="294"/>
      <c r="AN90" s="326" t="s">
        <v>613</v>
      </c>
      <c r="AO90" s="294" t="s">
        <v>572</v>
      </c>
      <c r="AP90" s="294">
        <v>998912</v>
      </c>
      <c r="AQ90" s="294" t="str">
        <f>CONCATENATE(AN90,AO90,AP90)</f>
        <v>350-998912</v>
      </c>
      <c r="AR90" s="294"/>
      <c r="AS90" s="294"/>
      <c r="AT90" s="294"/>
      <c r="AU90" s="294"/>
      <c r="AV90" s="294"/>
      <c r="AW90" s="294"/>
      <c r="AX90" s="279" t="str">
        <f t="shared" si="13"/>
        <v/>
      </c>
    </row>
    <row r="91" spans="1:50" x14ac:dyDescent="0.25">
      <c r="A91" s="190" t="str">
        <f t="shared" si="15"/>
        <v/>
      </c>
      <c r="B91" s="311" t="str">
        <f t="shared" si="18"/>
        <v/>
      </c>
      <c r="C91" s="311"/>
      <c r="D91" s="311"/>
      <c r="E91" s="311" t="str">
        <f t="shared" si="16"/>
        <v/>
      </c>
      <c r="F91" s="311" t="s">
        <v>535</v>
      </c>
      <c r="G91" s="312">
        <v>44670</v>
      </c>
      <c r="H91" s="313"/>
      <c r="I91" s="314"/>
      <c r="J91" s="314" t="s">
        <v>405</v>
      </c>
      <c r="K91" s="314" t="s">
        <v>237</v>
      </c>
      <c r="L91" s="314" t="s">
        <v>86</v>
      </c>
      <c r="M91" s="315" t="s">
        <v>558</v>
      </c>
      <c r="N91" s="193"/>
      <c r="O91" s="316"/>
      <c r="P91" s="316"/>
      <c r="Q91" s="317" t="str">
        <f t="shared" si="17"/>
        <v>. Air Filter Engine Cover Assembly</v>
      </c>
      <c r="R91" s="317"/>
      <c r="S91" s="317" t="str">
        <f t="shared" si="20"/>
        <v/>
      </c>
      <c r="T91" s="317" t="str">
        <f>IF(O91&lt;&gt;"",_xlfn.XLOOKUP(O91,'3D. Pictures'!B:B,'3D. Pictures'!E:E,"NOT FOUND",0,1),"")</f>
        <v/>
      </c>
      <c r="U91" s="193"/>
      <c r="V91" s="318"/>
      <c r="W91" s="193"/>
      <c r="X91" s="318"/>
      <c r="Y91" s="205"/>
      <c r="Z91" s="318"/>
      <c r="AA91" s="314" t="s">
        <v>2216</v>
      </c>
      <c r="AB91" s="314" t="s">
        <v>2216</v>
      </c>
      <c r="AC91" s="359" t="str">
        <f t="shared" si="19"/>
        <v>toss this, but keep the top trim w/ engine cover</v>
      </c>
      <c r="AD91" s="314"/>
      <c r="AE91" s="314" t="s">
        <v>2217</v>
      </c>
      <c r="AF91" s="319"/>
      <c r="AG91" s="314"/>
      <c r="AH91" s="10"/>
      <c r="AI91" s="380" t="str">
        <f t="shared" si="21"/>
        <v/>
      </c>
      <c r="AJ91" s="320" t="s">
        <v>2194</v>
      </c>
      <c r="AK91" s="320" t="s">
        <v>425</v>
      </c>
      <c r="AL91" s="320" t="s">
        <v>2631</v>
      </c>
      <c r="AM91" s="311"/>
      <c r="AN91" s="311"/>
      <c r="AO91" s="311" t="s">
        <v>572</v>
      </c>
      <c r="AP91" s="311"/>
      <c r="AQ91" s="311"/>
      <c r="AR91" s="311"/>
      <c r="AS91" s="311"/>
      <c r="AT91" s="311"/>
      <c r="AU91" s="311"/>
      <c r="AV91" s="311"/>
      <c r="AW91" s="311"/>
      <c r="AX91" s="279" t="str">
        <f t="shared" si="13"/>
        <v/>
      </c>
    </row>
    <row r="92" spans="1:50" x14ac:dyDescent="0.25">
      <c r="A92" s="190" t="str">
        <f t="shared" si="15"/>
        <v/>
      </c>
      <c r="B92" s="303" t="str">
        <f t="shared" si="18"/>
        <v/>
      </c>
      <c r="C92" s="303"/>
      <c r="D92" s="279">
        <f t="shared" ref="D92" si="24">O92</f>
        <v>0</v>
      </c>
      <c r="E92" s="303" t="str">
        <f t="shared" si="16"/>
        <v/>
      </c>
      <c r="F92" s="303" t="s">
        <v>535</v>
      </c>
      <c r="G92" s="304">
        <v>45245</v>
      </c>
      <c r="H92" s="305"/>
      <c r="I92" s="306"/>
      <c r="J92" s="306" t="s">
        <v>402</v>
      </c>
      <c r="K92" s="306" t="s">
        <v>237</v>
      </c>
      <c r="L92" s="306" t="s">
        <v>2716</v>
      </c>
      <c r="M92" s="343" t="s">
        <v>559</v>
      </c>
      <c r="N92" s="343"/>
      <c r="O92" s="344"/>
      <c r="P92" s="344"/>
      <c r="Q92" s="307" t="str">
        <f t="shared" si="17"/>
        <v>. VVT Timing Solenoid SET 2</v>
      </c>
      <c r="R92" s="307"/>
      <c r="S92" s="307" t="str">
        <f t="shared" si="20"/>
        <v/>
      </c>
      <c r="T92" s="307" t="str">
        <f>IF(O92&lt;&gt;"",_xlfn.XLOOKUP(O92,'3D. Pictures'!B:B,'3D. Pictures'!E:E,"NOT FOUND",0,1),"")</f>
        <v/>
      </c>
      <c r="U92" s="343"/>
      <c r="V92" s="306" t="s">
        <v>2330</v>
      </c>
      <c r="W92" s="343" t="s">
        <v>111</v>
      </c>
      <c r="X92" s="306"/>
      <c r="Y92" s="205"/>
      <c r="Z92" s="306"/>
      <c r="AA92" s="306" t="s">
        <v>2716</v>
      </c>
      <c r="AB92" s="306" t="s">
        <v>2740</v>
      </c>
      <c r="AC92" s="358" t="str">
        <f t="shared" si="19"/>
        <v>SET 2, for V8 do 2 sets of SET 2 | 2 per head (ALL identical)</v>
      </c>
      <c r="AD92" s="306" t="s">
        <v>2814</v>
      </c>
      <c r="AE92" s="306" t="s">
        <v>2331</v>
      </c>
      <c r="AF92" s="309" t="s">
        <v>544</v>
      </c>
      <c r="AG92" s="306" t="s">
        <v>2729</v>
      </c>
      <c r="AH92" s="16">
        <v>60</v>
      </c>
      <c r="AI92" s="380">
        <f t="shared" si="21"/>
        <v>60</v>
      </c>
      <c r="AJ92" s="310" t="s">
        <v>2329</v>
      </c>
      <c r="AK92" s="310" t="s">
        <v>425</v>
      </c>
      <c r="AL92" s="310" t="s">
        <v>2631</v>
      </c>
      <c r="AM92" s="303"/>
      <c r="AN92" s="332"/>
      <c r="AO92" s="303"/>
      <c r="AP92" s="303"/>
      <c r="AQ92" s="303"/>
      <c r="AR92" s="303"/>
      <c r="AS92" s="303"/>
      <c r="AT92" s="303"/>
      <c r="AU92" s="303"/>
      <c r="AV92" s="303"/>
      <c r="AW92" s="303"/>
      <c r="AX92" s="279" t="str">
        <f t="shared" si="13"/>
        <v/>
      </c>
    </row>
    <row r="93" spans="1:50" ht="15.75" thickBot="1" x14ac:dyDescent="0.3">
      <c r="A93" s="190" t="str">
        <f t="shared" si="15"/>
        <v/>
      </c>
      <c r="B93" s="279" t="str">
        <f t="shared" si="18"/>
        <v>324-58675</v>
      </c>
      <c r="C93" s="279"/>
      <c r="D93" s="279"/>
      <c r="E93" s="279">
        <f t="shared" si="16"/>
        <v>1</v>
      </c>
      <c r="F93" s="190" t="s">
        <v>536</v>
      </c>
      <c r="G93" s="198">
        <v>45099</v>
      </c>
      <c r="H93" s="210"/>
      <c r="I93" s="205"/>
      <c r="J93" s="206" t="s">
        <v>402</v>
      </c>
      <c r="K93" s="206" t="s">
        <v>237</v>
      </c>
      <c r="L93" s="206" t="s">
        <v>663</v>
      </c>
      <c r="M93" s="192" t="s">
        <v>558</v>
      </c>
      <c r="N93" s="192"/>
      <c r="O93" s="229"/>
      <c r="P93" s="229"/>
      <c r="Q93" s="231" t="str">
        <f t="shared" si="17"/>
        <v>. Water Pump, Electric (big, aluminum)</v>
      </c>
      <c r="R93" s="231"/>
      <c r="S93" s="231" t="str">
        <f t="shared" si="20"/>
        <v/>
      </c>
      <c r="T93" s="231" t="str">
        <f>IF(O93&lt;&gt;"",_xlfn.XLOOKUP(O93,'3D. Pictures'!B:B,'3D. Pictures'!E:E,"NOT FOUND",0,1),"")</f>
        <v/>
      </c>
      <c r="U93" s="229"/>
      <c r="V93" s="206"/>
      <c r="W93" s="229"/>
      <c r="X93" s="206"/>
      <c r="Y93" s="205"/>
      <c r="Z93" s="206"/>
      <c r="AA93" s="206" t="s">
        <v>2196</v>
      </c>
      <c r="AB93" s="206" t="s">
        <v>2196</v>
      </c>
      <c r="AC93" s="231" t="str">
        <f t="shared" si="19"/>
        <v/>
      </c>
      <c r="AD93" s="206"/>
      <c r="AE93" s="206"/>
      <c r="AF93" s="201" t="s">
        <v>543</v>
      </c>
      <c r="AG93" s="205"/>
      <c r="AH93" s="363">
        <v>125</v>
      </c>
      <c r="AI93" s="380">
        <f t="shared" si="21"/>
        <v>125</v>
      </c>
      <c r="AJ93" s="204" t="s">
        <v>2176</v>
      </c>
      <c r="AK93" s="204" t="s">
        <v>425</v>
      </c>
      <c r="AL93" s="204" t="s">
        <v>2177</v>
      </c>
      <c r="AM93" s="190"/>
      <c r="AN93" s="191" t="s">
        <v>614</v>
      </c>
      <c r="AO93" s="190" t="s">
        <v>572</v>
      </c>
      <c r="AP93" s="190">
        <v>58675</v>
      </c>
      <c r="AQ93" s="190" t="str">
        <f>CONCATENATE(AN93,AO93,AP93)</f>
        <v>324-58675</v>
      </c>
      <c r="AR93" s="190"/>
      <c r="AS93" s="190"/>
      <c r="AT93" s="190"/>
      <c r="AU93" s="190"/>
      <c r="AV93" s="190"/>
      <c r="AW93" s="190"/>
      <c r="AX93" s="279" t="str">
        <f t="shared" si="13"/>
        <v/>
      </c>
    </row>
    <row r="94" spans="1:50" ht="15.75" thickBot="1" x14ac:dyDescent="0.3">
      <c r="A94" s="190" t="str">
        <f t="shared" si="15"/>
        <v/>
      </c>
      <c r="B94" s="303" t="str">
        <f t="shared" si="18"/>
        <v/>
      </c>
      <c r="C94" s="303"/>
      <c r="D94" s="303"/>
      <c r="E94" s="303" t="str">
        <f t="shared" si="16"/>
        <v/>
      </c>
      <c r="F94" s="303" t="s">
        <v>536</v>
      </c>
      <c r="G94" s="304">
        <v>45099</v>
      </c>
      <c r="H94" s="305"/>
      <c r="I94" s="306"/>
      <c r="J94" s="306" t="s">
        <v>402</v>
      </c>
      <c r="K94" s="306" t="s">
        <v>237</v>
      </c>
      <c r="L94" s="306" t="s">
        <v>663</v>
      </c>
      <c r="M94" s="306" t="s">
        <v>558</v>
      </c>
      <c r="N94" s="306"/>
      <c r="O94" s="307"/>
      <c r="P94" s="307"/>
      <c r="Q94" s="307" t="str">
        <f t="shared" si="17"/>
        <v>. Water Pump, Electric (small, plastic)</v>
      </c>
      <c r="R94" s="308"/>
      <c r="S94" s="375" t="str">
        <f t="shared" si="20"/>
        <v/>
      </c>
      <c r="T94" s="379" t="str">
        <f>IF(O94&lt;&gt;"",_xlfn.XLOOKUP(O94,'3D. Pictures'!B:B,'3D. Pictures'!E:E,"NOT FOUND",0,1),"")</f>
        <v/>
      </c>
      <c r="U94" s="306"/>
      <c r="V94" s="306"/>
      <c r="W94" s="306"/>
      <c r="X94" s="306"/>
      <c r="Y94" s="205"/>
      <c r="Z94" s="306"/>
      <c r="AA94" s="306" t="s">
        <v>2195</v>
      </c>
      <c r="AB94" s="306" t="s">
        <v>2195</v>
      </c>
      <c r="AC94" s="358" t="str">
        <f t="shared" si="19"/>
        <v>leave on bracket</v>
      </c>
      <c r="AD94" s="306" t="s">
        <v>2197</v>
      </c>
      <c r="AE94" s="306"/>
      <c r="AF94" s="309" t="s">
        <v>543</v>
      </c>
      <c r="AG94" s="306"/>
      <c r="AH94" s="16">
        <v>55</v>
      </c>
      <c r="AI94" s="380">
        <f t="shared" si="21"/>
        <v>55</v>
      </c>
      <c r="AJ94" s="310" t="s">
        <v>2194</v>
      </c>
      <c r="AK94" s="310" t="s">
        <v>425</v>
      </c>
      <c r="AL94" s="310" t="s">
        <v>2631</v>
      </c>
      <c r="AM94" s="303"/>
      <c r="AN94" s="303"/>
      <c r="AO94" s="303"/>
      <c r="AP94" s="303"/>
      <c r="AQ94" s="303"/>
      <c r="AR94" s="303"/>
      <c r="AS94" s="303" t="s">
        <v>1028</v>
      </c>
      <c r="AT94" s="303" t="s">
        <v>2280</v>
      </c>
      <c r="AU94" s="303" t="s">
        <v>1030</v>
      </c>
      <c r="AV94" s="303" t="str">
        <f t="shared" ref="AV94" si="25">CONCATENATE(AS94,"-",AT94,"-",AU94)</f>
        <v>F15-14-18 3.0L N55, 14-18 4.4TT N63T-ALL</v>
      </c>
      <c r="AW94" s="303" t="s">
        <v>2375</v>
      </c>
      <c r="AX94" s="279" t="str">
        <f t="shared" si="13"/>
        <v>F15-14-18 3.0L N55, 14-18 4.4TT N63T-ALL-Viking9</v>
      </c>
    </row>
    <row r="95" spans="1:50" x14ac:dyDescent="0.25">
      <c r="A95" s="190" t="str">
        <f t="shared" si="15"/>
        <v/>
      </c>
      <c r="B95" s="279" t="str">
        <f t="shared" si="18"/>
        <v/>
      </c>
      <c r="C95" s="279"/>
      <c r="D95" s="279"/>
      <c r="E95" s="279" t="str">
        <f t="shared" si="16"/>
        <v/>
      </c>
      <c r="F95" t="s">
        <v>536</v>
      </c>
      <c r="G95" s="188">
        <v>45099</v>
      </c>
      <c r="H95" s="19" t="s">
        <v>81</v>
      </c>
      <c r="I95" s="99"/>
      <c r="J95" s="99" t="s">
        <v>402</v>
      </c>
      <c r="K95" s="99" t="s">
        <v>237</v>
      </c>
      <c r="L95" s="99" t="s">
        <v>388</v>
      </c>
      <c r="M95" s="16" t="s">
        <v>559</v>
      </c>
      <c r="N95" s="16"/>
      <c r="O95" s="166"/>
      <c r="P95" s="166"/>
      <c r="Q95" s="231" t="str">
        <f t="shared" si="17"/>
        <v xml:space="preserve">. Wiring Harness, Engine </v>
      </c>
      <c r="R95" s="231"/>
      <c r="S95" s="231" t="str">
        <f t="shared" si="20"/>
        <v/>
      </c>
      <c r="T95" s="231" t="str">
        <f>IF(O95&lt;&gt;"",_xlfn.XLOOKUP(O95,'3D. Pictures'!B:B,'3D. Pictures'!E:E,"NOT FOUND",0,1),"")</f>
        <v/>
      </c>
      <c r="U95" s="16"/>
      <c r="V95" s="16"/>
      <c r="W95" s="16"/>
      <c r="X95" s="16"/>
      <c r="Y95" s="205"/>
      <c r="Z95" s="16"/>
      <c r="AA95" s="99" t="s">
        <v>388</v>
      </c>
      <c r="AB95" s="99" t="s">
        <v>388</v>
      </c>
      <c r="AC95" s="360" t="str">
        <f t="shared" si="19"/>
        <v/>
      </c>
      <c r="AD95" s="99"/>
      <c r="AE95" s="99"/>
      <c r="AF95" s="168" t="s">
        <v>543</v>
      </c>
      <c r="AG95" s="99"/>
      <c r="AH95" s="99">
        <v>200</v>
      </c>
      <c r="AI95" s="380">
        <f t="shared" si="21"/>
        <v>200</v>
      </c>
      <c r="AJ95" s="181" t="s">
        <v>2176</v>
      </c>
      <c r="AK95" s="181" t="s">
        <v>425</v>
      </c>
      <c r="AL95" s="204" t="s">
        <v>2177</v>
      </c>
      <c r="AM95" s="138" t="s">
        <v>81</v>
      </c>
      <c r="AX95" s="279" t="str">
        <f t="shared" si="13"/>
        <v/>
      </c>
    </row>
    <row r="96" spans="1:50" x14ac:dyDescent="0.25">
      <c r="A96" s="190" t="str">
        <f t="shared" si="15"/>
        <v/>
      </c>
      <c r="B96" s="311" t="str">
        <f t="shared" si="18"/>
        <v/>
      </c>
      <c r="C96" s="311"/>
      <c r="D96" s="311"/>
      <c r="E96" s="311" t="str">
        <f t="shared" si="16"/>
        <v/>
      </c>
      <c r="F96" s="311" t="s">
        <v>535</v>
      </c>
      <c r="G96" s="312">
        <v>45245</v>
      </c>
      <c r="H96" s="313"/>
      <c r="I96" s="314"/>
      <c r="J96" s="314" t="s">
        <v>405</v>
      </c>
      <c r="K96" s="314" t="s">
        <v>237</v>
      </c>
      <c r="L96" s="314" t="s">
        <v>388</v>
      </c>
      <c r="M96" s="315" t="s">
        <v>559</v>
      </c>
      <c r="N96" s="193"/>
      <c r="O96" s="316"/>
      <c r="P96" s="316"/>
      <c r="Q96" s="317" t="str">
        <f t="shared" si="17"/>
        <v xml:space="preserve">. Wiring Harness, Engine </v>
      </c>
      <c r="R96" s="317"/>
      <c r="S96" s="317" t="str">
        <f t="shared" si="20"/>
        <v/>
      </c>
      <c r="T96" s="317" t="str">
        <f>IF(O96&lt;&gt;"",_xlfn.XLOOKUP(O96,'3D. Pictures'!B:B,'3D. Pictures'!E:E,"NOT FOUND",0,1),"")</f>
        <v/>
      </c>
      <c r="U96" s="193"/>
      <c r="V96" s="318"/>
      <c r="W96" s="193"/>
      <c r="X96" s="318"/>
      <c r="Y96" s="205"/>
      <c r="Z96" s="318"/>
      <c r="AA96" s="314" t="s">
        <v>388</v>
      </c>
      <c r="AB96" s="314" t="s">
        <v>388</v>
      </c>
      <c r="AC96" s="359" t="str">
        <f t="shared" si="19"/>
        <v/>
      </c>
      <c r="AD96" s="314"/>
      <c r="AE96" s="314"/>
      <c r="AF96" s="319"/>
      <c r="AG96" s="314"/>
      <c r="AH96" s="10"/>
      <c r="AI96" s="380">
        <f t="shared" si="21"/>
        <v>200</v>
      </c>
      <c r="AJ96" s="320" t="s">
        <v>2198</v>
      </c>
      <c r="AK96" s="320" t="s">
        <v>425</v>
      </c>
      <c r="AL96" s="320" t="s">
        <v>2198</v>
      </c>
      <c r="AM96" s="311"/>
      <c r="AN96" s="311"/>
      <c r="AO96" s="311"/>
      <c r="AP96" s="311"/>
      <c r="AQ96" s="311"/>
      <c r="AR96" s="311"/>
      <c r="AS96" s="311"/>
      <c r="AT96" s="311"/>
      <c r="AU96" s="311"/>
      <c r="AV96" s="311"/>
      <c r="AW96" s="311"/>
      <c r="AX96" s="279" t="str">
        <f t="shared" si="13"/>
        <v/>
      </c>
    </row>
    <row r="97" spans="1:50" x14ac:dyDescent="0.25">
      <c r="A97" s="190" t="str">
        <f t="shared" si="15"/>
        <v/>
      </c>
      <c r="B97" s="311" t="str">
        <f t="shared" si="18"/>
        <v/>
      </c>
      <c r="C97" s="311"/>
      <c r="D97" s="311"/>
      <c r="E97" s="311" t="str">
        <f t="shared" si="16"/>
        <v/>
      </c>
      <c r="F97" s="311" t="s">
        <v>536</v>
      </c>
      <c r="G97" s="312">
        <v>45099</v>
      </c>
      <c r="H97" s="313"/>
      <c r="I97" s="314"/>
      <c r="J97" s="314" t="s">
        <v>405</v>
      </c>
      <c r="K97" s="314" t="s">
        <v>237</v>
      </c>
      <c r="L97" s="314" t="s">
        <v>2715</v>
      </c>
      <c r="M97" s="315" t="s">
        <v>559</v>
      </c>
      <c r="N97" s="193"/>
      <c r="O97" s="316"/>
      <c r="P97" s="316"/>
      <c r="Q97" s="317" t="str">
        <f t="shared" si="17"/>
        <v>. Camshaft Position Sensor</v>
      </c>
      <c r="R97" s="317"/>
      <c r="S97" s="317" t="str">
        <f t="shared" si="20"/>
        <v/>
      </c>
      <c r="T97" s="317" t="str">
        <f>IF(O97&lt;&gt;"",_xlfn.XLOOKUP(O97,'3D. Pictures'!B:B,'3D. Pictures'!E:E,"NOT FOUND",0,1),"")</f>
        <v/>
      </c>
      <c r="U97" s="193"/>
      <c r="V97" s="318"/>
      <c r="W97" s="193"/>
      <c r="X97" s="318"/>
      <c r="Y97" s="205"/>
      <c r="Z97" s="318"/>
      <c r="AA97" s="314" t="s">
        <v>517</v>
      </c>
      <c r="AB97" s="314" t="s">
        <v>517</v>
      </c>
      <c r="AC97" s="359" t="str">
        <f t="shared" si="19"/>
        <v/>
      </c>
      <c r="AD97" s="314"/>
      <c r="AE97" s="314"/>
      <c r="AF97" s="319"/>
      <c r="AG97" s="314"/>
      <c r="AH97" s="10"/>
      <c r="AI97" s="380" t="str">
        <f t="shared" si="21"/>
        <v/>
      </c>
      <c r="AJ97" s="320" t="s">
        <v>408</v>
      </c>
      <c r="AK97" s="320" t="s">
        <v>425</v>
      </c>
      <c r="AL97" s="320" t="s">
        <v>2175</v>
      </c>
      <c r="AM97" s="311"/>
      <c r="AN97" s="311"/>
      <c r="AO97" s="311"/>
      <c r="AP97" s="311"/>
      <c r="AQ97" s="311"/>
      <c r="AR97" s="311"/>
      <c r="AS97" s="311"/>
      <c r="AT97" s="311"/>
      <c r="AU97" s="311"/>
      <c r="AV97" s="311"/>
      <c r="AW97" s="311"/>
      <c r="AX97" s="279" t="str">
        <f t="shared" si="13"/>
        <v/>
      </c>
    </row>
    <row r="98" spans="1:50" x14ac:dyDescent="0.25">
      <c r="A98" s="190" t="str">
        <f t="shared" si="15"/>
        <v/>
      </c>
      <c r="B98" s="311" t="str">
        <f t="shared" si="18"/>
        <v/>
      </c>
      <c r="C98" s="311"/>
      <c r="D98" s="311"/>
      <c r="E98" s="311" t="str">
        <f t="shared" si="16"/>
        <v/>
      </c>
      <c r="F98" s="311" t="s">
        <v>536</v>
      </c>
      <c r="G98" s="312">
        <v>45099</v>
      </c>
      <c r="H98" s="313"/>
      <c r="I98" s="314"/>
      <c r="J98" s="314" t="s">
        <v>405</v>
      </c>
      <c r="K98" s="314" t="s">
        <v>237</v>
      </c>
      <c r="L98" s="314" t="s">
        <v>518</v>
      </c>
      <c r="M98" s="315" t="s">
        <v>559</v>
      </c>
      <c r="N98" s="193"/>
      <c r="O98" s="316"/>
      <c r="P98" s="316"/>
      <c r="Q98" s="317" t="str">
        <f t="shared" si="17"/>
        <v>. Fuel Tank Ventilation Valve</v>
      </c>
      <c r="R98" s="317"/>
      <c r="S98" s="317" t="str">
        <f t="shared" si="20"/>
        <v/>
      </c>
      <c r="T98" s="317" t="str">
        <f>IF(O98&lt;&gt;"",_xlfn.XLOOKUP(O98,'3D. Pictures'!B:B,'3D. Pictures'!E:E,"NOT FOUND",0,1),"")</f>
        <v/>
      </c>
      <c r="U98" s="193"/>
      <c r="V98" s="318"/>
      <c r="W98" s="193"/>
      <c r="X98" s="318"/>
      <c r="Y98" s="205"/>
      <c r="Z98" s="318"/>
      <c r="AA98" s="314" t="s">
        <v>518</v>
      </c>
      <c r="AB98" s="314" t="s">
        <v>518</v>
      </c>
      <c r="AC98" s="359" t="str">
        <f t="shared" si="19"/>
        <v/>
      </c>
      <c r="AD98" s="314"/>
      <c r="AE98" s="314"/>
      <c r="AF98" s="319"/>
      <c r="AG98" s="314"/>
      <c r="AH98" s="10"/>
      <c r="AI98" s="380" t="str">
        <f t="shared" si="21"/>
        <v/>
      </c>
      <c r="AJ98" s="320" t="s">
        <v>408</v>
      </c>
      <c r="AK98" s="320" t="s">
        <v>425</v>
      </c>
      <c r="AL98" s="320" t="s">
        <v>2175</v>
      </c>
      <c r="AM98" s="311"/>
      <c r="AN98" s="311"/>
      <c r="AO98" s="311"/>
      <c r="AP98" s="311"/>
      <c r="AQ98" s="311"/>
      <c r="AR98" s="311"/>
      <c r="AS98" s="311"/>
      <c r="AT98" s="311"/>
      <c r="AU98" s="311"/>
      <c r="AV98" s="311"/>
      <c r="AW98" s="311"/>
      <c r="AX98" s="279" t="str">
        <f t="shared" si="13"/>
        <v/>
      </c>
    </row>
    <row r="99" spans="1:50" x14ac:dyDescent="0.25">
      <c r="A99" s="190" t="str">
        <f t="shared" si="15"/>
        <v/>
      </c>
      <c r="B99" s="311" t="str">
        <f t="shared" si="18"/>
        <v/>
      </c>
      <c r="C99" s="311"/>
      <c r="D99" s="311"/>
      <c r="E99" s="311" t="str">
        <f t="shared" si="16"/>
        <v/>
      </c>
      <c r="F99" s="311" t="s">
        <v>536</v>
      </c>
      <c r="G99" s="312">
        <v>45099</v>
      </c>
      <c r="H99" s="313"/>
      <c r="I99" s="314"/>
      <c r="J99" s="314" t="s">
        <v>405</v>
      </c>
      <c r="K99" s="314" t="s">
        <v>237</v>
      </c>
      <c r="L99" s="314" t="s">
        <v>2715</v>
      </c>
      <c r="M99" s="315" t="s">
        <v>559</v>
      </c>
      <c r="N99" s="193"/>
      <c r="O99" s="316"/>
      <c r="P99" s="316"/>
      <c r="Q99" s="317" t="str">
        <f t="shared" si="17"/>
        <v>. Map Pressure Sensor</v>
      </c>
      <c r="R99" s="317"/>
      <c r="S99" s="317" t="str">
        <f t="shared" si="20"/>
        <v/>
      </c>
      <c r="T99" s="317" t="str">
        <f>IF(O99&lt;&gt;"",_xlfn.XLOOKUP(O99,'3D. Pictures'!B:B,'3D. Pictures'!E:E,"NOT FOUND",0,1),"")</f>
        <v/>
      </c>
      <c r="U99" s="193"/>
      <c r="V99" s="318"/>
      <c r="W99" s="193"/>
      <c r="X99" s="318"/>
      <c r="Y99" s="205"/>
      <c r="Z99" s="318"/>
      <c r="AA99" s="314" t="s">
        <v>519</v>
      </c>
      <c r="AB99" s="314" t="s">
        <v>519</v>
      </c>
      <c r="AC99" s="359" t="str">
        <f t="shared" si="19"/>
        <v/>
      </c>
      <c r="AD99" s="314"/>
      <c r="AE99" s="314"/>
      <c r="AF99" s="319"/>
      <c r="AG99" s="314"/>
      <c r="AH99" s="10"/>
      <c r="AI99" s="380" t="str">
        <f t="shared" si="21"/>
        <v/>
      </c>
      <c r="AJ99" s="320" t="s">
        <v>408</v>
      </c>
      <c r="AK99" s="320" t="s">
        <v>425</v>
      </c>
      <c r="AL99" s="320" t="s">
        <v>2175</v>
      </c>
      <c r="AM99" s="311"/>
      <c r="AN99" s="311"/>
      <c r="AO99" s="311"/>
      <c r="AP99" s="311"/>
      <c r="AQ99" s="311"/>
      <c r="AR99" s="311"/>
      <c r="AS99" s="311"/>
      <c r="AT99" s="311"/>
      <c r="AU99" s="311"/>
      <c r="AV99" s="311"/>
      <c r="AW99" s="311"/>
      <c r="AX99" s="279" t="str">
        <f t="shared" si="13"/>
        <v/>
      </c>
    </row>
    <row r="100" spans="1:50" x14ac:dyDescent="0.25">
      <c r="A100" s="190" t="str">
        <f t="shared" si="15"/>
        <v/>
      </c>
      <c r="B100" s="311" t="str">
        <f t="shared" si="18"/>
        <v/>
      </c>
      <c r="C100" s="311"/>
      <c r="D100" s="311"/>
      <c r="E100" s="311" t="str">
        <f t="shared" si="16"/>
        <v/>
      </c>
      <c r="F100" s="311" t="s">
        <v>535</v>
      </c>
      <c r="G100" s="312">
        <v>44670</v>
      </c>
      <c r="H100" s="313"/>
      <c r="I100" s="314"/>
      <c r="J100" s="314" t="s">
        <v>405</v>
      </c>
      <c r="K100" s="314" t="s">
        <v>237</v>
      </c>
      <c r="L100" s="314" t="s">
        <v>86</v>
      </c>
      <c r="M100" s="315" t="s">
        <v>558</v>
      </c>
      <c r="N100" s="193"/>
      <c r="O100" s="316"/>
      <c r="P100" s="316"/>
      <c r="Q100" s="317" t="str">
        <f t="shared" si="17"/>
        <v>. Starter</v>
      </c>
      <c r="R100" s="317"/>
      <c r="S100" s="317" t="str">
        <f t="shared" si="20"/>
        <v/>
      </c>
      <c r="T100" s="317" t="str">
        <f>IF(O100&lt;&gt;"",_xlfn.XLOOKUP(O100,'3D. Pictures'!B:B,'3D. Pictures'!E:E,"NOT FOUND",0,1),"")</f>
        <v/>
      </c>
      <c r="U100" s="193"/>
      <c r="V100" s="318"/>
      <c r="W100" s="193"/>
      <c r="X100" s="318"/>
      <c r="Y100" s="205"/>
      <c r="Z100" s="318"/>
      <c r="AA100" s="314" t="s">
        <v>86</v>
      </c>
      <c r="AB100" s="314" t="s">
        <v>86</v>
      </c>
      <c r="AC100" s="359" t="str">
        <f t="shared" si="19"/>
        <v/>
      </c>
      <c r="AD100" s="314"/>
      <c r="AE100" s="314"/>
      <c r="AF100" s="319"/>
      <c r="AG100" s="314"/>
      <c r="AH100" s="10"/>
      <c r="AI100" s="380" t="str">
        <f t="shared" si="21"/>
        <v/>
      </c>
      <c r="AJ100" s="320" t="s">
        <v>2194</v>
      </c>
      <c r="AK100" s="320" t="s">
        <v>425</v>
      </c>
      <c r="AL100" s="320" t="s">
        <v>2631</v>
      </c>
      <c r="AM100" s="311"/>
      <c r="AN100" s="311"/>
      <c r="AO100" s="311" t="s">
        <v>572</v>
      </c>
      <c r="AP100" s="311"/>
      <c r="AQ100" s="311"/>
      <c r="AR100" s="311"/>
      <c r="AS100" s="311"/>
      <c r="AT100" s="311"/>
      <c r="AU100" s="311"/>
      <c r="AV100" s="311"/>
      <c r="AW100" s="311"/>
      <c r="AX100" s="279" t="str">
        <f t="shared" si="13"/>
        <v/>
      </c>
    </row>
    <row r="101" spans="1:50" x14ac:dyDescent="0.25">
      <c r="A101" s="190" t="str">
        <f t="shared" si="15"/>
        <v/>
      </c>
      <c r="B101" s="311" t="str">
        <f t="shared" si="18"/>
        <v/>
      </c>
      <c r="C101" s="311"/>
      <c r="D101" s="311"/>
      <c r="E101" s="311" t="str">
        <f t="shared" si="16"/>
        <v/>
      </c>
      <c r="F101" s="311" t="s">
        <v>535</v>
      </c>
      <c r="G101" s="312">
        <v>44670</v>
      </c>
      <c r="H101" s="314"/>
      <c r="I101" s="314"/>
      <c r="J101" s="314" t="s">
        <v>405</v>
      </c>
      <c r="K101" s="314" t="s">
        <v>237</v>
      </c>
      <c r="L101" s="314" t="s">
        <v>2671</v>
      </c>
      <c r="M101" s="318" t="s">
        <v>559</v>
      </c>
      <c r="N101" s="318"/>
      <c r="O101" s="317"/>
      <c r="P101" s="317"/>
      <c r="Q101" s="317" t="str">
        <f t="shared" si="17"/>
        <v>. Tensioners &amp; Timing Guides (TOSS ALL)</v>
      </c>
      <c r="R101" s="317"/>
      <c r="S101" s="317" t="str">
        <f t="shared" si="20"/>
        <v/>
      </c>
      <c r="T101" s="317" t="str">
        <f>IF(O101&lt;&gt;"",_xlfn.XLOOKUP(O101,'3D. Pictures'!B:B,'3D. Pictures'!E:E,"NOT FOUND",0,1),"")</f>
        <v/>
      </c>
      <c r="U101" s="318"/>
      <c r="V101" s="318"/>
      <c r="W101" s="318"/>
      <c r="X101" s="318"/>
      <c r="Y101" s="205"/>
      <c r="Z101" s="318"/>
      <c r="AA101" s="314" t="s">
        <v>406</v>
      </c>
      <c r="AB101" s="314" t="s">
        <v>406</v>
      </c>
      <c r="AC101" s="359" t="str">
        <f t="shared" si="19"/>
        <v/>
      </c>
      <c r="AD101" s="314"/>
      <c r="AE101" s="314"/>
      <c r="AF101" s="321"/>
      <c r="AG101" s="322"/>
      <c r="AH101" s="366"/>
      <c r="AI101" s="380" t="str">
        <f t="shared" si="21"/>
        <v/>
      </c>
      <c r="AJ101" s="320" t="s">
        <v>408</v>
      </c>
      <c r="AK101" s="320" t="s">
        <v>425</v>
      </c>
      <c r="AL101" s="320" t="s">
        <v>2175</v>
      </c>
      <c r="AM101" s="311"/>
      <c r="AN101" s="311"/>
      <c r="AO101" s="311"/>
      <c r="AP101" s="311"/>
      <c r="AQ101" s="311"/>
      <c r="AR101" s="311"/>
      <c r="AS101" s="311"/>
      <c r="AT101" s="311"/>
      <c r="AU101" s="311"/>
      <c r="AV101" s="311"/>
      <c r="AW101" s="311"/>
      <c r="AX101" s="279" t="str">
        <f t="shared" si="13"/>
        <v/>
      </c>
    </row>
    <row r="102" spans="1:50" x14ac:dyDescent="0.25">
      <c r="A102" s="190" t="str">
        <f t="shared" si="15"/>
        <v/>
      </c>
      <c r="B102" s="311" t="str">
        <f t="shared" si="18"/>
        <v/>
      </c>
      <c r="C102" s="311"/>
      <c r="D102" s="311"/>
      <c r="E102" s="311" t="str">
        <f t="shared" si="16"/>
        <v/>
      </c>
      <c r="F102" s="311" t="s">
        <v>535</v>
      </c>
      <c r="G102" s="312">
        <v>44670</v>
      </c>
      <c r="H102" s="313"/>
      <c r="I102" s="314"/>
      <c r="J102" s="314" t="s">
        <v>405</v>
      </c>
      <c r="K102" s="314" t="s">
        <v>237</v>
      </c>
      <c r="L102" s="314" t="s">
        <v>43</v>
      </c>
      <c r="M102" s="315" t="s">
        <v>558</v>
      </c>
      <c r="N102" s="193"/>
      <c r="O102" s="316"/>
      <c r="P102" s="316"/>
      <c r="Q102" s="317" t="str">
        <f t="shared" si="17"/>
        <v>. Throttle Body</v>
      </c>
      <c r="R102" s="317"/>
      <c r="S102" s="317" t="str">
        <f t="shared" si="20"/>
        <v/>
      </c>
      <c r="T102" s="317" t="str">
        <f>IF(O102&lt;&gt;"",_xlfn.XLOOKUP(O102,'3D. Pictures'!B:B,'3D. Pictures'!E:E,"NOT FOUND",0,1),"")</f>
        <v/>
      </c>
      <c r="U102" s="193"/>
      <c r="V102" s="318"/>
      <c r="W102" s="193"/>
      <c r="X102" s="318"/>
      <c r="Y102" s="205"/>
      <c r="Z102" s="318"/>
      <c r="AA102" s="314" t="s">
        <v>43</v>
      </c>
      <c r="AB102" s="314" t="s">
        <v>43</v>
      </c>
      <c r="AC102" s="359" t="str">
        <f t="shared" si="19"/>
        <v/>
      </c>
      <c r="AD102" s="314"/>
      <c r="AE102" s="314"/>
      <c r="AF102" s="319"/>
      <c r="AG102" s="314"/>
      <c r="AH102" s="10"/>
      <c r="AI102" s="380" t="str">
        <f t="shared" si="21"/>
        <v/>
      </c>
      <c r="AJ102" s="320" t="s">
        <v>2194</v>
      </c>
      <c r="AK102" s="320" t="s">
        <v>425</v>
      </c>
      <c r="AL102" s="320" t="s">
        <v>2631</v>
      </c>
      <c r="AM102" s="311"/>
      <c r="AN102" s="311"/>
      <c r="AO102" s="311" t="s">
        <v>572</v>
      </c>
      <c r="AP102" s="311"/>
      <c r="AQ102" s="311"/>
      <c r="AR102" s="311"/>
      <c r="AS102" s="311"/>
      <c r="AT102" s="311"/>
      <c r="AU102" s="311"/>
      <c r="AV102" s="311"/>
      <c r="AW102" s="311"/>
      <c r="AX102" s="279" t="str">
        <f t="shared" si="13"/>
        <v/>
      </c>
    </row>
    <row r="103" spans="1:50" x14ac:dyDescent="0.25">
      <c r="A103" s="190" t="str">
        <f t="shared" si="15"/>
        <v/>
      </c>
      <c r="B103" s="311" t="str">
        <f t="shared" si="18"/>
        <v/>
      </c>
      <c r="C103" s="311"/>
      <c r="D103" s="311"/>
      <c r="E103" s="311" t="str">
        <f t="shared" si="16"/>
        <v/>
      </c>
      <c r="F103" s="311" t="s">
        <v>535</v>
      </c>
      <c r="G103" s="312">
        <v>45245</v>
      </c>
      <c r="H103" s="313"/>
      <c r="I103" s="314"/>
      <c r="J103" s="314" t="s">
        <v>405</v>
      </c>
      <c r="K103" s="314" t="s">
        <v>237</v>
      </c>
      <c r="L103" s="314" t="s">
        <v>2715</v>
      </c>
      <c r="M103" s="315" t="s">
        <v>558</v>
      </c>
      <c r="N103" s="193"/>
      <c r="O103" s="316"/>
      <c r="P103" s="316"/>
      <c r="Q103" s="317" t="str">
        <f t="shared" si="17"/>
        <v>. Knock Sensors</v>
      </c>
      <c r="R103" s="317"/>
      <c r="S103" s="317" t="str">
        <f t="shared" si="20"/>
        <v/>
      </c>
      <c r="T103" s="317" t="str">
        <f>IF(O103&lt;&gt;"",_xlfn.XLOOKUP(O103,'3D. Pictures'!B:B,'3D. Pictures'!E:E,"NOT FOUND",0,1),"")</f>
        <v/>
      </c>
      <c r="U103" s="193"/>
      <c r="V103" s="318"/>
      <c r="W103" s="193"/>
      <c r="X103" s="318"/>
      <c r="Y103" s="205"/>
      <c r="Z103" s="318"/>
      <c r="AA103" s="314" t="s">
        <v>2279</v>
      </c>
      <c r="AB103" s="314" t="s">
        <v>2279</v>
      </c>
      <c r="AC103" s="359" t="str">
        <f t="shared" si="19"/>
        <v/>
      </c>
      <c r="AD103" s="314"/>
      <c r="AE103" s="314"/>
      <c r="AF103" s="319"/>
      <c r="AG103" s="314"/>
      <c r="AH103" s="10"/>
      <c r="AI103" s="380" t="str">
        <f t="shared" si="21"/>
        <v/>
      </c>
      <c r="AJ103" s="320" t="s">
        <v>408</v>
      </c>
      <c r="AK103" s="320" t="s">
        <v>425</v>
      </c>
      <c r="AL103" s="320" t="s">
        <v>2175</v>
      </c>
      <c r="AM103" s="311"/>
      <c r="AN103" s="311"/>
      <c r="AO103" s="311" t="s">
        <v>572</v>
      </c>
      <c r="AP103" s="311"/>
      <c r="AQ103" s="311"/>
      <c r="AR103" s="311"/>
      <c r="AS103" s="311"/>
      <c r="AT103" s="311"/>
      <c r="AU103" s="311"/>
      <c r="AV103" s="311"/>
      <c r="AW103" s="311"/>
      <c r="AX103" s="279" t="str">
        <f t="shared" si="13"/>
        <v/>
      </c>
    </row>
    <row r="104" spans="1:50" x14ac:dyDescent="0.25">
      <c r="A104" s="190" t="str">
        <f t="shared" si="15"/>
        <v/>
      </c>
      <c r="B104" s="311" t="str">
        <f t="shared" si="18"/>
        <v/>
      </c>
      <c r="C104" s="311"/>
      <c r="D104" s="311"/>
      <c r="E104" s="311" t="str">
        <f t="shared" si="16"/>
        <v/>
      </c>
      <c r="F104" s="311" t="s">
        <v>535</v>
      </c>
      <c r="G104" s="312">
        <v>45245</v>
      </c>
      <c r="H104" s="313"/>
      <c r="I104" s="314"/>
      <c r="J104" s="314" t="s">
        <v>405</v>
      </c>
      <c r="K104" s="314" t="s">
        <v>237</v>
      </c>
      <c r="L104" s="314" t="s">
        <v>2290</v>
      </c>
      <c r="M104" s="315" t="s">
        <v>558</v>
      </c>
      <c r="N104" s="193"/>
      <c r="O104" s="316"/>
      <c r="P104" s="316"/>
      <c r="Q104" s="317" t="str">
        <f t="shared" si="17"/>
        <v>. Exhaust Manifolds</v>
      </c>
      <c r="R104" s="317"/>
      <c r="S104" s="317" t="str">
        <f t="shared" si="20"/>
        <v/>
      </c>
      <c r="T104" s="317" t="str">
        <f>IF(O104&lt;&gt;"",_xlfn.XLOOKUP(O104,'3D. Pictures'!B:B,'3D. Pictures'!E:E,"NOT FOUND",0,1),"")</f>
        <v/>
      </c>
      <c r="U104" s="193"/>
      <c r="V104" s="318"/>
      <c r="W104" s="193"/>
      <c r="X104" s="318"/>
      <c r="Y104" s="205"/>
      <c r="Z104" s="318"/>
      <c r="AA104" s="314" t="s">
        <v>2291</v>
      </c>
      <c r="AB104" s="314" t="s">
        <v>2291</v>
      </c>
      <c r="AC104" s="359" t="str">
        <f t="shared" si="19"/>
        <v/>
      </c>
      <c r="AD104" s="314"/>
      <c r="AE104" s="314"/>
      <c r="AF104" s="319"/>
      <c r="AG104" s="314"/>
      <c r="AH104" s="10"/>
      <c r="AI104" s="380" t="str">
        <f t="shared" si="21"/>
        <v/>
      </c>
      <c r="AJ104" s="301" t="s">
        <v>2198</v>
      </c>
      <c r="AK104" s="320" t="s">
        <v>425</v>
      </c>
      <c r="AL104" s="301" t="s">
        <v>2198</v>
      </c>
      <c r="AM104" s="311"/>
      <c r="AN104" s="311"/>
      <c r="AO104" s="311" t="s">
        <v>572</v>
      </c>
      <c r="AP104" s="311"/>
      <c r="AQ104" s="311"/>
      <c r="AR104" s="311"/>
      <c r="AS104" s="311"/>
      <c r="AT104" s="311"/>
      <c r="AU104" s="311"/>
      <c r="AV104" s="311"/>
      <c r="AW104" s="311"/>
      <c r="AX104" s="279" t="str">
        <f t="shared" si="13"/>
        <v/>
      </c>
    </row>
    <row r="105" spans="1:50" x14ac:dyDescent="0.25">
      <c r="A105" s="190" t="str">
        <f t="shared" si="15"/>
        <v/>
      </c>
      <c r="B105" s="311" t="str">
        <f t="shared" si="18"/>
        <v/>
      </c>
      <c r="C105" s="311"/>
      <c r="D105" s="311"/>
      <c r="E105" s="311" t="str">
        <f t="shared" si="16"/>
        <v/>
      </c>
      <c r="F105" s="311" t="s">
        <v>535</v>
      </c>
      <c r="G105" s="312">
        <v>45245</v>
      </c>
      <c r="H105" s="313"/>
      <c r="I105" s="314"/>
      <c r="J105" s="314" t="s">
        <v>405</v>
      </c>
      <c r="K105" s="314" t="s">
        <v>237</v>
      </c>
      <c r="L105" s="314" t="s">
        <v>2304</v>
      </c>
      <c r="M105" s="315" t="s">
        <v>558</v>
      </c>
      <c r="N105" s="193"/>
      <c r="O105" s="316"/>
      <c r="P105" s="316"/>
      <c r="Q105" s="317" t="str">
        <f t="shared" si="17"/>
        <v>. Turbocharger Boost Solenoid Valves &amp; Bracket</v>
      </c>
      <c r="R105" s="317"/>
      <c r="S105" s="317" t="str">
        <f t="shared" si="20"/>
        <v/>
      </c>
      <c r="T105" s="317" t="str">
        <f>IF(O105&lt;&gt;"",_xlfn.XLOOKUP(O105,'3D. Pictures'!B:B,'3D. Pictures'!E:E,"NOT FOUND",0,1),"")</f>
        <v/>
      </c>
      <c r="U105" s="193"/>
      <c r="V105" s="318"/>
      <c r="W105" s="193"/>
      <c r="X105" s="318"/>
      <c r="Y105" s="205"/>
      <c r="Z105" s="318"/>
      <c r="AA105" s="314" t="s">
        <v>2302</v>
      </c>
      <c r="AB105" s="314" t="s">
        <v>2302</v>
      </c>
      <c r="AC105" s="359" t="str">
        <f t="shared" si="19"/>
        <v>2 black plastic solenoids on metal bracket</v>
      </c>
      <c r="AD105" s="314"/>
      <c r="AE105" s="314" t="s">
        <v>2303</v>
      </c>
      <c r="AF105" s="319"/>
      <c r="AG105" s="314"/>
      <c r="AH105" s="10"/>
      <c r="AI105" s="380" t="str">
        <f t="shared" si="21"/>
        <v/>
      </c>
      <c r="AJ105" s="301" t="s">
        <v>2198</v>
      </c>
      <c r="AK105" s="320" t="s">
        <v>425</v>
      </c>
      <c r="AL105" s="301" t="s">
        <v>2198</v>
      </c>
      <c r="AM105" s="311"/>
      <c r="AN105" s="311"/>
      <c r="AO105" s="311" t="s">
        <v>572</v>
      </c>
      <c r="AP105" s="311"/>
      <c r="AQ105" s="311"/>
      <c r="AR105" s="311"/>
      <c r="AS105" s="311"/>
      <c r="AT105" s="311"/>
      <c r="AU105" s="311"/>
      <c r="AV105" s="311"/>
      <c r="AW105" s="311"/>
      <c r="AX105" s="279" t="str">
        <f t="shared" si="13"/>
        <v/>
      </c>
    </row>
    <row r="106" spans="1:50" x14ac:dyDescent="0.25">
      <c r="A106" s="190" t="str">
        <f t="shared" si="15"/>
        <v/>
      </c>
      <c r="B106" s="311" t="str">
        <f t="shared" si="18"/>
        <v>372-50259</v>
      </c>
      <c r="C106" s="311"/>
      <c r="D106" s="311"/>
      <c r="E106" s="311">
        <f t="shared" si="16"/>
        <v>1</v>
      </c>
      <c r="F106" s="311" t="s">
        <v>535</v>
      </c>
      <c r="G106" s="312">
        <v>45245</v>
      </c>
      <c r="H106" s="313"/>
      <c r="I106" s="314"/>
      <c r="J106" s="314" t="s">
        <v>405</v>
      </c>
      <c r="K106" s="314" t="s">
        <v>237</v>
      </c>
      <c r="L106" s="314" t="s">
        <v>2305</v>
      </c>
      <c r="M106" s="315" t="s">
        <v>558</v>
      </c>
      <c r="N106" s="193"/>
      <c r="O106" s="316"/>
      <c r="P106" s="316"/>
      <c r="Q106" s="317" t="str">
        <f t="shared" si="17"/>
        <v>. Vacuum Pump</v>
      </c>
      <c r="R106" s="317"/>
      <c r="S106" s="317" t="str">
        <f t="shared" si="20"/>
        <v/>
      </c>
      <c r="T106" s="317" t="str">
        <f>IF(O106&lt;&gt;"",_xlfn.XLOOKUP(O106,'3D. Pictures'!B:B,'3D. Pictures'!E:E,"NOT FOUND",0,1),"")</f>
        <v/>
      </c>
      <c r="U106" s="193"/>
      <c r="V106" s="318"/>
      <c r="W106" s="193"/>
      <c r="X106" s="318"/>
      <c r="Y106" s="205"/>
      <c r="Z106" s="318"/>
      <c r="AA106" s="314" t="s">
        <v>2305</v>
      </c>
      <c r="AB106" s="314" t="s">
        <v>2305</v>
      </c>
      <c r="AC106" s="359" t="str">
        <f t="shared" si="19"/>
        <v/>
      </c>
      <c r="AD106" s="314"/>
      <c r="AE106" s="314"/>
      <c r="AF106" s="319"/>
      <c r="AG106" s="314"/>
      <c r="AH106" s="10"/>
      <c r="AI106" s="380" t="str">
        <f t="shared" si="21"/>
        <v/>
      </c>
      <c r="AJ106" s="301" t="s">
        <v>2198</v>
      </c>
      <c r="AK106" s="320" t="s">
        <v>425</v>
      </c>
      <c r="AL106" s="301" t="s">
        <v>2198</v>
      </c>
      <c r="AM106" s="311"/>
      <c r="AN106" s="191">
        <v>372</v>
      </c>
      <c r="AO106" s="190" t="s">
        <v>572</v>
      </c>
      <c r="AP106" s="190">
        <v>50259</v>
      </c>
      <c r="AQ106" s="190" t="str">
        <f>CONCATENATE(AN106,AO106,AP106)</f>
        <v>372-50259</v>
      </c>
      <c r="AR106" s="190"/>
      <c r="AS106" s="311"/>
      <c r="AT106" s="311"/>
      <c r="AU106" s="311"/>
      <c r="AV106" s="311"/>
      <c r="AW106" s="311"/>
      <c r="AX106" s="279" t="str">
        <f t="shared" si="13"/>
        <v/>
      </c>
    </row>
    <row r="107" spans="1:50" x14ac:dyDescent="0.25">
      <c r="A107" s="190" t="str">
        <f t="shared" si="15"/>
        <v/>
      </c>
      <c r="B107" s="279" t="str">
        <f t="shared" si="18"/>
        <v>545-53674</v>
      </c>
      <c r="C107" s="279"/>
      <c r="D107" s="279"/>
      <c r="E107" s="279">
        <f t="shared" si="16"/>
        <v>1</v>
      </c>
      <c r="F107" s="190" t="s">
        <v>535</v>
      </c>
      <c r="G107" s="198">
        <v>44680</v>
      </c>
      <c r="H107" s="205"/>
      <c r="I107" s="205"/>
      <c r="J107" s="205" t="s">
        <v>402</v>
      </c>
      <c r="K107" s="205" t="s">
        <v>2759</v>
      </c>
      <c r="L107" s="205" t="s">
        <v>671</v>
      </c>
      <c r="M107" s="192" t="s">
        <v>558</v>
      </c>
      <c r="N107" s="192"/>
      <c r="O107" s="229"/>
      <c r="P107" s="229"/>
      <c r="Q107" s="231" t="str">
        <f t="shared" si="17"/>
        <v>. ABS Pump &amp; Module</v>
      </c>
      <c r="R107" s="231"/>
      <c r="S107" s="231" t="str">
        <f t="shared" si="20"/>
        <v/>
      </c>
      <c r="T107" s="231" t="str">
        <f>IF(O107&lt;&gt;"",_xlfn.XLOOKUP(O107,'3D. Pictures'!B:B,'3D. Pictures'!E:E,"NOT FOUND",0,1),"")</f>
        <v/>
      </c>
      <c r="U107" s="192"/>
      <c r="V107" s="205"/>
      <c r="W107" s="192"/>
      <c r="X107" s="205"/>
      <c r="Y107" s="205"/>
      <c r="Z107" s="205"/>
      <c r="AA107" s="205" t="s">
        <v>671</v>
      </c>
      <c r="AB107" s="205" t="s">
        <v>671</v>
      </c>
      <c r="AC107" s="358" t="str">
        <f t="shared" si="19"/>
        <v/>
      </c>
      <c r="AD107" s="205"/>
      <c r="AE107" s="205"/>
      <c r="AF107" s="201" t="s">
        <v>543</v>
      </c>
      <c r="AG107" s="216"/>
      <c r="AH107" s="363">
        <v>400</v>
      </c>
      <c r="AI107" s="380">
        <f t="shared" si="21"/>
        <v>400</v>
      </c>
      <c r="AJ107" s="204" t="s">
        <v>437</v>
      </c>
      <c r="AK107" s="204" t="s">
        <v>425</v>
      </c>
      <c r="AL107" s="204" t="s">
        <v>2632</v>
      </c>
      <c r="AM107" s="190"/>
      <c r="AN107" s="191" t="s">
        <v>615</v>
      </c>
      <c r="AO107" s="190" t="s">
        <v>572</v>
      </c>
      <c r="AP107" s="190">
        <v>53674</v>
      </c>
      <c r="AQ107" s="190" t="str">
        <f>CONCATENATE(AN107,AO107,AP107)</f>
        <v>545-53674</v>
      </c>
      <c r="AR107" s="190" t="s">
        <v>672</v>
      </c>
      <c r="AS107" s="190"/>
      <c r="AT107" s="190"/>
      <c r="AU107" s="190"/>
      <c r="AV107" s="190"/>
      <c r="AW107" s="190"/>
      <c r="AX107" s="279" t="str">
        <f t="shared" si="13"/>
        <v/>
      </c>
    </row>
    <row r="108" spans="1:50" ht="15.75" thickBot="1" x14ac:dyDescent="0.3">
      <c r="A108" s="190" t="str">
        <f t="shared" si="15"/>
        <v/>
      </c>
      <c r="B108" s="279" t="str">
        <f t="shared" si="18"/>
        <v>613-998926</v>
      </c>
      <c r="C108" s="279"/>
      <c r="D108" s="279"/>
      <c r="E108" s="279">
        <f t="shared" si="16"/>
        <v>1</v>
      </c>
      <c r="F108" s="190" t="s">
        <v>535</v>
      </c>
      <c r="G108" s="198">
        <v>44684</v>
      </c>
      <c r="H108" s="205"/>
      <c r="I108" s="205"/>
      <c r="J108" s="205" t="s">
        <v>402</v>
      </c>
      <c r="K108" s="205" t="s">
        <v>2759</v>
      </c>
      <c r="L108" s="205" t="s">
        <v>2672</v>
      </c>
      <c r="M108" s="212" t="s">
        <v>560</v>
      </c>
      <c r="N108" s="212"/>
      <c r="O108" s="236"/>
      <c r="P108" s="236"/>
      <c r="Q108" s="231" t="str">
        <f t="shared" si="17"/>
        <v>. Horns SET 2</v>
      </c>
      <c r="R108" s="231"/>
      <c r="S108" s="231" t="str">
        <f t="shared" si="20"/>
        <v/>
      </c>
      <c r="T108" s="231" t="str">
        <f>IF(O108&lt;&gt;"",_xlfn.XLOOKUP(O108,'3D. Pictures'!B:B,'3D. Pictures'!E:E,"NOT FOUND",0,1),"")</f>
        <v/>
      </c>
      <c r="U108" s="212"/>
      <c r="V108" s="205"/>
      <c r="W108" s="212"/>
      <c r="X108" s="205"/>
      <c r="Y108" s="205"/>
      <c r="Z108" s="205"/>
      <c r="AA108" s="205" t="s">
        <v>2741</v>
      </c>
      <c r="AB108" s="205" t="s">
        <v>2741</v>
      </c>
      <c r="AC108" s="358" t="str">
        <f t="shared" si="19"/>
        <v>Metal brackets ON, toss both if 1 bad</v>
      </c>
      <c r="AD108" s="205" t="s">
        <v>1330</v>
      </c>
      <c r="AE108" s="205"/>
      <c r="AF108" s="201" t="s">
        <v>544</v>
      </c>
      <c r="AG108" s="216" t="s">
        <v>1332</v>
      </c>
      <c r="AH108" s="363">
        <v>75</v>
      </c>
      <c r="AI108" s="380">
        <f t="shared" si="21"/>
        <v>75</v>
      </c>
      <c r="AJ108" s="204" t="s">
        <v>408</v>
      </c>
      <c r="AK108" s="204" t="s">
        <v>425</v>
      </c>
      <c r="AL108" s="204" t="s">
        <v>2175</v>
      </c>
      <c r="AM108" s="190"/>
      <c r="AN108" s="191">
        <v>613</v>
      </c>
      <c r="AO108" s="190" t="s">
        <v>572</v>
      </c>
      <c r="AP108" s="190">
        <v>998926</v>
      </c>
      <c r="AQ108" s="190" t="str">
        <f>CONCATENATE(AN108,AO108,AP108)</f>
        <v>613-998926</v>
      </c>
      <c r="AR108" s="190"/>
      <c r="AS108" s="190"/>
      <c r="AT108" s="190"/>
      <c r="AU108" s="190"/>
      <c r="AV108" s="190"/>
      <c r="AW108" s="190"/>
      <c r="AX108" s="279" t="str">
        <f t="shared" si="13"/>
        <v/>
      </c>
    </row>
    <row r="109" spans="1:50" ht="15.75" thickBot="1" x14ac:dyDescent="0.3">
      <c r="A109" s="190" t="str">
        <f t="shared" si="15"/>
        <v>A104</v>
      </c>
      <c r="B109" s="279" t="str">
        <f t="shared" si="18"/>
        <v>317-50194</v>
      </c>
      <c r="C109" s="279"/>
      <c r="D109" s="279"/>
      <c r="E109" s="279">
        <f t="shared" si="16"/>
        <v>1</v>
      </c>
      <c r="F109" s="190" t="s">
        <v>535</v>
      </c>
      <c r="G109" s="198">
        <v>45245</v>
      </c>
      <c r="H109" s="205"/>
      <c r="I109" s="205"/>
      <c r="J109" s="205" t="s">
        <v>402</v>
      </c>
      <c r="K109" s="205" t="s">
        <v>2759</v>
      </c>
      <c r="L109" s="205" t="s">
        <v>1333</v>
      </c>
      <c r="M109" s="212" t="s">
        <v>562</v>
      </c>
      <c r="N109" s="212">
        <v>94</v>
      </c>
      <c r="O109" s="236" t="s">
        <v>1006</v>
      </c>
      <c r="P109" s="229" t="s">
        <v>1300</v>
      </c>
      <c r="Q109" s="231" t="str">
        <f t="shared" si="17"/>
        <v>A104. Intercooler</v>
      </c>
      <c r="R109" s="284" t="str">
        <f>HYPERLINK(VLOOKUP(O109,'3D. Pictures'!$B$3:$E$500,4,FALSE),"PIC")</f>
        <v>PIC</v>
      </c>
      <c r="S109" s="373" t="str">
        <f t="shared" si="20"/>
        <v>E.G.</v>
      </c>
      <c r="T109" s="377" t="str">
        <f>IF(O109&lt;&gt;"",_xlfn.XLOOKUP(O109,'3D. Pictures'!B:B,'3D. Pictures'!E:E,"NOT FOUND",0,1),"")</f>
        <v>https://viking-pictures.s3.us-west-1.amazonaws.com/AA1155/A104.+Intercooler+(1).JPG</v>
      </c>
      <c r="U109" s="212">
        <v>5</v>
      </c>
      <c r="V109" s="205" t="s">
        <v>1329</v>
      </c>
      <c r="W109" s="212" t="s">
        <v>111</v>
      </c>
      <c r="X109" s="205"/>
      <c r="Y109" s="205"/>
      <c r="Z109" s="205"/>
      <c r="AA109" s="205" t="s">
        <v>1333</v>
      </c>
      <c r="AB109" s="205" t="s">
        <v>1333</v>
      </c>
      <c r="AC109" s="358" t="str">
        <f t="shared" si="19"/>
        <v>It's big one w/ plastic hoses on each end</v>
      </c>
      <c r="AD109" s="205"/>
      <c r="AE109" s="205" t="s">
        <v>1331</v>
      </c>
      <c r="AF109" s="201" t="s">
        <v>543</v>
      </c>
      <c r="AG109" s="216"/>
      <c r="AH109" s="363">
        <v>150</v>
      </c>
      <c r="AI109" s="380">
        <f t="shared" si="21"/>
        <v>150</v>
      </c>
      <c r="AJ109" s="204" t="s">
        <v>2178</v>
      </c>
      <c r="AK109" s="204" t="s">
        <v>425</v>
      </c>
      <c r="AL109" s="204" t="s">
        <v>2633</v>
      </c>
      <c r="AM109" s="190"/>
      <c r="AN109" s="191" t="s">
        <v>616</v>
      </c>
      <c r="AO109" s="190" t="s">
        <v>572</v>
      </c>
      <c r="AP109" s="190">
        <v>50194</v>
      </c>
      <c r="AQ109" s="190" t="str">
        <f t="shared" ref="AQ109:AQ114" si="26">CONCATENATE(AN109,AO109,AP109)</f>
        <v>317-50194</v>
      </c>
      <c r="AR109" s="190"/>
      <c r="AS109" s="190"/>
      <c r="AT109" s="190"/>
      <c r="AU109" s="190"/>
      <c r="AV109" s="190"/>
      <c r="AW109" s="190"/>
      <c r="AX109" s="279" t="str">
        <f t="shared" si="13"/>
        <v/>
      </c>
    </row>
    <row r="110" spans="1:50" x14ac:dyDescent="0.25">
      <c r="A110" s="190" t="str">
        <f t="shared" si="15"/>
        <v/>
      </c>
      <c r="B110" s="294" t="str">
        <f t="shared" si="18"/>
        <v>317-50196</v>
      </c>
      <c r="C110" s="294"/>
      <c r="D110" s="294"/>
      <c r="E110" s="294">
        <f t="shared" si="16"/>
        <v>1</v>
      </c>
      <c r="F110" s="294" t="s">
        <v>535</v>
      </c>
      <c r="G110" s="295">
        <v>45245</v>
      </c>
      <c r="H110" s="300"/>
      <c r="I110" s="300"/>
      <c r="J110" s="300" t="s">
        <v>402</v>
      </c>
      <c r="K110" s="300" t="s">
        <v>2759</v>
      </c>
      <c r="L110" s="300" t="s">
        <v>1333</v>
      </c>
      <c r="M110" s="336" t="s">
        <v>562</v>
      </c>
      <c r="N110" s="336"/>
      <c r="O110" s="337"/>
      <c r="P110" s="298"/>
      <c r="Q110" s="299" t="str">
        <f t="shared" si="17"/>
        <v>. Intercooler - LEFT with Hoses</v>
      </c>
      <c r="R110" s="299"/>
      <c r="S110" s="299" t="str">
        <f t="shared" si="20"/>
        <v/>
      </c>
      <c r="T110" s="299" t="str">
        <f>IF(O110&lt;&gt;"",_xlfn.XLOOKUP(O110,'3D. Pictures'!B:B,'3D. Pictures'!E:E,"NOT FOUND",0,1),"")</f>
        <v/>
      </c>
      <c r="U110" s="336"/>
      <c r="V110" s="300" t="s">
        <v>2286</v>
      </c>
      <c r="W110" s="336" t="s">
        <v>111</v>
      </c>
      <c r="X110" s="300"/>
      <c r="Y110" s="205"/>
      <c r="Z110" s="300"/>
      <c r="AA110" s="300" t="s">
        <v>2285</v>
      </c>
      <c r="AB110" s="300" t="s">
        <v>2285</v>
      </c>
      <c r="AC110" s="358" t="str">
        <f t="shared" si="19"/>
        <v>rubber hoses ON - toss if bad/missing, sell/tag SINGLE</v>
      </c>
      <c r="AD110" s="300" t="s">
        <v>2289</v>
      </c>
      <c r="AE110" s="300"/>
      <c r="AF110" s="302" t="s">
        <v>543</v>
      </c>
      <c r="AG110" s="339"/>
      <c r="AH110" s="363">
        <v>75</v>
      </c>
      <c r="AI110" s="380">
        <f t="shared" si="21"/>
        <v>75</v>
      </c>
      <c r="AJ110" s="301" t="s">
        <v>2198</v>
      </c>
      <c r="AK110" s="301" t="s">
        <v>425</v>
      </c>
      <c r="AL110" s="301" t="s">
        <v>2198</v>
      </c>
      <c r="AM110" s="294"/>
      <c r="AN110" s="326" t="s">
        <v>616</v>
      </c>
      <c r="AO110" s="294" t="s">
        <v>572</v>
      </c>
      <c r="AP110" s="294">
        <v>50196</v>
      </c>
      <c r="AQ110" s="294" t="str">
        <f t="shared" si="26"/>
        <v>317-50196</v>
      </c>
      <c r="AR110" s="294"/>
      <c r="AS110" s="294"/>
      <c r="AT110" s="294"/>
      <c r="AU110" s="294"/>
      <c r="AV110" s="294"/>
      <c r="AW110" s="294"/>
      <c r="AX110" s="279" t="str">
        <f t="shared" si="13"/>
        <v/>
      </c>
    </row>
    <row r="111" spans="1:50" ht="15.75" thickBot="1" x14ac:dyDescent="0.3">
      <c r="A111" s="190" t="str">
        <f t="shared" si="15"/>
        <v/>
      </c>
      <c r="B111" s="294" t="str">
        <f t="shared" si="18"/>
        <v>317-50195</v>
      </c>
      <c r="C111" s="294"/>
      <c r="D111" s="294"/>
      <c r="E111" s="294">
        <f t="shared" si="16"/>
        <v>1</v>
      </c>
      <c r="F111" s="294" t="s">
        <v>535</v>
      </c>
      <c r="G111" s="295">
        <v>45245</v>
      </c>
      <c r="H111" s="300"/>
      <c r="I111" s="300"/>
      <c r="J111" s="300" t="s">
        <v>402</v>
      </c>
      <c r="K111" s="300" t="s">
        <v>2759</v>
      </c>
      <c r="L111" s="300" t="s">
        <v>1333</v>
      </c>
      <c r="M111" s="336" t="s">
        <v>562</v>
      </c>
      <c r="N111" s="336"/>
      <c r="O111" s="337"/>
      <c r="P111" s="298"/>
      <c r="Q111" s="299" t="str">
        <f t="shared" si="17"/>
        <v>. Intercooler - RIGHT with Hoses</v>
      </c>
      <c r="R111" s="299"/>
      <c r="S111" s="299" t="str">
        <f t="shared" si="20"/>
        <v/>
      </c>
      <c r="T111" s="299" t="str">
        <f>IF(O111&lt;&gt;"",_xlfn.XLOOKUP(O111,'3D. Pictures'!B:B,'3D. Pictures'!E:E,"NOT FOUND",0,1),"")</f>
        <v/>
      </c>
      <c r="U111" s="336"/>
      <c r="V111" s="300" t="s">
        <v>2288</v>
      </c>
      <c r="W111" s="336" t="s">
        <v>111</v>
      </c>
      <c r="X111" s="300"/>
      <c r="Y111" s="205"/>
      <c r="Z111" s="300"/>
      <c r="AA111" s="300" t="s">
        <v>2287</v>
      </c>
      <c r="AB111" s="300" t="s">
        <v>2287</v>
      </c>
      <c r="AC111" s="358" t="str">
        <f t="shared" si="19"/>
        <v>rubber hoses ON - toss if bad/missing, sell/tag SINGLE</v>
      </c>
      <c r="AD111" s="300" t="s">
        <v>2289</v>
      </c>
      <c r="AE111" s="300"/>
      <c r="AF111" s="302" t="s">
        <v>543</v>
      </c>
      <c r="AG111" s="339"/>
      <c r="AH111" s="363">
        <v>75</v>
      </c>
      <c r="AI111" s="380">
        <f t="shared" si="21"/>
        <v>75</v>
      </c>
      <c r="AJ111" s="301" t="s">
        <v>2198</v>
      </c>
      <c r="AK111" s="301" t="s">
        <v>425</v>
      </c>
      <c r="AL111" s="301" t="s">
        <v>2198</v>
      </c>
      <c r="AM111" s="294"/>
      <c r="AN111" s="326" t="s">
        <v>616</v>
      </c>
      <c r="AO111" s="294" t="s">
        <v>572</v>
      </c>
      <c r="AP111" s="294">
        <v>50195</v>
      </c>
      <c r="AQ111" s="294" t="str">
        <f t="shared" si="26"/>
        <v>317-50195</v>
      </c>
      <c r="AR111" s="294"/>
      <c r="AS111" s="294"/>
      <c r="AT111" s="294"/>
      <c r="AU111" s="294"/>
      <c r="AV111" s="294"/>
      <c r="AW111" s="294"/>
      <c r="AX111" s="279" t="str">
        <f t="shared" si="13"/>
        <v/>
      </c>
    </row>
    <row r="112" spans="1:50" ht="15.75" thickBot="1" x14ac:dyDescent="0.3">
      <c r="A112" s="190" t="str">
        <f t="shared" si="15"/>
        <v>A103</v>
      </c>
      <c r="B112" s="279" t="str">
        <f t="shared" si="18"/>
        <v>540-59227</v>
      </c>
      <c r="C112" s="279"/>
      <c r="D112" s="279"/>
      <c r="E112" s="279">
        <f t="shared" si="16"/>
        <v>1</v>
      </c>
      <c r="F112" s="190" t="s">
        <v>535</v>
      </c>
      <c r="G112" s="198">
        <v>44680</v>
      </c>
      <c r="H112" s="205"/>
      <c r="I112" s="205"/>
      <c r="J112" s="205" t="s">
        <v>402</v>
      </c>
      <c r="K112" s="205" t="s">
        <v>2759</v>
      </c>
      <c r="L112" s="205" t="s">
        <v>2673</v>
      </c>
      <c r="M112" s="192" t="s">
        <v>558</v>
      </c>
      <c r="N112" s="192">
        <v>93</v>
      </c>
      <c r="O112" s="229" t="s">
        <v>1005</v>
      </c>
      <c r="P112" s="229" t="s">
        <v>1300</v>
      </c>
      <c r="Q112" s="231" t="str">
        <f t="shared" si="17"/>
        <v>A103. Power Brake Booster + Master Cylinder + Reservoir + Cap</v>
      </c>
      <c r="R112" s="284" t="str">
        <f>HYPERLINK(VLOOKUP(O112,'3D. Pictures'!$B$3:$E$500,4,FALSE),"PIC")</f>
        <v>PIC</v>
      </c>
      <c r="S112" s="373" t="str">
        <f t="shared" si="20"/>
        <v>E.G.</v>
      </c>
      <c r="T112" s="377" t="str">
        <f>IF(O112&lt;&gt;"",_xlfn.XLOOKUP(O112,'3D. Pictures'!B:B,'3D. Pictures'!E:E,"NOT FOUND",0,1),"")</f>
        <v>https://viking-pictures.s3.us-west-1.amazonaws.com/AA1155/A103.+Power+Brake+Booster+%2B+Master+Cylinder+%2B+Reservoir+%2B+Cap+(1).JPG</v>
      </c>
      <c r="U112" s="192">
        <v>5</v>
      </c>
      <c r="V112" s="205" t="s">
        <v>1328</v>
      </c>
      <c r="W112" s="192" t="s">
        <v>111</v>
      </c>
      <c r="X112" s="205"/>
      <c r="Y112" s="205"/>
      <c r="Z112" s="205"/>
      <c r="AA112" s="205" t="s">
        <v>436</v>
      </c>
      <c r="AB112" s="205" t="s">
        <v>436</v>
      </c>
      <c r="AC112" s="358" t="str">
        <f t="shared" si="19"/>
        <v/>
      </c>
      <c r="AD112" s="205"/>
      <c r="AE112" s="205"/>
      <c r="AF112" s="201" t="s">
        <v>543</v>
      </c>
      <c r="AG112" s="216" t="s">
        <v>438</v>
      </c>
      <c r="AH112" s="16">
        <v>130</v>
      </c>
      <c r="AI112" s="380">
        <f t="shared" si="21"/>
        <v>130</v>
      </c>
      <c r="AJ112" s="204" t="s">
        <v>437</v>
      </c>
      <c r="AK112" s="204" t="s">
        <v>425</v>
      </c>
      <c r="AL112" s="204" t="s">
        <v>2632</v>
      </c>
      <c r="AM112" s="190"/>
      <c r="AN112" s="191" t="s">
        <v>617</v>
      </c>
      <c r="AO112" s="190" t="s">
        <v>572</v>
      </c>
      <c r="AP112" s="190">
        <v>59227</v>
      </c>
      <c r="AQ112" s="190" t="str">
        <f t="shared" si="26"/>
        <v>540-59227</v>
      </c>
      <c r="AR112" s="190"/>
      <c r="AS112" s="190"/>
      <c r="AT112" s="190"/>
      <c r="AU112" s="190"/>
      <c r="AV112" s="190"/>
      <c r="AW112" s="190"/>
      <c r="AX112" s="279" t="str">
        <f t="shared" si="13"/>
        <v/>
      </c>
    </row>
    <row r="113" spans="1:50" ht="15.75" thickBot="1" x14ac:dyDescent="0.3">
      <c r="A113" s="190" t="str">
        <f t="shared" si="15"/>
        <v>A90</v>
      </c>
      <c r="B113" s="279" t="str">
        <f t="shared" si="18"/>
        <v>674-60229</v>
      </c>
      <c r="C113" s="279" t="s">
        <v>2101</v>
      </c>
      <c r="D113" s="279"/>
      <c r="E113" s="279">
        <f t="shared" si="16"/>
        <v>1</v>
      </c>
      <c r="F113" s="190" t="s">
        <v>535</v>
      </c>
      <c r="G113" s="198">
        <v>44680</v>
      </c>
      <c r="H113" s="205"/>
      <c r="I113" s="205"/>
      <c r="J113" s="205" t="s">
        <v>402</v>
      </c>
      <c r="K113" s="205" t="s">
        <v>2759</v>
      </c>
      <c r="L113" s="205" t="s">
        <v>1301</v>
      </c>
      <c r="M113" s="192" t="s">
        <v>558</v>
      </c>
      <c r="N113" s="192">
        <v>80</v>
      </c>
      <c r="O113" s="229" t="s">
        <v>992</v>
      </c>
      <c r="P113" s="229" t="s">
        <v>1300</v>
      </c>
      <c r="Q113" s="231" t="str">
        <f t="shared" si="17"/>
        <v>A90. Radiator Fan &amp; Shroud Assembly</v>
      </c>
      <c r="R113" s="284" t="str">
        <f>HYPERLINK(VLOOKUP(O113,'3D. Pictures'!$B$3:$E$500,4,FALSE),"PIC")</f>
        <v>PIC</v>
      </c>
      <c r="S113" s="373" t="str">
        <f t="shared" si="20"/>
        <v>E.G.</v>
      </c>
      <c r="T113" s="377" t="str">
        <f>IF(O113&lt;&gt;"",_xlfn.XLOOKUP(O113,'3D. Pictures'!B:B,'3D. Pictures'!E:E,"NOT FOUND",0,1),"")</f>
        <v>https://viking-pictures.s3.us-west-1.amazonaws.com/AA1155/A90.+Radiator+Fan+%26+Shroud+Assembly+(1).JPG</v>
      </c>
      <c r="U113" s="192">
        <v>8</v>
      </c>
      <c r="V113" s="205" t="s">
        <v>1308</v>
      </c>
      <c r="W113" s="192" t="s">
        <v>111</v>
      </c>
      <c r="X113" s="205"/>
      <c r="Y113" s="205"/>
      <c r="Z113" s="205"/>
      <c r="AA113" s="205" t="s">
        <v>1302</v>
      </c>
      <c r="AB113" s="205" t="s">
        <v>1302</v>
      </c>
      <c r="AC113" s="358" t="str">
        <f t="shared" si="19"/>
        <v>sell fan + motor if shroud bad, sell motor if rest bad</v>
      </c>
      <c r="AD113" s="205" t="s">
        <v>1303</v>
      </c>
      <c r="AE113" s="205"/>
      <c r="AF113" s="201" t="s">
        <v>543</v>
      </c>
      <c r="AG113" s="216"/>
      <c r="AH113" s="363">
        <v>550</v>
      </c>
      <c r="AI113" s="380">
        <f t="shared" si="21"/>
        <v>550</v>
      </c>
      <c r="AJ113" s="204" t="s">
        <v>429</v>
      </c>
      <c r="AK113" s="204" t="s">
        <v>425</v>
      </c>
      <c r="AL113" s="204" t="s">
        <v>2634</v>
      </c>
      <c r="AM113" s="190"/>
      <c r="AN113" s="191" t="s">
        <v>618</v>
      </c>
      <c r="AO113" s="190" t="s">
        <v>572</v>
      </c>
      <c r="AP113" s="190">
        <v>60229</v>
      </c>
      <c r="AQ113" s="190" t="str">
        <f t="shared" si="26"/>
        <v>674-60229</v>
      </c>
      <c r="AR113" s="190"/>
      <c r="AS113" s="190"/>
      <c r="AT113" s="190"/>
      <c r="AU113" s="190"/>
      <c r="AV113" s="190"/>
      <c r="AW113" s="190"/>
      <c r="AX113" s="279" t="str">
        <f t="shared" si="13"/>
        <v/>
      </c>
    </row>
    <row r="114" spans="1:50" ht="15.75" thickBot="1" x14ac:dyDescent="0.3">
      <c r="A114" s="190" t="str">
        <f t="shared" si="15"/>
        <v/>
      </c>
      <c r="B114" s="279" t="str">
        <f t="shared" si="18"/>
        <v>675-59726</v>
      </c>
      <c r="C114" s="279"/>
      <c r="D114" s="279"/>
      <c r="E114" s="279">
        <f t="shared" si="16"/>
        <v>1</v>
      </c>
      <c r="F114" s="190" t="s">
        <v>535</v>
      </c>
      <c r="G114" s="198">
        <v>44680</v>
      </c>
      <c r="H114" s="205"/>
      <c r="I114" s="205"/>
      <c r="J114" s="205" t="s">
        <v>402</v>
      </c>
      <c r="K114" s="205" t="s">
        <v>2759</v>
      </c>
      <c r="L114" s="205" t="s">
        <v>2674</v>
      </c>
      <c r="M114" s="192" t="s">
        <v>558</v>
      </c>
      <c r="N114" s="192"/>
      <c r="O114" s="229"/>
      <c r="P114" s="229"/>
      <c r="Q114" s="231" t="str">
        <f t="shared" si="17"/>
        <v>. Radiator, Primary One</v>
      </c>
      <c r="R114" s="231"/>
      <c r="S114" s="231" t="str">
        <f t="shared" si="20"/>
        <v/>
      </c>
      <c r="T114" s="231" t="str">
        <f>IF(O114&lt;&gt;"",_xlfn.XLOOKUP(O114,'3D. Pictures'!B:B,'3D. Pictures'!E:E,"NOT FOUND",0,1),"")</f>
        <v/>
      </c>
      <c r="U114" s="192"/>
      <c r="V114" s="205"/>
      <c r="W114" s="192"/>
      <c r="X114" s="205"/>
      <c r="Y114" s="243"/>
      <c r="Z114" s="205"/>
      <c r="AA114" s="205" t="s">
        <v>2787</v>
      </c>
      <c r="AB114" s="205" t="s">
        <v>2787</v>
      </c>
      <c r="AC114" s="358" t="str">
        <f t="shared" si="19"/>
        <v>It's the thicker / bigger one</v>
      </c>
      <c r="AD114" s="205"/>
      <c r="AE114" s="205" t="s">
        <v>2788</v>
      </c>
      <c r="AF114" s="201" t="s">
        <v>543</v>
      </c>
      <c r="AG114" s="216"/>
      <c r="AH114" s="363">
        <v>225</v>
      </c>
      <c r="AI114" s="380">
        <f t="shared" si="21"/>
        <v>225</v>
      </c>
      <c r="AJ114" s="204" t="s">
        <v>2178</v>
      </c>
      <c r="AK114" s="204" t="s">
        <v>425</v>
      </c>
      <c r="AL114" s="204" t="s">
        <v>2633</v>
      </c>
      <c r="AM114" s="190"/>
      <c r="AN114" s="191" t="s">
        <v>619</v>
      </c>
      <c r="AO114" s="190" t="s">
        <v>572</v>
      </c>
      <c r="AP114" s="190">
        <v>59726</v>
      </c>
      <c r="AQ114" s="190" t="str">
        <f t="shared" si="26"/>
        <v>675-59726</v>
      </c>
      <c r="AR114" s="190" t="s">
        <v>674</v>
      </c>
      <c r="AS114" s="190"/>
      <c r="AT114" s="190"/>
      <c r="AU114" s="190"/>
      <c r="AV114" s="190"/>
      <c r="AW114" s="190"/>
      <c r="AX114" s="279" t="str">
        <f t="shared" si="13"/>
        <v/>
      </c>
    </row>
    <row r="115" spans="1:50" ht="15.75" thickBot="1" x14ac:dyDescent="0.3">
      <c r="A115" s="190" t="str">
        <f t="shared" si="15"/>
        <v>A42</v>
      </c>
      <c r="B115" s="279" t="str">
        <f t="shared" si="18"/>
        <v/>
      </c>
      <c r="C115" s="279"/>
      <c r="D115" s="279"/>
      <c r="E115" s="279" t="str">
        <f t="shared" si="16"/>
        <v/>
      </c>
      <c r="F115" s="241" t="s">
        <v>535</v>
      </c>
      <c r="G115" s="242">
        <v>45248</v>
      </c>
      <c r="H115" s="263"/>
      <c r="I115" s="263"/>
      <c r="J115" s="243" t="s">
        <v>402</v>
      </c>
      <c r="K115" s="243" t="s">
        <v>2759</v>
      </c>
      <c r="L115" s="243" t="s">
        <v>1197</v>
      </c>
      <c r="M115" s="243" t="s">
        <v>559</v>
      </c>
      <c r="N115" s="243">
        <v>32</v>
      </c>
      <c r="O115" s="244" t="s">
        <v>944</v>
      </c>
      <c r="P115" s="244" t="s">
        <v>1168</v>
      </c>
      <c r="Q115" s="231" t="str">
        <f t="shared" si="17"/>
        <v>A42. Windshield Washer Spray Nozzles &amp; Rubber Hose</v>
      </c>
      <c r="R115" s="284" t="str">
        <f>HYPERLINK(VLOOKUP(O115,'3D. Pictures'!$B$3:$E$500,4,FALSE),"PIC")</f>
        <v>PIC</v>
      </c>
      <c r="S115" s="373" t="str">
        <f t="shared" si="20"/>
        <v>E.G.</v>
      </c>
      <c r="T115" s="377" t="str">
        <f>IF(O115&lt;&gt;"",_xlfn.XLOOKUP(O115,'3D. Pictures'!B:B,'3D. Pictures'!E:E,"NOT FOUND",0,1),"")</f>
        <v>https://viking-pictures.s3.us-west-1.amazonaws.com/AA1155/A42.+Windshield+Washer+Spray+Nozzles+%26+Rubber+Hose+(1).JPG</v>
      </c>
      <c r="U115" s="243">
        <v>4</v>
      </c>
      <c r="V115" s="243">
        <v>7292659</v>
      </c>
      <c r="W115" s="243" t="s">
        <v>111</v>
      </c>
      <c r="X115" s="243"/>
      <c r="Y115" s="243"/>
      <c r="Z115" s="243"/>
      <c r="AA115" s="243" t="s">
        <v>453</v>
      </c>
      <c r="AB115" s="243" t="s">
        <v>453</v>
      </c>
      <c r="AC115" s="358" t="str">
        <f t="shared" si="19"/>
        <v>toss both if 1 bad</v>
      </c>
      <c r="AD115" s="243" t="s">
        <v>1159</v>
      </c>
      <c r="AE115" s="243"/>
      <c r="AF115" s="179" t="s">
        <v>543</v>
      </c>
      <c r="AG115" s="266"/>
      <c r="AH115" s="363">
        <v>125</v>
      </c>
      <c r="AI115" s="380">
        <f t="shared" si="21"/>
        <v>125</v>
      </c>
      <c r="AJ115" s="246" t="s">
        <v>408</v>
      </c>
      <c r="AK115" s="246" t="s">
        <v>425</v>
      </c>
      <c r="AL115" s="246" t="s">
        <v>2175</v>
      </c>
      <c r="AM115" s="241"/>
      <c r="AN115" s="241"/>
      <c r="AO115" s="241"/>
      <c r="AP115" s="241"/>
      <c r="AQ115" s="241"/>
      <c r="AR115" s="241"/>
      <c r="AS115" s="241" t="s">
        <v>1028</v>
      </c>
      <c r="AT115" s="241" t="s">
        <v>1029</v>
      </c>
      <c r="AU115" s="241" t="s">
        <v>1030</v>
      </c>
      <c r="AV115" s="303" t="str">
        <f t="shared" ref="AV115" si="27">CONCATENATE(AS115,"-",AT115,"-",AU115)</f>
        <v>F15-14-18-ALL</v>
      </c>
      <c r="AW115" s="241" t="s">
        <v>2376</v>
      </c>
      <c r="AX115" s="279" t="str">
        <f t="shared" si="13"/>
        <v>F15-14-18-ALL-Viking10</v>
      </c>
    </row>
    <row r="116" spans="1:50" ht="15.75" thickBot="1" x14ac:dyDescent="0.3">
      <c r="A116" s="190" t="str">
        <f t="shared" si="15"/>
        <v>A26</v>
      </c>
      <c r="B116" s="279" t="str">
        <f t="shared" si="18"/>
        <v>626-997571</v>
      </c>
      <c r="C116" s="279"/>
      <c r="D116" s="279"/>
      <c r="E116" s="279">
        <f t="shared" si="16"/>
        <v>1</v>
      </c>
      <c r="F116" s="190" t="s">
        <v>535</v>
      </c>
      <c r="G116" s="198">
        <v>44674</v>
      </c>
      <c r="H116" s="205"/>
      <c r="I116" s="205"/>
      <c r="J116" s="205" t="s">
        <v>402</v>
      </c>
      <c r="K116" s="205" t="s">
        <v>2759</v>
      </c>
      <c r="L116" s="205" t="s">
        <v>2714</v>
      </c>
      <c r="M116" s="192" t="s">
        <v>558</v>
      </c>
      <c r="N116" s="192">
        <v>16</v>
      </c>
      <c r="O116" s="229" t="s">
        <v>928</v>
      </c>
      <c r="P116" s="229" t="s">
        <v>1035</v>
      </c>
      <c r="Q116" s="231" t="str">
        <f t="shared" si="17"/>
        <v>A26. Wiper Arms, FRONT SET 2</v>
      </c>
      <c r="R116" s="284" t="str">
        <f>HYPERLINK(VLOOKUP(O116,'3D. Pictures'!$B$3:$E$500,4,FALSE),"PIC")</f>
        <v>PIC</v>
      </c>
      <c r="S116" s="373" t="str">
        <f t="shared" si="20"/>
        <v>E.G.</v>
      </c>
      <c r="T116" s="377" t="str">
        <f>IF(O116&lt;&gt;"",_xlfn.XLOOKUP(O116,'3D. Pictures'!B:B,'3D. Pictures'!E:E,"NOT FOUND",0,1),"")</f>
        <v>https://viking-pictures.s3.us-west-1.amazonaws.com/AA1155/A26.+Wiper+Arms%2C+FRONT+SET+2+(1).JPG</v>
      </c>
      <c r="U116" s="192">
        <v>5</v>
      </c>
      <c r="V116" s="205" t="s">
        <v>1167</v>
      </c>
      <c r="W116" s="192" t="s">
        <v>111</v>
      </c>
      <c r="X116" s="205"/>
      <c r="Y116" s="243"/>
      <c r="Z116" s="205"/>
      <c r="AA116" s="205" t="s">
        <v>2488</v>
      </c>
      <c r="AB116" s="205" t="s">
        <v>2488</v>
      </c>
      <c r="AC116" s="358" t="str">
        <f t="shared" si="19"/>
        <v>toss both if 1 bad</v>
      </c>
      <c r="AD116" s="205" t="s">
        <v>1159</v>
      </c>
      <c r="AE116" s="205"/>
      <c r="AF116" s="201" t="s">
        <v>544</v>
      </c>
      <c r="AG116" s="216"/>
      <c r="AH116" s="363">
        <v>100</v>
      </c>
      <c r="AI116" s="380">
        <f t="shared" si="21"/>
        <v>100</v>
      </c>
      <c r="AJ116" s="204" t="s">
        <v>408</v>
      </c>
      <c r="AK116" s="204" t="s">
        <v>425</v>
      </c>
      <c r="AL116" s="204" t="s">
        <v>2175</v>
      </c>
      <c r="AM116" s="190"/>
      <c r="AN116" s="191" t="s">
        <v>620</v>
      </c>
      <c r="AO116" s="190" t="s">
        <v>572</v>
      </c>
      <c r="AP116" s="190">
        <v>997571</v>
      </c>
      <c r="AQ116" s="190" t="str">
        <f>CONCATENATE(AN116,AO116,AP116)</f>
        <v>626-997571</v>
      </c>
      <c r="AR116" s="190"/>
      <c r="AS116" s="190"/>
      <c r="AT116" s="190"/>
      <c r="AU116" s="190"/>
      <c r="AV116" s="190"/>
      <c r="AW116" s="190"/>
      <c r="AX116" s="279" t="str">
        <f t="shared" si="13"/>
        <v/>
      </c>
    </row>
    <row r="117" spans="1:50" x14ac:dyDescent="0.25">
      <c r="A117" s="190" t="str">
        <f t="shared" si="15"/>
        <v/>
      </c>
      <c r="B117" s="279" t="str">
        <f t="shared" si="18"/>
        <v/>
      </c>
      <c r="C117" s="279"/>
      <c r="D117" s="279"/>
      <c r="E117" s="279" t="str">
        <f t="shared" si="16"/>
        <v/>
      </c>
      <c r="F117" t="s">
        <v>536</v>
      </c>
      <c r="G117" s="188">
        <v>45099</v>
      </c>
      <c r="H117" s="10"/>
      <c r="I117" s="10"/>
      <c r="J117" s="10" t="s">
        <v>405</v>
      </c>
      <c r="K117" s="10" t="s">
        <v>2759</v>
      </c>
      <c r="L117" s="10" t="s">
        <v>2675</v>
      </c>
      <c r="M117" s="18" t="s">
        <v>560</v>
      </c>
      <c r="N117" s="18"/>
      <c r="O117" s="235"/>
      <c r="P117" s="235"/>
      <c r="Q117" s="231" t="str">
        <f t="shared" si="17"/>
        <v>. Air Filter Cleaner Assembly</v>
      </c>
      <c r="R117" s="231"/>
      <c r="S117" s="231" t="str">
        <f t="shared" si="20"/>
        <v/>
      </c>
      <c r="T117" s="231" t="str">
        <f>IF(O117&lt;&gt;"",_xlfn.XLOOKUP(O117,'3D. Pictures'!B:B,'3D. Pictures'!E:E,"NOT FOUND",0,1),"")</f>
        <v/>
      </c>
      <c r="U117" s="18"/>
      <c r="V117" s="16"/>
      <c r="W117" s="18"/>
      <c r="X117" s="16"/>
      <c r="Y117" s="243"/>
      <c r="Z117" s="16"/>
      <c r="AA117" s="10" t="s">
        <v>520</v>
      </c>
      <c r="AB117" s="10" t="s">
        <v>520</v>
      </c>
      <c r="AC117" s="359" t="str">
        <f t="shared" si="19"/>
        <v/>
      </c>
      <c r="AD117" s="10"/>
      <c r="AE117" s="10"/>
      <c r="AF117" s="168" t="s">
        <v>543</v>
      </c>
      <c r="AG117" s="177"/>
      <c r="AH117" s="366"/>
      <c r="AI117" s="380" t="str">
        <f t="shared" si="21"/>
        <v/>
      </c>
      <c r="AJ117" s="3" t="s">
        <v>2176</v>
      </c>
      <c r="AK117" s="3" t="s">
        <v>425</v>
      </c>
      <c r="AL117" s="204" t="s">
        <v>2177</v>
      </c>
      <c r="AO117" t="s">
        <v>572</v>
      </c>
      <c r="AX117" s="279" t="str">
        <f t="shared" si="13"/>
        <v/>
      </c>
    </row>
    <row r="118" spans="1:50" x14ac:dyDescent="0.25">
      <c r="A118" s="190" t="str">
        <f t="shared" si="15"/>
        <v/>
      </c>
      <c r="B118" s="279" t="str">
        <f t="shared" si="18"/>
        <v/>
      </c>
      <c r="C118" s="279"/>
      <c r="D118" s="279"/>
      <c r="E118" s="279" t="str">
        <f t="shared" si="16"/>
        <v/>
      </c>
      <c r="F118" t="s">
        <v>535</v>
      </c>
      <c r="G118" s="188">
        <v>44683</v>
      </c>
      <c r="H118" s="10"/>
      <c r="I118" s="10"/>
      <c r="J118" s="10" t="s">
        <v>405</v>
      </c>
      <c r="K118" s="10" t="s">
        <v>2759</v>
      </c>
      <c r="L118" s="10" t="s">
        <v>2676</v>
      </c>
      <c r="M118" s="18" t="s">
        <v>560</v>
      </c>
      <c r="N118" s="18"/>
      <c r="O118" s="235"/>
      <c r="P118" s="235"/>
      <c r="Q118" s="231" t="str">
        <f t="shared" si="17"/>
        <v>. Coolant Expansion Reservoir Tank &amp; Cap</v>
      </c>
      <c r="R118" s="231"/>
      <c r="S118" s="231" t="str">
        <f t="shared" si="20"/>
        <v/>
      </c>
      <c r="T118" s="231" t="str">
        <f>IF(O118&lt;&gt;"",_xlfn.XLOOKUP(O118,'3D. Pictures'!B:B,'3D. Pictures'!E:E,"NOT FOUND",0,1),"")</f>
        <v/>
      </c>
      <c r="U118" s="18"/>
      <c r="V118" s="16"/>
      <c r="W118" s="18"/>
      <c r="X118" s="16"/>
      <c r="Y118" s="243"/>
      <c r="Z118" s="16"/>
      <c r="AA118" s="10" t="s">
        <v>2539</v>
      </c>
      <c r="AB118" s="10" t="s">
        <v>2539</v>
      </c>
      <c r="AC118" s="359" t="str">
        <f t="shared" si="19"/>
        <v/>
      </c>
      <c r="AD118" s="10"/>
      <c r="AE118" s="10"/>
      <c r="AF118" s="168" t="s">
        <v>543</v>
      </c>
      <c r="AG118" s="177"/>
      <c r="AH118" s="366"/>
      <c r="AI118" s="380" t="str">
        <f t="shared" si="21"/>
        <v/>
      </c>
      <c r="AJ118" s="3" t="s">
        <v>408</v>
      </c>
      <c r="AK118" s="3" t="s">
        <v>425</v>
      </c>
      <c r="AL118" s="204" t="s">
        <v>2175</v>
      </c>
      <c r="AO118" t="s">
        <v>572</v>
      </c>
      <c r="AX118" s="279" t="str">
        <f t="shared" si="13"/>
        <v/>
      </c>
    </row>
    <row r="119" spans="1:50" x14ac:dyDescent="0.25">
      <c r="A119" s="190" t="str">
        <f t="shared" si="15"/>
        <v/>
      </c>
      <c r="B119" s="279" t="str">
        <f t="shared" si="18"/>
        <v/>
      </c>
      <c r="C119" s="279"/>
      <c r="D119" s="279"/>
      <c r="E119" s="279" t="str">
        <f t="shared" si="16"/>
        <v/>
      </c>
      <c r="F119" t="s">
        <v>535</v>
      </c>
      <c r="G119" s="188">
        <v>44680</v>
      </c>
      <c r="H119" s="10"/>
      <c r="I119" s="10"/>
      <c r="J119" s="10" t="s">
        <v>405</v>
      </c>
      <c r="K119" s="10" t="s">
        <v>2759</v>
      </c>
      <c r="L119" s="10" t="s">
        <v>2674</v>
      </c>
      <c r="M119" s="18" t="s">
        <v>562</v>
      </c>
      <c r="N119" s="18"/>
      <c r="O119" s="235"/>
      <c r="P119" s="235"/>
      <c r="Q119" s="231" t="str">
        <f t="shared" si="17"/>
        <v>. Radiator, A/C Condenser Radiator</v>
      </c>
      <c r="R119" s="231"/>
      <c r="S119" s="231" t="str">
        <f t="shared" si="20"/>
        <v/>
      </c>
      <c r="T119" s="231" t="str">
        <f>IF(O119&lt;&gt;"",_xlfn.XLOOKUP(O119,'3D. Pictures'!B:B,'3D. Pictures'!E:E,"NOT FOUND",0,1),"")</f>
        <v/>
      </c>
      <c r="U119" s="18"/>
      <c r="V119" s="16"/>
      <c r="W119" s="18"/>
      <c r="X119" s="16"/>
      <c r="Y119" s="16"/>
      <c r="Z119" s="16"/>
      <c r="AA119" s="10" t="s">
        <v>2546</v>
      </c>
      <c r="AB119" s="10" t="s">
        <v>2546</v>
      </c>
      <c r="AC119" s="359" t="str">
        <f t="shared" si="19"/>
        <v>the smaller skinnier one</v>
      </c>
      <c r="AD119" s="10"/>
      <c r="AE119" s="10" t="s">
        <v>2540</v>
      </c>
      <c r="AF119" s="168" t="s">
        <v>543</v>
      </c>
      <c r="AG119" s="177"/>
      <c r="AH119" s="366"/>
      <c r="AI119" s="380" t="str">
        <f t="shared" si="21"/>
        <v/>
      </c>
      <c r="AJ119" s="3" t="s">
        <v>2176</v>
      </c>
      <c r="AK119" s="3" t="s">
        <v>425</v>
      </c>
      <c r="AL119" s="204" t="s">
        <v>2177</v>
      </c>
      <c r="AO119" t="s">
        <v>572</v>
      </c>
      <c r="AX119" s="279" t="str">
        <f t="shared" si="13"/>
        <v/>
      </c>
    </row>
    <row r="120" spans="1:50" x14ac:dyDescent="0.25">
      <c r="A120" s="190" t="str">
        <f t="shared" si="15"/>
        <v/>
      </c>
      <c r="B120" s="279" t="str">
        <f t="shared" si="18"/>
        <v/>
      </c>
      <c r="C120" s="279"/>
      <c r="D120" s="279"/>
      <c r="E120" s="279" t="str">
        <f t="shared" si="16"/>
        <v/>
      </c>
      <c r="F120" t="s">
        <v>535</v>
      </c>
      <c r="G120" s="188">
        <v>44684</v>
      </c>
      <c r="H120" s="159"/>
      <c r="I120" s="174"/>
      <c r="J120" s="10" t="s">
        <v>405</v>
      </c>
      <c r="K120" s="10" t="s">
        <v>2759</v>
      </c>
      <c r="L120" s="10" t="s">
        <v>2677</v>
      </c>
      <c r="M120" s="16" t="s">
        <v>559</v>
      </c>
      <c r="N120" s="16"/>
      <c r="O120" s="166"/>
      <c r="P120" s="166"/>
      <c r="Q120" s="231" t="str">
        <f t="shared" si="17"/>
        <v>. Support Cross Bars, Engine Bays</v>
      </c>
      <c r="R120" s="231"/>
      <c r="S120" s="231" t="str">
        <f t="shared" si="20"/>
        <v/>
      </c>
      <c r="T120" s="231" t="str">
        <f>IF(O120&lt;&gt;"",_xlfn.XLOOKUP(O120,'3D. Pictures'!B:B,'3D. Pictures'!E:E,"NOT FOUND",0,1),"")</f>
        <v/>
      </c>
      <c r="U120" s="16"/>
      <c r="V120" s="16"/>
      <c r="W120" s="16"/>
      <c r="X120" s="16"/>
      <c r="Y120" s="16"/>
      <c r="Z120" s="16"/>
      <c r="AA120" s="10" t="s">
        <v>2542</v>
      </c>
      <c r="AB120" s="10" t="s">
        <v>2542</v>
      </c>
      <c r="AC120" s="359" t="str">
        <f t="shared" si="19"/>
        <v>all aluminum big long one &amp; 2 smaller identical ones</v>
      </c>
      <c r="AD120" s="10"/>
      <c r="AE120" s="10" t="s">
        <v>2541</v>
      </c>
      <c r="AF120" s="168" t="s">
        <v>543</v>
      </c>
      <c r="AG120" s="10"/>
      <c r="AH120" s="10"/>
      <c r="AI120" s="380" t="str">
        <f t="shared" si="21"/>
        <v/>
      </c>
      <c r="AJ120" s="3" t="s">
        <v>408</v>
      </c>
      <c r="AK120" s="3" t="s">
        <v>425</v>
      </c>
      <c r="AL120" s="3" t="s">
        <v>2175</v>
      </c>
      <c r="AX120" s="279" t="str">
        <f t="shared" si="13"/>
        <v/>
      </c>
    </row>
    <row r="121" spans="1:50" x14ac:dyDescent="0.25">
      <c r="A121" s="190" t="str">
        <f t="shared" si="15"/>
        <v/>
      </c>
      <c r="B121" s="279" t="str">
        <f t="shared" si="18"/>
        <v/>
      </c>
      <c r="C121" s="279"/>
      <c r="D121" s="279"/>
      <c r="E121" s="279" t="str">
        <f t="shared" si="16"/>
        <v/>
      </c>
      <c r="F121" t="s">
        <v>535</v>
      </c>
      <c r="G121" s="188">
        <v>44683</v>
      </c>
      <c r="H121" s="10"/>
      <c r="I121" s="10"/>
      <c r="J121" s="10" t="s">
        <v>405</v>
      </c>
      <c r="K121" s="10" t="s">
        <v>2759</v>
      </c>
      <c r="L121" s="10" t="s">
        <v>2679</v>
      </c>
      <c r="M121" s="16" t="s">
        <v>559</v>
      </c>
      <c r="N121" s="16"/>
      <c r="O121" s="166"/>
      <c r="P121" s="166"/>
      <c r="Q121" s="231" t="str">
        <f t="shared" si="17"/>
        <v>. Water Heater Coolant Control Valve Solenoid Pump</v>
      </c>
      <c r="R121" s="231"/>
      <c r="S121" s="231" t="str">
        <f t="shared" si="20"/>
        <v/>
      </c>
      <c r="T121" s="231" t="str">
        <f>IF(O121&lt;&gt;"",_xlfn.XLOOKUP(O121,'3D. Pictures'!B:B,'3D. Pictures'!E:E,"NOT FOUND",0,1),"")</f>
        <v/>
      </c>
      <c r="U121" s="16"/>
      <c r="V121" s="16"/>
      <c r="W121" s="16"/>
      <c r="X121" s="16"/>
      <c r="Y121" s="16"/>
      <c r="Z121" s="16"/>
      <c r="AA121" s="10" t="s">
        <v>2545</v>
      </c>
      <c r="AB121" s="10" t="s">
        <v>2545</v>
      </c>
      <c r="AC121" s="359" t="str">
        <f t="shared" si="19"/>
        <v>small black w/ 2 solenoids &amp; 3 tubes coming off it</v>
      </c>
      <c r="AD121" s="10"/>
      <c r="AE121" s="10" t="s">
        <v>2543</v>
      </c>
      <c r="AF121" s="168" t="s">
        <v>543</v>
      </c>
      <c r="AG121" s="177"/>
      <c r="AH121" s="366"/>
      <c r="AI121" s="380" t="str">
        <f t="shared" si="21"/>
        <v/>
      </c>
      <c r="AJ121" s="3" t="s">
        <v>408</v>
      </c>
      <c r="AK121" s="3" t="s">
        <v>425</v>
      </c>
      <c r="AL121" s="3" t="s">
        <v>2175</v>
      </c>
      <c r="AX121" s="279" t="str">
        <f t="shared" ref="AX121:AX184" si="28">IF(AW121&lt;&gt;"",_xlfn.TEXTJOIN("-",TRUE,AV121,AW121),"")</f>
        <v/>
      </c>
    </row>
    <row r="122" spans="1:50" x14ac:dyDescent="0.25">
      <c r="A122" s="190" t="str">
        <f t="shared" si="15"/>
        <v/>
      </c>
      <c r="B122" s="279" t="str">
        <f t="shared" si="18"/>
        <v/>
      </c>
      <c r="C122" s="279"/>
      <c r="D122" s="279"/>
      <c r="E122" s="279" t="str">
        <f t="shared" si="16"/>
        <v/>
      </c>
      <c r="F122" t="s">
        <v>535</v>
      </c>
      <c r="G122" s="188">
        <v>44674</v>
      </c>
      <c r="H122" s="10"/>
      <c r="I122" s="10"/>
      <c r="J122" s="10" t="s">
        <v>405</v>
      </c>
      <c r="K122" s="10" t="s">
        <v>2759</v>
      </c>
      <c r="L122" s="10" t="s">
        <v>2678</v>
      </c>
      <c r="M122" s="164" t="s">
        <v>558</v>
      </c>
      <c r="N122" s="164"/>
      <c r="O122" s="234"/>
      <c r="P122" s="234"/>
      <c r="Q122" s="231" t="str">
        <f t="shared" si="17"/>
        <v>. Wiper Motor &amp; Transmission Linkage</v>
      </c>
      <c r="R122" s="231"/>
      <c r="S122" s="231" t="str">
        <f t="shared" si="20"/>
        <v/>
      </c>
      <c r="T122" s="231" t="str">
        <f>IF(O122&lt;&gt;"",_xlfn.XLOOKUP(O122,'3D. Pictures'!B:B,'3D. Pictures'!E:E,"NOT FOUND",0,1),"")</f>
        <v/>
      </c>
      <c r="U122" s="164"/>
      <c r="V122" s="16"/>
      <c r="W122" s="164"/>
      <c r="X122" s="16"/>
      <c r="Y122" s="205"/>
      <c r="Z122" s="16"/>
      <c r="AA122" s="10" t="s">
        <v>2547</v>
      </c>
      <c r="AB122" s="10" t="s">
        <v>2547</v>
      </c>
      <c r="AC122" s="359" t="str">
        <f t="shared" si="19"/>
        <v/>
      </c>
      <c r="AD122" s="10"/>
      <c r="AE122" s="10"/>
      <c r="AF122" s="168" t="s">
        <v>543</v>
      </c>
      <c r="AG122" s="177"/>
      <c r="AH122" s="366"/>
      <c r="AI122" s="380" t="str">
        <f t="shared" si="21"/>
        <v/>
      </c>
      <c r="AJ122" s="3" t="s">
        <v>408</v>
      </c>
      <c r="AK122" s="3" t="s">
        <v>425</v>
      </c>
      <c r="AL122" s="3" t="s">
        <v>2175</v>
      </c>
      <c r="AO122" t="s">
        <v>572</v>
      </c>
      <c r="AX122" s="279" t="str">
        <f t="shared" si="28"/>
        <v/>
      </c>
    </row>
    <row r="123" spans="1:50" x14ac:dyDescent="0.25">
      <c r="A123" s="190" t="str">
        <f t="shared" si="15"/>
        <v/>
      </c>
      <c r="B123" s="241" t="str">
        <f t="shared" si="18"/>
        <v/>
      </c>
      <c r="C123" s="241"/>
      <c r="D123" s="241"/>
      <c r="E123" s="241" t="str">
        <f t="shared" si="16"/>
        <v/>
      </c>
      <c r="F123" s="241" t="s">
        <v>535</v>
      </c>
      <c r="G123" s="242">
        <v>45233</v>
      </c>
      <c r="H123" s="287"/>
      <c r="I123" s="288"/>
      <c r="J123" s="263" t="s">
        <v>405</v>
      </c>
      <c r="K123" s="263" t="s">
        <v>2758</v>
      </c>
      <c r="L123" s="263" t="s">
        <v>2680</v>
      </c>
      <c r="M123" s="289" t="s">
        <v>562</v>
      </c>
      <c r="N123" s="289"/>
      <c r="O123" s="290"/>
      <c r="P123" s="290"/>
      <c r="Q123" s="231" t="str">
        <f t="shared" si="17"/>
        <v>. Bumper Impact Reinforcement Bar, REAR</v>
      </c>
      <c r="R123" s="291"/>
      <c r="S123" s="291" t="str">
        <f t="shared" si="20"/>
        <v/>
      </c>
      <c r="T123" s="291" t="str">
        <f>IF(O123&lt;&gt;"",_xlfn.XLOOKUP(O123,'3D. Pictures'!B:B,'3D. Pictures'!E:E,"NOT FOUND",0,1),"")</f>
        <v/>
      </c>
      <c r="U123" s="289"/>
      <c r="V123" s="263"/>
      <c r="W123" s="289"/>
      <c r="X123" s="263"/>
      <c r="Y123" s="16"/>
      <c r="Z123" s="263"/>
      <c r="AA123" s="263" t="s">
        <v>2186</v>
      </c>
      <c r="AB123" s="263" t="s">
        <v>2186</v>
      </c>
      <c r="AC123" s="359" t="str">
        <f t="shared" si="19"/>
        <v/>
      </c>
      <c r="AD123" s="263"/>
      <c r="AE123" s="263"/>
      <c r="AF123" s="292"/>
      <c r="AG123" s="263"/>
      <c r="AH123" s="10"/>
      <c r="AI123" s="380" t="str">
        <f t="shared" si="21"/>
        <v/>
      </c>
      <c r="AJ123" s="246" t="s">
        <v>408</v>
      </c>
      <c r="AK123" s="246" t="s">
        <v>425</v>
      </c>
      <c r="AL123" s="246" t="s">
        <v>2175</v>
      </c>
      <c r="AM123" s="241"/>
      <c r="AN123" s="251"/>
      <c r="AO123" s="241" t="s">
        <v>572</v>
      </c>
      <c r="AP123" s="241"/>
      <c r="AQ123" s="241"/>
      <c r="AR123" s="241"/>
      <c r="AS123" s="241"/>
      <c r="AT123" s="241"/>
      <c r="AU123" s="241"/>
      <c r="AV123" s="303" t="s">
        <v>2450</v>
      </c>
      <c r="AW123" s="241" t="s">
        <v>2451</v>
      </c>
      <c r="AX123" s="279" t="str">
        <f t="shared" si="28"/>
        <v>F15-14-18-ALL-Viking84</v>
      </c>
    </row>
    <row r="124" spans="1:50" x14ac:dyDescent="0.25">
      <c r="A124" s="190" t="str">
        <f t="shared" si="15"/>
        <v/>
      </c>
      <c r="B124" s="241" t="str">
        <f t="shared" si="18"/>
        <v/>
      </c>
      <c r="C124" s="241"/>
      <c r="D124" s="241"/>
      <c r="E124" s="241" t="str">
        <f t="shared" si="16"/>
        <v/>
      </c>
      <c r="F124" s="241" t="s">
        <v>535</v>
      </c>
      <c r="G124" s="242">
        <v>45244</v>
      </c>
      <c r="H124" s="264"/>
      <c r="I124" s="196"/>
      <c r="J124" s="243" t="s">
        <v>402</v>
      </c>
      <c r="K124" s="243" t="s">
        <v>2758</v>
      </c>
      <c r="L124" s="243" t="s">
        <v>2680</v>
      </c>
      <c r="M124" s="262" t="s">
        <v>562</v>
      </c>
      <c r="N124" s="262"/>
      <c r="O124" s="268"/>
      <c r="P124" s="268"/>
      <c r="Q124" s="231" t="str">
        <f t="shared" si="17"/>
        <v>. Bumper Bar and Headlight Mounting Bracket, LEFT</v>
      </c>
      <c r="R124" s="244"/>
      <c r="S124" s="244" t="str">
        <f t="shared" si="20"/>
        <v/>
      </c>
      <c r="T124" s="244" t="str">
        <f>IF(O124&lt;&gt;"",_xlfn.XLOOKUP(O124,'3D. Pictures'!B:B,'3D. Pictures'!E:E,"NOT FOUND",0,1),"")</f>
        <v/>
      </c>
      <c r="U124" s="262"/>
      <c r="V124" s="243"/>
      <c r="W124" s="262"/>
      <c r="X124" s="243"/>
      <c r="Y124" s="16"/>
      <c r="Z124" s="243"/>
      <c r="AA124" s="243" t="s">
        <v>2187</v>
      </c>
      <c r="AB124" s="243" t="s">
        <v>2187</v>
      </c>
      <c r="AC124" s="358" t="str">
        <f t="shared" si="19"/>
        <v/>
      </c>
      <c r="AD124" s="243"/>
      <c r="AE124" s="243"/>
      <c r="AF124" s="179" t="s">
        <v>543</v>
      </c>
      <c r="AG124" s="243"/>
      <c r="AH124" s="16">
        <v>150</v>
      </c>
      <c r="AI124" s="380">
        <f t="shared" si="21"/>
        <v>150</v>
      </c>
      <c r="AJ124" s="246" t="s">
        <v>408</v>
      </c>
      <c r="AK124" s="246" t="s">
        <v>425</v>
      </c>
      <c r="AL124" s="246" t="s">
        <v>2175</v>
      </c>
      <c r="AM124" s="241"/>
      <c r="AN124" s="251"/>
      <c r="AO124" s="241" t="s">
        <v>572</v>
      </c>
      <c r="AP124" s="241"/>
      <c r="AQ124" s="241"/>
      <c r="AR124" s="241"/>
      <c r="AS124" s="241" t="s">
        <v>1028</v>
      </c>
      <c r="AT124" s="241" t="s">
        <v>1029</v>
      </c>
      <c r="AU124" s="241" t="s">
        <v>1030</v>
      </c>
      <c r="AV124" s="303" t="str">
        <f t="shared" ref="AV124:AV125" si="29">CONCATENATE(AS124,"-",AT124,"-",AU124)</f>
        <v>F15-14-18-ALL</v>
      </c>
      <c r="AW124" s="241" t="s">
        <v>2377</v>
      </c>
      <c r="AX124" s="279" t="str">
        <f t="shared" si="28"/>
        <v>F15-14-18-ALL-Viking11</v>
      </c>
    </row>
    <row r="125" spans="1:50" x14ac:dyDescent="0.25">
      <c r="A125" s="190" t="str">
        <f t="shared" si="15"/>
        <v/>
      </c>
      <c r="B125" s="241" t="str">
        <f t="shared" si="18"/>
        <v/>
      </c>
      <c r="C125" s="241"/>
      <c r="D125" s="241"/>
      <c r="E125" s="241" t="str">
        <f t="shared" si="16"/>
        <v/>
      </c>
      <c r="F125" s="241" t="s">
        <v>535</v>
      </c>
      <c r="G125" s="242">
        <v>45244</v>
      </c>
      <c r="H125" s="264"/>
      <c r="I125" s="196"/>
      <c r="J125" s="243" t="s">
        <v>402</v>
      </c>
      <c r="K125" s="243" t="s">
        <v>2758</v>
      </c>
      <c r="L125" s="243" t="s">
        <v>2680</v>
      </c>
      <c r="M125" s="262" t="s">
        <v>562</v>
      </c>
      <c r="N125" s="262"/>
      <c r="O125" s="268"/>
      <c r="P125" s="268"/>
      <c r="Q125" s="231" t="str">
        <f t="shared" si="17"/>
        <v>. Bumper Bar and Headlight Mounting Bracket, RIGHT</v>
      </c>
      <c r="R125" s="244"/>
      <c r="S125" s="244" t="str">
        <f t="shared" si="20"/>
        <v/>
      </c>
      <c r="T125" s="244" t="str">
        <f>IF(O125&lt;&gt;"",_xlfn.XLOOKUP(O125,'3D. Pictures'!B:B,'3D. Pictures'!E:E,"NOT FOUND",0,1),"")</f>
        <v/>
      </c>
      <c r="U125" s="262"/>
      <c r="V125" s="243"/>
      <c r="W125" s="262"/>
      <c r="X125" s="243"/>
      <c r="Y125" s="16"/>
      <c r="Z125" s="243"/>
      <c r="AA125" s="243" t="s">
        <v>2188</v>
      </c>
      <c r="AB125" s="243" t="s">
        <v>2188</v>
      </c>
      <c r="AC125" s="358" t="str">
        <f t="shared" si="19"/>
        <v/>
      </c>
      <c r="AD125" s="243"/>
      <c r="AE125" s="243"/>
      <c r="AF125" s="179" t="s">
        <v>543</v>
      </c>
      <c r="AG125" s="243"/>
      <c r="AH125" s="16">
        <v>150</v>
      </c>
      <c r="AI125" s="380">
        <f t="shared" si="21"/>
        <v>150</v>
      </c>
      <c r="AJ125" s="246" t="s">
        <v>408</v>
      </c>
      <c r="AK125" s="246" t="s">
        <v>425</v>
      </c>
      <c r="AL125" s="246" t="s">
        <v>2175</v>
      </c>
      <c r="AM125" s="241"/>
      <c r="AN125" s="251"/>
      <c r="AO125" s="241" t="s">
        <v>572</v>
      </c>
      <c r="AP125" s="241"/>
      <c r="AQ125" s="241"/>
      <c r="AR125" s="241"/>
      <c r="AS125" s="241" t="s">
        <v>1028</v>
      </c>
      <c r="AT125" s="241" t="s">
        <v>1029</v>
      </c>
      <c r="AU125" s="241" t="s">
        <v>1030</v>
      </c>
      <c r="AV125" s="303" t="str">
        <f t="shared" si="29"/>
        <v>F15-14-18-ALL</v>
      </c>
      <c r="AW125" s="241" t="s">
        <v>2378</v>
      </c>
      <c r="AX125" s="279" t="str">
        <f t="shared" si="28"/>
        <v>F15-14-18-ALL-Viking12</v>
      </c>
    </row>
    <row r="126" spans="1:50" x14ac:dyDescent="0.25">
      <c r="A126" s="190" t="str">
        <f t="shared" si="15"/>
        <v/>
      </c>
      <c r="B126" s="279" t="str">
        <f t="shared" si="18"/>
        <v/>
      </c>
      <c r="C126" s="279"/>
      <c r="D126" s="279"/>
      <c r="E126" s="279" t="str">
        <f t="shared" si="16"/>
        <v/>
      </c>
      <c r="F126" t="s">
        <v>536</v>
      </c>
      <c r="G126" s="188">
        <v>44993</v>
      </c>
      <c r="H126" s="158"/>
      <c r="I126" s="164"/>
      <c r="J126" s="16" t="s">
        <v>402</v>
      </c>
      <c r="K126" s="16" t="s">
        <v>2758</v>
      </c>
      <c r="L126" s="16" t="s">
        <v>2680</v>
      </c>
      <c r="M126" s="18" t="s">
        <v>562</v>
      </c>
      <c r="N126" s="18"/>
      <c r="O126" s="235"/>
      <c r="P126" s="235"/>
      <c r="Q126" s="231" t="str">
        <f t="shared" si="17"/>
        <v>. Bumper Reinforcement Bracket, FRONT SET 2</v>
      </c>
      <c r="R126" s="231"/>
      <c r="S126" s="231" t="str">
        <f t="shared" si="20"/>
        <v/>
      </c>
      <c r="T126" s="231" t="str">
        <f>IF(O126&lt;&gt;"",_xlfn.XLOOKUP(O126,'3D. Pictures'!B:B,'3D. Pictures'!E:E,"NOT FOUND",0,1),"")</f>
        <v/>
      </c>
      <c r="U126" s="18"/>
      <c r="V126" s="16"/>
      <c r="W126" s="18"/>
      <c r="X126" s="16"/>
      <c r="Y126" s="16"/>
      <c r="Z126" s="16"/>
      <c r="AA126" s="16" t="s">
        <v>2815</v>
      </c>
      <c r="AB126" s="16" t="s">
        <v>2489</v>
      </c>
      <c r="AC126" s="358" t="str">
        <f t="shared" si="19"/>
        <v>SET 2, sell singles if 1 bad</v>
      </c>
      <c r="AD126" s="16" t="s">
        <v>2550</v>
      </c>
      <c r="AE126" s="16"/>
      <c r="AF126" s="168" t="s">
        <v>544</v>
      </c>
      <c r="AG126" s="16"/>
      <c r="AH126" s="16">
        <v>160</v>
      </c>
      <c r="AI126" s="380">
        <f t="shared" si="21"/>
        <v>160</v>
      </c>
      <c r="AJ126" s="3" t="s">
        <v>408</v>
      </c>
      <c r="AK126" s="3" t="s">
        <v>425</v>
      </c>
      <c r="AL126" s="3" t="s">
        <v>2175</v>
      </c>
      <c r="AN126" s="45"/>
      <c r="AO126" t="s">
        <v>572</v>
      </c>
      <c r="AX126" s="279" t="str">
        <f t="shared" si="28"/>
        <v/>
      </c>
    </row>
    <row r="127" spans="1:50" x14ac:dyDescent="0.25">
      <c r="A127" s="190" t="str">
        <f t="shared" si="15"/>
        <v/>
      </c>
      <c r="B127" s="279" t="str">
        <f t="shared" si="18"/>
        <v>104-60051</v>
      </c>
      <c r="C127" s="279"/>
      <c r="D127" s="279"/>
      <c r="E127" s="279">
        <f t="shared" si="16"/>
        <v>1</v>
      </c>
      <c r="F127" s="190" t="s">
        <v>535</v>
      </c>
      <c r="G127" s="198">
        <v>45209</v>
      </c>
      <c r="H127" s="209"/>
      <c r="I127" s="218"/>
      <c r="J127" s="201" t="s">
        <v>402</v>
      </c>
      <c r="K127" s="201" t="s">
        <v>2758</v>
      </c>
      <c r="L127" s="205" t="s">
        <v>676</v>
      </c>
      <c r="M127" s="192" t="s">
        <v>558</v>
      </c>
      <c r="N127" s="192"/>
      <c r="O127" s="229"/>
      <c r="P127" s="229"/>
      <c r="Q127" s="231" t="str">
        <f t="shared" si="17"/>
        <v>. Grille, LOWER BUMPER - CENTER</v>
      </c>
      <c r="R127" s="231"/>
      <c r="S127" s="231" t="str">
        <f t="shared" si="20"/>
        <v/>
      </c>
      <c r="T127" s="231" t="str">
        <f>IF(O127&lt;&gt;"",_xlfn.XLOOKUP(O127,'3D. Pictures'!B:B,'3D. Pictures'!E:E,"NOT FOUND",0,1),"")</f>
        <v/>
      </c>
      <c r="U127" s="192"/>
      <c r="V127" s="205"/>
      <c r="W127" s="192"/>
      <c r="X127" s="205"/>
      <c r="Y127" s="16"/>
      <c r="Z127" s="205"/>
      <c r="AA127" s="201" t="s">
        <v>695</v>
      </c>
      <c r="AB127" s="201" t="s">
        <v>695</v>
      </c>
      <c r="AC127" s="247" t="str">
        <f t="shared" si="19"/>
        <v/>
      </c>
      <c r="AD127" s="201"/>
      <c r="AE127" s="201"/>
      <c r="AF127" s="201" t="s">
        <v>543</v>
      </c>
      <c r="AG127" s="201"/>
      <c r="AH127" s="367">
        <v>150</v>
      </c>
      <c r="AI127" s="380">
        <f t="shared" si="21"/>
        <v>150</v>
      </c>
      <c r="AJ127" s="204" t="s">
        <v>408</v>
      </c>
      <c r="AK127" s="204" t="s">
        <v>425</v>
      </c>
      <c r="AL127" s="204" t="s">
        <v>2175</v>
      </c>
      <c r="AM127" s="219"/>
      <c r="AN127" s="191" t="s">
        <v>621</v>
      </c>
      <c r="AO127" s="190" t="s">
        <v>572</v>
      </c>
      <c r="AP127" s="190">
        <v>60051</v>
      </c>
      <c r="AQ127" s="190" t="str">
        <f t="shared" ref="AQ127:AQ130" si="30">CONCATENATE(AN127,AO127,AP127)</f>
        <v>104-60051</v>
      </c>
      <c r="AR127" s="190" t="s">
        <v>702</v>
      </c>
      <c r="AS127" s="190"/>
      <c r="AT127" s="190"/>
      <c r="AU127" s="190"/>
      <c r="AV127" s="190"/>
      <c r="AW127" s="190"/>
      <c r="AX127" s="279" t="str">
        <f t="shared" si="28"/>
        <v/>
      </c>
    </row>
    <row r="128" spans="1:50" x14ac:dyDescent="0.25">
      <c r="A128" s="190" t="str">
        <f t="shared" si="15"/>
        <v/>
      </c>
      <c r="B128" s="279" t="str">
        <f t="shared" si="18"/>
        <v>104-60056A</v>
      </c>
      <c r="C128" s="279" t="s">
        <v>2104</v>
      </c>
      <c r="D128" s="279"/>
      <c r="E128" s="279">
        <f t="shared" si="16"/>
        <v>1</v>
      </c>
      <c r="F128" s="190" t="s">
        <v>535</v>
      </c>
      <c r="G128" s="198">
        <v>45209</v>
      </c>
      <c r="H128" s="209"/>
      <c r="I128" s="218"/>
      <c r="J128" s="201" t="s">
        <v>402</v>
      </c>
      <c r="K128" s="201" t="s">
        <v>2758</v>
      </c>
      <c r="L128" s="205" t="s">
        <v>676</v>
      </c>
      <c r="M128" s="192" t="s">
        <v>558</v>
      </c>
      <c r="N128" s="192"/>
      <c r="O128" s="229"/>
      <c r="P128" s="229"/>
      <c r="Q128" s="231" t="str">
        <f t="shared" si="17"/>
        <v>. Grille, LOWER BUMPER - ENDS SET 2</v>
      </c>
      <c r="R128" s="231"/>
      <c r="S128" s="231" t="str">
        <f t="shared" si="20"/>
        <v/>
      </c>
      <c r="T128" s="231" t="str">
        <f>IF(O128&lt;&gt;"",_xlfn.XLOOKUP(O128,'3D. Pictures'!B:B,'3D. Pictures'!E:E,"NOT FOUND",0,1),"")</f>
        <v/>
      </c>
      <c r="U128" s="192"/>
      <c r="V128" s="205"/>
      <c r="W128" s="192"/>
      <c r="X128" s="205"/>
      <c r="Y128" s="16"/>
      <c r="Z128" s="205"/>
      <c r="AA128" s="201" t="s">
        <v>2817</v>
      </c>
      <c r="AB128" s="201" t="s">
        <v>2490</v>
      </c>
      <c r="AC128" s="247" t="str">
        <f t="shared" si="19"/>
        <v>SET 2, sell single if 1 bad</v>
      </c>
      <c r="AD128" s="201" t="s">
        <v>2816</v>
      </c>
      <c r="AE128" s="201"/>
      <c r="AF128" s="201" t="s">
        <v>544</v>
      </c>
      <c r="AG128" s="201"/>
      <c r="AH128" s="367">
        <v>125</v>
      </c>
      <c r="AI128" s="380">
        <f t="shared" si="21"/>
        <v>125</v>
      </c>
      <c r="AJ128" s="204" t="s">
        <v>408</v>
      </c>
      <c r="AK128" s="204" t="s">
        <v>425</v>
      </c>
      <c r="AL128" s="204" t="s">
        <v>2175</v>
      </c>
      <c r="AM128" s="219"/>
      <c r="AN128" s="191" t="s">
        <v>621</v>
      </c>
      <c r="AO128" s="190" t="s">
        <v>572</v>
      </c>
      <c r="AP128" s="220" t="s">
        <v>711</v>
      </c>
      <c r="AQ128" s="190" t="str">
        <f t="shared" si="30"/>
        <v>104-60056A</v>
      </c>
      <c r="AR128" s="190" t="s">
        <v>777</v>
      </c>
      <c r="AS128" s="190"/>
      <c r="AT128" s="190"/>
      <c r="AU128" s="190"/>
      <c r="AV128" s="190"/>
      <c r="AW128" s="190"/>
      <c r="AX128" s="279" t="str">
        <f t="shared" si="28"/>
        <v/>
      </c>
    </row>
    <row r="129" spans="1:50" x14ac:dyDescent="0.25">
      <c r="A129" s="190" t="str">
        <f t="shared" si="15"/>
        <v/>
      </c>
      <c r="B129" s="279" t="str">
        <f t="shared" si="18"/>
        <v>104-60049</v>
      </c>
      <c r="C129" s="279"/>
      <c r="D129" s="279"/>
      <c r="E129" s="279">
        <f t="shared" si="16"/>
        <v>1</v>
      </c>
      <c r="F129" s="190" t="s">
        <v>535</v>
      </c>
      <c r="G129" s="198">
        <v>45216</v>
      </c>
      <c r="H129" s="209"/>
      <c r="I129" s="218"/>
      <c r="J129" s="201" t="s">
        <v>402</v>
      </c>
      <c r="K129" s="201" t="s">
        <v>2758</v>
      </c>
      <c r="L129" s="205" t="s">
        <v>676</v>
      </c>
      <c r="M129" s="192" t="s">
        <v>558</v>
      </c>
      <c r="N129" s="192"/>
      <c r="O129" s="229"/>
      <c r="P129" s="229"/>
      <c r="Q129" s="231" t="str">
        <f t="shared" si="17"/>
        <v>. Grille, CENTER MIDDLE</v>
      </c>
      <c r="R129" s="231"/>
      <c r="S129" s="231" t="str">
        <f t="shared" si="20"/>
        <v/>
      </c>
      <c r="T129" s="231" t="str">
        <f>IF(O129&lt;&gt;"",_xlfn.XLOOKUP(O129,'3D. Pictures'!B:B,'3D. Pictures'!E:E,"NOT FOUND",0,1),"")</f>
        <v/>
      </c>
      <c r="U129" s="192"/>
      <c r="V129" s="205"/>
      <c r="W129" s="192"/>
      <c r="X129" s="205"/>
      <c r="Y129" s="205"/>
      <c r="Z129" s="205"/>
      <c r="AA129" s="201" t="s">
        <v>735</v>
      </c>
      <c r="AB129" s="201" t="s">
        <v>735</v>
      </c>
      <c r="AC129" s="247" t="str">
        <f t="shared" si="19"/>
        <v/>
      </c>
      <c r="AD129" s="201"/>
      <c r="AE129" s="201"/>
      <c r="AF129" s="201" t="s">
        <v>543</v>
      </c>
      <c r="AG129" s="201"/>
      <c r="AH129" s="367">
        <v>125</v>
      </c>
      <c r="AI129" s="380">
        <f t="shared" si="21"/>
        <v>125</v>
      </c>
      <c r="AJ129" s="204" t="s">
        <v>408</v>
      </c>
      <c r="AK129" s="204" t="s">
        <v>425</v>
      </c>
      <c r="AL129" s="204" t="s">
        <v>2175</v>
      </c>
      <c r="AM129" s="219"/>
      <c r="AN129" s="191" t="s">
        <v>621</v>
      </c>
      <c r="AO129" s="190" t="s">
        <v>572</v>
      </c>
      <c r="AP129" s="190">
        <v>60049</v>
      </c>
      <c r="AQ129" s="190" t="str">
        <f t="shared" si="30"/>
        <v>104-60049</v>
      </c>
      <c r="AR129" s="190" t="s">
        <v>687</v>
      </c>
      <c r="AS129" s="190"/>
      <c r="AT129" s="190"/>
      <c r="AU129" s="190"/>
      <c r="AV129" s="190"/>
      <c r="AW129" s="190"/>
      <c r="AX129" s="279" t="str">
        <f t="shared" si="28"/>
        <v/>
      </c>
    </row>
    <row r="130" spans="1:50" ht="15.75" thickBot="1" x14ac:dyDescent="0.3">
      <c r="A130" s="190" t="str">
        <f t="shared" ref="A130:A193" si="31">IF(O130&lt;&gt;"",O130,"")</f>
        <v/>
      </c>
      <c r="B130" s="279" t="str">
        <f t="shared" si="18"/>
        <v>104-60041C</v>
      </c>
      <c r="C130" s="279" t="s">
        <v>2116</v>
      </c>
      <c r="D130" s="279"/>
      <c r="E130" s="279">
        <f t="shared" ref="E130:E193" si="32">IF(B130&lt;&gt;"",COUNTIF($B$9:$B$2241,B130),"")</f>
        <v>1</v>
      </c>
      <c r="F130" s="190" t="s">
        <v>535</v>
      </c>
      <c r="G130" s="198">
        <v>45216</v>
      </c>
      <c r="H130" s="209"/>
      <c r="I130" s="218"/>
      <c r="J130" s="201" t="s">
        <v>402</v>
      </c>
      <c r="K130" s="201" t="s">
        <v>2758</v>
      </c>
      <c r="L130" s="205" t="s">
        <v>676</v>
      </c>
      <c r="M130" s="192" t="s">
        <v>558</v>
      </c>
      <c r="N130" s="192"/>
      <c r="O130" s="229"/>
      <c r="P130" s="229"/>
      <c r="Q130" s="231" t="str">
        <f t="shared" ref="Q130:Q193" si="33">CONCATENATE(O130,". ",AB130)</f>
        <v>. Grille, UPPER KIDNEY GRILLE SET 2</v>
      </c>
      <c r="R130" s="231"/>
      <c r="S130" s="231" t="str">
        <f t="shared" si="20"/>
        <v/>
      </c>
      <c r="T130" s="231" t="str">
        <f>IF(O130&lt;&gt;"",_xlfn.XLOOKUP(O130,'3D. Pictures'!B:B,'3D. Pictures'!E:E,"NOT FOUND",0,1),"")</f>
        <v/>
      </c>
      <c r="U130" s="192"/>
      <c r="V130" s="205"/>
      <c r="W130" s="192"/>
      <c r="X130" s="205"/>
      <c r="Y130" s="205"/>
      <c r="Z130" s="205"/>
      <c r="AA130" s="201" t="s">
        <v>2818</v>
      </c>
      <c r="AB130" s="201" t="s">
        <v>2491</v>
      </c>
      <c r="AC130" s="247" t="str">
        <f t="shared" si="19"/>
        <v>SET 2, sell single if 1 bad</v>
      </c>
      <c r="AD130" s="201" t="s">
        <v>2816</v>
      </c>
      <c r="AE130" s="201"/>
      <c r="AF130" s="201" t="s">
        <v>544</v>
      </c>
      <c r="AG130" s="201"/>
      <c r="AH130" s="367">
        <v>150</v>
      </c>
      <c r="AI130" s="380">
        <f t="shared" si="21"/>
        <v>150</v>
      </c>
      <c r="AJ130" s="204" t="s">
        <v>408</v>
      </c>
      <c r="AK130" s="204" t="s">
        <v>425</v>
      </c>
      <c r="AL130" s="204" t="s">
        <v>2175</v>
      </c>
      <c r="AM130" s="219"/>
      <c r="AN130" s="191" t="s">
        <v>621</v>
      </c>
      <c r="AO130" s="190" t="s">
        <v>572</v>
      </c>
      <c r="AP130" s="220" t="s">
        <v>740</v>
      </c>
      <c r="AQ130" s="190" t="str">
        <f t="shared" si="30"/>
        <v>104-60041C</v>
      </c>
      <c r="AR130" s="190" t="s">
        <v>769</v>
      </c>
      <c r="AS130" s="190"/>
      <c r="AT130" s="190"/>
      <c r="AU130" s="190"/>
      <c r="AV130" s="190"/>
      <c r="AW130" s="190"/>
      <c r="AX130" s="279" t="str">
        <f t="shared" si="28"/>
        <v/>
      </c>
    </row>
    <row r="131" spans="1:50" ht="15.75" thickBot="1" x14ac:dyDescent="0.3">
      <c r="A131" s="190" t="str">
        <f t="shared" si="31"/>
        <v>A119</v>
      </c>
      <c r="B131" s="279" t="str">
        <f t="shared" ref="B131:B194" si="34">IF(AQ131&lt;&gt;"",AQ131,"")</f>
        <v>177-999001</v>
      </c>
      <c r="C131" s="279"/>
      <c r="D131" s="279"/>
      <c r="E131" s="279">
        <f t="shared" si="32"/>
        <v>1</v>
      </c>
      <c r="F131" s="190" t="s">
        <v>535</v>
      </c>
      <c r="G131" s="198">
        <v>44670</v>
      </c>
      <c r="H131" s="199"/>
      <c r="I131" s="200" t="s">
        <v>7</v>
      </c>
      <c r="J131" s="201" t="s">
        <v>402</v>
      </c>
      <c r="K131" s="201" t="s">
        <v>2758</v>
      </c>
      <c r="L131" s="201" t="s">
        <v>677</v>
      </c>
      <c r="M131" s="212" t="s">
        <v>560</v>
      </c>
      <c r="N131" s="212">
        <v>109</v>
      </c>
      <c r="O131" s="236" t="s">
        <v>1021</v>
      </c>
      <c r="P131" s="236" t="s">
        <v>1307</v>
      </c>
      <c r="Q131" s="231" t="str">
        <f t="shared" si="33"/>
        <v>A119. Fuel Tank Door</v>
      </c>
      <c r="R131" s="284" t="str">
        <f>HYPERLINK(VLOOKUP(O131,'3D. Pictures'!$B$3:$E$500,4,FALSE),"PIC")</f>
        <v>PIC</v>
      </c>
      <c r="S131" s="373" t="str">
        <f t="shared" si="20"/>
        <v>E.G.</v>
      </c>
      <c r="T131" s="377" t="str">
        <f>IF(O131&lt;&gt;"",_xlfn.XLOOKUP(O131,'3D. Pictures'!B:B,'3D. Pictures'!E:E,"NOT FOUND",0,1),"")</f>
        <v>https://viking-pictures.s3.us-west-1.amazonaws.com/AA1155/A119.+Fuel+Tank+Door+(1).JPG</v>
      </c>
      <c r="U131" s="212">
        <v>4</v>
      </c>
      <c r="V131" s="205" t="s">
        <v>1356</v>
      </c>
      <c r="W131" s="212" t="s">
        <v>111</v>
      </c>
      <c r="X131" s="205" t="s">
        <v>2463</v>
      </c>
      <c r="Y131" s="205"/>
      <c r="Z131" s="205"/>
      <c r="AA131" s="201" t="s">
        <v>677</v>
      </c>
      <c r="AB131" s="201" t="s">
        <v>677</v>
      </c>
      <c r="AC131" s="247" t="str">
        <f t="shared" ref="AC131:AC194" si="35">_xlfn.TEXTJOIN(" | ",TRUE,AD131,AE131)</f>
        <v>just door, toss housing</v>
      </c>
      <c r="AD131" s="201" t="s">
        <v>678</v>
      </c>
      <c r="AE131" s="201"/>
      <c r="AF131" s="201" t="s">
        <v>543</v>
      </c>
      <c r="AG131" s="201"/>
      <c r="AH131" s="168">
        <v>65</v>
      </c>
      <c r="AI131" s="380">
        <f t="shared" si="21"/>
        <v>65</v>
      </c>
      <c r="AJ131" s="204" t="s">
        <v>408</v>
      </c>
      <c r="AK131" s="204" t="s">
        <v>425</v>
      </c>
      <c r="AL131" s="204" t="s">
        <v>2175</v>
      </c>
      <c r="AM131" s="190"/>
      <c r="AN131" s="191" t="s">
        <v>622</v>
      </c>
      <c r="AO131" s="190" t="s">
        <v>572</v>
      </c>
      <c r="AP131" s="190">
        <v>999001</v>
      </c>
      <c r="AQ131" s="190" t="str">
        <f>CONCATENATE(AN131,AO131,AP131)</f>
        <v>177-999001</v>
      </c>
      <c r="AR131" s="190"/>
      <c r="AS131" s="190"/>
      <c r="AT131" s="190"/>
      <c r="AU131" s="190"/>
      <c r="AV131" s="190"/>
      <c r="AW131" s="190"/>
      <c r="AX131" s="279" t="str">
        <f t="shared" si="28"/>
        <v/>
      </c>
    </row>
    <row r="132" spans="1:50" x14ac:dyDescent="0.25">
      <c r="A132" s="190" t="str">
        <f t="shared" si="31"/>
        <v/>
      </c>
      <c r="B132" s="279" t="str">
        <f t="shared" si="34"/>
        <v/>
      </c>
      <c r="C132" s="279"/>
      <c r="D132" s="279"/>
      <c r="E132" s="279" t="str">
        <f t="shared" si="32"/>
        <v/>
      </c>
      <c r="F132" t="s">
        <v>536</v>
      </c>
      <c r="G132" s="188">
        <v>44811</v>
      </c>
      <c r="H132" s="158"/>
      <c r="I132" s="164"/>
      <c r="J132" s="16" t="s">
        <v>402</v>
      </c>
      <c r="K132" s="16" t="s">
        <v>2758</v>
      </c>
      <c r="L132" s="16" t="s">
        <v>2681</v>
      </c>
      <c r="M132" s="16" t="s">
        <v>559</v>
      </c>
      <c r="N132" s="16"/>
      <c r="O132" s="166"/>
      <c r="P132" s="166"/>
      <c r="Q132" s="231" t="str">
        <f t="shared" si="33"/>
        <v>. Headlight Washer Squirters &amp; Cover Caps SET 2</v>
      </c>
      <c r="R132" s="231"/>
      <c r="S132" s="231" t="str">
        <f t="shared" ref="S132:S195" si="36">IF(T132&lt;&gt;"",HYPERLINK(T132,"E.G."),"")</f>
        <v/>
      </c>
      <c r="T132" s="231" t="str">
        <f>IF(O132&lt;&gt;"",_xlfn.XLOOKUP(O132,'3D. Pictures'!B:B,'3D. Pictures'!E:E,"NOT FOUND",0,1),"")</f>
        <v/>
      </c>
      <c r="U132" s="16"/>
      <c r="V132" s="16"/>
      <c r="W132" s="16"/>
      <c r="X132" s="16"/>
      <c r="Y132" s="205"/>
      <c r="Z132" s="16"/>
      <c r="AA132" s="16" t="s">
        <v>2820</v>
      </c>
      <c r="AB132" s="16" t="s">
        <v>2552</v>
      </c>
      <c r="AC132" s="358" t="str">
        <f t="shared" si="35"/>
        <v>SET 2, toss both if 1 bad</v>
      </c>
      <c r="AD132" s="16" t="s">
        <v>2551</v>
      </c>
      <c r="AE132" s="16"/>
      <c r="AF132" s="168" t="s">
        <v>544</v>
      </c>
      <c r="AG132" s="16"/>
      <c r="AH132" s="16">
        <v>75</v>
      </c>
      <c r="AI132" s="380">
        <f t="shared" ref="AI132:AI195" si="37">IF(ISTEXT(AH132), AH132, IFERROR(AVERAGEIF(AA:AA, AA132, AH:AH), ""))</f>
        <v>75</v>
      </c>
      <c r="AJ132" s="3" t="s">
        <v>408</v>
      </c>
      <c r="AK132" s="3" t="s">
        <v>425</v>
      </c>
      <c r="AL132" s="3" t="s">
        <v>2175</v>
      </c>
      <c r="AX132" s="279" t="str">
        <f t="shared" si="28"/>
        <v/>
      </c>
    </row>
    <row r="133" spans="1:50" ht="15.75" thickBot="1" x14ac:dyDescent="0.3">
      <c r="A133" s="190" t="str">
        <f t="shared" si="31"/>
        <v/>
      </c>
      <c r="B133" s="279" t="str">
        <f t="shared" si="34"/>
        <v/>
      </c>
      <c r="C133" s="279"/>
      <c r="D133" s="279"/>
      <c r="E133" s="279" t="str">
        <f t="shared" si="32"/>
        <v/>
      </c>
      <c r="F133" s="241" t="s">
        <v>535</v>
      </c>
      <c r="G133" s="242">
        <v>44680</v>
      </c>
      <c r="H133" s="243"/>
      <c r="I133" s="196"/>
      <c r="J133" s="243" t="s">
        <v>402</v>
      </c>
      <c r="K133" s="243" t="s">
        <v>2758</v>
      </c>
      <c r="L133" s="243" t="s">
        <v>1162</v>
      </c>
      <c r="M133" s="243" t="s">
        <v>559</v>
      </c>
      <c r="N133" s="243"/>
      <c r="O133" s="244"/>
      <c r="P133" s="244"/>
      <c r="Q133" s="231" t="str">
        <f t="shared" si="33"/>
        <v>. PDC SET 4 With Harness, FRONT</v>
      </c>
      <c r="R133" s="244"/>
      <c r="S133" s="244" t="str">
        <f t="shared" si="36"/>
        <v/>
      </c>
      <c r="T133" s="244" t="str">
        <f>IF(O133&lt;&gt;"",_xlfn.XLOOKUP(O133,'3D. Pictures'!B:B,'3D. Pictures'!E:E,"NOT FOUND",0,1),"")</f>
        <v/>
      </c>
      <c r="U133" s="243"/>
      <c r="V133" s="243"/>
      <c r="W133" s="243"/>
      <c r="X133" s="243"/>
      <c r="Y133" s="205"/>
      <c r="Z133" s="196"/>
      <c r="AA133" s="243" t="s">
        <v>2514</v>
      </c>
      <c r="AB133" s="243" t="s">
        <v>2514</v>
      </c>
      <c r="AC133" s="358" t="str">
        <f t="shared" si="35"/>
        <v>if harness bad still SET 4 or SET 2-TOSS singles</v>
      </c>
      <c r="AD133" s="243" t="s">
        <v>2819</v>
      </c>
      <c r="AE133" s="243"/>
      <c r="AF133" s="179" t="s">
        <v>547</v>
      </c>
      <c r="AG133" s="243"/>
      <c r="AH133" s="18">
        <v>300</v>
      </c>
      <c r="AI133" s="380">
        <f t="shared" si="37"/>
        <v>300</v>
      </c>
      <c r="AJ133" s="246" t="s">
        <v>408</v>
      </c>
      <c r="AK133" s="246" t="s">
        <v>425</v>
      </c>
      <c r="AL133" s="246" t="s">
        <v>2175</v>
      </c>
      <c r="AM133" s="241"/>
      <c r="AN133" s="241"/>
      <c r="AO133" s="241"/>
      <c r="AP133" s="241"/>
      <c r="AQ133" s="241"/>
      <c r="AR133" s="241"/>
      <c r="AS133" s="241" t="s">
        <v>1028</v>
      </c>
      <c r="AT133" s="241" t="s">
        <v>1029</v>
      </c>
      <c r="AU133" s="241" t="s">
        <v>1030</v>
      </c>
      <c r="AV133" s="303" t="str">
        <f t="shared" ref="AV133:AV134" si="38">CONCATENATE(AS133,"-",AT133,"-",AU133)</f>
        <v>F15-14-18-ALL</v>
      </c>
      <c r="AW133" s="241" t="s">
        <v>2379</v>
      </c>
      <c r="AX133" s="279" t="str">
        <f t="shared" si="28"/>
        <v>F15-14-18-ALL-Viking13</v>
      </c>
    </row>
    <row r="134" spans="1:50" ht="15.75" thickBot="1" x14ac:dyDescent="0.3">
      <c r="A134" s="190" t="str">
        <f t="shared" si="31"/>
        <v>A23</v>
      </c>
      <c r="B134" s="279" t="str">
        <f t="shared" si="34"/>
        <v/>
      </c>
      <c r="C134" s="279"/>
      <c r="D134" s="279"/>
      <c r="E134" s="279" t="str">
        <f t="shared" si="32"/>
        <v/>
      </c>
      <c r="F134" s="241" t="s">
        <v>535</v>
      </c>
      <c r="G134" s="242">
        <v>44680</v>
      </c>
      <c r="H134" s="243"/>
      <c r="I134" s="196"/>
      <c r="J134" s="243" t="s">
        <v>402</v>
      </c>
      <c r="K134" s="243" t="s">
        <v>2758</v>
      </c>
      <c r="L134" s="243" t="s">
        <v>1162</v>
      </c>
      <c r="M134" s="243" t="s">
        <v>559</v>
      </c>
      <c r="N134" s="243">
        <v>13</v>
      </c>
      <c r="O134" s="244" t="s">
        <v>925</v>
      </c>
      <c r="P134" s="244" t="s">
        <v>1035</v>
      </c>
      <c r="Q134" s="231" t="str">
        <f t="shared" si="33"/>
        <v>A23. PDC SET 4 With Harness, REAR</v>
      </c>
      <c r="R134" s="284" t="str">
        <f>HYPERLINK(VLOOKUP(O134,'3D. Pictures'!$B$3:$E$500,4,FALSE),"PIC")</f>
        <v>PIC</v>
      </c>
      <c r="S134" s="373" t="str">
        <f t="shared" si="36"/>
        <v>E.G.</v>
      </c>
      <c r="T134" s="377" t="str">
        <f>IF(O134&lt;&gt;"",_xlfn.XLOOKUP(O134,'3D. Pictures'!B:B,'3D. Pictures'!E:E,"NOT FOUND",0,1),"")</f>
        <v>https://viking-pictures.s3.us-west-1.amazonaws.com/AA1155/A23.+PDC+SET+4+With+Harness%2C+REAR+(1).JPG</v>
      </c>
      <c r="U134" s="243">
        <v>5</v>
      </c>
      <c r="V134" s="243">
        <v>9306090</v>
      </c>
      <c r="W134" s="243" t="s">
        <v>112</v>
      </c>
      <c r="X134" s="243"/>
      <c r="Y134" s="16"/>
      <c r="Z134" s="243"/>
      <c r="AA134" s="243" t="s">
        <v>2516</v>
      </c>
      <c r="AB134" s="243" t="s">
        <v>2516</v>
      </c>
      <c r="AC134" s="358" t="str">
        <f t="shared" si="35"/>
        <v>if harness bad still SET 4 or SET 2-TOSS singles</v>
      </c>
      <c r="AD134" s="243" t="s">
        <v>2819</v>
      </c>
      <c r="AE134" s="243"/>
      <c r="AF134" s="179" t="s">
        <v>547</v>
      </c>
      <c r="AG134" s="243"/>
      <c r="AH134" s="18">
        <v>250</v>
      </c>
      <c r="AI134" s="380">
        <f t="shared" si="37"/>
        <v>250</v>
      </c>
      <c r="AJ134" s="246" t="s">
        <v>408</v>
      </c>
      <c r="AK134" s="246" t="s">
        <v>425</v>
      </c>
      <c r="AL134" s="246" t="s">
        <v>2175</v>
      </c>
      <c r="AM134" s="241"/>
      <c r="AN134" s="241"/>
      <c r="AO134" s="241"/>
      <c r="AP134" s="241"/>
      <c r="AQ134" s="241"/>
      <c r="AR134" s="241"/>
      <c r="AS134" s="241" t="s">
        <v>1028</v>
      </c>
      <c r="AT134" s="241" t="s">
        <v>1029</v>
      </c>
      <c r="AU134" s="241" t="s">
        <v>1030</v>
      </c>
      <c r="AV134" s="303" t="str">
        <f t="shared" si="38"/>
        <v>F15-14-18-ALL</v>
      </c>
      <c r="AW134" s="241" t="s">
        <v>2382</v>
      </c>
      <c r="AX134" s="279" t="str">
        <f t="shared" si="28"/>
        <v>F15-14-18-ALL-Viking16</v>
      </c>
    </row>
    <row r="135" spans="1:50" x14ac:dyDescent="0.25">
      <c r="A135" s="190" t="str">
        <f t="shared" si="31"/>
        <v/>
      </c>
      <c r="B135" s="279" t="str">
        <f t="shared" si="34"/>
        <v/>
      </c>
      <c r="C135" s="279"/>
      <c r="D135" s="279"/>
      <c r="E135" s="279" t="str">
        <f t="shared" si="32"/>
        <v/>
      </c>
      <c r="F135" t="s">
        <v>535</v>
      </c>
      <c r="G135" s="188">
        <v>44680</v>
      </c>
      <c r="H135" s="16"/>
      <c r="I135" s="164"/>
      <c r="J135" s="16" t="s">
        <v>402</v>
      </c>
      <c r="K135" s="16" t="s">
        <v>2758</v>
      </c>
      <c r="L135" s="16" t="s">
        <v>2682</v>
      </c>
      <c r="M135" s="16" t="s">
        <v>559</v>
      </c>
      <c r="N135" s="16"/>
      <c r="O135" s="166"/>
      <c r="P135" s="166"/>
      <c r="Q135" s="231" t="str">
        <f t="shared" si="33"/>
        <v>. Roof Rails, SIDE-TO-SIDE as SET 2</v>
      </c>
      <c r="R135" s="231"/>
      <c r="S135" s="231" t="str">
        <f t="shared" si="36"/>
        <v/>
      </c>
      <c r="T135" s="231" t="str">
        <f>IF(O135&lt;&gt;"",_xlfn.XLOOKUP(O135,'3D. Pictures'!B:B,'3D. Pictures'!E:E,"NOT FOUND",0,1),"")</f>
        <v/>
      </c>
      <c r="U135" s="16"/>
      <c r="V135" s="16"/>
      <c r="W135" s="16"/>
      <c r="X135" s="16"/>
      <c r="Y135" s="243"/>
      <c r="Z135" s="16"/>
      <c r="AA135" s="16" t="s">
        <v>2554</v>
      </c>
      <c r="AB135" s="16" t="s">
        <v>2554</v>
      </c>
      <c r="AC135" s="358" t="str">
        <f t="shared" si="35"/>
        <v>SET 2, toss both if 1 bad | these are the shorter cross bars</v>
      </c>
      <c r="AD135" s="16" t="s">
        <v>2551</v>
      </c>
      <c r="AE135" s="16" t="s">
        <v>2553</v>
      </c>
      <c r="AF135" s="168" t="s">
        <v>544</v>
      </c>
      <c r="AG135" s="16"/>
      <c r="AH135" s="18">
        <v>350</v>
      </c>
      <c r="AI135" s="380">
        <f t="shared" si="37"/>
        <v>350</v>
      </c>
      <c r="AJ135" s="3" t="s">
        <v>408</v>
      </c>
      <c r="AK135" s="3" t="s">
        <v>425</v>
      </c>
      <c r="AL135" s="3" t="s">
        <v>2175</v>
      </c>
      <c r="AX135" s="279" t="str">
        <f t="shared" si="28"/>
        <v/>
      </c>
    </row>
    <row r="136" spans="1:50" x14ac:dyDescent="0.25">
      <c r="A136" s="190" t="str">
        <f t="shared" si="31"/>
        <v/>
      </c>
      <c r="B136" s="279" t="str">
        <f t="shared" si="34"/>
        <v/>
      </c>
      <c r="C136" s="279"/>
      <c r="D136" s="279"/>
      <c r="E136" s="279" t="str">
        <f t="shared" si="32"/>
        <v/>
      </c>
      <c r="F136" s="241" t="s">
        <v>535</v>
      </c>
      <c r="G136" s="242">
        <v>45244</v>
      </c>
      <c r="H136" s="243"/>
      <c r="I136" s="196"/>
      <c r="J136" s="243" t="s">
        <v>402</v>
      </c>
      <c r="K136" s="243" t="s">
        <v>2758</v>
      </c>
      <c r="L136" s="243" t="s">
        <v>2185</v>
      </c>
      <c r="M136" s="243" t="s">
        <v>560</v>
      </c>
      <c r="N136" s="243"/>
      <c r="O136" s="244"/>
      <c r="P136" s="244"/>
      <c r="Q136" s="231" t="str">
        <f t="shared" si="33"/>
        <v>. Running Board &amp; Mount Bracket, LEFT</v>
      </c>
      <c r="R136" s="244"/>
      <c r="S136" s="244" t="str">
        <f t="shared" si="36"/>
        <v/>
      </c>
      <c r="T136" s="244" t="str">
        <f>IF(O136&lt;&gt;"",_xlfn.XLOOKUP(O136,'3D. Pictures'!B:B,'3D. Pictures'!E:E,"NOT FOUND",0,1),"")</f>
        <v/>
      </c>
      <c r="U136" s="243"/>
      <c r="V136" s="243"/>
      <c r="W136" s="243"/>
      <c r="X136" s="243"/>
      <c r="Y136" s="16"/>
      <c r="Z136" s="243"/>
      <c r="AA136" s="243" t="s">
        <v>2183</v>
      </c>
      <c r="AB136" s="243" t="s">
        <v>2183</v>
      </c>
      <c r="AC136" s="358" t="str">
        <f t="shared" si="35"/>
        <v/>
      </c>
      <c r="AD136" s="243"/>
      <c r="AE136" s="243"/>
      <c r="AF136" s="179" t="s">
        <v>543</v>
      </c>
      <c r="AG136" s="243"/>
      <c r="AH136" s="18">
        <v>350</v>
      </c>
      <c r="AI136" s="380">
        <f t="shared" si="37"/>
        <v>350</v>
      </c>
      <c r="AJ136" s="246" t="s">
        <v>408</v>
      </c>
      <c r="AK136" s="246" t="s">
        <v>425</v>
      </c>
      <c r="AL136" s="246" t="s">
        <v>2175</v>
      </c>
      <c r="AM136" s="241"/>
      <c r="AN136" s="241"/>
      <c r="AO136" s="241" t="s">
        <v>572</v>
      </c>
      <c r="AP136" s="241"/>
      <c r="AQ136" s="241"/>
      <c r="AR136" s="241"/>
      <c r="AS136" s="241" t="s">
        <v>1028</v>
      </c>
      <c r="AT136" s="241" t="s">
        <v>1029</v>
      </c>
      <c r="AU136" s="241" t="s">
        <v>1030</v>
      </c>
      <c r="AV136" s="303" t="str">
        <f t="shared" ref="AV136:AV137" si="39">CONCATENATE(AS136,"-",AT136,"-",AU136)</f>
        <v>F15-14-18-ALL</v>
      </c>
      <c r="AW136" s="241" t="s">
        <v>2385</v>
      </c>
      <c r="AX136" s="279" t="str">
        <f t="shared" si="28"/>
        <v>F15-14-18-ALL-Viking19</v>
      </c>
    </row>
    <row r="137" spans="1:50" ht="15.75" thickBot="1" x14ac:dyDescent="0.3">
      <c r="A137" s="190" t="str">
        <f t="shared" si="31"/>
        <v/>
      </c>
      <c r="B137" s="279" t="str">
        <f t="shared" si="34"/>
        <v/>
      </c>
      <c r="C137" s="279"/>
      <c r="D137" s="279"/>
      <c r="E137" s="279" t="str">
        <f t="shared" si="32"/>
        <v/>
      </c>
      <c r="F137" s="241" t="s">
        <v>535</v>
      </c>
      <c r="G137" s="242">
        <v>45244</v>
      </c>
      <c r="H137" s="243"/>
      <c r="I137" s="196"/>
      <c r="J137" s="243" t="s">
        <v>402</v>
      </c>
      <c r="K137" s="243" t="s">
        <v>2758</v>
      </c>
      <c r="L137" s="243" t="s">
        <v>2185</v>
      </c>
      <c r="M137" s="243" t="s">
        <v>560</v>
      </c>
      <c r="N137" s="243"/>
      <c r="O137" s="244"/>
      <c r="P137" s="244"/>
      <c r="Q137" s="231" t="str">
        <f t="shared" si="33"/>
        <v>. Running Board &amp; Mount Bracket, RIGHT</v>
      </c>
      <c r="R137" s="244"/>
      <c r="S137" s="244" t="str">
        <f t="shared" si="36"/>
        <v/>
      </c>
      <c r="T137" s="244" t="str">
        <f>IF(O137&lt;&gt;"",_xlfn.XLOOKUP(O137,'3D. Pictures'!B:B,'3D. Pictures'!E:E,"NOT FOUND",0,1),"")</f>
        <v/>
      </c>
      <c r="U137" s="243"/>
      <c r="V137" s="243"/>
      <c r="W137" s="243"/>
      <c r="X137" s="243"/>
      <c r="Y137" s="205"/>
      <c r="Z137" s="243"/>
      <c r="AA137" s="243" t="s">
        <v>2184</v>
      </c>
      <c r="AB137" s="243" t="s">
        <v>2184</v>
      </c>
      <c r="AC137" s="358" t="str">
        <f t="shared" si="35"/>
        <v/>
      </c>
      <c r="AD137" s="243"/>
      <c r="AE137" s="243"/>
      <c r="AF137" s="179" t="s">
        <v>543</v>
      </c>
      <c r="AG137" s="243"/>
      <c r="AH137" s="18">
        <v>350</v>
      </c>
      <c r="AI137" s="380">
        <f t="shared" si="37"/>
        <v>350</v>
      </c>
      <c r="AJ137" s="246" t="s">
        <v>408</v>
      </c>
      <c r="AK137" s="246" t="s">
        <v>425</v>
      </c>
      <c r="AL137" s="246" t="s">
        <v>2175</v>
      </c>
      <c r="AM137" s="241"/>
      <c r="AN137" s="241"/>
      <c r="AO137" s="241" t="s">
        <v>572</v>
      </c>
      <c r="AP137" s="241"/>
      <c r="AQ137" s="241"/>
      <c r="AR137" s="241"/>
      <c r="AS137" s="241" t="s">
        <v>1028</v>
      </c>
      <c r="AT137" s="241" t="s">
        <v>1029</v>
      </c>
      <c r="AU137" s="241" t="s">
        <v>1030</v>
      </c>
      <c r="AV137" s="303" t="str">
        <f t="shared" si="39"/>
        <v>F15-14-18-ALL</v>
      </c>
      <c r="AW137" s="241" t="s">
        <v>2386</v>
      </c>
      <c r="AX137" s="279" t="str">
        <f t="shared" si="28"/>
        <v>F15-14-18-ALL-Viking20</v>
      </c>
    </row>
    <row r="138" spans="1:50" ht="15.75" thickBot="1" x14ac:dyDescent="0.3">
      <c r="A138" s="190" t="str">
        <f t="shared" si="31"/>
        <v>A91</v>
      </c>
      <c r="B138" s="279" t="str">
        <f t="shared" si="34"/>
        <v>169-53399</v>
      </c>
      <c r="C138" s="279"/>
      <c r="D138" s="279"/>
      <c r="E138" s="279">
        <f t="shared" si="32"/>
        <v>1</v>
      </c>
      <c r="F138" s="190" t="s">
        <v>535</v>
      </c>
      <c r="G138" s="198">
        <v>44680</v>
      </c>
      <c r="H138" s="205"/>
      <c r="I138" s="192"/>
      <c r="J138" s="205" t="s">
        <v>402</v>
      </c>
      <c r="K138" s="205" t="s">
        <v>2758</v>
      </c>
      <c r="L138" s="205" t="s">
        <v>679</v>
      </c>
      <c r="M138" s="192" t="s">
        <v>558</v>
      </c>
      <c r="N138" s="192">
        <v>81</v>
      </c>
      <c r="O138" s="229" t="s">
        <v>993</v>
      </c>
      <c r="P138" s="229" t="s">
        <v>1300</v>
      </c>
      <c r="Q138" s="231" t="str">
        <f t="shared" si="33"/>
        <v>A91. Spoiler with 3rd Brake Light IN</v>
      </c>
      <c r="R138" s="284" t="str">
        <f>HYPERLINK(VLOOKUP(O138,'3D. Pictures'!$B$3:$E$500,4,FALSE),"PIC")</f>
        <v>PIC</v>
      </c>
      <c r="S138" s="373" t="str">
        <f t="shared" si="36"/>
        <v>E.G.</v>
      </c>
      <c r="T138" s="377" t="str">
        <f>IF(O138&lt;&gt;"",_xlfn.XLOOKUP(O138,'3D. Pictures'!B:B,'3D. Pictures'!E:E,"NOT FOUND",0,1),"")</f>
        <v>https://viking-pictures.s3.us-west-1.amazonaws.com/AA1155/A91.+Spoiler+with+3rd+Brake+Light+IN+(1).JPG</v>
      </c>
      <c r="U138" s="192">
        <v>7</v>
      </c>
      <c r="V138" s="205" t="s">
        <v>1310</v>
      </c>
      <c r="W138" s="192" t="s">
        <v>111</v>
      </c>
      <c r="X138" s="205" t="s">
        <v>2465</v>
      </c>
      <c r="Y138" s="205"/>
      <c r="Z138" s="205"/>
      <c r="AA138" s="205" t="s">
        <v>1309</v>
      </c>
      <c r="AB138" s="205" t="s">
        <v>1309</v>
      </c>
      <c r="AC138" s="358" t="str">
        <f t="shared" si="35"/>
        <v>brake light IN | spoiler bad = light solo, light bad = toss spoiler</v>
      </c>
      <c r="AD138" s="205" t="s">
        <v>2789</v>
      </c>
      <c r="AE138" s="205" t="s">
        <v>2790</v>
      </c>
      <c r="AF138" s="201" t="s">
        <v>543</v>
      </c>
      <c r="AG138" s="205"/>
      <c r="AH138" s="18">
        <v>595</v>
      </c>
      <c r="AI138" s="380">
        <f t="shared" si="37"/>
        <v>595</v>
      </c>
      <c r="AJ138" s="204" t="s">
        <v>408</v>
      </c>
      <c r="AK138" s="204" t="s">
        <v>425</v>
      </c>
      <c r="AL138" s="204" t="s">
        <v>2175</v>
      </c>
      <c r="AM138" s="190"/>
      <c r="AN138" s="191" t="s">
        <v>623</v>
      </c>
      <c r="AO138" s="190" t="s">
        <v>572</v>
      </c>
      <c r="AP138" s="190">
        <v>53399</v>
      </c>
      <c r="AQ138" s="190" t="str">
        <f>CONCATENATE(AN138,AO138,AP138)</f>
        <v>169-53399</v>
      </c>
      <c r="AR138" s="190"/>
      <c r="AS138" s="190"/>
      <c r="AT138" s="190"/>
      <c r="AU138" s="190"/>
      <c r="AV138" s="190"/>
      <c r="AW138" s="190"/>
      <c r="AX138" s="279" t="str">
        <f t="shared" si="28"/>
        <v/>
      </c>
    </row>
    <row r="139" spans="1:50" x14ac:dyDescent="0.25">
      <c r="A139" s="190" t="str">
        <f t="shared" si="31"/>
        <v/>
      </c>
      <c r="B139" s="279" t="str">
        <f t="shared" si="34"/>
        <v/>
      </c>
      <c r="C139" s="279"/>
      <c r="D139" s="279"/>
      <c r="E139" s="279" t="str">
        <f t="shared" si="32"/>
        <v/>
      </c>
      <c r="F139" t="s">
        <v>535</v>
      </c>
      <c r="G139" s="188">
        <v>44680</v>
      </c>
      <c r="H139" s="16"/>
      <c r="I139" s="164"/>
      <c r="J139" s="16" t="s">
        <v>402</v>
      </c>
      <c r="K139" s="16" t="s">
        <v>2758</v>
      </c>
      <c r="L139" s="16" t="s">
        <v>679</v>
      </c>
      <c r="M139" s="164" t="s">
        <v>558</v>
      </c>
      <c r="N139" s="164"/>
      <c r="O139" s="234"/>
      <c r="P139" s="234"/>
      <c r="Q139" s="231" t="str">
        <f t="shared" si="33"/>
        <v>. Spoiler 3rd Brake Light</v>
      </c>
      <c r="R139" s="231"/>
      <c r="S139" s="231" t="str">
        <f t="shared" si="36"/>
        <v/>
      </c>
      <c r="T139" s="231" t="str">
        <f>IF(O139&lt;&gt;"",_xlfn.XLOOKUP(O139,'3D. Pictures'!B:B,'3D. Pictures'!E:E,"NOT FOUND",0,1),"")</f>
        <v/>
      </c>
      <c r="U139" s="164"/>
      <c r="V139" s="16"/>
      <c r="W139" s="164"/>
      <c r="X139" s="16"/>
      <c r="Y139" s="205"/>
      <c r="Z139" s="16"/>
      <c r="AA139" s="16" t="s">
        <v>680</v>
      </c>
      <c r="AB139" s="16" t="s">
        <v>680</v>
      </c>
      <c r="AC139" s="358" t="str">
        <f t="shared" si="35"/>
        <v>in spoilder if good</v>
      </c>
      <c r="AD139" s="16" t="s">
        <v>2791</v>
      </c>
      <c r="AE139" s="16"/>
      <c r="AF139" s="168" t="s">
        <v>543</v>
      </c>
      <c r="AG139" s="16"/>
      <c r="AH139" s="18">
        <v>125</v>
      </c>
      <c r="AI139" s="380">
        <f t="shared" si="37"/>
        <v>125</v>
      </c>
      <c r="AJ139" s="3" t="s">
        <v>408</v>
      </c>
      <c r="AK139" s="3" t="s">
        <v>425</v>
      </c>
      <c r="AL139" s="3" t="s">
        <v>2175</v>
      </c>
      <c r="AN139" s="45"/>
      <c r="AX139" s="279" t="str">
        <f t="shared" si="28"/>
        <v/>
      </c>
    </row>
    <row r="140" spans="1:50" x14ac:dyDescent="0.25">
      <c r="A140" s="190" t="str">
        <f t="shared" si="31"/>
        <v/>
      </c>
      <c r="B140" s="279" t="str">
        <f t="shared" si="34"/>
        <v/>
      </c>
      <c r="C140" s="279"/>
      <c r="D140" s="279"/>
      <c r="E140" s="279" t="str">
        <f t="shared" si="32"/>
        <v/>
      </c>
      <c r="F140" t="s">
        <v>535</v>
      </c>
      <c r="G140" s="188">
        <v>44670</v>
      </c>
      <c r="H140" s="10"/>
      <c r="I140" s="174"/>
      <c r="J140" s="10" t="s">
        <v>405</v>
      </c>
      <c r="K140" s="10" t="s">
        <v>2758</v>
      </c>
      <c r="L140" s="10" t="s">
        <v>2683</v>
      </c>
      <c r="M140" s="164" t="s">
        <v>558</v>
      </c>
      <c r="N140" s="164"/>
      <c r="O140" s="234"/>
      <c r="P140" s="234"/>
      <c r="Q140" s="231" t="str">
        <f t="shared" si="33"/>
        <v>. Fenders</v>
      </c>
      <c r="R140" s="231"/>
      <c r="S140" s="231" t="str">
        <f t="shared" si="36"/>
        <v/>
      </c>
      <c r="T140" s="231" t="str">
        <f>IF(O140&lt;&gt;"",_xlfn.XLOOKUP(O140,'3D. Pictures'!B:B,'3D. Pictures'!E:E,"NOT FOUND",0,1),"")</f>
        <v/>
      </c>
      <c r="U140" s="164"/>
      <c r="V140" s="16"/>
      <c r="W140" s="164"/>
      <c r="X140" s="16"/>
      <c r="Y140" s="205"/>
      <c r="Z140" s="16"/>
      <c r="AA140" s="10" t="s">
        <v>2792</v>
      </c>
      <c r="AB140" s="10" t="s">
        <v>2792</v>
      </c>
      <c r="AC140" s="359" t="str">
        <f t="shared" si="35"/>
        <v>TOSS BOTH</v>
      </c>
      <c r="AD140" s="10" t="s">
        <v>2544</v>
      </c>
      <c r="AE140" s="10"/>
      <c r="AF140" s="168" t="s">
        <v>543</v>
      </c>
      <c r="AG140" s="10"/>
      <c r="AH140" s="97"/>
      <c r="AI140" s="380" t="str">
        <f t="shared" si="37"/>
        <v/>
      </c>
      <c r="AJ140" s="3" t="s">
        <v>408</v>
      </c>
      <c r="AK140" s="3" t="s">
        <v>425</v>
      </c>
      <c r="AL140" s="3" t="s">
        <v>2175</v>
      </c>
      <c r="AO140" t="s">
        <v>572</v>
      </c>
      <c r="AX140" s="279" t="str">
        <f t="shared" si="28"/>
        <v/>
      </c>
    </row>
    <row r="141" spans="1:50" x14ac:dyDescent="0.25">
      <c r="A141" s="190" t="str">
        <f t="shared" si="31"/>
        <v/>
      </c>
      <c r="B141" s="279" t="str">
        <f t="shared" si="34"/>
        <v/>
      </c>
      <c r="C141" s="279"/>
      <c r="D141" s="279"/>
      <c r="E141" s="279" t="str">
        <f t="shared" si="32"/>
        <v/>
      </c>
      <c r="F141" t="s">
        <v>535</v>
      </c>
      <c r="G141" s="188">
        <v>44683</v>
      </c>
      <c r="H141" s="10"/>
      <c r="I141" s="174"/>
      <c r="J141" s="10" t="s">
        <v>405</v>
      </c>
      <c r="K141" s="10" t="s">
        <v>2758</v>
      </c>
      <c r="L141" s="10" t="s">
        <v>442</v>
      </c>
      <c r="M141" s="16" t="s">
        <v>559</v>
      </c>
      <c r="N141" s="16"/>
      <c r="O141" s="166"/>
      <c r="P141" s="166"/>
      <c r="Q141" s="231" t="str">
        <f t="shared" si="33"/>
        <v>. Gas Cap</v>
      </c>
      <c r="R141" s="231"/>
      <c r="S141" s="231" t="str">
        <f t="shared" si="36"/>
        <v/>
      </c>
      <c r="T141" s="231" t="str">
        <f>IF(O141&lt;&gt;"",_xlfn.XLOOKUP(O141,'3D. Pictures'!B:B,'3D. Pictures'!E:E,"NOT FOUND",0,1),"")</f>
        <v/>
      </c>
      <c r="U141" s="16"/>
      <c r="V141" s="16"/>
      <c r="W141" s="16"/>
      <c r="X141" s="16"/>
      <c r="Y141" s="205"/>
      <c r="Z141" s="16"/>
      <c r="AA141" s="10" t="s">
        <v>442</v>
      </c>
      <c r="AB141" s="10" t="s">
        <v>442</v>
      </c>
      <c r="AC141" s="359" t="str">
        <f t="shared" si="35"/>
        <v/>
      </c>
      <c r="AD141" s="10"/>
      <c r="AE141" s="10"/>
      <c r="AF141" s="168" t="s">
        <v>543</v>
      </c>
      <c r="AG141" s="10"/>
      <c r="AH141" s="10"/>
      <c r="AI141" s="380" t="str">
        <f t="shared" si="37"/>
        <v/>
      </c>
      <c r="AJ141" s="3" t="s">
        <v>408</v>
      </c>
      <c r="AK141" s="3" t="s">
        <v>425</v>
      </c>
      <c r="AL141" s="3" t="s">
        <v>2175</v>
      </c>
      <c r="AX141" s="279" t="str">
        <f t="shared" si="28"/>
        <v/>
      </c>
    </row>
    <row r="142" spans="1:50" x14ac:dyDescent="0.25">
      <c r="A142" s="190" t="str">
        <f t="shared" si="31"/>
        <v/>
      </c>
      <c r="B142" s="279" t="str">
        <f t="shared" si="34"/>
        <v/>
      </c>
      <c r="C142" s="279"/>
      <c r="D142" s="279"/>
      <c r="E142" s="279" t="str">
        <f t="shared" si="32"/>
        <v/>
      </c>
      <c r="F142" t="s">
        <v>535</v>
      </c>
      <c r="G142" s="188">
        <v>44684</v>
      </c>
      <c r="H142" s="10"/>
      <c r="I142" s="174"/>
      <c r="J142" s="10" t="s">
        <v>405</v>
      </c>
      <c r="K142" s="10" t="s">
        <v>2758</v>
      </c>
      <c r="L142" s="10" t="s">
        <v>2684</v>
      </c>
      <c r="M142" s="16" t="s">
        <v>559</v>
      </c>
      <c r="N142" s="16"/>
      <c r="O142" s="166"/>
      <c r="P142" s="166"/>
      <c r="Q142" s="231" t="str">
        <f t="shared" si="33"/>
        <v>. License Plate Mounts, FRONT &amp; REAR</v>
      </c>
      <c r="R142" s="231"/>
      <c r="S142" s="231" t="str">
        <f t="shared" si="36"/>
        <v/>
      </c>
      <c r="T142" s="231" t="str">
        <f>IF(O142&lt;&gt;"",_xlfn.XLOOKUP(O142,'3D. Pictures'!B:B,'3D. Pictures'!E:E,"NOT FOUND",0,1),"")</f>
        <v/>
      </c>
      <c r="U142" s="16"/>
      <c r="V142" s="16"/>
      <c r="W142" s="16"/>
      <c r="X142" s="16"/>
      <c r="Y142" s="205"/>
      <c r="Z142" s="16"/>
      <c r="AA142" s="10" t="s">
        <v>2555</v>
      </c>
      <c r="AB142" s="10" t="s">
        <v>2555</v>
      </c>
      <c r="AC142" s="359" t="str">
        <f t="shared" si="35"/>
        <v/>
      </c>
      <c r="AD142" s="10"/>
      <c r="AE142" s="10"/>
      <c r="AF142" s="168" t="s">
        <v>543</v>
      </c>
      <c r="AG142" s="10"/>
      <c r="AH142" s="10"/>
      <c r="AI142" s="380" t="str">
        <f t="shared" si="37"/>
        <v/>
      </c>
      <c r="AJ142" s="3" t="s">
        <v>408</v>
      </c>
      <c r="AK142" s="3" t="s">
        <v>425</v>
      </c>
      <c r="AL142" s="3" t="s">
        <v>2175</v>
      </c>
      <c r="AX142" s="279" t="str">
        <f t="shared" si="28"/>
        <v/>
      </c>
    </row>
    <row r="143" spans="1:50" x14ac:dyDescent="0.25">
      <c r="A143" s="190" t="str">
        <f t="shared" si="31"/>
        <v/>
      </c>
      <c r="B143" s="279" t="str">
        <f t="shared" si="34"/>
        <v/>
      </c>
      <c r="C143" s="279"/>
      <c r="D143" s="279"/>
      <c r="E143" s="279" t="str">
        <f t="shared" si="32"/>
        <v/>
      </c>
      <c r="F143" t="s">
        <v>535</v>
      </c>
      <c r="G143" s="188">
        <v>44683</v>
      </c>
      <c r="H143" s="10"/>
      <c r="I143" s="174"/>
      <c r="J143" s="10" t="s">
        <v>405</v>
      </c>
      <c r="K143" s="10" t="s">
        <v>2758</v>
      </c>
      <c r="L143" s="10" t="s">
        <v>2685</v>
      </c>
      <c r="M143" s="16" t="s">
        <v>559</v>
      </c>
      <c r="N143" s="16"/>
      <c r="O143" s="166"/>
      <c r="P143" s="166"/>
      <c r="Q143" s="231" t="str">
        <f t="shared" si="33"/>
        <v>. Reflectors, FENDER</v>
      </c>
      <c r="R143" s="231"/>
      <c r="S143" s="231" t="str">
        <f t="shared" si="36"/>
        <v/>
      </c>
      <c r="T143" s="231" t="str">
        <f>IF(O143&lt;&gt;"",_xlfn.XLOOKUP(O143,'3D. Pictures'!B:B,'3D. Pictures'!E:E,"NOT FOUND",0,1),"")</f>
        <v/>
      </c>
      <c r="U143" s="16"/>
      <c r="V143" s="16"/>
      <c r="W143" s="16"/>
      <c r="X143" s="16"/>
      <c r="Y143" s="16"/>
      <c r="Z143" s="16"/>
      <c r="AA143" s="10" t="s">
        <v>2556</v>
      </c>
      <c r="AB143" s="10" t="s">
        <v>2556</v>
      </c>
      <c r="AC143" s="359" t="str">
        <f t="shared" si="35"/>
        <v/>
      </c>
      <c r="AD143" s="10"/>
      <c r="AE143" s="10"/>
      <c r="AF143" s="168" t="s">
        <v>543</v>
      </c>
      <c r="AG143" s="10"/>
      <c r="AH143" s="10"/>
      <c r="AI143" s="380" t="str">
        <f t="shared" si="37"/>
        <v/>
      </c>
      <c r="AJ143" s="3" t="s">
        <v>408</v>
      </c>
      <c r="AK143" s="3" t="s">
        <v>425</v>
      </c>
      <c r="AL143" s="3" t="s">
        <v>2175</v>
      </c>
      <c r="AX143" s="279" t="str">
        <f t="shared" si="28"/>
        <v/>
      </c>
    </row>
    <row r="144" spans="1:50" x14ac:dyDescent="0.25">
      <c r="A144" s="190" t="str">
        <f t="shared" si="31"/>
        <v/>
      </c>
      <c r="B144" s="279" t="str">
        <f t="shared" si="34"/>
        <v/>
      </c>
      <c r="C144" s="279"/>
      <c r="D144" s="279"/>
      <c r="E144" s="279" t="str">
        <f t="shared" si="32"/>
        <v/>
      </c>
      <c r="F144" t="s">
        <v>535</v>
      </c>
      <c r="G144" s="188">
        <v>44680</v>
      </c>
      <c r="H144" s="10"/>
      <c r="I144" s="174"/>
      <c r="J144" s="10" t="s">
        <v>405</v>
      </c>
      <c r="K144" s="10" t="s">
        <v>2758</v>
      </c>
      <c r="L144" s="10" t="s">
        <v>2682</v>
      </c>
      <c r="M144" s="16" t="s">
        <v>559</v>
      </c>
      <c r="N144" s="16"/>
      <c r="O144" s="166"/>
      <c r="P144" s="166"/>
      <c r="Q144" s="231" t="str">
        <f t="shared" si="33"/>
        <v>. Roof Rails, FRONT-TO-BACK</v>
      </c>
      <c r="R144" s="231"/>
      <c r="S144" s="231" t="str">
        <f t="shared" si="36"/>
        <v/>
      </c>
      <c r="T144" s="231" t="str">
        <f>IF(O144&lt;&gt;"",_xlfn.XLOOKUP(O144,'3D. Pictures'!B:B,'3D. Pictures'!E:E,"NOT FOUND",0,1),"")</f>
        <v/>
      </c>
      <c r="U144" s="16"/>
      <c r="V144" s="16"/>
      <c r="W144" s="16"/>
      <c r="X144" s="16"/>
      <c r="Y144" s="205"/>
      <c r="Z144" s="16"/>
      <c r="AA144" s="10" t="s">
        <v>2558</v>
      </c>
      <c r="AB144" s="10" t="s">
        <v>2558</v>
      </c>
      <c r="AC144" s="359" t="str">
        <f t="shared" si="35"/>
        <v>big long ones black in color - CHECK BOX any other style</v>
      </c>
      <c r="AD144" s="10"/>
      <c r="AE144" s="10" t="s">
        <v>2557</v>
      </c>
      <c r="AF144" s="168" t="s">
        <v>543</v>
      </c>
      <c r="AG144" s="10"/>
      <c r="AH144" s="97"/>
      <c r="AI144" s="380" t="str">
        <f t="shared" si="37"/>
        <v/>
      </c>
      <c r="AJ144" s="3" t="s">
        <v>408</v>
      </c>
      <c r="AK144" s="3" t="s">
        <v>425</v>
      </c>
      <c r="AL144" s="3" t="s">
        <v>2175</v>
      </c>
      <c r="AX144" s="279" t="str">
        <f t="shared" si="28"/>
        <v/>
      </c>
    </row>
    <row r="145" spans="1:50" x14ac:dyDescent="0.25">
      <c r="A145" s="190" t="str">
        <f t="shared" si="31"/>
        <v/>
      </c>
      <c r="B145" s="279" t="str">
        <f t="shared" si="34"/>
        <v/>
      </c>
      <c r="C145" s="279"/>
      <c r="D145" s="279"/>
      <c r="E145" s="279" t="str">
        <f t="shared" si="32"/>
        <v/>
      </c>
      <c r="F145" t="s">
        <v>535</v>
      </c>
      <c r="G145" s="188">
        <v>44680</v>
      </c>
      <c r="H145" s="10"/>
      <c r="I145" s="174"/>
      <c r="J145" s="10" t="s">
        <v>405</v>
      </c>
      <c r="K145" s="10" t="s">
        <v>2758</v>
      </c>
      <c r="L145" s="10" t="s">
        <v>2686</v>
      </c>
      <c r="M145" s="18" t="s">
        <v>562</v>
      </c>
      <c r="N145" s="18"/>
      <c r="O145" s="235"/>
      <c r="P145" s="235"/>
      <c r="Q145" s="231" t="str">
        <f t="shared" si="33"/>
        <v>. Shark Fin Cover &amp; Roof Antenna Module</v>
      </c>
      <c r="R145" s="231"/>
      <c r="S145" s="231" t="str">
        <f t="shared" si="36"/>
        <v/>
      </c>
      <c r="T145" s="231" t="str">
        <f>IF(O145&lt;&gt;"",_xlfn.XLOOKUP(O145,'3D. Pictures'!B:B,'3D. Pictures'!E:E,"NOT FOUND",0,1),"")</f>
        <v/>
      </c>
      <c r="U145" s="18"/>
      <c r="V145" s="16"/>
      <c r="W145" s="18"/>
      <c r="X145" s="16"/>
      <c r="Y145" s="205"/>
      <c r="Z145" s="16"/>
      <c r="AA145" s="10" t="s">
        <v>2559</v>
      </c>
      <c r="AB145" s="10" t="s">
        <v>2559</v>
      </c>
      <c r="AC145" s="359" t="str">
        <f t="shared" si="35"/>
        <v/>
      </c>
      <c r="AD145" s="10"/>
      <c r="AE145" s="10"/>
      <c r="AF145" s="168" t="s">
        <v>543</v>
      </c>
      <c r="AG145" s="10"/>
      <c r="AH145" s="97"/>
      <c r="AI145" s="380" t="str">
        <f t="shared" si="37"/>
        <v/>
      </c>
      <c r="AJ145" s="3" t="s">
        <v>408</v>
      </c>
      <c r="AK145" s="3" t="s">
        <v>425</v>
      </c>
      <c r="AL145" s="3" t="s">
        <v>2175</v>
      </c>
      <c r="AX145" s="279" t="str">
        <f t="shared" si="28"/>
        <v/>
      </c>
    </row>
    <row r="146" spans="1:50" x14ac:dyDescent="0.25">
      <c r="A146" s="190" t="str">
        <f t="shared" si="31"/>
        <v/>
      </c>
      <c r="B146" s="279" t="str">
        <f t="shared" si="34"/>
        <v/>
      </c>
      <c r="C146" s="279"/>
      <c r="D146" s="279"/>
      <c r="E146" s="279" t="str">
        <f t="shared" si="32"/>
        <v/>
      </c>
      <c r="F146" t="s">
        <v>536</v>
      </c>
      <c r="G146" s="188">
        <v>44993</v>
      </c>
      <c r="H146" s="10"/>
      <c r="I146" s="174"/>
      <c r="J146" s="10" t="s">
        <v>405</v>
      </c>
      <c r="K146" s="10" t="s">
        <v>2758</v>
      </c>
      <c r="L146" s="10" t="s">
        <v>679</v>
      </c>
      <c r="M146" s="164" t="s">
        <v>558</v>
      </c>
      <c r="N146" s="164"/>
      <c r="O146" s="234"/>
      <c r="P146" s="234"/>
      <c r="Q146" s="231" t="str">
        <f t="shared" si="33"/>
        <v>. Spoiler Winglet Moulding</v>
      </c>
      <c r="R146" s="231"/>
      <c r="S146" s="231" t="str">
        <f t="shared" si="36"/>
        <v/>
      </c>
      <c r="T146" s="231" t="str">
        <f>IF(O146&lt;&gt;"",_xlfn.XLOOKUP(O146,'3D. Pictures'!B:B,'3D. Pictures'!E:E,"NOT FOUND",0,1),"")</f>
        <v/>
      </c>
      <c r="U146" s="164"/>
      <c r="V146" s="16"/>
      <c r="W146" s="164"/>
      <c r="X146" s="16"/>
      <c r="Y146" s="205"/>
      <c r="Z146" s="16"/>
      <c r="AA146" s="10" t="s">
        <v>2560</v>
      </c>
      <c r="AB146" s="10" t="s">
        <v>2560</v>
      </c>
      <c r="AC146" s="359" t="str">
        <f t="shared" si="35"/>
        <v>TOSS BOTH</v>
      </c>
      <c r="AD146" s="10" t="s">
        <v>2544</v>
      </c>
      <c r="AE146" s="10"/>
      <c r="AF146" s="168" t="s">
        <v>543</v>
      </c>
      <c r="AG146" s="10">
        <v>51627304605</v>
      </c>
      <c r="AH146" s="10"/>
      <c r="AI146" s="380" t="str">
        <f t="shared" si="37"/>
        <v/>
      </c>
      <c r="AJ146" s="3" t="s">
        <v>408</v>
      </c>
      <c r="AK146" s="3" t="s">
        <v>425</v>
      </c>
      <c r="AL146" s="3" t="s">
        <v>2175</v>
      </c>
      <c r="AX146" s="279" t="str">
        <f t="shared" si="28"/>
        <v/>
      </c>
    </row>
    <row r="147" spans="1:50" x14ac:dyDescent="0.25">
      <c r="A147" s="190" t="str">
        <f t="shared" si="31"/>
        <v/>
      </c>
      <c r="B147" s="279" t="str">
        <f t="shared" si="34"/>
        <v/>
      </c>
      <c r="C147" s="279"/>
      <c r="D147" s="279"/>
      <c r="E147" s="279" t="str">
        <f t="shared" si="32"/>
        <v/>
      </c>
      <c r="F147" t="s">
        <v>536</v>
      </c>
      <c r="G147" s="188">
        <v>44998</v>
      </c>
      <c r="H147" s="10"/>
      <c r="I147" s="174"/>
      <c r="J147" s="10" t="s">
        <v>405</v>
      </c>
      <c r="K147" s="10" t="s">
        <v>2758</v>
      </c>
      <c r="L147" s="10" t="s">
        <v>2687</v>
      </c>
      <c r="M147" s="16" t="s">
        <v>559</v>
      </c>
      <c r="N147" s="16"/>
      <c r="O147" s="166"/>
      <c r="P147" s="166"/>
      <c r="Q147" s="231" t="str">
        <f t="shared" si="33"/>
        <v>. Tow Hook</v>
      </c>
      <c r="R147" s="231"/>
      <c r="S147" s="231" t="str">
        <f t="shared" si="36"/>
        <v/>
      </c>
      <c r="T147" s="231" t="str">
        <f>IF(O147&lt;&gt;"",_xlfn.XLOOKUP(O147,'3D. Pictures'!B:B,'3D. Pictures'!E:E,"NOT FOUND",0,1),"")</f>
        <v/>
      </c>
      <c r="U147" s="16"/>
      <c r="V147" s="16"/>
      <c r="W147" s="16"/>
      <c r="X147" s="16"/>
      <c r="Y147" s="205"/>
      <c r="Z147" s="16"/>
      <c r="AA147" s="10" t="s">
        <v>504</v>
      </c>
      <c r="AB147" s="10" t="s">
        <v>504</v>
      </c>
      <c r="AC147" s="359" t="str">
        <f t="shared" si="35"/>
        <v/>
      </c>
      <c r="AD147" s="10"/>
      <c r="AE147" s="10"/>
      <c r="AF147" s="168" t="s">
        <v>543</v>
      </c>
      <c r="AG147" s="10"/>
      <c r="AH147" s="97"/>
      <c r="AI147" s="380" t="str">
        <f t="shared" si="37"/>
        <v/>
      </c>
      <c r="AJ147" s="3" t="s">
        <v>408</v>
      </c>
      <c r="AK147" s="3" t="s">
        <v>425</v>
      </c>
      <c r="AL147" s="3" t="s">
        <v>2175</v>
      </c>
      <c r="AX147" s="279" t="str">
        <f t="shared" si="28"/>
        <v/>
      </c>
    </row>
    <row r="148" spans="1:50" x14ac:dyDescent="0.25">
      <c r="A148" s="190" t="str">
        <f t="shared" si="31"/>
        <v/>
      </c>
      <c r="B148" s="279" t="str">
        <f t="shared" si="34"/>
        <v/>
      </c>
      <c r="C148" s="279"/>
      <c r="D148" s="279"/>
      <c r="E148" s="279" t="str">
        <f t="shared" si="32"/>
        <v/>
      </c>
      <c r="F148" t="s">
        <v>536</v>
      </c>
      <c r="G148" s="188">
        <v>44811</v>
      </c>
      <c r="H148" s="156"/>
      <c r="I148" s="156"/>
      <c r="J148" s="172" t="s">
        <v>405</v>
      </c>
      <c r="K148" s="172" t="s">
        <v>2758</v>
      </c>
      <c r="L148" s="10" t="s">
        <v>2687</v>
      </c>
      <c r="M148" s="16" t="s">
        <v>559</v>
      </c>
      <c r="N148" s="16"/>
      <c r="O148" s="166"/>
      <c r="P148" s="166"/>
      <c r="Q148" s="231" t="str">
        <f t="shared" si="33"/>
        <v>. Tow Hook Covers, FRONT &amp; REAR</v>
      </c>
      <c r="R148" s="231"/>
      <c r="S148" s="231" t="str">
        <f t="shared" si="36"/>
        <v/>
      </c>
      <c r="T148" s="231" t="str">
        <f>IF(O148&lt;&gt;"",_xlfn.XLOOKUP(O148,'3D. Pictures'!B:B,'3D. Pictures'!E:E,"NOT FOUND",0,1),"")</f>
        <v/>
      </c>
      <c r="U148" s="16"/>
      <c r="V148" s="16"/>
      <c r="W148" s="16"/>
      <c r="X148" s="16"/>
      <c r="Y148" s="205"/>
      <c r="Z148" s="16"/>
      <c r="AA148" s="10" t="s">
        <v>2561</v>
      </c>
      <c r="AB148" s="10" t="s">
        <v>2561</v>
      </c>
      <c r="AC148" s="359" t="str">
        <f t="shared" si="35"/>
        <v/>
      </c>
      <c r="AD148" s="10"/>
      <c r="AE148" s="10"/>
      <c r="AF148" s="168" t="s">
        <v>543</v>
      </c>
      <c r="AG148" s="172"/>
      <c r="AH148" s="172"/>
      <c r="AI148" s="380" t="str">
        <f t="shared" si="37"/>
        <v/>
      </c>
      <c r="AJ148" s="3" t="s">
        <v>480</v>
      </c>
      <c r="AK148" s="3" t="s">
        <v>425</v>
      </c>
      <c r="AL148" s="3" t="s">
        <v>2175</v>
      </c>
      <c r="AX148" s="279" t="str">
        <f t="shared" si="28"/>
        <v/>
      </c>
    </row>
    <row r="149" spans="1:50" ht="15.75" thickBot="1" x14ac:dyDescent="0.3">
      <c r="A149" s="190" t="str">
        <f t="shared" si="31"/>
        <v/>
      </c>
      <c r="B149" s="279" t="str">
        <f t="shared" si="34"/>
        <v>118-999779</v>
      </c>
      <c r="C149" s="279"/>
      <c r="D149" s="279"/>
      <c r="E149" s="279">
        <f t="shared" si="32"/>
        <v>1</v>
      </c>
      <c r="F149" s="190" t="s">
        <v>535</v>
      </c>
      <c r="G149" s="198">
        <v>44683</v>
      </c>
      <c r="H149" s="209"/>
      <c r="I149" s="192"/>
      <c r="J149" s="205" t="s">
        <v>402</v>
      </c>
      <c r="K149" s="205" t="s">
        <v>50</v>
      </c>
      <c r="L149" s="205" t="s">
        <v>2717</v>
      </c>
      <c r="M149" s="212" t="s">
        <v>560</v>
      </c>
      <c r="N149" s="212"/>
      <c r="O149" s="236"/>
      <c r="P149" s="236"/>
      <c r="Q149" s="231" t="str">
        <f t="shared" si="33"/>
        <v>. Hood Hinge SET 2</v>
      </c>
      <c r="R149" s="231"/>
      <c r="S149" s="231" t="str">
        <f t="shared" si="36"/>
        <v/>
      </c>
      <c r="T149" s="231" t="str">
        <f>IF(O149&lt;&gt;"",_xlfn.XLOOKUP(O149,'3D. Pictures'!B:B,'3D. Pictures'!E:E,"NOT FOUND",0,1),"")</f>
        <v/>
      </c>
      <c r="U149" s="212"/>
      <c r="V149" s="205"/>
      <c r="W149" s="212"/>
      <c r="X149" s="205"/>
      <c r="Y149" s="205"/>
      <c r="Z149" s="205"/>
      <c r="AA149" s="205" t="s">
        <v>2821</v>
      </c>
      <c r="AB149" s="205" t="s">
        <v>2494</v>
      </c>
      <c r="AC149" s="358" t="str">
        <f t="shared" si="35"/>
        <v>SET 2, sell single if 1 bad</v>
      </c>
      <c r="AD149" s="205" t="s">
        <v>2816</v>
      </c>
      <c r="AE149" s="205"/>
      <c r="AF149" s="201" t="s">
        <v>544</v>
      </c>
      <c r="AG149" s="205" t="s">
        <v>440</v>
      </c>
      <c r="AH149" s="16">
        <v>160</v>
      </c>
      <c r="AI149" s="380">
        <f t="shared" si="37"/>
        <v>160</v>
      </c>
      <c r="AJ149" s="204" t="s">
        <v>408</v>
      </c>
      <c r="AK149" s="204" t="s">
        <v>425</v>
      </c>
      <c r="AL149" s="204" t="s">
        <v>2175</v>
      </c>
      <c r="AM149" s="190"/>
      <c r="AN149" s="191">
        <v>118</v>
      </c>
      <c r="AO149" s="190" t="s">
        <v>572</v>
      </c>
      <c r="AP149" s="190">
        <v>999779</v>
      </c>
      <c r="AQ149" s="190" t="str">
        <f>CONCATENATE(AN149,AO149,AP149)</f>
        <v>118-999779</v>
      </c>
      <c r="AR149" s="190" t="s">
        <v>544</v>
      </c>
      <c r="AS149" s="190"/>
      <c r="AT149" s="190"/>
      <c r="AU149" s="190"/>
      <c r="AV149" s="190"/>
      <c r="AW149" s="190"/>
      <c r="AX149" s="279" t="str">
        <f t="shared" si="28"/>
        <v/>
      </c>
    </row>
    <row r="150" spans="1:50" ht="15.75" thickBot="1" x14ac:dyDescent="0.3">
      <c r="A150" s="190" t="str">
        <f t="shared" si="31"/>
        <v>A35</v>
      </c>
      <c r="B150" s="279" t="str">
        <f t="shared" si="34"/>
        <v/>
      </c>
      <c r="C150" s="279"/>
      <c r="D150" s="279"/>
      <c r="E150" s="279" t="str">
        <f t="shared" si="32"/>
        <v/>
      </c>
      <c r="F150" s="241" t="s">
        <v>535</v>
      </c>
      <c r="G150" s="242">
        <v>44683</v>
      </c>
      <c r="H150" s="264"/>
      <c r="I150" s="196"/>
      <c r="J150" s="243" t="s">
        <v>402</v>
      </c>
      <c r="K150" s="243" t="s">
        <v>50</v>
      </c>
      <c r="L150" s="243" t="s">
        <v>2717</v>
      </c>
      <c r="M150" s="243" t="s">
        <v>559</v>
      </c>
      <c r="N150" s="243">
        <v>25</v>
      </c>
      <c r="O150" s="244" t="s">
        <v>937</v>
      </c>
      <c r="P150" s="244" t="s">
        <v>1168</v>
      </c>
      <c r="Q150" s="231" t="str">
        <f t="shared" si="33"/>
        <v>A35. Hood Latches SET 2 WITH Cables</v>
      </c>
      <c r="R150" s="284" t="str">
        <f>HYPERLINK(VLOOKUP(O150,'3D. Pictures'!$B$3:$E$500,4,FALSE),"PIC")</f>
        <v>PIC</v>
      </c>
      <c r="S150" s="373" t="str">
        <f t="shared" si="36"/>
        <v>E.G.</v>
      </c>
      <c r="T150" s="377" t="str">
        <f>IF(O150&lt;&gt;"",_xlfn.XLOOKUP(O150,'3D. Pictures'!B:B,'3D. Pictures'!E:E,"NOT FOUND",0,1),"")</f>
        <v>https://viking-pictures.s3.us-west-1.amazonaws.com/AA1155/A35.+Hood+Latches+SET+2+WITH+Cables+(1).JPG</v>
      </c>
      <c r="U150" s="243">
        <v>5</v>
      </c>
      <c r="V150" s="243">
        <v>7367535</v>
      </c>
      <c r="W150" s="243" t="s">
        <v>112</v>
      </c>
      <c r="X150" s="243"/>
      <c r="Y150" s="205"/>
      <c r="Z150" s="243"/>
      <c r="AA150" s="243" t="s">
        <v>2822</v>
      </c>
      <c r="AB150" s="243" t="s">
        <v>1370</v>
      </c>
      <c r="AC150" s="358" t="str">
        <f t="shared" si="35"/>
        <v>SET 2 w/ cables, sell hood latches SET 2 if cables bad</v>
      </c>
      <c r="AD150" s="243" t="s">
        <v>2823</v>
      </c>
      <c r="AE150" s="243"/>
      <c r="AF150" s="179" t="s">
        <v>1188</v>
      </c>
      <c r="AG150" s="243"/>
      <c r="AH150" s="16">
        <v>74</v>
      </c>
      <c r="AI150" s="380">
        <f t="shared" si="37"/>
        <v>74</v>
      </c>
      <c r="AJ150" s="246" t="s">
        <v>408</v>
      </c>
      <c r="AK150" s="246" t="s">
        <v>425</v>
      </c>
      <c r="AL150" s="246" t="s">
        <v>2175</v>
      </c>
      <c r="AN150" s="241"/>
      <c r="AO150" s="241"/>
      <c r="AP150" s="241"/>
      <c r="AQ150" s="241"/>
      <c r="AR150" s="241"/>
      <c r="AS150" s="241" t="s">
        <v>1028</v>
      </c>
      <c r="AT150" s="241" t="s">
        <v>1029</v>
      </c>
      <c r="AU150" s="241" t="s">
        <v>1030</v>
      </c>
      <c r="AV150" s="303" t="str">
        <f t="shared" ref="AV150:AV151" si="40">CONCATENATE(AS150,"-",AT150,"-",AU150)</f>
        <v>F15-14-18-ALL</v>
      </c>
      <c r="AW150" s="241" t="s">
        <v>2387</v>
      </c>
      <c r="AX150" s="279" t="str">
        <f t="shared" si="28"/>
        <v>F15-14-18-ALL-Viking21</v>
      </c>
    </row>
    <row r="151" spans="1:50" ht="15.75" thickBot="1" x14ac:dyDescent="0.3">
      <c r="A151" s="190" t="str">
        <f t="shared" si="31"/>
        <v>A33</v>
      </c>
      <c r="B151" s="279" t="str">
        <f t="shared" si="34"/>
        <v/>
      </c>
      <c r="C151" s="279"/>
      <c r="D151" s="279"/>
      <c r="E151" s="279" t="str">
        <f t="shared" si="32"/>
        <v/>
      </c>
      <c r="F151" s="241" t="s">
        <v>536</v>
      </c>
      <c r="G151" s="242">
        <v>44811</v>
      </c>
      <c r="H151" s="264"/>
      <c r="I151" s="196"/>
      <c r="J151" s="243" t="s">
        <v>402</v>
      </c>
      <c r="K151" s="243" t="s">
        <v>50</v>
      </c>
      <c r="L151" s="243" t="s">
        <v>2717</v>
      </c>
      <c r="M151" s="243" t="s">
        <v>559</v>
      </c>
      <c r="N151" s="243">
        <v>23</v>
      </c>
      <c r="O151" s="244" t="s">
        <v>935</v>
      </c>
      <c r="P151" s="244" t="s">
        <v>1168</v>
      </c>
      <c r="Q151" s="231" t="str">
        <f t="shared" si="33"/>
        <v>A33. Hood Upper Release Lever &amp; Cable &amp; Strikers as SET</v>
      </c>
      <c r="R151" s="284" t="str">
        <f>HYPERLINK(VLOOKUP(O151,'3D. Pictures'!$B$3:$E$500,4,FALSE),"PIC")</f>
        <v>PIC</v>
      </c>
      <c r="S151" s="373" t="str">
        <f t="shared" si="36"/>
        <v>E.G.</v>
      </c>
      <c r="T151" s="377" t="str">
        <f>IF(O151&lt;&gt;"",_xlfn.XLOOKUP(O151,'3D. Pictures'!B:B,'3D. Pictures'!E:E,"NOT FOUND",0,1),"")</f>
        <v>https://viking-pictures.s3.us-west-1.amazonaws.com/AA1155/A33.+Hood+Upper+Release+Lever+%26+Cable+%26+Strikers+as+SET+(1).JPG</v>
      </c>
      <c r="U151" s="243">
        <v>9</v>
      </c>
      <c r="V151" s="243" t="s">
        <v>1186</v>
      </c>
      <c r="W151" s="243" t="s">
        <v>112</v>
      </c>
      <c r="X151" s="243"/>
      <c r="Y151" s="205"/>
      <c r="Z151" s="243"/>
      <c r="AA151" s="243" t="s">
        <v>1185</v>
      </c>
      <c r="AB151" s="243" t="s">
        <v>1185</v>
      </c>
      <c r="AC151" s="358" t="str">
        <f t="shared" si="35"/>
        <v>if 1 bad toss all</v>
      </c>
      <c r="AD151" s="243" t="s">
        <v>1163</v>
      </c>
      <c r="AE151" s="243"/>
      <c r="AF151" s="179" t="s">
        <v>542</v>
      </c>
      <c r="AG151" s="243"/>
      <c r="AH151" s="16">
        <v>94</v>
      </c>
      <c r="AI151" s="380">
        <f t="shared" si="37"/>
        <v>94</v>
      </c>
      <c r="AJ151" s="246" t="s">
        <v>408</v>
      </c>
      <c r="AK151" s="246" t="s">
        <v>425</v>
      </c>
      <c r="AL151" s="246" t="s">
        <v>2175</v>
      </c>
      <c r="AM151" s="241"/>
      <c r="AN151" s="241"/>
      <c r="AO151" s="241"/>
      <c r="AP151" s="241"/>
      <c r="AQ151" s="241"/>
      <c r="AR151" s="241"/>
      <c r="AS151" s="241" t="s">
        <v>1028</v>
      </c>
      <c r="AT151" s="241" t="s">
        <v>1029</v>
      </c>
      <c r="AU151" s="241" t="s">
        <v>1030</v>
      </c>
      <c r="AV151" s="303" t="str">
        <f t="shared" si="40"/>
        <v>F15-14-18-ALL</v>
      </c>
      <c r="AW151" s="241" t="s">
        <v>2389</v>
      </c>
      <c r="AX151" s="279" t="str">
        <f t="shared" si="28"/>
        <v>F15-14-18-ALL-Viking23</v>
      </c>
    </row>
    <row r="152" spans="1:50" x14ac:dyDescent="0.25">
      <c r="A152" s="190" t="str">
        <f t="shared" si="31"/>
        <v/>
      </c>
      <c r="B152" s="279" t="str">
        <f t="shared" si="34"/>
        <v/>
      </c>
      <c r="C152" s="279"/>
      <c r="D152" s="279"/>
      <c r="E152" s="279" t="str">
        <f t="shared" si="32"/>
        <v/>
      </c>
      <c r="F152" t="s">
        <v>535</v>
      </c>
      <c r="G152" s="188">
        <v>44684</v>
      </c>
      <c r="H152" s="10"/>
      <c r="I152" s="174"/>
      <c r="J152" s="10" t="s">
        <v>405</v>
      </c>
      <c r="K152" s="10" t="s">
        <v>50</v>
      </c>
      <c r="L152" s="10" t="s">
        <v>2717</v>
      </c>
      <c r="M152" s="16" t="s">
        <v>559</v>
      </c>
      <c r="N152" s="16"/>
      <c r="O152" s="166"/>
      <c r="P152" s="166"/>
      <c r="Q152" s="231" t="str">
        <f t="shared" si="33"/>
        <v>. Hood Emblem</v>
      </c>
      <c r="R152" s="231"/>
      <c r="S152" s="231" t="str">
        <f t="shared" si="36"/>
        <v/>
      </c>
      <c r="T152" s="231" t="str">
        <f>IF(O152&lt;&gt;"",_xlfn.XLOOKUP(O152,'3D. Pictures'!B:B,'3D. Pictures'!E:E,"NOT FOUND",0,1),"")</f>
        <v/>
      </c>
      <c r="U152" s="16"/>
      <c r="V152" s="16"/>
      <c r="W152" s="16"/>
      <c r="X152" s="16"/>
      <c r="Y152" s="243"/>
      <c r="Z152" s="16"/>
      <c r="AA152" s="10" t="s">
        <v>452</v>
      </c>
      <c r="AB152" s="10" t="s">
        <v>452</v>
      </c>
      <c r="AC152" s="359" t="str">
        <f t="shared" si="35"/>
        <v/>
      </c>
      <c r="AD152" s="10"/>
      <c r="AE152" s="10"/>
      <c r="AF152" s="168" t="s">
        <v>543</v>
      </c>
      <c r="AG152" s="10"/>
      <c r="AH152" s="10"/>
      <c r="AI152" s="380" t="str">
        <f t="shared" si="37"/>
        <v/>
      </c>
      <c r="AJ152" s="3" t="s">
        <v>408</v>
      </c>
      <c r="AK152" s="3" t="s">
        <v>425</v>
      </c>
      <c r="AL152" s="3" t="s">
        <v>2175</v>
      </c>
      <c r="AX152" s="279" t="str">
        <f t="shared" si="28"/>
        <v/>
      </c>
    </row>
    <row r="153" spans="1:50" x14ac:dyDescent="0.25">
      <c r="A153" s="190" t="str">
        <f t="shared" si="31"/>
        <v/>
      </c>
      <c r="B153" s="279" t="str">
        <f t="shared" si="34"/>
        <v/>
      </c>
      <c r="C153" s="279"/>
      <c r="D153" s="279"/>
      <c r="E153" s="279" t="str">
        <f t="shared" si="32"/>
        <v/>
      </c>
      <c r="F153" t="s">
        <v>535</v>
      </c>
      <c r="G153" s="188">
        <v>44683</v>
      </c>
      <c r="H153" s="159"/>
      <c r="I153" s="174"/>
      <c r="J153" s="10" t="s">
        <v>405</v>
      </c>
      <c r="K153" s="10" t="s">
        <v>50</v>
      </c>
      <c r="L153" s="10" t="s">
        <v>2717</v>
      </c>
      <c r="M153" s="16" t="s">
        <v>559</v>
      </c>
      <c r="N153" s="16"/>
      <c r="O153" s="166"/>
      <c r="P153" s="166"/>
      <c r="Q153" s="231" t="str">
        <f t="shared" si="33"/>
        <v>. Hood Shocks</v>
      </c>
      <c r="R153" s="231"/>
      <c r="S153" s="231" t="str">
        <f t="shared" si="36"/>
        <v/>
      </c>
      <c r="T153" s="231" t="str">
        <f>IF(O153&lt;&gt;"",_xlfn.XLOOKUP(O153,'3D. Pictures'!B:B,'3D. Pictures'!E:E,"NOT FOUND",0,1),"")</f>
        <v/>
      </c>
      <c r="U153" s="16"/>
      <c r="V153" s="16"/>
      <c r="W153" s="16"/>
      <c r="X153" s="16"/>
      <c r="Y153" s="243"/>
      <c r="Z153" s="16"/>
      <c r="AA153" s="10" t="s">
        <v>2562</v>
      </c>
      <c r="AB153" s="10" t="s">
        <v>2562</v>
      </c>
      <c r="AC153" s="359" t="str">
        <f t="shared" si="35"/>
        <v>TOSS BOTH</v>
      </c>
      <c r="AD153" s="10" t="s">
        <v>2544</v>
      </c>
      <c r="AE153" s="10"/>
      <c r="AF153" s="168" t="s">
        <v>543</v>
      </c>
      <c r="AG153" s="10"/>
      <c r="AH153" s="10"/>
      <c r="AI153" s="380" t="str">
        <f t="shared" si="37"/>
        <v/>
      </c>
      <c r="AJ153" s="3" t="s">
        <v>408</v>
      </c>
      <c r="AK153" s="3" t="s">
        <v>425</v>
      </c>
      <c r="AL153" s="3" t="s">
        <v>2175</v>
      </c>
      <c r="AX153" s="279" t="str">
        <f t="shared" si="28"/>
        <v/>
      </c>
    </row>
    <row r="154" spans="1:50" x14ac:dyDescent="0.25">
      <c r="A154" s="190" t="str">
        <f t="shared" si="31"/>
        <v/>
      </c>
      <c r="B154" s="279" t="str">
        <f t="shared" si="34"/>
        <v/>
      </c>
      <c r="C154" s="279"/>
      <c r="D154" s="279"/>
      <c r="E154" s="279" t="str">
        <f t="shared" si="32"/>
        <v/>
      </c>
      <c r="F154" t="s">
        <v>535</v>
      </c>
      <c r="G154" s="188">
        <v>44670</v>
      </c>
      <c r="H154" s="159"/>
      <c r="I154" s="174"/>
      <c r="J154" s="10" t="s">
        <v>405</v>
      </c>
      <c r="K154" s="10" t="s">
        <v>50</v>
      </c>
      <c r="L154" s="10" t="s">
        <v>2563</v>
      </c>
      <c r="M154" s="164" t="s">
        <v>558</v>
      </c>
      <c r="N154" s="164"/>
      <c r="O154" s="234"/>
      <c r="P154" s="234"/>
      <c r="Q154" s="231" t="str">
        <f t="shared" si="33"/>
        <v>. Hood, Assembly</v>
      </c>
      <c r="R154" s="231"/>
      <c r="S154" s="231" t="str">
        <f t="shared" si="36"/>
        <v/>
      </c>
      <c r="T154" s="231" t="str">
        <f>IF(O154&lt;&gt;"",_xlfn.XLOOKUP(O154,'3D. Pictures'!B:B,'3D. Pictures'!E:E,"NOT FOUND",0,1),"")</f>
        <v/>
      </c>
      <c r="U154" s="164"/>
      <c r="V154" s="16"/>
      <c r="W154" s="164"/>
      <c r="X154" s="16"/>
      <c r="Y154" s="243"/>
      <c r="Z154" s="16"/>
      <c r="AA154" s="10" t="s">
        <v>2563</v>
      </c>
      <c r="AB154" s="10" t="s">
        <v>2563</v>
      </c>
      <c r="AC154" s="359" t="str">
        <f t="shared" si="35"/>
        <v>Part out then toss</v>
      </c>
      <c r="AD154" s="10"/>
      <c r="AE154" s="10" t="s">
        <v>2564</v>
      </c>
      <c r="AF154" s="168" t="s">
        <v>543</v>
      </c>
      <c r="AG154" s="10"/>
      <c r="AH154" s="10"/>
      <c r="AI154" s="380" t="str">
        <f t="shared" si="37"/>
        <v/>
      </c>
      <c r="AJ154" s="3" t="s">
        <v>408</v>
      </c>
      <c r="AK154" s="3" t="s">
        <v>425</v>
      </c>
      <c r="AL154" s="3" t="s">
        <v>2175</v>
      </c>
      <c r="AX154" s="279" t="str">
        <f t="shared" si="28"/>
        <v/>
      </c>
    </row>
    <row r="155" spans="1:50" x14ac:dyDescent="0.25">
      <c r="A155" s="190" t="str">
        <f t="shared" si="31"/>
        <v/>
      </c>
      <c r="B155" s="279" t="str">
        <f t="shared" si="34"/>
        <v>655-72539</v>
      </c>
      <c r="C155" s="279"/>
      <c r="D155" s="279"/>
      <c r="E155" s="279">
        <f t="shared" si="32"/>
        <v>1</v>
      </c>
      <c r="F155" s="190" t="s">
        <v>535</v>
      </c>
      <c r="G155" s="198">
        <v>44684</v>
      </c>
      <c r="H155" s="205"/>
      <c r="I155" s="205"/>
      <c r="J155" s="205" t="s">
        <v>402</v>
      </c>
      <c r="K155" s="205" t="s">
        <v>1059</v>
      </c>
      <c r="L155" s="205" t="s">
        <v>2719</v>
      </c>
      <c r="M155" s="192" t="s">
        <v>558</v>
      </c>
      <c r="N155" s="192"/>
      <c r="O155" s="229"/>
      <c r="P155" s="229"/>
      <c r="Q155" s="231" t="str">
        <f t="shared" si="33"/>
        <v>. Climate Control Panel, Radio Control Panel, and Trim - FRONT</v>
      </c>
      <c r="R155" s="231"/>
      <c r="S155" s="231" t="str">
        <f t="shared" si="36"/>
        <v/>
      </c>
      <c r="T155" s="231" t="str">
        <f>IF(O155&lt;&gt;"",_xlfn.XLOOKUP(O155,'3D. Pictures'!B:B,'3D. Pictures'!E:E,"NOT FOUND",0,1),"")</f>
        <v/>
      </c>
      <c r="U155" s="192"/>
      <c r="V155" s="205"/>
      <c r="W155" s="192"/>
      <c r="X155" s="205"/>
      <c r="Y155" s="205"/>
      <c r="Z155" s="205"/>
      <c r="AA155" s="205" t="s">
        <v>2830</v>
      </c>
      <c r="AB155" s="205" t="s">
        <v>2830</v>
      </c>
      <c r="AC155" s="358" t="str">
        <f t="shared" si="35"/>
        <v>keep together unless 1 bad</v>
      </c>
      <c r="AD155" s="205" t="s">
        <v>1363</v>
      </c>
      <c r="AE155" s="205"/>
      <c r="AF155" s="201" t="s">
        <v>543</v>
      </c>
      <c r="AG155" s="205"/>
      <c r="AH155" s="16">
        <v>295</v>
      </c>
      <c r="AI155" s="380">
        <f t="shared" si="37"/>
        <v>295</v>
      </c>
      <c r="AJ155" s="204" t="s">
        <v>408</v>
      </c>
      <c r="AK155" s="204" t="s">
        <v>425</v>
      </c>
      <c r="AL155" s="204" t="s">
        <v>2175</v>
      </c>
      <c r="AM155" s="190"/>
      <c r="AN155" s="191" t="s">
        <v>624</v>
      </c>
      <c r="AO155" s="190" t="s">
        <v>572</v>
      </c>
      <c r="AP155" s="190">
        <v>72539</v>
      </c>
      <c r="AQ155" s="190" t="str">
        <f t="shared" ref="AQ155:AQ162" si="41">CONCATENATE(AN155,AO155,AP155)</f>
        <v>655-72539</v>
      </c>
      <c r="AR155" s="190" t="s">
        <v>683</v>
      </c>
      <c r="AS155" s="190"/>
      <c r="AT155" s="190"/>
      <c r="AU155" s="190"/>
      <c r="AV155" s="190"/>
      <c r="AW155" s="190"/>
      <c r="AX155" s="279" t="str">
        <f t="shared" si="28"/>
        <v/>
      </c>
    </row>
    <row r="156" spans="1:50" ht="15.75" thickBot="1" x14ac:dyDescent="0.3">
      <c r="A156" s="190" t="str">
        <f t="shared" si="31"/>
        <v/>
      </c>
      <c r="B156" s="279" t="str">
        <f t="shared" si="34"/>
        <v>655-72542</v>
      </c>
      <c r="C156" s="279"/>
      <c r="D156" s="279"/>
      <c r="E156" s="279">
        <f t="shared" si="32"/>
        <v>1</v>
      </c>
      <c r="F156" s="190" t="s">
        <v>535</v>
      </c>
      <c r="G156" s="198">
        <v>44684</v>
      </c>
      <c r="H156" s="205"/>
      <c r="I156" s="205"/>
      <c r="J156" s="205" t="s">
        <v>402</v>
      </c>
      <c r="K156" s="205" t="s">
        <v>1059</v>
      </c>
      <c r="L156" s="205" t="s">
        <v>2719</v>
      </c>
      <c r="M156" s="192" t="s">
        <v>558</v>
      </c>
      <c r="N156" s="192"/>
      <c r="O156" s="229"/>
      <c r="P156" s="229"/>
      <c r="Q156" s="231" t="str">
        <f t="shared" si="33"/>
        <v>. Climate Control Panel - REAR</v>
      </c>
      <c r="R156" s="231"/>
      <c r="S156" s="231" t="str">
        <f t="shared" si="36"/>
        <v/>
      </c>
      <c r="T156" s="231" t="str">
        <f>IF(O156&lt;&gt;"",_xlfn.XLOOKUP(O156,'3D. Pictures'!B:B,'3D. Pictures'!E:E,"NOT FOUND",0,1),"")</f>
        <v/>
      </c>
      <c r="U156" s="192"/>
      <c r="V156" s="205"/>
      <c r="W156" s="192"/>
      <c r="X156" s="205"/>
      <c r="Y156" s="205"/>
      <c r="Z156" s="205"/>
      <c r="AA156" s="205" t="s">
        <v>2831</v>
      </c>
      <c r="AB156" s="205" t="s">
        <v>2831</v>
      </c>
      <c r="AC156" s="358" t="str">
        <f t="shared" si="35"/>
        <v/>
      </c>
      <c r="AD156" s="205"/>
      <c r="AE156" s="205"/>
      <c r="AF156" s="201" t="s">
        <v>543</v>
      </c>
      <c r="AG156" s="205"/>
      <c r="AH156" s="16">
        <v>198</v>
      </c>
      <c r="AI156" s="380">
        <f t="shared" si="37"/>
        <v>198</v>
      </c>
      <c r="AJ156" s="204" t="s">
        <v>408</v>
      </c>
      <c r="AK156" s="204" t="s">
        <v>425</v>
      </c>
      <c r="AL156" s="204" t="s">
        <v>2175</v>
      </c>
      <c r="AM156" s="190"/>
      <c r="AN156" s="191" t="s">
        <v>624</v>
      </c>
      <c r="AO156" s="190" t="s">
        <v>572</v>
      </c>
      <c r="AP156" s="190">
        <v>72542</v>
      </c>
      <c r="AQ156" s="190" t="str">
        <f t="shared" si="41"/>
        <v>655-72542</v>
      </c>
      <c r="AR156" s="190" t="s">
        <v>684</v>
      </c>
      <c r="AS156" s="190"/>
      <c r="AT156" s="190"/>
      <c r="AU156" s="190"/>
      <c r="AV156" s="190"/>
      <c r="AW156" s="190"/>
      <c r="AX156" s="279" t="str">
        <f t="shared" si="28"/>
        <v/>
      </c>
    </row>
    <row r="157" spans="1:50" ht="15.75" thickBot="1" x14ac:dyDescent="0.3">
      <c r="A157" s="190" t="str">
        <f t="shared" si="31"/>
        <v>A18</v>
      </c>
      <c r="B157" s="279" t="str">
        <f t="shared" si="34"/>
        <v>253-67828</v>
      </c>
      <c r="C157" s="279"/>
      <c r="D157" s="279"/>
      <c r="E157" s="279">
        <f t="shared" si="32"/>
        <v>1</v>
      </c>
      <c r="F157" s="190" t="s">
        <v>535</v>
      </c>
      <c r="G157" s="198">
        <v>44671</v>
      </c>
      <c r="H157" s="217"/>
      <c r="I157" s="192"/>
      <c r="J157" s="205" t="s">
        <v>402</v>
      </c>
      <c r="K157" s="205" t="s">
        <v>1059</v>
      </c>
      <c r="L157" s="205" t="s">
        <v>686</v>
      </c>
      <c r="M157" s="192" t="s">
        <v>558</v>
      </c>
      <c r="N157" s="192">
        <v>8</v>
      </c>
      <c r="O157" s="229" t="s">
        <v>920</v>
      </c>
      <c r="P157" s="229" t="s">
        <v>1035</v>
      </c>
      <c r="Q157" s="231" t="str">
        <f t="shared" si="33"/>
        <v>A18. Airbag, DASH - RIGHT (PASSENGER)</v>
      </c>
      <c r="R157" s="284" t="str">
        <f>HYPERLINK(VLOOKUP(O157,'3D. Pictures'!$B$3:$E$500,4,FALSE),"PIC")</f>
        <v>PIC</v>
      </c>
      <c r="S157" s="373" t="str">
        <f t="shared" si="36"/>
        <v>E.G.</v>
      </c>
      <c r="T157" s="377" t="str">
        <f>IF(O157&lt;&gt;"",_xlfn.XLOOKUP(O157,'3D. Pictures'!B:B,'3D. Pictures'!E:E,"NOT FOUND",0,1),"")</f>
        <v>https://viking-pictures.s3.us-west-1.amazonaws.com/AA1155/A18.+Airbag%2C+DASH+-+RIGHT+(PASSENGER)+(1).JPG</v>
      </c>
      <c r="U157" s="192">
        <v>5</v>
      </c>
      <c r="V157" s="205" t="s">
        <v>2154</v>
      </c>
      <c r="W157" s="192" t="s">
        <v>111</v>
      </c>
      <c r="X157" s="205"/>
      <c r="Y157" s="205"/>
      <c r="Z157" s="205"/>
      <c r="AA157" s="205" t="s">
        <v>417</v>
      </c>
      <c r="AB157" s="205" t="s">
        <v>417</v>
      </c>
      <c r="AC157" s="358" t="str">
        <f t="shared" si="35"/>
        <v/>
      </c>
      <c r="AD157" s="205"/>
      <c r="AE157" s="205"/>
      <c r="AF157" s="201" t="s">
        <v>543</v>
      </c>
      <c r="AG157" s="205"/>
      <c r="AH157" s="16">
        <v>195</v>
      </c>
      <c r="AI157" s="380">
        <f t="shared" si="37"/>
        <v>195</v>
      </c>
      <c r="AJ157" s="204" t="s">
        <v>408</v>
      </c>
      <c r="AK157" s="204" t="s">
        <v>425</v>
      </c>
      <c r="AL157" s="204" t="s">
        <v>2175</v>
      </c>
      <c r="AM157" s="190"/>
      <c r="AN157" s="191" t="s">
        <v>625</v>
      </c>
      <c r="AO157" s="190" t="s">
        <v>572</v>
      </c>
      <c r="AP157" s="190">
        <v>67828</v>
      </c>
      <c r="AQ157" s="190" t="str">
        <f t="shared" si="41"/>
        <v>253-67828</v>
      </c>
      <c r="AR157" s="190"/>
      <c r="AS157" s="190"/>
      <c r="AT157" s="190"/>
      <c r="AU157" s="190"/>
      <c r="AV157" s="190"/>
      <c r="AW157" s="190"/>
      <c r="AX157" s="279" t="str">
        <f t="shared" si="28"/>
        <v/>
      </c>
    </row>
    <row r="158" spans="1:50" ht="15.75" thickBot="1" x14ac:dyDescent="0.3">
      <c r="A158" s="190" t="str">
        <f t="shared" si="31"/>
        <v>A12</v>
      </c>
      <c r="B158" s="279" t="str">
        <f t="shared" si="34"/>
        <v>253-67827</v>
      </c>
      <c r="C158" s="279"/>
      <c r="D158" s="279"/>
      <c r="E158" s="279">
        <f t="shared" si="32"/>
        <v>1</v>
      </c>
      <c r="F158" s="190" t="s">
        <v>535</v>
      </c>
      <c r="G158" s="198">
        <v>44671</v>
      </c>
      <c r="H158" s="217"/>
      <c r="I158" s="192"/>
      <c r="J158" s="205" t="s">
        <v>402</v>
      </c>
      <c r="K158" s="205" t="s">
        <v>1059</v>
      </c>
      <c r="L158" s="205" t="s">
        <v>686</v>
      </c>
      <c r="M158" s="192" t="s">
        <v>558</v>
      </c>
      <c r="N158" s="192">
        <v>2</v>
      </c>
      <c r="O158" s="229" t="s">
        <v>914</v>
      </c>
      <c r="P158" s="229" t="s">
        <v>1035</v>
      </c>
      <c r="Q158" s="231" t="str">
        <f t="shared" si="33"/>
        <v>A12. Airbag, KNEE - FRONT LEFT (DRIVER)</v>
      </c>
      <c r="R158" s="284" t="str">
        <f>HYPERLINK(VLOOKUP(O158,'3D. Pictures'!$B$3:$E$500,4,FALSE),"PIC")</f>
        <v>PIC</v>
      </c>
      <c r="S158" s="373" t="str">
        <f t="shared" si="36"/>
        <v>E.G.</v>
      </c>
      <c r="T158" s="377" t="str">
        <f>IF(O158&lt;&gt;"",_xlfn.XLOOKUP(O158,'3D. Pictures'!B:B,'3D. Pictures'!E:E,"NOT FOUND",0,1),"")</f>
        <v>https://viking-pictures.s3.us-west-1.amazonaws.com/AA1155/A12.+Airbag%2C+KNEE+-+FRONT+LEFT+(DRIVER)+(1).JPG</v>
      </c>
      <c r="U158" s="192">
        <v>6</v>
      </c>
      <c r="V158" s="205" t="s">
        <v>2155</v>
      </c>
      <c r="W158" s="192" t="s">
        <v>111</v>
      </c>
      <c r="X158" s="205"/>
      <c r="Y158" s="205"/>
      <c r="Z158" s="205"/>
      <c r="AA158" s="205" t="s">
        <v>413</v>
      </c>
      <c r="AB158" s="205" t="s">
        <v>413</v>
      </c>
      <c r="AC158" s="358" t="str">
        <f t="shared" si="35"/>
        <v/>
      </c>
      <c r="AD158" s="205"/>
      <c r="AE158" s="205"/>
      <c r="AF158" s="201" t="s">
        <v>543</v>
      </c>
      <c r="AG158" s="205"/>
      <c r="AH158" s="16">
        <v>275</v>
      </c>
      <c r="AI158" s="380">
        <f t="shared" si="37"/>
        <v>275</v>
      </c>
      <c r="AJ158" s="204" t="s">
        <v>408</v>
      </c>
      <c r="AK158" s="204" t="s">
        <v>425</v>
      </c>
      <c r="AL158" s="204" t="s">
        <v>2175</v>
      </c>
      <c r="AM158" s="190"/>
      <c r="AN158" s="191" t="s">
        <v>625</v>
      </c>
      <c r="AO158" s="190" t="s">
        <v>572</v>
      </c>
      <c r="AP158" s="190">
        <v>67827</v>
      </c>
      <c r="AQ158" s="190" t="str">
        <f t="shared" si="41"/>
        <v>253-67827</v>
      </c>
      <c r="AR158" s="190"/>
      <c r="AS158" s="190"/>
      <c r="AT158" s="190"/>
      <c r="AU158" s="190"/>
      <c r="AV158" s="190"/>
      <c r="AW158" s="190"/>
      <c r="AX158" s="279" t="str">
        <f t="shared" si="28"/>
        <v/>
      </c>
    </row>
    <row r="159" spans="1:50" ht="15.75" thickBot="1" x14ac:dyDescent="0.3">
      <c r="A159" s="190" t="str">
        <f t="shared" si="31"/>
        <v>A14</v>
      </c>
      <c r="B159" s="279" t="str">
        <f t="shared" si="34"/>
        <v>253-67831</v>
      </c>
      <c r="C159" s="279"/>
      <c r="D159" s="279"/>
      <c r="E159" s="279">
        <f t="shared" si="32"/>
        <v>1</v>
      </c>
      <c r="F159" s="190" t="s">
        <v>535</v>
      </c>
      <c r="G159" s="198">
        <v>44671</v>
      </c>
      <c r="H159" s="217"/>
      <c r="I159" s="192"/>
      <c r="J159" s="205" t="s">
        <v>402</v>
      </c>
      <c r="K159" s="205" t="s">
        <v>1059</v>
      </c>
      <c r="L159" s="205" t="s">
        <v>686</v>
      </c>
      <c r="M159" s="192" t="s">
        <v>558</v>
      </c>
      <c r="N159" s="192">
        <v>4</v>
      </c>
      <c r="O159" s="229" t="s">
        <v>916</v>
      </c>
      <c r="P159" s="229" t="s">
        <v>1035</v>
      </c>
      <c r="Q159" s="231" t="str">
        <f t="shared" si="33"/>
        <v>A14. Airbag, KNEE - FRONT RIGHT (PASSENGER)</v>
      </c>
      <c r="R159" s="284" t="str">
        <f>HYPERLINK(VLOOKUP(O159,'3D. Pictures'!$B$3:$E$500,4,FALSE),"PIC")</f>
        <v>PIC</v>
      </c>
      <c r="S159" s="373" t="str">
        <f t="shared" si="36"/>
        <v>E.G.</v>
      </c>
      <c r="T159" s="377" t="str">
        <f>IF(O159&lt;&gt;"",_xlfn.XLOOKUP(O159,'3D. Pictures'!B:B,'3D. Pictures'!E:E,"NOT FOUND",0,1),"")</f>
        <v>https://viking-pictures.s3.us-west-1.amazonaws.com/AA1155/A14.+Airbag%2C+KNEE+-+FRONT+RIGHT+(PASSENGER)+(1).JPG</v>
      </c>
      <c r="U159" s="192">
        <v>5</v>
      </c>
      <c r="V159" s="205" t="s">
        <v>2156</v>
      </c>
      <c r="W159" s="192" t="s">
        <v>111</v>
      </c>
      <c r="X159" s="205"/>
      <c r="Y159" s="205"/>
      <c r="Z159" s="205"/>
      <c r="AA159" s="205" t="s">
        <v>414</v>
      </c>
      <c r="AB159" s="205" t="s">
        <v>414</v>
      </c>
      <c r="AC159" s="358" t="str">
        <f t="shared" si="35"/>
        <v/>
      </c>
      <c r="AD159" s="205"/>
      <c r="AE159" s="205"/>
      <c r="AF159" s="201" t="s">
        <v>543</v>
      </c>
      <c r="AG159" s="205"/>
      <c r="AH159" s="16">
        <v>175</v>
      </c>
      <c r="AI159" s="380">
        <f t="shared" si="37"/>
        <v>175</v>
      </c>
      <c r="AJ159" s="204" t="s">
        <v>408</v>
      </c>
      <c r="AK159" s="204" t="s">
        <v>425</v>
      </c>
      <c r="AL159" s="204" t="s">
        <v>2175</v>
      </c>
      <c r="AM159" s="190"/>
      <c r="AN159" s="191" t="s">
        <v>625</v>
      </c>
      <c r="AO159" s="190" t="s">
        <v>572</v>
      </c>
      <c r="AP159" s="190">
        <v>67831</v>
      </c>
      <c r="AQ159" s="190" t="str">
        <f t="shared" si="41"/>
        <v>253-67831</v>
      </c>
      <c r="AR159" s="190"/>
      <c r="AS159" s="190"/>
      <c r="AT159" s="190"/>
      <c r="AU159" s="190"/>
      <c r="AV159" s="190"/>
      <c r="AW159" s="190"/>
      <c r="AX159" s="279" t="str">
        <f t="shared" si="28"/>
        <v/>
      </c>
    </row>
    <row r="160" spans="1:50" ht="15.75" thickBot="1" x14ac:dyDescent="0.3">
      <c r="A160" s="190" t="str">
        <f t="shared" si="31"/>
        <v>A22</v>
      </c>
      <c r="B160" s="279" t="str">
        <f t="shared" si="34"/>
        <v>253-67825</v>
      </c>
      <c r="C160" s="279"/>
      <c r="D160" s="279"/>
      <c r="E160" s="279">
        <f t="shared" si="32"/>
        <v>1</v>
      </c>
      <c r="F160" s="190" t="s">
        <v>535</v>
      </c>
      <c r="G160" s="198">
        <v>44671</v>
      </c>
      <c r="H160" s="217"/>
      <c r="I160" s="192"/>
      <c r="J160" s="205" t="s">
        <v>402</v>
      </c>
      <c r="K160" s="205" t="s">
        <v>1059</v>
      </c>
      <c r="L160" s="205" t="s">
        <v>686</v>
      </c>
      <c r="M160" s="192" t="s">
        <v>558</v>
      </c>
      <c r="N160" s="192">
        <v>12</v>
      </c>
      <c r="O160" s="229" t="s">
        <v>924</v>
      </c>
      <c r="P160" s="229" t="s">
        <v>1035</v>
      </c>
      <c r="Q160" s="231" t="str">
        <f t="shared" si="33"/>
        <v>A22. Airbag, ROOF - LEFT (DRIVER)</v>
      </c>
      <c r="R160" s="284" t="str">
        <f>HYPERLINK(VLOOKUP(O160,'3D. Pictures'!$B$3:$E$500,4,FALSE),"PIC")</f>
        <v>PIC</v>
      </c>
      <c r="S160" s="373" t="str">
        <f t="shared" si="36"/>
        <v>E.G.</v>
      </c>
      <c r="T160" s="377" t="str">
        <f>IF(O160&lt;&gt;"",_xlfn.XLOOKUP(O160,'3D. Pictures'!B:B,'3D. Pictures'!E:E,"NOT FOUND",0,1),"")</f>
        <v>https://viking-pictures.s3.us-west-1.amazonaws.com/AA1155/A22.+Airbag%2C+ROOF+-+LEFT+(DRIVER)+(1).JPG</v>
      </c>
      <c r="U160" s="192">
        <v>5</v>
      </c>
      <c r="V160" s="205" t="s">
        <v>2157</v>
      </c>
      <c r="W160" s="192" t="s">
        <v>111</v>
      </c>
      <c r="X160" s="205"/>
      <c r="Y160" s="205"/>
      <c r="Z160" s="205"/>
      <c r="AA160" s="205" t="s">
        <v>415</v>
      </c>
      <c r="AB160" s="205" t="s">
        <v>415</v>
      </c>
      <c r="AC160" s="358" t="str">
        <f t="shared" si="35"/>
        <v/>
      </c>
      <c r="AD160" s="205"/>
      <c r="AE160" s="205"/>
      <c r="AF160" s="201" t="s">
        <v>543</v>
      </c>
      <c r="AG160" s="205"/>
      <c r="AH160" s="16">
        <v>345</v>
      </c>
      <c r="AI160" s="380">
        <f t="shared" si="37"/>
        <v>345</v>
      </c>
      <c r="AJ160" s="204" t="s">
        <v>408</v>
      </c>
      <c r="AK160" s="204" t="s">
        <v>425</v>
      </c>
      <c r="AL160" s="204" t="s">
        <v>2175</v>
      </c>
      <c r="AM160" s="190"/>
      <c r="AN160" s="191" t="s">
        <v>625</v>
      </c>
      <c r="AO160" s="190" t="s">
        <v>572</v>
      </c>
      <c r="AP160" s="190">
        <v>67825</v>
      </c>
      <c r="AQ160" s="190" t="str">
        <f t="shared" si="41"/>
        <v>253-67825</v>
      </c>
      <c r="AR160" s="190"/>
      <c r="AS160" s="190"/>
      <c r="AT160" s="190"/>
      <c r="AU160" s="190"/>
      <c r="AV160" s="190"/>
      <c r="AW160" s="190"/>
      <c r="AX160" s="279" t="str">
        <f t="shared" si="28"/>
        <v/>
      </c>
    </row>
    <row r="161" spans="1:50" ht="15.75" thickBot="1" x14ac:dyDescent="0.3">
      <c r="A161" s="190" t="str">
        <f t="shared" si="31"/>
        <v>A20</v>
      </c>
      <c r="B161" s="279" t="str">
        <f t="shared" si="34"/>
        <v>253-67829</v>
      </c>
      <c r="C161" s="279"/>
      <c r="D161" s="279"/>
      <c r="E161" s="279">
        <f t="shared" si="32"/>
        <v>1</v>
      </c>
      <c r="F161" s="190" t="s">
        <v>535</v>
      </c>
      <c r="G161" s="198">
        <v>44671</v>
      </c>
      <c r="H161" s="217"/>
      <c r="I161" s="192"/>
      <c r="J161" s="205" t="s">
        <v>402</v>
      </c>
      <c r="K161" s="205" t="s">
        <v>1059</v>
      </c>
      <c r="L161" s="205" t="s">
        <v>686</v>
      </c>
      <c r="M161" s="192" t="s">
        <v>558</v>
      </c>
      <c r="N161" s="192">
        <v>10</v>
      </c>
      <c r="O161" s="229" t="s">
        <v>922</v>
      </c>
      <c r="P161" s="229" t="s">
        <v>1035</v>
      </c>
      <c r="Q161" s="231" t="str">
        <f t="shared" si="33"/>
        <v>A20. Airbag, ROOF - RIGHT (PASSENGER)</v>
      </c>
      <c r="R161" s="284" t="str">
        <f>HYPERLINK(VLOOKUP(O161,'3D. Pictures'!$B$3:$E$500,4,FALSE),"PIC")</f>
        <v>PIC</v>
      </c>
      <c r="S161" s="373" t="str">
        <f t="shared" si="36"/>
        <v>E.G.</v>
      </c>
      <c r="T161" s="377" t="str">
        <f>IF(O161&lt;&gt;"",_xlfn.XLOOKUP(O161,'3D. Pictures'!B:B,'3D. Pictures'!E:E,"NOT FOUND",0,1),"")</f>
        <v>https://viking-pictures.s3.us-west-1.amazonaws.com/AA1155/A20.+Airbag%2C+ROOF+-+RIGHT+(PASSENGER)+(1).JPG</v>
      </c>
      <c r="U161" s="192">
        <v>5</v>
      </c>
      <c r="V161" s="205" t="s">
        <v>1160</v>
      </c>
      <c r="W161" s="192" t="s">
        <v>111</v>
      </c>
      <c r="X161" s="205"/>
      <c r="Y161" s="205"/>
      <c r="Z161" s="205"/>
      <c r="AA161" s="205" t="s">
        <v>416</v>
      </c>
      <c r="AB161" s="205" t="s">
        <v>416</v>
      </c>
      <c r="AC161" s="358" t="str">
        <f t="shared" si="35"/>
        <v/>
      </c>
      <c r="AD161" s="205"/>
      <c r="AE161" s="205"/>
      <c r="AF161" s="201" t="s">
        <v>543</v>
      </c>
      <c r="AG161" s="205"/>
      <c r="AH161" s="16">
        <v>345</v>
      </c>
      <c r="AI161" s="380">
        <f t="shared" si="37"/>
        <v>345</v>
      </c>
      <c r="AJ161" s="204" t="s">
        <v>408</v>
      </c>
      <c r="AK161" s="204" t="s">
        <v>425</v>
      </c>
      <c r="AL161" s="204" t="s">
        <v>2175</v>
      </c>
      <c r="AM161" s="190"/>
      <c r="AN161" s="191" t="s">
        <v>625</v>
      </c>
      <c r="AO161" s="190" t="s">
        <v>572</v>
      </c>
      <c r="AP161" s="190">
        <v>67829</v>
      </c>
      <c r="AQ161" s="190" t="str">
        <f t="shared" si="41"/>
        <v>253-67829</v>
      </c>
      <c r="AR161" s="190"/>
      <c r="AS161" s="190"/>
      <c r="AT161" s="190"/>
      <c r="AU161" s="190"/>
      <c r="AV161" s="190"/>
      <c r="AW161" s="190"/>
      <c r="AX161" s="279" t="str">
        <f t="shared" si="28"/>
        <v/>
      </c>
    </row>
    <row r="162" spans="1:50" x14ac:dyDescent="0.25">
      <c r="A162" s="190" t="str">
        <f t="shared" si="31"/>
        <v/>
      </c>
      <c r="B162" s="279" t="str">
        <f t="shared" si="34"/>
        <v>253-67822</v>
      </c>
      <c r="C162" s="279"/>
      <c r="D162" s="279"/>
      <c r="E162" s="279">
        <f t="shared" si="32"/>
        <v>1</v>
      </c>
      <c r="F162" s="190" t="s">
        <v>535</v>
      </c>
      <c r="G162" s="198">
        <v>44671</v>
      </c>
      <c r="H162" s="217"/>
      <c r="I162" s="192"/>
      <c r="J162" s="205" t="s">
        <v>402</v>
      </c>
      <c r="K162" s="205" t="s">
        <v>1059</v>
      </c>
      <c r="L162" s="205" t="s">
        <v>686</v>
      </c>
      <c r="M162" s="192" t="s">
        <v>558</v>
      </c>
      <c r="N162" s="192"/>
      <c r="O162" s="229"/>
      <c r="P162" s="229"/>
      <c r="Q162" s="231" t="str">
        <f t="shared" si="33"/>
        <v>. Airbag, STEERING WHEEL</v>
      </c>
      <c r="R162" s="231"/>
      <c r="S162" s="231" t="str">
        <f t="shared" si="36"/>
        <v/>
      </c>
      <c r="T162" s="231" t="str">
        <f>IF(O162&lt;&gt;"",_xlfn.XLOOKUP(O162,'3D. Pictures'!B:B,'3D. Pictures'!E:E,"NOT FOUND",0,1),"")</f>
        <v/>
      </c>
      <c r="U162" s="192"/>
      <c r="V162" s="205"/>
      <c r="W162" s="192"/>
      <c r="X162" s="205"/>
      <c r="Y162" s="205"/>
      <c r="Z162" s="205"/>
      <c r="AA162" s="205" t="s">
        <v>418</v>
      </c>
      <c r="AB162" s="205" t="s">
        <v>418</v>
      </c>
      <c r="AC162" s="358" t="str">
        <f t="shared" si="35"/>
        <v/>
      </c>
      <c r="AD162" s="205"/>
      <c r="AE162" s="205"/>
      <c r="AF162" s="201" t="s">
        <v>543</v>
      </c>
      <c r="AG162" s="205"/>
      <c r="AH162" s="167">
        <v>450</v>
      </c>
      <c r="AI162" s="380">
        <f t="shared" si="37"/>
        <v>450</v>
      </c>
      <c r="AJ162" s="204" t="s">
        <v>408</v>
      </c>
      <c r="AK162" s="204" t="s">
        <v>425</v>
      </c>
      <c r="AL162" s="204" t="s">
        <v>2175</v>
      </c>
      <c r="AM162" s="190"/>
      <c r="AN162" s="191" t="s">
        <v>625</v>
      </c>
      <c r="AO162" s="190" t="s">
        <v>572</v>
      </c>
      <c r="AP162" s="190">
        <v>67822</v>
      </c>
      <c r="AQ162" s="190" t="str">
        <f t="shared" si="41"/>
        <v>253-67822</v>
      </c>
      <c r="AR162" s="190" t="s">
        <v>687</v>
      </c>
      <c r="AS162" s="190"/>
      <c r="AT162" s="190"/>
      <c r="AU162" s="190"/>
      <c r="AV162" s="190"/>
      <c r="AW162" s="190"/>
      <c r="AX162" s="279" t="str">
        <f t="shared" si="28"/>
        <v/>
      </c>
    </row>
    <row r="163" spans="1:50" ht="15.75" thickBot="1" x14ac:dyDescent="0.3">
      <c r="A163" s="190" t="str">
        <f t="shared" si="31"/>
        <v/>
      </c>
      <c r="B163" s="279" t="str">
        <f t="shared" si="34"/>
        <v/>
      </c>
      <c r="C163" s="279"/>
      <c r="D163" s="279"/>
      <c r="E163" s="279" t="str">
        <f t="shared" si="32"/>
        <v/>
      </c>
      <c r="F163" t="s">
        <v>535</v>
      </c>
      <c r="G163" s="188">
        <v>44683</v>
      </c>
      <c r="H163" s="16"/>
      <c r="I163" s="16"/>
      <c r="J163" s="16" t="s">
        <v>402</v>
      </c>
      <c r="K163" s="16" t="s">
        <v>1059</v>
      </c>
      <c r="L163" s="10" t="s">
        <v>2715</v>
      </c>
      <c r="M163" s="16" t="s">
        <v>559</v>
      </c>
      <c r="N163" s="16"/>
      <c r="O163" s="166"/>
      <c r="P163" s="166"/>
      <c r="Q163" s="231" t="str">
        <f t="shared" si="33"/>
        <v>. Ambient Air Temperature Sensor</v>
      </c>
      <c r="R163" s="231"/>
      <c r="S163" s="231" t="str">
        <f t="shared" si="36"/>
        <v/>
      </c>
      <c r="T163" s="231" t="str">
        <f>IF(O163&lt;&gt;"",_xlfn.XLOOKUP(O163,'3D. Pictures'!B:B,'3D. Pictures'!E:E,"NOT FOUND",0,1),"")</f>
        <v/>
      </c>
      <c r="U163" s="16"/>
      <c r="V163" s="16"/>
      <c r="W163" s="16"/>
      <c r="X163" s="16"/>
      <c r="Y163" s="243"/>
      <c r="Z163" s="16"/>
      <c r="AA163" s="16" t="s">
        <v>2566</v>
      </c>
      <c r="AB163" s="16" t="s">
        <v>2566</v>
      </c>
      <c r="AC163" s="358" t="str">
        <f t="shared" si="35"/>
        <v>small black w/ a purple front</v>
      </c>
      <c r="AD163" s="16"/>
      <c r="AE163" s="16" t="s">
        <v>2565</v>
      </c>
      <c r="AF163" s="168" t="s">
        <v>543</v>
      </c>
      <c r="AG163" s="16"/>
      <c r="AH163" s="16">
        <v>48</v>
      </c>
      <c r="AI163" s="380">
        <f t="shared" si="37"/>
        <v>48</v>
      </c>
      <c r="AJ163" s="3" t="s">
        <v>408</v>
      </c>
      <c r="AK163" s="3" t="s">
        <v>425</v>
      </c>
      <c r="AL163" s="3" t="s">
        <v>2175</v>
      </c>
      <c r="AX163" s="279" t="str">
        <f t="shared" si="28"/>
        <v/>
      </c>
    </row>
    <row r="164" spans="1:50" ht="15.75" thickBot="1" x14ac:dyDescent="0.3">
      <c r="A164" s="190" t="str">
        <f t="shared" si="31"/>
        <v>A19</v>
      </c>
      <c r="B164" s="279" t="str">
        <f t="shared" si="34"/>
        <v>615-58781</v>
      </c>
      <c r="C164" s="279"/>
      <c r="D164" s="279"/>
      <c r="E164" s="279">
        <f t="shared" si="32"/>
        <v>1</v>
      </c>
      <c r="F164" s="190" t="s">
        <v>535</v>
      </c>
      <c r="G164" s="198">
        <v>44683</v>
      </c>
      <c r="H164" s="205"/>
      <c r="I164" s="205"/>
      <c r="J164" s="205" t="s">
        <v>402</v>
      </c>
      <c r="K164" s="205" t="s">
        <v>1059</v>
      </c>
      <c r="L164" s="205" t="s">
        <v>692</v>
      </c>
      <c r="M164" s="192" t="s">
        <v>558</v>
      </c>
      <c r="N164" s="192">
        <v>9</v>
      </c>
      <c r="O164" s="229" t="s">
        <v>921</v>
      </c>
      <c r="P164" s="229" t="s">
        <v>1035</v>
      </c>
      <c r="Q164" s="231" t="str">
        <f t="shared" si="33"/>
        <v>A19. Blower Motor, FRONT FOOTWELL</v>
      </c>
      <c r="R164" s="284" t="str">
        <f>HYPERLINK(VLOOKUP(O164,'3D. Pictures'!$B$3:$E$500,4,FALSE),"PIC")</f>
        <v>PIC</v>
      </c>
      <c r="S164" s="373" t="str">
        <f t="shared" si="36"/>
        <v>E.G.</v>
      </c>
      <c r="T164" s="377" t="str">
        <f>IF(O164&lt;&gt;"",_xlfn.XLOOKUP(O164,'3D. Pictures'!B:B,'3D. Pictures'!E:E,"NOT FOUND",0,1),"")</f>
        <v>https://viking-pictures.s3.us-west-1.amazonaws.com/AA1155/A19.+Blower+Motor%2C+FRONT+FOOTWELL+(1).JPG</v>
      </c>
      <c r="U164" s="192">
        <v>4</v>
      </c>
      <c r="V164" s="205" t="s">
        <v>2158</v>
      </c>
      <c r="W164" s="192" t="s">
        <v>111</v>
      </c>
      <c r="X164" s="205"/>
      <c r="Y164" s="16"/>
      <c r="Z164" s="205"/>
      <c r="AA164" s="205" t="s">
        <v>693</v>
      </c>
      <c r="AB164" s="205" t="s">
        <v>693</v>
      </c>
      <c r="AC164" s="358" t="str">
        <f t="shared" si="35"/>
        <v>w/ resistor, toss both if 1 bad</v>
      </c>
      <c r="AD164" s="205" t="s">
        <v>694</v>
      </c>
      <c r="AE164" s="205"/>
      <c r="AF164" s="201" t="s">
        <v>543</v>
      </c>
      <c r="AG164" s="205"/>
      <c r="AH164" s="16">
        <v>95</v>
      </c>
      <c r="AI164" s="380">
        <f t="shared" si="37"/>
        <v>95</v>
      </c>
      <c r="AJ164" s="204" t="s">
        <v>408</v>
      </c>
      <c r="AK164" s="204" t="s">
        <v>425</v>
      </c>
      <c r="AL164" s="204" t="s">
        <v>2175</v>
      </c>
      <c r="AM164" s="190"/>
      <c r="AN164" s="191" t="s">
        <v>626</v>
      </c>
      <c r="AO164" s="190" t="s">
        <v>572</v>
      </c>
      <c r="AP164" s="190">
        <v>58781</v>
      </c>
      <c r="AQ164" s="190" t="str">
        <f>CONCATENATE(AN164,AO164,AP164)</f>
        <v>615-58781</v>
      </c>
      <c r="AR164" s="190"/>
      <c r="AS164" s="190"/>
      <c r="AT164" s="190"/>
      <c r="AU164" s="190"/>
      <c r="AV164" s="190"/>
      <c r="AW164" s="190"/>
      <c r="AX164" s="279" t="str">
        <f t="shared" si="28"/>
        <v/>
      </c>
    </row>
    <row r="165" spans="1:50" ht="15.75" thickBot="1" x14ac:dyDescent="0.3">
      <c r="A165" s="190" t="str">
        <f t="shared" si="31"/>
        <v/>
      </c>
      <c r="B165" s="279" t="str">
        <f t="shared" si="34"/>
        <v/>
      </c>
      <c r="C165" s="279"/>
      <c r="D165" s="279"/>
      <c r="E165" s="279" t="str">
        <f t="shared" si="32"/>
        <v/>
      </c>
      <c r="F165" t="s">
        <v>535</v>
      </c>
      <c r="G165" s="188">
        <v>44684</v>
      </c>
      <c r="H165" s="156"/>
      <c r="I165" s="170" t="s">
        <v>7</v>
      </c>
      <c r="J165" s="168" t="s">
        <v>402</v>
      </c>
      <c r="K165" s="168" t="s">
        <v>1059</v>
      </c>
      <c r="L165" s="168" t="s">
        <v>2688</v>
      </c>
      <c r="M165" s="16" t="s">
        <v>559</v>
      </c>
      <c r="N165" s="16"/>
      <c r="O165" s="166"/>
      <c r="P165" s="166"/>
      <c r="Q165" s="231" t="str">
        <f t="shared" si="33"/>
        <v>. Center Console Storage Compartment &amp; Lid</v>
      </c>
      <c r="R165" s="231"/>
      <c r="S165" s="231" t="str">
        <f t="shared" si="36"/>
        <v/>
      </c>
      <c r="T165" s="231" t="str">
        <f>IF(O165&lt;&gt;"",_xlfn.XLOOKUP(O165,'3D. Pictures'!B:B,'3D. Pictures'!E:E,"NOT FOUND",0,1),"")</f>
        <v/>
      </c>
      <c r="U165" s="16"/>
      <c r="V165" s="16"/>
      <c r="W165" s="16"/>
      <c r="X165" s="16"/>
      <c r="Y165" s="243"/>
      <c r="Z165" s="16"/>
      <c r="AA165" s="168" t="s">
        <v>2568</v>
      </c>
      <c r="AB165" s="168" t="s">
        <v>2568</v>
      </c>
      <c r="AC165" s="247" t="str">
        <f t="shared" si="35"/>
        <v>keep switches &amp; mats IN</v>
      </c>
      <c r="AD165" s="168" t="s">
        <v>2567</v>
      </c>
      <c r="AE165" s="168"/>
      <c r="AF165" s="168" t="s">
        <v>543</v>
      </c>
      <c r="AG165" s="168"/>
      <c r="AH165" s="168">
        <v>200</v>
      </c>
      <c r="AI165" s="380">
        <f t="shared" si="37"/>
        <v>200</v>
      </c>
      <c r="AJ165" s="3" t="s">
        <v>408</v>
      </c>
      <c r="AK165" s="3" t="s">
        <v>425</v>
      </c>
      <c r="AL165" s="3" t="s">
        <v>2175</v>
      </c>
      <c r="AX165" s="279" t="str">
        <f t="shared" si="28"/>
        <v/>
      </c>
    </row>
    <row r="166" spans="1:50" ht="15.75" thickBot="1" x14ac:dyDescent="0.3">
      <c r="A166" s="190" t="str">
        <f t="shared" si="31"/>
        <v>A36</v>
      </c>
      <c r="B166" s="279" t="str">
        <f t="shared" si="34"/>
        <v/>
      </c>
      <c r="C166" s="279"/>
      <c r="D166" s="279"/>
      <c r="E166" s="279" t="str">
        <f t="shared" si="32"/>
        <v/>
      </c>
      <c r="F166" s="241" t="s">
        <v>535</v>
      </c>
      <c r="G166" s="242">
        <v>45248</v>
      </c>
      <c r="H166" s="265"/>
      <c r="I166" s="249"/>
      <c r="J166" s="179" t="s">
        <v>402</v>
      </c>
      <c r="K166" s="179" t="s">
        <v>1059</v>
      </c>
      <c r="L166" s="179" t="s">
        <v>1380</v>
      </c>
      <c r="M166" s="243" t="s">
        <v>559</v>
      </c>
      <c r="N166" s="243">
        <v>26</v>
      </c>
      <c r="O166" s="244" t="s">
        <v>938</v>
      </c>
      <c r="P166" s="244" t="s">
        <v>1168</v>
      </c>
      <c r="Q166" s="231" t="str">
        <f t="shared" si="33"/>
        <v>A36. Center Console Cell Phone Cradle</v>
      </c>
      <c r="R166" s="284" t="str">
        <f>HYPERLINK(VLOOKUP(O166,'3D. Pictures'!$B$3:$E$500,4,FALSE),"PIC")</f>
        <v>PIC</v>
      </c>
      <c r="S166" s="373" t="str">
        <f t="shared" si="36"/>
        <v>E.G.</v>
      </c>
      <c r="T166" s="377" t="str">
        <f>IF(O166&lt;&gt;"",_xlfn.XLOOKUP(O166,'3D. Pictures'!B:B,'3D. Pictures'!E:E,"NOT FOUND",0,1),"")</f>
        <v>https://viking-pictures.s3.us-west-1.amazonaws.com/AA1155/A36.+Center+Console+Cell+Phone+Cradle+(1).JPG</v>
      </c>
      <c r="U166" s="243">
        <v>4</v>
      </c>
      <c r="V166" s="243" t="s">
        <v>1205</v>
      </c>
      <c r="W166" s="243" t="s">
        <v>111</v>
      </c>
      <c r="X166" s="243"/>
      <c r="Y166" s="243"/>
      <c r="Z166" s="243"/>
      <c r="AA166" s="179" t="s">
        <v>1189</v>
      </c>
      <c r="AB166" s="179" t="s">
        <v>1189</v>
      </c>
      <c r="AC166" s="247" t="str">
        <f t="shared" si="35"/>
        <v/>
      </c>
      <c r="AD166" s="179"/>
      <c r="AE166" s="179"/>
      <c r="AF166" s="179" t="s">
        <v>543</v>
      </c>
      <c r="AG166" s="179"/>
      <c r="AH166" s="168">
        <v>75</v>
      </c>
      <c r="AI166" s="380">
        <f t="shared" si="37"/>
        <v>75</v>
      </c>
      <c r="AJ166" s="246" t="s">
        <v>408</v>
      </c>
      <c r="AK166" s="246" t="s">
        <v>425</v>
      </c>
      <c r="AL166" s="246" t="s">
        <v>2175</v>
      </c>
      <c r="AM166" s="241"/>
      <c r="AN166" s="241"/>
      <c r="AO166" s="241"/>
      <c r="AP166" s="241"/>
      <c r="AQ166" s="241"/>
      <c r="AR166" s="241"/>
      <c r="AS166" s="241" t="s">
        <v>1028</v>
      </c>
      <c r="AT166" s="241" t="s">
        <v>1029</v>
      </c>
      <c r="AU166" s="241" t="s">
        <v>1030</v>
      </c>
      <c r="AV166" s="303" t="str">
        <f t="shared" ref="AV166" si="42">CONCATENATE(AS166,"-",AT166,"-",AU166)</f>
        <v>F15-14-18-ALL</v>
      </c>
      <c r="AW166" s="241" t="s">
        <v>2390</v>
      </c>
      <c r="AX166" s="279" t="str">
        <f t="shared" si="28"/>
        <v>F15-14-18-ALL-Viking24</v>
      </c>
    </row>
    <row r="167" spans="1:50" x14ac:dyDescent="0.25">
      <c r="A167" s="190" t="str">
        <f t="shared" si="31"/>
        <v/>
      </c>
      <c r="B167" s="279" t="str">
        <f t="shared" si="34"/>
        <v>629-61109</v>
      </c>
      <c r="C167" s="279"/>
      <c r="D167" s="279"/>
      <c r="E167" s="279">
        <f t="shared" si="32"/>
        <v>1</v>
      </c>
      <c r="F167" s="190" t="s">
        <v>535</v>
      </c>
      <c r="G167" s="198">
        <v>44684</v>
      </c>
      <c r="H167" s="205"/>
      <c r="I167" s="205"/>
      <c r="J167" s="205" t="s">
        <v>402</v>
      </c>
      <c r="K167" s="205" t="s">
        <v>1059</v>
      </c>
      <c r="L167" s="205" t="s">
        <v>780</v>
      </c>
      <c r="M167" s="192" t="s">
        <v>558</v>
      </c>
      <c r="N167" s="192"/>
      <c r="O167" s="229"/>
      <c r="P167" s="229"/>
      <c r="Q167" s="231" t="str">
        <f t="shared" si="33"/>
        <v>. Combination Switch Assembly</v>
      </c>
      <c r="R167" s="231"/>
      <c r="S167" s="231" t="str">
        <f t="shared" si="36"/>
        <v/>
      </c>
      <c r="T167" s="231" t="str">
        <f>IF(O167&lt;&gt;"",_xlfn.XLOOKUP(O167,'3D. Pictures'!B:B,'3D. Pictures'!E:E,"NOT FOUND",0,1),"")</f>
        <v/>
      </c>
      <c r="U167" s="192"/>
      <c r="V167" s="205"/>
      <c r="W167" s="192"/>
      <c r="X167" s="205"/>
      <c r="Y167" s="243"/>
      <c r="Z167" s="205"/>
      <c r="AA167" s="205" t="s">
        <v>779</v>
      </c>
      <c r="AB167" s="205" t="s">
        <v>779</v>
      </c>
      <c r="AC167" s="358" t="str">
        <f t="shared" si="35"/>
        <v>assembly, but toss steering wheel adjust switch</v>
      </c>
      <c r="AD167" s="205" t="s">
        <v>778</v>
      </c>
      <c r="AE167" s="205"/>
      <c r="AF167" s="201" t="s">
        <v>543</v>
      </c>
      <c r="AG167" s="205"/>
      <c r="AH167" s="363">
        <v>148</v>
      </c>
      <c r="AI167" s="380">
        <f t="shared" si="37"/>
        <v>148</v>
      </c>
      <c r="AJ167" s="204" t="s">
        <v>408</v>
      </c>
      <c r="AK167" s="204" t="s">
        <v>425</v>
      </c>
      <c r="AL167" s="204" t="s">
        <v>2175</v>
      </c>
      <c r="AM167" s="190"/>
      <c r="AN167" s="191" t="s">
        <v>627</v>
      </c>
      <c r="AO167" s="190" t="s">
        <v>572</v>
      </c>
      <c r="AP167" s="190">
        <v>61109</v>
      </c>
      <c r="AQ167" s="190" t="str">
        <f>CONCATENATE(AN167,AO167,AP167)</f>
        <v>629-61109</v>
      </c>
      <c r="AR167" s="190" t="s">
        <v>781</v>
      </c>
      <c r="AS167" s="190"/>
      <c r="AT167" s="190"/>
      <c r="AU167" s="190"/>
      <c r="AV167" s="190"/>
      <c r="AW167" s="190"/>
      <c r="AX167" s="279" t="str">
        <f t="shared" si="28"/>
        <v/>
      </c>
    </row>
    <row r="168" spans="1:50" ht="15.75" thickBot="1" x14ac:dyDescent="0.3">
      <c r="A168" s="190" t="str">
        <f t="shared" si="31"/>
        <v/>
      </c>
      <c r="B168" s="279" t="str">
        <f t="shared" si="34"/>
        <v/>
      </c>
      <c r="C168" s="279"/>
      <c r="D168" s="279"/>
      <c r="E168" s="279" t="str">
        <f t="shared" si="32"/>
        <v/>
      </c>
      <c r="F168" t="s">
        <v>535</v>
      </c>
      <c r="G168" s="188">
        <v>44684</v>
      </c>
      <c r="H168" s="156"/>
      <c r="I168" s="170" t="s">
        <v>7</v>
      </c>
      <c r="J168" s="168" t="s">
        <v>402</v>
      </c>
      <c r="K168" s="168" t="s">
        <v>1059</v>
      </c>
      <c r="L168" s="168" t="s">
        <v>2689</v>
      </c>
      <c r="M168" s="16" t="s">
        <v>559</v>
      </c>
      <c r="N168" s="16"/>
      <c r="O168" s="166"/>
      <c r="P168" s="166"/>
      <c r="Q168" s="231" t="str">
        <f t="shared" si="33"/>
        <v>. Cup Holder, FRONT CENTER CONSOLE</v>
      </c>
      <c r="R168" s="231"/>
      <c r="S168" s="231" t="str">
        <f t="shared" si="36"/>
        <v/>
      </c>
      <c r="T168" s="231" t="str">
        <f>IF(O168&lt;&gt;"",_xlfn.XLOOKUP(O168,'3D. Pictures'!B:B,'3D. Pictures'!E:E,"NOT FOUND",0,1),"")</f>
        <v/>
      </c>
      <c r="U168" s="16"/>
      <c r="V168" s="16"/>
      <c r="W168" s="16"/>
      <c r="X168" s="16"/>
      <c r="Y168" s="16"/>
      <c r="Z168" s="16"/>
      <c r="AA168" s="168" t="s">
        <v>2571</v>
      </c>
      <c r="AB168" s="168" t="s">
        <v>2571</v>
      </c>
      <c r="AC168" s="247" t="str">
        <f t="shared" si="35"/>
        <v>leave all components in | one w/ roll up door</v>
      </c>
      <c r="AD168" s="168" t="s">
        <v>2569</v>
      </c>
      <c r="AE168" s="168" t="s">
        <v>2570</v>
      </c>
      <c r="AF168" s="168" t="s">
        <v>543</v>
      </c>
      <c r="AG168" s="168"/>
      <c r="AH168" s="168">
        <v>128</v>
      </c>
      <c r="AI168" s="380">
        <f t="shared" si="37"/>
        <v>128</v>
      </c>
      <c r="AJ168" s="3" t="s">
        <v>408</v>
      </c>
      <c r="AK168" s="3" t="s">
        <v>425</v>
      </c>
      <c r="AL168" s="3" t="s">
        <v>2175</v>
      </c>
      <c r="AX168" s="279" t="str">
        <f t="shared" si="28"/>
        <v/>
      </c>
    </row>
    <row r="169" spans="1:50" ht="15.75" thickBot="1" x14ac:dyDescent="0.3">
      <c r="A169" s="190" t="str">
        <f t="shared" si="31"/>
        <v>A61</v>
      </c>
      <c r="B169" s="279" t="str">
        <f t="shared" si="34"/>
        <v/>
      </c>
      <c r="C169" s="279"/>
      <c r="D169" s="279"/>
      <c r="E169" s="279" t="str">
        <f t="shared" si="32"/>
        <v/>
      </c>
      <c r="F169" s="241" t="s">
        <v>535</v>
      </c>
      <c r="G169" s="242">
        <v>44683</v>
      </c>
      <c r="H169" s="243"/>
      <c r="I169" s="243"/>
      <c r="J169" s="243" t="s">
        <v>402</v>
      </c>
      <c r="K169" s="243" t="s">
        <v>1059</v>
      </c>
      <c r="L169" s="243" t="s">
        <v>2698</v>
      </c>
      <c r="M169" s="243" t="s">
        <v>559</v>
      </c>
      <c r="N169" s="243">
        <v>51</v>
      </c>
      <c r="O169" s="244" t="s">
        <v>963</v>
      </c>
      <c r="P169" s="244" t="s">
        <v>1204</v>
      </c>
      <c r="Q169" s="231" t="str">
        <f t="shared" si="33"/>
        <v>A61. Dome Light, FRONT PRIMARY ONE</v>
      </c>
      <c r="R169" s="284" t="str">
        <f>HYPERLINK(VLOOKUP(O169,'3D. Pictures'!$B$3:$E$500,4,FALSE),"PIC")</f>
        <v>PIC</v>
      </c>
      <c r="S169" s="373" t="str">
        <f t="shared" si="36"/>
        <v>E.G.</v>
      </c>
      <c r="T169" s="377" t="str">
        <f>IF(O169&lt;&gt;"",_xlfn.XLOOKUP(O169,'3D. Pictures'!B:B,'3D. Pictures'!E:E,"NOT FOUND",0,1),"")</f>
        <v>https://viking-pictures.s3.us-west-1.amazonaws.com/AA1155/A61.+Dome+Light%2C+FRONT+PRIMARY+ONE+(1).JPG</v>
      </c>
      <c r="U169" s="243">
        <v>5</v>
      </c>
      <c r="V169" s="243">
        <v>9319967</v>
      </c>
      <c r="W169" s="243" t="s">
        <v>111</v>
      </c>
      <c r="X169" s="243"/>
      <c r="Y169" s="16"/>
      <c r="Z169" s="243"/>
      <c r="AA169" s="243" t="s">
        <v>1241</v>
      </c>
      <c r="AB169" s="243" t="s">
        <v>1241</v>
      </c>
      <c r="AC169" s="358" t="str">
        <f t="shared" si="35"/>
        <v/>
      </c>
      <c r="AD169" s="243"/>
      <c r="AE169" s="243"/>
      <c r="AF169" s="179" t="s">
        <v>543</v>
      </c>
      <c r="AG169" s="243"/>
      <c r="AH169" s="16">
        <v>150</v>
      </c>
      <c r="AI169" s="380">
        <f t="shared" si="37"/>
        <v>150</v>
      </c>
      <c r="AJ169" s="246" t="s">
        <v>408</v>
      </c>
      <c r="AK169" s="246" t="s">
        <v>425</v>
      </c>
      <c r="AL169" s="246" t="s">
        <v>2175</v>
      </c>
      <c r="AM169" s="241"/>
      <c r="AN169" s="241"/>
      <c r="AO169" s="241"/>
      <c r="AP169" s="241"/>
      <c r="AQ169" s="241"/>
      <c r="AR169" s="241"/>
      <c r="AS169" s="241" t="s">
        <v>1028</v>
      </c>
      <c r="AT169" s="241" t="s">
        <v>1029</v>
      </c>
      <c r="AU169" s="241" t="s">
        <v>1030</v>
      </c>
      <c r="AV169" s="303" t="str">
        <f t="shared" ref="AV169" si="43">CONCATENATE(AS169,"-",AT169,"-",AU169)</f>
        <v>F15-14-18-ALL</v>
      </c>
      <c r="AW169" s="241" t="s">
        <v>2391</v>
      </c>
      <c r="AX169" s="279" t="str">
        <f t="shared" si="28"/>
        <v>F15-14-18-ALL-Viking25</v>
      </c>
    </row>
    <row r="170" spans="1:50" ht="15.75" thickBot="1" x14ac:dyDescent="0.3">
      <c r="A170" s="190" t="str">
        <f t="shared" si="31"/>
        <v/>
      </c>
      <c r="B170" s="279" t="str">
        <f t="shared" si="34"/>
        <v>242-999155</v>
      </c>
      <c r="C170" s="279"/>
      <c r="D170" s="279"/>
      <c r="E170" s="279">
        <f t="shared" si="32"/>
        <v>1</v>
      </c>
      <c r="F170" s="190" t="s">
        <v>535</v>
      </c>
      <c r="G170" s="198">
        <v>44684</v>
      </c>
      <c r="H170" s="205"/>
      <c r="I170" s="205" t="s">
        <v>7</v>
      </c>
      <c r="J170" s="205" t="s">
        <v>402</v>
      </c>
      <c r="K170" s="205" t="s">
        <v>1059</v>
      </c>
      <c r="L170" s="205" t="s">
        <v>1361</v>
      </c>
      <c r="M170" s="212" t="s">
        <v>560</v>
      </c>
      <c r="N170" s="212"/>
      <c r="O170" s="236"/>
      <c r="P170" s="236"/>
      <c r="Q170" s="231" t="str">
        <f t="shared" si="33"/>
        <v>. Shifter</v>
      </c>
      <c r="R170" s="206"/>
      <c r="S170" s="206" t="str">
        <f t="shared" si="36"/>
        <v/>
      </c>
      <c r="T170" s="206" t="str">
        <f>IF(O170&lt;&gt;"",_xlfn.XLOOKUP(O170,'3D. Pictures'!B:B,'3D. Pictures'!E:E,"NOT FOUND",0,1),"")</f>
        <v/>
      </c>
      <c r="U170" s="212"/>
      <c r="V170" s="205"/>
      <c r="W170" s="212"/>
      <c r="X170" s="205"/>
      <c r="Y170" s="16"/>
      <c r="Z170" s="205"/>
      <c r="AA170" s="205" t="s">
        <v>1361</v>
      </c>
      <c r="AB170" s="205" t="s">
        <v>1361</v>
      </c>
      <c r="AC170" s="358" t="str">
        <f t="shared" si="35"/>
        <v>w/ parking switch &amp; trim (they are worthless solo)</v>
      </c>
      <c r="AD170" s="205" t="s">
        <v>1362</v>
      </c>
      <c r="AE170" s="205"/>
      <c r="AF170" s="201" t="s">
        <v>543</v>
      </c>
      <c r="AG170" s="205"/>
      <c r="AH170" s="363">
        <v>275</v>
      </c>
      <c r="AI170" s="380">
        <f t="shared" si="37"/>
        <v>275</v>
      </c>
      <c r="AJ170" s="204" t="s">
        <v>408</v>
      </c>
      <c r="AK170" s="204" t="s">
        <v>425</v>
      </c>
      <c r="AL170" s="204" t="s">
        <v>2175</v>
      </c>
      <c r="AM170" s="190"/>
      <c r="AN170" s="191">
        <v>242</v>
      </c>
      <c r="AO170" s="190" t="s">
        <v>572</v>
      </c>
      <c r="AP170" s="190">
        <v>999155</v>
      </c>
      <c r="AQ170" s="190" t="str">
        <f>CONCATENATE(AN170,AO170,AP170)</f>
        <v>242-999155</v>
      </c>
      <c r="AR170" s="190" t="s">
        <v>1359</v>
      </c>
      <c r="AS170" s="190"/>
      <c r="AT170" s="190"/>
      <c r="AU170" s="190"/>
      <c r="AV170" s="190"/>
      <c r="AW170" s="190"/>
      <c r="AX170" s="279" t="str">
        <f t="shared" si="28"/>
        <v/>
      </c>
    </row>
    <row r="171" spans="1:50" ht="15.75" thickBot="1" x14ac:dyDescent="0.3">
      <c r="A171" s="190" t="str">
        <f t="shared" si="31"/>
        <v>A85</v>
      </c>
      <c r="B171" s="279" t="str">
        <f t="shared" si="34"/>
        <v/>
      </c>
      <c r="C171" s="279"/>
      <c r="D171" s="279"/>
      <c r="E171" s="279" t="str">
        <f t="shared" si="32"/>
        <v/>
      </c>
      <c r="F171" s="241" t="s">
        <v>535</v>
      </c>
      <c r="G171" s="242">
        <v>44684</v>
      </c>
      <c r="H171" s="243"/>
      <c r="I171" s="243" t="s">
        <v>7</v>
      </c>
      <c r="J171" s="243" t="s">
        <v>402</v>
      </c>
      <c r="K171" s="243" t="s">
        <v>1059</v>
      </c>
      <c r="L171" s="243" t="s">
        <v>1292</v>
      </c>
      <c r="M171" s="262" t="s">
        <v>560</v>
      </c>
      <c r="N171" s="262">
        <v>75</v>
      </c>
      <c r="O171" s="268" t="s">
        <v>987</v>
      </c>
      <c r="P171" s="268" t="s">
        <v>1280</v>
      </c>
      <c r="Q171" s="231" t="str">
        <f t="shared" si="33"/>
        <v>A85. Glove Box Assembly WITH Handle, FRONT RIGHT PRIMARY</v>
      </c>
      <c r="R171" s="284" t="str">
        <f>HYPERLINK(VLOOKUP(O171,'3D. Pictures'!$B$3:$E$500,4,FALSE),"PIC")</f>
        <v>PIC</v>
      </c>
      <c r="S171" s="373" t="str">
        <f t="shared" si="36"/>
        <v>E.G.</v>
      </c>
      <c r="T171" s="377" t="str">
        <f>IF(O171&lt;&gt;"",_xlfn.XLOOKUP(O171,'3D. Pictures'!B:B,'3D. Pictures'!E:E,"NOT FOUND",0,1),"")</f>
        <v>https://viking-pictures.s3.us-west-1.amazonaws.com/AA1155/A85.+Glove+Box+Assembly+WITH+Handle%2C+FRONT+RIGHT+PRIMARY+(1).JPG</v>
      </c>
      <c r="U171" s="262">
        <v>5</v>
      </c>
      <c r="V171" s="243" t="s">
        <v>1295</v>
      </c>
      <c r="W171" s="262" t="s">
        <v>111</v>
      </c>
      <c r="X171" s="243"/>
      <c r="Y171" s="16"/>
      <c r="Z171" s="192" t="s">
        <v>2078</v>
      </c>
      <c r="AA171" s="243" t="s">
        <v>1293</v>
      </c>
      <c r="AB171" s="243" t="s">
        <v>1293</v>
      </c>
      <c r="AC171" s="358" t="str">
        <f t="shared" si="35"/>
        <v>toss the left dash smaller one</v>
      </c>
      <c r="AD171" s="243" t="s">
        <v>1294</v>
      </c>
      <c r="AE171" s="243"/>
      <c r="AF171" s="179" t="s">
        <v>543</v>
      </c>
      <c r="AG171" s="243"/>
      <c r="AH171" s="16">
        <v>195</v>
      </c>
      <c r="AI171" s="380">
        <f t="shared" si="37"/>
        <v>195</v>
      </c>
      <c r="AJ171" s="246" t="s">
        <v>408</v>
      </c>
      <c r="AK171" s="246" t="s">
        <v>425</v>
      </c>
      <c r="AL171" s="246" t="s">
        <v>2175</v>
      </c>
      <c r="AM171" s="241"/>
      <c r="AN171" s="251"/>
      <c r="AO171" s="241" t="s">
        <v>572</v>
      </c>
      <c r="AP171" s="241"/>
      <c r="AQ171" s="241"/>
      <c r="AR171" s="241"/>
      <c r="AS171" s="241" t="s">
        <v>1028</v>
      </c>
      <c r="AT171" s="241" t="s">
        <v>1029</v>
      </c>
      <c r="AU171" s="241" t="s">
        <v>1030</v>
      </c>
      <c r="AV171" s="303" t="str">
        <f t="shared" ref="AV171" si="44">CONCATENATE(AS171,"-",AT171,"-",AU171)</f>
        <v>F15-14-18-ALL</v>
      </c>
      <c r="AW171" s="241" t="s">
        <v>2392</v>
      </c>
      <c r="AX171" s="279" t="str">
        <f t="shared" si="28"/>
        <v>F15-14-18-ALL-Viking26</v>
      </c>
    </row>
    <row r="172" spans="1:50" x14ac:dyDescent="0.25">
      <c r="A172" s="190" t="str">
        <f t="shared" si="31"/>
        <v/>
      </c>
      <c r="B172" s="279" t="str">
        <f t="shared" si="34"/>
        <v>596-892</v>
      </c>
      <c r="C172" s="279"/>
      <c r="D172" s="279"/>
      <c r="E172" s="279">
        <f t="shared" si="32"/>
        <v>1</v>
      </c>
      <c r="F172" s="190" t="s">
        <v>536</v>
      </c>
      <c r="G172" s="198">
        <v>44811</v>
      </c>
      <c r="H172" s="205"/>
      <c r="I172" s="205"/>
      <c r="J172" s="205" t="s">
        <v>402</v>
      </c>
      <c r="K172" s="205" t="s">
        <v>1059</v>
      </c>
      <c r="L172" s="205" t="s">
        <v>2690</v>
      </c>
      <c r="M172" s="192" t="s">
        <v>558</v>
      </c>
      <c r="N172" s="192"/>
      <c r="O172" s="229"/>
      <c r="P172" s="229"/>
      <c r="Q172" s="231" t="str">
        <f t="shared" si="33"/>
        <v>. Head Up Display Projector</v>
      </c>
      <c r="R172" s="231"/>
      <c r="S172" s="231" t="str">
        <f t="shared" si="36"/>
        <v/>
      </c>
      <c r="T172" s="231" t="str">
        <f>IF(O172&lt;&gt;"",_xlfn.XLOOKUP(O172,'3D. Pictures'!B:B,'3D. Pictures'!E:E,"NOT FOUND",0,1),"")</f>
        <v/>
      </c>
      <c r="U172" s="192"/>
      <c r="V172" s="205"/>
      <c r="W172" s="192"/>
      <c r="X172" s="205"/>
      <c r="Y172" s="16"/>
      <c r="Z172" s="205"/>
      <c r="AA172" s="205" t="s">
        <v>2690</v>
      </c>
      <c r="AB172" s="205" t="s">
        <v>2690</v>
      </c>
      <c r="AC172" s="358" t="str">
        <f t="shared" si="35"/>
        <v>remove trim sell separately</v>
      </c>
      <c r="AD172" s="205" t="s">
        <v>2793</v>
      </c>
      <c r="AE172" s="205"/>
      <c r="AF172" s="201" t="s">
        <v>543</v>
      </c>
      <c r="AG172" s="216"/>
      <c r="AH172" s="363">
        <v>195</v>
      </c>
      <c r="AI172" s="380">
        <f t="shared" si="37"/>
        <v>195</v>
      </c>
      <c r="AJ172" s="204" t="s">
        <v>408</v>
      </c>
      <c r="AK172" s="204" t="s">
        <v>425</v>
      </c>
      <c r="AL172" s="204" t="s">
        <v>2175</v>
      </c>
      <c r="AM172" s="190"/>
      <c r="AN172" s="191" t="s">
        <v>628</v>
      </c>
      <c r="AO172" s="190" t="s">
        <v>572</v>
      </c>
      <c r="AP172" s="190">
        <v>892</v>
      </c>
      <c r="AQ172" s="190" t="str">
        <f>CONCATENATE(AN172,AO172,AP172)</f>
        <v>596-892</v>
      </c>
      <c r="AR172" s="190"/>
      <c r="AS172" s="190"/>
      <c r="AT172" s="190"/>
      <c r="AU172" s="190"/>
      <c r="AV172" s="190"/>
      <c r="AW172" s="190"/>
      <c r="AX172" s="279" t="str">
        <f t="shared" si="28"/>
        <v/>
      </c>
    </row>
    <row r="173" spans="1:50" ht="15.75" thickBot="1" x14ac:dyDescent="0.3">
      <c r="A173" s="190" t="str">
        <f t="shared" si="31"/>
        <v/>
      </c>
      <c r="B173" s="279" t="str">
        <f t="shared" si="34"/>
        <v/>
      </c>
      <c r="C173" s="279"/>
      <c r="D173" s="279"/>
      <c r="E173" s="279" t="str">
        <f t="shared" si="32"/>
        <v/>
      </c>
      <c r="F173" t="s">
        <v>536</v>
      </c>
      <c r="G173" s="188">
        <v>44811</v>
      </c>
      <c r="H173" s="16"/>
      <c r="I173" s="16"/>
      <c r="J173" s="16" t="s">
        <v>402</v>
      </c>
      <c r="K173" s="16" t="s">
        <v>1059</v>
      </c>
      <c r="L173" s="16" t="s">
        <v>2697</v>
      </c>
      <c r="M173" s="16" t="s">
        <v>559</v>
      </c>
      <c r="N173" s="16"/>
      <c r="O173" s="166"/>
      <c r="P173" s="166"/>
      <c r="Q173" s="231" t="str">
        <f t="shared" si="33"/>
        <v>. Head Up Display Screen Projector Trim</v>
      </c>
      <c r="R173" s="231"/>
      <c r="S173" s="231" t="str">
        <f t="shared" si="36"/>
        <v/>
      </c>
      <c r="T173" s="231" t="str">
        <f>IF(O173&lt;&gt;"",_xlfn.XLOOKUP(O173,'3D. Pictures'!B:B,'3D. Pictures'!E:E,"NOT FOUND",0,1),"")</f>
        <v/>
      </c>
      <c r="U173" s="16"/>
      <c r="V173" s="16"/>
      <c r="W173" s="16"/>
      <c r="X173" s="16"/>
      <c r="Y173" s="16"/>
      <c r="Z173" s="16"/>
      <c r="AA173" s="16" t="s">
        <v>491</v>
      </c>
      <c r="AB173" s="16" t="s">
        <v>491</v>
      </c>
      <c r="AC173" s="358" t="str">
        <f t="shared" si="35"/>
        <v/>
      </c>
      <c r="AD173" s="16"/>
      <c r="AE173" s="16"/>
      <c r="AF173" s="168" t="s">
        <v>543</v>
      </c>
      <c r="AG173" s="162"/>
      <c r="AH173" s="363">
        <v>50</v>
      </c>
      <c r="AI173" s="380">
        <f t="shared" si="37"/>
        <v>50</v>
      </c>
      <c r="AJ173" s="3" t="s">
        <v>408</v>
      </c>
      <c r="AK173" s="3" t="s">
        <v>425</v>
      </c>
      <c r="AL173" s="3" t="s">
        <v>2175</v>
      </c>
      <c r="AX173" s="279" t="str">
        <f t="shared" si="28"/>
        <v/>
      </c>
    </row>
    <row r="174" spans="1:50" ht="15.75" thickBot="1" x14ac:dyDescent="0.3">
      <c r="A174" s="190" t="str">
        <f t="shared" si="31"/>
        <v>A67</v>
      </c>
      <c r="B174" s="279" t="str">
        <f t="shared" si="34"/>
        <v/>
      </c>
      <c r="C174" s="279"/>
      <c r="D174" s="279"/>
      <c r="E174" s="279" t="str">
        <f t="shared" si="32"/>
        <v/>
      </c>
      <c r="F174" s="241" t="s">
        <v>535</v>
      </c>
      <c r="G174" s="242">
        <v>44684</v>
      </c>
      <c r="H174" s="243"/>
      <c r="I174" s="243"/>
      <c r="J174" s="243" t="s">
        <v>402</v>
      </c>
      <c r="K174" s="243" t="s">
        <v>1059</v>
      </c>
      <c r="L174" s="243" t="s">
        <v>1210</v>
      </c>
      <c r="M174" s="262" t="s">
        <v>563</v>
      </c>
      <c r="N174" s="262">
        <v>57</v>
      </c>
      <c r="O174" s="268" t="s">
        <v>969</v>
      </c>
      <c r="P174" s="269" t="s">
        <v>1204</v>
      </c>
      <c r="Q174" s="231" t="str">
        <f t="shared" si="33"/>
        <v>A67. Headlight Switch</v>
      </c>
      <c r="R174" s="284" t="str">
        <f>HYPERLINK(VLOOKUP(O174,'3D. Pictures'!$B$3:$E$500,4,FALSE),"PIC")</f>
        <v>PIC</v>
      </c>
      <c r="S174" s="373" t="str">
        <f t="shared" si="36"/>
        <v>E.G.</v>
      </c>
      <c r="T174" s="377" t="str">
        <f>IF(O174&lt;&gt;"",_xlfn.XLOOKUP(O174,'3D. Pictures'!B:B,'3D. Pictures'!E:E,"NOT FOUND",0,1),"")</f>
        <v>https://viking-pictures.s3.us-west-1.amazonaws.com/AA1155/A67.+Headlight+Switch+(1).JPG</v>
      </c>
      <c r="U174" s="262">
        <v>4</v>
      </c>
      <c r="V174" s="243">
        <v>9311721</v>
      </c>
      <c r="W174" s="262" t="s">
        <v>112</v>
      </c>
      <c r="X174" s="243"/>
      <c r="Y174" s="16"/>
      <c r="Z174" s="243"/>
      <c r="AA174" s="243" t="s">
        <v>445</v>
      </c>
      <c r="AB174" s="243" t="s">
        <v>445</v>
      </c>
      <c r="AC174" s="358" t="str">
        <f t="shared" si="35"/>
        <v/>
      </c>
      <c r="AD174" s="243"/>
      <c r="AE174" s="243"/>
      <c r="AF174" s="179" t="s">
        <v>543</v>
      </c>
      <c r="AG174" s="243"/>
      <c r="AH174" s="16">
        <v>48</v>
      </c>
      <c r="AI174" s="380">
        <f t="shared" si="37"/>
        <v>48</v>
      </c>
      <c r="AJ174" s="246" t="s">
        <v>408</v>
      </c>
      <c r="AK174" s="246" t="s">
        <v>425</v>
      </c>
      <c r="AL174" s="246" t="s">
        <v>2175</v>
      </c>
      <c r="AM174" s="241"/>
      <c r="AN174" s="251"/>
      <c r="AO174" s="241" t="s">
        <v>572</v>
      </c>
      <c r="AP174" s="241"/>
      <c r="AQ174" s="241"/>
      <c r="AR174" s="241"/>
      <c r="AS174" s="241" t="s">
        <v>1028</v>
      </c>
      <c r="AT174" s="241" t="s">
        <v>1029</v>
      </c>
      <c r="AU174" s="241" t="s">
        <v>1030</v>
      </c>
      <c r="AV174" s="303" t="str">
        <f t="shared" ref="AV174:AV175" si="45">CONCATENATE(AS174,"-",AT174,"-",AU174)</f>
        <v>F15-14-18-ALL</v>
      </c>
      <c r="AW174" s="241" t="s">
        <v>2393</v>
      </c>
      <c r="AX174" s="279" t="str">
        <f t="shared" si="28"/>
        <v>F15-14-18-ALL-Viking27</v>
      </c>
    </row>
    <row r="175" spans="1:50" x14ac:dyDescent="0.25">
      <c r="A175" s="190" t="str">
        <f t="shared" si="31"/>
        <v/>
      </c>
      <c r="B175" s="279" t="str">
        <f t="shared" si="34"/>
        <v/>
      </c>
      <c r="C175" s="279"/>
      <c r="D175" s="279"/>
      <c r="E175" s="279" t="str">
        <f t="shared" si="32"/>
        <v/>
      </c>
      <c r="F175" s="241" t="s">
        <v>535</v>
      </c>
      <c r="G175" s="242">
        <v>44684</v>
      </c>
      <c r="H175" s="243"/>
      <c r="I175" s="243"/>
      <c r="J175" s="243" t="s">
        <v>402</v>
      </c>
      <c r="K175" s="243" t="s">
        <v>1059</v>
      </c>
      <c r="L175" s="243" t="s">
        <v>1210</v>
      </c>
      <c r="M175" s="262" t="s">
        <v>562</v>
      </c>
      <c r="N175" s="262"/>
      <c r="O175" s="268"/>
      <c r="P175" s="268"/>
      <c r="Q175" s="231" t="str">
        <f t="shared" si="33"/>
        <v>. I-Drive Navigation Radio Control Knob</v>
      </c>
      <c r="R175" s="244"/>
      <c r="S175" s="244" t="str">
        <f t="shared" si="36"/>
        <v/>
      </c>
      <c r="T175" s="244" t="str">
        <f>IF(O175&lt;&gt;"",_xlfn.XLOOKUP(O175,'3D. Pictures'!B:B,'3D. Pictures'!E:E,"NOT FOUND",0,1),"")</f>
        <v/>
      </c>
      <c r="U175" s="262"/>
      <c r="V175" s="243"/>
      <c r="W175" s="262"/>
      <c r="X175" s="243"/>
      <c r="Y175" s="243"/>
      <c r="Z175" s="243"/>
      <c r="AA175" s="243" t="s">
        <v>1253</v>
      </c>
      <c r="AB175" s="243" t="s">
        <v>1253</v>
      </c>
      <c r="AC175" s="358" t="str">
        <f t="shared" si="35"/>
        <v>sell trim &amp; traction panel solo</v>
      </c>
      <c r="AD175" s="243" t="s">
        <v>1250</v>
      </c>
      <c r="AE175" s="243"/>
      <c r="AF175" s="179" t="s">
        <v>543</v>
      </c>
      <c r="AG175" s="243"/>
      <c r="AH175" s="363">
        <v>300</v>
      </c>
      <c r="AI175" s="380">
        <f t="shared" si="37"/>
        <v>300</v>
      </c>
      <c r="AJ175" s="246" t="s">
        <v>408</v>
      </c>
      <c r="AK175" s="246" t="s">
        <v>425</v>
      </c>
      <c r="AL175" s="246" t="s">
        <v>2175</v>
      </c>
      <c r="AM175" s="241"/>
      <c r="AN175" s="251"/>
      <c r="AO175" s="241" t="s">
        <v>572</v>
      </c>
      <c r="AP175" s="241"/>
      <c r="AQ175" s="241"/>
      <c r="AR175" s="241" t="s">
        <v>1251</v>
      </c>
      <c r="AS175" s="241" t="s">
        <v>1028</v>
      </c>
      <c r="AT175" s="241" t="s">
        <v>1029</v>
      </c>
      <c r="AU175" s="241" t="s">
        <v>1030</v>
      </c>
      <c r="AV175" s="303" t="str">
        <f t="shared" si="45"/>
        <v>F15-14-18-ALL</v>
      </c>
      <c r="AW175" s="241" t="s">
        <v>2394</v>
      </c>
      <c r="AX175" s="279" t="str">
        <f t="shared" si="28"/>
        <v>F15-14-18-ALL-Viking28</v>
      </c>
    </row>
    <row r="176" spans="1:50" x14ac:dyDescent="0.25">
      <c r="A176" s="190" t="str">
        <f t="shared" si="31"/>
        <v/>
      </c>
      <c r="B176" s="279" t="str">
        <f t="shared" si="34"/>
        <v/>
      </c>
      <c r="C176" s="279"/>
      <c r="D176" s="279"/>
      <c r="E176" s="279" t="str">
        <f t="shared" si="32"/>
        <v/>
      </c>
      <c r="F176" t="s">
        <v>535</v>
      </c>
      <c r="G176" s="188">
        <v>44684</v>
      </c>
      <c r="H176" s="16"/>
      <c r="I176" s="16"/>
      <c r="J176" s="16" t="s">
        <v>402</v>
      </c>
      <c r="K176" s="16" t="s">
        <v>1059</v>
      </c>
      <c r="L176" s="16" t="s">
        <v>2691</v>
      </c>
      <c r="M176" s="16" t="s">
        <v>559</v>
      </c>
      <c r="N176" s="16"/>
      <c r="O176" s="166"/>
      <c r="P176" s="166"/>
      <c r="Q176" s="231" t="str">
        <f t="shared" si="33"/>
        <v>. I-Drive Navigation / Radio Control Knob &amp; Switch Panel TRIM</v>
      </c>
      <c r="R176" s="231"/>
      <c r="S176" s="231" t="str">
        <f t="shared" si="36"/>
        <v/>
      </c>
      <c r="T176" s="231" t="str">
        <f>IF(O176&lt;&gt;"",_xlfn.XLOOKUP(O176,'3D. Pictures'!B:B,'3D. Pictures'!E:E,"NOT FOUND",0,1),"")</f>
        <v/>
      </c>
      <c r="U176" s="16"/>
      <c r="V176" s="16"/>
      <c r="W176" s="16"/>
      <c r="X176" s="16"/>
      <c r="Y176" s="16"/>
      <c r="Z176" s="16"/>
      <c r="AA176" s="16" t="s">
        <v>2573</v>
      </c>
      <c r="AB176" s="16" t="s">
        <v>2573</v>
      </c>
      <c r="AC176" s="358" t="str">
        <f t="shared" si="35"/>
        <v>sell knob &amp; traction control switch panel each solo</v>
      </c>
      <c r="AD176" s="16" t="s">
        <v>2572</v>
      </c>
      <c r="AE176" s="16"/>
      <c r="AF176" s="168" t="s">
        <v>543</v>
      </c>
      <c r="AG176" s="16"/>
      <c r="AH176" s="363">
        <v>80</v>
      </c>
      <c r="AI176" s="380">
        <f t="shared" si="37"/>
        <v>80</v>
      </c>
      <c r="AJ176" s="3" t="s">
        <v>408</v>
      </c>
      <c r="AK176" s="3" t="s">
        <v>425</v>
      </c>
      <c r="AL176" s="3" t="s">
        <v>2175</v>
      </c>
      <c r="AX176" s="279" t="str">
        <f t="shared" si="28"/>
        <v/>
      </c>
    </row>
    <row r="177" spans="1:50" ht="15.75" thickBot="1" x14ac:dyDescent="0.3">
      <c r="A177" s="190" t="str">
        <f t="shared" si="31"/>
        <v/>
      </c>
      <c r="B177" s="279" t="str">
        <f t="shared" si="34"/>
        <v>267-51530</v>
      </c>
      <c r="C177" s="279"/>
      <c r="D177" s="279"/>
      <c r="E177" s="279">
        <f t="shared" si="32"/>
        <v>1</v>
      </c>
      <c r="F177" s="190" t="s">
        <v>535</v>
      </c>
      <c r="G177" s="198">
        <v>44684</v>
      </c>
      <c r="H177" s="205"/>
      <c r="I177" s="205"/>
      <c r="J177" s="205" t="s">
        <v>402</v>
      </c>
      <c r="K177" s="205" t="s">
        <v>1059</v>
      </c>
      <c r="L177" s="205" t="s">
        <v>785</v>
      </c>
      <c r="M177" s="192" t="s">
        <v>558</v>
      </c>
      <c r="N177" s="192"/>
      <c r="O177" s="229"/>
      <c r="P177" s="229"/>
      <c r="Q177" s="231" t="str">
        <f t="shared" si="33"/>
        <v>. Mirror, REARVIEW</v>
      </c>
      <c r="R177" s="231"/>
      <c r="S177" s="231" t="str">
        <f t="shared" si="36"/>
        <v/>
      </c>
      <c r="T177" s="231" t="str">
        <f>IF(O177&lt;&gt;"",_xlfn.XLOOKUP(O177,'3D. Pictures'!B:B,'3D. Pictures'!E:E,"NOT FOUND",0,1),"")</f>
        <v/>
      </c>
      <c r="U177" s="192"/>
      <c r="V177" s="205"/>
      <c r="W177" s="192"/>
      <c r="X177" s="205"/>
      <c r="Y177" s="201"/>
      <c r="Z177" s="192" t="s">
        <v>2077</v>
      </c>
      <c r="AA177" s="205" t="s">
        <v>785</v>
      </c>
      <c r="AB177" s="205" t="s">
        <v>785</v>
      </c>
      <c r="AC177" s="358" t="str">
        <f t="shared" si="35"/>
        <v/>
      </c>
      <c r="AD177" s="205"/>
      <c r="AE177" s="205"/>
      <c r="AF177" s="201" t="s">
        <v>543</v>
      </c>
      <c r="AG177" s="205"/>
      <c r="AH177" s="16">
        <v>68</v>
      </c>
      <c r="AI177" s="380">
        <f t="shared" si="37"/>
        <v>68</v>
      </c>
      <c r="AJ177" s="204" t="s">
        <v>408</v>
      </c>
      <c r="AK177" s="204" t="s">
        <v>425</v>
      </c>
      <c r="AL177" s="204" t="s">
        <v>2175</v>
      </c>
      <c r="AM177" s="190"/>
      <c r="AN177" s="191" t="s">
        <v>629</v>
      </c>
      <c r="AO177" s="190" t="s">
        <v>572</v>
      </c>
      <c r="AP177" s="190">
        <v>51530</v>
      </c>
      <c r="AQ177" s="190" t="str">
        <f t="shared" ref="AQ177:AQ178" si="46">CONCATENATE(AN177,AO177,AP177)</f>
        <v>267-51530</v>
      </c>
      <c r="AR177" s="190" t="s">
        <v>786</v>
      </c>
      <c r="AS177" s="190"/>
      <c r="AT177" s="190"/>
      <c r="AU177" s="190"/>
      <c r="AV177" s="190"/>
      <c r="AW177" s="190"/>
      <c r="AX177" s="279" t="str">
        <f t="shared" si="28"/>
        <v/>
      </c>
    </row>
    <row r="178" spans="1:50" ht="15.75" customHeight="1" thickBot="1" x14ac:dyDescent="0.3">
      <c r="A178" s="190" t="str">
        <f t="shared" si="31"/>
        <v>A48</v>
      </c>
      <c r="B178" s="279" t="str">
        <f t="shared" si="34"/>
        <v>594-1775</v>
      </c>
      <c r="C178" s="279"/>
      <c r="D178" s="279"/>
      <c r="E178" s="279">
        <f t="shared" si="32"/>
        <v>1</v>
      </c>
      <c r="F178" s="190" t="s">
        <v>535</v>
      </c>
      <c r="G178" s="198">
        <v>44684</v>
      </c>
      <c r="H178" s="205"/>
      <c r="I178" s="205"/>
      <c r="J178" s="205" t="s">
        <v>402</v>
      </c>
      <c r="K178" s="205" t="s">
        <v>1059</v>
      </c>
      <c r="L178" s="205" t="s">
        <v>444</v>
      </c>
      <c r="M178" s="192" t="s">
        <v>558</v>
      </c>
      <c r="N178" s="192">
        <v>38</v>
      </c>
      <c r="O178" s="229" t="s">
        <v>950</v>
      </c>
      <c r="P178" s="229" t="s">
        <v>1204</v>
      </c>
      <c r="Q178" s="231" t="str">
        <f t="shared" si="33"/>
        <v>A48. Navigation Display Screen</v>
      </c>
      <c r="R178" s="284" t="str">
        <f>HYPERLINK(VLOOKUP(O178,'3D. Pictures'!$B$3:$E$500,4,FALSE),"PIC")</f>
        <v>PIC</v>
      </c>
      <c r="S178" s="373" t="str">
        <f t="shared" si="36"/>
        <v>E.G.</v>
      </c>
      <c r="T178" s="377" t="str">
        <f>IF(O178&lt;&gt;"",_xlfn.XLOOKUP(O178,'3D. Pictures'!B:B,'3D. Pictures'!E:E,"NOT FOUND",0,1),"")</f>
        <v>https://viking-pictures.s3.us-west-1.amazonaws.com/AA1155/A48.+Navigation+Display+Screen+(1).JPG</v>
      </c>
      <c r="U178" s="192">
        <v>5</v>
      </c>
      <c r="V178" s="205" t="s">
        <v>1214</v>
      </c>
      <c r="W178" s="192" t="s">
        <v>112</v>
      </c>
      <c r="X178" s="205"/>
      <c r="Y178" s="168"/>
      <c r="Z178" s="205"/>
      <c r="AA178" s="205" t="s">
        <v>444</v>
      </c>
      <c r="AB178" s="205" t="s">
        <v>444</v>
      </c>
      <c r="AC178" s="358" t="str">
        <f t="shared" si="35"/>
        <v/>
      </c>
      <c r="AD178" s="205"/>
      <c r="AE178" s="205"/>
      <c r="AF178" s="201" t="s">
        <v>543</v>
      </c>
      <c r="AG178" s="205"/>
      <c r="AH178" s="363">
        <v>495</v>
      </c>
      <c r="AI178" s="380">
        <f t="shared" si="37"/>
        <v>495</v>
      </c>
      <c r="AJ178" s="204" t="s">
        <v>408</v>
      </c>
      <c r="AK178" s="204" t="s">
        <v>425</v>
      </c>
      <c r="AL178" s="204" t="s">
        <v>2175</v>
      </c>
      <c r="AM178" s="190"/>
      <c r="AN178" s="191" t="s">
        <v>630</v>
      </c>
      <c r="AO178" s="190" t="s">
        <v>572</v>
      </c>
      <c r="AP178" s="190">
        <v>1775</v>
      </c>
      <c r="AQ178" s="190" t="str">
        <f t="shared" si="46"/>
        <v>594-1775</v>
      </c>
      <c r="AR178" s="190" t="s">
        <v>790</v>
      </c>
      <c r="AS178" s="190"/>
      <c r="AT178" s="190"/>
      <c r="AU178" s="190"/>
      <c r="AV178" s="190"/>
      <c r="AW178" s="190"/>
      <c r="AX178" s="279" t="str">
        <f t="shared" si="28"/>
        <v/>
      </c>
    </row>
    <row r="179" spans="1:50" x14ac:dyDescent="0.25">
      <c r="A179" s="190" t="str">
        <f t="shared" si="31"/>
        <v/>
      </c>
      <c r="B179" s="279" t="str">
        <f t="shared" si="34"/>
        <v/>
      </c>
      <c r="C179" s="279"/>
      <c r="D179" s="279"/>
      <c r="E179" s="279" t="str">
        <f t="shared" si="32"/>
        <v/>
      </c>
      <c r="F179" t="s">
        <v>535</v>
      </c>
      <c r="G179" s="188">
        <v>45245</v>
      </c>
      <c r="H179" s="16"/>
      <c r="I179" s="16"/>
      <c r="J179" s="16" t="s">
        <v>402</v>
      </c>
      <c r="K179" s="16" t="s">
        <v>1059</v>
      </c>
      <c r="L179" s="16" t="s">
        <v>2357</v>
      </c>
      <c r="M179" s="16" t="s">
        <v>559</v>
      </c>
      <c r="N179" s="16"/>
      <c r="O179" s="166"/>
      <c r="P179" s="166"/>
      <c r="Q179" s="231" t="str">
        <f t="shared" si="33"/>
        <v>. Owners Manual + Case</v>
      </c>
      <c r="R179" s="231"/>
      <c r="S179" s="231" t="str">
        <f t="shared" si="36"/>
        <v/>
      </c>
      <c r="T179" s="231" t="str">
        <f>IF(O179&lt;&gt;"",_xlfn.XLOOKUP(O179,'3D. Pictures'!B:B,'3D. Pictures'!E:E,"NOT FOUND",0,1),"")</f>
        <v/>
      </c>
      <c r="U179" s="16"/>
      <c r="V179" s="16"/>
      <c r="W179" s="16"/>
      <c r="X179" s="16"/>
      <c r="Y179" s="201"/>
      <c r="Z179" s="16"/>
      <c r="AA179" s="16" t="s">
        <v>2356</v>
      </c>
      <c r="AB179" s="16" t="s">
        <v>2356</v>
      </c>
      <c r="AC179" s="358" t="str">
        <f t="shared" si="35"/>
        <v>toss both if 1 bad (barely worth selling)</v>
      </c>
      <c r="AD179" s="16" t="s">
        <v>2355</v>
      </c>
      <c r="AE179" s="16"/>
      <c r="AF179" s="168" t="s">
        <v>543</v>
      </c>
      <c r="AG179" s="16"/>
      <c r="AH179" s="363">
        <v>60</v>
      </c>
      <c r="AI179" s="380">
        <f t="shared" si="37"/>
        <v>60</v>
      </c>
      <c r="AJ179" s="3" t="s">
        <v>408</v>
      </c>
      <c r="AK179" s="3" t="s">
        <v>425</v>
      </c>
      <c r="AL179" s="3" t="s">
        <v>2175</v>
      </c>
      <c r="AX179" s="279" t="str">
        <f t="shared" si="28"/>
        <v/>
      </c>
    </row>
    <row r="180" spans="1:50" x14ac:dyDescent="0.25">
      <c r="A180" s="190" t="str">
        <f t="shared" si="31"/>
        <v/>
      </c>
      <c r="B180" s="279" t="str">
        <f t="shared" si="34"/>
        <v>638-72259</v>
      </c>
      <c r="C180" s="279"/>
      <c r="D180" s="279"/>
      <c r="E180" s="279">
        <f t="shared" si="32"/>
        <v>1</v>
      </c>
      <c r="F180" s="190" t="s">
        <v>535</v>
      </c>
      <c r="G180" s="198">
        <v>44684</v>
      </c>
      <c r="H180" s="205"/>
      <c r="I180" s="205"/>
      <c r="J180" s="205" t="s">
        <v>402</v>
      </c>
      <c r="K180" s="205" t="s">
        <v>1059</v>
      </c>
      <c r="L180" s="205" t="s">
        <v>796</v>
      </c>
      <c r="M180" s="192" t="s">
        <v>558</v>
      </c>
      <c r="N180" s="192"/>
      <c r="O180" s="229"/>
      <c r="P180" s="229"/>
      <c r="Q180" s="231" t="str">
        <f t="shared" si="33"/>
        <v>. Radio / Stereo Receiver Unit</v>
      </c>
      <c r="R180" s="231"/>
      <c r="S180" s="231" t="str">
        <f t="shared" si="36"/>
        <v/>
      </c>
      <c r="T180" s="231" t="str">
        <f>IF(O180&lt;&gt;"",_xlfn.XLOOKUP(O180,'3D. Pictures'!B:B,'3D. Pictures'!E:E,"NOT FOUND",0,1),"")</f>
        <v/>
      </c>
      <c r="U180" s="192"/>
      <c r="V180" s="205"/>
      <c r="W180" s="192"/>
      <c r="X180" s="205"/>
      <c r="Y180" s="201"/>
      <c r="Z180" s="205"/>
      <c r="AA180" s="205" t="s">
        <v>455</v>
      </c>
      <c r="AB180" s="205" t="s">
        <v>455</v>
      </c>
      <c r="AC180" s="358" t="str">
        <f t="shared" si="35"/>
        <v/>
      </c>
      <c r="AD180" s="205"/>
      <c r="AE180" s="205"/>
      <c r="AF180" s="201" t="s">
        <v>543</v>
      </c>
      <c r="AG180" s="205"/>
      <c r="AH180" s="363">
        <v>175</v>
      </c>
      <c r="AI180" s="380">
        <f t="shared" si="37"/>
        <v>175</v>
      </c>
      <c r="AJ180" s="204" t="s">
        <v>408</v>
      </c>
      <c r="AK180" s="204" t="s">
        <v>425</v>
      </c>
      <c r="AL180" s="204" t="s">
        <v>2175</v>
      </c>
      <c r="AM180" s="190"/>
      <c r="AN180" s="191" t="s">
        <v>631</v>
      </c>
      <c r="AO180" s="190" t="s">
        <v>572</v>
      </c>
      <c r="AP180" s="190">
        <v>72259</v>
      </c>
      <c r="AQ180" s="190" t="str">
        <f t="shared" ref="AQ180:AQ181" si="47">CONCATENATE(AN180,AO180,AP180)</f>
        <v>638-72259</v>
      </c>
      <c r="AR180" s="190" t="s">
        <v>794</v>
      </c>
      <c r="AS180" s="190"/>
      <c r="AT180" s="190"/>
      <c r="AU180" s="190"/>
      <c r="AV180" s="190"/>
      <c r="AW180" s="190"/>
      <c r="AX180" s="279" t="str">
        <f t="shared" si="28"/>
        <v/>
      </c>
    </row>
    <row r="181" spans="1:50" x14ac:dyDescent="0.25">
      <c r="A181" s="190" t="str">
        <f t="shared" si="31"/>
        <v/>
      </c>
      <c r="B181" s="279" t="str">
        <f t="shared" si="34"/>
        <v>257-66543</v>
      </c>
      <c r="C181" s="279"/>
      <c r="D181" s="279"/>
      <c r="E181" s="279">
        <f t="shared" si="32"/>
        <v>1</v>
      </c>
      <c r="F181" s="190" t="s">
        <v>535</v>
      </c>
      <c r="G181" s="198">
        <v>44684</v>
      </c>
      <c r="H181" s="205"/>
      <c r="I181" s="205"/>
      <c r="J181" s="205" t="s">
        <v>402</v>
      </c>
      <c r="K181" s="205" t="s">
        <v>1059</v>
      </c>
      <c r="L181" s="205" t="s">
        <v>797</v>
      </c>
      <c r="M181" s="192" t="s">
        <v>558</v>
      </c>
      <c r="N181" s="192"/>
      <c r="O181" s="229"/>
      <c r="P181" s="229"/>
      <c r="Q181" s="231" t="str">
        <f t="shared" si="33"/>
        <v>. Speedometer</v>
      </c>
      <c r="R181" s="231"/>
      <c r="S181" s="231" t="str">
        <f t="shared" si="36"/>
        <v/>
      </c>
      <c r="T181" s="231" t="str">
        <f>IF(O181&lt;&gt;"",_xlfn.XLOOKUP(O181,'3D. Pictures'!B:B,'3D. Pictures'!E:E,"NOT FOUND",0,1),"")</f>
        <v/>
      </c>
      <c r="U181" s="192"/>
      <c r="V181" s="205"/>
      <c r="W181" s="192"/>
      <c r="X181" s="205"/>
      <c r="Y181" s="168"/>
      <c r="Z181" s="205"/>
      <c r="AA181" s="205" t="s">
        <v>797</v>
      </c>
      <c r="AB181" s="205" t="s">
        <v>797</v>
      </c>
      <c r="AC181" s="358" t="str">
        <f t="shared" si="35"/>
        <v/>
      </c>
      <c r="AD181" s="205"/>
      <c r="AE181" s="205"/>
      <c r="AF181" s="201" t="s">
        <v>543</v>
      </c>
      <c r="AG181" s="205"/>
      <c r="AH181" s="16">
        <v>325</v>
      </c>
      <c r="AI181" s="380">
        <f t="shared" si="37"/>
        <v>325</v>
      </c>
      <c r="AJ181" s="204" t="s">
        <v>408</v>
      </c>
      <c r="AK181" s="204" t="s">
        <v>425</v>
      </c>
      <c r="AL181" s="204" t="s">
        <v>2175</v>
      </c>
      <c r="AM181" s="190"/>
      <c r="AN181" s="191" t="s">
        <v>632</v>
      </c>
      <c r="AO181" s="190" t="s">
        <v>572</v>
      </c>
      <c r="AP181" s="190">
        <v>66543</v>
      </c>
      <c r="AQ181" s="190" t="str">
        <f t="shared" si="47"/>
        <v>257-66543</v>
      </c>
      <c r="AR181" s="190" t="s">
        <v>798</v>
      </c>
      <c r="AS181" s="190"/>
      <c r="AT181" s="190"/>
      <c r="AU181" s="190"/>
      <c r="AV181" s="190"/>
      <c r="AW181" s="190"/>
      <c r="AX181" s="279" t="str">
        <f t="shared" si="28"/>
        <v/>
      </c>
    </row>
    <row r="182" spans="1:50" x14ac:dyDescent="0.25">
      <c r="A182" s="190" t="str">
        <f t="shared" si="31"/>
        <v/>
      </c>
      <c r="B182" s="279" t="str">
        <f t="shared" si="34"/>
        <v/>
      </c>
      <c r="C182" s="279"/>
      <c r="D182" s="279"/>
      <c r="E182" s="279" t="str">
        <f t="shared" si="32"/>
        <v/>
      </c>
      <c r="F182" s="241" t="s">
        <v>535</v>
      </c>
      <c r="G182" s="242">
        <v>44683</v>
      </c>
      <c r="H182" s="243"/>
      <c r="I182" s="243"/>
      <c r="J182" s="243" t="s">
        <v>402</v>
      </c>
      <c r="K182" s="243" t="s">
        <v>1059</v>
      </c>
      <c r="L182" s="243" t="s">
        <v>1166</v>
      </c>
      <c r="M182" s="243" t="s">
        <v>559</v>
      </c>
      <c r="N182" s="243"/>
      <c r="O182" s="244"/>
      <c r="P182" s="244"/>
      <c r="Q182" s="231" t="str">
        <f t="shared" si="33"/>
        <v>. Steering Column Center Rod &amp; Lower U-Joint Shaft SET 2</v>
      </c>
      <c r="R182" s="244"/>
      <c r="S182" s="244" t="str">
        <f t="shared" si="36"/>
        <v/>
      </c>
      <c r="T182" s="244" t="str">
        <f>IF(O182&lt;&gt;"",_xlfn.XLOOKUP(O182,'3D. Pictures'!B:B,'3D. Pictures'!E:E,"NOT FOUND",0,1),"")</f>
        <v/>
      </c>
      <c r="U182" s="243"/>
      <c r="V182" s="243"/>
      <c r="W182" s="243"/>
      <c r="X182" s="243"/>
      <c r="Y182" s="201"/>
      <c r="Z182" s="243"/>
      <c r="AA182" s="243" t="s">
        <v>2825</v>
      </c>
      <c r="AB182" s="243" t="s">
        <v>2496</v>
      </c>
      <c r="AC182" s="358" t="str">
        <f t="shared" si="35"/>
        <v>SET 2, sell singles if 1 bad</v>
      </c>
      <c r="AD182" s="243" t="s">
        <v>2550</v>
      </c>
      <c r="AE182" s="243"/>
      <c r="AF182" s="179" t="s">
        <v>544</v>
      </c>
      <c r="AG182" s="243"/>
      <c r="AH182" s="16">
        <v>100</v>
      </c>
      <c r="AI182" s="380">
        <f t="shared" si="37"/>
        <v>100</v>
      </c>
      <c r="AJ182" s="246" t="s">
        <v>408</v>
      </c>
      <c r="AK182" s="246" t="s">
        <v>425</v>
      </c>
      <c r="AL182" s="246" t="s">
        <v>2175</v>
      </c>
      <c r="AM182" s="241"/>
      <c r="AN182" s="241"/>
      <c r="AO182" s="241"/>
      <c r="AP182" s="241"/>
      <c r="AQ182" s="241"/>
      <c r="AR182" s="241"/>
      <c r="AS182" s="241" t="s">
        <v>1028</v>
      </c>
      <c r="AT182" s="241" t="s">
        <v>1029</v>
      </c>
      <c r="AU182" s="241" t="s">
        <v>1030</v>
      </c>
      <c r="AV182" s="303" t="str">
        <f t="shared" ref="AV182" si="48">CONCATENATE(AS182,"-",AT182,"-",AU182)</f>
        <v>F15-14-18-ALL</v>
      </c>
      <c r="AW182" s="241" t="s">
        <v>2396</v>
      </c>
      <c r="AX182" s="279" t="str">
        <f t="shared" si="28"/>
        <v>F15-14-18-ALL-Viking30</v>
      </c>
    </row>
    <row r="183" spans="1:50" x14ac:dyDescent="0.25">
      <c r="A183" s="190" t="str">
        <f t="shared" si="31"/>
        <v/>
      </c>
      <c r="B183" s="279" t="str">
        <f t="shared" si="34"/>
        <v/>
      </c>
      <c r="C183" s="279"/>
      <c r="D183" s="279"/>
      <c r="E183" s="279" t="str">
        <f t="shared" si="32"/>
        <v/>
      </c>
      <c r="F183" t="s">
        <v>536</v>
      </c>
      <c r="G183" s="188">
        <v>44994</v>
      </c>
      <c r="H183" s="10"/>
      <c r="I183" s="10"/>
      <c r="J183" s="16" t="s">
        <v>402</v>
      </c>
      <c r="K183" s="16" t="s">
        <v>1059</v>
      </c>
      <c r="L183" s="16" t="s">
        <v>439</v>
      </c>
      <c r="M183" s="16" t="s">
        <v>559</v>
      </c>
      <c r="N183" s="16"/>
      <c r="O183" s="166"/>
      <c r="P183" s="166"/>
      <c r="Q183" s="231" t="str">
        <f t="shared" si="33"/>
        <v xml:space="preserve">. Steering Wheel Vibration Control Module </v>
      </c>
      <c r="R183" s="231"/>
      <c r="S183" s="231" t="str">
        <f t="shared" si="36"/>
        <v/>
      </c>
      <c r="T183" s="231" t="str">
        <f>IF(O183&lt;&gt;"",_xlfn.XLOOKUP(O183,'3D. Pictures'!B:B,'3D. Pictures'!E:E,"NOT FOUND",0,1),"")</f>
        <v/>
      </c>
      <c r="U183" s="16"/>
      <c r="V183" s="16"/>
      <c r="W183" s="16"/>
      <c r="X183" s="16"/>
      <c r="Y183" s="201"/>
      <c r="Z183" s="16"/>
      <c r="AA183" s="16" t="s">
        <v>499</v>
      </c>
      <c r="AB183" s="16" t="s">
        <v>499</v>
      </c>
      <c r="AC183" s="358" t="str">
        <f t="shared" si="35"/>
        <v/>
      </c>
      <c r="AD183" s="16"/>
      <c r="AE183" s="16"/>
      <c r="AF183" s="168" t="s">
        <v>543</v>
      </c>
      <c r="AG183" s="16"/>
      <c r="AH183" s="16">
        <v>180</v>
      </c>
      <c r="AI183" s="380">
        <f t="shared" si="37"/>
        <v>180</v>
      </c>
      <c r="AJ183" s="3" t="s">
        <v>408</v>
      </c>
      <c r="AK183" s="3" t="s">
        <v>425</v>
      </c>
      <c r="AL183" s="3" t="s">
        <v>2175</v>
      </c>
      <c r="AX183" s="279" t="str">
        <f t="shared" si="28"/>
        <v/>
      </c>
    </row>
    <row r="184" spans="1:50" x14ac:dyDescent="0.25">
      <c r="A184" s="190" t="str">
        <f t="shared" si="31"/>
        <v/>
      </c>
      <c r="B184" s="279" t="str">
        <f t="shared" si="34"/>
        <v>235-992176</v>
      </c>
      <c r="C184" s="279"/>
      <c r="D184" s="279"/>
      <c r="E184" s="279">
        <f t="shared" si="32"/>
        <v>1</v>
      </c>
      <c r="F184" s="190" t="s">
        <v>535</v>
      </c>
      <c r="G184" s="198">
        <v>44684</v>
      </c>
      <c r="H184" s="205"/>
      <c r="I184" s="205"/>
      <c r="J184" s="205" t="s">
        <v>402</v>
      </c>
      <c r="K184" s="205" t="s">
        <v>1059</v>
      </c>
      <c r="L184" s="205" t="s">
        <v>808</v>
      </c>
      <c r="M184" s="212" t="s">
        <v>560</v>
      </c>
      <c r="N184" s="212"/>
      <c r="O184" s="236"/>
      <c r="P184" s="236"/>
      <c r="Q184" s="231" t="str">
        <f t="shared" si="33"/>
        <v>. Steering Wheel</v>
      </c>
      <c r="R184" s="231"/>
      <c r="S184" s="231" t="str">
        <f t="shared" si="36"/>
        <v/>
      </c>
      <c r="T184" s="231" t="str">
        <f>IF(O184&lt;&gt;"",_xlfn.XLOOKUP(O184,'3D. Pictures'!B:B,'3D. Pictures'!E:E,"NOT FOUND",0,1),"")</f>
        <v/>
      </c>
      <c r="U184" s="212"/>
      <c r="V184" s="205"/>
      <c r="W184" s="212"/>
      <c r="X184" s="205"/>
      <c r="Y184" s="201"/>
      <c r="Z184" s="192" t="s">
        <v>2077</v>
      </c>
      <c r="AA184" s="205" t="s">
        <v>808</v>
      </c>
      <c r="AB184" s="205" t="s">
        <v>808</v>
      </c>
      <c r="AC184" s="358" t="str">
        <f t="shared" si="35"/>
        <v>Switches &amp; Trim ON | wheel bad sell switches+trim or solo</v>
      </c>
      <c r="AD184" s="205" t="s">
        <v>2794</v>
      </c>
      <c r="AE184" s="205" t="s">
        <v>2795</v>
      </c>
      <c r="AF184" s="201" t="s">
        <v>543</v>
      </c>
      <c r="AG184" s="205"/>
      <c r="AH184" s="363">
        <v>695</v>
      </c>
      <c r="AI184" s="380">
        <f t="shared" si="37"/>
        <v>695</v>
      </c>
      <c r="AJ184" s="204" t="s">
        <v>408</v>
      </c>
      <c r="AK184" s="204" t="s">
        <v>425</v>
      </c>
      <c r="AL184" s="204" t="s">
        <v>2175</v>
      </c>
      <c r="AM184" s="190"/>
      <c r="AN184" s="191">
        <v>235</v>
      </c>
      <c r="AO184" s="190" t="s">
        <v>572</v>
      </c>
      <c r="AP184" s="190">
        <v>992176</v>
      </c>
      <c r="AQ184" s="190" t="str">
        <f t="shared" ref="AQ184" si="49">CONCATENATE(AN184,AO184,AP184)</f>
        <v>235-992176</v>
      </c>
      <c r="AR184" s="190" t="s">
        <v>817</v>
      </c>
      <c r="AS184" s="190"/>
      <c r="AT184" s="190"/>
      <c r="AU184" s="190"/>
      <c r="AV184" s="190"/>
      <c r="AW184" s="190"/>
      <c r="AX184" s="279" t="str">
        <f t="shared" si="28"/>
        <v/>
      </c>
    </row>
    <row r="185" spans="1:50" x14ac:dyDescent="0.25">
      <c r="A185" s="190" t="str">
        <f t="shared" si="31"/>
        <v/>
      </c>
      <c r="B185" s="279" t="str">
        <f t="shared" si="34"/>
        <v/>
      </c>
      <c r="C185" s="279"/>
      <c r="D185" s="279"/>
      <c r="E185" s="279" t="str">
        <f t="shared" si="32"/>
        <v/>
      </c>
      <c r="F185" s="190" t="s">
        <v>535</v>
      </c>
      <c r="G185" s="198">
        <v>44684</v>
      </c>
      <c r="H185" s="205"/>
      <c r="I185" s="205"/>
      <c r="J185" s="205" t="s">
        <v>402</v>
      </c>
      <c r="K185" s="205" t="s">
        <v>1059</v>
      </c>
      <c r="L185" s="205" t="s">
        <v>821</v>
      </c>
      <c r="M185" s="212" t="s">
        <v>560</v>
      </c>
      <c r="N185" s="212"/>
      <c r="O185" s="236"/>
      <c r="P185" s="236"/>
      <c r="Q185" s="231" t="str">
        <f t="shared" si="33"/>
        <v>. Steering Wheel Switches SET 2 WITH Trim</v>
      </c>
      <c r="R185" s="231"/>
      <c r="S185" s="231" t="str">
        <f t="shared" si="36"/>
        <v/>
      </c>
      <c r="T185" s="231" t="str">
        <f>IF(O185&lt;&gt;"",_xlfn.XLOOKUP(O185,'3D. Pictures'!B:B,'3D. Pictures'!E:E,"NOT FOUND",0,1),"")</f>
        <v/>
      </c>
      <c r="U185" s="212"/>
      <c r="V185" s="205"/>
      <c r="W185" s="212"/>
      <c r="X185" s="205"/>
      <c r="Y185" s="201"/>
      <c r="Z185" s="205"/>
      <c r="AA185" s="205" t="s">
        <v>2497</v>
      </c>
      <c r="AB185" s="205" t="s">
        <v>2497</v>
      </c>
      <c r="AC185" s="358" t="str">
        <f t="shared" si="35"/>
        <v>keep ON wheel if selling, w/ trim if trim good</v>
      </c>
      <c r="AD185" s="205" t="s">
        <v>2826</v>
      </c>
      <c r="AE185" s="205"/>
      <c r="AF185" s="201" t="s">
        <v>543</v>
      </c>
      <c r="AG185" s="205"/>
      <c r="AH185" s="363">
        <v>140</v>
      </c>
      <c r="AI185" s="380">
        <f t="shared" si="37"/>
        <v>140</v>
      </c>
      <c r="AJ185" s="204" t="s">
        <v>408</v>
      </c>
      <c r="AK185" s="204" t="s">
        <v>425</v>
      </c>
      <c r="AL185" s="204" t="s">
        <v>2175</v>
      </c>
      <c r="AM185" s="190"/>
      <c r="AN185" s="191"/>
      <c r="AO185" s="190"/>
      <c r="AP185" s="190"/>
      <c r="AQ185" s="190"/>
      <c r="AR185" s="190"/>
      <c r="AS185" s="190"/>
      <c r="AT185" s="190"/>
      <c r="AU185" s="190"/>
      <c r="AV185" s="190"/>
      <c r="AW185" s="190"/>
      <c r="AX185" s="279" t="str">
        <f t="shared" ref="AX185:AX248" si="50">IF(AW185&lt;&gt;"",_xlfn.TEXTJOIN("-",TRUE,AV185,AW185),"")</f>
        <v/>
      </c>
    </row>
    <row r="186" spans="1:50" ht="15.75" thickBot="1" x14ac:dyDescent="0.3">
      <c r="A186" s="190" t="str">
        <f t="shared" si="31"/>
        <v/>
      </c>
      <c r="B186" s="279" t="str">
        <f t="shared" si="34"/>
        <v/>
      </c>
      <c r="C186" s="279"/>
      <c r="D186" s="279"/>
      <c r="E186" s="279" t="str">
        <f t="shared" si="32"/>
        <v/>
      </c>
      <c r="F186" t="s">
        <v>535</v>
      </c>
      <c r="G186" s="188">
        <v>44684</v>
      </c>
      <c r="H186" s="16"/>
      <c r="I186" s="16"/>
      <c r="J186" s="16" t="s">
        <v>402</v>
      </c>
      <c r="K186" s="16" t="s">
        <v>1059</v>
      </c>
      <c r="L186" s="16" t="s">
        <v>1210</v>
      </c>
      <c r="M186" s="16" t="s">
        <v>559</v>
      </c>
      <c r="N186" s="16"/>
      <c r="O186" s="166"/>
      <c r="P186" s="166"/>
      <c r="Q186" s="231" t="str">
        <f t="shared" si="33"/>
        <v>. Switch/Button, Engine Ignition Start/Stop Push Button</v>
      </c>
      <c r="R186" s="231"/>
      <c r="S186" s="231" t="str">
        <f t="shared" si="36"/>
        <v/>
      </c>
      <c r="T186" s="231" t="str">
        <f>IF(O186&lt;&gt;"",_xlfn.XLOOKUP(O186,'3D. Pictures'!B:B,'3D. Pictures'!E:E,"NOT FOUND",0,1),"")</f>
        <v/>
      </c>
      <c r="U186" s="16"/>
      <c r="V186" s="16"/>
      <c r="W186" s="16"/>
      <c r="X186" s="16"/>
      <c r="Y186" s="201"/>
      <c r="Z186" s="16"/>
      <c r="AA186" s="16" t="s">
        <v>450</v>
      </c>
      <c r="AB186" s="16" t="s">
        <v>450</v>
      </c>
      <c r="AC186" s="358" t="str">
        <f t="shared" si="35"/>
        <v/>
      </c>
      <c r="AD186" s="16"/>
      <c r="AE186" s="16"/>
      <c r="AF186" s="168" t="s">
        <v>543</v>
      </c>
      <c r="AG186" s="16" t="s">
        <v>451</v>
      </c>
      <c r="AH186" s="363">
        <v>39</v>
      </c>
      <c r="AI186" s="380">
        <f t="shared" si="37"/>
        <v>39</v>
      </c>
      <c r="AJ186" s="3" t="s">
        <v>408</v>
      </c>
      <c r="AK186" s="3" t="s">
        <v>425</v>
      </c>
      <c r="AL186" s="3" t="s">
        <v>2175</v>
      </c>
      <c r="AX186" s="279" t="str">
        <f t="shared" si="50"/>
        <v/>
      </c>
    </row>
    <row r="187" spans="1:50" ht="15.75" thickBot="1" x14ac:dyDescent="0.3">
      <c r="A187" s="190" t="str">
        <f t="shared" si="31"/>
        <v>A55</v>
      </c>
      <c r="B187" s="279" t="str">
        <f t="shared" si="34"/>
        <v/>
      </c>
      <c r="C187" s="279"/>
      <c r="D187" s="279"/>
      <c r="E187" s="279" t="str">
        <f t="shared" si="32"/>
        <v/>
      </c>
      <c r="F187" s="241" t="s">
        <v>535</v>
      </c>
      <c r="G187" s="242">
        <v>44684</v>
      </c>
      <c r="H187" s="243"/>
      <c r="I187" s="243"/>
      <c r="J187" s="243" t="s">
        <v>402</v>
      </c>
      <c r="K187" s="243" t="s">
        <v>1059</v>
      </c>
      <c r="L187" s="243" t="s">
        <v>1210</v>
      </c>
      <c r="M187" s="243" t="s">
        <v>559</v>
      </c>
      <c r="N187" s="243">
        <v>45</v>
      </c>
      <c r="O187" s="244" t="s">
        <v>957</v>
      </c>
      <c r="P187" s="244" t="s">
        <v>1204</v>
      </c>
      <c r="Q187" s="231" t="str">
        <f t="shared" si="33"/>
        <v>A55. Traction Control Switch Panel</v>
      </c>
      <c r="R187" s="284" t="str">
        <f>HYPERLINK(VLOOKUP(O187,'3D. Pictures'!$B$3:$E$500,4,FALSE),"PIC")</f>
        <v>PIC</v>
      </c>
      <c r="S187" s="373" t="str">
        <f t="shared" si="36"/>
        <v>E.G.</v>
      </c>
      <c r="T187" s="377" t="str">
        <f>IF(O187&lt;&gt;"",_xlfn.XLOOKUP(O187,'3D. Pictures'!B:B,'3D. Pictures'!E:E,"NOT FOUND",0,1),"")</f>
        <v>https://viking-pictures.s3.us-west-1.amazonaws.com/AA1155/A55.+Traction+Control+Switch+Panel+(1).JPG</v>
      </c>
      <c r="U187" s="243">
        <v>5</v>
      </c>
      <c r="V187" s="243">
        <v>9262718</v>
      </c>
      <c r="W187" s="243" t="s">
        <v>111</v>
      </c>
      <c r="X187" s="243"/>
      <c r="Y187" s="16"/>
      <c r="Z187" s="243"/>
      <c r="AA187" s="243" t="s">
        <v>1224</v>
      </c>
      <c r="AB187" s="243" t="s">
        <v>1224</v>
      </c>
      <c r="AC187" s="358" t="str">
        <f t="shared" si="35"/>
        <v>remove trim panel &amp; sell knob &amp; trim panel each solo</v>
      </c>
      <c r="AD187" s="243" t="s">
        <v>1225</v>
      </c>
      <c r="AE187" s="243"/>
      <c r="AF187" s="179" t="s">
        <v>543</v>
      </c>
      <c r="AG187" s="243"/>
      <c r="AH187" s="363">
        <v>95</v>
      </c>
      <c r="AI187" s="380">
        <f t="shared" si="37"/>
        <v>95</v>
      </c>
      <c r="AJ187" s="246" t="s">
        <v>408</v>
      </c>
      <c r="AK187" s="246" t="s">
        <v>425</v>
      </c>
      <c r="AL187" s="246" t="s">
        <v>2175</v>
      </c>
      <c r="AM187" s="241"/>
      <c r="AN187" s="241"/>
      <c r="AO187" s="241"/>
      <c r="AP187" s="241"/>
      <c r="AQ187" s="241"/>
      <c r="AR187" s="241"/>
      <c r="AS187" s="241" t="s">
        <v>1028</v>
      </c>
      <c r="AT187" s="241" t="s">
        <v>1029</v>
      </c>
      <c r="AU187" s="241" t="s">
        <v>1030</v>
      </c>
      <c r="AV187" s="303" t="str">
        <f t="shared" ref="AV187" si="51">CONCATENATE(AS187,"-",AT187,"-",AU187)</f>
        <v>F15-14-18-ALL</v>
      </c>
      <c r="AW187" s="241" t="s">
        <v>2399</v>
      </c>
      <c r="AX187" s="279" t="str">
        <f t="shared" si="50"/>
        <v>F15-14-18-ALL-Viking33</v>
      </c>
    </row>
    <row r="188" spans="1:50" ht="15.75" thickBot="1" x14ac:dyDescent="0.3">
      <c r="A188" s="190" t="str">
        <f t="shared" si="31"/>
        <v/>
      </c>
      <c r="B188" s="279" t="str">
        <f t="shared" si="34"/>
        <v/>
      </c>
      <c r="C188" s="279"/>
      <c r="D188" s="279"/>
      <c r="E188" s="279" t="str">
        <f t="shared" si="32"/>
        <v/>
      </c>
      <c r="F188" t="s">
        <v>536</v>
      </c>
      <c r="G188" s="188">
        <v>44811</v>
      </c>
      <c r="H188" s="158"/>
      <c r="I188" s="164"/>
      <c r="J188" s="16" t="s">
        <v>402</v>
      </c>
      <c r="K188" s="16" t="s">
        <v>1059</v>
      </c>
      <c r="L188" s="16" t="s">
        <v>492</v>
      </c>
      <c r="M188" s="16" t="s">
        <v>559</v>
      </c>
      <c r="N188" s="16"/>
      <c r="O188" s="166"/>
      <c r="P188" s="166"/>
      <c r="Q188" s="231" t="str">
        <f t="shared" si="33"/>
        <v>. USB Aux Socket Port</v>
      </c>
      <c r="R188" s="231"/>
      <c r="S188" s="231" t="str">
        <f t="shared" si="36"/>
        <v/>
      </c>
      <c r="T188" s="231" t="str">
        <f>IF(O188&lt;&gt;"",_xlfn.XLOOKUP(O188,'3D. Pictures'!B:B,'3D. Pictures'!E:E,"NOT FOUND",0,1),"")</f>
        <v/>
      </c>
      <c r="U188" s="16"/>
      <c r="V188" s="16"/>
      <c r="W188" s="16"/>
      <c r="X188" s="16"/>
      <c r="Y188" s="168"/>
      <c r="Z188" s="16"/>
      <c r="AA188" s="16" t="s">
        <v>492</v>
      </c>
      <c r="AB188" s="16" t="s">
        <v>492</v>
      </c>
      <c r="AC188" s="358" t="str">
        <f t="shared" si="35"/>
        <v/>
      </c>
      <c r="AD188" s="16"/>
      <c r="AE188" s="16"/>
      <c r="AF188" s="168" t="s">
        <v>543</v>
      </c>
      <c r="AG188" s="16"/>
      <c r="AH188" s="16">
        <v>45</v>
      </c>
      <c r="AI188" s="380">
        <f t="shared" si="37"/>
        <v>45</v>
      </c>
      <c r="AJ188" s="3" t="s">
        <v>408</v>
      </c>
      <c r="AK188" s="3" t="s">
        <v>425</v>
      </c>
      <c r="AL188" s="3" t="s">
        <v>2175</v>
      </c>
      <c r="AX188" s="279" t="str">
        <f t="shared" si="50"/>
        <v/>
      </c>
    </row>
    <row r="189" spans="1:50" ht="15.75" thickBot="1" x14ac:dyDescent="0.3">
      <c r="A189" s="190" t="str">
        <f t="shared" si="31"/>
        <v>A46</v>
      </c>
      <c r="B189" s="279" t="str">
        <f t="shared" si="34"/>
        <v/>
      </c>
      <c r="C189" s="279"/>
      <c r="D189" s="279"/>
      <c r="E189" s="279" t="str">
        <f t="shared" si="32"/>
        <v/>
      </c>
      <c r="F189" s="241" t="s">
        <v>535</v>
      </c>
      <c r="G189" s="242">
        <v>44684</v>
      </c>
      <c r="H189" s="243"/>
      <c r="I189" s="243"/>
      <c r="J189" s="243" t="s">
        <v>402</v>
      </c>
      <c r="K189" s="243" t="s">
        <v>1059</v>
      </c>
      <c r="L189" s="243" t="s">
        <v>1209</v>
      </c>
      <c r="M189" s="243" t="s">
        <v>559</v>
      </c>
      <c r="N189" s="243">
        <v>36</v>
      </c>
      <c r="O189" s="244" t="s">
        <v>948</v>
      </c>
      <c r="P189" s="244" t="s">
        <v>1204</v>
      </c>
      <c r="Q189" s="231" t="str">
        <f t="shared" si="33"/>
        <v>A46. Vent, DASH - FRONT CENTER with Hazard Button</v>
      </c>
      <c r="R189" s="284" t="str">
        <f>HYPERLINK(VLOOKUP(O189,'3D. Pictures'!$B$3:$E$500,4,FALSE),"PIC")</f>
        <v>PIC</v>
      </c>
      <c r="S189" s="373" t="str">
        <f t="shared" si="36"/>
        <v>E.G.</v>
      </c>
      <c r="T189" s="377" t="str">
        <f>IF(O189&lt;&gt;"",_xlfn.XLOOKUP(O189,'3D. Pictures'!B:B,'3D. Pictures'!E:E,"NOT FOUND",0,1),"")</f>
        <v>https://viking-pictures.s3.us-west-1.amazonaws.com/AA1155/A46.+Vent%2C+DASH+-+FRONT+CENTER+with+Hazard+Button+(1).JPG</v>
      </c>
      <c r="U189" s="243">
        <v>5</v>
      </c>
      <c r="V189" s="243">
        <v>9252648</v>
      </c>
      <c r="W189" s="243" t="s">
        <v>111</v>
      </c>
      <c r="X189" s="243"/>
      <c r="Y189" s="201"/>
      <c r="Z189" s="243"/>
      <c r="AA189" s="243" t="s">
        <v>1211</v>
      </c>
      <c r="AB189" s="243" t="s">
        <v>1211</v>
      </c>
      <c r="AC189" s="358" t="str">
        <f t="shared" si="35"/>
        <v>with hazard button | sell hazard button solo if vent bad</v>
      </c>
      <c r="AD189" s="243" t="s">
        <v>1206</v>
      </c>
      <c r="AE189" s="243" t="s">
        <v>1207</v>
      </c>
      <c r="AF189" s="179" t="s">
        <v>543</v>
      </c>
      <c r="AG189" s="243"/>
      <c r="AH189" s="16">
        <v>125</v>
      </c>
      <c r="AI189" s="380">
        <f t="shared" si="37"/>
        <v>125</v>
      </c>
      <c r="AJ189" s="246" t="s">
        <v>408</v>
      </c>
      <c r="AK189" s="246" t="s">
        <v>425</v>
      </c>
      <c r="AL189" s="246" t="s">
        <v>2175</v>
      </c>
      <c r="AM189" s="241"/>
      <c r="AN189" s="241"/>
      <c r="AO189" s="241"/>
      <c r="AP189" s="241"/>
      <c r="AQ189" s="241"/>
      <c r="AR189" s="241"/>
      <c r="AS189" s="241" t="s">
        <v>1028</v>
      </c>
      <c r="AT189" s="241" t="s">
        <v>1029</v>
      </c>
      <c r="AU189" s="241" t="s">
        <v>1030</v>
      </c>
      <c r="AV189" s="303" t="str">
        <f t="shared" ref="AV189:AV192" si="52">CONCATENATE(AS189,"-",AT189,"-",AU189)</f>
        <v>F15-14-18-ALL</v>
      </c>
      <c r="AW189" s="241" t="s">
        <v>2400</v>
      </c>
      <c r="AX189" s="279" t="str">
        <f t="shared" si="50"/>
        <v>F15-14-18-ALL-Viking34</v>
      </c>
    </row>
    <row r="190" spans="1:50" ht="15.75" thickBot="1" x14ac:dyDescent="0.3">
      <c r="A190" s="190" t="str">
        <f t="shared" si="31"/>
        <v/>
      </c>
      <c r="B190" s="279" t="str">
        <f t="shared" si="34"/>
        <v/>
      </c>
      <c r="C190" s="279"/>
      <c r="D190" s="279"/>
      <c r="E190" s="279" t="str">
        <f t="shared" si="32"/>
        <v/>
      </c>
      <c r="F190" s="241" t="s">
        <v>535</v>
      </c>
      <c r="G190" s="242">
        <v>44684</v>
      </c>
      <c r="H190" s="243"/>
      <c r="I190" s="243"/>
      <c r="J190" s="243" t="s">
        <v>402</v>
      </c>
      <c r="K190" s="243" t="s">
        <v>1059</v>
      </c>
      <c r="L190" s="243" t="s">
        <v>1210</v>
      </c>
      <c r="M190" s="243" t="s">
        <v>559</v>
      </c>
      <c r="N190" s="243"/>
      <c r="O190" s="244"/>
      <c r="P190" s="244"/>
      <c r="Q190" s="231" t="str">
        <f t="shared" si="33"/>
        <v>. Switch, Hazard Button</v>
      </c>
      <c r="R190" s="244"/>
      <c r="S190" s="244" t="str">
        <f t="shared" si="36"/>
        <v/>
      </c>
      <c r="T190" s="244" t="str">
        <f>IF(O190&lt;&gt;"",_xlfn.XLOOKUP(O190,'3D. Pictures'!B:B,'3D. Pictures'!E:E,"NOT FOUND",0,1),"")</f>
        <v/>
      </c>
      <c r="U190" s="243"/>
      <c r="V190" s="243">
        <v>61319389075</v>
      </c>
      <c r="W190" s="243" t="s">
        <v>111</v>
      </c>
      <c r="X190" s="243"/>
      <c r="Y190" s="201"/>
      <c r="Z190" s="243"/>
      <c r="AA190" s="243" t="s">
        <v>1208</v>
      </c>
      <c r="AB190" s="243" t="s">
        <v>1208</v>
      </c>
      <c r="AC190" s="358" t="str">
        <f t="shared" si="35"/>
        <v>keep in vent if selling that</v>
      </c>
      <c r="AD190" s="243" t="s">
        <v>1212</v>
      </c>
      <c r="AE190" s="243"/>
      <c r="AF190" s="179" t="s">
        <v>543</v>
      </c>
      <c r="AG190" s="243"/>
      <c r="AH190" s="16">
        <v>125</v>
      </c>
      <c r="AI190" s="380">
        <f t="shared" si="37"/>
        <v>125</v>
      </c>
      <c r="AJ190" s="246" t="s">
        <v>408</v>
      </c>
      <c r="AK190" s="246" t="s">
        <v>425</v>
      </c>
      <c r="AL190" s="246" t="s">
        <v>2175</v>
      </c>
      <c r="AM190" s="241"/>
      <c r="AN190" s="241"/>
      <c r="AO190" s="241"/>
      <c r="AP190" s="241"/>
      <c r="AQ190" s="241"/>
      <c r="AR190" s="241"/>
      <c r="AS190" s="241" t="s">
        <v>1028</v>
      </c>
      <c r="AT190" s="241" t="s">
        <v>1029</v>
      </c>
      <c r="AU190" s="241" t="s">
        <v>1030</v>
      </c>
      <c r="AV190" s="303" t="str">
        <f t="shared" si="52"/>
        <v>F15-14-18-ALL</v>
      </c>
      <c r="AW190" s="241" t="s">
        <v>2401</v>
      </c>
      <c r="AX190" s="279" t="str">
        <f t="shared" si="50"/>
        <v>F15-14-18-ALL-Viking35</v>
      </c>
    </row>
    <row r="191" spans="1:50" ht="15.75" thickBot="1" x14ac:dyDescent="0.3">
      <c r="A191" s="190" t="str">
        <f t="shared" si="31"/>
        <v>A59</v>
      </c>
      <c r="B191" s="279" t="str">
        <f t="shared" si="34"/>
        <v/>
      </c>
      <c r="C191" s="279"/>
      <c r="D191" s="279"/>
      <c r="E191" s="279" t="str">
        <f t="shared" si="32"/>
        <v/>
      </c>
      <c r="F191" s="241" t="s">
        <v>535</v>
      </c>
      <c r="G191" s="242">
        <v>44684</v>
      </c>
      <c r="H191" s="243"/>
      <c r="I191" s="243"/>
      <c r="J191" s="243" t="s">
        <v>402</v>
      </c>
      <c r="K191" s="243" t="s">
        <v>1059</v>
      </c>
      <c r="L191" s="243" t="s">
        <v>1209</v>
      </c>
      <c r="M191" s="243" t="s">
        <v>559</v>
      </c>
      <c r="N191" s="243">
        <v>49</v>
      </c>
      <c r="O191" s="244" t="s">
        <v>961</v>
      </c>
      <c r="P191" s="244" t="s">
        <v>1204</v>
      </c>
      <c r="Q191" s="231" t="str">
        <f t="shared" si="33"/>
        <v>A59. Vent, DASH - FRONT LEFT</v>
      </c>
      <c r="R191" s="284" t="str">
        <f>HYPERLINK(VLOOKUP(O191,'3D. Pictures'!$B$3:$E$500,4,FALSE),"PIC")</f>
        <v>PIC</v>
      </c>
      <c r="S191" s="373" t="str">
        <f t="shared" si="36"/>
        <v>E.G.</v>
      </c>
      <c r="T191" s="377" t="str">
        <f>IF(O191&lt;&gt;"",_xlfn.XLOOKUP(O191,'3D. Pictures'!B:B,'3D. Pictures'!E:E,"NOT FOUND",0,1),"")</f>
        <v>https://viking-pictures.s3.us-west-1.amazonaws.com/AA1155/A59.+Vent%2C+DASH+-+FRONT+LEFT+(1).JPG</v>
      </c>
      <c r="U191" s="243">
        <v>4</v>
      </c>
      <c r="V191" s="243">
        <v>9252649</v>
      </c>
      <c r="W191" s="243" t="s">
        <v>111</v>
      </c>
      <c r="X191" s="243"/>
      <c r="Y191" s="243"/>
      <c r="Z191" s="243"/>
      <c r="AA191" s="243" t="s">
        <v>446</v>
      </c>
      <c r="AB191" s="243" t="s">
        <v>446</v>
      </c>
      <c r="AC191" s="358" t="str">
        <f t="shared" si="35"/>
        <v/>
      </c>
      <c r="AD191" s="243"/>
      <c r="AE191" s="243"/>
      <c r="AF191" s="179" t="s">
        <v>543</v>
      </c>
      <c r="AG191" s="243"/>
      <c r="AH191" s="16">
        <v>100</v>
      </c>
      <c r="AI191" s="380">
        <f t="shared" si="37"/>
        <v>100</v>
      </c>
      <c r="AJ191" s="246" t="s">
        <v>408</v>
      </c>
      <c r="AK191" s="246" t="s">
        <v>425</v>
      </c>
      <c r="AL191" s="246" t="s">
        <v>2175</v>
      </c>
      <c r="AM191" s="241"/>
      <c r="AN191" s="241"/>
      <c r="AO191" s="241"/>
      <c r="AP191" s="241"/>
      <c r="AQ191" s="241"/>
      <c r="AR191" s="241"/>
      <c r="AS191" s="241" t="s">
        <v>1028</v>
      </c>
      <c r="AT191" s="241" t="s">
        <v>1029</v>
      </c>
      <c r="AU191" s="241" t="s">
        <v>1030</v>
      </c>
      <c r="AV191" s="303" t="str">
        <f t="shared" si="52"/>
        <v>F15-14-18-ALL</v>
      </c>
      <c r="AW191" s="241" t="s">
        <v>2402</v>
      </c>
      <c r="AX191" s="279" t="str">
        <f t="shared" si="50"/>
        <v>F15-14-18-ALL-Viking36</v>
      </c>
    </row>
    <row r="192" spans="1:50" ht="15.75" thickBot="1" x14ac:dyDescent="0.3">
      <c r="A192" s="190" t="str">
        <f t="shared" si="31"/>
        <v>A65</v>
      </c>
      <c r="B192" s="279" t="str">
        <f t="shared" si="34"/>
        <v/>
      </c>
      <c r="C192" s="279"/>
      <c r="D192" s="279"/>
      <c r="E192" s="279" t="str">
        <f t="shared" si="32"/>
        <v/>
      </c>
      <c r="F192" s="241" t="s">
        <v>535</v>
      </c>
      <c r="G192" s="242">
        <v>44684</v>
      </c>
      <c r="H192" s="243"/>
      <c r="I192" s="243"/>
      <c r="J192" s="243" t="s">
        <v>402</v>
      </c>
      <c r="K192" s="243" t="s">
        <v>1059</v>
      </c>
      <c r="L192" s="243" t="s">
        <v>1209</v>
      </c>
      <c r="M192" s="243" t="s">
        <v>559</v>
      </c>
      <c r="N192" s="243">
        <v>55</v>
      </c>
      <c r="O192" s="244" t="s">
        <v>967</v>
      </c>
      <c r="P192" s="244" t="s">
        <v>1204</v>
      </c>
      <c r="Q192" s="231" t="str">
        <f t="shared" si="33"/>
        <v>A65. Vent, DASH - FRONT RIGHT</v>
      </c>
      <c r="R192" s="284" t="str">
        <f>HYPERLINK(VLOOKUP(O192,'3D. Pictures'!$B$3:$E$500,4,FALSE),"PIC")</f>
        <v>PIC</v>
      </c>
      <c r="S192" s="373" t="str">
        <f t="shared" si="36"/>
        <v>E.G.</v>
      </c>
      <c r="T192" s="377" t="str">
        <f>IF(O192&lt;&gt;"",_xlfn.XLOOKUP(O192,'3D. Pictures'!B:B,'3D. Pictures'!E:E,"NOT FOUND",0,1),"")</f>
        <v>https://viking-pictures.s3.us-west-1.amazonaws.com/AA1155/A65.+Vent%2C+DASH+-+FRONT+RIGHT+(1).JPG</v>
      </c>
      <c r="U192" s="243">
        <v>4</v>
      </c>
      <c r="V192" s="243">
        <v>9252650</v>
      </c>
      <c r="W192" s="243" t="s">
        <v>111</v>
      </c>
      <c r="X192" s="243"/>
      <c r="Y192" s="205"/>
      <c r="Z192" s="243"/>
      <c r="AA192" s="243" t="s">
        <v>447</v>
      </c>
      <c r="AB192" s="243" t="s">
        <v>447</v>
      </c>
      <c r="AC192" s="358" t="str">
        <f t="shared" si="35"/>
        <v/>
      </c>
      <c r="AD192" s="243"/>
      <c r="AE192" s="243"/>
      <c r="AF192" s="179" t="s">
        <v>543</v>
      </c>
      <c r="AG192" s="243"/>
      <c r="AH192" s="16">
        <v>90</v>
      </c>
      <c r="AI192" s="380">
        <f t="shared" si="37"/>
        <v>90</v>
      </c>
      <c r="AJ192" s="246" t="s">
        <v>408</v>
      </c>
      <c r="AK192" s="246" t="s">
        <v>425</v>
      </c>
      <c r="AL192" s="246" t="s">
        <v>2175</v>
      </c>
      <c r="AM192" s="241"/>
      <c r="AN192" s="241"/>
      <c r="AO192" s="241"/>
      <c r="AP192" s="241"/>
      <c r="AQ192" s="241"/>
      <c r="AR192" s="241"/>
      <c r="AS192" s="241" t="s">
        <v>1028</v>
      </c>
      <c r="AT192" s="241" t="s">
        <v>1029</v>
      </c>
      <c r="AU192" s="241" t="s">
        <v>1030</v>
      </c>
      <c r="AV192" s="303" t="str">
        <f t="shared" si="52"/>
        <v>F15-14-18-ALL</v>
      </c>
      <c r="AW192" s="241" t="s">
        <v>2403</v>
      </c>
      <c r="AX192" s="279" t="str">
        <f t="shared" si="50"/>
        <v>F15-14-18-ALL-Viking37</v>
      </c>
    </row>
    <row r="193" spans="1:50" x14ac:dyDescent="0.25">
      <c r="A193" s="190" t="str">
        <f t="shared" si="31"/>
        <v/>
      </c>
      <c r="B193" s="279" t="str">
        <f t="shared" si="34"/>
        <v/>
      </c>
      <c r="C193" s="279"/>
      <c r="D193" s="279"/>
      <c r="E193" s="279" t="str">
        <f t="shared" si="32"/>
        <v/>
      </c>
      <c r="F193" t="s">
        <v>535</v>
      </c>
      <c r="G193" s="188">
        <v>44684</v>
      </c>
      <c r="H193" s="16"/>
      <c r="I193" s="16"/>
      <c r="J193" s="16" t="s">
        <v>402</v>
      </c>
      <c r="K193" s="16" t="s">
        <v>1059</v>
      </c>
      <c r="L193" s="16" t="s">
        <v>1209</v>
      </c>
      <c r="M193" s="16" t="s">
        <v>559</v>
      </c>
      <c r="N193" s="16"/>
      <c r="O193" s="166"/>
      <c r="P193" s="166"/>
      <c r="Q193" s="231" t="str">
        <f t="shared" si="33"/>
        <v>. Vent, DASH - REAR CENTER CONSOLE</v>
      </c>
      <c r="R193" s="231"/>
      <c r="S193" s="231" t="str">
        <f t="shared" si="36"/>
        <v/>
      </c>
      <c r="T193" s="231" t="str">
        <f>IF(O193&lt;&gt;"",_xlfn.XLOOKUP(O193,'3D. Pictures'!B:B,'3D. Pictures'!E:E,"NOT FOUND",0,1),"")</f>
        <v/>
      </c>
      <c r="U193" s="16"/>
      <c r="V193" s="16"/>
      <c r="W193" s="16"/>
      <c r="X193" s="16"/>
      <c r="Y193" s="16"/>
      <c r="Z193" s="16"/>
      <c r="AA193" s="16" t="s">
        <v>454</v>
      </c>
      <c r="AB193" s="16" t="s">
        <v>454</v>
      </c>
      <c r="AC193" s="358" t="str">
        <f t="shared" si="35"/>
        <v/>
      </c>
      <c r="AD193" s="16"/>
      <c r="AE193" s="16"/>
      <c r="AF193" s="168" t="s">
        <v>543</v>
      </c>
      <c r="AG193" s="16"/>
      <c r="AH193" s="16">
        <v>80</v>
      </c>
      <c r="AI193" s="380">
        <f t="shared" si="37"/>
        <v>80</v>
      </c>
      <c r="AJ193" s="3" t="s">
        <v>408</v>
      </c>
      <c r="AK193" s="3" t="s">
        <v>425</v>
      </c>
      <c r="AL193" s="3" t="s">
        <v>2175</v>
      </c>
      <c r="AX193" s="279" t="str">
        <f t="shared" si="50"/>
        <v/>
      </c>
    </row>
    <row r="194" spans="1:50" x14ac:dyDescent="0.25">
      <c r="A194" s="190" t="str">
        <f t="shared" ref="A194:A257" si="53">IF(O194&lt;&gt;"",O194,"")</f>
        <v/>
      </c>
      <c r="B194" s="279" t="str">
        <f t="shared" si="34"/>
        <v>268-11967</v>
      </c>
      <c r="C194" s="279"/>
      <c r="D194" s="279"/>
      <c r="E194" s="279">
        <f t="shared" ref="E194:E257" si="54">IF(B194&lt;&gt;"",COUNTIF($B$9:$B$2241,B194),"")</f>
        <v>1</v>
      </c>
      <c r="F194" s="190" t="s">
        <v>535</v>
      </c>
      <c r="G194" s="198">
        <v>44670</v>
      </c>
      <c r="H194" s="199"/>
      <c r="I194" s="200" t="s">
        <v>7</v>
      </c>
      <c r="J194" s="201" t="s">
        <v>402</v>
      </c>
      <c r="K194" s="201" t="s">
        <v>1059</v>
      </c>
      <c r="L194" s="201" t="s">
        <v>824</v>
      </c>
      <c r="M194" s="200" t="s">
        <v>558</v>
      </c>
      <c r="N194" s="200"/>
      <c r="O194" s="230"/>
      <c r="P194" s="230"/>
      <c r="Q194" s="231" t="str">
        <f t="shared" ref="Q194:Q257" si="55">CONCATENATE(O194,". ",AB194)</f>
        <v>. Visors SET 2 WITH Visor Clips if Good (toss all if 1 visor bad)</v>
      </c>
      <c r="R194" s="231"/>
      <c r="S194" s="231" t="str">
        <f t="shared" si="36"/>
        <v/>
      </c>
      <c r="T194" s="231" t="str">
        <f>IF(O194&lt;&gt;"",_xlfn.XLOOKUP(O194,'3D. Pictures'!B:B,'3D. Pictures'!E:E,"NOT FOUND",0,1),"")</f>
        <v/>
      </c>
      <c r="U194" s="200"/>
      <c r="V194" s="201"/>
      <c r="W194" s="200"/>
      <c r="X194" s="201"/>
      <c r="Y194" s="201"/>
      <c r="Z194" s="192" t="s">
        <v>2077</v>
      </c>
      <c r="AA194" s="201" t="s">
        <v>824</v>
      </c>
      <c r="AB194" s="201" t="s">
        <v>2499</v>
      </c>
      <c r="AC194" s="247" t="str">
        <f t="shared" si="35"/>
        <v>SET2 WITH Visor Clips if Good (toss all if 1 visor bad)</v>
      </c>
      <c r="AD194" s="201" t="s">
        <v>1201</v>
      </c>
      <c r="AE194" s="201"/>
      <c r="AF194" s="201" t="s">
        <v>544</v>
      </c>
      <c r="AG194" s="201" t="s">
        <v>443</v>
      </c>
      <c r="AH194" s="168">
        <v>115</v>
      </c>
      <c r="AI194" s="380">
        <f t="shared" si="37"/>
        <v>115</v>
      </c>
      <c r="AJ194" s="204" t="s">
        <v>408</v>
      </c>
      <c r="AK194" s="204" t="s">
        <v>425</v>
      </c>
      <c r="AL194" s="204" t="s">
        <v>2175</v>
      </c>
      <c r="AM194" s="190"/>
      <c r="AN194" s="191" t="s">
        <v>633</v>
      </c>
      <c r="AO194" s="190" t="s">
        <v>572</v>
      </c>
      <c r="AP194" s="190">
        <v>11967</v>
      </c>
      <c r="AQ194" s="190" t="str">
        <f>CONCATENATE(AN194,AO194,AP194)</f>
        <v>268-11967</v>
      </c>
      <c r="AR194" s="190"/>
      <c r="AS194" s="190"/>
      <c r="AT194" s="190"/>
      <c r="AU194" s="190"/>
      <c r="AV194" s="190"/>
      <c r="AW194" s="190"/>
      <c r="AX194" s="279" t="str">
        <f t="shared" si="50"/>
        <v/>
      </c>
    </row>
    <row r="195" spans="1:50" x14ac:dyDescent="0.25">
      <c r="A195" s="190" t="str">
        <f t="shared" si="53"/>
        <v/>
      </c>
      <c r="B195" s="279" t="str">
        <f t="shared" ref="B195:B258" si="56">IF(AQ195&lt;&gt;"",AQ195,"")</f>
        <v/>
      </c>
      <c r="C195" s="279"/>
      <c r="D195" s="279"/>
      <c r="E195" s="279" t="str">
        <f t="shared" si="54"/>
        <v/>
      </c>
      <c r="F195" t="s">
        <v>535</v>
      </c>
      <c r="G195" s="188">
        <v>44683</v>
      </c>
      <c r="H195" s="10"/>
      <c r="I195" s="10"/>
      <c r="J195" s="10" t="s">
        <v>405</v>
      </c>
      <c r="K195" s="10" t="s">
        <v>1059</v>
      </c>
      <c r="L195" s="10" t="s">
        <v>2692</v>
      </c>
      <c r="M195" s="16" t="s">
        <v>559</v>
      </c>
      <c r="N195" s="16"/>
      <c r="O195" s="166"/>
      <c r="P195" s="166"/>
      <c r="Q195" s="231" t="str">
        <f t="shared" si="55"/>
        <v>. A/C HVAC Blend Door Flap Motors &amp; Harness</v>
      </c>
      <c r="R195" s="231"/>
      <c r="S195" s="231" t="str">
        <f t="shared" si="36"/>
        <v/>
      </c>
      <c r="T195" s="231" t="str">
        <f>IF(O195&lt;&gt;"",_xlfn.XLOOKUP(O195,'3D. Pictures'!B:B,'3D. Pictures'!E:E,"NOT FOUND",0,1),"")</f>
        <v/>
      </c>
      <c r="U195" s="16"/>
      <c r="V195" s="16"/>
      <c r="W195" s="16"/>
      <c r="X195" s="16"/>
      <c r="Y195" s="201"/>
      <c r="Z195" s="16"/>
      <c r="AA195" s="10" t="s">
        <v>2589</v>
      </c>
      <c r="AB195" s="10" t="s">
        <v>2589</v>
      </c>
      <c r="AC195" s="359" t="str">
        <f t="shared" ref="AC195:AC258" si="57">_xlfn.TEXTJOIN(" | ",TRUE,AD195,AE195)</f>
        <v>TOSS ALL</v>
      </c>
      <c r="AD195" s="10" t="s">
        <v>2575</v>
      </c>
      <c r="AE195" s="10"/>
      <c r="AF195" s="168" t="s">
        <v>543</v>
      </c>
      <c r="AG195" s="10"/>
      <c r="AH195" s="10"/>
      <c r="AI195" s="380" t="str">
        <f t="shared" si="37"/>
        <v/>
      </c>
      <c r="AJ195" s="3" t="s">
        <v>408</v>
      </c>
      <c r="AK195" s="3" t="s">
        <v>425</v>
      </c>
      <c r="AL195" s="3" t="s">
        <v>2175</v>
      </c>
      <c r="AX195" s="279" t="str">
        <f t="shared" si="50"/>
        <v/>
      </c>
    </row>
    <row r="196" spans="1:50" x14ac:dyDescent="0.25">
      <c r="A196" s="190" t="str">
        <f t="shared" si="53"/>
        <v/>
      </c>
      <c r="B196" s="279" t="str">
        <f t="shared" si="56"/>
        <v/>
      </c>
      <c r="C196" s="279"/>
      <c r="D196" s="279"/>
      <c r="E196" s="279" t="str">
        <f t="shared" si="54"/>
        <v/>
      </c>
      <c r="F196" t="s">
        <v>535</v>
      </c>
      <c r="G196" s="188">
        <v>44684</v>
      </c>
      <c r="H196" s="10"/>
      <c r="I196" s="10"/>
      <c r="J196" s="10" t="s">
        <v>405</v>
      </c>
      <c r="K196" s="10" t="s">
        <v>1059</v>
      </c>
      <c r="L196" s="10" t="s">
        <v>692</v>
      </c>
      <c r="M196" s="18" t="s">
        <v>562</v>
      </c>
      <c r="N196" s="18"/>
      <c r="O196" s="235"/>
      <c r="P196" s="235"/>
      <c r="Q196" s="231" t="str">
        <f t="shared" si="55"/>
        <v>. Blower Motor Assembly, REAR &amp; CENTER CONSOLE</v>
      </c>
      <c r="R196" s="231"/>
      <c r="S196" s="231" t="str">
        <f t="shared" ref="S196:S259" si="58">IF(T196&lt;&gt;"",HYPERLINK(T196,"E.G."),"")</f>
        <v/>
      </c>
      <c r="T196" s="231" t="str">
        <f>IF(O196&lt;&gt;"",_xlfn.XLOOKUP(O196,'3D. Pictures'!B:B,'3D. Pictures'!E:E,"NOT FOUND",0,1),"")</f>
        <v/>
      </c>
      <c r="U196" s="18"/>
      <c r="V196" s="16"/>
      <c r="W196" s="18"/>
      <c r="X196" s="16"/>
      <c r="Y196" s="201"/>
      <c r="Z196" s="16"/>
      <c r="AA196" s="10" t="s">
        <v>2720</v>
      </c>
      <c r="AB196" s="10" t="s">
        <v>2720</v>
      </c>
      <c r="AC196" s="359" t="str">
        <f t="shared" si="57"/>
        <v>TOSS BOTH including resistors (KEEP front blower)</v>
      </c>
      <c r="AD196" s="10" t="s">
        <v>2721</v>
      </c>
      <c r="AE196" s="10"/>
      <c r="AF196" s="168" t="s">
        <v>543</v>
      </c>
      <c r="AG196" s="16"/>
      <c r="AH196" s="10"/>
      <c r="AI196" s="380" t="str">
        <f t="shared" ref="AI196:AI259" si="59">IF(ISTEXT(AH196), AH196, IFERROR(AVERAGEIF(AA:AA, AA196, AH:AH), ""))</f>
        <v/>
      </c>
      <c r="AJ196" s="3" t="s">
        <v>408</v>
      </c>
      <c r="AK196" s="3" t="s">
        <v>425</v>
      </c>
      <c r="AL196" s="3" t="s">
        <v>2175</v>
      </c>
      <c r="AO196" t="s">
        <v>572</v>
      </c>
      <c r="AX196" s="279" t="str">
        <f t="shared" si="50"/>
        <v/>
      </c>
    </row>
    <row r="197" spans="1:50" x14ac:dyDescent="0.25">
      <c r="A197" s="190" t="str">
        <f t="shared" si="53"/>
        <v/>
      </c>
      <c r="B197" s="279" t="str">
        <f t="shared" si="56"/>
        <v/>
      </c>
      <c r="C197" s="279"/>
      <c r="D197" s="279"/>
      <c r="E197" s="279" t="str">
        <f t="shared" si="54"/>
        <v/>
      </c>
      <c r="F197" t="s">
        <v>535</v>
      </c>
      <c r="G197" s="188">
        <v>44683</v>
      </c>
      <c r="H197" s="10"/>
      <c r="I197" s="10"/>
      <c r="J197" s="10" t="s">
        <v>405</v>
      </c>
      <c r="K197" s="10" t="s">
        <v>1059</v>
      </c>
      <c r="L197" s="10" t="s">
        <v>2698</v>
      </c>
      <c r="M197" s="16" t="s">
        <v>559</v>
      </c>
      <c r="N197" s="16"/>
      <c r="O197" s="166"/>
      <c r="P197" s="166"/>
      <c r="Q197" s="231" t="str">
        <f t="shared" si="55"/>
        <v>. Dome Lights, ALL EXCEPT front primary one</v>
      </c>
      <c r="R197" s="231"/>
      <c r="S197" s="231" t="str">
        <f t="shared" si="58"/>
        <v/>
      </c>
      <c r="T197" s="231" t="str">
        <f>IF(O197&lt;&gt;"",_xlfn.XLOOKUP(O197,'3D. Pictures'!B:B,'3D. Pictures'!E:E,"NOT FOUND",0,1),"")</f>
        <v/>
      </c>
      <c r="U197" s="16"/>
      <c r="V197" s="16"/>
      <c r="W197" s="16"/>
      <c r="X197" s="16"/>
      <c r="Y197" s="201"/>
      <c r="Z197" s="16"/>
      <c r="AA197" s="10" t="s">
        <v>2587</v>
      </c>
      <c r="AB197" s="10" t="s">
        <v>2587</v>
      </c>
      <c r="AC197" s="359" t="str">
        <f t="shared" si="57"/>
        <v>keep primary front center roof, toss all others</v>
      </c>
      <c r="AD197" s="10" t="s">
        <v>2588</v>
      </c>
      <c r="AE197" s="10"/>
      <c r="AF197" s="168" t="s">
        <v>543</v>
      </c>
      <c r="AG197" s="10"/>
      <c r="AH197" s="10"/>
      <c r="AI197" s="380" t="str">
        <f t="shared" si="59"/>
        <v/>
      </c>
      <c r="AJ197" s="3" t="s">
        <v>408</v>
      </c>
      <c r="AK197" s="3" t="s">
        <v>425</v>
      </c>
      <c r="AL197" s="3" t="s">
        <v>2175</v>
      </c>
      <c r="AX197" s="279" t="str">
        <f t="shared" si="50"/>
        <v/>
      </c>
    </row>
    <row r="198" spans="1:50" x14ac:dyDescent="0.25">
      <c r="A198" s="190" t="str">
        <f t="shared" si="53"/>
        <v/>
      </c>
      <c r="B198" s="279" t="str">
        <f t="shared" si="56"/>
        <v/>
      </c>
      <c r="C198" s="279"/>
      <c r="D198" s="279"/>
      <c r="E198" s="279" t="str">
        <f t="shared" si="54"/>
        <v/>
      </c>
      <c r="F198" t="s">
        <v>535</v>
      </c>
      <c r="G198" s="188">
        <v>44684</v>
      </c>
      <c r="H198" s="10"/>
      <c r="I198" s="10"/>
      <c r="J198" s="10" t="s">
        <v>405</v>
      </c>
      <c r="K198" s="15" t="s">
        <v>1059</v>
      </c>
      <c r="L198" s="10" t="s">
        <v>1292</v>
      </c>
      <c r="M198" s="16" t="s">
        <v>559</v>
      </c>
      <c r="N198" s="16"/>
      <c r="O198" s="166"/>
      <c r="P198" s="166"/>
      <c r="Q198" s="231" t="str">
        <f t="shared" si="55"/>
        <v>. Glove Box, LEFT FRONT DASH smaller one</v>
      </c>
      <c r="R198" s="231"/>
      <c r="S198" s="231" t="str">
        <f t="shared" si="58"/>
        <v/>
      </c>
      <c r="T198" s="231" t="str">
        <f>IF(O198&lt;&gt;"",_xlfn.XLOOKUP(O198,'3D. Pictures'!B:B,'3D. Pictures'!E:E,"NOT FOUND",0,1),"")</f>
        <v/>
      </c>
      <c r="U198" s="16"/>
      <c r="V198" s="16"/>
      <c r="W198" s="16"/>
      <c r="X198" s="16"/>
      <c r="Y198" s="201"/>
      <c r="Z198" s="16"/>
      <c r="AA198" s="10" t="s">
        <v>2585</v>
      </c>
      <c r="AB198" s="10" t="s">
        <v>2585</v>
      </c>
      <c r="AC198" s="359" t="str">
        <f t="shared" si="57"/>
        <v>DO KEEP the primary RF dash one</v>
      </c>
      <c r="AD198" s="10"/>
      <c r="AE198" s="10" t="s">
        <v>2586</v>
      </c>
      <c r="AF198" s="168" t="s">
        <v>543</v>
      </c>
      <c r="AG198" s="10"/>
      <c r="AH198" s="10"/>
      <c r="AI198" s="380" t="str">
        <f t="shared" si="59"/>
        <v/>
      </c>
      <c r="AJ198" s="3" t="s">
        <v>408</v>
      </c>
      <c r="AK198" s="3" t="s">
        <v>425</v>
      </c>
      <c r="AL198" s="3" t="s">
        <v>2175</v>
      </c>
      <c r="AX198" s="279" t="str">
        <f t="shared" si="50"/>
        <v/>
      </c>
    </row>
    <row r="199" spans="1:50" x14ac:dyDescent="0.25">
      <c r="A199" s="190" t="str">
        <f t="shared" si="53"/>
        <v/>
      </c>
      <c r="B199" s="279" t="str">
        <f t="shared" si="56"/>
        <v/>
      </c>
      <c r="C199" s="279"/>
      <c r="D199" s="279"/>
      <c r="E199" s="279" t="str">
        <f t="shared" si="54"/>
        <v/>
      </c>
      <c r="F199" t="s">
        <v>535</v>
      </c>
      <c r="G199" s="188">
        <v>44683</v>
      </c>
      <c r="H199" s="10"/>
      <c r="I199" s="10"/>
      <c r="J199" s="10" t="s">
        <v>405</v>
      </c>
      <c r="K199" s="10" t="s">
        <v>1059</v>
      </c>
      <c r="L199" s="10" t="s">
        <v>2693</v>
      </c>
      <c r="M199" s="16" t="s">
        <v>559</v>
      </c>
      <c r="N199" s="16"/>
      <c r="O199" s="166"/>
      <c r="P199" s="166"/>
      <c r="Q199" s="231" t="str">
        <f t="shared" si="55"/>
        <v>. Grab Handles / Oh Shit Bars</v>
      </c>
      <c r="R199" s="231"/>
      <c r="S199" s="231" t="str">
        <f t="shared" si="58"/>
        <v/>
      </c>
      <c r="T199" s="231" t="str">
        <f>IF(O199&lt;&gt;"",_xlfn.XLOOKUP(O199,'3D. Pictures'!B:B,'3D. Pictures'!E:E,"NOT FOUND",0,1),"")</f>
        <v/>
      </c>
      <c r="U199" s="16"/>
      <c r="V199" s="16"/>
      <c r="W199" s="16"/>
      <c r="X199" s="16"/>
      <c r="Y199" s="168"/>
      <c r="Z199" s="16"/>
      <c r="AA199" s="10" t="s">
        <v>2584</v>
      </c>
      <c r="AB199" s="10" t="s">
        <v>2584</v>
      </c>
      <c r="AC199" s="359" t="str">
        <f t="shared" si="57"/>
        <v>TOSS ALL</v>
      </c>
      <c r="AD199" s="10" t="s">
        <v>2575</v>
      </c>
      <c r="AE199" s="10"/>
      <c r="AF199" s="168" t="s">
        <v>543</v>
      </c>
      <c r="AG199" s="10"/>
      <c r="AH199" s="10"/>
      <c r="AI199" s="380" t="str">
        <f t="shared" si="59"/>
        <v/>
      </c>
      <c r="AJ199" s="3" t="s">
        <v>408</v>
      </c>
      <c r="AK199" s="3" t="s">
        <v>425</v>
      </c>
      <c r="AL199" s="3" t="s">
        <v>2175</v>
      </c>
      <c r="AN199" s="176"/>
      <c r="AO199" s="176"/>
      <c r="AP199" s="176"/>
      <c r="AQ199" s="176"/>
      <c r="AR199" s="176"/>
      <c r="AS199" s="176"/>
      <c r="AT199" s="176"/>
      <c r="AU199" s="176"/>
      <c r="AV199" s="176"/>
      <c r="AW199" s="176"/>
      <c r="AX199" s="279" t="str">
        <f t="shared" si="50"/>
        <v/>
      </c>
    </row>
    <row r="200" spans="1:50" x14ac:dyDescent="0.25">
      <c r="A200" s="190" t="str">
        <f t="shared" si="53"/>
        <v/>
      </c>
      <c r="B200" s="279" t="str">
        <f t="shared" si="56"/>
        <v/>
      </c>
      <c r="C200" s="279"/>
      <c r="D200" s="279"/>
      <c r="E200" s="279" t="str">
        <f t="shared" si="54"/>
        <v/>
      </c>
      <c r="F200" t="s">
        <v>535</v>
      </c>
      <c r="G200" s="188">
        <v>44683</v>
      </c>
      <c r="H200" s="10"/>
      <c r="I200" s="10"/>
      <c r="J200" s="10" t="s">
        <v>405</v>
      </c>
      <c r="K200" s="10" t="s">
        <v>1059</v>
      </c>
      <c r="L200" s="10" t="s">
        <v>2694</v>
      </c>
      <c r="M200" s="16" t="s">
        <v>559</v>
      </c>
      <c r="N200" s="16"/>
      <c r="O200" s="166"/>
      <c r="P200" s="166"/>
      <c r="Q200" s="231" t="str">
        <f t="shared" si="55"/>
        <v>. Microphone, Hands Free Roof Mounted Mics</v>
      </c>
      <c r="R200" s="231"/>
      <c r="S200" s="231" t="str">
        <f t="shared" si="58"/>
        <v/>
      </c>
      <c r="T200" s="231" t="str">
        <f>IF(O200&lt;&gt;"",_xlfn.XLOOKUP(O200,'3D. Pictures'!B:B,'3D. Pictures'!E:E,"NOT FOUND",0,1),"")</f>
        <v/>
      </c>
      <c r="U200" s="16"/>
      <c r="V200" s="16"/>
      <c r="W200" s="16"/>
      <c r="X200" s="16"/>
      <c r="Y200" s="16"/>
      <c r="Z200" s="16"/>
      <c r="AA200" s="10" t="s">
        <v>2583</v>
      </c>
      <c r="AB200" s="10" t="s">
        <v>2583</v>
      </c>
      <c r="AC200" s="359" t="str">
        <f t="shared" si="57"/>
        <v>TOSS ALL</v>
      </c>
      <c r="AD200" s="10" t="s">
        <v>2575</v>
      </c>
      <c r="AE200" s="10"/>
      <c r="AF200" s="168" t="s">
        <v>543</v>
      </c>
      <c r="AG200" s="10"/>
      <c r="AH200" s="10"/>
      <c r="AI200" s="380" t="str">
        <f t="shared" si="59"/>
        <v/>
      </c>
      <c r="AJ200" s="3" t="s">
        <v>408</v>
      </c>
      <c r="AK200" s="3" t="s">
        <v>425</v>
      </c>
      <c r="AL200" s="3" t="s">
        <v>2175</v>
      </c>
      <c r="AX200" s="279" t="str">
        <f t="shared" si="50"/>
        <v/>
      </c>
    </row>
    <row r="201" spans="1:50" x14ac:dyDescent="0.25">
      <c r="A201" s="190" t="str">
        <f t="shared" si="53"/>
        <v/>
      </c>
      <c r="B201" s="279" t="str">
        <f t="shared" si="56"/>
        <v/>
      </c>
      <c r="C201" s="279"/>
      <c r="D201" s="279"/>
      <c r="E201" s="279" t="str">
        <f t="shared" si="54"/>
        <v/>
      </c>
      <c r="F201" t="s">
        <v>535</v>
      </c>
      <c r="G201" s="188">
        <v>44683</v>
      </c>
      <c r="H201" s="10"/>
      <c r="I201" s="10"/>
      <c r="J201" s="10" t="s">
        <v>405</v>
      </c>
      <c r="K201" s="10" t="s">
        <v>1059</v>
      </c>
      <c r="L201" s="10" t="s">
        <v>2695</v>
      </c>
      <c r="M201" s="16" t="s">
        <v>559</v>
      </c>
      <c r="N201" s="16"/>
      <c r="O201" s="166"/>
      <c r="P201" s="166"/>
      <c r="Q201" s="231" t="str">
        <f t="shared" si="55"/>
        <v>. Pedal, Gas Pedal</v>
      </c>
      <c r="R201" s="231"/>
      <c r="S201" s="231" t="str">
        <f t="shared" si="58"/>
        <v/>
      </c>
      <c r="T201" s="231" t="str">
        <f>IF(O201&lt;&gt;"",_xlfn.XLOOKUP(O201,'3D. Pictures'!B:B,'3D. Pictures'!E:E,"NOT FOUND",0,1),"")</f>
        <v/>
      </c>
      <c r="U201" s="16"/>
      <c r="V201" s="16"/>
      <c r="W201" s="16"/>
      <c r="X201" s="16"/>
      <c r="Y201" s="201"/>
      <c r="Z201" s="16"/>
      <c r="AA201" s="10" t="s">
        <v>441</v>
      </c>
      <c r="AB201" s="10" t="s">
        <v>441</v>
      </c>
      <c r="AC201" s="359" t="str">
        <f t="shared" si="57"/>
        <v/>
      </c>
      <c r="AD201" s="10"/>
      <c r="AE201" s="10"/>
      <c r="AF201" s="168" t="s">
        <v>543</v>
      </c>
      <c r="AG201" s="10"/>
      <c r="AH201" s="10"/>
      <c r="AI201" s="380" t="str">
        <f t="shared" si="59"/>
        <v/>
      </c>
      <c r="AJ201" s="3" t="s">
        <v>408</v>
      </c>
      <c r="AK201" s="3" t="s">
        <v>425</v>
      </c>
      <c r="AL201" s="3" t="s">
        <v>2175</v>
      </c>
      <c r="AX201" s="279" t="str">
        <f t="shared" si="50"/>
        <v/>
      </c>
    </row>
    <row r="202" spans="1:50" x14ac:dyDescent="0.25">
      <c r="A202" s="190" t="str">
        <f t="shared" si="53"/>
        <v/>
      </c>
      <c r="B202" s="279" t="str">
        <f t="shared" si="56"/>
        <v/>
      </c>
      <c r="C202" s="279"/>
      <c r="D202" s="279"/>
      <c r="E202" s="279" t="str">
        <f t="shared" si="54"/>
        <v/>
      </c>
      <c r="F202" t="s">
        <v>535</v>
      </c>
      <c r="G202" s="188">
        <v>44684</v>
      </c>
      <c r="H202" s="10"/>
      <c r="I202" s="10"/>
      <c r="J202" s="10" t="s">
        <v>405</v>
      </c>
      <c r="K202" s="15" t="s">
        <v>1059</v>
      </c>
      <c r="L202" s="10" t="s">
        <v>2688</v>
      </c>
      <c r="M202" s="16" t="s">
        <v>559</v>
      </c>
      <c r="N202" s="16"/>
      <c r="O202" s="166"/>
      <c r="P202" s="166"/>
      <c r="Q202" s="231" t="str">
        <f t="shared" si="55"/>
        <v>. REAR CENTER CONSOLE Storage Tray, Trim Panel &amp; 12v Sockets</v>
      </c>
      <c r="R202" s="231"/>
      <c r="S202" s="231" t="str">
        <f t="shared" si="58"/>
        <v/>
      </c>
      <c r="T202" s="231" t="str">
        <f>IF(O202&lt;&gt;"",_xlfn.XLOOKUP(O202,'3D. Pictures'!B:B,'3D. Pictures'!E:E,"NOT FOUND",0,1),"")</f>
        <v/>
      </c>
      <c r="U202" s="16"/>
      <c r="V202" s="16"/>
      <c r="W202" s="16"/>
      <c r="X202" s="16"/>
      <c r="Y202" s="201"/>
      <c r="Z202" s="16"/>
      <c r="AA202" s="10" t="s">
        <v>2581</v>
      </c>
      <c r="AB202" s="10" t="s">
        <v>2581</v>
      </c>
      <c r="AC202" s="359" t="str">
        <f t="shared" si="57"/>
        <v>TOSS, but DO KEEP vent &amp; climate control</v>
      </c>
      <c r="AD202" s="10" t="s">
        <v>2582</v>
      </c>
      <c r="AE202" s="10"/>
      <c r="AF202" s="168" t="s">
        <v>543</v>
      </c>
      <c r="AG202" s="10"/>
      <c r="AH202" s="10"/>
      <c r="AI202" s="380" t="str">
        <f t="shared" si="59"/>
        <v/>
      </c>
      <c r="AJ202" s="3" t="s">
        <v>408</v>
      </c>
      <c r="AK202" s="3" t="s">
        <v>425</v>
      </c>
      <c r="AL202" s="3" t="s">
        <v>2175</v>
      </c>
      <c r="AX202" s="279" t="str">
        <f t="shared" si="50"/>
        <v/>
      </c>
    </row>
    <row r="203" spans="1:50" x14ac:dyDescent="0.25">
      <c r="A203" s="190" t="str">
        <f t="shared" si="53"/>
        <v/>
      </c>
      <c r="B203" s="279" t="str">
        <f t="shared" si="56"/>
        <v/>
      </c>
      <c r="C203" s="279"/>
      <c r="D203" s="279"/>
      <c r="E203" s="279" t="str">
        <f t="shared" si="54"/>
        <v/>
      </c>
      <c r="F203" t="s">
        <v>535</v>
      </c>
      <c r="G203" s="188">
        <v>44684</v>
      </c>
      <c r="H203" s="10"/>
      <c r="I203" s="10"/>
      <c r="J203" s="10" t="s">
        <v>405</v>
      </c>
      <c r="K203" s="15" t="s">
        <v>1059</v>
      </c>
      <c r="L203" s="10" t="s">
        <v>2580</v>
      </c>
      <c r="M203" s="16" t="s">
        <v>559</v>
      </c>
      <c r="N203" s="16"/>
      <c r="O203" s="166"/>
      <c r="P203" s="166"/>
      <c r="Q203" s="231" t="str">
        <f t="shared" si="55"/>
        <v>. Speaker Grilles</v>
      </c>
      <c r="R203" s="231"/>
      <c r="S203" s="231" t="str">
        <f t="shared" si="58"/>
        <v/>
      </c>
      <c r="T203" s="231" t="str">
        <f>IF(O203&lt;&gt;"",_xlfn.XLOOKUP(O203,'3D. Pictures'!B:B,'3D. Pictures'!E:E,"NOT FOUND",0,1),"")</f>
        <v/>
      </c>
      <c r="U203" s="16"/>
      <c r="V203" s="16"/>
      <c r="W203" s="16"/>
      <c r="X203" s="16"/>
      <c r="Y203" s="226"/>
      <c r="Z203" s="16"/>
      <c r="AA203" s="10" t="s">
        <v>2580</v>
      </c>
      <c r="AB203" s="10" t="s">
        <v>2580</v>
      </c>
      <c r="AC203" s="359" t="str">
        <f t="shared" si="57"/>
        <v>TOSS ALL</v>
      </c>
      <c r="AD203" s="10" t="s">
        <v>2575</v>
      </c>
      <c r="AE203" s="10"/>
      <c r="AF203" s="168" t="s">
        <v>543</v>
      </c>
      <c r="AG203" s="10"/>
      <c r="AH203" s="10"/>
      <c r="AI203" s="380" t="str">
        <f t="shared" si="59"/>
        <v/>
      </c>
      <c r="AJ203" s="3" t="s">
        <v>408</v>
      </c>
      <c r="AK203" s="3" t="s">
        <v>425</v>
      </c>
      <c r="AL203" s="3" t="s">
        <v>2175</v>
      </c>
      <c r="AX203" s="279" t="str">
        <f t="shared" si="50"/>
        <v/>
      </c>
    </row>
    <row r="204" spans="1:50" x14ac:dyDescent="0.25">
      <c r="A204" s="190" t="str">
        <f t="shared" si="53"/>
        <v/>
      </c>
      <c r="B204" s="279" t="str">
        <f t="shared" si="56"/>
        <v/>
      </c>
      <c r="C204" s="279"/>
      <c r="D204" s="279"/>
      <c r="E204" s="279" t="str">
        <f t="shared" si="54"/>
        <v/>
      </c>
      <c r="F204" t="s">
        <v>535</v>
      </c>
      <c r="G204" s="188">
        <v>44684</v>
      </c>
      <c r="H204" s="10"/>
      <c r="I204" s="10"/>
      <c r="J204" s="10" t="s">
        <v>405</v>
      </c>
      <c r="K204" s="15" t="s">
        <v>1059</v>
      </c>
      <c r="L204" s="10" t="s">
        <v>2697</v>
      </c>
      <c r="M204" s="16" t="s">
        <v>559</v>
      </c>
      <c r="N204" s="16"/>
      <c r="O204" s="166"/>
      <c r="P204" s="166"/>
      <c r="Q204" s="231" t="str">
        <f t="shared" si="55"/>
        <v>. Speedometer Instrument Gauge Cluster Trim</v>
      </c>
      <c r="R204" s="231"/>
      <c r="S204" s="231" t="str">
        <f t="shared" si="58"/>
        <v/>
      </c>
      <c r="T204" s="231" t="str">
        <f>IF(O204&lt;&gt;"",_xlfn.XLOOKUP(O204,'3D. Pictures'!B:B,'3D. Pictures'!E:E,"NOT FOUND",0,1),"")</f>
        <v/>
      </c>
      <c r="U204" s="16"/>
      <c r="V204" s="16"/>
      <c r="W204" s="16"/>
      <c r="X204" s="16"/>
      <c r="Y204" s="226"/>
      <c r="Z204" s="16"/>
      <c r="AA204" s="10" t="s">
        <v>2579</v>
      </c>
      <c r="AB204" s="10" t="s">
        <v>2579</v>
      </c>
      <c r="AC204" s="359" t="str">
        <f t="shared" si="57"/>
        <v>big plastic piece</v>
      </c>
      <c r="AD204" s="10"/>
      <c r="AE204" s="10" t="s">
        <v>2576</v>
      </c>
      <c r="AF204" s="168" t="s">
        <v>543</v>
      </c>
      <c r="AG204" s="10"/>
      <c r="AH204" s="10"/>
      <c r="AI204" s="380" t="str">
        <f t="shared" si="59"/>
        <v/>
      </c>
      <c r="AJ204" s="3" t="s">
        <v>408</v>
      </c>
      <c r="AK204" s="3" t="s">
        <v>425</v>
      </c>
      <c r="AL204" s="3" t="s">
        <v>2175</v>
      </c>
      <c r="AX204" s="279" t="str">
        <f t="shared" si="50"/>
        <v/>
      </c>
    </row>
    <row r="205" spans="1:50" ht="15.75" thickBot="1" x14ac:dyDescent="0.3">
      <c r="A205" s="190" t="str">
        <f t="shared" si="53"/>
        <v/>
      </c>
      <c r="B205" s="279" t="str">
        <f t="shared" si="56"/>
        <v/>
      </c>
      <c r="C205" s="279"/>
      <c r="D205" s="279"/>
      <c r="E205" s="279" t="str">
        <f t="shared" si="54"/>
        <v/>
      </c>
      <c r="F205" t="s">
        <v>535</v>
      </c>
      <c r="G205" s="188">
        <v>44683</v>
      </c>
      <c r="H205" s="10"/>
      <c r="I205" s="10"/>
      <c r="J205" s="10" t="s">
        <v>405</v>
      </c>
      <c r="K205" s="15" t="s">
        <v>1059</v>
      </c>
      <c r="L205" s="10" t="s">
        <v>2696</v>
      </c>
      <c r="M205" s="16" t="s">
        <v>559</v>
      </c>
      <c r="N205" s="16"/>
      <c r="O205" s="166"/>
      <c r="P205" s="166"/>
      <c r="Q205" s="231" t="str">
        <f t="shared" si="55"/>
        <v>. Steering Column Assembly &amp; Adjust Motors</v>
      </c>
      <c r="R205" s="231"/>
      <c r="S205" s="231" t="str">
        <f t="shared" si="58"/>
        <v/>
      </c>
      <c r="T205" s="231" t="str">
        <f>IF(O205&lt;&gt;"",_xlfn.XLOOKUP(O205,'3D. Pictures'!B:B,'3D. Pictures'!E:E,"NOT FOUND",0,1),"")</f>
        <v/>
      </c>
      <c r="U205" s="16"/>
      <c r="V205" s="16"/>
      <c r="W205" s="16"/>
      <c r="X205" s="16"/>
      <c r="Y205" s="201"/>
      <c r="Z205" s="16"/>
      <c r="AA205" s="10" t="s">
        <v>2578</v>
      </c>
      <c r="AB205" s="10" t="s">
        <v>2578</v>
      </c>
      <c r="AC205" s="359" t="str">
        <f t="shared" si="57"/>
        <v>TOSS ALL | big primary one</v>
      </c>
      <c r="AD205" s="10" t="s">
        <v>2575</v>
      </c>
      <c r="AE205" s="10" t="s">
        <v>2577</v>
      </c>
      <c r="AF205" s="168" t="s">
        <v>543</v>
      </c>
      <c r="AG205" s="10"/>
      <c r="AH205" s="10"/>
      <c r="AI205" s="380" t="str">
        <f t="shared" si="59"/>
        <v/>
      </c>
      <c r="AJ205" s="3" t="s">
        <v>408</v>
      </c>
      <c r="AK205" s="3" t="s">
        <v>425</v>
      </c>
      <c r="AL205" s="3" t="s">
        <v>2175</v>
      </c>
      <c r="AX205" s="279" t="str">
        <f t="shared" si="50"/>
        <v/>
      </c>
    </row>
    <row r="206" spans="1:50" ht="15.75" thickBot="1" x14ac:dyDescent="0.3">
      <c r="A206" s="190" t="str">
        <f t="shared" si="53"/>
        <v>A56</v>
      </c>
      <c r="B206" s="279" t="str">
        <f t="shared" si="56"/>
        <v/>
      </c>
      <c r="C206" s="279"/>
      <c r="D206" s="279"/>
      <c r="E206" s="279" t="str">
        <f t="shared" si="54"/>
        <v/>
      </c>
      <c r="F206" s="241" t="s">
        <v>535</v>
      </c>
      <c r="G206" s="242">
        <v>45218</v>
      </c>
      <c r="H206" s="243"/>
      <c r="I206" s="243"/>
      <c r="J206" s="243" t="s">
        <v>402</v>
      </c>
      <c r="K206" s="244" t="s">
        <v>1059</v>
      </c>
      <c r="L206" s="243" t="s">
        <v>1210</v>
      </c>
      <c r="M206" s="243" t="s">
        <v>559</v>
      </c>
      <c r="N206" s="243">
        <v>46</v>
      </c>
      <c r="O206" s="244" t="s">
        <v>958</v>
      </c>
      <c r="P206" s="244" t="s">
        <v>1204</v>
      </c>
      <c r="Q206" s="231" t="str">
        <f t="shared" si="55"/>
        <v>A56. Steering Wheel Adjust Switch With Steering Wheel Heater</v>
      </c>
      <c r="R206" s="284" t="str">
        <f>HYPERLINK(VLOOKUP(O206,'3D. Pictures'!$B$3:$E$500,4,FALSE),"PIC")</f>
        <v>PIC</v>
      </c>
      <c r="S206" s="373" t="str">
        <f t="shared" si="58"/>
        <v>E.G.</v>
      </c>
      <c r="T206" s="377" t="str">
        <f>IF(O206&lt;&gt;"",_xlfn.XLOOKUP(O206,'3D. Pictures'!B:B,'3D. Pictures'!E:E,"NOT FOUND",0,1),"")</f>
        <v>https://viking-pictures.s3.us-west-1.amazonaws.com/AA1155/A56.+Steering+Wheel+Adjust+Switch+With+Steering+Wheel+Heater+(1).JPG</v>
      </c>
      <c r="U206" s="243">
        <v>5</v>
      </c>
      <c r="V206" s="243">
        <v>9267367</v>
      </c>
      <c r="W206" s="243" t="s">
        <v>111</v>
      </c>
      <c r="X206" s="243"/>
      <c r="Y206" s="201"/>
      <c r="Z206" s="243"/>
      <c r="AA206" s="243" t="s">
        <v>1227</v>
      </c>
      <c r="AB206" s="243" t="s">
        <v>1227</v>
      </c>
      <c r="AC206" s="358" t="str">
        <f t="shared" si="57"/>
        <v/>
      </c>
      <c r="AD206" s="243"/>
      <c r="AE206" s="243"/>
      <c r="AF206" s="179" t="s">
        <v>543</v>
      </c>
      <c r="AG206" s="243"/>
      <c r="AH206" s="16">
        <v>80</v>
      </c>
      <c r="AI206" s="380">
        <f t="shared" si="59"/>
        <v>80</v>
      </c>
      <c r="AJ206" s="246" t="s">
        <v>408</v>
      </c>
      <c r="AK206" s="246" t="s">
        <v>425</v>
      </c>
      <c r="AL206" s="246" t="s">
        <v>2175</v>
      </c>
      <c r="AM206" s="241"/>
      <c r="AN206" s="241"/>
      <c r="AO206" s="241"/>
      <c r="AP206" s="241"/>
      <c r="AQ206" s="241"/>
      <c r="AR206" s="241" t="s">
        <v>1226</v>
      </c>
      <c r="AS206" s="241" t="s">
        <v>1028</v>
      </c>
      <c r="AT206" s="241" t="s">
        <v>1029</v>
      </c>
      <c r="AU206" s="241" t="s">
        <v>1030</v>
      </c>
      <c r="AV206" s="303" t="str">
        <f t="shared" ref="AV206:AV207" si="60">CONCATENATE(AS206,"-",AT206,"-",AU206)</f>
        <v>F15-14-18-ALL</v>
      </c>
      <c r="AW206" s="241" t="s">
        <v>2404</v>
      </c>
      <c r="AX206" s="279" t="str">
        <f t="shared" si="50"/>
        <v>F15-14-18-ALL-Viking38</v>
      </c>
    </row>
    <row r="207" spans="1:50" x14ac:dyDescent="0.25">
      <c r="A207" s="190" t="str">
        <f t="shared" si="53"/>
        <v/>
      </c>
      <c r="B207" s="279" t="str">
        <f t="shared" si="56"/>
        <v/>
      </c>
      <c r="C207" s="279"/>
      <c r="D207" s="279"/>
      <c r="E207" s="279" t="str">
        <f t="shared" si="54"/>
        <v/>
      </c>
      <c r="F207" s="241" t="s">
        <v>535</v>
      </c>
      <c r="G207" s="242">
        <v>45218</v>
      </c>
      <c r="H207" s="243"/>
      <c r="I207" s="243"/>
      <c r="J207" s="243" t="s">
        <v>402</v>
      </c>
      <c r="K207" s="244" t="s">
        <v>1059</v>
      </c>
      <c r="L207" s="243" t="s">
        <v>1210</v>
      </c>
      <c r="M207" s="243" t="s">
        <v>559</v>
      </c>
      <c r="N207" s="243"/>
      <c r="O207" s="244"/>
      <c r="P207" s="244"/>
      <c r="Q207" s="231" t="str">
        <f t="shared" si="55"/>
        <v>. Steering Wheel Adjust Switch Without Steering Wheel Heater</v>
      </c>
      <c r="R207" s="244"/>
      <c r="S207" s="244" t="str">
        <f t="shared" si="58"/>
        <v/>
      </c>
      <c r="T207" s="244" t="str">
        <f>IF(O207&lt;&gt;"",_xlfn.XLOOKUP(O207,'3D. Pictures'!B:B,'3D. Pictures'!E:E,"NOT FOUND",0,1),"")</f>
        <v/>
      </c>
      <c r="U207" s="243"/>
      <c r="V207" s="243"/>
      <c r="W207" s="243"/>
      <c r="X207" s="243"/>
      <c r="Y207" s="226"/>
      <c r="Z207" s="243"/>
      <c r="AA207" s="243" t="s">
        <v>1228</v>
      </c>
      <c r="AB207" s="243" t="s">
        <v>1228</v>
      </c>
      <c r="AC207" s="358" t="str">
        <f t="shared" si="57"/>
        <v/>
      </c>
      <c r="AD207" s="243"/>
      <c r="AE207" s="243"/>
      <c r="AF207" s="179" t="s">
        <v>543</v>
      </c>
      <c r="AG207" s="243"/>
      <c r="AH207" s="16">
        <v>45</v>
      </c>
      <c r="AI207" s="380">
        <f t="shared" si="59"/>
        <v>45</v>
      </c>
      <c r="AJ207" s="246" t="s">
        <v>408</v>
      </c>
      <c r="AK207" s="246" t="s">
        <v>425</v>
      </c>
      <c r="AL207" s="246" t="s">
        <v>2175</v>
      </c>
      <c r="AM207" s="241"/>
      <c r="AN207" s="241"/>
      <c r="AO207" s="241"/>
      <c r="AP207" s="241"/>
      <c r="AQ207" s="241"/>
      <c r="AR207" s="241" t="s">
        <v>1229</v>
      </c>
      <c r="AS207" s="241" t="s">
        <v>1028</v>
      </c>
      <c r="AT207" s="241" t="s">
        <v>1029</v>
      </c>
      <c r="AU207" s="241" t="s">
        <v>1030</v>
      </c>
      <c r="AV207" s="303" t="str">
        <f t="shared" si="60"/>
        <v>F15-14-18-ALL</v>
      </c>
      <c r="AW207" s="241" t="s">
        <v>2405</v>
      </c>
      <c r="AX207" s="279" t="str">
        <f t="shared" si="50"/>
        <v>F15-14-18-ALL-Viking39</v>
      </c>
    </row>
    <row r="208" spans="1:50" ht="15.75" thickBot="1" x14ac:dyDescent="0.3">
      <c r="A208" s="190" t="str">
        <f t="shared" si="53"/>
        <v/>
      </c>
      <c r="B208" s="279" t="str">
        <f t="shared" si="56"/>
        <v/>
      </c>
      <c r="C208" s="279"/>
      <c r="D208" s="279"/>
      <c r="E208" s="279" t="str">
        <f t="shared" si="54"/>
        <v/>
      </c>
      <c r="F208" t="s">
        <v>535</v>
      </c>
      <c r="G208" s="188">
        <v>44683</v>
      </c>
      <c r="H208" s="10"/>
      <c r="I208" s="10"/>
      <c r="J208" s="10" t="s">
        <v>405</v>
      </c>
      <c r="K208" s="15" t="s">
        <v>1059</v>
      </c>
      <c r="L208" s="10" t="s">
        <v>1209</v>
      </c>
      <c r="M208" s="16" t="s">
        <v>559</v>
      </c>
      <c r="N208" s="16"/>
      <c r="O208" s="166"/>
      <c r="P208" s="166"/>
      <c r="Q208" s="231" t="str">
        <f t="shared" si="55"/>
        <v>. Vents, Pillar</v>
      </c>
      <c r="R208" s="231"/>
      <c r="S208" s="231" t="str">
        <f t="shared" si="58"/>
        <v/>
      </c>
      <c r="T208" s="231" t="str">
        <f>IF(O208&lt;&gt;"",_xlfn.XLOOKUP(O208,'3D. Pictures'!B:B,'3D. Pictures'!E:E,"NOT FOUND",0,1),"")</f>
        <v/>
      </c>
      <c r="U208" s="16"/>
      <c r="V208" s="16"/>
      <c r="W208" s="16"/>
      <c r="X208" s="16"/>
      <c r="Y208" s="168"/>
      <c r="Z208" s="16"/>
      <c r="AA208" s="10" t="s">
        <v>2574</v>
      </c>
      <c r="AB208" s="10" t="s">
        <v>2574</v>
      </c>
      <c r="AC208" s="359" t="str">
        <f t="shared" si="57"/>
        <v>TOSS ALL</v>
      </c>
      <c r="AD208" s="10" t="s">
        <v>2575</v>
      </c>
      <c r="AE208" s="10"/>
      <c r="AF208" s="168" t="s">
        <v>543</v>
      </c>
      <c r="AG208" s="10"/>
      <c r="AH208" s="10"/>
      <c r="AI208" s="380" t="str">
        <f t="shared" si="59"/>
        <v/>
      </c>
      <c r="AJ208" s="3" t="s">
        <v>408</v>
      </c>
      <c r="AK208" s="3" t="s">
        <v>425</v>
      </c>
      <c r="AL208" s="3" t="s">
        <v>2175</v>
      </c>
      <c r="AX208" s="279" t="str">
        <f t="shared" si="50"/>
        <v/>
      </c>
    </row>
    <row r="209" spans="1:50" ht="15.75" thickBot="1" x14ac:dyDescent="0.3">
      <c r="A209" s="190" t="str">
        <f t="shared" si="53"/>
        <v>A97</v>
      </c>
      <c r="B209" s="279" t="str">
        <f t="shared" si="56"/>
        <v>288-50844</v>
      </c>
      <c r="C209" s="279"/>
      <c r="D209" s="279"/>
      <c r="E209" s="279">
        <f t="shared" si="54"/>
        <v>1</v>
      </c>
      <c r="F209" s="190" t="s">
        <v>535</v>
      </c>
      <c r="G209" s="198">
        <v>44670</v>
      </c>
      <c r="H209" s="205"/>
      <c r="I209" s="205"/>
      <c r="J209" s="205" t="s">
        <v>402</v>
      </c>
      <c r="K209" s="206" t="s">
        <v>2760</v>
      </c>
      <c r="L209" s="205" t="s">
        <v>188</v>
      </c>
      <c r="M209" s="200" t="s">
        <v>558</v>
      </c>
      <c r="N209" s="200">
        <v>87</v>
      </c>
      <c r="O209" s="230" t="s">
        <v>999</v>
      </c>
      <c r="P209" s="230" t="s">
        <v>1300</v>
      </c>
      <c r="Q209" s="231" t="str">
        <f t="shared" si="55"/>
        <v>A97. Sunroof, Glass - PANORAMIC, FRONT</v>
      </c>
      <c r="R209" s="284" t="str">
        <f>HYPERLINK(VLOOKUP(O209,'3D. Pictures'!$B$3:$E$500,4,FALSE),"PIC")</f>
        <v>PIC</v>
      </c>
      <c r="S209" s="373" t="str">
        <f t="shared" si="58"/>
        <v>E.G.</v>
      </c>
      <c r="T209" s="377" t="str">
        <f>IF(O209&lt;&gt;"",_xlfn.XLOOKUP(O209,'3D. Pictures'!B:B,'3D. Pictures'!E:E,"NOT FOUND",0,1),"")</f>
        <v>https://viking-pictures.s3.us-west-1.amazonaws.com/AA1155/A97.+Sunroof%2C+Glass+-+PANORAMIC%2C+FRONT+(1).JPG</v>
      </c>
      <c r="U209" s="200">
        <v>6</v>
      </c>
      <c r="V209" s="201" t="s">
        <v>1316</v>
      </c>
      <c r="W209" s="200" t="s">
        <v>111</v>
      </c>
      <c r="X209" s="201"/>
      <c r="Y209" s="201"/>
      <c r="Z209" s="201"/>
      <c r="AA209" s="205" t="s">
        <v>409</v>
      </c>
      <c r="AB209" s="205" t="s">
        <v>409</v>
      </c>
      <c r="AC209" s="358" t="str">
        <f t="shared" si="57"/>
        <v/>
      </c>
      <c r="AD209" s="205"/>
      <c r="AE209" s="205"/>
      <c r="AF209" s="201" t="s">
        <v>543</v>
      </c>
      <c r="AG209" s="205"/>
      <c r="AH209" s="16">
        <v>550</v>
      </c>
      <c r="AI209" s="380">
        <f t="shared" si="59"/>
        <v>550</v>
      </c>
      <c r="AJ209" s="204" t="s">
        <v>408</v>
      </c>
      <c r="AK209" s="204" t="s">
        <v>425</v>
      </c>
      <c r="AL209" s="204" t="s">
        <v>2175</v>
      </c>
      <c r="AM209" s="190"/>
      <c r="AN209" s="191" t="s">
        <v>634</v>
      </c>
      <c r="AO209" s="190" t="s">
        <v>572</v>
      </c>
      <c r="AP209" s="190">
        <v>50844</v>
      </c>
      <c r="AQ209" s="190" t="str">
        <f>CONCATENATE(AN209,AO209,AP209)</f>
        <v>288-50844</v>
      </c>
      <c r="AR209" s="190"/>
      <c r="AS209" s="190"/>
      <c r="AT209" s="190"/>
      <c r="AU209" s="190"/>
      <c r="AV209" s="190"/>
      <c r="AW209" s="190"/>
      <c r="AX209" s="279" t="str">
        <f t="shared" si="50"/>
        <v/>
      </c>
    </row>
    <row r="210" spans="1:50" ht="15.75" thickBot="1" x14ac:dyDescent="0.3">
      <c r="A210" s="190" t="str">
        <f t="shared" si="53"/>
        <v>A98</v>
      </c>
      <c r="B210" s="279" t="str">
        <f t="shared" si="56"/>
        <v>288-50845</v>
      </c>
      <c r="C210" s="279"/>
      <c r="D210" s="279"/>
      <c r="E210" s="279">
        <f t="shared" si="54"/>
        <v>1</v>
      </c>
      <c r="F210" s="190" t="s">
        <v>535</v>
      </c>
      <c r="G210" s="198">
        <v>44670</v>
      </c>
      <c r="H210" s="205"/>
      <c r="I210" s="205"/>
      <c r="J210" s="205" t="s">
        <v>402</v>
      </c>
      <c r="K210" s="206" t="s">
        <v>2760</v>
      </c>
      <c r="L210" s="205" t="s">
        <v>188</v>
      </c>
      <c r="M210" s="200" t="s">
        <v>558</v>
      </c>
      <c r="N210" s="200">
        <v>88</v>
      </c>
      <c r="O210" s="230" t="s">
        <v>1000</v>
      </c>
      <c r="P210" s="230" t="s">
        <v>1300</v>
      </c>
      <c r="Q210" s="231" t="str">
        <f t="shared" si="55"/>
        <v>A98. Sunroof, Glass - PANORAMIC, REAR</v>
      </c>
      <c r="R210" s="284" t="str">
        <f>HYPERLINK(VLOOKUP(O210,'3D. Pictures'!$B$3:$E$500,4,FALSE),"PIC")</f>
        <v>PIC</v>
      </c>
      <c r="S210" s="373" t="str">
        <f t="shared" si="58"/>
        <v>E.G.</v>
      </c>
      <c r="T210" s="377" t="str">
        <f>IF(O210&lt;&gt;"",_xlfn.XLOOKUP(O210,'3D. Pictures'!B:B,'3D. Pictures'!E:E,"NOT FOUND",0,1),"")</f>
        <v>https://viking-pictures.s3.us-west-1.amazonaws.com/AA1155/A98.+Sunroof%2C+Glass+-+PANORAMIC%2C+REAR+(1).JPG</v>
      </c>
      <c r="U210" s="200">
        <v>6</v>
      </c>
      <c r="V210" s="201" t="s">
        <v>1317</v>
      </c>
      <c r="W210" s="200" t="s">
        <v>111</v>
      </c>
      <c r="X210" s="201"/>
      <c r="Y210" s="168"/>
      <c r="Z210" s="201"/>
      <c r="AA210" s="205" t="s">
        <v>410</v>
      </c>
      <c r="AB210" s="205" t="s">
        <v>410</v>
      </c>
      <c r="AC210" s="358" t="str">
        <f t="shared" si="57"/>
        <v/>
      </c>
      <c r="AD210" s="205"/>
      <c r="AE210" s="205"/>
      <c r="AF210" s="201" t="s">
        <v>543</v>
      </c>
      <c r="AG210" s="205"/>
      <c r="AH210" s="16">
        <v>295</v>
      </c>
      <c r="AI210" s="380">
        <f t="shared" si="59"/>
        <v>295</v>
      </c>
      <c r="AJ210" s="204" t="s">
        <v>408</v>
      </c>
      <c r="AK210" s="204" t="s">
        <v>425</v>
      </c>
      <c r="AL210" s="204" t="s">
        <v>2175</v>
      </c>
      <c r="AM210" s="190"/>
      <c r="AN210" s="191" t="s">
        <v>634</v>
      </c>
      <c r="AO210" s="190" t="s">
        <v>572</v>
      </c>
      <c r="AP210" s="190">
        <v>50845</v>
      </c>
      <c r="AQ210" s="190" t="str">
        <f>CONCATENATE(AN210,AO210,AP210)</f>
        <v>288-50845</v>
      </c>
      <c r="AR210" s="190"/>
      <c r="AS210" s="190"/>
      <c r="AT210" s="190"/>
      <c r="AU210" s="190"/>
      <c r="AV210" s="190"/>
      <c r="AW210" s="190"/>
      <c r="AX210" s="279" t="str">
        <f t="shared" si="50"/>
        <v/>
      </c>
    </row>
    <row r="211" spans="1:50" ht="15.75" thickBot="1" x14ac:dyDescent="0.3">
      <c r="A211" s="190" t="str">
        <f t="shared" si="53"/>
        <v>A37</v>
      </c>
      <c r="B211" s="279" t="str">
        <f t="shared" si="56"/>
        <v>628-999907</v>
      </c>
      <c r="C211" s="279" t="s">
        <v>2358</v>
      </c>
      <c r="D211" s="279" t="str">
        <f>O211</f>
        <v>A37</v>
      </c>
      <c r="E211" s="279">
        <f t="shared" si="54"/>
        <v>1</v>
      </c>
      <c r="F211" s="190" t="s">
        <v>535</v>
      </c>
      <c r="G211" s="198">
        <v>44670</v>
      </c>
      <c r="H211" s="205"/>
      <c r="I211" s="205"/>
      <c r="J211" s="205" t="s">
        <v>402</v>
      </c>
      <c r="K211" s="206" t="s">
        <v>2760</v>
      </c>
      <c r="L211" s="205" t="s">
        <v>188</v>
      </c>
      <c r="M211" s="200" t="s">
        <v>558</v>
      </c>
      <c r="N211" s="200">
        <v>27</v>
      </c>
      <c r="O211" s="230" t="s">
        <v>939</v>
      </c>
      <c r="P211" s="230" t="s">
        <v>1168</v>
      </c>
      <c r="Q211" s="231" t="str">
        <f t="shared" si="55"/>
        <v>A37. Sunroof, Motor (1 of 2)</v>
      </c>
      <c r="R211" s="284" t="str">
        <f>HYPERLINK(VLOOKUP(O211,'3D. Pictures'!$B$3:$E$500,4,FALSE),"PIC")</f>
        <v>PIC</v>
      </c>
      <c r="S211" s="373" t="str">
        <f t="shared" si="58"/>
        <v>E.G.</v>
      </c>
      <c r="T211" s="377" t="str">
        <f>IF(O211&lt;&gt;"",_xlfn.XLOOKUP(O211,'3D. Pictures'!B:B,'3D. Pictures'!E:E,"NOT FOUND",0,1),"")</f>
        <v>https://viking-pictures.s3.us-west-1.amazonaws.com/AA1155/A37.+Sunroof%2C+Motor+(1+of+2)+(1).JPG</v>
      </c>
      <c r="U211" s="200">
        <v>4</v>
      </c>
      <c r="V211" s="201" t="s">
        <v>1190</v>
      </c>
      <c r="W211" s="200" t="s">
        <v>112</v>
      </c>
      <c r="X211" s="201"/>
      <c r="Y211" s="226"/>
      <c r="Z211" s="201"/>
      <c r="AA211" s="205" t="s">
        <v>2827</v>
      </c>
      <c r="AB211" s="205" t="s">
        <v>2300</v>
      </c>
      <c r="AC211" s="358" t="str">
        <f t="shared" si="57"/>
        <v>tag as SINGLE | 2 per car (identical)</v>
      </c>
      <c r="AD211" s="205" t="s">
        <v>2320</v>
      </c>
      <c r="AE211" s="205" t="s">
        <v>2318</v>
      </c>
      <c r="AF211" s="201" t="s">
        <v>543</v>
      </c>
      <c r="AG211" s="300" t="s">
        <v>2729</v>
      </c>
      <c r="AH211" s="16">
        <v>45</v>
      </c>
      <c r="AI211" s="380">
        <f t="shared" si="59"/>
        <v>45</v>
      </c>
      <c r="AJ211" s="204" t="s">
        <v>408</v>
      </c>
      <c r="AK211" s="204" t="s">
        <v>425</v>
      </c>
      <c r="AL211" s="204" t="s">
        <v>2175</v>
      </c>
      <c r="AM211" s="190"/>
      <c r="AN211" s="191" t="s">
        <v>635</v>
      </c>
      <c r="AO211" s="190" t="s">
        <v>572</v>
      </c>
      <c r="AP211" s="190">
        <v>999907</v>
      </c>
      <c r="AQ211" s="190" t="str">
        <f>CONCATENATE(AN211,AO211,AP211)</f>
        <v>628-999907</v>
      </c>
      <c r="AR211" s="190"/>
      <c r="AS211" s="190"/>
      <c r="AT211" s="190"/>
      <c r="AU211" s="190"/>
      <c r="AV211" s="190"/>
      <c r="AW211" s="190"/>
      <c r="AX211" s="279" t="str">
        <f t="shared" si="50"/>
        <v/>
      </c>
    </row>
    <row r="212" spans="1:50" x14ac:dyDescent="0.25">
      <c r="A212" s="190" t="str">
        <f t="shared" si="53"/>
        <v/>
      </c>
      <c r="B212" s="279" t="str">
        <f t="shared" si="56"/>
        <v/>
      </c>
      <c r="C212" s="279"/>
      <c r="D212" s="279"/>
      <c r="E212" s="279" t="str">
        <f t="shared" si="54"/>
        <v/>
      </c>
      <c r="F212" t="s">
        <v>535</v>
      </c>
      <c r="G212" s="188">
        <v>44670</v>
      </c>
      <c r="H212" s="10"/>
      <c r="I212" s="174"/>
      <c r="J212" s="10" t="s">
        <v>2771</v>
      </c>
      <c r="K212" s="15" t="s">
        <v>2760</v>
      </c>
      <c r="L212" s="10" t="s">
        <v>188</v>
      </c>
      <c r="M212" s="170" t="s">
        <v>558</v>
      </c>
      <c r="N212" s="170"/>
      <c r="O212" s="237"/>
      <c r="P212" s="237"/>
      <c r="Q212" s="231" t="str">
        <f t="shared" si="55"/>
        <v>. Sunroof, Assembly</v>
      </c>
      <c r="R212" s="231"/>
      <c r="S212" s="231" t="str">
        <f t="shared" si="58"/>
        <v/>
      </c>
      <c r="T212" s="231" t="str">
        <f>IF(O212&lt;&gt;"",_xlfn.XLOOKUP(O212,'3D. Pictures'!B:B,'3D. Pictures'!E:E,"NOT FOUND",0,1),"")</f>
        <v/>
      </c>
      <c r="U212" s="170"/>
      <c r="V212" s="168"/>
      <c r="W212" s="170"/>
      <c r="X212" s="168"/>
      <c r="Y212" s="16"/>
      <c r="Z212" s="168"/>
      <c r="AA212" s="10" t="s">
        <v>288</v>
      </c>
      <c r="AB212" s="10" t="s">
        <v>288</v>
      </c>
      <c r="AC212" s="359" t="str">
        <f t="shared" si="57"/>
        <v/>
      </c>
      <c r="AD212" s="10"/>
      <c r="AE212" s="10"/>
      <c r="AF212" s="168" t="s">
        <v>543</v>
      </c>
      <c r="AG212" s="10"/>
      <c r="AH212" s="10"/>
      <c r="AI212" s="380" t="str">
        <f t="shared" si="59"/>
        <v/>
      </c>
      <c r="AJ212" s="3" t="s">
        <v>408</v>
      </c>
      <c r="AK212" s="3" t="s">
        <v>425</v>
      </c>
      <c r="AL212" s="3" t="s">
        <v>2175</v>
      </c>
      <c r="AO212" t="s">
        <v>572</v>
      </c>
      <c r="AX212" s="279" t="str">
        <f t="shared" si="50"/>
        <v/>
      </c>
    </row>
    <row r="213" spans="1:50" x14ac:dyDescent="0.25">
      <c r="A213" s="190" t="str">
        <f t="shared" si="53"/>
        <v/>
      </c>
      <c r="B213" s="279" t="str">
        <f t="shared" si="56"/>
        <v/>
      </c>
      <c r="C213" s="279"/>
      <c r="D213" s="279"/>
      <c r="E213" s="279" t="str">
        <f t="shared" si="54"/>
        <v/>
      </c>
      <c r="F213" t="s">
        <v>535</v>
      </c>
      <c r="G213" s="188">
        <v>44680</v>
      </c>
      <c r="H213" s="16"/>
      <c r="I213" s="164"/>
      <c r="J213" s="16" t="s">
        <v>402</v>
      </c>
      <c r="K213" s="166" t="s">
        <v>46</v>
      </c>
      <c r="L213" s="16" t="s">
        <v>1373</v>
      </c>
      <c r="M213" s="16" t="s">
        <v>559</v>
      </c>
      <c r="N213" s="16"/>
      <c r="O213" s="166"/>
      <c r="P213" s="166"/>
      <c r="Q213" s="231" t="str">
        <f t="shared" si="55"/>
        <v>. 3rd Brake Light</v>
      </c>
      <c r="R213" s="231"/>
      <c r="S213" s="231" t="str">
        <f t="shared" si="58"/>
        <v/>
      </c>
      <c r="T213" s="231" t="str">
        <f>IF(O213&lt;&gt;"",_xlfn.XLOOKUP(O213,'3D. Pictures'!B:B,'3D. Pictures'!E:E,"NOT FOUND",0,1),"")</f>
        <v/>
      </c>
      <c r="U213" s="16"/>
      <c r="V213" s="16"/>
      <c r="W213" s="16"/>
      <c r="X213" s="16"/>
      <c r="Y213" s="16"/>
      <c r="Z213" s="16"/>
      <c r="AA213" s="16" t="s">
        <v>45</v>
      </c>
      <c r="AB213" s="16" t="s">
        <v>45</v>
      </c>
      <c r="AC213" s="358" t="str">
        <f t="shared" si="57"/>
        <v>IN spoiler if selling that - if not can sell solo</v>
      </c>
      <c r="AD213" s="16" t="s">
        <v>2590</v>
      </c>
      <c r="AE213" s="16"/>
      <c r="AF213" s="168" t="s">
        <v>543</v>
      </c>
      <c r="AG213" s="16"/>
      <c r="AH213" s="18">
        <v>125</v>
      </c>
      <c r="AI213" s="380">
        <f t="shared" si="59"/>
        <v>125</v>
      </c>
      <c r="AJ213" s="3" t="s">
        <v>408</v>
      </c>
      <c r="AK213" s="3" t="s">
        <v>425</v>
      </c>
      <c r="AL213" s="3" t="s">
        <v>2175</v>
      </c>
      <c r="AX213" s="279" t="str">
        <f t="shared" si="50"/>
        <v/>
      </c>
    </row>
    <row r="214" spans="1:50" x14ac:dyDescent="0.25">
      <c r="A214" s="190" t="str">
        <f t="shared" si="53"/>
        <v/>
      </c>
      <c r="B214" s="279" t="str">
        <f t="shared" si="56"/>
        <v>116-60560</v>
      </c>
      <c r="C214" s="279"/>
      <c r="D214" s="279"/>
      <c r="E214" s="279">
        <f t="shared" si="54"/>
        <v>1</v>
      </c>
      <c r="F214" s="190" t="s">
        <v>535</v>
      </c>
      <c r="G214" s="198">
        <v>44671</v>
      </c>
      <c r="H214" s="205"/>
      <c r="I214" s="205"/>
      <c r="J214" s="205" t="s">
        <v>402</v>
      </c>
      <c r="K214" s="206" t="s">
        <v>46</v>
      </c>
      <c r="L214" s="205" t="s">
        <v>825</v>
      </c>
      <c r="M214" s="200" t="s">
        <v>558</v>
      </c>
      <c r="N214" s="200"/>
      <c r="O214" s="230"/>
      <c r="P214" s="230"/>
      <c r="Q214" s="231" t="str">
        <f t="shared" si="55"/>
        <v>. Fog Light, FRONT - LEFT</v>
      </c>
      <c r="R214" s="231"/>
      <c r="S214" s="231" t="str">
        <f t="shared" si="58"/>
        <v/>
      </c>
      <c r="T214" s="231" t="str">
        <f>IF(O214&lt;&gt;"",_xlfn.XLOOKUP(O214,'3D. Pictures'!B:B,'3D. Pictures'!E:E,"NOT FOUND",0,1),"")</f>
        <v/>
      </c>
      <c r="U214" s="200"/>
      <c r="V214" s="201"/>
      <c r="W214" s="200"/>
      <c r="X214" s="201"/>
      <c r="Y214" s="16"/>
      <c r="Z214" s="201"/>
      <c r="AA214" s="205" t="s">
        <v>411</v>
      </c>
      <c r="AB214" s="205" t="s">
        <v>411</v>
      </c>
      <c r="AC214" s="358" t="str">
        <f t="shared" si="57"/>
        <v/>
      </c>
      <c r="AD214" s="205"/>
      <c r="AE214" s="205"/>
      <c r="AF214" s="201" t="s">
        <v>543</v>
      </c>
      <c r="AG214" s="205"/>
      <c r="AH214" s="167">
        <v>85</v>
      </c>
      <c r="AI214" s="380">
        <f t="shared" si="59"/>
        <v>85</v>
      </c>
      <c r="AJ214" s="204" t="s">
        <v>408</v>
      </c>
      <c r="AK214" s="204" t="s">
        <v>425</v>
      </c>
      <c r="AL214" s="204" t="s">
        <v>2175</v>
      </c>
      <c r="AM214" s="190"/>
      <c r="AN214" s="191" t="s">
        <v>636</v>
      </c>
      <c r="AO214" s="190" t="s">
        <v>572</v>
      </c>
      <c r="AP214" s="190">
        <v>60560</v>
      </c>
      <c r="AQ214" s="190" t="str">
        <f>CONCATENATE(AN214,AO214,AP214)</f>
        <v>116-60560</v>
      </c>
      <c r="AR214" s="190" t="s">
        <v>828</v>
      </c>
      <c r="AS214" s="190"/>
      <c r="AT214" s="190"/>
      <c r="AU214" s="190"/>
      <c r="AV214" s="190"/>
      <c r="AW214" s="190"/>
      <c r="AX214" s="279" t="str">
        <f t="shared" si="50"/>
        <v/>
      </c>
    </row>
    <row r="215" spans="1:50" x14ac:dyDescent="0.25">
      <c r="A215" s="190" t="str">
        <f t="shared" si="53"/>
        <v/>
      </c>
      <c r="B215" s="279" t="str">
        <f t="shared" si="56"/>
        <v>116-60559</v>
      </c>
      <c r="C215" s="279"/>
      <c r="D215" s="279"/>
      <c r="E215" s="279">
        <f t="shared" si="54"/>
        <v>1</v>
      </c>
      <c r="F215" s="190" t="s">
        <v>535</v>
      </c>
      <c r="G215" s="198">
        <v>44671</v>
      </c>
      <c r="H215" s="205"/>
      <c r="I215" s="205"/>
      <c r="J215" s="205" t="s">
        <v>402</v>
      </c>
      <c r="K215" s="206" t="s">
        <v>46</v>
      </c>
      <c r="L215" s="205" t="s">
        <v>825</v>
      </c>
      <c r="M215" s="200" t="s">
        <v>558</v>
      </c>
      <c r="N215" s="200"/>
      <c r="O215" s="230"/>
      <c r="P215" s="230"/>
      <c r="Q215" s="231" t="str">
        <f t="shared" si="55"/>
        <v>. Fog Light, FRONT - RIGHT</v>
      </c>
      <c r="R215" s="231"/>
      <c r="S215" s="231" t="str">
        <f t="shared" si="58"/>
        <v/>
      </c>
      <c r="T215" s="231" t="str">
        <f>IF(O215&lt;&gt;"",_xlfn.XLOOKUP(O215,'3D. Pictures'!B:B,'3D. Pictures'!E:E,"NOT FOUND",0,1),"")</f>
        <v/>
      </c>
      <c r="U215" s="200"/>
      <c r="V215" s="201"/>
      <c r="W215" s="200"/>
      <c r="X215" s="201"/>
      <c r="Y215" s="16"/>
      <c r="Z215" s="201"/>
      <c r="AA215" s="205" t="s">
        <v>412</v>
      </c>
      <c r="AB215" s="205" t="s">
        <v>412</v>
      </c>
      <c r="AC215" s="358" t="str">
        <f t="shared" si="57"/>
        <v/>
      </c>
      <c r="AD215" s="205"/>
      <c r="AE215" s="205"/>
      <c r="AF215" s="201" t="s">
        <v>543</v>
      </c>
      <c r="AG215" s="205"/>
      <c r="AH215" s="167">
        <v>85</v>
      </c>
      <c r="AI215" s="380">
        <f t="shared" si="59"/>
        <v>85</v>
      </c>
      <c r="AJ215" s="204" t="s">
        <v>408</v>
      </c>
      <c r="AK215" s="204" t="s">
        <v>425</v>
      </c>
      <c r="AL215" s="204" t="s">
        <v>2175</v>
      </c>
      <c r="AM215" s="190"/>
      <c r="AN215" s="191" t="s">
        <v>636</v>
      </c>
      <c r="AO215" s="190" t="s">
        <v>572</v>
      </c>
      <c r="AP215" s="190">
        <v>60559</v>
      </c>
      <c r="AQ215" s="190" t="str">
        <f>CONCATENATE(AN215,AO215,AP215)</f>
        <v>116-60559</v>
      </c>
      <c r="AR215" s="190" t="s">
        <v>829</v>
      </c>
      <c r="AS215" s="190"/>
      <c r="AT215" s="190"/>
      <c r="AU215" s="190"/>
      <c r="AV215" s="190"/>
      <c r="AW215" s="190"/>
      <c r="AX215" s="279" t="str">
        <f t="shared" si="50"/>
        <v/>
      </c>
    </row>
    <row r="216" spans="1:50" x14ac:dyDescent="0.25">
      <c r="A216" s="190" t="str">
        <f t="shared" si="53"/>
        <v/>
      </c>
      <c r="B216" s="279" t="str">
        <f t="shared" si="56"/>
        <v/>
      </c>
      <c r="C216" s="279"/>
      <c r="D216" s="279"/>
      <c r="E216" s="279" t="str">
        <f t="shared" si="54"/>
        <v/>
      </c>
      <c r="F216" t="s">
        <v>536</v>
      </c>
      <c r="G216" s="188">
        <v>44691</v>
      </c>
      <c r="H216" s="19"/>
      <c r="I216" s="19"/>
      <c r="J216" s="168" t="s">
        <v>402</v>
      </c>
      <c r="K216" s="168" t="s">
        <v>46</v>
      </c>
      <c r="L216" s="168" t="s">
        <v>833</v>
      </c>
      <c r="M216" s="170" t="s">
        <v>558</v>
      </c>
      <c r="N216" s="170"/>
      <c r="O216" s="237"/>
      <c r="P216" s="237"/>
      <c r="Q216" s="231" t="str">
        <f t="shared" si="55"/>
        <v>. Headlight TMS Control Module</v>
      </c>
      <c r="R216" s="231"/>
      <c r="S216" s="231" t="str">
        <f t="shared" si="58"/>
        <v/>
      </c>
      <c r="T216" s="231" t="str">
        <f>IF(O216&lt;&gt;"",_xlfn.XLOOKUP(O216,'3D. Pictures'!B:B,'3D. Pictures'!E:E,"NOT FOUND",0,1),"")</f>
        <v/>
      </c>
      <c r="U216" s="170"/>
      <c r="V216" s="168"/>
      <c r="W216" s="170"/>
      <c r="X216" s="168"/>
      <c r="Y216" s="16"/>
      <c r="Z216" s="168"/>
      <c r="AA216" s="168" t="s">
        <v>2593</v>
      </c>
      <c r="AB216" s="168" t="s">
        <v>2593</v>
      </c>
      <c r="AC216" s="247" t="str">
        <f t="shared" si="57"/>
        <v>has visible circuit board</v>
      </c>
      <c r="AD216" s="168"/>
      <c r="AE216" s="168" t="s">
        <v>2594</v>
      </c>
      <c r="AF216" s="168" t="s">
        <v>543</v>
      </c>
      <c r="AG216" s="168"/>
      <c r="AH216" s="169">
        <v>160</v>
      </c>
      <c r="AI216" s="380">
        <f t="shared" si="59"/>
        <v>160</v>
      </c>
      <c r="AJ216" s="3" t="s">
        <v>408</v>
      </c>
      <c r="AK216" s="3" t="s">
        <v>425</v>
      </c>
      <c r="AL216" s="3" t="s">
        <v>2175</v>
      </c>
      <c r="AM216" s="138"/>
      <c r="AN216" s="45"/>
      <c r="AO216" t="s">
        <v>572</v>
      </c>
      <c r="AX216" s="279" t="str">
        <f t="shared" si="50"/>
        <v/>
      </c>
    </row>
    <row r="217" spans="1:50" x14ac:dyDescent="0.25">
      <c r="A217" s="190" t="str">
        <f t="shared" si="53"/>
        <v/>
      </c>
      <c r="B217" s="279" t="str">
        <f t="shared" si="56"/>
        <v/>
      </c>
      <c r="C217" s="279"/>
      <c r="D217" s="279"/>
      <c r="E217" s="279" t="str">
        <f t="shared" si="54"/>
        <v/>
      </c>
      <c r="F217" t="s">
        <v>536</v>
      </c>
      <c r="G217" s="188">
        <v>44922</v>
      </c>
      <c r="H217" s="16"/>
      <c r="I217" s="16"/>
      <c r="J217" s="16" t="s">
        <v>402</v>
      </c>
      <c r="K217" s="16" t="s">
        <v>46</v>
      </c>
      <c r="L217" s="168" t="s">
        <v>833</v>
      </c>
      <c r="M217" s="170" t="s">
        <v>558</v>
      </c>
      <c r="N217" s="170"/>
      <c r="O217" s="237"/>
      <c r="P217" s="237"/>
      <c r="Q217" s="231" t="str">
        <f t="shared" si="55"/>
        <v>. Headlight, Daytime Running Light DRL Angel Eye Module</v>
      </c>
      <c r="R217" s="231"/>
      <c r="S217" s="231" t="str">
        <f t="shared" si="58"/>
        <v/>
      </c>
      <c r="T217" s="231" t="str">
        <f>IF(O217&lt;&gt;"",_xlfn.XLOOKUP(O217,'3D. Pictures'!B:B,'3D. Pictures'!E:E,"NOT FOUND",0,1),"")</f>
        <v/>
      </c>
      <c r="U217" s="170"/>
      <c r="V217" s="168"/>
      <c r="W217" s="170"/>
      <c r="X217" s="168"/>
      <c r="Y217" s="16"/>
      <c r="Z217" s="168"/>
      <c r="AA217" s="16" t="s">
        <v>2592</v>
      </c>
      <c r="AB217" s="16" t="s">
        <v>2592</v>
      </c>
      <c r="AC217" s="358" t="str">
        <f t="shared" si="57"/>
        <v>2 per car, bag/sell as SINGLES</v>
      </c>
      <c r="AD217" s="16" t="s">
        <v>2591</v>
      </c>
      <c r="AE217" s="16"/>
      <c r="AF217" s="168" t="s">
        <v>543</v>
      </c>
      <c r="AG217" s="16"/>
      <c r="AH217" s="16">
        <v>40</v>
      </c>
      <c r="AI217" s="380">
        <f t="shared" si="59"/>
        <v>40</v>
      </c>
      <c r="AJ217" s="3" t="s">
        <v>408</v>
      </c>
      <c r="AK217" s="3" t="s">
        <v>425</v>
      </c>
      <c r="AL217" s="3" t="s">
        <v>2175</v>
      </c>
      <c r="AN217" s="45"/>
      <c r="AO217" t="s">
        <v>572</v>
      </c>
      <c r="AX217" s="279" t="str">
        <f t="shared" si="50"/>
        <v/>
      </c>
    </row>
    <row r="218" spans="1:50" x14ac:dyDescent="0.25">
      <c r="A218" s="190" t="str">
        <f t="shared" si="53"/>
        <v/>
      </c>
      <c r="B218" s="279" t="str">
        <f t="shared" si="56"/>
        <v>114-60265</v>
      </c>
      <c r="C218" s="279"/>
      <c r="D218" s="279"/>
      <c r="E218" s="279">
        <f t="shared" si="54"/>
        <v>1</v>
      </c>
      <c r="F218" s="190" t="s">
        <v>535</v>
      </c>
      <c r="G218" s="198">
        <v>45219</v>
      </c>
      <c r="H218" s="207"/>
      <c r="I218" s="200" t="s">
        <v>7</v>
      </c>
      <c r="J218" s="201" t="s">
        <v>402</v>
      </c>
      <c r="K218" s="201" t="s">
        <v>46</v>
      </c>
      <c r="L218" s="201" t="s">
        <v>832</v>
      </c>
      <c r="M218" s="200" t="s">
        <v>558</v>
      </c>
      <c r="N218" s="200"/>
      <c r="O218" s="230"/>
      <c r="P218" s="230"/>
      <c r="Q218" s="231" t="str">
        <f t="shared" si="55"/>
        <v>. Headlight, FRONT - LEFT</v>
      </c>
      <c r="R218" s="231"/>
      <c r="S218" s="231" t="str">
        <f t="shared" si="58"/>
        <v/>
      </c>
      <c r="T218" s="231" t="str">
        <f>IF(O218&lt;&gt;"",_xlfn.XLOOKUP(O218,'3D. Pictures'!B:B,'3D. Pictures'!E:E,"NOT FOUND",0,1),"")</f>
        <v/>
      </c>
      <c r="U218" s="200"/>
      <c r="V218" s="201" t="s">
        <v>1282</v>
      </c>
      <c r="W218" s="200" t="s">
        <v>111</v>
      </c>
      <c r="X218" s="201"/>
      <c r="Y218" s="16"/>
      <c r="Z218" s="201"/>
      <c r="AA218" s="201" t="s">
        <v>830</v>
      </c>
      <c r="AB218" s="201" t="s">
        <v>830</v>
      </c>
      <c r="AC218" s="247" t="str">
        <f t="shared" si="57"/>
        <v>bad=keep ballast, adapt mod|toss LED mod &amp; plastic bracket</v>
      </c>
      <c r="AD218" s="201" t="s">
        <v>2828</v>
      </c>
      <c r="AE218" s="201"/>
      <c r="AF218" s="201" t="s">
        <v>543</v>
      </c>
      <c r="AG218" s="201"/>
      <c r="AH218" s="362">
        <v>1500</v>
      </c>
      <c r="AI218" s="380">
        <f t="shared" si="59"/>
        <v>1500</v>
      </c>
      <c r="AJ218" s="204" t="s">
        <v>408</v>
      </c>
      <c r="AK218" s="204" t="s">
        <v>425</v>
      </c>
      <c r="AL218" s="204" t="s">
        <v>2175</v>
      </c>
      <c r="AM218" s="203"/>
      <c r="AN218" s="191" t="s">
        <v>638</v>
      </c>
      <c r="AO218" s="190" t="s">
        <v>572</v>
      </c>
      <c r="AP218" s="190">
        <v>60265</v>
      </c>
      <c r="AQ218" s="190" t="str">
        <f t="shared" ref="AQ218:AQ221" si="61">CONCATENATE(AN218,AO218,AP218)</f>
        <v>114-60265</v>
      </c>
      <c r="AR218" s="190" t="s">
        <v>1290</v>
      </c>
      <c r="AS218" s="190"/>
      <c r="AT218" s="190"/>
      <c r="AU218" s="190"/>
      <c r="AV218" s="190"/>
      <c r="AW218" s="190"/>
      <c r="AX218" s="279" t="str">
        <f t="shared" si="50"/>
        <v/>
      </c>
    </row>
    <row r="219" spans="1:50" x14ac:dyDescent="0.25">
      <c r="A219" s="190" t="str">
        <f t="shared" si="53"/>
        <v/>
      </c>
      <c r="B219" s="279" t="str">
        <f t="shared" si="56"/>
        <v>114-60264</v>
      </c>
      <c r="C219" s="279"/>
      <c r="D219" s="279"/>
      <c r="E219" s="279">
        <f t="shared" si="54"/>
        <v>1</v>
      </c>
      <c r="F219" s="190" t="s">
        <v>535</v>
      </c>
      <c r="G219" s="198">
        <v>45219</v>
      </c>
      <c r="H219" s="210"/>
      <c r="I219" s="200" t="s">
        <v>7</v>
      </c>
      <c r="J219" s="201" t="s">
        <v>402</v>
      </c>
      <c r="K219" s="201" t="s">
        <v>46</v>
      </c>
      <c r="L219" s="201" t="s">
        <v>832</v>
      </c>
      <c r="M219" s="200" t="s">
        <v>558</v>
      </c>
      <c r="N219" s="200"/>
      <c r="O219" s="230"/>
      <c r="P219" s="230"/>
      <c r="Q219" s="231" t="str">
        <f t="shared" si="55"/>
        <v>. Headlight, FRONT - RIGHT</v>
      </c>
      <c r="R219" s="231"/>
      <c r="S219" s="231" t="str">
        <f t="shared" si="58"/>
        <v/>
      </c>
      <c r="T219" s="231" t="str">
        <f>IF(O219&lt;&gt;"",_xlfn.XLOOKUP(O219,'3D. Pictures'!B:B,'3D. Pictures'!E:E,"NOT FOUND",0,1),"")</f>
        <v/>
      </c>
      <c r="U219" s="200"/>
      <c r="V219" s="201" t="s">
        <v>1283</v>
      </c>
      <c r="W219" s="200" t="s">
        <v>111</v>
      </c>
      <c r="X219" s="201"/>
      <c r="Y219" s="168"/>
      <c r="Z219" s="201"/>
      <c r="AA219" s="201" t="s">
        <v>831</v>
      </c>
      <c r="AB219" s="201" t="s">
        <v>831</v>
      </c>
      <c r="AC219" s="247" t="str">
        <f t="shared" si="57"/>
        <v>bad=keep ballast, adapt mod|toss LED mod &amp; plastic bracket</v>
      </c>
      <c r="AD219" s="201" t="s">
        <v>2828</v>
      </c>
      <c r="AE219" s="201"/>
      <c r="AF219" s="201" t="s">
        <v>543</v>
      </c>
      <c r="AG219" s="201"/>
      <c r="AH219" s="362">
        <v>1500</v>
      </c>
      <c r="AI219" s="380">
        <f t="shared" si="59"/>
        <v>1500</v>
      </c>
      <c r="AJ219" s="204" t="s">
        <v>408</v>
      </c>
      <c r="AK219" s="204" t="s">
        <v>425</v>
      </c>
      <c r="AL219" s="204" t="s">
        <v>2175</v>
      </c>
      <c r="AM219" s="211"/>
      <c r="AN219" s="191" t="s">
        <v>638</v>
      </c>
      <c r="AO219" s="190" t="s">
        <v>572</v>
      </c>
      <c r="AP219" s="190">
        <v>60264</v>
      </c>
      <c r="AQ219" s="190" t="str">
        <f t="shared" si="61"/>
        <v>114-60264</v>
      </c>
      <c r="AR219" s="190" t="s">
        <v>1291</v>
      </c>
      <c r="AS219" s="190"/>
      <c r="AT219" s="190"/>
      <c r="AU219" s="190"/>
      <c r="AV219" s="190"/>
      <c r="AW219" s="190"/>
      <c r="AX219" s="279" t="str">
        <f t="shared" si="50"/>
        <v/>
      </c>
    </row>
    <row r="220" spans="1:50" x14ac:dyDescent="0.25">
      <c r="A220" s="190" t="str">
        <f t="shared" si="53"/>
        <v/>
      </c>
      <c r="B220" s="279" t="str">
        <f t="shared" si="56"/>
        <v>591-74049</v>
      </c>
      <c r="C220" s="279"/>
      <c r="D220" s="279"/>
      <c r="E220" s="279">
        <f t="shared" si="54"/>
        <v>1</v>
      </c>
      <c r="F220" s="190" t="s">
        <v>536</v>
      </c>
      <c r="G220" s="198">
        <v>44922</v>
      </c>
      <c r="H220" s="217"/>
      <c r="I220" s="192"/>
      <c r="J220" s="205" t="s">
        <v>402</v>
      </c>
      <c r="K220" s="205" t="s">
        <v>46</v>
      </c>
      <c r="L220" s="205" t="s">
        <v>833</v>
      </c>
      <c r="M220" s="200" t="s">
        <v>558</v>
      </c>
      <c r="N220" s="200"/>
      <c r="O220" s="230"/>
      <c r="P220" s="230"/>
      <c r="Q220" s="231" t="str">
        <f t="shared" si="55"/>
        <v>. Headlight, XENON Adaptive Control Module</v>
      </c>
      <c r="R220" s="231"/>
      <c r="S220" s="231" t="str">
        <f t="shared" si="58"/>
        <v/>
      </c>
      <c r="T220" s="231" t="str">
        <f>IF(O220&lt;&gt;"",_xlfn.XLOOKUP(O220,'3D. Pictures'!B:B,'3D. Pictures'!E:E,"NOT FOUND",0,1),"")</f>
        <v/>
      </c>
      <c r="U220" s="200"/>
      <c r="V220" s="201"/>
      <c r="W220" s="200"/>
      <c r="X220" s="201"/>
      <c r="Y220" s="201"/>
      <c r="Z220" s="201"/>
      <c r="AA220" s="205" t="s">
        <v>2192</v>
      </c>
      <c r="AB220" s="205" t="s">
        <v>2192</v>
      </c>
      <c r="AC220" s="358" t="str">
        <f t="shared" si="57"/>
        <v>black plastic w/ vents &amp; visible circuit board</v>
      </c>
      <c r="AD220" s="205"/>
      <c r="AE220" s="205" t="s">
        <v>2191</v>
      </c>
      <c r="AF220" s="201" t="s">
        <v>543</v>
      </c>
      <c r="AG220" s="205"/>
      <c r="AH220" s="16">
        <v>200</v>
      </c>
      <c r="AI220" s="380">
        <f t="shared" si="59"/>
        <v>200</v>
      </c>
      <c r="AJ220" s="204" t="s">
        <v>408</v>
      </c>
      <c r="AK220" s="204" t="s">
        <v>425</v>
      </c>
      <c r="AL220" s="204" t="s">
        <v>2175</v>
      </c>
      <c r="AM220" s="190"/>
      <c r="AN220" s="191" t="s">
        <v>637</v>
      </c>
      <c r="AO220" s="190" t="s">
        <v>572</v>
      </c>
      <c r="AP220" s="190">
        <v>74049</v>
      </c>
      <c r="AQ220" s="190" t="str">
        <f t="shared" si="61"/>
        <v>591-74049</v>
      </c>
      <c r="AR220" s="190" t="s">
        <v>2190</v>
      </c>
      <c r="AS220" s="190"/>
      <c r="AT220" s="190"/>
      <c r="AU220" s="190"/>
      <c r="AV220" s="190"/>
      <c r="AW220" s="190"/>
      <c r="AX220" s="279" t="str">
        <f t="shared" si="50"/>
        <v/>
      </c>
    </row>
    <row r="221" spans="1:50" x14ac:dyDescent="0.25">
      <c r="A221" s="190" t="str">
        <f t="shared" si="53"/>
        <v/>
      </c>
      <c r="B221" s="279" t="str">
        <f t="shared" si="56"/>
        <v>591-71543</v>
      </c>
      <c r="C221" s="279"/>
      <c r="D221" s="279"/>
      <c r="E221" s="279">
        <f t="shared" si="54"/>
        <v>1</v>
      </c>
      <c r="F221" s="190" t="s">
        <v>536</v>
      </c>
      <c r="G221" s="198">
        <v>44922</v>
      </c>
      <c r="H221" s="217"/>
      <c r="I221" s="192"/>
      <c r="J221" s="205" t="s">
        <v>402</v>
      </c>
      <c r="K221" s="205" t="s">
        <v>46</v>
      </c>
      <c r="L221" s="205" t="s">
        <v>833</v>
      </c>
      <c r="M221" s="200" t="s">
        <v>558</v>
      </c>
      <c r="N221" s="200"/>
      <c r="O221" s="230"/>
      <c r="P221" s="230"/>
      <c r="Q221" s="231" t="str">
        <f t="shared" si="55"/>
        <v>. Headlight, XENON Ballast Control Module, XENON</v>
      </c>
      <c r="R221" s="231"/>
      <c r="S221" s="231" t="str">
        <f t="shared" si="58"/>
        <v/>
      </c>
      <c r="T221" s="231" t="str">
        <f>IF(O221&lt;&gt;"",_xlfn.XLOOKUP(O221,'3D. Pictures'!B:B,'3D. Pictures'!E:E,"NOT FOUND",0,1),"")</f>
        <v/>
      </c>
      <c r="U221" s="200"/>
      <c r="V221" s="201"/>
      <c r="W221" s="200"/>
      <c r="X221" s="201"/>
      <c r="Y221" s="201"/>
      <c r="Z221" s="201"/>
      <c r="AA221" s="205" t="s">
        <v>2193</v>
      </c>
      <c r="AB221" s="205" t="s">
        <v>2193</v>
      </c>
      <c r="AC221" s="358" t="str">
        <f t="shared" si="57"/>
        <v>shiny silver metal</v>
      </c>
      <c r="AD221" s="205"/>
      <c r="AE221" s="205" t="s">
        <v>834</v>
      </c>
      <c r="AF221" s="201" t="s">
        <v>543</v>
      </c>
      <c r="AG221" s="205"/>
      <c r="AH221" s="16">
        <v>50</v>
      </c>
      <c r="AI221" s="380">
        <f t="shared" si="59"/>
        <v>50</v>
      </c>
      <c r="AJ221" s="204" t="s">
        <v>408</v>
      </c>
      <c r="AK221" s="204" t="s">
        <v>425</v>
      </c>
      <c r="AL221" s="204" t="s">
        <v>2175</v>
      </c>
      <c r="AM221" s="190"/>
      <c r="AN221" s="191" t="s">
        <v>637</v>
      </c>
      <c r="AO221" s="190" t="s">
        <v>572</v>
      </c>
      <c r="AP221" s="190">
        <v>71543</v>
      </c>
      <c r="AQ221" s="190" t="str">
        <f t="shared" si="61"/>
        <v>591-71543</v>
      </c>
      <c r="AR221" s="190" t="s">
        <v>2190</v>
      </c>
      <c r="AS221" s="190"/>
      <c r="AT221" s="190"/>
      <c r="AU221" s="190"/>
      <c r="AV221" s="190"/>
      <c r="AW221" s="190"/>
      <c r="AX221" s="279" t="str">
        <f t="shared" si="50"/>
        <v/>
      </c>
    </row>
    <row r="222" spans="1:50" ht="15.75" thickBot="1" x14ac:dyDescent="0.3">
      <c r="A222" s="190" t="str">
        <f t="shared" si="53"/>
        <v/>
      </c>
      <c r="B222" s="303" t="str">
        <f t="shared" si="56"/>
        <v/>
      </c>
      <c r="C222" s="303"/>
      <c r="D222" s="303"/>
      <c r="E222" s="303" t="str">
        <f t="shared" si="54"/>
        <v/>
      </c>
      <c r="F222" s="303" t="s">
        <v>535</v>
      </c>
      <c r="G222" s="304">
        <v>45244</v>
      </c>
      <c r="H222" s="305"/>
      <c r="I222" s="305"/>
      <c r="J222" s="309" t="s">
        <v>402</v>
      </c>
      <c r="K222" s="309" t="s">
        <v>46</v>
      </c>
      <c r="L222" s="309" t="s">
        <v>833</v>
      </c>
      <c r="M222" s="329" t="s">
        <v>558</v>
      </c>
      <c r="N222" s="329"/>
      <c r="O222" s="330"/>
      <c r="P222" s="330"/>
      <c r="Q222" s="307" t="str">
        <f t="shared" si="55"/>
        <v>. Headlight, Access Cover Cap SET 2</v>
      </c>
      <c r="R222" s="307"/>
      <c r="S222" s="307" t="str">
        <f t="shared" si="58"/>
        <v/>
      </c>
      <c r="T222" s="307" t="str">
        <f>IF(O222&lt;&gt;"",_xlfn.XLOOKUP(O222,'3D. Pictures'!B:B,'3D. Pictures'!E:E,"NOT FOUND",0,1),"")</f>
        <v/>
      </c>
      <c r="U222" s="329"/>
      <c r="V222" s="309"/>
      <c r="W222" s="329"/>
      <c r="X222" s="309"/>
      <c r="Y222" s="243"/>
      <c r="Z222" s="309"/>
      <c r="AA222" s="309" t="s">
        <v>2500</v>
      </c>
      <c r="AB222" s="309" t="s">
        <v>2500</v>
      </c>
      <c r="AC222" s="247" t="str">
        <f t="shared" si="57"/>
        <v>on light unless bad, x2 per light sell SET2, toss singles</v>
      </c>
      <c r="AD222" s="309" t="s">
        <v>2189</v>
      </c>
      <c r="AE222" s="309"/>
      <c r="AF222" s="309" t="s">
        <v>543</v>
      </c>
      <c r="AG222" s="309"/>
      <c r="AH222" s="169">
        <v>60</v>
      </c>
      <c r="AI222" s="380">
        <f t="shared" si="59"/>
        <v>60</v>
      </c>
      <c r="AJ222" s="310" t="s">
        <v>408</v>
      </c>
      <c r="AK222" s="310" t="s">
        <v>425</v>
      </c>
      <c r="AL222" s="310" t="s">
        <v>2175</v>
      </c>
      <c r="AM222" s="331"/>
      <c r="AN222" s="332"/>
      <c r="AO222" s="303" t="s">
        <v>572</v>
      </c>
      <c r="AP222" s="303"/>
      <c r="AQ222" s="303"/>
      <c r="AR222" s="303" t="s">
        <v>1229</v>
      </c>
      <c r="AS222" s="303" t="s">
        <v>1028</v>
      </c>
      <c r="AT222" s="303" t="s">
        <v>1029</v>
      </c>
      <c r="AU222" s="303" t="s">
        <v>1030</v>
      </c>
      <c r="AV222" s="303" t="str">
        <f t="shared" ref="AV222" si="62">CONCATENATE(AS222,"-",AT222,"-",AU222)</f>
        <v>F15-14-18-ALL</v>
      </c>
      <c r="AW222" s="303" t="s">
        <v>2406</v>
      </c>
      <c r="AX222" s="279" t="str">
        <f t="shared" si="50"/>
        <v>F15-14-18-ALL-Viking40</v>
      </c>
    </row>
    <row r="223" spans="1:50" ht="15.75" thickBot="1" x14ac:dyDescent="0.3">
      <c r="A223" s="190" t="str">
        <f t="shared" si="53"/>
        <v>A112</v>
      </c>
      <c r="B223" s="279" t="str">
        <f t="shared" si="56"/>
        <v>166-60725</v>
      </c>
      <c r="C223" s="279"/>
      <c r="D223" s="279"/>
      <c r="E223" s="279">
        <f t="shared" si="54"/>
        <v>1</v>
      </c>
      <c r="F223" s="190" t="s">
        <v>535</v>
      </c>
      <c r="G223" s="198">
        <v>44671</v>
      </c>
      <c r="H223" s="217"/>
      <c r="I223" s="192" t="s">
        <v>7</v>
      </c>
      <c r="J223" s="205" t="s">
        <v>402</v>
      </c>
      <c r="K223" s="205" t="s">
        <v>46</v>
      </c>
      <c r="L223" s="205" t="s">
        <v>1373</v>
      </c>
      <c r="M223" s="200" t="s">
        <v>558</v>
      </c>
      <c r="N223" s="200">
        <v>102</v>
      </c>
      <c r="O223" s="230" t="s">
        <v>1014</v>
      </c>
      <c r="P223" s="230" t="s">
        <v>1307</v>
      </c>
      <c r="Q223" s="231" t="str">
        <f t="shared" si="55"/>
        <v>A112. Taillight, QUARTER PANEL MOUNTED - LEFT</v>
      </c>
      <c r="R223" s="284" t="str">
        <f>HYPERLINK(VLOOKUP(O223,'3D. Pictures'!$B$3:$E$500,4,FALSE),"PIC")</f>
        <v>PIC</v>
      </c>
      <c r="S223" s="373" t="str">
        <f t="shared" si="58"/>
        <v>E.G.</v>
      </c>
      <c r="T223" s="377" t="str">
        <f>IF(O223&lt;&gt;"",_xlfn.XLOOKUP(O223,'3D. Pictures'!B:B,'3D. Pictures'!E:E,"NOT FOUND",0,1),"")</f>
        <v>https://viking-pictures.s3.us-west-1.amazonaws.com/AA1155/A112.+Taillight%2C+QUARTER+PANEL+MOUNTED+-+LEFT+(1).JPG</v>
      </c>
      <c r="U223" s="200">
        <v>7</v>
      </c>
      <c r="V223" s="201" t="s">
        <v>1351</v>
      </c>
      <c r="W223" s="200" t="s">
        <v>112</v>
      </c>
      <c r="X223" s="201" t="s">
        <v>2468</v>
      </c>
      <c r="Y223" s="201"/>
      <c r="Z223" s="201"/>
      <c r="AA223" s="205" t="s">
        <v>529</v>
      </c>
      <c r="AB223" s="205" t="s">
        <v>529</v>
      </c>
      <c r="AC223" s="358" t="str">
        <f t="shared" si="57"/>
        <v/>
      </c>
      <c r="AD223" s="205"/>
      <c r="AE223" s="205"/>
      <c r="AF223" s="201" t="s">
        <v>543</v>
      </c>
      <c r="AG223" s="205"/>
      <c r="AH223" s="16">
        <v>235</v>
      </c>
      <c r="AI223" s="380">
        <f t="shared" si="59"/>
        <v>235</v>
      </c>
      <c r="AJ223" s="204" t="s">
        <v>408</v>
      </c>
      <c r="AK223" s="204" t="s">
        <v>425</v>
      </c>
      <c r="AL223" s="204" t="s">
        <v>2175</v>
      </c>
      <c r="AM223" s="190"/>
      <c r="AN223" s="191" t="s">
        <v>639</v>
      </c>
      <c r="AO223" s="190" t="s">
        <v>572</v>
      </c>
      <c r="AP223" s="190">
        <v>60725</v>
      </c>
      <c r="AQ223" s="190" t="str">
        <f t="shared" ref="AQ223:AQ226" si="63">CONCATENATE(AN223,AO223,AP223)</f>
        <v>166-60725</v>
      </c>
      <c r="AR223" s="190"/>
      <c r="AS223" s="190"/>
      <c r="AT223" s="190"/>
      <c r="AU223" s="190"/>
      <c r="AV223" s="190"/>
      <c r="AW223" s="190"/>
      <c r="AX223" s="279" t="str">
        <f t="shared" si="50"/>
        <v/>
      </c>
    </row>
    <row r="224" spans="1:50" ht="15.75" thickBot="1" x14ac:dyDescent="0.3">
      <c r="A224" s="190" t="str">
        <f t="shared" si="53"/>
        <v/>
      </c>
      <c r="B224" s="279" t="str">
        <f t="shared" si="56"/>
        <v>166-60724</v>
      </c>
      <c r="C224" s="279"/>
      <c r="D224" s="279"/>
      <c r="E224" s="279">
        <f t="shared" si="54"/>
        <v>1</v>
      </c>
      <c r="F224" s="190" t="s">
        <v>535</v>
      </c>
      <c r="G224" s="198">
        <v>44671</v>
      </c>
      <c r="H224" s="217"/>
      <c r="I224" s="192" t="s">
        <v>7</v>
      </c>
      <c r="J224" s="205" t="s">
        <v>402</v>
      </c>
      <c r="K224" s="205" t="s">
        <v>46</v>
      </c>
      <c r="L224" s="205" t="s">
        <v>1373</v>
      </c>
      <c r="M224" s="200" t="s">
        <v>558</v>
      </c>
      <c r="N224" s="200"/>
      <c r="O224" s="230"/>
      <c r="P224" s="230"/>
      <c r="Q224" s="231" t="str">
        <f t="shared" si="55"/>
        <v>. Taillight, QUARTER PANEL MOUNTED - RIGHT</v>
      </c>
      <c r="R224" s="231"/>
      <c r="S224" s="231" t="str">
        <f t="shared" si="58"/>
        <v/>
      </c>
      <c r="T224" s="231" t="str">
        <f>IF(O224&lt;&gt;"",_xlfn.XLOOKUP(O224,'3D. Pictures'!B:B,'3D. Pictures'!E:E,"NOT FOUND",0,1),"")</f>
        <v/>
      </c>
      <c r="U224" s="200"/>
      <c r="V224" s="201"/>
      <c r="W224" s="200"/>
      <c r="X224" s="201"/>
      <c r="Y224" s="272"/>
      <c r="Z224" s="201"/>
      <c r="AA224" s="205" t="s">
        <v>530</v>
      </c>
      <c r="AB224" s="205" t="s">
        <v>530</v>
      </c>
      <c r="AC224" s="358" t="str">
        <f t="shared" si="57"/>
        <v/>
      </c>
      <c r="AD224" s="205"/>
      <c r="AE224" s="205"/>
      <c r="AF224" s="201" t="s">
        <v>543</v>
      </c>
      <c r="AG224" s="205"/>
      <c r="AH224" s="16">
        <v>235</v>
      </c>
      <c r="AI224" s="380">
        <f t="shared" si="59"/>
        <v>235</v>
      </c>
      <c r="AJ224" s="204" t="s">
        <v>408</v>
      </c>
      <c r="AK224" s="204" t="s">
        <v>425</v>
      </c>
      <c r="AL224" s="204" t="s">
        <v>2175</v>
      </c>
      <c r="AM224" s="190"/>
      <c r="AN224" s="191" t="s">
        <v>639</v>
      </c>
      <c r="AO224" s="190" t="s">
        <v>572</v>
      </c>
      <c r="AP224" s="190">
        <v>60724</v>
      </c>
      <c r="AQ224" s="190" t="str">
        <f t="shared" si="63"/>
        <v>166-60724</v>
      </c>
      <c r="AR224" s="190"/>
      <c r="AS224" s="190"/>
      <c r="AT224" s="190"/>
      <c r="AU224" s="190"/>
      <c r="AV224" s="190"/>
      <c r="AW224" s="190"/>
      <c r="AX224" s="279" t="str">
        <f t="shared" si="50"/>
        <v/>
      </c>
    </row>
    <row r="225" spans="1:50" ht="15.75" thickBot="1" x14ac:dyDescent="0.3">
      <c r="A225" s="190" t="str">
        <f t="shared" si="53"/>
        <v>A113</v>
      </c>
      <c r="B225" s="279" t="str">
        <f t="shared" si="56"/>
        <v>166-60727</v>
      </c>
      <c r="C225" s="279"/>
      <c r="D225" s="279"/>
      <c r="E225" s="279">
        <f t="shared" si="54"/>
        <v>1</v>
      </c>
      <c r="F225" s="190" t="s">
        <v>535</v>
      </c>
      <c r="G225" s="198">
        <v>44671</v>
      </c>
      <c r="H225" s="217"/>
      <c r="I225" s="192" t="s">
        <v>7</v>
      </c>
      <c r="J225" s="205" t="s">
        <v>402</v>
      </c>
      <c r="K225" s="205" t="s">
        <v>46</v>
      </c>
      <c r="L225" s="205" t="s">
        <v>1373</v>
      </c>
      <c r="M225" s="200" t="s">
        <v>558</v>
      </c>
      <c r="N225" s="200">
        <v>103</v>
      </c>
      <c r="O225" s="230" t="s">
        <v>1015</v>
      </c>
      <c r="P225" s="230" t="s">
        <v>1307</v>
      </c>
      <c r="Q225" s="231" t="str">
        <f t="shared" si="55"/>
        <v>A113. Taillight, TRUNK MOUNTED - LEFT</v>
      </c>
      <c r="R225" s="284" t="str">
        <f>HYPERLINK(VLOOKUP(O225,'3D. Pictures'!$B$3:$E$500,4,FALSE),"PIC")</f>
        <v>PIC</v>
      </c>
      <c r="S225" s="373" t="str">
        <f t="shared" si="58"/>
        <v>E.G.</v>
      </c>
      <c r="T225" s="377" t="str">
        <f>IF(O225&lt;&gt;"",_xlfn.XLOOKUP(O225,'3D. Pictures'!B:B,'3D. Pictures'!E:E,"NOT FOUND",0,1),"")</f>
        <v>https://viking-pictures.s3.us-west-1.amazonaws.com/AA1155/A113.+Taillight%2C+TRUNK+MOUNTED+-+LEFT+(1).JPG</v>
      </c>
      <c r="U225" s="200">
        <v>6</v>
      </c>
      <c r="V225" s="201" t="s">
        <v>1352</v>
      </c>
      <c r="W225" s="200" t="s">
        <v>112</v>
      </c>
      <c r="X225" s="201" t="s">
        <v>2468</v>
      </c>
      <c r="Y225" s="243"/>
      <c r="Z225" s="201"/>
      <c r="AA225" s="205" t="s">
        <v>531</v>
      </c>
      <c r="AB225" s="205" t="s">
        <v>531</v>
      </c>
      <c r="AC225" s="358" t="str">
        <f t="shared" si="57"/>
        <v/>
      </c>
      <c r="AD225" s="205"/>
      <c r="AE225" s="205"/>
      <c r="AF225" s="201" t="s">
        <v>543</v>
      </c>
      <c r="AG225" s="205"/>
      <c r="AH225" s="16">
        <v>250</v>
      </c>
      <c r="AI225" s="380">
        <f t="shared" si="59"/>
        <v>250</v>
      </c>
      <c r="AJ225" s="204" t="s">
        <v>408</v>
      </c>
      <c r="AK225" s="204" t="s">
        <v>425</v>
      </c>
      <c r="AL225" s="204" t="s">
        <v>2175</v>
      </c>
      <c r="AM225" s="190"/>
      <c r="AN225" s="191" t="s">
        <v>639</v>
      </c>
      <c r="AO225" s="190" t="s">
        <v>572</v>
      </c>
      <c r="AP225" s="190">
        <v>60727</v>
      </c>
      <c r="AQ225" s="190" t="str">
        <f t="shared" si="63"/>
        <v>166-60727</v>
      </c>
      <c r="AR225" s="190"/>
      <c r="AS225" s="190"/>
      <c r="AT225" s="190"/>
      <c r="AU225" s="190"/>
      <c r="AV225" s="190"/>
      <c r="AW225" s="190"/>
      <c r="AX225" s="279" t="str">
        <f t="shared" si="50"/>
        <v/>
      </c>
    </row>
    <row r="226" spans="1:50" ht="15.75" thickBot="1" x14ac:dyDescent="0.3">
      <c r="A226" s="190" t="str">
        <f t="shared" si="53"/>
        <v>A115</v>
      </c>
      <c r="B226" s="279" t="str">
        <f t="shared" si="56"/>
        <v>166-60726</v>
      </c>
      <c r="C226" s="279"/>
      <c r="D226" s="279"/>
      <c r="E226" s="279">
        <f t="shared" si="54"/>
        <v>1</v>
      </c>
      <c r="F226" s="190" t="s">
        <v>535</v>
      </c>
      <c r="G226" s="198">
        <v>44671</v>
      </c>
      <c r="H226" s="217"/>
      <c r="I226" s="192" t="s">
        <v>7</v>
      </c>
      <c r="J226" s="205" t="s">
        <v>402</v>
      </c>
      <c r="K226" s="205" t="s">
        <v>46</v>
      </c>
      <c r="L226" s="205" t="s">
        <v>1373</v>
      </c>
      <c r="M226" s="200" t="s">
        <v>558</v>
      </c>
      <c r="N226" s="200">
        <v>105</v>
      </c>
      <c r="O226" s="230" t="s">
        <v>1017</v>
      </c>
      <c r="P226" s="230" t="s">
        <v>1307</v>
      </c>
      <c r="Q226" s="231" t="str">
        <f t="shared" si="55"/>
        <v>A115. Taillight, TRUNK MOUNTED - RIGHT</v>
      </c>
      <c r="R226" s="284" t="str">
        <f>HYPERLINK(VLOOKUP(O226,'3D. Pictures'!$B$3:$E$500,4,FALSE),"PIC")</f>
        <v>PIC</v>
      </c>
      <c r="S226" s="373" t="str">
        <f t="shared" si="58"/>
        <v>E.G.</v>
      </c>
      <c r="T226" s="377" t="str">
        <f>IF(O226&lt;&gt;"",_xlfn.XLOOKUP(O226,'3D. Pictures'!B:B,'3D. Pictures'!E:E,"NOT FOUND",0,1),"")</f>
        <v>https://viking-pictures.s3.us-west-1.amazonaws.com/AA1155/A115.+Taillight%2C+TRUNK+MOUNTED+-+RIGHT+(1).JPG</v>
      </c>
      <c r="U226" s="200">
        <v>5</v>
      </c>
      <c r="V226" s="201" t="s">
        <v>1353</v>
      </c>
      <c r="W226" s="200" t="s">
        <v>112</v>
      </c>
      <c r="X226" s="201" t="s">
        <v>2468</v>
      </c>
      <c r="Y226" s="243"/>
      <c r="Z226" s="201"/>
      <c r="AA226" s="205" t="s">
        <v>532</v>
      </c>
      <c r="AB226" s="205" t="s">
        <v>532</v>
      </c>
      <c r="AC226" s="358" t="str">
        <f t="shared" si="57"/>
        <v/>
      </c>
      <c r="AD226" s="205"/>
      <c r="AE226" s="205"/>
      <c r="AF226" s="201" t="s">
        <v>543</v>
      </c>
      <c r="AG226" s="205"/>
      <c r="AH226" s="16">
        <v>250</v>
      </c>
      <c r="AI226" s="380">
        <f t="shared" si="59"/>
        <v>250</v>
      </c>
      <c r="AJ226" s="204" t="s">
        <v>408</v>
      </c>
      <c r="AK226" s="204" t="s">
        <v>425</v>
      </c>
      <c r="AL226" s="204" t="s">
        <v>2175</v>
      </c>
      <c r="AM226" s="190"/>
      <c r="AN226" s="191" t="s">
        <v>639</v>
      </c>
      <c r="AO226" s="190" t="s">
        <v>572</v>
      </c>
      <c r="AP226" s="190">
        <v>60726</v>
      </c>
      <c r="AQ226" s="190" t="str">
        <f t="shared" si="63"/>
        <v>166-60726</v>
      </c>
      <c r="AR226" s="190"/>
      <c r="AS226" s="190"/>
      <c r="AT226" s="190"/>
      <c r="AU226" s="190"/>
      <c r="AV226" s="190"/>
      <c r="AW226" s="190"/>
      <c r="AX226" s="279" t="str">
        <f t="shared" si="50"/>
        <v/>
      </c>
    </row>
    <row r="227" spans="1:50" x14ac:dyDescent="0.25">
      <c r="A227" s="190" t="str">
        <f t="shared" si="53"/>
        <v/>
      </c>
      <c r="B227" s="279" t="str">
        <f t="shared" si="56"/>
        <v/>
      </c>
      <c r="C227" s="279"/>
      <c r="D227" s="279"/>
      <c r="E227" s="279" t="str">
        <f t="shared" si="54"/>
        <v/>
      </c>
      <c r="F227" t="s">
        <v>535</v>
      </c>
      <c r="G227" s="188">
        <v>44671</v>
      </c>
      <c r="H227" s="10"/>
      <c r="I227" s="10"/>
      <c r="J227" s="10" t="s">
        <v>405</v>
      </c>
      <c r="K227" s="10" t="s">
        <v>46</v>
      </c>
      <c r="L227" s="10" t="s">
        <v>2698</v>
      </c>
      <c r="M227" s="16" t="s">
        <v>559</v>
      </c>
      <c r="N227" s="16"/>
      <c r="O227" s="166"/>
      <c r="P227" s="166"/>
      <c r="Q227" s="231" t="str">
        <f t="shared" si="55"/>
        <v>. License Plate Lights</v>
      </c>
      <c r="R227" s="231"/>
      <c r="S227" s="231" t="str">
        <f t="shared" si="58"/>
        <v/>
      </c>
      <c r="T227" s="231" t="str">
        <f>IF(O227&lt;&gt;"",_xlfn.XLOOKUP(O227,'3D. Pictures'!B:B,'3D. Pictures'!E:E,"NOT FOUND",0,1),"")</f>
        <v/>
      </c>
      <c r="U227" s="16"/>
      <c r="V227" s="16"/>
      <c r="W227" s="16"/>
      <c r="X227" s="16"/>
      <c r="Y227" s="243"/>
      <c r="Z227" s="16"/>
      <c r="AA227" s="10" t="s">
        <v>2654</v>
      </c>
      <c r="AB227" s="10" t="s">
        <v>2654</v>
      </c>
      <c r="AC227" s="359" t="str">
        <f t="shared" si="57"/>
        <v>TOSS BOTH</v>
      </c>
      <c r="AD227" s="10" t="s">
        <v>2544</v>
      </c>
      <c r="AE227" s="10"/>
      <c r="AF227" s="168" t="s">
        <v>543</v>
      </c>
      <c r="AG227" s="10"/>
      <c r="AH227" s="10"/>
      <c r="AI227" s="380" t="str">
        <f t="shared" si="59"/>
        <v/>
      </c>
      <c r="AJ227" s="3" t="s">
        <v>408</v>
      </c>
      <c r="AK227" s="3" t="s">
        <v>425</v>
      </c>
      <c r="AL227" s="3" t="s">
        <v>2175</v>
      </c>
      <c r="AX227" s="279" t="str">
        <f t="shared" si="50"/>
        <v/>
      </c>
    </row>
    <row r="228" spans="1:50" x14ac:dyDescent="0.25">
      <c r="A228" s="190" t="str">
        <f t="shared" si="53"/>
        <v/>
      </c>
      <c r="B228" s="279" t="str">
        <f t="shared" si="56"/>
        <v>591-74060</v>
      </c>
      <c r="C228" s="279"/>
      <c r="D228" s="279"/>
      <c r="E228" s="279">
        <f t="shared" si="54"/>
        <v>1</v>
      </c>
      <c r="F228" s="190" t="s">
        <v>535</v>
      </c>
      <c r="G228" s="198">
        <v>45247</v>
      </c>
      <c r="H228" s="217"/>
      <c r="I228" s="192"/>
      <c r="J228" s="205" t="s">
        <v>402</v>
      </c>
      <c r="K228" s="205" t="s">
        <v>439</v>
      </c>
      <c r="L228" s="205" t="s">
        <v>439</v>
      </c>
      <c r="M228" s="208" t="s">
        <v>562</v>
      </c>
      <c r="N228" s="208"/>
      <c r="O228" s="232"/>
      <c r="P228" s="232"/>
      <c r="Q228" s="231" t="str">
        <f t="shared" si="55"/>
        <v>. ABS ICM Integrated Chassis Management SRS Control Module</v>
      </c>
      <c r="R228" s="231"/>
      <c r="S228" s="231" t="str">
        <f t="shared" si="58"/>
        <v/>
      </c>
      <c r="T228" s="231" t="str">
        <f>IF(O228&lt;&gt;"",_xlfn.XLOOKUP(O228,'3D. Pictures'!B:B,'3D. Pictures'!E:E,"NOT FOUND",0,1),"")</f>
        <v/>
      </c>
      <c r="U228" s="208"/>
      <c r="V228" s="201"/>
      <c r="W228" s="208"/>
      <c r="X228" s="201"/>
      <c r="Y228" s="243"/>
      <c r="Z228" s="201"/>
      <c r="AA228" s="205" t="s">
        <v>835</v>
      </c>
      <c r="AB228" s="205" t="s">
        <v>835</v>
      </c>
      <c r="AC228" s="358" t="str">
        <f t="shared" si="57"/>
        <v>looks like an airbag module</v>
      </c>
      <c r="AD228" s="205"/>
      <c r="AE228" s="205" t="s">
        <v>836</v>
      </c>
      <c r="AF228" s="201" t="s">
        <v>543</v>
      </c>
      <c r="AG228" s="205"/>
      <c r="AH228" s="363">
        <v>350</v>
      </c>
      <c r="AI228" s="380">
        <f t="shared" si="59"/>
        <v>350</v>
      </c>
      <c r="AJ228" s="204" t="s">
        <v>408</v>
      </c>
      <c r="AK228" s="204" t="s">
        <v>425</v>
      </c>
      <c r="AL228" s="204" t="s">
        <v>2175</v>
      </c>
      <c r="AM228" s="190"/>
      <c r="AN228" s="191" t="s">
        <v>637</v>
      </c>
      <c r="AO228" s="190" t="s">
        <v>572</v>
      </c>
      <c r="AP228" s="190">
        <v>74060</v>
      </c>
      <c r="AQ228" s="190" t="str">
        <f t="shared" ref="AQ228:AQ229" si="64">CONCATENATE(AN228,AO228,AP228)</f>
        <v>591-74060</v>
      </c>
      <c r="AR228" s="190" t="s">
        <v>837</v>
      </c>
      <c r="AS228" s="190"/>
      <c r="AT228" s="190"/>
      <c r="AU228" s="190"/>
      <c r="AV228" s="190"/>
      <c r="AW228" s="190"/>
      <c r="AX228" s="279" t="str">
        <f t="shared" si="50"/>
        <v/>
      </c>
    </row>
    <row r="229" spans="1:50" x14ac:dyDescent="0.25">
      <c r="A229" s="190" t="str">
        <f t="shared" si="53"/>
        <v/>
      </c>
      <c r="B229" s="279" t="str">
        <f t="shared" si="56"/>
        <v>638-72906</v>
      </c>
      <c r="C229" s="279"/>
      <c r="D229" s="279"/>
      <c r="E229" s="279">
        <f t="shared" si="54"/>
        <v>1</v>
      </c>
      <c r="F229" s="190" t="s">
        <v>535</v>
      </c>
      <c r="G229" s="198">
        <v>45247</v>
      </c>
      <c r="H229" s="217"/>
      <c r="I229" s="192"/>
      <c r="J229" s="205" t="s">
        <v>402</v>
      </c>
      <c r="K229" s="205" t="s">
        <v>439</v>
      </c>
      <c r="L229" s="205" t="s">
        <v>456</v>
      </c>
      <c r="M229" s="200" t="s">
        <v>558</v>
      </c>
      <c r="N229" s="200"/>
      <c r="O229" s="230"/>
      <c r="P229" s="230"/>
      <c r="Q229" s="231" t="str">
        <f t="shared" si="55"/>
        <v>. Amplifier, Bang &amp; Olufsen</v>
      </c>
      <c r="R229" s="231"/>
      <c r="S229" s="231" t="str">
        <f t="shared" si="58"/>
        <v/>
      </c>
      <c r="T229" s="231" t="str">
        <f>IF(O229&lt;&gt;"",_xlfn.XLOOKUP(O229,'3D. Pictures'!B:B,'3D. Pictures'!E:E,"NOT FOUND",0,1),"")</f>
        <v/>
      </c>
      <c r="U229" s="200"/>
      <c r="V229" s="201"/>
      <c r="W229" s="200"/>
      <c r="X229" s="201"/>
      <c r="Y229" s="243"/>
      <c r="Z229" s="201"/>
      <c r="AA229" s="205" t="s">
        <v>840</v>
      </c>
      <c r="AB229" s="205" t="s">
        <v>840</v>
      </c>
      <c r="AC229" s="358" t="str">
        <f t="shared" si="57"/>
        <v/>
      </c>
      <c r="AD229" s="205"/>
      <c r="AE229" s="205"/>
      <c r="AF229" s="201" t="s">
        <v>543</v>
      </c>
      <c r="AG229" s="205"/>
      <c r="AH229" s="363">
        <v>975</v>
      </c>
      <c r="AI229" s="380">
        <f t="shared" si="59"/>
        <v>975</v>
      </c>
      <c r="AJ229" s="204" t="s">
        <v>408</v>
      </c>
      <c r="AK229" s="204" t="s">
        <v>425</v>
      </c>
      <c r="AL229" s="204" t="s">
        <v>2175</v>
      </c>
      <c r="AM229" s="190"/>
      <c r="AN229" s="191" t="s">
        <v>631</v>
      </c>
      <c r="AO229" s="190" t="s">
        <v>572</v>
      </c>
      <c r="AP229" s="190">
        <v>72906</v>
      </c>
      <c r="AQ229" s="190" t="str">
        <f t="shared" si="64"/>
        <v>638-72906</v>
      </c>
      <c r="AR229" s="190" t="s">
        <v>846</v>
      </c>
      <c r="AS229" s="190"/>
      <c r="AT229" s="190"/>
      <c r="AU229" s="190"/>
      <c r="AV229" s="190"/>
      <c r="AW229" s="190"/>
      <c r="AX229" s="279" t="str">
        <f t="shared" si="50"/>
        <v/>
      </c>
    </row>
    <row r="230" spans="1:50" ht="15.75" thickBot="1" x14ac:dyDescent="0.3">
      <c r="A230" s="190" t="str">
        <f t="shared" si="53"/>
        <v/>
      </c>
      <c r="B230" s="279" t="str">
        <f t="shared" si="56"/>
        <v>638-59327</v>
      </c>
      <c r="C230" s="279"/>
      <c r="D230" s="279"/>
      <c r="E230" s="279">
        <f t="shared" si="54"/>
        <v>1</v>
      </c>
      <c r="F230" s="190" t="s">
        <v>535</v>
      </c>
      <c r="G230" s="198">
        <v>45247</v>
      </c>
      <c r="H230" s="217"/>
      <c r="I230" s="192"/>
      <c r="J230" s="205" t="s">
        <v>402</v>
      </c>
      <c r="K230" s="205" t="s">
        <v>439</v>
      </c>
      <c r="L230" s="205" t="s">
        <v>456</v>
      </c>
      <c r="M230" s="200" t="s">
        <v>558</v>
      </c>
      <c r="N230" s="200"/>
      <c r="O230" s="230"/>
      <c r="P230" s="230"/>
      <c r="Q230" s="231" t="str">
        <f t="shared" si="55"/>
        <v>. Amplifier, Harman Kardon</v>
      </c>
      <c r="R230" s="231"/>
      <c r="S230" s="231" t="str">
        <f t="shared" si="58"/>
        <v/>
      </c>
      <c r="T230" s="231" t="str">
        <f>IF(O230&lt;&gt;"",_xlfn.XLOOKUP(O230,'3D. Pictures'!B:B,'3D. Pictures'!E:E,"NOT FOUND",0,1),"")</f>
        <v/>
      </c>
      <c r="U230" s="200"/>
      <c r="V230" s="201"/>
      <c r="W230" s="200"/>
      <c r="X230" s="201"/>
      <c r="Y230" s="243"/>
      <c r="Z230" s="201"/>
      <c r="AA230" s="205" t="s">
        <v>841</v>
      </c>
      <c r="AB230" s="205" t="s">
        <v>841</v>
      </c>
      <c r="AC230" s="358" t="str">
        <f t="shared" si="57"/>
        <v/>
      </c>
      <c r="AD230" s="205"/>
      <c r="AE230" s="205"/>
      <c r="AF230" s="201" t="s">
        <v>543</v>
      </c>
      <c r="AG230" s="205"/>
      <c r="AH230" s="363">
        <v>695</v>
      </c>
      <c r="AI230" s="380">
        <f t="shared" si="59"/>
        <v>695</v>
      </c>
      <c r="AJ230" s="204" t="s">
        <v>408</v>
      </c>
      <c r="AK230" s="204" t="s">
        <v>425</v>
      </c>
      <c r="AL230" s="204" t="s">
        <v>2175</v>
      </c>
      <c r="AM230" s="190"/>
      <c r="AN230" s="191" t="s">
        <v>631</v>
      </c>
      <c r="AO230" s="190" t="s">
        <v>572</v>
      </c>
      <c r="AP230" s="190">
        <v>59327</v>
      </c>
      <c r="AQ230" s="190" t="str">
        <f>CONCATENATE(AN230,AO230,AP230)</f>
        <v>638-59327</v>
      </c>
      <c r="AR230" s="190" t="s">
        <v>843</v>
      </c>
      <c r="AS230" s="190"/>
      <c r="AT230" s="190"/>
      <c r="AU230" s="190"/>
      <c r="AV230" s="190"/>
      <c r="AW230" s="190"/>
      <c r="AX230" s="279" t="str">
        <f t="shared" si="50"/>
        <v/>
      </c>
    </row>
    <row r="231" spans="1:50" ht="15.75" thickBot="1" x14ac:dyDescent="0.3">
      <c r="A231" s="190" t="str">
        <f t="shared" si="53"/>
        <v>A73</v>
      </c>
      <c r="B231" s="279" t="str">
        <f t="shared" si="56"/>
        <v>638-72908</v>
      </c>
      <c r="C231" s="279"/>
      <c r="D231" s="279"/>
      <c r="E231" s="279">
        <f t="shared" si="54"/>
        <v>1</v>
      </c>
      <c r="F231" s="190" t="s">
        <v>535</v>
      </c>
      <c r="G231" s="198">
        <v>45247</v>
      </c>
      <c r="H231" s="217"/>
      <c r="I231" s="192"/>
      <c r="J231" s="205" t="s">
        <v>402</v>
      </c>
      <c r="K231" s="205" t="s">
        <v>439</v>
      </c>
      <c r="L231" s="205" t="s">
        <v>456</v>
      </c>
      <c r="M231" s="200" t="s">
        <v>558</v>
      </c>
      <c r="N231" s="200">
        <v>63</v>
      </c>
      <c r="O231" s="230" t="s">
        <v>975</v>
      </c>
      <c r="P231" s="230" t="s">
        <v>1254</v>
      </c>
      <c r="Q231" s="231" t="str">
        <f t="shared" si="55"/>
        <v>A73. Amplifier, HiFi</v>
      </c>
      <c r="R231" s="284" t="str">
        <f>HYPERLINK(VLOOKUP(O231,'3D. Pictures'!$B$3:$E$500,4,FALSE),"PIC")</f>
        <v>PIC</v>
      </c>
      <c r="S231" s="373" t="str">
        <f t="shared" si="58"/>
        <v>E.G.</v>
      </c>
      <c r="T231" s="377" t="str">
        <f>IF(O231&lt;&gt;"",_xlfn.XLOOKUP(O231,'3D. Pictures'!B:B,'3D. Pictures'!E:E,"NOT FOUND",0,1),"")</f>
        <v>https://viking-pictures.s3.us-west-1.amazonaws.com/AA1155/A73.+Amplifier%2C+HiFi+(1).JPG</v>
      </c>
      <c r="U231" s="200">
        <v>4</v>
      </c>
      <c r="V231" s="201" t="s">
        <v>1257</v>
      </c>
      <c r="W231" s="200" t="s">
        <v>111</v>
      </c>
      <c r="X231" s="201"/>
      <c r="Y231" s="243"/>
      <c r="Z231" s="201"/>
      <c r="AA231" s="205" t="s">
        <v>842</v>
      </c>
      <c r="AB231" s="205" t="s">
        <v>842</v>
      </c>
      <c r="AC231" s="358" t="str">
        <f t="shared" si="57"/>
        <v/>
      </c>
      <c r="AD231" s="205"/>
      <c r="AE231" s="205"/>
      <c r="AF231" s="201" t="s">
        <v>543</v>
      </c>
      <c r="AG231" s="205"/>
      <c r="AH231" s="363">
        <v>95</v>
      </c>
      <c r="AI231" s="380">
        <f t="shared" si="59"/>
        <v>95</v>
      </c>
      <c r="AJ231" s="204" t="s">
        <v>408</v>
      </c>
      <c r="AK231" s="204" t="s">
        <v>425</v>
      </c>
      <c r="AL231" s="204" t="s">
        <v>2175</v>
      </c>
      <c r="AM231" s="190"/>
      <c r="AN231" s="191" t="s">
        <v>631</v>
      </c>
      <c r="AO231" s="190" t="s">
        <v>572</v>
      </c>
      <c r="AP231" s="190">
        <v>72908</v>
      </c>
      <c r="AQ231" s="190" t="str">
        <f>CONCATENATE(AN231,AO231,AP231)</f>
        <v>638-72908</v>
      </c>
      <c r="AR231" s="190" t="s">
        <v>845</v>
      </c>
      <c r="AS231" s="190"/>
      <c r="AT231" s="190"/>
      <c r="AU231" s="190"/>
      <c r="AV231" s="190"/>
      <c r="AW231" s="190"/>
      <c r="AX231" s="279" t="str">
        <f t="shared" si="50"/>
        <v/>
      </c>
    </row>
    <row r="232" spans="1:50" x14ac:dyDescent="0.25">
      <c r="A232" s="190" t="str">
        <f t="shared" si="53"/>
        <v/>
      </c>
      <c r="B232" s="279" t="str">
        <f t="shared" si="56"/>
        <v>596-10444</v>
      </c>
      <c r="C232" s="279"/>
      <c r="D232" s="279"/>
      <c r="E232" s="279">
        <f t="shared" si="54"/>
        <v>1</v>
      </c>
      <c r="F232" s="190" t="s">
        <v>535</v>
      </c>
      <c r="G232" s="198">
        <v>45247</v>
      </c>
      <c r="H232" s="217"/>
      <c r="I232" s="192"/>
      <c r="J232" s="205" t="s">
        <v>402</v>
      </c>
      <c r="K232" s="205" t="s">
        <v>439</v>
      </c>
      <c r="L232" s="205" t="s">
        <v>439</v>
      </c>
      <c r="M232" s="208" t="s">
        <v>562</v>
      </c>
      <c r="N232" s="208"/>
      <c r="O232" s="232"/>
      <c r="P232" s="232"/>
      <c r="Q232" s="231" t="str">
        <f t="shared" si="55"/>
        <v>. Blind Spot Alert Sensor Module, Master</v>
      </c>
      <c r="R232" s="231"/>
      <c r="S232" s="231" t="str">
        <f t="shared" si="58"/>
        <v/>
      </c>
      <c r="T232" s="231" t="str">
        <f>IF(O232&lt;&gt;"",_xlfn.XLOOKUP(O232,'3D. Pictures'!B:B,'3D. Pictures'!E:E,"NOT FOUND",0,1),"")</f>
        <v/>
      </c>
      <c r="U232" s="208"/>
      <c r="V232" s="201"/>
      <c r="W232" s="208"/>
      <c r="X232" s="201"/>
      <c r="Y232" s="243"/>
      <c r="Z232" s="201"/>
      <c r="AA232" s="205" t="s">
        <v>500</v>
      </c>
      <c r="AB232" s="205" t="s">
        <v>500</v>
      </c>
      <c r="AC232" s="358" t="str">
        <f t="shared" si="57"/>
        <v/>
      </c>
      <c r="AD232" s="205"/>
      <c r="AE232" s="205"/>
      <c r="AF232" s="201" t="s">
        <v>543</v>
      </c>
      <c r="AG232" s="205" t="s">
        <v>847</v>
      </c>
      <c r="AH232" s="16">
        <v>150</v>
      </c>
      <c r="AI232" s="380">
        <f t="shared" si="59"/>
        <v>150</v>
      </c>
      <c r="AJ232" s="204" t="s">
        <v>408</v>
      </c>
      <c r="AK232" s="204" t="s">
        <v>425</v>
      </c>
      <c r="AL232" s="204" t="s">
        <v>2175</v>
      </c>
      <c r="AM232" s="190"/>
      <c r="AN232" s="191" t="s">
        <v>628</v>
      </c>
      <c r="AO232" s="190" t="s">
        <v>572</v>
      </c>
      <c r="AP232" s="190">
        <v>10444</v>
      </c>
      <c r="AQ232" s="190" t="str">
        <f t="shared" ref="AQ232:AQ234" si="65">CONCATENATE(AN232,AO232,AP232)</f>
        <v>596-10444</v>
      </c>
      <c r="AR232" s="190"/>
      <c r="AS232" s="190"/>
      <c r="AT232" s="190"/>
      <c r="AU232" s="190"/>
      <c r="AV232" s="190"/>
      <c r="AW232" s="190"/>
      <c r="AX232" s="279" t="str">
        <f t="shared" si="50"/>
        <v/>
      </c>
    </row>
    <row r="233" spans="1:50" x14ac:dyDescent="0.25">
      <c r="A233" s="190" t="str">
        <f t="shared" si="53"/>
        <v/>
      </c>
      <c r="B233" s="279" t="str">
        <f t="shared" si="56"/>
        <v>596-10443</v>
      </c>
      <c r="C233" s="279"/>
      <c r="D233" s="279"/>
      <c r="E233" s="279">
        <f t="shared" si="54"/>
        <v>1</v>
      </c>
      <c r="F233" s="190" t="s">
        <v>535</v>
      </c>
      <c r="G233" s="198">
        <v>45247</v>
      </c>
      <c r="H233" s="217"/>
      <c r="I233" s="192"/>
      <c r="J233" s="205" t="s">
        <v>402</v>
      </c>
      <c r="K233" s="205" t="s">
        <v>439</v>
      </c>
      <c r="L233" s="205" t="s">
        <v>439</v>
      </c>
      <c r="M233" s="208" t="s">
        <v>562</v>
      </c>
      <c r="N233" s="208"/>
      <c r="O233" s="232"/>
      <c r="P233" s="232"/>
      <c r="Q233" s="231" t="str">
        <f t="shared" si="55"/>
        <v>. Blind Spot Alert Sensor Module, Slave</v>
      </c>
      <c r="R233" s="231"/>
      <c r="S233" s="231" t="str">
        <f t="shared" si="58"/>
        <v/>
      </c>
      <c r="T233" s="231" t="str">
        <f>IF(O233&lt;&gt;"",_xlfn.XLOOKUP(O233,'3D. Pictures'!B:B,'3D. Pictures'!E:E,"NOT FOUND",0,1),"")</f>
        <v/>
      </c>
      <c r="U233" s="208"/>
      <c r="V233" s="201"/>
      <c r="W233" s="208"/>
      <c r="X233" s="201"/>
      <c r="Y233" s="16"/>
      <c r="Z233" s="201"/>
      <c r="AA233" s="205" t="s">
        <v>501</v>
      </c>
      <c r="AB233" s="205" t="s">
        <v>501</v>
      </c>
      <c r="AC233" s="358" t="str">
        <f t="shared" si="57"/>
        <v/>
      </c>
      <c r="AD233" s="205"/>
      <c r="AE233" s="205"/>
      <c r="AF233" s="201" t="s">
        <v>543</v>
      </c>
      <c r="AG233" s="205" t="s">
        <v>847</v>
      </c>
      <c r="AH233" s="16">
        <v>150</v>
      </c>
      <c r="AI233" s="380">
        <f t="shared" si="59"/>
        <v>150</v>
      </c>
      <c r="AJ233" s="204" t="s">
        <v>408</v>
      </c>
      <c r="AK233" s="204" t="s">
        <v>425</v>
      </c>
      <c r="AL233" s="204" t="s">
        <v>2175</v>
      </c>
      <c r="AM233" s="190"/>
      <c r="AN233" s="191" t="s">
        <v>628</v>
      </c>
      <c r="AO233" s="190" t="s">
        <v>572</v>
      </c>
      <c r="AP233" s="190">
        <v>10443</v>
      </c>
      <c r="AQ233" s="190" t="str">
        <f t="shared" si="65"/>
        <v>596-10443</v>
      </c>
      <c r="AR233" s="190"/>
      <c r="AS233" s="190"/>
      <c r="AT233" s="190"/>
      <c r="AU233" s="190"/>
      <c r="AV233" s="190"/>
      <c r="AW233" s="190"/>
      <c r="AX233" s="279" t="str">
        <f t="shared" si="50"/>
        <v/>
      </c>
    </row>
    <row r="234" spans="1:50" x14ac:dyDescent="0.25">
      <c r="A234" s="190" t="str">
        <f t="shared" si="53"/>
        <v/>
      </c>
      <c r="B234" s="279" t="str">
        <f t="shared" si="56"/>
        <v>591-74037</v>
      </c>
      <c r="C234" s="279"/>
      <c r="D234" s="279"/>
      <c r="E234" s="279">
        <f t="shared" si="54"/>
        <v>1</v>
      </c>
      <c r="F234" s="190" t="s">
        <v>535</v>
      </c>
      <c r="G234" s="198">
        <v>44684</v>
      </c>
      <c r="H234" s="217"/>
      <c r="I234" s="192"/>
      <c r="J234" s="205" t="s">
        <v>402</v>
      </c>
      <c r="K234" s="205" t="s">
        <v>439</v>
      </c>
      <c r="L234" s="205" t="s">
        <v>439</v>
      </c>
      <c r="M234" s="208" t="s">
        <v>562</v>
      </c>
      <c r="N234" s="208"/>
      <c r="O234" s="232"/>
      <c r="P234" s="232"/>
      <c r="Q234" s="231" t="str">
        <f t="shared" si="55"/>
        <v>. Body Power Control Module</v>
      </c>
      <c r="R234" s="231"/>
      <c r="S234" s="231" t="str">
        <f t="shared" si="58"/>
        <v/>
      </c>
      <c r="T234" s="231" t="str">
        <f>IF(O234&lt;&gt;"",_xlfn.XLOOKUP(O234,'3D. Pictures'!B:B,'3D. Pictures'!E:E,"NOT FOUND",0,1),"")</f>
        <v/>
      </c>
      <c r="U234" s="208"/>
      <c r="V234" s="201"/>
      <c r="W234" s="208"/>
      <c r="X234" s="201"/>
      <c r="Y234" s="243"/>
      <c r="Z234" s="201"/>
      <c r="AA234" s="205" t="s">
        <v>848</v>
      </c>
      <c r="AB234" s="205" t="s">
        <v>848</v>
      </c>
      <c r="AC234" s="358" t="str">
        <f t="shared" si="57"/>
        <v>w/ SET A unless no set (REQUIRED)</v>
      </c>
      <c r="AD234" s="205" t="s">
        <v>849</v>
      </c>
      <c r="AE234" s="205"/>
      <c r="AF234" s="201" t="s">
        <v>543</v>
      </c>
      <c r="AG234" s="205" t="s">
        <v>472</v>
      </c>
      <c r="AH234" s="16">
        <v>300</v>
      </c>
      <c r="AI234" s="380">
        <f t="shared" si="59"/>
        <v>300</v>
      </c>
      <c r="AJ234" s="204" t="s">
        <v>408</v>
      </c>
      <c r="AK234" s="204" t="s">
        <v>425</v>
      </c>
      <c r="AL234" s="204" t="s">
        <v>2175</v>
      </c>
      <c r="AM234" s="190"/>
      <c r="AN234" s="191" t="s">
        <v>637</v>
      </c>
      <c r="AO234" s="190" t="s">
        <v>572</v>
      </c>
      <c r="AP234" s="190">
        <v>74037</v>
      </c>
      <c r="AQ234" s="190" t="str">
        <f t="shared" si="65"/>
        <v>591-74037</v>
      </c>
      <c r="AR234" s="190"/>
      <c r="AS234" s="190"/>
      <c r="AT234" s="190"/>
      <c r="AU234" s="190"/>
      <c r="AV234" s="190"/>
      <c r="AW234" s="190"/>
      <c r="AX234" s="279" t="str">
        <f t="shared" si="50"/>
        <v/>
      </c>
    </row>
    <row r="235" spans="1:50" x14ac:dyDescent="0.25">
      <c r="A235" s="190" t="str">
        <f t="shared" si="53"/>
        <v/>
      </c>
      <c r="B235" s="279" t="str">
        <f t="shared" si="56"/>
        <v/>
      </c>
      <c r="C235" s="279"/>
      <c r="D235" s="279"/>
      <c r="E235" s="279" t="str">
        <f t="shared" si="54"/>
        <v/>
      </c>
      <c r="F235" t="s">
        <v>535</v>
      </c>
      <c r="G235" s="188">
        <v>44684</v>
      </c>
      <c r="H235" s="16"/>
      <c r="I235" s="16"/>
      <c r="J235" s="16" t="s">
        <v>402</v>
      </c>
      <c r="K235" s="16" t="s">
        <v>439</v>
      </c>
      <c r="L235" s="205" t="s">
        <v>855</v>
      </c>
      <c r="M235" s="170" t="s">
        <v>558</v>
      </c>
      <c r="N235" s="170"/>
      <c r="O235" s="237"/>
      <c r="P235" s="237"/>
      <c r="Q235" s="231" t="str">
        <f t="shared" si="55"/>
        <v>. Camera, FRONT Bumper</v>
      </c>
      <c r="R235" s="231"/>
      <c r="S235" s="231" t="str">
        <f t="shared" si="58"/>
        <v/>
      </c>
      <c r="T235" s="231" t="str">
        <f>IF(O235&lt;&gt;"",_xlfn.XLOOKUP(O235,'3D. Pictures'!B:B,'3D. Pictures'!E:E,"NOT FOUND",0,1),"")</f>
        <v/>
      </c>
      <c r="U235" s="170"/>
      <c r="V235" s="168"/>
      <c r="W235" s="170"/>
      <c r="X235" s="168"/>
      <c r="Y235" s="243"/>
      <c r="Z235" s="168"/>
      <c r="AA235" s="16" t="s">
        <v>463</v>
      </c>
      <c r="AB235" s="16" t="s">
        <v>463</v>
      </c>
      <c r="AC235" s="358" t="str">
        <f t="shared" si="57"/>
        <v/>
      </c>
      <c r="AD235" s="16"/>
      <c r="AE235" s="16"/>
      <c r="AF235" s="168" t="s">
        <v>543</v>
      </c>
      <c r="AG235" s="16" t="s">
        <v>464</v>
      </c>
      <c r="AH235" s="16">
        <v>225</v>
      </c>
      <c r="AI235" s="380">
        <f t="shared" si="59"/>
        <v>225</v>
      </c>
      <c r="AJ235" s="3" t="s">
        <v>408</v>
      </c>
      <c r="AK235" s="3" t="s">
        <v>425</v>
      </c>
      <c r="AL235" s="3" t="s">
        <v>2175</v>
      </c>
      <c r="AN235" s="45"/>
      <c r="AO235" t="s">
        <v>572</v>
      </c>
      <c r="AX235" s="279" t="str">
        <f t="shared" si="50"/>
        <v/>
      </c>
    </row>
    <row r="236" spans="1:50" x14ac:dyDescent="0.25">
      <c r="A236" s="190" t="str">
        <f t="shared" si="53"/>
        <v/>
      </c>
      <c r="B236" s="279" t="str">
        <f t="shared" si="56"/>
        <v/>
      </c>
      <c r="C236" s="279"/>
      <c r="D236" s="279"/>
      <c r="E236" s="279" t="str">
        <f t="shared" si="54"/>
        <v/>
      </c>
      <c r="F236" t="s">
        <v>535</v>
      </c>
      <c r="G236" s="188">
        <v>44684</v>
      </c>
      <c r="H236" s="99"/>
      <c r="I236" s="99"/>
      <c r="J236" s="168" t="s">
        <v>402</v>
      </c>
      <c r="K236" s="168" t="s">
        <v>439</v>
      </c>
      <c r="L236" s="205" t="s">
        <v>855</v>
      </c>
      <c r="M236" s="170" t="s">
        <v>558</v>
      </c>
      <c r="N236" s="170"/>
      <c r="O236" s="237"/>
      <c r="P236" s="237"/>
      <c r="Q236" s="231" t="str">
        <f t="shared" si="55"/>
        <v>. Camera, Side</v>
      </c>
      <c r="R236" s="231"/>
      <c r="S236" s="231" t="str">
        <f t="shared" si="58"/>
        <v/>
      </c>
      <c r="T236" s="231" t="str">
        <f>IF(O236&lt;&gt;"",_xlfn.XLOOKUP(O236,'3D. Pictures'!B:B,'3D. Pictures'!E:E,"NOT FOUND",0,1),"")</f>
        <v/>
      </c>
      <c r="U236" s="170"/>
      <c r="V236" s="168"/>
      <c r="W236" s="170"/>
      <c r="X236" s="168"/>
      <c r="Y236" s="243"/>
      <c r="Z236" s="168"/>
      <c r="AA236" s="168" t="s">
        <v>2595</v>
      </c>
      <c r="AB236" s="168" t="s">
        <v>2595</v>
      </c>
      <c r="AC236" s="247" t="str">
        <f t="shared" si="57"/>
        <v>mark location</v>
      </c>
      <c r="AD236" s="168"/>
      <c r="AE236" s="168" t="s">
        <v>1269</v>
      </c>
      <c r="AF236" s="168" t="s">
        <v>543</v>
      </c>
      <c r="AG236" s="168" t="s">
        <v>464</v>
      </c>
      <c r="AH236" s="168">
        <v>225</v>
      </c>
      <c r="AI236" s="380">
        <f t="shared" si="59"/>
        <v>225</v>
      </c>
      <c r="AJ236" s="3" t="s">
        <v>408</v>
      </c>
      <c r="AK236" s="3" t="s">
        <v>425</v>
      </c>
      <c r="AL236" s="3" t="s">
        <v>2175</v>
      </c>
      <c r="AM236" s="138"/>
      <c r="AN236" s="45"/>
      <c r="AO236" t="s">
        <v>572</v>
      </c>
      <c r="AX236" s="279" t="str">
        <f t="shared" si="50"/>
        <v/>
      </c>
    </row>
    <row r="237" spans="1:50" x14ac:dyDescent="0.25">
      <c r="A237" s="190" t="str">
        <f t="shared" si="53"/>
        <v/>
      </c>
      <c r="B237" s="279" t="str">
        <f t="shared" si="56"/>
        <v>590-62356</v>
      </c>
      <c r="C237" s="279" t="s">
        <v>2121</v>
      </c>
      <c r="D237" s="279"/>
      <c r="E237" s="279">
        <f t="shared" si="54"/>
        <v>2</v>
      </c>
      <c r="F237" s="190" t="s">
        <v>535</v>
      </c>
      <c r="G237" s="198">
        <v>44684</v>
      </c>
      <c r="H237" s="217"/>
      <c r="I237" s="192"/>
      <c r="J237" s="205" t="s">
        <v>402</v>
      </c>
      <c r="K237" s="205" t="s">
        <v>439</v>
      </c>
      <c r="L237" s="205" t="s">
        <v>439</v>
      </c>
      <c r="M237" s="200" t="s">
        <v>558</v>
      </c>
      <c r="N237" s="200"/>
      <c r="O237" s="230"/>
      <c r="P237" s="230"/>
      <c r="Q237" s="231" t="str">
        <f t="shared" si="55"/>
        <v>. Engine Control Module</v>
      </c>
      <c r="R237" s="231"/>
      <c r="S237" s="231" t="str">
        <f t="shared" si="58"/>
        <v/>
      </c>
      <c r="T237" s="231" t="str">
        <f>IF(O237&lt;&gt;"",_xlfn.XLOOKUP(O237,'3D. Pictures'!B:B,'3D. Pictures'!E:E,"NOT FOUND",0,1),"")</f>
        <v/>
      </c>
      <c r="U237" s="200"/>
      <c r="V237" s="201"/>
      <c r="W237" s="200"/>
      <c r="X237" s="201"/>
      <c r="Y237" s="243"/>
      <c r="Z237" s="201"/>
      <c r="AA237" s="205" t="s">
        <v>850</v>
      </c>
      <c r="AB237" s="205" t="s">
        <v>850</v>
      </c>
      <c r="AC237" s="358" t="str">
        <f t="shared" si="57"/>
        <v>w/ SET A unless no set (REQUIRED)</v>
      </c>
      <c r="AD237" s="205" t="s">
        <v>849</v>
      </c>
      <c r="AE237" s="205"/>
      <c r="AF237" s="201" t="s">
        <v>543</v>
      </c>
      <c r="AG237" s="205" t="s">
        <v>472</v>
      </c>
      <c r="AH237" s="16">
        <v>325</v>
      </c>
      <c r="AI237" s="380">
        <f t="shared" si="59"/>
        <v>325</v>
      </c>
      <c r="AJ237" s="204" t="s">
        <v>2176</v>
      </c>
      <c r="AK237" s="204" t="s">
        <v>425</v>
      </c>
      <c r="AL237" s="204" t="s">
        <v>2177</v>
      </c>
      <c r="AM237" s="190"/>
      <c r="AN237" s="191" t="s">
        <v>640</v>
      </c>
      <c r="AO237" s="190" t="s">
        <v>572</v>
      </c>
      <c r="AP237" s="190">
        <v>62356</v>
      </c>
      <c r="AQ237" s="190" t="str">
        <f>CONCATENATE(AN237,AO237,AP237)</f>
        <v>590-62356</v>
      </c>
      <c r="AR237" s="190"/>
      <c r="AS237" s="190"/>
      <c r="AT237" s="190"/>
      <c r="AU237" s="190"/>
      <c r="AV237" s="190"/>
      <c r="AW237" s="190"/>
      <c r="AX237" s="279" t="str">
        <f t="shared" si="50"/>
        <v/>
      </c>
    </row>
    <row r="238" spans="1:50" x14ac:dyDescent="0.25">
      <c r="A238" s="190" t="str">
        <f t="shared" si="53"/>
        <v/>
      </c>
      <c r="B238" s="279" t="str">
        <f t="shared" si="56"/>
        <v/>
      </c>
      <c r="C238" s="279"/>
      <c r="D238" s="279"/>
      <c r="E238" s="279" t="str">
        <f t="shared" si="54"/>
        <v/>
      </c>
      <c r="F238" t="s">
        <v>535</v>
      </c>
      <c r="G238" s="188">
        <v>44684</v>
      </c>
      <c r="H238" s="163"/>
      <c r="I238" s="164"/>
      <c r="J238" s="16" t="s">
        <v>402</v>
      </c>
      <c r="K238" s="16" t="s">
        <v>439</v>
      </c>
      <c r="L238" s="16" t="s">
        <v>2699</v>
      </c>
      <c r="M238" s="16" t="s">
        <v>559</v>
      </c>
      <c r="N238" s="16"/>
      <c r="O238" s="166"/>
      <c r="P238" s="166"/>
      <c r="Q238" s="231" t="str">
        <f t="shared" si="55"/>
        <v>. Exhaust Flap Servo Actuator Motor</v>
      </c>
      <c r="R238" s="231"/>
      <c r="S238" s="231" t="str">
        <f t="shared" si="58"/>
        <v/>
      </c>
      <c r="T238" s="231" t="str">
        <f>IF(O238&lt;&gt;"",_xlfn.XLOOKUP(O238,'3D. Pictures'!B:B,'3D. Pictures'!E:E,"NOT FOUND",0,1),"")</f>
        <v/>
      </c>
      <c r="U238" s="16"/>
      <c r="V238" s="16"/>
      <c r="W238" s="16"/>
      <c r="X238" s="16"/>
      <c r="Y238" s="243"/>
      <c r="Z238" s="16"/>
      <c r="AA238" s="16" t="s">
        <v>461</v>
      </c>
      <c r="AB238" s="16" t="s">
        <v>461</v>
      </c>
      <c r="AC238" s="358" t="str">
        <f t="shared" si="57"/>
        <v/>
      </c>
      <c r="AD238" s="16"/>
      <c r="AE238" s="16"/>
      <c r="AF238" s="168" t="s">
        <v>543</v>
      </c>
      <c r="AG238" s="16"/>
      <c r="AH238" s="16">
        <v>48</v>
      </c>
      <c r="AI238" s="380">
        <f t="shared" si="59"/>
        <v>48</v>
      </c>
      <c r="AJ238" s="3" t="s">
        <v>408</v>
      </c>
      <c r="AK238" s="3" t="s">
        <v>425</v>
      </c>
      <c r="AL238" s="3" t="s">
        <v>2175</v>
      </c>
      <c r="AX238" s="279" t="str">
        <f t="shared" si="50"/>
        <v/>
      </c>
    </row>
    <row r="239" spans="1:50" x14ac:dyDescent="0.25">
      <c r="A239" s="190" t="str">
        <f t="shared" si="53"/>
        <v/>
      </c>
      <c r="B239" s="279" t="str">
        <f t="shared" si="56"/>
        <v>646-10185</v>
      </c>
      <c r="C239" s="279"/>
      <c r="D239" s="279"/>
      <c r="E239" s="279">
        <f t="shared" si="54"/>
        <v>1</v>
      </c>
      <c r="F239" s="190" t="s">
        <v>535</v>
      </c>
      <c r="G239" s="198">
        <v>44684</v>
      </c>
      <c r="H239" s="217"/>
      <c r="I239" s="192"/>
      <c r="J239" s="205" t="s">
        <v>402</v>
      </c>
      <c r="K239" s="205" t="s">
        <v>439</v>
      </c>
      <c r="L239" s="205" t="s">
        <v>2713</v>
      </c>
      <c r="M239" s="208" t="s">
        <v>562</v>
      </c>
      <c r="N239" s="208"/>
      <c r="O239" s="232"/>
      <c r="P239" s="232"/>
      <c r="Q239" s="231" t="str">
        <f t="shared" si="55"/>
        <v>. Fuse Box, REAR ENGINE fuse box</v>
      </c>
      <c r="R239" s="231"/>
      <c r="S239" s="231" t="str">
        <f t="shared" si="58"/>
        <v/>
      </c>
      <c r="T239" s="231" t="str">
        <f>IF(O239&lt;&gt;"",_xlfn.XLOOKUP(O239,'3D. Pictures'!B:B,'3D. Pictures'!E:E,"NOT FOUND",0,1),"")</f>
        <v/>
      </c>
      <c r="U239" s="208"/>
      <c r="V239" s="201"/>
      <c r="W239" s="208"/>
      <c r="X239" s="201"/>
      <c r="Y239" s="179"/>
      <c r="Z239" s="201"/>
      <c r="AA239" s="205" t="s">
        <v>2727</v>
      </c>
      <c r="AB239" s="205" t="s">
        <v>2727</v>
      </c>
      <c r="AC239" s="358" t="str">
        <f t="shared" si="57"/>
        <v>~10x6" flat black plastic (in rear but it's for engine)</v>
      </c>
      <c r="AD239" s="205"/>
      <c r="AE239" s="205" t="s">
        <v>851</v>
      </c>
      <c r="AF239" s="201" t="s">
        <v>543</v>
      </c>
      <c r="AG239" s="205"/>
      <c r="AH239" s="16">
        <v>75</v>
      </c>
      <c r="AI239" s="380">
        <f t="shared" si="59"/>
        <v>75</v>
      </c>
      <c r="AJ239" s="204" t="s">
        <v>408</v>
      </c>
      <c r="AK239" s="204" t="s">
        <v>425</v>
      </c>
      <c r="AL239" s="204" t="s">
        <v>2175</v>
      </c>
      <c r="AM239" s="190"/>
      <c r="AN239" s="191" t="s">
        <v>641</v>
      </c>
      <c r="AO239" s="190" t="s">
        <v>572</v>
      </c>
      <c r="AP239" s="190">
        <v>10185</v>
      </c>
      <c r="AQ239" s="190" t="str">
        <f>CONCATENATE(AN239,AO239,AP239)</f>
        <v>646-10185</v>
      </c>
      <c r="AR239" s="190"/>
      <c r="AS239" s="190"/>
      <c r="AT239" s="190"/>
      <c r="AU239" s="190"/>
      <c r="AV239" s="190"/>
      <c r="AW239" s="190"/>
      <c r="AX239" s="279" t="str">
        <f t="shared" si="50"/>
        <v/>
      </c>
    </row>
    <row r="240" spans="1:50" ht="15.75" thickBot="1" x14ac:dyDescent="0.3">
      <c r="A240" s="190" t="str">
        <f t="shared" si="53"/>
        <v/>
      </c>
      <c r="B240" s="279" t="str">
        <f t="shared" si="56"/>
        <v/>
      </c>
      <c r="C240" s="279"/>
      <c r="D240" s="279"/>
      <c r="E240" s="279" t="str">
        <f t="shared" si="54"/>
        <v/>
      </c>
      <c r="F240" s="190" t="s">
        <v>535</v>
      </c>
      <c r="G240" s="198">
        <v>44684</v>
      </c>
      <c r="H240" s="217"/>
      <c r="I240" s="192"/>
      <c r="J240" s="205" t="s">
        <v>402</v>
      </c>
      <c r="K240" s="205" t="s">
        <v>439</v>
      </c>
      <c r="L240" s="205" t="s">
        <v>2700</v>
      </c>
      <c r="M240" s="221" t="s">
        <v>559</v>
      </c>
      <c r="N240" s="221"/>
      <c r="O240" s="238"/>
      <c r="P240" s="238"/>
      <c r="Q240" s="231" t="str">
        <f t="shared" si="55"/>
        <v>. Ignition Anti-Theft Key Detection Immobilizer Ring</v>
      </c>
      <c r="R240" s="231"/>
      <c r="S240" s="231" t="str">
        <f t="shared" si="58"/>
        <v/>
      </c>
      <c r="T240" s="231" t="str">
        <f>IF(O240&lt;&gt;"",_xlfn.XLOOKUP(O240,'3D. Pictures'!B:B,'3D. Pictures'!E:E,"NOT FOUND",0,1),"")</f>
        <v/>
      </c>
      <c r="U240" s="221"/>
      <c r="V240" s="201"/>
      <c r="W240" s="221"/>
      <c r="X240" s="201"/>
      <c r="Y240" s="201"/>
      <c r="Z240" s="201"/>
      <c r="AA240" s="205" t="s">
        <v>474</v>
      </c>
      <c r="AB240" s="205" t="s">
        <v>474</v>
      </c>
      <c r="AC240" s="358" t="str">
        <f t="shared" si="57"/>
        <v>w/ SET A unless no set (NOT REQUIRED)</v>
      </c>
      <c r="AD240" s="205" t="s">
        <v>853</v>
      </c>
      <c r="AE240" s="205"/>
      <c r="AF240" s="201" t="s">
        <v>543</v>
      </c>
      <c r="AG240" s="205" t="s">
        <v>473</v>
      </c>
      <c r="AH240" s="16" t="s">
        <v>852</v>
      </c>
      <c r="AI240" s="380" t="str">
        <f t="shared" si="59"/>
        <v>worthless solo</v>
      </c>
      <c r="AJ240" s="204" t="s">
        <v>408</v>
      </c>
      <c r="AK240" s="204" t="s">
        <v>425</v>
      </c>
      <c r="AL240" s="204" t="s">
        <v>2175</v>
      </c>
      <c r="AM240" s="190"/>
      <c r="AN240" s="190"/>
      <c r="AO240" s="190"/>
      <c r="AP240" s="190"/>
      <c r="AQ240" s="190"/>
      <c r="AR240" s="190"/>
      <c r="AS240" s="190"/>
      <c r="AT240" s="190"/>
      <c r="AU240" s="190"/>
      <c r="AV240" s="190"/>
      <c r="AW240" s="190"/>
      <c r="AX240" s="279" t="str">
        <f t="shared" si="50"/>
        <v/>
      </c>
    </row>
    <row r="241" spans="1:50" ht="15.75" thickBot="1" x14ac:dyDescent="0.3">
      <c r="A241" s="190" t="str">
        <f t="shared" si="53"/>
        <v>A123</v>
      </c>
      <c r="B241" s="279" t="str">
        <f t="shared" si="56"/>
        <v/>
      </c>
      <c r="C241" s="279"/>
      <c r="D241" s="279"/>
      <c r="E241" s="279" t="str">
        <f t="shared" si="54"/>
        <v/>
      </c>
      <c r="F241" s="241" t="s">
        <v>535</v>
      </c>
      <c r="G241" s="242">
        <v>44684</v>
      </c>
      <c r="H241" s="243"/>
      <c r="I241" s="243"/>
      <c r="J241" s="243" t="s">
        <v>402</v>
      </c>
      <c r="K241" s="244" t="s">
        <v>439</v>
      </c>
      <c r="L241" s="243" t="s">
        <v>439</v>
      </c>
      <c r="M241" s="243" t="s">
        <v>562</v>
      </c>
      <c r="N241" s="243">
        <v>113</v>
      </c>
      <c r="O241" s="244" t="s">
        <v>2167</v>
      </c>
      <c r="P241" s="244" t="s">
        <v>1254</v>
      </c>
      <c r="Q241" s="231" t="str">
        <f t="shared" si="55"/>
        <v>A123. Integrated Power Module</v>
      </c>
      <c r="R241" s="284" t="str">
        <f>HYPERLINK(VLOOKUP(O241,'3D. Pictures'!$B$3:$E$500,4,FALSE),"PIC")</f>
        <v>PIC</v>
      </c>
      <c r="S241" s="373" t="str">
        <f t="shared" si="58"/>
        <v>E.G.</v>
      </c>
      <c r="T241" s="377" t="str">
        <f>IF(O241&lt;&gt;"",_xlfn.XLOOKUP(O241,'3D. Pictures'!B:B,'3D. Pictures'!E:E,"NOT FOUND",0,1),"")</f>
        <v>https://viking-pictures.s3.us-west-1.amazonaws.com/AA1155/A123.+Integrated+Power+Module+(1).JPG</v>
      </c>
      <c r="U241" s="243">
        <v>3</v>
      </c>
      <c r="V241" s="243" t="s">
        <v>2168</v>
      </c>
      <c r="W241" s="243" t="s">
        <v>111</v>
      </c>
      <c r="X241" s="243"/>
      <c r="Y241" s="201"/>
      <c r="Z241" s="243"/>
      <c r="AA241" s="243" t="s">
        <v>2169</v>
      </c>
      <c r="AB241" s="243" t="s">
        <v>2169</v>
      </c>
      <c r="AC241" s="358" t="str">
        <f t="shared" si="57"/>
        <v/>
      </c>
      <c r="AD241" s="243"/>
      <c r="AE241" s="243"/>
      <c r="AF241" s="179" t="s">
        <v>543</v>
      </c>
      <c r="AG241" s="243"/>
      <c r="AH241" s="16">
        <v>69</v>
      </c>
      <c r="AI241" s="380">
        <f t="shared" si="59"/>
        <v>69</v>
      </c>
      <c r="AJ241" s="246" t="s">
        <v>408</v>
      </c>
      <c r="AK241" s="246" t="s">
        <v>425</v>
      </c>
      <c r="AL241" s="246" t="s">
        <v>2635</v>
      </c>
      <c r="AM241" s="241"/>
      <c r="AN241" s="241"/>
      <c r="AO241" s="241" t="s">
        <v>572</v>
      </c>
      <c r="AP241" s="241"/>
      <c r="AQ241" s="241"/>
      <c r="AR241" s="241"/>
      <c r="AS241" s="241" t="s">
        <v>1028</v>
      </c>
      <c r="AT241" s="241" t="s">
        <v>1029</v>
      </c>
      <c r="AU241" s="241" t="s">
        <v>2354</v>
      </c>
      <c r="AV241" s="303" t="str">
        <f t="shared" ref="AV241" si="66">CONCATENATE(AS241,"-",AT241,"-",AU241)</f>
        <v>F15-14-18-ALL but 4.4TT</v>
      </c>
      <c r="AW241" s="241" t="s">
        <v>2407</v>
      </c>
      <c r="AX241" s="279" t="str">
        <f t="shared" si="50"/>
        <v>F15-14-18-ALL but 4.4TT-Viking41</v>
      </c>
    </row>
    <row r="242" spans="1:50" x14ac:dyDescent="0.25">
      <c r="A242" s="190" t="str">
        <f t="shared" si="53"/>
        <v/>
      </c>
      <c r="B242" s="279" t="str">
        <f t="shared" si="56"/>
        <v/>
      </c>
      <c r="C242" s="279"/>
      <c r="D242" s="279"/>
      <c r="E242" s="279" t="str">
        <f t="shared" si="54"/>
        <v/>
      </c>
      <c r="F242" s="190" t="s">
        <v>535</v>
      </c>
      <c r="G242" s="198">
        <v>44684</v>
      </c>
      <c r="H242" s="217"/>
      <c r="I242" s="192"/>
      <c r="J242" s="205" t="s">
        <v>402</v>
      </c>
      <c r="K242" s="205" t="s">
        <v>439</v>
      </c>
      <c r="L242" s="205" t="s">
        <v>2701</v>
      </c>
      <c r="M242" s="205" t="s">
        <v>559</v>
      </c>
      <c r="N242" s="205"/>
      <c r="O242" s="206"/>
      <c r="P242" s="206"/>
      <c r="Q242" s="231" t="str">
        <f t="shared" si="55"/>
        <v>. Key FOB + Skeleton Key</v>
      </c>
      <c r="R242" s="231"/>
      <c r="S242" s="231" t="str">
        <f t="shared" si="58"/>
        <v/>
      </c>
      <c r="T242" s="231" t="str">
        <f>IF(O242&lt;&gt;"",_xlfn.XLOOKUP(O242,'3D. Pictures'!B:B,'3D. Pictures'!E:E,"NOT FOUND",0,1),"")</f>
        <v/>
      </c>
      <c r="U242" s="205"/>
      <c r="V242" s="205"/>
      <c r="W242" s="205"/>
      <c r="X242" s="205"/>
      <c r="Y242" s="168"/>
      <c r="Z242" s="205"/>
      <c r="AA242" s="205" t="s">
        <v>854</v>
      </c>
      <c r="AB242" s="205" t="s">
        <v>854</v>
      </c>
      <c r="AC242" s="358" t="str">
        <f t="shared" si="57"/>
        <v>w/ SET A unless no set (REQUIRED)</v>
      </c>
      <c r="AD242" s="205" t="s">
        <v>849</v>
      </c>
      <c r="AE242" s="205"/>
      <c r="AF242" s="201" t="s">
        <v>543</v>
      </c>
      <c r="AG242" s="205" t="s">
        <v>472</v>
      </c>
      <c r="AH242" s="16">
        <v>75</v>
      </c>
      <c r="AI242" s="380">
        <f t="shared" si="59"/>
        <v>75</v>
      </c>
      <c r="AJ242" s="204" t="s">
        <v>408</v>
      </c>
      <c r="AK242" s="204" t="s">
        <v>425</v>
      </c>
      <c r="AL242" s="204" t="s">
        <v>2175</v>
      </c>
      <c r="AM242" s="190"/>
      <c r="AN242" s="190"/>
      <c r="AO242" s="190"/>
      <c r="AP242" s="190"/>
      <c r="AQ242" s="190"/>
      <c r="AR242" s="190"/>
      <c r="AS242" s="190"/>
      <c r="AT242" s="190"/>
      <c r="AU242" s="190"/>
      <c r="AV242" s="190"/>
      <c r="AW242" s="190"/>
      <c r="AX242" s="279" t="str">
        <f t="shared" si="50"/>
        <v/>
      </c>
    </row>
    <row r="243" spans="1:50" x14ac:dyDescent="0.25">
      <c r="A243" s="190" t="str">
        <f t="shared" si="53"/>
        <v/>
      </c>
      <c r="B243" s="279" t="str">
        <f t="shared" si="56"/>
        <v/>
      </c>
      <c r="C243" s="279"/>
      <c r="D243" s="279"/>
      <c r="E243" s="279" t="str">
        <f t="shared" si="54"/>
        <v/>
      </c>
      <c r="F243" t="s">
        <v>535</v>
      </c>
      <c r="G243" s="188">
        <v>44684</v>
      </c>
      <c r="H243" s="16"/>
      <c r="I243" s="16"/>
      <c r="J243" s="16" t="s">
        <v>402</v>
      </c>
      <c r="K243" s="16" t="s">
        <v>439</v>
      </c>
      <c r="L243" s="16" t="s">
        <v>439</v>
      </c>
      <c r="M243" s="16" t="s">
        <v>559</v>
      </c>
      <c r="N243" s="16"/>
      <c r="O243" s="166"/>
      <c r="P243" s="166"/>
      <c r="Q243" s="231" t="str">
        <f t="shared" si="55"/>
        <v>. Keyless Entry Antenna SET 6</v>
      </c>
      <c r="R243" s="231"/>
      <c r="S243" s="231" t="str">
        <f t="shared" si="58"/>
        <v/>
      </c>
      <c r="T243" s="231" t="str">
        <f>IF(O243&lt;&gt;"",_xlfn.XLOOKUP(O243,'3D. Pictures'!B:B,'3D. Pictures'!E:E,"NOT FOUND",0,1),"")</f>
        <v/>
      </c>
      <c r="U243" s="16"/>
      <c r="V243" s="16"/>
      <c r="W243" s="16"/>
      <c r="X243" s="16"/>
      <c r="Y243" s="201"/>
      <c r="Z243" s="16"/>
      <c r="AA243" s="16" t="s">
        <v>2525</v>
      </c>
      <c r="AB243" s="16" t="s">
        <v>2525</v>
      </c>
      <c r="AC243" s="358" t="str">
        <f t="shared" si="57"/>
        <v/>
      </c>
      <c r="AD243" s="16"/>
      <c r="AE243" s="16"/>
      <c r="AF243" s="168" t="s">
        <v>546</v>
      </c>
      <c r="AG243" s="16"/>
      <c r="AH243" s="16">
        <v>58</v>
      </c>
      <c r="AI243" s="380">
        <f t="shared" si="59"/>
        <v>58</v>
      </c>
      <c r="AJ243" s="3" t="s">
        <v>408</v>
      </c>
      <c r="AK243" s="3" t="s">
        <v>425</v>
      </c>
      <c r="AL243" s="3" t="s">
        <v>2175</v>
      </c>
      <c r="AX243" s="279" t="str">
        <f t="shared" si="50"/>
        <v/>
      </c>
    </row>
    <row r="244" spans="1:50" x14ac:dyDescent="0.25">
      <c r="A244" s="190" t="str">
        <f t="shared" si="53"/>
        <v/>
      </c>
      <c r="B244" s="279" t="str">
        <f t="shared" si="56"/>
        <v/>
      </c>
      <c r="C244" s="279"/>
      <c r="D244" s="279"/>
      <c r="E244" s="279" t="str">
        <f t="shared" si="54"/>
        <v/>
      </c>
      <c r="F244" s="190" t="s">
        <v>535</v>
      </c>
      <c r="G244" s="198">
        <v>44684</v>
      </c>
      <c r="H244" s="217"/>
      <c r="I244" s="192"/>
      <c r="J244" s="205" t="s">
        <v>402</v>
      </c>
      <c r="K244" s="205" t="s">
        <v>439</v>
      </c>
      <c r="L244" s="205" t="s">
        <v>439</v>
      </c>
      <c r="M244" s="208" t="s">
        <v>562</v>
      </c>
      <c r="N244" s="208"/>
      <c r="O244" s="232"/>
      <c r="P244" s="232"/>
      <c r="Q244" s="231" t="str">
        <f t="shared" si="55"/>
        <v>. Keyless Entry Control Module (worthless solo)</v>
      </c>
      <c r="R244" s="231"/>
      <c r="S244" s="231" t="str">
        <f t="shared" si="58"/>
        <v/>
      </c>
      <c r="T244" s="231" t="str">
        <f>IF(O244&lt;&gt;"",_xlfn.XLOOKUP(O244,'3D. Pictures'!B:B,'3D. Pictures'!E:E,"NOT FOUND",0,1),"")</f>
        <v/>
      </c>
      <c r="U244" s="208"/>
      <c r="V244" s="201"/>
      <c r="W244" s="208"/>
      <c r="X244" s="201"/>
      <c r="Y244" s="201"/>
      <c r="Z244" s="201"/>
      <c r="AA244" s="205" t="s">
        <v>457</v>
      </c>
      <c r="AB244" s="205" t="s">
        <v>457</v>
      </c>
      <c r="AC244" s="358" t="str">
        <f t="shared" si="57"/>
        <v>w/ SET A unless no set (NOT REQUIRED)</v>
      </c>
      <c r="AD244" s="205" t="s">
        <v>853</v>
      </c>
      <c r="AE244" s="205"/>
      <c r="AF244" s="201" t="s">
        <v>543</v>
      </c>
      <c r="AG244" s="205" t="s">
        <v>459</v>
      </c>
      <c r="AH244" s="16" t="s">
        <v>852</v>
      </c>
      <c r="AI244" s="380" t="str">
        <f t="shared" si="59"/>
        <v>worthless solo</v>
      </c>
      <c r="AJ244" s="204" t="s">
        <v>408</v>
      </c>
      <c r="AK244" s="204" t="s">
        <v>425</v>
      </c>
      <c r="AL244" s="204" t="s">
        <v>2175</v>
      </c>
      <c r="AM244" s="190"/>
      <c r="AN244" s="191"/>
      <c r="AO244" s="190" t="s">
        <v>572</v>
      </c>
      <c r="AP244" s="190"/>
      <c r="AQ244" s="190"/>
      <c r="AR244" s="190"/>
      <c r="AS244" s="190"/>
      <c r="AT244" s="190"/>
      <c r="AU244" s="190"/>
      <c r="AV244" s="190"/>
      <c r="AW244" s="190"/>
      <c r="AX244" s="279" t="str">
        <f t="shared" si="50"/>
        <v/>
      </c>
    </row>
    <row r="245" spans="1:50" x14ac:dyDescent="0.25">
      <c r="A245" s="190" t="str">
        <f t="shared" si="53"/>
        <v/>
      </c>
      <c r="B245" s="279" t="str">
        <f t="shared" si="56"/>
        <v>596-893</v>
      </c>
      <c r="C245" s="279"/>
      <c r="D245" s="279"/>
      <c r="E245" s="279">
        <f t="shared" si="54"/>
        <v>1</v>
      </c>
      <c r="F245" s="190" t="s">
        <v>536</v>
      </c>
      <c r="G245" s="198">
        <v>44993</v>
      </c>
      <c r="H245" s="222"/>
      <c r="I245" s="223"/>
      <c r="J245" s="205" t="s">
        <v>402</v>
      </c>
      <c r="K245" s="205" t="s">
        <v>439</v>
      </c>
      <c r="L245" s="205" t="s">
        <v>855</v>
      </c>
      <c r="M245" s="208" t="s">
        <v>562</v>
      </c>
      <c r="N245" s="208"/>
      <c r="O245" s="232"/>
      <c r="P245" s="232"/>
      <c r="Q245" s="231" t="str">
        <f t="shared" si="55"/>
        <v>. Lane Departure Warning Camera</v>
      </c>
      <c r="R245" s="231"/>
      <c r="S245" s="231" t="str">
        <f t="shared" si="58"/>
        <v/>
      </c>
      <c r="T245" s="231" t="str">
        <f>IF(O245&lt;&gt;"",_xlfn.XLOOKUP(O245,'3D. Pictures'!B:B,'3D. Pictures'!E:E,"NOT FOUND",0,1),"")</f>
        <v/>
      </c>
      <c r="U245" s="208"/>
      <c r="V245" s="201"/>
      <c r="W245" s="208"/>
      <c r="X245" s="201"/>
      <c r="Y245" s="201"/>
      <c r="Z245" s="201"/>
      <c r="AA245" s="205" t="s">
        <v>502</v>
      </c>
      <c r="AB245" s="205" t="s">
        <v>502</v>
      </c>
      <c r="AC245" s="358" t="str">
        <f t="shared" si="57"/>
        <v/>
      </c>
      <c r="AD245" s="205"/>
      <c r="AE245" s="205"/>
      <c r="AF245" s="201" t="s">
        <v>543</v>
      </c>
      <c r="AG245" s="205"/>
      <c r="AH245" s="16">
        <v>150</v>
      </c>
      <c r="AI245" s="380">
        <f t="shared" si="59"/>
        <v>150</v>
      </c>
      <c r="AJ245" s="204" t="s">
        <v>408</v>
      </c>
      <c r="AK245" s="204" t="s">
        <v>425</v>
      </c>
      <c r="AL245" s="204" t="s">
        <v>2175</v>
      </c>
      <c r="AM245" s="190"/>
      <c r="AN245" s="191" t="s">
        <v>628</v>
      </c>
      <c r="AO245" s="190" t="s">
        <v>572</v>
      </c>
      <c r="AP245" s="190">
        <v>893</v>
      </c>
      <c r="AQ245" s="190" t="str">
        <f>CONCATENATE(AN245,AO245,AP245)</f>
        <v>596-893</v>
      </c>
      <c r="AR245" s="190"/>
      <c r="AS245" s="190"/>
      <c r="AT245" s="190"/>
      <c r="AU245" s="190"/>
      <c r="AV245" s="190"/>
      <c r="AW245" s="190"/>
      <c r="AX245" s="279" t="str">
        <f t="shared" si="50"/>
        <v/>
      </c>
    </row>
    <row r="246" spans="1:50" ht="15.75" thickBot="1" x14ac:dyDescent="0.3">
      <c r="A246" s="190" t="str">
        <f t="shared" si="53"/>
        <v/>
      </c>
      <c r="B246" s="279" t="str">
        <f t="shared" si="56"/>
        <v>591-72653</v>
      </c>
      <c r="C246" s="279"/>
      <c r="D246" s="279"/>
      <c r="E246" s="279">
        <f t="shared" si="54"/>
        <v>1</v>
      </c>
      <c r="F246" s="190" t="s">
        <v>536</v>
      </c>
      <c r="G246" s="198">
        <v>44994</v>
      </c>
      <c r="H246" s="224"/>
      <c r="I246" s="205"/>
      <c r="J246" s="205" t="s">
        <v>402</v>
      </c>
      <c r="K246" s="206" t="s">
        <v>439</v>
      </c>
      <c r="L246" s="205" t="s">
        <v>439</v>
      </c>
      <c r="M246" s="208" t="s">
        <v>562</v>
      </c>
      <c r="N246" s="208"/>
      <c r="O246" s="232"/>
      <c r="P246" s="232"/>
      <c r="Q246" s="231" t="str">
        <f t="shared" si="55"/>
        <v>. Lane Departure Warning Camera Control Module (Not The Camera)</v>
      </c>
      <c r="R246" s="231"/>
      <c r="S246" s="231" t="str">
        <f t="shared" si="58"/>
        <v/>
      </c>
      <c r="T246" s="231" t="str">
        <f>IF(O246&lt;&gt;"",_xlfn.XLOOKUP(O246,'3D. Pictures'!B:B,'3D. Pictures'!E:E,"NOT FOUND",0,1),"")</f>
        <v/>
      </c>
      <c r="U246" s="208"/>
      <c r="V246" s="201"/>
      <c r="W246" s="208"/>
      <c r="X246" s="201"/>
      <c r="Y246" s="201"/>
      <c r="Z246" s="201"/>
      <c r="AA246" s="205" t="s">
        <v>503</v>
      </c>
      <c r="AB246" s="205" t="s">
        <v>503</v>
      </c>
      <c r="AC246" s="358" t="str">
        <f t="shared" si="57"/>
        <v/>
      </c>
      <c r="AD246" s="205"/>
      <c r="AE246" s="205"/>
      <c r="AF246" s="201" t="s">
        <v>543</v>
      </c>
      <c r="AG246" s="205"/>
      <c r="AH246" s="16">
        <v>45</v>
      </c>
      <c r="AI246" s="380">
        <f t="shared" si="59"/>
        <v>45</v>
      </c>
      <c r="AJ246" s="204" t="s">
        <v>408</v>
      </c>
      <c r="AK246" s="204" t="s">
        <v>425</v>
      </c>
      <c r="AL246" s="204" t="s">
        <v>2175</v>
      </c>
      <c r="AM246" s="190"/>
      <c r="AN246" s="191" t="s">
        <v>637</v>
      </c>
      <c r="AO246" s="190" t="s">
        <v>572</v>
      </c>
      <c r="AP246" s="190">
        <v>72653</v>
      </c>
      <c r="AQ246" s="190" t="str">
        <f>CONCATENATE(AN246,AO246,AP246)</f>
        <v>591-72653</v>
      </c>
      <c r="AR246" s="190"/>
      <c r="AS246" s="190"/>
      <c r="AT246" s="190"/>
      <c r="AU246" s="190"/>
      <c r="AV246" s="190"/>
      <c r="AW246" s="190"/>
      <c r="AX246" s="279" t="str">
        <f t="shared" si="50"/>
        <v/>
      </c>
    </row>
    <row r="247" spans="1:50" ht="15.75" thickBot="1" x14ac:dyDescent="0.3">
      <c r="A247" s="190" t="str">
        <f t="shared" si="53"/>
        <v>A71</v>
      </c>
      <c r="B247" s="279" t="str">
        <f t="shared" si="56"/>
        <v>590-62356</v>
      </c>
      <c r="C247" s="279" t="s">
        <v>2122</v>
      </c>
      <c r="D247" s="279"/>
      <c r="E247" s="279">
        <f t="shared" si="54"/>
        <v>2</v>
      </c>
      <c r="F247" s="190" t="s">
        <v>535</v>
      </c>
      <c r="G247" s="198">
        <v>44684</v>
      </c>
      <c r="H247" s="217"/>
      <c r="I247" s="192"/>
      <c r="J247" s="205" t="s">
        <v>402</v>
      </c>
      <c r="K247" s="205" t="s">
        <v>439</v>
      </c>
      <c r="L247" s="205" t="s">
        <v>1381</v>
      </c>
      <c r="M247" s="208" t="s">
        <v>562</v>
      </c>
      <c r="N247" s="208">
        <v>61</v>
      </c>
      <c r="O247" s="232" t="s">
        <v>973</v>
      </c>
      <c r="P247" s="232" t="s">
        <v>1254</v>
      </c>
      <c r="Q247" s="231" t="str">
        <f t="shared" si="55"/>
        <v>A71. Module &amp; Key SET A (ECM + BCM + Keyless Mod + FOB + LF Lock Cyl + Immobilizer Ring)</v>
      </c>
      <c r="R247" s="284" t="str">
        <f>HYPERLINK(VLOOKUP(O247,'3D. Pictures'!$B$3:$E$500,4,FALSE),"PIC")</f>
        <v>PIC</v>
      </c>
      <c r="S247" s="373" t="str">
        <f t="shared" si="58"/>
        <v>E.G.</v>
      </c>
      <c r="T247" s="377" t="str">
        <f>IF(O247&lt;&gt;"",_xlfn.XLOOKUP(O247,'3D. Pictures'!B:B,'3D. Pictures'!E:E,"NOT FOUND",0,1),"")</f>
        <v>https://viking-pictures.s3.us-west-1.amazonaws.com/AA1155/A71.+Module+%26+Key+SET+A+(ECM+%2B+BCM+%2B+Keyless+Mod+%2B+FOB+%2B+LF+Lock+Cyl+%2B+Immobilizer+Ring)+(1).JPG</v>
      </c>
      <c r="U247" s="208">
        <v>9</v>
      </c>
      <c r="V247" s="201" t="s">
        <v>1255</v>
      </c>
      <c r="W247" s="208" t="s">
        <v>112</v>
      </c>
      <c r="X247" s="201"/>
      <c r="Y247" s="201"/>
      <c r="Z247" s="201"/>
      <c r="AA247" s="205" t="s">
        <v>475</v>
      </c>
      <c r="AB247" s="205" t="s">
        <v>475</v>
      </c>
      <c r="AC247" s="358" t="str">
        <f t="shared" si="57"/>
        <v>This is SET A</v>
      </c>
      <c r="AD247" s="205" t="s">
        <v>2142</v>
      </c>
      <c r="AE247" s="205"/>
      <c r="AF247" s="201" t="s">
        <v>542</v>
      </c>
      <c r="AG247" s="205" t="s">
        <v>476</v>
      </c>
      <c r="AH247" s="16">
        <v>995</v>
      </c>
      <c r="AI247" s="380">
        <f t="shared" si="59"/>
        <v>995</v>
      </c>
      <c r="AJ247" s="204" t="s">
        <v>2176</v>
      </c>
      <c r="AK247" s="204" t="s">
        <v>425</v>
      </c>
      <c r="AL247" s="204" t="s">
        <v>2177</v>
      </c>
      <c r="AM247" s="190"/>
      <c r="AN247" s="191" t="s">
        <v>640</v>
      </c>
      <c r="AO247" s="190" t="s">
        <v>572</v>
      </c>
      <c r="AP247" s="190">
        <v>62356</v>
      </c>
      <c r="AQ247" s="190" t="str">
        <f>CONCATENATE(AN247,AO247,AP247)</f>
        <v>590-62356</v>
      </c>
      <c r="AR247" s="190"/>
      <c r="AS247" s="190"/>
      <c r="AT247" s="190"/>
      <c r="AU247" s="190"/>
      <c r="AV247" s="190"/>
      <c r="AW247" s="190"/>
      <c r="AX247" s="279" t="str">
        <f t="shared" si="50"/>
        <v/>
      </c>
    </row>
    <row r="248" spans="1:50" ht="15.75" thickBot="1" x14ac:dyDescent="0.3">
      <c r="A248" s="190" t="str">
        <f t="shared" si="53"/>
        <v>A78</v>
      </c>
      <c r="B248" s="279" t="str">
        <f t="shared" si="56"/>
        <v>591-74039</v>
      </c>
      <c r="C248" s="279"/>
      <c r="D248" s="279"/>
      <c r="E248" s="279">
        <f t="shared" si="54"/>
        <v>1</v>
      </c>
      <c r="F248" s="190" t="s">
        <v>535</v>
      </c>
      <c r="G248" s="198">
        <v>44684</v>
      </c>
      <c r="H248" s="217"/>
      <c r="I248" s="192"/>
      <c r="J248" s="205" t="s">
        <v>402</v>
      </c>
      <c r="K248" s="205" t="s">
        <v>439</v>
      </c>
      <c r="L248" s="205" t="s">
        <v>439</v>
      </c>
      <c r="M248" s="208" t="s">
        <v>562</v>
      </c>
      <c r="N248" s="208">
        <v>68</v>
      </c>
      <c r="O248" s="232" t="s">
        <v>980</v>
      </c>
      <c r="P248" s="232" t="s">
        <v>1254</v>
      </c>
      <c r="Q248" s="231" t="str">
        <f t="shared" si="55"/>
        <v>A78. Park Assist Control Module PDC</v>
      </c>
      <c r="R248" s="284" t="str">
        <f>HYPERLINK(VLOOKUP(O248,'3D. Pictures'!$B$3:$E$500,4,FALSE),"PIC")</f>
        <v>PIC</v>
      </c>
      <c r="S248" s="373" t="str">
        <f t="shared" si="58"/>
        <v>E.G.</v>
      </c>
      <c r="T248" s="377" t="str">
        <f>IF(O248&lt;&gt;"",_xlfn.XLOOKUP(O248,'3D. Pictures'!B:B,'3D. Pictures'!E:E,"NOT FOUND",0,1),"")</f>
        <v>https://viking-pictures.s3.us-west-1.amazonaws.com/AA1155/A78.+Park+Assist+Control+Module+PDC+(1).JPG</v>
      </c>
      <c r="U248" s="208">
        <v>3</v>
      </c>
      <c r="V248" s="201" t="s">
        <v>1272</v>
      </c>
      <c r="W248" s="208" t="s">
        <v>112</v>
      </c>
      <c r="X248" s="201"/>
      <c r="Y248" s="201"/>
      <c r="Z248" s="201"/>
      <c r="AA248" s="205" t="s">
        <v>495</v>
      </c>
      <c r="AB248" s="205" t="s">
        <v>495</v>
      </c>
      <c r="AC248" s="358" t="str">
        <f t="shared" si="57"/>
        <v/>
      </c>
      <c r="AD248" s="205"/>
      <c r="AE248" s="205"/>
      <c r="AF248" s="201" t="s">
        <v>543</v>
      </c>
      <c r="AG248" s="205"/>
      <c r="AH248" s="16">
        <v>60</v>
      </c>
      <c r="AI248" s="380">
        <f t="shared" si="59"/>
        <v>60</v>
      </c>
      <c r="AJ248" s="204" t="s">
        <v>408</v>
      </c>
      <c r="AK248" s="204" t="s">
        <v>425</v>
      </c>
      <c r="AL248" s="204" t="s">
        <v>2175</v>
      </c>
      <c r="AM248" s="190"/>
      <c r="AN248" s="191" t="s">
        <v>637</v>
      </c>
      <c r="AO248" s="190" t="s">
        <v>572</v>
      </c>
      <c r="AP248" s="190">
        <v>74039</v>
      </c>
      <c r="AQ248" s="190" t="str">
        <f>CONCATENATE(AN248,AO248,AP248)</f>
        <v>591-74039</v>
      </c>
      <c r="AR248" s="190"/>
      <c r="AS248" s="190"/>
      <c r="AT248" s="190"/>
      <c r="AU248" s="190"/>
      <c r="AV248" s="190"/>
      <c r="AW248" s="190"/>
      <c r="AX248" s="279" t="str">
        <f t="shared" si="50"/>
        <v/>
      </c>
    </row>
    <row r="249" spans="1:50" x14ac:dyDescent="0.25">
      <c r="A249" s="190" t="str">
        <f t="shared" si="53"/>
        <v/>
      </c>
      <c r="B249" s="279" t="str">
        <f t="shared" si="56"/>
        <v/>
      </c>
      <c r="C249" s="279"/>
      <c r="D249" s="279"/>
      <c r="E249" s="279" t="str">
        <f t="shared" si="54"/>
        <v/>
      </c>
      <c r="F249" t="s">
        <v>536</v>
      </c>
      <c r="G249" s="188">
        <v>44812</v>
      </c>
      <c r="H249" s="16"/>
      <c r="I249" s="16"/>
      <c r="J249" s="16" t="s">
        <v>402</v>
      </c>
      <c r="K249" s="16" t="s">
        <v>439</v>
      </c>
      <c r="L249" s="16" t="s">
        <v>439</v>
      </c>
      <c r="M249" s="189" t="s">
        <v>562</v>
      </c>
      <c r="N249" s="189"/>
      <c r="O249" s="233"/>
      <c r="P249" s="233"/>
      <c r="Q249" s="231" t="str">
        <f t="shared" si="55"/>
        <v>. Radio Remote Receiver Control Module</v>
      </c>
      <c r="R249" s="231"/>
      <c r="S249" s="231" t="str">
        <f t="shared" si="58"/>
        <v/>
      </c>
      <c r="T249" s="231" t="str">
        <f>IF(O249&lt;&gt;"",_xlfn.XLOOKUP(O249,'3D. Pictures'!B:B,'3D. Pictures'!E:E,"NOT FOUND",0,1),"")</f>
        <v/>
      </c>
      <c r="U249" s="189"/>
      <c r="V249" s="168"/>
      <c r="W249" s="189"/>
      <c r="X249" s="168"/>
      <c r="Y249" s="201"/>
      <c r="Z249" s="168"/>
      <c r="AA249" s="16" t="s">
        <v>493</v>
      </c>
      <c r="AB249" s="16" t="s">
        <v>493</v>
      </c>
      <c r="AC249" s="358" t="str">
        <f t="shared" si="57"/>
        <v/>
      </c>
      <c r="AD249" s="16"/>
      <c r="AE249" s="16"/>
      <c r="AF249" s="168" t="s">
        <v>543</v>
      </c>
      <c r="AG249" s="16"/>
      <c r="AH249" s="16">
        <v>45</v>
      </c>
      <c r="AI249" s="380">
        <f t="shared" si="59"/>
        <v>45</v>
      </c>
      <c r="AJ249" s="3" t="s">
        <v>408</v>
      </c>
      <c r="AK249" s="3" t="s">
        <v>425</v>
      </c>
      <c r="AL249" s="3" t="s">
        <v>2175</v>
      </c>
      <c r="AN249" s="45"/>
      <c r="AO249" t="s">
        <v>572</v>
      </c>
      <c r="AX249" s="279" t="str">
        <f t="shared" ref="AX249:AX312" si="67">IF(AW249&lt;&gt;"",_xlfn.TEXTJOIN("-",TRUE,AV249,AW249),"")</f>
        <v/>
      </c>
    </row>
    <row r="250" spans="1:50" x14ac:dyDescent="0.25">
      <c r="A250" s="190" t="str">
        <f t="shared" si="53"/>
        <v/>
      </c>
      <c r="B250" s="279" t="str">
        <f t="shared" si="56"/>
        <v/>
      </c>
      <c r="C250" s="279"/>
      <c r="D250" s="279"/>
      <c r="E250" s="279" t="str">
        <f t="shared" si="54"/>
        <v/>
      </c>
      <c r="F250" t="s">
        <v>535</v>
      </c>
      <c r="G250" s="188">
        <v>44684</v>
      </c>
      <c r="H250" s="16"/>
      <c r="I250" s="16"/>
      <c r="J250" s="16" t="s">
        <v>402</v>
      </c>
      <c r="K250" s="16" t="s">
        <v>439</v>
      </c>
      <c r="L250" s="16" t="s">
        <v>439</v>
      </c>
      <c r="M250" s="16" t="s">
        <v>559</v>
      </c>
      <c r="N250" s="16"/>
      <c r="O250" s="166"/>
      <c r="P250" s="166"/>
      <c r="Q250" s="231" t="str">
        <f t="shared" si="55"/>
        <v>. Rain Solar Light Sensor</v>
      </c>
      <c r="R250" s="231"/>
      <c r="S250" s="231" t="str">
        <f t="shared" si="58"/>
        <v/>
      </c>
      <c r="T250" s="231" t="str">
        <f>IF(O250&lt;&gt;"",_xlfn.XLOOKUP(O250,'3D. Pictures'!B:B,'3D. Pictures'!E:E,"NOT FOUND",0,1),"")</f>
        <v/>
      </c>
      <c r="U250" s="16"/>
      <c r="V250" s="16"/>
      <c r="W250" s="16"/>
      <c r="X250" s="16"/>
      <c r="Y250" s="201"/>
      <c r="Z250" s="16"/>
      <c r="AA250" s="16" t="s">
        <v>2597</v>
      </c>
      <c r="AB250" s="16" t="s">
        <v>2597</v>
      </c>
      <c r="AC250" s="358" t="str">
        <f t="shared" si="57"/>
        <v>mounted on windshield</v>
      </c>
      <c r="AD250" s="16"/>
      <c r="AE250" s="16" t="s">
        <v>2596</v>
      </c>
      <c r="AF250" s="168" t="s">
        <v>543</v>
      </c>
      <c r="AG250" s="16"/>
      <c r="AH250" s="16">
        <v>49</v>
      </c>
      <c r="AI250" s="380">
        <f t="shared" si="59"/>
        <v>49</v>
      </c>
      <c r="AJ250" s="3" t="s">
        <v>408</v>
      </c>
      <c r="AK250" s="3" t="s">
        <v>425</v>
      </c>
      <c r="AL250" s="3" t="s">
        <v>2175</v>
      </c>
      <c r="AX250" s="279" t="str">
        <f t="shared" si="67"/>
        <v/>
      </c>
    </row>
    <row r="251" spans="1:50" x14ac:dyDescent="0.25">
      <c r="A251" s="190" t="str">
        <f t="shared" si="53"/>
        <v/>
      </c>
      <c r="B251" s="279" t="str">
        <f t="shared" si="56"/>
        <v>591-74854</v>
      </c>
      <c r="C251" s="279" t="s">
        <v>2123</v>
      </c>
      <c r="D251" s="279"/>
      <c r="E251" s="279">
        <f t="shared" si="54"/>
        <v>2</v>
      </c>
      <c r="F251" s="190" t="s">
        <v>535</v>
      </c>
      <c r="G251" s="198">
        <v>45216</v>
      </c>
      <c r="H251" s="205"/>
      <c r="I251" s="205"/>
      <c r="J251" s="205" t="s">
        <v>402</v>
      </c>
      <c r="K251" s="205" t="s">
        <v>439</v>
      </c>
      <c r="L251" s="205" t="s">
        <v>439</v>
      </c>
      <c r="M251" s="208" t="s">
        <v>562</v>
      </c>
      <c r="N251" s="208"/>
      <c r="O251" s="232"/>
      <c r="P251" s="232"/>
      <c r="Q251" s="231" t="str">
        <f t="shared" si="55"/>
        <v>. Seat Control &amp; Memory Module, w/ Comfort Seat - FRONT LEFT</v>
      </c>
      <c r="R251" s="231"/>
      <c r="S251" s="231" t="str">
        <f t="shared" si="58"/>
        <v/>
      </c>
      <c r="T251" s="231" t="str">
        <f>IF(O251&lt;&gt;"",_xlfn.XLOOKUP(O251,'3D. Pictures'!B:B,'3D. Pictures'!E:E,"NOT FOUND",0,1),"")</f>
        <v/>
      </c>
      <c r="U251" s="208"/>
      <c r="V251" s="201"/>
      <c r="W251" s="208"/>
      <c r="X251" s="201"/>
      <c r="Y251" s="201"/>
      <c r="Z251" s="201"/>
      <c r="AA251" s="205" t="s">
        <v>2832</v>
      </c>
      <c r="AB251" s="205" t="s">
        <v>2832</v>
      </c>
      <c r="AC251" s="358" t="str">
        <f t="shared" si="57"/>
        <v>toss if without comfort seats, note LF &amp; RF are same</v>
      </c>
      <c r="AD251" s="205" t="s">
        <v>1264</v>
      </c>
      <c r="AE251" s="205"/>
      <c r="AF251" s="201" t="s">
        <v>543</v>
      </c>
      <c r="AG251" s="205" t="s">
        <v>467</v>
      </c>
      <c r="AH251" s="16">
        <v>150</v>
      </c>
      <c r="AI251" s="380">
        <f t="shared" si="59"/>
        <v>150</v>
      </c>
      <c r="AJ251" s="204" t="s">
        <v>408</v>
      </c>
      <c r="AK251" s="204" t="s">
        <v>425</v>
      </c>
      <c r="AL251" s="204" t="s">
        <v>2175</v>
      </c>
      <c r="AM251" s="190"/>
      <c r="AN251" s="191" t="s">
        <v>637</v>
      </c>
      <c r="AO251" s="190" t="s">
        <v>572</v>
      </c>
      <c r="AP251" s="190">
        <v>74854</v>
      </c>
      <c r="AQ251" s="190" t="str">
        <f t="shared" ref="AQ251:AQ252" si="68">CONCATENATE(AN251,AO251,AP251)</f>
        <v>591-74854</v>
      </c>
      <c r="AR251" s="190" t="s">
        <v>1262</v>
      </c>
      <c r="AS251" s="190"/>
      <c r="AT251" s="190"/>
      <c r="AU251" s="190"/>
      <c r="AV251" s="190"/>
      <c r="AW251" s="190"/>
      <c r="AX251" s="279" t="str">
        <f t="shared" si="67"/>
        <v/>
      </c>
    </row>
    <row r="252" spans="1:50" x14ac:dyDescent="0.25">
      <c r="A252" s="190" t="str">
        <f t="shared" si="53"/>
        <v/>
      </c>
      <c r="B252" s="279" t="str">
        <f t="shared" si="56"/>
        <v>591-74854</v>
      </c>
      <c r="C252" s="279" t="s">
        <v>2124</v>
      </c>
      <c r="D252" s="279"/>
      <c r="E252" s="279">
        <f t="shared" si="54"/>
        <v>2</v>
      </c>
      <c r="F252" s="190" t="s">
        <v>535</v>
      </c>
      <c r="G252" s="198">
        <v>45216</v>
      </c>
      <c r="H252" s="205"/>
      <c r="I252" s="205"/>
      <c r="J252" s="205" t="s">
        <v>402</v>
      </c>
      <c r="K252" s="205" t="s">
        <v>439</v>
      </c>
      <c r="L252" s="205" t="s">
        <v>439</v>
      </c>
      <c r="M252" s="208" t="s">
        <v>562</v>
      </c>
      <c r="N252" s="208"/>
      <c r="O252" s="232"/>
      <c r="P252" s="232"/>
      <c r="Q252" s="231" t="str">
        <f t="shared" si="55"/>
        <v>. Seat Control &amp; Memory Module, w/ Comfort Seat - FRONT RIGHT</v>
      </c>
      <c r="R252" s="231"/>
      <c r="S252" s="231" t="str">
        <f t="shared" si="58"/>
        <v/>
      </c>
      <c r="T252" s="231" t="str">
        <f>IF(O252&lt;&gt;"",_xlfn.XLOOKUP(O252,'3D. Pictures'!B:B,'3D. Pictures'!E:E,"NOT FOUND",0,1),"")</f>
        <v/>
      </c>
      <c r="U252" s="208"/>
      <c r="V252" s="201"/>
      <c r="W252" s="208"/>
      <c r="X252" s="201"/>
      <c r="Y252" s="201"/>
      <c r="Z252" s="201"/>
      <c r="AA252" s="205" t="s">
        <v>2833</v>
      </c>
      <c r="AB252" s="205" t="s">
        <v>2833</v>
      </c>
      <c r="AC252" s="358" t="str">
        <f t="shared" si="57"/>
        <v>toss if without comfort seats, note LF &amp; RF are same</v>
      </c>
      <c r="AD252" s="205" t="s">
        <v>1264</v>
      </c>
      <c r="AE252" s="205"/>
      <c r="AF252" s="201" t="s">
        <v>543</v>
      </c>
      <c r="AG252" s="205" t="s">
        <v>467</v>
      </c>
      <c r="AH252" s="16">
        <v>150</v>
      </c>
      <c r="AI252" s="380">
        <f t="shared" si="59"/>
        <v>150</v>
      </c>
      <c r="AJ252" s="204" t="s">
        <v>408</v>
      </c>
      <c r="AK252" s="204" t="s">
        <v>425</v>
      </c>
      <c r="AL252" s="204" t="s">
        <v>2175</v>
      </c>
      <c r="AM252" s="190"/>
      <c r="AN252" s="191" t="s">
        <v>637</v>
      </c>
      <c r="AO252" s="190" t="s">
        <v>572</v>
      </c>
      <c r="AP252" s="190">
        <v>74854</v>
      </c>
      <c r="AQ252" s="190" t="str">
        <f t="shared" si="68"/>
        <v>591-74854</v>
      </c>
      <c r="AR252" s="190" t="s">
        <v>1262</v>
      </c>
      <c r="AS252" s="190"/>
      <c r="AT252" s="190"/>
      <c r="AU252" s="190"/>
      <c r="AV252" s="190"/>
      <c r="AW252" s="190"/>
      <c r="AX252" s="279" t="str">
        <f t="shared" si="67"/>
        <v/>
      </c>
    </row>
    <row r="253" spans="1:50" x14ac:dyDescent="0.25">
      <c r="A253" s="190" t="str">
        <f t="shared" si="53"/>
        <v/>
      </c>
      <c r="B253" s="279" t="str">
        <f t="shared" si="56"/>
        <v>591-62201</v>
      </c>
      <c r="C253" s="279"/>
      <c r="D253" s="279"/>
      <c r="E253" s="279">
        <f t="shared" si="54"/>
        <v>2</v>
      </c>
      <c r="F253" s="190" t="s">
        <v>535</v>
      </c>
      <c r="G253" s="198">
        <v>45216</v>
      </c>
      <c r="H253" s="215"/>
      <c r="I253" s="215"/>
      <c r="J253" s="215" t="s">
        <v>405</v>
      </c>
      <c r="K253" s="215" t="s">
        <v>439</v>
      </c>
      <c r="L253" s="215" t="s">
        <v>439</v>
      </c>
      <c r="M253" s="225" t="s">
        <v>562</v>
      </c>
      <c r="N253" s="225"/>
      <c r="O253" s="239"/>
      <c r="P253" s="239"/>
      <c r="Q253" s="231" t="str">
        <f t="shared" si="55"/>
        <v>. Seat Control &amp; Memory Module, w/o Comfort Seat - FRONT LEFT</v>
      </c>
      <c r="R253" s="270"/>
      <c r="S253" s="270" t="str">
        <f t="shared" si="58"/>
        <v/>
      </c>
      <c r="T253" s="270" t="str">
        <f>IF(O253&lt;&gt;"",_xlfn.XLOOKUP(O253,'3D. Pictures'!B:B,'3D. Pictures'!E:E,"NOT FOUND",0,1),"")</f>
        <v/>
      </c>
      <c r="U253" s="225"/>
      <c r="V253" s="226"/>
      <c r="W253" s="225"/>
      <c r="X253" s="226"/>
      <c r="Y253" s="201"/>
      <c r="Z253" s="226"/>
      <c r="AA253" s="215" t="s">
        <v>1260</v>
      </c>
      <c r="AB253" s="215" t="s">
        <v>1260</v>
      </c>
      <c r="AC253" s="359" t="str">
        <f t="shared" si="57"/>
        <v>keep if comfort seats, note LF &amp; RF are same</v>
      </c>
      <c r="AD253" s="215" t="s">
        <v>1265</v>
      </c>
      <c r="AE253" s="215"/>
      <c r="AF253" s="226" t="s">
        <v>543</v>
      </c>
      <c r="AG253" s="215" t="s">
        <v>467</v>
      </c>
      <c r="AH253" s="10"/>
      <c r="AI253" s="380" t="str">
        <f t="shared" si="59"/>
        <v/>
      </c>
      <c r="AJ253" s="204" t="s">
        <v>408</v>
      </c>
      <c r="AK253" s="204" t="s">
        <v>425</v>
      </c>
      <c r="AL253" s="204" t="s">
        <v>2175</v>
      </c>
      <c r="AM253" s="190"/>
      <c r="AN253" s="191" t="s">
        <v>637</v>
      </c>
      <c r="AO253" s="190" t="s">
        <v>572</v>
      </c>
      <c r="AP253" s="190">
        <v>62201</v>
      </c>
      <c r="AQ253" s="190" t="str">
        <f>CONCATENATE(AN253,AO253,AP253)</f>
        <v>591-62201</v>
      </c>
      <c r="AR253" s="190" t="s">
        <v>1263</v>
      </c>
      <c r="AS253" s="190"/>
      <c r="AT253" s="190"/>
      <c r="AU253" s="190"/>
      <c r="AV253" s="190"/>
      <c r="AW253" s="190"/>
      <c r="AX253" s="279" t="str">
        <f t="shared" si="67"/>
        <v/>
      </c>
    </row>
    <row r="254" spans="1:50" x14ac:dyDescent="0.25">
      <c r="A254" s="190" t="str">
        <f t="shared" si="53"/>
        <v/>
      </c>
      <c r="B254" s="279" t="str">
        <f t="shared" si="56"/>
        <v>591-62201</v>
      </c>
      <c r="C254" s="279"/>
      <c r="D254" s="279"/>
      <c r="E254" s="279">
        <f t="shared" si="54"/>
        <v>2</v>
      </c>
      <c r="F254" s="190" t="s">
        <v>535</v>
      </c>
      <c r="G254" s="198">
        <v>45216</v>
      </c>
      <c r="H254" s="215"/>
      <c r="I254" s="215"/>
      <c r="J254" s="215" t="s">
        <v>405</v>
      </c>
      <c r="K254" s="215" t="s">
        <v>439</v>
      </c>
      <c r="L254" s="215" t="s">
        <v>439</v>
      </c>
      <c r="M254" s="225" t="s">
        <v>562</v>
      </c>
      <c r="N254" s="225"/>
      <c r="O254" s="239"/>
      <c r="P254" s="239"/>
      <c r="Q254" s="231" t="str">
        <f t="shared" si="55"/>
        <v>. Seat Control &amp; Memory Module, w/o Comfort Seat - FRONT RIGHT</v>
      </c>
      <c r="R254" s="270"/>
      <c r="S254" s="270" t="str">
        <f t="shared" si="58"/>
        <v/>
      </c>
      <c r="T254" s="270" t="str">
        <f>IF(O254&lt;&gt;"",_xlfn.XLOOKUP(O254,'3D. Pictures'!B:B,'3D. Pictures'!E:E,"NOT FOUND",0,1),"")</f>
        <v/>
      </c>
      <c r="U254" s="225"/>
      <c r="V254" s="226"/>
      <c r="W254" s="225"/>
      <c r="X254" s="226"/>
      <c r="Y254" s="201"/>
      <c r="Z254" s="226"/>
      <c r="AA254" s="215" t="s">
        <v>1261</v>
      </c>
      <c r="AB254" s="215" t="s">
        <v>1261</v>
      </c>
      <c r="AC254" s="359" t="str">
        <f t="shared" si="57"/>
        <v>keep if comfort seats, note LF &amp; RF are same</v>
      </c>
      <c r="AD254" s="215" t="s">
        <v>1265</v>
      </c>
      <c r="AE254" s="215"/>
      <c r="AF254" s="226" t="s">
        <v>543</v>
      </c>
      <c r="AG254" s="215" t="s">
        <v>467</v>
      </c>
      <c r="AH254" s="10"/>
      <c r="AI254" s="380" t="str">
        <f t="shared" si="59"/>
        <v/>
      </c>
      <c r="AJ254" s="204" t="s">
        <v>408</v>
      </c>
      <c r="AK254" s="204" t="s">
        <v>425</v>
      </c>
      <c r="AL254" s="204" t="s">
        <v>2175</v>
      </c>
      <c r="AM254" s="190"/>
      <c r="AN254" s="191" t="s">
        <v>637</v>
      </c>
      <c r="AO254" s="190" t="s">
        <v>572</v>
      </c>
      <c r="AP254" s="190">
        <v>62201</v>
      </c>
      <c r="AQ254" s="190" t="str">
        <f>CONCATENATE(AN254,AO254,AP254)</f>
        <v>591-62201</v>
      </c>
      <c r="AR254" s="190" t="s">
        <v>1263</v>
      </c>
      <c r="AS254" s="190"/>
      <c r="AT254" s="190"/>
      <c r="AU254" s="190"/>
      <c r="AV254" s="190"/>
      <c r="AW254" s="190"/>
      <c r="AX254" s="279" t="str">
        <f t="shared" si="67"/>
        <v/>
      </c>
    </row>
    <row r="255" spans="1:50" ht="15.75" thickBot="1" x14ac:dyDescent="0.3">
      <c r="A255" s="190" t="str">
        <f t="shared" si="53"/>
        <v/>
      </c>
      <c r="B255" s="279" t="str">
        <f t="shared" si="56"/>
        <v>591-74065</v>
      </c>
      <c r="C255" s="279"/>
      <c r="D255" s="279"/>
      <c r="E255" s="279">
        <f t="shared" si="54"/>
        <v>1</v>
      </c>
      <c r="F255" s="190" t="s">
        <v>535</v>
      </c>
      <c r="G255" s="198">
        <v>44684</v>
      </c>
      <c r="H255" s="217"/>
      <c r="I255" s="192"/>
      <c r="J255" s="205" t="s">
        <v>402</v>
      </c>
      <c r="K255" s="205" t="s">
        <v>439</v>
      </c>
      <c r="L255" s="205" t="s">
        <v>439</v>
      </c>
      <c r="M255" s="208" t="s">
        <v>562</v>
      </c>
      <c r="N255" s="208"/>
      <c r="O255" s="232"/>
      <c r="P255" s="232"/>
      <c r="Q255" s="231" t="str">
        <f t="shared" si="55"/>
        <v>. Surround View Camera Control Module</v>
      </c>
      <c r="R255" s="231"/>
      <c r="S255" s="231" t="str">
        <f t="shared" si="58"/>
        <v/>
      </c>
      <c r="T255" s="231" t="str">
        <f>IF(O255&lt;&gt;"",_xlfn.XLOOKUP(O255,'3D. Pictures'!B:B,'3D. Pictures'!E:E,"NOT FOUND",0,1),"")</f>
        <v/>
      </c>
      <c r="U255" s="208"/>
      <c r="V255" s="201"/>
      <c r="W255" s="208"/>
      <c r="X255" s="201"/>
      <c r="Y255" s="201"/>
      <c r="Z255" s="201"/>
      <c r="AA255" s="205" t="s">
        <v>856</v>
      </c>
      <c r="AB255" s="205" t="s">
        <v>856</v>
      </c>
      <c r="AC255" s="358" t="str">
        <f t="shared" si="57"/>
        <v>aluminum w/ 1 black &amp; 1 white plug</v>
      </c>
      <c r="AD255" s="205"/>
      <c r="AE255" s="205" t="s">
        <v>857</v>
      </c>
      <c r="AF255" s="201" t="s">
        <v>543</v>
      </c>
      <c r="AG255" s="205"/>
      <c r="AH255" s="16">
        <v>115</v>
      </c>
      <c r="AI255" s="380">
        <f t="shared" si="59"/>
        <v>115</v>
      </c>
      <c r="AJ255" s="204" t="s">
        <v>408</v>
      </c>
      <c r="AK255" s="204" t="s">
        <v>425</v>
      </c>
      <c r="AL255" s="204" t="s">
        <v>2175</v>
      </c>
      <c r="AM255" s="190"/>
      <c r="AN255" s="191" t="s">
        <v>637</v>
      </c>
      <c r="AO255" s="190" t="s">
        <v>572</v>
      </c>
      <c r="AP255" s="190">
        <v>74065</v>
      </c>
      <c r="AQ255" s="190" t="str">
        <f t="shared" ref="AQ255:AQ257" si="69">CONCATENATE(AN255,AO255,AP255)</f>
        <v>591-74065</v>
      </c>
      <c r="AR255" s="190"/>
      <c r="AS255" s="190"/>
      <c r="AT255" s="190"/>
      <c r="AU255" s="190"/>
      <c r="AV255" s="190"/>
      <c r="AW255" s="190"/>
      <c r="AX255" s="279" t="str">
        <f t="shared" si="67"/>
        <v/>
      </c>
    </row>
    <row r="256" spans="1:50" ht="15.75" thickBot="1" x14ac:dyDescent="0.3">
      <c r="A256" s="190" t="str">
        <f t="shared" si="53"/>
        <v>A77</v>
      </c>
      <c r="B256" s="279" t="str">
        <f t="shared" si="56"/>
        <v>591-74058</v>
      </c>
      <c r="C256" s="279"/>
      <c r="D256" s="279"/>
      <c r="E256" s="279">
        <f t="shared" si="54"/>
        <v>1</v>
      </c>
      <c r="F256" s="190" t="s">
        <v>535</v>
      </c>
      <c r="G256" s="198">
        <v>44684</v>
      </c>
      <c r="H256" s="205"/>
      <c r="I256" s="205"/>
      <c r="J256" s="205" t="s">
        <v>402</v>
      </c>
      <c r="K256" s="205" t="s">
        <v>439</v>
      </c>
      <c r="L256" s="205" t="s">
        <v>439</v>
      </c>
      <c r="M256" s="208" t="s">
        <v>562</v>
      </c>
      <c r="N256" s="208">
        <v>67</v>
      </c>
      <c r="O256" s="232" t="s">
        <v>979</v>
      </c>
      <c r="P256" s="232" t="s">
        <v>1254</v>
      </c>
      <c r="Q256" s="231" t="str">
        <f t="shared" si="55"/>
        <v>A77. Tailgate Trunk Control Module</v>
      </c>
      <c r="R256" s="284" t="str">
        <f>HYPERLINK(VLOOKUP(O256,'3D. Pictures'!$B$3:$E$500,4,FALSE),"PIC")</f>
        <v>PIC</v>
      </c>
      <c r="S256" s="373" t="str">
        <f t="shared" si="58"/>
        <v>E.G.</v>
      </c>
      <c r="T256" s="377" t="str">
        <f>IF(O256&lt;&gt;"",_xlfn.XLOOKUP(O256,'3D. Pictures'!B:B,'3D. Pictures'!E:E,"NOT FOUND",0,1),"")</f>
        <v>https://viking-pictures.s3.us-west-1.amazonaws.com/AA1155/A77.+Tailgate+Trunk+Control+Module+(1).JPG</v>
      </c>
      <c r="U256" s="208">
        <v>3</v>
      </c>
      <c r="V256" s="201" t="s">
        <v>1271</v>
      </c>
      <c r="W256" s="208" t="s">
        <v>112</v>
      </c>
      <c r="X256" s="201"/>
      <c r="Y256" s="201"/>
      <c r="Z256" s="201"/>
      <c r="AA256" s="205" t="s">
        <v>466</v>
      </c>
      <c r="AB256" s="205" t="s">
        <v>466</v>
      </c>
      <c r="AC256" s="358" t="str">
        <f t="shared" si="57"/>
        <v/>
      </c>
      <c r="AD256" s="205"/>
      <c r="AE256" s="205"/>
      <c r="AF256" s="201" t="s">
        <v>543</v>
      </c>
      <c r="AG256" s="205"/>
      <c r="AH256" s="16">
        <v>135</v>
      </c>
      <c r="AI256" s="380">
        <f t="shared" si="59"/>
        <v>135</v>
      </c>
      <c r="AJ256" s="204" t="s">
        <v>408</v>
      </c>
      <c r="AK256" s="204" t="s">
        <v>425</v>
      </c>
      <c r="AL256" s="204" t="s">
        <v>2175</v>
      </c>
      <c r="AM256" s="190"/>
      <c r="AN256" s="191" t="s">
        <v>637</v>
      </c>
      <c r="AO256" s="190" t="s">
        <v>572</v>
      </c>
      <c r="AP256" s="190">
        <v>74058</v>
      </c>
      <c r="AQ256" s="190" t="str">
        <f t="shared" si="69"/>
        <v>591-74058</v>
      </c>
      <c r="AR256" s="190"/>
      <c r="AS256" s="190"/>
      <c r="AT256" s="190"/>
      <c r="AU256" s="190"/>
      <c r="AV256" s="190"/>
      <c r="AW256" s="190"/>
      <c r="AX256" s="279" t="str">
        <f t="shared" si="67"/>
        <v/>
      </c>
    </row>
    <row r="257" spans="1:50" x14ac:dyDescent="0.25">
      <c r="A257" s="190" t="str">
        <f t="shared" si="53"/>
        <v/>
      </c>
      <c r="B257" s="279" t="str">
        <f t="shared" si="56"/>
        <v>591-74038</v>
      </c>
      <c r="C257" s="279"/>
      <c r="D257" s="279"/>
      <c r="E257" s="279">
        <f t="shared" si="54"/>
        <v>1</v>
      </c>
      <c r="F257" s="190" t="s">
        <v>535</v>
      </c>
      <c r="G257" s="198">
        <v>45216</v>
      </c>
      <c r="H257" s="215"/>
      <c r="I257" s="215"/>
      <c r="J257" s="215" t="s">
        <v>405</v>
      </c>
      <c r="K257" s="215" t="s">
        <v>439</v>
      </c>
      <c r="L257" s="215" t="s">
        <v>439</v>
      </c>
      <c r="M257" s="225" t="s">
        <v>562</v>
      </c>
      <c r="N257" s="225"/>
      <c r="O257" s="239"/>
      <c r="P257" s="239"/>
      <c r="Q257" s="231" t="str">
        <f t="shared" si="55"/>
        <v>. Telematics Communication Control Module</v>
      </c>
      <c r="R257" s="231"/>
      <c r="S257" s="231" t="str">
        <f t="shared" si="58"/>
        <v/>
      </c>
      <c r="T257" s="231" t="str">
        <f>IF(O257&lt;&gt;"",_xlfn.XLOOKUP(O257,'3D. Pictures'!B:B,'3D. Pictures'!E:E,"NOT FOUND",0,1),"")</f>
        <v/>
      </c>
      <c r="U257" s="225"/>
      <c r="V257" s="226"/>
      <c r="W257" s="225"/>
      <c r="X257" s="226"/>
      <c r="Y257" s="201"/>
      <c r="Z257" s="226"/>
      <c r="AA257" s="215" t="s">
        <v>465</v>
      </c>
      <c r="AB257" s="215" t="s">
        <v>465</v>
      </c>
      <c r="AC257" s="359" t="str">
        <f t="shared" si="57"/>
        <v/>
      </c>
      <c r="AD257" s="215"/>
      <c r="AE257" s="215"/>
      <c r="AF257" s="226" t="s">
        <v>543</v>
      </c>
      <c r="AG257" s="215"/>
      <c r="AH257" s="10"/>
      <c r="AI257" s="380" t="str">
        <f t="shared" si="59"/>
        <v/>
      </c>
      <c r="AJ257" s="204" t="s">
        <v>408</v>
      </c>
      <c r="AK257" s="204" t="s">
        <v>425</v>
      </c>
      <c r="AL257" s="204" t="s">
        <v>2175</v>
      </c>
      <c r="AM257" s="190"/>
      <c r="AN257" s="191" t="s">
        <v>637</v>
      </c>
      <c r="AO257" s="190" t="s">
        <v>572</v>
      </c>
      <c r="AP257" s="190">
        <v>74038</v>
      </c>
      <c r="AQ257" s="190" t="str">
        <f t="shared" si="69"/>
        <v>591-74038</v>
      </c>
      <c r="AR257" s="190"/>
      <c r="AS257" s="190"/>
      <c r="AT257" s="190"/>
      <c r="AU257" s="190"/>
      <c r="AV257" s="190"/>
      <c r="AW257" s="190"/>
      <c r="AX257" s="279" t="str">
        <f t="shared" si="67"/>
        <v/>
      </c>
    </row>
    <row r="258" spans="1:50" ht="15.75" thickBot="1" x14ac:dyDescent="0.3">
      <c r="A258" s="190" t="str">
        <f t="shared" ref="A258:A321" si="70">IF(O258&lt;&gt;"",O258,"")</f>
        <v/>
      </c>
      <c r="B258" s="279" t="str">
        <f t="shared" si="56"/>
        <v/>
      </c>
      <c r="C258" s="279"/>
      <c r="D258" s="279"/>
      <c r="E258" s="279" t="str">
        <f t="shared" ref="E258:E321" si="71">IF(B258&lt;&gt;"",COUNTIF($B$9:$B$2241,B258),"")</f>
        <v/>
      </c>
      <c r="F258" t="s">
        <v>536</v>
      </c>
      <c r="G258" s="188">
        <v>44922</v>
      </c>
      <c r="H258" s="16"/>
      <c r="I258" s="16"/>
      <c r="J258" s="16" t="s">
        <v>402</v>
      </c>
      <c r="K258" s="16" t="s">
        <v>439</v>
      </c>
      <c r="L258" s="16" t="s">
        <v>439</v>
      </c>
      <c r="M258" s="189" t="s">
        <v>562</v>
      </c>
      <c r="N258" s="189"/>
      <c r="O258" s="233"/>
      <c r="P258" s="233"/>
      <c r="Q258" s="231" t="str">
        <f t="shared" ref="Q258:Q321" si="72">CONCATENATE(O258,". ",AB258)</f>
        <v xml:space="preserve">. Towing Control Module </v>
      </c>
      <c r="R258" s="231"/>
      <c r="S258" s="231" t="str">
        <f t="shared" si="58"/>
        <v/>
      </c>
      <c r="T258" s="231" t="str">
        <f>IF(O258&lt;&gt;"",_xlfn.XLOOKUP(O258,'3D. Pictures'!B:B,'3D. Pictures'!E:E,"NOT FOUND",0,1),"")</f>
        <v/>
      </c>
      <c r="U258" s="189"/>
      <c r="V258" s="168"/>
      <c r="W258" s="189"/>
      <c r="X258" s="168"/>
      <c r="Y258" s="201"/>
      <c r="Z258" s="168"/>
      <c r="AA258" s="16" t="s">
        <v>496</v>
      </c>
      <c r="AB258" s="16" t="s">
        <v>496</v>
      </c>
      <c r="AC258" s="358" t="str">
        <f t="shared" si="57"/>
        <v/>
      </c>
      <c r="AD258" s="16"/>
      <c r="AE258" s="16"/>
      <c r="AF258" s="168" t="s">
        <v>543</v>
      </c>
      <c r="AG258" s="16"/>
      <c r="AH258" s="16">
        <v>150</v>
      </c>
      <c r="AI258" s="380">
        <f t="shared" si="59"/>
        <v>150</v>
      </c>
      <c r="AJ258" s="3" t="s">
        <v>408</v>
      </c>
      <c r="AK258" s="3" t="s">
        <v>425</v>
      </c>
      <c r="AL258" s="3" t="s">
        <v>2175</v>
      </c>
      <c r="AN258" s="45"/>
      <c r="AO258" t="s">
        <v>572</v>
      </c>
      <c r="AX258" s="279" t="str">
        <f t="shared" si="67"/>
        <v/>
      </c>
    </row>
    <row r="259" spans="1:50" ht="15.75" thickBot="1" x14ac:dyDescent="0.3">
      <c r="A259" s="190" t="str">
        <f t="shared" si="70"/>
        <v>A75</v>
      </c>
      <c r="B259" s="279" t="str">
        <f t="shared" ref="B259:B269" si="73">IF(AQ259&lt;&gt;"",AQ259,"")</f>
        <v>660-50116</v>
      </c>
      <c r="C259" s="279"/>
      <c r="D259" s="279"/>
      <c r="E259" s="279">
        <f t="shared" si="71"/>
        <v>1</v>
      </c>
      <c r="F259" s="190" t="s">
        <v>535</v>
      </c>
      <c r="G259" s="198">
        <v>45216</v>
      </c>
      <c r="H259" s="205"/>
      <c r="I259" s="205"/>
      <c r="J259" s="205" t="s">
        <v>402</v>
      </c>
      <c r="K259" s="205" t="s">
        <v>439</v>
      </c>
      <c r="L259" s="205" t="s">
        <v>439</v>
      </c>
      <c r="M259" s="208" t="s">
        <v>562</v>
      </c>
      <c r="N259" s="208">
        <v>65</v>
      </c>
      <c r="O259" s="232" t="s">
        <v>977</v>
      </c>
      <c r="P259" s="232" t="s">
        <v>1254</v>
      </c>
      <c r="Q259" s="231" t="str">
        <f t="shared" si="72"/>
        <v>A75. Voltage Converter Control Module</v>
      </c>
      <c r="R259" s="284" t="str">
        <f>HYPERLINK(VLOOKUP(O259,'3D. Pictures'!$B$3:$E$500,4,FALSE),"PIC")</f>
        <v>PIC</v>
      </c>
      <c r="S259" s="373" t="str">
        <f t="shared" si="58"/>
        <v>E.G.</v>
      </c>
      <c r="T259" s="377" t="str">
        <f>IF(O259&lt;&gt;"",_xlfn.XLOOKUP(O259,'3D. Pictures'!B:B,'3D. Pictures'!E:E,"NOT FOUND",0,1),"")</f>
        <v>https://viking-pictures.s3.us-west-1.amazonaws.com/AA1155/A75.+Voltage+Converter+Control+Module+(1).JPG</v>
      </c>
      <c r="U259" s="208">
        <v>4</v>
      </c>
      <c r="V259" s="201" t="s">
        <v>1259</v>
      </c>
      <c r="W259" s="208" t="s">
        <v>112</v>
      </c>
      <c r="X259" s="201"/>
      <c r="Y259" s="201"/>
      <c r="Z259" s="201"/>
      <c r="AA259" s="205" t="s">
        <v>494</v>
      </c>
      <c r="AB259" s="205" t="s">
        <v>494</v>
      </c>
      <c r="AC259" s="358" t="str">
        <f t="shared" ref="AC259:AC322" si="74">_xlfn.TEXTJOIN(" | ",TRUE,AD259,AE259)</f>
        <v/>
      </c>
      <c r="AD259" s="205"/>
      <c r="AE259" s="205"/>
      <c r="AF259" s="201" t="s">
        <v>543</v>
      </c>
      <c r="AG259" s="205"/>
      <c r="AH259" s="16">
        <v>85</v>
      </c>
      <c r="AI259" s="380">
        <f t="shared" si="59"/>
        <v>85</v>
      </c>
      <c r="AJ259" s="204" t="s">
        <v>408</v>
      </c>
      <c r="AK259" s="204" t="s">
        <v>425</v>
      </c>
      <c r="AL259" s="204" t="s">
        <v>2175</v>
      </c>
      <c r="AM259" s="190"/>
      <c r="AN259" s="191" t="s">
        <v>642</v>
      </c>
      <c r="AO259" s="190" t="s">
        <v>572</v>
      </c>
      <c r="AP259" s="190">
        <v>50116</v>
      </c>
      <c r="AQ259" s="190" t="str">
        <f>CONCATENATE(AN259,AO259,AP259)</f>
        <v>660-50116</v>
      </c>
      <c r="AR259" s="190"/>
      <c r="AS259" s="190"/>
      <c r="AT259" s="190"/>
      <c r="AU259" s="190"/>
      <c r="AV259" s="190"/>
      <c r="AW259" s="190"/>
      <c r="AX259" s="279" t="str">
        <f t="shared" si="67"/>
        <v/>
      </c>
    </row>
    <row r="260" spans="1:50" x14ac:dyDescent="0.25">
      <c r="A260" s="190" t="str">
        <f t="shared" si="70"/>
        <v/>
      </c>
      <c r="B260" s="279" t="str">
        <f t="shared" si="73"/>
        <v/>
      </c>
      <c r="C260" s="279"/>
      <c r="D260" s="279"/>
      <c r="E260" s="279" t="str">
        <f t="shared" si="71"/>
        <v/>
      </c>
      <c r="F260" t="s">
        <v>535</v>
      </c>
      <c r="G260" s="188">
        <v>44684</v>
      </c>
      <c r="H260" s="157"/>
      <c r="I260" s="174"/>
      <c r="J260" s="10" t="s">
        <v>405</v>
      </c>
      <c r="K260" s="10" t="s">
        <v>439</v>
      </c>
      <c r="L260" s="10" t="s">
        <v>439</v>
      </c>
      <c r="M260" s="189" t="s">
        <v>562</v>
      </c>
      <c r="N260" s="189"/>
      <c r="O260" s="233"/>
      <c r="P260" s="233"/>
      <c r="Q260" s="231" t="str">
        <f t="shared" si="72"/>
        <v>. Airbag Control Module, PRIMARY (plastic module w/ white on top and rest is black) (DO KEEP THE ALUMINUM MODULE THAT SAYS "AIRBAG" - HIGH $$)</v>
      </c>
      <c r="R260" s="231"/>
      <c r="S260" s="231" t="str">
        <f t="shared" ref="S260:S323" si="75">IF(T260&lt;&gt;"",HYPERLINK(T260,"E.G."),"")</f>
        <v/>
      </c>
      <c r="T260" s="231" t="str">
        <f>IF(O260&lt;&gt;"",_xlfn.XLOOKUP(O260,'3D. Pictures'!B:B,'3D. Pictures'!E:E,"NOT FOUND",0,1),"")</f>
        <v/>
      </c>
      <c r="U260" s="189"/>
      <c r="V260" s="168"/>
      <c r="W260" s="189"/>
      <c r="X260" s="168"/>
      <c r="Y260" s="201"/>
      <c r="Z260" s="168"/>
      <c r="AA260" s="10" t="s">
        <v>2780</v>
      </c>
      <c r="AB260" s="10" t="s">
        <v>462</v>
      </c>
      <c r="AC260" s="359" t="str">
        <f t="shared" si="74"/>
        <v/>
      </c>
      <c r="AD260" s="10"/>
      <c r="AE260" s="10"/>
      <c r="AF260" s="168" t="s">
        <v>543</v>
      </c>
      <c r="AG260" s="16"/>
      <c r="AH260" s="10"/>
      <c r="AI260" s="380" t="str">
        <f t="shared" ref="AI260:AI323" si="76">IF(ISTEXT(AH260), AH260, IFERROR(AVERAGEIF(AA:AA, AA260, AH:AH), ""))</f>
        <v/>
      </c>
      <c r="AJ260" s="3" t="s">
        <v>408</v>
      </c>
      <c r="AK260" s="3" t="s">
        <v>425</v>
      </c>
      <c r="AL260" s="3" t="s">
        <v>2175</v>
      </c>
      <c r="AX260" s="279" t="str">
        <f t="shared" si="67"/>
        <v/>
      </c>
    </row>
    <row r="261" spans="1:50" x14ac:dyDescent="0.25">
      <c r="A261" s="190" t="str">
        <f t="shared" si="70"/>
        <v/>
      </c>
      <c r="B261" s="279" t="str">
        <f t="shared" si="73"/>
        <v/>
      </c>
      <c r="C261" s="279"/>
      <c r="D261" s="279"/>
      <c r="E261" s="279" t="str">
        <f t="shared" si="71"/>
        <v/>
      </c>
      <c r="F261" s="190" t="s">
        <v>535</v>
      </c>
      <c r="G261" s="198">
        <v>44684</v>
      </c>
      <c r="H261" s="222"/>
      <c r="I261" s="223"/>
      <c r="J261" s="215" t="s">
        <v>405</v>
      </c>
      <c r="K261" s="215" t="s">
        <v>439</v>
      </c>
      <c r="L261" s="215" t="s">
        <v>439</v>
      </c>
      <c r="M261" s="225" t="s">
        <v>562</v>
      </c>
      <c r="N261" s="225"/>
      <c r="O261" s="239"/>
      <c r="P261" s="239"/>
      <c r="Q261" s="231" t="str">
        <f t="shared" si="72"/>
        <v>. Fuel Pump Control Module</v>
      </c>
      <c r="R261" s="227"/>
      <c r="S261" s="227" t="str">
        <f t="shared" si="75"/>
        <v/>
      </c>
      <c r="T261" s="227" t="str">
        <f>IF(O261&lt;&gt;"",_xlfn.XLOOKUP(O261,'3D. Pictures'!B:B,'3D. Pictures'!E:E,"NOT FOUND",0,1),"")</f>
        <v/>
      </c>
      <c r="U261" s="225"/>
      <c r="V261" s="226"/>
      <c r="W261" s="225"/>
      <c r="X261" s="226"/>
      <c r="Y261" s="201"/>
      <c r="Z261" s="226"/>
      <c r="AA261" s="215" t="s">
        <v>1266</v>
      </c>
      <c r="AB261" s="215" t="s">
        <v>1266</v>
      </c>
      <c r="AC261" s="359" t="str">
        <f t="shared" si="74"/>
        <v/>
      </c>
      <c r="AD261" s="215"/>
      <c r="AE261" s="215"/>
      <c r="AF261" s="201" t="s">
        <v>543</v>
      </c>
      <c r="AG261" s="205"/>
      <c r="AH261" s="10"/>
      <c r="AI261" s="380" t="str">
        <f t="shared" si="76"/>
        <v/>
      </c>
      <c r="AJ261" s="204" t="s">
        <v>408</v>
      </c>
      <c r="AK261" s="204" t="s">
        <v>425</v>
      </c>
      <c r="AL261" s="204" t="s">
        <v>2175</v>
      </c>
      <c r="AM261" s="190"/>
      <c r="AN261" s="190"/>
      <c r="AO261" s="190"/>
      <c r="AP261" s="190"/>
      <c r="AQ261" s="190"/>
      <c r="AR261" s="190"/>
      <c r="AS261" s="190"/>
      <c r="AT261" s="190"/>
      <c r="AU261" s="190"/>
      <c r="AV261" s="190"/>
      <c r="AW261" s="190"/>
      <c r="AX261" s="279" t="str">
        <f t="shared" si="67"/>
        <v/>
      </c>
    </row>
    <row r="262" spans="1:50" x14ac:dyDescent="0.25">
      <c r="A262" s="190" t="str">
        <f t="shared" si="70"/>
        <v/>
      </c>
      <c r="B262" s="279" t="str">
        <f t="shared" si="73"/>
        <v/>
      </c>
      <c r="C262" s="279"/>
      <c r="D262" s="279"/>
      <c r="E262" s="279" t="str">
        <f t="shared" si="71"/>
        <v/>
      </c>
      <c r="F262" t="s">
        <v>535</v>
      </c>
      <c r="G262" s="188">
        <v>44684</v>
      </c>
      <c r="H262" s="157"/>
      <c r="I262" s="174"/>
      <c r="J262" s="10" t="s">
        <v>405</v>
      </c>
      <c r="K262" s="10" t="s">
        <v>439</v>
      </c>
      <c r="L262" s="10" t="s">
        <v>439</v>
      </c>
      <c r="M262" s="16" t="s">
        <v>559</v>
      </c>
      <c r="N262" s="16"/>
      <c r="O262" s="166"/>
      <c r="P262" s="166"/>
      <c r="Q262" s="231" t="str">
        <f t="shared" si="72"/>
        <v>. Antenna Amplifier Control Module, BACKUP one</v>
      </c>
      <c r="R262" s="231"/>
      <c r="S262" s="231" t="str">
        <f t="shared" si="75"/>
        <v/>
      </c>
      <c r="T262" s="231" t="str">
        <f>IF(O262&lt;&gt;"",_xlfn.XLOOKUP(O262,'3D. Pictures'!B:B,'3D. Pictures'!E:E,"NOT FOUND",0,1),"")</f>
        <v/>
      </c>
      <c r="U262" s="16"/>
      <c r="V262" s="16"/>
      <c r="W262" s="16"/>
      <c r="X262" s="16"/>
      <c r="Y262" s="201"/>
      <c r="Z262" s="16"/>
      <c r="AA262" s="10" t="s">
        <v>2605</v>
      </c>
      <c r="AB262" s="10" t="s">
        <v>2605</v>
      </c>
      <c r="AC262" s="359" t="str">
        <f t="shared" si="74"/>
        <v>square black plastic</v>
      </c>
      <c r="AD262" s="10"/>
      <c r="AE262" s="10" t="s">
        <v>2598</v>
      </c>
      <c r="AF262" s="168" t="s">
        <v>543</v>
      </c>
      <c r="AG262" s="16"/>
      <c r="AH262" s="10"/>
      <c r="AI262" s="380" t="str">
        <f t="shared" si="76"/>
        <v/>
      </c>
      <c r="AJ262" s="3" t="s">
        <v>408</v>
      </c>
      <c r="AK262" s="3" t="s">
        <v>425</v>
      </c>
      <c r="AL262" s="3" t="s">
        <v>2175</v>
      </c>
      <c r="AX262" s="279" t="str">
        <f t="shared" si="67"/>
        <v/>
      </c>
    </row>
    <row r="263" spans="1:50" x14ac:dyDescent="0.25">
      <c r="A263" s="190" t="str">
        <f t="shared" si="70"/>
        <v/>
      </c>
      <c r="B263" s="279" t="str">
        <f t="shared" si="73"/>
        <v/>
      </c>
      <c r="C263" s="279"/>
      <c r="D263" s="279"/>
      <c r="E263" s="279" t="str">
        <f t="shared" si="71"/>
        <v/>
      </c>
      <c r="F263" t="s">
        <v>535</v>
      </c>
      <c r="G263" s="188">
        <v>44684</v>
      </c>
      <c r="H263" s="157"/>
      <c r="I263" s="174"/>
      <c r="J263" s="10" t="s">
        <v>405</v>
      </c>
      <c r="K263" s="10" t="s">
        <v>439</v>
      </c>
      <c r="L263" s="10" t="s">
        <v>439</v>
      </c>
      <c r="M263" s="16" t="s">
        <v>559</v>
      </c>
      <c r="N263" s="16"/>
      <c r="O263" s="166"/>
      <c r="P263" s="166"/>
      <c r="Q263" s="231" t="str">
        <f t="shared" si="72"/>
        <v>. Antenna Amplifier Control Module, PRIMARY one</v>
      </c>
      <c r="R263" s="231"/>
      <c r="S263" s="231" t="str">
        <f t="shared" si="75"/>
        <v/>
      </c>
      <c r="T263" s="231" t="str">
        <f>IF(O263&lt;&gt;"",_xlfn.XLOOKUP(O263,'3D. Pictures'!B:B,'3D. Pictures'!E:E,"NOT FOUND",0,1),"")</f>
        <v/>
      </c>
      <c r="U263" s="16"/>
      <c r="V263" s="16"/>
      <c r="W263" s="16"/>
      <c r="X263" s="16"/>
      <c r="Y263" s="201"/>
      <c r="Z263" s="16"/>
      <c r="AA263" s="10" t="s">
        <v>2604</v>
      </c>
      <c r="AB263" s="10" t="s">
        <v>2604</v>
      </c>
      <c r="AC263" s="359" t="str">
        <f t="shared" si="74"/>
        <v>rectangular black plastic</v>
      </c>
      <c r="AD263" s="10"/>
      <c r="AE263" s="10" t="s">
        <v>2599</v>
      </c>
      <c r="AF263" s="168" t="s">
        <v>543</v>
      </c>
      <c r="AG263" s="16"/>
      <c r="AH263" s="10"/>
      <c r="AI263" s="380" t="str">
        <f t="shared" si="76"/>
        <v/>
      </c>
      <c r="AJ263" s="3" t="s">
        <v>408</v>
      </c>
      <c r="AK263" s="3" t="s">
        <v>425</v>
      </c>
      <c r="AL263" s="3" t="s">
        <v>2175</v>
      </c>
      <c r="AX263" s="279" t="str">
        <f t="shared" si="67"/>
        <v/>
      </c>
    </row>
    <row r="264" spans="1:50" x14ac:dyDescent="0.25">
      <c r="A264" s="190" t="str">
        <f t="shared" si="70"/>
        <v/>
      </c>
      <c r="B264" s="279" t="str">
        <f t="shared" si="73"/>
        <v/>
      </c>
      <c r="C264" s="279"/>
      <c r="D264" s="279"/>
      <c r="E264" s="279" t="str">
        <f t="shared" si="71"/>
        <v/>
      </c>
      <c r="F264" t="s">
        <v>535</v>
      </c>
      <c r="G264" s="188">
        <v>44680</v>
      </c>
      <c r="H264" s="157"/>
      <c r="I264" s="174"/>
      <c r="J264" s="10" t="s">
        <v>405</v>
      </c>
      <c r="K264" s="10" t="s">
        <v>439</v>
      </c>
      <c r="L264" s="10" t="s">
        <v>439</v>
      </c>
      <c r="M264" s="16" t="s">
        <v>559</v>
      </c>
      <c r="N264" s="16"/>
      <c r="O264" s="166"/>
      <c r="P264" s="166"/>
      <c r="Q264" s="231" t="str">
        <f t="shared" si="72"/>
        <v>. Antenna Noise Filter Control Module</v>
      </c>
      <c r="R264" s="231"/>
      <c r="S264" s="231" t="str">
        <f t="shared" si="75"/>
        <v/>
      </c>
      <c r="T264" s="231" t="str">
        <f>IF(O264&lt;&gt;"",_xlfn.XLOOKUP(O264,'3D. Pictures'!B:B,'3D. Pictures'!E:E,"NOT FOUND",0,1),"")</f>
        <v/>
      </c>
      <c r="U264" s="16"/>
      <c r="V264" s="16"/>
      <c r="W264" s="16"/>
      <c r="X264" s="16"/>
      <c r="Y264" s="202"/>
      <c r="Z264" s="16"/>
      <c r="AA264" s="10" t="s">
        <v>2603</v>
      </c>
      <c r="AB264" s="10" t="s">
        <v>2603</v>
      </c>
      <c r="AC264" s="359" t="str">
        <f t="shared" si="74"/>
        <v>mounted left rear roof</v>
      </c>
      <c r="AD264" s="10"/>
      <c r="AE264" s="10" t="s">
        <v>2600</v>
      </c>
      <c r="AF264" s="168" t="s">
        <v>543</v>
      </c>
      <c r="AG264" s="10"/>
      <c r="AH264" s="10"/>
      <c r="AI264" s="380" t="str">
        <f t="shared" si="76"/>
        <v/>
      </c>
      <c r="AJ264" s="3" t="s">
        <v>408</v>
      </c>
      <c r="AK264" s="3" t="s">
        <v>425</v>
      </c>
      <c r="AL264" s="3" t="s">
        <v>2175</v>
      </c>
      <c r="AX264" s="279" t="str">
        <f t="shared" si="67"/>
        <v/>
      </c>
    </row>
    <row r="265" spans="1:50" x14ac:dyDescent="0.25">
      <c r="A265" s="190" t="str">
        <f t="shared" si="70"/>
        <v/>
      </c>
      <c r="B265" s="279" t="str">
        <f t="shared" si="73"/>
        <v/>
      </c>
      <c r="C265" s="279"/>
      <c r="D265" s="279"/>
      <c r="E265" s="279" t="str">
        <f t="shared" si="71"/>
        <v/>
      </c>
      <c r="F265" t="s">
        <v>535</v>
      </c>
      <c r="G265" s="188">
        <v>44684</v>
      </c>
      <c r="H265" s="157"/>
      <c r="I265" s="174"/>
      <c r="J265" s="10" t="s">
        <v>405</v>
      </c>
      <c r="K265" s="10" t="s">
        <v>439</v>
      </c>
      <c r="L265" s="10" t="s">
        <v>439</v>
      </c>
      <c r="M265" s="16" t="s">
        <v>559</v>
      </c>
      <c r="N265" s="16"/>
      <c r="O265" s="166"/>
      <c r="P265" s="166"/>
      <c r="Q265" s="231" t="str">
        <f t="shared" si="72"/>
        <v>. Bus Interface Control Module</v>
      </c>
      <c r="R265" s="231"/>
      <c r="S265" s="231" t="str">
        <f t="shared" si="75"/>
        <v/>
      </c>
      <c r="T265" s="231" t="str">
        <f>IF(O265&lt;&gt;"",_xlfn.XLOOKUP(O265,'3D. Pictures'!B:B,'3D. Pictures'!E:E,"NOT FOUND",0,1),"")</f>
        <v/>
      </c>
      <c r="U265" s="16"/>
      <c r="V265" s="16"/>
      <c r="W265" s="16"/>
      <c r="X265" s="16"/>
      <c r="Y265" s="243"/>
      <c r="Z265" s="16"/>
      <c r="AA265" s="10" t="s">
        <v>2602</v>
      </c>
      <c r="AB265" s="10" t="s">
        <v>2602</v>
      </c>
      <c r="AC265" s="359" t="str">
        <f t="shared" si="74"/>
        <v>TOSS BOTH | look like ribbed black legos in shape / size</v>
      </c>
      <c r="AD265" s="10" t="s">
        <v>2544</v>
      </c>
      <c r="AE265" s="10" t="s">
        <v>2601</v>
      </c>
      <c r="AF265" s="168" t="s">
        <v>543</v>
      </c>
      <c r="AG265" s="16"/>
      <c r="AH265" s="10"/>
      <c r="AI265" s="380" t="str">
        <f t="shared" si="76"/>
        <v/>
      </c>
      <c r="AJ265" s="3" t="s">
        <v>408</v>
      </c>
      <c r="AK265" s="3" t="s">
        <v>425</v>
      </c>
      <c r="AL265" s="3" t="s">
        <v>2175</v>
      </c>
      <c r="AX265" s="279" t="str">
        <f t="shared" si="67"/>
        <v/>
      </c>
    </row>
    <row r="266" spans="1:50" x14ac:dyDescent="0.25">
      <c r="A266" s="190" t="str">
        <f t="shared" si="70"/>
        <v/>
      </c>
      <c r="B266" s="279" t="str">
        <f t="shared" si="73"/>
        <v/>
      </c>
      <c r="C266" s="279"/>
      <c r="D266" s="279"/>
      <c r="E266" s="279" t="str">
        <f t="shared" si="71"/>
        <v/>
      </c>
      <c r="F266" t="s">
        <v>535</v>
      </c>
      <c r="G266" s="188">
        <v>44684</v>
      </c>
      <c r="H266" s="157"/>
      <c r="I266" s="174"/>
      <c r="J266" s="10" t="s">
        <v>405</v>
      </c>
      <c r="K266" s="10" t="s">
        <v>439</v>
      </c>
      <c r="L266" s="10" t="s">
        <v>439</v>
      </c>
      <c r="M266" s="16" t="s">
        <v>559</v>
      </c>
      <c r="N266" s="16"/>
      <c r="O266" s="166"/>
      <c r="P266" s="166"/>
      <c r="Q266" s="231" t="str">
        <f t="shared" si="72"/>
        <v>. Cooling Fan Relay Module</v>
      </c>
      <c r="R266" s="231"/>
      <c r="S266" s="231" t="str">
        <f t="shared" si="75"/>
        <v/>
      </c>
      <c r="T266" s="231" t="str">
        <f>IF(O266&lt;&gt;"",_xlfn.XLOOKUP(O266,'3D. Pictures'!B:B,'3D. Pictures'!E:E,"NOT FOUND",0,1),"")</f>
        <v/>
      </c>
      <c r="U266" s="16"/>
      <c r="V266" s="16"/>
      <c r="W266" s="16"/>
      <c r="X266" s="16"/>
      <c r="Y266" s="243"/>
      <c r="Z266" s="16"/>
      <c r="AA266" s="10" t="s">
        <v>469</v>
      </c>
      <c r="AB266" s="10" t="s">
        <v>469</v>
      </c>
      <c r="AC266" s="359" t="str">
        <f t="shared" si="74"/>
        <v/>
      </c>
      <c r="AD266" s="10"/>
      <c r="AE266" s="10"/>
      <c r="AF266" s="168" t="s">
        <v>543</v>
      </c>
      <c r="AG266" s="16"/>
      <c r="AH266" s="10"/>
      <c r="AI266" s="380" t="str">
        <f t="shared" si="76"/>
        <v/>
      </c>
      <c r="AJ266" s="3" t="s">
        <v>408</v>
      </c>
      <c r="AK266" s="3" t="s">
        <v>425</v>
      </c>
      <c r="AL266" s="3" t="s">
        <v>2175</v>
      </c>
      <c r="AX266" s="279" t="str">
        <f t="shared" si="67"/>
        <v/>
      </c>
    </row>
    <row r="267" spans="1:50" x14ac:dyDescent="0.25">
      <c r="A267" s="190" t="str">
        <f t="shared" si="70"/>
        <v/>
      </c>
      <c r="B267" s="279" t="str">
        <f t="shared" si="73"/>
        <v/>
      </c>
      <c r="C267" s="279"/>
      <c r="D267" s="279"/>
      <c r="E267" s="279" t="str">
        <f t="shared" si="71"/>
        <v/>
      </c>
      <c r="F267" t="s">
        <v>535</v>
      </c>
      <c r="G267" s="188">
        <v>44684</v>
      </c>
      <c r="H267" s="157"/>
      <c r="I267" s="174"/>
      <c r="J267" s="10" t="s">
        <v>405</v>
      </c>
      <c r="K267" s="10" t="s">
        <v>439</v>
      </c>
      <c r="L267" s="10" t="s">
        <v>2702</v>
      </c>
      <c r="M267" s="16" t="s">
        <v>559</v>
      </c>
      <c r="N267" s="16"/>
      <c r="O267" s="166"/>
      <c r="P267" s="166"/>
      <c r="Q267" s="231" t="str">
        <f t="shared" si="72"/>
        <v>. Crash Sensors</v>
      </c>
      <c r="R267" s="231"/>
      <c r="S267" s="231" t="str">
        <f t="shared" si="75"/>
        <v/>
      </c>
      <c r="T267" s="231" t="str">
        <f>IF(O267&lt;&gt;"",_xlfn.XLOOKUP(O267,'3D. Pictures'!B:B,'3D. Pictures'!E:E,"NOT FOUND",0,1),"")</f>
        <v/>
      </c>
      <c r="U267" s="16"/>
      <c r="V267" s="16"/>
      <c r="W267" s="16"/>
      <c r="X267" s="16"/>
      <c r="Y267" s="243"/>
      <c r="Z267" s="16"/>
      <c r="AA267" s="10" t="s">
        <v>2606</v>
      </c>
      <c r="AB267" s="10" t="s">
        <v>2606</v>
      </c>
      <c r="AC267" s="359" t="str">
        <f t="shared" si="74"/>
        <v>TOSS ALL</v>
      </c>
      <c r="AD267" s="10" t="s">
        <v>2575</v>
      </c>
      <c r="AE267" s="10"/>
      <c r="AF267" s="168" t="s">
        <v>543</v>
      </c>
      <c r="AG267" s="16"/>
      <c r="AH267" s="10"/>
      <c r="AI267" s="380" t="str">
        <f t="shared" si="76"/>
        <v/>
      </c>
      <c r="AJ267" s="3" t="s">
        <v>408</v>
      </c>
      <c r="AK267" s="3" t="s">
        <v>425</v>
      </c>
      <c r="AL267" s="3" t="s">
        <v>2175</v>
      </c>
      <c r="AX267" s="279" t="str">
        <f t="shared" si="67"/>
        <v/>
      </c>
    </row>
    <row r="268" spans="1:50" x14ac:dyDescent="0.25">
      <c r="A268" s="190" t="str">
        <f t="shared" si="70"/>
        <v/>
      </c>
      <c r="B268" s="279" t="str">
        <f t="shared" si="73"/>
        <v/>
      </c>
      <c r="C268" s="279"/>
      <c r="D268" s="279"/>
      <c r="E268" s="279" t="str">
        <f t="shared" si="71"/>
        <v/>
      </c>
      <c r="F268" t="s">
        <v>535</v>
      </c>
      <c r="G268" s="188">
        <v>44684</v>
      </c>
      <c r="H268" s="157"/>
      <c r="I268" s="174"/>
      <c r="J268" s="10" t="s">
        <v>405</v>
      </c>
      <c r="K268" s="10" t="s">
        <v>439</v>
      </c>
      <c r="L268" s="10" t="s">
        <v>439</v>
      </c>
      <c r="M268" s="16" t="s">
        <v>559</v>
      </c>
      <c r="N268" s="16"/>
      <c r="O268" s="166"/>
      <c r="P268" s="166"/>
      <c r="Q268" s="231" t="str">
        <f t="shared" si="72"/>
        <v>. Front Power Distribution Terminal Module</v>
      </c>
      <c r="R268" s="231"/>
      <c r="S268" s="231" t="str">
        <f t="shared" si="75"/>
        <v/>
      </c>
      <c r="T268" s="231" t="str">
        <f>IF(O268&lt;&gt;"",_xlfn.XLOOKUP(O268,'3D. Pictures'!B:B,'3D. Pictures'!E:E,"NOT FOUND",0,1),"")</f>
        <v/>
      </c>
      <c r="U268" s="16"/>
      <c r="V268" s="16"/>
      <c r="W268" s="16"/>
      <c r="X268" s="16"/>
      <c r="Y268" s="243"/>
      <c r="Z268" s="16"/>
      <c r="AA268" s="10" t="s">
        <v>2608</v>
      </c>
      <c r="AB268" s="10" t="s">
        <v>2608</v>
      </c>
      <c r="AC268" s="359" t="str">
        <f t="shared" si="74"/>
        <v>flat black plastic module 4x3" w/ 3 red wires going to it</v>
      </c>
      <c r="AD268" s="10"/>
      <c r="AE268" s="10" t="s">
        <v>2607</v>
      </c>
      <c r="AF268" s="168" t="s">
        <v>543</v>
      </c>
      <c r="AG268" s="16"/>
      <c r="AH268" s="10"/>
      <c r="AI268" s="380" t="str">
        <f t="shared" si="76"/>
        <v/>
      </c>
      <c r="AJ268" s="3" t="s">
        <v>408</v>
      </c>
      <c r="AK268" s="3" t="s">
        <v>425</v>
      </c>
      <c r="AL268" s="3" t="s">
        <v>2175</v>
      </c>
      <c r="AN268" s="178"/>
      <c r="AO268" s="178"/>
      <c r="AP268" s="178"/>
      <c r="AQ268" s="178"/>
      <c r="AR268" s="178"/>
      <c r="AS268" s="178"/>
      <c r="AT268" s="178"/>
      <c r="AU268" s="178"/>
      <c r="AV268" s="178"/>
      <c r="AW268" s="178"/>
      <c r="AX268" s="279" t="str">
        <f t="shared" si="67"/>
        <v/>
      </c>
    </row>
    <row r="269" spans="1:50" x14ac:dyDescent="0.25">
      <c r="A269" s="190" t="str">
        <f t="shared" si="70"/>
        <v/>
      </c>
      <c r="B269" s="279" t="str">
        <f t="shared" si="73"/>
        <v/>
      </c>
      <c r="C269" s="279"/>
      <c r="D269" s="279"/>
      <c r="E269" s="279" t="str">
        <f t="shared" si="71"/>
        <v/>
      </c>
      <c r="F269" t="s">
        <v>535</v>
      </c>
      <c r="G269" s="188">
        <v>44684</v>
      </c>
      <c r="H269" s="157"/>
      <c r="I269" s="174"/>
      <c r="J269" s="10" t="s">
        <v>405</v>
      </c>
      <c r="K269" s="10" t="s">
        <v>439</v>
      </c>
      <c r="L269" s="10" t="s">
        <v>2691</v>
      </c>
      <c r="M269" s="16" t="s">
        <v>559</v>
      </c>
      <c r="N269" s="16"/>
      <c r="O269" s="166"/>
      <c r="P269" s="166"/>
      <c r="Q269" s="231" t="str">
        <f t="shared" si="72"/>
        <v>. i-Drive Navigation / Radio Knob Control Module</v>
      </c>
      <c r="R269" s="231"/>
      <c r="S269" s="231" t="str">
        <f t="shared" si="75"/>
        <v/>
      </c>
      <c r="T269" s="231" t="str">
        <f>IF(O269&lt;&gt;"",_xlfn.XLOOKUP(O269,'3D. Pictures'!B:B,'3D. Pictures'!E:E,"NOT FOUND",0,1),"")</f>
        <v/>
      </c>
      <c r="U269" s="16"/>
      <c r="V269" s="16"/>
      <c r="W269" s="16"/>
      <c r="X269" s="16"/>
      <c r="Y269" s="243"/>
      <c r="Z269" s="16"/>
      <c r="AA269" s="10" t="s">
        <v>460</v>
      </c>
      <c r="AB269" s="10" t="s">
        <v>460</v>
      </c>
      <c r="AC269" s="359" t="str">
        <f t="shared" si="74"/>
        <v/>
      </c>
      <c r="AD269" s="10"/>
      <c r="AE269" s="10"/>
      <c r="AF269" s="168" t="s">
        <v>543</v>
      </c>
      <c r="AG269" s="16"/>
      <c r="AH269" s="10"/>
      <c r="AI269" s="380" t="str">
        <f t="shared" si="76"/>
        <v/>
      </c>
      <c r="AJ269" s="3" t="s">
        <v>408</v>
      </c>
      <c r="AK269" s="3" t="s">
        <v>425</v>
      </c>
      <c r="AL269" s="3" t="s">
        <v>2175</v>
      </c>
      <c r="AX269" s="279" t="str">
        <f t="shared" si="67"/>
        <v/>
      </c>
    </row>
    <row r="270" spans="1:50" x14ac:dyDescent="0.25">
      <c r="A270" s="190" t="str">
        <f t="shared" si="70"/>
        <v/>
      </c>
      <c r="B270" s="311" t="str">
        <f>IF(AQ270&lt;&gt;"",AQ270,"")</f>
        <v/>
      </c>
      <c r="C270" s="311"/>
      <c r="D270" s="311"/>
      <c r="E270" s="311" t="str">
        <f t="shared" si="71"/>
        <v/>
      </c>
      <c r="F270" s="311" t="s">
        <v>535</v>
      </c>
      <c r="G270" s="312">
        <v>45245</v>
      </c>
      <c r="H270" s="345"/>
      <c r="I270" s="315"/>
      <c r="J270" s="314" t="s">
        <v>405</v>
      </c>
      <c r="K270" s="314" t="s">
        <v>439</v>
      </c>
      <c r="L270" s="314" t="s">
        <v>2713</v>
      </c>
      <c r="M270" s="346" t="s">
        <v>562</v>
      </c>
      <c r="N270" s="346"/>
      <c r="O270" s="347"/>
      <c r="P270" s="347"/>
      <c r="Q270" s="333" t="str">
        <f t="shared" si="72"/>
        <v>. Fuse Box, FRONT</v>
      </c>
      <c r="R270" s="333"/>
      <c r="S270" s="333" t="str">
        <f t="shared" si="75"/>
        <v/>
      </c>
      <c r="T270" s="333" t="str">
        <f>IF(O270&lt;&gt;"",_xlfn.XLOOKUP(O270,'3D. Pictures'!B:B,'3D. Pictures'!E:E,"NOT FOUND",0,1),"")</f>
        <v/>
      </c>
      <c r="U270" s="346"/>
      <c r="V270" s="319"/>
      <c r="W270" s="346"/>
      <c r="X270" s="319"/>
      <c r="Y270" s="243"/>
      <c r="Z270" s="319"/>
      <c r="AA270" s="314" t="s">
        <v>2353</v>
      </c>
      <c r="AB270" s="314" t="s">
        <v>2353</v>
      </c>
      <c r="AC270" s="359" t="str">
        <f t="shared" si="74"/>
        <v/>
      </c>
      <c r="AD270" s="314"/>
      <c r="AE270" s="314"/>
      <c r="AF270" s="319"/>
      <c r="AG270" s="314"/>
      <c r="AH270" s="10"/>
      <c r="AI270" s="380" t="str">
        <f t="shared" si="76"/>
        <v/>
      </c>
      <c r="AJ270" s="320" t="s">
        <v>408</v>
      </c>
      <c r="AK270" s="320" t="s">
        <v>425</v>
      </c>
      <c r="AL270" s="320" t="s">
        <v>2175</v>
      </c>
      <c r="AM270" s="311"/>
      <c r="AN270" s="338"/>
      <c r="AO270" s="311" t="s">
        <v>572</v>
      </c>
      <c r="AP270" s="311"/>
      <c r="AQ270" s="311"/>
      <c r="AR270" s="311"/>
      <c r="AS270" s="311"/>
      <c r="AT270" s="311"/>
      <c r="AU270" s="311"/>
      <c r="AV270" s="311"/>
      <c r="AW270" s="311"/>
      <c r="AX270" s="279" t="str">
        <f t="shared" si="67"/>
        <v/>
      </c>
    </row>
    <row r="271" spans="1:50" x14ac:dyDescent="0.25">
      <c r="A271" s="190" t="str">
        <f t="shared" si="70"/>
        <v/>
      </c>
      <c r="B271" s="279" t="str">
        <f t="shared" ref="B271:B326" si="77">IF(AQ271&lt;&gt;"",AQ271,"")</f>
        <v/>
      </c>
      <c r="C271" s="279"/>
      <c r="D271" s="279"/>
      <c r="E271" s="279" t="str">
        <f t="shared" si="71"/>
        <v/>
      </c>
      <c r="F271" t="s">
        <v>535</v>
      </c>
      <c r="G271" s="188">
        <v>44680</v>
      </c>
      <c r="H271" s="157"/>
      <c r="I271" s="174"/>
      <c r="J271" s="10" t="s">
        <v>405</v>
      </c>
      <c r="K271" s="10" t="s">
        <v>439</v>
      </c>
      <c r="L271" s="10" t="s">
        <v>439</v>
      </c>
      <c r="M271" s="16" t="s">
        <v>559</v>
      </c>
      <c r="N271" s="16"/>
      <c r="O271" s="166"/>
      <c r="P271" s="166"/>
      <c r="Q271" s="231" t="str">
        <f t="shared" si="72"/>
        <v>. Lojack Vehicle Recovery Transmitter Module &amp; Cable</v>
      </c>
      <c r="R271" s="231"/>
      <c r="S271" s="231" t="str">
        <f t="shared" si="75"/>
        <v/>
      </c>
      <c r="T271" s="231" t="str">
        <f>IF(O271&lt;&gt;"",_xlfn.XLOOKUP(O271,'3D. Pictures'!B:B,'3D. Pictures'!E:E,"NOT FOUND",0,1),"")</f>
        <v/>
      </c>
      <c r="U271" s="16"/>
      <c r="V271" s="16"/>
      <c r="W271" s="16"/>
      <c r="X271" s="16"/>
      <c r="Y271" s="201"/>
      <c r="Z271" s="16"/>
      <c r="AA271" s="10" t="s">
        <v>2612</v>
      </c>
      <c r="AB271" s="10" t="s">
        <v>2612</v>
      </c>
      <c r="AC271" s="359" t="str">
        <f t="shared" si="74"/>
        <v>TOSS BOTH | mounted RR wheel well</v>
      </c>
      <c r="AD271" s="10" t="s">
        <v>2544</v>
      </c>
      <c r="AE271" s="10" t="s">
        <v>2609</v>
      </c>
      <c r="AF271" s="168" t="s">
        <v>543</v>
      </c>
      <c r="AG271" s="16"/>
      <c r="AH271" s="10"/>
      <c r="AI271" s="380" t="str">
        <f t="shared" si="76"/>
        <v/>
      </c>
      <c r="AJ271" s="3" t="s">
        <v>408</v>
      </c>
      <c r="AK271" s="3" t="s">
        <v>425</v>
      </c>
      <c r="AL271" s="3" t="s">
        <v>2175</v>
      </c>
      <c r="AX271" s="279" t="str">
        <f t="shared" si="67"/>
        <v/>
      </c>
    </row>
    <row r="272" spans="1:50" x14ac:dyDescent="0.25">
      <c r="A272" s="190" t="str">
        <f t="shared" si="70"/>
        <v/>
      </c>
      <c r="B272" s="279" t="str">
        <f t="shared" si="77"/>
        <v/>
      </c>
      <c r="C272" s="279"/>
      <c r="D272" s="279"/>
      <c r="E272" s="279" t="str">
        <f t="shared" si="71"/>
        <v/>
      </c>
      <c r="F272" t="s">
        <v>535</v>
      </c>
      <c r="G272" s="188">
        <v>44684</v>
      </c>
      <c r="H272" s="157"/>
      <c r="I272" s="174"/>
      <c r="J272" s="10" t="s">
        <v>405</v>
      </c>
      <c r="K272" s="10" t="s">
        <v>439</v>
      </c>
      <c r="L272" s="10" t="s">
        <v>2713</v>
      </c>
      <c r="M272" s="16" t="s">
        <v>559</v>
      </c>
      <c r="N272" s="16"/>
      <c r="O272" s="166"/>
      <c r="P272" s="166"/>
      <c r="Q272" s="231" t="str">
        <f t="shared" si="72"/>
        <v>. Positive Battery Junction Box</v>
      </c>
      <c r="R272" s="231"/>
      <c r="S272" s="231" t="str">
        <f t="shared" si="75"/>
        <v/>
      </c>
      <c r="T272" s="231" t="str">
        <f>IF(O272&lt;&gt;"",_xlfn.XLOOKUP(O272,'3D. Pictures'!B:B,'3D. Pictures'!E:E,"NOT FOUND",0,1),"")</f>
        <v/>
      </c>
      <c r="U272" s="16"/>
      <c r="V272" s="16"/>
      <c r="W272" s="16"/>
      <c r="X272" s="16"/>
      <c r="Y272" s="201"/>
      <c r="Z272" s="16"/>
      <c r="AA272" s="10" t="s">
        <v>2611</v>
      </c>
      <c r="AB272" s="10" t="s">
        <v>2611</v>
      </c>
      <c r="AC272" s="359" t="str">
        <f t="shared" si="74"/>
        <v>5x5 inch black plastic w/ a small red battery cable</v>
      </c>
      <c r="AD272" s="10"/>
      <c r="AE272" s="10" t="s">
        <v>2610</v>
      </c>
      <c r="AF272" s="168" t="s">
        <v>543</v>
      </c>
      <c r="AG272" s="16"/>
      <c r="AH272" s="10"/>
      <c r="AI272" s="380" t="str">
        <f t="shared" si="76"/>
        <v/>
      </c>
      <c r="AJ272" s="3" t="s">
        <v>408</v>
      </c>
      <c r="AK272" s="3" t="s">
        <v>425</v>
      </c>
      <c r="AL272" s="3" t="s">
        <v>2175</v>
      </c>
      <c r="AX272" s="279" t="str">
        <f t="shared" si="67"/>
        <v/>
      </c>
    </row>
    <row r="273" spans="1:50" x14ac:dyDescent="0.25">
      <c r="A273" s="190" t="str">
        <f t="shared" si="70"/>
        <v/>
      </c>
      <c r="B273" s="279" t="str">
        <f t="shared" si="77"/>
        <v/>
      </c>
      <c r="C273" s="279"/>
      <c r="D273" s="279"/>
      <c r="E273" s="279" t="str">
        <f t="shared" si="71"/>
        <v/>
      </c>
      <c r="F273" t="s">
        <v>535</v>
      </c>
      <c r="G273" s="188">
        <v>44684</v>
      </c>
      <c r="H273" s="157"/>
      <c r="I273" s="174"/>
      <c r="J273" s="10" t="s">
        <v>405</v>
      </c>
      <c r="K273" s="10" t="s">
        <v>439</v>
      </c>
      <c r="L273" s="10" t="s">
        <v>439</v>
      </c>
      <c r="M273" s="189" t="s">
        <v>562</v>
      </c>
      <c r="N273" s="189"/>
      <c r="O273" s="233"/>
      <c r="P273" s="233"/>
      <c r="Q273" s="231" t="str">
        <f t="shared" si="72"/>
        <v>. Seat Control Module - REAR</v>
      </c>
      <c r="R273" s="231"/>
      <c r="S273" s="231" t="str">
        <f t="shared" si="75"/>
        <v/>
      </c>
      <c r="T273" s="231" t="str">
        <f>IF(O273&lt;&gt;"",_xlfn.XLOOKUP(O273,'3D. Pictures'!B:B,'3D. Pictures'!E:E,"NOT FOUND",0,1),"")</f>
        <v/>
      </c>
      <c r="U273" s="189"/>
      <c r="V273" s="168"/>
      <c r="W273" s="189"/>
      <c r="X273" s="168"/>
      <c r="Y273" s="201"/>
      <c r="Z273" s="168"/>
      <c r="AA273" s="10" t="s">
        <v>468</v>
      </c>
      <c r="AB273" s="10" t="s">
        <v>468</v>
      </c>
      <c r="AC273" s="359" t="str">
        <f t="shared" si="74"/>
        <v/>
      </c>
      <c r="AD273" s="10"/>
      <c r="AE273" s="10"/>
      <c r="AF273" s="168" t="s">
        <v>543</v>
      </c>
      <c r="AG273" s="16"/>
      <c r="AH273" s="10"/>
      <c r="AI273" s="380" t="str">
        <f t="shared" si="76"/>
        <v/>
      </c>
      <c r="AJ273" s="3" t="s">
        <v>408</v>
      </c>
      <c r="AK273" s="3" t="s">
        <v>425</v>
      </c>
      <c r="AL273" s="3" t="s">
        <v>2175</v>
      </c>
      <c r="AO273" t="s">
        <v>572</v>
      </c>
      <c r="AX273" s="279" t="str">
        <f t="shared" si="67"/>
        <v/>
      </c>
    </row>
    <row r="274" spans="1:50" x14ac:dyDescent="0.25">
      <c r="A274" s="190" t="str">
        <f t="shared" si="70"/>
        <v/>
      </c>
      <c r="B274" s="279" t="str">
        <f t="shared" si="77"/>
        <v/>
      </c>
      <c r="C274" s="279"/>
      <c r="D274" s="279"/>
      <c r="E274" s="279" t="str">
        <f t="shared" si="71"/>
        <v/>
      </c>
      <c r="F274" t="s">
        <v>535</v>
      </c>
      <c r="G274" s="188">
        <v>44684</v>
      </c>
      <c r="H274" s="157"/>
      <c r="I274" s="174"/>
      <c r="J274" s="10" t="s">
        <v>405</v>
      </c>
      <c r="K274" s="10" t="s">
        <v>439</v>
      </c>
      <c r="L274" s="10" t="s">
        <v>439</v>
      </c>
      <c r="M274" s="16" t="s">
        <v>559</v>
      </c>
      <c r="N274" s="16"/>
      <c r="O274" s="166"/>
      <c r="P274" s="166"/>
      <c r="Q274" s="231" t="str">
        <f t="shared" si="72"/>
        <v>. Steering Column Control Module</v>
      </c>
      <c r="R274" s="231"/>
      <c r="S274" s="231" t="str">
        <f t="shared" si="75"/>
        <v/>
      </c>
      <c r="T274" s="231" t="str">
        <f>IF(O274&lt;&gt;"",_xlfn.XLOOKUP(O274,'3D. Pictures'!B:B,'3D. Pictures'!E:E,"NOT FOUND",0,1),"")</f>
        <v/>
      </c>
      <c r="U274" s="16"/>
      <c r="V274" s="16"/>
      <c r="W274" s="16"/>
      <c r="X274" s="16"/>
      <c r="Y274" s="201"/>
      <c r="Z274" s="16"/>
      <c r="AA274" s="10" t="s">
        <v>2614</v>
      </c>
      <c r="AB274" s="10" t="s">
        <v>2614</v>
      </c>
      <c r="AC274" s="359" t="str">
        <f t="shared" si="74"/>
        <v>toss black plastic sleeve on it too</v>
      </c>
      <c r="AD274" s="10" t="s">
        <v>2613</v>
      </c>
      <c r="AE274" s="10"/>
      <c r="AF274" s="168" t="s">
        <v>543</v>
      </c>
      <c r="AG274" s="16"/>
      <c r="AH274" s="10"/>
      <c r="AI274" s="380" t="str">
        <f t="shared" si="76"/>
        <v/>
      </c>
      <c r="AJ274" s="3" t="s">
        <v>408</v>
      </c>
      <c r="AK274" s="3" t="s">
        <v>425</v>
      </c>
      <c r="AL274" s="3" t="s">
        <v>2175</v>
      </c>
      <c r="AX274" s="279" t="str">
        <f t="shared" si="67"/>
        <v/>
      </c>
    </row>
    <row r="275" spans="1:50" x14ac:dyDescent="0.25">
      <c r="A275" s="190" t="str">
        <f t="shared" si="70"/>
        <v/>
      </c>
      <c r="B275" s="279" t="str">
        <f t="shared" si="77"/>
        <v/>
      </c>
      <c r="C275" s="279"/>
      <c r="D275" s="279"/>
      <c r="E275" s="279" t="str">
        <f t="shared" si="71"/>
        <v/>
      </c>
      <c r="F275" t="s">
        <v>536</v>
      </c>
      <c r="G275" s="188">
        <v>45013</v>
      </c>
      <c r="H275" s="19" t="s">
        <v>533</v>
      </c>
      <c r="I275" s="161"/>
      <c r="J275" s="99" t="s">
        <v>402</v>
      </c>
      <c r="K275" s="99" t="s">
        <v>39</v>
      </c>
      <c r="L275" s="99" t="s">
        <v>191</v>
      </c>
      <c r="M275" s="16" t="s">
        <v>559</v>
      </c>
      <c r="N275" s="16"/>
      <c r="O275" s="166"/>
      <c r="P275" s="166"/>
      <c r="Q275" s="231" t="str">
        <f t="shared" si="72"/>
        <v>. Speakers SET - Harman Kardon</v>
      </c>
      <c r="R275" s="231"/>
      <c r="S275" s="231" t="str">
        <f t="shared" si="75"/>
        <v/>
      </c>
      <c r="T275" s="231" t="str">
        <f>IF(O275&lt;&gt;"",_xlfn.XLOOKUP(O275,'3D. Pictures'!B:B,'3D. Pictures'!E:E,"NOT FOUND",0,1),"")</f>
        <v/>
      </c>
      <c r="U275" s="16"/>
      <c r="V275" s="16"/>
      <c r="W275" s="16"/>
      <c r="X275" s="16"/>
      <c r="Y275" s="201"/>
      <c r="Z275" s="16"/>
      <c r="AA275" s="99" t="s">
        <v>2618</v>
      </c>
      <c r="AB275" s="99" t="s">
        <v>2618</v>
      </c>
      <c r="AC275" s="360" t="str">
        <f t="shared" si="74"/>
        <v>KEEP Harman or Bang &amp; Olufsen, TOSS BMW Branded</v>
      </c>
      <c r="AD275" s="99"/>
      <c r="AE275" s="99" t="s">
        <v>2617</v>
      </c>
      <c r="AF275" s="168" t="s">
        <v>543</v>
      </c>
      <c r="AG275" s="99"/>
      <c r="AH275" s="364">
        <v>450</v>
      </c>
      <c r="AI275" s="380">
        <f t="shared" si="76"/>
        <v>450</v>
      </c>
      <c r="AJ275" s="3" t="s">
        <v>408</v>
      </c>
      <c r="AK275" s="3" t="s">
        <v>425</v>
      </c>
      <c r="AL275" s="3" t="s">
        <v>2175</v>
      </c>
      <c r="AM275" s="138" t="s">
        <v>533</v>
      </c>
      <c r="AX275" s="279" t="str">
        <f t="shared" si="67"/>
        <v/>
      </c>
    </row>
    <row r="276" spans="1:50" x14ac:dyDescent="0.25">
      <c r="A276" s="190" t="str">
        <f t="shared" si="70"/>
        <v/>
      </c>
      <c r="B276" s="279" t="str">
        <f t="shared" si="77"/>
        <v/>
      </c>
      <c r="C276" s="279"/>
      <c r="D276" s="279"/>
      <c r="E276" s="279" t="str">
        <f t="shared" si="71"/>
        <v/>
      </c>
      <c r="F276" t="s">
        <v>536</v>
      </c>
      <c r="G276" s="188">
        <v>45013</v>
      </c>
      <c r="H276" s="19" t="s">
        <v>533</v>
      </c>
      <c r="I276" s="161"/>
      <c r="J276" s="99" t="s">
        <v>402</v>
      </c>
      <c r="K276" s="99" t="s">
        <v>39</v>
      </c>
      <c r="L276" s="99" t="s">
        <v>191</v>
      </c>
      <c r="M276" s="16" t="s">
        <v>559</v>
      </c>
      <c r="N276" s="16"/>
      <c r="O276" s="166"/>
      <c r="P276" s="166"/>
      <c r="Q276" s="231" t="str">
        <f t="shared" si="72"/>
        <v>. Speakers SET - Bang &amp; Olufsen</v>
      </c>
      <c r="R276" s="231"/>
      <c r="S276" s="231" t="str">
        <f t="shared" si="75"/>
        <v/>
      </c>
      <c r="T276" s="231" t="str">
        <f>IF(O276&lt;&gt;"",_xlfn.XLOOKUP(O276,'3D. Pictures'!B:B,'3D. Pictures'!E:E,"NOT FOUND",0,1),"")</f>
        <v/>
      </c>
      <c r="U276" s="16"/>
      <c r="V276" s="16"/>
      <c r="W276" s="16"/>
      <c r="X276" s="16"/>
      <c r="Y276" s="201"/>
      <c r="Z276" s="16"/>
      <c r="AA276" s="99" t="s">
        <v>2619</v>
      </c>
      <c r="AB276" s="99" t="s">
        <v>2619</v>
      </c>
      <c r="AC276" s="360" t="str">
        <f t="shared" si="74"/>
        <v>KEEP Harman or Bang &amp; Olufsen, TOSS BMW Branded</v>
      </c>
      <c r="AD276" s="99"/>
      <c r="AE276" s="99" t="s">
        <v>2617</v>
      </c>
      <c r="AF276" s="168" t="s">
        <v>543</v>
      </c>
      <c r="AG276" s="99"/>
      <c r="AH276" s="364" t="s">
        <v>2616</v>
      </c>
      <c r="AI276" s="380" t="str">
        <f t="shared" si="76"/>
        <v>Check</v>
      </c>
      <c r="AJ276" s="3" t="s">
        <v>408</v>
      </c>
      <c r="AK276" s="3" t="s">
        <v>425</v>
      </c>
      <c r="AL276" s="3" t="s">
        <v>2175</v>
      </c>
      <c r="AM276" s="138" t="s">
        <v>533</v>
      </c>
      <c r="AX276" s="279" t="str">
        <f t="shared" si="67"/>
        <v/>
      </c>
    </row>
    <row r="277" spans="1:50" ht="15.75" thickBot="1" x14ac:dyDescent="0.3">
      <c r="A277" s="190" t="str">
        <f t="shared" si="70"/>
        <v/>
      </c>
      <c r="B277" s="279" t="str">
        <f t="shared" si="77"/>
        <v/>
      </c>
      <c r="C277" s="279"/>
      <c r="D277" s="279"/>
      <c r="E277" s="279" t="str">
        <f t="shared" si="71"/>
        <v/>
      </c>
      <c r="F277" t="s">
        <v>536</v>
      </c>
      <c r="G277" s="188">
        <v>45013</v>
      </c>
      <c r="H277" s="351"/>
      <c r="I277" s="351"/>
      <c r="J277" s="172" t="s">
        <v>405</v>
      </c>
      <c r="K277" s="172" t="s">
        <v>39</v>
      </c>
      <c r="L277" s="172" t="s">
        <v>191</v>
      </c>
      <c r="M277" s="172" t="s">
        <v>559</v>
      </c>
      <c r="N277" s="172"/>
      <c r="O277" s="352"/>
      <c r="P277" s="352"/>
      <c r="Q277" s="353" t="str">
        <f t="shared" si="72"/>
        <v>. Speakers - BMW Branded Ones</v>
      </c>
      <c r="R277" s="353"/>
      <c r="S277" s="353" t="str">
        <f t="shared" si="75"/>
        <v/>
      </c>
      <c r="T277" s="353" t="str">
        <f>IF(O277&lt;&gt;"",_xlfn.XLOOKUP(O277,'3D. Pictures'!B:B,'3D. Pictures'!E:E,"NOT FOUND",0,1),"")</f>
        <v/>
      </c>
      <c r="U277" s="172"/>
      <c r="V277" s="172"/>
      <c r="W277" s="172"/>
      <c r="X277" s="172"/>
      <c r="Y277" s="226"/>
      <c r="Z277" s="172"/>
      <c r="AA277" s="172" t="s">
        <v>2615</v>
      </c>
      <c r="AB277" s="172" t="s">
        <v>2615</v>
      </c>
      <c r="AC277" s="361" t="str">
        <f t="shared" si="74"/>
        <v>TOSS BMW Branded Ones | KEEP Harman or Bang</v>
      </c>
      <c r="AD277" s="172" t="s">
        <v>2796</v>
      </c>
      <c r="AE277" s="172" t="s">
        <v>2797</v>
      </c>
      <c r="AF277" s="172" t="s">
        <v>543</v>
      </c>
      <c r="AG277" s="172"/>
      <c r="AH277" s="368"/>
      <c r="AI277" s="380" t="str">
        <f t="shared" si="76"/>
        <v/>
      </c>
      <c r="AJ277" s="3" t="s">
        <v>408</v>
      </c>
      <c r="AK277" s="3" t="s">
        <v>425</v>
      </c>
      <c r="AL277" s="3" t="s">
        <v>2175</v>
      </c>
      <c r="AM277" s="138" t="s">
        <v>533</v>
      </c>
      <c r="AX277" s="279" t="str">
        <f t="shared" si="67"/>
        <v/>
      </c>
    </row>
    <row r="278" spans="1:50" ht="15.75" thickBot="1" x14ac:dyDescent="0.3">
      <c r="A278" s="190" t="str">
        <f t="shared" si="70"/>
        <v>A110</v>
      </c>
      <c r="B278" s="279" t="str">
        <f t="shared" si="77"/>
        <v/>
      </c>
      <c r="C278" s="279"/>
      <c r="D278" s="279"/>
      <c r="E278" s="279" t="str">
        <f t="shared" si="71"/>
        <v/>
      </c>
      <c r="F278" s="241" t="s">
        <v>535</v>
      </c>
      <c r="G278" s="242">
        <v>44670</v>
      </c>
      <c r="H278" s="275"/>
      <c r="I278" s="249" t="s">
        <v>7</v>
      </c>
      <c r="J278" s="179" t="s">
        <v>402</v>
      </c>
      <c r="K278" s="179" t="s">
        <v>39</v>
      </c>
      <c r="L278" s="179" t="s">
        <v>2703</v>
      </c>
      <c r="M278" s="243" t="s">
        <v>559</v>
      </c>
      <c r="N278" s="243">
        <v>100</v>
      </c>
      <c r="O278" s="244" t="s">
        <v>1012</v>
      </c>
      <c r="P278" s="244" t="s">
        <v>1307</v>
      </c>
      <c r="Q278" s="231" t="str">
        <f t="shared" si="72"/>
        <v>A110. Trim Set, Entire Vehicle</v>
      </c>
      <c r="R278" s="284" t="str">
        <f>HYPERLINK(VLOOKUP(O278,'3D. Pictures'!$B$3:$E$500,4,FALSE),"PIC")</f>
        <v>PIC</v>
      </c>
      <c r="S278" s="373" t="str">
        <f t="shared" si="75"/>
        <v>E.G.</v>
      </c>
      <c r="T278" s="377" t="str">
        <f>IF(O278&lt;&gt;"",_xlfn.XLOOKUP(O278,'3D. Pictures'!B:B,'3D. Pictures'!E:E,"NOT FOUND",0,1),"")</f>
        <v>https://viking-pictures.s3.us-west-1.amazonaws.com/AA1155/A110.+Trim+Set%2C+Entire+Vehicle+(1).JPG</v>
      </c>
      <c r="U278" s="243">
        <v>20</v>
      </c>
      <c r="V278" s="243" t="s">
        <v>2152</v>
      </c>
      <c r="W278" s="243" t="s">
        <v>112</v>
      </c>
      <c r="X278" s="243" t="s">
        <v>2463</v>
      </c>
      <c r="Y278" s="201"/>
      <c r="Z278" s="243"/>
      <c r="AA278" s="179" t="s">
        <v>335</v>
      </c>
      <c r="AB278" s="179" t="s">
        <v>335</v>
      </c>
      <c r="AC278" s="247" t="str">
        <f t="shared" si="74"/>
        <v/>
      </c>
      <c r="AD278" s="179"/>
      <c r="AE278" s="179"/>
      <c r="AF278" s="179" t="s">
        <v>542</v>
      </c>
      <c r="AG278" s="179"/>
      <c r="AH278" s="168">
        <v>495</v>
      </c>
      <c r="AI278" s="380">
        <f t="shared" si="76"/>
        <v>495</v>
      </c>
      <c r="AJ278" s="246" t="s">
        <v>408</v>
      </c>
      <c r="AK278" s="246" t="s">
        <v>425</v>
      </c>
      <c r="AL278" s="246" t="s">
        <v>2175</v>
      </c>
      <c r="AM278" s="245"/>
      <c r="AN278" s="241"/>
      <c r="AO278" s="241"/>
      <c r="AP278" s="241"/>
      <c r="AQ278" s="241"/>
      <c r="AR278" s="241"/>
      <c r="AS278" s="241" t="s">
        <v>1028</v>
      </c>
      <c r="AT278" s="241" t="s">
        <v>1029</v>
      </c>
      <c r="AU278" s="241" t="s">
        <v>1030</v>
      </c>
      <c r="AV278" s="303" t="str">
        <f t="shared" ref="AV278" si="78">CONCATENATE(AS278,"-",AT278,"-",AU278)</f>
        <v>F15-14-18-ALL</v>
      </c>
      <c r="AW278" s="241" t="s">
        <v>2409</v>
      </c>
      <c r="AX278" s="279" t="str">
        <f t="shared" si="67"/>
        <v>F15-14-18-ALL-Viking43</v>
      </c>
    </row>
    <row r="279" spans="1:50" ht="15.75" thickBot="1" x14ac:dyDescent="0.3">
      <c r="A279" s="190" t="str">
        <f t="shared" si="70"/>
        <v/>
      </c>
      <c r="B279" s="279" t="str">
        <f t="shared" si="77"/>
        <v/>
      </c>
      <c r="C279" s="279"/>
      <c r="D279" s="279"/>
      <c r="E279" s="279" t="str">
        <f t="shared" si="71"/>
        <v/>
      </c>
      <c r="F279" t="s">
        <v>535</v>
      </c>
      <c r="G279" s="188">
        <v>44671</v>
      </c>
      <c r="H279" s="157"/>
      <c r="I279" s="174"/>
      <c r="J279" s="10" t="s">
        <v>405</v>
      </c>
      <c r="K279" s="10" t="s">
        <v>39</v>
      </c>
      <c r="L279" s="10" t="s">
        <v>686</v>
      </c>
      <c r="M279" s="170" t="s">
        <v>558</v>
      </c>
      <c r="N279" s="170"/>
      <c r="O279" s="237"/>
      <c r="P279" s="237"/>
      <c r="Q279" s="231" t="str">
        <f t="shared" si="72"/>
        <v>. Airbag, SEATS</v>
      </c>
      <c r="R279" s="231"/>
      <c r="S279" s="231" t="str">
        <f t="shared" si="75"/>
        <v/>
      </c>
      <c r="T279" s="231" t="str">
        <f>IF(O279&lt;&gt;"",_xlfn.XLOOKUP(O279,'3D. Pictures'!B:B,'3D. Pictures'!E:E,"NOT FOUND",0,1),"")</f>
        <v/>
      </c>
      <c r="U279" s="170"/>
      <c r="V279" s="168"/>
      <c r="W279" s="170"/>
      <c r="X279" s="168"/>
      <c r="Y279" s="201"/>
      <c r="Z279" s="168"/>
      <c r="AA279" s="10" t="s">
        <v>2621</v>
      </c>
      <c r="AB279" s="10" t="s">
        <v>2621</v>
      </c>
      <c r="AC279" s="359" t="str">
        <f t="shared" si="74"/>
        <v>TOSS BOTH | keep in seat cushions if selling those</v>
      </c>
      <c r="AD279" s="10" t="s">
        <v>2544</v>
      </c>
      <c r="AE279" s="10" t="s">
        <v>2620</v>
      </c>
      <c r="AF279" s="168" t="s">
        <v>543</v>
      </c>
      <c r="AG279" s="10"/>
      <c r="AH279" s="10"/>
      <c r="AI279" s="380" t="str">
        <f t="shared" si="76"/>
        <v/>
      </c>
      <c r="AJ279" s="3" t="s">
        <v>408</v>
      </c>
      <c r="AK279" s="3" t="s">
        <v>425</v>
      </c>
      <c r="AL279" s="3" t="s">
        <v>2175</v>
      </c>
      <c r="AO279" t="s">
        <v>572</v>
      </c>
      <c r="AX279" s="279" t="str">
        <f t="shared" si="67"/>
        <v/>
      </c>
    </row>
    <row r="280" spans="1:50" ht="15.75" thickBot="1" x14ac:dyDescent="0.3">
      <c r="A280" s="190" t="str">
        <f t="shared" si="70"/>
        <v>A66</v>
      </c>
      <c r="B280" s="279" t="str">
        <f t="shared" si="77"/>
        <v>210-53562</v>
      </c>
      <c r="C280" s="279" t="s">
        <v>2125</v>
      </c>
      <c r="D280" s="279"/>
      <c r="E280" s="279">
        <f t="shared" si="71"/>
        <v>2</v>
      </c>
      <c r="F280" s="190" t="s">
        <v>535</v>
      </c>
      <c r="G280" s="198">
        <v>44673</v>
      </c>
      <c r="H280" s="209"/>
      <c r="I280" s="205"/>
      <c r="J280" s="205" t="s">
        <v>402</v>
      </c>
      <c r="K280" s="205" t="s">
        <v>2767</v>
      </c>
      <c r="L280" s="205" t="s">
        <v>863</v>
      </c>
      <c r="M280" s="200" t="s">
        <v>558</v>
      </c>
      <c r="N280" s="200">
        <v>56</v>
      </c>
      <c r="O280" s="230" t="s">
        <v>968</v>
      </c>
      <c r="P280" s="230" t="s">
        <v>1204</v>
      </c>
      <c r="Q280" s="231" t="str">
        <f t="shared" si="72"/>
        <v>A66. Seatbelt Buckle, FRONT - LEFT</v>
      </c>
      <c r="R280" s="284" t="str">
        <f>HYPERLINK(VLOOKUP(O280,'3D. Pictures'!$B$3:$E$500,4,FALSE),"PIC")</f>
        <v>PIC</v>
      </c>
      <c r="S280" s="373" t="str">
        <f t="shared" si="75"/>
        <v>E.G.</v>
      </c>
      <c r="T280" s="377" t="str">
        <f>IF(O280&lt;&gt;"",_xlfn.XLOOKUP(O280,'3D. Pictures'!B:B,'3D. Pictures'!E:E,"NOT FOUND",0,1),"")</f>
        <v>https://viking-pictures.s3.us-west-1.amazonaws.com/AA1155/A66.+Seatbelt+Buckle%2C+FRONT+-+LEFT+(1).JPG</v>
      </c>
      <c r="U280" s="200">
        <v>4</v>
      </c>
      <c r="V280" s="201" t="s">
        <v>1240</v>
      </c>
      <c r="W280" s="200" t="s">
        <v>111</v>
      </c>
      <c r="X280" s="201"/>
      <c r="Y280" s="201"/>
      <c r="Z280" s="192"/>
      <c r="AA280" s="205" t="s">
        <v>1247</v>
      </c>
      <c r="AB280" s="205" t="s">
        <v>1247</v>
      </c>
      <c r="AC280" s="358" t="str">
        <f t="shared" si="74"/>
        <v/>
      </c>
      <c r="AD280" s="205"/>
      <c r="AE280" s="205"/>
      <c r="AF280" s="201" t="s">
        <v>543</v>
      </c>
      <c r="AG280" s="205" t="s">
        <v>862</v>
      </c>
      <c r="AH280" s="18">
        <v>80</v>
      </c>
      <c r="AI280" s="380">
        <f t="shared" si="76"/>
        <v>80</v>
      </c>
      <c r="AJ280" s="204" t="s">
        <v>408</v>
      </c>
      <c r="AK280" s="204" t="s">
        <v>425</v>
      </c>
      <c r="AL280" s="204" t="s">
        <v>2175</v>
      </c>
      <c r="AM280" s="190"/>
      <c r="AN280" s="191" t="s">
        <v>643</v>
      </c>
      <c r="AO280" s="190" t="s">
        <v>572</v>
      </c>
      <c r="AP280" s="190">
        <v>53562</v>
      </c>
      <c r="AQ280" s="190" t="str">
        <f>CONCATENATE(AN280,AO280,AP280)</f>
        <v>210-53562</v>
      </c>
      <c r="AR280" s="190"/>
      <c r="AS280" s="190"/>
      <c r="AT280" s="190"/>
      <c r="AU280" s="190"/>
      <c r="AV280" s="190"/>
      <c r="AW280" s="190"/>
      <c r="AX280" s="279" t="str">
        <f t="shared" si="67"/>
        <v/>
      </c>
    </row>
    <row r="281" spans="1:50" ht="15.75" thickBot="1" x14ac:dyDescent="0.3">
      <c r="A281" s="190" t="str">
        <f t="shared" si="70"/>
        <v/>
      </c>
      <c r="B281" s="279" t="str">
        <f t="shared" si="77"/>
        <v>210-53851</v>
      </c>
      <c r="C281" s="279"/>
      <c r="D281" s="279"/>
      <c r="E281" s="279">
        <f t="shared" si="71"/>
        <v>1</v>
      </c>
      <c r="F281" s="190" t="s">
        <v>535</v>
      </c>
      <c r="G281" s="198">
        <v>44673</v>
      </c>
      <c r="H281" s="209"/>
      <c r="I281" s="205"/>
      <c r="J281" s="205" t="s">
        <v>402</v>
      </c>
      <c r="K281" s="205" t="s">
        <v>2767</v>
      </c>
      <c r="L281" s="205" t="s">
        <v>859</v>
      </c>
      <c r="M281" s="200" t="s">
        <v>558</v>
      </c>
      <c r="N281" s="200"/>
      <c r="O281" s="230"/>
      <c r="P281" s="230"/>
      <c r="Q281" s="231" t="str">
        <f t="shared" si="72"/>
        <v>. Seatbelt Retractor, FRONT - LEFT</v>
      </c>
      <c r="R281" s="231"/>
      <c r="S281" s="231" t="str">
        <f t="shared" si="75"/>
        <v/>
      </c>
      <c r="T281" s="231" t="str">
        <f>IF(O281&lt;&gt;"",_xlfn.XLOOKUP(O281,'3D. Pictures'!B:B,'3D. Pictures'!E:E,"NOT FOUND",0,1),"")</f>
        <v/>
      </c>
      <c r="U281" s="200"/>
      <c r="V281" s="201"/>
      <c r="W281" s="200"/>
      <c r="X281" s="201"/>
      <c r="Y281" s="201"/>
      <c r="Z281" s="192" t="s">
        <v>2077</v>
      </c>
      <c r="AA281" s="205" t="s">
        <v>1244</v>
      </c>
      <c r="AB281" s="205" t="s">
        <v>1244</v>
      </c>
      <c r="AC281" s="358" t="str">
        <f t="shared" si="74"/>
        <v>remove from &amp; toss pillar</v>
      </c>
      <c r="AD281" s="205" t="s">
        <v>858</v>
      </c>
      <c r="AE281" s="205"/>
      <c r="AF281" s="201" t="s">
        <v>543</v>
      </c>
      <c r="AG281" s="205"/>
      <c r="AH281" s="16">
        <v>250</v>
      </c>
      <c r="AI281" s="380">
        <f t="shared" si="76"/>
        <v>250</v>
      </c>
      <c r="AJ281" s="204" t="s">
        <v>408</v>
      </c>
      <c r="AK281" s="204" t="s">
        <v>425</v>
      </c>
      <c r="AL281" s="204" t="s">
        <v>2175</v>
      </c>
      <c r="AM281" s="190"/>
      <c r="AN281" s="191" t="s">
        <v>643</v>
      </c>
      <c r="AO281" s="190" t="s">
        <v>572</v>
      </c>
      <c r="AP281" s="190">
        <v>53851</v>
      </c>
      <c r="AQ281" s="190" t="str">
        <f>CONCATENATE(AN281,AO281,AP281)</f>
        <v>210-53851</v>
      </c>
      <c r="AR281" s="190" t="s">
        <v>860</v>
      </c>
      <c r="AS281" s="190"/>
      <c r="AT281" s="190"/>
      <c r="AU281" s="190"/>
      <c r="AV281" s="190"/>
      <c r="AW281" s="190"/>
      <c r="AX281" s="279" t="str">
        <f t="shared" si="67"/>
        <v/>
      </c>
    </row>
    <row r="282" spans="1:50" ht="15.75" thickBot="1" x14ac:dyDescent="0.3">
      <c r="A282" s="190" t="str">
        <f t="shared" si="70"/>
        <v>A70</v>
      </c>
      <c r="B282" s="279" t="str">
        <f t="shared" si="77"/>
        <v/>
      </c>
      <c r="C282" s="279"/>
      <c r="D282" s="279"/>
      <c r="E282" s="279" t="str">
        <f t="shared" si="71"/>
        <v/>
      </c>
      <c r="F282" s="241" t="s">
        <v>535</v>
      </c>
      <c r="G282" s="242">
        <v>44673</v>
      </c>
      <c r="H282" s="264"/>
      <c r="I282" s="243"/>
      <c r="J282" s="243" t="s">
        <v>402</v>
      </c>
      <c r="K282" s="243" t="s">
        <v>2768</v>
      </c>
      <c r="L282" s="243" t="s">
        <v>863</v>
      </c>
      <c r="M282" s="243" t="s">
        <v>559</v>
      </c>
      <c r="N282" s="243">
        <v>60</v>
      </c>
      <c r="O282" s="244" t="s">
        <v>972</v>
      </c>
      <c r="P282" s="244" t="s">
        <v>1204</v>
      </c>
      <c r="Q282" s="231" t="str">
        <f t="shared" si="72"/>
        <v>A70. Seatbelt, Buckles REAR 2ND ROW - SET 3</v>
      </c>
      <c r="R282" s="284" t="str">
        <f>HYPERLINK(VLOOKUP(O282,'3D. Pictures'!$B$3:$E$500,4,FALSE),"PIC")</f>
        <v>PIC</v>
      </c>
      <c r="S282" s="373" t="str">
        <f t="shared" si="75"/>
        <v>E.G.</v>
      </c>
      <c r="T282" s="377" t="str">
        <f>IF(O282&lt;&gt;"",_xlfn.XLOOKUP(O282,'3D. Pictures'!B:B,'3D. Pictures'!E:E,"NOT FOUND",0,1),"")</f>
        <v>https://viking-pictures.s3.us-west-1.amazonaws.com/AA1155/A70.+Seatbelt%2C+Buckles+REAR+2ND+ROW+-+SET+3+(1).JPG</v>
      </c>
      <c r="U282" s="243">
        <v>3</v>
      </c>
      <c r="V282" s="243" t="s">
        <v>2162</v>
      </c>
      <c r="W282" s="243" t="s">
        <v>111</v>
      </c>
      <c r="X282" s="243"/>
      <c r="Y282" s="201"/>
      <c r="Z282" s="243"/>
      <c r="AA282" s="243" t="s">
        <v>2147</v>
      </c>
      <c r="AB282" s="243" t="s">
        <v>2147</v>
      </c>
      <c r="AC282" s="358" t="str">
        <f t="shared" si="74"/>
        <v/>
      </c>
      <c r="AD282" s="243"/>
      <c r="AE282" s="243"/>
      <c r="AF282" s="179" t="s">
        <v>548</v>
      </c>
      <c r="AG282" s="243"/>
      <c r="AH282" s="16">
        <v>80</v>
      </c>
      <c r="AI282" s="380">
        <f t="shared" si="76"/>
        <v>80</v>
      </c>
      <c r="AJ282" s="246" t="s">
        <v>408</v>
      </c>
      <c r="AK282" s="246" t="s">
        <v>425</v>
      </c>
      <c r="AL282" s="246" t="s">
        <v>2175</v>
      </c>
      <c r="AM282" s="241"/>
      <c r="AN282" s="241"/>
      <c r="AO282" s="241"/>
      <c r="AP282" s="241"/>
      <c r="AQ282" s="241"/>
      <c r="AR282" s="241"/>
      <c r="AS282" s="241" t="s">
        <v>1028</v>
      </c>
      <c r="AT282" s="241" t="s">
        <v>1029</v>
      </c>
      <c r="AU282" s="241" t="s">
        <v>1030</v>
      </c>
      <c r="AV282" s="303" t="str">
        <f t="shared" ref="AV282:AV283" si="79">CONCATENATE(AS282,"-",AT282,"-",AU282)</f>
        <v>F15-14-18-ALL</v>
      </c>
      <c r="AW282" s="241" t="s">
        <v>2410</v>
      </c>
      <c r="AX282" s="279" t="str">
        <f t="shared" si="67"/>
        <v>F15-14-18-ALL-Viking44</v>
      </c>
    </row>
    <row r="283" spans="1:50" ht="15.75" thickBot="1" x14ac:dyDescent="0.3">
      <c r="A283" s="190" t="str">
        <f t="shared" si="70"/>
        <v>A68</v>
      </c>
      <c r="B283" s="279" t="str">
        <f t="shared" si="77"/>
        <v/>
      </c>
      <c r="C283" s="279"/>
      <c r="D283" s="279"/>
      <c r="E283" s="279" t="str">
        <f t="shared" si="71"/>
        <v/>
      </c>
      <c r="F283" s="241" t="s">
        <v>535</v>
      </c>
      <c r="G283" s="242">
        <v>44673</v>
      </c>
      <c r="H283" s="264"/>
      <c r="I283" s="243"/>
      <c r="J283" s="243" t="s">
        <v>402</v>
      </c>
      <c r="K283" s="243" t="s">
        <v>2768</v>
      </c>
      <c r="L283" s="243" t="s">
        <v>859</v>
      </c>
      <c r="M283" s="243" t="s">
        <v>559</v>
      </c>
      <c r="N283" s="243">
        <v>58</v>
      </c>
      <c r="O283" s="244" t="s">
        <v>970</v>
      </c>
      <c r="P283" s="244" t="s">
        <v>1204</v>
      </c>
      <c r="Q283" s="231" t="str">
        <f t="shared" si="72"/>
        <v>A68. Seatbelt, Retractors REAR 2nd ROW - LEFT &amp; RIGHT SET 2</v>
      </c>
      <c r="R283" s="284" t="str">
        <f>HYPERLINK(VLOOKUP(O283,'3D. Pictures'!$B$3:$E$500,4,FALSE),"PIC")</f>
        <v>PIC</v>
      </c>
      <c r="S283" s="373" t="str">
        <f t="shared" si="75"/>
        <v>E.G.</v>
      </c>
      <c r="T283" s="377" t="str">
        <f>IF(O283&lt;&gt;"",_xlfn.XLOOKUP(O283,'3D. Pictures'!B:B,'3D. Pictures'!E:E,"NOT FOUND",0,1),"")</f>
        <v>https://viking-pictures.s3.us-west-1.amazonaws.com/AA1155/A68.+Seatbelt%2C+Retractors+REAR+2nd+ROW+-+LEFT+%26+RIGHT+SET+2+(1).JPG</v>
      </c>
      <c r="U283" s="243">
        <v>3</v>
      </c>
      <c r="V283" s="243" t="s">
        <v>2161</v>
      </c>
      <c r="W283" s="243" t="s">
        <v>111</v>
      </c>
      <c r="X283" s="243"/>
      <c r="Y283" s="201"/>
      <c r="Z283" s="192" t="s">
        <v>2078</v>
      </c>
      <c r="AA283" s="243" t="s">
        <v>2501</v>
      </c>
      <c r="AB283" s="243" t="s">
        <v>2501</v>
      </c>
      <c r="AC283" s="358" t="str">
        <f t="shared" si="74"/>
        <v>skip middle (it has to be cut out)</v>
      </c>
      <c r="AD283" s="243" t="s">
        <v>1248</v>
      </c>
      <c r="AE283" s="243"/>
      <c r="AF283" s="179" t="s">
        <v>544</v>
      </c>
      <c r="AG283" s="243"/>
      <c r="AH283" s="16">
        <v>100</v>
      </c>
      <c r="AI283" s="380">
        <f t="shared" si="76"/>
        <v>100</v>
      </c>
      <c r="AJ283" s="246" t="s">
        <v>408</v>
      </c>
      <c r="AK283" s="246" t="s">
        <v>425</v>
      </c>
      <c r="AL283" s="246" t="s">
        <v>2175</v>
      </c>
      <c r="AM283" s="241"/>
      <c r="AN283" s="241"/>
      <c r="AO283" s="241"/>
      <c r="AP283" s="241"/>
      <c r="AQ283" s="241"/>
      <c r="AR283" s="241"/>
      <c r="AS283" s="241" t="s">
        <v>1028</v>
      </c>
      <c r="AT283" s="241" t="s">
        <v>1029</v>
      </c>
      <c r="AU283" s="241" t="s">
        <v>1030</v>
      </c>
      <c r="AV283" s="303" t="str">
        <f t="shared" si="79"/>
        <v>F15-14-18-ALL</v>
      </c>
      <c r="AW283" s="241" t="s">
        <v>2411</v>
      </c>
      <c r="AX283" s="279" t="str">
        <f t="shared" si="67"/>
        <v>F15-14-18-ALL-Viking45</v>
      </c>
    </row>
    <row r="284" spans="1:50" ht="15.75" thickBot="1" x14ac:dyDescent="0.3">
      <c r="A284" s="190" t="str">
        <f t="shared" si="70"/>
        <v>A60</v>
      </c>
      <c r="B284" s="279" t="str">
        <f t="shared" si="77"/>
        <v>210-53562</v>
      </c>
      <c r="C284" s="279" t="s">
        <v>2126</v>
      </c>
      <c r="D284" s="279"/>
      <c r="E284" s="279">
        <f t="shared" si="71"/>
        <v>2</v>
      </c>
      <c r="F284" s="190" t="s">
        <v>535</v>
      </c>
      <c r="G284" s="198">
        <v>44673</v>
      </c>
      <c r="H284" s="209"/>
      <c r="I284" s="205"/>
      <c r="J284" s="205" t="s">
        <v>402</v>
      </c>
      <c r="K284" s="205" t="s">
        <v>2769</v>
      </c>
      <c r="L284" s="205" t="s">
        <v>863</v>
      </c>
      <c r="M284" s="200" t="s">
        <v>558</v>
      </c>
      <c r="N284" s="200">
        <v>50</v>
      </c>
      <c r="O284" s="230" t="s">
        <v>962</v>
      </c>
      <c r="P284" s="230" t="s">
        <v>1204</v>
      </c>
      <c r="Q284" s="231" t="str">
        <f t="shared" si="72"/>
        <v>A60. Seatbelt Buckle, FRONT - RIGHT</v>
      </c>
      <c r="R284" s="284" t="str">
        <f>HYPERLINK(VLOOKUP(O284,'3D. Pictures'!$B$3:$E$500,4,FALSE),"PIC")</f>
        <v>PIC</v>
      </c>
      <c r="S284" s="373" t="str">
        <f t="shared" si="75"/>
        <v>E.G.</v>
      </c>
      <c r="T284" s="377" t="str">
        <f>IF(O284&lt;&gt;"",_xlfn.XLOOKUP(O284,'3D. Pictures'!B:B,'3D. Pictures'!E:E,"NOT FOUND",0,1),"")</f>
        <v>https://viking-pictures.s3.us-west-1.amazonaws.com/AA1155/A60.+Seatbelt+Buckle%2C+FRONT+-+RIGHT+(1).JPG</v>
      </c>
      <c r="U284" s="200">
        <v>4</v>
      </c>
      <c r="V284" s="201" t="s">
        <v>1240</v>
      </c>
      <c r="W284" s="200" t="s">
        <v>111</v>
      </c>
      <c r="X284" s="201"/>
      <c r="Y284" s="168"/>
      <c r="Z284" s="201"/>
      <c r="AA284" s="205" t="s">
        <v>1246</v>
      </c>
      <c r="AB284" s="205" t="s">
        <v>1246</v>
      </c>
      <c r="AC284" s="358" t="str">
        <f t="shared" si="74"/>
        <v/>
      </c>
      <c r="AD284" s="205"/>
      <c r="AE284" s="205"/>
      <c r="AF284" s="201" t="s">
        <v>543</v>
      </c>
      <c r="AG284" s="205" t="s">
        <v>862</v>
      </c>
      <c r="AH284" s="18">
        <v>80</v>
      </c>
      <c r="AI284" s="380">
        <f t="shared" si="76"/>
        <v>80</v>
      </c>
      <c r="AJ284" s="204" t="s">
        <v>408</v>
      </c>
      <c r="AK284" s="204" t="s">
        <v>425</v>
      </c>
      <c r="AL284" s="204" t="s">
        <v>2175</v>
      </c>
      <c r="AM284" s="190"/>
      <c r="AN284" s="191" t="s">
        <v>643</v>
      </c>
      <c r="AO284" s="190" t="s">
        <v>572</v>
      </c>
      <c r="AP284" s="190">
        <v>53562</v>
      </c>
      <c r="AQ284" s="190" t="str">
        <f>CONCATENATE(AN284,AO284,AP284)</f>
        <v>210-53562</v>
      </c>
      <c r="AR284" s="190"/>
      <c r="AS284" s="190"/>
      <c r="AT284" s="190"/>
      <c r="AU284" s="190"/>
      <c r="AV284" s="190"/>
      <c r="AW284" s="190"/>
      <c r="AX284" s="279" t="str">
        <f t="shared" si="67"/>
        <v/>
      </c>
    </row>
    <row r="285" spans="1:50" ht="15.75" thickBot="1" x14ac:dyDescent="0.3">
      <c r="A285" s="190" t="str">
        <f t="shared" si="70"/>
        <v/>
      </c>
      <c r="B285" s="279" t="str">
        <f t="shared" si="77"/>
        <v>210-53852</v>
      </c>
      <c r="C285" s="279"/>
      <c r="D285" s="279"/>
      <c r="E285" s="279">
        <f t="shared" si="71"/>
        <v>1</v>
      </c>
      <c r="F285" s="190" t="s">
        <v>535</v>
      </c>
      <c r="G285" s="198">
        <v>44673</v>
      </c>
      <c r="H285" s="209"/>
      <c r="I285" s="205"/>
      <c r="J285" s="205" t="s">
        <v>402</v>
      </c>
      <c r="K285" s="205" t="s">
        <v>2769</v>
      </c>
      <c r="L285" s="205" t="s">
        <v>859</v>
      </c>
      <c r="M285" s="200" t="s">
        <v>558</v>
      </c>
      <c r="N285" s="200"/>
      <c r="O285" s="230"/>
      <c r="P285" s="230"/>
      <c r="Q285" s="231" t="str">
        <f t="shared" si="72"/>
        <v>. Seatbelt Retractor, FRONT - RIGHT</v>
      </c>
      <c r="R285" s="231"/>
      <c r="S285" s="231" t="str">
        <f t="shared" si="75"/>
        <v/>
      </c>
      <c r="T285" s="231" t="str">
        <f>IF(O285&lt;&gt;"",_xlfn.XLOOKUP(O285,'3D. Pictures'!B:B,'3D. Pictures'!E:E,"NOT FOUND",0,1),"")</f>
        <v/>
      </c>
      <c r="U285" s="200"/>
      <c r="V285" s="201"/>
      <c r="W285" s="200"/>
      <c r="X285" s="201"/>
      <c r="Y285" s="243"/>
      <c r="Z285" s="192" t="s">
        <v>2077</v>
      </c>
      <c r="AA285" s="205" t="s">
        <v>1243</v>
      </c>
      <c r="AB285" s="205" t="s">
        <v>1243</v>
      </c>
      <c r="AC285" s="358" t="str">
        <f t="shared" si="74"/>
        <v>remove from &amp; toss pillar</v>
      </c>
      <c r="AD285" s="205" t="s">
        <v>858</v>
      </c>
      <c r="AE285" s="205"/>
      <c r="AF285" s="201" t="s">
        <v>543</v>
      </c>
      <c r="AG285" s="205"/>
      <c r="AH285" s="16">
        <v>200</v>
      </c>
      <c r="AI285" s="380">
        <f t="shared" si="76"/>
        <v>200</v>
      </c>
      <c r="AJ285" s="204" t="s">
        <v>408</v>
      </c>
      <c r="AK285" s="204" t="s">
        <v>425</v>
      </c>
      <c r="AL285" s="204" t="s">
        <v>2175</v>
      </c>
      <c r="AM285" s="190"/>
      <c r="AN285" s="191" t="s">
        <v>643</v>
      </c>
      <c r="AO285" s="190" t="s">
        <v>572</v>
      </c>
      <c r="AP285" s="190">
        <v>53852</v>
      </c>
      <c r="AQ285" s="190" t="str">
        <f>CONCATENATE(AN285,AO285,AP285)</f>
        <v>210-53852</v>
      </c>
      <c r="AR285" s="190" t="s">
        <v>860</v>
      </c>
      <c r="AS285" s="190"/>
      <c r="AT285" s="190"/>
      <c r="AU285" s="190"/>
      <c r="AV285" s="190"/>
      <c r="AW285" s="190"/>
      <c r="AX285" s="279" t="str">
        <f t="shared" si="67"/>
        <v/>
      </c>
    </row>
    <row r="286" spans="1:50" ht="15.75" thickBot="1" x14ac:dyDescent="0.3">
      <c r="A286" s="190" t="str">
        <f t="shared" si="70"/>
        <v>A82</v>
      </c>
      <c r="B286" s="279" t="str">
        <f t="shared" si="77"/>
        <v/>
      </c>
      <c r="C286" s="279"/>
      <c r="D286" s="279"/>
      <c r="E286" s="279" t="str">
        <f t="shared" si="71"/>
        <v/>
      </c>
      <c r="F286" s="241" t="s">
        <v>535</v>
      </c>
      <c r="G286" s="242">
        <v>44673</v>
      </c>
      <c r="H286" s="265"/>
      <c r="I286" s="249" t="s">
        <v>7</v>
      </c>
      <c r="J286" s="179" t="s">
        <v>402</v>
      </c>
      <c r="K286" s="179" t="s">
        <v>2762</v>
      </c>
      <c r="L286" s="179" t="s">
        <v>1274</v>
      </c>
      <c r="M286" s="243" t="s">
        <v>559</v>
      </c>
      <c r="N286" s="243">
        <v>72</v>
      </c>
      <c r="O286" s="244" t="s">
        <v>984</v>
      </c>
      <c r="P286" s="244" t="s">
        <v>1280</v>
      </c>
      <c r="Q286" s="231" t="str">
        <f t="shared" si="72"/>
        <v>A82. Headrest, FRONT - LEFT (ACTIVE)</v>
      </c>
      <c r="R286" s="284" t="str">
        <f>HYPERLINK(VLOOKUP(O286,'3D. Pictures'!$B$3:$E$500,4,FALSE),"PIC")</f>
        <v>PIC</v>
      </c>
      <c r="S286" s="373" t="str">
        <f t="shared" si="75"/>
        <v>E.G.</v>
      </c>
      <c r="T286" s="377" t="str">
        <f>IF(O286&lt;&gt;"",_xlfn.XLOOKUP(O286,'3D. Pictures'!B:B,'3D. Pictures'!E:E,"NOT FOUND",0,1),"")</f>
        <v>https://viking-pictures.s3.us-west-1.amazonaws.com/AA1155/A82.+Headrest%2C+FRONT+-+LEFT+(ACTIVE)+(1).JPG</v>
      </c>
      <c r="U286" s="243">
        <v>6</v>
      </c>
      <c r="V286" s="243" t="s">
        <v>1205</v>
      </c>
      <c r="W286" s="243" t="s">
        <v>111</v>
      </c>
      <c r="X286" s="243"/>
      <c r="Y286" s="243"/>
      <c r="Z286" s="243"/>
      <c r="AA286" s="179" t="s">
        <v>2837</v>
      </c>
      <c r="AB286" s="179" t="s">
        <v>2143</v>
      </c>
      <c r="AC286" s="247" t="str">
        <f t="shared" si="74"/>
        <v>tag as SINGLE</v>
      </c>
      <c r="AD286" s="179" t="s">
        <v>2320</v>
      </c>
      <c r="AE286" s="179"/>
      <c r="AF286" s="179" t="s">
        <v>543</v>
      </c>
      <c r="AG286" s="179"/>
      <c r="AH286" s="168">
        <v>175</v>
      </c>
      <c r="AI286" s="380">
        <f t="shared" si="76"/>
        <v>175</v>
      </c>
      <c r="AJ286" s="246" t="s">
        <v>408</v>
      </c>
      <c r="AK286" s="246" t="s">
        <v>425</v>
      </c>
      <c r="AL286" s="246" t="s">
        <v>2175</v>
      </c>
      <c r="AM286" s="241"/>
      <c r="AN286" s="241"/>
      <c r="AO286" s="241"/>
      <c r="AP286" s="241"/>
      <c r="AQ286" s="241"/>
      <c r="AR286" s="241"/>
      <c r="AS286" s="241" t="s">
        <v>1028</v>
      </c>
      <c r="AT286" s="241" t="s">
        <v>1029</v>
      </c>
      <c r="AU286" s="241" t="s">
        <v>1030</v>
      </c>
      <c r="AV286" s="303" t="str">
        <f t="shared" ref="AV286:AV292" si="80">CONCATENATE(AS286,"-",AT286,"-",AU286)</f>
        <v>F15-14-18-ALL</v>
      </c>
      <c r="AW286" s="241" t="s">
        <v>2412</v>
      </c>
      <c r="AX286" s="279" t="str">
        <f t="shared" si="67"/>
        <v>F15-14-18-ALL-Viking46</v>
      </c>
    </row>
    <row r="287" spans="1:50" ht="15.75" thickBot="1" x14ac:dyDescent="0.3">
      <c r="A287" s="190" t="str">
        <f t="shared" si="70"/>
        <v>A57</v>
      </c>
      <c r="B287" s="279" t="str">
        <f t="shared" si="77"/>
        <v/>
      </c>
      <c r="C287" s="279"/>
      <c r="D287" s="279"/>
      <c r="E287" s="279" t="str">
        <f t="shared" si="71"/>
        <v/>
      </c>
      <c r="F287" s="241" t="s">
        <v>535</v>
      </c>
      <c r="G287" s="242">
        <v>44684</v>
      </c>
      <c r="H287" s="265"/>
      <c r="I287" s="249" t="s">
        <v>7</v>
      </c>
      <c r="J287" s="179" t="s">
        <v>402</v>
      </c>
      <c r="K287" s="179" t="s">
        <v>2762</v>
      </c>
      <c r="L287" s="179" t="s">
        <v>1222</v>
      </c>
      <c r="M287" s="243" t="s">
        <v>559</v>
      </c>
      <c r="N287" s="243">
        <v>47</v>
      </c>
      <c r="O287" s="244" t="s">
        <v>959</v>
      </c>
      <c r="P287" s="244" t="s">
        <v>1204</v>
      </c>
      <c r="Q287" s="231" t="str">
        <f t="shared" si="72"/>
        <v>A57. Seat Adjust Switch, FRONT - LEFT</v>
      </c>
      <c r="R287" s="284" t="str">
        <f>HYPERLINK(VLOOKUP(O287,'3D. Pictures'!$B$3:$E$500,4,FALSE),"PIC")</f>
        <v>PIC</v>
      </c>
      <c r="S287" s="373" t="str">
        <f t="shared" si="75"/>
        <v>E.G.</v>
      </c>
      <c r="T287" s="377" t="str">
        <f>IF(O287&lt;&gt;"",_xlfn.XLOOKUP(O287,'3D. Pictures'!B:B,'3D. Pictures'!E:E,"NOT FOUND",0,1),"")</f>
        <v>https://viking-pictures.s3.us-west-1.amazonaws.com/AA1155/A57.+Seat+Adjust+Switch%2C+FRONT+-+LEFT+(1).JPG</v>
      </c>
      <c r="U287" s="243">
        <v>4</v>
      </c>
      <c r="V287" s="243">
        <v>9347403</v>
      </c>
      <c r="W287" s="243" t="s">
        <v>111</v>
      </c>
      <c r="X287" s="243"/>
      <c r="Y287" s="201"/>
      <c r="Z287" s="192" t="s">
        <v>2078</v>
      </c>
      <c r="AA287" s="179" t="s">
        <v>1221</v>
      </c>
      <c r="AB287" s="179" t="s">
        <v>1221</v>
      </c>
      <c r="AC287" s="247" t="str">
        <f t="shared" si="74"/>
        <v/>
      </c>
      <c r="AD287" s="179"/>
      <c r="AE287" s="179"/>
      <c r="AF287" s="179" t="s">
        <v>543</v>
      </c>
      <c r="AG287" s="179"/>
      <c r="AH287" s="168">
        <v>180</v>
      </c>
      <c r="AI287" s="380">
        <f t="shared" si="76"/>
        <v>180</v>
      </c>
      <c r="AJ287" s="246" t="s">
        <v>408</v>
      </c>
      <c r="AK287" s="246" t="s">
        <v>425</v>
      </c>
      <c r="AL287" s="246" t="s">
        <v>2175</v>
      </c>
      <c r="AM287" s="241"/>
      <c r="AN287" s="241"/>
      <c r="AO287" s="241"/>
      <c r="AP287" s="241"/>
      <c r="AQ287" s="241"/>
      <c r="AR287" s="241"/>
      <c r="AS287" s="241" t="s">
        <v>1028</v>
      </c>
      <c r="AT287" s="241" t="s">
        <v>1029</v>
      </c>
      <c r="AU287" s="241" t="s">
        <v>1030</v>
      </c>
      <c r="AV287" s="303" t="str">
        <f t="shared" si="80"/>
        <v>F15-14-18-ALL</v>
      </c>
      <c r="AW287" s="241" t="s">
        <v>2414</v>
      </c>
      <c r="AX287" s="279" t="str">
        <f t="shared" si="67"/>
        <v>F15-14-18-ALL-Viking48</v>
      </c>
    </row>
    <row r="288" spans="1:50" x14ac:dyDescent="0.25">
      <c r="A288" s="190" t="str">
        <f t="shared" si="70"/>
        <v/>
      </c>
      <c r="B288" s="279" t="str">
        <f t="shared" si="77"/>
        <v/>
      </c>
      <c r="C288" s="279"/>
      <c r="D288" s="279"/>
      <c r="E288" s="279" t="str">
        <f t="shared" si="71"/>
        <v/>
      </c>
      <c r="F288" s="241" t="s">
        <v>535</v>
      </c>
      <c r="G288" s="242">
        <v>44673</v>
      </c>
      <c r="H288" s="265"/>
      <c r="I288" s="249" t="s">
        <v>7</v>
      </c>
      <c r="J288" s="179" t="s">
        <v>402</v>
      </c>
      <c r="K288" s="179" t="s">
        <v>2762</v>
      </c>
      <c r="L288" s="179" t="s">
        <v>2704</v>
      </c>
      <c r="M288" s="243" t="s">
        <v>559</v>
      </c>
      <c r="N288" s="243"/>
      <c r="O288" s="244"/>
      <c r="P288" s="244"/>
      <c r="Q288" s="231" t="str">
        <f t="shared" si="72"/>
        <v>. Seat Cushions, FRONT LEFT - LOWER</v>
      </c>
      <c r="R288" s="244"/>
      <c r="S288" s="244" t="str">
        <f t="shared" si="75"/>
        <v/>
      </c>
      <c r="T288" s="244" t="str">
        <f>IF(O288&lt;&gt;"",_xlfn.XLOOKUP(O288,'3D. Pictures'!B:B,'3D. Pictures'!E:E,"NOT FOUND",0,1),"")</f>
        <v/>
      </c>
      <c r="U288" s="243"/>
      <c r="V288" s="243"/>
      <c r="W288" s="243"/>
      <c r="X288" s="243"/>
      <c r="Y288" s="201"/>
      <c r="Z288" s="243"/>
      <c r="AA288" s="179" t="s">
        <v>419</v>
      </c>
      <c r="AB288" s="179" t="s">
        <v>419</v>
      </c>
      <c r="AC288" s="247" t="str">
        <f t="shared" si="74"/>
        <v/>
      </c>
      <c r="AD288" s="179"/>
      <c r="AE288" s="179"/>
      <c r="AF288" s="179" t="s">
        <v>543</v>
      </c>
      <c r="AG288" s="179"/>
      <c r="AH288" s="168">
        <v>250</v>
      </c>
      <c r="AI288" s="380">
        <f t="shared" si="76"/>
        <v>250</v>
      </c>
      <c r="AJ288" s="246" t="s">
        <v>408</v>
      </c>
      <c r="AK288" s="246" t="s">
        <v>425</v>
      </c>
      <c r="AL288" s="246" t="s">
        <v>2175</v>
      </c>
      <c r="AM288" s="241"/>
      <c r="AN288" s="241"/>
      <c r="AO288" s="241"/>
      <c r="AP288" s="241"/>
      <c r="AQ288" s="241"/>
      <c r="AR288" s="241"/>
      <c r="AS288" s="241" t="s">
        <v>1028</v>
      </c>
      <c r="AT288" s="241" t="s">
        <v>1029</v>
      </c>
      <c r="AU288" s="241" t="s">
        <v>1030</v>
      </c>
      <c r="AV288" s="303" t="str">
        <f t="shared" si="80"/>
        <v>F15-14-18-ALL</v>
      </c>
      <c r="AW288" s="241" t="s">
        <v>2415</v>
      </c>
      <c r="AX288" s="279" t="str">
        <f t="shared" si="67"/>
        <v>F15-14-18-ALL-Viking49</v>
      </c>
    </row>
    <row r="289" spans="1:50" ht="15.75" thickBot="1" x14ac:dyDescent="0.3">
      <c r="A289" s="190" t="str">
        <f t="shared" si="70"/>
        <v/>
      </c>
      <c r="B289" s="279" t="str">
        <f t="shared" si="77"/>
        <v/>
      </c>
      <c r="C289" s="279"/>
      <c r="D289" s="279"/>
      <c r="E289" s="279" t="str">
        <f t="shared" si="71"/>
        <v/>
      </c>
      <c r="F289" s="241" t="s">
        <v>535</v>
      </c>
      <c r="G289" s="242">
        <v>44673</v>
      </c>
      <c r="H289" s="265"/>
      <c r="I289" s="249" t="s">
        <v>7</v>
      </c>
      <c r="J289" s="179" t="s">
        <v>402</v>
      </c>
      <c r="K289" s="179" t="s">
        <v>2762</v>
      </c>
      <c r="L289" s="179" t="s">
        <v>2704</v>
      </c>
      <c r="M289" s="243" t="s">
        <v>559</v>
      </c>
      <c r="N289" s="243"/>
      <c r="O289" s="244"/>
      <c r="P289" s="244"/>
      <c r="Q289" s="231" t="str">
        <f t="shared" si="72"/>
        <v>. Seat Cushions, FRONT LEFT - UPPER</v>
      </c>
      <c r="R289" s="244"/>
      <c r="S289" s="244" t="str">
        <f t="shared" si="75"/>
        <v/>
      </c>
      <c r="T289" s="244" t="str">
        <f>IF(O289&lt;&gt;"",_xlfn.XLOOKUP(O289,'3D. Pictures'!B:B,'3D. Pictures'!E:E,"NOT FOUND",0,1),"")</f>
        <v/>
      </c>
      <c r="U289" s="243"/>
      <c r="V289" s="243"/>
      <c r="W289" s="243"/>
      <c r="X289" s="243"/>
      <c r="Y289" s="168"/>
      <c r="Z289" s="243"/>
      <c r="AA289" s="179" t="s">
        <v>420</v>
      </c>
      <c r="AB289" s="179" t="s">
        <v>420</v>
      </c>
      <c r="AC289" s="247" t="str">
        <f t="shared" si="74"/>
        <v/>
      </c>
      <c r="AD289" s="179"/>
      <c r="AE289" s="179"/>
      <c r="AF289" s="179" t="s">
        <v>543</v>
      </c>
      <c r="AG289" s="179"/>
      <c r="AH289" s="168">
        <v>225</v>
      </c>
      <c r="AI289" s="380">
        <f t="shared" si="76"/>
        <v>225</v>
      </c>
      <c r="AJ289" s="246" t="s">
        <v>408</v>
      </c>
      <c r="AK289" s="246" t="s">
        <v>425</v>
      </c>
      <c r="AL289" s="246" t="s">
        <v>2175</v>
      </c>
      <c r="AM289" s="241"/>
      <c r="AN289" s="241"/>
      <c r="AO289" s="241"/>
      <c r="AP289" s="241"/>
      <c r="AQ289" s="241"/>
      <c r="AR289" s="241"/>
      <c r="AS289" s="241" t="s">
        <v>1028</v>
      </c>
      <c r="AT289" s="241" t="s">
        <v>1029</v>
      </c>
      <c r="AU289" s="241" t="s">
        <v>1030</v>
      </c>
      <c r="AV289" s="303" t="str">
        <f t="shared" si="80"/>
        <v>F15-14-18-ALL</v>
      </c>
      <c r="AW289" s="241" t="s">
        <v>2416</v>
      </c>
      <c r="AX289" s="279" t="str">
        <f t="shared" si="67"/>
        <v>F15-14-18-ALL-Viking50</v>
      </c>
    </row>
    <row r="290" spans="1:50" ht="15.75" thickBot="1" x14ac:dyDescent="0.3">
      <c r="A290" s="190" t="str">
        <f t="shared" si="70"/>
        <v>A106</v>
      </c>
      <c r="B290" s="279" t="str">
        <f t="shared" si="77"/>
        <v/>
      </c>
      <c r="C290" s="279"/>
      <c r="D290" s="279"/>
      <c r="E290" s="279" t="str">
        <f t="shared" si="71"/>
        <v/>
      </c>
      <c r="F290" s="241" t="s">
        <v>535</v>
      </c>
      <c r="G290" s="242">
        <v>44673</v>
      </c>
      <c r="H290" s="243"/>
      <c r="I290" s="243"/>
      <c r="J290" s="243" t="s">
        <v>402</v>
      </c>
      <c r="K290" s="179" t="s">
        <v>2762</v>
      </c>
      <c r="L290" s="243" t="s">
        <v>1337</v>
      </c>
      <c r="M290" s="249" t="s">
        <v>558</v>
      </c>
      <c r="N290" s="249">
        <v>96</v>
      </c>
      <c r="O290" s="253" t="s">
        <v>1008</v>
      </c>
      <c r="P290" s="253" t="s">
        <v>1300</v>
      </c>
      <c r="Q290" s="231" t="str">
        <f t="shared" si="72"/>
        <v>A106. Seat Track WITH Motors, FRONT LEFT</v>
      </c>
      <c r="R290" s="284" t="str">
        <f>HYPERLINK(VLOOKUP(O290,'3D. Pictures'!$B$3:$E$500,4,FALSE),"PIC")</f>
        <v>PIC</v>
      </c>
      <c r="S290" s="373" t="str">
        <f t="shared" si="75"/>
        <v>E.G.</v>
      </c>
      <c r="T290" s="377" t="str">
        <f>IF(O290&lt;&gt;"",_xlfn.XLOOKUP(O290,'3D. Pictures'!B:B,'3D. Pictures'!E:E,"NOT FOUND",0,1),"")</f>
        <v>https://viking-pictures.s3.us-west-1.amazonaws.com/AA1155/A106.+Seat+Track+WITH+Motors%2C+FRONT+LEFT+(1).JPG</v>
      </c>
      <c r="U290" s="249">
        <v>9</v>
      </c>
      <c r="V290" s="179" t="s">
        <v>1339</v>
      </c>
      <c r="W290" s="249" t="s">
        <v>112</v>
      </c>
      <c r="X290" s="179"/>
      <c r="Y290" s="168"/>
      <c r="Z290" s="179"/>
      <c r="AA290" s="243" t="s">
        <v>1338</v>
      </c>
      <c r="AB290" s="243" t="s">
        <v>1338</v>
      </c>
      <c r="AC290" s="358" t="str">
        <f t="shared" si="74"/>
        <v>toss all if motors or track bad</v>
      </c>
      <c r="AD290" s="243" t="s">
        <v>1334</v>
      </c>
      <c r="AE290" s="243"/>
      <c r="AF290" s="179" t="s">
        <v>543</v>
      </c>
      <c r="AG290" s="263"/>
      <c r="AH290" s="16">
        <v>325</v>
      </c>
      <c r="AI290" s="380">
        <f t="shared" si="76"/>
        <v>325</v>
      </c>
      <c r="AJ290" s="246" t="s">
        <v>408</v>
      </c>
      <c r="AK290" s="246" t="s">
        <v>425</v>
      </c>
      <c r="AL290" s="246" t="s">
        <v>2175</v>
      </c>
      <c r="AN290" s="251"/>
      <c r="AO290" s="241" t="s">
        <v>572</v>
      </c>
      <c r="AP290" s="241"/>
      <c r="AQ290" s="241"/>
      <c r="AR290" s="241"/>
      <c r="AS290" s="241" t="s">
        <v>1028</v>
      </c>
      <c r="AT290" s="241" t="s">
        <v>1029</v>
      </c>
      <c r="AU290" s="241" t="s">
        <v>1030</v>
      </c>
      <c r="AV290" s="303" t="str">
        <f t="shared" si="80"/>
        <v>F15-14-18-ALL</v>
      </c>
      <c r="AW290" s="241" t="s">
        <v>2417</v>
      </c>
      <c r="AX290" s="279" t="str">
        <f t="shared" si="67"/>
        <v>F15-14-18-ALL-Viking51</v>
      </c>
    </row>
    <row r="291" spans="1:50" ht="15.75" thickBot="1" x14ac:dyDescent="0.3">
      <c r="A291" s="190" t="str">
        <f t="shared" si="70"/>
        <v>A81</v>
      </c>
      <c r="B291" s="279" t="str">
        <f t="shared" si="77"/>
        <v/>
      </c>
      <c r="C291" s="279"/>
      <c r="D291" s="279"/>
      <c r="E291" s="279" t="str">
        <f t="shared" si="71"/>
        <v/>
      </c>
      <c r="F291" s="241" t="s">
        <v>536</v>
      </c>
      <c r="G291" s="242">
        <v>44811</v>
      </c>
      <c r="H291" s="265"/>
      <c r="I291" s="249" t="s">
        <v>7</v>
      </c>
      <c r="J291" s="179" t="s">
        <v>402</v>
      </c>
      <c r="K291" s="267" t="s">
        <v>2761</v>
      </c>
      <c r="L291" s="179" t="s">
        <v>1274</v>
      </c>
      <c r="M291" s="243" t="s">
        <v>559</v>
      </c>
      <c r="N291" s="243">
        <v>71</v>
      </c>
      <c r="O291" s="244" t="s">
        <v>983</v>
      </c>
      <c r="P291" s="244" t="s">
        <v>1280</v>
      </c>
      <c r="Q291" s="231" t="str">
        <f t="shared" si="72"/>
        <v>A81. Headrests, REAR 2nd ROW SET 3</v>
      </c>
      <c r="R291" s="284" t="str">
        <f>HYPERLINK(VLOOKUP(O291,'3D. Pictures'!$B$3:$E$500,4,FALSE),"PIC")</f>
        <v>PIC</v>
      </c>
      <c r="S291" s="373" t="str">
        <f t="shared" si="75"/>
        <v>E.G.</v>
      </c>
      <c r="T291" s="377" t="str">
        <f>IF(O291&lt;&gt;"",_xlfn.XLOOKUP(O291,'3D. Pictures'!B:B,'3D. Pictures'!E:E,"NOT FOUND",0,1),"")</f>
        <v>https://viking-pictures.s3.us-west-1.amazonaws.com/AA1155/A81.+Headrests%2C+REAR+2nd+ROW+SET+3+(1).JPG</v>
      </c>
      <c r="U291" s="243">
        <v>5</v>
      </c>
      <c r="V291" s="243" t="s">
        <v>1205</v>
      </c>
      <c r="W291" s="243" t="s">
        <v>111</v>
      </c>
      <c r="X291" s="243"/>
      <c r="Y291" s="16"/>
      <c r="Z291" s="243"/>
      <c r="AA291" s="179" t="s">
        <v>1275</v>
      </c>
      <c r="AB291" s="179" t="s">
        <v>1275</v>
      </c>
      <c r="AC291" s="247" t="str">
        <f t="shared" si="74"/>
        <v>SET 3, sell SINGLES if some bad</v>
      </c>
      <c r="AD291" s="179" t="s">
        <v>2835</v>
      </c>
      <c r="AE291" s="179"/>
      <c r="AF291" s="179" t="s">
        <v>548</v>
      </c>
      <c r="AG291" s="179"/>
      <c r="AH291" s="168">
        <v>300</v>
      </c>
      <c r="AI291" s="380">
        <f t="shared" si="76"/>
        <v>300</v>
      </c>
      <c r="AJ291" s="246" t="s">
        <v>408</v>
      </c>
      <c r="AK291" s="246" t="s">
        <v>425</v>
      </c>
      <c r="AL291" s="246" t="s">
        <v>2175</v>
      </c>
      <c r="AM291" s="241"/>
      <c r="AN291" s="241"/>
      <c r="AO291" s="241"/>
      <c r="AP291" s="241"/>
      <c r="AQ291" s="241"/>
      <c r="AR291" s="241"/>
      <c r="AS291" s="241" t="s">
        <v>1028</v>
      </c>
      <c r="AT291" s="241" t="s">
        <v>1029</v>
      </c>
      <c r="AU291" s="241" t="s">
        <v>1030</v>
      </c>
      <c r="AV291" s="303" t="str">
        <f t="shared" si="80"/>
        <v>F15-14-18-ALL</v>
      </c>
      <c r="AW291" s="241" t="s">
        <v>2418</v>
      </c>
      <c r="AX291" s="279" t="str">
        <f t="shared" si="67"/>
        <v>F15-14-18-ALL-Viking52</v>
      </c>
    </row>
    <row r="292" spans="1:50" ht="15.75" thickBot="1" x14ac:dyDescent="0.3">
      <c r="A292" s="190" t="str">
        <f t="shared" si="70"/>
        <v>A45</v>
      </c>
      <c r="B292" s="279" t="str">
        <f t="shared" si="77"/>
        <v/>
      </c>
      <c r="C292" s="279"/>
      <c r="D292" s="279"/>
      <c r="E292" s="279" t="str">
        <f t="shared" si="71"/>
        <v/>
      </c>
      <c r="F292" s="241" t="s">
        <v>535</v>
      </c>
      <c r="G292" s="242">
        <v>44680</v>
      </c>
      <c r="H292" s="243"/>
      <c r="I292" s="243"/>
      <c r="J292" s="243" t="s">
        <v>402</v>
      </c>
      <c r="K292" s="244" t="s">
        <v>2761</v>
      </c>
      <c r="L292" s="243" t="s">
        <v>2705</v>
      </c>
      <c r="M292" s="243" t="s">
        <v>559</v>
      </c>
      <c r="N292" s="243">
        <v>35</v>
      </c>
      <c r="O292" s="244" t="s">
        <v>947</v>
      </c>
      <c r="P292" s="244" t="s">
        <v>1204</v>
      </c>
      <c r="Q292" s="231" t="str">
        <f t="shared" si="72"/>
        <v>A45. Rear Arm Rest &amp; Cup Holder</v>
      </c>
      <c r="R292" s="284" t="str">
        <f>HYPERLINK(VLOOKUP(O292,'3D. Pictures'!$B$3:$E$500,4,FALSE),"PIC")</f>
        <v>PIC</v>
      </c>
      <c r="S292" s="373" t="str">
        <f t="shared" si="75"/>
        <v>E.G.</v>
      </c>
      <c r="T292" s="377" t="str">
        <f>IF(O292&lt;&gt;"",_xlfn.XLOOKUP(O292,'3D. Pictures'!B:B,'3D. Pictures'!E:E,"NOT FOUND",0,1),"")</f>
        <v>https://viking-pictures.s3.us-west-1.amazonaws.com/AA1155/A45.+Rear+Arm+Rest+%26+Cup+Holder+(1).JPG</v>
      </c>
      <c r="U292" s="243">
        <v>5</v>
      </c>
      <c r="V292" s="243" t="s">
        <v>1205</v>
      </c>
      <c r="W292" s="243" t="s">
        <v>111</v>
      </c>
      <c r="X292" s="243"/>
      <c r="Y292" s="168"/>
      <c r="Z292" s="243"/>
      <c r="AA292" s="243" t="s">
        <v>2068</v>
      </c>
      <c r="AB292" s="243" t="s">
        <v>2068</v>
      </c>
      <c r="AC292" s="358" t="str">
        <f t="shared" si="74"/>
        <v/>
      </c>
      <c r="AD292" s="243"/>
      <c r="AE292" s="243"/>
      <c r="AF292" s="179" t="s">
        <v>543</v>
      </c>
      <c r="AG292" s="243"/>
      <c r="AH292" s="16">
        <v>175</v>
      </c>
      <c r="AI292" s="380">
        <f t="shared" si="76"/>
        <v>175</v>
      </c>
      <c r="AJ292" s="246" t="s">
        <v>408</v>
      </c>
      <c r="AK292" s="246" t="s">
        <v>425</v>
      </c>
      <c r="AL292" s="246" t="s">
        <v>2175</v>
      </c>
      <c r="AM292" s="241"/>
      <c r="AN292" s="241"/>
      <c r="AO292" s="241"/>
      <c r="AP292" s="241"/>
      <c r="AQ292" s="241"/>
      <c r="AR292" s="241"/>
      <c r="AS292" s="241" t="s">
        <v>1028</v>
      </c>
      <c r="AT292" s="241" t="s">
        <v>1029</v>
      </c>
      <c r="AU292" s="241" t="s">
        <v>1030</v>
      </c>
      <c r="AV292" s="303" t="str">
        <f t="shared" si="80"/>
        <v>F15-14-18-ALL</v>
      </c>
      <c r="AW292" s="241" t="s">
        <v>2422</v>
      </c>
      <c r="AX292" s="279" t="str">
        <f t="shared" si="67"/>
        <v>F15-14-18-ALL-Viking56</v>
      </c>
    </row>
    <row r="293" spans="1:50" ht="15.75" thickBot="1" x14ac:dyDescent="0.3">
      <c r="A293" s="190" t="str">
        <f t="shared" si="70"/>
        <v/>
      </c>
      <c r="B293" s="279" t="str">
        <f t="shared" si="77"/>
        <v/>
      </c>
      <c r="C293" s="279"/>
      <c r="D293" s="279"/>
      <c r="E293" s="279" t="str">
        <f t="shared" si="71"/>
        <v/>
      </c>
      <c r="F293" t="s">
        <v>535</v>
      </c>
      <c r="G293" s="188">
        <v>44673</v>
      </c>
      <c r="H293" s="10"/>
      <c r="I293" s="10"/>
      <c r="J293" s="10" t="s">
        <v>405</v>
      </c>
      <c r="K293" s="10" t="s">
        <v>2761</v>
      </c>
      <c r="L293" s="10" t="s">
        <v>2704</v>
      </c>
      <c r="M293" s="16" t="s">
        <v>559</v>
      </c>
      <c r="N293" s="16"/>
      <c r="O293" s="166"/>
      <c r="P293" s="166"/>
      <c r="Q293" s="231" t="str">
        <f t="shared" si="72"/>
        <v>. Seat Cushions, ALL REAR</v>
      </c>
      <c r="R293" s="231"/>
      <c r="S293" s="231" t="str">
        <f t="shared" si="75"/>
        <v/>
      </c>
      <c r="T293" s="231" t="str">
        <f>IF(O293&lt;&gt;"",_xlfn.XLOOKUP(O293,'3D. Pictures'!B:B,'3D. Pictures'!E:E,"NOT FOUND",0,1),"")</f>
        <v/>
      </c>
      <c r="U293" s="16"/>
      <c r="V293" s="16"/>
      <c r="W293" s="16"/>
      <c r="X293" s="16"/>
      <c r="Y293" s="172"/>
      <c r="Z293" s="16"/>
      <c r="AA293" s="10" t="s">
        <v>2622</v>
      </c>
      <c r="AB293" s="10" t="s">
        <v>2622</v>
      </c>
      <c r="AC293" s="359" t="str">
        <f t="shared" si="74"/>
        <v>toss side bolster cushions, keep cup holder/arm rest</v>
      </c>
      <c r="AD293" s="10" t="s">
        <v>2799</v>
      </c>
      <c r="AE293" s="10"/>
      <c r="AF293" s="168" t="s">
        <v>543</v>
      </c>
      <c r="AG293" s="10"/>
      <c r="AH293" s="10"/>
      <c r="AI293" s="380" t="str">
        <f t="shared" si="76"/>
        <v/>
      </c>
      <c r="AJ293" s="3" t="s">
        <v>408</v>
      </c>
      <c r="AK293" s="3" t="s">
        <v>425</v>
      </c>
      <c r="AL293" s="3" t="s">
        <v>2175</v>
      </c>
      <c r="AX293" s="279" t="str">
        <f t="shared" si="67"/>
        <v/>
      </c>
    </row>
    <row r="294" spans="1:50" ht="15.75" thickBot="1" x14ac:dyDescent="0.3">
      <c r="A294" s="190" t="str">
        <f t="shared" si="70"/>
        <v>A80</v>
      </c>
      <c r="B294" s="279" t="str">
        <f t="shared" si="77"/>
        <v/>
      </c>
      <c r="C294" s="279"/>
      <c r="D294" s="279"/>
      <c r="E294" s="279" t="str">
        <f t="shared" si="71"/>
        <v/>
      </c>
      <c r="F294" s="241" t="s">
        <v>535</v>
      </c>
      <c r="G294" s="242">
        <v>44673</v>
      </c>
      <c r="H294" s="265"/>
      <c r="I294" s="249" t="s">
        <v>7</v>
      </c>
      <c r="J294" s="179" t="s">
        <v>402</v>
      </c>
      <c r="K294" s="179" t="s">
        <v>2763</v>
      </c>
      <c r="L294" s="179" t="s">
        <v>1274</v>
      </c>
      <c r="M294" s="243" t="s">
        <v>559</v>
      </c>
      <c r="N294" s="243">
        <v>70</v>
      </c>
      <c r="O294" s="244" t="s">
        <v>982</v>
      </c>
      <c r="P294" s="244" t="s">
        <v>1280</v>
      </c>
      <c r="Q294" s="231" t="str">
        <f t="shared" si="72"/>
        <v>A80. Headrest, FRONT - RIGHT (ACTIVE)</v>
      </c>
      <c r="R294" s="284" t="str">
        <f>HYPERLINK(VLOOKUP(O294,'3D. Pictures'!$B$3:$E$500,4,FALSE),"PIC")</f>
        <v>PIC</v>
      </c>
      <c r="S294" s="373" t="str">
        <f t="shared" si="75"/>
        <v>E.G.</v>
      </c>
      <c r="T294" s="377" t="str">
        <f>IF(O294&lt;&gt;"",_xlfn.XLOOKUP(O294,'3D. Pictures'!B:B,'3D. Pictures'!E:E,"NOT FOUND",0,1),"")</f>
        <v>https://viking-pictures.s3.us-west-1.amazonaws.com/AA1155/A80.+Headrest%2C+FRONT+-+RIGHT+(ACTIVE)+(1).JPG</v>
      </c>
      <c r="U294" s="243">
        <v>6</v>
      </c>
      <c r="V294" s="243" t="s">
        <v>1205</v>
      </c>
      <c r="W294" s="243" t="s">
        <v>111</v>
      </c>
      <c r="X294" s="243"/>
      <c r="Y294" s="201"/>
      <c r="Z294" s="243"/>
      <c r="AA294" s="179" t="s">
        <v>2836</v>
      </c>
      <c r="AB294" s="179" t="s">
        <v>2146</v>
      </c>
      <c r="AC294" s="247" t="str">
        <f t="shared" si="74"/>
        <v>tag as SINGLE</v>
      </c>
      <c r="AD294" s="179" t="s">
        <v>2320</v>
      </c>
      <c r="AE294" s="179"/>
      <c r="AF294" s="179" t="s">
        <v>543</v>
      </c>
      <c r="AG294" s="179"/>
      <c r="AH294" s="168">
        <v>165</v>
      </c>
      <c r="AI294" s="380">
        <f t="shared" si="76"/>
        <v>165</v>
      </c>
      <c r="AJ294" s="246" t="s">
        <v>408</v>
      </c>
      <c r="AK294" s="246" t="s">
        <v>425</v>
      </c>
      <c r="AL294" s="246" t="s">
        <v>2175</v>
      </c>
      <c r="AM294" s="241"/>
      <c r="AN294" s="241"/>
      <c r="AO294" s="241"/>
      <c r="AP294" s="241"/>
      <c r="AQ294" s="241"/>
      <c r="AR294" s="241"/>
      <c r="AS294" s="241" t="s">
        <v>1028</v>
      </c>
      <c r="AT294" s="241" t="s">
        <v>1029</v>
      </c>
      <c r="AU294" s="241" t="s">
        <v>1030</v>
      </c>
      <c r="AV294" s="303" t="str">
        <f t="shared" ref="AV294:AV298" si="81">CONCATENATE(AS294,"-",AT294,"-",AU294)</f>
        <v>F15-14-18-ALL</v>
      </c>
      <c r="AW294" s="241" t="s">
        <v>2423</v>
      </c>
      <c r="AX294" s="279" t="str">
        <f t="shared" si="67"/>
        <v>F15-14-18-ALL-Viking57</v>
      </c>
    </row>
    <row r="295" spans="1:50" ht="15.75" thickBot="1" x14ac:dyDescent="0.3">
      <c r="A295" s="190" t="str">
        <f t="shared" si="70"/>
        <v>A54</v>
      </c>
      <c r="B295" s="279" t="str">
        <f t="shared" si="77"/>
        <v/>
      </c>
      <c r="C295" s="279"/>
      <c r="D295" s="279"/>
      <c r="E295" s="279" t="str">
        <f t="shared" si="71"/>
        <v/>
      </c>
      <c r="F295" s="241" t="s">
        <v>535</v>
      </c>
      <c r="G295" s="242">
        <v>44684</v>
      </c>
      <c r="H295" s="265"/>
      <c r="I295" s="249" t="s">
        <v>7</v>
      </c>
      <c r="J295" s="179" t="s">
        <v>402</v>
      </c>
      <c r="K295" s="179" t="s">
        <v>2763</v>
      </c>
      <c r="L295" s="179" t="s">
        <v>1222</v>
      </c>
      <c r="M295" s="243" t="s">
        <v>559</v>
      </c>
      <c r="N295" s="243">
        <v>44</v>
      </c>
      <c r="O295" s="244" t="s">
        <v>956</v>
      </c>
      <c r="P295" s="244" t="s">
        <v>1204</v>
      </c>
      <c r="Q295" s="231" t="str">
        <f t="shared" si="72"/>
        <v>A54. Seat Adjust Switch, FRONT - RIGHT</v>
      </c>
      <c r="R295" s="284" t="str">
        <f>HYPERLINK(VLOOKUP(O295,'3D. Pictures'!$B$3:$E$500,4,FALSE),"PIC")</f>
        <v>PIC</v>
      </c>
      <c r="S295" s="373" t="str">
        <f t="shared" si="75"/>
        <v>E.G.</v>
      </c>
      <c r="T295" s="377" t="str">
        <f>IF(O295&lt;&gt;"",_xlfn.XLOOKUP(O295,'3D. Pictures'!B:B,'3D. Pictures'!E:E,"NOT FOUND",0,1),"")</f>
        <v>https://viking-pictures.s3.us-west-1.amazonaws.com/AA1155/A54.+Seat+Adjust+Switch%2C+FRONT+-+RIGHT+(1).JPG</v>
      </c>
      <c r="U295" s="243">
        <v>4</v>
      </c>
      <c r="V295" s="243">
        <v>9276464</v>
      </c>
      <c r="W295" s="243" t="s">
        <v>111</v>
      </c>
      <c r="X295" s="243"/>
      <c r="Y295" s="201"/>
      <c r="Z295" s="192" t="s">
        <v>2078</v>
      </c>
      <c r="AA295" s="179" t="s">
        <v>1223</v>
      </c>
      <c r="AB295" s="179" t="s">
        <v>1223</v>
      </c>
      <c r="AC295" s="247" t="str">
        <f t="shared" si="74"/>
        <v/>
      </c>
      <c r="AD295" s="179"/>
      <c r="AE295" s="179"/>
      <c r="AF295" s="179" t="s">
        <v>543</v>
      </c>
      <c r="AG295" s="179"/>
      <c r="AH295" s="168">
        <v>125</v>
      </c>
      <c r="AI295" s="380">
        <f t="shared" si="76"/>
        <v>125</v>
      </c>
      <c r="AJ295" s="246" t="s">
        <v>408</v>
      </c>
      <c r="AK295" s="246" t="s">
        <v>425</v>
      </c>
      <c r="AL295" s="246" t="s">
        <v>2175</v>
      </c>
      <c r="AM295" s="241"/>
      <c r="AN295" s="241"/>
      <c r="AO295" s="241"/>
      <c r="AP295" s="241"/>
      <c r="AQ295" s="241"/>
      <c r="AR295" s="241"/>
      <c r="AS295" s="241" t="s">
        <v>1028</v>
      </c>
      <c r="AT295" s="241" t="s">
        <v>1029</v>
      </c>
      <c r="AU295" s="241" t="s">
        <v>1030</v>
      </c>
      <c r="AV295" s="303" t="str">
        <f t="shared" si="81"/>
        <v>F15-14-18-ALL</v>
      </c>
      <c r="AW295" s="241" t="s">
        <v>2425</v>
      </c>
      <c r="AX295" s="279" t="str">
        <f t="shared" si="67"/>
        <v>F15-14-18-ALL-Viking59</v>
      </c>
    </row>
    <row r="296" spans="1:50" ht="15.75" thickBot="1" x14ac:dyDescent="0.3">
      <c r="A296" s="190" t="str">
        <f t="shared" si="70"/>
        <v/>
      </c>
      <c r="B296" s="279" t="str">
        <f t="shared" si="77"/>
        <v/>
      </c>
      <c r="C296" s="279"/>
      <c r="D296" s="279"/>
      <c r="E296" s="279" t="str">
        <f t="shared" si="71"/>
        <v/>
      </c>
      <c r="F296" s="241" t="s">
        <v>535</v>
      </c>
      <c r="G296" s="242">
        <v>44673</v>
      </c>
      <c r="H296" s="265"/>
      <c r="I296" s="249" t="s">
        <v>7</v>
      </c>
      <c r="J296" s="179" t="s">
        <v>402</v>
      </c>
      <c r="K296" s="179" t="s">
        <v>2763</v>
      </c>
      <c r="L296" s="179" t="s">
        <v>2704</v>
      </c>
      <c r="M296" s="243" t="s">
        <v>559</v>
      </c>
      <c r="N296" s="243"/>
      <c r="O296" s="244"/>
      <c r="P296" s="244"/>
      <c r="Q296" s="231" t="str">
        <f t="shared" si="72"/>
        <v>. Seat Cushions, FRONT RIGHT - LOWER</v>
      </c>
      <c r="R296" s="244"/>
      <c r="S296" s="244" t="str">
        <f t="shared" si="75"/>
        <v/>
      </c>
      <c r="T296" s="244" t="str">
        <f>IF(O296&lt;&gt;"",_xlfn.XLOOKUP(O296,'3D. Pictures'!B:B,'3D. Pictures'!E:E,"NOT FOUND",0,1),"")</f>
        <v/>
      </c>
      <c r="U296" s="243"/>
      <c r="V296" s="243"/>
      <c r="W296" s="243"/>
      <c r="X296" s="243"/>
      <c r="Y296" s="201"/>
      <c r="Z296" s="243"/>
      <c r="AA296" s="179" t="s">
        <v>422</v>
      </c>
      <c r="AB296" s="179" t="s">
        <v>422</v>
      </c>
      <c r="AC296" s="247" t="str">
        <f t="shared" si="74"/>
        <v/>
      </c>
      <c r="AD296" s="179"/>
      <c r="AE296" s="179"/>
      <c r="AF296" s="179" t="s">
        <v>543</v>
      </c>
      <c r="AG296" s="179"/>
      <c r="AH296" s="168">
        <v>175</v>
      </c>
      <c r="AI296" s="380">
        <f t="shared" si="76"/>
        <v>175</v>
      </c>
      <c r="AJ296" s="246" t="s">
        <v>408</v>
      </c>
      <c r="AK296" s="246" t="s">
        <v>425</v>
      </c>
      <c r="AL296" s="246" t="s">
        <v>2175</v>
      </c>
      <c r="AM296" s="241"/>
      <c r="AN296" s="241"/>
      <c r="AO296" s="241"/>
      <c r="AP296" s="241"/>
      <c r="AQ296" s="241"/>
      <c r="AR296" s="241"/>
      <c r="AS296" s="241" t="s">
        <v>1028</v>
      </c>
      <c r="AT296" s="241" t="s">
        <v>1029</v>
      </c>
      <c r="AU296" s="241" t="s">
        <v>1030</v>
      </c>
      <c r="AV296" s="303" t="str">
        <f t="shared" si="81"/>
        <v>F15-14-18-ALL</v>
      </c>
      <c r="AW296" s="241" t="s">
        <v>2426</v>
      </c>
      <c r="AX296" s="279" t="str">
        <f t="shared" si="67"/>
        <v>F15-14-18-ALL-Viking60</v>
      </c>
    </row>
    <row r="297" spans="1:50" ht="15.75" thickBot="1" x14ac:dyDescent="0.3">
      <c r="A297" s="190" t="str">
        <f t="shared" si="70"/>
        <v>A86</v>
      </c>
      <c r="B297" s="279" t="str">
        <f t="shared" si="77"/>
        <v/>
      </c>
      <c r="C297" s="279"/>
      <c r="D297" s="279"/>
      <c r="E297" s="279" t="str">
        <f t="shared" si="71"/>
        <v/>
      </c>
      <c r="F297" s="241" t="s">
        <v>535</v>
      </c>
      <c r="G297" s="242">
        <v>44673</v>
      </c>
      <c r="H297" s="265"/>
      <c r="I297" s="249" t="s">
        <v>7</v>
      </c>
      <c r="J297" s="179" t="s">
        <v>402</v>
      </c>
      <c r="K297" s="179" t="s">
        <v>2763</v>
      </c>
      <c r="L297" s="179" t="s">
        <v>2704</v>
      </c>
      <c r="M297" s="243" t="s">
        <v>559</v>
      </c>
      <c r="N297" s="243">
        <v>76</v>
      </c>
      <c r="O297" s="244" t="s">
        <v>988</v>
      </c>
      <c r="P297" s="244" t="s">
        <v>1280</v>
      </c>
      <c r="Q297" s="231" t="str">
        <f t="shared" si="72"/>
        <v>A86. Seat Cushions, FRONT RIGHT - UPPER</v>
      </c>
      <c r="R297" s="284" t="str">
        <f>HYPERLINK(VLOOKUP(O297,'3D. Pictures'!$B$3:$E$500,4,FALSE),"PIC")</f>
        <v>PIC</v>
      </c>
      <c r="S297" s="373" t="str">
        <f t="shared" si="75"/>
        <v>E.G.</v>
      </c>
      <c r="T297" s="377" t="str">
        <f>IF(O297&lt;&gt;"",_xlfn.XLOOKUP(O297,'3D. Pictures'!B:B,'3D. Pictures'!E:E,"NOT FOUND",0,1),"")</f>
        <v>https://viking-pictures.s3.us-west-1.amazonaws.com/AA1155/A86.+Seat+Cushions%2C+FRONT+RIGHT+-+UPPER+(1).JPG</v>
      </c>
      <c r="U297" s="243">
        <v>6</v>
      </c>
      <c r="V297" s="243" t="s">
        <v>1205</v>
      </c>
      <c r="W297" s="243" t="s">
        <v>111</v>
      </c>
      <c r="X297" s="243"/>
      <c r="Y297" s="201"/>
      <c r="Z297" s="243"/>
      <c r="AA297" s="179" t="s">
        <v>421</v>
      </c>
      <c r="AB297" s="179" t="s">
        <v>421</v>
      </c>
      <c r="AC297" s="247" t="str">
        <f t="shared" si="74"/>
        <v/>
      </c>
      <c r="AD297" s="179"/>
      <c r="AE297" s="179"/>
      <c r="AF297" s="179" t="s">
        <v>543</v>
      </c>
      <c r="AG297" s="179"/>
      <c r="AH297" s="168">
        <v>175</v>
      </c>
      <c r="AI297" s="380">
        <f t="shared" si="76"/>
        <v>175</v>
      </c>
      <c r="AJ297" s="246" t="s">
        <v>408</v>
      </c>
      <c r="AK297" s="246" t="s">
        <v>425</v>
      </c>
      <c r="AL297" s="246" t="s">
        <v>2175</v>
      </c>
      <c r="AM297" s="241"/>
      <c r="AN297" s="241"/>
      <c r="AO297" s="241"/>
      <c r="AP297" s="241"/>
      <c r="AQ297" s="241"/>
      <c r="AR297" s="241"/>
      <c r="AS297" s="241" t="s">
        <v>1028</v>
      </c>
      <c r="AT297" s="241" t="s">
        <v>1029</v>
      </c>
      <c r="AU297" s="241" t="s">
        <v>1030</v>
      </c>
      <c r="AV297" s="303" t="str">
        <f t="shared" si="81"/>
        <v>F15-14-18-ALL</v>
      </c>
      <c r="AW297" s="241" t="s">
        <v>2427</v>
      </c>
      <c r="AX297" s="279" t="str">
        <f t="shared" si="67"/>
        <v>F15-14-18-ALL-Viking61</v>
      </c>
    </row>
    <row r="298" spans="1:50" ht="15.75" thickBot="1" x14ac:dyDescent="0.3">
      <c r="A298" s="190" t="str">
        <f t="shared" si="70"/>
        <v>A105</v>
      </c>
      <c r="B298" s="279" t="str">
        <f t="shared" si="77"/>
        <v/>
      </c>
      <c r="C298" s="279"/>
      <c r="D298" s="279"/>
      <c r="E298" s="279" t="str">
        <f t="shared" si="71"/>
        <v/>
      </c>
      <c r="F298" s="241" t="s">
        <v>535</v>
      </c>
      <c r="G298" s="242">
        <v>44673</v>
      </c>
      <c r="H298" s="243"/>
      <c r="I298" s="243"/>
      <c r="J298" s="244" t="s">
        <v>402</v>
      </c>
      <c r="K298" s="179" t="s">
        <v>2763</v>
      </c>
      <c r="L298" s="243" t="s">
        <v>1337</v>
      </c>
      <c r="M298" s="249" t="s">
        <v>558</v>
      </c>
      <c r="N298" s="249">
        <v>95</v>
      </c>
      <c r="O298" s="253" t="s">
        <v>1007</v>
      </c>
      <c r="P298" s="253" t="s">
        <v>1300</v>
      </c>
      <c r="Q298" s="231" t="str">
        <f t="shared" si="72"/>
        <v>A105. Seat Track WITH Motors, FRONT RIGHT</v>
      </c>
      <c r="R298" s="284" t="str">
        <f>HYPERLINK(VLOOKUP(O298,'3D. Pictures'!$B$3:$E$500,4,FALSE),"PIC")</f>
        <v>PIC</v>
      </c>
      <c r="S298" s="373" t="str">
        <f t="shared" si="75"/>
        <v>E.G.</v>
      </c>
      <c r="T298" s="377" t="str">
        <f>IF(O298&lt;&gt;"",_xlfn.XLOOKUP(O298,'3D. Pictures'!B:B,'3D. Pictures'!E:E,"NOT FOUND",0,1),"")</f>
        <v>https://viking-pictures.s3.us-west-1.amazonaws.com/AA1155/A105.+Seat+Track+WITH+Motors%2C+FRONT+RIGHT+(1).JPG</v>
      </c>
      <c r="U298" s="249">
        <v>8</v>
      </c>
      <c r="V298" s="179" t="s">
        <v>1336</v>
      </c>
      <c r="W298" s="249" t="s">
        <v>112</v>
      </c>
      <c r="X298" s="179"/>
      <c r="Y298" s="201"/>
      <c r="Z298" s="179"/>
      <c r="AA298" s="243" t="s">
        <v>1335</v>
      </c>
      <c r="AB298" s="243" t="s">
        <v>1335</v>
      </c>
      <c r="AC298" s="358" t="str">
        <f t="shared" si="74"/>
        <v>toss all if motors or track bad</v>
      </c>
      <c r="AD298" s="243" t="s">
        <v>1334</v>
      </c>
      <c r="AE298" s="243"/>
      <c r="AF298" s="179" t="s">
        <v>543</v>
      </c>
      <c r="AG298" s="263"/>
      <c r="AH298" s="16">
        <v>230</v>
      </c>
      <c r="AI298" s="380">
        <f t="shared" si="76"/>
        <v>230</v>
      </c>
      <c r="AJ298" s="246" t="s">
        <v>408</v>
      </c>
      <c r="AK298" s="246" t="s">
        <v>425</v>
      </c>
      <c r="AL298" s="246" t="s">
        <v>2175</v>
      </c>
      <c r="AM298" s="241"/>
      <c r="AN298" s="251"/>
      <c r="AO298" s="241" t="s">
        <v>572</v>
      </c>
      <c r="AP298" s="241"/>
      <c r="AQ298" s="241"/>
      <c r="AR298" s="241"/>
      <c r="AS298" s="241" t="s">
        <v>1028</v>
      </c>
      <c r="AT298" s="241" t="s">
        <v>1029</v>
      </c>
      <c r="AU298" s="241" t="s">
        <v>1030</v>
      </c>
      <c r="AV298" s="303" t="str">
        <f t="shared" si="81"/>
        <v>F15-14-18-ALL</v>
      </c>
      <c r="AW298" s="241" t="s">
        <v>2428</v>
      </c>
      <c r="AX298" s="279" t="str">
        <f t="shared" si="67"/>
        <v>F15-14-18-ALL-Viking62</v>
      </c>
    </row>
    <row r="299" spans="1:50" ht="15.75" thickBot="1" x14ac:dyDescent="0.3">
      <c r="A299" s="190" t="str">
        <f t="shared" si="70"/>
        <v>A94</v>
      </c>
      <c r="B299" s="279" t="str">
        <f t="shared" si="77"/>
        <v>431-59702</v>
      </c>
      <c r="C299" s="279"/>
      <c r="D299" s="279"/>
      <c r="E299" s="279">
        <f t="shared" si="71"/>
        <v>1</v>
      </c>
      <c r="F299" s="190" t="s">
        <v>535</v>
      </c>
      <c r="G299" s="198">
        <v>44674</v>
      </c>
      <c r="H299" s="210" t="s">
        <v>81</v>
      </c>
      <c r="I299" s="213" t="s">
        <v>435</v>
      </c>
      <c r="J299" s="213" t="s">
        <v>402</v>
      </c>
      <c r="K299" s="213" t="s">
        <v>2764</v>
      </c>
      <c r="L299" s="213" t="s">
        <v>1374</v>
      </c>
      <c r="M299" s="200" t="s">
        <v>558</v>
      </c>
      <c r="N299" s="200">
        <v>84</v>
      </c>
      <c r="O299" s="230" t="s">
        <v>996</v>
      </c>
      <c r="P299" s="230" t="s">
        <v>1300</v>
      </c>
      <c r="Q299" s="231" t="str">
        <f t="shared" si="72"/>
        <v>A94. Driveshaft, REAR - RWD</v>
      </c>
      <c r="R299" s="284" t="str">
        <f>HYPERLINK(VLOOKUP(O299,'3D. Pictures'!$B$3:$E$500,4,FALSE),"PIC")</f>
        <v>PIC</v>
      </c>
      <c r="S299" s="373" t="str">
        <f t="shared" si="75"/>
        <v>E.G.</v>
      </c>
      <c r="T299" s="377" t="str">
        <f>IF(O299&lt;&gt;"",_xlfn.XLOOKUP(O299,'3D. Pictures'!B:B,'3D. Pictures'!E:E,"NOT FOUND",0,1),"")</f>
        <v>https://viking-pictures.s3.us-west-1.amazonaws.com/AA1155/A94.+Driveshaft%2C+REAR+-+RWD+(1).JPG</v>
      </c>
      <c r="U299" s="200">
        <v>5</v>
      </c>
      <c r="V299" s="201" t="s">
        <v>1314</v>
      </c>
      <c r="W299" s="200" t="s">
        <v>112</v>
      </c>
      <c r="X299" s="201"/>
      <c r="Y299" s="179"/>
      <c r="Z299" s="201"/>
      <c r="AA299" s="213" t="s">
        <v>2723</v>
      </c>
      <c r="AB299" s="213" t="s">
        <v>2723</v>
      </c>
      <c r="AC299" s="360" t="str">
        <f t="shared" si="74"/>
        <v>keep all RWD ones</v>
      </c>
      <c r="AD299" s="213" t="s">
        <v>1313</v>
      </c>
      <c r="AE299" s="213"/>
      <c r="AF299" s="201" t="s">
        <v>543</v>
      </c>
      <c r="AG299" s="213"/>
      <c r="AH299" s="369">
        <v>250</v>
      </c>
      <c r="AI299" s="380">
        <f t="shared" si="76"/>
        <v>250</v>
      </c>
      <c r="AJ299" s="204" t="s">
        <v>2177</v>
      </c>
      <c r="AK299" s="204" t="s">
        <v>425</v>
      </c>
      <c r="AL299" s="204" t="s">
        <v>2175</v>
      </c>
      <c r="AM299" s="190"/>
      <c r="AN299" s="191">
        <v>431</v>
      </c>
      <c r="AO299" s="190" t="s">
        <v>572</v>
      </c>
      <c r="AP299" s="190">
        <v>59702</v>
      </c>
      <c r="AQ299" s="190" t="str">
        <f>CONCATENATE(AN299,AO299,AP299)</f>
        <v>431-59702</v>
      </c>
      <c r="AR299" s="190"/>
      <c r="AS299" s="190"/>
      <c r="AT299" s="190"/>
      <c r="AU299" s="190"/>
      <c r="AV299" s="190"/>
      <c r="AW299" s="190"/>
      <c r="AX299" s="279" t="str">
        <f t="shared" si="67"/>
        <v/>
      </c>
    </row>
    <row r="300" spans="1:50" x14ac:dyDescent="0.25">
      <c r="A300" s="190" t="str">
        <f t="shared" si="70"/>
        <v/>
      </c>
      <c r="B300" s="279" t="str">
        <f t="shared" si="77"/>
        <v>431-59823</v>
      </c>
      <c r="C300" s="279"/>
      <c r="D300" s="279"/>
      <c r="E300" s="279">
        <f t="shared" si="71"/>
        <v>1</v>
      </c>
      <c r="F300" s="190" t="s">
        <v>535</v>
      </c>
      <c r="G300" s="198">
        <v>44674</v>
      </c>
      <c r="H300" s="210" t="s">
        <v>81</v>
      </c>
      <c r="I300" s="213" t="s">
        <v>435</v>
      </c>
      <c r="J300" s="213" t="s">
        <v>402</v>
      </c>
      <c r="K300" s="213" t="s">
        <v>2764</v>
      </c>
      <c r="L300" s="213" t="s">
        <v>1374</v>
      </c>
      <c r="M300" s="200" t="s">
        <v>558</v>
      </c>
      <c r="N300" s="200"/>
      <c r="O300" s="230"/>
      <c r="P300" s="230"/>
      <c r="Q300" s="231" t="str">
        <f t="shared" si="72"/>
        <v>. Driveshaft, REAR - AWD</v>
      </c>
      <c r="R300" s="206"/>
      <c r="S300" s="206" t="str">
        <f t="shared" si="75"/>
        <v/>
      </c>
      <c r="T300" s="206" t="str">
        <f>IF(O300&lt;&gt;"",_xlfn.XLOOKUP(O300,'3D. Pictures'!B:B,'3D. Pictures'!E:E,"NOT FOUND",0,1),"")</f>
        <v/>
      </c>
      <c r="U300" s="200"/>
      <c r="V300" s="201"/>
      <c r="W300" s="200"/>
      <c r="X300" s="201"/>
      <c r="Y300" s="179"/>
      <c r="Z300" s="201"/>
      <c r="AA300" s="213" t="s">
        <v>2726</v>
      </c>
      <c r="AB300" s="213" t="s">
        <v>2726</v>
      </c>
      <c r="AC300" s="360" t="str">
        <f t="shared" si="74"/>
        <v>keep AWD 16-18 1412mm part# 7636785, toss all other</v>
      </c>
      <c r="AD300" s="213" t="s">
        <v>2724</v>
      </c>
      <c r="AE300" s="213"/>
      <c r="AF300" s="201" t="s">
        <v>543</v>
      </c>
      <c r="AG300" s="213"/>
      <c r="AH300" s="369">
        <v>450</v>
      </c>
      <c r="AI300" s="380">
        <f t="shared" si="76"/>
        <v>450</v>
      </c>
      <c r="AJ300" s="204" t="s">
        <v>2177</v>
      </c>
      <c r="AK300" s="204" t="s">
        <v>425</v>
      </c>
      <c r="AL300" s="204" t="s">
        <v>2175</v>
      </c>
      <c r="AM300" s="190"/>
      <c r="AN300" s="191">
        <v>431</v>
      </c>
      <c r="AO300" s="190" t="s">
        <v>572</v>
      </c>
      <c r="AP300" s="190">
        <v>59823</v>
      </c>
      <c r="AQ300" s="190" t="str">
        <f>CONCATENATE(AN300,AO300,AP300)</f>
        <v>431-59823</v>
      </c>
      <c r="AR300" s="190"/>
      <c r="AS300" s="190"/>
      <c r="AT300" s="190"/>
      <c r="AU300" s="190"/>
      <c r="AV300" s="190"/>
      <c r="AW300" s="190"/>
      <c r="AX300" s="279" t="str">
        <f t="shared" si="67"/>
        <v/>
      </c>
    </row>
    <row r="301" spans="1:50" x14ac:dyDescent="0.25">
      <c r="A301" s="190" t="str">
        <f t="shared" si="70"/>
        <v/>
      </c>
      <c r="B301" s="279" t="str">
        <f t="shared" si="77"/>
        <v/>
      </c>
      <c r="C301" s="279"/>
      <c r="D301" s="279"/>
      <c r="E301" s="279" t="str">
        <f t="shared" si="71"/>
        <v/>
      </c>
      <c r="F301" s="190" t="s">
        <v>535</v>
      </c>
      <c r="G301" s="198">
        <v>44674</v>
      </c>
      <c r="H301" s="228"/>
      <c r="I301" s="226" t="s">
        <v>435</v>
      </c>
      <c r="J301" s="226" t="s">
        <v>405</v>
      </c>
      <c r="K301" s="226" t="s">
        <v>2764</v>
      </c>
      <c r="L301" s="226" t="s">
        <v>1374</v>
      </c>
      <c r="M301" s="228" t="s">
        <v>558</v>
      </c>
      <c r="N301" s="228"/>
      <c r="O301" s="240"/>
      <c r="P301" s="240"/>
      <c r="Q301" s="231" t="str">
        <f t="shared" si="72"/>
        <v xml:space="preserve">. Driveshaft, REAR - AWD </v>
      </c>
      <c r="R301" s="271"/>
      <c r="S301" s="271" t="str">
        <f t="shared" si="75"/>
        <v/>
      </c>
      <c r="T301" s="271" t="str">
        <f>IF(O301&lt;&gt;"",_xlfn.XLOOKUP(O301,'3D. Pictures'!B:B,'3D. Pictures'!E:E,"NOT FOUND",0,1),"")</f>
        <v/>
      </c>
      <c r="U301" s="228"/>
      <c r="V301" s="226"/>
      <c r="W301" s="228"/>
      <c r="X301" s="226"/>
      <c r="Y301" s="201"/>
      <c r="Z301" s="226"/>
      <c r="AA301" s="226" t="s">
        <v>2725</v>
      </c>
      <c r="AB301" s="226" t="s">
        <v>2725</v>
      </c>
      <c r="AC301" s="361" t="str">
        <f t="shared" si="74"/>
        <v>TOSS 14-15 ALL AWD &amp; 16-18 AWD part# 7589129, 7589128</v>
      </c>
      <c r="AD301" s="226" t="s">
        <v>2798</v>
      </c>
      <c r="AE301" s="226"/>
      <c r="AF301" s="226" t="s">
        <v>543</v>
      </c>
      <c r="AG301" s="226"/>
      <c r="AH301" s="370"/>
      <c r="AI301" s="380" t="str">
        <f t="shared" si="76"/>
        <v/>
      </c>
      <c r="AJ301" s="204" t="s">
        <v>2177</v>
      </c>
      <c r="AK301" s="204" t="s">
        <v>425</v>
      </c>
      <c r="AL301" s="204" t="s">
        <v>2175</v>
      </c>
      <c r="AM301" s="190"/>
      <c r="AN301" s="191"/>
      <c r="AO301" s="190"/>
      <c r="AP301" s="190"/>
      <c r="AQ301" s="190"/>
      <c r="AR301" s="190"/>
      <c r="AS301" s="190"/>
      <c r="AT301" s="190"/>
      <c r="AU301" s="190"/>
      <c r="AV301" s="190"/>
      <c r="AW301" s="190"/>
      <c r="AX301" s="279" t="str">
        <f t="shared" si="67"/>
        <v/>
      </c>
    </row>
    <row r="302" spans="1:50" x14ac:dyDescent="0.25">
      <c r="A302" s="190" t="str">
        <f t="shared" si="70"/>
        <v/>
      </c>
      <c r="B302" s="279" t="str">
        <f t="shared" si="77"/>
        <v/>
      </c>
      <c r="C302" s="279"/>
      <c r="D302" s="279"/>
      <c r="E302" s="279" t="str">
        <f t="shared" si="71"/>
        <v/>
      </c>
      <c r="F302" t="s">
        <v>535</v>
      </c>
      <c r="G302" s="188">
        <v>44680</v>
      </c>
      <c r="H302" s="16"/>
      <c r="I302" s="16" t="s">
        <v>435</v>
      </c>
      <c r="J302" s="16" t="s">
        <v>402</v>
      </c>
      <c r="K302" s="166" t="s">
        <v>2764</v>
      </c>
      <c r="L302" s="16" t="s">
        <v>2625</v>
      </c>
      <c r="M302" s="170" t="s">
        <v>558</v>
      </c>
      <c r="N302" s="170"/>
      <c r="O302" s="237"/>
      <c r="P302" s="237"/>
      <c r="Q302" s="231" t="str">
        <f t="shared" si="72"/>
        <v>. Sway Bar / Stabilizer Bar, FRONT w/ Dynamic Drive</v>
      </c>
      <c r="R302" s="231"/>
      <c r="S302" s="231" t="str">
        <f t="shared" si="75"/>
        <v/>
      </c>
      <c r="T302" s="231" t="str">
        <f>IF(O302&lt;&gt;"",_xlfn.XLOOKUP(O302,'3D. Pictures'!B:B,'3D. Pictures'!E:E,"NOT FOUND",0,1),"")</f>
        <v/>
      </c>
      <c r="U302" s="170"/>
      <c r="V302" s="168"/>
      <c r="W302" s="170"/>
      <c r="X302" s="168"/>
      <c r="Y302" s="168"/>
      <c r="Z302" s="168"/>
      <c r="AA302" s="16" t="s">
        <v>2623</v>
      </c>
      <c r="AB302" s="16" t="s">
        <v>2623</v>
      </c>
      <c r="AC302" s="358" t="str">
        <f t="shared" si="74"/>
        <v>keep dynamic drive, TOSS w/o dynamic drive</v>
      </c>
      <c r="AD302" s="16" t="s">
        <v>2624</v>
      </c>
      <c r="AE302" s="16"/>
      <c r="AF302" s="168" t="s">
        <v>543</v>
      </c>
      <c r="AG302" s="16"/>
      <c r="AH302" s="167">
        <v>320</v>
      </c>
      <c r="AI302" s="380">
        <f t="shared" si="76"/>
        <v>320</v>
      </c>
      <c r="AJ302" s="3" t="s">
        <v>408</v>
      </c>
      <c r="AK302" s="3" t="s">
        <v>425</v>
      </c>
      <c r="AL302" s="3" t="s">
        <v>2175</v>
      </c>
      <c r="AO302" t="s">
        <v>572</v>
      </c>
      <c r="AX302" s="279" t="str">
        <f t="shared" si="67"/>
        <v/>
      </c>
    </row>
    <row r="303" spans="1:50" x14ac:dyDescent="0.25">
      <c r="A303" s="190" t="str">
        <f t="shared" si="70"/>
        <v/>
      </c>
      <c r="B303" s="279" t="str">
        <f t="shared" si="77"/>
        <v/>
      </c>
      <c r="C303" s="279"/>
      <c r="D303" s="279"/>
      <c r="E303" s="279" t="str">
        <f t="shared" si="71"/>
        <v/>
      </c>
      <c r="F303" t="s">
        <v>535</v>
      </c>
      <c r="G303" s="188">
        <v>44680</v>
      </c>
      <c r="H303" s="10"/>
      <c r="I303" s="10" t="s">
        <v>435</v>
      </c>
      <c r="J303" s="10" t="s">
        <v>405</v>
      </c>
      <c r="K303" s="15" t="s">
        <v>2764</v>
      </c>
      <c r="L303" s="10" t="s">
        <v>2625</v>
      </c>
      <c r="M303" s="351" t="s">
        <v>558</v>
      </c>
      <c r="N303" s="351"/>
      <c r="O303" s="354"/>
      <c r="P303" s="354"/>
      <c r="Q303" s="270" t="str">
        <f t="shared" si="72"/>
        <v>. Sway Bar / Stabilizer Bar, FRONT w/ Dynamic Drive</v>
      </c>
      <c r="R303" s="270"/>
      <c r="S303" s="270" t="str">
        <f t="shared" si="75"/>
        <v/>
      </c>
      <c r="T303" s="270" t="str">
        <f>IF(O303&lt;&gt;"",_xlfn.XLOOKUP(O303,'3D. Pictures'!B:B,'3D. Pictures'!E:E,"NOT FOUND",0,1),"")</f>
        <v/>
      </c>
      <c r="U303" s="351"/>
      <c r="V303" s="172"/>
      <c r="W303" s="351"/>
      <c r="X303" s="172"/>
      <c r="Y303" s="172"/>
      <c r="Z303" s="172"/>
      <c r="AA303" s="10" t="s">
        <v>2623</v>
      </c>
      <c r="AB303" s="10" t="s">
        <v>2623</v>
      </c>
      <c r="AC303" s="359" t="str">
        <f t="shared" si="74"/>
        <v>keep dynamic drive, TOSS w/o dynamic drive</v>
      </c>
      <c r="AD303" s="10" t="s">
        <v>2624</v>
      </c>
      <c r="AE303" s="10"/>
      <c r="AF303" s="172" t="s">
        <v>543</v>
      </c>
      <c r="AG303" s="10"/>
      <c r="AH303" s="355"/>
      <c r="AI303" s="380">
        <f t="shared" si="76"/>
        <v>320</v>
      </c>
      <c r="AJ303" s="3" t="s">
        <v>408</v>
      </c>
      <c r="AK303" s="3" t="s">
        <v>425</v>
      </c>
      <c r="AL303" s="3" t="s">
        <v>2175</v>
      </c>
      <c r="AO303" t="s">
        <v>572</v>
      </c>
      <c r="AX303" s="279" t="str">
        <f t="shared" si="67"/>
        <v/>
      </c>
    </row>
    <row r="304" spans="1:50" x14ac:dyDescent="0.25">
      <c r="A304" s="190" t="str">
        <f t="shared" si="70"/>
        <v/>
      </c>
      <c r="B304" s="279" t="str">
        <f t="shared" si="77"/>
        <v>447-62278</v>
      </c>
      <c r="C304" s="279"/>
      <c r="D304" s="279"/>
      <c r="E304" s="279">
        <f t="shared" si="71"/>
        <v>1</v>
      </c>
      <c r="F304" s="190" t="s">
        <v>535</v>
      </c>
      <c r="G304" s="198">
        <v>44673</v>
      </c>
      <c r="H304" s="205"/>
      <c r="I304" s="205"/>
      <c r="J304" s="205" t="s">
        <v>402</v>
      </c>
      <c r="K304" s="205" t="s">
        <v>2764</v>
      </c>
      <c r="L304" s="205" t="s">
        <v>864</v>
      </c>
      <c r="M304" s="200" t="s">
        <v>558</v>
      </c>
      <c r="N304" s="200"/>
      <c r="O304" s="230"/>
      <c r="P304" s="230"/>
      <c r="Q304" s="231" t="str">
        <f t="shared" si="72"/>
        <v>. Axle Shafts, FRONT - LEFT</v>
      </c>
      <c r="R304" s="231"/>
      <c r="S304" s="231" t="str">
        <f t="shared" si="75"/>
        <v/>
      </c>
      <c r="T304" s="231" t="str">
        <f>IF(O304&lt;&gt;"",_xlfn.XLOOKUP(O304,'3D. Pictures'!B:B,'3D. Pictures'!E:E,"NOT FOUND",0,1),"")</f>
        <v/>
      </c>
      <c r="U304" s="200"/>
      <c r="V304" s="201"/>
      <c r="W304" s="200"/>
      <c r="X304" s="201"/>
      <c r="Y304" s="201"/>
      <c r="Z304" s="201"/>
      <c r="AA304" s="205" t="s">
        <v>427</v>
      </c>
      <c r="AB304" s="205" t="s">
        <v>427</v>
      </c>
      <c r="AC304" s="358" t="str">
        <f t="shared" si="74"/>
        <v/>
      </c>
      <c r="AD304" s="205"/>
      <c r="AE304" s="205"/>
      <c r="AF304" s="201" t="s">
        <v>543</v>
      </c>
      <c r="AG304" s="205"/>
      <c r="AH304" s="16">
        <v>400</v>
      </c>
      <c r="AI304" s="380">
        <f t="shared" si="76"/>
        <v>400</v>
      </c>
      <c r="AJ304" s="204" t="s">
        <v>2176</v>
      </c>
      <c r="AK304" s="204" t="s">
        <v>425</v>
      </c>
      <c r="AL304" s="204" t="s">
        <v>2177</v>
      </c>
      <c r="AM304" s="190"/>
      <c r="AN304" s="191" t="s">
        <v>644</v>
      </c>
      <c r="AO304" s="190" t="s">
        <v>572</v>
      </c>
      <c r="AP304" s="190">
        <v>62278</v>
      </c>
      <c r="AQ304" s="190" t="str">
        <f t="shared" ref="AQ304:AQ313" si="82">CONCATENATE(AN304,AO304,AP304)</f>
        <v>447-62278</v>
      </c>
      <c r="AR304" s="190"/>
      <c r="AS304" s="190"/>
      <c r="AT304" s="190"/>
      <c r="AU304" s="190"/>
      <c r="AV304" s="190"/>
      <c r="AW304" s="190"/>
      <c r="AX304" s="279" t="str">
        <f t="shared" si="67"/>
        <v/>
      </c>
    </row>
    <row r="305" spans="1:50" x14ac:dyDescent="0.25">
      <c r="A305" s="190" t="str">
        <f t="shared" si="70"/>
        <v/>
      </c>
      <c r="B305" s="279" t="str">
        <f t="shared" si="77"/>
        <v>447-62277</v>
      </c>
      <c r="C305" s="279"/>
      <c r="D305" s="279"/>
      <c r="E305" s="279">
        <f t="shared" si="71"/>
        <v>1</v>
      </c>
      <c r="F305" s="190" t="s">
        <v>535</v>
      </c>
      <c r="G305" s="198">
        <v>44673</v>
      </c>
      <c r="H305" s="205"/>
      <c r="I305" s="205"/>
      <c r="J305" s="205" t="s">
        <v>402</v>
      </c>
      <c r="K305" s="205" t="s">
        <v>2764</v>
      </c>
      <c r="L305" s="205" t="s">
        <v>864</v>
      </c>
      <c r="M305" s="200" t="s">
        <v>558</v>
      </c>
      <c r="N305" s="200"/>
      <c r="O305" s="230"/>
      <c r="P305" s="230"/>
      <c r="Q305" s="231" t="str">
        <f t="shared" si="72"/>
        <v>. Axle Shafts, FRONT - RIGHT</v>
      </c>
      <c r="R305" s="231"/>
      <c r="S305" s="231" t="str">
        <f t="shared" si="75"/>
        <v/>
      </c>
      <c r="T305" s="231" t="str">
        <f>IF(O305&lt;&gt;"",_xlfn.XLOOKUP(O305,'3D. Pictures'!B:B,'3D. Pictures'!E:E,"NOT FOUND",0,1),"")</f>
        <v/>
      </c>
      <c r="U305" s="200"/>
      <c r="V305" s="201"/>
      <c r="W305" s="200"/>
      <c r="X305" s="201"/>
      <c r="Y305" s="201"/>
      <c r="Z305" s="201"/>
      <c r="AA305" s="205" t="s">
        <v>428</v>
      </c>
      <c r="AB305" s="205" t="s">
        <v>428</v>
      </c>
      <c r="AC305" s="358" t="str">
        <f t="shared" si="74"/>
        <v/>
      </c>
      <c r="AD305" s="205"/>
      <c r="AE305" s="205"/>
      <c r="AF305" s="201" t="s">
        <v>543</v>
      </c>
      <c r="AG305" s="205"/>
      <c r="AH305" s="16">
        <v>350</v>
      </c>
      <c r="AI305" s="380">
        <f t="shared" si="76"/>
        <v>350</v>
      </c>
      <c r="AJ305" s="204" t="s">
        <v>2176</v>
      </c>
      <c r="AK305" s="204" t="s">
        <v>425</v>
      </c>
      <c r="AL305" s="204" t="s">
        <v>2177</v>
      </c>
      <c r="AM305" s="190"/>
      <c r="AN305" s="191" t="s">
        <v>644</v>
      </c>
      <c r="AO305" s="190" t="s">
        <v>572</v>
      </c>
      <c r="AP305" s="190">
        <v>62277</v>
      </c>
      <c r="AQ305" s="190" t="str">
        <f t="shared" si="82"/>
        <v>447-62277</v>
      </c>
      <c r="AR305" s="190"/>
      <c r="AS305" s="190"/>
      <c r="AT305" s="190"/>
      <c r="AU305" s="190"/>
      <c r="AV305" s="190"/>
      <c r="AW305" s="190"/>
      <c r="AX305" s="279" t="str">
        <f t="shared" si="67"/>
        <v/>
      </c>
    </row>
    <row r="306" spans="1:50" x14ac:dyDescent="0.25">
      <c r="A306" s="190" t="str">
        <f t="shared" si="70"/>
        <v/>
      </c>
      <c r="B306" s="279" t="str">
        <f t="shared" si="77"/>
        <v>512-59488</v>
      </c>
      <c r="C306" s="279" t="s">
        <v>2127</v>
      </c>
      <c r="D306" s="279"/>
      <c r="E306" s="279">
        <f t="shared" si="71"/>
        <v>1</v>
      </c>
      <c r="F306" s="190" t="s">
        <v>535</v>
      </c>
      <c r="G306" s="198">
        <v>44683</v>
      </c>
      <c r="H306" s="205"/>
      <c r="I306" s="205"/>
      <c r="J306" s="205" t="s">
        <v>402</v>
      </c>
      <c r="K306" s="205" t="s">
        <v>2764</v>
      </c>
      <c r="L306" s="205" t="s">
        <v>872</v>
      </c>
      <c r="M306" s="200" t="s">
        <v>558</v>
      </c>
      <c r="N306" s="200"/>
      <c r="O306" s="230"/>
      <c r="P306" s="230"/>
      <c r="Q306" s="231" t="str">
        <f t="shared" si="72"/>
        <v>. Control Arms, FRONT - LOWER LEFT FORWARD + REARWARD SET 2</v>
      </c>
      <c r="R306" s="231"/>
      <c r="S306" s="231" t="str">
        <f t="shared" si="75"/>
        <v/>
      </c>
      <c r="T306" s="231" t="str">
        <f>IF(O306&lt;&gt;"",_xlfn.XLOOKUP(O306,'3D. Pictures'!B:B,'3D. Pictures'!E:E,"NOT FOUND",0,1),"")</f>
        <v/>
      </c>
      <c r="U306" s="200"/>
      <c r="V306" s="201"/>
      <c r="W306" s="200"/>
      <c r="X306" s="201"/>
      <c r="Y306" s="201"/>
      <c r="Z306" s="201"/>
      <c r="AA306" s="205" t="s">
        <v>2502</v>
      </c>
      <c r="AB306" s="205" t="s">
        <v>2502</v>
      </c>
      <c r="AC306" s="358" t="str">
        <f t="shared" si="74"/>
        <v>SET 2, sell singles if 1 bad, sell upper "U" separate</v>
      </c>
      <c r="AD306" s="205" t="s">
        <v>2838</v>
      </c>
      <c r="AE306" s="205"/>
      <c r="AF306" s="201" t="s">
        <v>544</v>
      </c>
      <c r="AG306" s="205" t="s">
        <v>866</v>
      </c>
      <c r="AH306" s="16">
        <v>180</v>
      </c>
      <c r="AI306" s="380">
        <f t="shared" si="76"/>
        <v>180</v>
      </c>
      <c r="AJ306" s="204" t="s">
        <v>408</v>
      </c>
      <c r="AK306" s="204" t="s">
        <v>425</v>
      </c>
      <c r="AL306" s="204" t="s">
        <v>2175</v>
      </c>
      <c r="AM306" s="190"/>
      <c r="AN306" s="191" t="s">
        <v>645</v>
      </c>
      <c r="AO306" s="190" t="s">
        <v>572</v>
      </c>
      <c r="AP306" s="190">
        <v>59488</v>
      </c>
      <c r="AQ306" s="190" t="str">
        <f t="shared" si="82"/>
        <v>512-59488</v>
      </c>
      <c r="AR306" s="190" t="s">
        <v>865</v>
      </c>
      <c r="AS306" s="190"/>
      <c r="AT306" s="190"/>
      <c r="AU306" s="190"/>
      <c r="AV306" s="190"/>
      <c r="AW306" s="190"/>
      <c r="AX306" s="279" t="str">
        <f t="shared" si="67"/>
        <v/>
      </c>
    </row>
    <row r="307" spans="1:50" x14ac:dyDescent="0.25">
      <c r="A307" s="190" t="str">
        <f t="shared" si="70"/>
        <v/>
      </c>
      <c r="B307" s="279" t="str">
        <f t="shared" si="77"/>
        <v>512-59487</v>
      </c>
      <c r="C307" s="279" t="s">
        <v>2129</v>
      </c>
      <c r="D307" s="279"/>
      <c r="E307" s="279">
        <f t="shared" si="71"/>
        <v>1</v>
      </c>
      <c r="F307" s="190" t="s">
        <v>535</v>
      </c>
      <c r="G307" s="198">
        <v>44683</v>
      </c>
      <c r="H307" s="205"/>
      <c r="I307" s="205"/>
      <c r="J307" s="205" t="s">
        <v>402</v>
      </c>
      <c r="K307" s="205" t="s">
        <v>2764</v>
      </c>
      <c r="L307" s="205" t="s">
        <v>872</v>
      </c>
      <c r="M307" s="200" t="s">
        <v>558</v>
      </c>
      <c r="N307" s="200"/>
      <c r="O307" s="230"/>
      <c r="P307" s="230"/>
      <c r="Q307" s="231" t="str">
        <f t="shared" si="72"/>
        <v>. Control Arms, FRONT - LOWER RIGHT FORWARD + REARWARD SET 2</v>
      </c>
      <c r="R307" s="231"/>
      <c r="S307" s="231" t="str">
        <f t="shared" si="75"/>
        <v/>
      </c>
      <c r="T307" s="231" t="str">
        <f>IF(O307&lt;&gt;"",_xlfn.XLOOKUP(O307,'3D. Pictures'!B:B,'3D. Pictures'!E:E,"NOT FOUND",0,1),"")</f>
        <v/>
      </c>
      <c r="U307" s="200"/>
      <c r="V307" s="201"/>
      <c r="W307" s="200"/>
      <c r="X307" s="201"/>
      <c r="Y307" s="16"/>
      <c r="Z307" s="201"/>
      <c r="AA307" s="205" t="s">
        <v>2503</v>
      </c>
      <c r="AB307" s="205" t="s">
        <v>2503</v>
      </c>
      <c r="AC307" s="358" t="str">
        <f t="shared" si="74"/>
        <v>SET 2, sell singles if 1 bad, sell upper "U" separate</v>
      </c>
      <c r="AD307" s="205" t="s">
        <v>2838</v>
      </c>
      <c r="AE307" s="205"/>
      <c r="AF307" s="201" t="s">
        <v>544</v>
      </c>
      <c r="AG307" s="205" t="s">
        <v>866</v>
      </c>
      <c r="AH307" s="16">
        <v>180</v>
      </c>
      <c r="AI307" s="380">
        <f t="shared" si="76"/>
        <v>180</v>
      </c>
      <c r="AJ307" s="204" t="s">
        <v>408</v>
      </c>
      <c r="AK307" s="204" t="s">
        <v>425</v>
      </c>
      <c r="AL307" s="204" t="s">
        <v>2175</v>
      </c>
      <c r="AM307" s="190"/>
      <c r="AN307" s="191" t="s">
        <v>645</v>
      </c>
      <c r="AO307" s="190" t="s">
        <v>572</v>
      </c>
      <c r="AP307" s="190">
        <v>59487</v>
      </c>
      <c r="AQ307" s="190" t="str">
        <f t="shared" si="82"/>
        <v>512-59487</v>
      </c>
      <c r="AR307" s="190" t="s">
        <v>865</v>
      </c>
      <c r="AS307" s="190"/>
      <c r="AT307" s="190"/>
      <c r="AU307" s="190"/>
      <c r="AV307" s="190"/>
      <c r="AW307" s="190"/>
      <c r="AX307" s="279" t="str">
        <f t="shared" si="67"/>
        <v/>
      </c>
    </row>
    <row r="308" spans="1:50" x14ac:dyDescent="0.25">
      <c r="A308" s="190" t="str">
        <f t="shared" si="70"/>
        <v/>
      </c>
      <c r="B308" s="279" t="str">
        <f t="shared" si="77"/>
        <v>511-50148</v>
      </c>
      <c r="C308" s="279" t="s">
        <v>2149</v>
      </c>
      <c r="D308" s="279"/>
      <c r="E308" s="279">
        <f t="shared" si="71"/>
        <v>1</v>
      </c>
      <c r="F308" s="190" t="s">
        <v>535</v>
      </c>
      <c r="G308" s="198">
        <v>44683</v>
      </c>
      <c r="H308" s="205"/>
      <c r="I308" s="205"/>
      <c r="J308" s="205" t="s">
        <v>402</v>
      </c>
      <c r="K308" s="205" t="s">
        <v>2764</v>
      </c>
      <c r="L308" s="205" t="s">
        <v>872</v>
      </c>
      <c r="M308" s="200" t="s">
        <v>558</v>
      </c>
      <c r="N308" s="200"/>
      <c r="O308" s="230"/>
      <c r="P308" s="230"/>
      <c r="Q308" s="231" t="str">
        <f t="shared" si="72"/>
        <v>. Control Arms, FRONT - UPPER "U" WISHBONE ONES as SET 2</v>
      </c>
      <c r="R308" s="231"/>
      <c r="S308" s="231" t="str">
        <f t="shared" si="75"/>
        <v/>
      </c>
      <c r="T308" s="231" t="str">
        <f>IF(O308&lt;&gt;"",_xlfn.XLOOKUP(O308,'3D. Pictures'!B:B,'3D. Pictures'!E:E,"NOT FOUND",0,1),"")</f>
        <v/>
      </c>
      <c r="U308" s="200"/>
      <c r="V308" s="201"/>
      <c r="W308" s="200"/>
      <c r="X308" s="201"/>
      <c r="Y308" s="16"/>
      <c r="Z308" s="201"/>
      <c r="AA308" s="205" t="s">
        <v>2504</v>
      </c>
      <c r="AB308" s="205" t="s">
        <v>2504</v>
      </c>
      <c r="AC308" s="358" t="str">
        <f t="shared" si="74"/>
        <v>SET 2, sell singles if 1 bad</v>
      </c>
      <c r="AD308" s="205" t="s">
        <v>2550</v>
      </c>
      <c r="AE308" s="205"/>
      <c r="AF308" s="201" t="s">
        <v>544</v>
      </c>
      <c r="AG308" s="205"/>
      <c r="AH308" s="16">
        <v>80</v>
      </c>
      <c r="AI308" s="380">
        <f t="shared" si="76"/>
        <v>80</v>
      </c>
      <c r="AJ308" s="204" t="s">
        <v>408</v>
      </c>
      <c r="AK308" s="204" t="s">
        <v>425</v>
      </c>
      <c r="AL308" s="204" t="s">
        <v>2175</v>
      </c>
      <c r="AM308" s="190"/>
      <c r="AN308" s="191">
        <v>511</v>
      </c>
      <c r="AO308" s="190" t="s">
        <v>572</v>
      </c>
      <c r="AP308" s="190">
        <v>50148</v>
      </c>
      <c r="AQ308" s="190" t="str">
        <f t="shared" si="82"/>
        <v>511-50148</v>
      </c>
      <c r="AR308" s="190"/>
      <c r="AS308" s="190"/>
      <c r="AT308" s="190"/>
      <c r="AU308" s="190"/>
      <c r="AV308" s="190"/>
      <c r="AW308" s="190"/>
      <c r="AX308" s="279" t="str">
        <f t="shared" si="67"/>
        <v/>
      </c>
    </row>
    <row r="309" spans="1:50" x14ac:dyDescent="0.25">
      <c r="A309" s="190" t="str">
        <f t="shared" si="70"/>
        <v/>
      </c>
      <c r="B309" s="279" t="str">
        <f t="shared" si="77"/>
        <v>513-50296</v>
      </c>
      <c r="C309" s="279" t="s">
        <v>2170</v>
      </c>
      <c r="D309" s="279"/>
      <c r="E309" s="279">
        <f t="shared" si="71"/>
        <v>1</v>
      </c>
      <c r="F309" s="190" t="s">
        <v>535</v>
      </c>
      <c r="G309" s="198">
        <v>44683</v>
      </c>
      <c r="H309" s="205"/>
      <c r="I309" s="205"/>
      <c r="J309" s="205" t="s">
        <v>402</v>
      </c>
      <c r="K309" s="205" t="s">
        <v>2764</v>
      </c>
      <c r="L309" s="205" t="s">
        <v>872</v>
      </c>
      <c r="M309" s="200" t="s">
        <v>558</v>
      </c>
      <c r="N309" s="200"/>
      <c r="O309" s="230"/>
      <c r="P309" s="230"/>
      <c r="Q309" s="231" t="str">
        <f t="shared" si="72"/>
        <v>. Control Arms, REAR - LEFT SET 3</v>
      </c>
      <c r="R309" s="231"/>
      <c r="S309" s="231" t="str">
        <f t="shared" si="75"/>
        <v/>
      </c>
      <c r="T309" s="231" t="str">
        <f>IF(O309&lt;&gt;"",_xlfn.XLOOKUP(O309,'3D. Pictures'!B:B,'3D. Pictures'!E:E,"NOT FOUND",0,1),"")</f>
        <v/>
      </c>
      <c r="U309" s="200"/>
      <c r="V309" s="201"/>
      <c r="W309" s="200"/>
      <c r="X309" s="201"/>
      <c r="Y309" s="243"/>
      <c r="Z309" s="201"/>
      <c r="AA309" s="205" t="s">
        <v>2526</v>
      </c>
      <c r="AB309" s="205" t="s">
        <v>2526</v>
      </c>
      <c r="AC309" s="358" t="str">
        <f t="shared" si="74"/>
        <v>SET 3, keep only big one if 1 bad</v>
      </c>
      <c r="AD309" s="205" t="s">
        <v>2839</v>
      </c>
      <c r="AE309" s="205"/>
      <c r="AF309" s="201" t="s">
        <v>548</v>
      </c>
      <c r="AG309" s="205" t="s">
        <v>875</v>
      </c>
      <c r="AH309" s="16">
        <v>150</v>
      </c>
      <c r="AI309" s="380">
        <f t="shared" si="76"/>
        <v>150</v>
      </c>
      <c r="AJ309" s="204" t="s">
        <v>408</v>
      </c>
      <c r="AK309" s="204" t="s">
        <v>425</v>
      </c>
      <c r="AL309" s="204" t="s">
        <v>2175</v>
      </c>
      <c r="AM309" s="190"/>
      <c r="AN309" s="191">
        <v>513</v>
      </c>
      <c r="AO309" s="190" t="s">
        <v>572</v>
      </c>
      <c r="AP309" s="190">
        <v>50296</v>
      </c>
      <c r="AQ309" s="190" t="str">
        <f t="shared" si="82"/>
        <v>513-50296</v>
      </c>
      <c r="AR309" s="190"/>
      <c r="AS309" s="190"/>
      <c r="AT309" s="190"/>
      <c r="AU309" s="190"/>
      <c r="AV309" s="190"/>
      <c r="AW309" s="190"/>
      <c r="AX309" s="279" t="str">
        <f t="shared" si="67"/>
        <v/>
      </c>
    </row>
    <row r="310" spans="1:50" x14ac:dyDescent="0.25">
      <c r="A310" s="190" t="str">
        <f t="shared" si="70"/>
        <v/>
      </c>
      <c r="B310" s="279" t="str">
        <f t="shared" si="77"/>
        <v>513-50295</v>
      </c>
      <c r="C310" s="279" t="s">
        <v>2172</v>
      </c>
      <c r="D310" s="279"/>
      <c r="E310" s="279">
        <f t="shared" si="71"/>
        <v>1</v>
      </c>
      <c r="F310" s="190" t="s">
        <v>535</v>
      </c>
      <c r="G310" s="198">
        <v>44683</v>
      </c>
      <c r="H310" s="205"/>
      <c r="I310" s="205"/>
      <c r="J310" s="205" t="s">
        <v>402</v>
      </c>
      <c r="K310" s="205" t="s">
        <v>2764</v>
      </c>
      <c r="L310" s="205" t="s">
        <v>872</v>
      </c>
      <c r="M310" s="200" t="s">
        <v>558</v>
      </c>
      <c r="N310" s="200"/>
      <c r="O310" s="230"/>
      <c r="P310" s="230"/>
      <c r="Q310" s="231" t="str">
        <f t="shared" si="72"/>
        <v>. Control Arms, REAR - RIGHT SET 3</v>
      </c>
      <c r="R310" s="231"/>
      <c r="S310" s="231" t="str">
        <f t="shared" si="75"/>
        <v/>
      </c>
      <c r="T310" s="231" t="str">
        <f>IF(O310&lt;&gt;"",_xlfn.XLOOKUP(O310,'3D. Pictures'!B:B,'3D. Pictures'!E:E,"NOT FOUND",0,1),"")</f>
        <v/>
      </c>
      <c r="U310" s="200"/>
      <c r="V310" s="201"/>
      <c r="W310" s="200"/>
      <c r="X310" s="201"/>
      <c r="Y310" s="243"/>
      <c r="Z310" s="201"/>
      <c r="AA310" s="205" t="s">
        <v>2527</v>
      </c>
      <c r="AB310" s="205" t="s">
        <v>2527</v>
      </c>
      <c r="AC310" s="358" t="str">
        <f t="shared" si="74"/>
        <v>SET 3, keep only big one if 1 bad</v>
      </c>
      <c r="AD310" s="205" t="s">
        <v>2839</v>
      </c>
      <c r="AE310" s="205"/>
      <c r="AF310" s="201" t="s">
        <v>548</v>
      </c>
      <c r="AG310" s="205" t="s">
        <v>875</v>
      </c>
      <c r="AH310" s="16">
        <v>150</v>
      </c>
      <c r="AI310" s="380">
        <f t="shared" si="76"/>
        <v>150</v>
      </c>
      <c r="AJ310" s="204" t="s">
        <v>408</v>
      </c>
      <c r="AK310" s="204" t="s">
        <v>425</v>
      </c>
      <c r="AL310" s="204" t="s">
        <v>2175</v>
      </c>
      <c r="AM310" s="190"/>
      <c r="AN310" s="191">
        <v>513</v>
      </c>
      <c r="AO310" s="190" t="s">
        <v>572</v>
      </c>
      <c r="AP310" s="190">
        <v>50295</v>
      </c>
      <c r="AQ310" s="190" t="str">
        <f t="shared" si="82"/>
        <v>513-50295</v>
      </c>
      <c r="AR310" s="190"/>
      <c r="AS310" s="190"/>
      <c r="AT310" s="190"/>
      <c r="AU310" s="190"/>
      <c r="AV310" s="190"/>
      <c r="AW310" s="190"/>
      <c r="AX310" s="279" t="str">
        <f t="shared" si="67"/>
        <v/>
      </c>
    </row>
    <row r="311" spans="1:50" x14ac:dyDescent="0.25">
      <c r="A311" s="190" t="str">
        <f t="shared" si="70"/>
        <v/>
      </c>
      <c r="B311" s="279" t="str">
        <f t="shared" si="77"/>
        <v>440-59360</v>
      </c>
      <c r="C311" s="279"/>
      <c r="D311" s="279"/>
      <c r="E311" s="279">
        <f t="shared" si="71"/>
        <v>1</v>
      </c>
      <c r="F311" s="190" t="s">
        <v>535</v>
      </c>
      <c r="G311" s="198">
        <v>44674</v>
      </c>
      <c r="H311" s="205"/>
      <c r="I311" s="205"/>
      <c r="J311" s="205" t="s">
        <v>402</v>
      </c>
      <c r="K311" s="205" t="s">
        <v>2764</v>
      </c>
      <c r="L311" s="205" t="s">
        <v>430</v>
      </c>
      <c r="M311" s="200" t="s">
        <v>558</v>
      </c>
      <c r="N311" s="200"/>
      <c r="O311" s="230"/>
      <c r="P311" s="230"/>
      <c r="Q311" s="231" t="str">
        <f t="shared" si="72"/>
        <v>. Differential, FRONT</v>
      </c>
      <c r="R311" s="231"/>
      <c r="S311" s="231" t="str">
        <f t="shared" si="75"/>
        <v/>
      </c>
      <c r="T311" s="231" t="str">
        <f>IF(O311&lt;&gt;"",_xlfn.XLOOKUP(O311,'3D. Pictures'!B:B,'3D. Pictures'!E:E,"NOT FOUND",0,1),"")</f>
        <v/>
      </c>
      <c r="U311" s="200"/>
      <c r="V311" s="201"/>
      <c r="W311" s="200"/>
      <c r="X311" s="201"/>
      <c r="Y311" s="243"/>
      <c r="Z311" s="201"/>
      <c r="AA311" s="205" t="s">
        <v>430</v>
      </c>
      <c r="AB311" s="205" t="s">
        <v>430</v>
      </c>
      <c r="AC311" s="358" t="str">
        <f t="shared" si="74"/>
        <v/>
      </c>
      <c r="AD311" s="205"/>
      <c r="AE311" s="205"/>
      <c r="AF311" s="201" t="s">
        <v>543</v>
      </c>
      <c r="AG311" s="205"/>
      <c r="AH311" s="16">
        <v>245</v>
      </c>
      <c r="AI311" s="380">
        <f t="shared" si="76"/>
        <v>245</v>
      </c>
      <c r="AJ311" s="204" t="s">
        <v>408</v>
      </c>
      <c r="AK311" s="204" t="s">
        <v>425</v>
      </c>
      <c r="AL311" s="204" t="s">
        <v>2634</v>
      </c>
      <c r="AM311" s="190"/>
      <c r="AN311" s="191" t="s">
        <v>646</v>
      </c>
      <c r="AO311" s="190" t="s">
        <v>572</v>
      </c>
      <c r="AP311" s="190">
        <v>59360</v>
      </c>
      <c r="AQ311" s="190" t="str">
        <f t="shared" si="82"/>
        <v>440-59360</v>
      </c>
      <c r="AR311" s="190"/>
      <c r="AS311" s="190"/>
      <c r="AT311" s="190"/>
      <c r="AU311" s="190"/>
      <c r="AV311" s="190"/>
      <c r="AW311" s="190"/>
      <c r="AX311" s="279" t="str">
        <f t="shared" si="67"/>
        <v/>
      </c>
    </row>
    <row r="312" spans="1:50" x14ac:dyDescent="0.25">
      <c r="A312" s="190" t="str">
        <f t="shared" si="70"/>
        <v/>
      </c>
      <c r="B312" s="279" t="str">
        <f t="shared" si="77"/>
        <v>440-50572</v>
      </c>
      <c r="C312" s="279"/>
      <c r="D312" s="279"/>
      <c r="E312" s="279">
        <f t="shared" si="71"/>
        <v>1</v>
      </c>
      <c r="F312" s="190" t="s">
        <v>535</v>
      </c>
      <c r="G312" s="198">
        <v>44674</v>
      </c>
      <c r="H312" s="205"/>
      <c r="I312" s="205"/>
      <c r="J312" s="205" t="s">
        <v>402</v>
      </c>
      <c r="K312" s="205" t="s">
        <v>2764</v>
      </c>
      <c r="L312" s="205" t="s">
        <v>431</v>
      </c>
      <c r="M312" s="200" t="s">
        <v>558</v>
      </c>
      <c r="N312" s="200"/>
      <c r="O312" s="230"/>
      <c r="P312" s="230"/>
      <c r="Q312" s="231" t="str">
        <f t="shared" si="72"/>
        <v>. Differential, REAR</v>
      </c>
      <c r="R312" s="231"/>
      <c r="S312" s="231" t="str">
        <f t="shared" si="75"/>
        <v/>
      </c>
      <c r="T312" s="231" t="str">
        <f>IF(O312&lt;&gt;"",_xlfn.XLOOKUP(O312,'3D. Pictures'!B:B,'3D. Pictures'!E:E,"NOT FOUND",0,1),"")</f>
        <v/>
      </c>
      <c r="U312" s="200"/>
      <c r="V312" s="201"/>
      <c r="W312" s="200"/>
      <c r="X312" s="201"/>
      <c r="Y312" s="243"/>
      <c r="Z312" s="201"/>
      <c r="AA312" s="205" t="s">
        <v>431</v>
      </c>
      <c r="AB312" s="205" t="s">
        <v>431</v>
      </c>
      <c r="AC312" s="358" t="str">
        <f t="shared" si="74"/>
        <v/>
      </c>
      <c r="AD312" s="205"/>
      <c r="AE312" s="205"/>
      <c r="AF312" s="201" t="s">
        <v>543</v>
      </c>
      <c r="AG312" s="205"/>
      <c r="AH312" s="167">
        <v>900</v>
      </c>
      <c r="AI312" s="380">
        <f t="shared" si="76"/>
        <v>900</v>
      </c>
      <c r="AJ312" s="204" t="s">
        <v>408</v>
      </c>
      <c r="AK312" s="204" t="s">
        <v>425</v>
      </c>
      <c r="AL312" s="204" t="s">
        <v>2634</v>
      </c>
      <c r="AM312" s="190"/>
      <c r="AN312" s="191" t="s">
        <v>646</v>
      </c>
      <c r="AO312" s="190" t="s">
        <v>572</v>
      </c>
      <c r="AP312" s="190">
        <v>50572</v>
      </c>
      <c r="AQ312" s="190" t="str">
        <f t="shared" si="82"/>
        <v>440-50572</v>
      </c>
      <c r="AR312" s="190" t="s">
        <v>2327</v>
      </c>
      <c r="AS312" s="190"/>
      <c r="AT312" s="190"/>
      <c r="AU312" s="190"/>
      <c r="AV312" s="190"/>
      <c r="AW312" s="190"/>
      <c r="AX312" s="279" t="str">
        <f t="shared" si="67"/>
        <v/>
      </c>
    </row>
    <row r="313" spans="1:50" ht="15.75" thickBot="1" x14ac:dyDescent="0.3">
      <c r="A313" s="190" t="str">
        <f t="shared" si="70"/>
        <v/>
      </c>
      <c r="B313" s="279" t="str">
        <f t="shared" si="77"/>
        <v>430-50149</v>
      </c>
      <c r="C313" s="279"/>
      <c r="D313" s="279"/>
      <c r="E313" s="279">
        <f t="shared" si="71"/>
        <v>1</v>
      </c>
      <c r="F313" s="190" t="s">
        <v>535</v>
      </c>
      <c r="G313" s="198">
        <v>45216</v>
      </c>
      <c r="H313" s="205"/>
      <c r="I313" s="205"/>
      <c r="J313" s="206" t="s">
        <v>402</v>
      </c>
      <c r="K313" s="206" t="s">
        <v>2764</v>
      </c>
      <c r="L313" s="206" t="s">
        <v>432</v>
      </c>
      <c r="M313" s="200" t="s">
        <v>558</v>
      </c>
      <c r="N313" s="200"/>
      <c r="O313" s="230"/>
      <c r="P313" s="230"/>
      <c r="Q313" s="231" t="str">
        <f t="shared" si="72"/>
        <v>. Driveshaft, FRONT</v>
      </c>
      <c r="R313" s="231"/>
      <c r="S313" s="231" t="str">
        <f t="shared" si="75"/>
        <v/>
      </c>
      <c r="T313" s="231" t="str">
        <f>IF(O313&lt;&gt;"",_xlfn.XLOOKUP(O313,'3D. Pictures'!B:B,'3D. Pictures'!E:E,"NOT FOUND",0,1),"")</f>
        <v/>
      </c>
      <c r="U313" s="230"/>
      <c r="V313" s="202"/>
      <c r="W313" s="230"/>
      <c r="X313" s="202"/>
      <c r="Y313" s="168"/>
      <c r="Z313" s="202"/>
      <c r="AA313" s="206" t="s">
        <v>432</v>
      </c>
      <c r="AB313" s="206" t="s">
        <v>432</v>
      </c>
      <c r="AC313" s="231" t="str">
        <f t="shared" si="74"/>
        <v/>
      </c>
      <c r="AD313" s="206"/>
      <c r="AE313" s="206"/>
      <c r="AF313" s="201" t="s">
        <v>543</v>
      </c>
      <c r="AG313" s="215"/>
      <c r="AH313" s="16">
        <v>100</v>
      </c>
      <c r="AI313" s="380">
        <f t="shared" si="76"/>
        <v>100</v>
      </c>
      <c r="AJ313" s="204" t="s">
        <v>437</v>
      </c>
      <c r="AK313" s="204" t="s">
        <v>425</v>
      </c>
      <c r="AL313" s="204" t="s">
        <v>2632</v>
      </c>
      <c r="AM313" s="190"/>
      <c r="AN313" s="191" t="s">
        <v>647</v>
      </c>
      <c r="AO313" s="190" t="s">
        <v>572</v>
      </c>
      <c r="AP313" s="190">
        <v>50149</v>
      </c>
      <c r="AQ313" s="190" t="str">
        <f t="shared" si="82"/>
        <v>430-50149</v>
      </c>
      <c r="AR313" s="190"/>
      <c r="AS313" s="190"/>
      <c r="AT313" s="190"/>
      <c r="AU313" s="190"/>
      <c r="AV313" s="190"/>
      <c r="AW313" s="190"/>
      <c r="AX313" s="279" t="str">
        <f t="shared" ref="AX313:AX376" si="83">IF(AW313&lt;&gt;"",_xlfn.TEXTJOIN("-",TRUE,AV313,AW313),"")</f>
        <v/>
      </c>
    </row>
    <row r="314" spans="1:50" ht="15.75" thickBot="1" x14ac:dyDescent="0.3">
      <c r="A314" s="190" t="str">
        <f t="shared" si="70"/>
        <v>A102</v>
      </c>
      <c r="B314" s="279" t="str">
        <f t="shared" si="77"/>
        <v/>
      </c>
      <c r="C314" s="279"/>
      <c r="D314" s="279"/>
      <c r="E314" s="279" t="str">
        <f t="shared" si="71"/>
        <v/>
      </c>
      <c r="F314" s="241" t="s">
        <v>535</v>
      </c>
      <c r="G314" s="242">
        <v>44683</v>
      </c>
      <c r="H314" s="243"/>
      <c r="I314" s="243"/>
      <c r="J314" s="244" t="s">
        <v>402</v>
      </c>
      <c r="K314" s="243" t="s">
        <v>2764</v>
      </c>
      <c r="L314" s="243" t="s">
        <v>1375</v>
      </c>
      <c r="M314" s="243" t="s">
        <v>559</v>
      </c>
      <c r="N314" s="241">
        <v>92</v>
      </c>
      <c r="O314" s="241" t="s">
        <v>1004</v>
      </c>
      <c r="P314" s="244" t="s">
        <v>1300</v>
      </c>
      <c r="Q314" s="231" t="str">
        <f t="shared" si="72"/>
        <v>A102. Emergency Parking Brake Actuator</v>
      </c>
      <c r="R314" s="284" t="str">
        <f>HYPERLINK(VLOOKUP(O314,'3D. Pictures'!$B$3:$E$500,4,FALSE),"PIC")</f>
        <v>PIC</v>
      </c>
      <c r="S314" s="373" t="str">
        <f t="shared" si="75"/>
        <v>E.G.</v>
      </c>
      <c r="T314" s="377" t="str">
        <f>IF(O314&lt;&gt;"",_xlfn.XLOOKUP(O314,'3D. Pictures'!B:B,'3D. Pictures'!E:E,"NOT FOUND",0,1),"")</f>
        <v>https://viking-pictures.s3.us-west-1.amazonaws.com/AA1155/A102.+Emergency+Parking+Brake+Actuator+(1).JPG</v>
      </c>
      <c r="U314" s="243">
        <v>5</v>
      </c>
      <c r="V314" s="243" t="s">
        <v>1327</v>
      </c>
      <c r="W314" s="243" t="s">
        <v>111</v>
      </c>
      <c r="X314" s="243"/>
      <c r="Y314" s="16"/>
      <c r="Z314" s="243"/>
      <c r="AA314" s="243" t="s">
        <v>1326</v>
      </c>
      <c r="AB314" s="243" t="s">
        <v>1326</v>
      </c>
      <c r="AC314" s="358" t="str">
        <f t="shared" si="74"/>
        <v>WITH cables ON</v>
      </c>
      <c r="AD314" s="243" t="s">
        <v>1325</v>
      </c>
      <c r="AE314" s="243"/>
      <c r="AF314" s="179" t="s">
        <v>543</v>
      </c>
      <c r="AG314" s="243"/>
      <c r="AH314" s="16">
        <v>350</v>
      </c>
      <c r="AI314" s="380">
        <f t="shared" si="76"/>
        <v>350</v>
      </c>
      <c r="AJ314" s="246" t="s">
        <v>408</v>
      </c>
      <c r="AK314" s="246" t="s">
        <v>425</v>
      </c>
      <c r="AL314" s="204" t="s">
        <v>2175</v>
      </c>
      <c r="AM314" s="241"/>
      <c r="AN314" s="241"/>
      <c r="AO314" s="241"/>
      <c r="AP314" s="241"/>
      <c r="AQ314" s="241"/>
      <c r="AR314" s="241"/>
      <c r="AS314" s="241" t="s">
        <v>1028</v>
      </c>
      <c r="AT314" s="241" t="s">
        <v>1029</v>
      </c>
      <c r="AU314" s="241" t="s">
        <v>1030</v>
      </c>
      <c r="AV314" s="303" t="str">
        <f t="shared" ref="AV314:AV319" si="84">CONCATENATE(AS314,"-",AT314,"-",AU314)</f>
        <v>F15-14-18-ALL</v>
      </c>
      <c r="AW314" s="241" t="s">
        <v>2429</v>
      </c>
      <c r="AX314" s="279" t="str">
        <f t="shared" si="83"/>
        <v>F15-14-18-ALL-Viking63</v>
      </c>
    </row>
    <row r="315" spans="1:50" ht="15.75" thickBot="1" x14ac:dyDescent="0.3">
      <c r="A315" s="190" t="str">
        <f t="shared" si="70"/>
        <v>A40</v>
      </c>
      <c r="B315" s="279" t="str">
        <f t="shared" si="77"/>
        <v/>
      </c>
      <c r="C315" s="279"/>
      <c r="D315" s="279"/>
      <c r="E315" s="279" t="str">
        <f t="shared" si="71"/>
        <v/>
      </c>
      <c r="F315" s="241" t="s">
        <v>535</v>
      </c>
      <c r="G315" s="242">
        <v>44683</v>
      </c>
      <c r="H315" s="243"/>
      <c r="I315" s="243"/>
      <c r="J315" s="243" t="s">
        <v>402</v>
      </c>
      <c r="K315" s="243" t="s">
        <v>2764</v>
      </c>
      <c r="L315" s="243" t="s">
        <v>2715</v>
      </c>
      <c r="M315" s="243" t="s">
        <v>559</v>
      </c>
      <c r="N315" s="243">
        <v>30</v>
      </c>
      <c r="O315" s="244" t="s">
        <v>942</v>
      </c>
      <c r="P315" s="244" t="s">
        <v>1168</v>
      </c>
      <c r="Q315" s="231" t="str">
        <f t="shared" si="72"/>
        <v>A40. Height Level Sensors, FRONT - LEFT</v>
      </c>
      <c r="R315" s="284" t="str">
        <f>HYPERLINK(VLOOKUP(O315,'3D. Pictures'!$B$3:$E$500,4,FALSE),"PIC")</f>
        <v>PIC</v>
      </c>
      <c r="S315" s="373" t="str">
        <f t="shared" si="75"/>
        <v>E.G.</v>
      </c>
      <c r="T315" s="377" t="str">
        <f>IF(O315&lt;&gt;"",_xlfn.XLOOKUP(O315,'3D. Pictures'!B:B,'3D. Pictures'!E:E,"NOT FOUND",0,1),"")</f>
        <v>https://viking-pictures.s3.us-west-1.amazonaws.com/AA1155/A40.+Height+Level+Sensors%2C+FRONT+-+LEFT+(1).JPG</v>
      </c>
      <c r="U315" s="243">
        <v>3</v>
      </c>
      <c r="V315" s="243" t="s">
        <v>2163</v>
      </c>
      <c r="W315" s="243" t="s">
        <v>112</v>
      </c>
      <c r="X315" s="243"/>
      <c r="Y315" s="16"/>
      <c r="Z315" s="243"/>
      <c r="AA315" s="243" t="s">
        <v>1193</v>
      </c>
      <c r="AB315" s="243" t="s">
        <v>1193</v>
      </c>
      <c r="AC315" s="358" t="str">
        <f t="shared" si="74"/>
        <v>leave arms on, mark location each obtained from</v>
      </c>
      <c r="AD315" s="243" t="s">
        <v>1192</v>
      </c>
      <c r="AE315" s="243"/>
      <c r="AF315" s="179" t="s">
        <v>543</v>
      </c>
      <c r="AG315" s="243"/>
      <c r="AH315" s="16">
        <v>75</v>
      </c>
      <c r="AI315" s="380">
        <f t="shared" si="76"/>
        <v>75</v>
      </c>
      <c r="AJ315" s="246" t="s">
        <v>408</v>
      </c>
      <c r="AK315" s="246" t="s">
        <v>425</v>
      </c>
      <c r="AL315" s="204" t="s">
        <v>2175</v>
      </c>
      <c r="AM315" s="241"/>
      <c r="AN315" s="241"/>
      <c r="AO315" s="241"/>
      <c r="AP315" s="241"/>
      <c r="AQ315" s="241"/>
      <c r="AR315" s="241"/>
      <c r="AS315" s="241" t="s">
        <v>1028</v>
      </c>
      <c r="AT315" s="241" t="s">
        <v>1029</v>
      </c>
      <c r="AU315" s="241" t="s">
        <v>1030</v>
      </c>
      <c r="AV315" s="303" t="str">
        <f t="shared" si="84"/>
        <v>F15-14-18-ALL</v>
      </c>
      <c r="AW315" s="241" t="s">
        <v>2430</v>
      </c>
      <c r="AX315" s="279" t="str">
        <f t="shared" si="83"/>
        <v>F15-14-18-ALL-Viking64</v>
      </c>
    </row>
    <row r="316" spans="1:50" ht="15.75" thickBot="1" x14ac:dyDescent="0.3">
      <c r="A316" s="190" t="str">
        <f t="shared" si="70"/>
        <v/>
      </c>
      <c r="B316" s="279" t="str">
        <f t="shared" si="77"/>
        <v/>
      </c>
      <c r="C316" s="279"/>
      <c r="D316" s="279"/>
      <c r="E316" s="279" t="str">
        <f t="shared" si="71"/>
        <v/>
      </c>
      <c r="F316" s="241" t="s">
        <v>535</v>
      </c>
      <c r="G316" s="242">
        <v>44683</v>
      </c>
      <c r="H316" s="243"/>
      <c r="I316" s="243"/>
      <c r="J316" s="243" t="s">
        <v>402</v>
      </c>
      <c r="K316" s="243" t="s">
        <v>2764</v>
      </c>
      <c r="L316" s="243" t="s">
        <v>2715</v>
      </c>
      <c r="M316" s="243" t="s">
        <v>559</v>
      </c>
      <c r="N316" s="243"/>
      <c r="O316" s="244"/>
      <c r="P316" s="244"/>
      <c r="Q316" s="231" t="str">
        <f t="shared" si="72"/>
        <v>. Height Level Sensors, FRONT - RIGHT</v>
      </c>
      <c r="R316" s="244"/>
      <c r="S316" s="244" t="str">
        <f t="shared" si="75"/>
        <v/>
      </c>
      <c r="T316" s="244" t="str">
        <f>IF(O316&lt;&gt;"",_xlfn.XLOOKUP(O316,'3D. Pictures'!B:B,'3D. Pictures'!E:E,"NOT FOUND",0,1),"")</f>
        <v/>
      </c>
      <c r="U316" s="243"/>
      <c r="V316" s="243" t="s">
        <v>1038</v>
      </c>
      <c r="W316" s="243" t="s">
        <v>112</v>
      </c>
      <c r="X316" s="243"/>
      <c r="Y316" s="16"/>
      <c r="Z316" s="243"/>
      <c r="AA316" s="243" t="s">
        <v>1194</v>
      </c>
      <c r="AB316" s="243" t="s">
        <v>1194</v>
      </c>
      <c r="AC316" s="358" t="str">
        <f t="shared" si="74"/>
        <v>leave arms on, mark location each obtained from</v>
      </c>
      <c r="AD316" s="243" t="s">
        <v>1192</v>
      </c>
      <c r="AE316" s="243"/>
      <c r="AF316" s="179" t="s">
        <v>543</v>
      </c>
      <c r="AG316" s="243"/>
      <c r="AH316" s="16">
        <v>75</v>
      </c>
      <c r="AI316" s="380">
        <f t="shared" si="76"/>
        <v>75</v>
      </c>
      <c r="AJ316" s="246" t="s">
        <v>408</v>
      </c>
      <c r="AK316" s="246" t="s">
        <v>425</v>
      </c>
      <c r="AL316" s="204" t="s">
        <v>2175</v>
      </c>
      <c r="AM316" s="241"/>
      <c r="AN316" s="241"/>
      <c r="AO316" s="241"/>
      <c r="AP316" s="241"/>
      <c r="AQ316" s="241"/>
      <c r="AR316" s="241"/>
      <c r="AS316" s="241" t="s">
        <v>1028</v>
      </c>
      <c r="AT316" s="241" t="s">
        <v>1029</v>
      </c>
      <c r="AU316" s="241" t="s">
        <v>1030</v>
      </c>
      <c r="AV316" s="303" t="str">
        <f t="shared" si="84"/>
        <v>F15-14-18-ALL</v>
      </c>
      <c r="AW316" s="241" t="s">
        <v>2431</v>
      </c>
      <c r="AX316" s="279" t="str">
        <f t="shared" si="83"/>
        <v>F15-14-18-ALL-Viking65</v>
      </c>
    </row>
    <row r="317" spans="1:50" ht="15.75" thickBot="1" x14ac:dyDescent="0.3">
      <c r="A317" s="190" t="str">
        <f t="shared" si="70"/>
        <v>A41</v>
      </c>
      <c r="B317" s="279" t="str">
        <f t="shared" si="77"/>
        <v/>
      </c>
      <c r="C317" s="279"/>
      <c r="D317" s="279"/>
      <c r="E317" s="279" t="str">
        <f t="shared" si="71"/>
        <v/>
      </c>
      <c r="F317" s="241" t="s">
        <v>535</v>
      </c>
      <c r="G317" s="242">
        <v>44683</v>
      </c>
      <c r="H317" s="243"/>
      <c r="I317" s="243"/>
      <c r="J317" s="243" t="s">
        <v>402</v>
      </c>
      <c r="K317" s="243" t="s">
        <v>2764</v>
      </c>
      <c r="L317" s="243" t="s">
        <v>2715</v>
      </c>
      <c r="M317" s="243" t="s">
        <v>559</v>
      </c>
      <c r="N317" s="243">
        <v>31</v>
      </c>
      <c r="O317" s="244" t="s">
        <v>943</v>
      </c>
      <c r="P317" s="244" t="s">
        <v>1168</v>
      </c>
      <c r="Q317" s="231" t="str">
        <f t="shared" si="72"/>
        <v>A41. Height Level Sensors, REAR - LEFT</v>
      </c>
      <c r="R317" s="284" t="str">
        <f>HYPERLINK(VLOOKUP(O317,'3D. Pictures'!$B$3:$E$500,4,FALSE),"PIC")</f>
        <v>PIC</v>
      </c>
      <c r="S317" s="373" t="str">
        <f t="shared" si="75"/>
        <v>E.G.</v>
      </c>
      <c r="T317" s="377" t="str">
        <f>IF(O317&lt;&gt;"",_xlfn.XLOOKUP(O317,'3D. Pictures'!B:B,'3D. Pictures'!E:E,"NOT FOUND",0,1),"")</f>
        <v>https://viking-pictures.s3.us-west-1.amazonaws.com/AA1155/A41.+Height+Level+Sensors%2C+REAR+-+LEFT+(1).JPG</v>
      </c>
      <c r="U317" s="243">
        <v>4</v>
      </c>
      <c r="V317" s="243" t="s">
        <v>2164</v>
      </c>
      <c r="W317" s="243" t="s">
        <v>112</v>
      </c>
      <c r="X317" s="243"/>
      <c r="Y317" s="16"/>
      <c r="Z317" s="243"/>
      <c r="AA317" s="243" t="s">
        <v>1195</v>
      </c>
      <c r="AB317" s="243" t="s">
        <v>1195</v>
      </c>
      <c r="AC317" s="358" t="str">
        <f t="shared" si="74"/>
        <v>leave arms on, mark location each obtained from</v>
      </c>
      <c r="AD317" s="243" t="s">
        <v>1192</v>
      </c>
      <c r="AE317" s="243"/>
      <c r="AF317" s="179" t="s">
        <v>543</v>
      </c>
      <c r="AG317" s="243"/>
      <c r="AH317" s="16">
        <v>75</v>
      </c>
      <c r="AI317" s="380">
        <f t="shared" si="76"/>
        <v>75</v>
      </c>
      <c r="AJ317" s="246" t="s">
        <v>408</v>
      </c>
      <c r="AK317" s="246" t="s">
        <v>425</v>
      </c>
      <c r="AL317" s="204" t="s">
        <v>2175</v>
      </c>
      <c r="AM317" s="241"/>
      <c r="AN317" s="241"/>
      <c r="AO317" s="241"/>
      <c r="AP317" s="241"/>
      <c r="AQ317" s="241"/>
      <c r="AR317" s="241"/>
      <c r="AS317" s="241" t="s">
        <v>1028</v>
      </c>
      <c r="AT317" s="241" t="s">
        <v>1029</v>
      </c>
      <c r="AU317" s="241" t="s">
        <v>1030</v>
      </c>
      <c r="AV317" s="303" t="str">
        <f t="shared" si="84"/>
        <v>F15-14-18-ALL</v>
      </c>
      <c r="AW317" s="241" t="s">
        <v>2432</v>
      </c>
      <c r="AX317" s="279" t="str">
        <f t="shared" si="83"/>
        <v>F15-14-18-ALL-Viking66</v>
      </c>
    </row>
    <row r="318" spans="1:50" ht="15.75" thickBot="1" x14ac:dyDescent="0.3">
      <c r="A318" s="190" t="str">
        <f t="shared" si="70"/>
        <v/>
      </c>
      <c r="B318" s="279" t="str">
        <f t="shared" si="77"/>
        <v/>
      </c>
      <c r="C318" s="279"/>
      <c r="D318" s="279"/>
      <c r="E318" s="279" t="str">
        <f t="shared" si="71"/>
        <v/>
      </c>
      <c r="F318" s="241" t="s">
        <v>535</v>
      </c>
      <c r="G318" s="242">
        <v>44683</v>
      </c>
      <c r="H318" s="243"/>
      <c r="I318" s="243"/>
      <c r="J318" s="243" t="s">
        <v>402</v>
      </c>
      <c r="K318" s="243" t="s">
        <v>2764</v>
      </c>
      <c r="L318" s="243" t="s">
        <v>2715</v>
      </c>
      <c r="M318" s="243" t="s">
        <v>559</v>
      </c>
      <c r="N318" s="243"/>
      <c r="O318" s="244"/>
      <c r="P318" s="244"/>
      <c r="Q318" s="231" t="str">
        <f t="shared" si="72"/>
        <v>. Height Level Sensors, REAR - RIGHT</v>
      </c>
      <c r="R318" s="244"/>
      <c r="S318" s="244" t="str">
        <f t="shared" si="75"/>
        <v/>
      </c>
      <c r="T318" s="244" t="str">
        <f>IF(O318&lt;&gt;"",_xlfn.XLOOKUP(O318,'3D. Pictures'!B:B,'3D. Pictures'!E:E,"NOT FOUND",0,1),"")</f>
        <v/>
      </c>
      <c r="U318" s="243"/>
      <c r="V318" s="243" t="s">
        <v>1038</v>
      </c>
      <c r="W318" s="243" t="s">
        <v>112</v>
      </c>
      <c r="X318" s="243"/>
      <c r="Y318" s="16"/>
      <c r="Z318" s="243"/>
      <c r="AA318" s="243" t="s">
        <v>1196</v>
      </c>
      <c r="AB318" s="243" t="s">
        <v>1196</v>
      </c>
      <c r="AC318" s="358" t="str">
        <f t="shared" si="74"/>
        <v>leave arms on, mark location each obtained from</v>
      </c>
      <c r="AD318" s="243" t="s">
        <v>1192</v>
      </c>
      <c r="AE318" s="243"/>
      <c r="AF318" s="179" t="s">
        <v>543</v>
      </c>
      <c r="AG318" s="243"/>
      <c r="AH318" s="16">
        <v>75</v>
      </c>
      <c r="AI318" s="380">
        <f t="shared" si="76"/>
        <v>75</v>
      </c>
      <c r="AJ318" s="246" t="s">
        <v>408</v>
      </c>
      <c r="AK318" s="246" t="s">
        <v>425</v>
      </c>
      <c r="AL318" s="204" t="s">
        <v>2175</v>
      </c>
      <c r="AM318" s="241"/>
      <c r="AN318" s="241"/>
      <c r="AO318" s="241"/>
      <c r="AP318" s="241"/>
      <c r="AQ318" s="241"/>
      <c r="AR318" s="241"/>
      <c r="AS318" s="241" t="s">
        <v>1028</v>
      </c>
      <c r="AT318" s="241" t="s">
        <v>1029</v>
      </c>
      <c r="AU318" s="241" t="s">
        <v>1030</v>
      </c>
      <c r="AV318" s="303" t="str">
        <f t="shared" si="84"/>
        <v>F15-14-18-ALL</v>
      </c>
      <c r="AW318" s="241" t="s">
        <v>2433</v>
      </c>
      <c r="AX318" s="279" t="str">
        <f t="shared" si="83"/>
        <v>F15-14-18-ALL-Viking67</v>
      </c>
    </row>
    <row r="319" spans="1:50" ht="15.75" thickBot="1" x14ac:dyDescent="0.3">
      <c r="A319" s="190" t="str">
        <f t="shared" si="70"/>
        <v>A17</v>
      </c>
      <c r="B319" s="279" t="str">
        <f t="shared" si="77"/>
        <v/>
      </c>
      <c r="C319" s="279"/>
      <c r="D319" s="279"/>
      <c r="E319" s="279" t="str">
        <f t="shared" si="71"/>
        <v/>
      </c>
      <c r="F319" s="241" t="s">
        <v>535</v>
      </c>
      <c r="G319" s="242">
        <v>44683</v>
      </c>
      <c r="H319" s="243"/>
      <c r="I319" s="243"/>
      <c r="J319" s="243" t="s">
        <v>402</v>
      </c>
      <c r="K319" s="244" t="s">
        <v>2764</v>
      </c>
      <c r="L319" s="243" t="s">
        <v>2699</v>
      </c>
      <c r="M319" s="243" t="s">
        <v>559</v>
      </c>
      <c r="N319" s="243">
        <v>7</v>
      </c>
      <c r="O319" s="244" t="s">
        <v>919</v>
      </c>
      <c r="P319" s="244" t="s">
        <v>1035</v>
      </c>
      <c r="Q319" s="231" t="str">
        <f t="shared" si="72"/>
        <v>A17. Muffler Tips SET 2</v>
      </c>
      <c r="R319" s="284" t="str">
        <f>HYPERLINK(VLOOKUP(O319,'3D. Pictures'!$B$3:$E$500,4,FALSE),"PIC")</f>
        <v>PIC</v>
      </c>
      <c r="S319" s="373" t="str">
        <f t="shared" si="75"/>
        <v>E.G.</v>
      </c>
      <c r="T319" s="377" t="str">
        <f>IF(O319&lt;&gt;"",_xlfn.XLOOKUP(O319,'3D. Pictures'!B:B,'3D. Pictures'!E:E,"NOT FOUND",0,1),"")</f>
        <v>https://viking-pictures.s3.us-west-1.amazonaws.com/AA1155/A17.+Muffler+Tips+SET+2+(1).JPG</v>
      </c>
      <c r="U319" s="243">
        <v>4</v>
      </c>
      <c r="V319" s="243">
        <v>7633311</v>
      </c>
      <c r="W319" s="243" t="s">
        <v>111</v>
      </c>
      <c r="X319" s="243"/>
      <c r="Y319" s="16"/>
      <c r="Z319" s="243"/>
      <c r="AA319" s="243" t="s">
        <v>2505</v>
      </c>
      <c r="AB319" s="243" t="s">
        <v>2505</v>
      </c>
      <c r="AC319" s="358" t="str">
        <f t="shared" si="74"/>
        <v>toss both if 1 bad</v>
      </c>
      <c r="AD319" s="243" t="s">
        <v>1159</v>
      </c>
      <c r="AE319" s="243"/>
      <c r="AF319" s="179" t="s">
        <v>544</v>
      </c>
      <c r="AG319" s="243"/>
      <c r="AH319" s="16">
        <v>98</v>
      </c>
      <c r="AI319" s="380">
        <f t="shared" si="76"/>
        <v>98</v>
      </c>
      <c r="AJ319" s="246" t="s">
        <v>408</v>
      </c>
      <c r="AK319" s="246" t="s">
        <v>425</v>
      </c>
      <c r="AL319" s="204" t="s">
        <v>2175</v>
      </c>
      <c r="AM319" s="241"/>
      <c r="AN319" s="241"/>
      <c r="AO319" s="241"/>
      <c r="AP319" s="241"/>
      <c r="AQ319" s="241"/>
      <c r="AR319" s="241"/>
      <c r="AS319" s="241" t="s">
        <v>1028</v>
      </c>
      <c r="AT319" s="241" t="s">
        <v>1029</v>
      </c>
      <c r="AU319" s="241" t="s">
        <v>1042</v>
      </c>
      <c r="AV319" s="303" t="str">
        <f t="shared" si="84"/>
        <v>F15-14-18-3.0T N55</v>
      </c>
      <c r="AW319" s="241" t="s">
        <v>2434</v>
      </c>
      <c r="AX319" s="279" t="str">
        <f t="shared" si="83"/>
        <v>F15-14-18-3.0T N55-Viking68</v>
      </c>
    </row>
    <row r="320" spans="1:50" x14ac:dyDescent="0.25">
      <c r="A320" s="190" t="str">
        <f t="shared" si="70"/>
        <v/>
      </c>
      <c r="B320" s="279" t="str">
        <f t="shared" si="77"/>
        <v>527-61348</v>
      </c>
      <c r="C320" s="279" t="s">
        <v>2131</v>
      </c>
      <c r="D320" s="279"/>
      <c r="E320" s="279">
        <f t="shared" si="71"/>
        <v>1</v>
      </c>
      <c r="F320" s="190" t="s">
        <v>535</v>
      </c>
      <c r="G320" s="198">
        <v>45216</v>
      </c>
      <c r="H320" s="205"/>
      <c r="I320" s="205"/>
      <c r="J320" s="205" t="s">
        <v>402</v>
      </c>
      <c r="K320" s="206" t="s">
        <v>2764</v>
      </c>
      <c r="L320" s="205" t="s">
        <v>878</v>
      </c>
      <c r="M320" s="200" t="s">
        <v>558</v>
      </c>
      <c r="N320" s="200"/>
      <c r="O320" s="230"/>
      <c r="P320" s="230"/>
      <c r="Q320" s="231" t="str">
        <f t="shared" si="72"/>
        <v>. Shock Struts, FRONT SET 2</v>
      </c>
      <c r="R320" s="231"/>
      <c r="S320" s="231" t="str">
        <f t="shared" si="75"/>
        <v/>
      </c>
      <c r="T320" s="231" t="str">
        <f>IF(O320&lt;&gt;"",_xlfn.XLOOKUP(O320,'3D. Pictures'!B:B,'3D. Pictures'!E:E,"NOT FOUND",0,1),"")</f>
        <v/>
      </c>
      <c r="U320" s="200"/>
      <c r="V320" s="201"/>
      <c r="W320" s="200"/>
      <c r="X320" s="201"/>
      <c r="Y320" s="16"/>
      <c r="Z320" s="201"/>
      <c r="AA320" s="205" t="s">
        <v>2506</v>
      </c>
      <c r="AB320" s="205" t="s">
        <v>2506</v>
      </c>
      <c r="AC320" s="358" t="str">
        <f t="shared" si="74"/>
        <v>SET 2, sell singles if 1 bad</v>
      </c>
      <c r="AD320" s="205" t="s">
        <v>2550</v>
      </c>
      <c r="AE320" s="205"/>
      <c r="AF320" s="201" t="s">
        <v>544</v>
      </c>
      <c r="AG320" s="205"/>
      <c r="AH320" s="16">
        <v>800</v>
      </c>
      <c r="AI320" s="380">
        <f t="shared" si="76"/>
        <v>800</v>
      </c>
      <c r="AJ320" s="204" t="s">
        <v>2177</v>
      </c>
      <c r="AK320" s="204" t="s">
        <v>425</v>
      </c>
      <c r="AL320" s="204" t="s">
        <v>2177</v>
      </c>
      <c r="AM320" s="190"/>
      <c r="AN320" s="191" t="s">
        <v>648</v>
      </c>
      <c r="AO320" s="190" t="s">
        <v>572</v>
      </c>
      <c r="AP320" s="190">
        <v>61348</v>
      </c>
      <c r="AQ320" s="190" t="str">
        <f t="shared" ref="AQ320" si="85">CONCATENATE(AN320,AO320,AP320)</f>
        <v>527-61348</v>
      </c>
      <c r="AR320" s="190" t="s">
        <v>884</v>
      </c>
      <c r="AS320" s="190"/>
      <c r="AT320" s="190"/>
      <c r="AU320" s="190"/>
      <c r="AV320" s="190"/>
      <c r="AW320" s="190"/>
      <c r="AX320" s="279" t="str">
        <f t="shared" si="83"/>
        <v/>
      </c>
    </row>
    <row r="321" spans="1:50" x14ac:dyDescent="0.25">
      <c r="A321" s="190" t="str">
        <f t="shared" si="70"/>
        <v/>
      </c>
      <c r="B321" s="279" t="str">
        <f t="shared" si="77"/>
        <v/>
      </c>
      <c r="C321" s="279"/>
      <c r="D321" s="279"/>
      <c r="E321" s="279" t="str">
        <f t="shared" si="71"/>
        <v/>
      </c>
      <c r="F321" t="s">
        <v>535</v>
      </c>
      <c r="G321" s="188">
        <v>44674</v>
      </c>
      <c r="H321" s="16"/>
      <c r="I321" s="16"/>
      <c r="J321" s="16" t="s">
        <v>402</v>
      </c>
      <c r="K321" s="166" t="s">
        <v>2764</v>
      </c>
      <c r="L321" s="16" t="s">
        <v>1324</v>
      </c>
      <c r="M321" s="189" t="s">
        <v>562</v>
      </c>
      <c r="N321" s="189"/>
      <c r="O321" s="233"/>
      <c r="P321" s="233"/>
      <c r="Q321" s="231" t="str">
        <f t="shared" si="72"/>
        <v>. Shock Struts, REAR - LEFT (Adaptive)</v>
      </c>
      <c r="R321" s="231"/>
      <c r="S321" s="231" t="str">
        <f t="shared" si="75"/>
        <v/>
      </c>
      <c r="T321" s="231" t="str">
        <f>IF(O321&lt;&gt;"",_xlfn.XLOOKUP(O321,'3D. Pictures'!B:B,'3D. Pictures'!E:E,"NOT FOUND",0,1),"")</f>
        <v/>
      </c>
      <c r="U321" s="189"/>
      <c r="V321" s="168"/>
      <c r="W321" s="189"/>
      <c r="X321" s="168"/>
      <c r="Z321" s="168"/>
      <c r="AA321" s="16" t="s">
        <v>2626</v>
      </c>
      <c r="AB321" s="16" t="s">
        <v>2626</v>
      </c>
      <c r="AC321" s="358" t="str">
        <f t="shared" si="74"/>
        <v>tag as SINGLE</v>
      </c>
      <c r="AD321" s="16" t="s">
        <v>2320</v>
      </c>
      <c r="AE321" s="16"/>
      <c r="AF321" s="168" t="s">
        <v>543</v>
      </c>
      <c r="AG321" s="16"/>
      <c r="AH321" s="167">
        <v>350</v>
      </c>
      <c r="AI321" s="380">
        <f t="shared" si="76"/>
        <v>350</v>
      </c>
      <c r="AJ321" s="3" t="s">
        <v>408</v>
      </c>
      <c r="AK321" s="3" t="s">
        <v>425</v>
      </c>
      <c r="AL321" s="204" t="s">
        <v>2175</v>
      </c>
      <c r="AN321" s="45"/>
      <c r="AX321" s="279" t="str">
        <f t="shared" si="83"/>
        <v/>
      </c>
    </row>
    <row r="322" spans="1:50" x14ac:dyDescent="0.25">
      <c r="A322" s="190" t="str">
        <f t="shared" ref="A322:A377" si="86">IF(O322&lt;&gt;"",O322,"")</f>
        <v/>
      </c>
      <c r="B322" s="279" t="str">
        <f t="shared" si="77"/>
        <v/>
      </c>
      <c r="C322" s="279"/>
      <c r="D322" s="279"/>
      <c r="E322" s="279" t="str">
        <f t="shared" ref="E322:E376" si="87">IF(B322&lt;&gt;"",COUNTIF($B$9:$B$2241,B322),"")</f>
        <v/>
      </c>
      <c r="F322" t="s">
        <v>535</v>
      </c>
      <c r="G322" s="188">
        <v>44674</v>
      </c>
      <c r="H322" s="16"/>
      <c r="I322" s="16"/>
      <c r="J322" s="16" t="s">
        <v>402</v>
      </c>
      <c r="K322" s="166" t="s">
        <v>2764</v>
      </c>
      <c r="L322" s="16" t="s">
        <v>1324</v>
      </c>
      <c r="M322" s="189" t="s">
        <v>562</v>
      </c>
      <c r="N322" s="189"/>
      <c r="O322" s="233"/>
      <c r="P322" s="233"/>
      <c r="Q322" s="231" t="str">
        <f t="shared" ref="Q322:Q376" si="88">CONCATENATE(O322,". ",AB322)</f>
        <v>. Shock Struts, REAR - RIGHT (Adaptive)</v>
      </c>
      <c r="R322" s="231"/>
      <c r="S322" s="231" t="str">
        <f t="shared" si="75"/>
        <v/>
      </c>
      <c r="T322" s="231" t="str">
        <f>IF(O322&lt;&gt;"",_xlfn.XLOOKUP(O322,'3D. Pictures'!B:B,'3D. Pictures'!E:E,"NOT FOUND",0,1),"")</f>
        <v/>
      </c>
      <c r="U322" s="189"/>
      <c r="V322" s="168"/>
      <c r="W322" s="189"/>
      <c r="X322" s="168"/>
      <c r="Z322" s="168"/>
      <c r="AA322" s="16" t="s">
        <v>2627</v>
      </c>
      <c r="AB322" s="16" t="s">
        <v>2627</v>
      </c>
      <c r="AC322" s="358" t="str">
        <f t="shared" si="74"/>
        <v>tag as SINGLE</v>
      </c>
      <c r="AD322" s="16" t="s">
        <v>2320</v>
      </c>
      <c r="AE322" s="16"/>
      <c r="AF322" s="168" t="s">
        <v>543</v>
      </c>
      <c r="AG322" s="16"/>
      <c r="AH322" s="167">
        <v>350</v>
      </c>
      <c r="AI322" s="380">
        <f t="shared" si="76"/>
        <v>350</v>
      </c>
      <c r="AJ322" s="3" t="s">
        <v>408</v>
      </c>
      <c r="AK322" s="3" t="s">
        <v>425</v>
      </c>
      <c r="AL322" s="204" t="s">
        <v>2175</v>
      </c>
      <c r="AN322" s="45"/>
      <c r="AX322" s="279" t="str">
        <f t="shared" si="83"/>
        <v/>
      </c>
    </row>
    <row r="323" spans="1:50" ht="15.75" thickBot="1" x14ac:dyDescent="0.3">
      <c r="A323" s="190" t="str">
        <f t="shared" si="86"/>
        <v/>
      </c>
      <c r="B323" s="279" t="str">
        <f t="shared" si="77"/>
        <v/>
      </c>
      <c r="C323" s="279"/>
      <c r="D323" s="279"/>
      <c r="E323" s="279" t="str">
        <f t="shared" si="87"/>
        <v/>
      </c>
      <c r="F323" t="s">
        <v>535</v>
      </c>
      <c r="G323" s="188">
        <v>44674</v>
      </c>
      <c r="H323" s="16"/>
      <c r="I323" s="16"/>
      <c r="J323" s="16" t="s">
        <v>402</v>
      </c>
      <c r="K323" s="166" t="s">
        <v>2764</v>
      </c>
      <c r="L323" s="16" t="s">
        <v>1324</v>
      </c>
      <c r="M323" s="189" t="s">
        <v>562</v>
      </c>
      <c r="N323" s="189"/>
      <c r="O323" s="233"/>
      <c r="P323" s="233"/>
      <c r="Q323" s="231" t="str">
        <f t="shared" si="88"/>
        <v>. Shock Struts, REAR SET 2 (WITHOUT Adaptive)</v>
      </c>
      <c r="R323" s="231"/>
      <c r="S323" s="231" t="str">
        <f t="shared" si="75"/>
        <v/>
      </c>
      <c r="T323" s="231" t="str">
        <f>IF(O323&lt;&gt;"",_xlfn.XLOOKUP(O323,'3D. Pictures'!B:B,'3D. Pictures'!E:E,"NOT FOUND",0,1),"")</f>
        <v/>
      </c>
      <c r="U323" s="189"/>
      <c r="V323" s="168"/>
      <c r="W323" s="189"/>
      <c r="X323" s="168"/>
      <c r="Z323" s="168"/>
      <c r="AA323" s="16" t="s">
        <v>2628</v>
      </c>
      <c r="AB323" s="16" t="s">
        <v>2628</v>
      </c>
      <c r="AC323" s="358" t="str">
        <f t="shared" ref="AC323:AC376" si="89">_xlfn.TEXTJOIN(" | ",TRUE,AD323,AE323)</f>
        <v>SET 2, toss both if 1 bad</v>
      </c>
      <c r="AD323" s="16" t="s">
        <v>2551</v>
      </c>
      <c r="AE323" s="16"/>
      <c r="AF323" s="168" t="s">
        <v>544</v>
      </c>
      <c r="AG323" s="16"/>
      <c r="AH323" s="167">
        <v>160</v>
      </c>
      <c r="AI323" s="380">
        <f t="shared" si="76"/>
        <v>160</v>
      </c>
      <c r="AJ323" s="3" t="s">
        <v>408</v>
      </c>
      <c r="AK323" s="3" t="s">
        <v>425</v>
      </c>
      <c r="AL323" s="204" t="s">
        <v>2175</v>
      </c>
      <c r="AN323" s="45"/>
      <c r="AX323" s="279" t="str">
        <f t="shared" si="83"/>
        <v/>
      </c>
    </row>
    <row r="324" spans="1:50" ht="15.75" thickBot="1" x14ac:dyDescent="0.3">
      <c r="A324" s="190" t="str">
        <f t="shared" si="86"/>
        <v>A101</v>
      </c>
      <c r="B324" s="279" t="str">
        <f t="shared" si="77"/>
        <v/>
      </c>
      <c r="C324" s="279"/>
      <c r="D324" s="279"/>
      <c r="E324" s="279" t="str">
        <f t="shared" si="87"/>
        <v/>
      </c>
      <c r="F324" s="241" t="s">
        <v>535</v>
      </c>
      <c r="G324" s="242">
        <v>44683</v>
      </c>
      <c r="H324" s="243"/>
      <c r="I324" s="243"/>
      <c r="J324" s="244" t="s">
        <v>402</v>
      </c>
      <c r="K324" s="243" t="s">
        <v>2764</v>
      </c>
      <c r="L324" s="243" t="s">
        <v>1323</v>
      </c>
      <c r="M324" s="243" t="s">
        <v>559</v>
      </c>
      <c r="N324" s="243">
        <v>91</v>
      </c>
      <c r="O324" s="244" t="s">
        <v>1003</v>
      </c>
      <c r="P324" s="244" t="s">
        <v>1300</v>
      </c>
      <c r="Q324" s="231" t="str">
        <f t="shared" si="88"/>
        <v>A101. Springs, REAR Shock Springs as SET 2 WITH Gromets</v>
      </c>
      <c r="R324" s="284" t="str">
        <f>HYPERLINK(VLOOKUP(O324,'3D. Pictures'!$B$3:$E$500,4,FALSE),"PIC")</f>
        <v>PIC</v>
      </c>
      <c r="S324" s="373" t="str">
        <f t="shared" ref="S324:S377" si="90">IF(T324&lt;&gt;"",HYPERLINK(T324,"E.G."),"")</f>
        <v>E.G.</v>
      </c>
      <c r="T324" s="377" t="str">
        <f>IF(O324&lt;&gt;"",_xlfn.XLOOKUP(O324,'3D. Pictures'!B:B,'3D. Pictures'!E:E,"NOT FOUND",0,1),"")</f>
        <v>https://viking-pictures.s3.us-west-1.amazonaws.com/AA1155/A101.+Springs%2C+REAR+Shock+Springs+as+SET+2+WITH+Gromets+(1).JPG</v>
      </c>
      <c r="U324" s="243">
        <v>5</v>
      </c>
      <c r="V324" s="243" t="s">
        <v>1205</v>
      </c>
      <c r="W324" s="243" t="s">
        <v>111</v>
      </c>
      <c r="X324" s="243"/>
      <c r="Z324" s="243"/>
      <c r="AA324" s="243" t="s">
        <v>2507</v>
      </c>
      <c r="AB324" s="243" t="s">
        <v>2507</v>
      </c>
      <c r="AC324" s="358" t="str">
        <f t="shared" si="89"/>
        <v>sell singles if 1 bad, sell even if gromets missing</v>
      </c>
      <c r="AD324" s="243" t="s">
        <v>1320</v>
      </c>
      <c r="AE324" s="243"/>
      <c r="AF324" s="179" t="s">
        <v>544</v>
      </c>
      <c r="AG324" s="243"/>
      <c r="AH324" s="16">
        <v>200</v>
      </c>
      <c r="AI324" s="380">
        <f t="shared" ref="AI324:AI376" si="91">IF(ISTEXT(AH324), AH324, IFERROR(AVERAGEIF(AA:AA, AA324, AH:AH), ""))</f>
        <v>200</v>
      </c>
      <c r="AJ324" s="246" t="s">
        <v>408</v>
      </c>
      <c r="AK324" s="246" t="s">
        <v>425</v>
      </c>
      <c r="AL324" s="204" t="s">
        <v>2175</v>
      </c>
      <c r="AM324" s="241"/>
      <c r="AN324" s="241"/>
      <c r="AO324" s="241"/>
      <c r="AP324" s="241"/>
      <c r="AQ324" s="241"/>
      <c r="AR324" s="241"/>
      <c r="AS324" s="241" t="s">
        <v>1028</v>
      </c>
      <c r="AT324" s="241" t="s">
        <v>1029</v>
      </c>
      <c r="AU324" s="241" t="s">
        <v>1030</v>
      </c>
      <c r="AV324" s="303" t="str">
        <f t="shared" ref="AV324:AV326" si="92">CONCATENATE(AS324,"-",AT324,"-",AU324)</f>
        <v>F15-14-18-ALL</v>
      </c>
      <c r="AW324" s="241" t="s">
        <v>2435</v>
      </c>
      <c r="AX324" s="279" t="str">
        <f t="shared" si="83"/>
        <v>F15-14-18-ALL-Viking69</v>
      </c>
    </row>
    <row r="325" spans="1:50" x14ac:dyDescent="0.25">
      <c r="A325" s="190" t="str">
        <f t="shared" si="86"/>
        <v/>
      </c>
      <c r="B325" s="279" t="str">
        <f t="shared" si="77"/>
        <v/>
      </c>
      <c r="C325" s="279"/>
      <c r="D325" s="279"/>
      <c r="E325" s="279" t="str">
        <f t="shared" si="87"/>
        <v/>
      </c>
      <c r="F325" s="241" t="s">
        <v>535</v>
      </c>
      <c r="G325" s="242">
        <v>44683</v>
      </c>
      <c r="H325" s="243"/>
      <c r="I325" s="243"/>
      <c r="J325" s="244" t="s">
        <v>402</v>
      </c>
      <c r="K325" s="243" t="s">
        <v>2764</v>
      </c>
      <c r="L325" s="243" t="s">
        <v>1323</v>
      </c>
      <c r="M325" s="243" t="s">
        <v>559</v>
      </c>
      <c r="N325" s="243"/>
      <c r="O325" s="244"/>
      <c r="P325" s="244"/>
      <c r="Q325" s="231" t="str">
        <f t="shared" si="88"/>
        <v>. Springs, REAR - LEFT</v>
      </c>
      <c r="R325" s="244"/>
      <c r="S325" s="244" t="str">
        <f t="shared" si="90"/>
        <v/>
      </c>
      <c r="T325" s="244" t="str">
        <f>IF(O325&lt;&gt;"",_xlfn.XLOOKUP(O325,'3D. Pictures'!B:B,'3D. Pictures'!E:E,"NOT FOUND",0,1),"")</f>
        <v/>
      </c>
      <c r="U325" s="243"/>
      <c r="V325" s="243"/>
      <c r="W325" s="243"/>
      <c r="X325" s="243"/>
      <c r="Z325" s="243"/>
      <c r="AA325" s="243" t="s">
        <v>1321</v>
      </c>
      <c r="AB325" s="243" t="s">
        <v>1321</v>
      </c>
      <c r="AC325" s="358" t="str">
        <f t="shared" si="89"/>
        <v/>
      </c>
      <c r="AD325" s="243"/>
      <c r="AE325" s="243"/>
      <c r="AF325" s="179" t="s">
        <v>543</v>
      </c>
      <c r="AG325" s="243"/>
      <c r="AH325" s="16">
        <v>80</v>
      </c>
      <c r="AI325" s="380">
        <f t="shared" si="91"/>
        <v>80</v>
      </c>
      <c r="AJ325" s="246" t="s">
        <v>408</v>
      </c>
      <c r="AK325" s="246" t="s">
        <v>425</v>
      </c>
      <c r="AL325" s="204" t="s">
        <v>2175</v>
      </c>
      <c r="AM325" s="241"/>
      <c r="AN325" s="241"/>
      <c r="AO325" s="241"/>
      <c r="AP325" s="241"/>
      <c r="AQ325" s="241"/>
      <c r="AR325" s="241"/>
      <c r="AS325" s="241" t="s">
        <v>1028</v>
      </c>
      <c r="AT325" s="241" t="s">
        <v>1029</v>
      </c>
      <c r="AU325" s="241" t="s">
        <v>1030</v>
      </c>
      <c r="AV325" s="303" t="str">
        <f t="shared" si="92"/>
        <v>F15-14-18-ALL</v>
      </c>
      <c r="AW325" s="241" t="s">
        <v>2436</v>
      </c>
      <c r="AX325" s="279" t="str">
        <f t="shared" si="83"/>
        <v>F15-14-18-ALL-Viking70</v>
      </c>
    </row>
    <row r="326" spans="1:50" x14ac:dyDescent="0.25">
      <c r="A326" s="190" t="str">
        <f t="shared" si="86"/>
        <v/>
      </c>
      <c r="B326" s="279" t="str">
        <f t="shared" si="77"/>
        <v/>
      </c>
      <c r="C326" s="279"/>
      <c r="D326" s="279"/>
      <c r="E326" s="279" t="str">
        <f t="shared" si="87"/>
        <v/>
      </c>
      <c r="F326" s="241" t="s">
        <v>535</v>
      </c>
      <c r="G326" s="242">
        <v>44683</v>
      </c>
      <c r="H326" s="243"/>
      <c r="I326" s="243"/>
      <c r="J326" s="244" t="s">
        <v>402</v>
      </c>
      <c r="K326" s="243" t="s">
        <v>2764</v>
      </c>
      <c r="L326" s="243" t="s">
        <v>1323</v>
      </c>
      <c r="M326" s="243" t="s">
        <v>559</v>
      </c>
      <c r="N326" s="243"/>
      <c r="O326" s="244"/>
      <c r="P326" s="244"/>
      <c r="Q326" s="231" t="str">
        <f t="shared" si="88"/>
        <v>. Springs, REAR - RIGHT</v>
      </c>
      <c r="R326" s="244"/>
      <c r="S326" s="244" t="str">
        <f t="shared" si="90"/>
        <v/>
      </c>
      <c r="T326" s="244" t="str">
        <f>IF(O326&lt;&gt;"",_xlfn.XLOOKUP(O326,'3D. Pictures'!B:B,'3D. Pictures'!E:E,"NOT FOUND",0,1),"")</f>
        <v/>
      </c>
      <c r="U326" s="243"/>
      <c r="V326" s="243"/>
      <c r="W326" s="243"/>
      <c r="X326" s="243"/>
      <c r="Z326" s="243"/>
      <c r="AA326" s="243" t="s">
        <v>1322</v>
      </c>
      <c r="AB326" s="243" t="s">
        <v>1322</v>
      </c>
      <c r="AC326" s="358" t="str">
        <f t="shared" si="89"/>
        <v/>
      </c>
      <c r="AD326" s="243"/>
      <c r="AE326" s="243"/>
      <c r="AF326" s="179" t="s">
        <v>543</v>
      </c>
      <c r="AG326" s="243"/>
      <c r="AH326" s="16">
        <v>80</v>
      </c>
      <c r="AI326" s="380">
        <f t="shared" si="91"/>
        <v>80</v>
      </c>
      <c r="AJ326" s="246" t="s">
        <v>408</v>
      </c>
      <c r="AK326" s="246" t="s">
        <v>425</v>
      </c>
      <c r="AL326" s="204" t="s">
        <v>2175</v>
      </c>
      <c r="AM326" s="241"/>
      <c r="AN326" s="241"/>
      <c r="AO326" s="241"/>
      <c r="AP326" s="241"/>
      <c r="AQ326" s="241"/>
      <c r="AR326" s="241"/>
      <c r="AS326" s="241" t="s">
        <v>1028</v>
      </c>
      <c r="AT326" s="241" t="s">
        <v>1029</v>
      </c>
      <c r="AU326" s="241" t="s">
        <v>1030</v>
      </c>
      <c r="AV326" s="303" t="str">
        <f t="shared" si="92"/>
        <v>F15-14-18-ALL</v>
      </c>
      <c r="AW326" s="241" t="s">
        <v>2437</v>
      </c>
      <c r="AX326" s="279" t="str">
        <f t="shared" si="83"/>
        <v>F15-14-18-ALL-Viking71</v>
      </c>
    </row>
    <row r="327" spans="1:50" x14ac:dyDescent="0.25">
      <c r="A327" s="190" t="str">
        <f t="shared" si="86"/>
        <v/>
      </c>
      <c r="B327" s="311"/>
      <c r="C327" s="311"/>
      <c r="D327" s="311"/>
      <c r="E327" s="311" t="str">
        <f t="shared" si="87"/>
        <v/>
      </c>
      <c r="F327" s="311" t="s">
        <v>535</v>
      </c>
      <c r="G327" s="312">
        <v>45244</v>
      </c>
      <c r="H327" s="314"/>
      <c r="I327" s="314"/>
      <c r="J327" s="314" t="s">
        <v>405</v>
      </c>
      <c r="K327" s="314" t="s">
        <v>2764</v>
      </c>
      <c r="L327" s="314" t="s">
        <v>84</v>
      </c>
      <c r="M327" s="334" t="s">
        <v>558</v>
      </c>
      <c r="N327" s="334"/>
      <c r="O327" s="335"/>
      <c r="P327" s="335"/>
      <c r="Q327" s="333" t="str">
        <f t="shared" si="88"/>
        <v>. Steering Gear Rack &amp; Pinion Wire Harness</v>
      </c>
      <c r="R327" s="333"/>
      <c r="S327" s="333" t="str">
        <f t="shared" si="90"/>
        <v/>
      </c>
      <c r="T327" s="333" t="str">
        <f>IF(O327&lt;&gt;"",_xlfn.XLOOKUP(O327,'3D. Pictures'!B:B,'3D. Pictures'!E:E,"NOT FOUND",0,1),"")</f>
        <v/>
      </c>
      <c r="U327" s="334"/>
      <c r="V327" s="319"/>
      <c r="W327" s="334"/>
      <c r="X327" s="319"/>
      <c r="Z327" s="319"/>
      <c r="AA327" s="314" t="s">
        <v>2218</v>
      </c>
      <c r="AB327" s="314" t="s">
        <v>2218</v>
      </c>
      <c r="AC327" s="359" t="str">
        <f t="shared" si="89"/>
        <v>has to be cut, and not worth selling cut for $85</v>
      </c>
      <c r="AD327" s="314"/>
      <c r="AE327" s="314" t="s">
        <v>2800</v>
      </c>
      <c r="AF327" s="319"/>
      <c r="AG327" s="314"/>
      <c r="AH327" s="355"/>
      <c r="AI327" s="380" t="str">
        <f t="shared" si="91"/>
        <v/>
      </c>
      <c r="AJ327" s="320" t="s">
        <v>408</v>
      </c>
      <c r="AK327" s="320" t="s">
        <v>425</v>
      </c>
      <c r="AL327" s="320" t="s">
        <v>2175</v>
      </c>
      <c r="AM327" s="311"/>
      <c r="AN327" s="338"/>
      <c r="AO327" s="311"/>
      <c r="AP327" s="311"/>
      <c r="AQ327" s="311"/>
      <c r="AR327" s="311"/>
      <c r="AS327" s="311"/>
      <c r="AT327" s="311"/>
      <c r="AU327" s="311"/>
      <c r="AV327" s="311"/>
      <c r="AW327" s="311"/>
      <c r="AX327" s="279" t="str">
        <f t="shared" si="83"/>
        <v/>
      </c>
    </row>
    <row r="328" spans="1:50" x14ac:dyDescent="0.25">
      <c r="A328" s="190" t="str">
        <f t="shared" si="86"/>
        <v/>
      </c>
      <c r="B328" s="279" t="str">
        <f t="shared" ref="B328:B376" si="93">IF(AQ328&lt;&gt;"",AQ328,"")</f>
        <v>551-60087</v>
      </c>
      <c r="C328" s="279"/>
      <c r="D328" s="279"/>
      <c r="E328" s="279">
        <f t="shared" si="87"/>
        <v>1</v>
      </c>
      <c r="F328" s="190" t="s">
        <v>535</v>
      </c>
      <c r="G328" s="198">
        <v>44674</v>
      </c>
      <c r="H328" s="205"/>
      <c r="I328" s="205"/>
      <c r="J328" s="205" t="s">
        <v>402</v>
      </c>
      <c r="K328" s="205" t="s">
        <v>2764</v>
      </c>
      <c r="L328" s="205" t="s">
        <v>84</v>
      </c>
      <c r="M328" s="200" t="s">
        <v>558</v>
      </c>
      <c r="N328" s="200"/>
      <c r="O328" s="230"/>
      <c r="P328" s="230"/>
      <c r="Q328" s="231" t="str">
        <f t="shared" si="88"/>
        <v>. Steering Gear Rack &amp; Pinion</v>
      </c>
      <c r="R328" s="231"/>
      <c r="S328" s="231" t="str">
        <f t="shared" si="90"/>
        <v/>
      </c>
      <c r="T328" s="231" t="str">
        <f>IF(O328&lt;&gt;"",_xlfn.XLOOKUP(O328,'3D. Pictures'!B:B,'3D. Pictures'!E:E,"NOT FOUND",0,1),"")</f>
        <v/>
      </c>
      <c r="U328" s="200"/>
      <c r="V328" s="201"/>
      <c r="W328" s="200"/>
      <c r="X328" s="201"/>
      <c r="Z328" s="201"/>
      <c r="AA328" s="205" t="s">
        <v>84</v>
      </c>
      <c r="AB328" s="205" t="s">
        <v>84</v>
      </c>
      <c r="AC328" s="358" t="str">
        <f t="shared" si="89"/>
        <v/>
      </c>
      <c r="AD328" s="205"/>
      <c r="AE328" s="205"/>
      <c r="AF328" s="201" t="s">
        <v>543</v>
      </c>
      <c r="AG328" s="205"/>
      <c r="AH328" s="167">
        <v>1500</v>
      </c>
      <c r="AI328" s="380">
        <f t="shared" si="91"/>
        <v>1500</v>
      </c>
      <c r="AJ328" s="204" t="s">
        <v>408</v>
      </c>
      <c r="AK328" s="204" t="s">
        <v>425</v>
      </c>
      <c r="AL328" s="204" t="s">
        <v>2175</v>
      </c>
      <c r="AM328" s="190"/>
      <c r="AN328" s="191" t="s">
        <v>649</v>
      </c>
      <c r="AO328" s="190" t="s">
        <v>572</v>
      </c>
      <c r="AP328" s="190">
        <v>60087</v>
      </c>
      <c r="AQ328" s="190" t="str">
        <f>CONCATENATE(AN328,AO328,AP328)</f>
        <v>551-60087</v>
      </c>
      <c r="AR328" s="190" t="s">
        <v>2328</v>
      </c>
      <c r="AS328" s="190"/>
      <c r="AT328" s="190"/>
      <c r="AU328" s="190"/>
      <c r="AV328" s="190"/>
      <c r="AW328" s="190"/>
      <c r="AX328" s="279" t="str">
        <f t="shared" si="83"/>
        <v/>
      </c>
    </row>
    <row r="329" spans="1:50" x14ac:dyDescent="0.25">
      <c r="A329" s="190" t="str">
        <f t="shared" si="86"/>
        <v/>
      </c>
      <c r="B329" s="279" t="str">
        <f t="shared" si="93"/>
        <v/>
      </c>
      <c r="C329" s="279"/>
      <c r="D329" s="279"/>
      <c r="E329" s="279" t="str">
        <f t="shared" si="87"/>
        <v/>
      </c>
      <c r="F329" t="s">
        <v>535</v>
      </c>
      <c r="G329" s="188">
        <v>44673</v>
      </c>
      <c r="H329" s="10"/>
      <c r="I329" s="10"/>
      <c r="J329" s="15" t="s">
        <v>405</v>
      </c>
      <c r="K329" s="10" t="s">
        <v>2764</v>
      </c>
      <c r="L329" s="10" t="s">
        <v>864</v>
      </c>
      <c r="M329" s="170" t="s">
        <v>558</v>
      </c>
      <c r="N329" s="170"/>
      <c r="O329" s="237"/>
      <c r="P329" s="237"/>
      <c r="Q329" s="231" t="str">
        <f t="shared" si="88"/>
        <v>. Axle Shafts, REAR - TOSS ALL</v>
      </c>
      <c r="R329" s="231"/>
      <c r="S329" s="231" t="str">
        <f t="shared" si="90"/>
        <v/>
      </c>
      <c r="T329" s="231" t="str">
        <f>IF(O329&lt;&gt;"",_xlfn.XLOOKUP(O329,'3D. Pictures'!B:B,'3D. Pictures'!E:E,"NOT FOUND",0,1),"")</f>
        <v/>
      </c>
      <c r="U329" s="170"/>
      <c r="V329" s="168"/>
      <c r="W329" s="170"/>
      <c r="X329" s="168"/>
      <c r="Z329" s="168"/>
      <c r="AA329" s="10" t="s">
        <v>426</v>
      </c>
      <c r="AB329" s="10" t="s">
        <v>426</v>
      </c>
      <c r="AC329" s="359" t="str">
        <f t="shared" si="89"/>
        <v>TOSS ALL</v>
      </c>
      <c r="AD329" s="10" t="s">
        <v>2575</v>
      </c>
      <c r="AE329" s="10"/>
      <c r="AF329" s="168" t="s">
        <v>543</v>
      </c>
      <c r="AG329" s="10"/>
      <c r="AH329" s="10"/>
      <c r="AI329" s="380" t="str">
        <f t="shared" si="91"/>
        <v/>
      </c>
      <c r="AJ329" s="3" t="s">
        <v>408</v>
      </c>
      <c r="AK329" s="3" t="s">
        <v>425</v>
      </c>
      <c r="AL329" s="204" t="s">
        <v>2175</v>
      </c>
      <c r="AO329" t="s">
        <v>572</v>
      </c>
      <c r="AX329" s="279" t="str">
        <f t="shared" si="83"/>
        <v/>
      </c>
    </row>
    <row r="330" spans="1:50" x14ac:dyDescent="0.25">
      <c r="A330" s="190" t="str">
        <f t="shared" si="86"/>
        <v/>
      </c>
      <c r="B330" s="279" t="str">
        <f t="shared" si="93"/>
        <v/>
      </c>
      <c r="C330" s="279"/>
      <c r="D330" s="279"/>
      <c r="E330" s="279" t="str">
        <f t="shared" si="87"/>
        <v/>
      </c>
      <c r="F330" t="s">
        <v>535</v>
      </c>
      <c r="G330" s="188">
        <v>45274</v>
      </c>
      <c r="H330" s="10"/>
      <c r="I330" s="10"/>
      <c r="J330" s="10" t="s">
        <v>405</v>
      </c>
      <c r="K330" s="10" t="s">
        <v>2764</v>
      </c>
      <c r="L330" s="10" t="s">
        <v>390</v>
      </c>
      <c r="M330" s="170" t="s">
        <v>558</v>
      </c>
      <c r="N330" s="170"/>
      <c r="O330" s="237"/>
      <c r="P330" s="237"/>
      <c r="Q330" s="231" t="str">
        <f t="shared" si="88"/>
        <v>. Brake Calipers</v>
      </c>
      <c r="R330" s="231"/>
      <c r="S330" s="231" t="str">
        <f t="shared" si="90"/>
        <v/>
      </c>
      <c r="T330" s="231" t="str">
        <f>IF(O330&lt;&gt;"",_xlfn.XLOOKUP(O330,'3D. Pictures'!B:B,'3D. Pictures'!E:E,"NOT FOUND",0,1),"")</f>
        <v/>
      </c>
      <c r="U330" s="170"/>
      <c r="V330" s="168"/>
      <c r="W330" s="170"/>
      <c r="X330" s="168"/>
      <c r="Z330" s="168"/>
      <c r="AA330" s="10" t="s">
        <v>390</v>
      </c>
      <c r="AB330" s="10" t="s">
        <v>390</v>
      </c>
      <c r="AC330" s="359" t="str">
        <f t="shared" si="89"/>
        <v>TOSS ALL except ///M ones</v>
      </c>
      <c r="AD330" s="10" t="s">
        <v>2629</v>
      </c>
      <c r="AE330" s="10"/>
      <c r="AF330" s="168" t="s">
        <v>543</v>
      </c>
      <c r="AG330" s="10"/>
      <c r="AH330" s="10"/>
      <c r="AI330" s="380" t="str">
        <f t="shared" si="91"/>
        <v/>
      </c>
      <c r="AJ330" s="3" t="s">
        <v>408</v>
      </c>
      <c r="AK330" s="3" t="s">
        <v>425</v>
      </c>
      <c r="AL330" s="204" t="s">
        <v>2630</v>
      </c>
      <c r="AO330" t="s">
        <v>572</v>
      </c>
      <c r="AX330" s="279" t="str">
        <f t="shared" si="83"/>
        <v/>
      </c>
    </row>
    <row r="331" spans="1:50" x14ac:dyDescent="0.25">
      <c r="A331" s="190" t="str">
        <f t="shared" si="86"/>
        <v/>
      </c>
      <c r="B331" s="279" t="str">
        <f t="shared" si="93"/>
        <v/>
      </c>
      <c r="C331" s="279"/>
      <c r="D331" s="279"/>
      <c r="E331" s="279" t="str">
        <f t="shared" si="87"/>
        <v/>
      </c>
      <c r="F331" t="s">
        <v>535</v>
      </c>
      <c r="G331" s="188">
        <v>44673</v>
      </c>
      <c r="H331" s="10"/>
      <c r="I331" s="10"/>
      <c r="J331" s="10" t="s">
        <v>405</v>
      </c>
      <c r="K331" s="15" t="s">
        <v>2764</v>
      </c>
      <c r="L331" s="10" t="s">
        <v>2643</v>
      </c>
      <c r="M331" s="16" t="s">
        <v>559</v>
      </c>
      <c r="N331" s="16"/>
      <c r="O331" s="166"/>
      <c r="P331" s="166"/>
      <c r="Q331" s="231" t="str">
        <f t="shared" si="88"/>
        <v>. Brake Rotors</v>
      </c>
      <c r="R331" s="231"/>
      <c r="S331" s="231" t="str">
        <f t="shared" si="90"/>
        <v/>
      </c>
      <c r="T331" s="231" t="str">
        <f>IF(O331&lt;&gt;"",_xlfn.XLOOKUP(O331,'3D. Pictures'!B:B,'3D. Pictures'!E:E,"NOT FOUND",0,1),"")</f>
        <v/>
      </c>
      <c r="U331" s="16"/>
      <c r="V331" s="16"/>
      <c r="W331" s="16"/>
      <c r="X331" s="16"/>
      <c r="Z331" s="16"/>
      <c r="AA331" s="10" t="s">
        <v>2643</v>
      </c>
      <c r="AB331" s="10" t="s">
        <v>2643</v>
      </c>
      <c r="AC331" s="359" t="str">
        <f t="shared" si="89"/>
        <v>TOSS ALL (not needed for sizing)</v>
      </c>
      <c r="AD331" s="10" t="s">
        <v>2636</v>
      </c>
      <c r="AE331" s="10"/>
      <c r="AF331" s="168" t="s">
        <v>543</v>
      </c>
      <c r="AG331" s="10"/>
      <c r="AH331" s="10"/>
      <c r="AI331" s="380" t="str">
        <f t="shared" si="91"/>
        <v/>
      </c>
      <c r="AJ331" s="3" t="s">
        <v>408</v>
      </c>
      <c r="AK331" s="3" t="s">
        <v>425</v>
      </c>
      <c r="AL331" s="204" t="s">
        <v>2175</v>
      </c>
      <c r="AX331" s="279" t="str">
        <f t="shared" si="83"/>
        <v/>
      </c>
    </row>
    <row r="332" spans="1:50" x14ac:dyDescent="0.25">
      <c r="A332" s="190" t="str">
        <f t="shared" si="86"/>
        <v/>
      </c>
      <c r="B332" s="279" t="str">
        <f t="shared" si="93"/>
        <v/>
      </c>
      <c r="C332" s="279"/>
      <c r="D332" s="279"/>
      <c r="E332" s="279" t="str">
        <f t="shared" si="87"/>
        <v/>
      </c>
      <c r="F332" t="s">
        <v>535</v>
      </c>
      <c r="G332" s="188">
        <v>44680</v>
      </c>
      <c r="H332" s="10"/>
      <c r="I332" s="10"/>
      <c r="J332" s="10" t="s">
        <v>405</v>
      </c>
      <c r="K332" s="15" t="s">
        <v>2764</v>
      </c>
      <c r="L332" s="10" t="s">
        <v>2706</v>
      </c>
      <c r="M332" s="189" t="s">
        <v>562</v>
      </c>
      <c r="N332" s="189"/>
      <c r="O332" s="233"/>
      <c r="P332" s="233"/>
      <c r="Q332" s="231" t="str">
        <f t="shared" si="88"/>
        <v>. Charcoal Canister / Evap Box</v>
      </c>
      <c r="R332" s="231"/>
      <c r="S332" s="231" t="str">
        <f t="shared" si="90"/>
        <v/>
      </c>
      <c r="T332" s="231" t="str">
        <f>IF(O332&lt;&gt;"",_xlfn.XLOOKUP(O332,'3D. Pictures'!B:B,'3D. Pictures'!E:E,"NOT FOUND",0,1),"")</f>
        <v/>
      </c>
      <c r="U332" s="189"/>
      <c r="V332" s="168"/>
      <c r="W332" s="189"/>
      <c r="X332" s="168"/>
      <c r="Z332" s="168"/>
      <c r="AA332" s="10" t="s">
        <v>2637</v>
      </c>
      <c r="AB332" s="10" t="s">
        <v>2637</v>
      </c>
      <c r="AC332" s="359" t="str">
        <f t="shared" si="89"/>
        <v/>
      </c>
      <c r="AD332" s="10"/>
      <c r="AE332" s="10"/>
      <c r="AF332" s="168" t="s">
        <v>543</v>
      </c>
      <c r="AG332" s="10"/>
      <c r="AH332" s="10"/>
      <c r="AI332" s="380" t="str">
        <f t="shared" si="91"/>
        <v/>
      </c>
      <c r="AJ332" s="3" t="s">
        <v>408</v>
      </c>
      <c r="AK332" s="3" t="s">
        <v>425</v>
      </c>
      <c r="AL332" s="204" t="s">
        <v>2175</v>
      </c>
      <c r="AO332" t="s">
        <v>572</v>
      </c>
      <c r="AX332" s="279" t="str">
        <f t="shared" si="83"/>
        <v/>
      </c>
    </row>
    <row r="333" spans="1:50" x14ac:dyDescent="0.25">
      <c r="A333" s="190" t="str">
        <f t="shared" si="86"/>
        <v/>
      </c>
      <c r="B333" s="279" t="str">
        <f t="shared" si="93"/>
        <v/>
      </c>
      <c r="C333" s="279"/>
      <c r="D333" s="279"/>
      <c r="E333" s="279" t="str">
        <f t="shared" si="87"/>
        <v/>
      </c>
      <c r="F333" t="s">
        <v>535</v>
      </c>
      <c r="G333" s="188">
        <v>44674</v>
      </c>
      <c r="H333" s="10"/>
      <c r="I333" s="10"/>
      <c r="J333" s="10" t="s">
        <v>405</v>
      </c>
      <c r="K333" s="15" t="s">
        <v>2764</v>
      </c>
      <c r="L333" s="10" t="s">
        <v>2642</v>
      </c>
      <c r="M333" s="170" t="s">
        <v>558</v>
      </c>
      <c r="N333" s="170"/>
      <c r="O333" s="237"/>
      <c r="P333" s="237"/>
      <c r="Q333" s="231" t="str">
        <f t="shared" si="88"/>
        <v>. Spindle / Knuckles</v>
      </c>
      <c r="R333" s="231"/>
      <c r="S333" s="231" t="str">
        <f t="shared" si="90"/>
        <v/>
      </c>
      <c r="T333" s="231" t="str">
        <f>IF(O333&lt;&gt;"",_xlfn.XLOOKUP(O333,'3D. Pictures'!B:B,'3D. Pictures'!E:E,"NOT FOUND",0,1),"")</f>
        <v/>
      </c>
      <c r="U333" s="170"/>
      <c r="V333" s="168"/>
      <c r="W333" s="170"/>
      <c r="X333" s="168"/>
      <c r="Z333" s="168"/>
      <c r="AA333" s="10" t="s">
        <v>2642</v>
      </c>
      <c r="AB333" s="10" t="s">
        <v>2642</v>
      </c>
      <c r="AC333" s="359" t="str">
        <f t="shared" si="89"/>
        <v>TOSS ALL</v>
      </c>
      <c r="AD333" s="10" t="s">
        <v>2575</v>
      </c>
      <c r="AE333" s="10"/>
      <c r="AF333" s="168" t="s">
        <v>543</v>
      </c>
      <c r="AG333" s="10"/>
      <c r="AH333" s="10"/>
      <c r="AI333" s="380" t="str">
        <f t="shared" si="91"/>
        <v/>
      </c>
      <c r="AJ333" s="3" t="s">
        <v>408</v>
      </c>
      <c r="AK333" s="3" t="s">
        <v>425</v>
      </c>
      <c r="AL333" s="204" t="s">
        <v>2175</v>
      </c>
      <c r="AO333" t="s">
        <v>572</v>
      </c>
      <c r="AX333" s="279" t="str">
        <f t="shared" si="83"/>
        <v/>
      </c>
    </row>
    <row r="334" spans="1:50" x14ac:dyDescent="0.25">
      <c r="A334" s="190" t="str">
        <f t="shared" si="86"/>
        <v/>
      </c>
      <c r="B334" s="279" t="str">
        <f t="shared" si="93"/>
        <v/>
      </c>
      <c r="C334" s="279"/>
      <c r="D334" s="279"/>
      <c r="E334" s="279" t="str">
        <f t="shared" si="87"/>
        <v/>
      </c>
      <c r="F334" t="s">
        <v>535</v>
      </c>
      <c r="G334" s="188">
        <v>44680</v>
      </c>
      <c r="H334" s="10"/>
      <c r="I334" s="10"/>
      <c r="J334" s="10" t="s">
        <v>405</v>
      </c>
      <c r="K334" s="10" t="s">
        <v>2764</v>
      </c>
      <c r="L334" s="10" t="s">
        <v>2707</v>
      </c>
      <c r="M334" s="16" t="s">
        <v>559</v>
      </c>
      <c r="N334" s="16"/>
      <c r="O334" s="166"/>
      <c r="P334" s="166"/>
      <c r="Q334" s="231" t="str">
        <f t="shared" si="88"/>
        <v>. Subframe / Crossmember, REAR</v>
      </c>
      <c r="R334" s="231"/>
      <c r="S334" s="231" t="str">
        <f t="shared" si="90"/>
        <v/>
      </c>
      <c r="T334" s="231" t="str">
        <f>IF(O334&lt;&gt;"",_xlfn.XLOOKUP(O334,'3D. Pictures'!B:B,'3D. Pictures'!E:E,"NOT FOUND",0,1),"")</f>
        <v/>
      </c>
      <c r="U334" s="16"/>
      <c r="V334" s="16"/>
      <c r="W334" s="16"/>
      <c r="X334" s="16"/>
      <c r="Z334" s="16"/>
      <c r="AA334" s="10" t="s">
        <v>2639</v>
      </c>
      <c r="AB334" s="10" t="s">
        <v>2639</v>
      </c>
      <c r="AC334" s="359" t="str">
        <f t="shared" si="89"/>
        <v>really BIG one diff mounts to</v>
      </c>
      <c r="AD334" s="10"/>
      <c r="AE334" s="10" t="s">
        <v>2638</v>
      </c>
      <c r="AF334" s="168" t="s">
        <v>543</v>
      </c>
      <c r="AG334" s="10"/>
      <c r="AH334" s="10"/>
      <c r="AI334" s="380" t="str">
        <f t="shared" si="91"/>
        <v/>
      </c>
      <c r="AJ334" s="3" t="s">
        <v>408</v>
      </c>
      <c r="AK334" s="3" t="s">
        <v>425</v>
      </c>
      <c r="AL334" s="204" t="s">
        <v>2175</v>
      </c>
      <c r="AX334" s="279" t="str">
        <f t="shared" si="83"/>
        <v/>
      </c>
    </row>
    <row r="335" spans="1:50" x14ac:dyDescent="0.25">
      <c r="A335" s="190" t="str">
        <f t="shared" si="86"/>
        <v/>
      </c>
      <c r="B335" s="279" t="str">
        <f t="shared" si="93"/>
        <v/>
      </c>
      <c r="C335" s="279"/>
      <c r="D335" s="279"/>
      <c r="E335" s="279" t="str">
        <f t="shared" si="87"/>
        <v/>
      </c>
      <c r="F335" t="s">
        <v>535</v>
      </c>
      <c r="G335" s="188">
        <v>44680</v>
      </c>
      <c r="H335" s="10"/>
      <c r="I335" s="10"/>
      <c r="J335" s="10" t="s">
        <v>405</v>
      </c>
      <c r="K335" s="15" t="s">
        <v>2764</v>
      </c>
      <c r="L335" s="10" t="s">
        <v>2625</v>
      </c>
      <c r="M335" s="170" t="s">
        <v>558</v>
      </c>
      <c r="N335" s="170"/>
      <c r="O335" s="237"/>
      <c r="P335" s="237"/>
      <c r="Q335" s="231" t="str">
        <f t="shared" si="88"/>
        <v>. Sway Bar / Stabilizer Bar, REAR</v>
      </c>
      <c r="R335" s="231"/>
      <c r="S335" s="231" t="str">
        <f t="shared" si="90"/>
        <v/>
      </c>
      <c r="T335" s="231" t="str">
        <f>IF(O335&lt;&gt;"",_xlfn.XLOOKUP(O335,'3D. Pictures'!B:B,'3D. Pictures'!E:E,"NOT FOUND",0,1),"")</f>
        <v/>
      </c>
      <c r="U335" s="170"/>
      <c r="V335" s="168"/>
      <c r="W335" s="170"/>
      <c r="X335" s="168"/>
      <c r="Z335" s="168"/>
      <c r="AA335" s="10" t="s">
        <v>2641</v>
      </c>
      <c r="AB335" s="10" t="s">
        <v>2641</v>
      </c>
      <c r="AC335" s="359" t="str">
        <f t="shared" si="89"/>
        <v>TOSS ALL (even dynamic ones)</v>
      </c>
      <c r="AD335" s="10" t="s">
        <v>2640</v>
      </c>
      <c r="AE335" s="10"/>
      <c r="AF335" s="168" t="s">
        <v>543</v>
      </c>
      <c r="AG335" s="10"/>
      <c r="AH335" s="10"/>
      <c r="AI335" s="380" t="str">
        <f t="shared" si="91"/>
        <v/>
      </c>
      <c r="AJ335" s="3" t="s">
        <v>408</v>
      </c>
      <c r="AK335" s="3" t="s">
        <v>425</v>
      </c>
      <c r="AL335" s="204" t="s">
        <v>2175</v>
      </c>
      <c r="AO335" t="s">
        <v>572</v>
      </c>
      <c r="AX335" s="279" t="str">
        <f t="shared" si="83"/>
        <v/>
      </c>
    </row>
    <row r="336" spans="1:50" x14ac:dyDescent="0.25">
      <c r="A336" s="190" t="str">
        <f t="shared" si="86"/>
        <v/>
      </c>
      <c r="B336" s="311" t="str">
        <f t="shared" si="93"/>
        <v/>
      </c>
      <c r="C336" s="311"/>
      <c r="D336" s="311"/>
      <c r="E336" s="311" t="str">
        <f t="shared" si="87"/>
        <v/>
      </c>
      <c r="F336" s="311" t="s">
        <v>535</v>
      </c>
      <c r="G336" s="312">
        <v>45216</v>
      </c>
      <c r="H336" s="314"/>
      <c r="I336" s="314"/>
      <c r="J336" s="314" t="s">
        <v>405</v>
      </c>
      <c r="K336" s="333" t="s">
        <v>2765</v>
      </c>
      <c r="L336" s="314" t="s">
        <v>895</v>
      </c>
      <c r="M336" s="334" t="s">
        <v>558</v>
      </c>
      <c r="N336" s="334"/>
      <c r="O336" s="335"/>
      <c r="P336" s="335"/>
      <c r="Q336" s="317" t="str">
        <f t="shared" si="88"/>
        <v>. Automatic Flywheel Flex Plate</v>
      </c>
      <c r="R336" s="317"/>
      <c r="S336" s="317" t="str">
        <f t="shared" si="90"/>
        <v/>
      </c>
      <c r="T336" s="317" t="str">
        <f>IF(O336&lt;&gt;"",_xlfn.XLOOKUP(O336,'3D. Pictures'!B:B,'3D. Pictures'!E:E,"NOT FOUND",0,1),"")</f>
        <v/>
      </c>
      <c r="U336" s="334"/>
      <c r="V336" s="319"/>
      <c r="W336" s="334"/>
      <c r="X336" s="319"/>
      <c r="Z336" s="319"/>
      <c r="AA336" s="314" t="s">
        <v>42</v>
      </c>
      <c r="AB336" s="314" t="s">
        <v>42</v>
      </c>
      <c r="AC336" s="359" t="str">
        <f t="shared" si="89"/>
        <v/>
      </c>
      <c r="AD336" s="314"/>
      <c r="AE336" s="314"/>
      <c r="AF336" s="319"/>
      <c r="AG336" s="314"/>
      <c r="AH336" s="10"/>
      <c r="AI336" s="380" t="str">
        <f t="shared" si="91"/>
        <v/>
      </c>
      <c r="AJ336" s="320" t="s">
        <v>2292</v>
      </c>
      <c r="AK336" s="320" t="s">
        <v>425</v>
      </c>
      <c r="AL336" s="320" t="s">
        <v>2631</v>
      </c>
      <c r="AM336" s="311"/>
      <c r="AN336" s="311"/>
      <c r="AO336" s="311"/>
      <c r="AP336" s="311"/>
      <c r="AQ336" s="311"/>
      <c r="AR336" s="311"/>
      <c r="AS336" s="311"/>
      <c r="AT336" s="311"/>
      <c r="AU336" s="311"/>
      <c r="AV336" s="311"/>
      <c r="AW336" s="311"/>
      <c r="AX336" s="279" t="str">
        <f t="shared" si="83"/>
        <v/>
      </c>
    </row>
    <row r="337" spans="1:50" x14ac:dyDescent="0.25">
      <c r="A337" s="190" t="str">
        <f t="shared" si="86"/>
        <v/>
      </c>
      <c r="B337" s="279" t="str">
        <f t="shared" si="93"/>
        <v>407-999939</v>
      </c>
      <c r="C337" s="279"/>
      <c r="D337" s="279"/>
      <c r="E337" s="279">
        <f t="shared" si="87"/>
        <v>1</v>
      </c>
      <c r="F337" s="190" t="s">
        <v>535</v>
      </c>
      <c r="G337" s="198">
        <v>44674</v>
      </c>
      <c r="H337" s="205"/>
      <c r="I337" s="205"/>
      <c r="J337" s="205" t="s">
        <v>402</v>
      </c>
      <c r="K337" s="205" t="s">
        <v>2765</v>
      </c>
      <c r="L337" s="205" t="s">
        <v>26</v>
      </c>
      <c r="M337" s="208" t="s">
        <v>563</v>
      </c>
      <c r="N337" s="208"/>
      <c r="O337" s="232"/>
      <c r="P337" s="232"/>
      <c r="Q337" s="231" t="str">
        <f t="shared" si="88"/>
        <v>. Torque Converter</v>
      </c>
      <c r="R337" s="231"/>
      <c r="S337" s="231" t="str">
        <f t="shared" si="90"/>
        <v/>
      </c>
      <c r="T337" s="231" t="str">
        <f>IF(O337&lt;&gt;"",_xlfn.XLOOKUP(O337,'3D. Pictures'!B:B,'3D. Pictures'!E:E,"NOT FOUND",0,1),"")</f>
        <v/>
      </c>
      <c r="U337" s="208"/>
      <c r="V337" s="201"/>
      <c r="W337" s="208"/>
      <c r="X337" s="201"/>
      <c r="Z337" s="201"/>
      <c r="AA337" s="205" t="s">
        <v>26</v>
      </c>
      <c r="AB337" s="205" t="s">
        <v>26</v>
      </c>
      <c r="AC337" s="358" t="str">
        <f t="shared" si="89"/>
        <v/>
      </c>
      <c r="AD337" s="205"/>
      <c r="AE337" s="205"/>
      <c r="AF337" s="201" t="s">
        <v>543</v>
      </c>
      <c r="AG337" s="205"/>
      <c r="AH337" s="16">
        <v>250</v>
      </c>
      <c r="AI337" s="380">
        <f t="shared" si="91"/>
        <v>250</v>
      </c>
      <c r="AJ337" s="204" t="s">
        <v>2177</v>
      </c>
      <c r="AK337" s="204" t="s">
        <v>425</v>
      </c>
      <c r="AL337" s="204" t="s">
        <v>2177</v>
      </c>
      <c r="AM337" s="190"/>
      <c r="AN337" s="191" t="s">
        <v>650</v>
      </c>
      <c r="AO337" s="190" t="s">
        <v>572</v>
      </c>
      <c r="AP337" s="190">
        <v>999939</v>
      </c>
      <c r="AQ337" s="190" t="str">
        <f t="shared" ref="AQ337:AQ340" si="94">CONCATENATE(AN337,AO337,AP337)</f>
        <v>407-999939</v>
      </c>
      <c r="AR337" s="190" t="s">
        <v>897</v>
      </c>
      <c r="AS337" s="190"/>
      <c r="AT337" s="190"/>
      <c r="AU337" s="190"/>
      <c r="AV337" s="190"/>
      <c r="AW337" s="190"/>
      <c r="AX337" s="279" t="str">
        <f t="shared" si="83"/>
        <v/>
      </c>
    </row>
    <row r="338" spans="1:50" x14ac:dyDescent="0.25">
      <c r="A338" s="190" t="str">
        <f t="shared" si="86"/>
        <v/>
      </c>
      <c r="B338" s="279" t="str">
        <f t="shared" si="93"/>
        <v>412-59249</v>
      </c>
      <c r="C338" s="279"/>
      <c r="D338" s="279"/>
      <c r="E338" s="279">
        <f t="shared" si="87"/>
        <v>1</v>
      </c>
      <c r="F338" s="190" t="s">
        <v>536</v>
      </c>
      <c r="G338" s="198">
        <v>44831</v>
      </c>
      <c r="H338" s="205"/>
      <c r="I338" s="205"/>
      <c r="J338" s="205" t="s">
        <v>402</v>
      </c>
      <c r="K338" s="206" t="s">
        <v>2765</v>
      </c>
      <c r="L338" s="205" t="s">
        <v>901</v>
      </c>
      <c r="M338" s="200" t="s">
        <v>558</v>
      </c>
      <c r="N338" s="200"/>
      <c r="O338" s="230"/>
      <c r="P338" s="230"/>
      <c r="Q338" s="231" t="str">
        <f t="shared" si="88"/>
        <v>. Transfer Case</v>
      </c>
      <c r="R338" s="231"/>
      <c r="S338" s="231" t="str">
        <f t="shared" si="90"/>
        <v/>
      </c>
      <c r="T338" s="231" t="str">
        <f>IF(O338&lt;&gt;"",_xlfn.XLOOKUP(O338,'3D. Pictures'!B:B,'3D. Pictures'!E:E,"NOT FOUND",0,1),"")</f>
        <v/>
      </c>
      <c r="U338" s="200"/>
      <c r="V338" s="201"/>
      <c r="W338" s="200"/>
      <c r="X338" s="201"/>
      <c r="Z338" s="201"/>
      <c r="AA338" s="205" t="s">
        <v>901</v>
      </c>
      <c r="AB338" s="205" t="s">
        <v>901</v>
      </c>
      <c r="AC338" s="358" t="str">
        <f t="shared" si="89"/>
        <v>sell shift motor separately</v>
      </c>
      <c r="AD338" s="205" t="s">
        <v>900</v>
      </c>
      <c r="AE338" s="205"/>
      <c r="AF338" s="201" t="s">
        <v>543</v>
      </c>
      <c r="AG338" s="205" t="s">
        <v>903</v>
      </c>
      <c r="AH338" s="167">
        <v>695</v>
      </c>
      <c r="AI338" s="380">
        <f t="shared" si="91"/>
        <v>695</v>
      </c>
      <c r="AJ338" s="204" t="s">
        <v>408</v>
      </c>
      <c r="AK338" s="204" t="s">
        <v>425</v>
      </c>
      <c r="AL338" s="204" t="s">
        <v>2175</v>
      </c>
      <c r="AM338" s="190"/>
      <c r="AN338" s="191" t="s">
        <v>651</v>
      </c>
      <c r="AO338" s="190" t="s">
        <v>572</v>
      </c>
      <c r="AP338" s="190">
        <v>59249</v>
      </c>
      <c r="AQ338" s="190" t="str">
        <f t="shared" si="94"/>
        <v>412-59249</v>
      </c>
      <c r="AR338" s="190" t="s">
        <v>899</v>
      </c>
      <c r="AS338" s="190"/>
      <c r="AT338" s="190"/>
      <c r="AU338" s="190"/>
      <c r="AV338" s="190"/>
      <c r="AW338" s="190"/>
      <c r="AX338" s="279" t="str">
        <f t="shared" si="83"/>
        <v/>
      </c>
    </row>
    <row r="339" spans="1:50" ht="15.75" thickBot="1" x14ac:dyDescent="0.3">
      <c r="A339" s="190" t="str">
        <f t="shared" si="86"/>
        <v/>
      </c>
      <c r="B339" s="279" t="str">
        <f t="shared" si="93"/>
        <v>420-194</v>
      </c>
      <c r="C339" s="279"/>
      <c r="D339" s="279"/>
      <c r="E339" s="279">
        <f t="shared" si="87"/>
        <v>1</v>
      </c>
      <c r="F339" s="190" t="s">
        <v>535</v>
      </c>
      <c r="G339" s="198">
        <v>45245</v>
      </c>
      <c r="H339" s="205"/>
      <c r="I339" s="205"/>
      <c r="J339" s="205" t="s">
        <v>402</v>
      </c>
      <c r="K339" s="206" t="s">
        <v>2765</v>
      </c>
      <c r="L339" s="205" t="s">
        <v>901</v>
      </c>
      <c r="M339" s="200" t="s">
        <v>558</v>
      </c>
      <c r="N339" s="200"/>
      <c r="O339" s="230"/>
      <c r="P339" s="230"/>
      <c r="Q339" s="231" t="str">
        <f t="shared" si="88"/>
        <v>. Transfer Case Shift Motor</v>
      </c>
      <c r="R339" s="231"/>
      <c r="S339" s="231" t="str">
        <f t="shared" si="90"/>
        <v/>
      </c>
      <c r="T339" s="231" t="str">
        <f>IF(O339&lt;&gt;"",_xlfn.XLOOKUP(O339,'3D. Pictures'!B:B,'3D. Pictures'!E:E,"NOT FOUND",0,1),"")</f>
        <v/>
      </c>
      <c r="U339" s="200"/>
      <c r="V339" s="340" t="s">
        <v>2312</v>
      </c>
      <c r="W339" s="341" t="s">
        <v>112</v>
      </c>
      <c r="X339" s="201"/>
      <c r="Z339" s="201"/>
      <c r="AA339" s="205" t="s">
        <v>902</v>
      </c>
      <c r="AB339" s="205" t="s">
        <v>902</v>
      </c>
      <c r="AC339" s="358" t="str">
        <f t="shared" si="89"/>
        <v/>
      </c>
      <c r="AD339" s="205"/>
      <c r="AE339" s="205"/>
      <c r="AF339" s="201" t="s">
        <v>543</v>
      </c>
      <c r="AG339" s="205"/>
      <c r="AH339" s="16">
        <v>200</v>
      </c>
      <c r="AI339" s="380">
        <f t="shared" si="91"/>
        <v>200</v>
      </c>
      <c r="AJ339" s="204" t="s">
        <v>408</v>
      </c>
      <c r="AK339" s="204" t="s">
        <v>425</v>
      </c>
      <c r="AL339" s="204" t="s">
        <v>2175</v>
      </c>
      <c r="AM339" s="190"/>
      <c r="AN339" s="191">
        <v>420</v>
      </c>
      <c r="AO339" s="190" t="s">
        <v>572</v>
      </c>
      <c r="AP339" s="190">
        <v>194</v>
      </c>
      <c r="AQ339" s="190" t="str">
        <f t="shared" si="94"/>
        <v>420-194</v>
      </c>
      <c r="AR339" s="190"/>
      <c r="AS339" s="190"/>
      <c r="AT339" s="190"/>
      <c r="AU339" s="190"/>
      <c r="AV339" s="190"/>
      <c r="AW339" s="190"/>
      <c r="AX339" s="279" t="str">
        <f t="shared" si="83"/>
        <v/>
      </c>
    </row>
    <row r="340" spans="1:50" ht="15.75" thickBot="1" x14ac:dyDescent="0.3">
      <c r="A340" s="190" t="str">
        <f t="shared" si="86"/>
        <v>A43</v>
      </c>
      <c r="B340" s="279" t="str">
        <f t="shared" si="93"/>
        <v>414-999923</v>
      </c>
      <c r="C340" s="279"/>
      <c r="D340" s="279"/>
      <c r="E340" s="279">
        <f t="shared" si="87"/>
        <v>1</v>
      </c>
      <c r="F340" s="190" t="s">
        <v>536</v>
      </c>
      <c r="G340" s="198">
        <v>44691</v>
      </c>
      <c r="H340" s="210"/>
      <c r="I340" s="205"/>
      <c r="J340" s="205" t="s">
        <v>402</v>
      </c>
      <c r="K340" s="206" t="s">
        <v>2765</v>
      </c>
      <c r="L340" s="205" t="s">
        <v>2708</v>
      </c>
      <c r="M340" s="208" t="s">
        <v>563</v>
      </c>
      <c r="N340" s="208">
        <v>33</v>
      </c>
      <c r="O340" s="232" t="s">
        <v>945</v>
      </c>
      <c r="P340" s="232" t="s">
        <v>1168</v>
      </c>
      <c r="Q340" s="231" t="str">
        <f t="shared" si="88"/>
        <v>A43. Transmission Oil Cooler</v>
      </c>
      <c r="R340" s="284" t="str">
        <f>HYPERLINK(VLOOKUP(O340,'3D. Pictures'!$B$3:$E$500,4,FALSE),"PIC")</f>
        <v>PIC</v>
      </c>
      <c r="S340" s="373" t="str">
        <f t="shared" si="90"/>
        <v>E.G.</v>
      </c>
      <c r="T340" s="377" t="str">
        <f>IF(O340&lt;&gt;"",_xlfn.XLOOKUP(O340,'3D. Pictures'!B:B,'3D. Pictures'!E:E,"NOT FOUND",0,1),"")</f>
        <v>https://viking-pictures.s3.us-west-1.amazonaws.com/AA1155/A43.+Transmission+Oil+Cooler+(1).JPG</v>
      </c>
      <c r="U340" s="208">
        <v>5</v>
      </c>
      <c r="V340" s="201" t="s">
        <v>1198</v>
      </c>
      <c r="W340" s="208" t="s">
        <v>111</v>
      </c>
      <c r="X340" s="201"/>
      <c r="Z340" s="201"/>
      <c r="AA340" s="205" t="s">
        <v>479</v>
      </c>
      <c r="AB340" s="205" t="s">
        <v>479</v>
      </c>
      <c r="AC340" s="358" t="str">
        <f t="shared" si="89"/>
        <v/>
      </c>
      <c r="AD340" s="205"/>
      <c r="AE340" s="205"/>
      <c r="AF340" s="201" t="s">
        <v>543</v>
      </c>
      <c r="AG340" s="205"/>
      <c r="AH340" s="16">
        <v>100</v>
      </c>
      <c r="AI340" s="380">
        <f t="shared" si="91"/>
        <v>100</v>
      </c>
      <c r="AJ340" s="204" t="s">
        <v>408</v>
      </c>
      <c r="AK340" s="204" t="s">
        <v>425</v>
      </c>
      <c r="AL340" s="204" t="s">
        <v>2175</v>
      </c>
      <c r="AM340" s="190"/>
      <c r="AN340" s="191" t="s">
        <v>652</v>
      </c>
      <c r="AO340" s="190" t="s">
        <v>572</v>
      </c>
      <c r="AP340" s="190">
        <v>999923</v>
      </c>
      <c r="AQ340" s="190" t="str">
        <f t="shared" si="94"/>
        <v>414-999923</v>
      </c>
      <c r="AR340" s="190"/>
      <c r="AS340" s="190"/>
      <c r="AT340" s="190"/>
      <c r="AU340" s="190"/>
      <c r="AV340" s="190"/>
      <c r="AW340" s="190"/>
      <c r="AX340" s="279" t="str">
        <f t="shared" si="83"/>
        <v/>
      </c>
    </row>
    <row r="341" spans="1:50" ht="15.75" thickBot="1" x14ac:dyDescent="0.3">
      <c r="A341" s="190" t="str">
        <f t="shared" si="86"/>
        <v>A95</v>
      </c>
      <c r="B341" s="279" t="str">
        <f t="shared" si="93"/>
        <v/>
      </c>
      <c r="C341" s="279"/>
      <c r="D341" s="279"/>
      <c r="E341" s="279" t="str">
        <f t="shared" si="87"/>
        <v/>
      </c>
      <c r="F341" s="241" t="s">
        <v>535</v>
      </c>
      <c r="G341" s="242">
        <v>44687</v>
      </c>
      <c r="H341" s="243"/>
      <c r="I341" s="243"/>
      <c r="J341" s="243" t="s">
        <v>402</v>
      </c>
      <c r="K341" s="244" t="s">
        <v>2765</v>
      </c>
      <c r="L341" s="243" t="s">
        <v>2709</v>
      </c>
      <c r="M341" s="249" t="s">
        <v>558</v>
      </c>
      <c r="N341" s="249">
        <v>85</v>
      </c>
      <c r="O341" s="253" t="s">
        <v>997</v>
      </c>
      <c r="P341" s="253" t="s">
        <v>1300</v>
      </c>
      <c r="Q341" s="231" t="str">
        <f t="shared" si="88"/>
        <v>A95. Transmission Oil Pump, Mechanical</v>
      </c>
      <c r="R341" s="284" t="str">
        <f>HYPERLINK(VLOOKUP(O341,'3D. Pictures'!$B$3:$E$500,4,FALSE),"PIC")</f>
        <v>PIC</v>
      </c>
      <c r="S341" s="373" t="str">
        <f t="shared" si="90"/>
        <v>E.G.</v>
      </c>
      <c r="T341" s="377" t="str">
        <f>IF(O341&lt;&gt;"",_xlfn.XLOOKUP(O341,'3D. Pictures'!B:B,'3D. Pictures'!E:E,"NOT FOUND",0,1),"")</f>
        <v>https://viking-pictures.s3.us-west-1.amazonaws.com/AA1155/A95.+Transmission+Oil+Pump%2C+Mechanical+(1).JPG</v>
      </c>
      <c r="U341" s="249">
        <v>6</v>
      </c>
      <c r="V341" s="179" t="s">
        <v>2166</v>
      </c>
      <c r="W341" s="249" t="s">
        <v>111</v>
      </c>
      <c r="X341" s="179"/>
      <c r="Z341" s="179"/>
      <c r="AA341" s="243" t="s">
        <v>2801</v>
      </c>
      <c r="AB341" s="243" t="s">
        <v>2801</v>
      </c>
      <c r="AC341" s="358" t="str">
        <f t="shared" si="89"/>
        <v/>
      </c>
      <c r="AD341" s="243"/>
      <c r="AE341" s="243"/>
      <c r="AF341" s="179" t="s">
        <v>543</v>
      </c>
      <c r="AG341" s="243"/>
      <c r="AH341" s="16">
        <v>250</v>
      </c>
      <c r="AI341" s="380">
        <f t="shared" si="91"/>
        <v>250</v>
      </c>
      <c r="AJ341" s="246" t="s">
        <v>408</v>
      </c>
      <c r="AK341" s="246" t="s">
        <v>425</v>
      </c>
      <c r="AL341" s="204" t="s">
        <v>2175</v>
      </c>
      <c r="AM341" s="241"/>
      <c r="AN341" s="251"/>
      <c r="AO341" s="241" t="s">
        <v>572</v>
      </c>
      <c r="AP341" s="241"/>
      <c r="AQ341" s="241"/>
      <c r="AR341" s="241"/>
      <c r="AS341" s="241" t="s">
        <v>1028</v>
      </c>
      <c r="AT341" s="241" t="s">
        <v>1029</v>
      </c>
      <c r="AU341" s="241" t="s">
        <v>1042</v>
      </c>
      <c r="AV341" s="303" t="str">
        <f t="shared" ref="AV341:AV342" si="95">CONCATENATE(AS341,"-",AT341,"-",AU341)</f>
        <v>F15-14-18-3.0T N55</v>
      </c>
      <c r="AW341" s="241" t="s">
        <v>2438</v>
      </c>
      <c r="AX341" s="279" t="str">
        <f t="shared" si="83"/>
        <v>F15-14-18-3.0T N55-Viking72</v>
      </c>
    </row>
    <row r="342" spans="1:50" ht="15.75" thickBot="1" x14ac:dyDescent="0.3">
      <c r="A342" s="190" t="str">
        <f t="shared" si="86"/>
        <v>A15</v>
      </c>
      <c r="B342" s="279" t="str">
        <f t="shared" si="93"/>
        <v/>
      </c>
      <c r="C342" s="279"/>
      <c r="D342" s="279"/>
      <c r="E342" s="279" t="str">
        <f t="shared" si="87"/>
        <v/>
      </c>
      <c r="F342" s="241" t="s">
        <v>536</v>
      </c>
      <c r="G342" s="242">
        <v>45107</v>
      </c>
      <c r="H342" s="252"/>
      <c r="I342" s="243"/>
      <c r="J342" s="243" t="s">
        <v>402</v>
      </c>
      <c r="K342" s="244" t="s">
        <v>2765</v>
      </c>
      <c r="L342" s="243" t="s">
        <v>2710</v>
      </c>
      <c r="M342" s="249" t="s">
        <v>558</v>
      </c>
      <c r="N342" s="249">
        <v>5</v>
      </c>
      <c r="O342" s="253" t="s">
        <v>917</v>
      </c>
      <c r="P342" s="253" t="s">
        <v>1035</v>
      </c>
      <c r="Q342" s="231" t="str">
        <f t="shared" si="88"/>
        <v>A15. Transmission Oil Pump, Hydraulic</v>
      </c>
      <c r="R342" s="284" t="str">
        <f>HYPERLINK(VLOOKUP(O342,'3D. Pictures'!$B$3:$E$500,4,FALSE),"PIC")</f>
        <v>PIC</v>
      </c>
      <c r="S342" s="373" t="str">
        <f t="shared" si="90"/>
        <v>E.G.</v>
      </c>
      <c r="T342" s="377" t="str">
        <f>IF(O342&lt;&gt;"",_xlfn.XLOOKUP(O342,'3D. Pictures'!B:B,'3D. Pictures'!E:E,"NOT FOUND",0,1),"")</f>
        <v>https://viking-pictures.s3.us-west-1.amazonaws.com/AA1155/A15.+Transmission+Oil+Pump%2C+Hydraulic+(1).JPG</v>
      </c>
      <c r="U342" s="249">
        <v>3</v>
      </c>
      <c r="V342" s="250" t="s">
        <v>1041</v>
      </c>
      <c r="W342" s="249" t="s">
        <v>111</v>
      </c>
      <c r="X342" s="179"/>
      <c r="Z342" s="179"/>
      <c r="AA342" s="243" t="s">
        <v>522</v>
      </c>
      <c r="AB342" s="243" t="s">
        <v>522</v>
      </c>
      <c r="AC342" s="358" t="str">
        <f t="shared" si="89"/>
        <v/>
      </c>
      <c r="AD342" s="243"/>
      <c r="AE342" s="243"/>
      <c r="AF342" s="179" t="s">
        <v>543</v>
      </c>
      <c r="AG342" s="243"/>
      <c r="AH342" s="16">
        <v>75</v>
      </c>
      <c r="AI342" s="380">
        <f t="shared" si="91"/>
        <v>75</v>
      </c>
      <c r="AJ342" s="246" t="s">
        <v>408</v>
      </c>
      <c r="AK342" s="246" t="s">
        <v>425</v>
      </c>
      <c r="AL342" s="204" t="s">
        <v>2175</v>
      </c>
      <c r="AM342" s="241"/>
      <c r="AN342" s="251"/>
      <c r="AO342" s="241" t="s">
        <v>572</v>
      </c>
      <c r="AP342" s="241"/>
      <c r="AQ342" s="241"/>
      <c r="AR342" s="241"/>
      <c r="AS342" s="241" t="s">
        <v>1028</v>
      </c>
      <c r="AT342" s="241" t="s">
        <v>1029</v>
      </c>
      <c r="AU342" s="241" t="s">
        <v>1042</v>
      </c>
      <c r="AV342" s="303" t="str">
        <f t="shared" si="95"/>
        <v>F15-14-18-3.0T N55</v>
      </c>
      <c r="AW342" s="241" t="s">
        <v>2439</v>
      </c>
      <c r="AX342" s="279" t="str">
        <f t="shared" si="83"/>
        <v>F15-14-18-3.0T N55-Viking73</v>
      </c>
    </row>
    <row r="343" spans="1:50" x14ac:dyDescent="0.25">
      <c r="A343" s="190" t="str">
        <f t="shared" si="86"/>
        <v/>
      </c>
      <c r="B343" s="279" t="str">
        <f t="shared" si="93"/>
        <v>400-62503</v>
      </c>
      <c r="C343" s="279"/>
      <c r="D343" s="279"/>
      <c r="E343" s="279">
        <f t="shared" si="87"/>
        <v>1</v>
      </c>
      <c r="F343" s="190" t="s">
        <v>535</v>
      </c>
      <c r="G343" s="198">
        <v>44674</v>
      </c>
      <c r="H343" s="205"/>
      <c r="I343" s="205"/>
      <c r="J343" s="205" t="s">
        <v>402</v>
      </c>
      <c r="K343" s="205" t="s">
        <v>2765</v>
      </c>
      <c r="L343" s="205" t="s">
        <v>27</v>
      </c>
      <c r="M343" s="200" t="s">
        <v>558</v>
      </c>
      <c r="N343" s="200"/>
      <c r="O343" s="230"/>
      <c r="P343" s="230"/>
      <c r="Q343" s="231" t="str">
        <f t="shared" si="88"/>
        <v>. Valve Body</v>
      </c>
      <c r="R343" s="231"/>
      <c r="S343" s="231" t="str">
        <f t="shared" si="90"/>
        <v/>
      </c>
      <c r="T343" s="231" t="str">
        <f>IF(O343&lt;&gt;"",_xlfn.XLOOKUP(O343,'3D. Pictures'!B:B,'3D. Pictures'!E:E,"NOT FOUND",0,1),"")</f>
        <v/>
      </c>
      <c r="U343" s="200"/>
      <c r="V343" s="201"/>
      <c r="W343" s="200"/>
      <c r="X343" s="201"/>
      <c r="Z343" s="201"/>
      <c r="AA343" s="205" t="s">
        <v>27</v>
      </c>
      <c r="AB343" s="205" t="s">
        <v>27</v>
      </c>
      <c r="AC343" s="358" t="str">
        <f t="shared" si="89"/>
        <v/>
      </c>
      <c r="AD343" s="205"/>
      <c r="AE343" s="205"/>
      <c r="AF343" s="201" t="s">
        <v>543</v>
      </c>
      <c r="AG343" s="205"/>
      <c r="AH343" s="16">
        <v>650</v>
      </c>
      <c r="AI343" s="380">
        <f t="shared" si="91"/>
        <v>650</v>
      </c>
      <c r="AJ343" s="204" t="s">
        <v>408</v>
      </c>
      <c r="AK343" s="204" t="s">
        <v>425</v>
      </c>
      <c r="AL343" s="204" t="s">
        <v>2175</v>
      </c>
      <c r="AM343" s="190"/>
      <c r="AN343" s="191">
        <v>400</v>
      </c>
      <c r="AO343" s="190" t="s">
        <v>572</v>
      </c>
      <c r="AP343" s="190">
        <v>62503</v>
      </c>
      <c r="AQ343" s="190" t="str">
        <f t="shared" ref="AQ343" si="96">CONCATENATE(AN343,AO343,AP343)</f>
        <v>400-62503</v>
      </c>
      <c r="AR343" s="190" t="s">
        <v>905</v>
      </c>
      <c r="AS343" s="190"/>
      <c r="AT343" s="190"/>
      <c r="AU343" s="190"/>
      <c r="AV343" s="190"/>
      <c r="AW343" s="190"/>
      <c r="AX343" s="279" t="str">
        <f t="shared" si="83"/>
        <v/>
      </c>
    </row>
    <row r="344" spans="1:50" x14ac:dyDescent="0.25">
      <c r="A344" s="190" t="str">
        <f t="shared" si="86"/>
        <v/>
      </c>
      <c r="B344" s="279" t="str">
        <f t="shared" si="93"/>
        <v/>
      </c>
      <c r="C344" s="279"/>
      <c r="D344" s="279"/>
      <c r="E344" s="279" t="str">
        <f t="shared" si="87"/>
        <v/>
      </c>
      <c r="F344" t="s">
        <v>535</v>
      </c>
      <c r="G344" s="188">
        <v>44670</v>
      </c>
      <c r="H344" s="10"/>
      <c r="I344" s="10"/>
      <c r="J344" s="10" t="s">
        <v>2771</v>
      </c>
      <c r="K344" s="10" t="s">
        <v>2765</v>
      </c>
      <c r="L344" s="10" t="s">
        <v>375</v>
      </c>
      <c r="M344" s="170" t="s">
        <v>558</v>
      </c>
      <c r="N344" s="170"/>
      <c r="O344" s="237"/>
      <c r="P344" s="237"/>
      <c r="Q344" s="231" t="str">
        <f t="shared" si="88"/>
        <v xml:space="preserve">. Transmission Assembly </v>
      </c>
      <c r="R344" s="231"/>
      <c r="S344" s="231" t="str">
        <f t="shared" si="90"/>
        <v/>
      </c>
      <c r="T344" s="231" t="str">
        <f>IF(O344&lt;&gt;"",_xlfn.XLOOKUP(O344,'3D. Pictures'!B:B,'3D. Pictures'!E:E,"NOT FOUND",0,1),"")</f>
        <v/>
      </c>
      <c r="U344" s="170"/>
      <c r="V344" s="168"/>
      <c r="W344" s="170"/>
      <c r="X344" s="168"/>
      <c r="Z344" s="168"/>
      <c r="AA344" s="10" t="s">
        <v>375</v>
      </c>
      <c r="AB344" s="10" t="s">
        <v>375</v>
      </c>
      <c r="AC344" s="359" t="str">
        <f t="shared" si="89"/>
        <v/>
      </c>
      <c r="AD344" s="10"/>
      <c r="AE344" s="10"/>
      <c r="AF344" s="168" t="s">
        <v>543</v>
      </c>
      <c r="AG344" s="16"/>
      <c r="AH344" s="10"/>
      <c r="AI344" s="380" t="str">
        <f t="shared" si="91"/>
        <v/>
      </c>
      <c r="AJ344" s="3" t="s">
        <v>2177</v>
      </c>
      <c r="AK344" s="3" t="s">
        <v>425</v>
      </c>
      <c r="AL344" s="204" t="s">
        <v>2177</v>
      </c>
      <c r="AN344" s="176"/>
      <c r="AO344" t="s">
        <v>572</v>
      </c>
      <c r="AP344" s="176"/>
      <c r="AQ344" s="176"/>
      <c r="AR344" s="176"/>
      <c r="AS344" s="176"/>
      <c r="AT344" s="176"/>
      <c r="AU344" s="176"/>
      <c r="AV344" s="176"/>
      <c r="AW344" s="176"/>
      <c r="AX344" s="279" t="str">
        <f t="shared" si="83"/>
        <v/>
      </c>
    </row>
    <row r="345" spans="1:50" x14ac:dyDescent="0.25">
      <c r="A345" s="190" t="str">
        <f t="shared" si="86"/>
        <v/>
      </c>
      <c r="B345" s="279" t="str">
        <f t="shared" si="93"/>
        <v/>
      </c>
      <c r="C345" s="279"/>
      <c r="D345" s="279"/>
      <c r="E345" s="279" t="str">
        <f t="shared" si="87"/>
        <v/>
      </c>
      <c r="F345" t="s">
        <v>535</v>
      </c>
      <c r="G345" s="188">
        <v>44674</v>
      </c>
      <c r="H345" s="10"/>
      <c r="I345" s="10"/>
      <c r="J345" s="10" t="s">
        <v>405</v>
      </c>
      <c r="K345" s="10" t="s">
        <v>2765</v>
      </c>
      <c r="L345" s="10" t="s">
        <v>2644</v>
      </c>
      <c r="M345" s="16" t="s">
        <v>559</v>
      </c>
      <c r="N345" s="16"/>
      <c r="O345" s="166"/>
      <c r="P345" s="166"/>
      <c r="Q345" s="231" t="str">
        <f t="shared" si="88"/>
        <v>. Guibos</v>
      </c>
      <c r="R345" s="231"/>
      <c r="S345" s="231" t="str">
        <f t="shared" si="90"/>
        <v/>
      </c>
      <c r="T345" s="231" t="str">
        <f>IF(O345&lt;&gt;"",_xlfn.XLOOKUP(O345,'3D. Pictures'!B:B,'3D. Pictures'!E:E,"NOT FOUND",0,1),"")</f>
        <v/>
      </c>
      <c r="U345" s="16"/>
      <c r="V345" s="16"/>
      <c r="W345" s="16"/>
      <c r="X345" s="16"/>
      <c r="Z345" s="16"/>
      <c r="AA345" s="10" t="s">
        <v>2644</v>
      </c>
      <c r="AB345" s="10" t="s">
        <v>2644</v>
      </c>
      <c r="AC345" s="359" t="str">
        <f t="shared" si="89"/>
        <v>TOSS ALL</v>
      </c>
      <c r="AD345" s="10" t="s">
        <v>2575</v>
      </c>
      <c r="AE345" s="10"/>
      <c r="AF345" s="168" t="s">
        <v>543</v>
      </c>
      <c r="AG345" s="10"/>
      <c r="AH345" s="10"/>
      <c r="AI345" s="380" t="str">
        <f t="shared" si="91"/>
        <v/>
      </c>
      <c r="AJ345" s="3" t="s">
        <v>408</v>
      </c>
      <c r="AK345" s="3" t="s">
        <v>425</v>
      </c>
      <c r="AL345" s="204" t="s">
        <v>2175</v>
      </c>
      <c r="AX345" s="279" t="str">
        <f t="shared" si="83"/>
        <v/>
      </c>
    </row>
    <row r="346" spans="1:50" x14ac:dyDescent="0.25">
      <c r="A346" s="190" t="str">
        <f t="shared" si="86"/>
        <v/>
      </c>
      <c r="B346" s="279" t="str">
        <f t="shared" si="93"/>
        <v/>
      </c>
      <c r="C346" s="279"/>
      <c r="D346" s="279"/>
      <c r="E346" s="279" t="str">
        <f t="shared" si="87"/>
        <v/>
      </c>
      <c r="F346" t="s">
        <v>535</v>
      </c>
      <c r="G346" s="188">
        <v>44674</v>
      </c>
      <c r="H346" s="10"/>
      <c r="I346" s="10"/>
      <c r="J346" s="10" t="s">
        <v>405</v>
      </c>
      <c r="K346" s="10" t="s">
        <v>2765</v>
      </c>
      <c r="L346" s="10" t="s">
        <v>38</v>
      </c>
      <c r="M346" s="189" t="s">
        <v>563</v>
      </c>
      <c r="N346" s="189"/>
      <c r="O346" s="233"/>
      <c r="P346" s="233"/>
      <c r="Q346" s="231" t="str">
        <f t="shared" si="88"/>
        <v>. Oil Pan, Transmission</v>
      </c>
      <c r="R346" s="231"/>
      <c r="S346" s="231" t="str">
        <f t="shared" si="90"/>
        <v/>
      </c>
      <c r="T346" s="231" t="str">
        <f>IF(O346&lt;&gt;"",_xlfn.XLOOKUP(O346,'3D. Pictures'!B:B,'3D. Pictures'!E:E,"NOT FOUND",0,1),"")</f>
        <v/>
      </c>
      <c r="U346" s="189"/>
      <c r="V346" s="168"/>
      <c r="W346" s="189"/>
      <c r="X346" s="168"/>
      <c r="Z346" s="168"/>
      <c r="AA346" s="10" t="s">
        <v>38</v>
      </c>
      <c r="AB346" s="10" t="s">
        <v>38</v>
      </c>
      <c r="AC346" s="359" t="str">
        <f t="shared" si="89"/>
        <v/>
      </c>
      <c r="AD346" s="10"/>
      <c r="AE346" s="10"/>
      <c r="AF346" s="168" t="s">
        <v>543</v>
      </c>
      <c r="AG346" s="10"/>
      <c r="AH346" s="10"/>
      <c r="AI346" s="380" t="str">
        <f t="shared" si="91"/>
        <v/>
      </c>
      <c r="AJ346" s="3" t="s">
        <v>408</v>
      </c>
      <c r="AK346" s="3" t="s">
        <v>425</v>
      </c>
      <c r="AL346" s="204" t="s">
        <v>2175</v>
      </c>
      <c r="AO346" t="s">
        <v>572</v>
      </c>
      <c r="AX346" s="279" t="str">
        <f t="shared" si="83"/>
        <v/>
      </c>
    </row>
    <row r="347" spans="1:50" ht="15.75" thickBot="1" x14ac:dyDescent="0.3">
      <c r="A347" s="190" t="str">
        <f t="shared" si="86"/>
        <v/>
      </c>
      <c r="B347" s="279" t="str">
        <f t="shared" si="93"/>
        <v/>
      </c>
      <c r="C347" s="279"/>
      <c r="D347" s="279"/>
      <c r="E347" s="279" t="str">
        <f t="shared" si="87"/>
        <v/>
      </c>
      <c r="F347" t="s">
        <v>536</v>
      </c>
      <c r="G347" s="188">
        <v>44683</v>
      </c>
      <c r="H347" s="16"/>
      <c r="I347" s="16"/>
      <c r="J347" s="10" t="s">
        <v>405</v>
      </c>
      <c r="K347" s="10" t="s">
        <v>2765</v>
      </c>
      <c r="L347" s="10" t="s">
        <v>2707</v>
      </c>
      <c r="M347" s="16" t="s">
        <v>559</v>
      </c>
      <c r="N347" s="16"/>
      <c r="O347" s="166"/>
      <c r="P347" s="166"/>
      <c r="Q347" s="231" t="str">
        <f t="shared" si="88"/>
        <v>. Transmission Crossmember Mount Bracket</v>
      </c>
      <c r="R347" s="231"/>
      <c r="S347" s="231" t="str">
        <f t="shared" si="90"/>
        <v/>
      </c>
      <c r="T347" s="231" t="str">
        <f>IF(O347&lt;&gt;"",_xlfn.XLOOKUP(O347,'3D. Pictures'!B:B,'3D. Pictures'!E:E,"NOT FOUND",0,1),"")</f>
        <v/>
      </c>
      <c r="U347" s="16"/>
      <c r="V347" s="16"/>
      <c r="W347" s="16"/>
      <c r="X347" s="16"/>
      <c r="Z347" s="16"/>
      <c r="AA347" s="10" t="s">
        <v>55</v>
      </c>
      <c r="AB347" s="10" t="s">
        <v>55</v>
      </c>
      <c r="AC347" s="359" t="str">
        <f t="shared" si="89"/>
        <v/>
      </c>
      <c r="AD347" s="10"/>
      <c r="AE347" s="10"/>
      <c r="AF347" s="168" t="s">
        <v>543</v>
      </c>
      <c r="AG347" s="177"/>
      <c r="AH347" s="16"/>
      <c r="AI347" s="380" t="str">
        <f t="shared" si="91"/>
        <v/>
      </c>
      <c r="AJ347" s="3" t="s">
        <v>408</v>
      </c>
      <c r="AK347" s="3" t="s">
        <v>425</v>
      </c>
      <c r="AL347" s="204" t="s">
        <v>2175</v>
      </c>
      <c r="AX347" s="279" t="str">
        <f t="shared" si="83"/>
        <v/>
      </c>
    </row>
    <row r="348" spans="1:50" ht="15.75" thickBot="1" x14ac:dyDescent="0.3">
      <c r="A348" s="190" t="str">
        <f t="shared" si="86"/>
        <v>A39</v>
      </c>
      <c r="B348" s="279" t="str">
        <f t="shared" si="93"/>
        <v/>
      </c>
      <c r="C348" s="279"/>
      <c r="D348" s="279"/>
      <c r="E348" s="279" t="str">
        <f t="shared" si="87"/>
        <v/>
      </c>
      <c r="F348" s="241" t="s">
        <v>535</v>
      </c>
      <c r="G348" s="242">
        <v>45217</v>
      </c>
      <c r="H348" s="243"/>
      <c r="I348" s="243"/>
      <c r="J348" s="243" t="s">
        <v>402</v>
      </c>
      <c r="K348" s="243" t="s">
        <v>48</v>
      </c>
      <c r="L348" s="243" t="s">
        <v>2718</v>
      </c>
      <c r="M348" s="243" t="s">
        <v>559</v>
      </c>
      <c r="N348" s="243">
        <v>29</v>
      </c>
      <c r="O348" s="244" t="s">
        <v>941</v>
      </c>
      <c r="P348" s="244" t="s">
        <v>1168</v>
      </c>
      <c r="Q348" s="231" t="str">
        <f t="shared" si="88"/>
        <v>A39. Trunk Latch WITH Soft Close Actuator Motor &amp; Cables</v>
      </c>
      <c r="R348" s="284" t="str">
        <f>HYPERLINK(VLOOKUP(O348,'3D. Pictures'!$B$3:$E$500,4,FALSE),"PIC")</f>
        <v>PIC</v>
      </c>
      <c r="S348" s="373" t="str">
        <f t="shared" si="90"/>
        <v>E.G.</v>
      </c>
      <c r="T348" s="377" t="str">
        <f>IF(O348&lt;&gt;"",_xlfn.XLOOKUP(O348,'3D. Pictures'!B:B,'3D. Pictures'!E:E,"NOT FOUND",0,1),"")</f>
        <v>https://viking-pictures.s3.us-west-1.amazonaws.com/AA1155/A39.+Trunk+Latch+WITH+Soft+Close+Actuator+Motor+%26+Cables+(1).JPG</v>
      </c>
      <c r="U348" s="243">
        <v>7</v>
      </c>
      <c r="V348" s="243" t="s">
        <v>1368</v>
      </c>
      <c r="W348" s="243" t="s">
        <v>112</v>
      </c>
      <c r="X348" s="243"/>
      <c r="Z348" s="243"/>
      <c r="AA348" s="243" t="s">
        <v>1191</v>
      </c>
      <c r="AB348" s="243" t="s">
        <v>1191</v>
      </c>
      <c r="AC348" s="358" t="str">
        <f t="shared" si="89"/>
        <v/>
      </c>
      <c r="AD348" s="243"/>
      <c r="AE348" s="243"/>
      <c r="AF348" s="179" t="s">
        <v>542</v>
      </c>
      <c r="AG348" s="243"/>
      <c r="AH348" s="16">
        <v>150</v>
      </c>
      <c r="AI348" s="380">
        <f t="shared" si="91"/>
        <v>150</v>
      </c>
      <c r="AJ348" s="246" t="s">
        <v>408</v>
      </c>
      <c r="AK348" s="246" t="s">
        <v>425</v>
      </c>
      <c r="AL348" s="204" t="s">
        <v>2175</v>
      </c>
      <c r="AM348" s="241"/>
      <c r="AN348" s="241"/>
      <c r="AO348" s="241"/>
      <c r="AP348" s="241"/>
      <c r="AQ348" s="241"/>
      <c r="AR348" s="241"/>
      <c r="AS348" s="241" t="s">
        <v>1028</v>
      </c>
      <c r="AT348" s="241" t="s">
        <v>1029</v>
      </c>
      <c r="AU348" s="241" t="s">
        <v>1030</v>
      </c>
      <c r="AV348" s="303" t="str">
        <f t="shared" ref="AV348" si="97">CONCATENATE(AS348,"-",AT348,"-",AU348)</f>
        <v>F15-14-18-ALL</v>
      </c>
      <c r="AW348" s="241" t="s">
        <v>2440</v>
      </c>
      <c r="AX348" s="279" t="str">
        <f t="shared" si="83"/>
        <v>F15-14-18-ALL-Viking74</v>
      </c>
    </row>
    <row r="349" spans="1:50" x14ac:dyDescent="0.25">
      <c r="A349" s="190" t="str">
        <f t="shared" si="86"/>
        <v/>
      </c>
      <c r="B349" s="279" t="str">
        <f t="shared" si="93"/>
        <v/>
      </c>
      <c r="C349" s="279"/>
      <c r="D349" s="279"/>
      <c r="E349" s="279" t="str">
        <f t="shared" si="87"/>
        <v/>
      </c>
      <c r="F349" t="s">
        <v>536</v>
      </c>
      <c r="G349" s="188">
        <v>45099</v>
      </c>
      <c r="H349" s="99"/>
      <c r="I349" s="168" t="s">
        <v>7</v>
      </c>
      <c r="J349" s="168" t="s">
        <v>402</v>
      </c>
      <c r="K349" s="168" t="s">
        <v>48</v>
      </c>
      <c r="L349" s="168" t="s">
        <v>2718</v>
      </c>
      <c r="M349" s="16" t="s">
        <v>559</v>
      </c>
      <c r="N349" s="16"/>
      <c r="O349" s="166"/>
      <c r="P349" s="166"/>
      <c r="Q349" s="231" t="str">
        <f t="shared" si="88"/>
        <v>. Trunk Handle (WITH Camera Slot)</v>
      </c>
      <c r="R349" s="231"/>
      <c r="S349" s="231" t="str">
        <f t="shared" si="90"/>
        <v/>
      </c>
      <c r="T349" s="231" t="str">
        <f>IF(O349&lt;&gt;"",_xlfn.XLOOKUP(O349,'3D. Pictures'!B:B,'3D. Pictures'!E:E,"NOT FOUND",0,1),"")</f>
        <v/>
      </c>
      <c r="U349" s="16"/>
      <c r="V349" s="16"/>
      <c r="W349" s="16"/>
      <c r="X349" s="16"/>
      <c r="Z349" s="16"/>
      <c r="AA349" s="168" t="s">
        <v>2646</v>
      </c>
      <c r="AB349" s="168" t="s">
        <v>2646</v>
      </c>
      <c r="AC349" s="247" t="str">
        <f t="shared" si="89"/>
        <v>remove camera &amp; sell solo, toss one w/o camera slot</v>
      </c>
      <c r="AD349" s="168" t="s">
        <v>2645</v>
      </c>
      <c r="AE349" s="168"/>
      <c r="AF349" s="168" t="s">
        <v>543</v>
      </c>
      <c r="AG349" s="168"/>
      <c r="AH349" s="168">
        <v>58</v>
      </c>
      <c r="AI349" s="380">
        <f t="shared" si="91"/>
        <v>58</v>
      </c>
      <c r="AJ349" s="3" t="s">
        <v>408</v>
      </c>
      <c r="AK349" s="3" t="s">
        <v>425</v>
      </c>
      <c r="AL349" s="204" t="s">
        <v>2175</v>
      </c>
      <c r="AM349" s="138"/>
      <c r="AX349" s="279" t="str">
        <f t="shared" si="83"/>
        <v/>
      </c>
    </row>
    <row r="350" spans="1:50" ht="15.75" thickBot="1" x14ac:dyDescent="0.3">
      <c r="A350" s="190" t="str">
        <f t="shared" si="86"/>
        <v/>
      </c>
      <c r="B350" s="279" t="str">
        <f t="shared" si="93"/>
        <v/>
      </c>
      <c r="C350" s="279"/>
      <c r="D350" s="279"/>
      <c r="E350" s="279" t="str">
        <f t="shared" si="87"/>
        <v/>
      </c>
      <c r="F350" t="s">
        <v>536</v>
      </c>
      <c r="G350" s="188">
        <v>45099</v>
      </c>
      <c r="H350" s="160"/>
      <c r="I350" s="172"/>
      <c r="J350" s="172" t="s">
        <v>405</v>
      </c>
      <c r="K350" s="172" t="s">
        <v>48</v>
      </c>
      <c r="L350" s="172" t="s">
        <v>2718</v>
      </c>
      <c r="M350" s="10" t="s">
        <v>559</v>
      </c>
      <c r="N350" s="10"/>
      <c r="O350" s="15"/>
      <c r="P350" s="15"/>
      <c r="Q350" s="270" t="str">
        <f t="shared" si="88"/>
        <v>. Trunk Handle (WITHOUT Camera Slot)</v>
      </c>
      <c r="R350" s="270"/>
      <c r="S350" s="270" t="str">
        <f t="shared" si="90"/>
        <v/>
      </c>
      <c r="T350" s="270" t="str">
        <f>IF(O350&lt;&gt;"",_xlfn.XLOOKUP(O350,'3D. Pictures'!B:B,'3D. Pictures'!E:E,"NOT FOUND",0,1),"")</f>
        <v/>
      </c>
      <c r="U350" s="10"/>
      <c r="V350" s="10"/>
      <c r="W350" s="10"/>
      <c r="X350" s="10"/>
      <c r="Z350" s="10"/>
      <c r="AA350" s="172" t="s">
        <v>2647</v>
      </c>
      <c r="AB350" s="172" t="s">
        <v>2647</v>
      </c>
      <c r="AC350" s="361" t="str">
        <f t="shared" si="89"/>
        <v>keep one with camera slot &amp; sell camera solo</v>
      </c>
      <c r="AD350" s="172" t="s">
        <v>2648</v>
      </c>
      <c r="AE350" s="172"/>
      <c r="AF350" s="172" t="s">
        <v>543</v>
      </c>
      <c r="AG350" s="172"/>
      <c r="AH350" s="172"/>
      <c r="AI350" s="380" t="str">
        <f t="shared" si="91"/>
        <v/>
      </c>
      <c r="AJ350" s="3" t="s">
        <v>408</v>
      </c>
      <c r="AK350" s="3" t="s">
        <v>425</v>
      </c>
      <c r="AL350" s="204" t="s">
        <v>2175</v>
      </c>
      <c r="AM350" s="138"/>
      <c r="AX350" s="279" t="str">
        <f t="shared" si="83"/>
        <v/>
      </c>
    </row>
    <row r="351" spans="1:50" ht="15.75" thickBot="1" x14ac:dyDescent="0.3">
      <c r="A351" s="190" t="str">
        <f t="shared" si="86"/>
        <v>A31</v>
      </c>
      <c r="B351" s="279" t="str">
        <f t="shared" si="93"/>
        <v/>
      </c>
      <c r="C351" s="279"/>
      <c r="D351" s="279"/>
      <c r="E351" s="279" t="str">
        <f t="shared" si="87"/>
        <v/>
      </c>
      <c r="F351" s="241" t="s">
        <v>535</v>
      </c>
      <c r="G351" s="242">
        <v>44684</v>
      </c>
      <c r="H351" s="243"/>
      <c r="I351" s="243"/>
      <c r="J351" s="243" t="s">
        <v>402</v>
      </c>
      <c r="K351" s="243" t="s">
        <v>48</v>
      </c>
      <c r="L351" s="243" t="s">
        <v>1377</v>
      </c>
      <c r="M351" s="243" t="s">
        <v>559</v>
      </c>
      <c r="N351" s="243">
        <v>21</v>
      </c>
      <c r="O351" s="244" t="s">
        <v>933</v>
      </c>
      <c r="P351" s="244" t="s">
        <v>1168</v>
      </c>
      <c r="Q351" s="231" t="str">
        <f t="shared" si="88"/>
        <v>A31. Battery Cable, NEGATIVE With IBS Module ON</v>
      </c>
      <c r="R351" s="284" t="str">
        <f>HYPERLINK(VLOOKUP(O351,'3D. Pictures'!$B$3:$E$500,4,FALSE),"PIC")</f>
        <v>PIC</v>
      </c>
      <c r="S351" s="373" t="str">
        <f t="shared" si="90"/>
        <v>E.G.</v>
      </c>
      <c r="T351" s="377" t="str">
        <f>IF(O351&lt;&gt;"",_xlfn.XLOOKUP(O351,'3D. Pictures'!B:B,'3D. Pictures'!E:E,"NOT FOUND",0,1),"")</f>
        <v>https://viking-pictures.s3.us-west-1.amazonaws.com/AA1155/A31.+Battery+Cable%2C+NEGATIVE+With+IBS+Module+ON+(1).JPG</v>
      </c>
      <c r="U351" s="243">
        <v>4</v>
      </c>
      <c r="V351" s="243" t="s">
        <v>1184</v>
      </c>
      <c r="W351" s="243" t="s">
        <v>111</v>
      </c>
      <c r="X351" s="243"/>
      <c r="Z351" s="243"/>
      <c r="AA351" s="243" t="s">
        <v>2070</v>
      </c>
      <c r="AB351" s="243" t="s">
        <v>2070</v>
      </c>
      <c r="AC351" s="358" t="str">
        <f t="shared" si="89"/>
        <v>toss both if 1 bad</v>
      </c>
      <c r="AD351" s="243"/>
      <c r="AE351" s="243" t="s">
        <v>1159</v>
      </c>
      <c r="AF351" s="179" t="s">
        <v>543</v>
      </c>
      <c r="AG351" s="243"/>
      <c r="AH351" s="16">
        <v>65</v>
      </c>
      <c r="AI351" s="380">
        <f t="shared" si="91"/>
        <v>65</v>
      </c>
      <c r="AJ351" s="246" t="s">
        <v>408</v>
      </c>
      <c r="AK351" s="246" t="s">
        <v>425</v>
      </c>
      <c r="AL351" s="204" t="s">
        <v>2175</v>
      </c>
      <c r="AM351" s="241"/>
      <c r="AN351" s="241"/>
      <c r="AO351" s="241"/>
      <c r="AP351" s="241"/>
      <c r="AQ351" s="241"/>
      <c r="AR351" s="241"/>
      <c r="AS351" s="241" t="s">
        <v>1028</v>
      </c>
      <c r="AT351" s="241" t="s">
        <v>1029</v>
      </c>
      <c r="AU351" s="241" t="s">
        <v>1030</v>
      </c>
      <c r="AV351" s="303" t="str">
        <f t="shared" ref="AV351:AV353" si="98">CONCATENATE(AS351,"-",AT351,"-",AU351)</f>
        <v>F15-14-18-ALL</v>
      </c>
      <c r="AW351" s="241" t="s">
        <v>2441</v>
      </c>
      <c r="AX351" s="279" t="str">
        <f t="shared" si="83"/>
        <v>F15-14-18-ALL-Viking75</v>
      </c>
    </row>
    <row r="352" spans="1:50" ht="14.25" customHeight="1" thickBot="1" x14ac:dyDescent="0.3">
      <c r="A352" s="190" t="str">
        <f t="shared" si="86"/>
        <v/>
      </c>
      <c r="B352" s="279" t="str">
        <f t="shared" si="93"/>
        <v/>
      </c>
      <c r="C352" s="279"/>
      <c r="D352" s="279"/>
      <c r="E352" s="279" t="str">
        <f t="shared" si="87"/>
        <v/>
      </c>
      <c r="F352" s="241" t="s">
        <v>535</v>
      </c>
      <c r="G352" s="242">
        <v>44683</v>
      </c>
      <c r="H352" s="243"/>
      <c r="I352" s="243"/>
      <c r="J352" s="243" t="s">
        <v>402</v>
      </c>
      <c r="K352" s="243" t="s">
        <v>48</v>
      </c>
      <c r="L352" s="243" t="s">
        <v>1377</v>
      </c>
      <c r="M352" s="243" t="s">
        <v>559</v>
      </c>
      <c r="N352" s="243"/>
      <c r="O352" s="244"/>
      <c r="P352" s="244"/>
      <c r="Q352" s="231" t="str">
        <f t="shared" si="88"/>
        <v>. Battery Cable, POSITIVE &amp; Attached Junction Bracket, THE SMALL ONE</v>
      </c>
      <c r="R352" s="244"/>
      <c r="S352" s="244" t="str">
        <f t="shared" si="90"/>
        <v/>
      </c>
      <c r="T352" s="244" t="str">
        <f>IF(O352&lt;&gt;"",_xlfn.XLOOKUP(O352,'3D. Pictures'!B:B,'3D. Pictures'!E:E,"NOT FOUND",0,1),"")</f>
        <v/>
      </c>
      <c r="U352" s="243"/>
      <c r="V352" s="243"/>
      <c r="W352" s="243"/>
      <c r="X352" s="243"/>
      <c r="Z352" s="243"/>
      <c r="AA352" s="243" t="s">
        <v>1181</v>
      </c>
      <c r="AB352" s="243" t="s">
        <v>1181</v>
      </c>
      <c r="AC352" s="358" t="str">
        <f t="shared" si="89"/>
        <v>short red/black cable w/ black terminal | small one</v>
      </c>
      <c r="AD352" s="243" t="s">
        <v>2802</v>
      </c>
      <c r="AE352" s="243" t="s">
        <v>2803</v>
      </c>
      <c r="AF352" s="179" t="s">
        <v>543</v>
      </c>
      <c r="AG352" s="243"/>
      <c r="AH352" s="16">
        <v>48</v>
      </c>
      <c r="AI352" s="380">
        <f t="shared" si="91"/>
        <v>48</v>
      </c>
      <c r="AJ352" s="246" t="s">
        <v>408</v>
      </c>
      <c r="AK352" s="246" t="s">
        <v>425</v>
      </c>
      <c r="AL352" s="204" t="s">
        <v>2175</v>
      </c>
      <c r="AM352" s="241"/>
      <c r="AN352" s="241"/>
      <c r="AO352" s="241"/>
      <c r="AP352" s="241"/>
      <c r="AQ352" s="241"/>
      <c r="AR352" s="241"/>
      <c r="AS352" s="241" t="s">
        <v>1028</v>
      </c>
      <c r="AT352" s="241" t="s">
        <v>1029</v>
      </c>
      <c r="AU352" s="241" t="s">
        <v>1030</v>
      </c>
      <c r="AV352" s="303" t="str">
        <f t="shared" si="98"/>
        <v>F15-14-18-ALL</v>
      </c>
      <c r="AW352" s="241" t="s">
        <v>2442</v>
      </c>
      <c r="AX352" s="279" t="str">
        <f t="shared" si="83"/>
        <v>F15-14-18-ALL-Viking76</v>
      </c>
    </row>
    <row r="353" spans="1:50" ht="15.75" thickBot="1" x14ac:dyDescent="0.3">
      <c r="A353" s="190" t="str">
        <f t="shared" si="86"/>
        <v>A32</v>
      </c>
      <c r="B353" s="279" t="str">
        <f t="shared" si="93"/>
        <v/>
      </c>
      <c r="C353" s="279"/>
      <c r="D353" s="279"/>
      <c r="E353" s="279" t="str">
        <f t="shared" si="87"/>
        <v/>
      </c>
      <c r="F353" s="241" t="s">
        <v>535</v>
      </c>
      <c r="G353" s="242">
        <v>44683</v>
      </c>
      <c r="H353" s="243"/>
      <c r="I353" s="243"/>
      <c r="J353" s="243" t="s">
        <v>402</v>
      </c>
      <c r="K353" s="244" t="s">
        <v>48</v>
      </c>
      <c r="L353" s="243" t="s">
        <v>1377</v>
      </c>
      <c r="M353" s="243" t="s">
        <v>559</v>
      </c>
      <c r="N353" s="243">
        <v>22</v>
      </c>
      <c r="O353" s="244" t="s">
        <v>934</v>
      </c>
      <c r="P353" s="244" t="s">
        <v>1168</v>
      </c>
      <c r="Q353" s="231" t="str">
        <f t="shared" si="88"/>
        <v>A32. Battery Cable, POSITIVE &amp; Attached Terminal Bracket, THE BIG PRIMARY ONE</v>
      </c>
      <c r="R353" s="284" t="str">
        <f>HYPERLINK(VLOOKUP(O353,'3D. Pictures'!$B$3:$E$500,4,FALSE),"PIC")</f>
        <v>PIC</v>
      </c>
      <c r="S353" s="373" t="str">
        <f t="shared" si="90"/>
        <v>E.G.</v>
      </c>
      <c r="T353" s="377" t="str">
        <f>IF(O353&lt;&gt;"",_xlfn.XLOOKUP(O353,'3D. Pictures'!B:B,'3D. Pictures'!E:E,"NOT FOUND",0,1),"")</f>
        <v>https://viking-pictures.s3.us-west-1.amazonaws.com/AA1155/A32.+Battery+Cable%2C+POSITIVE+%26+Attached+Terminal+Bracket%2C+THE+BIG+PRIMARY+ONE+(1).JPG</v>
      </c>
      <c r="U353" s="243">
        <v>4</v>
      </c>
      <c r="V353" s="243">
        <v>9322056</v>
      </c>
      <c r="W353" s="243" t="s">
        <v>111</v>
      </c>
      <c r="X353" s="243"/>
      <c r="Z353" s="243"/>
      <c r="AA353" s="243" t="s">
        <v>1183</v>
      </c>
      <c r="AB353" s="243" t="s">
        <v>1183</v>
      </c>
      <c r="AC353" s="358" t="str">
        <f t="shared" si="89"/>
        <v>thicker red cable w/ red terminal | BIG ONE</v>
      </c>
      <c r="AD353" s="243" t="s">
        <v>1182</v>
      </c>
      <c r="AE353" s="243" t="s">
        <v>2804</v>
      </c>
      <c r="AF353" s="179" t="s">
        <v>543</v>
      </c>
      <c r="AG353" s="243"/>
      <c r="AH353" s="16">
        <v>150</v>
      </c>
      <c r="AI353" s="380">
        <f t="shared" si="91"/>
        <v>150</v>
      </c>
      <c r="AJ353" s="246" t="s">
        <v>408</v>
      </c>
      <c r="AK353" s="246" t="s">
        <v>425</v>
      </c>
      <c r="AL353" s="204" t="s">
        <v>2175</v>
      </c>
      <c r="AM353" s="241"/>
      <c r="AN353" s="241"/>
      <c r="AO353" s="241"/>
      <c r="AP353" s="241"/>
      <c r="AQ353" s="241"/>
      <c r="AR353" s="241"/>
      <c r="AS353" s="241" t="s">
        <v>1028</v>
      </c>
      <c r="AT353" s="241" t="s">
        <v>1029</v>
      </c>
      <c r="AU353" s="241" t="s">
        <v>1030</v>
      </c>
      <c r="AV353" s="303" t="str">
        <f t="shared" si="98"/>
        <v>F15-14-18-ALL</v>
      </c>
      <c r="AW353" s="241" t="s">
        <v>2443</v>
      </c>
      <c r="AX353" s="279" t="str">
        <f t="shared" si="83"/>
        <v>F15-14-18-ALL-Viking77</v>
      </c>
    </row>
    <row r="354" spans="1:50" ht="15.75" thickBot="1" x14ac:dyDescent="0.3">
      <c r="A354" s="190" t="str">
        <f t="shared" si="86"/>
        <v>A76</v>
      </c>
      <c r="B354" s="279" t="str">
        <f t="shared" si="93"/>
        <v>596-894</v>
      </c>
      <c r="C354" s="279"/>
      <c r="D354" s="279"/>
      <c r="E354" s="279">
        <f t="shared" si="87"/>
        <v>1</v>
      </c>
      <c r="F354" s="190" t="s">
        <v>535</v>
      </c>
      <c r="G354" s="198">
        <v>45218</v>
      </c>
      <c r="H354" s="205"/>
      <c r="I354" s="205"/>
      <c r="J354" s="205" t="s">
        <v>402</v>
      </c>
      <c r="K354" s="206" t="s">
        <v>48</v>
      </c>
      <c r="L354" s="205" t="s">
        <v>855</v>
      </c>
      <c r="M354" s="208" t="s">
        <v>562</v>
      </c>
      <c r="N354" s="208">
        <v>66</v>
      </c>
      <c r="O354" s="232" t="s">
        <v>978</v>
      </c>
      <c r="P354" s="232" t="s">
        <v>1254</v>
      </c>
      <c r="Q354" s="231" t="str">
        <f t="shared" si="88"/>
        <v>A76. Camera, REAR Backup Camera</v>
      </c>
      <c r="R354" s="284" t="str">
        <f>HYPERLINK(VLOOKUP(O354,'3D. Pictures'!$B$3:$E$500,4,FALSE),"PIC")</f>
        <v>PIC</v>
      </c>
      <c r="S354" s="373" t="str">
        <f t="shared" si="90"/>
        <v>E.G.</v>
      </c>
      <c r="T354" s="377" t="str">
        <f>IF(O354&lt;&gt;"",_xlfn.XLOOKUP(O354,'3D. Pictures'!B:B,'3D. Pictures'!E:E,"NOT FOUND",0,1),"")</f>
        <v>https://viking-pictures.s3.us-west-1.amazonaws.com/AA1155/A76.+Camera%2C+REAR+Backup+Camera+(1).JPG</v>
      </c>
      <c r="U354" s="208">
        <v>4</v>
      </c>
      <c r="V354" s="201" t="s">
        <v>1270</v>
      </c>
      <c r="W354" s="208" t="s">
        <v>112</v>
      </c>
      <c r="X354" s="201"/>
      <c r="Z354" s="201"/>
      <c r="AA354" s="205" t="s">
        <v>1267</v>
      </c>
      <c r="AB354" s="205" t="s">
        <v>1267</v>
      </c>
      <c r="AC354" s="358" t="str">
        <f t="shared" si="89"/>
        <v>remove from trunk handle &amp; sell each solo | mark location</v>
      </c>
      <c r="AD354" s="205" t="s">
        <v>1268</v>
      </c>
      <c r="AE354" s="205" t="s">
        <v>1269</v>
      </c>
      <c r="AF354" s="201" t="s">
        <v>543</v>
      </c>
      <c r="AG354" s="205"/>
      <c r="AH354" s="16">
        <v>225</v>
      </c>
      <c r="AI354" s="380">
        <f t="shared" si="91"/>
        <v>225</v>
      </c>
      <c r="AJ354" s="204" t="s">
        <v>408</v>
      </c>
      <c r="AK354" s="204" t="s">
        <v>425</v>
      </c>
      <c r="AL354" s="204" t="s">
        <v>2175</v>
      </c>
      <c r="AM354" s="190"/>
      <c r="AN354" s="191">
        <v>596</v>
      </c>
      <c r="AO354" s="190" t="s">
        <v>572</v>
      </c>
      <c r="AP354" s="190">
        <v>894</v>
      </c>
      <c r="AQ354" s="190" t="str">
        <f>CONCATENATE(AN354,AO354,AP354)</f>
        <v>596-894</v>
      </c>
      <c r="AR354" s="190"/>
      <c r="AS354" s="190"/>
      <c r="AT354" s="190"/>
      <c r="AU354" s="190"/>
      <c r="AV354" s="190"/>
      <c r="AW354" s="190"/>
      <c r="AX354" s="279" t="str">
        <f t="shared" si="83"/>
        <v/>
      </c>
    </row>
    <row r="355" spans="1:50" ht="15.75" thickBot="1" x14ac:dyDescent="0.3">
      <c r="A355" s="190" t="str">
        <f t="shared" si="86"/>
        <v>A122</v>
      </c>
      <c r="B355" s="279" t="str">
        <f t="shared" si="93"/>
        <v/>
      </c>
      <c r="C355" s="279"/>
      <c r="D355" s="279"/>
      <c r="E355" s="279" t="str">
        <f t="shared" si="87"/>
        <v/>
      </c>
      <c r="F355" s="241" t="s">
        <v>535</v>
      </c>
      <c r="G355" s="242">
        <v>44684</v>
      </c>
      <c r="H355" s="243"/>
      <c r="I355" s="243" t="s">
        <v>7</v>
      </c>
      <c r="J355" s="243" t="s">
        <v>402</v>
      </c>
      <c r="K355" s="243" t="s">
        <v>48</v>
      </c>
      <c r="L355" s="243" t="s">
        <v>2712</v>
      </c>
      <c r="M355" s="243" t="s">
        <v>559</v>
      </c>
      <c r="N355" s="243">
        <v>112</v>
      </c>
      <c r="O355" s="244" t="s">
        <v>1024</v>
      </c>
      <c r="P355" s="244" t="s">
        <v>1307</v>
      </c>
      <c r="Q355" s="231" t="str">
        <f t="shared" si="88"/>
        <v>A122. Cargo Cover, Large Retractable</v>
      </c>
      <c r="R355" s="284" t="str">
        <f>HYPERLINK(VLOOKUP(O355,'3D. Pictures'!$B$3:$E$500,4,FALSE),"PIC")</f>
        <v>PIC</v>
      </c>
      <c r="S355" s="373" t="str">
        <f t="shared" si="90"/>
        <v>E.G.</v>
      </c>
      <c r="T355" s="377" t="str">
        <f>IF(O355&lt;&gt;"",_xlfn.XLOOKUP(O355,'3D. Pictures'!B:B,'3D. Pictures'!E:E,"NOT FOUND",0,1),"")</f>
        <v>https://viking-pictures.s3.us-west-1.amazonaws.com/AA1155/A122.+Cargo+Cover%2C+Large+Retractable+(1).JPG</v>
      </c>
      <c r="U355" s="243">
        <v>8</v>
      </c>
      <c r="V355" s="243" t="s">
        <v>1205</v>
      </c>
      <c r="W355" s="243" t="s">
        <v>111</v>
      </c>
      <c r="X355" s="243" t="s">
        <v>2469</v>
      </c>
      <c r="Z355" s="192" t="s">
        <v>2078</v>
      </c>
      <c r="AA355" s="243" t="s">
        <v>1366</v>
      </c>
      <c r="AB355" s="243" t="s">
        <v>1366</v>
      </c>
      <c r="AC355" s="358" t="str">
        <f t="shared" si="89"/>
        <v>only keep if minor flaws or better</v>
      </c>
      <c r="AD355" s="243" t="s">
        <v>1367</v>
      </c>
      <c r="AE355" s="243"/>
      <c r="AF355" s="179" t="s">
        <v>543</v>
      </c>
      <c r="AG355" s="243"/>
      <c r="AH355" s="16">
        <v>195</v>
      </c>
      <c r="AI355" s="380">
        <f t="shared" si="91"/>
        <v>195</v>
      </c>
      <c r="AJ355" s="246" t="s">
        <v>408</v>
      </c>
      <c r="AK355" s="246" t="s">
        <v>425</v>
      </c>
      <c r="AL355" s="204" t="s">
        <v>2175</v>
      </c>
      <c r="AN355" s="241"/>
      <c r="AO355" s="241"/>
      <c r="AP355" s="241"/>
      <c r="AQ355" s="241"/>
      <c r="AR355" s="241"/>
      <c r="AS355" s="241" t="s">
        <v>1028</v>
      </c>
      <c r="AT355" s="241" t="s">
        <v>1029</v>
      </c>
      <c r="AU355" s="241" t="s">
        <v>1030</v>
      </c>
      <c r="AV355" s="303" t="str">
        <f t="shared" ref="AV355" si="99">CONCATENATE(AS355,"-",AT355,"-",AU355)</f>
        <v>F15-14-18-ALL</v>
      </c>
      <c r="AW355" s="241" t="s">
        <v>2444</v>
      </c>
      <c r="AX355" s="279" t="str">
        <f t="shared" si="83"/>
        <v>F15-14-18-ALL-Viking78</v>
      </c>
    </row>
    <row r="356" spans="1:50" ht="15.75" thickBot="1" x14ac:dyDescent="0.3">
      <c r="A356" s="190" t="str">
        <f t="shared" si="86"/>
        <v>A107</v>
      </c>
      <c r="B356" s="279" t="str">
        <f t="shared" si="93"/>
        <v>170-60923</v>
      </c>
      <c r="C356" s="279"/>
      <c r="D356" s="279"/>
      <c r="E356" s="279">
        <f t="shared" si="87"/>
        <v>1</v>
      </c>
      <c r="F356" s="190" t="s">
        <v>535</v>
      </c>
      <c r="G356" s="198">
        <v>44674</v>
      </c>
      <c r="H356" s="224"/>
      <c r="I356" s="205"/>
      <c r="J356" s="205" t="s">
        <v>402</v>
      </c>
      <c r="K356" s="205" t="s">
        <v>48</v>
      </c>
      <c r="L356" s="205" t="s">
        <v>1378</v>
      </c>
      <c r="M356" s="200" t="s">
        <v>558</v>
      </c>
      <c r="N356" s="200">
        <v>97</v>
      </c>
      <c r="O356" s="230" t="s">
        <v>1009</v>
      </c>
      <c r="P356" s="230" t="s">
        <v>1300</v>
      </c>
      <c r="Q356" s="231" t="str">
        <f t="shared" si="88"/>
        <v>A107. Trunk Assembly - LOWER TAILGATE</v>
      </c>
      <c r="R356" s="284" t="str">
        <f>HYPERLINK(VLOOKUP(O356,'3D. Pictures'!$B$3:$E$500,4,FALSE),"PIC")</f>
        <v>PIC</v>
      </c>
      <c r="S356" s="373" t="str">
        <f t="shared" si="90"/>
        <v>E.G.</v>
      </c>
      <c r="T356" s="377" t="str">
        <f>IF(O356&lt;&gt;"",_xlfn.XLOOKUP(O356,'3D. Pictures'!B:B,'3D. Pictures'!E:E,"NOT FOUND",0,1),"")</f>
        <v>https://viking-pictures.s3.us-west-1.amazonaws.com/AA1155/A107.+Trunk+Assembly+-+LOWER+TAILGATE+(1).JPG</v>
      </c>
      <c r="U356" s="200">
        <v>8</v>
      </c>
      <c r="V356" s="201" t="s">
        <v>1340</v>
      </c>
      <c r="W356" s="200" t="s">
        <v>111</v>
      </c>
      <c r="X356" s="201"/>
      <c r="Z356" s="201"/>
      <c r="AA356" s="205" t="s">
        <v>433</v>
      </c>
      <c r="AB356" s="205" t="s">
        <v>433</v>
      </c>
      <c r="AC356" s="358" t="str">
        <f t="shared" si="89"/>
        <v/>
      </c>
      <c r="AD356" s="205"/>
      <c r="AE356" s="205"/>
      <c r="AF356" s="201" t="s">
        <v>543</v>
      </c>
      <c r="AG356" s="205"/>
      <c r="AH356" s="16">
        <v>850</v>
      </c>
      <c r="AI356" s="380">
        <f t="shared" si="91"/>
        <v>850</v>
      </c>
      <c r="AJ356" s="204" t="s">
        <v>408</v>
      </c>
      <c r="AK356" s="204" t="s">
        <v>425</v>
      </c>
      <c r="AL356" s="204" t="s">
        <v>2175</v>
      </c>
      <c r="AM356" s="190"/>
      <c r="AN356" s="191" t="s">
        <v>653</v>
      </c>
      <c r="AO356" s="190" t="s">
        <v>572</v>
      </c>
      <c r="AP356" s="190">
        <v>60923</v>
      </c>
      <c r="AQ356" s="190" t="str">
        <f>CONCATENATE(AN356,AO356,AP356)</f>
        <v>170-60923</v>
      </c>
      <c r="AR356" s="190"/>
      <c r="AS356" s="190"/>
      <c r="AT356" s="190"/>
      <c r="AU356" s="190"/>
      <c r="AV356" s="190"/>
      <c r="AW356" s="190"/>
      <c r="AX356" s="279" t="str">
        <f t="shared" si="83"/>
        <v/>
      </c>
    </row>
    <row r="357" spans="1:50" ht="15.75" thickBot="1" x14ac:dyDescent="0.3">
      <c r="A357" s="190" t="str">
        <f t="shared" si="86"/>
        <v>A11</v>
      </c>
      <c r="B357" s="279" t="str">
        <f t="shared" si="93"/>
        <v/>
      </c>
      <c r="C357" s="279"/>
      <c r="D357" s="279"/>
      <c r="E357" s="279" t="str">
        <f t="shared" si="87"/>
        <v/>
      </c>
      <c r="F357" s="241" t="s">
        <v>535</v>
      </c>
      <c r="G357" s="242">
        <v>44683</v>
      </c>
      <c r="H357" s="243"/>
      <c r="I357" s="243"/>
      <c r="J357" s="244" t="s">
        <v>402</v>
      </c>
      <c r="K357" s="243" t="s">
        <v>48</v>
      </c>
      <c r="L357" s="243" t="s">
        <v>2718</v>
      </c>
      <c r="M357" s="243" t="s">
        <v>559</v>
      </c>
      <c r="N357" s="243">
        <v>1</v>
      </c>
      <c r="O357" s="244" t="s">
        <v>913</v>
      </c>
      <c r="P357" s="244" t="s">
        <v>1035</v>
      </c>
      <c r="Q357" s="231" t="str">
        <f t="shared" si="88"/>
        <v>A11. Trunk Electric Shock SET 2</v>
      </c>
      <c r="R357" s="284" t="str">
        <f>HYPERLINK(VLOOKUP(O357,'3D. Pictures'!$B$3:$E$500,4,FALSE),"PIC")</f>
        <v>PIC</v>
      </c>
      <c r="S357" s="373" t="str">
        <f t="shared" si="90"/>
        <v>E.G.</v>
      </c>
      <c r="T357" s="377" t="str">
        <f>IF(O357&lt;&gt;"",_xlfn.XLOOKUP(O357,'3D. Pictures'!B:B,'3D. Pictures'!E:E,"NOT FOUND",0,1),"")</f>
        <v>https://viking-pictures.s3.us-west-1.amazonaws.com/AA1155/A11.+Trunk+Electric+Shock+SET+2+(1).JPG</v>
      </c>
      <c r="U357" s="243">
        <v>5</v>
      </c>
      <c r="V357" s="243" t="s">
        <v>2165</v>
      </c>
      <c r="W357" s="243" t="s">
        <v>111</v>
      </c>
      <c r="X357" s="243"/>
      <c r="Z357" s="243"/>
      <c r="AA357" s="243" t="s">
        <v>2834</v>
      </c>
      <c r="AB357" s="243" t="s">
        <v>2508</v>
      </c>
      <c r="AC357" s="358" t="str">
        <f t="shared" si="89"/>
        <v>SET 2, sell singles if 1 bad</v>
      </c>
      <c r="AD357" s="243" t="s">
        <v>2550</v>
      </c>
      <c r="AE357" s="243"/>
      <c r="AF357" s="179" t="s">
        <v>544</v>
      </c>
      <c r="AG357" s="243"/>
      <c r="AH357" s="16">
        <v>225</v>
      </c>
      <c r="AI357" s="380">
        <f t="shared" si="91"/>
        <v>225</v>
      </c>
      <c r="AJ357" s="246" t="s">
        <v>408</v>
      </c>
      <c r="AK357" s="246" t="s">
        <v>425</v>
      </c>
      <c r="AL357" s="204" t="s">
        <v>2175</v>
      </c>
      <c r="AM357" s="241"/>
      <c r="AN357" s="241"/>
      <c r="AO357" s="241"/>
      <c r="AP357" s="241"/>
      <c r="AQ357" s="241"/>
      <c r="AR357" s="241"/>
      <c r="AS357" s="241" t="s">
        <v>1028</v>
      </c>
      <c r="AT357" s="241" t="s">
        <v>1029</v>
      </c>
      <c r="AU357" s="241" t="s">
        <v>1030</v>
      </c>
      <c r="AV357" s="303" t="str">
        <f t="shared" ref="AV357:AV358" si="100">CONCATENATE(AS357,"-",AT357,"-",AU357)</f>
        <v>F15-14-18-ALL</v>
      </c>
      <c r="AW357" s="241" t="s">
        <v>2445</v>
      </c>
      <c r="AX357" s="279" t="str">
        <f t="shared" si="83"/>
        <v>F15-14-18-ALL-Viking79</v>
      </c>
    </row>
    <row r="358" spans="1:50" ht="15.75" thickBot="1" x14ac:dyDescent="0.3">
      <c r="A358" s="190" t="str">
        <f t="shared" si="86"/>
        <v>A53</v>
      </c>
      <c r="B358" s="279" t="str">
        <f t="shared" si="93"/>
        <v/>
      </c>
      <c r="C358" s="279"/>
      <c r="D358" s="279"/>
      <c r="E358" s="279" t="str">
        <f t="shared" si="87"/>
        <v/>
      </c>
      <c r="F358" s="241" t="s">
        <v>535</v>
      </c>
      <c r="G358" s="242">
        <v>44684</v>
      </c>
      <c r="H358" s="243"/>
      <c r="I358" s="243" t="s">
        <v>7</v>
      </c>
      <c r="J358" s="243" t="s">
        <v>402</v>
      </c>
      <c r="K358" s="244" t="s">
        <v>48</v>
      </c>
      <c r="L358" s="243" t="s">
        <v>2718</v>
      </c>
      <c r="M358" s="243" t="s">
        <v>559</v>
      </c>
      <c r="N358" s="243">
        <v>43</v>
      </c>
      <c r="O358" s="244" t="s">
        <v>955</v>
      </c>
      <c r="P358" s="244" t="s">
        <v>1204</v>
      </c>
      <c r="Q358" s="231" t="str">
        <f t="shared" si="88"/>
        <v>A53. Trunk Emblem</v>
      </c>
      <c r="R358" s="284" t="str">
        <f>HYPERLINK(VLOOKUP(O358,'3D. Pictures'!$B$3:$E$500,4,FALSE),"PIC")</f>
        <v>PIC</v>
      </c>
      <c r="S358" s="373" t="str">
        <f t="shared" si="90"/>
        <v>E.G.</v>
      </c>
      <c r="T358" s="377" t="str">
        <f>IF(O358&lt;&gt;"",_xlfn.XLOOKUP(O358,'3D. Pictures'!B:B,'3D. Pictures'!E:E,"NOT FOUND",0,1),"")</f>
        <v>https://viking-pictures.s3.us-west-1.amazonaws.com/AA1155/A53.+Trunk+Emblem+(1).JPG</v>
      </c>
      <c r="U358" s="243">
        <v>4</v>
      </c>
      <c r="V358" s="243" t="s">
        <v>1220</v>
      </c>
      <c r="W358" s="243" t="s">
        <v>111</v>
      </c>
      <c r="X358" s="243"/>
      <c r="Z358" s="243"/>
      <c r="AA358" s="243" t="s">
        <v>449</v>
      </c>
      <c r="AB358" s="243" t="s">
        <v>449</v>
      </c>
      <c r="AC358" s="358" t="str">
        <f t="shared" si="89"/>
        <v/>
      </c>
      <c r="AD358" s="243"/>
      <c r="AE358" s="243"/>
      <c r="AF358" s="179" t="s">
        <v>543</v>
      </c>
      <c r="AG358" s="243"/>
      <c r="AH358" s="16">
        <v>45</v>
      </c>
      <c r="AI358" s="380">
        <f t="shared" si="91"/>
        <v>45</v>
      </c>
      <c r="AJ358" s="246" t="s">
        <v>408</v>
      </c>
      <c r="AK358" s="246" t="s">
        <v>425</v>
      </c>
      <c r="AL358" s="204" t="s">
        <v>2175</v>
      </c>
      <c r="AM358" s="241"/>
      <c r="AN358" s="241"/>
      <c r="AO358" s="241"/>
      <c r="AP358" s="241"/>
      <c r="AQ358" s="241"/>
      <c r="AR358" s="241"/>
      <c r="AS358" s="241" t="s">
        <v>1028</v>
      </c>
      <c r="AT358" s="241" t="s">
        <v>1029</v>
      </c>
      <c r="AU358" s="241" t="s">
        <v>1030</v>
      </c>
      <c r="AV358" s="303" t="str">
        <f t="shared" si="100"/>
        <v>F15-14-18-ALL</v>
      </c>
      <c r="AW358" s="241" t="s">
        <v>2448</v>
      </c>
      <c r="AX358" s="279" t="str">
        <f t="shared" si="83"/>
        <v>F15-14-18-ALL-Viking82</v>
      </c>
    </row>
    <row r="359" spans="1:50" ht="15.75" thickBot="1" x14ac:dyDescent="0.3">
      <c r="A359" s="190" t="str">
        <f t="shared" si="86"/>
        <v>A34</v>
      </c>
      <c r="B359" s="279" t="str">
        <f t="shared" si="93"/>
        <v>618-56287</v>
      </c>
      <c r="C359" s="279"/>
      <c r="D359" s="279"/>
      <c r="E359" s="279">
        <f t="shared" si="87"/>
        <v>1</v>
      </c>
      <c r="F359" s="190" t="s">
        <v>535</v>
      </c>
      <c r="G359" s="198">
        <v>44674</v>
      </c>
      <c r="H359" s="205"/>
      <c r="I359" s="205"/>
      <c r="J359" s="205" t="s">
        <v>402</v>
      </c>
      <c r="K359" s="206" t="s">
        <v>48</v>
      </c>
      <c r="L359" s="205" t="s">
        <v>1379</v>
      </c>
      <c r="M359" s="200" t="s">
        <v>558</v>
      </c>
      <c r="N359" s="200">
        <v>24</v>
      </c>
      <c r="O359" s="230" t="s">
        <v>936</v>
      </c>
      <c r="P359" s="230" t="s">
        <v>1168</v>
      </c>
      <c r="Q359" s="231" t="str">
        <f t="shared" si="88"/>
        <v>A34. Wiper Motor, Trunk</v>
      </c>
      <c r="R359" s="284" t="str">
        <f>HYPERLINK(VLOOKUP(O359,'3D. Pictures'!$B$3:$E$500,4,FALSE),"PIC")</f>
        <v>PIC</v>
      </c>
      <c r="S359" s="373" t="str">
        <f t="shared" si="90"/>
        <v>E.G.</v>
      </c>
      <c r="T359" s="377" t="str">
        <f>IF(O359&lt;&gt;"",_xlfn.XLOOKUP(O359,'3D. Pictures'!B:B,'3D. Pictures'!E:E,"NOT FOUND",0,1),"")</f>
        <v>https://viking-pictures.s3.us-west-1.amazonaws.com/AA1155/A34.+Wiper+Motor%2C+Trunk+(1).JPG</v>
      </c>
      <c r="U359" s="200">
        <v>4</v>
      </c>
      <c r="V359" s="201" t="s">
        <v>1187</v>
      </c>
      <c r="W359" s="200" t="s">
        <v>111</v>
      </c>
      <c r="X359" s="201"/>
      <c r="Z359" s="201"/>
      <c r="AA359" s="205" t="s">
        <v>83</v>
      </c>
      <c r="AB359" s="205" t="s">
        <v>83</v>
      </c>
      <c r="AC359" s="358" t="str">
        <f t="shared" si="89"/>
        <v/>
      </c>
      <c r="AD359" s="205"/>
      <c r="AE359" s="205"/>
      <c r="AF359" s="201" t="s">
        <v>543</v>
      </c>
      <c r="AG359" s="205"/>
      <c r="AH359" s="16">
        <v>100</v>
      </c>
      <c r="AI359" s="380">
        <f t="shared" si="91"/>
        <v>100</v>
      </c>
      <c r="AJ359" s="204" t="s">
        <v>408</v>
      </c>
      <c r="AK359" s="204" t="s">
        <v>425</v>
      </c>
      <c r="AL359" s="204" t="s">
        <v>2175</v>
      </c>
      <c r="AM359" s="190"/>
      <c r="AN359" s="191" t="s">
        <v>654</v>
      </c>
      <c r="AO359" s="190" t="s">
        <v>572</v>
      </c>
      <c r="AP359" s="190">
        <v>56287</v>
      </c>
      <c r="AQ359" s="190" t="str">
        <f>CONCATENATE(AN359,AO359,AP359)</f>
        <v>618-56287</v>
      </c>
      <c r="AR359" s="190"/>
      <c r="AS359" s="190"/>
      <c r="AT359" s="190"/>
      <c r="AU359" s="190"/>
      <c r="AV359" s="190"/>
      <c r="AW359" s="190"/>
      <c r="AX359" s="279" t="str">
        <f t="shared" si="83"/>
        <v/>
      </c>
    </row>
    <row r="360" spans="1:50" x14ac:dyDescent="0.25">
      <c r="A360" s="190" t="str">
        <f t="shared" si="86"/>
        <v/>
      </c>
      <c r="B360" s="279" t="str">
        <f t="shared" si="93"/>
        <v/>
      </c>
      <c r="C360" s="279"/>
      <c r="D360" s="279"/>
      <c r="E360" s="279" t="str">
        <f t="shared" si="87"/>
        <v/>
      </c>
      <c r="F360" t="s">
        <v>535</v>
      </c>
      <c r="G360" s="188">
        <v>44674</v>
      </c>
      <c r="H360" s="165"/>
      <c r="I360" s="10"/>
      <c r="J360" s="10" t="s">
        <v>2771</v>
      </c>
      <c r="K360" s="15" t="s">
        <v>48</v>
      </c>
      <c r="L360" s="10" t="s">
        <v>2711</v>
      </c>
      <c r="M360" s="170" t="s">
        <v>558</v>
      </c>
      <c r="N360" s="170"/>
      <c r="O360" s="237"/>
      <c r="P360" s="237"/>
      <c r="Q360" s="231" t="str">
        <f t="shared" si="88"/>
        <v>. Trunk Assembly - UPPER TRUNK</v>
      </c>
      <c r="R360" s="231"/>
      <c r="S360" s="231" t="str">
        <f t="shared" si="90"/>
        <v/>
      </c>
      <c r="T360" s="231" t="str">
        <f>IF(O360&lt;&gt;"",_xlfn.XLOOKUP(O360,'3D. Pictures'!B:B,'3D. Pictures'!E:E,"NOT FOUND",0,1),"")</f>
        <v/>
      </c>
      <c r="U360" s="170"/>
      <c r="V360" s="168"/>
      <c r="W360" s="170"/>
      <c r="X360" s="168"/>
      <c r="Z360" s="168"/>
      <c r="AA360" s="10" t="s">
        <v>2650</v>
      </c>
      <c r="AB360" s="10" t="s">
        <v>2650</v>
      </c>
      <c r="AC360" s="359" t="str">
        <f t="shared" si="89"/>
        <v>part out</v>
      </c>
      <c r="AD360" s="10" t="s">
        <v>2649</v>
      </c>
      <c r="AE360" s="10"/>
      <c r="AF360" s="168" t="s">
        <v>543</v>
      </c>
      <c r="AG360" s="10"/>
      <c r="AH360" s="10"/>
      <c r="AI360" s="380" t="str">
        <f t="shared" si="91"/>
        <v/>
      </c>
      <c r="AJ360" s="3" t="s">
        <v>408</v>
      </c>
      <c r="AK360" s="3" t="s">
        <v>425</v>
      </c>
      <c r="AL360" s="204" t="s">
        <v>2175</v>
      </c>
      <c r="AO360" t="s">
        <v>572</v>
      </c>
      <c r="AX360" s="279" t="str">
        <f t="shared" si="83"/>
        <v/>
      </c>
    </row>
    <row r="361" spans="1:50" x14ac:dyDescent="0.25">
      <c r="A361" s="190" t="str">
        <f t="shared" si="86"/>
        <v/>
      </c>
      <c r="B361" s="279" t="str">
        <f t="shared" si="93"/>
        <v/>
      </c>
      <c r="C361" s="279"/>
      <c r="D361" s="279"/>
      <c r="E361" s="279" t="str">
        <f t="shared" si="87"/>
        <v/>
      </c>
      <c r="F361" t="s">
        <v>535</v>
      </c>
      <c r="G361" s="188">
        <v>44684</v>
      </c>
      <c r="H361" s="10"/>
      <c r="I361" s="10"/>
      <c r="J361" s="10" t="s">
        <v>405</v>
      </c>
      <c r="K361" s="10" t="s">
        <v>48</v>
      </c>
      <c r="L361" s="10" t="s">
        <v>2712</v>
      </c>
      <c r="M361" s="16" t="s">
        <v>559</v>
      </c>
      <c r="N361" s="16"/>
      <c r="O361" s="166"/>
      <c r="P361" s="166"/>
      <c r="Q361" s="231" t="str">
        <f t="shared" si="88"/>
        <v>. Cargo Hooks</v>
      </c>
      <c r="R361" s="231"/>
      <c r="S361" s="231" t="str">
        <f t="shared" si="90"/>
        <v/>
      </c>
      <c r="T361" s="231" t="str">
        <f>IF(O361&lt;&gt;"",_xlfn.XLOOKUP(O361,'3D. Pictures'!B:B,'3D. Pictures'!E:E,"NOT FOUND",0,1),"")</f>
        <v/>
      </c>
      <c r="U361" s="16"/>
      <c r="V361" s="16"/>
      <c r="W361" s="16"/>
      <c r="X361" s="16"/>
      <c r="Z361" s="16"/>
      <c r="AA361" s="10" t="s">
        <v>2652</v>
      </c>
      <c r="AB361" s="10" t="s">
        <v>2652</v>
      </c>
      <c r="AC361" s="359" t="str">
        <f t="shared" si="89"/>
        <v>TOSS ALL | these are the 4 that slide on rails</v>
      </c>
      <c r="AD361" s="10" t="s">
        <v>2575</v>
      </c>
      <c r="AE361" s="10" t="s">
        <v>2651</v>
      </c>
      <c r="AF361" s="168" t="s">
        <v>543</v>
      </c>
      <c r="AG361" s="10"/>
      <c r="AH361" s="10"/>
      <c r="AI361" s="380" t="str">
        <f t="shared" si="91"/>
        <v/>
      </c>
      <c r="AJ361" s="3" t="s">
        <v>408</v>
      </c>
      <c r="AK361" s="3" t="s">
        <v>425</v>
      </c>
      <c r="AL361" s="204" t="s">
        <v>2175</v>
      </c>
      <c r="AN361" s="176"/>
      <c r="AO361" s="176"/>
      <c r="AP361" s="176"/>
      <c r="AQ361" s="176"/>
      <c r="AR361" s="176"/>
      <c r="AS361" s="176"/>
      <c r="AT361" s="176"/>
      <c r="AU361" s="176"/>
      <c r="AV361" s="176"/>
      <c r="AW361" s="176"/>
      <c r="AX361" s="279" t="str">
        <f t="shared" si="83"/>
        <v/>
      </c>
    </row>
    <row r="362" spans="1:50" x14ac:dyDescent="0.25">
      <c r="A362" s="190" t="str">
        <f t="shared" si="86"/>
        <v/>
      </c>
      <c r="B362" s="279" t="str">
        <f t="shared" si="93"/>
        <v/>
      </c>
      <c r="C362" s="279"/>
      <c r="D362" s="279"/>
      <c r="E362" s="279" t="str">
        <f t="shared" si="87"/>
        <v/>
      </c>
      <c r="F362" t="s">
        <v>535</v>
      </c>
      <c r="G362" s="188">
        <v>44684</v>
      </c>
      <c r="H362" s="10"/>
      <c r="I362" s="10"/>
      <c r="J362" s="15" t="s">
        <v>405</v>
      </c>
      <c r="K362" s="10" t="s">
        <v>48</v>
      </c>
      <c r="L362" s="10" t="s">
        <v>2712</v>
      </c>
      <c r="M362" s="16" t="s">
        <v>559</v>
      </c>
      <c r="N362" s="16"/>
      <c r="O362" s="166"/>
      <c r="P362" s="166"/>
      <c r="Q362" s="231" t="str">
        <f t="shared" si="88"/>
        <v>. Cargo Net</v>
      </c>
      <c r="R362" s="231"/>
      <c r="S362" s="231" t="str">
        <f t="shared" si="90"/>
        <v/>
      </c>
      <c r="T362" s="231" t="str">
        <f>IF(O362&lt;&gt;"",_xlfn.XLOOKUP(O362,'3D. Pictures'!B:B,'3D. Pictures'!E:E,"NOT FOUND",0,1),"")</f>
        <v/>
      </c>
      <c r="U362" s="16"/>
      <c r="V362" s="16"/>
      <c r="W362" s="16"/>
      <c r="X362" s="16"/>
      <c r="Z362" s="16"/>
      <c r="AA362" s="10" t="s">
        <v>448</v>
      </c>
      <c r="AB362" s="10" t="s">
        <v>448</v>
      </c>
      <c r="AC362" s="359" t="str">
        <f t="shared" si="89"/>
        <v/>
      </c>
      <c r="AD362" s="10"/>
      <c r="AE362" s="10"/>
      <c r="AF362" s="168" t="s">
        <v>543</v>
      </c>
      <c r="AG362" s="10"/>
      <c r="AH362" s="10"/>
      <c r="AI362" s="380" t="str">
        <f t="shared" si="91"/>
        <v/>
      </c>
      <c r="AJ362" s="3" t="s">
        <v>408</v>
      </c>
      <c r="AK362" s="3" t="s">
        <v>425</v>
      </c>
      <c r="AL362" s="204" t="s">
        <v>2175</v>
      </c>
      <c r="AN362" s="176"/>
      <c r="AO362" s="176"/>
      <c r="AP362" s="176"/>
      <c r="AQ362" s="176"/>
      <c r="AR362" s="176"/>
      <c r="AS362" s="176"/>
      <c r="AT362" s="176"/>
      <c r="AU362" s="176"/>
      <c r="AV362" s="176"/>
      <c r="AW362" s="176"/>
      <c r="AX362" s="279" t="str">
        <f t="shared" si="83"/>
        <v/>
      </c>
    </row>
    <row r="363" spans="1:50" x14ac:dyDescent="0.25">
      <c r="A363" s="190" t="str">
        <f t="shared" si="86"/>
        <v/>
      </c>
      <c r="B363" s="279" t="str">
        <f t="shared" si="93"/>
        <v/>
      </c>
      <c r="C363" s="279"/>
      <c r="D363" s="279"/>
      <c r="E363" s="279" t="str">
        <f t="shared" si="87"/>
        <v/>
      </c>
      <c r="F363" t="s">
        <v>535</v>
      </c>
      <c r="G363" s="188">
        <v>44684</v>
      </c>
      <c r="H363" s="10"/>
      <c r="I363" s="10"/>
      <c r="J363" s="10" t="s">
        <v>405</v>
      </c>
      <c r="K363" s="10" t="s">
        <v>48</v>
      </c>
      <c r="L363" s="10" t="s">
        <v>2712</v>
      </c>
      <c r="M363" s="16" t="s">
        <v>559</v>
      </c>
      <c r="N363" s="16"/>
      <c r="O363" s="166"/>
      <c r="P363" s="166"/>
      <c r="Q363" s="231" t="str">
        <f t="shared" si="88"/>
        <v>. Cargo Rails</v>
      </c>
      <c r="R363" s="231"/>
      <c r="S363" s="231" t="str">
        <f t="shared" si="90"/>
        <v/>
      </c>
      <c r="T363" s="231" t="str">
        <f>IF(O363&lt;&gt;"",_xlfn.XLOOKUP(O363,'3D. Pictures'!B:B,'3D. Pictures'!E:E,"NOT FOUND",0,1),"")</f>
        <v/>
      </c>
      <c r="U363" s="16"/>
      <c r="V363" s="16"/>
      <c r="W363" s="16"/>
      <c r="X363" s="16"/>
      <c r="Z363" s="16"/>
      <c r="AA363" s="10" t="s">
        <v>2660</v>
      </c>
      <c r="AB363" s="10" t="s">
        <v>2660</v>
      </c>
      <c r="AC363" s="359" t="str">
        <f t="shared" si="89"/>
        <v>TOSS BOTH | the 2 trunk aluminum ones</v>
      </c>
      <c r="AD363" s="10" t="s">
        <v>2544</v>
      </c>
      <c r="AE363" s="10" t="s">
        <v>2653</v>
      </c>
      <c r="AF363" s="168" t="s">
        <v>543</v>
      </c>
      <c r="AG363" s="10"/>
      <c r="AH363" s="10"/>
      <c r="AI363" s="380" t="str">
        <f t="shared" si="91"/>
        <v/>
      </c>
      <c r="AJ363" s="3" t="s">
        <v>408</v>
      </c>
      <c r="AK363" s="3" t="s">
        <v>425</v>
      </c>
      <c r="AL363" s="204" t="s">
        <v>2175</v>
      </c>
      <c r="AN363" s="176"/>
      <c r="AO363" s="176"/>
      <c r="AP363" s="176"/>
      <c r="AQ363" s="176"/>
      <c r="AR363" s="176"/>
      <c r="AS363" s="176"/>
      <c r="AT363" s="176"/>
      <c r="AU363" s="176"/>
      <c r="AV363" s="176"/>
      <c r="AW363" s="176"/>
      <c r="AX363" s="279" t="str">
        <f t="shared" si="83"/>
        <v/>
      </c>
    </row>
    <row r="364" spans="1:50" x14ac:dyDescent="0.25">
      <c r="A364" s="190" t="str">
        <f t="shared" si="86"/>
        <v/>
      </c>
      <c r="B364" s="279" t="str">
        <f t="shared" si="93"/>
        <v/>
      </c>
      <c r="C364" s="279"/>
      <c r="D364" s="279"/>
      <c r="E364" s="279" t="str">
        <f t="shared" si="87"/>
        <v/>
      </c>
      <c r="F364" t="s">
        <v>535</v>
      </c>
      <c r="G364" s="188">
        <v>44671</v>
      </c>
      <c r="H364" s="10"/>
      <c r="I364" s="10"/>
      <c r="J364" s="10" t="s">
        <v>405</v>
      </c>
      <c r="K364" s="15" t="s">
        <v>48</v>
      </c>
      <c r="L364" s="10" t="s">
        <v>2698</v>
      </c>
      <c r="M364" s="16" t="s">
        <v>559</v>
      </c>
      <c r="N364" s="16"/>
      <c r="O364" s="166"/>
      <c r="P364" s="166"/>
      <c r="Q364" s="231" t="str">
        <f t="shared" si="88"/>
        <v>. License Plate Lights</v>
      </c>
      <c r="R364" s="231"/>
      <c r="S364" s="231" t="str">
        <f t="shared" si="90"/>
        <v/>
      </c>
      <c r="T364" s="231" t="str">
        <f>IF(O364&lt;&gt;"",_xlfn.XLOOKUP(O364,'3D. Pictures'!B:B,'3D. Pictures'!E:E,"NOT FOUND",0,1),"")</f>
        <v/>
      </c>
      <c r="U364" s="16"/>
      <c r="V364" s="16"/>
      <c r="W364" s="16"/>
      <c r="X364" s="16"/>
      <c r="Z364" s="16"/>
      <c r="AA364" s="10" t="s">
        <v>2654</v>
      </c>
      <c r="AB364" s="10" t="s">
        <v>2654</v>
      </c>
      <c r="AC364" s="359" t="str">
        <f t="shared" si="89"/>
        <v>TOSS BOTH</v>
      </c>
      <c r="AD364" s="10" t="s">
        <v>2544</v>
      </c>
      <c r="AE364" s="10"/>
      <c r="AF364" s="168" t="s">
        <v>543</v>
      </c>
      <c r="AG364" s="10"/>
      <c r="AH364" s="10"/>
      <c r="AI364" s="380" t="str">
        <f t="shared" si="91"/>
        <v/>
      </c>
      <c r="AJ364" s="3" t="s">
        <v>408</v>
      </c>
      <c r="AK364" s="3" t="s">
        <v>425</v>
      </c>
      <c r="AL364" s="204" t="s">
        <v>2175</v>
      </c>
      <c r="AN364" s="176"/>
      <c r="AO364" s="176"/>
      <c r="AP364" s="176"/>
      <c r="AQ364" s="176"/>
      <c r="AR364" s="176"/>
      <c r="AS364" s="176"/>
      <c r="AT364" s="176"/>
      <c r="AU364" s="176"/>
      <c r="AV364" s="176"/>
      <c r="AW364" s="176"/>
      <c r="AX364" s="279" t="str">
        <f t="shared" si="83"/>
        <v/>
      </c>
    </row>
    <row r="365" spans="1:50" x14ac:dyDescent="0.25">
      <c r="A365" s="190" t="str">
        <f t="shared" si="86"/>
        <v/>
      </c>
      <c r="B365" s="279" t="str">
        <f t="shared" si="93"/>
        <v/>
      </c>
      <c r="C365" s="279"/>
      <c r="D365" s="279"/>
      <c r="E365" s="279" t="str">
        <f t="shared" si="87"/>
        <v/>
      </c>
      <c r="F365" t="s">
        <v>536</v>
      </c>
      <c r="G365" s="188">
        <v>44993</v>
      </c>
      <c r="H365" s="10"/>
      <c r="I365" s="10"/>
      <c r="J365" s="10" t="s">
        <v>405</v>
      </c>
      <c r="K365" s="15" t="s">
        <v>48</v>
      </c>
      <c r="L365" s="10" t="s">
        <v>1377</v>
      </c>
      <c r="M365" s="16" t="s">
        <v>559</v>
      </c>
      <c r="N365" s="16"/>
      <c r="O365" s="166"/>
      <c r="P365" s="166"/>
      <c r="Q365" s="231" t="str">
        <f t="shared" si="88"/>
        <v>. Negative Battery Cable</v>
      </c>
      <c r="R365" s="231"/>
      <c r="S365" s="231" t="str">
        <f t="shared" si="90"/>
        <v/>
      </c>
      <c r="T365" s="231" t="str">
        <f>IF(O365&lt;&gt;"",_xlfn.XLOOKUP(O365,'3D. Pictures'!B:B,'3D. Pictures'!E:E,"NOT FOUND",0,1),"")</f>
        <v/>
      </c>
      <c r="U365" s="16"/>
      <c r="V365" s="16"/>
      <c r="W365" s="16"/>
      <c r="X365" s="16"/>
      <c r="Z365" s="16"/>
      <c r="AA365" s="10" t="s">
        <v>2656</v>
      </c>
      <c r="AB365" s="10" t="s">
        <v>2656</v>
      </c>
      <c r="AC365" s="359" t="str">
        <f t="shared" si="89"/>
        <v>standard brown cable no module</v>
      </c>
      <c r="AD365" s="10"/>
      <c r="AE365" s="10" t="s">
        <v>2655</v>
      </c>
      <c r="AF365" s="168" t="s">
        <v>543</v>
      </c>
      <c r="AG365" s="10">
        <v>9255047</v>
      </c>
      <c r="AH365" s="10"/>
      <c r="AI365" s="380" t="str">
        <f t="shared" si="91"/>
        <v/>
      </c>
      <c r="AJ365" s="3" t="s">
        <v>408</v>
      </c>
      <c r="AK365" s="3" t="s">
        <v>425</v>
      </c>
      <c r="AL365" s="204" t="s">
        <v>2175</v>
      </c>
      <c r="AN365" s="176"/>
      <c r="AO365" s="176"/>
      <c r="AP365" s="176"/>
      <c r="AQ365" s="176"/>
      <c r="AR365" s="176"/>
      <c r="AS365" s="176"/>
      <c r="AT365" s="176"/>
      <c r="AU365" s="176"/>
      <c r="AV365" s="176"/>
      <c r="AW365" s="176"/>
      <c r="AX365" s="279" t="str">
        <f t="shared" si="83"/>
        <v/>
      </c>
    </row>
    <row r="366" spans="1:50" x14ac:dyDescent="0.25">
      <c r="A366" s="190" t="str">
        <f t="shared" si="86"/>
        <v/>
      </c>
      <c r="B366" s="279" t="str">
        <f t="shared" si="93"/>
        <v/>
      </c>
      <c r="C366" s="279"/>
      <c r="D366" s="279"/>
      <c r="E366" s="279" t="str">
        <f t="shared" si="87"/>
        <v/>
      </c>
      <c r="F366" t="s">
        <v>535</v>
      </c>
      <c r="G366" s="188">
        <v>44684</v>
      </c>
      <c r="H366" s="10"/>
      <c r="I366" s="10"/>
      <c r="J366" s="10" t="s">
        <v>405</v>
      </c>
      <c r="K366" s="15" t="s">
        <v>48</v>
      </c>
      <c r="L366" s="10" t="s">
        <v>2713</v>
      </c>
      <c r="M366" s="16" t="s">
        <v>559</v>
      </c>
      <c r="N366" s="16"/>
      <c r="O366" s="166"/>
      <c r="P366" s="166"/>
      <c r="Q366" s="231" t="str">
        <f t="shared" si="88"/>
        <v>. Positive Battery Distribution Box</v>
      </c>
      <c r="R366" s="231"/>
      <c r="S366" s="231" t="str">
        <f t="shared" si="90"/>
        <v/>
      </c>
      <c r="T366" s="231" t="str">
        <f>IF(O366&lt;&gt;"",_xlfn.XLOOKUP(O366,'3D. Pictures'!B:B,'3D. Pictures'!E:E,"NOT FOUND",0,1),"")</f>
        <v/>
      </c>
      <c r="U366" s="16"/>
      <c r="V366" s="16"/>
      <c r="W366" s="16"/>
      <c r="X366" s="16"/>
      <c r="Z366" s="16"/>
      <c r="AA366" s="10" t="s">
        <v>2657</v>
      </c>
      <c r="AB366" s="10" t="s">
        <v>2657</v>
      </c>
      <c r="AC366" s="359" t="str">
        <f t="shared" si="89"/>
        <v>6x6 inch flat w/ red plastic on top &amp; black on bottom</v>
      </c>
      <c r="AD366" s="10"/>
      <c r="AE366" s="10" t="s">
        <v>2658</v>
      </c>
      <c r="AF366" s="168" t="s">
        <v>543</v>
      </c>
      <c r="AG366" s="10"/>
      <c r="AH366" s="10"/>
      <c r="AI366" s="380" t="str">
        <f t="shared" si="91"/>
        <v/>
      </c>
      <c r="AJ366" s="3" t="s">
        <v>408</v>
      </c>
      <c r="AK366" s="3" t="s">
        <v>425</v>
      </c>
      <c r="AL366" s="204" t="s">
        <v>2175</v>
      </c>
      <c r="AN366" s="176"/>
      <c r="AO366" s="176"/>
      <c r="AP366" s="176"/>
      <c r="AQ366" s="176"/>
      <c r="AR366" s="176"/>
      <c r="AS366" s="176"/>
      <c r="AT366" s="176"/>
      <c r="AU366" s="176"/>
      <c r="AV366" s="176"/>
      <c r="AW366" s="176"/>
      <c r="AX366" s="279" t="str">
        <f t="shared" si="83"/>
        <v/>
      </c>
    </row>
    <row r="367" spans="1:50" x14ac:dyDescent="0.25">
      <c r="A367" s="190" t="str">
        <f t="shared" si="86"/>
        <v/>
      </c>
      <c r="B367" s="279" t="str">
        <f t="shared" si="93"/>
        <v/>
      </c>
      <c r="C367" s="279"/>
      <c r="D367" s="279"/>
      <c r="E367" s="279" t="str">
        <f t="shared" si="87"/>
        <v/>
      </c>
      <c r="F367" t="s">
        <v>535</v>
      </c>
      <c r="G367" s="188">
        <v>44684</v>
      </c>
      <c r="H367" s="10"/>
      <c r="I367" s="10"/>
      <c r="J367" s="10" t="s">
        <v>405</v>
      </c>
      <c r="K367" s="15" t="s">
        <v>48</v>
      </c>
      <c r="L367" s="10" t="s">
        <v>1210</v>
      </c>
      <c r="M367" s="16" t="s">
        <v>559</v>
      </c>
      <c r="N367" s="16"/>
      <c r="O367" s="166"/>
      <c r="P367" s="166"/>
      <c r="Q367" s="231" t="str">
        <f t="shared" si="88"/>
        <v>. Switch/Button, Trunk Open Close Switch Button</v>
      </c>
      <c r="R367" s="231"/>
      <c r="S367" s="231" t="str">
        <f t="shared" si="90"/>
        <v/>
      </c>
      <c r="T367" s="231" t="str">
        <f>IF(O367&lt;&gt;"",_xlfn.XLOOKUP(O367,'3D. Pictures'!B:B,'3D. Pictures'!E:E,"NOT FOUND",0,1),"")</f>
        <v/>
      </c>
      <c r="U367" s="16"/>
      <c r="V367" s="16"/>
      <c r="W367" s="16"/>
      <c r="X367" s="16"/>
      <c r="Z367" s="16"/>
      <c r="AA367" s="10" t="s">
        <v>2661</v>
      </c>
      <c r="AB367" s="10" t="s">
        <v>2661</v>
      </c>
      <c r="AC367" s="359" t="str">
        <f t="shared" si="89"/>
        <v>trunk mounted</v>
      </c>
      <c r="AD367" s="10"/>
      <c r="AE367" s="10" t="s">
        <v>2659</v>
      </c>
      <c r="AF367" s="168" t="s">
        <v>543</v>
      </c>
      <c r="AG367" s="10"/>
      <c r="AH367" s="10"/>
      <c r="AI367" s="380" t="str">
        <f t="shared" si="91"/>
        <v/>
      </c>
      <c r="AJ367" s="3" t="s">
        <v>408</v>
      </c>
      <c r="AK367" s="3" t="s">
        <v>425</v>
      </c>
      <c r="AL367" s="204" t="s">
        <v>2175</v>
      </c>
      <c r="AX367" s="279" t="str">
        <f t="shared" si="83"/>
        <v/>
      </c>
    </row>
    <row r="368" spans="1:50" x14ac:dyDescent="0.25">
      <c r="A368" s="190" t="str">
        <f t="shared" si="86"/>
        <v/>
      </c>
      <c r="B368" s="279" t="str">
        <f t="shared" si="93"/>
        <v/>
      </c>
      <c r="C368" s="279"/>
      <c r="D368" s="279"/>
      <c r="E368" s="279" t="str">
        <f t="shared" si="87"/>
        <v/>
      </c>
      <c r="F368" t="s">
        <v>535</v>
      </c>
      <c r="G368" s="188">
        <v>44674</v>
      </c>
      <c r="H368" s="10"/>
      <c r="I368" s="10"/>
      <c r="J368" s="10" t="s">
        <v>405</v>
      </c>
      <c r="K368" s="10" t="s">
        <v>48</v>
      </c>
      <c r="L368" s="10" t="s">
        <v>2714</v>
      </c>
      <c r="M368" s="189" t="s">
        <v>560</v>
      </c>
      <c r="N368" s="189"/>
      <c r="O368" s="233"/>
      <c r="P368" s="233"/>
      <c r="Q368" s="231" t="str">
        <f t="shared" si="88"/>
        <v>. Wiper Arm, REAR</v>
      </c>
      <c r="R368" s="231"/>
      <c r="S368" s="231" t="str">
        <f t="shared" si="90"/>
        <v/>
      </c>
      <c r="T368" s="231" t="str">
        <f>IF(O368&lt;&gt;"",_xlfn.XLOOKUP(O368,'3D. Pictures'!B:B,'3D. Pictures'!E:E,"NOT FOUND",0,1),"")</f>
        <v/>
      </c>
      <c r="U368" s="189"/>
      <c r="V368" s="168"/>
      <c r="W368" s="189"/>
      <c r="X368" s="168"/>
      <c r="Z368" s="168"/>
      <c r="AA368" s="10" t="s">
        <v>434</v>
      </c>
      <c r="AB368" s="10" t="s">
        <v>434</v>
      </c>
      <c r="AC368" s="359" t="str">
        <f t="shared" si="89"/>
        <v/>
      </c>
      <c r="AD368" s="10"/>
      <c r="AE368" s="10"/>
      <c r="AF368" s="168" t="s">
        <v>543</v>
      </c>
      <c r="AG368" s="10"/>
      <c r="AH368" s="10"/>
      <c r="AI368" s="380" t="str">
        <f t="shared" si="91"/>
        <v/>
      </c>
      <c r="AJ368" s="3" t="s">
        <v>408</v>
      </c>
      <c r="AK368" s="3" t="s">
        <v>425</v>
      </c>
      <c r="AL368" s="204" t="s">
        <v>2175</v>
      </c>
      <c r="AN368" s="176"/>
      <c r="AO368" t="s">
        <v>572</v>
      </c>
      <c r="AP368" s="176"/>
      <c r="AQ368" s="176"/>
      <c r="AR368" s="176"/>
      <c r="AS368" s="176"/>
      <c r="AT368" s="176"/>
      <c r="AU368" s="176"/>
      <c r="AV368" s="176"/>
      <c r="AW368" s="176"/>
      <c r="AX368" s="279" t="str">
        <f t="shared" si="83"/>
        <v/>
      </c>
    </row>
    <row r="369" spans="1:50" x14ac:dyDescent="0.25">
      <c r="A369" s="190" t="str">
        <f t="shared" si="86"/>
        <v/>
      </c>
      <c r="B369" s="279" t="str">
        <f t="shared" si="93"/>
        <v/>
      </c>
      <c r="C369" s="279"/>
      <c r="D369" s="279"/>
      <c r="E369" s="279" t="str">
        <f t="shared" si="87"/>
        <v/>
      </c>
      <c r="F369" t="s">
        <v>535</v>
      </c>
      <c r="G369" s="188">
        <v>44684</v>
      </c>
      <c r="H369" s="19"/>
      <c r="I369" s="168" t="s">
        <v>7</v>
      </c>
      <c r="J369" s="180" t="s">
        <v>2772</v>
      </c>
      <c r="K369" s="168" t="s">
        <v>2766</v>
      </c>
      <c r="L369" s="168" t="s">
        <v>47</v>
      </c>
      <c r="M369" s="170" t="s">
        <v>558</v>
      </c>
      <c r="N369" s="170"/>
      <c r="O369" s="237"/>
      <c r="P369" s="237"/>
      <c r="Q369" s="231" t="str">
        <f t="shared" si="88"/>
        <v>. Wheels (ask DRF - tons of options)</v>
      </c>
      <c r="R369" s="231"/>
      <c r="S369" s="231" t="str">
        <f t="shared" si="90"/>
        <v/>
      </c>
      <c r="T369" s="231" t="str">
        <f>IF(O369&lt;&gt;"",_xlfn.XLOOKUP(O369,'3D. Pictures'!B:B,'3D. Pictures'!E:E,"NOT FOUND",0,1),"")</f>
        <v/>
      </c>
      <c r="U369" s="170"/>
      <c r="V369" s="168"/>
      <c r="W369" s="170"/>
      <c r="X369" s="168"/>
      <c r="Z369" s="168"/>
      <c r="AA369" s="168" t="s">
        <v>285</v>
      </c>
      <c r="AB369" s="168" t="s">
        <v>285</v>
      </c>
      <c r="AC369" s="247" t="str">
        <f t="shared" si="89"/>
        <v/>
      </c>
      <c r="AD369" s="168"/>
      <c r="AE369" s="168"/>
      <c r="AF369" s="168" t="s">
        <v>543</v>
      </c>
      <c r="AG369" s="168"/>
      <c r="AH369" s="168" t="s">
        <v>477</v>
      </c>
      <c r="AI369" s="380" t="str">
        <f t="shared" si="91"/>
        <v>Ask DRF</v>
      </c>
      <c r="AJ369" s="3" t="s">
        <v>408</v>
      </c>
      <c r="AK369" s="3" t="s">
        <v>425</v>
      </c>
      <c r="AL369" s="204" t="s">
        <v>2175</v>
      </c>
      <c r="AM369" s="138"/>
      <c r="AO369" t="s">
        <v>572</v>
      </c>
      <c r="AX369" s="279" t="str">
        <f t="shared" si="83"/>
        <v/>
      </c>
    </row>
    <row r="370" spans="1:50" ht="15.75" thickBot="1" x14ac:dyDescent="0.3">
      <c r="A370" s="190" t="str">
        <f t="shared" si="86"/>
        <v/>
      </c>
      <c r="B370" s="279" t="str">
        <f t="shared" si="93"/>
        <v>560-86054</v>
      </c>
      <c r="C370" s="279" t="s">
        <v>2139</v>
      </c>
      <c r="D370" s="279"/>
      <c r="E370" s="279">
        <f t="shared" si="87"/>
        <v>2</v>
      </c>
      <c r="F370" s="190" t="s">
        <v>535</v>
      </c>
      <c r="G370" s="198">
        <v>45219</v>
      </c>
      <c r="H370" s="210"/>
      <c r="I370" s="201"/>
      <c r="J370" s="202" t="s">
        <v>402</v>
      </c>
      <c r="K370" s="201" t="s">
        <v>2766</v>
      </c>
      <c r="L370" s="201" t="s">
        <v>47</v>
      </c>
      <c r="M370" s="200" t="s">
        <v>558</v>
      </c>
      <c r="N370" s="200"/>
      <c r="O370" s="230"/>
      <c r="P370" s="230"/>
      <c r="Q370" s="231" t="str">
        <f t="shared" si="88"/>
        <v>. Wheels SET 4 (560-86059 x2 &amp; 560-86054 x2)</v>
      </c>
      <c r="R370" s="206"/>
      <c r="S370" s="206" t="str">
        <f t="shared" si="90"/>
        <v/>
      </c>
      <c r="T370" s="206" t="str">
        <f>IF(O370&lt;&gt;"",_xlfn.XLOOKUP(O370,'3D. Pictures'!B:B,'3D. Pictures'!E:E,"NOT FOUND",0,1),"")</f>
        <v/>
      </c>
      <c r="U370" s="200"/>
      <c r="V370" s="201" t="s">
        <v>1296</v>
      </c>
      <c r="W370" s="200" t="s">
        <v>111</v>
      </c>
      <c r="X370" s="201"/>
      <c r="Z370" s="201"/>
      <c r="AA370" s="201" t="s">
        <v>2528</v>
      </c>
      <c r="AB370" s="201" t="s">
        <v>2528</v>
      </c>
      <c r="AC370" s="247" t="str">
        <f t="shared" si="89"/>
        <v>sell as SET/4, but sell singles if 1 bad</v>
      </c>
      <c r="AD370" s="201" t="s">
        <v>1298</v>
      </c>
      <c r="AE370" s="201"/>
      <c r="AF370" s="201" t="s">
        <v>1297</v>
      </c>
      <c r="AG370" s="201"/>
      <c r="AH370" s="168">
        <v>1000</v>
      </c>
      <c r="AI370" s="380">
        <f t="shared" si="91"/>
        <v>1000</v>
      </c>
      <c r="AJ370" s="204" t="s">
        <v>408</v>
      </c>
      <c r="AK370" s="204" t="s">
        <v>425</v>
      </c>
      <c r="AL370" s="204" t="s">
        <v>2805</v>
      </c>
      <c r="AM370" s="211"/>
      <c r="AN370" s="190">
        <v>560</v>
      </c>
      <c r="AO370" s="190" t="s">
        <v>572</v>
      </c>
      <c r="AP370" s="190">
        <v>86054</v>
      </c>
      <c r="AQ370" s="190" t="str">
        <f>CONCATENATE(AN370,AO370,AP370)</f>
        <v>560-86054</v>
      </c>
      <c r="AR370" s="190"/>
      <c r="AS370" s="190"/>
      <c r="AT370" s="190"/>
      <c r="AU370" s="190"/>
      <c r="AV370" s="190"/>
      <c r="AW370" s="190"/>
      <c r="AX370" s="279" t="str">
        <f t="shared" si="83"/>
        <v/>
      </c>
    </row>
    <row r="371" spans="1:50" ht="15.75" thickBot="1" x14ac:dyDescent="0.3">
      <c r="A371" s="190" t="str">
        <f t="shared" si="86"/>
        <v>A87</v>
      </c>
      <c r="B371" s="279" t="str">
        <f t="shared" si="93"/>
        <v>560-86054</v>
      </c>
      <c r="C371" s="279" t="s">
        <v>2140</v>
      </c>
      <c r="D371" s="279" t="s">
        <v>989</v>
      </c>
      <c r="E371" s="279">
        <f t="shared" si="87"/>
        <v>2</v>
      </c>
      <c r="F371" s="190" t="s">
        <v>535</v>
      </c>
      <c r="G371" s="198">
        <v>45219</v>
      </c>
      <c r="H371" s="210"/>
      <c r="I371" s="201"/>
      <c r="J371" s="202" t="s">
        <v>402</v>
      </c>
      <c r="K371" s="201" t="s">
        <v>2766</v>
      </c>
      <c r="L371" s="201" t="s">
        <v>47</v>
      </c>
      <c r="M371" s="200" t="s">
        <v>558</v>
      </c>
      <c r="N371" s="200">
        <v>77</v>
      </c>
      <c r="O371" s="230" t="s">
        <v>989</v>
      </c>
      <c r="P371" s="230" t="s">
        <v>1300</v>
      </c>
      <c r="Q371" s="231" t="str">
        <f t="shared" si="88"/>
        <v>A87. Wheel, FRONT - LEFT or RIGHT</v>
      </c>
      <c r="R371" s="284" t="str">
        <f>HYPERLINK(VLOOKUP(O371,'3D. Pictures'!$B$3:$E$500,4,FALSE),"PIC")</f>
        <v>PIC</v>
      </c>
      <c r="S371" s="373" t="str">
        <f t="shared" si="90"/>
        <v>E.G.</v>
      </c>
      <c r="T371" s="377" t="str">
        <f>IF(O371&lt;&gt;"",_xlfn.XLOOKUP(O371,'3D. Pictures'!B:B,'3D. Pictures'!E:E,"NOT FOUND",0,1),"")</f>
        <v>https://viking-pictures.s3.us-west-1.amazonaws.com/AA1155/A87.+Wheel%2C+FRONT+-+LEFT+or+RIGHT+(1).JPG</v>
      </c>
      <c r="U371" s="200">
        <v>9</v>
      </c>
      <c r="V371" s="201" t="s">
        <v>1299</v>
      </c>
      <c r="W371" s="200" t="s">
        <v>111</v>
      </c>
      <c r="X371" s="201" t="s">
        <v>2470</v>
      </c>
      <c r="Y371" t="s">
        <v>2742</v>
      </c>
      <c r="Z371" s="201"/>
      <c r="AA371" s="201" t="s">
        <v>2746</v>
      </c>
      <c r="AB371" s="201" t="s">
        <v>2746</v>
      </c>
      <c r="AC371" s="247" t="str">
        <f t="shared" si="89"/>
        <v/>
      </c>
      <c r="AD371" s="201"/>
      <c r="AE371" s="201"/>
      <c r="AF371" s="201" t="s">
        <v>543</v>
      </c>
      <c r="AG371" s="201"/>
      <c r="AH371" s="168">
        <v>350</v>
      </c>
      <c r="AI371" s="380">
        <f t="shared" si="91"/>
        <v>350</v>
      </c>
      <c r="AJ371" s="204" t="s">
        <v>408</v>
      </c>
      <c r="AK371" s="204" t="s">
        <v>425</v>
      </c>
      <c r="AL371" s="204" t="s">
        <v>2805</v>
      </c>
      <c r="AM371" s="211"/>
      <c r="AN371" s="190">
        <v>560</v>
      </c>
      <c r="AO371" s="190" t="s">
        <v>572</v>
      </c>
      <c r="AP371" s="190">
        <v>86054</v>
      </c>
      <c r="AQ371" s="190" t="str">
        <f>CONCATENATE(AN371,AO371,AP371)</f>
        <v>560-86054</v>
      </c>
      <c r="AR371" s="190"/>
      <c r="AS371" s="190"/>
      <c r="AT371" s="190"/>
      <c r="AU371" s="190"/>
      <c r="AV371" s="190"/>
      <c r="AW371" s="190"/>
      <c r="AX371" s="279" t="str">
        <f t="shared" si="83"/>
        <v/>
      </c>
    </row>
    <row r="372" spans="1:50" ht="15.75" thickBot="1" x14ac:dyDescent="0.3">
      <c r="A372" s="190" t="str">
        <f t="shared" si="86"/>
        <v>A89</v>
      </c>
      <c r="B372" s="279" t="str">
        <f t="shared" si="93"/>
        <v>560-86059</v>
      </c>
      <c r="C372" s="279"/>
      <c r="D372" s="279"/>
      <c r="E372" s="279">
        <f t="shared" si="87"/>
        <v>1</v>
      </c>
      <c r="F372" s="190" t="s">
        <v>535</v>
      </c>
      <c r="G372" s="198">
        <v>45219</v>
      </c>
      <c r="H372" s="210"/>
      <c r="I372" s="201"/>
      <c r="J372" s="202" t="s">
        <v>402</v>
      </c>
      <c r="K372" s="201" t="s">
        <v>2766</v>
      </c>
      <c r="L372" s="201" t="s">
        <v>47</v>
      </c>
      <c r="M372" s="200" t="s">
        <v>558</v>
      </c>
      <c r="N372" s="200">
        <v>79</v>
      </c>
      <c r="O372" s="230" t="s">
        <v>991</v>
      </c>
      <c r="P372" s="230" t="s">
        <v>1300</v>
      </c>
      <c r="Q372" s="231" t="str">
        <f t="shared" si="88"/>
        <v>A89. Wheel, REAR - LEFT or RIGHT</v>
      </c>
      <c r="R372" s="284" t="str">
        <f>HYPERLINK(VLOOKUP(O372,'3D. Pictures'!$B$3:$E$500,4,FALSE),"PIC")</f>
        <v>PIC</v>
      </c>
      <c r="S372" s="373" t="str">
        <f t="shared" si="90"/>
        <v>E.G.</v>
      </c>
      <c r="T372" s="377" t="str">
        <f>IF(O372&lt;&gt;"",_xlfn.XLOOKUP(O372,'3D. Pictures'!B:B,'3D. Pictures'!E:E,"NOT FOUND",0,1),"")</f>
        <v>https://viking-pictures.s3.us-west-1.amazonaws.com/AA1155/A89.+Wheel%2C+REAR+-+LEFT+or+RIGHT+(1).JPG</v>
      </c>
      <c r="U372" s="200">
        <v>9</v>
      </c>
      <c r="V372" s="201" t="s">
        <v>2151</v>
      </c>
      <c r="W372" s="200" t="s">
        <v>111</v>
      </c>
      <c r="X372" s="201" t="s">
        <v>2470</v>
      </c>
      <c r="Y372" t="s">
        <v>2744</v>
      </c>
      <c r="Z372" s="201"/>
      <c r="AA372" s="201" t="s">
        <v>2747</v>
      </c>
      <c r="AB372" s="201" t="s">
        <v>2747</v>
      </c>
      <c r="AC372" s="247" t="str">
        <f t="shared" si="89"/>
        <v/>
      </c>
      <c r="AD372" s="201"/>
      <c r="AE372" s="201"/>
      <c r="AF372" s="201" t="s">
        <v>543</v>
      </c>
      <c r="AG372" s="201"/>
      <c r="AH372" s="168">
        <v>350</v>
      </c>
      <c r="AI372" s="380">
        <f t="shared" si="91"/>
        <v>350</v>
      </c>
      <c r="AJ372" s="204" t="s">
        <v>408</v>
      </c>
      <c r="AK372" s="204" t="s">
        <v>425</v>
      </c>
      <c r="AL372" s="204" t="s">
        <v>2805</v>
      </c>
      <c r="AM372" s="211"/>
      <c r="AN372" s="190">
        <v>560</v>
      </c>
      <c r="AO372" s="190" t="s">
        <v>572</v>
      </c>
      <c r="AP372" s="190">
        <v>86059</v>
      </c>
      <c r="AQ372" s="190" t="str">
        <f>CONCATENATE(AN372,AO372,AP372)</f>
        <v>560-86059</v>
      </c>
      <c r="AR372" s="190"/>
      <c r="AS372" s="190"/>
      <c r="AT372" s="190"/>
      <c r="AU372" s="190"/>
      <c r="AV372" s="190"/>
      <c r="AW372" s="190"/>
      <c r="AX372" s="279" t="str">
        <f t="shared" si="83"/>
        <v/>
      </c>
    </row>
    <row r="373" spans="1:50" ht="15.75" thickBot="1" x14ac:dyDescent="0.3">
      <c r="A373" s="190" t="str">
        <f t="shared" si="86"/>
        <v>A24</v>
      </c>
      <c r="B373" s="279" t="str">
        <f t="shared" si="93"/>
        <v/>
      </c>
      <c r="C373" s="279"/>
      <c r="D373" s="279"/>
      <c r="E373" s="279" t="str">
        <f t="shared" si="87"/>
        <v/>
      </c>
      <c r="F373" s="241" t="s">
        <v>536</v>
      </c>
      <c r="G373" s="242">
        <v>44936</v>
      </c>
      <c r="H373" s="263"/>
      <c r="I373" s="263"/>
      <c r="J373" s="243" t="s">
        <v>402</v>
      </c>
      <c r="K373" s="243" t="s">
        <v>2766</v>
      </c>
      <c r="L373" s="243" t="s">
        <v>439</v>
      </c>
      <c r="M373" s="243" t="s">
        <v>559</v>
      </c>
      <c r="N373" s="243">
        <v>14</v>
      </c>
      <c r="O373" s="244" t="s">
        <v>926</v>
      </c>
      <c r="P373" s="244" t="s">
        <v>1035</v>
      </c>
      <c r="Q373" s="231" t="str">
        <f t="shared" si="88"/>
        <v>A24. TPMS Tire Pressure Sensor SET 4</v>
      </c>
      <c r="R373" s="284" t="str">
        <f>HYPERLINK(VLOOKUP(O373,'3D. Pictures'!$B$3:$E$500,4,FALSE),"PIC")</f>
        <v>PIC</v>
      </c>
      <c r="S373" s="373" t="str">
        <f t="shared" si="90"/>
        <v>E.G.</v>
      </c>
      <c r="T373" s="377" t="str">
        <f>IF(O373&lt;&gt;"",_xlfn.XLOOKUP(O373,'3D. Pictures'!B:B,'3D. Pictures'!E:E,"NOT FOUND",0,1),"")</f>
        <v>https://viking-pictures.s3.us-west-1.amazonaws.com/AA1155/A24.+TPMS+Tire+Pressure+Sensor+SET+4+(1).JPG</v>
      </c>
      <c r="U373" s="243">
        <v>3</v>
      </c>
      <c r="V373" s="243">
        <v>6855539</v>
      </c>
      <c r="W373" s="243" t="s">
        <v>111</v>
      </c>
      <c r="X373" s="243"/>
      <c r="Z373" s="243"/>
      <c r="AA373" s="243" t="s">
        <v>2518</v>
      </c>
      <c r="AB373" s="243" t="s">
        <v>2518</v>
      </c>
      <c r="AC373" s="358" t="str">
        <f t="shared" si="89"/>
        <v>if 1 bad toss all</v>
      </c>
      <c r="AD373" s="243" t="s">
        <v>1163</v>
      </c>
      <c r="AE373" s="243"/>
      <c r="AF373" s="179" t="s">
        <v>541</v>
      </c>
      <c r="AG373" s="243"/>
      <c r="AH373" s="16">
        <v>75</v>
      </c>
      <c r="AI373" s="380">
        <f t="shared" si="91"/>
        <v>75</v>
      </c>
      <c r="AJ373" s="246" t="s">
        <v>408</v>
      </c>
      <c r="AK373" s="246" t="s">
        <v>425</v>
      </c>
      <c r="AL373" s="204" t="s">
        <v>2175</v>
      </c>
      <c r="AM373" s="241"/>
      <c r="AN373" s="241"/>
      <c r="AO373" s="241"/>
      <c r="AP373" s="241"/>
      <c r="AQ373" s="241"/>
      <c r="AR373" s="241"/>
      <c r="AS373" s="241" t="s">
        <v>1028</v>
      </c>
      <c r="AT373" s="241" t="s">
        <v>1029</v>
      </c>
      <c r="AU373" s="241" t="s">
        <v>1030</v>
      </c>
      <c r="AV373" s="303" t="str">
        <f t="shared" ref="AV373" si="101">CONCATENATE(AS373,"-",AT373,"-",AU373)</f>
        <v>F15-14-18-ALL</v>
      </c>
      <c r="AW373" s="241" t="s">
        <v>2449</v>
      </c>
      <c r="AX373" s="279" t="str">
        <f t="shared" si="83"/>
        <v>F15-14-18-ALL-Viking83</v>
      </c>
    </row>
    <row r="374" spans="1:50" x14ac:dyDescent="0.25">
      <c r="A374" s="190" t="str">
        <f t="shared" si="86"/>
        <v/>
      </c>
      <c r="B374" s="279" t="str">
        <f t="shared" si="93"/>
        <v/>
      </c>
      <c r="C374" s="279"/>
      <c r="D374" s="279"/>
      <c r="E374" s="279" t="str">
        <f t="shared" si="87"/>
        <v/>
      </c>
      <c r="F374" t="s">
        <v>536</v>
      </c>
      <c r="G374" s="188">
        <v>44998</v>
      </c>
      <c r="H374" s="16"/>
      <c r="I374" s="16"/>
      <c r="J374" s="166" t="s">
        <v>402</v>
      </c>
      <c r="K374" s="166" t="s">
        <v>2766</v>
      </c>
      <c r="L374" s="166" t="s">
        <v>286</v>
      </c>
      <c r="M374" s="16" t="s">
        <v>559</v>
      </c>
      <c r="N374" s="16"/>
      <c r="O374" s="166"/>
      <c r="P374" s="166"/>
      <c r="Q374" s="231" t="str">
        <f t="shared" si="88"/>
        <v>. Wheel Lock Nuts &amp; Key</v>
      </c>
      <c r="R374" s="231"/>
      <c r="S374" s="231" t="str">
        <f t="shared" si="90"/>
        <v/>
      </c>
      <c r="T374" s="231" t="str">
        <f>IF(O374&lt;&gt;"",_xlfn.XLOOKUP(O374,'3D. Pictures'!B:B,'3D. Pictures'!E:E,"NOT FOUND",0,1),"")</f>
        <v/>
      </c>
      <c r="U374" s="166"/>
      <c r="V374" s="166"/>
      <c r="W374" s="166"/>
      <c r="X374" s="166"/>
      <c r="Z374" s="166"/>
      <c r="AA374" s="166" t="s">
        <v>287</v>
      </c>
      <c r="AB374" s="166" t="s">
        <v>287</v>
      </c>
      <c r="AC374" s="231" t="str">
        <f t="shared" si="89"/>
        <v>if 1 missing toss all</v>
      </c>
      <c r="AD374" s="166" t="s">
        <v>2662</v>
      </c>
      <c r="AE374" s="166"/>
      <c r="AF374" s="168" t="s">
        <v>543</v>
      </c>
      <c r="AG374" s="16"/>
      <c r="AH374" s="16">
        <v>70</v>
      </c>
      <c r="AI374" s="380">
        <f t="shared" si="91"/>
        <v>70</v>
      </c>
      <c r="AJ374" s="3" t="s">
        <v>408</v>
      </c>
      <c r="AK374" s="3" t="s">
        <v>425</v>
      </c>
      <c r="AL374" s="204" t="s">
        <v>2175</v>
      </c>
      <c r="AN374" s="176"/>
      <c r="AO374" s="176"/>
      <c r="AP374" s="176"/>
      <c r="AQ374" s="176"/>
      <c r="AR374" s="176"/>
      <c r="AS374" s="176"/>
      <c r="AT374" s="176"/>
      <c r="AU374" s="176"/>
      <c r="AV374" s="176"/>
      <c r="AW374" s="176"/>
      <c r="AX374" s="279" t="str">
        <f t="shared" si="83"/>
        <v/>
      </c>
    </row>
    <row r="375" spans="1:50" x14ac:dyDescent="0.25">
      <c r="A375" s="190" t="str">
        <f t="shared" si="86"/>
        <v/>
      </c>
      <c r="B375" s="279" t="str">
        <f t="shared" si="93"/>
        <v/>
      </c>
      <c r="C375" s="279"/>
      <c r="D375" s="279"/>
      <c r="E375" s="279" t="str">
        <f t="shared" si="87"/>
        <v/>
      </c>
      <c r="F375" t="s">
        <v>535</v>
      </c>
      <c r="G375" s="188">
        <v>44674</v>
      </c>
      <c r="H375" s="10"/>
      <c r="I375" s="10"/>
      <c r="J375" s="15" t="s">
        <v>405</v>
      </c>
      <c r="K375" s="15" t="s">
        <v>2766</v>
      </c>
      <c r="L375" s="15" t="s">
        <v>286</v>
      </c>
      <c r="M375" s="16" t="s">
        <v>559</v>
      </c>
      <c r="N375" s="16"/>
      <c r="O375" s="166"/>
      <c r="P375" s="166"/>
      <c r="Q375" s="231" t="str">
        <f t="shared" si="88"/>
        <v>. Lug Nuts</v>
      </c>
      <c r="R375" s="231"/>
      <c r="S375" s="231" t="str">
        <f t="shared" si="90"/>
        <v/>
      </c>
      <c r="T375" s="231" t="str">
        <f>IF(O375&lt;&gt;"",_xlfn.XLOOKUP(O375,'3D. Pictures'!B:B,'3D. Pictures'!E:E,"NOT FOUND",0,1),"")</f>
        <v/>
      </c>
      <c r="U375" s="166"/>
      <c r="V375" s="166"/>
      <c r="W375" s="166"/>
      <c r="X375" s="166"/>
      <c r="Z375" s="166"/>
      <c r="AA375" s="15" t="s">
        <v>286</v>
      </c>
      <c r="AB375" s="15" t="s">
        <v>286</v>
      </c>
      <c r="AC375" s="270" t="str">
        <f t="shared" si="89"/>
        <v/>
      </c>
      <c r="AD375" s="15"/>
      <c r="AE375" s="15"/>
      <c r="AF375" s="168" t="s">
        <v>543</v>
      </c>
      <c r="AG375" s="10"/>
      <c r="AH375" s="10"/>
      <c r="AI375" s="380" t="str">
        <f t="shared" si="91"/>
        <v/>
      </c>
      <c r="AJ375" s="3" t="s">
        <v>408</v>
      </c>
      <c r="AK375" s="3" t="s">
        <v>425</v>
      </c>
      <c r="AL375" s="204" t="s">
        <v>2175</v>
      </c>
      <c r="AN375" s="176"/>
      <c r="AO375" s="176"/>
      <c r="AP375" s="176"/>
      <c r="AQ375" s="176"/>
      <c r="AR375" s="176"/>
      <c r="AS375" s="176"/>
      <c r="AT375" s="176"/>
      <c r="AU375" s="176"/>
      <c r="AV375" s="176"/>
      <c r="AW375" s="176"/>
      <c r="AX375" s="279" t="str">
        <f t="shared" si="83"/>
        <v/>
      </c>
    </row>
    <row r="376" spans="1:50" x14ac:dyDescent="0.25">
      <c r="A376" s="190" t="str">
        <f t="shared" si="86"/>
        <v/>
      </c>
      <c r="B376" s="279" t="str">
        <f t="shared" si="93"/>
        <v/>
      </c>
      <c r="C376" s="279"/>
      <c r="D376" s="279"/>
      <c r="E376" s="279" t="str">
        <f t="shared" si="87"/>
        <v/>
      </c>
      <c r="F376" t="s">
        <v>535</v>
      </c>
      <c r="G376" s="188">
        <v>44674</v>
      </c>
      <c r="H376" s="10"/>
      <c r="I376" s="10"/>
      <c r="J376" s="10" t="s">
        <v>405</v>
      </c>
      <c r="K376" s="10" t="s">
        <v>2766</v>
      </c>
      <c r="L376" s="10" t="s">
        <v>2702</v>
      </c>
      <c r="M376" s="16" t="s">
        <v>559</v>
      </c>
      <c r="N376" s="16"/>
      <c r="O376" s="166"/>
      <c r="P376" s="166"/>
      <c r="Q376" s="231" t="str">
        <f t="shared" si="88"/>
        <v>. Wheel Speed Sensors</v>
      </c>
      <c r="R376" s="231"/>
      <c r="S376" s="231" t="str">
        <f t="shared" si="90"/>
        <v/>
      </c>
      <c r="T376" s="231" t="str">
        <f>IF(O376&lt;&gt;"",_xlfn.XLOOKUP(O376,'3D. Pictures'!B:B,'3D. Pictures'!E:E,"NOT FOUND",0,1),"")</f>
        <v/>
      </c>
      <c r="U376" s="16"/>
      <c r="V376" s="16"/>
      <c r="W376" s="16"/>
      <c r="X376" s="16"/>
      <c r="Z376" s="16"/>
      <c r="AA376" s="10" t="s">
        <v>2663</v>
      </c>
      <c r="AB376" s="10" t="s">
        <v>2663</v>
      </c>
      <c r="AC376" s="359" t="str">
        <f t="shared" si="89"/>
        <v>TOSS ALL</v>
      </c>
      <c r="AD376" s="10" t="s">
        <v>2575</v>
      </c>
      <c r="AE376" s="10"/>
      <c r="AF376" s="168" t="s">
        <v>543</v>
      </c>
      <c r="AG376" s="10"/>
      <c r="AH376" s="10"/>
      <c r="AI376" s="380" t="str">
        <f t="shared" si="91"/>
        <v/>
      </c>
      <c r="AJ376" s="3" t="s">
        <v>408</v>
      </c>
      <c r="AK376" s="3" t="s">
        <v>425</v>
      </c>
      <c r="AL376" s="204" t="s">
        <v>2175</v>
      </c>
      <c r="AX376" s="279" t="str">
        <f t="shared" si="83"/>
        <v/>
      </c>
    </row>
    <row r="377" spans="1:50" x14ac:dyDescent="0.25">
      <c r="A377" s="190" t="str">
        <f t="shared" si="86"/>
        <v/>
      </c>
      <c r="M377" s="102"/>
      <c r="N377" s="102"/>
      <c r="O377" s="102"/>
      <c r="P377" s="102"/>
      <c r="Q377" s="102"/>
      <c r="R377" s="102"/>
      <c r="S377" s="102" t="str">
        <f t="shared" si="90"/>
        <v/>
      </c>
      <c r="T377" s="102" t="str">
        <f>IF(O377&lt;&gt;"",_xlfn.XLOOKUP(O377,'3D. Pictures'!B:B,'3D. Pictures'!E:E,"NOT FOUND",0,1),"")</f>
        <v/>
      </c>
      <c r="U377" s="102"/>
      <c r="V377" s="102"/>
      <c r="W377" s="102"/>
      <c r="X377" s="102"/>
      <c r="Z377" s="102"/>
      <c r="AI377" s="372"/>
      <c r="AJ377" s="3"/>
      <c r="AK377" s="3"/>
      <c r="AL377" s="3"/>
      <c r="AN377" s="45"/>
      <c r="AO377" t="s">
        <v>572</v>
      </c>
    </row>
  </sheetData>
  <conditionalFormatting sqref="Z171">
    <cfRule type="containsText" dxfId="13" priority="11" operator="containsText" text="[YES-ENTER]">
      <formula>NOT(ISERROR(SEARCH("[YES-ENTER]",Z171)))</formula>
    </cfRule>
  </conditionalFormatting>
  <conditionalFormatting sqref="Z177">
    <cfRule type="containsText" dxfId="12" priority="10" operator="containsText" text="[YES-ENTER]">
      <formula>NOT(ISERROR(SEARCH("[YES-ENTER]",Z177)))</formula>
    </cfRule>
  </conditionalFormatting>
  <conditionalFormatting sqref="Z184">
    <cfRule type="containsText" dxfId="11" priority="9" operator="containsText" text="[YES-ENTER]">
      <formula>NOT(ISERROR(SEARCH("[YES-ENTER]",Z184)))</formula>
    </cfRule>
  </conditionalFormatting>
  <conditionalFormatting sqref="Z194">
    <cfRule type="containsText" dxfId="10" priority="8" operator="containsText" text="[YES-ENTER]">
      <formula>NOT(ISERROR(SEARCH("[YES-ENTER]",Z194)))</formula>
    </cfRule>
  </conditionalFormatting>
  <conditionalFormatting sqref="Z280">
    <cfRule type="containsText" dxfId="9" priority="7" operator="containsText" text="[YES-ENTER]">
      <formula>NOT(ISERROR(SEARCH("[YES-ENTER]",Z280)))</formula>
    </cfRule>
  </conditionalFormatting>
  <conditionalFormatting sqref="Z281">
    <cfRule type="containsText" dxfId="8" priority="6" operator="containsText" text="[YES-ENTER]">
      <formula>NOT(ISERROR(SEARCH("[YES-ENTER]",Z281)))</formula>
    </cfRule>
  </conditionalFormatting>
  <conditionalFormatting sqref="Z283">
    <cfRule type="containsText" dxfId="7" priority="5" operator="containsText" text="[YES-ENTER]">
      <formula>NOT(ISERROR(SEARCH("[YES-ENTER]",Z283)))</formula>
    </cfRule>
  </conditionalFormatting>
  <conditionalFormatting sqref="Z285">
    <cfRule type="containsText" dxfId="6" priority="4" operator="containsText" text="[YES-ENTER]">
      <formula>NOT(ISERROR(SEARCH("[YES-ENTER]",Z285)))</formula>
    </cfRule>
  </conditionalFormatting>
  <conditionalFormatting sqref="Z287">
    <cfRule type="containsText" dxfId="5" priority="3" operator="containsText" text="[YES-ENTER]">
      <formula>NOT(ISERROR(SEARCH("[YES-ENTER]",Z287)))</formula>
    </cfRule>
  </conditionalFormatting>
  <conditionalFormatting sqref="Z295">
    <cfRule type="containsText" dxfId="4" priority="2" operator="containsText" text="[YES-ENTER]">
      <formula>NOT(ISERROR(SEARCH("[YES-ENTER]",Z295)))</formula>
    </cfRule>
  </conditionalFormatting>
  <conditionalFormatting sqref="Z355">
    <cfRule type="containsText" dxfId="3" priority="1" operator="containsText" text="[YES-ENTER]">
      <formula>NOT(ISERROR(SEARCH("[YES-ENTER]",Z355)))</formula>
    </cfRule>
  </conditionalFormatting>
  <hyperlinks>
    <hyperlink ref="T3" r:id="rId1" display="https://viking-pictures.s3.us-west-1.amazonaws.com/AA1155/A47.+Door+Handle%2C+Exterior+-+FRONT+-+LEFT+(1).JPG" xr:uid="{CDAF2F1C-E6C3-4A7C-A543-24C28366EAD5}"/>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272AE-1647-4965-BABD-67C028DD2FDA}">
  <sheetPr codeName="Sheet13"/>
  <dimension ref="A1:C356"/>
  <sheetViews>
    <sheetView topLeftCell="A204" workbookViewId="0">
      <selection activeCell="B253" sqref="B253"/>
    </sheetView>
  </sheetViews>
  <sheetFormatPr defaultRowHeight="15" x14ac:dyDescent="0.25"/>
  <cols>
    <col min="1" max="1" width="87.85546875" bestFit="1" customWidth="1"/>
    <col min="2" max="2" width="15.5703125" bestFit="1" customWidth="1"/>
    <col min="3" max="3" width="13.5703125" bestFit="1" customWidth="1"/>
  </cols>
  <sheetData>
    <row r="1" spans="1:3" x14ac:dyDescent="0.25">
      <c r="A1" s="371" t="s">
        <v>2840</v>
      </c>
      <c r="B1" t="s">
        <v>2845</v>
      </c>
      <c r="C1" t="s">
        <v>2844</v>
      </c>
    </row>
    <row r="2" spans="1:3" x14ac:dyDescent="0.25">
      <c r="A2" s="11" t="s">
        <v>45</v>
      </c>
      <c r="B2" s="372">
        <v>125</v>
      </c>
      <c r="C2">
        <v>1</v>
      </c>
    </row>
    <row r="3" spans="1:3" x14ac:dyDescent="0.25">
      <c r="A3" s="11" t="s">
        <v>358</v>
      </c>
      <c r="B3" s="372">
        <v>165</v>
      </c>
      <c r="C3">
        <v>3</v>
      </c>
    </row>
    <row r="4" spans="1:3" x14ac:dyDescent="0.25">
      <c r="A4" s="11" t="s">
        <v>2589</v>
      </c>
      <c r="B4" s="372"/>
    </row>
    <row r="5" spans="1:3" x14ac:dyDescent="0.25">
      <c r="A5" s="11" t="s">
        <v>835</v>
      </c>
      <c r="B5" s="372">
        <v>241.66666666666666</v>
      </c>
      <c r="C5">
        <v>3</v>
      </c>
    </row>
    <row r="6" spans="1:3" x14ac:dyDescent="0.25">
      <c r="A6" s="11" t="s">
        <v>671</v>
      </c>
      <c r="B6" s="372">
        <v>257.5</v>
      </c>
      <c r="C6">
        <v>2</v>
      </c>
    </row>
    <row r="7" spans="1:3" x14ac:dyDescent="0.25">
      <c r="A7" s="11" t="s">
        <v>520</v>
      </c>
      <c r="B7" s="372"/>
    </row>
    <row r="8" spans="1:3" x14ac:dyDescent="0.25">
      <c r="A8" s="11" t="s">
        <v>2216</v>
      </c>
      <c r="B8" s="372"/>
    </row>
    <row r="9" spans="1:3" x14ac:dyDescent="0.25">
      <c r="A9" s="11" t="s">
        <v>523</v>
      </c>
      <c r="B9" s="372">
        <v>105</v>
      </c>
      <c r="C9">
        <v>1</v>
      </c>
    </row>
    <row r="10" spans="1:3" x14ac:dyDescent="0.25">
      <c r="A10" s="11" t="s">
        <v>2530</v>
      </c>
      <c r="B10" s="372">
        <v>125</v>
      </c>
      <c r="C10">
        <v>1</v>
      </c>
    </row>
    <row r="11" spans="1:3" x14ac:dyDescent="0.25">
      <c r="A11" s="11" t="s">
        <v>2841</v>
      </c>
      <c r="B11" s="372"/>
    </row>
    <row r="12" spans="1:3" x14ac:dyDescent="0.25">
      <c r="A12" s="11" t="s">
        <v>417</v>
      </c>
      <c r="B12" s="372">
        <v>195</v>
      </c>
      <c r="C12">
        <v>1</v>
      </c>
    </row>
    <row r="13" spans="1:3" x14ac:dyDescent="0.25">
      <c r="A13" s="11" t="s">
        <v>413</v>
      </c>
      <c r="B13" s="372">
        <v>275</v>
      </c>
      <c r="C13">
        <v>1</v>
      </c>
    </row>
    <row r="14" spans="1:3" x14ac:dyDescent="0.25">
      <c r="A14" s="11" t="s">
        <v>414</v>
      </c>
      <c r="B14" s="372">
        <v>175</v>
      </c>
      <c r="C14">
        <v>1</v>
      </c>
    </row>
    <row r="15" spans="1:3" x14ac:dyDescent="0.25">
      <c r="A15" s="11" t="s">
        <v>415</v>
      </c>
      <c r="B15" s="372">
        <v>345</v>
      </c>
      <c r="C15">
        <v>1</v>
      </c>
    </row>
    <row r="16" spans="1:3" x14ac:dyDescent="0.25">
      <c r="A16" s="11" t="s">
        <v>416</v>
      </c>
      <c r="B16" s="372">
        <v>345</v>
      </c>
      <c r="C16">
        <v>1</v>
      </c>
    </row>
    <row r="17" spans="1:3" x14ac:dyDescent="0.25">
      <c r="A17" s="11" t="s">
        <v>2621</v>
      </c>
      <c r="B17" s="372"/>
    </row>
    <row r="18" spans="1:3" x14ac:dyDescent="0.25">
      <c r="A18" s="11" t="s">
        <v>418</v>
      </c>
      <c r="B18" s="372">
        <v>390</v>
      </c>
      <c r="C18">
        <v>5</v>
      </c>
    </row>
    <row r="19" spans="1:3" x14ac:dyDescent="0.25">
      <c r="A19" s="11" t="s">
        <v>44</v>
      </c>
      <c r="B19" s="372">
        <v>100</v>
      </c>
      <c r="C19">
        <v>2</v>
      </c>
    </row>
    <row r="20" spans="1:3" x14ac:dyDescent="0.25">
      <c r="A20" s="11" t="s">
        <v>2566</v>
      </c>
      <c r="B20" s="372">
        <v>48</v>
      </c>
      <c r="C20">
        <v>1</v>
      </c>
    </row>
    <row r="21" spans="1:3" x14ac:dyDescent="0.25">
      <c r="A21" s="11" t="s">
        <v>840</v>
      </c>
      <c r="B21" s="372">
        <v>975</v>
      </c>
      <c r="C21">
        <v>1</v>
      </c>
    </row>
    <row r="22" spans="1:3" x14ac:dyDescent="0.25">
      <c r="A22" s="11" t="s">
        <v>841</v>
      </c>
      <c r="B22" s="372">
        <v>722.5</v>
      </c>
      <c r="C22">
        <v>2</v>
      </c>
    </row>
    <row r="23" spans="1:3" x14ac:dyDescent="0.25">
      <c r="A23" s="11" t="s">
        <v>842</v>
      </c>
      <c r="B23" s="372">
        <v>95</v>
      </c>
      <c r="C23">
        <v>1</v>
      </c>
    </row>
    <row r="24" spans="1:3" x14ac:dyDescent="0.25">
      <c r="A24" s="11" t="s">
        <v>2605</v>
      </c>
      <c r="B24" s="372"/>
    </row>
    <row r="25" spans="1:3" x14ac:dyDescent="0.25">
      <c r="A25" s="11" t="s">
        <v>2604</v>
      </c>
      <c r="B25" s="372"/>
    </row>
    <row r="26" spans="1:3" x14ac:dyDescent="0.25">
      <c r="A26" s="11" t="s">
        <v>2603</v>
      </c>
      <c r="B26" s="372"/>
    </row>
    <row r="27" spans="1:3" x14ac:dyDescent="0.25">
      <c r="A27" s="11" t="s">
        <v>42</v>
      </c>
      <c r="B27" s="372"/>
    </row>
    <row r="28" spans="1:3" x14ac:dyDescent="0.25">
      <c r="A28" s="11" t="s">
        <v>427</v>
      </c>
      <c r="B28" s="372">
        <v>400</v>
      </c>
      <c r="C28">
        <v>1</v>
      </c>
    </row>
    <row r="29" spans="1:3" x14ac:dyDescent="0.25">
      <c r="A29" s="11" t="s">
        <v>428</v>
      </c>
      <c r="B29" s="372">
        <v>350</v>
      </c>
      <c r="C29">
        <v>1</v>
      </c>
    </row>
    <row r="30" spans="1:3" x14ac:dyDescent="0.25">
      <c r="A30" s="11" t="s">
        <v>426</v>
      </c>
      <c r="B30" s="372"/>
    </row>
    <row r="31" spans="1:3" x14ac:dyDescent="0.25">
      <c r="A31" s="11" t="s">
        <v>2070</v>
      </c>
      <c r="B31" s="372">
        <v>65</v>
      </c>
      <c r="C31">
        <v>1</v>
      </c>
    </row>
    <row r="32" spans="1:3" x14ac:dyDescent="0.25">
      <c r="A32" s="11" t="s">
        <v>1181</v>
      </c>
      <c r="B32" s="372">
        <v>48</v>
      </c>
      <c r="C32">
        <v>1</v>
      </c>
    </row>
    <row r="33" spans="1:3" x14ac:dyDescent="0.25">
      <c r="A33" s="11" t="s">
        <v>1183</v>
      </c>
      <c r="B33" s="372">
        <v>150</v>
      </c>
      <c r="C33">
        <v>1</v>
      </c>
    </row>
    <row r="34" spans="1:3" x14ac:dyDescent="0.25">
      <c r="A34" s="11" t="s">
        <v>500</v>
      </c>
      <c r="B34" s="372">
        <v>150</v>
      </c>
      <c r="C34">
        <v>1</v>
      </c>
    </row>
    <row r="35" spans="1:3" x14ac:dyDescent="0.25">
      <c r="A35" s="11" t="s">
        <v>501</v>
      </c>
      <c r="B35" s="372">
        <v>150</v>
      </c>
      <c r="C35">
        <v>1</v>
      </c>
    </row>
    <row r="36" spans="1:3" x14ac:dyDescent="0.25">
      <c r="A36" s="11" t="s">
        <v>2720</v>
      </c>
      <c r="B36" s="372"/>
    </row>
    <row r="37" spans="1:3" x14ac:dyDescent="0.25">
      <c r="A37" s="11" t="s">
        <v>693</v>
      </c>
      <c r="B37" s="372">
        <v>95</v>
      </c>
      <c r="C37">
        <v>1</v>
      </c>
    </row>
    <row r="38" spans="1:3" x14ac:dyDescent="0.25">
      <c r="A38" s="11" t="s">
        <v>848</v>
      </c>
      <c r="B38" s="372">
        <v>300</v>
      </c>
      <c r="C38">
        <v>1</v>
      </c>
    </row>
    <row r="39" spans="1:3" x14ac:dyDescent="0.25">
      <c r="A39" s="11" t="s">
        <v>390</v>
      </c>
      <c r="B39" s="372"/>
    </row>
    <row r="40" spans="1:3" x14ac:dyDescent="0.25">
      <c r="A40" s="11" t="s">
        <v>2643</v>
      </c>
      <c r="B40" s="372"/>
    </row>
    <row r="41" spans="1:3" x14ac:dyDescent="0.25">
      <c r="A41" s="11" t="s">
        <v>2187</v>
      </c>
      <c r="B41" s="372">
        <v>150</v>
      </c>
      <c r="C41">
        <v>1</v>
      </c>
    </row>
    <row r="42" spans="1:3" x14ac:dyDescent="0.25">
      <c r="A42" s="11" t="s">
        <v>2188</v>
      </c>
      <c r="B42" s="372">
        <v>150</v>
      </c>
      <c r="C42">
        <v>1</v>
      </c>
    </row>
    <row r="43" spans="1:3" x14ac:dyDescent="0.25">
      <c r="A43" s="11" t="s">
        <v>2186</v>
      </c>
      <c r="B43" s="372"/>
    </row>
    <row r="44" spans="1:3" x14ac:dyDescent="0.25">
      <c r="A44" s="11" t="s">
        <v>2815</v>
      </c>
      <c r="B44" s="372">
        <v>113.33333333333333</v>
      </c>
      <c r="C44">
        <v>3</v>
      </c>
    </row>
    <row r="45" spans="1:3" x14ac:dyDescent="0.25">
      <c r="A45" s="11" t="s">
        <v>2602</v>
      </c>
      <c r="B45" s="372"/>
    </row>
    <row r="46" spans="1:3" x14ac:dyDescent="0.25">
      <c r="A46" s="11" t="s">
        <v>463</v>
      </c>
      <c r="B46" s="372">
        <v>225</v>
      </c>
      <c r="C46">
        <v>1</v>
      </c>
    </row>
    <row r="47" spans="1:3" x14ac:dyDescent="0.25">
      <c r="A47" s="11" t="s">
        <v>1267</v>
      </c>
      <c r="B47" s="372">
        <v>225</v>
      </c>
      <c r="C47">
        <v>1</v>
      </c>
    </row>
    <row r="48" spans="1:3" x14ac:dyDescent="0.25">
      <c r="A48" s="11" t="s">
        <v>2595</v>
      </c>
      <c r="B48" s="372">
        <v>225</v>
      </c>
      <c r="C48">
        <v>1</v>
      </c>
    </row>
    <row r="49" spans="1:3" x14ac:dyDescent="0.25">
      <c r="A49" s="11" t="s">
        <v>517</v>
      </c>
      <c r="B49" s="372"/>
    </row>
    <row r="50" spans="1:3" x14ac:dyDescent="0.25">
      <c r="A50" s="11" t="s">
        <v>2532</v>
      </c>
      <c r="B50" s="372">
        <v>175</v>
      </c>
      <c r="C50">
        <v>1</v>
      </c>
    </row>
    <row r="51" spans="1:3" x14ac:dyDescent="0.25">
      <c r="A51" s="11" t="s">
        <v>2533</v>
      </c>
      <c r="B51" s="372">
        <v>240</v>
      </c>
      <c r="C51">
        <v>1</v>
      </c>
    </row>
    <row r="52" spans="1:3" x14ac:dyDescent="0.25">
      <c r="A52" s="11" t="s">
        <v>2534</v>
      </c>
      <c r="B52" s="372">
        <v>400</v>
      </c>
      <c r="C52">
        <v>1</v>
      </c>
    </row>
    <row r="53" spans="1:3" x14ac:dyDescent="0.25">
      <c r="A53" s="11" t="s">
        <v>1366</v>
      </c>
      <c r="B53" s="372">
        <v>195</v>
      </c>
      <c r="C53">
        <v>1</v>
      </c>
    </row>
    <row r="54" spans="1:3" x14ac:dyDescent="0.25">
      <c r="A54" s="11" t="s">
        <v>2652</v>
      </c>
      <c r="B54" s="372"/>
    </row>
    <row r="55" spans="1:3" x14ac:dyDescent="0.25">
      <c r="A55" s="11" t="s">
        <v>448</v>
      </c>
      <c r="B55" s="372"/>
    </row>
    <row r="56" spans="1:3" x14ac:dyDescent="0.25">
      <c r="A56" s="11" t="s">
        <v>2660</v>
      </c>
      <c r="B56" s="372"/>
    </row>
    <row r="57" spans="1:3" x14ac:dyDescent="0.25">
      <c r="A57" s="11" t="s">
        <v>1189</v>
      </c>
      <c r="B57" s="372">
        <v>75</v>
      </c>
      <c r="C57">
        <v>1</v>
      </c>
    </row>
    <row r="58" spans="1:3" x14ac:dyDescent="0.25">
      <c r="A58" s="11" t="s">
        <v>2568</v>
      </c>
      <c r="B58" s="372">
        <v>200</v>
      </c>
      <c r="C58">
        <v>1</v>
      </c>
    </row>
    <row r="59" spans="1:3" x14ac:dyDescent="0.25">
      <c r="A59" s="11" t="s">
        <v>2637</v>
      </c>
      <c r="B59" s="372"/>
    </row>
    <row r="60" spans="1:3" x14ac:dyDescent="0.25">
      <c r="A60" s="11" t="s">
        <v>2831</v>
      </c>
      <c r="B60" s="372">
        <v>198</v>
      </c>
      <c r="C60">
        <v>2</v>
      </c>
    </row>
    <row r="61" spans="1:3" x14ac:dyDescent="0.25">
      <c r="A61" s="11" t="s">
        <v>2830</v>
      </c>
      <c r="B61" s="372">
        <v>295</v>
      </c>
      <c r="C61">
        <v>4</v>
      </c>
    </row>
    <row r="62" spans="1:3" x14ac:dyDescent="0.25">
      <c r="A62" s="11" t="s">
        <v>779</v>
      </c>
      <c r="B62" s="372">
        <v>148</v>
      </c>
      <c r="C62">
        <v>4</v>
      </c>
    </row>
    <row r="63" spans="1:3" x14ac:dyDescent="0.25">
      <c r="A63" s="11" t="s">
        <v>2502</v>
      </c>
      <c r="B63" s="372">
        <v>127.5</v>
      </c>
      <c r="C63">
        <v>4</v>
      </c>
    </row>
    <row r="64" spans="1:3" x14ac:dyDescent="0.25">
      <c r="A64" s="11" t="s">
        <v>2503</v>
      </c>
      <c r="B64" s="372">
        <v>127.5</v>
      </c>
      <c r="C64">
        <v>4</v>
      </c>
    </row>
    <row r="65" spans="1:3" x14ac:dyDescent="0.25">
      <c r="A65" s="11" t="s">
        <v>2504</v>
      </c>
      <c r="B65" s="372">
        <v>58.666666666666664</v>
      </c>
      <c r="C65">
        <v>3</v>
      </c>
    </row>
    <row r="66" spans="1:3" x14ac:dyDescent="0.25">
      <c r="A66" s="11" t="s">
        <v>2526</v>
      </c>
      <c r="B66" s="372">
        <v>125</v>
      </c>
      <c r="C66">
        <v>2</v>
      </c>
    </row>
    <row r="67" spans="1:3" x14ac:dyDescent="0.25">
      <c r="A67" s="11" t="s">
        <v>2527</v>
      </c>
      <c r="B67" s="372">
        <v>125</v>
      </c>
      <c r="C67">
        <v>2</v>
      </c>
    </row>
    <row r="68" spans="1:3" x14ac:dyDescent="0.25">
      <c r="A68" s="11" t="s">
        <v>2539</v>
      </c>
      <c r="B68" s="372"/>
    </row>
    <row r="69" spans="1:3" x14ac:dyDescent="0.25">
      <c r="A69" s="11" t="s">
        <v>469</v>
      </c>
      <c r="B69" s="372"/>
    </row>
    <row r="70" spans="1:3" x14ac:dyDescent="0.25">
      <c r="A70" s="11" t="s">
        <v>54</v>
      </c>
      <c r="B70" s="372">
        <v>1600</v>
      </c>
      <c r="C70">
        <v>1</v>
      </c>
    </row>
    <row r="71" spans="1:3" x14ac:dyDescent="0.25">
      <c r="A71" s="11" t="s">
        <v>2606</v>
      </c>
      <c r="B71" s="372"/>
    </row>
    <row r="72" spans="1:3" x14ac:dyDescent="0.25">
      <c r="A72" s="11" t="s">
        <v>2571</v>
      </c>
      <c r="B72" s="372">
        <v>128</v>
      </c>
      <c r="C72">
        <v>1</v>
      </c>
    </row>
    <row r="73" spans="1:3" x14ac:dyDescent="0.25">
      <c r="A73" s="11" t="s">
        <v>403</v>
      </c>
      <c r="B73" s="372">
        <v>1250</v>
      </c>
      <c r="C73">
        <v>1</v>
      </c>
    </row>
    <row r="74" spans="1:3" x14ac:dyDescent="0.25">
      <c r="A74" s="11" t="s">
        <v>430</v>
      </c>
      <c r="B74" s="372">
        <v>260</v>
      </c>
      <c r="C74">
        <v>2</v>
      </c>
    </row>
    <row r="75" spans="1:3" x14ac:dyDescent="0.25">
      <c r="A75" s="11" t="s">
        <v>431</v>
      </c>
      <c r="B75" s="372">
        <v>716.66666666666663</v>
      </c>
      <c r="C75">
        <v>3</v>
      </c>
    </row>
    <row r="76" spans="1:3" x14ac:dyDescent="0.25">
      <c r="A76" s="11" t="s">
        <v>1241</v>
      </c>
      <c r="B76" s="372">
        <v>150</v>
      </c>
      <c r="C76">
        <v>1</v>
      </c>
    </row>
    <row r="77" spans="1:3" x14ac:dyDescent="0.25">
      <c r="A77" s="11" t="s">
        <v>2587</v>
      </c>
      <c r="B77" s="372"/>
    </row>
    <row r="78" spans="1:3" x14ac:dyDescent="0.25">
      <c r="A78" s="11" t="s">
        <v>578</v>
      </c>
      <c r="B78" s="372">
        <v>135</v>
      </c>
      <c r="C78">
        <v>2</v>
      </c>
    </row>
    <row r="79" spans="1:3" x14ac:dyDescent="0.25">
      <c r="A79" s="11" t="s">
        <v>577</v>
      </c>
      <c r="B79" s="372">
        <v>157.5</v>
      </c>
      <c r="C79">
        <v>2</v>
      </c>
    </row>
    <row r="80" spans="1:3" x14ac:dyDescent="0.25">
      <c r="A80" s="11" t="s">
        <v>576</v>
      </c>
      <c r="B80" s="372">
        <v>130</v>
      </c>
      <c r="C80">
        <v>2</v>
      </c>
    </row>
    <row r="81" spans="1:3" x14ac:dyDescent="0.25">
      <c r="A81" s="11" t="s">
        <v>580</v>
      </c>
      <c r="B81" s="372">
        <v>157.5</v>
      </c>
      <c r="C81">
        <v>2</v>
      </c>
    </row>
    <row r="82" spans="1:3" x14ac:dyDescent="0.25">
      <c r="A82" s="11" t="s">
        <v>555</v>
      </c>
      <c r="B82" s="372"/>
    </row>
    <row r="83" spans="1:3" x14ac:dyDescent="0.25">
      <c r="A83" s="11" t="s">
        <v>2479</v>
      </c>
      <c r="B83" s="372">
        <v>250</v>
      </c>
      <c r="C83">
        <v>1</v>
      </c>
    </row>
    <row r="84" spans="1:3" x14ac:dyDescent="0.25">
      <c r="A84" s="11" t="s">
        <v>1174</v>
      </c>
      <c r="B84" s="372">
        <v>78</v>
      </c>
      <c r="C84">
        <v>1</v>
      </c>
    </row>
    <row r="85" spans="1:3" x14ac:dyDescent="0.25">
      <c r="A85" s="11" t="s">
        <v>2481</v>
      </c>
      <c r="B85" s="372">
        <v>250</v>
      </c>
      <c r="C85">
        <v>1</v>
      </c>
    </row>
    <row r="86" spans="1:3" x14ac:dyDescent="0.25">
      <c r="A86" s="11" t="s">
        <v>1172</v>
      </c>
      <c r="B86" s="372">
        <v>78</v>
      </c>
      <c r="C86">
        <v>1</v>
      </c>
    </row>
    <row r="87" spans="1:3" x14ac:dyDescent="0.25">
      <c r="A87" s="11" t="s">
        <v>2480</v>
      </c>
      <c r="B87" s="372">
        <v>245</v>
      </c>
      <c r="C87">
        <v>1</v>
      </c>
    </row>
    <row r="88" spans="1:3" x14ac:dyDescent="0.25">
      <c r="A88" s="11" t="s">
        <v>1173</v>
      </c>
      <c r="B88" s="372">
        <v>75</v>
      </c>
      <c r="C88">
        <v>1</v>
      </c>
    </row>
    <row r="89" spans="1:3" x14ac:dyDescent="0.25">
      <c r="A89" s="11" t="s">
        <v>2482</v>
      </c>
      <c r="B89" s="372">
        <v>245</v>
      </c>
      <c r="C89">
        <v>1</v>
      </c>
    </row>
    <row r="90" spans="1:3" x14ac:dyDescent="0.25">
      <c r="A90" s="11" t="s">
        <v>1170</v>
      </c>
      <c r="B90" s="372">
        <v>75</v>
      </c>
      <c r="C90">
        <v>1</v>
      </c>
    </row>
    <row r="91" spans="1:3" x14ac:dyDescent="0.25">
      <c r="A91" s="11" t="s">
        <v>470</v>
      </c>
      <c r="B91" s="372" t="e">
        <v>#DIV/0!</v>
      </c>
      <c r="C91">
        <v>1</v>
      </c>
    </row>
    <row r="92" spans="1:3" x14ac:dyDescent="0.25">
      <c r="A92" s="11" t="s">
        <v>2722</v>
      </c>
      <c r="B92" s="372"/>
    </row>
    <row r="93" spans="1:3" x14ac:dyDescent="0.25">
      <c r="A93" s="11" t="s">
        <v>40</v>
      </c>
      <c r="B93" s="372"/>
    </row>
    <row r="94" spans="1:3" x14ac:dyDescent="0.25">
      <c r="A94" s="11" t="s">
        <v>432</v>
      </c>
      <c r="B94" s="372">
        <v>100</v>
      </c>
      <c r="C94">
        <v>1</v>
      </c>
    </row>
    <row r="95" spans="1:3" x14ac:dyDescent="0.25">
      <c r="A95" s="11" t="s">
        <v>2726</v>
      </c>
      <c r="B95" s="372">
        <v>450</v>
      </c>
      <c r="C95">
        <v>1</v>
      </c>
    </row>
    <row r="96" spans="1:3" x14ac:dyDescent="0.25">
      <c r="A96" s="11" t="s">
        <v>2725</v>
      </c>
      <c r="B96" s="372"/>
    </row>
    <row r="97" spans="1:3" x14ac:dyDescent="0.25">
      <c r="A97" s="11" t="s">
        <v>2723</v>
      </c>
      <c r="B97" s="372">
        <v>250</v>
      </c>
      <c r="C97">
        <v>1</v>
      </c>
    </row>
    <row r="98" spans="1:3" x14ac:dyDescent="0.25">
      <c r="A98" s="11" t="s">
        <v>1326</v>
      </c>
      <c r="B98" s="372">
        <v>350</v>
      </c>
      <c r="C98">
        <v>1</v>
      </c>
    </row>
    <row r="99" spans="1:3" x14ac:dyDescent="0.25">
      <c r="A99" s="11" t="s">
        <v>2775</v>
      </c>
      <c r="B99" s="372">
        <v>5333.333333333333</v>
      </c>
      <c r="C99">
        <v>3</v>
      </c>
    </row>
    <row r="100" spans="1:3" x14ac:dyDescent="0.25">
      <c r="A100" s="11" t="s">
        <v>850</v>
      </c>
      <c r="B100" s="372">
        <v>325</v>
      </c>
      <c r="C100">
        <v>1</v>
      </c>
    </row>
    <row r="101" spans="1:3" x14ac:dyDescent="0.25">
      <c r="A101" s="11" t="s">
        <v>2211</v>
      </c>
      <c r="B101" s="372">
        <v>166.66666666666666</v>
      </c>
      <c r="C101">
        <v>3</v>
      </c>
    </row>
    <row r="102" spans="1:3" x14ac:dyDescent="0.25">
      <c r="A102" s="11" t="s">
        <v>2538</v>
      </c>
      <c r="B102" s="372">
        <v>750</v>
      </c>
      <c r="C102">
        <v>1</v>
      </c>
    </row>
    <row r="103" spans="1:3" x14ac:dyDescent="0.25">
      <c r="A103" s="11" t="s">
        <v>2483</v>
      </c>
      <c r="B103" s="372">
        <v>65</v>
      </c>
      <c r="C103">
        <v>1</v>
      </c>
    </row>
    <row r="104" spans="1:3" x14ac:dyDescent="0.25">
      <c r="A104" s="11" t="s">
        <v>2536</v>
      </c>
      <c r="B104" s="372">
        <v>120</v>
      </c>
      <c r="C104">
        <v>1</v>
      </c>
    </row>
    <row r="105" spans="1:3" x14ac:dyDescent="0.25">
      <c r="A105" s="11" t="s">
        <v>85</v>
      </c>
      <c r="B105" s="372">
        <v>75</v>
      </c>
      <c r="C105">
        <v>1</v>
      </c>
    </row>
    <row r="106" spans="1:3" x14ac:dyDescent="0.25">
      <c r="A106" s="11" t="s">
        <v>461</v>
      </c>
      <c r="B106" s="372">
        <v>48</v>
      </c>
      <c r="C106">
        <v>1</v>
      </c>
    </row>
    <row r="107" spans="1:3" x14ac:dyDescent="0.25">
      <c r="A107" s="11" t="s">
        <v>2291</v>
      </c>
      <c r="B107" s="372"/>
    </row>
    <row r="108" spans="1:3" x14ac:dyDescent="0.25">
      <c r="A108" s="11" t="s">
        <v>2792</v>
      </c>
      <c r="B108" s="372"/>
    </row>
    <row r="109" spans="1:3" x14ac:dyDescent="0.25">
      <c r="A109" s="11" t="s">
        <v>411</v>
      </c>
      <c r="B109" s="372">
        <v>142.5</v>
      </c>
      <c r="C109">
        <v>2</v>
      </c>
    </row>
    <row r="110" spans="1:3" x14ac:dyDescent="0.25">
      <c r="A110" s="11" t="s">
        <v>412</v>
      </c>
      <c r="B110" s="372">
        <v>142.5</v>
      </c>
      <c r="C110">
        <v>2</v>
      </c>
    </row>
    <row r="111" spans="1:3" x14ac:dyDescent="0.25">
      <c r="A111" s="11" t="s">
        <v>2608</v>
      </c>
      <c r="B111" s="372"/>
    </row>
    <row r="112" spans="1:3" x14ac:dyDescent="0.25">
      <c r="A112" s="11" t="s">
        <v>2182</v>
      </c>
      <c r="B112" s="372">
        <v>179.44444444444446</v>
      </c>
      <c r="C112">
        <v>9</v>
      </c>
    </row>
    <row r="113" spans="1:3" x14ac:dyDescent="0.25">
      <c r="A113" s="11" t="s">
        <v>1266</v>
      </c>
      <c r="B113" s="372"/>
    </row>
    <row r="114" spans="1:3" x14ac:dyDescent="0.25">
      <c r="A114" s="11" t="s">
        <v>521</v>
      </c>
      <c r="B114" s="372">
        <v>100</v>
      </c>
      <c r="C114">
        <v>1</v>
      </c>
    </row>
    <row r="115" spans="1:3" x14ac:dyDescent="0.25">
      <c r="A115" s="11" t="s">
        <v>2779</v>
      </c>
      <c r="B115" s="372">
        <v>95</v>
      </c>
      <c r="C115">
        <v>2</v>
      </c>
    </row>
    <row r="116" spans="1:3" x14ac:dyDescent="0.25">
      <c r="A116" s="11" t="s">
        <v>2728</v>
      </c>
      <c r="B116" s="372">
        <v>95</v>
      </c>
      <c r="C116">
        <v>2</v>
      </c>
    </row>
    <row r="117" spans="1:3" x14ac:dyDescent="0.25">
      <c r="A117" s="11" t="s">
        <v>514</v>
      </c>
      <c r="B117" s="372">
        <v>95</v>
      </c>
      <c r="C117">
        <v>1</v>
      </c>
    </row>
    <row r="118" spans="1:3" x14ac:dyDescent="0.25">
      <c r="A118" s="11" t="s">
        <v>2282</v>
      </c>
      <c r="B118" s="372">
        <v>120</v>
      </c>
      <c r="C118">
        <v>1</v>
      </c>
    </row>
    <row r="119" spans="1:3" x14ac:dyDescent="0.25">
      <c r="A119" s="11" t="s">
        <v>2283</v>
      </c>
      <c r="B119" s="372">
        <v>120</v>
      </c>
      <c r="C119">
        <v>1</v>
      </c>
    </row>
    <row r="120" spans="1:3" x14ac:dyDescent="0.25">
      <c r="A120" s="11" t="s">
        <v>677</v>
      </c>
      <c r="B120" s="372">
        <v>65</v>
      </c>
      <c r="C120">
        <v>1</v>
      </c>
    </row>
    <row r="121" spans="1:3" x14ac:dyDescent="0.25">
      <c r="A121" s="11" t="s">
        <v>518</v>
      </c>
      <c r="B121" s="372"/>
    </row>
    <row r="122" spans="1:3" x14ac:dyDescent="0.25">
      <c r="A122" s="11" t="s">
        <v>2353</v>
      </c>
      <c r="B122" s="372"/>
    </row>
    <row r="123" spans="1:3" x14ac:dyDescent="0.25">
      <c r="A123" s="11" t="s">
        <v>2727</v>
      </c>
      <c r="B123" s="372">
        <v>75</v>
      </c>
      <c r="C123">
        <v>1</v>
      </c>
    </row>
    <row r="124" spans="1:3" x14ac:dyDescent="0.25">
      <c r="A124" s="11" t="s">
        <v>442</v>
      </c>
      <c r="B124" s="372"/>
    </row>
    <row r="125" spans="1:3" x14ac:dyDescent="0.25">
      <c r="A125" s="11" t="s">
        <v>1293</v>
      </c>
      <c r="B125" s="372">
        <v>195</v>
      </c>
      <c r="C125">
        <v>1</v>
      </c>
    </row>
    <row r="126" spans="1:3" x14ac:dyDescent="0.25">
      <c r="A126" s="11" t="s">
        <v>2585</v>
      </c>
      <c r="B126" s="372"/>
    </row>
    <row r="127" spans="1:3" x14ac:dyDescent="0.25">
      <c r="A127" s="11" t="s">
        <v>2584</v>
      </c>
      <c r="B127" s="372"/>
    </row>
    <row r="128" spans="1:3" x14ac:dyDescent="0.25">
      <c r="A128" s="11" t="s">
        <v>735</v>
      </c>
      <c r="B128" s="372">
        <v>125</v>
      </c>
      <c r="C128">
        <v>3</v>
      </c>
    </row>
    <row r="129" spans="1:3" x14ac:dyDescent="0.25">
      <c r="A129" s="11" t="s">
        <v>695</v>
      </c>
      <c r="B129" s="372">
        <v>150</v>
      </c>
      <c r="C129">
        <v>8</v>
      </c>
    </row>
    <row r="130" spans="1:3" x14ac:dyDescent="0.25">
      <c r="A130" s="11" t="s">
        <v>2817</v>
      </c>
      <c r="B130" s="372">
        <v>91.666666666666671</v>
      </c>
      <c r="C130">
        <v>18</v>
      </c>
    </row>
    <row r="131" spans="1:3" x14ac:dyDescent="0.25">
      <c r="A131" s="11" t="s">
        <v>2818</v>
      </c>
      <c r="B131" s="372">
        <v>98.611111111111114</v>
      </c>
      <c r="C131">
        <v>18</v>
      </c>
    </row>
    <row r="132" spans="1:3" x14ac:dyDescent="0.25">
      <c r="A132" s="11" t="s">
        <v>2644</v>
      </c>
      <c r="B132" s="372"/>
    </row>
    <row r="133" spans="1:3" x14ac:dyDescent="0.25">
      <c r="A133" s="11" t="s">
        <v>41</v>
      </c>
      <c r="B133" s="372">
        <v>225</v>
      </c>
      <c r="C133">
        <v>1</v>
      </c>
    </row>
    <row r="134" spans="1:3" x14ac:dyDescent="0.25">
      <c r="A134" s="11" t="s">
        <v>2690</v>
      </c>
      <c r="B134" s="372">
        <v>195</v>
      </c>
      <c r="C134">
        <v>1</v>
      </c>
    </row>
    <row r="135" spans="1:3" x14ac:dyDescent="0.25">
      <c r="A135" s="11" t="s">
        <v>491</v>
      </c>
      <c r="B135" s="372">
        <v>50</v>
      </c>
      <c r="C135">
        <v>1</v>
      </c>
    </row>
    <row r="136" spans="1:3" x14ac:dyDescent="0.25">
      <c r="A136" s="11" t="s">
        <v>445</v>
      </c>
      <c r="B136" s="372">
        <v>48</v>
      </c>
      <c r="C136">
        <v>1</v>
      </c>
    </row>
    <row r="137" spans="1:3" x14ac:dyDescent="0.25">
      <c r="A137" s="11" t="s">
        <v>2593</v>
      </c>
      <c r="B137" s="372">
        <v>160</v>
      </c>
      <c r="C137">
        <v>1</v>
      </c>
    </row>
    <row r="138" spans="1:3" x14ac:dyDescent="0.25">
      <c r="A138" s="11" t="s">
        <v>2820</v>
      </c>
      <c r="B138" s="372">
        <v>75</v>
      </c>
      <c r="C138">
        <v>1</v>
      </c>
    </row>
    <row r="139" spans="1:3" x14ac:dyDescent="0.25">
      <c r="A139" s="11" t="s">
        <v>2500</v>
      </c>
      <c r="B139" s="372">
        <v>60</v>
      </c>
      <c r="C139">
        <v>1</v>
      </c>
    </row>
    <row r="140" spans="1:3" x14ac:dyDescent="0.25">
      <c r="A140" s="11" t="s">
        <v>2592</v>
      </c>
      <c r="B140" s="372">
        <v>40</v>
      </c>
      <c r="C140">
        <v>1</v>
      </c>
    </row>
    <row r="141" spans="1:3" x14ac:dyDescent="0.25">
      <c r="A141" s="11" t="s">
        <v>830</v>
      </c>
      <c r="B141" s="372">
        <v>1431.6666666666667</v>
      </c>
      <c r="C141">
        <v>3</v>
      </c>
    </row>
    <row r="142" spans="1:3" x14ac:dyDescent="0.25">
      <c r="A142" s="11" t="s">
        <v>831</v>
      </c>
      <c r="B142" s="372">
        <v>1431.6666666666667</v>
      </c>
      <c r="C142">
        <v>3</v>
      </c>
    </row>
    <row r="143" spans="1:3" x14ac:dyDescent="0.25">
      <c r="A143" s="11" t="s">
        <v>2192</v>
      </c>
      <c r="B143" s="372">
        <v>200</v>
      </c>
      <c r="C143">
        <v>1</v>
      </c>
    </row>
    <row r="144" spans="1:3" x14ac:dyDescent="0.25">
      <c r="A144" s="11" t="s">
        <v>2193</v>
      </c>
      <c r="B144" s="372">
        <v>50</v>
      </c>
      <c r="C144">
        <v>1</v>
      </c>
    </row>
    <row r="145" spans="1:3" x14ac:dyDescent="0.25">
      <c r="A145" s="11" t="s">
        <v>2837</v>
      </c>
      <c r="B145" s="372">
        <v>155</v>
      </c>
      <c r="C145">
        <v>2</v>
      </c>
    </row>
    <row r="146" spans="1:3" x14ac:dyDescent="0.25">
      <c r="A146" s="11" t="s">
        <v>2836</v>
      </c>
      <c r="B146" s="372">
        <v>145</v>
      </c>
      <c r="C146">
        <v>2</v>
      </c>
    </row>
    <row r="147" spans="1:3" x14ac:dyDescent="0.25">
      <c r="A147" s="11" t="s">
        <v>1275</v>
      </c>
      <c r="B147" s="372">
        <v>181.25</v>
      </c>
      <c r="C147">
        <v>4</v>
      </c>
    </row>
    <row r="148" spans="1:3" x14ac:dyDescent="0.25">
      <c r="A148" s="11" t="s">
        <v>1193</v>
      </c>
      <c r="B148" s="372">
        <v>75</v>
      </c>
      <c r="C148">
        <v>1</v>
      </c>
    </row>
    <row r="149" spans="1:3" x14ac:dyDescent="0.25">
      <c r="A149" s="11" t="s">
        <v>1194</v>
      </c>
      <c r="B149" s="372">
        <v>75</v>
      </c>
      <c r="C149">
        <v>1</v>
      </c>
    </row>
    <row r="150" spans="1:3" x14ac:dyDescent="0.25">
      <c r="A150" s="11" t="s">
        <v>1195</v>
      </c>
      <c r="B150" s="372">
        <v>75</v>
      </c>
      <c r="C150">
        <v>1</v>
      </c>
    </row>
    <row r="151" spans="1:3" x14ac:dyDescent="0.25">
      <c r="A151" s="11" t="s">
        <v>1196</v>
      </c>
      <c r="B151" s="372">
        <v>75</v>
      </c>
      <c r="C151">
        <v>1</v>
      </c>
    </row>
    <row r="152" spans="1:3" x14ac:dyDescent="0.25">
      <c r="A152" s="11" t="s">
        <v>452</v>
      </c>
      <c r="B152" s="372"/>
    </row>
    <row r="153" spans="1:3" x14ac:dyDescent="0.25">
      <c r="A153" s="11" t="s">
        <v>2821</v>
      </c>
      <c r="B153" s="372">
        <v>110</v>
      </c>
      <c r="C153">
        <v>3</v>
      </c>
    </row>
    <row r="154" spans="1:3" x14ac:dyDescent="0.25">
      <c r="A154" s="11" t="s">
        <v>2822</v>
      </c>
      <c r="B154" s="372">
        <v>67</v>
      </c>
      <c r="C154">
        <v>2</v>
      </c>
    </row>
    <row r="155" spans="1:3" x14ac:dyDescent="0.25">
      <c r="A155" s="11" t="s">
        <v>2562</v>
      </c>
      <c r="B155" s="372"/>
    </row>
    <row r="156" spans="1:3" x14ac:dyDescent="0.25">
      <c r="A156" s="11" t="s">
        <v>1185</v>
      </c>
      <c r="B156" s="372">
        <v>94</v>
      </c>
      <c r="C156">
        <v>1</v>
      </c>
    </row>
    <row r="157" spans="1:3" x14ac:dyDescent="0.25">
      <c r="A157" s="11" t="s">
        <v>2563</v>
      </c>
      <c r="B157" s="372"/>
    </row>
    <row r="158" spans="1:3" x14ac:dyDescent="0.25">
      <c r="A158" s="11" t="s">
        <v>2741</v>
      </c>
      <c r="B158" s="372">
        <v>75</v>
      </c>
      <c r="C158">
        <v>1</v>
      </c>
    </row>
    <row r="159" spans="1:3" x14ac:dyDescent="0.25">
      <c r="A159" s="11" t="s">
        <v>2573</v>
      </c>
      <c r="B159" s="372">
        <v>80</v>
      </c>
      <c r="C159">
        <v>1</v>
      </c>
    </row>
    <row r="160" spans="1:3" x14ac:dyDescent="0.25">
      <c r="A160" s="11" t="s">
        <v>460</v>
      </c>
      <c r="B160" s="372"/>
    </row>
    <row r="161" spans="1:3" x14ac:dyDescent="0.25">
      <c r="A161" s="11" t="s">
        <v>1253</v>
      </c>
      <c r="B161" s="372">
        <v>237.5</v>
      </c>
      <c r="C161">
        <v>2</v>
      </c>
    </row>
    <row r="162" spans="1:3" x14ac:dyDescent="0.25">
      <c r="A162" s="11" t="s">
        <v>474</v>
      </c>
      <c r="B162" s="372" t="e">
        <v>#DIV/0!</v>
      </c>
      <c r="C162">
        <v>1</v>
      </c>
    </row>
    <row r="163" spans="1:3" x14ac:dyDescent="0.25">
      <c r="A163" s="11" t="s">
        <v>666</v>
      </c>
      <c r="B163" s="372">
        <v>62</v>
      </c>
      <c r="C163">
        <v>2</v>
      </c>
    </row>
    <row r="164" spans="1:3" x14ac:dyDescent="0.25">
      <c r="A164" s="11" t="s">
        <v>2807</v>
      </c>
      <c r="B164" s="372">
        <v>75</v>
      </c>
      <c r="C164">
        <v>1</v>
      </c>
    </row>
    <row r="165" spans="1:3" x14ac:dyDescent="0.25">
      <c r="A165" s="11" t="s">
        <v>2808</v>
      </c>
      <c r="B165" s="372">
        <v>125</v>
      </c>
      <c r="C165">
        <v>3</v>
      </c>
    </row>
    <row r="166" spans="1:3" x14ac:dyDescent="0.25">
      <c r="A166" s="11" t="s">
        <v>515</v>
      </c>
      <c r="B166" s="372">
        <v>90</v>
      </c>
      <c r="C166">
        <v>1</v>
      </c>
    </row>
    <row r="167" spans="1:3" x14ac:dyDescent="0.25">
      <c r="A167" s="11" t="s">
        <v>2219</v>
      </c>
      <c r="B167" s="372">
        <v>100</v>
      </c>
      <c r="C167">
        <v>1</v>
      </c>
    </row>
    <row r="168" spans="1:3" x14ac:dyDescent="0.25">
      <c r="A168" s="11" t="s">
        <v>2220</v>
      </c>
      <c r="B168" s="372">
        <v>100</v>
      </c>
      <c r="C168">
        <v>1</v>
      </c>
    </row>
    <row r="169" spans="1:3" x14ac:dyDescent="0.25">
      <c r="A169" s="11" t="s">
        <v>2169</v>
      </c>
      <c r="B169" s="372">
        <v>64.5</v>
      </c>
      <c r="C169">
        <v>2</v>
      </c>
    </row>
    <row r="170" spans="1:3" x14ac:dyDescent="0.25">
      <c r="A170" s="11" t="s">
        <v>1333</v>
      </c>
      <c r="B170" s="372">
        <v>150</v>
      </c>
      <c r="C170">
        <v>1</v>
      </c>
    </row>
    <row r="171" spans="1:3" x14ac:dyDescent="0.25">
      <c r="A171" s="11" t="s">
        <v>2285</v>
      </c>
      <c r="B171" s="372">
        <v>75</v>
      </c>
      <c r="C171">
        <v>1</v>
      </c>
    </row>
    <row r="172" spans="1:3" x14ac:dyDescent="0.25">
      <c r="A172" s="11" t="s">
        <v>2287</v>
      </c>
      <c r="B172" s="372">
        <v>75</v>
      </c>
      <c r="C172">
        <v>1</v>
      </c>
    </row>
    <row r="173" spans="1:3" x14ac:dyDescent="0.25">
      <c r="A173" s="11" t="s">
        <v>854</v>
      </c>
      <c r="B173" s="372">
        <v>75</v>
      </c>
      <c r="C173">
        <v>1</v>
      </c>
    </row>
    <row r="174" spans="1:3" x14ac:dyDescent="0.25">
      <c r="A174" s="11" t="s">
        <v>2525</v>
      </c>
      <c r="B174" s="372">
        <v>58</v>
      </c>
      <c r="C174">
        <v>1</v>
      </c>
    </row>
    <row r="175" spans="1:3" x14ac:dyDescent="0.25">
      <c r="A175" s="11" t="s">
        <v>457</v>
      </c>
      <c r="B175" s="372" t="e">
        <v>#DIV/0!</v>
      </c>
      <c r="C175">
        <v>1</v>
      </c>
    </row>
    <row r="176" spans="1:3" x14ac:dyDescent="0.25">
      <c r="A176" s="11" t="s">
        <v>2279</v>
      </c>
      <c r="B176" s="372"/>
    </row>
    <row r="177" spans="1:3" x14ac:dyDescent="0.25">
      <c r="A177" s="11" t="s">
        <v>502</v>
      </c>
      <c r="B177" s="372">
        <v>150</v>
      </c>
      <c r="C177">
        <v>1</v>
      </c>
    </row>
    <row r="178" spans="1:3" x14ac:dyDescent="0.25">
      <c r="A178" s="11" t="s">
        <v>503</v>
      </c>
      <c r="B178" s="372">
        <v>45</v>
      </c>
      <c r="C178">
        <v>1</v>
      </c>
    </row>
    <row r="179" spans="1:3" x14ac:dyDescent="0.25">
      <c r="A179" s="11" t="s">
        <v>2654</v>
      </c>
      <c r="B179" s="372"/>
    </row>
    <row r="180" spans="1:3" x14ac:dyDescent="0.25">
      <c r="A180" s="11" t="s">
        <v>2555</v>
      </c>
      <c r="B180" s="372"/>
    </row>
    <row r="181" spans="1:3" x14ac:dyDescent="0.25">
      <c r="A181" s="11" t="s">
        <v>2612</v>
      </c>
      <c r="B181" s="372"/>
    </row>
    <row r="182" spans="1:3" x14ac:dyDescent="0.25">
      <c r="A182" s="11" t="s">
        <v>286</v>
      </c>
      <c r="B182" s="372"/>
    </row>
    <row r="183" spans="1:3" x14ac:dyDescent="0.25">
      <c r="A183" s="11" t="s">
        <v>519</v>
      </c>
      <c r="B183" s="372"/>
    </row>
    <row r="184" spans="1:3" x14ac:dyDescent="0.25">
      <c r="A184" s="11" t="s">
        <v>2583</v>
      </c>
      <c r="B184" s="372"/>
    </row>
    <row r="185" spans="1:3" x14ac:dyDescent="0.25">
      <c r="A185" s="11" t="s">
        <v>1350</v>
      </c>
      <c r="B185" s="372">
        <v>790</v>
      </c>
      <c r="C185">
        <v>10</v>
      </c>
    </row>
    <row r="186" spans="1:3" x14ac:dyDescent="0.25">
      <c r="A186" s="11" t="s">
        <v>1349</v>
      </c>
      <c r="B186" s="372">
        <v>790</v>
      </c>
      <c r="C186">
        <v>10</v>
      </c>
    </row>
    <row r="187" spans="1:3" x14ac:dyDescent="0.25">
      <c r="A187" s="11" t="s">
        <v>785</v>
      </c>
      <c r="B187" s="372">
        <v>68</v>
      </c>
      <c r="C187">
        <v>4</v>
      </c>
    </row>
    <row r="188" spans="1:3" x14ac:dyDescent="0.25">
      <c r="A188" s="11" t="s">
        <v>475</v>
      </c>
      <c r="B188" s="372">
        <v>995</v>
      </c>
      <c r="C188">
        <v>1</v>
      </c>
    </row>
    <row r="189" spans="1:3" x14ac:dyDescent="0.25">
      <c r="A189" s="11" t="s">
        <v>2505</v>
      </c>
      <c r="B189" s="372">
        <v>98</v>
      </c>
      <c r="C189">
        <v>1</v>
      </c>
    </row>
    <row r="190" spans="1:3" x14ac:dyDescent="0.25">
      <c r="A190" s="11" t="s">
        <v>444</v>
      </c>
      <c r="B190" s="372">
        <v>580</v>
      </c>
      <c r="C190">
        <v>3</v>
      </c>
    </row>
    <row r="191" spans="1:3" x14ac:dyDescent="0.25">
      <c r="A191" s="11" t="s">
        <v>2656</v>
      </c>
      <c r="B191" s="372"/>
    </row>
    <row r="192" spans="1:3" x14ac:dyDescent="0.25">
      <c r="A192" s="11" t="s">
        <v>87</v>
      </c>
      <c r="B192" s="372">
        <v>750</v>
      </c>
      <c r="C192">
        <v>1</v>
      </c>
    </row>
    <row r="193" spans="1:3" x14ac:dyDescent="0.25">
      <c r="A193" s="11" t="s">
        <v>2314</v>
      </c>
      <c r="B193" s="372">
        <v>200</v>
      </c>
      <c r="C193">
        <v>1</v>
      </c>
    </row>
    <row r="194" spans="1:3" x14ac:dyDescent="0.25">
      <c r="A194" s="11" t="s">
        <v>2313</v>
      </c>
      <c r="B194" s="372">
        <v>500</v>
      </c>
      <c r="C194">
        <v>1</v>
      </c>
    </row>
    <row r="195" spans="1:3" x14ac:dyDescent="0.25">
      <c r="A195" s="11" t="s">
        <v>38</v>
      </c>
      <c r="B195" s="372"/>
    </row>
    <row r="196" spans="1:3" x14ac:dyDescent="0.25">
      <c r="A196" s="11" t="s">
        <v>516</v>
      </c>
      <c r="B196" s="372">
        <v>55</v>
      </c>
      <c r="C196">
        <v>1</v>
      </c>
    </row>
    <row r="197" spans="1:3" x14ac:dyDescent="0.25">
      <c r="A197" s="11" t="s">
        <v>389</v>
      </c>
      <c r="B197" s="372">
        <v>100</v>
      </c>
      <c r="C197">
        <v>1</v>
      </c>
    </row>
    <row r="198" spans="1:3" x14ac:dyDescent="0.25">
      <c r="A198" s="11" t="s">
        <v>2309</v>
      </c>
      <c r="B198" s="372">
        <v>95</v>
      </c>
      <c r="C198">
        <v>1</v>
      </c>
    </row>
    <row r="199" spans="1:3" x14ac:dyDescent="0.25">
      <c r="A199" s="11" t="s">
        <v>2356</v>
      </c>
      <c r="B199" s="372">
        <v>60</v>
      </c>
      <c r="C199">
        <v>1</v>
      </c>
    </row>
    <row r="200" spans="1:3" x14ac:dyDescent="0.25">
      <c r="A200" s="11" t="s">
        <v>2809</v>
      </c>
      <c r="B200" s="372">
        <v>97.5</v>
      </c>
      <c r="C200">
        <v>2</v>
      </c>
    </row>
    <row r="201" spans="1:3" x14ac:dyDescent="0.25">
      <c r="A201" s="11" t="s">
        <v>495</v>
      </c>
      <c r="B201" s="372">
        <v>60</v>
      </c>
      <c r="C201">
        <v>1</v>
      </c>
    </row>
    <row r="202" spans="1:3" x14ac:dyDescent="0.25">
      <c r="A202" s="11" t="s">
        <v>2514</v>
      </c>
      <c r="B202" s="372">
        <v>180</v>
      </c>
      <c r="C202">
        <v>3</v>
      </c>
    </row>
    <row r="203" spans="1:3" x14ac:dyDescent="0.25">
      <c r="A203" s="11" t="s">
        <v>2516</v>
      </c>
      <c r="B203" s="372">
        <v>158.33333333333334</v>
      </c>
      <c r="C203">
        <v>3</v>
      </c>
    </row>
    <row r="204" spans="1:3" x14ac:dyDescent="0.25">
      <c r="A204" s="11" t="s">
        <v>441</v>
      </c>
      <c r="B204" s="372"/>
    </row>
    <row r="205" spans="1:3" x14ac:dyDescent="0.25">
      <c r="A205" s="11" t="s">
        <v>2670</v>
      </c>
      <c r="B205" s="372">
        <v>432.77777777777777</v>
      </c>
      <c r="C205">
        <v>9</v>
      </c>
    </row>
    <row r="206" spans="1:3" x14ac:dyDescent="0.25">
      <c r="A206" s="11" t="s">
        <v>2657</v>
      </c>
      <c r="B206" s="372"/>
    </row>
    <row r="207" spans="1:3" x14ac:dyDescent="0.25">
      <c r="A207" s="11" t="s">
        <v>2611</v>
      </c>
      <c r="B207" s="372"/>
    </row>
    <row r="208" spans="1:3" x14ac:dyDescent="0.25">
      <c r="A208" s="11" t="s">
        <v>436</v>
      </c>
      <c r="B208" s="372">
        <v>130</v>
      </c>
      <c r="C208">
        <v>1</v>
      </c>
    </row>
    <row r="209" spans="1:3" x14ac:dyDescent="0.25">
      <c r="A209" s="11" t="s">
        <v>659</v>
      </c>
      <c r="B209" s="372">
        <v>300</v>
      </c>
      <c r="C209">
        <v>3</v>
      </c>
    </row>
    <row r="210" spans="1:3" x14ac:dyDescent="0.25">
      <c r="A210" s="11" t="s">
        <v>1302</v>
      </c>
      <c r="B210" s="372">
        <v>346.66666666666669</v>
      </c>
      <c r="C210">
        <v>3</v>
      </c>
    </row>
    <row r="211" spans="1:3" x14ac:dyDescent="0.25">
      <c r="A211" s="11" t="s">
        <v>2546</v>
      </c>
      <c r="B211" s="372"/>
    </row>
    <row r="212" spans="1:3" x14ac:dyDescent="0.25">
      <c r="A212" s="11" t="s">
        <v>2787</v>
      </c>
      <c r="B212" s="372">
        <v>225</v>
      </c>
      <c r="C212">
        <v>2</v>
      </c>
    </row>
    <row r="213" spans="1:3" x14ac:dyDescent="0.25">
      <c r="A213" s="11" t="s">
        <v>455</v>
      </c>
      <c r="B213" s="372">
        <v>383.33333333333331</v>
      </c>
      <c r="C213">
        <v>3</v>
      </c>
    </row>
    <row r="214" spans="1:3" x14ac:dyDescent="0.25">
      <c r="A214" s="11" t="s">
        <v>493</v>
      </c>
      <c r="B214" s="372">
        <v>45</v>
      </c>
      <c r="C214">
        <v>1</v>
      </c>
    </row>
    <row r="215" spans="1:3" x14ac:dyDescent="0.25">
      <c r="A215" s="11" t="s">
        <v>2597</v>
      </c>
      <c r="B215" s="372">
        <v>49</v>
      </c>
      <c r="C215">
        <v>1</v>
      </c>
    </row>
    <row r="216" spans="1:3" x14ac:dyDescent="0.25">
      <c r="A216" s="11" t="s">
        <v>2068</v>
      </c>
      <c r="B216" s="372">
        <v>175</v>
      </c>
      <c r="C216">
        <v>1</v>
      </c>
    </row>
    <row r="217" spans="1:3" x14ac:dyDescent="0.25">
      <c r="A217" s="11" t="s">
        <v>2581</v>
      </c>
      <c r="B217" s="372"/>
    </row>
    <row r="218" spans="1:3" x14ac:dyDescent="0.25">
      <c r="A218" s="11" t="s">
        <v>2556</v>
      </c>
      <c r="B218" s="372"/>
    </row>
    <row r="219" spans="1:3" x14ac:dyDescent="0.25">
      <c r="A219" s="11" t="s">
        <v>2558</v>
      </c>
      <c r="B219" s="372"/>
    </row>
    <row r="220" spans="1:3" x14ac:dyDescent="0.25">
      <c r="A220" s="11" t="s">
        <v>2554</v>
      </c>
      <c r="B220" s="372">
        <v>350</v>
      </c>
      <c r="C220">
        <v>1</v>
      </c>
    </row>
    <row r="221" spans="1:3" x14ac:dyDescent="0.25">
      <c r="A221" s="11" t="s">
        <v>2183</v>
      </c>
      <c r="B221" s="372">
        <v>350</v>
      </c>
      <c r="C221">
        <v>1</v>
      </c>
    </row>
    <row r="222" spans="1:3" x14ac:dyDescent="0.25">
      <c r="A222" s="11" t="s">
        <v>2184</v>
      </c>
      <c r="B222" s="372">
        <v>350</v>
      </c>
      <c r="C222">
        <v>1</v>
      </c>
    </row>
    <row r="223" spans="1:3" x14ac:dyDescent="0.25">
      <c r="A223" s="11" t="s">
        <v>2750</v>
      </c>
      <c r="B223" s="372">
        <v>80</v>
      </c>
      <c r="C223">
        <v>2</v>
      </c>
    </row>
    <row r="224" spans="1:3" x14ac:dyDescent="0.25">
      <c r="A224" s="11" t="s">
        <v>1221</v>
      </c>
      <c r="B224" s="372">
        <v>180</v>
      </c>
      <c r="C224">
        <v>1</v>
      </c>
    </row>
    <row r="225" spans="1:3" x14ac:dyDescent="0.25">
      <c r="A225" s="11" t="s">
        <v>1223</v>
      </c>
      <c r="B225" s="372">
        <v>125</v>
      </c>
      <c r="C225">
        <v>1</v>
      </c>
    </row>
    <row r="226" spans="1:3" x14ac:dyDescent="0.25">
      <c r="A226" s="11" t="s">
        <v>2832</v>
      </c>
      <c r="B226" s="372">
        <v>150</v>
      </c>
      <c r="C226">
        <v>1</v>
      </c>
    </row>
    <row r="227" spans="1:3" x14ac:dyDescent="0.25">
      <c r="A227" s="11" t="s">
        <v>2833</v>
      </c>
      <c r="B227" s="372">
        <v>150</v>
      </c>
      <c r="C227">
        <v>1</v>
      </c>
    </row>
    <row r="228" spans="1:3" x14ac:dyDescent="0.25">
      <c r="A228" s="11" t="s">
        <v>1260</v>
      </c>
      <c r="B228" s="372"/>
    </row>
    <row r="229" spans="1:3" x14ac:dyDescent="0.25">
      <c r="A229" s="11" t="s">
        <v>1261</v>
      </c>
      <c r="B229" s="372"/>
    </row>
    <row r="230" spans="1:3" x14ac:dyDescent="0.25">
      <c r="A230" s="11" t="s">
        <v>468</v>
      </c>
      <c r="B230" s="372"/>
    </row>
    <row r="231" spans="1:3" x14ac:dyDescent="0.25">
      <c r="A231" s="11" t="s">
        <v>2622</v>
      </c>
      <c r="B231" s="372"/>
    </row>
    <row r="232" spans="1:3" x14ac:dyDescent="0.25">
      <c r="A232" s="11" t="s">
        <v>419</v>
      </c>
      <c r="B232" s="372">
        <v>250</v>
      </c>
      <c r="C232">
        <v>1</v>
      </c>
    </row>
    <row r="233" spans="1:3" x14ac:dyDescent="0.25">
      <c r="A233" s="11" t="s">
        <v>420</v>
      </c>
      <c r="B233" s="372">
        <v>225</v>
      </c>
      <c r="C233">
        <v>1</v>
      </c>
    </row>
    <row r="234" spans="1:3" x14ac:dyDescent="0.25">
      <c r="A234" s="11" t="s">
        <v>422</v>
      </c>
      <c r="B234" s="372">
        <v>175</v>
      </c>
      <c r="C234">
        <v>1</v>
      </c>
    </row>
    <row r="235" spans="1:3" x14ac:dyDescent="0.25">
      <c r="A235" s="11" t="s">
        <v>421</v>
      </c>
      <c r="B235" s="372">
        <v>175</v>
      </c>
      <c r="C235">
        <v>1</v>
      </c>
    </row>
    <row r="236" spans="1:3" x14ac:dyDescent="0.25">
      <c r="A236" s="11" t="s">
        <v>1338</v>
      </c>
      <c r="B236" s="372">
        <v>325</v>
      </c>
      <c r="C236">
        <v>1</v>
      </c>
    </row>
    <row r="237" spans="1:3" x14ac:dyDescent="0.25">
      <c r="A237" s="11" t="s">
        <v>1335</v>
      </c>
      <c r="B237" s="372">
        <v>230</v>
      </c>
      <c r="C237">
        <v>1</v>
      </c>
    </row>
    <row r="238" spans="1:3" x14ac:dyDescent="0.25">
      <c r="A238" s="11" t="s">
        <v>1247</v>
      </c>
      <c r="B238" s="372">
        <v>80</v>
      </c>
      <c r="C238">
        <v>1</v>
      </c>
    </row>
    <row r="239" spans="1:3" x14ac:dyDescent="0.25">
      <c r="A239" s="11" t="s">
        <v>1246</v>
      </c>
      <c r="B239" s="372">
        <v>80</v>
      </c>
      <c r="C239">
        <v>1</v>
      </c>
    </row>
    <row r="240" spans="1:3" x14ac:dyDescent="0.25">
      <c r="A240" s="11" t="s">
        <v>1244</v>
      </c>
      <c r="B240" s="372">
        <v>250</v>
      </c>
      <c r="C240">
        <v>2</v>
      </c>
    </row>
    <row r="241" spans="1:3" x14ac:dyDescent="0.25">
      <c r="A241" s="11" t="s">
        <v>1243</v>
      </c>
      <c r="B241" s="372">
        <v>200</v>
      </c>
      <c r="C241">
        <v>2</v>
      </c>
    </row>
    <row r="242" spans="1:3" x14ac:dyDescent="0.25">
      <c r="A242" s="11" t="s">
        <v>2147</v>
      </c>
      <c r="B242" s="372">
        <v>80</v>
      </c>
      <c r="C242">
        <v>1</v>
      </c>
    </row>
    <row r="243" spans="1:3" x14ac:dyDescent="0.25">
      <c r="A243" s="11" t="s">
        <v>2501</v>
      </c>
      <c r="B243" s="372">
        <v>100</v>
      </c>
      <c r="C243">
        <v>1</v>
      </c>
    </row>
    <row r="244" spans="1:3" x14ac:dyDescent="0.25">
      <c r="A244" s="11" t="s">
        <v>2559</v>
      </c>
      <c r="B244" s="372"/>
    </row>
    <row r="245" spans="1:3" x14ac:dyDescent="0.25">
      <c r="A245" s="11" t="s">
        <v>1361</v>
      </c>
      <c r="B245" s="372">
        <v>225</v>
      </c>
      <c r="C245">
        <v>4</v>
      </c>
    </row>
    <row r="246" spans="1:3" x14ac:dyDescent="0.25">
      <c r="A246" s="11" t="s">
        <v>2506</v>
      </c>
      <c r="B246" s="372">
        <v>473.88888888888891</v>
      </c>
      <c r="C246">
        <v>18</v>
      </c>
    </row>
    <row r="247" spans="1:3" x14ac:dyDescent="0.25">
      <c r="A247" s="11" t="s">
        <v>2626</v>
      </c>
      <c r="B247" s="372">
        <v>350</v>
      </c>
      <c r="C247">
        <v>1</v>
      </c>
    </row>
    <row r="248" spans="1:3" x14ac:dyDescent="0.25">
      <c r="A248" s="11" t="s">
        <v>2627</v>
      </c>
      <c r="B248" s="372">
        <v>350</v>
      </c>
      <c r="C248">
        <v>1</v>
      </c>
    </row>
    <row r="249" spans="1:3" x14ac:dyDescent="0.25">
      <c r="A249" s="11" t="s">
        <v>2628</v>
      </c>
      <c r="B249" s="372">
        <v>160</v>
      </c>
      <c r="C249">
        <v>1</v>
      </c>
    </row>
    <row r="250" spans="1:3" x14ac:dyDescent="0.25">
      <c r="A250" s="11" t="s">
        <v>2580</v>
      </c>
      <c r="B250" s="372"/>
    </row>
    <row r="251" spans="1:3" x14ac:dyDescent="0.25">
      <c r="A251" s="11" t="s">
        <v>2615</v>
      </c>
      <c r="B251" s="372"/>
    </row>
    <row r="252" spans="1:3" x14ac:dyDescent="0.25">
      <c r="A252" s="11" t="s">
        <v>2619</v>
      </c>
      <c r="B252" s="372" t="e">
        <v>#DIV/0!</v>
      </c>
      <c r="C252">
        <v>1</v>
      </c>
    </row>
    <row r="253" spans="1:3" x14ac:dyDescent="0.25">
      <c r="A253" s="11" t="s">
        <v>2618</v>
      </c>
      <c r="B253" s="372">
        <v>450</v>
      </c>
      <c r="C253">
        <v>1</v>
      </c>
    </row>
    <row r="254" spans="1:3" x14ac:dyDescent="0.25">
      <c r="A254" s="11" t="s">
        <v>797</v>
      </c>
      <c r="B254" s="372">
        <v>315.5</v>
      </c>
      <c r="C254">
        <v>10</v>
      </c>
    </row>
    <row r="255" spans="1:3" x14ac:dyDescent="0.25">
      <c r="A255" s="11" t="s">
        <v>2579</v>
      </c>
      <c r="B255" s="372"/>
    </row>
    <row r="256" spans="1:3" x14ac:dyDescent="0.25">
      <c r="A256" s="11" t="s">
        <v>2642</v>
      </c>
      <c r="B256" s="372"/>
    </row>
    <row r="257" spans="1:3" x14ac:dyDescent="0.25">
      <c r="A257" s="11" t="s">
        <v>680</v>
      </c>
      <c r="B257" s="372">
        <v>125</v>
      </c>
      <c r="C257">
        <v>1</v>
      </c>
    </row>
    <row r="258" spans="1:3" x14ac:dyDescent="0.25">
      <c r="A258" s="11" t="s">
        <v>2560</v>
      </c>
      <c r="B258" s="372"/>
    </row>
    <row r="259" spans="1:3" x14ac:dyDescent="0.25">
      <c r="A259" s="11" t="s">
        <v>1309</v>
      </c>
      <c r="B259" s="372">
        <v>595</v>
      </c>
      <c r="C259">
        <v>1</v>
      </c>
    </row>
    <row r="260" spans="1:3" x14ac:dyDescent="0.25">
      <c r="A260" s="11" t="s">
        <v>1321</v>
      </c>
      <c r="B260" s="372">
        <v>80</v>
      </c>
      <c r="C260">
        <v>1</v>
      </c>
    </row>
    <row r="261" spans="1:3" x14ac:dyDescent="0.25">
      <c r="A261" s="11" t="s">
        <v>1322</v>
      </c>
      <c r="B261" s="372">
        <v>80</v>
      </c>
      <c r="C261">
        <v>1</v>
      </c>
    </row>
    <row r="262" spans="1:3" x14ac:dyDescent="0.25">
      <c r="A262" s="11" t="s">
        <v>2507</v>
      </c>
      <c r="B262" s="372">
        <v>200</v>
      </c>
      <c r="C262">
        <v>1</v>
      </c>
    </row>
    <row r="263" spans="1:3" x14ac:dyDescent="0.25">
      <c r="A263" s="11" t="s">
        <v>86</v>
      </c>
      <c r="B263" s="372"/>
    </row>
    <row r="264" spans="1:3" x14ac:dyDescent="0.25">
      <c r="A264" s="11" t="s">
        <v>2578</v>
      </c>
      <c r="B264" s="372"/>
    </row>
    <row r="265" spans="1:3" x14ac:dyDescent="0.25">
      <c r="A265" s="11" t="s">
        <v>2825</v>
      </c>
      <c r="B265" s="372">
        <v>77.666666666666671</v>
      </c>
      <c r="C265">
        <v>3</v>
      </c>
    </row>
    <row r="266" spans="1:3" x14ac:dyDescent="0.25">
      <c r="A266" s="11" t="s">
        <v>2614</v>
      </c>
      <c r="B266" s="372"/>
    </row>
    <row r="267" spans="1:3" x14ac:dyDescent="0.25">
      <c r="A267" s="11" t="s">
        <v>84</v>
      </c>
      <c r="B267" s="372">
        <v>1263.3333333333333</v>
      </c>
      <c r="C267">
        <v>3</v>
      </c>
    </row>
    <row r="268" spans="1:3" x14ac:dyDescent="0.25">
      <c r="A268" s="11" t="s">
        <v>2218</v>
      </c>
      <c r="B268" s="372"/>
    </row>
    <row r="269" spans="1:3" x14ac:dyDescent="0.25">
      <c r="A269" s="11" t="s">
        <v>808</v>
      </c>
      <c r="B269" s="372">
        <v>348.33333333333331</v>
      </c>
      <c r="C269">
        <v>12</v>
      </c>
    </row>
    <row r="270" spans="1:3" x14ac:dyDescent="0.25">
      <c r="A270" s="11" t="s">
        <v>1227</v>
      </c>
      <c r="B270" s="372">
        <v>80</v>
      </c>
      <c r="C270">
        <v>1</v>
      </c>
    </row>
    <row r="271" spans="1:3" x14ac:dyDescent="0.25">
      <c r="A271" s="11" t="s">
        <v>1228</v>
      </c>
      <c r="B271" s="372">
        <v>45</v>
      </c>
      <c r="C271">
        <v>1</v>
      </c>
    </row>
    <row r="272" spans="1:3" x14ac:dyDescent="0.25">
      <c r="A272" s="11" t="s">
        <v>2497</v>
      </c>
      <c r="B272" s="372">
        <v>110</v>
      </c>
      <c r="C272">
        <v>3</v>
      </c>
    </row>
    <row r="273" spans="1:3" x14ac:dyDescent="0.25">
      <c r="A273" s="11" t="s">
        <v>499</v>
      </c>
      <c r="B273" s="372">
        <v>180</v>
      </c>
      <c r="C273">
        <v>1</v>
      </c>
    </row>
    <row r="274" spans="1:3" x14ac:dyDescent="0.25">
      <c r="A274" s="11" t="s">
        <v>2639</v>
      </c>
      <c r="B274" s="372"/>
    </row>
    <row r="275" spans="1:3" x14ac:dyDescent="0.25">
      <c r="A275" s="11" t="s">
        <v>288</v>
      </c>
      <c r="B275" s="372"/>
    </row>
    <row r="276" spans="1:3" x14ac:dyDescent="0.25">
      <c r="A276" s="11" t="s">
        <v>409</v>
      </c>
      <c r="B276" s="372">
        <v>550</v>
      </c>
      <c r="C276">
        <v>1</v>
      </c>
    </row>
    <row r="277" spans="1:3" x14ac:dyDescent="0.25">
      <c r="A277" s="11" t="s">
        <v>410</v>
      </c>
      <c r="B277" s="372">
        <v>295</v>
      </c>
      <c r="C277">
        <v>1</v>
      </c>
    </row>
    <row r="278" spans="1:3" x14ac:dyDescent="0.25">
      <c r="A278" s="11" t="s">
        <v>2827</v>
      </c>
      <c r="B278" s="372">
        <v>45</v>
      </c>
      <c r="C278">
        <v>2</v>
      </c>
    </row>
    <row r="279" spans="1:3" x14ac:dyDescent="0.25">
      <c r="A279" s="11" t="s">
        <v>2542</v>
      </c>
      <c r="B279" s="372"/>
    </row>
    <row r="280" spans="1:3" x14ac:dyDescent="0.25">
      <c r="A280" s="11" t="s">
        <v>856</v>
      </c>
      <c r="B280" s="372">
        <v>115</v>
      </c>
      <c r="C280">
        <v>1</v>
      </c>
    </row>
    <row r="281" spans="1:3" x14ac:dyDescent="0.25">
      <c r="A281" s="11" t="s">
        <v>2623</v>
      </c>
      <c r="B281" s="372">
        <v>320</v>
      </c>
      <c r="C281">
        <v>1</v>
      </c>
    </row>
    <row r="282" spans="1:3" x14ac:dyDescent="0.25">
      <c r="A282" s="11" t="s">
        <v>2641</v>
      </c>
      <c r="B282" s="372"/>
    </row>
    <row r="283" spans="1:3" x14ac:dyDescent="0.25">
      <c r="A283" s="11" t="s">
        <v>1208</v>
      </c>
      <c r="B283" s="372">
        <v>125</v>
      </c>
      <c r="C283">
        <v>1</v>
      </c>
    </row>
    <row r="284" spans="1:3" x14ac:dyDescent="0.25">
      <c r="A284" s="11" t="s">
        <v>56</v>
      </c>
      <c r="B284" s="372"/>
    </row>
    <row r="285" spans="1:3" x14ac:dyDescent="0.25">
      <c r="A285" s="11" t="s">
        <v>575</v>
      </c>
      <c r="B285" s="372">
        <v>45</v>
      </c>
      <c r="C285">
        <v>2</v>
      </c>
    </row>
    <row r="286" spans="1:3" x14ac:dyDescent="0.25">
      <c r="A286" s="11" t="s">
        <v>450</v>
      </c>
      <c r="B286" s="372">
        <v>39</v>
      </c>
      <c r="C286">
        <v>1</v>
      </c>
    </row>
    <row r="287" spans="1:3" x14ac:dyDescent="0.25">
      <c r="A287" s="11" t="s">
        <v>2661</v>
      </c>
      <c r="B287" s="372"/>
    </row>
    <row r="288" spans="1:3" x14ac:dyDescent="0.25">
      <c r="A288" s="11" t="s">
        <v>466</v>
      </c>
      <c r="B288" s="372">
        <v>135</v>
      </c>
      <c r="C288">
        <v>1</v>
      </c>
    </row>
    <row r="289" spans="1:3" x14ac:dyDescent="0.25">
      <c r="A289" s="11" t="s">
        <v>529</v>
      </c>
      <c r="B289" s="372">
        <v>235</v>
      </c>
      <c r="C289">
        <v>1</v>
      </c>
    </row>
    <row r="290" spans="1:3" x14ac:dyDescent="0.25">
      <c r="A290" s="11" t="s">
        <v>530</v>
      </c>
      <c r="B290" s="372">
        <v>235</v>
      </c>
      <c r="C290">
        <v>1</v>
      </c>
    </row>
    <row r="291" spans="1:3" x14ac:dyDescent="0.25">
      <c r="A291" s="11" t="s">
        <v>531</v>
      </c>
      <c r="B291" s="372">
        <v>250</v>
      </c>
      <c r="C291">
        <v>1</v>
      </c>
    </row>
    <row r="292" spans="1:3" x14ac:dyDescent="0.25">
      <c r="A292" s="11" t="s">
        <v>532</v>
      </c>
      <c r="B292" s="372">
        <v>250</v>
      </c>
      <c r="C292">
        <v>1</v>
      </c>
    </row>
    <row r="293" spans="1:3" x14ac:dyDescent="0.25">
      <c r="A293" s="11" t="s">
        <v>465</v>
      </c>
      <c r="B293" s="372"/>
    </row>
    <row r="294" spans="1:3" x14ac:dyDescent="0.25">
      <c r="A294" s="11" t="s">
        <v>406</v>
      </c>
      <c r="B294" s="372"/>
    </row>
    <row r="295" spans="1:3" x14ac:dyDescent="0.25">
      <c r="A295" s="11" t="s">
        <v>391</v>
      </c>
      <c r="B295" s="372">
        <v>45</v>
      </c>
      <c r="C295">
        <v>1</v>
      </c>
    </row>
    <row r="296" spans="1:3" x14ac:dyDescent="0.25">
      <c r="A296" s="11" t="s">
        <v>43</v>
      </c>
      <c r="B296" s="372"/>
    </row>
    <row r="297" spans="1:3" x14ac:dyDescent="0.25">
      <c r="A297" s="11" t="s">
        <v>2345</v>
      </c>
      <c r="B297" s="372">
        <v>98.333333333333329</v>
      </c>
      <c r="C297">
        <v>3</v>
      </c>
    </row>
    <row r="298" spans="1:3" x14ac:dyDescent="0.25">
      <c r="A298" s="11" t="s">
        <v>2813</v>
      </c>
      <c r="B298" s="372">
        <v>180</v>
      </c>
      <c r="C298">
        <v>3</v>
      </c>
    </row>
    <row r="299" spans="1:3" x14ac:dyDescent="0.25">
      <c r="A299" s="11" t="s">
        <v>2829</v>
      </c>
      <c r="B299" s="372">
        <v>180</v>
      </c>
      <c r="C299">
        <v>3</v>
      </c>
    </row>
    <row r="300" spans="1:3" x14ac:dyDescent="0.25">
      <c r="A300" s="11" t="s">
        <v>26</v>
      </c>
      <c r="B300" s="372">
        <v>248.33333333333334</v>
      </c>
      <c r="C300">
        <v>3</v>
      </c>
    </row>
    <row r="301" spans="1:3" x14ac:dyDescent="0.25">
      <c r="A301" s="11" t="s">
        <v>504</v>
      </c>
      <c r="B301" s="372"/>
    </row>
    <row r="302" spans="1:3" x14ac:dyDescent="0.25">
      <c r="A302" s="11" t="s">
        <v>2561</v>
      </c>
      <c r="B302" s="372"/>
    </row>
    <row r="303" spans="1:3" x14ac:dyDescent="0.25">
      <c r="A303" s="11" t="s">
        <v>496</v>
      </c>
      <c r="B303" s="372">
        <v>150</v>
      </c>
      <c r="C303">
        <v>1</v>
      </c>
    </row>
    <row r="304" spans="1:3" x14ac:dyDescent="0.25">
      <c r="A304" s="11" t="s">
        <v>2518</v>
      </c>
      <c r="B304" s="372">
        <v>75</v>
      </c>
      <c r="C304">
        <v>1</v>
      </c>
    </row>
    <row r="305" spans="1:3" x14ac:dyDescent="0.25">
      <c r="A305" s="11" t="s">
        <v>1224</v>
      </c>
      <c r="B305" s="372">
        <v>95</v>
      </c>
      <c r="C305">
        <v>1</v>
      </c>
    </row>
    <row r="306" spans="1:3" x14ac:dyDescent="0.25">
      <c r="A306" s="11" t="s">
        <v>901</v>
      </c>
      <c r="B306" s="372">
        <v>1097.5</v>
      </c>
      <c r="C306">
        <v>2</v>
      </c>
    </row>
    <row r="307" spans="1:3" x14ac:dyDescent="0.25">
      <c r="A307" s="11" t="s">
        <v>902</v>
      </c>
      <c r="B307" s="372">
        <v>200</v>
      </c>
      <c r="C307">
        <v>1</v>
      </c>
    </row>
    <row r="308" spans="1:3" x14ac:dyDescent="0.25">
      <c r="A308" s="11" t="s">
        <v>375</v>
      </c>
      <c r="B308" s="372"/>
    </row>
    <row r="309" spans="1:3" x14ac:dyDescent="0.25">
      <c r="A309" s="11" t="s">
        <v>55</v>
      </c>
      <c r="B309" s="372"/>
    </row>
    <row r="310" spans="1:3" x14ac:dyDescent="0.25">
      <c r="A310" s="11" t="s">
        <v>479</v>
      </c>
      <c r="B310" s="372">
        <v>100</v>
      </c>
      <c r="C310">
        <v>1</v>
      </c>
    </row>
    <row r="311" spans="1:3" x14ac:dyDescent="0.25">
      <c r="A311" s="11" t="s">
        <v>522</v>
      </c>
      <c r="B311" s="372">
        <v>75</v>
      </c>
      <c r="C311">
        <v>1</v>
      </c>
    </row>
    <row r="312" spans="1:3" x14ac:dyDescent="0.25">
      <c r="A312" s="11" t="s">
        <v>2801</v>
      </c>
      <c r="B312" s="372">
        <v>250</v>
      </c>
      <c r="C312">
        <v>1</v>
      </c>
    </row>
    <row r="313" spans="1:3" x14ac:dyDescent="0.25">
      <c r="A313" s="11" t="s">
        <v>335</v>
      </c>
      <c r="B313" s="372">
        <v>495</v>
      </c>
      <c r="C313">
        <v>1</v>
      </c>
    </row>
    <row r="314" spans="1:3" x14ac:dyDescent="0.25">
      <c r="A314" s="11" t="s">
        <v>433</v>
      </c>
      <c r="B314" s="372">
        <v>850</v>
      </c>
      <c r="C314">
        <v>1</v>
      </c>
    </row>
    <row r="315" spans="1:3" x14ac:dyDescent="0.25">
      <c r="A315" s="11" t="s">
        <v>2650</v>
      </c>
      <c r="B315" s="372"/>
    </row>
    <row r="316" spans="1:3" x14ac:dyDescent="0.25">
      <c r="A316" s="11" t="s">
        <v>2834</v>
      </c>
      <c r="B316" s="372">
        <v>155</v>
      </c>
      <c r="C316">
        <v>3</v>
      </c>
    </row>
    <row r="317" spans="1:3" x14ac:dyDescent="0.25">
      <c r="A317" s="11" t="s">
        <v>449</v>
      </c>
      <c r="B317" s="372">
        <v>45</v>
      </c>
      <c r="C317">
        <v>1</v>
      </c>
    </row>
    <row r="318" spans="1:3" x14ac:dyDescent="0.25">
      <c r="A318" s="11" t="s">
        <v>2646</v>
      </c>
      <c r="B318" s="372">
        <v>58</v>
      </c>
      <c r="C318">
        <v>1</v>
      </c>
    </row>
    <row r="319" spans="1:3" x14ac:dyDescent="0.25">
      <c r="A319" s="11" t="s">
        <v>2647</v>
      </c>
      <c r="B319" s="372"/>
    </row>
    <row r="320" spans="1:3" x14ac:dyDescent="0.25">
      <c r="A320" s="11" t="s">
        <v>1191</v>
      </c>
      <c r="B320" s="372">
        <v>150</v>
      </c>
      <c r="C320">
        <v>1</v>
      </c>
    </row>
    <row r="321" spans="1:3" x14ac:dyDescent="0.25">
      <c r="A321" s="11" t="s">
        <v>497</v>
      </c>
      <c r="B321" s="372"/>
    </row>
    <row r="322" spans="1:3" x14ac:dyDescent="0.25">
      <c r="A322" s="11" t="s">
        <v>2735</v>
      </c>
      <c r="B322" s="372">
        <v>265</v>
      </c>
      <c r="C322">
        <v>2</v>
      </c>
    </row>
    <row r="323" spans="1:3" x14ac:dyDescent="0.25">
      <c r="A323" s="11" t="s">
        <v>2302</v>
      </c>
      <c r="B323" s="372"/>
    </row>
    <row r="324" spans="1:3" x14ac:dyDescent="0.25">
      <c r="A324" s="11" t="s">
        <v>492</v>
      </c>
      <c r="B324" s="372">
        <v>45</v>
      </c>
      <c r="C324">
        <v>1</v>
      </c>
    </row>
    <row r="325" spans="1:3" x14ac:dyDescent="0.25">
      <c r="A325" s="11" t="s">
        <v>2305</v>
      </c>
      <c r="B325" s="372"/>
    </row>
    <row r="326" spans="1:3" x14ac:dyDescent="0.25">
      <c r="A326" s="11" t="s">
        <v>27</v>
      </c>
      <c r="B326" s="372">
        <v>650</v>
      </c>
      <c r="C326">
        <v>7</v>
      </c>
    </row>
    <row r="327" spans="1:3" x14ac:dyDescent="0.25">
      <c r="A327" s="11" t="s">
        <v>407</v>
      </c>
      <c r="B327" s="372">
        <v>120</v>
      </c>
      <c r="C327">
        <v>1</v>
      </c>
    </row>
    <row r="328" spans="1:3" x14ac:dyDescent="0.25">
      <c r="A328" s="11" t="s">
        <v>1211</v>
      </c>
      <c r="B328" s="372">
        <v>125</v>
      </c>
      <c r="C328">
        <v>1</v>
      </c>
    </row>
    <row r="329" spans="1:3" x14ac:dyDescent="0.25">
      <c r="A329" s="11" t="s">
        <v>446</v>
      </c>
      <c r="B329" s="372">
        <v>100</v>
      </c>
      <c r="C329">
        <v>1</v>
      </c>
    </row>
    <row r="330" spans="1:3" x14ac:dyDescent="0.25">
      <c r="A330" s="11" t="s">
        <v>447</v>
      </c>
      <c r="B330" s="372">
        <v>90</v>
      </c>
      <c r="C330">
        <v>1</v>
      </c>
    </row>
    <row r="331" spans="1:3" x14ac:dyDescent="0.25">
      <c r="A331" s="11" t="s">
        <v>454</v>
      </c>
      <c r="B331" s="372">
        <v>80</v>
      </c>
      <c r="C331">
        <v>1</v>
      </c>
    </row>
    <row r="332" spans="1:3" x14ac:dyDescent="0.25">
      <c r="A332" s="11" t="s">
        <v>2574</v>
      </c>
      <c r="B332" s="372"/>
    </row>
    <row r="333" spans="1:3" x14ac:dyDescent="0.25">
      <c r="A333" s="11" t="s">
        <v>824</v>
      </c>
      <c r="B333" s="372">
        <v>115</v>
      </c>
      <c r="C333">
        <v>1</v>
      </c>
    </row>
    <row r="334" spans="1:3" x14ac:dyDescent="0.25">
      <c r="A334" s="11" t="s">
        <v>494</v>
      </c>
      <c r="B334" s="372">
        <v>85</v>
      </c>
      <c r="C334">
        <v>1</v>
      </c>
    </row>
    <row r="335" spans="1:3" x14ac:dyDescent="0.25">
      <c r="A335" s="11" t="s">
        <v>2736</v>
      </c>
      <c r="B335" s="372">
        <v>55</v>
      </c>
      <c r="C335">
        <v>2</v>
      </c>
    </row>
    <row r="336" spans="1:3" x14ac:dyDescent="0.25">
      <c r="A336" s="11" t="s">
        <v>2716</v>
      </c>
      <c r="B336" s="372">
        <v>60</v>
      </c>
      <c r="C336">
        <v>2</v>
      </c>
    </row>
    <row r="337" spans="1:3" x14ac:dyDescent="0.25">
      <c r="A337" s="11" t="s">
        <v>2545</v>
      </c>
      <c r="B337" s="372"/>
    </row>
    <row r="338" spans="1:3" x14ac:dyDescent="0.25">
      <c r="A338" s="11" t="s">
        <v>2196</v>
      </c>
      <c r="B338" s="372">
        <v>125</v>
      </c>
      <c r="C338">
        <v>1</v>
      </c>
    </row>
    <row r="339" spans="1:3" x14ac:dyDescent="0.25">
      <c r="A339" s="11" t="s">
        <v>2195</v>
      </c>
      <c r="B339" s="372">
        <v>55</v>
      </c>
      <c r="C339">
        <v>1</v>
      </c>
    </row>
    <row r="340" spans="1:3" x14ac:dyDescent="0.25">
      <c r="A340" s="11" t="s">
        <v>287</v>
      </c>
      <c r="B340" s="372">
        <v>70</v>
      </c>
      <c r="C340">
        <v>1</v>
      </c>
    </row>
    <row r="341" spans="1:3" x14ac:dyDescent="0.25">
      <c r="A341" s="11" t="s">
        <v>2663</v>
      </c>
      <c r="B341" s="372"/>
    </row>
    <row r="342" spans="1:3" x14ac:dyDescent="0.25">
      <c r="A342" s="11" t="s">
        <v>2746</v>
      </c>
      <c r="B342" s="372">
        <v>350</v>
      </c>
      <c r="C342">
        <v>2</v>
      </c>
    </row>
    <row r="343" spans="1:3" x14ac:dyDescent="0.25">
      <c r="A343" s="11" t="s">
        <v>2747</v>
      </c>
      <c r="B343" s="372">
        <v>350</v>
      </c>
      <c r="C343">
        <v>2</v>
      </c>
    </row>
    <row r="344" spans="1:3" x14ac:dyDescent="0.25">
      <c r="A344" s="11" t="s">
        <v>285</v>
      </c>
      <c r="B344" s="372" t="e">
        <v>#DIV/0!</v>
      </c>
      <c r="C344">
        <v>1</v>
      </c>
    </row>
    <row r="345" spans="1:3" x14ac:dyDescent="0.25">
      <c r="A345" s="11" t="s">
        <v>2528</v>
      </c>
      <c r="B345" s="372">
        <v>1000</v>
      </c>
      <c r="C345">
        <v>1</v>
      </c>
    </row>
    <row r="346" spans="1:3" x14ac:dyDescent="0.25">
      <c r="A346" s="11" t="s">
        <v>556</v>
      </c>
      <c r="B346" s="372"/>
    </row>
    <row r="347" spans="1:3" x14ac:dyDescent="0.25">
      <c r="A347" s="11" t="s">
        <v>655</v>
      </c>
      <c r="B347" s="372">
        <v>190</v>
      </c>
      <c r="C347">
        <v>1</v>
      </c>
    </row>
    <row r="348" spans="1:3" x14ac:dyDescent="0.25">
      <c r="A348" s="11" t="s">
        <v>656</v>
      </c>
      <c r="B348" s="372">
        <v>190</v>
      </c>
      <c r="C348">
        <v>1</v>
      </c>
    </row>
    <row r="349" spans="1:3" x14ac:dyDescent="0.25">
      <c r="A349" s="11" t="s">
        <v>453</v>
      </c>
      <c r="B349" s="372">
        <v>125</v>
      </c>
      <c r="C349">
        <v>1</v>
      </c>
    </row>
    <row r="350" spans="1:3" x14ac:dyDescent="0.25">
      <c r="A350" s="11" t="s">
        <v>434</v>
      </c>
      <c r="B350" s="372"/>
    </row>
    <row r="351" spans="1:3" x14ac:dyDescent="0.25">
      <c r="A351" s="11" t="s">
        <v>2488</v>
      </c>
      <c r="B351" s="372">
        <v>100</v>
      </c>
      <c r="C351">
        <v>1</v>
      </c>
    </row>
    <row r="352" spans="1:3" x14ac:dyDescent="0.25">
      <c r="A352" s="11" t="s">
        <v>2547</v>
      </c>
      <c r="B352" s="372"/>
    </row>
    <row r="353" spans="1:3" x14ac:dyDescent="0.25">
      <c r="A353" s="11" t="s">
        <v>83</v>
      </c>
      <c r="B353" s="372">
        <v>100</v>
      </c>
      <c r="C353">
        <v>1</v>
      </c>
    </row>
    <row r="354" spans="1:3" x14ac:dyDescent="0.25">
      <c r="A354" s="11" t="s">
        <v>388</v>
      </c>
      <c r="B354" s="372">
        <v>200</v>
      </c>
      <c r="C354">
        <v>1</v>
      </c>
    </row>
    <row r="355" spans="1:3" x14ac:dyDescent="0.25">
      <c r="A355" s="11" t="s">
        <v>2842</v>
      </c>
      <c r="B355" s="372"/>
    </row>
    <row r="356" spans="1:3" x14ac:dyDescent="0.25">
      <c r="A356" s="11" t="s">
        <v>2843</v>
      </c>
      <c r="B356" s="372">
        <v>298.95634095634097</v>
      </c>
      <c r="C356">
        <v>486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B6F05-A101-4ED0-90B6-FE444769E40B}">
  <sheetPr codeName="Sheet12"/>
  <dimension ref="A2:C115"/>
  <sheetViews>
    <sheetView topLeftCell="A77" workbookViewId="0">
      <selection activeCell="I124" sqref="I124"/>
    </sheetView>
  </sheetViews>
  <sheetFormatPr defaultRowHeight="15" x14ac:dyDescent="0.25"/>
  <sheetData>
    <row r="2" spans="1:3" x14ac:dyDescent="0.25">
      <c r="B2" t="s">
        <v>0</v>
      </c>
    </row>
    <row r="3" spans="1:3" x14ac:dyDescent="0.25">
      <c r="A3" t="s">
        <v>1040</v>
      </c>
      <c r="B3">
        <v>1</v>
      </c>
      <c r="C3" t="s">
        <v>913</v>
      </c>
    </row>
    <row r="4" spans="1:3" x14ac:dyDescent="0.25">
      <c r="A4" t="s">
        <v>1040</v>
      </c>
      <c r="B4">
        <v>2</v>
      </c>
      <c r="C4" t="s">
        <v>914</v>
      </c>
    </row>
    <row r="5" spans="1:3" x14ac:dyDescent="0.25">
      <c r="A5" t="s">
        <v>1040</v>
      </c>
      <c r="B5">
        <v>3</v>
      </c>
      <c r="C5" t="s">
        <v>915</v>
      </c>
    </row>
    <row r="6" spans="1:3" x14ac:dyDescent="0.25">
      <c r="A6" t="s">
        <v>1040</v>
      </c>
      <c r="B6">
        <v>4</v>
      </c>
      <c r="C6" t="s">
        <v>916</v>
      </c>
    </row>
    <row r="7" spans="1:3" x14ac:dyDescent="0.25">
      <c r="A7" t="s">
        <v>1040</v>
      </c>
      <c r="B7">
        <v>5</v>
      </c>
      <c r="C7" t="s">
        <v>917</v>
      </c>
    </row>
    <row r="8" spans="1:3" x14ac:dyDescent="0.25">
      <c r="A8" t="s">
        <v>1040</v>
      </c>
      <c r="B8">
        <v>6</v>
      </c>
      <c r="C8" t="s">
        <v>918</v>
      </c>
    </row>
    <row r="9" spans="1:3" x14ac:dyDescent="0.25">
      <c r="A9" t="s">
        <v>1040</v>
      </c>
      <c r="B9">
        <v>7</v>
      </c>
      <c r="C9" t="s">
        <v>919</v>
      </c>
    </row>
    <row r="10" spans="1:3" x14ac:dyDescent="0.25">
      <c r="A10" t="s">
        <v>1040</v>
      </c>
      <c r="B10">
        <v>8</v>
      </c>
      <c r="C10" t="s">
        <v>920</v>
      </c>
    </row>
    <row r="11" spans="1:3" x14ac:dyDescent="0.25">
      <c r="A11" t="s">
        <v>1040</v>
      </c>
      <c r="B11">
        <v>9</v>
      </c>
      <c r="C11" t="s">
        <v>921</v>
      </c>
    </row>
    <row r="12" spans="1:3" x14ac:dyDescent="0.25">
      <c r="A12" t="s">
        <v>1040</v>
      </c>
      <c r="B12">
        <v>10</v>
      </c>
      <c r="C12" t="s">
        <v>922</v>
      </c>
    </row>
    <row r="13" spans="1:3" x14ac:dyDescent="0.25">
      <c r="A13" t="s">
        <v>1040</v>
      </c>
      <c r="B13">
        <v>11</v>
      </c>
      <c r="C13" t="s">
        <v>923</v>
      </c>
    </row>
    <row r="14" spans="1:3" x14ac:dyDescent="0.25">
      <c r="A14" t="s">
        <v>1040</v>
      </c>
      <c r="B14">
        <v>12</v>
      </c>
      <c r="C14" t="s">
        <v>924</v>
      </c>
    </row>
    <row r="15" spans="1:3" x14ac:dyDescent="0.25">
      <c r="A15" t="s">
        <v>1040</v>
      </c>
      <c r="B15">
        <v>13</v>
      </c>
      <c r="C15" t="s">
        <v>925</v>
      </c>
    </row>
    <row r="16" spans="1:3" x14ac:dyDescent="0.25">
      <c r="A16" t="s">
        <v>1040</v>
      </c>
      <c r="B16">
        <v>14</v>
      </c>
      <c r="C16" t="s">
        <v>926</v>
      </c>
    </row>
    <row r="17" spans="1:3" x14ac:dyDescent="0.25">
      <c r="A17" t="s">
        <v>1040</v>
      </c>
      <c r="B17">
        <v>15</v>
      </c>
      <c r="C17" t="s">
        <v>927</v>
      </c>
    </row>
    <row r="18" spans="1:3" x14ac:dyDescent="0.25">
      <c r="A18" t="s">
        <v>1040</v>
      </c>
      <c r="B18">
        <v>16</v>
      </c>
      <c r="C18" t="s">
        <v>928</v>
      </c>
    </row>
    <row r="19" spans="1:3" x14ac:dyDescent="0.25">
      <c r="A19" t="s">
        <v>1040</v>
      </c>
      <c r="B19">
        <v>17</v>
      </c>
      <c r="C19" t="s">
        <v>929</v>
      </c>
    </row>
    <row r="20" spans="1:3" x14ac:dyDescent="0.25">
      <c r="A20" t="s">
        <v>1040</v>
      </c>
      <c r="B20">
        <v>18</v>
      </c>
      <c r="C20" t="s">
        <v>930</v>
      </c>
    </row>
    <row r="21" spans="1:3" x14ac:dyDescent="0.25">
      <c r="A21" t="s">
        <v>1040</v>
      </c>
      <c r="B21">
        <v>19</v>
      </c>
      <c r="C21" t="s">
        <v>931</v>
      </c>
    </row>
    <row r="22" spans="1:3" x14ac:dyDescent="0.25">
      <c r="A22" t="s">
        <v>1040</v>
      </c>
      <c r="B22">
        <v>20</v>
      </c>
      <c r="C22" t="s">
        <v>932</v>
      </c>
    </row>
    <row r="23" spans="1:3" x14ac:dyDescent="0.25">
      <c r="A23" t="s">
        <v>1040</v>
      </c>
      <c r="B23">
        <v>21</v>
      </c>
      <c r="C23" t="s">
        <v>933</v>
      </c>
    </row>
    <row r="24" spans="1:3" x14ac:dyDescent="0.25">
      <c r="A24" t="s">
        <v>1040</v>
      </c>
      <c r="B24">
        <v>22</v>
      </c>
      <c r="C24" t="s">
        <v>934</v>
      </c>
    </row>
    <row r="25" spans="1:3" x14ac:dyDescent="0.25">
      <c r="A25" t="s">
        <v>1040</v>
      </c>
      <c r="B25">
        <v>23</v>
      </c>
      <c r="C25" t="s">
        <v>935</v>
      </c>
    </row>
    <row r="26" spans="1:3" x14ac:dyDescent="0.25">
      <c r="A26" t="s">
        <v>1040</v>
      </c>
      <c r="B26">
        <v>24</v>
      </c>
      <c r="C26" t="s">
        <v>936</v>
      </c>
    </row>
    <row r="27" spans="1:3" x14ac:dyDescent="0.25">
      <c r="A27" t="s">
        <v>1040</v>
      </c>
      <c r="B27">
        <v>25</v>
      </c>
      <c r="C27" t="s">
        <v>937</v>
      </c>
    </row>
    <row r="28" spans="1:3" x14ac:dyDescent="0.25">
      <c r="A28" t="s">
        <v>1040</v>
      </c>
      <c r="B28">
        <v>26</v>
      </c>
      <c r="C28" t="s">
        <v>938</v>
      </c>
    </row>
    <row r="29" spans="1:3" x14ac:dyDescent="0.25">
      <c r="A29" t="s">
        <v>1040</v>
      </c>
      <c r="B29">
        <v>27</v>
      </c>
      <c r="C29" t="s">
        <v>939</v>
      </c>
    </row>
    <row r="30" spans="1:3" x14ac:dyDescent="0.25">
      <c r="A30" t="s">
        <v>1040</v>
      </c>
      <c r="B30">
        <v>28</v>
      </c>
      <c r="C30" t="s">
        <v>940</v>
      </c>
    </row>
    <row r="31" spans="1:3" x14ac:dyDescent="0.25">
      <c r="A31" t="s">
        <v>1040</v>
      </c>
      <c r="B31">
        <v>29</v>
      </c>
      <c r="C31" t="s">
        <v>941</v>
      </c>
    </row>
    <row r="32" spans="1:3" x14ac:dyDescent="0.25">
      <c r="A32" t="s">
        <v>1040</v>
      </c>
      <c r="B32">
        <v>30</v>
      </c>
      <c r="C32" t="s">
        <v>942</v>
      </c>
    </row>
    <row r="33" spans="1:3" x14ac:dyDescent="0.25">
      <c r="A33" t="s">
        <v>1040</v>
      </c>
      <c r="B33">
        <v>31</v>
      </c>
      <c r="C33" t="s">
        <v>943</v>
      </c>
    </row>
    <row r="34" spans="1:3" x14ac:dyDescent="0.25">
      <c r="A34" t="s">
        <v>1040</v>
      </c>
      <c r="B34">
        <v>32</v>
      </c>
      <c r="C34" t="s">
        <v>944</v>
      </c>
    </row>
    <row r="35" spans="1:3" x14ac:dyDescent="0.25">
      <c r="A35" t="s">
        <v>1040</v>
      </c>
      <c r="B35">
        <v>33</v>
      </c>
      <c r="C35" t="s">
        <v>945</v>
      </c>
    </row>
    <row r="36" spans="1:3" x14ac:dyDescent="0.25">
      <c r="A36" t="s">
        <v>1040</v>
      </c>
      <c r="B36">
        <v>34</v>
      </c>
      <c r="C36" t="s">
        <v>946</v>
      </c>
    </row>
    <row r="37" spans="1:3" x14ac:dyDescent="0.25">
      <c r="A37" t="s">
        <v>1040</v>
      </c>
      <c r="B37">
        <v>35</v>
      </c>
      <c r="C37" t="s">
        <v>947</v>
      </c>
    </row>
    <row r="38" spans="1:3" x14ac:dyDescent="0.25">
      <c r="A38" t="s">
        <v>1040</v>
      </c>
      <c r="B38">
        <v>36</v>
      </c>
      <c r="C38" t="s">
        <v>948</v>
      </c>
    </row>
    <row r="39" spans="1:3" x14ac:dyDescent="0.25">
      <c r="A39" t="s">
        <v>1040</v>
      </c>
      <c r="B39">
        <v>37</v>
      </c>
      <c r="C39" t="s">
        <v>949</v>
      </c>
    </row>
    <row r="40" spans="1:3" x14ac:dyDescent="0.25">
      <c r="A40" t="s">
        <v>1040</v>
      </c>
      <c r="B40">
        <v>38</v>
      </c>
      <c r="C40" t="s">
        <v>950</v>
      </c>
    </row>
    <row r="41" spans="1:3" x14ac:dyDescent="0.25">
      <c r="A41" t="s">
        <v>1040</v>
      </c>
      <c r="B41">
        <v>39</v>
      </c>
      <c r="C41" t="s">
        <v>951</v>
      </c>
    </row>
    <row r="42" spans="1:3" x14ac:dyDescent="0.25">
      <c r="A42" t="s">
        <v>1040</v>
      </c>
      <c r="B42">
        <v>40</v>
      </c>
      <c r="C42" t="s">
        <v>952</v>
      </c>
    </row>
    <row r="43" spans="1:3" x14ac:dyDescent="0.25">
      <c r="A43" t="s">
        <v>1040</v>
      </c>
      <c r="B43">
        <v>41</v>
      </c>
      <c r="C43" t="s">
        <v>953</v>
      </c>
    </row>
    <row r="44" spans="1:3" x14ac:dyDescent="0.25">
      <c r="A44" t="s">
        <v>1040</v>
      </c>
      <c r="B44">
        <v>42</v>
      </c>
      <c r="C44" t="s">
        <v>954</v>
      </c>
    </row>
    <row r="45" spans="1:3" x14ac:dyDescent="0.25">
      <c r="A45" t="s">
        <v>1040</v>
      </c>
      <c r="B45">
        <v>43</v>
      </c>
      <c r="C45" t="s">
        <v>955</v>
      </c>
    </row>
    <row r="46" spans="1:3" x14ac:dyDescent="0.25">
      <c r="A46" t="s">
        <v>1040</v>
      </c>
      <c r="B46">
        <v>44</v>
      </c>
      <c r="C46" t="s">
        <v>956</v>
      </c>
    </row>
    <row r="47" spans="1:3" x14ac:dyDescent="0.25">
      <c r="A47" t="s">
        <v>1040</v>
      </c>
      <c r="B47">
        <v>45</v>
      </c>
      <c r="C47" t="s">
        <v>957</v>
      </c>
    </row>
    <row r="48" spans="1:3" x14ac:dyDescent="0.25">
      <c r="A48" t="s">
        <v>1040</v>
      </c>
      <c r="B48">
        <v>46</v>
      </c>
      <c r="C48" t="s">
        <v>958</v>
      </c>
    </row>
    <row r="49" spans="1:3" x14ac:dyDescent="0.25">
      <c r="A49" t="s">
        <v>1040</v>
      </c>
      <c r="B49">
        <v>47</v>
      </c>
      <c r="C49" t="s">
        <v>959</v>
      </c>
    </row>
    <row r="50" spans="1:3" x14ac:dyDescent="0.25">
      <c r="A50" t="s">
        <v>1040</v>
      </c>
      <c r="B50">
        <v>48</v>
      </c>
      <c r="C50" t="s">
        <v>960</v>
      </c>
    </row>
    <row r="51" spans="1:3" x14ac:dyDescent="0.25">
      <c r="A51" t="s">
        <v>1040</v>
      </c>
      <c r="B51">
        <v>49</v>
      </c>
      <c r="C51" t="s">
        <v>961</v>
      </c>
    </row>
    <row r="52" spans="1:3" x14ac:dyDescent="0.25">
      <c r="A52" t="s">
        <v>1040</v>
      </c>
      <c r="B52">
        <v>50</v>
      </c>
      <c r="C52" t="s">
        <v>962</v>
      </c>
    </row>
    <row r="53" spans="1:3" x14ac:dyDescent="0.25">
      <c r="A53" t="s">
        <v>1040</v>
      </c>
      <c r="B53">
        <v>51</v>
      </c>
      <c r="C53" t="s">
        <v>963</v>
      </c>
    </row>
    <row r="54" spans="1:3" x14ac:dyDescent="0.25">
      <c r="A54" t="s">
        <v>1040</v>
      </c>
      <c r="B54">
        <v>52</v>
      </c>
      <c r="C54" t="s">
        <v>964</v>
      </c>
    </row>
    <row r="55" spans="1:3" x14ac:dyDescent="0.25">
      <c r="A55" t="s">
        <v>1040</v>
      </c>
      <c r="B55">
        <v>53</v>
      </c>
      <c r="C55" t="s">
        <v>965</v>
      </c>
    </row>
    <row r="56" spans="1:3" x14ac:dyDescent="0.25">
      <c r="A56" t="s">
        <v>1040</v>
      </c>
      <c r="B56">
        <v>54</v>
      </c>
      <c r="C56" t="s">
        <v>966</v>
      </c>
    </row>
    <row r="57" spans="1:3" x14ac:dyDescent="0.25">
      <c r="A57" t="s">
        <v>1040</v>
      </c>
      <c r="B57">
        <v>55</v>
      </c>
      <c r="C57" t="s">
        <v>967</v>
      </c>
    </row>
    <row r="58" spans="1:3" x14ac:dyDescent="0.25">
      <c r="A58" t="s">
        <v>1040</v>
      </c>
      <c r="B58">
        <v>56</v>
      </c>
      <c r="C58" t="s">
        <v>968</v>
      </c>
    </row>
    <row r="59" spans="1:3" x14ac:dyDescent="0.25">
      <c r="A59" t="s">
        <v>1040</v>
      </c>
      <c r="B59">
        <v>57</v>
      </c>
      <c r="C59" t="s">
        <v>969</v>
      </c>
    </row>
    <row r="60" spans="1:3" x14ac:dyDescent="0.25">
      <c r="A60" t="s">
        <v>1040</v>
      </c>
      <c r="B60">
        <v>58</v>
      </c>
      <c r="C60" t="s">
        <v>970</v>
      </c>
    </row>
    <row r="61" spans="1:3" x14ac:dyDescent="0.25">
      <c r="A61" t="s">
        <v>1040</v>
      </c>
      <c r="B61">
        <v>59</v>
      </c>
      <c r="C61" t="s">
        <v>971</v>
      </c>
    </row>
    <row r="62" spans="1:3" x14ac:dyDescent="0.25">
      <c r="A62" t="s">
        <v>1040</v>
      </c>
      <c r="B62">
        <v>60</v>
      </c>
      <c r="C62" t="s">
        <v>972</v>
      </c>
    </row>
    <row r="63" spans="1:3" x14ac:dyDescent="0.25">
      <c r="A63" t="s">
        <v>1040</v>
      </c>
      <c r="B63">
        <v>61</v>
      </c>
      <c r="C63" t="s">
        <v>973</v>
      </c>
    </row>
    <row r="64" spans="1:3" x14ac:dyDescent="0.25">
      <c r="A64" t="s">
        <v>1040</v>
      </c>
      <c r="B64">
        <v>62</v>
      </c>
      <c r="C64" t="s">
        <v>974</v>
      </c>
    </row>
    <row r="65" spans="1:3" x14ac:dyDescent="0.25">
      <c r="A65" t="s">
        <v>1040</v>
      </c>
      <c r="B65">
        <v>63</v>
      </c>
      <c r="C65" t="s">
        <v>975</v>
      </c>
    </row>
    <row r="66" spans="1:3" x14ac:dyDescent="0.25">
      <c r="A66" t="s">
        <v>1040</v>
      </c>
      <c r="B66">
        <v>64</v>
      </c>
      <c r="C66" t="s">
        <v>976</v>
      </c>
    </row>
    <row r="67" spans="1:3" x14ac:dyDescent="0.25">
      <c r="A67" t="s">
        <v>1040</v>
      </c>
      <c r="B67">
        <v>65</v>
      </c>
      <c r="C67" t="s">
        <v>977</v>
      </c>
    </row>
    <row r="68" spans="1:3" x14ac:dyDescent="0.25">
      <c r="A68" t="s">
        <v>1040</v>
      </c>
      <c r="B68">
        <v>66</v>
      </c>
      <c r="C68" t="s">
        <v>978</v>
      </c>
    </row>
    <row r="69" spans="1:3" x14ac:dyDescent="0.25">
      <c r="A69" t="s">
        <v>1040</v>
      </c>
      <c r="B69">
        <v>67</v>
      </c>
      <c r="C69" t="s">
        <v>979</v>
      </c>
    </row>
    <row r="70" spans="1:3" x14ac:dyDescent="0.25">
      <c r="A70" t="s">
        <v>1040</v>
      </c>
      <c r="B70">
        <v>68</v>
      </c>
      <c r="C70" t="s">
        <v>980</v>
      </c>
    </row>
    <row r="71" spans="1:3" x14ac:dyDescent="0.25">
      <c r="A71" t="s">
        <v>1040</v>
      </c>
      <c r="B71">
        <v>69</v>
      </c>
      <c r="C71" t="s">
        <v>981</v>
      </c>
    </row>
    <row r="72" spans="1:3" x14ac:dyDescent="0.25">
      <c r="A72" t="s">
        <v>1040</v>
      </c>
      <c r="B72">
        <v>70</v>
      </c>
      <c r="C72" t="s">
        <v>982</v>
      </c>
    </row>
    <row r="73" spans="1:3" x14ac:dyDescent="0.25">
      <c r="A73" t="s">
        <v>1040</v>
      </c>
      <c r="B73">
        <v>71</v>
      </c>
      <c r="C73" t="s">
        <v>983</v>
      </c>
    </row>
    <row r="74" spans="1:3" x14ac:dyDescent="0.25">
      <c r="A74" t="s">
        <v>1040</v>
      </c>
      <c r="B74">
        <v>72</v>
      </c>
      <c r="C74" t="s">
        <v>984</v>
      </c>
    </row>
    <row r="75" spans="1:3" x14ac:dyDescent="0.25">
      <c r="A75" t="s">
        <v>1040</v>
      </c>
      <c r="B75">
        <v>73</v>
      </c>
      <c r="C75" t="s">
        <v>985</v>
      </c>
    </row>
    <row r="76" spans="1:3" x14ac:dyDescent="0.25">
      <c r="A76" t="s">
        <v>1040</v>
      </c>
      <c r="B76">
        <v>74</v>
      </c>
      <c r="C76" t="s">
        <v>986</v>
      </c>
    </row>
    <row r="77" spans="1:3" x14ac:dyDescent="0.25">
      <c r="A77" t="s">
        <v>1040</v>
      </c>
      <c r="B77">
        <v>75</v>
      </c>
      <c r="C77" t="s">
        <v>987</v>
      </c>
    </row>
    <row r="78" spans="1:3" x14ac:dyDescent="0.25">
      <c r="A78" t="s">
        <v>1040</v>
      </c>
      <c r="B78">
        <v>76</v>
      </c>
      <c r="C78" t="s">
        <v>988</v>
      </c>
    </row>
    <row r="79" spans="1:3" x14ac:dyDescent="0.25">
      <c r="A79" t="s">
        <v>1040</v>
      </c>
      <c r="B79">
        <v>77</v>
      </c>
      <c r="C79" t="s">
        <v>989</v>
      </c>
    </row>
    <row r="80" spans="1:3" x14ac:dyDescent="0.25">
      <c r="A80" t="s">
        <v>1040</v>
      </c>
      <c r="B80">
        <v>78</v>
      </c>
      <c r="C80" t="s">
        <v>990</v>
      </c>
    </row>
    <row r="81" spans="1:3" x14ac:dyDescent="0.25">
      <c r="A81" t="s">
        <v>1040</v>
      </c>
      <c r="B81">
        <v>79</v>
      </c>
      <c r="C81" t="s">
        <v>991</v>
      </c>
    </row>
    <row r="82" spans="1:3" x14ac:dyDescent="0.25">
      <c r="A82" t="s">
        <v>1040</v>
      </c>
      <c r="B82">
        <v>80</v>
      </c>
      <c r="C82" t="s">
        <v>992</v>
      </c>
    </row>
    <row r="83" spans="1:3" x14ac:dyDescent="0.25">
      <c r="A83" t="s">
        <v>1040</v>
      </c>
      <c r="B83">
        <v>81</v>
      </c>
      <c r="C83" t="s">
        <v>993</v>
      </c>
    </row>
    <row r="84" spans="1:3" x14ac:dyDescent="0.25">
      <c r="A84" t="s">
        <v>1040</v>
      </c>
      <c r="B84">
        <v>82</v>
      </c>
      <c r="C84" t="s">
        <v>994</v>
      </c>
    </row>
    <row r="85" spans="1:3" x14ac:dyDescent="0.25">
      <c r="A85" t="s">
        <v>1040</v>
      </c>
      <c r="B85">
        <v>83</v>
      </c>
      <c r="C85" t="s">
        <v>995</v>
      </c>
    </row>
    <row r="86" spans="1:3" x14ac:dyDescent="0.25">
      <c r="A86" t="s">
        <v>1040</v>
      </c>
      <c r="B86">
        <v>84</v>
      </c>
      <c r="C86" t="s">
        <v>996</v>
      </c>
    </row>
    <row r="87" spans="1:3" x14ac:dyDescent="0.25">
      <c r="A87" t="s">
        <v>1040</v>
      </c>
      <c r="B87">
        <v>85</v>
      </c>
      <c r="C87" t="s">
        <v>997</v>
      </c>
    </row>
    <row r="88" spans="1:3" x14ac:dyDescent="0.25">
      <c r="A88" t="s">
        <v>1040</v>
      </c>
      <c r="B88">
        <v>86</v>
      </c>
      <c r="C88" t="s">
        <v>998</v>
      </c>
    </row>
    <row r="89" spans="1:3" x14ac:dyDescent="0.25">
      <c r="A89" t="s">
        <v>1040</v>
      </c>
      <c r="B89">
        <v>87</v>
      </c>
      <c r="C89" t="s">
        <v>999</v>
      </c>
    </row>
    <row r="90" spans="1:3" x14ac:dyDescent="0.25">
      <c r="A90" t="s">
        <v>1040</v>
      </c>
      <c r="B90">
        <v>88</v>
      </c>
      <c r="C90" t="s">
        <v>1000</v>
      </c>
    </row>
    <row r="91" spans="1:3" x14ac:dyDescent="0.25">
      <c r="A91" t="s">
        <v>1040</v>
      </c>
      <c r="B91">
        <v>89</v>
      </c>
      <c r="C91" t="s">
        <v>1001</v>
      </c>
    </row>
    <row r="92" spans="1:3" x14ac:dyDescent="0.25">
      <c r="A92" t="s">
        <v>1040</v>
      </c>
      <c r="B92">
        <v>90</v>
      </c>
      <c r="C92" t="s">
        <v>1002</v>
      </c>
    </row>
    <row r="93" spans="1:3" x14ac:dyDescent="0.25">
      <c r="A93" t="s">
        <v>1040</v>
      </c>
      <c r="B93">
        <v>91</v>
      </c>
      <c r="C93" t="s">
        <v>1003</v>
      </c>
    </row>
    <row r="94" spans="1:3" x14ac:dyDescent="0.25">
      <c r="A94" t="s">
        <v>1040</v>
      </c>
      <c r="B94">
        <v>92</v>
      </c>
      <c r="C94" t="s">
        <v>1004</v>
      </c>
    </row>
    <row r="95" spans="1:3" x14ac:dyDescent="0.25">
      <c r="A95" t="s">
        <v>1040</v>
      </c>
      <c r="B95">
        <v>93</v>
      </c>
      <c r="C95" t="s">
        <v>1005</v>
      </c>
    </row>
    <row r="96" spans="1:3" x14ac:dyDescent="0.25">
      <c r="A96" t="s">
        <v>1040</v>
      </c>
      <c r="B96">
        <v>94</v>
      </c>
      <c r="C96" t="s">
        <v>1006</v>
      </c>
    </row>
    <row r="97" spans="1:3" x14ac:dyDescent="0.25">
      <c r="A97" t="s">
        <v>1040</v>
      </c>
      <c r="B97">
        <v>95</v>
      </c>
      <c r="C97" t="s">
        <v>1007</v>
      </c>
    </row>
    <row r="98" spans="1:3" x14ac:dyDescent="0.25">
      <c r="A98" t="s">
        <v>1040</v>
      </c>
      <c r="B98">
        <v>96</v>
      </c>
      <c r="C98" t="s">
        <v>1008</v>
      </c>
    </row>
    <row r="99" spans="1:3" x14ac:dyDescent="0.25">
      <c r="A99" t="s">
        <v>1040</v>
      </c>
      <c r="B99">
        <v>97</v>
      </c>
      <c r="C99" t="s">
        <v>1009</v>
      </c>
    </row>
    <row r="100" spans="1:3" x14ac:dyDescent="0.25">
      <c r="A100" t="s">
        <v>1040</v>
      </c>
      <c r="B100">
        <v>98</v>
      </c>
      <c r="C100" t="s">
        <v>1010</v>
      </c>
    </row>
    <row r="101" spans="1:3" x14ac:dyDescent="0.25">
      <c r="A101" t="s">
        <v>1040</v>
      </c>
      <c r="B101">
        <v>99</v>
      </c>
      <c r="C101" t="s">
        <v>1011</v>
      </c>
    </row>
    <row r="102" spans="1:3" x14ac:dyDescent="0.25">
      <c r="A102" t="s">
        <v>1040</v>
      </c>
      <c r="B102">
        <v>100</v>
      </c>
      <c r="C102" t="s">
        <v>1012</v>
      </c>
    </row>
    <row r="103" spans="1:3" x14ac:dyDescent="0.25">
      <c r="A103" t="s">
        <v>1040</v>
      </c>
      <c r="B103">
        <v>101</v>
      </c>
      <c r="C103" t="s">
        <v>1013</v>
      </c>
    </row>
    <row r="104" spans="1:3" x14ac:dyDescent="0.25">
      <c r="A104" t="s">
        <v>1040</v>
      </c>
      <c r="B104">
        <v>102</v>
      </c>
      <c r="C104" t="s">
        <v>1014</v>
      </c>
    </row>
    <row r="105" spans="1:3" x14ac:dyDescent="0.25">
      <c r="A105" t="s">
        <v>1040</v>
      </c>
      <c r="B105">
        <v>103</v>
      </c>
      <c r="C105" t="s">
        <v>1015</v>
      </c>
    </row>
    <row r="106" spans="1:3" x14ac:dyDescent="0.25">
      <c r="A106" t="s">
        <v>1040</v>
      </c>
      <c r="B106">
        <v>104</v>
      </c>
      <c r="C106" t="s">
        <v>1016</v>
      </c>
    </row>
    <row r="107" spans="1:3" x14ac:dyDescent="0.25">
      <c r="A107" t="s">
        <v>1040</v>
      </c>
      <c r="B107">
        <v>105</v>
      </c>
      <c r="C107" t="s">
        <v>1017</v>
      </c>
    </row>
    <row r="108" spans="1:3" x14ac:dyDescent="0.25">
      <c r="A108" t="s">
        <v>1040</v>
      </c>
      <c r="B108">
        <v>106</v>
      </c>
      <c r="C108" t="s">
        <v>1018</v>
      </c>
    </row>
    <row r="109" spans="1:3" x14ac:dyDescent="0.25">
      <c r="A109" t="s">
        <v>1040</v>
      </c>
      <c r="B109">
        <v>107</v>
      </c>
      <c r="C109" t="s">
        <v>1019</v>
      </c>
    </row>
    <row r="110" spans="1:3" x14ac:dyDescent="0.25">
      <c r="A110" t="s">
        <v>1040</v>
      </c>
      <c r="B110">
        <v>108</v>
      </c>
      <c r="C110" t="s">
        <v>1020</v>
      </c>
    </row>
    <row r="111" spans="1:3" x14ac:dyDescent="0.25">
      <c r="A111" t="s">
        <v>1040</v>
      </c>
      <c r="B111">
        <v>109</v>
      </c>
      <c r="C111" t="s">
        <v>1021</v>
      </c>
    </row>
    <row r="112" spans="1:3" x14ac:dyDescent="0.25">
      <c r="A112" t="s">
        <v>1040</v>
      </c>
      <c r="B112">
        <v>110</v>
      </c>
      <c r="C112" t="s">
        <v>1022</v>
      </c>
    </row>
    <row r="113" spans="1:3" x14ac:dyDescent="0.25">
      <c r="A113" t="s">
        <v>1040</v>
      </c>
      <c r="B113">
        <v>111</v>
      </c>
      <c r="C113" t="s">
        <v>1023</v>
      </c>
    </row>
    <row r="114" spans="1:3" x14ac:dyDescent="0.25">
      <c r="A114" t="s">
        <v>1040</v>
      </c>
      <c r="B114">
        <v>112</v>
      </c>
      <c r="C114" t="s">
        <v>1024</v>
      </c>
    </row>
    <row r="115" spans="1:3" x14ac:dyDescent="0.25">
      <c r="A115" t="s">
        <v>1040</v>
      </c>
      <c r="B115">
        <v>113</v>
      </c>
      <c r="C115" t="s">
        <v>2167</v>
      </c>
    </row>
  </sheetData>
  <phoneticPr fontId="31" type="noConversion"/>
  <pageMargins left="0.7" right="0.7" top="0.75" bottom="0.75" header="0.3" footer="0.3"/>
  <pageSetup paperSize="256" orientation="portrait" horizontalDpi="203" verticalDpi="20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48E32-F31F-4A68-9803-22AA71D6BEF3}">
  <sheetPr codeName="Sheet16">
    <pageSetUpPr fitToPage="1"/>
  </sheetPr>
  <dimension ref="B1:E21"/>
  <sheetViews>
    <sheetView tabSelected="1" workbookViewId="0">
      <selection activeCell="I21" sqref="I21"/>
    </sheetView>
  </sheetViews>
  <sheetFormatPr defaultRowHeight="15" x14ac:dyDescent="0.25"/>
  <cols>
    <col min="2" max="2" width="51.28515625" bestFit="1" customWidth="1"/>
    <col min="3" max="3" width="15.85546875" customWidth="1"/>
    <col min="4" max="4" width="14.5703125" customWidth="1"/>
    <col min="5" max="5" width="74.5703125" customWidth="1"/>
  </cols>
  <sheetData>
    <row r="1" spans="2:5" ht="15.75" thickBot="1" x14ac:dyDescent="0.3">
      <c r="B1" s="9" t="s">
        <v>557</v>
      </c>
      <c r="C1" s="9" t="s">
        <v>1034</v>
      </c>
      <c r="D1" s="9" t="s">
        <v>1026</v>
      </c>
      <c r="E1" s="278" t="s">
        <v>1371</v>
      </c>
    </row>
    <row r="2" spans="2:5" x14ac:dyDescent="0.25">
      <c r="B2" s="243" t="s">
        <v>1200</v>
      </c>
      <c r="C2" s="244" t="s">
        <v>1035</v>
      </c>
      <c r="D2" s="244" t="s">
        <v>925</v>
      </c>
      <c r="E2" s="10"/>
    </row>
    <row r="3" spans="2:5" x14ac:dyDescent="0.25">
      <c r="B3" s="205" t="s">
        <v>417</v>
      </c>
      <c r="C3" s="229" t="s">
        <v>1035</v>
      </c>
      <c r="D3" s="229" t="s">
        <v>920</v>
      </c>
      <c r="E3" s="10"/>
    </row>
    <row r="4" spans="2:5" x14ac:dyDescent="0.25">
      <c r="B4" s="205" t="s">
        <v>413</v>
      </c>
      <c r="C4" s="229" t="s">
        <v>1035</v>
      </c>
      <c r="D4" s="229" t="s">
        <v>914</v>
      </c>
      <c r="E4" s="10"/>
    </row>
    <row r="5" spans="2:5" x14ac:dyDescent="0.25">
      <c r="B5" s="205" t="s">
        <v>414</v>
      </c>
      <c r="C5" s="229" t="s">
        <v>1035</v>
      </c>
      <c r="D5" s="229" t="s">
        <v>916</v>
      </c>
      <c r="E5" s="10"/>
    </row>
    <row r="6" spans="2:5" x14ac:dyDescent="0.25">
      <c r="B6" s="205" t="s">
        <v>415</v>
      </c>
      <c r="C6" s="229" t="s">
        <v>1035</v>
      </c>
      <c r="D6" s="229" t="s">
        <v>924</v>
      </c>
      <c r="E6" s="10"/>
    </row>
    <row r="7" spans="2:5" x14ac:dyDescent="0.25">
      <c r="B7" s="205" t="s">
        <v>693</v>
      </c>
      <c r="C7" s="229" t="s">
        <v>1035</v>
      </c>
      <c r="D7" s="229" t="s">
        <v>921</v>
      </c>
      <c r="E7" s="10"/>
    </row>
    <row r="8" spans="2:5" x14ac:dyDescent="0.25">
      <c r="B8" s="243" t="s">
        <v>1031</v>
      </c>
      <c r="C8" s="244" t="s">
        <v>1035</v>
      </c>
      <c r="D8" s="244" t="s">
        <v>913</v>
      </c>
      <c r="E8" s="10"/>
    </row>
    <row r="9" spans="2:5" x14ac:dyDescent="0.25">
      <c r="B9" s="243" t="s">
        <v>1203</v>
      </c>
      <c r="C9" s="244" t="s">
        <v>1035</v>
      </c>
      <c r="D9" s="244" t="s">
        <v>926</v>
      </c>
      <c r="E9" s="10"/>
    </row>
    <row r="10" spans="2:5" x14ac:dyDescent="0.25">
      <c r="B10" s="243" t="s">
        <v>1369</v>
      </c>
      <c r="C10" s="244" t="s">
        <v>1168</v>
      </c>
      <c r="D10" s="244" t="s">
        <v>946</v>
      </c>
      <c r="E10" s="10"/>
    </row>
    <row r="11" spans="2:5" x14ac:dyDescent="0.25">
      <c r="B11" s="243" t="s">
        <v>1370</v>
      </c>
      <c r="C11" s="244" t="s">
        <v>1168</v>
      </c>
      <c r="D11" s="244" t="s">
        <v>937</v>
      </c>
      <c r="E11" s="10"/>
    </row>
    <row r="12" spans="2:5" x14ac:dyDescent="0.25">
      <c r="B12" s="179" t="s">
        <v>1189</v>
      </c>
      <c r="C12" s="244" t="s">
        <v>1168</v>
      </c>
      <c r="D12" s="244" t="s">
        <v>938</v>
      </c>
      <c r="E12" s="10"/>
    </row>
    <row r="13" spans="2:5" x14ac:dyDescent="0.25">
      <c r="B13" s="243" t="s">
        <v>1193</v>
      </c>
      <c r="C13" s="244" t="s">
        <v>1168</v>
      </c>
      <c r="D13" s="244" t="s">
        <v>942</v>
      </c>
      <c r="E13" s="10"/>
    </row>
    <row r="14" spans="2:5" x14ac:dyDescent="0.25">
      <c r="B14" s="243" t="s">
        <v>1195</v>
      </c>
      <c r="C14" s="244" t="s">
        <v>1168</v>
      </c>
      <c r="D14" s="244" t="s">
        <v>943</v>
      </c>
      <c r="E14" s="10"/>
    </row>
    <row r="15" spans="2:5" x14ac:dyDescent="0.25">
      <c r="B15" s="205" t="s">
        <v>1244</v>
      </c>
      <c r="C15" s="230" t="s">
        <v>1204</v>
      </c>
      <c r="D15" s="230" t="s">
        <v>952</v>
      </c>
      <c r="E15" s="10"/>
    </row>
    <row r="16" spans="2:5" x14ac:dyDescent="0.25">
      <c r="B16" s="243" t="s">
        <v>1202</v>
      </c>
      <c r="C16" s="244" t="s">
        <v>1204</v>
      </c>
      <c r="D16" s="244" t="s">
        <v>972</v>
      </c>
      <c r="E16" s="10"/>
    </row>
    <row r="17" spans="2:5" x14ac:dyDescent="0.25">
      <c r="B17" s="243" t="s">
        <v>1249</v>
      </c>
      <c r="C17" s="244" t="s">
        <v>1204</v>
      </c>
      <c r="D17" s="244" t="s">
        <v>970</v>
      </c>
      <c r="E17" s="10"/>
    </row>
    <row r="18" spans="2:5" x14ac:dyDescent="0.25">
      <c r="B18" s="205" t="s">
        <v>1243</v>
      </c>
      <c r="C18" s="230" t="s">
        <v>1204</v>
      </c>
      <c r="D18" s="230" t="s">
        <v>965</v>
      </c>
      <c r="E18" s="10"/>
    </row>
    <row r="19" spans="2:5" x14ac:dyDescent="0.25">
      <c r="B19" s="243" t="s">
        <v>478</v>
      </c>
      <c r="C19" s="253" t="s">
        <v>1300</v>
      </c>
      <c r="D19" s="253" t="s">
        <v>997</v>
      </c>
      <c r="E19" s="10"/>
    </row>
    <row r="20" spans="2:5" x14ac:dyDescent="0.25">
      <c r="B20" s="179" t="s">
        <v>335</v>
      </c>
      <c r="C20" s="244" t="s">
        <v>1307</v>
      </c>
      <c r="D20" s="244" t="s">
        <v>1012</v>
      </c>
      <c r="E20" s="10"/>
    </row>
    <row r="21" spans="2:5" x14ac:dyDescent="0.25">
      <c r="B21" s="243" t="s">
        <v>1366</v>
      </c>
      <c r="C21" s="244" t="s">
        <v>1307</v>
      </c>
      <c r="D21" s="244" t="s">
        <v>1024</v>
      </c>
      <c r="E21" s="10"/>
    </row>
  </sheetData>
  <autoFilter ref="B1:E1" xr:uid="{48148E32-F31F-4A68-9803-22AA71D6BEF3}">
    <sortState xmlns:xlrd2="http://schemas.microsoft.com/office/spreadsheetml/2017/richdata2" ref="B2:E21">
      <sortCondition ref="C1"/>
    </sortState>
  </autoFilter>
  <pageMargins left="0.7" right="0.7" top="0.75" bottom="0.75" header="0.3" footer="0.3"/>
  <pageSetup paperSize="256" scale="73" orientation="landscape" horizontalDpi="4294967293" verticalDpi="20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80D35-EDE8-48B0-9E20-417E75956EA3}">
  <sheetPr codeName="Sheet1"/>
  <dimension ref="B1:BQ115"/>
  <sheetViews>
    <sheetView workbookViewId="0"/>
  </sheetViews>
  <sheetFormatPr defaultRowHeight="15" x14ac:dyDescent="0.25"/>
  <cols>
    <col min="3" max="3" width="64.140625" customWidth="1"/>
    <col min="4" max="4" width="17" bestFit="1" customWidth="1"/>
    <col min="5" max="7" width="64.140625" customWidth="1"/>
    <col min="8" max="9" width="107.140625" customWidth="1"/>
    <col min="10" max="29" width="64.140625" customWidth="1"/>
    <col min="30" max="30" width="118.140625" customWidth="1"/>
    <col min="31" max="31" width="13.140625" bestFit="1" customWidth="1"/>
    <col min="32" max="33" width="19.85546875" bestFit="1" customWidth="1"/>
  </cols>
  <sheetData>
    <row r="1" spans="2:69" x14ac:dyDescent="0.25">
      <c r="E1">
        <v>1</v>
      </c>
      <c r="F1">
        <v>2</v>
      </c>
      <c r="G1">
        <v>3</v>
      </c>
      <c r="H1">
        <v>4</v>
      </c>
      <c r="I1">
        <v>5</v>
      </c>
      <c r="J1">
        <v>6</v>
      </c>
      <c r="K1">
        <v>7</v>
      </c>
      <c r="L1">
        <v>8</v>
      </c>
      <c r="M1">
        <v>9</v>
      </c>
      <c r="N1">
        <v>10</v>
      </c>
      <c r="O1">
        <v>11</v>
      </c>
      <c r="P1">
        <v>12</v>
      </c>
      <c r="Q1">
        <v>13</v>
      </c>
      <c r="R1">
        <v>14</v>
      </c>
      <c r="S1">
        <v>15</v>
      </c>
      <c r="T1">
        <v>16</v>
      </c>
      <c r="U1">
        <v>17</v>
      </c>
      <c r="V1">
        <v>18</v>
      </c>
      <c r="W1">
        <v>19</v>
      </c>
      <c r="X1">
        <v>20</v>
      </c>
      <c r="Y1">
        <v>21</v>
      </c>
      <c r="Z1">
        <v>22</v>
      </c>
      <c r="AA1">
        <v>23</v>
      </c>
      <c r="AB1">
        <v>24</v>
      </c>
    </row>
    <row r="2" spans="2:69" x14ac:dyDescent="0.25">
      <c r="B2" t="s">
        <v>1372</v>
      </c>
      <c r="C2" s="349" t="s">
        <v>2471</v>
      </c>
      <c r="D2" t="s">
        <v>1421</v>
      </c>
      <c r="E2" t="s">
        <v>1422</v>
      </c>
      <c r="F2" t="s">
        <v>1423</v>
      </c>
      <c r="G2" t="s">
        <v>1424</v>
      </c>
      <c r="H2" t="s">
        <v>1425</v>
      </c>
      <c r="I2" t="s">
        <v>1426</v>
      </c>
      <c r="J2" t="s">
        <v>1427</v>
      </c>
      <c r="K2" t="s">
        <v>2846</v>
      </c>
      <c r="L2" t="s">
        <v>1428</v>
      </c>
      <c r="M2" t="s">
        <v>1429</v>
      </c>
      <c r="N2" t="s">
        <v>1430</v>
      </c>
      <c r="O2" t="s">
        <v>1431</v>
      </c>
      <c r="P2" t="s">
        <v>1432</v>
      </c>
      <c r="Q2" t="s">
        <v>1433</v>
      </c>
      <c r="R2" t="s">
        <v>1434</v>
      </c>
      <c r="S2" t="s">
        <v>1426</v>
      </c>
      <c r="T2" t="s">
        <v>1435</v>
      </c>
      <c r="U2" t="s">
        <v>1436</v>
      </c>
      <c r="V2" t="s">
        <v>1437</v>
      </c>
      <c r="W2" t="s">
        <v>1438</v>
      </c>
      <c r="X2" t="s">
        <v>1439</v>
      </c>
      <c r="Y2" t="s">
        <v>1440</v>
      </c>
      <c r="Z2" t="s">
        <v>1441</v>
      </c>
      <c r="AA2" t="s">
        <v>1442</v>
      </c>
      <c r="AB2" t="s">
        <v>1443</v>
      </c>
      <c r="AC2" t="s">
        <v>1392</v>
      </c>
      <c r="AD2" t="s">
        <v>1393</v>
      </c>
      <c r="AE2" t="s">
        <v>1383</v>
      </c>
      <c r="AF2" t="s">
        <v>2067</v>
      </c>
      <c r="AG2" t="s">
        <v>1384</v>
      </c>
      <c r="AH2" s="21" t="s">
        <v>1387</v>
      </c>
      <c r="AI2" s="21" t="s">
        <v>1385</v>
      </c>
      <c r="AJ2" t="s">
        <v>1386</v>
      </c>
      <c r="AK2" s="21" t="s">
        <v>1388</v>
      </c>
      <c r="AL2" s="21" t="s">
        <v>2066</v>
      </c>
      <c r="AM2" s="21" t="s">
        <v>1389</v>
      </c>
      <c r="AN2" s="21" t="s">
        <v>1390</v>
      </c>
      <c r="AO2" s="21" t="s">
        <v>1391</v>
      </c>
      <c r="AP2" s="21" t="s">
        <v>2069</v>
      </c>
      <c r="AQ2" t="s">
        <v>1394</v>
      </c>
      <c r="AR2" t="s">
        <v>1394</v>
      </c>
      <c r="AS2" t="s">
        <v>1394</v>
      </c>
      <c r="AT2" t="s">
        <v>1394</v>
      </c>
      <c r="AU2" t="s">
        <v>1394</v>
      </c>
      <c r="AV2" t="s">
        <v>1394</v>
      </c>
      <c r="AW2" t="s">
        <v>1394</v>
      </c>
      <c r="AX2" t="s">
        <v>1394</v>
      </c>
      <c r="AY2" t="s">
        <v>1394</v>
      </c>
      <c r="AZ2" t="s">
        <v>1394</v>
      </c>
      <c r="BA2" t="s">
        <v>1394</v>
      </c>
      <c r="BB2" t="s">
        <v>1394</v>
      </c>
      <c r="BC2" t="s">
        <v>1394</v>
      </c>
      <c r="BD2" t="s">
        <v>1394</v>
      </c>
      <c r="BE2" t="s">
        <v>1394</v>
      </c>
      <c r="BF2" t="s">
        <v>1394</v>
      </c>
      <c r="BG2" t="s">
        <v>1394</v>
      </c>
      <c r="BH2" t="s">
        <v>1394</v>
      </c>
      <c r="BI2" t="s">
        <v>1394</v>
      </c>
      <c r="BJ2" t="s">
        <v>1394</v>
      </c>
      <c r="BK2" t="s">
        <v>1394</v>
      </c>
      <c r="BL2" t="s">
        <v>1394</v>
      </c>
      <c r="BM2" t="s">
        <v>1394</v>
      </c>
      <c r="BN2" t="s">
        <v>1394</v>
      </c>
      <c r="BO2" t="s">
        <v>1394</v>
      </c>
      <c r="BP2" t="s">
        <v>1394</v>
      </c>
      <c r="BQ2" t="s">
        <v>2065</v>
      </c>
    </row>
    <row r="3" spans="2:69" x14ac:dyDescent="0.25">
      <c r="B3" t="s">
        <v>913</v>
      </c>
      <c r="C3" s="279" t="str">
        <f>_xlfn.TEXTJOIN("|",TRUE,E3:AB3)</f>
        <v>https://viking-pictures.s3.us-west-1.amazonaws.com/AA1155/A11.+Trunk+Electric+Shock+SET+2+(1).JPG|https://viking-pictures.s3.us-west-1.amazonaws.com/AA1155/A11.+Trunk+Electric+Shock+SET+2+(2).JPG|https://viking-pictures.s3.us-west-1.amazonaws.com/AA1155/A11.+Trunk+Electric+Shock+SET+2+(3).JPG|https://viking-pictures.s3.us-west-1.amazonaws.com/AA1155/A11.+Trunk+Electric+Shock+SET+2+(4).JPG|https://viking-pictures.s3.us-west-1.amazonaws.com/AA1155/A11.+Trunk+Electric+Shock+SET+2+(5).JPG</v>
      </c>
      <c r="D3" s="281">
        <f>_xlfn.XLOOKUP(B3,'3. Keep &amp; Toss Items'!O:O,'3. Keep &amp; Toss Items'!U:U,"NOT FOUND",0,1)</f>
        <v>5</v>
      </c>
      <c r="E3" s="279" t="str">
        <f t="shared" ref="E3:E34" si="0">IF($D3&gt;=E$1,CONCATENATE($AC3,$AD3,$AQ3,AR3,$BP3),"")</f>
        <v>https://viking-pictures.s3.us-west-1.amazonaws.com/AA1155/A11.+Trunk+Electric+Shock+SET+2+(1).JPG</v>
      </c>
      <c r="F3" s="279" t="str">
        <f t="shared" ref="F3:AB3" si="1">IF($D3&gt;=F1,CONCATENATE($AC3,$AD3,$AQ3,AS3,$BP3),"")</f>
        <v>https://viking-pictures.s3.us-west-1.amazonaws.com/AA1155/A11.+Trunk+Electric+Shock+SET+2+(2).JPG</v>
      </c>
      <c r="G3" s="279" t="str">
        <f t="shared" si="1"/>
        <v>https://viking-pictures.s3.us-west-1.amazonaws.com/AA1155/A11.+Trunk+Electric+Shock+SET+2+(3).JPG</v>
      </c>
      <c r="H3" s="279" t="str">
        <f t="shared" si="1"/>
        <v>https://viking-pictures.s3.us-west-1.amazonaws.com/AA1155/A11.+Trunk+Electric+Shock+SET+2+(4).JPG</v>
      </c>
      <c r="I3" s="279" t="str">
        <f t="shared" si="1"/>
        <v>https://viking-pictures.s3.us-west-1.amazonaws.com/AA1155/A11.+Trunk+Electric+Shock+SET+2+(5).JPG</v>
      </c>
      <c r="J3" s="279" t="str">
        <f t="shared" si="1"/>
        <v/>
      </c>
      <c r="K3" s="279" t="str">
        <f t="shared" si="1"/>
        <v/>
      </c>
      <c r="L3" s="279" t="str">
        <f t="shared" si="1"/>
        <v/>
      </c>
      <c r="M3" s="279" t="str">
        <f t="shared" si="1"/>
        <v/>
      </c>
      <c r="N3" s="279" t="str">
        <f t="shared" si="1"/>
        <v/>
      </c>
      <c r="O3" s="279" t="str">
        <f t="shared" si="1"/>
        <v/>
      </c>
      <c r="P3" s="279" t="str">
        <f t="shared" si="1"/>
        <v/>
      </c>
      <c r="Q3" s="279" t="str">
        <f t="shared" si="1"/>
        <v/>
      </c>
      <c r="R3" s="279" t="str">
        <f t="shared" si="1"/>
        <v/>
      </c>
      <c r="S3" s="279" t="str">
        <f t="shared" si="1"/>
        <v/>
      </c>
      <c r="T3" s="279" t="str">
        <f t="shared" si="1"/>
        <v/>
      </c>
      <c r="U3" s="279" t="str">
        <f t="shared" si="1"/>
        <v/>
      </c>
      <c r="V3" s="279" t="str">
        <f t="shared" si="1"/>
        <v/>
      </c>
      <c r="W3" s="279" t="str">
        <f t="shared" si="1"/>
        <v/>
      </c>
      <c r="X3" s="279" t="str">
        <f t="shared" si="1"/>
        <v/>
      </c>
      <c r="Y3" s="279" t="str">
        <f t="shared" si="1"/>
        <v/>
      </c>
      <c r="Z3" s="279" t="str">
        <f t="shared" si="1"/>
        <v/>
      </c>
      <c r="AA3" s="279" t="str">
        <f t="shared" si="1"/>
        <v/>
      </c>
      <c r="AB3" s="279" t="str">
        <f t="shared" si="1"/>
        <v/>
      </c>
      <c r="AC3" s="104" t="s">
        <v>1382</v>
      </c>
      <c r="AD3" s="279" t="str">
        <f>AP3</f>
        <v>A11.+Trunk+Electric+Shock+SET+2</v>
      </c>
      <c r="AE3" s="279" t="str">
        <f>_xlfn.XLOOKUP(B3,'3. Keep &amp; Toss Items'!O:O,'3. Keep &amp; Toss Items'!Q:Q,"NOT FOUND",0,1)</f>
        <v>A11. Trunk Electric Shock SET 2</v>
      </c>
      <c r="AF3" s="279" t="str">
        <f>SUBSTITUTE(AE3,"+","%2B")</f>
        <v>A11. Trunk Electric Shock SET 2</v>
      </c>
      <c r="AG3" s="279" t="str">
        <f>SUBSTITUTE(AF3," ","+")</f>
        <v>A11.+Trunk+Electric+Shock+SET+2</v>
      </c>
      <c r="AH3" s="279" t="str">
        <f>SUBSTITUTE(AG3,",","%2C")</f>
        <v>A11.+Trunk+Electric+Shock+SET+2</v>
      </c>
      <c r="AI3" s="279" t="str">
        <f>SUBSTITUTE(AH3,";","%3B")</f>
        <v>A11.+Trunk+Electric+Shock+SET+2</v>
      </c>
      <c r="AJ3" s="279" t="str">
        <f>SUBSTITUTE(AI3,":","%3A")</f>
        <v>A11.+Trunk+Electric+Shock+SET+2</v>
      </c>
      <c r="AK3" s="279" t="str">
        <f>SUBSTITUTE(AJ3,"@","40%")</f>
        <v>A11.+Trunk+Electric+Shock+SET+2</v>
      </c>
      <c r="AL3" s="279" t="str">
        <f>SUBSTITUTE(AK3,"&amp;","%26")</f>
        <v>A11.+Trunk+Electric+Shock+SET+2</v>
      </c>
      <c r="AM3" s="279" t="str">
        <f>SUBSTITUTE(AL3,"=","%3D")</f>
        <v>A11.+Trunk+Electric+Shock+SET+2</v>
      </c>
      <c r="AN3" s="279" t="str">
        <f t="shared" ref="AN3:AN34" si="2">SUBSTITUTE(AM3,"?","%3F")</f>
        <v>A11.+Trunk+Electric+Shock+SET+2</v>
      </c>
      <c r="AO3" s="279" t="str">
        <f>SUBSTITUTE(AN3,"/","%2F")</f>
        <v>A11.+Trunk+Electric+Shock+SET+2</v>
      </c>
      <c r="AP3" s="279" t="str">
        <f>SUBSTITUTE(AO3,"""","")</f>
        <v>A11.+Trunk+Electric+Shock+SET+2</v>
      </c>
      <c r="AQ3" s="280" t="s">
        <v>1395</v>
      </c>
      <c r="AR3" s="280" t="s">
        <v>1396</v>
      </c>
      <c r="AS3" s="280" t="s">
        <v>1397</v>
      </c>
      <c r="AT3" s="280" t="s">
        <v>1398</v>
      </c>
      <c r="AU3" s="280" t="s">
        <v>1399</v>
      </c>
      <c r="AV3" s="280" t="s">
        <v>1400</v>
      </c>
      <c r="AW3" s="280" t="s">
        <v>1401</v>
      </c>
      <c r="AX3" s="280" t="s">
        <v>1402</v>
      </c>
      <c r="AY3" s="280" t="s">
        <v>1403</v>
      </c>
      <c r="AZ3" s="280" t="s">
        <v>1404</v>
      </c>
      <c r="BA3" s="280" t="s">
        <v>1405</v>
      </c>
      <c r="BB3" s="280" t="s">
        <v>1406</v>
      </c>
      <c r="BC3" s="280" t="s">
        <v>1419</v>
      </c>
      <c r="BD3" s="280" t="s">
        <v>1407</v>
      </c>
      <c r="BE3" s="280" t="s">
        <v>1408</v>
      </c>
      <c r="BF3" s="280" t="s">
        <v>1409</v>
      </c>
      <c r="BG3" s="280" t="s">
        <v>1410</v>
      </c>
      <c r="BH3" s="280" t="s">
        <v>1411</v>
      </c>
      <c r="BI3" s="280" t="s">
        <v>1412</v>
      </c>
      <c r="BJ3" s="280" t="s">
        <v>1413</v>
      </c>
      <c r="BK3" s="280" t="s">
        <v>1414</v>
      </c>
      <c r="BL3" s="280" t="s">
        <v>1415</v>
      </c>
      <c r="BM3" s="280" t="s">
        <v>1416</v>
      </c>
      <c r="BN3" s="280" t="s">
        <v>1417</v>
      </c>
      <c r="BO3" s="280" t="s">
        <v>1418</v>
      </c>
      <c r="BP3" s="280" t="s">
        <v>1420</v>
      </c>
      <c r="BQ3" s="134" t="str">
        <f t="shared" ref="BQ3:BQ34" si="3">HYPERLINK(E3,"Pic Example")</f>
        <v>Pic Example</v>
      </c>
    </row>
    <row r="4" spans="2:69" x14ac:dyDescent="0.25">
      <c r="B4" t="s">
        <v>914</v>
      </c>
      <c r="C4" s="279" t="str">
        <f>_xlfn.TEXTJOIN("|",TRUE,E4:AB4)</f>
        <v>https://viking-pictures.s3.us-west-1.amazonaws.com/AA1155/A12.+Airbag%2C+KNEE+-+FRONT+LEFT+(DRIVER)+(1).JPG|https://viking-pictures.s3.us-west-1.amazonaws.com/AA1155/A12.+Airbag%2C+KNEE+-+FRONT+LEFT+(DRIVER)+(2).JPG|https://viking-pictures.s3.us-west-1.amazonaws.com/AA1155/A12.+Airbag%2C+KNEE+-+FRONT+LEFT+(DRIVER)+(3).JPG|https://viking-pictures.s3.us-west-1.amazonaws.com/AA1155/A12.+Airbag%2C+KNEE+-+FRONT+LEFT+(DRIVER)+(4).JPG|https://viking-pictures.s3.us-west-1.amazonaws.com/AA1155/A12.+Airbag%2C+KNEE+-+FRONT+LEFT+(DRIVER)+(5).JPG|https://viking-pictures.s3.us-west-1.amazonaws.com/AA1155/A12.+Airbag%2C+KNEE+-+FRONT+LEFT+(DRIVER)+(6).JPG</v>
      </c>
      <c r="D4" s="281">
        <f>_xlfn.XLOOKUP(B4,'3. Keep &amp; Toss Items'!O:O,'3. Keep &amp; Toss Items'!U:U,"NOT FOUND",0,1)</f>
        <v>6</v>
      </c>
      <c r="E4" s="279" t="str">
        <f t="shared" si="0"/>
        <v>https://viking-pictures.s3.us-west-1.amazonaws.com/AA1155/A12.+Airbag%2C+KNEE+-+FRONT+LEFT+(DRIVER)+(1).JPG</v>
      </c>
      <c r="F4" s="279" t="str">
        <f t="shared" ref="F4:F35" si="4">IF($D4&gt;=F$1,CONCATENATE($AC4,$AD4,$AQ4,AS4,$BP4),"")</f>
        <v>https://viking-pictures.s3.us-west-1.amazonaws.com/AA1155/A12.+Airbag%2C+KNEE+-+FRONT+LEFT+(DRIVER)+(2).JPG</v>
      </c>
      <c r="G4" s="279" t="str">
        <f t="shared" ref="G4:G35" si="5">IF($D4&gt;=G$1,CONCATENATE($AC4,$AD4,$AQ4,AT4,$BP4),"")</f>
        <v>https://viking-pictures.s3.us-west-1.amazonaws.com/AA1155/A12.+Airbag%2C+KNEE+-+FRONT+LEFT+(DRIVER)+(3).JPG</v>
      </c>
      <c r="H4" s="279" t="str">
        <f t="shared" ref="H4:H35" si="6">IF($D4&gt;=H$1,CONCATENATE($AC4,$AD4,$AQ4,AU4,$BP4),"")</f>
        <v>https://viking-pictures.s3.us-west-1.amazonaws.com/AA1155/A12.+Airbag%2C+KNEE+-+FRONT+LEFT+(DRIVER)+(4).JPG</v>
      </c>
      <c r="I4" s="279" t="str">
        <f t="shared" ref="I4:I35" si="7">IF($D4&gt;=I$1,CONCATENATE($AC4,$AD4,$AQ4,AV4,$BP4),"")</f>
        <v>https://viking-pictures.s3.us-west-1.amazonaws.com/AA1155/A12.+Airbag%2C+KNEE+-+FRONT+LEFT+(DRIVER)+(5).JPG</v>
      </c>
      <c r="J4" s="279" t="str">
        <f t="shared" ref="J4:J35" si="8">IF($D4&gt;=J$1,CONCATENATE($AC4,$AD4,$AQ4,AW4,$BP4),"")</f>
        <v>https://viking-pictures.s3.us-west-1.amazonaws.com/AA1155/A12.+Airbag%2C+KNEE+-+FRONT+LEFT+(DRIVER)+(6).JPG</v>
      </c>
      <c r="K4" s="279" t="str">
        <f t="shared" ref="K4:L35" si="9">IF($D4&gt;=K$1,CONCATENATE($AC4,$AD4,$AQ4,AX4,$BP4),"")</f>
        <v/>
      </c>
      <c r="L4" s="279" t="str">
        <f t="shared" si="9"/>
        <v/>
      </c>
      <c r="M4" s="279" t="str">
        <f t="shared" ref="M4:M35" si="10">IF($D4&gt;=M$1,CONCATENATE($AC4,$AD4,$AQ4,AZ4,$BP4),"")</f>
        <v/>
      </c>
      <c r="N4" s="279" t="str">
        <f t="shared" ref="N4:N35" si="11">IF($D4&gt;=N$1,CONCATENATE($AC4,$AD4,$AQ4,BA4,$BP4),"")</f>
        <v/>
      </c>
      <c r="O4" s="279" t="str">
        <f t="shared" ref="O4:O35" si="12">IF($D4&gt;=O$1,CONCATENATE($AC4,$AD4,$AQ4,BB4,$BP4),"")</f>
        <v/>
      </c>
      <c r="P4" s="279" t="str">
        <f t="shared" ref="P4:P35" si="13">IF($D4&gt;=P$1,CONCATENATE($AC4,$AD4,$AQ4,BC4,$BP4),"")</f>
        <v/>
      </c>
      <c r="Q4" s="279" t="str">
        <f t="shared" ref="Q4:Q35" si="14">IF($D4&gt;=Q$1,CONCATENATE($AC4,$AD4,$AQ4,BD4,$BP4),"")</f>
        <v/>
      </c>
      <c r="R4" s="279" t="str">
        <f t="shared" ref="R4:R35" si="15">IF($D4&gt;=R$1,CONCATENATE($AC4,$AD4,$AQ4,BE4,$BP4),"")</f>
        <v/>
      </c>
      <c r="S4" s="279" t="str">
        <f t="shared" ref="S4:S35" si="16">IF($D4&gt;=S$1,CONCATENATE($AC4,$AD4,$AQ4,BF4,$BP4),"")</f>
        <v/>
      </c>
      <c r="T4" s="279" t="str">
        <f t="shared" ref="T4:T35" si="17">IF($D4&gt;=T$1,CONCATENATE($AC4,$AD4,$AQ4,BG4,$BP4),"")</f>
        <v/>
      </c>
      <c r="U4" s="279" t="str">
        <f t="shared" ref="U4:U35" si="18">IF($D4&gt;=U$1,CONCATENATE($AC4,$AD4,$AQ4,BH4,$BP4),"")</f>
        <v/>
      </c>
      <c r="V4" s="279" t="str">
        <f t="shared" ref="V4:V35" si="19">IF($D4&gt;=V$1,CONCATENATE($AC4,$AD4,$AQ4,BI4,$BP4),"")</f>
        <v/>
      </c>
      <c r="W4" s="279" t="str">
        <f t="shared" ref="W4:W35" si="20">IF($D4&gt;=W$1,CONCATENATE($AC4,$AD4,$AQ4,BJ4,$BP4),"")</f>
        <v/>
      </c>
      <c r="X4" s="279" t="str">
        <f t="shared" ref="X4:X35" si="21">IF($D4&gt;=X$1,CONCATENATE($AC4,$AD4,$AQ4,BK4,$BP4),"")</f>
        <v/>
      </c>
      <c r="Y4" s="279" t="str">
        <f t="shared" ref="Y4:Y35" si="22">IF($D4&gt;=Y$1,CONCATENATE($AC4,$AD4,$AQ4,BL4,$BP4),"")</f>
        <v/>
      </c>
      <c r="Z4" s="279" t="str">
        <f t="shared" ref="Z4:Z35" si="23">IF($D4&gt;=Z$1,CONCATENATE($AC4,$AD4,$AQ4,BM4,$BP4),"")</f>
        <v/>
      </c>
      <c r="AA4" s="279" t="str">
        <f t="shared" ref="AA4:AA35" si="24">IF($D4&gt;=AA$1,CONCATENATE($AC4,$AD4,$AQ4,BN4,$BP4),"")</f>
        <v/>
      </c>
      <c r="AB4" s="279" t="str">
        <f t="shared" ref="AB4:AB35" si="25">IF($D4&gt;=AB$1,CONCATENATE($AC4,$AD4,$AQ4,BO4,$BP4),"")</f>
        <v/>
      </c>
      <c r="AC4" s="104" t="s">
        <v>1382</v>
      </c>
      <c r="AD4" s="279" t="str">
        <f t="shared" ref="AD4:AD67" si="26">AP4</f>
        <v>A12.+Airbag%2C+KNEE+-+FRONT+LEFT+(DRIVER)</v>
      </c>
      <c r="AE4" s="279" t="str">
        <f>_xlfn.XLOOKUP(B4,'3. Keep &amp; Toss Items'!O:O,'3. Keep &amp; Toss Items'!Q:Q,"NOT FOUND",0,1)</f>
        <v>A12. Airbag, KNEE - FRONT LEFT (DRIVER)</v>
      </c>
      <c r="AF4" s="279" t="str">
        <f t="shared" ref="AF4:AF67" si="27">SUBSTITUTE(AE4,"+","%2B")</f>
        <v>A12. Airbag, KNEE - FRONT LEFT (DRIVER)</v>
      </c>
      <c r="AG4" s="279" t="str">
        <f t="shared" ref="AG4:AG67" si="28">SUBSTITUTE(AF4," ","+")</f>
        <v>A12.+Airbag,+KNEE+-+FRONT+LEFT+(DRIVER)</v>
      </c>
      <c r="AH4" s="279" t="str">
        <f t="shared" ref="AH4:AH67" si="29">SUBSTITUTE(AG4,",","%2C")</f>
        <v>A12.+Airbag%2C+KNEE+-+FRONT+LEFT+(DRIVER)</v>
      </c>
      <c r="AI4" s="279" t="str">
        <f t="shared" ref="AI4:AI67" si="30">SUBSTITUTE(AH4,";","%3B")</f>
        <v>A12.+Airbag%2C+KNEE+-+FRONT+LEFT+(DRIVER)</v>
      </c>
      <c r="AJ4" s="279" t="str">
        <f t="shared" ref="AJ4:AJ67" si="31">SUBSTITUTE(AI4,":","%3A")</f>
        <v>A12.+Airbag%2C+KNEE+-+FRONT+LEFT+(DRIVER)</v>
      </c>
      <c r="AK4" s="279" t="str">
        <f t="shared" ref="AK4:AK67" si="32">SUBSTITUTE(AJ4,"@","40%")</f>
        <v>A12.+Airbag%2C+KNEE+-+FRONT+LEFT+(DRIVER)</v>
      </c>
      <c r="AL4" s="279" t="str">
        <f t="shared" ref="AL4:AL67" si="33">SUBSTITUTE(AK4,"&amp;","%26")</f>
        <v>A12.+Airbag%2C+KNEE+-+FRONT+LEFT+(DRIVER)</v>
      </c>
      <c r="AM4" s="279" t="str">
        <f t="shared" ref="AM4:AM67" si="34">SUBSTITUTE(AL4,"=","%3D")</f>
        <v>A12.+Airbag%2C+KNEE+-+FRONT+LEFT+(DRIVER)</v>
      </c>
      <c r="AN4" s="279" t="str">
        <f t="shared" si="2"/>
        <v>A12.+Airbag%2C+KNEE+-+FRONT+LEFT+(DRIVER)</v>
      </c>
      <c r="AO4" s="279" t="str">
        <f t="shared" ref="AO4:AO67" si="35">SUBSTITUTE(AN4,"/","%2F")</f>
        <v>A12.+Airbag%2C+KNEE+-+FRONT+LEFT+(DRIVER)</v>
      </c>
      <c r="AP4" s="279" t="str">
        <f t="shared" ref="AP4:AP67" si="36">SUBSTITUTE(AO4,"""","")</f>
        <v>A12.+Airbag%2C+KNEE+-+FRONT+LEFT+(DRIVER)</v>
      </c>
      <c r="AQ4" s="280" t="s">
        <v>1395</v>
      </c>
      <c r="AR4" s="280" t="s">
        <v>1396</v>
      </c>
      <c r="AS4" s="280" t="s">
        <v>1397</v>
      </c>
      <c r="AT4" s="280" t="s">
        <v>1398</v>
      </c>
      <c r="AU4" s="280" t="s">
        <v>1399</v>
      </c>
      <c r="AV4" s="280" t="s">
        <v>1400</v>
      </c>
      <c r="AW4" s="280" t="s">
        <v>1401</v>
      </c>
      <c r="AX4" s="280" t="s">
        <v>1402</v>
      </c>
      <c r="AY4" s="280" t="s">
        <v>1403</v>
      </c>
      <c r="AZ4" s="280" t="s">
        <v>1404</v>
      </c>
      <c r="BA4" s="280" t="s">
        <v>1405</v>
      </c>
      <c r="BB4" s="280" t="s">
        <v>1406</v>
      </c>
      <c r="BC4" s="280" t="s">
        <v>1419</v>
      </c>
      <c r="BD4" s="280" t="s">
        <v>1407</v>
      </c>
      <c r="BE4" s="280" t="s">
        <v>1408</v>
      </c>
      <c r="BF4" s="280" t="s">
        <v>1409</v>
      </c>
      <c r="BG4" s="280" t="s">
        <v>1410</v>
      </c>
      <c r="BH4" s="280" t="s">
        <v>1411</v>
      </c>
      <c r="BI4" s="280" t="s">
        <v>1412</v>
      </c>
      <c r="BJ4" s="280" t="s">
        <v>1413</v>
      </c>
      <c r="BK4" s="280" t="s">
        <v>1414</v>
      </c>
      <c r="BL4" s="280" t="s">
        <v>1415</v>
      </c>
      <c r="BM4" s="280" t="s">
        <v>1416</v>
      </c>
      <c r="BN4" s="280" t="s">
        <v>1417</v>
      </c>
      <c r="BO4" s="280" t="s">
        <v>1418</v>
      </c>
      <c r="BP4" s="280" t="s">
        <v>1420</v>
      </c>
      <c r="BQ4" s="134" t="str">
        <f t="shared" si="3"/>
        <v>Pic Example</v>
      </c>
    </row>
    <row r="5" spans="2:69" x14ac:dyDescent="0.25">
      <c r="B5" t="s">
        <v>915</v>
      </c>
      <c r="C5" s="279" t="str">
        <f t="shared" ref="C5:C68" si="37">_xlfn.TEXTJOIN("|",TRUE,E5:AB5)</f>
        <v>https://viking-pictures.s3.us-west-1.amazonaws.com/AA1155/A13.+Control+Arms%2C+FRONT+-+UPPER+U+WISHBONE%2C+LEFT+(1).JPG|https://viking-pictures.s3.us-west-1.amazonaws.com/AA1155/A13.+Control+Arms%2C+FRONT+-+UPPER+U+WISHBONE%2C+LEFT+(2).JPG|https://viking-pictures.s3.us-west-1.amazonaws.com/AA1155/A13.+Control+Arms%2C+FRONT+-+UPPER+U+WISHBONE%2C+LEFT+(3).JPG|https://viking-pictures.s3.us-west-1.amazonaws.com/AA1155/A13.+Control+Arms%2C+FRONT+-+UPPER+U+WISHBONE%2C+LEFT+(4).JPG|https://viking-pictures.s3.us-west-1.amazonaws.com/AA1155/A13.+Control+Arms%2C+FRONT+-+UPPER+U+WISHBONE%2C+LEFT+(5).JPG</v>
      </c>
      <c r="D5" s="281">
        <f>_xlfn.XLOOKUP(B5,'3. Keep &amp; Toss Items'!O:O,'3. Keep &amp; Toss Items'!U:U,"NOT FOUND",0,1)</f>
        <v>5</v>
      </c>
      <c r="E5" s="279" t="str">
        <f t="shared" si="0"/>
        <v>https://viking-pictures.s3.us-west-1.amazonaws.com/AA1155/A13.+Control+Arms%2C+FRONT+-+UPPER+U+WISHBONE%2C+LEFT+(1).JPG</v>
      </c>
      <c r="F5" s="279" t="str">
        <f t="shared" si="4"/>
        <v>https://viking-pictures.s3.us-west-1.amazonaws.com/AA1155/A13.+Control+Arms%2C+FRONT+-+UPPER+U+WISHBONE%2C+LEFT+(2).JPG</v>
      </c>
      <c r="G5" s="279" t="str">
        <f t="shared" si="5"/>
        <v>https://viking-pictures.s3.us-west-1.amazonaws.com/AA1155/A13.+Control+Arms%2C+FRONT+-+UPPER+U+WISHBONE%2C+LEFT+(3).JPG</v>
      </c>
      <c r="H5" s="279" t="str">
        <f t="shared" si="6"/>
        <v>https://viking-pictures.s3.us-west-1.amazonaws.com/AA1155/A13.+Control+Arms%2C+FRONT+-+UPPER+U+WISHBONE%2C+LEFT+(4).JPG</v>
      </c>
      <c r="I5" s="279" t="str">
        <f t="shared" si="7"/>
        <v>https://viking-pictures.s3.us-west-1.amazonaws.com/AA1155/A13.+Control+Arms%2C+FRONT+-+UPPER+U+WISHBONE%2C+LEFT+(5).JPG</v>
      </c>
      <c r="J5" s="279" t="str">
        <f t="shared" si="8"/>
        <v/>
      </c>
      <c r="K5" s="279" t="str">
        <f t="shared" si="9"/>
        <v/>
      </c>
      <c r="L5" s="279" t="str">
        <f t="shared" si="9"/>
        <v/>
      </c>
      <c r="M5" s="279" t="str">
        <f t="shared" si="10"/>
        <v/>
      </c>
      <c r="N5" s="279" t="str">
        <f t="shared" si="11"/>
        <v/>
      </c>
      <c r="O5" s="279" t="str">
        <f t="shared" si="12"/>
        <v/>
      </c>
      <c r="P5" s="279" t="str">
        <f t="shared" si="13"/>
        <v/>
      </c>
      <c r="Q5" s="279" t="str">
        <f t="shared" si="14"/>
        <v/>
      </c>
      <c r="R5" s="279" t="str">
        <f t="shared" si="15"/>
        <v/>
      </c>
      <c r="S5" s="279" t="str">
        <f t="shared" si="16"/>
        <v/>
      </c>
      <c r="T5" s="279" t="str">
        <f t="shared" si="17"/>
        <v/>
      </c>
      <c r="U5" s="279" t="str">
        <f t="shared" si="18"/>
        <v/>
      </c>
      <c r="V5" s="279" t="str">
        <f t="shared" si="19"/>
        <v/>
      </c>
      <c r="W5" s="279" t="str">
        <f t="shared" si="20"/>
        <v/>
      </c>
      <c r="X5" s="279" t="str">
        <f t="shared" si="21"/>
        <v/>
      </c>
      <c r="Y5" s="279" t="str">
        <f t="shared" si="22"/>
        <v/>
      </c>
      <c r="Z5" s="279" t="str">
        <f t="shared" si="23"/>
        <v/>
      </c>
      <c r="AA5" s="279" t="str">
        <f t="shared" si="24"/>
        <v/>
      </c>
      <c r="AB5" s="279" t="str">
        <f t="shared" si="25"/>
        <v/>
      </c>
      <c r="AC5" s="104" t="s">
        <v>1382</v>
      </c>
      <c r="AD5" s="279" t="str">
        <f t="shared" si="26"/>
        <v>A13.+Control+Arms%2C+FRONT+-+UPPER+U+WISHBONE%2C+LEFT</v>
      </c>
      <c r="AE5" s="279" t="str">
        <f>_xlfn.XLOOKUP(B5,'3. Keep &amp; Toss Items'!O:O,'3. Keep &amp; Toss Items'!Q:Q,"NOT FOUND",0,1)</f>
        <v>A13. Control Arms, FRONT - UPPER "U" WISHBONE, LEFT</v>
      </c>
      <c r="AF5" s="279" t="str">
        <f t="shared" si="27"/>
        <v>A13. Control Arms, FRONT - UPPER "U" WISHBONE, LEFT</v>
      </c>
      <c r="AG5" s="279" t="str">
        <f t="shared" si="28"/>
        <v>A13.+Control+Arms,+FRONT+-+UPPER+"U"+WISHBONE,+LEFT</v>
      </c>
      <c r="AH5" s="279" t="str">
        <f t="shared" si="29"/>
        <v>A13.+Control+Arms%2C+FRONT+-+UPPER+"U"+WISHBONE%2C+LEFT</v>
      </c>
      <c r="AI5" s="279" t="str">
        <f t="shared" si="30"/>
        <v>A13.+Control+Arms%2C+FRONT+-+UPPER+"U"+WISHBONE%2C+LEFT</v>
      </c>
      <c r="AJ5" s="279" t="str">
        <f t="shared" si="31"/>
        <v>A13.+Control+Arms%2C+FRONT+-+UPPER+"U"+WISHBONE%2C+LEFT</v>
      </c>
      <c r="AK5" s="279" t="str">
        <f t="shared" si="32"/>
        <v>A13.+Control+Arms%2C+FRONT+-+UPPER+"U"+WISHBONE%2C+LEFT</v>
      </c>
      <c r="AL5" s="279" t="str">
        <f t="shared" si="33"/>
        <v>A13.+Control+Arms%2C+FRONT+-+UPPER+"U"+WISHBONE%2C+LEFT</v>
      </c>
      <c r="AM5" s="279" t="str">
        <f t="shared" si="34"/>
        <v>A13.+Control+Arms%2C+FRONT+-+UPPER+"U"+WISHBONE%2C+LEFT</v>
      </c>
      <c r="AN5" s="279" t="str">
        <f t="shared" si="2"/>
        <v>A13.+Control+Arms%2C+FRONT+-+UPPER+"U"+WISHBONE%2C+LEFT</v>
      </c>
      <c r="AO5" s="279" t="str">
        <f t="shared" si="35"/>
        <v>A13.+Control+Arms%2C+FRONT+-+UPPER+"U"+WISHBONE%2C+LEFT</v>
      </c>
      <c r="AP5" s="279" t="str">
        <f t="shared" si="36"/>
        <v>A13.+Control+Arms%2C+FRONT+-+UPPER+U+WISHBONE%2C+LEFT</v>
      </c>
      <c r="AQ5" s="280" t="s">
        <v>1395</v>
      </c>
      <c r="AR5" s="280" t="s">
        <v>1396</v>
      </c>
      <c r="AS5" s="280" t="s">
        <v>1397</v>
      </c>
      <c r="AT5" s="280" t="s">
        <v>1398</v>
      </c>
      <c r="AU5" s="280" t="s">
        <v>1399</v>
      </c>
      <c r="AV5" s="280" t="s">
        <v>1400</v>
      </c>
      <c r="AW5" s="280" t="s">
        <v>1401</v>
      </c>
      <c r="AX5" s="280" t="s">
        <v>1402</v>
      </c>
      <c r="AY5" s="280" t="s">
        <v>1403</v>
      </c>
      <c r="AZ5" s="280" t="s">
        <v>1404</v>
      </c>
      <c r="BA5" s="280" t="s">
        <v>1405</v>
      </c>
      <c r="BB5" s="280" t="s">
        <v>1406</v>
      </c>
      <c r="BC5" s="280" t="s">
        <v>1419</v>
      </c>
      <c r="BD5" s="280" t="s">
        <v>1407</v>
      </c>
      <c r="BE5" s="280" t="s">
        <v>1408</v>
      </c>
      <c r="BF5" s="280" t="s">
        <v>1409</v>
      </c>
      <c r="BG5" s="280" t="s">
        <v>1410</v>
      </c>
      <c r="BH5" s="280" t="s">
        <v>1411</v>
      </c>
      <c r="BI5" s="280" t="s">
        <v>1412</v>
      </c>
      <c r="BJ5" s="280" t="s">
        <v>1413</v>
      </c>
      <c r="BK5" s="280" t="s">
        <v>1414</v>
      </c>
      <c r="BL5" s="280" t="s">
        <v>1415</v>
      </c>
      <c r="BM5" s="280" t="s">
        <v>1416</v>
      </c>
      <c r="BN5" s="280" t="s">
        <v>1417</v>
      </c>
      <c r="BO5" s="280" t="s">
        <v>1418</v>
      </c>
      <c r="BP5" s="280" t="s">
        <v>1420</v>
      </c>
      <c r="BQ5" s="134" t="str">
        <f t="shared" si="3"/>
        <v>Pic Example</v>
      </c>
    </row>
    <row r="6" spans="2:69" x14ac:dyDescent="0.25">
      <c r="B6" t="s">
        <v>916</v>
      </c>
      <c r="C6" s="279" t="str">
        <f t="shared" si="37"/>
        <v>https://viking-pictures.s3.us-west-1.amazonaws.com/AA1155/A14.+Airbag%2C+KNEE+-+FRONT+RIGHT+(PASSENGER)+(1).JPG|https://viking-pictures.s3.us-west-1.amazonaws.com/AA1155/A14.+Airbag%2C+KNEE+-+FRONT+RIGHT+(PASSENGER)+(2).JPG|https://viking-pictures.s3.us-west-1.amazonaws.com/AA1155/A14.+Airbag%2C+KNEE+-+FRONT+RIGHT+(PASSENGER)+(3).JPG|https://viking-pictures.s3.us-west-1.amazonaws.com/AA1155/A14.+Airbag%2C+KNEE+-+FRONT+RIGHT+(PASSENGER)+(4).JPG|https://viking-pictures.s3.us-west-1.amazonaws.com/AA1155/A14.+Airbag%2C+KNEE+-+FRONT+RIGHT+(PASSENGER)+(5).JPG</v>
      </c>
      <c r="D6" s="281">
        <f>_xlfn.XLOOKUP(B6,'3. Keep &amp; Toss Items'!O:O,'3. Keep &amp; Toss Items'!U:U,"NOT FOUND",0,1)</f>
        <v>5</v>
      </c>
      <c r="E6" s="279" t="str">
        <f t="shared" si="0"/>
        <v>https://viking-pictures.s3.us-west-1.amazonaws.com/AA1155/A14.+Airbag%2C+KNEE+-+FRONT+RIGHT+(PASSENGER)+(1).JPG</v>
      </c>
      <c r="F6" s="279" t="str">
        <f t="shared" si="4"/>
        <v>https://viking-pictures.s3.us-west-1.amazonaws.com/AA1155/A14.+Airbag%2C+KNEE+-+FRONT+RIGHT+(PASSENGER)+(2).JPG</v>
      </c>
      <c r="G6" s="279" t="str">
        <f t="shared" si="5"/>
        <v>https://viking-pictures.s3.us-west-1.amazonaws.com/AA1155/A14.+Airbag%2C+KNEE+-+FRONT+RIGHT+(PASSENGER)+(3).JPG</v>
      </c>
      <c r="H6" s="279" t="str">
        <f t="shared" si="6"/>
        <v>https://viking-pictures.s3.us-west-1.amazonaws.com/AA1155/A14.+Airbag%2C+KNEE+-+FRONT+RIGHT+(PASSENGER)+(4).JPG</v>
      </c>
      <c r="I6" s="279" t="str">
        <f t="shared" si="7"/>
        <v>https://viking-pictures.s3.us-west-1.amazonaws.com/AA1155/A14.+Airbag%2C+KNEE+-+FRONT+RIGHT+(PASSENGER)+(5).JPG</v>
      </c>
      <c r="J6" s="279" t="str">
        <f t="shared" si="8"/>
        <v/>
      </c>
      <c r="K6" s="279" t="str">
        <f t="shared" si="9"/>
        <v/>
      </c>
      <c r="L6" s="279" t="str">
        <f t="shared" si="9"/>
        <v/>
      </c>
      <c r="M6" s="279" t="str">
        <f t="shared" si="10"/>
        <v/>
      </c>
      <c r="N6" s="279" t="str">
        <f t="shared" si="11"/>
        <v/>
      </c>
      <c r="O6" s="279" t="str">
        <f t="shared" si="12"/>
        <v/>
      </c>
      <c r="P6" s="279" t="str">
        <f t="shared" si="13"/>
        <v/>
      </c>
      <c r="Q6" s="279" t="str">
        <f t="shared" si="14"/>
        <v/>
      </c>
      <c r="R6" s="279" t="str">
        <f t="shared" si="15"/>
        <v/>
      </c>
      <c r="S6" s="279" t="str">
        <f t="shared" si="16"/>
        <v/>
      </c>
      <c r="T6" s="279" t="str">
        <f t="shared" si="17"/>
        <v/>
      </c>
      <c r="U6" s="279" t="str">
        <f t="shared" si="18"/>
        <v/>
      </c>
      <c r="V6" s="279" t="str">
        <f t="shared" si="19"/>
        <v/>
      </c>
      <c r="W6" s="279" t="str">
        <f t="shared" si="20"/>
        <v/>
      </c>
      <c r="X6" s="279" t="str">
        <f t="shared" si="21"/>
        <v/>
      </c>
      <c r="Y6" s="279" t="str">
        <f t="shared" si="22"/>
        <v/>
      </c>
      <c r="Z6" s="279" t="str">
        <f t="shared" si="23"/>
        <v/>
      </c>
      <c r="AA6" s="279" t="str">
        <f t="shared" si="24"/>
        <v/>
      </c>
      <c r="AB6" s="279" t="str">
        <f t="shared" si="25"/>
        <v/>
      </c>
      <c r="AC6" s="104" t="s">
        <v>1382</v>
      </c>
      <c r="AD6" s="279" t="str">
        <f t="shared" si="26"/>
        <v>A14.+Airbag%2C+KNEE+-+FRONT+RIGHT+(PASSENGER)</v>
      </c>
      <c r="AE6" s="279" t="str">
        <f>_xlfn.XLOOKUP(B6,'3. Keep &amp; Toss Items'!O:O,'3. Keep &amp; Toss Items'!Q:Q,"NOT FOUND",0,1)</f>
        <v>A14. Airbag, KNEE - FRONT RIGHT (PASSENGER)</v>
      </c>
      <c r="AF6" s="279" t="str">
        <f t="shared" si="27"/>
        <v>A14. Airbag, KNEE - FRONT RIGHT (PASSENGER)</v>
      </c>
      <c r="AG6" s="279" t="str">
        <f t="shared" si="28"/>
        <v>A14.+Airbag,+KNEE+-+FRONT+RIGHT+(PASSENGER)</v>
      </c>
      <c r="AH6" s="279" t="str">
        <f t="shared" si="29"/>
        <v>A14.+Airbag%2C+KNEE+-+FRONT+RIGHT+(PASSENGER)</v>
      </c>
      <c r="AI6" s="279" t="str">
        <f t="shared" si="30"/>
        <v>A14.+Airbag%2C+KNEE+-+FRONT+RIGHT+(PASSENGER)</v>
      </c>
      <c r="AJ6" s="279" t="str">
        <f t="shared" si="31"/>
        <v>A14.+Airbag%2C+KNEE+-+FRONT+RIGHT+(PASSENGER)</v>
      </c>
      <c r="AK6" s="279" t="str">
        <f t="shared" si="32"/>
        <v>A14.+Airbag%2C+KNEE+-+FRONT+RIGHT+(PASSENGER)</v>
      </c>
      <c r="AL6" s="279" t="str">
        <f t="shared" si="33"/>
        <v>A14.+Airbag%2C+KNEE+-+FRONT+RIGHT+(PASSENGER)</v>
      </c>
      <c r="AM6" s="279" t="str">
        <f t="shared" si="34"/>
        <v>A14.+Airbag%2C+KNEE+-+FRONT+RIGHT+(PASSENGER)</v>
      </c>
      <c r="AN6" s="279" t="str">
        <f t="shared" si="2"/>
        <v>A14.+Airbag%2C+KNEE+-+FRONT+RIGHT+(PASSENGER)</v>
      </c>
      <c r="AO6" s="279" t="str">
        <f t="shared" si="35"/>
        <v>A14.+Airbag%2C+KNEE+-+FRONT+RIGHT+(PASSENGER)</v>
      </c>
      <c r="AP6" s="279" t="str">
        <f t="shared" si="36"/>
        <v>A14.+Airbag%2C+KNEE+-+FRONT+RIGHT+(PASSENGER)</v>
      </c>
      <c r="AQ6" s="280" t="s">
        <v>1395</v>
      </c>
      <c r="AR6" s="280" t="s">
        <v>1396</v>
      </c>
      <c r="AS6" s="280" t="s">
        <v>1397</v>
      </c>
      <c r="AT6" s="280" t="s">
        <v>1398</v>
      </c>
      <c r="AU6" s="280" t="s">
        <v>1399</v>
      </c>
      <c r="AV6" s="280" t="s">
        <v>1400</v>
      </c>
      <c r="AW6" s="280" t="s">
        <v>1401</v>
      </c>
      <c r="AX6" s="280" t="s">
        <v>1402</v>
      </c>
      <c r="AY6" s="280" t="s">
        <v>1403</v>
      </c>
      <c r="AZ6" s="280" t="s">
        <v>1404</v>
      </c>
      <c r="BA6" s="280" t="s">
        <v>1405</v>
      </c>
      <c r="BB6" s="280" t="s">
        <v>1406</v>
      </c>
      <c r="BC6" s="280" t="s">
        <v>1419</v>
      </c>
      <c r="BD6" s="280" t="s">
        <v>1407</v>
      </c>
      <c r="BE6" s="280" t="s">
        <v>1408</v>
      </c>
      <c r="BF6" s="280" t="s">
        <v>1409</v>
      </c>
      <c r="BG6" s="280" t="s">
        <v>1410</v>
      </c>
      <c r="BH6" s="280" t="s">
        <v>1411</v>
      </c>
      <c r="BI6" s="280" t="s">
        <v>1412</v>
      </c>
      <c r="BJ6" s="280" t="s">
        <v>1413</v>
      </c>
      <c r="BK6" s="280" t="s">
        <v>1414</v>
      </c>
      <c r="BL6" s="280" t="s">
        <v>1415</v>
      </c>
      <c r="BM6" s="280" t="s">
        <v>1416</v>
      </c>
      <c r="BN6" s="280" t="s">
        <v>1417</v>
      </c>
      <c r="BO6" s="280" t="s">
        <v>1418</v>
      </c>
      <c r="BP6" s="280" t="s">
        <v>1420</v>
      </c>
      <c r="BQ6" s="134" t="str">
        <f t="shared" si="3"/>
        <v>Pic Example</v>
      </c>
    </row>
    <row r="7" spans="2:69" x14ac:dyDescent="0.25">
      <c r="B7" t="s">
        <v>917</v>
      </c>
      <c r="C7" s="279" t="str">
        <f t="shared" si="37"/>
        <v>https://viking-pictures.s3.us-west-1.amazonaws.com/AA1155/A15.+Transmission+Oil+Pump%2C+Hydraulic+(1).JPG|https://viking-pictures.s3.us-west-1.amazonaws.com/AA1155/A15.+Transmission+Oil+Pump%2C+Hydraulic+(2).JPG|https://viking-pictures.s3.us-west-1.amazonaws.com/AA1155/A15.+Transmission+Oil+Pump%2C+Hydraulic+(3).JPG</v>
      </c>
      <c r="D7" s="281">
        <f>_xlfn.XLOOKUP(B7,'3. Keep &amp; Toss Items'!O:O,'3. Keep &amp; Toss Items'!U:U,"NOT FOUND",0,1)</f>
        <v>3</v>
      </c>
      <c r="E7" s="279" t="str">
        <f t="shared" si="0"/>
        <v>https://viking-pictures.s3.us-west-1.amazonaws.com/AA1155/A15.+Transmission+Oil+Pump%2C+Hydraulic+(1).JPG</v>
      </c>
      <c r="F7" s="279" t="str">
        <f t="shared" si="4"/>
        <v>https://viking-pictures.s3.us-west-1.amazonaws.com/AA1155/A15.+Transmission+Oil+Pump%2C+Hydraulic+(2).JPG</v>
      </c>
      <c r="G7" s="279" t="str">
        <f t="shared" si="5"/>
        <v>https://viking-pictures.s3.us-west-1.amazonaws.com/AA1155/A15.+Transmission+Oil+Pump%2C+Hydraulic+(3).JPG</v>
      </c>
      <c r="H7" s="279" t="str">
        <f t="shared" si="6"/>
        <v/>
      </c>
      <c r="I7" s="279" t="str">
        <f t="shared" si="7"/>
        <v/>
      </c>
      <c r="J7" s="279" t="str">
        <f t="shared" si="8"/>
        <v/>
      </c>
      <c r="K7" s="279" t="str">
        <f t="shared" si="9"/>
        <v/>
      </c>
      <c r="L7" s="279" t="str">
        <f t="shared" si="9"/>
        <v/>
      </c>
      <c r="M7" s="279" t="str">
        <f t="shared" si="10"/>
        <v/>
      </c>
      <c r="N7" s="279" t="str">
        <f t="shared" si="11"/>
        <v/>
      </c>
      <c r="O7" s="279" t="str">
        <f t="shared" si="12"/>
        <v/>
      </c>
      <c r="P7" s="279" t="str">
        <f t="shared" si="13"/>
        <v/>
      </c>
      <c r="Q7" s="279" t="str">
        <f t="shared" si="14"/>
        <v/>
      </c>
      <c r="R7" s="279" t="str">
        <f t="shared" si="15"/>
        <v/>
      </c>
      <c r="S7" s="279" t="str">
        <f t="shared" si="16"/>
        <v/>
      </c>
      <c r="T7" s="279" t="str">
        <f t="shared" si="17"/>
        <v/>
      </c>
      <c r="U7" s="279" t="str">
        <f t="shared" si="18"/>
        <v/>
      </c>
      <c r="V7" s="279" t="str">
        <f t="shared" si="19"/>
        <v/>
      </c>
      <c r="W7" s="279" t="str">
        <f t="shared" si="20"/>
        <v/>
      </c>
      <c r="X7" s="279" t="str">
        <f t="shared" si="21"/>
        <v/>
      </c>
      <c r="Y7" s="279" t="str">
        <f t="shared" si="22"/>
        <v/>
      </c>
      <c r="Z7" s="279" t="str">
        <f t="shared" si="23"/>
        <v/>
      </c>
      <c r="AA7" s="279" t="str">
        <f t="shared" si="24"/>
        <v/>
      </c>
      <c r="AB7" s="279" t="str">
        <f t="shared" si="25"/>
        <v/>
      </c>
      <c r="AC7" s="104" t="s">
        <v>1382</v>
      </c>
      <c r="AD7" s="279" t="str">
        <f t="shared" si="26"/>
        <v>A15.+Transmission+Oil+Pump%2C+Hydraulic</v>
      </c>
      <c r="AE7" s="279" t="str">
        <f>_xlfn.XLOOKUP(B7,'3. Keep &amp; Toss Items'!O:O,'3. Keep &amp; Toss Items'!Q:Q,"NOT FOUND",0,1)</f>
        <v>A15. Transmission Oil Pump, Hydraulic</v>
      </c>
      <c r="AF7" s="279" t="str">
        <f t="shared" si="27"/>
        <v>A15. Transmission Oil Pump, Hydraulic</v>
      </c>
      <c r="AG7" s="279" t="str">
        <f t="shared" si="28"/>
        <v>A15.+Transmission+Oil+Pump,+Hydraulic</v>
      </c>
      <c r="AH7" s="279" t="str">
        <f t="shared" si="29"/>
        <v>A15.+Transmission+Oil+Pump%2C+Hydraulic</v>
      </c>
      <c r="AI7" s="279" t="str">
        <f t="shared" si="30"/>
        <v>A15.+Transmission+Oil+Pump%2C+Hydraulic</v>
      </c>
      <c r="AJ7" s="279" t="str">
        <f t="shared" si="31"/>
        <v>A15.+Transmission+Oil+Pump%2C+Hydraulic</v>
      </c>
      <c r="AK7" s="279" t="str">
        <f t="shared" si="32"/>
        <v>A15.+Transmission+Oil+Pump%2C+Hydraulic</v>
      </c>
      <c r="AL7" s="279" t="str">
        <f t="shared" si="33"/>
        <v>A15.+Transmission+Oil+Pump%2C+Hydraulic</v>
      </c>
      <c r="AM7" s="279" t="str">
        <f t="shared" si="34"/>
        <v>A15.+Transmission+Oil+Pump%2C+Hydraulic</v>
      </c>
      <c r="AN7" s="279" t="str">
        <f t="shared" si="2"/>
        <v>A15.+Transmission+Oil+Pump%2C+Hydraulic</v>
      </c>
      <c r="AO7" s="279" t="str">
        <f t="shared" si="35"/>
        <v>A15.+Transmission+Oil+Pump%2C+Hydraulic</v>
      </c>
      <c r="AP7" s="279" t="str">
        <f t="shared" si="36"/>
        <v>A15.+Transmission+Oil+Pump%2C+Hydraulic</v>
      </c>
      <c r="AQ7" s="280" t="s">
        <v>1395</v>
      </c>
      <c r="AR7" s="280" t="s">
        <v>1396</v>
      </c>
      <c r="AS7" s="280" t="s">
        <v>1397</v>
      </c>
      <c r="AT7" s="280" t="s">
        <v>1398</v>
      </c>
      <c r="AU7" s="280" t="s">
        <v>1399</v>
      </c>
      <c r="AV7" s="280" t="s">
        <v>1400</v>
      </c>
      <c r="AW7" s="280" t="s">
        <v>1401</v>
      </c>
      <c r="AX7" s="280" t="s">
        <v>1402</v>
      </c>
      <c r="AY7" s="280" t="s">
        <v>1403</v>
      </c>
      <c r="AZ7" s="280" t="s">
        <v>1404</v>
      </c>
      <c r="BA7" s="280" t="s">
        <v>1405</v>
      </c>
      <c r="BB7" s="280" t="s">
        <v>1406</v>
      </c>
      <c r="BC7" s="280" t="s">
        <v>1419</v>
      </c>
      <c r="BD7" s="280" t="s">
        <v>1407</v>
      </c>
      <c r="BE7" s="280" t="s">
        <v>1408</v>
      </c>
      <c r="BF7" s="280" t="s">
        <v>1409</v>
      </c>
      <c r="BG7" s="280" t="s">
        <v>1410</v>
      </c>
      <c r="BH7" s="280" t="s">
        <v>1411</v>
      </c>
      <c r="BI7" s="280" t="s">
        <v>1412</v>
      </c>
      <c r="BJ7" s="280" t="s">
        <v>1413</v>
      </c>
      <c r="BK7" s="280" t="s">
        <v>1414</v>
      </c>
      <c r="BL7" s="280" t="s">
        <v>1415</v>
      </c>
      <c r="BM7" s="280" t="s">
        <v>1416</v>
      </c>
      <c r="BN7" s="280" t="s">
        <v>1417</v>
      </c>
      <c r="BO7" s="280" t="s">
        <v>1418</v>
      </c>
      <c r="BP7" s="280" t="s">
        <v>1420</v>
      </c>
      <c r="BQ7" s="134" t="str">
        <f t="shared" si="3"/>
        <v>Pic Example</v>
      </c>
    </row>
    <row r="8" spans="2:69" x14ac:dyDescent="0.25">
      <c r="B8" t="s">
        <v>918</v>
      </c>
      <c r="C8" s="279" t="str">
        <f t="shared" si="37"/>
        <v>https://viking-pictures.s3.us-west-1.amazonaws.com/AA1155/A16.+ABS+Pump+%26+Module+(1).JPG|https://viking-pictures.s3.us-west-1.amazonaws.com/AA1155/A16.+ABS+Pump+%26+Module+(2).JPG|https://viking-pictures.s3.us-west-1.amazonaws.com/AA1155/A16.+ABS+Pump+%26+Module+(3).JPG|https://viking-pictures.s3.us-west-1.amazonaws.com/AA1155/A16.+ABS+Pump+%26+Module+(4).JPG|https://viking-pictures.s3.us-west-1.amazonaws.com/AA1155/A16.+ABS+Pump+%26+Module+(5).JPG</v>
      </c>
      <c r="D8" s="281">
        <f>_xlfn.XLOOKUP(B8,'3. Keep &amp; Toss Items'!O:O,'3. Keep &amp; Toss Items'!U:U,"NOT FOUND",0,1)</f>
        <v>5</v>
      </c>
      <c r="E8" s="279" t="str">
        <f t="shared" si="0"/>
        <v>https://viking-pictures.s3.us-west-1.amazonaws.com/AA1155/A16.+ABS+Pump+%26+Module+(1).JPG</v>
      </c>
      <c r="F8" s="279" t="str">
        <f t="shared" si="4"/>
        <v>https://viking-pictures.s3.us-west-1.amazonaws.com/AA1155/A16.+ABS+Pump+%26+Module+(2).JPG</v>
      </c>
      <c r="G8" s="279" t="str">
        <f t="shared" si="5"/>
        <v>https://viking-pictures.s3.us-west-1.amazonaws.com/AA1155/A16.+ABS+Pump+%26+Module+(3).JPG</v>
      </c>
      <c r="H8" s="279" t="str">
        <f t="shared" si="6"/>
        <v>https://viking-pictures.s3.us-west-1.amazonaws.com/AA1155/A16.+ABS+Pump+%26+Module+(4).JPG</v>
      </c>
      <c r="I8" s="279" t="str">
        <f t="shared" si="7"/>
        <v>https://viking-pictures.s3.us-west-1.amazonaws.com/AA1155/A16.+ABS+Pump+%26+Module+(5).JPG</v>
      </c>
      <c r="J8" s="279" t="str">
        <f t="shared" si="8"/>
        <v/>
      </c>
      <c r="K8" s="279" t="str">
        <f t="shared" si="9"/>
        <v/>
      </c>
      <c r="L8" s="279" t="str">
        <f t="shared" si="9"/>
        <v/>
      </c>
      <c r="M8" s="279" t="str">
        <f t="shared" si="10"/>
        <v/>
      </c>
      <c r="N8" s="279" t="str">
        <f t="shared" si="11"/>
        <v/>
      </c>
      <c r="O8" s="279" t="str">
        <f t="shared" si="12"/>
        <v/>
      </c>
      <c r="P8" s="279" t="str">
        <f t="shared" si="13"/>
        <v/>
      </c>
      <c r="Q8" s="279" t="str">
        <f t="shared" si="14"/>
        <v/>
      </c>
      <c r="R8" s="279" t="str">
        <f t="shared" si="15"/>
        <v/>
      </c>
      <c r="S8" s="279" t="str">
        <f t="shared" si="16"/>
        <v/>
      </c>
      <c r="T8" s="279" t="str">
        <f t="shared" si="17"/>
        <v/>
      </c>
      <c r="U8" s="279" t="str">
        <f t="shared" si="18"/>
        <v/>
      </c>
      <c r="V8" s="279" t="str">
        <f t="shared" si="19"/>
        <v/>
      </c>
      <c r="W8" s="279" t="str">
        <f t="shared" si="20"/>
        <v/>
      </c>
      <c r="X8" s="279" t="str">
        <f t="shared" si="21"/>
        <v/>
      </c>
      <c r="Y8" s="279" t="str">
        <f t="shared" si="22"/>
        <v/>
      </c>
      <c r="Z8" s="279" t="str">
        <f t="shared" si="23"/>
        <v/>
      </c>
      <c r="AA8" s="279" t="str">
        <f t="shared" si="24"/>
        <v/>
      </c>
      <c r="AB8" s="279" t="str">
        <f t="shared" si="25"/>
        <v/>
      </c>
      <c r="AC8" s="104" t="s">
        <v>1382</v>
      </c>
      <c r="AD8" s="279" t="str">
        <f t="shared" si="26"/>
        <v>A16.+ABS+Pump+%26+Module</v>
      </c>
      <c r="AE8" s="279" t="str">
        <f>_xlfn.XLOOKUP(B8,'3. Keep &amp; Toss Items'!O:O,'3. Keep &amp; Toss Items'!Q:Q,"NOT FOUND",0,1)</f>
        <v>A16. ABS Pump &amp; Module</v>
      </c>
      <c r="AF8" s="279" t="str">
        <f t="shared" si="27"/>
        <v>A16. ABS Pump &amp; Module</v>
      </c>
      <c r="AG8" s="279" t="str">
        <f t="shared" si="28"/>
        <v>A16.+ABS+Pump+&amp;+Module</v>
      </c>
      <c r="AH8" s="279" t="str">
        <f t="shared" si="29"/>
        <v>A16.+ABS+Pump+&amp;+Module</v>
      </c>
      <c r="AI8" s="279" t="str">
        <f t="shared" si="30"/>
        <v>A16.+ABS+Pump+&amp;+Module</v>
      </c>
      <c r="AJ8" s="279" t="str">
        <f t="shared" si="31"/>
        <v>A16.+ABS+Pump+&amp;+Module</v>
      </c>
      <c r="AK8" s="279" t="str">
        <f t="shared" si="32"/>
        <v>A16.+ABS+Pump+&amp;+Module</v>
      </c>
      <c r="AL8" s="279" t="str">
        <f t="shared" si="33"/>
        <v>A16.+ABS+Pump+%26+Module</v>
      </c>
      <c r="AM8" s="279" t="str">
        <f t="shared" si="34"/>
        <v>A16.+ABS+Pump+%26+Module</v>
      </c>
      <c r="AN8" s="279" t="str">
        <f t="shared" si="2"/>
        <v>A16.+ABS+Pump+%26+Module</v>
      </c>
      <c r="AO8" s="279" t="str">
        <f t="shared" si="35"/>
        <v>A16.+ABS+Pump+%26+Module</v>
      </c>
      <c r="AP8" s="279" t="str">
        <f t="shared" si="36"/>
        <v>A16.+ABS+Pump+%26+Module</v>
      </c>
      <c r="AQ8" s="280" t="s">
        <v>1395</v>
      </c>
      <c r="AR8" s="280" t="s">
        <v>1396</v>
      </c>
      <c r="AS8" s="280" t="s">
        <v>1397</v>
      </c>
      <c r="AT8" s="280" t="s">
        <v>1398</v>
      </c>
      <c r="AU8" s="280" t="s">
        <v>1399</v>
      </c>
      <c r="AV8" s="280" t="s">
        <v>1400</v>
      </c>
      <c r="AW8" s="280" t="s">
        <v>1401</v>
      </c>
      <c r="AX8" s="280" t="s">
        <v>1402</v>
      </c>
      <c r="AY8" s="280" t="s">
        <v>1403</v>
      </c>
      <c r="AZ8" s="280" t="s">
        <v>1404</v>
      </c>
      <c r="BA8" s="280" t="s">
        <v>1405</v>
      </c>
      <c r="BB8" s="280" t="s">
        <v>1406</v>
      </c>
      <c r="BC8" s="280" t="s">
        <v>1419</v>
      </c>
      <c r="BD8" s="280" t="s">
        <v>1407</v>
      </c>
      <c r="BE8" s="280" t="s">
        <v>1408</v>
      </c>
      <c r="BF8" s="280" t="s">
        <v>1409</v>
      </c>
      <c r="BG8" s="280" t="s">
        <v>1410</v>
      </c>
      <c r="BH8" s="280" t="s">
        <v>1411</v>
      </c>
      <c r="BI8" s="280" t="s">
        <v>1412</v>
      </c>
      <c r="BJ8" s="280" t="s">
        <v>1413</v>
      </c>
      <c r="BK8" s="280" t="s">
        <v>1414</v>
      </c>
      <c r="BL8" s="280" t="s">
        <v>1415</v>
      </c>
      <c r="BM8" s="280" t="s">
        <v>1416</v>
      </c>
      <c r="BN8" s="280" t="s">
        <v>1417</v>
      </c>
      <c r="BO8" s="280" t="s">
        <v>1418</v>
      </c>
      <c r="BP8" s="280" t="s">
        <v>1420</v>
      </c>
      <c r="BQ8" s="134" t="str">
        <f t="shared" si="3"/>
        <v>Pic Example</v>
      </c>
    </row>
    <row r="9" spans="2:69" x14ac:dyDescent="0.25">
      <c r="B9" t="s">
        <v>919</v>
      </c>
      <c r="C9" s="279" t="str">
        <f t="shared" si="37"/>
        <v>https://viking-pictures.s3.us-west-1.amazonaws.com/AA1155/A17.+Muffler+Tips+SET+2+(1).JPG|https://viking-pictures.s3.us-west-1.amazonaws.com/AA1155/A17.+Muffler+Tips+SET+2+(2).JPG|https://viking-pictures.s3.us-west-1.amazonaws.com/AA1155/A17.+Muffler+Tips+SET+2+(3).JPG|https://viking-pictures.s3.us-west-1.amazonaws.com/AA1155/A17.+Muffler+Tips+SET+2+(4).JPG</v>
      </c>
      <c r="D9" s="281">
        <f>_xlfn.XLOOKUP(B9,'3. Keep &amp; Toss Items'!O:O,'3. Keep &amp; Toss Items'!U:U,"NOT FOUND",0,1)</f>
        <v>4</v>
      </c>
      <c r="E9" s="279" t="str">
        <f t="shared" si="0"/>
        <v>https://viking-pictures.s3.us-west-1.amazonaws.com/AA1155/A17.+Muffler+Tips+SET+2+(1).JPG</v>
      </c>
      <c r="F9" s="279" t="str">
        <f t="shared" si="4"/>
        <v>https://viking-pictures.s3.us-west-1.amazonaws.com/AA1155/A17.+Muffler+Tips+SET+2+(2).JPG</v>
      </c>
      <c r="G9" s="279" t="str">
        <f t="shared" si="5"/>
        <v>https://viking-pictures.s3.us-west-1.amazonaws.com/AA1155/A17.+Muffler+Tips+SET+2+(3).JPG</v>
      </c>
      <c r="H9" s="279" t="str">
        <f t="shared" si="6"/>
        <v>https://viking-pictures.s3.us-west-1.amazonaws.com/AA1155/A17.+Muffler+Tips+SET+2+(4).JPG</v>
      </c>
      <c r="I9" s="279" t="str">
        <f t="shared" si="7"/>
        <v/>
      </c>
      <c r="J9" s="279" t="str">
        <f t="shared" si="8"/>
        <v/>
      </c>
      <c r="K9" s="279" t="str">
        <f t="shared" si="9"/>
        <v/>
      </c>
      <c r="L9" s="279" t="str">
        <f t="shared" si="9"/>
        <v/>
      </c>
      <c r="M9" s="279" t="str">
        <f t="shared" si="10"/>
        <v/>
      </c>
      <c r="N9" s="279" t="str">
        <f t="shared" si="11"/>
        <v/>
      </c>
      <c r="O9" s="279" t="str">
        <f t="shared" si="12"/>
        <v/>
      </c>
      <c r="P9" s="279" t="str">
        <f t="shared" si="13"/>
        <v/>
      </c>
      <c r="Q9" s="279" t="str">
        <f t="shared" si="14"/>
        <v/>
      </c>
      <c r="R9" s="279" t="str">
        <f t="shared" si="15"/>
        <v/>
      </c>
      <c r="S9" s="279" t="str">
        <f t="shared" si="16"/>
        <v/>
      </c>
      <c r="T9" s="279" t="str">
        <f t="shared" si="17"/>
        <v/>
      </c>
      <c r="U9" s="279" t="str">
        <f t="shared" si="18"/>
        <v/>
      </c>
      <c r="V9" s="279" t="str">
        <f t="shared" si="19"/>
        <v/>
      </c>
      <c r="W9" s="279" t="str">
        <f t="shared" si="20"/>
        <v/>
      </c>
      <c r="X9" s="279" t="str">
        <f t="shared" si="21"/>
        <v/>
      </c>
      <c r="Y9" s="279" t="str">
        <f t="shared" si="22"/>
        <v/>
      </c>
      <c r="Z9" s="279" t="str">
        <f t="shared" si="23"/>
        <v/>
      </c>
      <c r="AA9" s="279" t="str">
        <f t="shared" si="24"/>
        <v/>
      </c>
      <c r="AB9" s="279" t="str">
        <f t="shared" si="25"/>
        <v/>
      </c>
      <c r="AC9" s="104" t="s">
        <v>1382</v>
      </c>
      <c r="AD9" s="279" t="str">
        <f t="shared" si="26"/>
        <v>A17.+Muffler+Tips+SET+2</v>
      </c>
      <c r="AE9" s="279" t="str">
        <f>_xlfn.XLOOKUP(B9,'3. Keep &amp; Toss Items'!O:O,'3. Keep &amp; Toss Items'!Q:Q,"NOT FOUND",0,1)</f>
        <v>A17. Muffler Tips SET 2</v>
      </c>
      <c r="AF9" s="279" t="str">
        <f t="shared" si="27"/>
        <v>A17. Muffler Tips SET 2</v>
      </c>
      <c r="AG9" s="279" t="str">
        <f t="shared" si="28"/>
        <v>A17.+Muffler+Tips+SET+2</v>
      </c>
      <c r="AH9" s="279" t="str">
        <f t="shared" si="29"/>
        <v>A17.+Muffler+Tips+SET+2</v>
      </c>
      <c r="AI9" s="279" t="str">
        <f t="shared" si="30"/>
        <v>A17.+Muffler+Tips+SET+2</v>
      </c>
      <c r="AJ9" s="279" t="str">
        <f t="shared" si="31"/>
        <v>A17.+Muffler+Tips+SET+2</v>
      </c>
      <c r="AK9" s="279" t="str">
        <f t="shared" si="32"/>
        <v>A17.+Muffler+Tips+SET+2</v>
      </c>
      <c r="AL9" s="279" t="str">
        <f t="shared" si="33"/>
        <v>A17.+Muffler+Tips+SET+2</v>
      </c>
      <c r="AM9" s="279" t="str">
        <f t="shared" si="34"/>
        <v>A17.+Muffler+Tips+SET+2</v>
      </c>
      <c r="AN9" s="279" t="str">
        <f t="shared" si="2"/>
        <v>A17.+Muffler+Tips+SET+2</v>
      </c>
      <c r="AO9" s="279" t="str">
        <f t="shared" si="35"/>
        <v>A17.+Muffler+Tips+SET+2</v>
      </c>
      <c r="AP9" s="279" t="str">
        <f t="shared" si="36"/>
        <v>A17.+Muffler+Tips+SET+2</v>
      </c>
      <c r="AQ9" s="280" t="s">
        <v>1395</v>
      </c>
      <c r="AR9" s="280" t="s">
        <v>1396</v>
      </c>
      <c r="AS9" s="280" t="s">
        <v>1397</v>
      </c>
      <c r="AT9" s="280" t="s">
        <v>1398</v>
      </c>
      <c r="AU9" s="280" t="s">
        <v>1399</v>
      </c>
      <c r="AV9" s="280" t="s">
        <v>1400</v>
      </c>
      <c r="AW9" s="280" t="s">
        <v>1401</v>
      </c>
      <c r="AX9" s="280" t="s">
        <v>1402</v>
      </c>
      <c r="AY9" s="280" t="s">
        <v>1403</v>
      </c>
      <c r="AZ9" s="280" t="s">
        <v>1404</v>
      </c>
      <c r="BA9" s="280" t="s">
        <v>1405</v>
      </c>
      <c r="BB9" s="280" t="s">
        <v>1406</v>
      </c>
      <c r="BC9" s="280" t="s">
        <v>1419</v>
      </c>
      <c r="BD9" s="280" t="s">
        <v>1407</v>
      </c>
      <c r="BE9" s="280" t="s">
        <v>1408</v>
      </c>
      <c r="BF9" s="280" t="s">
        <v>1409</v>
      </c>
      <c r="BG9" s="280" t="s">
        <v>1410</v>
      </c>
      <c r="BH9" s="280" t="s">
        <v>1411</v>
      </c>
      <c r="BI9" s="280" t="s">
        <v>1412</v>
      </c>
      <c r="BJ9" s="280" t="s">
        <v>1413</v>
      </c>
      <c r="BK9" s="280" t="s">
        <v>1414</v>
      </c>
      <c r="BL9" s="280" t="s">
        <v>1415</v>
      </c>
      <c r="BM9" s="280" t="s">
        <v>1416</v>
      </c>
      <c r="BN9" s="280" t="s">
        <v>1417</v>
      </c>
      <c r="BO9" s="280" t="s">
        <v>1418</v>
      </c>
      <c r="BP9" s="280" t="s">
        <v>1420</v>
      </c>
      <c r="BQ9" s="134" t="str">
        <f t="shared" si="3"/>
        <v>Pic Example</v>
      </c>
    </row>
    <row r="10" spans="2:69" x14ac:dyDescent="0.25">
      <c r="B10" t="s">
        <v>920</v>
      </c>
      <c r="C10" s="279" t="str">
        <f t="shared" si="37"/>
        <v>https://viking-pictures.s3.us-west-1.amazonaws.com/AA1155/A18.+Airbag%2C+DASH+-+RIGHT+(PASSENGER)+(1).JPG|https://viking-pictures.s3.us-west-1.amazonaws.com/AA1155/A18.+Airbag%2C+DASH+-+RIGHT+(PASSENGER)+(2).JPG|https://viking-pictures.s3.us-west-1.amazonaws.com/AA1155/A18.+Airbag%2C+DASH+-+RIGHT+(PASSENGER)+(3).JPG|https://viking-pictures.s3.us-west-1.amazonaws.com/AA1155/A18.+Airbag%2C+DASH+-+RIGHT+(PASSENGER)+(4).JPG|https://viking-pictures.s3.us-west-1.amazonaws.com/AA1155/A18.+Airbag%2C+DASH+-+RIGHT+(PASSENGER)+(5).JPG</v>
      </c>
      <c r="D10" s="281">
        <f>_xlfn.XLOOKUP(B10,'3. Keep &amp; Toss Items'!O:O,'3. Keep &amp; Toss Items'!U:U,"NOT FOUND",0,1)</f>
        <v>5</v>
      </c>
      <c r="E10" s="279" t="str">
        <f t="shared" si="0"/>
        <v>https://viking-pictures.s3.us-west-1.amazonaws.com/AA1155/A18.+Airbag%2C+DASH+-+RIGHT+(PASSENGER)+(1).JPG</v>
      </c>
      <c r="F10" s="279" t="str">
        <f t="shared" si="4"/>
        <v>https://viking-pictures.s3.us-west-1.amazonaws.com/AA1155/A18.+Airbag%2C+DASH+-+RIGHT+(PASSENGER)+(2).JPG</v>
      </c>
      <c r="G10" s="279" t="str">
        <f t="shared" si="5"/>
        <v>https://viking-pictures.s3.us-west-1.amazonaws.com/AA1155/A18.+Airbag%2C+DASH+-+RIGHT+(PASSENGER)+(3).JPG</v>
      </c>
      <c r="H10" s="279" t="str">
        <f t="shared" si="6"/>
        <v>https://viking-pictures.s3.us-west-1.amazonaws.com/AA1155/A18.+Airbag%2C+DASH+-+RIGHT+(PASSENGER)+(4).JPG</v>
      </c>
      <c r="I10" s="279" t="str">
        <f t="shared" si="7"/>
        <v>https://viking-pictures.s3.us-west-1.amazonaws.com/AA1155/A18.+Airbag%2C+DASH+-+RIGHT+(PASSENGER)+(5).JPG</v>
      </c>
      <c r="J10" s="279" t="str">
        <f t="shared" si="8"/>
        <v/>
      </c>
      <c r="K10" s="279" t="str">
        <f t="shared" si="9"/>
        <v/>
      </c>
      <c r="L10" s="279" t="str">
        <f t="shared" si="9"/>
        <v/>
      </c>
      <c r="M10" s="279" t="str">
        <f t="shared" si="10"/>
        <v/>
      </c>
      <c r="N10" s="279" t="str">
        <f t="shared" si="11"/>
        <v/>
      </c>
      <c r="O10" s="279" t="str">
        <f t="shared" si="12"/>
        <v/>
      </c>
      <c r="P10" s="279" t="str">
        <f t="shared" si="13"/>
        <v/>
      </c>
      <c r="Q10" s="279" t="str">
        <f t="shared" si="14"/>
        <v/>
      </c>
      <c r="R10" s="279" t="str">
        <f t="shared" si="15"/>
        <v/>
      </c>
      <c r="S10" s="279" t="str">
        <f t="shared" si="16"/>
        <v/>
      </c>
      <c r="T10" s="279" t="str">
        <f t="shared" si="17"/>
        <v/>
      </c>
      <c r="U10" s="279" t="str">
        <f t="shared" si="18"/>
        <v/>
      </c>
      <c r="V10" s="279" t="str">
        <f t="shared" si="19"/>
        <v/>
      </c>
      <c r="W10" s="279" t="str">
        <f t="shared" si="20"/>
        <v/>
      </c>
      <c r="X10" s="279" t="str">
        <f t="shared" si="21"/>
        <v/>
      </c>
      <c r="Y10" s="279" t="str">
        <f t="shared" si="22"/>
        <v/>
      </c>
      <c r="Z10" s="279" t="str">
        <f t="shared" si="23"/>
        <v/>
      </c>
      <c r="AA10" s="279" t="str">
        <f t="shared" si="24"/>
        <v/>
      </c>
      <c r="AB10" s="279" t="str">
        <f t="shared" si="25"/>
        <v/>
      </c>
      <c r="AC10" s="104" t="s">
        <v>1382</v>
      </c>
      <c r="AD10" s="279" t="str">
        <f t="shared" si="26"/>
        <v>A18.+Airbag%2C+DASH+-+RIGHT+(PASSENGER)</v>
      </c>
      <c r="AE10" s="279" t="str">
        <f>_xlfn.XLOOKUP(B10,'3. Keep &amp; Toss Items'!O:O,'3. Keep &amp; Toss Items'!Q:Q,"NOT FOUND",0,1)</f>
        <v>A18. Airbag, DASH - RIGHT (PASSENGER)</v>
      </c>
      <c r="AF10" s="279" t="str">
        <f t="shared" si="27"/>
        <v>A18. Airbag, DASH - RIGHT (PASSENGER)</v>
      </c>
      <c r="AG10" s="279" t="str">
        <f t="shared" si="28"/>
        <v>A18.+Airbag,+DASH+-+RIGHT+(PASSENGER)</v>
      </c>
      <c r="AH10" s="279" t="str">
        <f t="shared" si="29"/>
        <v>A18.+Airbag%2C+DASH+-+RIGHT+(PASSENGER)</v>
      </c>
      <c r="AI10" s="279" t="str">
        <f t="shared" si="30"/>
        <v>A18.+Airbag%2C+DASH+-+RIGHT+(PASSENGER)</v>
      </c>
      <c r="AJ10" s="279" t="str">
        <f t="shared" si="31"/>
        <v>A18.+Airbag%2C+DASH+-+RIGHT+(PASSENGER)</v>
      </c>
      <c r="AK10" s="279" t="str">
        <f t="shared" si="32"/>
        <v>A18.+Airbag%2C+DASH+-+RIGHT+(PASSENGER)</v>
      </c>
      <c r="AL10" s="279" t="str">
        <f t="shared" si="33"/>
        <v>A18.+Airbag%2C+DASH+-+RIGHT+(PASSENGER)</v>
      </c>
      <c r="AM10" s="279" t="str">
        <f t="shared" si="34"/>
        <v>A18.+Airbag%2C+DASH+-+RIGHT+(PASSENGER)</v>
      </c>
      <c r="AN10" s="279" t="str">
        <f t="shared" si="2"/>
        <v>A18.+Airbag%2C+DASH+-+RIGHT+(PASSENGER)</v>
      </c>
      <c r="AO10" s="279" t="str">
        <f t="shared" si="35"/>
        <v>A18.+Airbag%2C+DASH+-+RIGHT+(PASSENGER)</v>
      </c>
      <c r="AP10" s="279" t="str">
        <f t="shared" si="36"/>
        <v>A18.+Airbag%2C+DASH+-+RIGHT+(PASSENGER)</v>
      </c>
      <c r="AQ10" s="280" t="s">
        <v>1395</v>
      </c>
      <c r="AR10" s="280" t="s">
        <v>1396</v>
      </c>
      <c r="AS10" s="280" t="s">
        <v>1397</v>
      </c>
      <c r="AT10" s="280" t="s">
        <v>1398</v>
      </c>
      <c r="AU10" s="280" t="s">
        <v>1399</v>
      </c>
      <c r="AV10" s="280" t="s">
        <v>1400</v>
      </c>
      <c r="AW10" s="280" t="s">
        <v>1401</v>
      </c>
      <c r="AX10" s="280" t="s">
        <v>1402</v>
      </c>
      <c r="AY10" s="280" t="s">
        <v>1403</v>
      </c>
      <c r="AZ10" s="280" t="s">
        <v>1404</v>
      </c>
      <c r="BA10" s="280" t="s">
        <v>1405</v>
      </c>
      <c r="BB10" s="280" t="s">
        <v>1406</v>
      </c>
      <c r="BC10" s="280" t="s">
        <v>1419</v>
      </c>
      <c r="BD10" s="280" t="s">
        <v>1407</v>
      </c>
      <c r="BE10" s="280" t="s">
        <v>1408</v>
      </c>
      <c r="BF10" s="280" t="s">
        <v>1409</v>
      </c>
      <c r="BG10" s="280" t="s">
        <v>1410</v>
      </c>
      <c r="BH10" s="280" t="s">
        <v>1411</v>
      </c>
      <c r="BI10" s="280" t="s">
        <v>1412</v>
      </c>
      <c r="BJ10" s="280" t="s">
        <v>1413</v>
      </c>
      <c r="BK10" s="280" t="s">
        <v>1414</v>
      </c>
      <c r="BL10" s="280" t="s">
        <v>1415</v>
      </c>
      <c r="BM10" s="280" t="s">
        <v>1416</v>
      </c>
      <c r="BN10" s="280" t="s">
        <v>1417</v>
      </c>
      <c r="BO10" s="280" t="s">
        <v>1418</v>
      </c>
      <c r="BP10" s="280" t="s">
        <v>1420</v>
      </c>
      <c r="BQ10" s="134" t="str">
        <f t="shared" si="3"/>
        <v>Pic Example</v>
      </c>
    </row>
    <row r="11" spans="2:69" x14ac:dyDescent="0.25">
      <c r="B11" t="s">
        <v>921</v>
      </c>
      <c r="C11" s="279" t="str">
        <f t="shared" si="37"/>
        <v>https://viking-pictures.s3.us-west-1.amazonaws.com/AA1155/A19.+Blower+Motor%2C+FRONT+FOOTWELL+(1).JPG|https://viking-pictures.s3.us-west-1.amazonaws.com/AA1155/A19.+Blower+Motor%2C+FRONT+FOOTWELL+(2).JPG|https://viking-pictures.s3.us-west-1.amazonaws.com/AA1155/A19.+Blower+Motor%2C+FRONT+FOOTWELL+(3).JPG|https://viking-pictures.s3.us-west-1.amazonaws.com/AA1155/A19.+Blower+Motor%2C+FRONT+FOOTWELL+(4).JPG</v>
      </c>
      <c r="D11" s="281">
        <f>_xlfn.XLOOKUP(B11,'3. Keep &amp; Toss Items'!O:O,'3. Keep &amp; Toss Items'!U:U,"NOT FOUND",0,1)</f>
        <v>4</v>
      </c>
      <c r="E11" s="279" t="str">
        <f t="shared" si="0"/>
        <v>https://viking-pictures.s3.us-west-1.amazonaws.com/AA1155/A19.+Blower+Motor%2C+FRONT+FOOTWELL+(1).JPG</v>
      </c>
      <c r="F11" s="279" t="str">
        <f t="shared" si="4"/>
        <v>https://viking-pictures.s3.us-west-1.amazonaws.com/AA1155/A19.+Blower+Motor%2C+FRONT+FOOTWELL+(2).JPG</v>
      </c>
      <c r="G11" s="279" t="str">
        <f t="shared" si="5"/>
        <v>https://viking-pictures.s3.us-west-1.amazonaws.com/AA1155/A19.+Blower+Motor%2C+FRONT+FOOTWELL+(3).JPG</v>
      </c>
      <c r="H11" s="279" t="str">
        <f t="shared" si="6"/>
        <v>https://viking-pictures.s3.us-west-1.amazonaws.com/AA1155/A19.+Blower+Motor%2C+FRONT+FOOTWELL+(4).JPG</v>
      </c>
      <c r="I11" s="279" t="str">
        <f t="shared" si="7"/>
        <v/>
      </c>
      <c r="J11" s="279" t="str">
        <f t="shared" si="8"/>
        <v/>
      </c>
      <c r="K11" s="279" t="str">
        <f t="shared" si="9"/>
        <v/>
      </c>
      <c r="L11" s="279" t="str">
        <f t="shared" si="9"/>
        <v/>
      </c>
      <c r="M11" s="279" t="str">
        <f t="shared" si="10"/>
        <v/>
      </c>
      <c r="N11" s="279" t="str">
        <f t="shared" si="11"/>
        <v/>
      </c>
      <c r="O11" s="279" t="str">
        <f t="shared" si="12"/>
        <v/>
      </c>
      <c r="P11" s="279" t="str">
        <f t="shared" si="13"/>
        <v/>
      </c>
      <c r="Q11" s="279" t="str">
        <f t="shared" si="14"/>
        <v/>
      </c>
      <c r="R11" s="279" t="str">
        <f t="shared" si="15"/>
        <v/>
      </c>
      <c r="S11" s="279" t="str">
        <f t="shared" si="16"/>
        <v/>
      </c>
      <c r="T11" s="279" t="str">
        <f t="shared" si="17"/>
        <v/>
      </c>
      <c r="U11" s="279" t="str">
        <f t="shared" si="18"/>
        <v/>
      </c>
      <c r="V11" s="279" t="str">
        <f t="shared" si="19"/>
        <v/>
      </c>
      <c r="W11" s="279" t="str">
        <f t="shared" si="20"/>
        <v/>
      </c>
      <c r="X11" s="279" t="str">
        <f t="shared" si="21"/>
        <v/>
      </c>
      <c r="Y11" s="279" t="str">
        <f t="shared" si="22"/>
        <v/>
      </c>
      <c r="Z11" s="279" t="str">
        <f t="shared" si="23"/>
        <v/>
      </c>
      <c r="AA11" s="279" t="str">
        <f t="shared" si="24"/>
        <v/>
      </c>
      <c r="AB11" s="279" t="str">
        <f t="shared" si="25"/>
        <v/>
      </c>
      <c r="AC11" s="104" t="s">
        <v>1382</v>
      </c>
      <c r="AD11" s="279" t="str">
        <f t="shared" si="26"/>
        <v>A19.+Blower+Motor%2C+FRONT+FOOTWELL</v>
      </c>
      <c r="AE11" s="279" t="str">
        <f>_xlfn.XLOOKUP(B11,'3. Keep &amp; Toss Items'!O:O,'3. Keep &amp; Toss Items'!Q:Q,"NOT FOUND",0,1)</f>
        <v>A19. Blower Motor, FRONT FOOTWELL</v>
      </c>
      <c r="AF11" s="279" t="str">
        <f t="shared" si="27"/>
        <v>A19. Blower Motor, FRONT FOOTWELL</v>
      </c>
      <c r="AG11" s="279" t="str">
        <f t="shared" si="28"/>
        <v>A19.+Blower+Motor,+FRONT+FOOTWELL</v>
      </c>
      <c r="AH11" s="279" t="str">
        <f t="shared" si="29"/>
        <v>A19.+Blower+Motor%2C+FRONT+FOOTWELL</v>
      </c>
      <c r="AI11" s="279" t="str">
        <f t="shared" si="30"/>
        <v>A19.+Blower+Motor%2C+FRONT+FOOTWELL</v>
      </c>
      <c r="AJ11" s="279" t="str">
        <f t="shared" si="31"/>
        <v>A19.+Blower+Motor%2C+FRONT+FOOTWELL</v>
      </c>
      <c r="AK11" s="279" t="str">
        <f t="shared" si="32"/>
        <v>A19.+Blower+Motor%2C+FRONT+FOOTWELL</v>
      </c>
      <c r="AL11" s="279" t="str">
        <f t="shared" si="33"/>
        <v>A19.+Blower+Motor%2C+FRONT+FOOTWELL</v>
      </c>
      <c r="AM11" s="279" t="str">
        <f t="shared" si="34"/>
        <v>A19.+Blower+Motor%2C+FRONT+FOOTWELL</v>
      </c>
      <c r="AN11" s="279" t="str">
        <f t="shared" si="2"/>
        <v>A19.+Blower+Motor%2C+FRONT+FOOTWELL</v>
      </c>
      <c r="AO11" s="279" t="str">
        <f t="shared" si="35"/>
        <v>A19.+Blower+Motor%2C+FRONT+FOOTWELL</v>
      </c>
      <c r="AP11" s="279" t="str">
        <f t="shared" si="36"/>
        <v>A19.+Blower+Motor%2C+FRONT+FOOTWELL</v>
      </c>
      <c r="AQ11" s="280" t="s">
        <v>1395</v>
      </c>
      <c r="AR11" s="280" t="s">
        <v>1396</v>
      </c>
      <c r="AS11" s="280" t="s">
        <v>1397</v>
      </c>
      <c r="AT11" s="280" t="s">
        <v>1398</v>
      </c>
      <c r="AU11" s="280" t="s">
        <v>1399</v>
      </c>
      <c r="AV11" s="280" t="s">
        <v>1400</v>
      </c>
      <c r="AW11" s="280" t="s">
        <v>1401</v>
      </c>
      <c r="AX11" s="280" t="s">
        <v>1402</v>
      </c>
      <c r="AY11" s="280" t="s">
        <v>1403</v>
      </c>
      <c r="AZ11" s="280" t="s">
        <v>1404</v>
      </c>
      <c r="BA11" s="280" t="s">
        <v>1405</v>
      </c>
      <c r="BB11" s="280" t="s">
        <v>1406</v>
      </c>
      <c r="BC11" s="280" t="s">
        <v>1419</v>
      </c>
      <c r="BD11" s="280" t="s">
        <v>1407</v>
      </c>
      <c r="BE11" s="280" t="s">
        <v>1408</v>
      </c>
      <c r="BF11" s="280" t="s">
        <v>1409</v>
      </c>
      <c r="BG11" s="280" t="s">
        <v>1410</v>
      </c>
      <c r="BH11" s="280" t="s">
        <v>1411</v>
      </c>
      <c r="BI11" s="280" t="s">
        <v>1412</v>
      </c>
      <c r="BJ11" s="280" t="s">
        <v>1413</v>
      </c>
      <c r="BK11" s="280" t="s">
        <v>1414</v>
      </c>
      <c r="BL11" s="280" t="s">
        <v>1415</v>
      </c>
      <c r="BM11" s="280" t="s">
        <v>1416</v>
      </c>
      <c r="BN11" s="280" t="s">
        <v>1417</v>
      </c>
      <c r="BO11" s="280" t="s">
        <v>1418</v>
      </c>
      <c r="BP11" s="280" t="s">
        <v>1420</v>
      </c>
      <c r="BQ11" s="134" t="str">
        <f t="shared" si="3"/>
        <v>Pic Example</v>
      </c>
    </row>
    <row r="12" spans="2:69" x14ac:dyDescent="0.25">
      <c r="B12" t="s">
        <v>922</v>
      </c>
      <c r="C12" s="279" t="str">
        <f t="shared" si="37"/>
        <v>https://viking-pictures.s3.us-west-1.amazonaws.com/AA1155/A20.+Airbag%2C+ROOF+-+RIGHT+(PASSENGER)+(1).JPG|https://viking-pictures.s3.us-west-1.amazonaws.com/AA1155/A20.+Airbag%2C+ROOF+-+RIGHT+(PASSENGER)+(2).JPG|https://viking-pictures.s3.us-west-1.amazonaws.com/AA1155/A20.+Airbag%2C+ROOF+-+RIGHT+(PASSENGER)+(3).JPG|https://viking-pictures.s3.us-west-1.amazonaws.com/AA1155/A20.+Airbag%2C+ROOF+-+RIGHT+(PASSENGER)+(4).JPG|https://viking-pictures.s3.us-west-1.amazonaws.com/AA1155/A20.+Airbag%2C+ROOF+-+RIGHT+(PASSENGER)+(5).JPG</v>
      </c>
      <c r="D12" s="281">
        <f>_xlfn.XLOOKUP(B12,'3. Keep &amp; Toss Items'!O:O,'3. Keep &amp; Toss Items'!U:U,"NOT FOUND",0,1)</f>
        <v>5</v>
      </c>
      <c r="E12" s="279" t="str">
        <f t="shared" si="0"/>
        <v>https://viking-pictures.s3.us-west-1.amazonaws.com/AA1155/A20.+Airbag%2C+ROOF+-+RIGHT+(PASSENGER)+(1).JPG</v>
      </c>
      <c r="F12" s="279" t="str">
        <f t="shared" si="4"/>
        <v>https://viking-pictures.s3.us-west-1.amazonaws.com/AA1155/A20.+Airbag%2C+ROOF+-+RIGHT+(PASSENGER)+(2).JPG</v>
      </c>
      <c r="G12" s="279" t="str">
        <f t="shared" si="5"/>
        <v>https://viking-pictures.s3.us-west-1.amazonaws.com/AA1155/A20.+Airbag%2C+ROOF+-+RIGHT+(PASSENGER)+(3).JPG</v>
      </c>
      <c r="H12" s="279" t="str">
        <f t="shared" si="6"/>
        <v>https://viking-pictures.s3.us-west-1.amazonaws.com/AA1155/A20.+Airbag%2C+ROOF+-+RIGHT+(PASSENGER)+(4).JPG</v>
      </c>
      <c r="I12" s="279" t="str">
        <f t="shared" si="7"/>
        <v>https://viking-pictures.s3.us-west-1.amazonaws.com/AA1155/A20.+Airbag%2C+ROOF+-+RIGHT+(PASSENGER)+(5).JPG</v>
      </c>
      <c r="J12" s="279" t="str">
        <f t="shared" si="8"/>
        <v/>
      </c>
      <c r="K12" s="279" t="str">
        <f t="shared" si="9"/>
        <v/>
      </c>
      <c r="L12" s="279" t="str">
        <f t="shared" si="9"/>
        <v/>
      </c>
      <c r="M12" s="279" t="str">
        <f t="shared" si="10"/>
        <v/>
      </c>
      <c r="N12" s="279" t="str">
        <f t="shared" si="11"/>
        <v/>
      </c>
      <c r="O12" s="279" t="str">
        <f t="shared" si="12"/>
        <v/>
      </c>
      <c r="P12" s="279" t="str">
        <f t="shared" si="13"/>
        <v/>
      </c>
      <c r="Q12" s="279" t="str">
        <f t="shared" si="14"/>
        <v/>
      </c>
      <c r="R12" s="279" t="str">
        <f t="shared" si="15"/>
        <v/>
      </c>
      <c r="S12" s="279" t="str">
        <f t="shared" si="16"/>
        <v/>
      </c>
      <c r="T12" s="279" t="str">
        <f t="shared" si="17"/>
        <v/>
      </c>
      <c r="U12" s="279" t="str">
        <f t="shared" si="18"/>
        <v/>
      </c>
      <c r="V12" s="279" t="str">
        <f t="shared" si="19"/>
        <v/>
      </c>
      <c r="W12" s="279" t="str">
        <f t="shared" si="20"/>
        <v/>
      </c>
      <c r="X12" s="279" t="str">
        <f t="shared" si="21"/>
        <v/>
      </c>
      <c r="Y12" s="279" t="str">
        <f t="shared" si="22"/>
        <v/>
      </c>
      <c r="Z12" s="279" t="str">
        <f t="shared" si="23"/>
        <v/>
      </c>
      <c r="AA12" s="279" t="str">
        <f t="shared" si="24"/>
        <v/>
      </c>
      <c r="AB12" s="279" t="str">
        <f t="shared" si="25"/>
        <v/>
      </c>
      <c r="AC12" s="104" t="s">
        <v>1382</v>
      </c>
      <c r="AD12" s="279" t="str">
        <f t="shared" si="26"/>
        <v>A20.+Airbag%2C+ROOF+-+RIGHT+(PASSENGER)</v>
      </c>
      <c r="AE12" s="279" t="str">
        <f>_xlfn.XLOOKUP(B12,'3. Keep &amp; Toss Items'!O:O,'3. Keep &amp; Toss Items'!Q:Q,"NOT FOUND",0,1)</f>
        <v>A20. Airbag, ROOF - RIGHT (PASSENGER)</v>
      </c>
      <c r="AF12" s="279" t="str">
        <f t="shared" si="27"/>
        <v>A20. Airbag, ROOF - RIGHT (PASSENGER)</v>
      </c>
      <c r="AG12" s="279" t="str">
        <f t="shared" si="28"/>
        <v>A20.+Airbag,+ROOF+-+RIGHT+(PASSENGER)</v>
      </c>
      <c r="AH12" s="279" t="str">
        <f t="shared" si="29"/>
        <v>A20.+Airbag%2C+ROOF+-+RIGHT+(PASSENGER)</v>
      </c>
      <c r="AI12" s="279" t="str">
        <f t="shared" si="30"/>
        <v>A20.+Airbag%2C+ROOF+-+RIGHT+(PASSENGER)</v>
      </c>
      <c r="AJ12" s="279" t="str">
        <f t="shared" si="31"/>
        <v>A20.+Airbag%2C+ROOF+-+RIGHT+(PASSENGER)</v>
      </c>
      <c r="AK12" s="279" t="str">
        <f t="shared" si="32"/>
        <v>A20.+Airbag%2C+ROOF+-+RIGHT+(PASSENGER)</v>
      </c>
      <c r="AL12" s="279" t="str">
        <f t="shared" si="33"/>
        <v>A20.+Airbag%2C+ROOF+-+RIGHT+(PASSENGER)</v>
      </c>
      <c r="AM12" s="279" t="str">
        <f t="shared" si="34"/>
        <v>A20.+Airbag%2C+ROOF+-+RIGHT+(PASSENGER)</v>
      </c>
      <c r="AN12" s="279" t="str">
        <f t="shared" si="2"/>
        <v>A20.+Airbag%2C+ROOF+-+RIGHT+(PASSENGER)</v>
      </c>
      <c r="AO12" s="279" t="str">
        <f t="shared" si="35"/>
        <v>A20.+Airbag%2C+ROOF+-+RIGHT+(PASSENGER)</v>
      </c>
      <c r="AP12" s="279" t="str">
        <f t="shared" si="36"/>
        <v>A20.+Airbag%2C+ROOF+-+RIGHT+(PASSENGER)</v>
      </c>
      <c r="AQ12" s="280" t="s">
        <v>1395</v>
      </c>
      <c r="AR12" s="280" t="s">
        <v>1396</v>
      </c>
      <c r="AS12" s="280" t="s">
        <v>1397</v>
      </c>
      <c r="AT12" s="280" t="s">
        <v>1398</v>
      </c>
      <c r="AU12" s="280" t="s">
        <v>1399</v>
      </c>
      <c r="AV12" s="280" t="s">
        <v>1400</v>
      </c>
      <c r="AW12" s="280" t="s">
        <v>1401</v>
      </c>
      <c r="AX12" s="280" t="s">
        <v>1402</v>
      </c>
      <c r="AY12" s="280" t="s">
        <v>1403</v>
      </c>
      <c r="AZ12" s="280" t="s">
        <v>1404</v>
      </c>
      <c r="BA12" s="280" t="s">
        <v>1405</v>
      </c>
      <c r="BB12" s="280" t="s">
        <v>1406</v>
      </c>
      <c r="BC12" s="280" t="s">
        <v>1419</v>
      </c>
      <c r="BD12" s="280" t="s">
        <v>1407</v>
      </c>
      <c r="BE12" s="280" t="s">
        <v>1408</v>
      </c>
      <c r="BF12" s="280" t="s">
        <v>1409</v>
      </c>
      <c r="BG12" s="280" t="s">
        <v>1410</v>
      </c>
      <c r="BH12" s="280" t="s">
        <v>1411</v>
      </c>
      <c r="BI12" s="280" t="s">
        <v>1412</v>
      </c>
      <c r="BJ12" s="280" t="s">
        <v>1413</v>
      </c>
      <c r="BK12" s="280" t="s">
        <v>1414</v>
      </c>
      <c r="BL12" s="280" t="s">
        <v>1415</v>
      </c>
      <c r="BM12" s="280" t="s">
        <v>1416</v>
      </c>
      <c r="BN12" s="280" t="s">
        <v>1417</v>
      </c>
      <c r="BO12" s="280" t="s">
        <v>1418</v>
      </c>
      <c r="BP12" s="280" t="s">
        <v>1420</v>
      </c>
      <c r="BQ12" s="134" t="str">
        <f t="shared" si="3"/>
        <v>Pic Example</v>
      </c>
    </row>
    <row r="13" spans="2:69" x14ac:dyDescent="0.25">
      <c r="B13" t="s">
        <v>923</v>
      </c>
      <c r="C13" s="279" t="str">
        <f t="shared" si="37"/>
        <v>https://viking-pictures.s3.us-west-1.amazonaws.com/AA1155/A21.+Control+Arms%2C+FRONT+-+UPPER+U+WISHBONE%2C+RIGHT+(1).JPG|https://viking-pictures.s3.us-west-1.amazonaws.com/AA1155/A21.+Control+Arms%2C+FRONT+-+UPPER+U+WISHBONE%2C+RIGHT+(2).JPG|https://viking-pictures.s3.us-west-1.amazonaws.com/AA1155/A21.+Control+Arms%2C+FRONT+-+UPPER+U+WISHBONE%2C+RIGHT+(3).JPG|https://viking-pictures.s3.us-west-1.amazonaws.com/AA1155/A21.+Control+Arms%2C+FRONT+-+UPPER+U+WISHBONE%2C+RIGHT+(4).JPG|https://viking-pictures.s3.us-west-1.amazonaws.com/AA1155/A21.+Control+Arms%2C+FRONT+-+UPPER+U+WISHBONE%2C+RIGHT+(5).JPG</v>
      </c>
      <c r="D13" s="281">
        <f>_xlfn.XLOOKUP(B13,'3. Keep &amp; Toss Items'!O:O,'3. Keep &amp; Toss Items'!U:U,"NOT FOUND",0,1)</f>
        <v>5</v>
      </c>
      <c r="E13" s="279" t="str">
        <f t="shared" si="0"/>
        <v>https://viking-pictures.s3.us-west-1.amazonaws.com/AA1155/A21.+Control+Arms%2C+FRONT+-+UPPER+U+WISHBONE%2C+RIGHT+(1).JPG</v>
      </c>
      <c r="F13" s="279" t="str">
        <f t="shared" si="4"/>
        <v>https://viking-pictures.s3.us-west-1.amazonaws.com/AA1155/A21.+Control+Arms%2C+FRONT+-+UPPER+U+WISHBONE%2C+RIGHT+(2).JPG</v>
      </c>
      <c r="G13" s="279" t="str">
        <f t="shared" si="5"/>
        <v>https://viking-pictures.s3.us-west-1.amazonaws.com/AA1155/A21.+Control+Arms%2C+FRONT+-+UPPER+U+WISHBONE%2C+RIGHT+(3).JPG</v>
      </c>
      <c r="H13" s="279" t="str">
        <f t="shared" si="6"/>
        <v>https://viking-pictures.s3.us-west-1.amazonaws.com/AA1155/A21.+Control+Arms%2C+FRONT+-+UPPER+U+WISHBONE%2C+RIGHT+(4).JPG</v>
      </c>
      <c r="I13" s="279" t="str">
        <f t="shared" si="7"/>
        <v>https://viking-pictures.s3.us-west-1.amazonaws.com/AA1155/A21.+Control+Arms%2C+FRONT+-+UPPER+U+WISHBONE%2C+RIGHT+(5).JPG</v>
      </c>
      <c r="J13" s="279" t="str">
        <f t="shared" si="8"/>
        <v/>
      </c>
      <c r="K13" s="279" t="str">
        <f t="shared" si="9"/>
        <v/>
      </c>
      <c r="L13" s="279" t="str">
        <f t="shared" si="9"/>
        <v/>
      </c>
      <c r="M13" s="279" t="str">
        <f t="shared" si="10"/>
        <v/>
      </c>
      <c r="N13" s="279" t="str">
        <f t="shared" si="11"/>
        <v/>
      </c>
      <c r="O13" s="279" t="str">
        <f t="shared" si="12"/>
        <v/>
      </c>
      <c r="P13" s="279" t="str">
        <f t="shared" si="13"/>
        <v/>
      </c>
      <c r="Q13" s="279" t="str">
        <f t="shared" si="14"/>
        <v/>
      </c>
      <c r="R13" s="279" t="str">
        <f t="shared" si="15"/>
        <v/>
      </c>
      <c r="S13" s="279" t="str">
        <f t="shared" si="16"/>
        <v/>
      </c>
      <c r="T13" s="279" t="str">
        <f t="shared" si="17"/>
        <v/>
      </c>
      <c r="U13" s="279" t="str">
        <f t="shared" si="18"/>
        <v/>
      </c>
      <c r="V13" s="279" t="str">
        <f t="shared" si="19"/>
        <v/>
      </c>
      <c r="W13" s="279" t="str">
        <f t="shared" si="20"/>
        <v/>
      </c>
      <c r="X13" s="279" t="str">
        <f t="shared" si="21"/>
        <v/>
      </c>
      <c r="Y13" s="279" t="str">
        <f t="shared" si="22"/>
        <v/>
      </c>
      <c r="Z13" s="279" t="str">
        <f t="shared" si="23"/>
        <v/>
      </c>
      <c r="AA13" s="279" t="str">
        <f t="shared" si="24"/>
        <v/>
      </c>
      <c r="AB13" s="279" t="str">
        <f t="shared" si="25"/>
        <v/>
      </c>
      <c r="AC13" s="104" t="s">
        <v>1382</v>
      </c>
      <c r="AD13" s="279" t="str">
        <f t="shared" si="26"/>
        <v>A21.+Control+Arms%2C+FRONT+-+UPPER+U+WISHBONE%2C+RIGHT</v>
      </c>
      <c r="AE13" s="279" t="str">
        <f>_xlfn.XLOOKUP(B13,'3. Keep &amp; Toss Items'!O:O,'3. Keep &amp; Toss Items'!Q:Q,"NOT FOUND",0,1)</f>
        <v>A21. Control Arms, FRONT - UPPER "U" WISHBONE, RIGHT</v>
      </c>
      <c r="AF13" s="279" t="str">
        <f t="shared" si="27"/>
        <v>A21. Control Arms, FRONT - UPPER "U" WISHBONE, RIGHT</v>
      </c>
      <c r="AG13" s="279" t="str">
        <f t="shared" si="28"/>
        <v>A21.+Control+Arms,+FRONT+-+UPPER+"U"+WISHBONE,+RIGHT</v>
      </c>
      <c r="AH13" s="279" t="str">
        <f t="shared" si="29"/>
        <v>A21.+Control+Arms%2C+FRONT+-+UPPER+"U"+WISHBONE%2C+RIGHT</v>
      </c>
      <c r="AI13" s="279" t="str">
        <f t="shared" si="30"/>
        <v>A21.+Control+Arms%2C+FRONT+-+UPPER+"U"+WISHBONE%2C+RIGHT</v>
      </c>
      <c r="AJ13" s="279" t="str">
        <f t="shared" si="31"/>
        <v>A21.+Control+Arms%2C+FRONT+-+UPPER+"U"+WISHBONE%2C+RIGHT</v>
      </c>
      <c r="AK13" s="279" t="str">
        <f t="shared" si="32"/>
        <v>A21.+Control+Arms%2C+FRONT+-+UPPER+"U"+WISHBONE%2C+RIGHT</v>
      </c>
      <c r="AL13" s="279" t="str">
        <f t="shared" si="33"/>
        <v>A21.+Control+Arms%2C+FRONT+-+UPPER+"U"+WISHBONE%2C+RIGHT</v>
      </c>
      <c r="AM13" s="279" t="str">
        <f t="shared" si="34"/>
        <v>A21.+Control+Arms%2C+FRONT+-+UPPER+"U"+WISHBONE%2C+RIGHT</v>
      </c>
      <c r="AN13" s="279" t="str">
        <f t="shared" si="2"/>
        <v>A21.+Control+Arms%2C+FRONT+-+UPPER+"U"+WISHBONE%2C+RIGHT</v>
      </c>
      <c r="AO13" s="279" t="str">
        <f t="shared" si="35"/>
        <v>A21.+Control+Arms%2C+FRONT+-+UPPER+"U"+WISHBONE%2C+RIGHT</v>
      </c>
      <c r="AP13" s="279" t="str">
        <f t="shared" si="36"/>
        <v>A21.+Control+Arms%2C+FRONT+-+UPPER+U+WISHBONE%2C+RIGHT</v>
      </c>
      <c r="AQ13" s="280" t="s">
        <v>1395</v>
      </c>
      <c r="AR13" s="280" t="s">
        <v>1396</v>
      </c>
      <c r="AS13" s="280" t="s">
        <v>1397</v>
      </c>
      <c r="AT13" s="280" t="s">
        <v>1398</v>
      </c>
      <c r="AU13" s="280" t="s">
        <v>1399</v>
      </c>
      <c r="AV13" s="280" t="s">
        <v>1400</v>
      </c>
      <c r="AW13" s="280" t="s">
        <v>1401</v>
      </c>
      <c r="AX13" s="280" t="s">
        <v>1402</v>
      </c>
      <c r="AY13" s="280" t="s">
        <v>1403</v>
      </c>
      <c r="AZ13" s="280" t="s">
        <v>1404</v>
      </c>
      <c r="BA13" s="280" t="s">
        <v>1405</v>
      </c>
      <c r="BB13" s="280" t="s">
        <v>1406</v>
      </c>
      <c r="BC13" s="280" t="s">
        <v>1419</v>
      </c>
      <c r="BD13" s="280" t="s">
        <v>1407</v>
      </c>
      <c r="BE13" s="280" t="s">
        <v>1408</v>
      </c>
      <c r="BF13" s="280" t="s">
        <v>1409</v>
      </c>
      <c r="BG13" s="280" t="s">
        <v>1410</v>
      </c>
      <c r="BH13" s="280" t="s">
        <v>1411</v>
      </c>
      <c r="BI13" s="280" t="s">
        <v>1412</v>
      </c>
      <c r="BJ13" s="280" t="s">
        <v>1413</v>
      </c>
      <c r="BK13" s="280" t="s">
        <v>1414</v>
      </c>
      <c r="BL13" s="280" t="s">
        <v>1415</v>
      </c>
      <c r="BM13" s="280" t="s">
        <v>1416</v>
      </c>
      <c r="BN13" s="280" t="s">
        <v>1417</v>
      </c>
      <c r="BO13" s="280" t="s">
        <v>1418</v>
      </c>
      <c r="BP13" s="280" t="s">
        <v>1420</v>
      </c>
      <c r="BQ13" s="134" t="str">
        <f t="shared" si="3"/>
        <v>Pic Example</v>
      </c>
    </row>
    <row r="14" spans="2:69" x14ac:dyDescent="0.25">
      <c r="B14" t="s">
        <v>924</v>
      </c>
      <c r="C14" s="279" t="str">
        <f t="shared" si="37"/>
        <v>https://viking-pictures.s3.us-west-1.amazonaws.com/AA1155/A22.+Airbag%2C+ROOF+-+LEFT+(DRIVER)+(1).JPG|https://viking-pictures.s3.us-west-1.amazonaws.com/AA1155/A22.+Airbag%2C+ROOF+-+LEFT+(DRIVER)+(2).JPG|https://viking-pictures.s3.us-west-1.amazonaws.com/AA1155/A22.+Airbag%2C+ROOF+-+LEFT+(DRIVER)+(3).JPG|https://viking-pictures.s3.us-west-1.amazonaws.com/AA1155/A22.+Airbag%2C+ROOF+-+LEFT+(DRIVER)+(4).JPG|https://viking-pictures.s3.us-west-1.amazonaws.com/AA1155/A22.+Airbag%2C+ROOF+-+LEFT+(DRIVER)+(5).JPG</v>
      </c>
      <c r="D14" s="281">
        <f>_xlfn.XLOOKUP(B14,'3. Keep &amp; Toss Items'!O:O,'3. Keep &amp; Toss Items'!U:U,"NOT FOUND",0,1)</f>
        <v>5</v>
      </c>
      <c r="E14" s="279" t="str">
        <f t="shared" si="0"/>
        <v>https://viking-pictures.s3.us-west-1.amazonaws.com/AA1155/A22.+Airbag%2C+ROOF+-+LEFT+(DRIVER)+(1).JPG</v>
      </c>
      <c r="F14" s="279" t="str">
        <f t="shared" si="4"/>
        <v>https://viking-pictures.s3.us-west-1.amazonaws.com/AA1155/A22.+Airbag%2C+ROOF+-+LEFT+(DRIVER)+(2).JPG</v>
      </c>
      <c r="G14" s="279" t="str">
        <f t="shared" si="5"/>
        <v>https://viking-pictures.s3.us-west-1.amazonaws.com/AA1155/A22.+Airbag%2C+ROOF+-+LEFT+(DRIVER)+(3).JPG</v>
      </c>
      <c r="H14" s="279" t="str">
        <f t="shared" si="6"/>
        <v>https://viking-pictures.s3.us-west-1.amazonaws.com/AA1155/A22.+Airbag%2C+ROOF+-+LEFT+(DRIVER)+(4).JPG</v>
      </c>
      <c r="I14" s="279" t="str">
        <f t="shared" si="7"/>
        <v>https://viking-pictures.s3.us-west-1.amazonaws.com/AA1155/A22.+Airbag%2C+ROOF+-+LEFT+(DRIVER)+(5).JPG</v>
      </c>
      <c r="J14" s="279" t="str">
        <f t="shared" si="8"/>
        <v/>
      </c>
      <c r="K14" s="279" t="str">
        <f t="shared" si="9"/>
        <v/>
      </c>
      <c r="L14" s="279" t="str">
        <f t="shared" si="9"/>
        <v/>
      </c>
      <c r="M14" s="279" t="str">
        <f t="shared" si="10"/>
        <v/>
      </c>
      <c r="N14" s="279" t="str">
        <f t="shared" si="11"/>
        <v/>
      </c>
      <c r="O14" s="279" t="str">
        <f t="shared" si="12"/>
        <v/>
      </c>
      <c r="P14" s="279" t="str">
        <f t="shared" si="13"/>
        <v/>
      </c>
      <c r="Q14" s="279" t="str">
        <f t="shared" si="14"/>
        <v/>
      </c>
      <c r="R14" s="279" t="str">
        <f t="shared" si="15"/>
        <v/>
      </c>
      <c r="S14" s="279" t="str">
        <f t="shared" si="16"/>
        <v/>
      </c>
      <c r="T14" s="279" t="str">
        <f t="shared" si="17"/>
        <v/>
      </c>
      <c r="U14" s="279" t="str">
        <f t="shared" si="18"/>
        <v/>
      </c>
      <c r="V14" s="279" t="str">
        <f t="shared" si="19"/>
        <v/>
      </c>
      <c r="W14" s="279" t="str">
        <f t="shared" si="20"/>
        <v/>
      </c>
      <c r="X14" s="279" t="str">
        <f t="shared" si="21"/>
        <v/>
      </c>
      <c r="Y14" s="279" t="str">
        <f t="shared" si="22"/>
        <v/>
      </c>
      <c r="Z14" s="279" t="str">
        <f t="shared" si="23"/>
        <v/>
      </c>
      <c r="AA14" s="279" t="str">
        <f t="shared" si="24"/>
        <v/>
      </c>
      <c r="AB14" s="279" t="str">
        <f t="shared" si="25"/>
        <v/>
      </c>
      <c r="AC14" s="104" t="s">
        <v>1382</v>
      </c>
      <c r="AD14" s="279" t="str">
        <f t="shared" si="26"/>
        <v>A22.+Airbag%2C+ROOF+-+LEFT+(DRIVER)</v>
      </c>
      <c r="AE14" s="279" t="str">
        <f>_xlfn.XLOOKUP(B14,'3. Keep &amp; Toss Items'!O:O,'3. Keep &amp; Toss Items'!Q:Q,"NOT FOUND",0,1)</f>
        <v>A22. Airbag, ROOF - LEFT (DRIVER)</v>
      </c>
      <c r="AF14" s="279" t="str">
        <f t="shared" si="27"/>
        <v>A22. Airbag, ROOF - LEFT (DRIVER)</v>
      </c>
      <c r="AG14" s="279" t="str">
        <f t="shared" si="28"/>
        <v>A22.+Airbag,+ROOF+-+LEFT+(DRIVER)</v>
      </c>
      <c r="AH14" s="279" t="str">
        <f t="shared" si="29"/>
        <v>A22.+Airbag%2C+ROOF+-+LEFT+(DRIVER)</v>
      </c>
      <c r="AI14" s="279" t="str">
        <f t="shared" si="30"/>
        <v>A22.+Airbag%2C+ROOF+-+LEFT+(DRIVER)</v>
      </c>
      <c r="AJ14" s="279" t="str">
        <f t="shared" si="31"/>
        <v>A22.+Airbag%2C+ROOF+-+LEFT+(DRIVER)</v>
      </c>
      <c r="AK14" s="279" t="str">
        <f t="shared" si="32"/>
        <v>A22.+Airbag%2C+ROOF+-+LEFT+(DRIVER)</v>
      </c>
      <c r="AL14" s="279" t="str">
        <f t="shared" si="33"/>
        <v>A22.+Airbag%2C+ROOF+-+LEFT+(DRIVER)</v>
      </c>
      <c r="AM14" s="279" t="str">
        <f t="shared" si="34"/>
        <v>A22.+Airbag%2C+ROOF+-+LEFT+(DRIVER)</v>
      </c>
      <c r="AN14" s="279" t="str">
        <f t="shared" si="2"/>
        <v>A22.+Airbag%2C+ROOF+-+LEFT+(DRIVER)</v>
      </c>
      <c r="AO14" s="279" t="str">
        <f t="shared" si="35"/>
        <v>A22.+Airbag%2C+ROOF+-+LEFT+(DRIVER)</v>
      </c>
      <c r="AP14" s="279" t="str">
        <f t="shared" si="36"/>
        <v>A22.+Airbag%2C+ROOF+-+LEFT+(DRIVER)</v>
      </c>
      <c r="AQ14" s="280" t="s">
        <v>1395</v>
      </c>
      <c r="AR14" s="280" t="s">
        <v>1396</v>
      </c>
      <c r="AS14" s="280" t="s">
        <v>1397</v>
      </c>
      <c r="AT14" s="280" t="s">
        <v>1398</v>
      </c>
      <c r="AU14" s="280" t="s">
        <v>1399</v>
      </c>
      <c r="AV14" s="280" t="s">
        <v>1400</v>
      </c>
      <c r="AW14" s="280" t="s">
        <v>1401</v>
      </c>
      <c r="AX14" s="280" t="s">
        <v>1402</v>
      </c>
      <c r="AY14" s="280" t="s">
        <v>1403</v>
      </c>
      <c r="AZ14" s="280" t="s">
        <v>1404</v>
      </c>
      <c r="BA14" s="280" t="s">
        <v>1405</v>
      </c>
      <c r="BB14" s="280" t="s">
        <v>1406</v>
      </c>
      <c r="BC14" s="280" t="s">
        <v>1419</v>
      </c>
      <c r="BD14" s="280" t="s">
        <v>1407</v>
      </c>
      <c r="BE14" s="280" t="s">
        <v>1408</v>
      </c>
      <c r="BF14" s="280" t="s">
        <v>1409</v>
      </c>
      <c r="BG14" s="280" t="s">
        <v>1410</v>
      </c>
      <c r="BH14" s="280" t="s">
        <v>1411</v>
      </c>
      <c r="BI14" s="280" t="s">
        <v>1412</v>
      </c>
      <c r="BJ14" s="280" t="s">
        <v>1413</v>
      </c>
      <c r="BK14" s="280" t="s">
        <v>1414</v>
      </c>
      <c r="BL14" s="280" t="s">
        <v>1415</v>
      </c>
      <c r="BM14" s="280" t="s">
        <v>1416</v>
      </c>
      <c r="BN14" s="280" t="s">
        <v>1417</v>
      </c>
      <c r="BO14" s="280" t="s">
        <v>1418</v>
      </c>
      <c r="BP14" s="280" t="s">
        <v>1420</v>
      </c>
      <c r="BQ14" s="134" t="str">
        <f t="shared" si="3"/>
        <v>Pic Example</v>
      </c>
    </row>
    <row r="15" spans="2:69" x14ac:dyDescent="0.25">
      <c r="B15" t="s">
        <v>925</v>
      </c>
      <c r="C15" s="279" t="str">
        <f t="shared" si="37"/>
        <v>https://viking-pictures.s3.us-west-1.amazonaws.com/AA1155/A23.+PDC+SET+4+With+Harness%2C+REAR+(1).JPG|https://viking-pictures.s3.us-west-1.amazonaws.com/AA1155/A23.+PDC+SET+4+With+Harness%2C+REAR+(2).JPG|https://viking-pictures.s3.us-west-1.amazonaws.com/AA1155/A23.+PDC+SET+4+With+Harness%2C+REAR+(3).JPG|https://viking-pictures.s3.us-west-1.amazonaws.com/AA1155/A23.+PDC+SET+4+With+Harness%2C+REAR+(4).JPG|https://viking-pictures.s3.us-west-1.amazonaws.com/AA1155/A23.+PDC+SET+4+With+Harness%2C+REAR+(5).JPG</v>
      </c>
      <c r="D15" s="281">
        <f>_xlfn.XLOOKUP(B15,'3. Keep &amp; Toss Items'!O:O,'3. Keep &amp; Toss Items'!U:U,"NOT FOUND",0,1)</f>
        <v>5</v>
      </c>
      <c r="E15" s="279" t="str">
        <f t="shared" si="0"/>
        <v>https://viking-pictures.s3.us-west-1.amazonaws.com/AA1155/A23.+PDC+SET+4+With+Harness%2C+REAR+(1).JPG</v>
      </c>
      <c r="F15" s="279" t="str">
        <f t="shared" si="4"/>
        <v>https://viking-pictures.s3.us-west-1.amazonaws.com/AA1155/A23.+PDC+SET+4+With+Harness%2C+REAR+(2).JPG</v>
      </c>
      <c r="G15" s="279" t="str">
        <f t="shared" si="5"/>
        <v>https://viking-pictures.s3.us-west-1.amazonaws.com/AA1155/A23.+PDC+SET+4+With+Harness%2C+REAR+(3).JPG</v>
      </c>
      <c r="H15" s="279" t="str">
        <f t="shared" si="6"/>
        <v>https://viking-pictures.s3.us-west-1.amazonaws.com/AA1155/A23.+PDC+SET+4+With+Harness%2C+REAR+(4).JPG</v>
      </c>
      <c r="I15" s="279" t="str">
        <f t="shared" si="7"/>
        <v>https://viking-pictures.s3.us-west-1.amazonaws.com/AA1155/A23.+PDC+SET+4+With+Harness%2C+REAR+(5).JPG</v>
      </c>
      <c r="J15" s="279" t="str">
        <f t="shared" si="8"/>
        <v/>
      </c>
      <c r="K15" s="279" t="str">
        <f t="shared" si="9"/>
        <v/>
      </c>
      <c r="L15" s="279" t="str">
        <f t="shared" si="9"/>
        <v/>
      </c>
      <c r="M15" s="279" t="str">
        <f t="shared" si="10"/>
        <v/>
      </c>
      <c r="N15" s="279" t="str">
        <f t="shared" si="11"/>
        <v/>
      </c>
      <c r="O15" s="279" t="str">
        <f t="shared" si="12"/>
        <v/>
      </c>
      <c r="P15" s="279" t="str">
        <f t="shared" si="13"/>
        <v/>
      </c>
      <c r="Q15" s="279" t="str">
        <f t="shared" si="14"/>
        <v/>
      </c>
      <c r="R15" s="279" t="str">
        <f t="shared" si="15"/>
        <v/>
      </c>
      <c r="S15" s="279" t="str">
        <f t="shared" si="16"/>
        <v/>
      </c>
      <c r="T15" s="279" t="str">
        <f t="shared" si="17"/>
        <v/>
      </c>
      <c r="U15" s="279" t="str">
        <f t="shared" si="18"/>
        <v/>
      </c>
      <c r="V15" s="279" t="str">
        <f t="shared" si="19"/>
        <v/>
      </c>
      <c r="W15" s="279" t="str">
        <f t="shared" si="20"/>
        <v/>
      </c>
      <c r="X15" s="279" t="str">
        <f t="shared" si="21"/>
        <v/>
      </c>
      <c r="Y15" s="279" t="str">
        <f t="shared" si="22"/>
        <v/>
      </c>
      <c r="Z15" s="279" t="str">
        <f t="shared" si="23"/>
        <v/>
      </c>
      <c r="AA15" s="279" t="str">
        <f t="shared" si="24"/>
        <v/>
      </c>
      <c r="AB15" s="279" t="str">
        <f t="shared" si="25"/>
        <v/>
      </c>
      <c r="AC15" s="104" t="s">
        <v>1382</v>
      </c>
      <c r="AD15" s="279" t="str">
        <f t="shared" si="26"/>
        <v>A23.+PDC+SET+4+With+Harness%2C+REAR</v>
      </c>
      <c r="AE15" s="279" t="str">
        <f>_xlfn.XLOOKUP(B15,'3. Keep &amp; Toss Items'!O:O,'3. Keep &amp; Toss Items'!Q:Q,"NOT FOUND",0,1)</f>
        <v>A23. PDC SET 4 With Harness, REAR</v>
      </c>
      <c r="AF15" s="279" t="str">
        <f t="shared" si="27"/>
        <v>A23. PDC SET 4 With Harness, REAR</v>
      </c>
      <c r="AG15" s="279" t="str">
        <f t="shared" si="28"/>
        <v>A23.+PDC+SET+4+With+Harness,+REAR</v>
      </c>
      <c r="AH15" s="279" t="str">
        <f t="shared" si="29"/>
        <v>A23.+PDC+SET+4+With+Harness%2C+REAR</v>
      </c>
      <c r="AI15" s="279" t="str">
        <f t="shared" si="30"/>
        <v>A23.+PDC+SET+4+With+Harness%2C+REAR</v>
      </c>
      <c r="AJ15" s="279" t="str">
        <f t="shared" si="31"/>
        <v>A23.+PDC+SET+4+With+Harness%2C+REAR</v>
      </c>
      <c r="AK15" s="279" t="str">
        <f t="shared" si="32"/>
        <v>A23.+PDC+SET+4+With+Harness%2C+REAR</v>
      </c>
      <c r="AL15" s="279" t="str">
        <f t="shared" si="33"/>
        <v>A23.+PDC+SET+4+With+Harness%2C+REAR</v>
      </c>
      <c r="AM15" s="279" t="str">
        <f t="shared" si="34"/>
        <v>A23.+PDC+SET+4+With+Harness%2C+REAR</v>
      </c>
      <c r="AN15" s="279" t="str">
        <f t="shared" si="2"/>
        <v>A23.+PDC+SET+4+With+Harness%2C+REAR</v>
      </c>
      <c r="AO15" s="279" t="str">
        <f t="shared" si="35"/>
        <v>A23.+PDC+SET+4+With+Harness%2C+REAR</v>
      </c>
      <c r="AP15" s="279" t="str">
        <f t="shared" si="36"/>
        <v>A23.+PDC+SET+4+With+Harness%2C+REAR</v>
      </c>
      <c r="AQ15" s="280" t="s">
        <v>1395</v>
      </c>
      <c r="AR15" s="280" t="s">
        <v>1396</v>
      </c>
      <c r="AS15" s="280" t="s">
        <v>1397</v>
      </c>
      <c r="AT15" s="280" t="s">
        <v>1398</v>
      </c>
      <c r="AU15" s="280" t="s">
        <v>1399</v>
      </c>
      <c r="AV15" s="280" t="s">
        <v>1400</v>
      </c>
      <c r="AW15" s="280" t="s">
        <v>1401</v>
      </c>
      <c r="AX15" s="280" t="s">
        <v>1402</v>
      </c>
      <c r="AY15" s="280" t="s">
        <v>1403</v>
      </c>
      <c r="AZ15" s="280" t="s">
        <v>1404</v>
      </c>
      <c r="BA15" s="280" t="s">
        <v>1405</v>
      </c>
      <c r="BB15" s="280" t="s">
        <v>1406</v>
      </c>
      <c r="BC15" s="280" t="s">
        <v>1419</v>
      </c>
      <c r="BD15" s="280" t="s">
        <v>1407</v>
      </c>
      <c r="BE15" s="280" t="s">
        <v>1408</v>
      </c>
      <c r="BF15" s="280" t="s">
        <v>1409</v>
      </c>
      <c r="BG15" s="280" t="s">
        <v>1410</v>
      </c>
      <c r="BH15" s="280" t="s">
        <v>1411</v>
      </c>
      <c r="BI15" s="280" t="s">
        <v>1412</v>
      </c>
      <c r="BJ15" s="280" t="s">
        <v>1413</v>
      </c>
      <c r="BK15" s="280" t="s">
        <v>1414</v>
      </c>
      <c r="BL15" s="280" t="s">
        <v>1415</v>
      </c>
      <c r="BM15" s="280" t="s">
        <v>1416</v>
      </c>
      <c r="BN15" s="280" t="s">
        <v>1417</v>
      </c>
      <c r="BO15" s="280" t="s">
        <v>1418</v>
      </c>
      <c r="BP15" s="280" t="s">
        <v>1420</v>
      </c>
      <c r="BQ15" s="134" t="str">
        <f t="shared" si="3"/>
        <v>Pic Example</v>
      </c>
    </row>
    <row r="16" spans="2:69" x14ac:dyDescent="0.25">
      <c r="B16" t="s">
        <v>926</v>
      </c>
      <c r="C16" s="279" t="str">
        <f t="shared" si="37"/>
        <v>https://viking-pictures.s3.us-west-1.amazonaws.com/AA1155/A24.+TPMS+Tire+Pressure+Sensor+SET+4+(1).JPG|https://viking-pictures.s3.us-west-1.amazonaws.com/AA1155/A24.+TPMS+Tire+Pressure+Sensor+SET+4+(2).JPG|https://viking-pictures.s3.us-west-1.amazonaws.com/AA1155/A24.+TPMS+Tire+Pressure+Sensor+SET+4+(3).JPG</v>
      </c>
      <c r="D16" s="281">
        <f>_xlfn.XLOOKUP(B16,'3. Keep &amp; Toss Items'!O:O,'3. Keep &amp; Toss Items'!U:U,"NOT FOUND",0,1)</f>
        <v>3</v>
      </c>
      <c r="E16" s="279" t="str">
        <f t="shared" si="0"/>
        <v>https://viking-pictures.s3.us-west-1.amazonaws.com/AA1155/A24.+TPMS+Tire+Pressure+Sensor+SET+4+(1).JPG</v>
      </c>
      <c r="F16" s="279" t="str">
        <f t="shared" si="4"/>
        <v>https://viking-pictures.s3.us-west-1.amazonaws.com/AA1155/A24.+TPMS+Tire+Pressure+Sensor+SET+4+(2).JPG</v>
      </c>
      <c r="G16" s="279" t="str">
        <f t="shared" si="5"/>
        <v>https://viking-pictures.s3.us-west-1.amazonaws.com/AA1155/A24.+TPMS+Tire+Pressure+Sensor+SET+4+(3).JPG</v>
      </c>
      <c r="H16" s="279" t="str">
        <f t="shared" si="6"/>
        <v/>
      </c>
      <c r="I16" s="279" t="str">
        <f t="shared" si="7"/>
        <v/>
      </c>
      <c r="J16" s="279" t="str">
        <f t="shared" si="8"/>
        <v/>
      </c>
      <c r="K16" s="279" t="str">
        <f t="shared" si="9"/>
        <v/>
      </c>
      <c r="L16" s="279" t="str">
        <f t="shared" si="9"/>
        <v/>
      </c>
      <c r="M16" s="279" t="str">
        <f t="shared" si="10"/>
        <v/>
      </c>
      <c r="N16" s="279" t="str">
        <f t="shared" si="11"/>
        <v/>
      </c>
      <c r="O16" s="279" t="str">
        <f t="shared" si="12"/>
        <v/>
      </c>
      <c r="P16" s="279" t="str">
        <f t="shared" si="13"/>
        <v/>
      </c>
      <c r="Q16" s="279" t="str">
        <f t="shared" si="14"/>
        <v/>
      </c>
      <c r="R16" s="279" t="str">
        <f t="shared" si="15"/>
        <v/>
      </c>
      <c r="S16" s="279" t="str">
        <f t="shared" si="16"/>
        <v/>
      </c>
      <c r="T16" s="279" t="str">
        <f t="shared" si="17"/>
        <v/>
      </c>
      <c r="U16" s="279" t="str">
        <f t="shared" si="18"/>
        <v/>
      </c>
      <c r="V16" s="279" t="str">
        <f t="shared" si="19"/>
        <v/>
      </c>
      <c r="W16" s="279" t="str">
        <f t="shared" si="20"/>
        <v/>
      </c>
      <c r="X16" s="279" t="str">
        <f t="shared" si="21"/>
        <v/>
      </c>
      <c r="Y16" s="279" t="str">
        <f t="shared" si="22"/>
        <v/>
      </c>
      <c r="Z16" s="279" t="str">
        <f t="shared" si="23"/>
        <v/>
      </c>
      <c r="AA16" s="279" t="str">
        <f t="shared" si="24"/>
        <v/>
      </c>
      <c r="AB16" s="279" t="str">
        <f t="shared" si="25"/>
        <v/>
      </c>
      <c r="AC16" s="104" t="s">
        <v>1382</v>
      </c>
      <c r="AD16" s="279" t="str">
        <f t="shared" si="26"/>
        <v>A24.+TPMS+Tire+Pressure+Sensor+SET+4</v>
      </c>
      <c r="AE16" s="279" t="str">
        <f>_xlfn.XLOOKUP(B16,'3. Keep &amp; Toss Items'!O:O,'3. Keep &amp; Toss Items'!Q:Q,"NOT FOUND",0,1)</f>
        <v>A24. TPMS Tire Pressure Sensor SET 4</v>
      </c>
      <c r="AF16" s="279" t="str">
        <f t="shared" si="27"/>
        <v>A24. TPMS Tire Pressure Sensor SET 4</v>
      </c>
      <c r="AG16" s="279" t="str">
        <f t="shared" si="28"/>
        <v>A24.+TPMS+Tire+Pressure+Sensor+SET+4</v>
      </c>
      <c r="AH16" s="279" t="str">
        <f t="shared" si="29"/>
        <v>A24.+TPMS+Tire+Pressure+Sensor+SET+4</v>
      </c>
      <c r="AI16" s="279" t="str">
        <f t="shared" si="30"/>
        <v>A24.+TPMS+Tire+Pressure+Sensor+SET+4</v>
      </c>
      <c r="AJ16" s="279" t="str">
        <f t="shared" si="31"/>
        <v>A24.+TPMS+Tire+Pressure+Sensor+SET+4</v>
      </c>
      <c r="AK16" s="279" t="str">
        <f t="shared" si="32"/>
        <v>A24.+TPMS+Tire+Pressure+Sensor+SET+4</v>
      </c>
      <c r="AL16" s="279" t="str">
        <f t="shared" si="33"/>
        <v>A24.+TPMS+Tire+Pressure+Sensor+SET+4</v>
      </c>
      <c r="AM16" s="279" t="str">
        <f t="shared" si="34"/>
        <v>A24.+TPMS+Tire+Pressure+Sensor+SET+4</v>
      </c>
      <c r="AN16" s="279" t="str">
        <f t="shared" si="2"/>
        <v>A24.+TPMS+Tire+Pressure+Sensor+SET+4</v>
      </c>
      <c r="AO16" s="279" t="str">
        <f t="shared" si="35"/>
        <v>A24.+TPMS+Tire+Pressure+Sensor+SET+4</v>
      </c>
      <c r="AP16" s="279" t="str">
        <f t="shared" si="36"/>
        <v>A24.+TPMS+Tire+Pressure+Sensor+SET+4</v>
      </c>
      <c r="AQ16" s="280" t="s">
        <v>1395</v>
      </c>
      <c r="AR16" s="280" t="s">
        <v>1396</v>
      </c>
      <c r="AS16" s="280" t="s">
        <v>1397</v>
      </c>
      <c r="AT16" s="280" t="s">
        <v>1398</v>
      </c>
      <c r="AU16" s="280" t="s">
        <v>1399</v>
      </c>
      <c r="AV16" s="280" t="s">
        <v>1400</v>
      </c>
      <c r="AW16" s="280" t="s">
        <v>1401</v>
      </c>
      <c r="AX16" s="280" t="s">
        <v>1402</v>
      </c>
      <c r="AY16" s="280" t="s">
        <v>1403</v>
      </c>
      <c r="AZ16" s="280" t="s">
        <v>1404</v>
      </c>
      <c r="BA16" s="280" t="s">
        <v>1405</v>
      </c>
      <c r="BB16" s="280" t="s">
        <v>1406</v>
      </c>
      <c r="BC16" s="280" t="s">
        <v>1419</v>
      </c>
      <c r="BD16" s="280" t="s">
        <v>1407</v>
      </c>
      <c r="BE16" s="280" t="s">
        <v>1408</v>
      </c>
      <c r="BF16" s="280" t="s">
        <v>1409</v>
      </c>
      <c r="BG16" s="280" t="s">
        <v>1410</v>
      </c>
      <c r="BH16" s="280" t="s">
        <v>1411</v>
      </c>
      <c r="BI16" s="280" t="s">
        <v>1412</v>
      </c>
      <c r="BJ16" s="280" t="s">
        <v>1413</v>
      </c>
      <c r="BK16" s="280" t="s">
        <v>1414</v>
      </c>
      <c r="BL16" s="280" t="s">
        <v>1415</v>
      </c>
      <c r="BM16" s="280" t="s">
        <v>1416</v>
      </c>
      <c r="BN16" s="280" t="s">
        <v>1417</v>
      </c>
      <c r="BO16" s="280" t="s">
        <v>1418</v>
      </c>
      <c r="BP16" s="280" t="s">
        <v>1420</v>
      </c>
      <c r="BQ16" s="134" t="str">
        <f t="shared" si="3"/>
        <v>Pic Example</v>
      </c>
    </row>
    <row r="17" spans="2:69" x14ac:dyDescent="0.25">
      <c r="B17" t="s">
        <v>927</v>
      </c>
      <c r="C17" s="279" t="str">
        <f t="shared" si="37"/>
        <v>https://viking-pictures.s3.us-west-1.amazonaws.com/AA1155/A25.+Steering+Column+Lower+U-Joint+Shaft+(1).JPG|https://viking-pictures.s3.us-west-1.amazonaws.com/AA1155/A25.+Steering+Column+Lower+U-Joint+Shaft+(2).JPG|https://viking-pictures.s3.us-west-1.amazonaws.com/AA1155/A25.+Steering+Column+Lower+U-Joint+Shaft+(3).JPG|https://viking-pictures.s3.us-west-1.amazonaws.com/AA1155/A25.+Steering+Column+Lower+U-Joint+Shaft+(4).JPG</v>
      </c>
      <c r="D17" s="281">
        <f>_xlfn.XLOOKUP(B17,'3. Keep &amp; Toss Items'!O:O,'3. Keep &amp; Toss Items'!U:U,"NOT FOUND",0,1)</f>
        <v>4</v>
      </c>
      <c r="E17" s="279" t="str">
        <f t="shared" si="0"/>
        <v>https://viking-pictures.s3.us-west-1.amazonaws.com/AA1155/A25.+Steering+Column+Lower+U-Joint+Shaft+(1).JPG</v>
      </c>
      <c r="F17" s="279" t="str">
        <f t="shared" si="4"/>
        <v>https://viking-pictures.s3.us-west-1.amazonaws.com/AA1155/A25.+Steering+Column+Lower+U-Joint+Shaft+(2).JPG</v>
      </c>
      <c r="G17" s="279" t="str">
        <f t="shared" si="5"/>
        <v>https://viking-pictures.s3.us-west-1.amazonaws.com/AA1155/A25.+Steering+Column+Lower+U-Joint+Shaft+(3).JPG</v>
      </c>
      <c r="H17" s="279" t="str">
        <f t="shared" si="6"/>
        <v>https://viking-pictures.s3.us-west-1.amazonaws.com/AA1155/A25.+Steering+Column+Lower+U-Joint+Shaft+(4).JPG</v>
      </c>
      <c r="I17" s="279" t="str">
        <f t="shared" si="7"/>
        <v/>
      </c>
      <c r="J17" s="279" t="str">
        <f t="shared" si="8"/>
        <v/>
      </c>
      <c r="K17" s="279" t="str">
        <f t="shared" si="9"/>
        <v/>
      </c>
      <c r="L17" s="279" t="str">
        <f t="shared" si="9"/>
        <v/>
      </c>
      <c r="M17" s="279" t="str">
        <f t="shared" si="10"/>
        <v/>
      </c>
      <c r="N17" s="279" t="str">
        <f t="shared" si="11"/>
        <v/>
      </c>
      <c r="O17" s="279" t="str">
        <f t="shared" si="12"/>
        <v/>
      </c>
      <c r="P17" s="279" t="str">
        <f t="shared" si="13"/>
        <v/>
      </c>
      <c r="Q17" s="279" t="str">
        <f t="shared" si="14"/>
        <v/>
      </c>
      <c r="R17" s="279" t="str">
        <f t="shared" si="15"/>
        <v/>
      </c>
      <c r="S17" s="279" t="str">
        <f t="shared" si="16"/>
        <v/>
      </c>
      <c r="T17" s="279" t="str">
        <f t="shared" si="17"/>
        <v/>
      </c>
      <c r="U17" s="279" t="str">
        <f t="shared" si="18"/>
        <v/>
      </c>
      <c r="V17" s="279" t="str">
        <f t="shared" si="19"/>
        <v/>
      </c>
      <c r="W17" s="279" t="str">
        <f t="shared" si="20"/>
        <v/>
      </c>
      <c r="X17" s="279" t="str">
        <f t="shared" si="21"/>
        <v/>
      </c>
      <c r="Y17" s="279" t="str">
        <f t="shared" si="22"/>
        <v/>
      </c>
      <c r="Z17" s="279" t="str">
        <f t="shared" si="23"/>
        <v/>
      </c>
      <c r="AA17" s="279" t="str">
        <f t="shared" si="24"/>
        <v/>
      </c>
      <c r="AB17" s="279" t="str">
        <f t="shared" si="25"/>
        <v/>
      </c>
      <c r="AC17" s="104" t="s">
        <v>1382</v>
      </c>
      <c r="AD17" s="279" t="str">
        <f t="shared" si="26"/>
        <v>A25.+Steering+Column+Lower+U-Joint+Shaft</v>
      </c>
      <c r="AE17" s="279" t="str">
        <f>_xlfn.XLOOKUP(B17,'3. Keep &amp; Toss Items'!O:O,'3. Keep &amp; Toss Items'!Q:Q,"NOT FOUND",0,1)</f>
        <v>A25. Steering Column Lower U-Joint Shaft</v>
      </c>
      <c r="AF17" s="279" t="str">
        <f t="shared" si="27"/>
        <v>A25. Steering Column Lower U-Joint Shaft</v>
      </c>
      <c r="AG17" s="279" t="str">
        <f t="shared" si="28"/>
        <v>A25.+Steering+Column+Lower+U-Joint+Shaft</v>
      </c>
      <c r="AH17" s="279" t="str">
        <f t="shared" si="29"/>
        <v>A25.+Steering+Column+Lower+U-Joint+Shaft</v>
      </c>
      <c r="AI17" s="279" t="str">
        <f t="shared" si="30"/>
        <v>A25.+Steering+Column+Lower+U-Joint+Shaft</v>
      </c>
      <c r="AJ17" s="279" t="str">
        <f t="shared" si="31"/>
        <v>A25.+Steering+Column+Lower+U-Joint+Shaft</v>
      </c>
      <c r="AK17" s="279" t="str">
        <f t="shared" si="32"/>
        <v>A25.+Steering+Column+Lower+U-Joint+Shaft</v>
      </c>
      <c r="AL17" s="279" t="str">
        <f t="shared" si="33"/>
        <v>A25.+Steering+Column+Lower+U-Joint+Shaft</v>
      </c>
      <c r="AM17" s="279" t="str">
        <f t="shared" si="34"/>
        <v>A25.+Steering+Column+Lower+U-Joint+Shaft</v>
      </c>
      <c r="AN17" s="279" t="str">
        <f t="shared" si="2"/>
        <v>A25.+Steering+Column+Lower+U-Joint+Shaft</v>
      </c>
      <c r="AO17" s="279" t="str">
        <f t="shared" si="35"/>
        <v>A25.+Steering+Column+Lower+U-Joint+Shaft</v>
      </c>
      <c r="AP17" s="279" t="str">
        <f t="shared" si="36"/>
        <v>A25.+Steering+Column+Lower+U-Joint+Shaft</v>
      </c>
      <c r="AQ17" s="280" t="s">
        <v>1395</v>
      </c>
      <c r="AR17" s="280" t="s">
        <v>1396</v>
      </c>
      <c r="AS17" s="280" t="s">
        <v>1397</v>
      </c>
      <c r="AT17" s="280" t="s">
        <v>1398</v>
      </c>
      <c r="AU17" s="280" t="s">
        <v>1399</v>
      </c>
      <c r="AV17" s="280" t="s">
        <v>1400</v>
      </c>
      <c r="AW17" s="280" t="s">
        <v>1401</v>
      </c>
      <c r="AX17" s="280" t="s">
        <v>1402</v>
      </c>
      <c r="AY17" s="280" t="s">
        <v>1403</v>
      </c>
      <c r="AZ17" s="280" t="s">
        <v>1404</v>
      </c>
      <c r="BA17" s="280" t="s">
        <v>1405</v>
      </c>
      <c r="BB17" s="280" t="s">
        <v>1406</v>
      </c>
      <c r="BC17" s="280" t="s">
        <v>1419</v>
      </c>
      <c r="BD17" s="280" t="s">
        <v>1407</v>
      </c>
      <c r="BE17" s="280" t="s">
        <v>1408</v>
      </c>
      <c r="BF17" s="280" t="s">
        <v>1409</v>
      </c>
      <c r="BG17" s="280" t="s">
        <v>1410</v>
      </c>
      <c r="BH17" s="280" t="s">
        <v>1411</v>
      </c>
      <c r="BI17" s="280" t="s">
        <v>1412</v>
      </c>
      <c r="BJ17" s="280" t="s">
        <v>1413</v>
      </c>
      <c r="BK17" s="280" t="s">
        <v>1414</v>
      </c>
      <c r="BL17" s="280" t="s">
        <v>1415</v>
      </c>
      <c r="BM17" s="280" t="s">
        <v>1416</v>
      </c>
      <c r="BN17" s="280" t="s">
        <v>1417</v>
      </c>
      <c r="BO17" s="280" t="s">
        <v>1418</v>
      </c>
      <c r="BP17" s="280" t="s">
        <v>1420</v>
      </c>
      <c r="BQ17" s="134" t="str">
        <f t="shared" si="3"/>
        <v>Pic Example</v>
      </c>
    </row>
    <row r="18" spans="2:69" x14ac:dyDescent="0.25">
      <c r="B18" t="s">
        <v>928</v>
      </c>
      <c r="C18" s="279" t="str">
        <f t="shared" si="37"/>
        <v>https://viking-pictures.s3.us-west-1.amazonaws.com/AA1155/A26.+Wiper+Arms%2C+FRONT+SET+2+(1).JPG|https://viking-pictures.s3.us-west-1.amazonaws.com/AA1155/A26.+Wiper+Arms%2C+FRONT+SET+2+(2).JPG|https://viking-pictures.s3.us-west-1.amazonaws.com/AA1155/A26.+Wiper+Arms%2C+FRONT+SET+2+(3).JPG|https://viking-pictures.s3.us-west-1.amazonaws.com/AA1155/A26.+Wiper+Arms%2C+FRONT+SET+2+(4).JPG|https://viking-pictures.s3.us-west-1.amazonaws.com/AA1155/A26.+Wiper+Arms%2C+FRONT+SET+2+(5).JPG</v>
      </c>
      <c r="D18" s="281">
        <f>_xlfn.XLOOKUP(B18,'3. Keep &amp; Toss Items'!O:O,'3. Keep &amp; Toss Items'!U:U,"NOT FOUND",0,1)</f>
        <v>5</v>
      </c>
      <c r="E18" s="279" t="str">
        <f t="shared" si="0"/>
        <v>https://viking-pictures.s3.us-west-1.amazonaws.com/AA1155/A26.+Wiper+Arms%2C+FRONT+SET+2+(1).JPG</v>
      </c>
      <c r="F18" s="279" t="str">
        <f t="shared" si="4"/>
        <v>https://viking-pictures.s3.us-west-1.amazonaws.com/AA1155/A26.+Wiper+Arms%2C+FRONT+SET+2+(2).JPG</v>
      </c>
      <c r="G18" s="279" t="str">
        <f t="shared" si="5"/>
        <v>https://viking-pictures.s3.us-west-1.amazonaws.com/AA1155/A26.+Wiper+Arms%2C+FRONT+SET+2+(3).JPG</v>
      </c>
      <c r="H18" s="279" t="str">
        <f t="shared" si="6"/>
        <v>https://viking-pictures.s3.us-west-1.amazonaws.com/AA1155/A26.+Wiper+Arms%2C+FRONT+SET+2+(4).JPG</v>
      </c>
      <c r="I18" s="279" t="str">
        <f t="shared" si="7"/>
        <v>https://viking-pictures.s3.us-west-1.amazonaws.com/AA1155/A26.+Wiper+Arms%2C+FRONT+SET+2+(5).JPG</v>
      </c>
      <c r="J18" s="279" t="str">
        <f t="shared" si="8"/>
        <v/>
      </c>
      <c r="K18" s="279" t="str">
        <f t="shared" si="9"/>
        <v/>
      </c>
      <c r="L18" s="279" t="str">
        <f t="shared" si="9"/>
        <v/>
      </c>
      <c r="M18" s="279" t="str">
        <f t="shared" si="10"/>
        <v/>
      </c>
      <c r="N18" s="279" t="str">
        <f t="shared" si="11"/>
        <v/>
      </c>
      <c r="O18" s="279" t="str">
        <f t="shared" si="12"/>
        <v/>
      </c>
      <c r="P18" s="279" t="str">
        <f t="shared" si="13"/>
        <v/>
      </c>
      <c r="Q18" s="279" t="str">
        <f t="shared" si="14"/>
        <v/>
      </c>
      <c r="R18" s="279" t="str">
        <f t="shared" si="15"/>
        <v/>
      </c>
      <c r="S18" s="279" t="str">
        <f t="shared" si="16"/>
        <v/>
      </c>
      <c r="T18" s="279" t="str">
        <f t="shared" si="17"/>
        <v/>
      </c>
      <c r="U18" s="279" t="str">
        <f t="shared" si="18"/>
        <v/>
      </c>
      <c r="V18" s="279" t="str">
        <f t="shared" si="19"/>
        <v/>
      </c>
      <c r="W18" s="279" t="str">
        <f t="shared" si="20"/>
        <v/>
      </c>
      <c r="X18" s="279" t="str">
        <f t="shared" si="21"/>
        <v/>
      </c>
      <c r="Y18" s="279" t="str">
        <f t="shared" si="22"/>
        <v/>
      </c>
      <c r="Z18" s="279" t="str">
        <f t="shared" si="23"/>
        <v/>
      </c>
      <c r="AA18" s="279" t="str">
        <f t="shared" si="24"/>
        <v/>
      </c>
      <c r="AB18" s="279" t="str">
        <f t="shared" si="25"/>
        <v/>
      </c>
      <c r="AC18" s="104" t="s">
        <v>1382</v>
      </c>
      <c r="AD18" s="279" t="str">
        <f t="shared" si="26"/>
        <v>A26.+Wiper+Arms%2C+FRONT+SET+2</v>
      </c>
      <c r="AE18" s="279" t="str">
        <f>_xlfn.XLOOKUP(B18,'3. Keep &amp; Toss Items'!O:O,'3. Keep &amp; Toss Items'!Q:Q,"NOT FOUND",0,1)</f>
        <v>A26. Wiper Arms, FRONT SET 2</v>
      </c>
      <c r="AF18" s="279" t="str">
        <f t="shared" si="27"/>
        <v>A26. Wiper Arms, FRONT SET 2</v>
      </c>
      <c r="AG18" s="279" t="str">
        <f t="shared" si="28"/>
        <v>A26.+Wiper+Arms,+FRONT+SET+2</v>
      </c>
      <c r="AH18" s="279" t="str">
        <f t="shared" si="29"/>
        <v>A26.+Wiper+Arms%2C+FRONT+SET+2</v>
      </c>
      <c r="AI18" s="279" t="str">
        <f t="shared" si="30"/>
        <v>A26.+Wiper+Arms%2C+FRONT+SET+2</v>
      </c>
      <c r="AJ18" s="279" t="str">
        <f t="shared" si="31"/>
        <v>A26.+Wiper+Arms%2C+FRONT+SET+2</v>
      </c>
      <c r="AK18" s="279" t="str">
        <f t="shared" si="32"/>
        <v>A26.+Wiper+Arms%2C+FRONT+SET+2</v>
      </c>
      <c r="AL18" s="279" t="str">
        <f t="shared" si="33"/>
        <v>A26.+Wiper+Arms%2C+FRONT+SET+2</v>
      </c>
      <c r="AM18" s="279" t="str">
        <f t="shared" si="34"/>
        <v>A26.+Wiper+Arms%2C+FRONT+SET+2</v>
      </c>
      <c r="AN18" s="279" t="str">
        <f t="shared" si="2"/>
        <v>A26.+Wiper+Arms%2C+FRONT+SET+2</v>
      </c>
      <c r="AO18" s="279" t="str">
        <f t="shared" si="35"/>
        <v>A26.+Wiper+Arms%2C+FRONT+SET+2</v>
      </c>
      <c r="AP18" s="279" t="str">
        <f t="shared" si="36"/>
        <v>A26.+Wiper+Arms%2C+FRONT+SET+2</v>
      </c>
      <c r="AQ18" s="280" t="s">
        <v>1395</v>
      </c>
      <c r="AR18" s="280" t="s">
        <v>1396</v>
      </c>
      <c r="AS18" s="280" t="s">
        <v>1397</v>
      </c>
      <c r="AT18" s="280" t="s">
        <v>1398</v>
      </c>
      <c r="AU18" s="280" t="s">
        <v>1399</v>
      </c>
      <c r="AV18" s="280" t="s">
        <v>1400</v>
      </c>
      <c r="AW18" s="280" t="s">
        <v>1401</v>
      </c>
      <c r="AX18" s="280" t="s">
        <v>1402</v>
      </c>
      <c r="AY18" s="280" t="s">
        <v>1403</v>
      </c>
      <c r="AZ18" s="280" t="s">
        <v>1404</v>
      </c>
      <c r="BA18" s="280" t="s">
        <v>1405</v>
      </c>
      <c r="BB18" s="280" t="s">
        <v>1406</v>
      </c>
      <c r="BC18" s="280" t="s">
        <v>1419</v>
      </c>
      <c r="BD18" s="280" t="s">
        <v>1407</v>
      </c>
      <c r="BE18" s="280" t="s">
        <v>1408</v>
      </c>
      <c r="BF18" s="280" t="s">
        <v>1409</v>
      </c>
      <c r="BG18" s="280" t="s">
        <v>1410</v>
      </c>
      <c r="BH18" s="280" t="s">
        <v>1411</v>
      </c>
      <c r="BI18" s="280" t="s">
        <v>1412</v>
      </c>
      <c r="BJ18" s="280" t="s">
        <v>1413</v>
      </c>
      <c r="BK18" s="280" t="s">
        <v>1414</v>
      </c>
      <c r="BL18" s="280" t="s">
        <v>1415</v>
      </c>
      <c r="BM18" s="280" t="s">
        <v>1416</v>
      </c>
      <c r="BN18" s="280" t="s">
        <v>1417</v>
      </c>
      <c r="BO18" s="280" t="s">
        <v>1418</v>
      </c>
      <c r="BP18" s="280" t="s">
        <v>1420</v>
      </c>
      <c r="BQ18" s="134" t="str">
        <f t="shared" si="3"/>
        <v>Pic Example</v>
      </c>
    </row>
    <row r="19" spans="2:69" x14ac:dyDescent="0.25">
      <c r="B19" t="s">
        <v>929</v>
      </c>
      <c r="C19" s="279" t="str">
        <f t="shared" si="37"/>
        <v>https://viking-pictures.s3.us-west-1.amazonaws.com/AA1155/A27.+Door+Latch%2C+REAR+-+RIGHT+Soft+Close+WITH+Actuator+SET+2+(1).JPG|https://viking-pictures.s3.us-west-1.amazonaws.com/AA1155/A27.+Door+Latch%2C+REAR+-+RIGHT+Soft+Close+WITH+Actuator+SET+2+(2).JPG|https://viking-pictures.s3.us-west-1.amazonaws.com/AA1155/A27.+Door+Latch%2C+REAR+-+RIGHT+Soft+Close+WITH+Actuator+SET+2+(3).JPG|https://viking-pictures.s3.us-west-1.amazonaws.com/AA1155/A27.+Door+Latch%2C+REAR+-+RIGHT+Soft+Close+WITH+Actuator+SET+2+(4).JPG|https://viking-pictures.s3.us-west-1.amazonaws.com/AA1155/A27.+Door+Latch%2C+REAR+-+RIGHT+Soft+Close+WITH+Actuator+SET+2+(5).JPG|https://viking-pictures.s3.us-west-1.amazonaws.com/AA1155/A27.+Door+Latch%2C+REAR+-+RIGHT+Soft+Close+WITH+Actuator+SET+2+(6).JPG</v>
      </c>
      <c r="D19" s="281">
        <f>_xlfn.XLOOKUP(B19,'3. Keep &amp; Toss Items'!O:O,'3. Keep &amp; Toss Items'!U:U,"NOT FOUND",0,1)</f>
        <v>6</v>
      </c>
      <c r="E19" s="279" t="str">
        <f t="shared" si="0"/>
        <v>https://viking-pictures.s3.us-west-1.amazonaws.com/AA1155/A27.+Door+Latch%2C+REAR+-+RIGHT+Soft+Close+WITH+Actuator+SET+2+(1).JPG</v>
      </c>
      <c r="F19" s="279" t="str">
        <f t="shared" si="4"/>
        <v>https://viking-pictures.s3.us-west-1.amazonaws.com/AA1155/A27.+Door+Latch%2C+REAR+-+RIGHT+Soft+Close+WITH+Actuator+SET+2+(2).JPG</v>
      </c>
      <c r="G19" s="279" t="str">
        <f t="shared" si="5"/>
        <v>https://viking-pictures.s3.us-west-1.amazonaws.com/AA1155/A27.+Door+Latch%2C+REAR+-+RIGHT+Soft+Close+WITH+Actuator+SET+2+(3).JPG</v>
      </c>
      <c r="H19" s="279" t="str">
        <f t="shared" si="6"/>
        <v>https://viking-pictures.s3.us-west-1.amazonaws.com/AA1155/A27.+Door+Latch%2C+REAR+-+RIGHT+Soft+Close+WITH+Actuator+SET+2+(4).JPG</v>
      </c>
      <c r="I19" s="279" t="str">
        <f t="shared" si="7"/>
        <v>https://viking-pictures.s3.us-west-1.amazonaws.com/AA1155/A27.+Door+Latch%2C+REAR+-+RIGHT+Soft+Close+WITH+Actuator+SET+2+(5).JPG</v>
      </c>
      <c r="J19" s="279" t="str">
        <f t="shared" si="8"/>
        <v>https://viking-pictures.s3.us-west-1.amazonaws.com/AA1155/A27.+Door+Latch%2C+REAR+-+RIGHT+Soft+Close+WITH+Actuator+SET+2+(6).JPG</v>
      </c>
      <c r="K19" s="279" t="str">
        <f t="shared" si="9"/>
        <v/>
      </c>
      <c r="L19" s="279" t="str">
        <f t="shared" si="9"/>
        <v/>
      </c>
      <c r="M19" s="279" t="str">
        <f t="shared" si="10"/>
        <v/>
      </c>
      <c r="N19" s="279" t="str">
        <f t="shared" si="11"/>
        <v/>
      </c>
      <c r="O19" s="279" t="str">
        <f t="shared" si="12"/>
        <v/>
      </c>
      <c r="P19" s="279" t="str">
        <f t="shared" si="13"/>
        <v/>
      </c>
      <c r="Q19" s="279" t="str">
        <f t="shared" si="14"/>
        <v/>
      </c>
      <c r="R19" s="279" t="str">
        <f t="shared" si="15"/>
        <v/>
      </c>
      <c r="S19" s="279" t="str">
        <f t="shared" si="16"/>
        <v/>
      </c>
      <c r="T19" s="279" t="str">
        <f t="shared" si="17"/>
        <v/>
      </c>
      <c r="U19" s="279" t="str">
        <f t="shared" si="18"/>
        <v/>
      </c>
      <c r="V19" s="279" t="str">
        <f t="shared" si="19"/>
        <v/>
      </c>
      <c r="W19" s="279" t="str">
        <f t="shared" si="20"/>
        <v/>
      </c>
      <c r="X19" s="279" t="str">
        <f t="shared" si="21"/>
        <v/>
      </c>
      <c r="Y19" s="279" t="str">
        <f t="shared" si="22"/>
        <v/>
      </c>
      <c r="Z19" s="279" t="str">
        <f t="shared" si="23"/>
        <v/>
      </c>
      <c r="AA19" s="279" t="str">
        <f t="shared" si="24"/>
        <v/>
      </c>
      <c r="AB19" s="279" t="str">
        <f t="shared" si="25"/>
        <v/>
      </c>
      <c r="AC19" s="104" t="s">
        <v>1382</v>
      </c>
      <c r="AD19" s="279" t="str">
        <f t="shared" si="26"/>
        <v>A27.+Door+Latch%2C+REAR+-+RIGHT+Soft+Close+WITH+Actuator+SET+2</v>
      </c>
      <c r="AE19" s="279" t="str">
        <f>_xlfn.XLOOKUP(B19,'3. Keep &amp; Toss Items'!O:O,'3. Keep &amp; Toss Items'!Q:Q,"NOT FOUND",0,1)</f>
        <v>A27. Door Latch, REAR - RIGHT Soft Close WITH Actuator SET 2</v>
      </c>
      <c r="AF19" s="279" t="str">
        <f t="shared" si="27"/>
        <v>A27. Door Latch, REAR - RIGHT Soft Close WITH Actuator SET 2</v>
      </c>
      <c r="AG19" s="279" t="str">
        <f t="shared" si="28"/>
        <v>A27.+Door+Latch,+REAR+-+RIGHT+Soft+Close+WITH+Actuator+SET+2</v>
      </c>
      <c r="AH19" s="279" t="str">
        <f t="shared" si="29"/>
        <v>A27.+Door+Latch%2C+REAR+-+RIGHT+Soft+Close+WITH+Actuator+SET+2</v>
      </c>
      <c r="AI19" s="279" t="str">
        <f t="shared" si="30"/>
        <v>A27.+Door+Latch%2C+REAR+-+RIGHT+Soft+Close+WITH+Actuator+SET+2</v>
      </c>
      <c r="AJ19" s="279" t="str">
        <f t="shared" si="31"/>
        <v>A27.+Door+Latch%2C+REAR+-+RIGHT+Soft+Close+WITH+Actuator+SET+2</v>
      </c>
      <c r="AK19" s="279" t="str">
        <f t="shared" si="32"/>
        <v>A27.+Door+Latch%2C+REAR+-+RIGHT+Soft+Close+WITH+Actuator+SET+2</v>
      </c>
      <c r="AL19" s="279" t="str">
        <f t="shared" si="33"/>
        <v>A27.+Door+Latch%2C+REAR+-+RIGHT+Soft+Close+WITH+Actuator+SET+2</v>
      </c>
      <c r="AM19" s="279" t="str">
        <f t="shared" si="34"/>
        <v>A27.+Door+Latch%2C+REAR+-+RIGHT+Soft+Close+WITH+Actuator+SET+2</v>
      </c>
      <c r="AN19" s="279" t="str">
        <f t="shared" si="2"/>
        <v>A27.+Door+Latch%2C+REAR+-+RIGHT+Soft+Close+WITH+Actuator+SET+2</v>
      </c>
      <c r="AO19" s="279" t="str">
        <f t="shared" si="35"/>
        <v>A27.+Door+Latch%2C+REAR+-+RIGHT+Soft+Close+WITH+Actuator+SET+2</v>
      </c>
      <c r="AP19" s="279" t="str">
        <f t="shared" si="36"/>
        <v>A27.+Door+Latch%2C+REAR+-+RIGHT+Soft+Close+WITH+Actuator+SET+2</v>
      </c>
      <c r="AQ19" s="280" t="s">
        <v>1395</v>
      </c>
      <c r="AR19" s="280" t="s">
        <v>1396</v>
      </c>
      <c r="AS19" s="280" t="s">
        <v>1397</v>
      </c>
      <c r="AT19" s="280" t="s">
        <v>1398</v>
      </c>
      <c r="AU19" s="280" t="s">
        <v>1399</v>
      </c>
      <c r="AV19" s="280" t="s">
        <v>1400</v>
      </c>
      <c r="AW19" s="280" t="s">
        <v>1401</v>
      </c>
      <c r="AX19" s="280" t="s">
        <v>1402</v>
      </c>
      <c r="AY19" s="280" t="s">
        <v>1403</v>
      </c>
      <c r="AZ19" s="280" t="s">
        <v>1404</v>
      </c>
      <c r="BA19" s="280" t="s">
        <v>1405</v>
      </c>
      <c r="BB19" s="280" t="s">
        <v>1406</v>
      </c>
      <c r="BC19" s="280" t="s">
        <v>1419</v>
      </c>
      <c r="BD19" s="280" t="s">
        <v>1407</v>
      </c>
      <c r="BE19" s="280" t="s">
        <v>1408</v>
      </c>
      <c r="BF19" s="280" t="s">
        <v>1409</v>
      </c>
      <c r="BG19" s="280" t="s">
        <v>1410</v>
      </c>
      <c r="BH19" s="280" t="s">
        <v>1411</v>
      </c>
      <c r="BI19" s="280" t="s">
        <v>1412</v>
      </c>
      <c r="BJ19" s="280" t="s">
        <v>1413</v>
      </c>
      <c r="BK19" s="280" t="s">
        <v>1414</v>
      </c>
      <c r="BL19" s="280" t="s">
        <v>1415</v>
      </c>
      <c r="BM19" s="280" t="s">
        <v>1416</v>
      </c>
      <c r="BN19" s="280" t="s">
        <v>1417</v>
      </c>
      <c r="BO19" s="280" t="s">
        <v>1418</v>
      </c>
      <c r="BP19" s="280" t="s">
        <v>1420</v>
      </c>
      <c r="BQ19" s="134" t="str">
        <f t="shared" si="3"/>
        <v>Pic Example</v>
      </c>
    </row>
    <row r="20" spans="2:69" x14ac:dyDescent="0.25">
      <c r="B20" t="s">
        <v>930</v>
      </c>
      <c r="C20" s="279" t="str">
        <f t="shared" si="37"/>
        <v>https://viking-pictures.s3.us-west-1.amazonaws.com/AA1155/A28.+Door+Latch%2C+REAR+-+LEFT+Soft+Close+WITH+Actuator+SET+2+(1).JPG|https://viking-pictures.s3.us-west-1.amazonaws.com/AA1155/A28.+Door+Latch%2C+REAR+-+LEFT+Soft+Close+WITH+Actuator+SET+2+(2).JPG|https://viking-pictures.s3.us-west-1.amazonaws.com/AA1155/A28.+Door+Latch%2C+REAR+-+LEFT+Soft+Close+WITH+Actuator+SET+2+(3).JPG|https://viking-pictures.s3.us-west-1.amazonaws.com/AA1155/A28.+Door+Latch%2C+REAR+-+LEFT+Soft+Close+WITH+Actuator+SET+2+(4).JPG|https://viking-pictures.s3.us-west-1.amazonaws.com/AA1155/A28.+Door+Latch%2C+REAR+-+LEFT+Soft+Close+WITH+Actuator+SET+2+(5).JPG</v>
      </c>
      <c r="D20" s="281">
        <f>_xlfn.XLOOKUP(B20,'3. Keep &amp; Toss Items'!O:O,'3. Keep &amp; Toss Items'!U:U,"NOT FOUND",0,1)</f>
        <v>5</v>
      </c>
      <c r="E20" s="279" t="str">
        <f t="shared" si="0"/>
        <v>https://viking-pictures.s3.us-west-1.amazonaws.com/AA1155/A28.+Door+Latch%2C+REAR+-+LEFT+Soft+Close+WITH+Actuator+SET+2+(1).JPG</v>
      </c>
      <c r="F20" s="279" t="str">
        <f t="shared" si="4"/>
        <v>https://viking-pictures.s3.us-west-1.amazonaws.com/AA1155/A28.+Door+Latch%2C+REAR+-+LEFT+Soft+Close+WITH+Actuator+SET+2+(2).JPG</v>
      </c>
      <c r="G20" s="279" t="str">
        <f t="shared" si="5"/>
        <v>https://viking-pictures.s3.us-west-1.amazonaws.com/AA1155/A28.+Door+Latch%2C+REAR+-+LEFT+Soft+Close+WITH+Actuator+SET+2+(3).JPG</v>
      </c>
      <c r="H20" s="279" t="str">
        <f t="shared" si="6"/>
        <v>https://viking-pictures.s3.us-west-1.amazonaws.com/AA1155/A28.+Door+Latch%2C+REAR+-+LEFT+Soft+Close+WITH+Actuator+SET+2+(4).JPG</v>
      </c>
      <c r="I20" s="279" t="str">
        <f t="shared" si="7"/>
        <v>https://viking-pictures.s3.us-west-1.amazonaws.com/AA1155/A28.+Door+Latch%2C+REAR+-+LEFT+Soft+Close+WITH+Actuator+SET+2+(5).JPG</v>
      </c>
      <c r="J20" s="279" t="str">
        <f t="shared" si="8"/>
        <v/>
      </c>
      <c r="K20" s="279" t="str">
        <f t="shared" si="9"/>
        <v/>
      </c>
      <c r="L20" s="279" t="str">
        <f t="shared" si="9"/>
        <v/>
      </c>
      <c r="M20" s="279" t="str">
        <f t="shared" si="10"/>
        <v/>
      </c>
      <c r="N20" s="279" t="str">
        <f t="shared" si="11"/>
        <v/>
      </c>
      <c r="O20" s="279" t="str">
        <f t="shared" si="12"/>
        <v/>
      </c>
      <c r="P20" s="279" t="str">
        <f t="shared" si="13"/>
        <v/>
      </c>
      <c r="Q20" s="279" t="str">
        <f t="shared" si="14"/>
        <v/>
      </c>
      <c r="R20" s="279" t="str">
        <f t="shared" si="15"/>
        <v/>
      </c>
      <c r="S20" s="279" t="str">
        <f t="shared" si="16"/>
        <v/>
      </c>
      <c r="T20" s="279" t="str">
        <f t="shared" si="17"/>
        <v/>
      </c>
      <c r="U20" s="279" t="str">
        <f t="shared" si="18"/>
        <v/>
      </c>
      <c r="V20" s="279" t="str">
        <f t="shared" si="19"/>
        <v/>
      </c>
      <c r="W20" s="279" t="str">
        <f t="shared" si="20"/>
        <v/>
      </c>
      <c r="X20" s="279" t="str">
        <f t="shared" si="21"/>
        <v/>
      </c>
      <c r="Y20" s="279" t="str">
        <f t="shared" si="22"/>
        <v/>
      </c>
      <c r="Z20" s="279" t="str">
        <f t="shared" si="23"/>
        <v/>
      </c>
      <c r="AA20" s="279" t="str">
        <f t="shared" si="24"/>
        <v/>
      </c>
      <c r="AB20" s="279" t="str">
        <f t="shared" si="25"/>
        <v/>
      </c>
      <c r="AC20" s="104" t="s">
        <v>1382</v>
      </c>
      <c r="AD20" s="279" t="str">
        <f t="shared" si="26"/>
        <v>A28.+Door+Latch%2C+REAR+-+LEFT+Soft+Close+WITH+Actuator+SET+2</v>
      </c>
      <c r="AE20" s="279" t="str">
        <f>_xlfn.XLOOKUP(B20,'3. Keep &amp; Toss Items'!O:O,'3. Keep &amp; Toss Items'!Q:Q,"NOT FOUND",0,1)</f>
        <v>A28. Door Latch, REAR - LEFT Soft Close WITH Actuator SET 2</v>
      </c>
      <c r="AF20" s="279" t="str">
        <f t="shared" si="27"/>
        <v>A28. Door Latch, REAR - LEFT Soft Close WITH Actuator SET 2</v>
      </c>
      <c r="AG20" s="279" t="str">
        <f t="shared" si="28"/>
        <v>A28.+Door+Latch,+REAR+-+LEFT+Soft+Close+WITH+Actuator+SET+2</v>
      </c>
      <c r="AH20" s="279" t="str">
        <f t="shared" si="29"/>
        <v>A28.+Door+Latch%2C+REAR+-+LEFT+Soft+Close+WITH+Actuator+SET+2</v>
      </c>
      <c r="AI20" s="279" t="str">
        <f t="shared" si="30"/>
        <v>A28.+Door+Latch%2C+REAR+-+LEFT+Soft+Close+WITH+Actuator+SET+2</v>
      </c>
      <c r="AJ20" s="279" t="str">
        <f t="shared" si="31"/>
        <v>A28.+Door+Latch%2C+REAR+-+LEFT+Soft+Close+WITH+Actuator+SET+2</v>
      </c>
      <c r="AK20" s="279" t="str">
        <f t="shared" si="32"/>
        <v>A28.+Door+Latch%2C+REAR+-+LEFT+Soft+Close+WITH+Actuator+SET+2</v>
      </c>
      <c r="AL20" s="279" t="str">
        <f t="shared" si="33"/>
        <v>A28.+Door+Latch%2C+REAR+-+LEFT+Soft+Close+WITH+Actuator+SET+2</v>
      </c>
      <c r="AM20" s="279" t="str">
        <f t="shared" si="34"/>
        <v>A28.+Door+Latch%2C+REAR+-+LEFT+Soft+Close+WITH+Actuator+SET+2</v>
      </c>
      <c r="AN20" s="279" t="str">
        <f t="shared" si="2"/>
        <v>A28.+Door+Latch%2C+REAR+-+LEFT+Soft+Close+WITH+Actuator+SET+2</v>
      </c>
      <c r="AO20" s="279" t="str">
        <f t="shared" si="35"/>
        <v>A28.+Door+Latch%2C+REAR+-+LEFT+Soft+Close+WITH+Actuator+SET+2</v>
      </c>
      <c r="AP20" s="279" t="str">
        <f t="shared" si="36"/>
        <v>A28.+Door+Latch%2C+REAR+-+LEFT+Soft+Close+WITH+Actuator+SET+2</v>
      </c>
      <c r="AQ20" s="280" t="s">
        <v>1395</v>
      </c>
      <c r="AR20" s="280" t="s">
        <v>1396</v>
      </c>
      <c r="AS20" s="280" t="s">
        <v>1397</v>
      </c>
      <c r="AT20" s="280" t="s">
        <v>1398</v>
      </c>
      <c r="AU20" s="280" t="s">
        <v>1399</v>
      </c>
      <c r="AV20" s="280" t="s">
        <v>1400</v>
      </c>
      <c r="AW20" s="280" t="s">
        <v>1401</v>
      </c>
      <c r="AX20" s="280" t="s">
        <v>1402</v>
      </c>
      <c r="AY20" s="280" t="s">
        <v>1403</v>
      </c>
      <c r="AZ20" s="280" t="s">
        <v>1404</v>
      </c>
      <c r="BA20" s="280" t="s">
        <v>1405</v>
      </c>
      <c r="BB20" s="280" t="s">
        <v>1406</v>
      </c>
      <c r="BC20" s="280" t="s">
        <v>1419</v>
      </c>
      <c r="BD20" s="280" t="s">
        <v>1407</v>
      </c>
      <c r="BE20" s="280" t="s">
        <v>1408</v>
      </c>
      <c r="BF20" s="280" t="s">
        <v>1409</v>
      </c>
      <c r="BG20" s="280" t="s">
        <v>1410</v>
      </c>
      <c r="BH20" s="280" t="s">
        <v>1411</v>
      </c>
      <c r="BI20" s="280" t="s">
        <v>1412</v>
      </c>
      <c r="BJ20" s="280" t="s">
        <v>1413</v>
      </c>
      <c r="BK20" s="280" t="s">
        <v>1414</v>
      </c>
      <c r="BL20" s="280" t="s">
        <v>1415</v>
      </c>
      <c r="BM20" s="280" t="s">
        <v>1416</v>
      </c>
      <c r="BN20" s="280" t="s">
        <v>1417</v>
      </c>
      <c r="BO20" s="280" t="s">
        <v>1418</v>
      </c>
      <c r="BP20" s="280" t="s">
        <v>1420</v>
      </c>
      <c r="BQ20" s="134" t="str">
        <f t="shared" si="3"/>
        <v>Pic Example</v>
      </c>
    </row>
    <row r="21" spans="2:69" x14ac:dyDescent="0.25">
      <c r="B21" t="s">
        <v>931</v>
      </c>
      <c r="C21" s="279" t="str">
        <f t="shared" si="37"/>
        <v>https://viking-pictures.s3.us-west-1.amazonaws.com/AA1155/A29.+Door+Latch%2C+FRONT+-+RIGHT+Soft+Close+WITH+Actuator+SET+2+(1).JPG|https://viking-pictures.s3.us-west-1.amazonaws.com/AA1155/A29.+Door+Latch%2C+FRONT+-+RIGHT+Soft+Close+WITH+Actuator+SET+2+(2).JPG|https://viking-pictures.s3.us-west-1.amazonaws.com/AA1155/A29.+Door+Latch%2C+FRONT+-+RIGHT+Soft+Close+WITH+Actuator+SET+2+(3).JPG|https://viking-pictures.s3.us-west-1.amazonaws.com/AA1155/A29.+Door+Latch%2C+FRONT+-+RIGHT+Soft+Close+WITH+Actuator+SET+2+(4).JPG|https://viking-pictures.s3.us-west-1.amazonaws.com/AA1155/A29.+Door+Latch%2C+FRONT+-+RIGHT+Soft+Close+WITH+Actuator+SET+2+(5).JPG|https://viking-pictures.s3.us-west-1.amazonaws.com/AA1155/A29.+Door+Latch%2C+FRONT+-+RIGHT+Soft+Close+WITH+Actuator+SET+2+(6).JPG|https://viking-pictures.s3.us-west-1.amazonaws.com/AA1155/A29.+Door+Latch%2C+FRONT+-+RIGHT+Soft+Close+WITH+Actuator+SET+2+(7).JPG</v>
      </c>
      <c r="D21" s="281">
        <f>_xlfn.XLOOKUP(B21,'3. Keep &amp; Toss Items'!O:O,'3. Keep &amp; Toss Items'!U:U,"NOT FOUND",0,1)</f>
        <v>7</v>
      </c>
      <c r="E21" s="279" t="str">
        <f t="shared" si="0"/>
        <v>https://viking-pictures.s3.us-west-1.amazonaws.com/AA1155/A29.+Door+Latch%2C+FRONT+-+RIGHT+Soft+Close+WITH+Actuator+SET+2+(1).JPG</v>
      </c>
      <c r="F21" s="279" t="str">
        <f t="shared" si="4"/>
        <v>https://viking-pictures.s3.us-west-1.amazonaws.com/AA1155/A29.+Door+Latch%2C+FRONT+-+RIGHT+Soft+Close+WITH+Actuator+SET+2+(2).JPG</v>
      </c>
      <c r="G21" s="279" t="str">
        <f t="shared" si="5"/>
        <v>https://viking-pictures.s3.us-west-1.amazonaws.com/AA1155/A29.+Door+Latch%2C+FRONT+-+RIGHT+Soft+Close+WITH+Actuator+SET+2+(3).JPG</v>
      </c>
      <c r="H21" s="279" t="str">
        <f t="shared" si="6"/>
        <v>https://viking-pictures.s3.us-west-1.amazonaws.com/AA1155/A29.+Door+Latch%2C+FRONT+-+RIGHT+Soft+Close+WITH+Actuator+SET+2+(4).JPG</v>
      </c>
      <c r="I21" s="279" t="str">
        <f t="shared" si="7"/>
        <v>https://viking-pictures.s3.us-west-1.amazonaws.com/AA1155/A29.+Door+Latch%2C+FRONT+-+RIGHT+Soft+Close+WITH+Actuator+SET+2+(5).JPG</v>
      </c>
      <c r="J21" s="279" t="str">
        <f t="shared" si="8"/>
        <v>https://viking-pictures.s3.us-west-1.amazonaws.com/AA1155/A29.+Door+Latch%2C+FRONT+-+RIGHT+Soft+Close+WITH+Actuator+SET+2+(6).JPG</v>
      </c>
      <c r="K21" s="279" t="str">
        <f t="shared" si="9"/>
        <v>https://viking-pictures.s3.us-west-1.amazonaws.com/AA1155/A29.+Door+Latch%2C+FRONT+-+RIGHT+Soft+Close+WITH+Actuator+SET+2+(7).JPG</v>
      </c>
      <c r="L21" s="279" t="str">
        <f t="shared" si="9"/>
        <v/>
      </c>
      <c r="M21" s="279" t="str">
        <f t="shared" si="10"/>
        <v/>
      </c>
      <c r="N21" s="279" t="str">
        <f t="shared" si="11"/>
        <v/>
      </c>
      <c r="O21" s="279" t="str">
        <f t="shared" si="12"/>
        <v/>
      </c>
      <c r="P21" s="279" t="str">
        <f t="shared" si="13"/>
        <v/>
      </c>
      <c r="Q21" s="279" t="str">
        <f t="shared" si="14"/>
        <v/>
      </c>
      <c r="R21" s="279" t="str">
        <f t="shared" si="15"/>
        <v/>
      </c>
      <c r="S21" s="279" t="str">
        <f t="shared" si="16"/>
        <v/>
      </c>
      <c r="T21" s="279" t="str">
        <f t="shared" si="17"/>
        <v/>
      </c>
      <c r="U21" s="279" t="str">
        <f t="shared" si="18"/>
        <v/>
      </c>
      <c r="V21" s="279" t="str">
        <f t="shared" si="19"/>
        <v/>
      </c>
      <c r="W21" s="279" t="str">
        <f t="shared" si="20"/>
        <v/>
      </c>
      <c r="X21" s="279" t="str">
        <f t="shared" si="21"/>
        <v/>
      </c>
      <c r="Y21" s="279" t="str">
        <f t="shared" si="22"/>
        <v/>
      </c>
      <c r="Z21" s="279" t="str">
        <f t="shared" si="23"/>
        <v/>
      </c>
      <c r="AA21" s="279" t="str">
        <f t="shared" si="24"/>
        <v/>
      </c>
      <c r="AB21" s="279" t="str">
        <f t="shared" si="25"/>
        <v/>
      </c>
      <c r="AC21" s="104" t="s">
        <v>1382</v>
      </c>
      <c r="AD21" s="279" t="str">
        <f t="shared" si="26"/>
        <v>A29.+Door+Latch%2C+FRONT+-+RIGHT+Soft+Close+WITH+Actuator+SET+2</v>
      </c>
      <c r="AE21" s="279" t="str">
        <f>_xlfn.XLOOKUP(B21,'3. Keep &amp; Toss Items'!O:O,'3. Keep &amp; Toss Items'!Q:Q,"NOT FOUND",0,1)</f>
        <v>A29. Door Latch, FRONT - RIGHT Soft Close WITH Actuator SET 2</v>
      </c>
      <c r="AF21" s="279" t="str">
        <f t="shared" si="27"/>
        <v>A29. Door Latch, FRONT - RIGHT Soft Close WITH Actuator SET 2</v>
      </c>
      <c r="AG21" s="279" t="str">
        <f t="shared" si="28"/>
        <v>A29.+Door+Latch,+FRONT+-+RIGHT+Soft+Close+WITH+Actuator+SET+2</v>
      </c>
      <c r="AH21" s="279" t="str">
        <f t="shared" si="29"/>
        <v>A29.+Door+Latch%2C+FRONT+-+RIGHT+Soft+Close+WITH+Actuator+SET+2</v>
      </c>
      <c r="AI21" s="279" t="str">
        <f t="shared" si="30"/>
        <v>A29.+Door+Latch%2C+FRONT+-+RIGHT+Soft+Close+WITH+Actuator+SET+2</v>
      </c>
      <c r="AJ21" s="279" t="str">
        <f t="shared" si="31"/>
        <v>A29.+Door+Latch%2C+FRONT+-+RIGHT+Soft+Close+WITH+Actuator+SET+2</v>
      </c>
      <c r="AK21" s="279" t="str">
        <f t="shared" si="32"/>
        <v>A29.+Door+Latch%2C+FRONT+-+RIGHT+Soft+Close+WITH+Actuator+SET+2</v>
      </c>
      <c r="AL21" s="279" t="str">
        <f t="shared" si="33"/>
        <v>A29.+Door+Latch%2C+FRONT+-+RIGHT+Soft+Close+WITH+Actuator+SET+2</v>
      </c>
      <c r="AM21" s="279" t="str">
        <f t="shared" si="34"/>
        <v>A29.+Door+Latch%2C+FRONT+-+RIGHT+Soft+Close+WITH+Actuator+SET+2</v>
      </c>
      <c r="AN21" s="279" t="str">
        <f t="shared" si="2"/>
        <v>A29.+Door+Latch%2C+FRONT+-+RIGHT+Soft+Close+WITH+Actuator+SET+2</v>
      </c>
      <c r="AO21" s="279" t="str">
        <f t="shared" si="35"/>
        <v>A29.+Door+Latch%2C+FRONT+-+RIGHT+Soft+Close+WITH+Actuator+SET+2</v>
      </c>
      <c r="AP21" s="279" t="str">
        <f t="shared" si="36"/>
        <v>A29.+Door+Latch%2C+FRONT+-+RIGHT+Soft+Close+WITH+Actuator+SET+2</v>
      </c>
      <c r="AQ21" s="280" t="s">
        <v>1395</v>
      </c>
      <c r="AR21" s="280" t="s">
        <v>1396</v>
      </c>
      <c r="AS21" s="280" t="s">
        <v>1397</v>
      </c>
      <c r="AT21" s="280" t="s">
        <v>1398</v>
      </c>
      <c r="AU21" s="280" t="s">
        <v>1399</v>
      </c>
      <c r="AV21" s="280" t="s">
        <v>1400</v>
      </c>
      <c r="AW21" s="280" t="s">
        <v>1401</v>
      </c>
      <c r="AX21" s="280" t="s">
        <v>1402</v>
      </c>
      <c r="AY21" s="280" t="s">
        <v>1403</v>
      </c>
      <c r="AZ21" s="280" t="s">
        <v>1404</v>
      </c>
      <c r="BA21" s="280" t="s">
        <v>1405</v>
      </c>
      <c r="BB21" s="280" t="s">
        <v>1406</v>
      </c>
      <c r="BC21" s="280" t="s">
        <v>1419</v>
      </c>
      <c r="BD21" s="280" t="s">
        <v>1407</v>
      </c>
      <c r="BE21" s="280" t="s">
        <v>1408</v>
      </c>
      <c r="BF21" s="280" t="s">
        <v>1409</v>
      </c>
      <c r="BG21" s="280" t="s">
        <v>1410</v>
      </c>
      <c r="BH21" s="280" t="s">
        <v>1411</v>
      </c>
      <c r="BI21" s="280" t="s">
        <v>1412</v>
      </c>
      <c r="BJ21" s="280" t="s">
        <v>1413</v>
      </c>
      <c r="BK21" s="280" t="s">
        <v>1414</v>
      </c>
      <c r="BL21" s="280" t="s">
        <v>1415</v>
      </c>
      <c r="BM21" s="280" t="s">
        <v>1416</v>
      </c>
      <c r="BN21" s="280" t="s">
        <v>1417</v>
      </c>
      <c r="BO21" s="280" t="s">
        <v>1418</v>
      </c>
      <c r="BP21" s="280" t="s">
        <v>1420</v>
      </c>
      <c r="BQ21" s="134" t="str">
        <f t="shared" si="3"/>
        <v>Pic Example</v>
      </c>
    </row>
    <row r="22" spans="2:69" x14ac:dyDescent="0.25">
      <c r="B22" t="s">
        <v>932</v>
      </c>
      <c r="C22" s="279" t="str">
        <f t="shared" si="37"/>
        <v>https://viking-pictures.s3.us-west-1.amazonaws.com/AA1155/A30.+Door+Latch%2C+FRONT+-+LEFT+Soft+Close+WITH+Actuator+SET+2+(1).JPG|https://viking-pictures.s3.us-west-1.amazonaws.com/AA1155/A30.+Door+Latch%2C+FRONT+-+LEFT+Soft+Close+WITH+Actuator+SET+2+(2).JPG|https://viking-pictures.s3.us-west-1.amazonaws.com/AA1155/A30.+Door+Latch%2C+FRONT+-+LEFT+Soft+Close+WITH+Actuator+SET+2+(3).JPG|https://viking-pictures.s3.us-west-1.amazonaws.com/AA1155/A30.+Door+Latch%2C+FRONT+-+LEFT+Soft+Close+WITH+Actuator+SET+2+(4).JPG|https://viking-pictures.s3.us-west-1.amazonaws.com/AA1155/A30.+Door+Latch%2C+FRONT+-+LEFT+Soft+Close+WITH+Actuator+SET+2+(5).JPG|https://viking-pictures.s3.us-west-1.amazonaws.com/AA1155/A30.+Door+Latch%2C+FRONT+-+LEFT+Soft+Close+WITH+Actuator+SET+2+(6).JPG</v>
      </c>
      <c r="D22" s="281">
        <f>_xlfn.XLOOKUP(B22,'3. Keep &amp; Toss Items'!O:O,'3. Keep &amp; Toss Items'!U:U,"NOT FOUND",0,1)</f>
        <v>6</v>
      </c>
      <c r="E22" s="279" t="str">
        <f t="shared" si="0"/>
        <v>https://viking-pictures.s3.us-west-1.amazonaws.com/AA1155/A30.+Door+Latch%2C+FRONT+-+LEFT+Soft+Close+WITH+Actuator+SET+2+(1).JPG</v>
      </c>
      <c r="F22" s="279" t="str">
        <f t="shared" si="4"/>
        <v>https://viking-pictures.s3.us-west-1.amazonaws.com/AA1155/A30.+Door+Latch%2C+FRONT+-+LEFT+Soft+Close+WITH+Actuator+SET+2+(2).JPG</v>
      </c>
      <c r="G22" s="279" t="str">
        <f t="shared" si="5"/>
        <v>https://viking-pictures.s3.us-west-1.amazonaws.com/AA1155/A30.+Door+Latch%2C+FRONT+-+LEFT+Soft+Close+WITH+Actuator+SET+2+(3).JPG</v>
      </c>
      <c r="H22" s="279" t="str">
        <f t="shared" si="6"/>
        <v>https://viking-pictures.s3.us-west-1.amazonaws.com/AA1155/A30.+Door+Latch%2C+FRONT+-+LEFT+Soft+Close+WITH+Actuator+SET+2+(4).JPG</v>
      </c>
      <c r="I22" s="279" t="str">
        <f t="shared" si="7"/>
        <v>https://viking-pictures.s3.us-west-1.amazonaws.com/AA1155/A30.+Door+Latch%2C+FRONT+-+LEFT+Soft+Close+WITH+Actuator+SET+2+(5).JPG</v>
      </c>
      <c r="J22" s="279" t="str">
        <f t="shared" si="8"/>
        <v>https://viking-pictures.s3.us-west-1.amazonaws.com/AA1155/A30.+Door+Latch%2C+FRONT+-+LEFT+Soft+Close+WITH+Actuator+SET+2+(6).JPG</v>
      </c>
      <c r="K22" s="279" t="str">
        <f t="shared" si="9"/>
        <v/>
      </c>
      <c r="L22" s="279" t="str">
        <f t="shared" si="9"/>
        <v/>
      </c>
      <c r="M22" s="279" t="str">
        <f t="shared" si="10"/>
        <v/>
      </c>
      <c r="N22" s="279" t="str">
        <f t="shared" si="11"/>
        <v/>
      </c>
      <c r="O22" s="279" t="str">
        <f t="shared" si="12"/>
        <v/>
      </c>
      <c r="P22" s="279" t="str">
        <f t="shared" si="13"/>
        <v/>
      </c>
      <c r="Q22" s="279" t="str">
        <f t="shared" si="14"/>
        <v/>
      </c>
      <c r="R22" s="279" t="str">
        <f t="shared" si="15"/>
        <v/>
      </c>
      <c r="S22" s="279" t="str">
        <f t="shared" si="16"/>
        <v/>
      </c>
      <c r="T22" s="279" t="str">
        <f t="shared" si="17"/>
        <v/>
      </c>
      <c r="U22" s="279" t="str">
        <f t="shared" si="18"/>
        <v/>
      </c>
      <c r="V22" s="279" t="str">
        <f t="shared" si="19"/>
        <v/>
      </c>
      <c r="W22" s="279" t="str">
        <f t="shared" si="20"/>
        <v/>
      </c>
      <c r="X22" s="279" t="str">
        <f t="shared" si="21"/>
        <v/>
      </c>
      <c r="Y22" s="279" t="str">
        <f t="shared" si="22"/>
        <v/>
      </c>
      <c r="Z22" s="279" t="str">
        <f t="shared" si="23"/>
        <v/>
      </c>
      <c r="AA22" s="279" t="str">
        <f t="shared" si="24"/>
        <v/>
      </c>
      <c r="AB22" s="279" t="str">
        <f t="shared" si="25"/>
        <v/>
      </c>
      <c r="AC22" s="104" t="s">
        <v>1382</v>
      </c>
      <c r="AD22" s="279" t="str">
        <f t="shared" si="26"/>
        <v>A30.+Door+Latch%2C+FRONT+-+LEFT+Soft+Close+WITH+Actuator+SET+2</v>
      </c>
      <c r="AE22" s="279" t="str">
        <f>_xlfn.XLOOKUP(B22,'3. Keep &amp; Toss Items'!O:O,'3. Keep &amp; Toss Items'!Q:Q,"NOT FOUND",0,1)</f>
        <v>A30. Door Latch, FRONT - LEFT Soft Close WITH Actuator SET 2</v>
      </c>
      <c r="AF22" s="279" t="str">
        <f t="shared" si="27"/>
        <v>A30. Door Latch, FRONT - LEFT Soft Close WITH Actuator SET 2</v>
      </c>
      <c r="AG22" s="279" t="str">
        <f t="shared" si="28"/>
        <v>A30.+Door+Latch,+FRONT+-+LEFT+Soft+Close+WITH+Actuator+SET+2</v>
      </c>
      <c r="AH22" s="279" t="str">
        <f t="shared" si="29"/>
        <v>A30.+Door+Latch%2C+FRONT+-+LEFT+Soft+Close+WITH+Actuator+SET+2</v>
      </c>
      <c r="AI22" s="279" t="str">
        <f t="shared" si="30"/>
        <v>A30.+Door+Latch%2C+FRONT+-+LEFT+Soft+Close+WITH+Actuator+SET+2</v>
      </c>
      <c r="AJ22" s="279" t="str">
        <f t="shared" si="31"/>
        <v>A30.+Door+Latch%2C+FRONT+-+LEFT+Soft+Close+WITH+Actuator+SET+2</v>
      </c>
      <c r="AK22" s="279" t="str">
        <f t="shared" si="32"/>
        <v>A30.+Door+Latch%2C+FRONT+-+LEFT+Soft+Close+WITH+Actuator+SET+2</v>
      </c>
      <c r="AL22" s="279" t="str">
        <f t="shared" si="33"/>
        <v>A30.+Door+Latch%2C+FRONT+-+LEFT+Soft+Close+WITH+Actuator+SET+2</v>
      </c>
      <c r="AM22" s="279" t="str">
        <f t="shared" si="34"/>
        <v>A30.+Door+Latch%2C+FRONT+-+LEFT+Soft+Close+WITH+Actuator+SET+2</v>
      </c>
      <c r="AN22" s="279" t="str">
        <f t="shared" si="2"/>
        <v>A30.+Door+Latch%2C+FRONT+-+LEFT+Soft+Close+WITH+Actuator+SET+2</v>
      </c>
      <c r="AO22" s="279" t="str">
        <f t="shared" si="35"/>
        <v>A30.+Door+Latch%2C+FRONT+-+LEFT+Soft+Close+WITH+Actuator+SET+2</v>
      </c>
      <c r="AP22" s="279" t="str">
        <f t="shared" si="36"/>
        <v>A30.+Door+Latch%2C+FRONT+-+LEFT+Soft+Close+WITH+Actuator+SET+2</v>
      </c>
      <c r="AQ22" s="280" t="s">
        <v>1395</v>
      </c>
      <c r="AR22" s="280" t="s">
        <v>1396</v>
      </c>
      <c r="AS22" s="280" t="s">
        <v>1397</v>
      </c>
      <c r="AT22" s="280" t="s">
        <v>1398</v>
      </c>
      <c r="AU22" s="280" t="s">
        <v>1399</v>
      </c>
      <c r="AV22" s="280" t="s">
        <v>1400</v>
      </c>
      <c r="AW22" s="280" t="s">
        <v>1401</v>
      </c>
      <c r="AX22" s="280" t="s">
        <v>1402</v>
      </c>
      <c r="AY22" s="280" t="s">
        <v>1403</v>
      </c>
      <c r="AZ22" s="280" t="s">
        <v>1404</v>
      </c>
      <c r="BA22" s="280" t="s">
        <v>1405</v>
      </c>
      <c r="BB22" s="280" t="s">
        <v>1406</v>
      </c>
      <c r="BC22" s="280" t="s">
        <v>1419</v>
      </c>
      <c r="BD22" s="280" t="s">
        <v>1407</v>
      </c>
      <c r="BE22" s="280" t="s">
        <v>1408</v>
      </c>
      <c r="BF22" s="280" t="s">
        <v>1409</v>
      </c>
      <c r="BG22" s="280" t="s">
        <v>1410</v>
      </c>
      <c r="BH22" s="280" t="s">
        <v>1411</v>
      </c>
      <c r="BI22" s="280" t="s">
        <v>1412</v>
      </c>
      <c r="BJ22" s="280" t="s">
        <v>1413</v>
      </c>
      <c r="BK22" s="280" t="s">
        <v>1414</v>
      </c>
      <c r="BL22" s="280" t="s">
        <v>1415</v>
      </c>
      <c r="BM22" s="280" t="s">
        <v>1416</v>
      </c>
      <c r="BN22" s="280" t="s">
        <v>1417</v>
      </c>
      <c r="BO22" s="280" t="s">
        <v>1418</v>
      </c>
      <c r="BP22" s="280" t="s">
        <v>1420</v>
      </c>
      <c r="BQ22" s="134" t="str">
        <f t="shared" si="3"/>
        <v>Pic Example</v>
      </c>
    </row>
    <row r="23" spans="2:69" x14ac:dyDescent="0.25">
      <c r="B23" t="s">
        <v>933</v>
      </c>
      <c r="C23" s="279" t="str">
        <f t="shared" si="37"/>
        <v>https://viking-pictures.s3.us-west-1.amazonaws.com/AA1155/A31.+Battery+Cable%2C+NEGATIVE+With+IBS+Module+ON+(1).JPG|https://viking-pictures.s3.us-west-1.amazonaws.com/AA1155/A31.+Battery+Cable%2C+NEGATIVE+With+IBS+Module+ON+(2).JPG|https://viking-pictures.s3.us-west-1.amazonaws.com/AA1155/A31.+Battery+Cable%2C+NEGATIVE+With+IBS+Module+ON+(3).JPG|https://viking-pictures.s3.us-west-1.amazonaws.com/AA1155/A31.+Battery+Cable%2C+NEGATIVE+With+IBS+Module+ON+(4).JPG</v>
      </c>
      <c r="D23" s="281">
        <f>_xlfn.XLOOKUP(B23,'3. Keep &amp; Toss Items'!O:O,'3. Keep &amp; Toss Items'!U:U,"NOT FOUND",0,1)</f>
        <v>4</v>
      </c>
      <c r="E23" s="279" t="str">
        <f t="shared" si="0"/>
        <v>https://viking-pictures.s3.us-west-1.amazonaws.com/AA1155/A31.+Battery+Cable%2C+NEGATIVE+With+IBS+Module+ON+(1).JPG</v>
      </c>
      <c r="F23" s="279" t="str">
        <f t="shared" si="4"/>
        <v>https://viking-pictures.s3.us-west-1.amazonaws.com/AA1155/A31.+Battery+Cable%2C+NEGATIVE+With+IBS+Module+ON+(2).JPG</v>
      </c>
      <c r="G23" s="279" t="str">
        <f t="shared" si="5"/>
        <v>https://viking-pictures.s3.us-west-1.amazonaws.com/AA1155/A31.+Battery+Cable%2C+NEGATIVE+With+IBS+Module+ON+(3).JPG</v>
      </c>
      <c r="H23" s="279" t="str">
        <f t="shared" si="6"/>
        <v>https://viking-pictures.s3.us-west-1.amazonaws.com/AA1155/A31.+Battery+Cable%2C+NEGATIVE+With+IBS+Module+ON+(4).JPG</v>
      </c>
      <c r="I23" s="279" t="str">
        <f t="shared" si="7"/>
        <v/>
      </c>
      <c r="J23" s="279" t="str">
        <f t="shared" si="8"/>
        <v/>
      </c>
      <c r="K23" s="279" t="str">
        <f t="shared" si="9"/>
        <v/>
      </c>
      <c r="L23" s="279" t="str">
        <f t="shared" si="9"/>
        <v/>
      </c>
      <c r="M23" s="279" t="str">
        <f t="shared" si="10"/>
        <v/>
      </c>
      <c r="N23" s="279" t="str">
        <f t="shared" si="11"/>
        <v/>
      </c>
      <c r="O23" s="279" t="str">
        <f t="shared" si="12"/>
        <v/>
      </c>
      <c r="P23" s="279" t="str">
        <f t="shared" si="13"/>
        <v/>
      </c>
      <c r="Q23" s="279" t="str">
        <f t="shared" si="14"/>
        <v/>
      </c>
      <c r="R23" s="279" t="str">
        <f t="shared" si="15"/>
        <v/>
      </c>
      <c r="S23" s="279" t="str">
        <f t="shared" si="16"/>
        <v/>
      </c>
      <c r="T23" s="279" t="str">
        <f t="shared" si="17"/>
        <v/>
      </c>
      <c r="U23" s="279" t="str">
        <f t="shared" si="18"/>
        <v/>
      </c>
      <c r="V23" s="279" t="str">
        <f t="shared" si="19"/>
        <v/>
      </c>
      <c r="W23" s="279" t="str">
        <f t="shared" si="20"/>
        <v/>
      </c>
      <c r="X23" s="279" t="str">
        <f t="shared" si="21"/>
        <v/>
      </c>
      <c r="Y23" s="279" t="str">
        <f t="shared" si="22"/>
        <v/>
      </c>
      <c r="Z23" s="279" t="str">
        <f t="shared" si="23"/>
        <v/>
      </c>
      <c r="AA23" s="279" t="str">
        <f t="shared" si="24"/>
        <v/>
      </c>
      <c r="AB23" s="279" t="str">
        <f t="shared" si="25"/>
        <v/>
      </c>
      <c r="AC23" s="104" t="s">
        <v>1382</v>
      </c>
      <c r="AD23" s="279" t="str">
        <f t="shared" si="26"/>
        <v>A31.+Battery+Cable%2C+NEGATIVE+With+IBS+Module+ON</v>
      </c>
      <c r="AE23" s="279" t="str">
        <f>_xlfn.XLOOKUP(B23,'3. Keep &amp; Toss Items'!O:O,'3. Keep &amp; Toss Items'!Q:Q,"NOT FOUND",0,1)</f>
        <v>A31. Battery Cable, NEGATIVE With IBS Module ON</v>
      </c>
      <c r="AF23" s="279" t="str">
        <f t="shared" si="27"/>
        <v>A31. Battery Cable, NEGATIVE With IBS Module ON</v>
      </c>
      <c r="AG23" s="279" t="str">
        <f t="shared" si="28"/>
        <v>A31.+Battery+Cable,+NEGATIVE+With+IBS+Module+ON</v>
      </c>
      <c r="AH23" s="279" t="str">
        <f t="shared" si="29"/>
        <v>A31.+Battery+Cable%2C+NEGATIVE+With+IBS+Module+ON</v>
      </c>
      <c r="AI23" s="279" t="str">
        <f t="shared" si="30"/>
        <v>A31.+Battery+Cable%2C+NEGATIVE+With+IBS+Module+ON</v>
      </c>
      <c r="AJ23" s="279" t="str">
        <f t="shared" si="31"/>
        <v>A31.+Battery+Cable%2C+NEGATIVE+With+IBS+Module+ON</v>
      </c>
      <c r="AK23" s="279" t="str">
        <f t="shared" si="32"/>
        <v>A31.+Battery+Cable%2C+NEGATIVE+With+IBS+Module+ON</v>
      </c>
      <c r="AL23" s="279" t="str">
        <f t="shared" si="33"/>
        <v>A31.+Battery+Cable%2C+NEGATIVE+With+IBS+Module+ON</v>
      </c>
      <c r="AM23" s="279" t="str">
        <f t="shared" si="34"/>
        <v>A31.+Battery+Cable%2C+NEGATIVE+With+IBS+Module+ON</v>
      </c>
      <c r="AN23" s="279" t="str">
        <f t="shared" si="2"/>
        <v>A31.+Battery+Cable%2C+NEGATIVE+With+IBS+Module+ON</v>
      </c>
      <c r="AO23" s="279" t="str">
        <f t="shared" si="35"/>
        <v>A31.+Battery+Cable%2C+NEGATIVE+With+IBS+Module+ON</v>
      </c>
      <c r="AP23" s="279" t="str">
        <f t="shared" si="36"/>
        <v>A31.+Battery+Cable%2C+NEGATIVE+With+IBS+Module+ON</v>
      </c>
      <c r="AQ23" s="280" t="s">
        <v>1395</v>
      </c>
      <c r="AR23" s="280" t="s">
        <v>1396</v>
      </c>
      <c r="AS23" s="280" t="s">
        <v>1397</v>
      </c>
      <c r="AT23" s="280" t="s">
        <v>1398</v>
      </c>
      <c r="AU23" s="280" t="s">
        <v>1399</v>
      </c>
      <c r="AV23" s="280" t="s">
        <v>1400</v>
      </c>
      <c r="AW23" s="280" t="s">
        <v>1401</v>
      </c>
      <c r="AX23" s="280" t="s">
        <v>1402</v>
      </c>
      <c r="AY23" s="280" t="s">
        <v>1403</v>
      </c>
      <c r="AZ23" s="280" t="s">
        <v>1404</v>
      </c>
      <c r="BA23" s="280" t="s">
        <v>1405</v>
      </c>
      <c r="BB23" s="280" t="s">
        <v>1406</v>
      </c>
      <c r="BC23" s="280" t="s">
        <v>1419</v>
      </c>
      <c r="BD23" s="280" t="s">
        <v>1407</v>
      </c>
      <c r="BE23" s="280" t="s">
        <v>1408</v>
      </c>
      <c r="BF23" s="280" t="s">
        <v>1409</v>
      </c>
      <c r="BG23" s="280" t="s">
        <v>1410</v>
      </c>
      <c r="BH23" s="280" t="s">
        <v>1411</v>
      </c>
      <c r="BI23" s="280" t="s">
        <v>1412</v>
      </c>
      <c r="BJ23" s="280" t="s">
        <v>1413</v>
      </c>
      <c r="BK23" s="280" t="s">
        <v>1414</v>
      </c>
      <c r="BL23" s="280" t="s">
        <v>1415</v>
      </c>
      <c r="BM23" s="280" t="s">
        <v>1416</v>
      </c>
      <c r="BN23" s="280" t="s">
        <v>1417</v>
      </c>
      <c r="BO23" s="280" t="s">
        <v>1418</v>
      </c>
      <c r="BP23" s="280" t="s">
        <v>1420</v>
      </c>
      <c r="BQ23" s="134" t="str">
        <f t="shared" si="3"/>
        <v>Pic Example</v>
      </c>
    </row>
    <row r="24" spans="2:69" x14ac:dyDescent="0.25">
      <c r="B24" t="s">
        <v>934</v>
      </c>
      <c r="C24" s="279" t="str">
        <f t="shared" si="37"/>
        <v>https://viking-pictures.s3.us-west-1.amazonaws.com/AA1155/A32.+Battery+Cable%2C+POSITIVE+%26+Attached+Terminal+Bracket%2C+THE+BIG+PRIMARY+ONE+(1).JPG|https://viking-pictures.s3.us-west-1.amazonaws.com/AA1155/A32.+Battery+Cable%2C+POSITIVE+%26+Attached+Terminal+Bracket%2C+THE+BIG+PRIMARY+ONE+(2).JPG|https://viking-pictures.s3.us-west-1.amazonaws.com/AA1155/A32.+Battery+Cable%2C+POSITIVE+%26+Attached+Terminal+Bracket%2C+THE+BIG+PRIMARY+ONE+(3).JPG|https://viking-pictures.s3.us-west-1.amazonaws.com/AA1155/A32.+Battery+Cable%2C+POSITIVE+%26+Attached+Terminal+Bracket%2C+THE+BIG+PRIMARY+ONE+(4).JPG</v>
      </c>
      <c r="D24" s="281">
        <f>_xlfn.XLOOKUP(B24,'3. Keep &amp; Toss Items'!O:O,'3. Keep &amp; Toss Items'!U:U,"NOT FOUND",0,1)</f>
        <v>4</v>
      </c>
      <c r="E24" s="279" t="str">
        <f t="shared" si="0"/>
        <v>https://viking-pictures.s3.us-west-1.amazonaws.com/AA1155/A32.+Battery+Cable%2C+POSITIVE+%26+Attached+Terminal+Bracket%2C+THE+BIG+PRIMARY+ONE+(1).JPG</v>
      </c>
      <c r="F24" s="279" t="str">
        <f t="shared" si="4"/>
        <v>https://viking-pictures.s3.us-west-1.amazonaws.com/AA1155/A32.+Battery+Cable%2C+POSITIVE+%26+Attached+Terminal+Bracket%2C+THE+BIG+PRIMARY+ONE+(2).JPG</v>
      </c>
      <c r="G24" s="279" t="str">
        <f t="shared" si="5"/>
        <v>https://viking-pictures.s3.us-west-1.amazonaws.com/AA1155/A32.+Battery+Cable%2C+POSITIVE+%26+Attached+Terminal+Bracket%2C+THE+BIG+PRIMARY+ONE+(3).JPG</v>
      </c>
      <c r="H24" s="279" t="str">
        <f t="shared" si="6"/>
        <v>https://viking-pictures.s3.us-west-1.amazonaws.com/AA1155/A32.+Battery+Cable%2C+POSITIVE+%26+Attached+Terminal+Bracket%2C+THE+BIG+PRIMARY+ONE+(4).JPG</v>
      </c>
      <c r="I24" s="279" t="str">
        <f t="shared" si="7"/>
        <v/>
      </c>
      <c r="J24" s="279" t="str">
        <f t="shared" si="8"/>
        <v/>
      </c>
      <c r="K24" s="279" t="str">
        <f t="shared" si="9"/>
        <v/>
      </c>
      <c r="L24" s="279" t="str">
        <f t="shared" si="9"/>
        <v/>
      </c>
      <c r="M24" s="279" t="str">
        <f t="shared" si="10"/>
        <v/>
      </c>
      <c r="N24" s="279" t="str">
        <f t="shared" si="11"/>
        <v/>
      </c>
      <c r="O24" s="279" t="str">
        <f t="shared" si="12"/>
        <v/>
      </c>
      <c r="P24" s="279" t="str">
        <f t="shared" si="13"/>
        <v/>
      </c>
      <c r="Q24" s="279" t="str">
        <f t="shared" si="14"/>
        <v/>
      </c>
      <c r="R24" s="279" t="str">
        <f t="shared" si="15"/>
        <v/>
      </c>
      <c r="S24" s="279" t="str">
        <f t="shared" si="16"/>
        <v/>
      </c>
      <c r="T24" s="279" t="str">
        <f t="shared" si="17"/>
        <v/>
      </c>
      <c r="U24" s="279" t="str">
        <f t="shared" si="18"/>
        <v/>
      </c>
      <c r="V24" s="279" t="str">
        <f t="shared" si="19"/>
        <v/>
      </c>
      <c r="W24" s="279" t="str">
        <f t="shared" si="20"/>
        <v/>
      </c>
      <c r="X24" s="279" t="str">
        <f t="shared" si="21"/>
        <v/>
      </c>
      <c r="Y24" s="279" t="str">
        <f t="shared" si="22"/>
        <v/>
      </c>
      <c r="Z24" s="279" t="str">
        <f t="shared" si="23"/>
        <v/>
      </c>
      <c r="AA24" s="279" t="str">
        <f t="shared" si="24"/>
        <v/>
      </c>
      <c r="AB24" s="279" t="str">
        <f t="shared" si="25"/>
        <v/>
      </c>
      <c r="AC24" s="104" t="s">
        <v>1382</v>
      </c>
      <c r="AD24" s="279" t="str">
        <f t="shared" si="26"/>
        <v>A32.+Battery+Cable%2C+POSITIVE+%26+Attached+Terminal+Bracket%2C+THE+BIG+PRIMARY+ONE</v>
      </c>
      <c r="AE24" s="279" t="str">
        <f>_xlfn.XLOOKUP(B24,'3. Keep &amp; Toss Items'!O:O,'3. Keep &amp; Toss Items'!Q:Q,"NOT FOUND",0,1)</f>
        <v>A32. Battery Cable, POSITIVE &amp; Attached Terminal Bracket, THE BIG PRIMARY ONE</v>
      </c>
      <c r="AF24" s="279" t="str">
        <f t="shared" si="27"/>
        <v>A32. Battery Cable, POSITIVE &amp; Attached Terminal Bracket, THE BIG PRIMARY ONE</v>
      </c>
      <c r="AG24" s="279" t="str">
        <f t="shared" si="28"/>
        <v>A32.+Battery+Cable,+POSITIVE+&amp;+Attached+Terminal+Bracket,+THE+BIG+PRIMARY+ONE</v>
      </c>
      <c r="AH24" s="279" t="str">
        <f t="shared" si="29"/>
        <v>A32.+Battery+Cable%2C+POSITIVE+&amp;+Attached+Terminal+Bracket%2C+THE+BIG+PRIMARY+ONE</v>
      </c>
      <c r="AI24" s="279" t="str">
        <f t="shared" si="30"/>
        <v>A32.+Battery+Cable%2C+POSITIVE+&amp;+Attached+Terminal+Bracket%2C+THE+BIG+PRIMARY+ONE</v>
      </c>
      <c r="AJ24" s="279" t="str">
        <f t="shared" si="31"/>
        <v>A32.+Battery+Cable%2C+POSITIVE+&amp;+Attached+Terminal+Bracket%2C+THE+BIG+PRIMARY+ONE</v>
      </c>
      <c r="AK24" s="279" t="str">
        <f t="shared" si="32"/>
        <v>A32.+Battery+Cable%2C+POSITIVE+&amp;+Attached+Terminal+Bracket%2C+THE+BIG+PRIMARY+ONE</v>
      </c>
      <c r="AL24" s="279" t="str">
        <f t="shared" si="33"/>
        <v>A32.+Battery+Cable%2C+POSITIVE+%26+Attached+Terminal+Bracket%2C+THE+BIG+PRIMARY+ONE</v>
      </c>
      <c r="AM24" s="279" t="str">
        <f t="shared" si="34"/>
        <v>A32.+Battery+Cable%2C+POSITIVE+%26+Attached+Terminal+Bracket%2C+THE+BIG+PRIMARY+ONE</v>
      </c>
      <c r="AN24" s="279" t="str">
        <f t="shared" si="2"/>
        <v>A32.+Battery+Cable%2C+POSITIVE+%26+Attached+Terminal+Bracket%2C+THE+BIG+PRIMARY+ONE</v>
      </c>
      <c r="AO24" s="279" t="str">
        <f t="shared" si="35"/>
        <v>A32.+Battery+Cable%2C+POSITIVE+%26+Attached+Terminal+Bracket%2C+THE+BIG+PRIMARY+ONE</v>
      </c>
      <c r="AP24" s="279" t="str">
        <f t="shared" si="36"/>
        <v>A32.+Battery+Cable%2C+POSITIVE+%26+Attached+Terminal+Bracket%2C+THE+BIG+PRIMARY+ONE</v>
      </c>
      <c r="AQ24" s="280" t="s">
        <v>1395</v>
      </c>
      <c r="AR24" s="280" t="s">
        <v>1396</v>
      </c>
      <c r="AS24" s="280" t="s">
        <v>1397</v>
      </c>
      <c r="AT24" s="280" t="s">
        <v>1398</v>
      </c>
      <c r="AU24" s="280" t="s">
        <v>1399</v>
      </c>
      <c r="AV24" s="280" t="s">
        <v>1400</v>
      </c>
      <c r="AW24" s="280" t="s">
        <v>1401</v>
      </c>
      <c r="AX24" s="280" t="s">
        <v>1402</v>
      </c>
      <c r="AY24" s="280" t="s">
        <v>1403</v>
      </c>
      <c r="AZ24" s="280" t="s">
        <v>1404</v>
      </c>
      <c r="BA24" s="280" t="s">
        <v>1405</v>
      </c>
      <c r="BB24" s="280" t="s">
        <v>1406</v>
      </c>
      <c r="BC24" s="280" t="s">
        <v>1419</v>
      </c>
      <c r="BD24" s="280" t="s">
        <v>1407</v>
      </c>
      <c r="BE24" s="280" t="s">
        <v>1408</v>
      </c>
      <c r="BF24" s="280" t="s">
        <v>1409</v>
      </c>
      <c r="BG24" s="280" t="s">
        <v>1410</v>
      </c>
      <c r="BH24" s="280" t="s">
        <v>1411</v>
      </c>
      <c r="BI24" s="280" t="s">
        <v>1412</v>
      </c>
      <c r="BJ24" s="280" t="s">
        <v>1413</v>
      </c>
      <c r="BK24" s="280" t="s">
        <v>1414</v>
      </c>
      <c r="BL24" s="280" t="s">
        <v>1415</v>
      </c>
      <c r="BM24" s="280" t="s">
        <v>1416</v>
      </c>
      <c r="BN24" s="280" t="s">
        <v>1417</v>
      </c>
      <c r="BO24" s="280" t="s">
        <v>1418</v>
      </c>
      <c r="BP24" s="280" t="s">
        <v>1420</v>
      </c>
      <c r="BQ24" s="134" t="str">
        <f t="shared" si="3"/>
        <v>Pic Example</v>
      </c>
    </row>
    <row r="25" spans="2:69" x14ac:dyDescent="0.25">
      <c r="B25" t="s">
        <v>935</v>
      </c>
      <c r="C25" s="279" t="str">
        <f t="shared" si="37"/>
        <v>https://viking-pictures.s3.us-west-1.amazonaws.com/AA1155/A33.+Hood+Upper+Release+Lever+%26+Cable+%26+Strikers+as+SET+(1).JPG|https://viking-pictures.s3.us-west-1.amazonaws.com/AA1155/A33.+Hood+Upper+Release+Lever+%26+Cable+%26+Strikers+as+SET+(2).JPG|https://viking-pictures.s3.us-west-1.amazonaws.com/AA1155/A33.+Hood+Upper+Release+Lever+%26+Cable+%26+Strikers+as+SET+(3).JPG|https://viking-pictures.s3.us-west-1.amazonaws.com/AA1155/A33.+Hood+Upper+Release+Lever+%26+Cable+%26+Strikers+as+SET+(4).JPG|https://viking-pictures.s3.us-west-1.amazonaws.com/AA1155/A33.+Hood+Upper+Release+Lever+%26+Cable+%26+Strikers+as+SET+(5).JPG|https://viking-pictures.s3.us-west-1.amazonaws.com/AA1155/A33.+Hood+Upper+Release+Lever+%26+Cable+%26+Strikers+as+SET+(6).JPG|https://viking-pictures.s3.us-west-1.amazonaws.com/AA1155/A33.+Hood+Upper+Release+Lever+%26+Cable+%26+Strikers+as+SET+(7).JPG|https://viking-pictures.s3.us-west-1.amazonaws.com/AA1155/A33.+Hood+Upper+Release+Lever+%26+Cable+%26+Strikers+as+SET+(8).JPG|https://viking-pictures.s3.us-west-1.amazonaws.com/AA1155/A33.+Hood+Upper+Release+Lever+%26+Cable+%26+Strikers+as+SET+(9).JPG</v>
      </c>
      <c r="D25" s="281">
        <f>_xlfn.XLOOKUP(B25,'3. Keep &amp; Toss Items'!O:O,'3. Keep &amp; Toss Items'!U:U,"NOT FOUND",0,1)</f>
        <v>9</v>
      </c>
      <c r="E25" s="279" t="str">
        <f t="shared" si="0"/>
        <v>https://viking-pictures.s3.us-west-1.amazonaws.com/AA1155/A33.+Hood+Upper+Release+Lever+%26+Cable+%26+Strikers+as+SET+(1).JPG</v>
      </c>
      <c r="F25" s="279" t="str">
        <f t="shared" si="4"/>
        <v>https://viking-pictures.s3.us-west-1.amazonaws.com/AA1155/A33.+Hood+Upper+Release+Lever+%26+Cable+%26+Strikers+as+SET+(2).JPG</v>
      </c>
      <c r="G25" s="279" t="str">
        <f t="shared" si="5"/>
        <v>https://viking-pictures.s3.us-west-1.amazonaws.com/AA1155/A33.+Hood+Upper+Release+Lever+%26+Cable+%26+Strikers+as+SET+(3).JPG</v>
      </c>
      <c r="H25" s="279" t="str">
        <f t="shared" si="6"/>
        <v>https://viking-pictures.s3.us-west-1.amazonaws.com/AA1155/A33.+Hood+Upper+Release+Lever+%26+Cable+%26+Strikers+as+SET+(4).JPG</v>
      </c>
      <c r="I25" s="279" t="str">
        <f t="shared" si="7"/>
        <v>https://viking-pictures.s3.us-west-1.amazonaws.com/AA1155/A33.+Hood+Upper+Release+Lever+%26+Cable+%26+Strikers+as+SET+(5).JPG</v>
      </c>
      <c r="J25" s="279" t="str">
        <f t="shared" si="8"/>
        <v>https://viking-pictures.s3.us-west-1.amazonaws.com/AA1155/A33.+Hood+Upper+Release+Lever+%26+Cable+%26+Strikers+as+SET+(6).JPG</v>
      </c>
      <c r="K25" s="279" t="str">
        <f t="shared" si="9"/>
        <v>https://viking-pictures.s3.us-west-1.amazonaws.com/AA1155/A33.+Hood+Upper+Release+Lever+%26+Cable+%26+Strikers+as+SET+(7).JPG</v>
      </c>
      <c r="L25" s="279" t="str">
        <f t="shared" si="9"/>
        <v>https://viking-pictures.s3.us-west-1.amazonaws.com/AA1155/A33.+Hood+Upper+Release+Lever+%26+Cable+%26+Strikers+as+SET+(8).JPG</v>
      </c>
      <c r="M25" s="279" t="str">
        <f t="shared" si="10"/>
        <v>https://viking-pictures.s3.us-west-1.amazonaws.com/AA1155/A33.+Hood+Upper+Release+Lever+%26+Cable+%26+Strikers+as+SET+(9).JPG</v>
      </c>
      <c r="N25" s="279" t="str">
        <f t="shared" si="11"/>
        <v/>
      </c>
      <c r="O25" s="279" t="str">
        <f t="shared" si="12"/>
        <v/>
      </c>
      <c r="P25" s="279" t="str">
        <f t="shared" si="13"/>
        <v/>
      </c>
      <c r="Q25" s="279" t="str">
        <f t="shared" si="14"/>
        <v/>
      </c>
      <c r="R25" s="279" t="str">
        <f t="shared" si="15"/>
        <v/>
      </c>
      <c r="S25" s="279" t="str">
        <f t="shared" si="16"/>
        <v/>
      </c>
      <c r="T25" s="279" t="str">
        <f t="shared" si="17"/>
        <v/>
      </c>
      <c r="U25" s="279" t="str">
        <f t="shared" si="18"/>
        <v/>
      </c>
      <c r="V25" s="279" t="str">
        <f t="shared" si="19"/>
        <v/>
      </c>
      <c r="W25" s="279" t="str">
        <f t="shared" si="20"/>
        <v/>
      </c>
      <c r="X25" s="279" t="str">
        <f t="shared" si="21"/>
        <v/>
      </c>
      <c r="Y25" s="279" t="str">
        <f t="shared" si="22"/>
        <v/>
      </c>
      <c r="Z25" s="279" t="str">
        <f t="shared" si="23"/>
        <v/>
      </c>
      <c r="AA25" s="279" t="str">
        <f t="shared" si="24"/>
        <v/>
      </c>
      <c r="AB25" s="279" t="str">
        <f t="shared" si="25"/>
        <v/>
      </c>
      <c r="AC25" s="104" t="s">
        <v>1382</v>
      </c>
      <c r="AD25" s="279" t="str">
        <f t="shared" si="26"/>
        <v>A33.+Hood+Upper+Release+Lever+%26+Cable+%26+Strikers+as+SET</v>
      </c>
      <c r="AE25" s="279" t="str">
        <f>_xlfn.XLOOKUP(B25,'3. Keep &amp; Toss Items'!O:O,'3. Keep &amp; Toss Items'!Q:Q,"NOT FOUND",0,1)</f>
        <v>A33. Hood Upper Release Lever &amp; Cable &amp; Strikers as SET</v>
      </c>
      <c r="AF25" s="279" t="str">
        <f t="shared" si="27"/>
        <v>A33. Hood Upper Release Lever &amp; Cable &amp; Strikers as SET</v>
      </c>
      <c r="AG25" s="279" t="str">
        <f t="shared" si="28"/>
        <v>A33.+Hood+Upper+Release+Lever+&amp;+Cable+&amp;+Strikers+as+SET</v>
      </c>
      <c r="AH25" s="279" t="str">
        <f t="shared" si="29"/>
        <v>A33.+Hood+Upper+Release+Lever+&amp;+Cable+&amp;+Strikers+as+SET</v>
      </c>
      <c r="AI25" s="279" t="str">
        <f t="shared" si="30"/>
        <v>A33.+Hood+Upper+Release+Lever+&amp;+Cable+&amp;+Strikers+as+SET</v>
      </c>
      <c r="AJ25" s="279" t="str">
        <f t="shared" si="31"/>
        <v>A33.+Hood+Upper+Release+Lever+&amp;+Cable+&amp;+Strikers+as+SET</v>
      </c>
      <c r="AK25" s="279" t="str">
        <f t="shared" si="32"/>
        <v>A33.+Hood+Upper+Release+Lever+&amp;+Cable+&amp;+Strikers+as+SET</v>
      </c>
      <c r="AL25" s="279" t="str">
        <f t="shared" si="33"/>
        <v>A33.+Hood+Upper+Release+Lever+%26+Cable+%26+Strikers+as+SET</v>
      </c>
      <c r="AM25" s="279" t="str">
        <f t="shared" si="34"/>
        <v>A33.+Hood+Upper+Release+Lever+%26+Cable+%26+Strikers+as+SET</v>
      </c>
      <c r="AN25" s="279" t="str">
        <f t="shared" si="2"/>
        <v>A33.+Hood+Upper+Release+Lever+%26+Cable+%26+Strikers+as+SET</v>
      </c>
      <c r="AO25" s="279" t="str">
        <f t="shared" si="35"/>
        <v>A33.+Hood+Upper+Release+Lever+%26+Cable+%26+Strikers+as+SET</v>
      </c>
      <c r="AP25" s="279" t="str">
        <f t="shared" si="36"/>
        <v>A33.+Hood+Upper+Release+Lever+%26+Cable+%26+Strikers+as+SET</v>
      </c>
      <c r="AQ25" s="280" t="s">
        <v>1395</v>
      </c>
      <c r="AR25" s="280" t="s">
        <v>1396</v>
      </c>
      <c r="AS25" s="280" t="s">
        <v>1397</v>
      </c>
      <c r="AT25" s="280" t="s">
        <v>1398</v>
      </c>
      <c r="AU25" s="280" t="s">
        <v>1399</v>
      </c>
      <c r="AV25" s="280" t="s">
        <v>1400</v>
      </c>
      <c r="AW25" s="280" t="s">
        <v>1401</v>
      </c>
      <c r="AX25" s="280" t="s">
        <v>1402</v>
      </c>
      <c r="AY25" s="280" t="s">
        <v>1403</v>
      </c>
      <c r="AZ25" s="280" t="s">
        <v>1404</v>
      </c>
      <c r="BA25" s="280" t="s">
        <v>1405</v>
      </c>
      <c r="BB25" s="280" t="s">
        <v>1406</v>
      </c>
      <c r="BC25" s="280" t="s">
        <v>1419</v>
      </c>
      <c r="BD25" s="280" t="s">
        <v>1407</v>
      </c>
      <c r="BE25" s="280" t="s">
        <v>1408</v>
      </c>
      <c r="BF25" s="280" t="s">
        <v>1409</v>
      </c>
      <c r="BG25" s="280" t="s">
        <v>1410</v>
      </c>
      <c r="BH25" s="280" t="s">
        <v>1411</v>
      </c>
      <c r="BI25" s="280" t="s">
        <v>1412</v>
      </c>
      <c r="BJ25" s="280" t="s">
        <v>1413</v>
      </c>
      <c r="BK25" s="280" t="s">
        <v>1414</v>
      </c>
      <c r="BL25" s="280" t="s">
        <v>1415</v>
      </c>
      <c r="BM25" s="280" t="s">
        <v>1416</v>
      </c>
      <c r="BN25" s="280" t="s">
        <v>1417</v>
      </c>
      <c r="BO25" s="280" t="s">
        <v>1418</v>
      </c>
      <c r="BP25" s="280" t="s">
        <v>1420</v>
      </c>
      <c r="BQ25" s="134" t="str">
        <f t="shared" si="3"/>
        <v>Pic Example</v>
      </c>
    </row>
    <row r="26" spans="2:69" x14ac:dyDescent="0.25">
      <c r="B26" t="s">
        <v>936</v>
      </c>
      <c r="C26" s="279" t="str">
        <f t="shared" si="37"/>
        <v>https://viking-pictures.s3.us-west-1.amazonaws.com/AA1155/A34.+Wiper+Motor%2C+Trunk+(1).JPG|https://viking-pictures.s3.us-west-1.amazonaws.com/AA1155/A34.+Wiper+Motor%2C+Trunk+(2).JPG|https://viking-pictures.s3.us-west-1.amazonaws.com/AA1155/A34.+Wiper+Motor%2C+Trunk+(3).JPG|https://viking-pictures.s3.us-west-1.amazonaws.com/AA1155/A34.+Wiper+Motor%2C+Trunk+(4).JPG</v>
      </c>
      <c r="D26" s="281">
        <f>_xlfn.XLOOKUP(B26,'3. Keep &amp; Toss Items'!O:O,'3. Keep &amp; Toss Items'!U:U,"NOT FOUND",0,1)</f>
        <v>4</v>
      </c>
      <c r="E26" s="279" t="str">
        <f t="shared" si="0"/>
        <v>https://viking-pictures.s3.us-west-1.amazonaws.com/AA1155/A34.+Wiper+Motor%2C+Trunk+(1).JPG</v>
      </c>
      <c r="F26" s="279" t="str">
        <f t="shared" si="4"/>
        <v>https://viking-pictures.s3.us-west-1.amazonaws.com/AA1155/A34.+Wiper+Motor%2C+Trunk+(2).JPG</v>
      </c>
      <c r="G26" s="279" t="str">
        <f t="shared" si="5"/>
        <v>https://viking-pictures.s3.us-west-1.amazonaws.com/AA1155/A34.+Wiper+Motor%2C+Trunk+(3).JPG</v>
      </c>
      <c r="H26" s="279" t="str">
        <f t="shared" si="6"/>
        <v>https://viking-pictures.s3.us-west-1.amazonaws.com/AA1155/A34.+Wiper+Motor%2C+Trunk+(4).JPG</v>
      </c>
      <c r="I26" s="279" t="str">
        <f t="shared" si="7"/>
        <v/>
      </c>
      <c r="J26" s="279" t="str">
        <f t="shared" si="8"/>
        <v/>
      </c>
      <c r="K26" s="279" t="str">
        <f t="shared" si="9"/>
        <v/>
      </c>
      <c r="L26" s="279" t="str">
        <f t="shared" si="9"/>
        <v/>
      </c>
      <c r="M26" s="279" t="str">
        <f t="shared" si="10"/>
        <v/>
      </c>
      <c r="N26" s="279" t="str">
        <f t="shared" si="11"/>
        <v/>
      </c>
      <c r="O26" s="279" t="str">
        <f t="shared" si="12"/>
        <v/>
      </c>
      <c r="P26" s="279" t="str">
        <f t="shared" si="13"/>
        <v/>
      </c>
      <c r="Q26" s="279" t="str">
        <f t="shared" si="14"/>
        <v/>
      </c>
      <c r="R26" s="279" t="str">
        <f t="shared" si="15"/>
        <v/>
      </c>
      <c r="S26" s="279" t="str">
        <f t="shared" si="16"/>
        <v/>
      </c>
      <c r="T26" s="279" t="str">
        <f t="shared" si="17"/>
        <v/>
      </c>
      <c r="U26" s="279" t="str">
        <f t="shared" si="18"/>
        <v/>
      </c>
      <c r="V26" s="279" t="str">
        <f t="shared" si="19"/>
        <v/>
      </c>
      <c r="W26" s="279" t="str">
        <f t="shared" si="20"/>
        <v/>
      </c>
      <c r="X26" s="279" t="str">
        <f t="shared" si="21"/>
        <v/>
      </c>
      <c r="Y26" s="279" t="str">
        <f t="shared" si="22"/>
        <v/>
      </c>
      <c r="Z26" s="279" t="str">
        <f t="shared" si="23"/>
        <v/>
      </c>
      <c r="AA26" s="279" t="str">
        <f t="shared" si="24"/>
        <v/>
      </c>
      <c r="AB26" s="279" t="str">
        <f t="shared" si="25"/>
        <v/>
      </c>
      <c r="AC26" s="104" t="s">
        <v>1382</v>
      </c>
      <c r="AD26" s="279" t="str">
        <f t="shared" si="26"/>
        <v>A34.+Wiper+Motor%2C+Trunk</v>
      </c>
      <c r="AE26" s="279" t="str">
        <f>_xlfn.XLOOKUP(B26,'3. Keep &amp; Toss Items'!O:O,'3. Keep &amp; Toss Items'!Q:Q,"NOT FOUND",0,1)</f>
        <v>A34. Wiper Motor, Trunk</v>
      </c>
      <c r="AF26" s="279" t="str">
        <f t="shared" si="27"/>
        <v>A34. Wiper Motor, Trunk</v>
      </c>
      <c r="AG26" s="279" t="str">
        <f t="shared" si="28"/>
        <v>A34.+Wiper+Motor,+Trunk</v>
      </c>
      <c r="AH26" s="279" t="str">
        <f t="shared" si="29"/>
        <v>A34.+Wiper+Motor%2C+Trunk</v>
      </c>
      <c r="AI26" s="279" t="str">
        <f t="shared" si="30"/>
        <v>A34.+Wiper+Motor%2C+Trunk</v>
      </c>
      <c r="AJ26" s="279" t="str">
        <f t="shared" si="31"/>
        <v>A34.+Wiper+Motor%2C+Trunk</v>
      </c>
      <c r="AK26" s="279" t="str">
        <f t="shared" si="32"/>
        <v>A34.+Wiper+Motor%2C+Trunk</v>
      </c>
      <c r="AL26" s="279" t="str">
        <f t="shared" si="33"/>
        <v>A34.+Wiper+Motor%2C+Trunk</v>
      </c>
      <c r="AM26" s="279" t="str">
        <f t="shared" si="34"/>
        <v>A34.+Wiper+Motor%2C+Trunk</v>
      </c>
      <c r="AN26" s="279" t="str">
        <f t="shared" si="2"/>
        <v>A34.+Wiper+Motor%2C+Trunk</v>
      </c>
      <c r="AO26" s="279" t="str">
        <f t="shared" si="35"/>
        <v>A34.+Wiper+Motor%2C+Trunk</v>
      </c>
      <c r="AP26" s="279" t="str">
        <f t="shared" si="36"/>
        <v>A34.+Wiper+Motor%2C+Trunk</v>
      </c>
      <c r="AQ26" s="280" t="s">
        <v>1395</v>
      </c>
      <c r="AR26" s="280" t="s">
        <v>1396</v>
      </c>
      <c r="AS26" s="280" t="s">
        <v>1397</v>
      </c>
      <c r="AT26" s="280" t="s">
        <v>1398</v>
      </c>
      <c r="AU26" s="280" t="s">
        <v>1399</v>
      </c>
      <c r="AV26" s="280" t="s">
        <v>1400</v>
      </c>
      <c r="AW26" s="280" t="s">
        <v>1401</v>
      </c>
      <c r="AX26" s="280" t="s">
        <v>1402</v>
      </c>
      <c r="AY26" s="280" t="s">
        <v>1403</v>
      </c>
      <c r="AZ26" s="280" t="s">
        <v>1404</v>
      </c>
      <c r="BA26" s="280" t="s">
        <v>1405</v>
      </c>
      <c r="BB26" s="280" t="s">
        <v>1406</v>
      </c>
      <c r="BC26" s="280" t="s">
        <v>1419</v>
      </c>
      <c r="BD26" s="280" t="s">
        <v>1407</v>
      </c>
      <c r="BE26" s="280" t="s">
        <v>1408</v>
      </c>
      <c r="BF26" s="280" t="s">
        <v>1409</v>
      </c>
      <c r="BG26" s="280" t="s">
        <v>1410</v>
      </c>
      <c r="BH26" s="280" t="s">
        <v>1411</v>
      </c>
      <c r="BI26" s="280" t="s">
        <v>1412</v>
      </c>
      <c r="BJ26" s="280" t="s">
        <v>1413</v>
      </c>
      <c r="BK26" s="280" t="s">
        <v>1414</v>
      </c>
      <c r="BL26" s="280" t="s">
        <v>1415</v>
      </c>
      <c r="BM26" s="280" t="s">
        <v>1416</v>
      </c>
      <c r="BN26" s="280" t="s">
        <v>1417</v>
      </c>
      <c r="BO26" s="280" t="s">
        <v>1418</v>
      </c>
      <c r="BP26" s="280" t="s">
        <v>1420</v>
      </c>
      <c r="BQ26" s="134" t="str">
        <f t="shared" si="3"/>
        <v>Pic Example</v>
      </c>
    </row>
    <row r="27" spans="2:69" x14ac:dyDescent="0.25">
      <c r="B27" t="s">
        <v>937</v>
      </c>
      <c r="C27" s="279" t="str">
        <f t="shared" si="37"/>
        <v>https://viking-pictures.s3.us-west-1.amazonaws.com/AA1155/A35.+Hood+Latches+SET+2+WITH+Cables+(1).JPG|https://viking-pictures.s3.us-west-1.amazonaws.com/AA1155/A35.+Hood+Latches+SET+2+WITH+Cables+(2).JPG|https://viking-pictures.s3.us-west-1.amazonaws.com/AA1155/A35.+Hood+Latches+SET+2+WITH+Cables+(3).JPG|https://viking-pictures.s3.us-west-1.amazonaws.com/AA1155/A35.+Hood+Latches+SET+2+WITH+Cables+(4).JPG|https://viking-pictures.s3.us-west-1.amazonaws.com/AA1155/A35.+Hood+Latches+SET+2+WITH+Cables+(5).JPG</v>
      </c>
      <c r="D27" s="281">
        <f>_xlfn.XLOOKUP(B27,'3. Keep &amp; Toss Items'!O:O,'3. Keep &amp; Toss Items'!U:U,"NOT FOUND",0,1)</f>
        <v>5</v>
      </c>
      <c r="E27" s="279" t="str">
        <f t="shared" si="0"/>
        <v>https://viking-pictures.s3.us-west-1.amazonaws.com/AA1155/A35.+Hood+Latches+SET+2+WITH+Cables+(1).JPG</v>
      </c>
      <c r="F27" s="279" t="str">
        <f t="shared" si="4"/>
        <v>https://viking-pictures.s3.us-west-1.amazonaws.com/AA1155/A35.+Hood+Latches+SET+2+WITH+Cables+(2).JPG</v>
      </c>
      <c r="G27" s="279" t="str">
        <f t="shared" si="5"/>
        <v>https://viking-pictures.s3.us-west-1.amazonaws.com/AA1155/A35.+Hood+Latches+SET+2+WITH+Cables+(3).JPG</v>
      </c>
      <c r="H27" s="279" t="str">
        <f t="shared" si="6"/>
        <v>https://viking-pictures.s3.us-west-1.amazonaws.com/AA1155/A35.+Hood+Latches+SET+2+WITH+Cables+(4).JPG</v>
      </c>
      <c r="I27" s="279" t="str">
        <f t="shared" si="7"/>
        <v>https://viking-pictures.s3.us-west-1.amazonaws.com/AA1155/A35.+Hood+Latches+SET+2+WITH+Cables+(5).JPG</v>
      </c>
      <c r="J27" s="279" t="str">
        <f t="shared" si="8"/>
        <v/>
      </c>
      <c r="K27" s="279" t="str">
        <f t="shared" si="9"/>
        <v/>
      </c>
      <c r="L27" s="279" t="str">
        <f t="shared" si="9"/>
        <v/>
      </c>
      <c r="M27" s="279" t="str">
        <f t="shared" si="10"/>
        <v/>
      </c>
      <c r="N27" s="279" t="str">
        <f t="shared" si="11"/>
        <v/>
      </c>
      <c r="O27" s="279" t="str">
        <f t="shared" si="12"/>
        <v/>
      </c>
      <c r="P27" s="279" t="str">
        <f t="shared" si="13"/>
        <v/>
      </c>
      <c r="Q27" s="279" t="str">
        <f t="shared" si="14"/>
        <v/>
      </c>
      <c r="R27" s="279" t="str">
        <f t="shared" si="15"/>
        <v/>
      </c>
      <c r="S27" s="279" t="str">
        <f t="shared" si="16"/>
        <v/>
      </c>
      <c r="T27" s="279" t="str">
        <f t="shared" si="17"/>
        <v/>
      </c>
      <c r="U27" s="279" t="str">
        <f t="shared" si="18"/>
        <v/>
      </c>
      <c r="V27" s="279" t="str">
        <f t="shared" si="19"/>
        <v/>
      </c>
      <c r="W27" s="279" t="str">
        <f t="shared" si="20"/>
        <v/>
      </c>
      <c r="X27" s="279" t="str">
        <f t="shared" si="21"/>
        <v/>
      </c>
      <c r="Y27" s="279" t="str">
        <f t="shared" si="22"/>
        <v/>
      </c>
      <c r="Z27" s="279" t="str">
        <f t="shared" si="23"/>
        <v/>
      </c>
      <c r="AA27" s="279" t="str">
        <f t="shared" si="24"/>
        <v/>
      </c>
      <c r="AB27" s="279" t="str">
        <f t="shared" si="25"/>
        <v/>
      </c>
      <c r="AC27" s="104" t="s">
        <v>1382</v>
      </c>
      <c r="AD27" s="279" t="str">
        <f t="shared" si="26"/>
        <v>A35.+Hood+Latches+SET+2+WITH+Cables</v>
      </c>
      <c r="AE27" s="279" t="str">
        <f>_xlfn.XLOOKUP(B27,'3. Keep &amp; Toss Items'!O:O,'3. Keep &amp; Toss Items'!Q:Q,"NOT FOUND",0,1)</f>
        <v>A35. Hood Latches SET 2 WITH Cables</v>
      </c>
      <c r="AF27" s="279" t="str">
        <f t="shared" si="27"/>
        <v>A35. Hood Latches SET 2 WITH Cables</v>
      </c>
      <c r="AG27" s="279" t="str">
        <f t="shared" si="28"/>
        <v>A35.+Hood+Latches+SET+2+WITH+Cables</v>
      </c>
      <c r="AH27" s="279" t="str">
        <f t="shared" si="29"/>
        <v>A35.+Hood+Latches+SET+2+WITH+Cables</v>
      </c>
      <c r="AI27" s="279" t="str">
        <f t="shared" si="30"/>
        <v>A35.+Hood+Latches+SET+2+WITH+Cables</v>
      </c>
      <c r="AJ27" s="279" t="str">
        <f t="shared" si="31"/>
        <v>A35.+Hood+Latches+SET+2+WITH+Cables</v>
      </c>
      <c r="AK27" s="279" t="str">
        <f t="shared" si="32"/>
        <v>A35.+Hood+Latches+SET+2+WITH+Cables</v>
      </c>
      <c r="AL27" s="279" t="str">
        <f t="shared" si="33"/>
        <v>A35.+Hood+Latches+SET+2+WITH+Cables</v>
      </c>
      <c r="AM27" s="279" t="str">
        <f t="shared" si="34"/>
        <v>A35.+Hood+Latches+SET+2+WITH+Cables</v>
      </c>
      <c r="AN27" s="279" t="str">
        <f t="shared" si="2"/>
        <v>A35.+Hood+Latches+SET+2+WITH+Cables</v>
      </c>
      <c r="AO27" s="279" t="str">
        <f t="shared" si="35"/>
        <v>A35.+Hood+Latches+SET+2+WITH+Cables</v>
      </c>
      <c r="AP27" s="279" t="str">
        <f t="shared" si="36"/>
        <v>A35.+Hood+Latches+SET+2+WITH+Cables</v>
      </c>
      <c r="AQ27" s="280" t="s">
        <v>1395</v>
      </c>
      <c r="AR27" s="280" t="s">
        <v>1396</v>
      </c>
      <c r="AS27" s="280" t="s">
        <v>1397</v>
      </c>
      <c r="AT27" s="280" t="s">
        <v>1398</v>
      </c>
      <c r="AU27" s="280" t="s">
        <v>1399</v>
      </c>
      <c r="AV27" s="280" t="s">
        <v>1400</v>
      </c>
      <c r="AW27" s="280" t="s">
        <v>1401</v>
      </c>
      <c r="AX27" s="280" t="s">
        <v>1402</v>
      </c>
      <c r="AY27" s="280" t="s">
        <v>1403</v>
      </c>
      <c r="AZ27" s="280" t="s">
        <v>1404</v>
      </c>
      <c r="BA27" s="280" t="s">
        <v>1405</v>
      </c>
      <c r="BB27" s="280" t="s">
        <v>1406</v>
      </c>
      <c r="BC27" s="280" t="s">
        <v>1419</v>
      </c>
      <c r="BD27" s="280" t="s">
        <v>1407</v>
      </c>
      <c r="BE27" s="280" t="s">
        <v>1408</v>
      </c>
      <c r="BF27" s="280" t="s">
        <v>1409</v>
      </c>
      <c r="BG27" s="280" t="s">
        <v>1410</v>
      </c>
      <c r="BH27" s="280" t="s">
        <v>1411</v>
      </c>
      <c r="BI27" s="280" t="s">
        <v>1412</v>
      </c>
      <c r="BJ27" s="280" t="s">
        <v>1413</v>
      </c>
      <c r="BK27" s="280" t="s">
        <v>1414</v>
      </c>
      <c r="BL27" s="280" t="s">
        <v>1415</v>
      </c>
      <c r="BM27" s="280" t="s">
        <v>1416</v>
      </c>
      <c r="BN27" s="280" t="s">
        <v>1417</v>
      </c>
      <c r="BO27" s="280" t="s">
        <v>1418</v>
      </c>
      <c r="BP27" s="280" t="s">
        <v>1420</v>
      </c>
      <c r="BQ27" s="134" t="str">
        <f t="shared" si="3"/>
        <v>Pic Example</v>
      </c>
    </row>
    <row r="28" spans="2:69" x14ac:dyDescent="0.25">
      <c r="B28" t="s">
        <v>938</v>
      </c>
      <c r="C28" s="279" t="str">
        <f t="shared" si="37"/>
        <v>https://viking-pictures.s3.us-west-1.amazonaws.com/AA1155/A36.+Center+Console+Cell+Phone+Cradle+(1).JPG|https://viking-pictures.s3.us-west-1.amazonaws.com/AA1155/A36.+Center+Console+Cell+Phone+Cradle+(2).JPG|https://viking-pictures.s3.us-west-1.amazonaws.com/AA1155/A36.+Center+Console+Cell+Phone+Cradle+(3).JPG|https://viking-pictures.s3.us-west-1.amazonaws.com/AA1155/A36.+Center+Console+Cell+Phone+Cradle+(4).JPG</v>
      </c>
      <c r="D28" s="281">
        <f>_xlfn.XLOOKUP(B28,'3. Keep &amp; Toss Items'!O:O,'3. Keep &amp; Toss Items'!U:U,"NOT FOUND",0,1)</f>
        <v>4</v>
      </c>
      <c r="E28" s="279" t="str">
        <f t="shared" si="0"/>
        <v>https://viking-pictures.s3.us-west-1.amazonaws.com/AA1155/A36.+Center+Console+Cell+Phone+Cradle+(1).JPG</v>
      </c>
      <c r="F28" s="279" t="str">
        <f t="shared" si="4"/>
        <v>https://viking-pictures.s3.us-west-1.amazonaws.com/AA1155/A36.+Center+Console+Cell+Phone+Cradle+(2).JPG</v>
      </c>
      <c r="G28" s="279" t="str">
        <f t="shared" si="5"/>
        <v>https://viking-pictures.s3.us-west-1.amazonaws.com/AA1155/A36.+Center+Console+Cell+Phone+Cradle+(3).JPG</v>
      </c>
      <c r="H28" s="279" t="str">
        <f t="shared" si="6"/>
        <v>https://viking-pictures.s3.us-west-1.amazonaws.com/AA1155/A36.+Center+Console+Cell+Phone+Cradle+(4).JPG</v>
      </c>
      <c r="I28" s="279" t="str">
        <f t="shared" si="7"/>
        <v/>
      </c>
      <c r="J28" s="279" t="str">
        <f t="shared" si="8"/>
        <v/>
      </c>
      <c r="K28" s="279" t="str">
        <f t="shared" si="9"/>
        <v/>
      </c>
      <c r="L28" s="279" t="str">
        <f t="shared" si="9"/>
        <v/>
      </c>
      <c r="M28" s="279" t="str">
        <f t="shared" si="10"/>
        <v/>
      </c>
      <c r="N28" s="279" t="str">
        <f t="shared" si="11"/>
        <v/>
      </c>
      <c r="O28" s="279" t="str">
        <f t="shared" si="12"/>
        <v/>
      </c>
      <c r="P28" s="279" t="str">
        <f t="shared" si="13"/>
        <v/>
      </c>
      <c r="Q28" s="279" t="str">
        <f t="shared" si="14"/>
        <v/>
      </c>
      <c r="R28" s="279" t="str">
        <f t="shared" si="15"/>
        <v/>
      </c>
      <c r="S28" s="279" t="str">
        <f t="shared" si="16"/>
        <v/>
      </c>
      <c r="T28" s="279" t="str">
        <f t="shared" si="17"/>
        <v/>
      </c>
      <c r="U28" s="279" t="str">
        <f t="shared" si="18"/>
        <v/>
      </c>
      <c r="V28" s="279" t="str">
        <f t="shared" si="19"/>
        <v/>
      </c>
      <c r="W28" s="279" t="str">
        <f t="shared" si="20"/>
        <v/>
      </c>
      <c r="X28" s="279" t="str">
        <f t="shared" si="21"/>
        <v/>
      </c>
      <c r="Y28" s="279" t="str">
        <f t="shared" si="22"/>
        <v/>
      </c>
      <c r="Z28" s="279" t="str">
        <f t="shared" si="23"/>
        <v/>
      </c>
      <c r="AA28" s="279" t="str">
        <f t="shared" si="24"/>
        <v/>
      </c>
      <c r="AB28" s="279" t="str">
        <f t="shared" si="25"/>
        <v/>
      </c>
      <c r="AC28" s="104" t="s">
        <v>1382</v>
      </c>
      <c r="AD28" s="279" t="str">
        <f t="shared" si="26"/>
        <v>A36.+Center+Console+Cell+Phone+Cradle</v>
      </c>
      <c r="AE28" s="279" t="str">
        <f>_xlfn.XLOOKUP(B28,'3. Keep &amp; Toss Items'!O:O,'3. Keep &amp; Toss Items'!Q:Q,"NOT FOUND",0,1)</f>
        <v>A36. Center Console Cell Phone Cradle</v>
      </c>
      <c r="AF28" s="279" t="str">
        <f t="shared" si="27"/>
        <v>A36. Center Console Cell Phone Cradle</v>
      </c>
      <c r="AG28" s="279" t="str">
        <f t="shared" si="28"/>
        <v>A36.+Center+Console+Cell+Phone+Cradle</v>
      </c>
      <c r="AH28" s="279" t="str">
        <f t="shared" si="29"/>
        <v>A36.+Center+Console+Cell+Phone+Cradle</v>
      </c>
      <c r="AI28" s="279" t="str">
        <f t="shared" si="30"/>
        <v>A36.+Center+Console+Cell+Phone+Cradle</v>
      </c>
      <c r="AJ28" s="279" t="str">
        <f t="shared" si="31"/>
        <v>A36.+Center+Console+Cell+Phone+Cradle</v>
      </c>
      <c r="AK28" s="279" t="str">
        <f t="shared" si="32"/>
        <v>A36.+Center+Console+Cell+Phone+Cradle</v>
      </c>
      <c r="AL28" s="279" t="str">
        <f t="shared" si="33"/>
        <v>A36.+Center+Console+Cell+Phone+Cradle</v>
      </c>
      <c r="AM28" s="279" t="str">
        <f t="shared" si="34"/>
        <v>A36.+Center+Console+Cell+Phone+Cradle</v>
      </c>
      <c r="AN28" s="279" t="str">
        <f t="shared" si="2"/>
        <v>A36.+Center+Console+Cell+Phone+Cradle</v>
      </c>
      <c r="AO28" s="279" t="str">
        <f t="shared" si="35"/>
        <v>A36.+Center+Console+Cell+Phone+Cradle</v>
      </c>
      <c r="AP28" s="279" t="str">
        <f t="shared" si="36"/>
        <v>A36.+Center+Console+Cell+Phone+Cradle</v>
      </c>
      <c r="AQ28" s="280" t="s">
        <v>1395</v>
      </c>
      <c r="AR28" s="280" t="s">
        <v>1396</v>
      </c>
      <c r="AS28" s="280" t="s">
        <v>1397</v>
      </c>
      <c r="AT28" s="280" t="s">
        <v>1398</v>
      </c>
      <c r="AU28" s="280" t="s">
        <v>1399</v>
      </c>
      <c r="AV28" s="280" t="s">
        <v>1400</v>
      </c>
      <c r="AW28" s="280" t="s">
        <v>1401</v>
      </c>
      <c r="AX28" s="280" t="s">
        <v>1402</v>
      </c>
      <c r="AY28" s="280" t="s">
        <v>1403</v>
      </c>
      <c r="AZ28" s="280" t="s">
        <v>1404</v>
      </c>
      <c r="BA28" s="280" t="s">
        <v>1405</v>
      </c>
      <c r="BB28" s="280" t="s">
        <v>1406</v>
      </c>
      <c r="BC28" s="280" t="s">
        <v>1419</v>
      </c>
      <c r="BD28" s="280" t="s">
        <v>1407</v>
      </c>
      <c r="BE28" s="280" t="s">
        <v>1408</v>
      </c>
      <c r="BF28" s="280" t="s">
        <v>1409</v>
      </c>
      <c r="BG28" s="280" t="s">
        <v>1410</v>
      </c>
      <c r="BH28" s="280" t="s">
        <v>1411</v>
      </c>
      <c r="BI28" s="280" t="s">
        <v>1412</v>
      </c>
      <c r="BJ28" s="280" t="s">
        <v>1413</v>
      </c>
      <c r="BK28" s="280" t="s">
        <v>1414</v>
      </c>
      <c r="BL28" s="280" t="s">
        <v>1415</v>
      </c>
      <c r="BM28" s="280" t="s">
        <v>1416</v>
      </c>
      <c r="BN28" s="280" t="s">
        <v>1417</v>
      </c>
      <c r="BO28" s="280" t="s">
        <v>1418</v>
      </c>
      <c r="BP28" s="280" t="s">
        <v>1420</v>
      </c>
      <c r="BQ28" s="134" t="str">
        <f t="shared" si="3"/>
        <v>Pic Example</v>
      </c>
    </row>
    <row r="29" spans="2:69" x14ac:dyDescent="0.25">
      <c r="B29" t="s">
        <v>939</v>
      </c>
      <c r="C29" s="279" t="str">
        <f t="shared" si="37"/>
        <v>https://viking-pictures.s3.us-west-1.amazonaws.com/AA1155/A37.+Sunroof%2C+Motor+(1+of+2)+(1).JPG|https://viking-pictures.s3.us-west-1.amazonaws.com/AA1155/A37.+Sunroof%2C+Motor+(1+of+2)+(2).JPG|https://viking-pictures.s3.us-west-1.amazonaws.com/AA1155/A37.+Sunroof%2C+Motor+(1+of+2)+(3).JPG|https://viking-pictures.s3.us-west-1.amazonaws.com/AA1155/A37.+Sunroof%2C+Motor+(1+of+2)+(4).JPG</v>
      </c>
      <c r="D29" s="281">
        <f>_xlfn.XLOOKUP(B29,'3. Keep &amp; Toss Items'!O:O,'3. Keep &amp; Toss Items'!U:U,"NOT FOUND",0,1)</f>
        <v>4</v>
      </c>
      <c r="E29" s="279" t="str">
        <f t="shared" si="0"/>
        <v>https://viking-pictures.s3.us-west-1.amazonaws.com/AA1155/A37.+Sunroof%2C+Motor+(1+of+2)+(1).JPG</v>
      </c>
      <c r="F29" s="279" t="str">
        <f t="shared" si="4"/>
        <v>https://viking-pictures.s3.us-west-1.amazonaws.com/AA1155/A37.+Sunroof%2C+Motor+(1+of+2)+(2).JPG</v>
      </c>
      <c r="G29" s="279" t="str">
        <f t="shared" si="5"/>
        <v>https://viking-pictures.s3.us-west-1.amazonaws.com/AA1155/A37.+Sunroof%2C+Motor+(1+of+2)+(3).JPG</v>
      </c>
      <c r="H29" s="279" t="str">
        <f t="shared" si="6"/>
        <v>https://viking-pictures.s3.us-west-1.amazonaws.com/AA1155/A37.+Sunroof%2C+Motor+(1+of+2)+(4).JPG</v>
      </c>
      <c r="I29" s="279" t="str">
        <f t="shared" si="7"/>
        <v/>
      </c>
      <c r="J29" s="279" t="str">
        <f t="shared" si="8"/>
        <v/>
      </c>
      <c r="K29" s="279" t="str">
        <f t="shared" si="9"/>
        <v/>
      </c>
      <c r="L29" s="279" t="str">
        <f t="shared" si="9"/>
        <v/>
      </c>
      <c r="M29" s="279" t="str">
        <f t="shared" si="10"/>
        <v/>
      </c>
      <c r="N29" s="279" t="str">
        <f t="shared" si="11"/>
        <v/>
      </c>
      <c r="O29" s="279" t="str">
        <f t="shared" si="12"/>
        <v/>
      </c>
      <c r="P29" s="279" t="str">
        <f t="shared" si="13"/>
        <v/>
      </c>
      <c r="Q29" s="279" t="str">
        <f t="shared" si="14"/>
        <v/>
      </c>
      <c r="R29" s="279" t="str">
        <f t="shared" si="15"/>
        <v/>
      </c>
      <c r="S29" s="279" t="str">
        <f t="shared" si="16"/>
        <v/>
      </c>
      <c r="T29" s="279" t="str">
        <f t="shared" si="17"/>
        <v/>
      </c>
      <c r="U29" s="279" t="str">
        <f t="shared" si="18"/>
        <v/>
      </c>
      <c r="V29" s="279" t="str">
        <f t="shared" si="19"/>
        <v/>
      </c>
      <c r="W29" s="279" t="str">
        <f t="shared" si="20"/>
        <v/>
      </c>
      <c r="X29" s="279" t="str">
        <f t="shared" si="21"/>
        <v/>
      </c>
      <c r="Y29" s="279" t="str">
        <f t="shared" si="22"/>
        <v/>
      </c>
      <c r="Z29" s="279" t="str">
        <f t="shared" si="23"/>
        <v/>
      </c>
      <c r="AA29" s="279" t="str">
        <f t="shared" si="24"/>
        <v/>
      </c>
      <c r="AB29" s="279" t="str">
        <f t="shared" si="25"/>
        <v/>
      </c>
      <c r="AC29" s="104" t="s">
        <v>1382</v>
      </c>
      <c r="AD29" s="279" t="str">
        <f t="shared" si="26"/>
        <v>A37.+Sunroof%2C+Motor+(1+of+2)</v>
      </c>
      <c r="AE29" s="279" t="str">
        <f>_xlfn.XLOOKUP(B29,'3. Keep &amp; Toss Items'!O:O,'3. Keep &amp; Toss Items'!Q:Q,"NOT FOUND",0,1)</f>
        <v>A37. Sunroof, Motor (1 of 2)</v>
      </c>
      <c r="AF29" s="279" t="str">
        <f t="shared" si="27"/>
        <v>A37. Sunroof, Motor (1 of 2)</v>
      </c>
      <c r="AG29" s="279" t="str">
        <f t="shared" si="28"/>
        <v>A37.+Sunroof,+Motor+(1+of+2)</v>
      </c>
      <c r="AH29" s="279" t="str">
        <f t="shared" si="29"/>
        <v>A37.+Sunroof%2C+Motor+(1+of+2)</v>
      </c>
      <c r="AI29" s="279" t="str">
        <f t="shared" si="30"/>
        <v>A37.+Sunroof%2C+Motor+(1+of+2)</v>
      </c>
      <c r="AJ29" s="279" t="str">
        <f t="shared" si="31"/>
        <v>A37.+Sunroof%2C+Motor+(1+of+2)</v>
      </c>
      <c r="AK29" s="279" t="str">
        <f t="shared" si="32"/>
        <v>A37.+Sunroof%2C+Motor+(1+of+2)</v>
      </c>
      <c r="AL29" s="279" t="str">
        <f t="shared" si="33"/>
        <v>A37.+Sunroof%2C+Motor+(1+of+2)</v>
      </c>
      <c r="AM29" s="279" t="str">
        <f t="shared" si="34"/>
        <v>A37.+Sunroof%2C+Motor+(1+of+2)</v>
      </c>
      <c r="AN29" s="279" t="str">
        <f t="shared" si="2"/>
        <v>A37.+Sunroof%2C+Motor+(1+of+2)</v>
      </c>
      <c r="AO29" s="279" t="str">
        <f t="shared" si="35"/>
        <v>A37.+Sunroof%2C+Motor+(1+of+2)</v>
      </c>
      <c r="AP29" s="279" t="str">
        <f t="shared" si="36"/>
        <v>A37.+Sunroof%2C+Motor+(1+of+2)</v>
      </c>
      <c r="AQ29" s="280" t="s">
        <v>1395</v>
      </c>
      <c r="AR29" s="280" t="s">
        <v>1396</v>
      </c>
      <c r="AS29" s="280" t="s">
        <v>1397</v>
      </c>
      <c r="AT29" s="280" t="s">
        <v>1398</v>
      </c>
      <c r="AU29" s="280" t="s">
        <v>1399</v>
      </c>
      <c r="AV29" s="280" t="s">
        <v>1400</v>
      </c>
      <c r="AW29" s="280" t="s">
        <v>1401</v>
      </c>
      <c r="AX29" s="280" t="s">
        <v>1402</v>
      </c>
      <c r="AY29" s="280" t="s">
        <v>1403</v>
      </c>
      <c r="AZ29" s="280" t="s">
        <v>1404</v>
      </c>
      <c r="BA29" s="280" t="s">
        <v>1405</v>
      </c>
      <c r="BB29" s="280" t="s">
        <v>1406</v>
      </c>
      <c r="BC29" s="280" t="s">
        <v>1419</v>
      </c>
      <c r="BD29" s="280" t="s">
        <v>1407</v>
      </c>
      <c r="BE29" s="280" t="s">
        <v>1408</v>
      </c>
      <c r="BF29" s="280" t="s">
        <v>1409</v>
      </c>
      <c r="BG29" s="280" t="s">
        <v>1410</v>
      </c>
      <c r="BH29" s="280" t="s">
        <v>1411</v>
      </c>
      <c r="BI29" s="280" t="s">
        <v>1412</v>
      </c>
      <c r="BJ29" s="280" t="s">
        <v>1413</v>
      </c>
      <c r="BK29" s="280" t="s">
        <v>1414</v>
      </c>
      <c r="BL29" s="280" t="s">
        <v>1415</v>
      </c>
      <c r="BM29" s="280" t="s">
        <v>1416</v>
      </c>
      <c r="BN29" s="280" t="s">
        <v>1417</v>
      </c>
      <c r="BO29" s="280" t="s">
        <v>1418</v>
      </c>
      <c r="BP29" s="280" t="s">
        <v>1420</v>
      </c>
      <c r="BQ29" s="134" t="str">
        <f t="shared" si="3"/>
        <v>Pic Example</v>
      </c>
    </row>
    <row r="30" spans="2:69" x14ac:dyDescent="0.25">
      <c r="B30" t="s">
        <v>940</v>
      </c>
      <c r="C30" s="279" t="str">
        <f t="shared" si="37"/>
        <v>https://viking-pictures.s3.us-west-1.amazonaws.com/AA1155/A38.+Sunroof%2C+Motor+(2+of+2)+(1).JPG|https://viking-pictures.s3.us-west-1.amazonaws.com/AA1155/A38.+Sunroof%2C+Motor+(2+of+2)+(2).JPG|https://viking-pictures.s3.us-west-1.amazonaws.com/AA1155/A38.+Sunroof%2C+Motor+(2+of+2)+(3).JPG|https://viking-pictures.s3.us-west-1.amazonaws.com/AA1155/A38.+Sunroof%2C+Motor+(2+of+2)+(4).JPG</v>
      </c>
      <c r="D30" s="281">
        <f>_xlfn.XLOOKUP(B30,'3. Keep &amp; Toss Items'!O:O,'3. Keep &amp; Toss Items'!U:U,"NOT FOUND",0,1)</f>
        <v>4</v>
      </c>
      <c r="E30" s="279" t="str">
        <f t="shared" si="0"/>
        <v>https://viking-pictures.s3.us-west-1.amazonaws.com/AA1155/A38.+Sunroof%2C+Motor+(2+of+2)+(1).JPG</v>
      </c>
      <c r="F30" s="279" t="str">
        <f t="shared" si="4"/>
        <v>https://viking-pictures.s3.us-west-1.amazonaws.com/AA1155/A38.+Sunroof%2C+Motor+(2+of+2)+(2).JPG</v>
      </c>
      <c r="G30" s="279" t="str">
        <f t="shared" si="5"/>
        <v>https://viking-pictures.s3.us-west-1.amazonaws.com/AA1155/A38.+Sunroof%2C+Motor+(2+of+2)+(3).JPG</v>
      </c>
      <c r="H30" s="279" t="str">
        <f t="shared" si="6"/>
        <v>https://viking-pictures.s3.us-west-1.amazonaws.com/AA1155/A38.+Sunroof%2C+Motor+(2+of+2)+(4).JPG</v>
      </c>
      <c r="I30" s="279" t="str">
        <f t="shared" si="7"/>
        <v/>
      </c>
      <c r="J30" s="279" t="str">
        <f t="shared" si="8"/>
        <v/>
      </c>
      <c r="K30" s="279" t="str">
        <f t="shared" si="9"/>
        <v/>
      </c>
      <c r="L30" s="279" t="str">
        <f t="shared" si="9"/>
        <v/>
      </c>
      <c r="M30" s="279" t="str">
        <f t="shared" si="10"/>
        <v/>
      </c>
      <c r="N30" s="279" t="str">
        <f t="shared" si="11"/>
        <v/>
      </c>
      <c r="O30" s="279" t="str">
        <f t="shared" si="12"/>
        <v/>
      </c>
      <c r="P30" s="279" t="str">
        <f t="shared" si="13"/>
        <v/>
      </c>
      <c r="Q30" s="279" t="str">
        <f t="shared" si="14"/>
        <v/>
      </c>
      <c r="R30" s="279" t="str">
        <f t="shared" si="15"/>
        <v/>
      </c>
      <c r="S30" s="279" t="str">
        <f t="shared" si="16"/>
        <v/>
      </c>
      <c r="T30" s="279" t="str">
        <f t="shared" si="17"/>
        <v/>
      </c>
      <c r="U30" s="279" t="str">
        <f t="shared" si="18"/>
        <v/>
      </c>
      <c r="V30" s="279" t="str">
        <f t="shared" si="19"/>
        <v/>
      </c>
      <c r="W30" s="279" t="str">
        <f t="shared" si="20"/>
        <v/>
      </c>
      <c r="X30" s="279" t="str">
        <f t="shared" si="21"/>
        <v/>
      </c>
      <c r="Y30" s="279" t="str">
        <f t="shared" si="22"/>
        <v/>
      </c>
      <c r="Z30" s="279" t="str">
        <f t="shared" si="23"/>
        <v/>
      </c>
      <c r="AA30" s="279" t="str">
        <f t="shared" si="24"/>
        <v/>
      </c>
      <c r="AB30" s="279" t="str">
        <f t="shared" si="25"/>
        <v/>
      </c>
      <c r="AC30" s="104" t="s">
        <v>1382</v>
      </c>
      <c r="AD30" s="279" t="str">
        <f t="shared" si="26"/>
        <v>A38.+Sunroof%2C+Motor+(2+of+2)</v>
      </c>
      <c r="AE30" s="279" t="str">
        <f>_xlfn.XLOOKUP(B30,'3. Keep &amp; Toss Items'!O:O,'3. Keep &amp; Toss Items'!Q:Q,"NOT FOUND",0,1)</f>
        <v>A38. Sunroof, Motor (2 of 2)</v>
      </c>
      <c r="AF30" s="279" t="str">
        <f t="shared" si="27"/>
        <v>A38. Sunroof, Motor (2 of 2)</v>
      </c>
      <c r="AG30" s="279" t="str">
        <f t="shared" si="28"/>
        <v>A38.+Sunroof,+Motor+(2+of+2)</v>
      </c>
      <c r="AH30" s="279" t="str">
        <f t="shared" si="29"/>
        <v>A38.+Sunroof%2C+Motor+(2+of+2)</v>
      </c>
      <c r="AI30" s="279" t="str">
        <f t="shared" si="30"/>
        <v>A38.+Sunroof%2C+Motor+(2+of+2)</v>
      </c>
      <c r="AJ30" s="279" t="str">
        <f t="shared" si="31"/>
        <v>A38.+Sunroof%2C+Motor+(2+of+2)</v>
      </c>
      <c r="AK30" s="279" t="str">
        <f t="shared" si="32"/>
        <v>A38.+Sunroof%2C+Motor+(2+of+2)</v>
      </c>
      <c r="AL30" s="279" t="str">
        <f t="shared" si="33"/>
        <v>A38.+Sunroof%2C+Motor+(2+of+2)</v>
      </c>
      <c r="AM30" s="279" t="str">
        <f t="shared" si="34"/>
        <v>A38.+Sunroof%2C+Motor+(2+of+2)</v>
      </c>
      <c r="AN30" s="279" t="str">
        <f t="shared" si="2"/>
        <v>A38.+Sunroof%2C+Motor+(2+of+2)</v>
      </c>
      <c r="AO30" s="279" t="str">
        <f t="shared" si="35"/>
        <v>A38.+Sunroof%2C+Motor+(2+of+2)</v>
      </c>
      <c r="AP30" s="279" t="str">
        <f t="shared" si="36"/>
        <v>A38.+Sunroof%2C+Motor+(2+of+2)</v>
      </c>
      <c r="AQ30" s="280" t="s">
        <v>1395</v>
      </c>
      <c r="AR30" s="280" t="s">
        <v>1396</v>
      </c>
      <c r="AS30" s="280" t="s">
        <v>1397</v>
      </c>
      <c r="AT30" s="280" t="s">
        <v>1398</v>
      </c>
      <c r="AU30" s="280" t="s">
        <v>1399</v>
      </c>
      <c r="AV30" s="280" t="s">
        <v>1400</v>
      </c>
      <c r="AW30" s="280" t="s">
        <v>1401</v>
      </c>
      <c r="AX30" s="280" t="s">
        <v>1402</v>
      </c>
      <c r="AY30" s="280" t="s">
        <v>1403</v>
      </c>
      <c r="AZ30" s="280" t="s">
        <v>1404</v>
      </c>
      <c r="BA30" s="280" t="s">
        <v>1405</v>
      </c>
      <c r="BB30" s="280" t="s">
        <v>1406</v>
      </c>
      <c r="BC30" s="280" t="s">
        <v>1419</v>
      </c>
      <c r="BD30" s="280" t="s">
        <v>1407</v>
      </c>
      <c r="BE30" s="280" t="s">
        <v>1408</v>
      </c>
      <c r="BF30" s="280" t="s">
        <v>1409</v>
      </c>
      <c r="BG30" s="280" t="s">
        <v>1410</v>
      </c>
      <c r="BH30" s="280" t="s">
        <v>1411</v>
      </c>
      <c r="BI30" s="280" t="s">
        <v>1412</v>
      </c>
      <c r="BJ30" s="280" t="s">
        <v>1413</v>
      </c>
      <c r="BK30" s="280" t="s">
        <v>1414</v>
      </c>
      <c r="BL30" s="280" t="s">
        <v>1415</v>
      </c>
      <c r="BM30" s="280" t="s">
        <v>1416</v>
      </c>
      <c r="BN30" s="280" t="s">
        <v>1417</v>
      </c>
      <c r="BO30" s="280" t="s">
        <v>1418</v>
      </c>
      <c r="BP30" s="280" t="s">
        <v>1420</v>
      </c>
      <c r="BQ30" s="134" t="str">
        <f t="shared" si="3"/>
        <v>Pic Example</v>
      </c>
    </row>
    <row r="31" spans="2:69" x14ac:dyDescent="0.25">
      <c r="B31" t="s">
        <v>941</v>
      </c>
      <c r="C31" s="279" t="str">
        <f t="shared" si="37"/>
        <v>https://viking-pictures.s3.us-west-1.amazonaws.com/AA1155/A39.+Trunk+Latch+WITH+Soft+Close+Actuator+Motor+%26+Cables+(1).JPG|https://viking-pictures.s3.us-west-1.amazonaws.com/AA1155/A39.+Trunk+Latch+WITH+Soft+Close+Actuator+Motor+%26+Cables+(2).JPG|https://viking-pictures.s3.us-west-1.amazonaws.com/AA1155/A39.+Trunk+Latch+WITH+Soft+Close+Actuator+Motor+%26+Cables+(3).JPG|https://viking-pictures.s3.us-west-1.amazonaws.com/AA1155/A39.+Trunk+Latch+WITH+Soft+Close+Actuator+Motor+%26+Cables+(4).JPG|https://viking-pictures.s3.us-west-1.amazonaws.com/AA1155/A39.+Trunk+Latch+WITH+Soft+Close+Actuator+Motor+%26+Cables+(5).JPG|https://viking-pictures.s3.us-west-1.amazonaws.com/AA1155/A39.+Trunk+Latch+WITH+Soft+Close+Actuator+Motor+%26+Cables+(6).JPG|https://viking-pictures.s3.us-west-1.amazonaws.com/AA1155/A39.+Trunk+Latch+WITH+Soft+Close+Actuator+Motor+%26+Cables+(7).JPG</v>
      </c>
      <c r="D31" s="281">
        <f>_xlfn.XLOOKUP(B31,'3. Keep &amp; Toss Items'!O:O,'3. Keep &amp; Toss Items'!U:U,"NOT FOUND",0,1)</f>
        <v>7</v>
      </c>
      <c r="E31" s="279" t="str">
        <f t="shared" si="0"/>
        <v>https://viking-pictures.s3.us-west-1.amazonaws.com/AA1155/A39.+Trunk+Latch+WITH+Soft+Close+Actuator+Motor+%26+Cables+(1).JPG</v>
      </c>
      <c r="F31" s="279" t="str">
        <f t="shared" si="4"/>
        <v>https://viking-pictures.s3.us-west-1.amazonaws.com/AA1155/A39.+Trunk+Latch+WITH+Soft+Close+Actuator+Motor+%26+Cables+(2).JPG</v>
      </c>
      <c r="G31" s="279" t="str">
        <f t="shared" si="5"/>
        <v>https://viking-pictures.s3.us-west-1.amazonaws.com/AA1155/A39.+Trunk+Latch+WITH+Soft+Close+Actuator+Motor+%26+Cables+(3).JPG</v>
      </c>
      <c r="H31" s="279" t="str">
        <f t="shared" si="6"/>
        <v>https://viking-pictures.s3.us-west-1.amazonaws.com/AA1155/A39.+Trunk+Latch+WITH+Soft+Close+Actuator+Motor+%26+Cables+(4).JPG</v>
      </c>
      <c r="I31" s="279" t="str">
        <f t="shared" si="7"/>
        <v>https://viking-pictures.s3.us-west-1.amazonaws.com/AA1155/A39.+Trunk+Latch+WITH+Soft+Close+Actuator+Motor+%26+Cables+(5).JPG</v>
      </c>
      <c r="J31" s="279" t="str">
        <f t="shared" si="8"/>
        <v>https://viking-pictures.s3.us-west-1.amazonaws.com/AA1155/A39.+Trunk+Latch+WITH+Soft+Close+Actuator+Motor+%26+Cables+(6).JPG</v>
      </c>
      <c r="K31" s="279" t="str">
        <f t="shared" si="9"/>
        <v>https://viking-pictures.s3.us-west-1.amazonaws.com/AA1155/A39.+Trunk+Latch+WITH+Soft+Close+Actuator+Motor+%26+Cables+(7).JPG</v>
      </c>
      <c r="L31" s="279" t="str">
        <f t="shared" si="9"/>
        <v/>
      </c>
      <c r="M31" s="279" t="str">
        <f t="shared" si="10"/>
        <v/>
      </c>
      <c r="N31" s="279" t="str">
        <f t="shared" si="11"/>
        <v/>
      </c>
      <c r="O31" s="279" t="str">
        <f t="shared" si="12"/>
        <v/>
      </c>
      <c r="P31" s="279" t="str">
        <f t="shared" si="13"/>
        <v/>
      </c>
      <c r="Q31" s="279" t="str">
        <f t="shared" si="14"/>
        <v/>
      </c>
      <c r="R31" s="279" t="str">
        <f t="shared" si="15"/>
        <v/>
      </c>
      <c r="S31" s="279" t="str">
        <f t="shared" si="16"/>
        <v/>
      </c>
      <c r="T31" s="279" t="str">
        <f t="shared" si="17"/>
        <v/>
      </c>
      <c r="U31" s="279" t="str">
        <f t="shared" si="18"/>
        <v/>
      </c>
      <c r="V31" s="279" t="str">
        <f t="shared" si="19"/>
        <v/>
      </c>
      <c r="W31" s="279" t="str">
        <f t="shared" si="20"/>
        <v/>
      </c>
      <c r="X31" s="279" t="str">
        <f t="shared" si="21"/>
        <v/>
      </c>
      <c r="Y31" s="279" t="str">
        <f t="shared" si="22"/>
        <v/>
      </c>
      <c r="Z31" s="279" t="str">
        <f t="shared" si="23"/>
        <v/>
      </c>
      <c r="AA31" s="279" t="str">
        <f t="shared" si="24"/>
        <v/>
      </c>
      <c r="AB31" s="279" t="str">
        <f t="shared" si="25"/>
        <v/>
      </c>
      <c r="AC31" s="104" t="s">
        <v>1382</v>
      </c>
      <c r="AD31" s="279" t="str">
        <f t="shared" si="26"/>
        <v>A39.+Trunk+Latch+WITH+Soft+Close+Actuator+Motor+%26+Cables</v>
      </c>
      <c r="AE31" s="279" t="str">
        <f>_xlfn.XLOOKUP(B31,'3. Keep &amp; Toss Items'!O:O,'3. Keep &amp; Toss Items'!Q:Q,"NOT FOUND",0,1)</f>
        <v>A39. Trunk Latch WITH Soft Close Actuator Motor &amp; Cables</v>
      </c>
      <c r="AF31" s="279" t="str">
        <f t="shared" si="27"/>
        <v>A39. Trunk Latch WITH Soft Close Actuator Motor &amp; Cables</v>
      </c>
      <c r="AG31" s="279" t="str">
        <f t="shared" si="28"/>
        <v>A39.+Trunk+Latch+WITH+Soft+Close+Actuator+Motor+&amp;+Cables</v>
      </c>
      <c r="AH31" s="279" t="str">
        <f t="shared" si="29"/>
        <v>A39.+Trunk+Latch+WITH+Soft+Close+Actuator+Motor+&amp;+Cables</v>
      </c>
      <c r="AI31" s="279" t="str">
        <f t="shared" si="30"/>
        <v>A39.+Trunk+Latch+WITH+Soft+Close+Actuator+Motor+&amp;+Cables</v>
      </c>
      <c r="AJ31" s="279" t="str">
        <f t="shared" si="31"/>
        <v>A39.+Trunk+Latch+WITH+Soft+Close+Actuator+Motor+&amp;+Cables</v>
      </c>
      <c r="AK31" s="279" t="str">
        <f t="shared" si="32"/>
        <v>A39.+Trunk+Latch+WITH+Soft+Close+Actuator+Motor+&amp;+Cables</v>
      </c>
      <c r="AL31" s="279" t="str">
        <f t="shared" si="33"/>
        <v>A39.+Trunk+Latch+WITH+Soft+Close+Actuator+Motor+%26+Cables</v>
      </c>
      <c r="AM31" s="279" t="str">
        <f t="shared" si="34"/>
        <v>A39.+Trunk+Latch+WITH+Soft+Close+Actuator+Motor+%26+Cables</v>
      </c>
      <c r="AN31" s="279" t="str">
        <f t="shared" si="2"/>
        <v>A39.+Trunk+Latch+WITH+Soft+Close+Actuator+Motor+%26+Cables</v>
      </c>
      <c r="AO31" s="279" t="str">
        <f t="shared" si="35"/>
        <v>A39.+Trunk+Latch+WITH+Soft+Close+Actuator+Motor+%26+Cables</v>
      </c>
      <c r="AP31" s="279" t="str">
        <f t="shared" si="36"/>
        <v>A39.+Trunk+Latch+WITH+Soft+Close+Actuator+Motor+%26+Cables</v>
      </c>
      <c r="AQ31" s="280" t="s">
        <v>1395</v>
      </c>
      <c r="AR31" s="280" t="s">
        <v>1396</v>
      </c>
      <c r="AS31" s="280" t="s">
        <v>1397</v>
      </c>
      <c r="AT31" s="280" t="s">
        <v>1398</v>
      </c>
      <c r="AU31" s="280" t="s">
        <v>1399</v>
      </c>
      <c r="AV31" s="280" t="s">
        <v>1400</v>
      </c>
      <c r="AW31" s="280" t="s">
        <v>1401</v>
      </c>
      <c r="AX31" s="280" t="s">
        <v>1402</v>
      </c>
      <c r="AY31" s="280" t="s">
        <v>1403</v>
      </c>
      <c r="AZ31" s="280" t="s">
        <v>1404</v>
      </c>
      <c r="BA31" s="280" t="s">
        <v>1405</v>
      </c>
      <c r="BB31" s="280" t="s">
        <v>1406</v>
      </c>
      <c r="BC31" s="280" t="s">
        <v>1419</v>
      </c>
      <c r="BD31" s="280" t="s">
        <v>1407</v>
      </c>
      <c r="BE31" s="280" t="s">
        <v>1408</v>
      </c>
      <c r="BF31" s="280" t="s">
        <v>1409</v>
      </c>
      <c r="BG31" s="280" t="s">
        <v>1410</v>
      </c>
      <c r="BH31" s="280" t="s">
        <v>1411</v>
      </c>
      <c r="BI31" s="280" t="s">
        <v>1412</v>
      </c>
      <c r="BJ31" s="280" t="s">
        <v>1413</v>
      </c>
      <c r="BK31" s="280" t="s">
        <v>1414</v>
      </c>
      <c r="BL31" s="280" t="s">
        <v>1415</v>
      </c>
      <c r="BM31" s="280" t="s">
        <v>1416</v>
      </c>
      <c r="BN31" s="280" t="s">
        <v>1417</v>
      </c>
      <c r="BO31" s="280" t="s">
        <v>1418</v>
      </c>
      <c r="BP31" s="280" t="s">
        <v>1420</v>
      </c>
      <c r="BQ31" s="134" t="str">
        <f t="shared" si="3"/>
        <v>Pic Example</v>
      </c>
    </row>
    <row r="32" spans="2:69" x14ac:dyDescent="0.25">
      <c r="B32" t="s">
        <v>942</v>
      </c>
      <c r="C32" s="279" t="str">
        <f t="shared" si="37"/>
        <v>https://viking-pictures.s3.us-west-1.amazonaws.com/AA1155/A40.+Height+Level+Sensors%2C+FRONT+-+LEFT+(1).JPG|https://viking-pictures.s3.us-west-1.amazonaws.com/AA1155/A40.+Height+Level+Sensors%2C+FRONT+-+LEFT+(2).JPG|https://viking-pictures.s3.us-west-1.amazonaws.com/AA1155/A40.+Height+Level+Sensors%2C+FRONT+-+LEFT+(3).JPG</v>
      </c>
      <c r="D32" s="281">
        <f>_xlfn.XLOOKUP(B32,'3. Keep &amp; Toss Items'!O:O,'3. Keep &amp; Toss Items'!U:U,"NOT FOUND",0,1)</f>
        <v>3</v>
      </c>
      <c r="E32" s="279" t="str">
        <f t="shared" si="0"/>
        <v>https://viking-pictures.s3.us-west-1.amazonaws.com/AA1155/A40.+Height+Level+Sensors%2C+FRONT+-+LEFT+(1).JPG</v>
      </c>
      <c r="F32" s="279" t="str">
        <f t="shared" si="4"/>
        <v>https://viking-pictures.s3.us-west-1.amazonaws.com/AA1155/A40.+Height+Level+Sensors%2C+FRONT+-+LEFT+(2).JPG</v>
      </c>
      <c r="G32" s="279" t="str">
        <f t="shared" si="5"/>
        <v>https://viking-pictures.s3.us-west-1.amazonaws.com/AA1155/A40.+Height+Level+Sensors%2C+FRONT+-+LEFT+(3).JPG</v>
      </c>
      <c r="H32" s="279" t="str">
        <f t="shared" si="6"/>
        <v/>
      </c>
      <c r="I32" s="279" t="str">
        <f t="shared" si="7"/>
        <v/>
      </c>
      <c r="J32" s="279" t="str">
        <f t="shared" si="8"/>
        <v/>
      </c>
      <c r="K32" s="279" t="str">
        <f t="shared" si="9"/>
        <v/>
      </c>
      <c r="L32" s="279" t="str">
        <f t="shared" si="9"/>
        <v/>
      </c>
      <c r="M32" s="279" t="str">
        <f t="shared" si="10"/>
        <v/>
      </c>
      <c r="N32" s="279" t="str">
        <f t="shared" si="11"/>
        <v/>
      </c>
      <c r="O32" s="279" t="str">
        <f t="shared" si="12"/>
        <v/>
      </c>
      <c r="P32" s="279" t="str">
        <f t="shared" si="13"/>
        <v/>
      </c>
      <c r="Q32" s="279" t="str">
        <f t="shared" si="14"/>
        <v/>
      </c>
      <c r="R32" s="279" t="str">
        <f t="shared" si="15"/>
        <v/>
      </c>
      <c r="S32" s="279" t="str">
        <f t="shared" si="16"/>
        <v/>
      </c>
      <c r="T32" s="279" t="str">
        <f t="shared" si="17"/>
        <v/>
      </c>
      <c r="U32" s="279" t="str">
        <f t="shared" si="18"/>
        <v/>
      </c>
      <c r="V32" s="279" t="str">
        <f t="shared" si="19"/>
        <v/>
      </c>
      <c r="W32" s="279" t="str">
        <f t="shared" si="20"/>
        <v/>
      </c>
      <c r="X32" s="279" t="str">
        <f t="shared" si="21"/>
        <v/>
      </c>
      <c r="Y32" s="279" t="str">
        <f t="shared" si="22"/>
        <v/>
      </c>
      <c r="Z32" s="279" t="str">
        <f t="shared" si="23"/>
        <v/>
      </c>
      <c r="AA32" s="279" t="str">
        <f t="shared" si="24"/>
        <v/>
      </c>
      <c r="AB32" s="279" t="str">
        <f t="shared" si="25"/>
        <v/>
      </c>
      <c r="AC32" s="104" t="s">
        <v>1382</v>
      </c>
      <c r="AD32" s="279" t="str">
        <f t="shared" si="26"/>
        <v>A40.+Height+Level+Sensors%2C+FRONT+-+LEFT</v>
      </c>
      <c r="AE32" s="279" t="str">
        <f>_xlfn.XLOOKUP(B32,'3. Keep &amp; Toss Items'!O:O,'3. Keep &amp; Toss Items'!Q:Q,"NOT FOUND",0,1)</f>
        <v>A40. Height Level Sensors, FRONT - LEFT</v>
      </c>
      <c r="AF32" s="279" t="str">
        <f t="shared" si="27"/>
        <v>A40. Height Level Sensors, FRONT - LEFT</v>
      </c>
      <c r="AG32" s="279" t="str">
        <f t="shared" si="28"/>
        <v>A40.+Height+Level+Sensors,+FRONT+-+LEFT</v>
      </c>
      <c r="AH32" s="279" t="str">
        <f t="shared" si="29"/>
        <v>A40.+Height+Level+Sensors%2C+FRONT+-+LEFT</v>
      </c>
      <c r="AI32" s="279" t="str">
        <f t="shared" si="30"/>
        <v>A40.+Height+Level+Sensors%2C+FRONT+-+LEFT</v>
      </c>
      <c r="AJ32" s="279" t="str">
        <f t="shared" si="31"/>
        <v>A40.+Height+Level+Sensors%2C+FRONT+-+LEFT</v>
      </c>
      <c r="AK32" s="279" t="str">
        <f t="shared" si="32"/>
        <v>A40.+Height+Level+Sensors%2C+FRONT+-+LEFT</v>
      </c>
      <c r="AL32" s="279" t="str">
        <f t="shared" si="33"/>
        <v>A40.+Height+Level+Sensors%2C+FRONT+-+LEFT</v>
      </c>
      <c r="AM32" s="279" t="str">
        <f t="shared" si="34"/>
        <v>A40.+Height+Level+Sensors%2C+FRONT+-+LEFT</v>
      </c>
      <c r="AN32" s="279" t="str">
        <f t="shared" si="2"/>
        <v>A40.+Height+Level+Sensors%2C+FRONT+-+LEFT</v>
      </c>
      <c r="AO32" s="279" t="str">
        <f t="shared" si="35"/>
        <v>A40.+Height+Level+Sensors%2C+FRONT+-+LEFT</v>
      </c>
      <c r="AP32" s="279" t="str">
        <f t="shared" si="36"/>
        <v>A40.+Height+Level+Sensors%2C+FRONT+-+LEFT</v>
      </c>
      <c r="AQ32" s="280" t="s">
        <v>1395</v>
      </c>
      <c r="AR32" s="280" t="s">
        <v>1396</v>
      </c>
      <c r="AS32" s="280" t="s">
        <v>1397</v>
      </c>
      <c r="AT32" s="280" t="s">
        <v>1398</v>
      </c>
      <c r="AU32" s="280" t="s">
        <v>1399</v>
      </c>
      <c r="AV32" s="280" t="s">
        <v>1400</v>
      </c>
      <c r="AW32" s="280" t="s">
        <v>1401</v>
      </c>
      <c r="AX32" s="280" t="s">
        <v>1402</v>
      </c>
      <c r="AY32" s="280" t="s">
        <v>1403</v>
      </c>
      <c r="AZ32" s="280" t="s">
        <v>1404</v>
      </c>
      <c r="BA32" s="280" t="s">
        <v>1405</v>
      </c>
      <c r="BB32" s="280" t="s">
        <v>1406</v>
      </c>
      <c r="BC32" s="280" t="s">
        <v>1419</v>
      </c>
      <c r="BD32" s="280" t="s">
        <v>1407</v>
      </c>
      <c r="BE32" s="280" t="s">
        <v>1408</v>
      </c>
      <c r="BF32" s="280" t="s">
        <v>1409</v>
      </c>
      <c r="BG32" s="280" t="s">
        <v>1410</v>
      </c>
      <c r="BH32" s="280" t="s">
        <v>1411</v>
      </c>
      <c r="BI32" s="280" t="s">
        <v>1412</v>
      </c>
      <c r="BJ32" s="280" t="s">
        <v>1413</v>
      </c>
      <c r="BK32" s="280" t="s">
        <v>1414</v>
      </c>
      <c r="BL32" s="280" t="s">
        <v>1415</v>
      </c>
      <c r="BM32" s="280" t="s">
        <v>1416</v>
      </c>
      <c r="BN32" s="280" t="s">
        <v>1417</v>
      </c>
      <c r="BO32" s="280" t="s">
        <v>1418</v>
      </c>
      <c r="BP32" s="280" t="s">
        <v>1420</v>
      </c>
      <c r="BQ32" s="134" t="str">
        <f t="shared" si="3"/>
        <v>Pic Example</v>
      </c>
    </row>
    <row r="33" spans="2:69" x14ac:dyDescent="0.25">
      <c r="B33" t="s">
        <v>943</v>
      </c>
      <c r="C33" s="279" t="str">
        <f t="shared" si="37"/>
        <v>https://viking-pictures.s3.us-west-1.amazonaws.com/AA1155/A41.+Height+Level+Sensors%2C+REAR+-+LEFT+(1).JPG|https://viking-pictures.s3.us-west-1.amazonaws.com/AA1155/A41.+Height+Level+Sensors%2C+REAR+-+LEFT+(2).JPG|https://viking-pictures.s3.us-west-1.amazonaws.com/AA1155/A41.+Height+Level+Sensors%2C+REAR+-+LEFT+(3).JPG|https://viking-pictures.s3.us-west-1.amazonaws.com/AA1155/A41.+Height+Level+Sensors%2C+REAR+-+LEFT+(4).JPG</v>
      </c>
      <c r="D33" s="281">
        <f>_xlfn.XLOOKUP(B33,'3. Keep &amp; Toss Items'!O:O,'3. Keep &amp; Toss Items'!U:U,"NOT FOUND",0,1)</f>
        <v>4</v>
      </c>
      <c r="E33" s="279" t="str">
        <f t="shared" si="0"/>
        <v>https://viking-pictures.s3.us-west-1.amazonaws.com/AA1155/A41.+Height+Level+Sensors%2C+REAR+-+LEFT+(1).JPG</v>
      </c>
      <c r="F33" s="279" t="str">
        <f t="shared" si="4"/>
        <v>https://viking-pictures.s3.us-west-1.amazonaws.com/AA1155/A41.+Height+Level+Sensors%2C+REAR+-+LEFT+(2).JPG</v>
      </c>
      <c r="G33" s="279" t="str">
        <f t="shared" si="5"/>
        <v>https://viking-pictures.s3.us-west-1.amazonaws.com/AA1155/A41.+Height+Level+Sensors%2C+REAR+-+LEFT+(3).JPG</v>
      </c>
      <c r="H33" s="279" t="str">
        <f t="shared" si="6"/>
        <v>https://viking-pictures.s3.us-west-1.amazonaws.com/AA1155/A41.+Height+Level+Sensors%2C+REAR+-+LEFT+(4).JPG</v>
      </c>
      <c r="I33" s="279" t="str">
        <f t="shared" si="7"/>
        <v/>
      </c>
      <c r="J33" s="279" t="str">
        <f t="shared" si="8"/>
        <v/>
      </c>
      <c r="K33" s="279" t="str">
        <f t="shared" si="9"/>
        <v/>
      </c>
      <c r="L33" s="279" t="str">
        <f t="shared" si="9"/>
        <v/>
      </c>
      <c r="M33" s="279" t="str">
        <f t="shared" si="10"/>
        <v/>
      </c>
      <c r="N33" s="279" t="str">
        <f t="shared" si="11"/>
        <v/>
      </c>
      <c r="O33" s="279" t="str">
        <f t="shared" si="12"/>
        <v/>
      </c>
      <c r="P33" s="279" t="str">
        <f t="shared" si="13"/>
        <v/>
      </c>
      <c r="Q33" s="279" t="str">
        <f t="shared" si="14"/>
        <v/>
      </c>
      <c r="R33" s="279" t="str">
        <f t="shared" si="15"/>
        <v/>
      </c>
      <c r="S33" s="279" t="str">
        <f t="shared" si="16"/>
        <v/>
      </c>
      <c r="T33" s="279" t="str">
        <f t="shared" si="17"/>
        <v/>
      </c>
      <c r="U33" s="279" t="str">
        <f t="shared" si="18"/>
        <v/>
      </c>
      <c r="V33" s="279" t="str">
        <f t="shared" si="19"/>
        <v/>
      </c>
      <c r="W33" s="279" t="str">
        <f t="shared" si="20"/>
        <v/>
      </c>
      <c r="X33" s="279" t="str">
        <f t="shared" si="21"/>
        <v/>
      </c>
      <c r="Y33" s="279" t="str">
        <f t="shared" si="22"/>
        <v/>
      </c>
      <c r="Z33" s="279" t="str">
        <f t="shared" si="23"/>
        <v/>
      </c>
      <c r="AA33" s="279" t="str">
        <f t="shared" si="24"/>
        <v/>
      </c>
      <c r="AB33" s="279" t="str">
        <f t="shared" si="25"/>
        <v/>
      </c>
      <c r="AC33" s="104" t="s">
        <v>1382</v>
      </c>
      <c r="AD33" s="279" t="str">
        <f t="shared" si="26"/>
        <v>A41.+Height+Level+Sensors%2C+REAR+-+LEFT</v>
      </c>
      <c r="AE33" s="279" t="str">
        <f>_xlfn.XLOOKUP(B33,'3. Keep &amp; Toss Items'!O:O,'3. Keep &amp; Toss Items'!Q:Q,"NOT FOUND",0,1)</f>
        <v>A41. Height Level Sensors, REAR - LEFT</v>
      </c>
      <c r="AF33" s="279" t="str">
        <f t="shared" si="27"/>
        <v>A41. Height Level Sensors, REAR - LEFT</v>
      </c>
      <c r="AG33" s="279" t="str">
        <f t="shared" si="28"/>
        <v>A41.+Height+Level+Sensors,+REAR+-+LEFT</v>
      </c>
      <c r="AH33" s="279" t="str">
        <f t="shared" si="29"/>
        <v>A41.+Height+Level+Sensors%2C+REAR+-+LEFT</v>
      </c>
      <c r="AI33" s="279" t="str">
        <f t="shared" si="30"/>
        <v>A41.+Height+Level+Sensors%2C+REAR+-+LEFT</v>
      </c>
      <c r="AJ33" s="279" t="str">
        <f t="shared" si="31"/>
        <v>A41.+Height+Level+Sensors%2C+REAR+-+LEFT</v>
      </c>
      <c r="AK33" s="279" t="str">
        <f t="shared" si="32"/>
        <v>A41.+Height+Level+Sensors%2C+REAR+-+LEFT</v>
      </c>
      <c r="AL33" s="279" t="str">
        <f t="shared" si="33"/>
        <v>A41.+Height+Level+Sensors%2C+REAR+-+LEFT</v>
      </c>
      <c r="AM33" s="279" t="str">
        <f t="shared" si="34"/>
        <v>A41.+Height+Level+Sensors%2C+REAR+-+LEFT</v>
      </c>
      <c r="AN33" s="279" t="str">
        <f t="shared" si="2"/>
        <v>A41.+Height+Level+Sensors%2C+REAR+-+LEFT</v>
      </c>
      <c r="AO33" s="279" t="str">
        <f t="shared" si="35"/>
        <v>A41.+Height+Level+Sensors%2C+REAR+-+LEFT</v>
      </c>
      <c r="AP33" s="279" t="str">
        <f t="shared" si="36"/>
        <v>A41.+Height+Level+Sensors%2C+REAR+-+LEFT</v>
      </c>
      <c r="AQ33" s="280" t="s">
        <v>1395</v>
      </c>
      <c r="AR33" s="280" t="s">
        <v>1396</v>
      </c>
      <c r="AS33" s="280" t="s">
        <v>1397</v>
      </c>
      <c r="AT33" s="280" t="s">
        <v>1398</v>
      </c>
      <c r="AU33" s="280" t="s">
        <v>1399</v>
      </c>
      <c r="AV33" s="280" t="s">
        <v>1400</v>
      </c>
      <c r="AW33" s="280" t="s">
        <v>1401</v>
      </c>
      <c r="AX33" s="280" t="s">
        <v>1402</v>
      </c>
      <c r="AY33" s="280" t="s">
        <v>1403</v>
      </c>
      <c r="AZ33" s="280" t="s">
        <v>1404</v>
      </c>
      <c r="BA33" s="280" t="s">
        <v>1405</v>
      </c>
      <c r="BB33" s="280" t="s">
        <v>1406</v>
      </c>
      <c r="BC33" s="280" t="s">
        <v>1419</v>
      </c>
      <c r="BD33" s="280" t="s">
        <v>1407</v>
      </c>
      <c r="BE33" s="280" t="s">
        <v>1408</v>
      </c>
      <c r="BF33" s="280" t="s">
        <v>1409</v>
      </c>
      <c r="BG33" s="280" t="s">
        <v>1410</v>
      </c>
      <c r="BH33" s="280" t="s">
        <v>1411</v>
      </c>
      <c r="BI33" s="280" t="s">
        <v>1412</v>
      </c>
      <c r="BJ33" s="280" t="s">
        <v>1413</v>
      </c>
      <c r="BK33" s="280" t="s">
        <v>1414</v>
      </c>
      <c r="BL33" s="280" t="s">
        <v>1415</v>
      </c>
      <c r="BM33" s="280" t="s">
        <v>1416</v>
      </c>
      <c r="BN33" s="280" t="s">
        <v>1417</v>
      </c>
      <c r="BO33" s="280" t="s">
        <v>1418</v>
      </c>
      <c r="BP33" s="280" t="s">
        <v>1420</v>
      </c>
      <c r="BQ33" s="134" t="str">
        <f t="shared" si="3"/>
        <v>Pic Example</v>
      </c>
    </row>
    <row r="34" spans="2:69" x14ac:dyDescent="0.25">
      <c r="B34" t="s">
        <v>944</v>
      </c>
      <c r="C34" s="279" t="str">
        <f t="shared" si="37"/>
        <v>https://viking-pictures.s3.us-west-1.amazonaws.com/AA1155/A42.+Windshield+Washer+Spray+Nozzles+%26+Rubber+Hose+(1).JPG|https://viking-pictures.s3.us-west-1.amazonaws.com/AA1155/A42.+Windshield+Washer+Spray+Nozzles+%26+Rubber+Hose+(2).JPG|https://viking-pictures.s3.us-west-1.amazonaws.com/AA1155/A42.+Windshield+Washer+Spray+Nozzles+%26+Rubber+Hose+(3).JPG|https://viking-pictures.s3.us-west-1.amazonaws.com/AA1155/A42.+Windshield+Washer+Spray+Nozzles+%26+Rubber+Hose+(4).JPG</v>
      </c>
      <c r="D34" s="281">
        <f>_xlfn.XLOOKUP(B34,'3. Keep &amp; Toss Items'!O:O,'3. Keep &amp; Toss Items'!U:U,"NOT FOUND",0,1)</f>
        <v>4</v>
      </c>
      <c r="E34" s="279" t="str">
        <f t="shared" si="0"/>
        <v>https://viking-pictures.s3.us-west-1.amazonaws.com/AA1155/A42.+Windshield+Washer+Spray+Nozzles+%26+Rubber+Hose+(1).JPG</v>
      </c>
      <c r="F34" s="279" t="str">
        <f t="shared" si="4"/>
        <v>https://viking-pictures.s3.us-west-1.amazonaws.com/AA1155/A42.+Windshield+Washer+Spray+Nozzles+%26+Rubber+Hose+(2).JPG</v>
      </c>
      <c r="G34" s="279" t="str">
        <f t="shared" si="5"/>
        <v>https://viking-pictures.s3.us-west-1.amazonaws.com/AA1155/A42.+Windshield+Washer+Spray+Nozzles+%26+Rubber+Hose+(3).JPG</v>
      </c>
      <c r="H34" s="279" t="str">
        <f t="shared" si="6"/>
        <v>https://viking-pictures.s3.us-west-1.amazonaws.com/AA1155/A42.+Windshield+Washer+Spray+Nozzles+%26+Rubber+Hose+(4).JPG</v>
      </c>
      <c r="I34" s="279" t="str">
        <f t="shared" si="7"/>
        <v/>
      </c>
      <c r="J34" s="279" t="str">
        <f t="shared" si="8"/>
        <v/>
      </c>
      <c r="K34" s="279" t="str">
        <f t="shared" si="9"/>
        <v/>
      </c>
      <c r="L34" s="279" t="str">
        <f t="shared" si="9"/>
        <v/>
      </c>
      <c r="M34" s="279" t="str">
        <f t="shared" si="10"/>
        <v/>
      </c>
      <c r="N34" s="279" t="str">
        <f t="shared" si="11"/>
        <v/>
      </c>
      <c r="O34" s="279" t="str">
        <f t="shared" si="12"/>
        <v/>
      </c>
      <c r="P34" s="279" t="str">
        <f t="shared" si="13"/>
        <v/>
      </c>
      <c r="Q34" s="279" t="str">
        <f t="shared" si="14"/>
        <v/>
      </c>
      <c r="R34" s="279" t="str">
        <f t="shared" si="15"/>
        <v/>
      </c>
      <c r="S34" s="279" t="str">
        <f t="shared" si="16"/>
        <v/>
      </c>
      <c r="T34" s="279" t="str">
        <f t="shared" si="17"/>
        <v/>
      </c>
      <c r="U34" s="279" t="str">
        <f t="shared" si="18"/>
        <v/>
      </c>
      <c r="V34" s="279" t="str">
        <f t="shared" si="19"/>
        <v/>
      </c>
      <c r="W34" s="279" t="str">
        <f t="shared" si="20"/>
        <v/>
      </c>
      <c r="X34" s="279" t="str">
        <f t="shared" si="21"/>
        <v/>
      </c>
      <c r="Y34" s="279" t="str">
        <f t="shared" si="22"/>
        <v/>
      </c>
      <c r="Z34" s="279" t="str">
        <f t="shared" si="23"/>
        <v/>
      </c>
      <c r="AA34" s="279" t="str">
        <f t="shared" si="24"/>
        <v/>
      </c>
      <c r="AB34" s="279" t="str">
        <f t="shared" si="25"/>
        <v/>
      </c>
      <c r="AC34" s="104" t="s">
        <v>1382</v>
      </c>
      <c r="AD34" s="279" t="str">
        <f t="shared" si="26"/>
        <v>A42.+Windshield+Washer+Spray+Nozzles+%26+Rubber+Hose</v>
      </c>
      <c r="AE34" s="279" t="str">
        <f>_xlfn.XLOOKUP(B34,'3. Keep &amp; Toss Items'!O:O,'3. Keep &amp; Toss Items'!Q:Q,"NOT FOUND",0,1)</f>
        <v>A42. Windshield Washer Spray Nozzles &amp; Rubber Hose</v>
      </c>
      <c r="AF34" s="279" t="str">
        <f t="shared" si="27"/>
        <v>A42. Windshield Washer Spray Nozzles &amp; Rubber Hose</v>
      </c>
      <c r="AG34" s="279" t="str">
        <f t="shared" si="28"/>
        <v>A42.+Windshield+Washer+Spray+Nozzles+&amp;+Rubber+Hose</v>
      </c>
      <c r="AH34" s="279" t="str">
        <f t="shared" si="29"/>
        <v>A42.+Windshield+Washer+Spray+Nozzles+&amp;+Rubber+Hose</v>
      </c>
      <c r="AI34" s="279" t="str">
        <f t="shared" si="30"/>
        <v>A42.+Windshield+Washer+Spray+Nozzles+&amp;+Rubber+Hose</v>
      </c>
      <c r="AJ34" s="279" t="str">
        <f t="shared" si="31"/>
        <v>A42.+Windshield+Washer+Spray+Nozzles+&amp;+Rubber+Hose</v>
      </c>
      <c r="AK34" s="279" t="str">
        <f t="shared" si="32"/>
        <v>A42.+Windshield+Washer+Spray+Nozzles+&amp;+Rubber+Hose</v>
      </c>
      <c r="AL34" s="279" t="str">
        <f t="shared" si="33"/>
        <v>A42.+Windshield+Washer+Spray+Nozzles+%26+Rubber+Hose</v>
      </c>
      <c r="AM34" s="279" t="str">
        <f t="shared" si="34"/>
        <v>A42.+Windshield+Washer+Spray+Nozzles+%26+Rubber+Hose</v>
      </c>
      <c r="AN34" s="279" t="str">
        <f t="shared" si="2"/>
        <v>A42.+Windshield+Washer+Spray+Nozzles+%26+Rubber+Hose</v>
      </c>
      <c r="AO34" s="279" t="str">
        <f t="shared" si="35"/>
        <v>A42.+Windshield+Washer+Spray+Nozzles+%26+Rubber+Hose</v>
      </c>
      <c r="AP34" s="279" t="str">
        <f t="shared" si="36"/>
        <v>A42.+Windshield+Washer+Spray+Nozzles+%26+Rubber+Hose</v>
      </c>
      <c r="AQ34" s="280" t="s">
        <v>1395</v>
      </c>
      <c r="AR34" s="280" t="s">
        <v>1396</v>
      </c>
      <c r="AS34" s="280" t="s">
        <v>1397</v>
      </c>
      <c r="AT34" s="280" t="s">
        <v>1398</v>
      </c>
      <c r="AU34" s="280" t="s">
        <v>1399</v>
      </c>
      <c r="AV34" s="280" t="s">
        <v>1400</v>
      </c>
      <c r="AW34" s="280" t="s">
        <v>1401</v>
      </c>
      <c r="AX34" s="280" t="s">
        <v>1402</v>
      </c>
      <c r="AY34" s="280" t="s">
        <v>1403</v>
      </c>
      <c r="AZ34" s="280" t="s">
        <v>1404</v>
      </c>
      <c r="BA34" s="280" t="s">
        <v>1405</v>
      </c>
      <c r="BB34" s="280" t="s">
        <v>1406</v>
      </c>
      <c r="BC34" s="280" t="s">
        <v>1419</v>
      </c>
      <c r="BD34" s="280" t="s">
        <v>1407</v>
      </c>
      <c r="BE34" s="280" t="s">
        <v>1408</v>
      </c>
      <c r="BF34" s="280" t="s">
        <v>1409</v>
      </c>
      <c r="BG34" s="280" t="s">
        <v>1410</v>
      </c>
      <c r="BH34" s="280" t="s">
        <v>1411</v>
      </c>
      <c r="BI34" s="280" t="s">
        <v>1412</v>
      </c>
      <c r="BJ34" s="280" t="s">
        <v>1413</v>
      </c>
      <c r="BK34" s="280" t="s">
        <v>1414</v>
      </c>
      <c r="BL34" s="280" t="s">
        <v>1415</v>
      </c>
      <c r="BM34" s="280" t="s">
        <v>1416</v>
      </c>
      <c r="BN34" s="280" t="s">
        <v>1417</v>
      </c>
      <c r="BO34" s="280" t="s">
        <v>1418</v>
      </c>
      <c r="BP34" s="280" t="s">
        <v>1420</v>
      </c>
      <c r="BQ34" s="134" t="str">
        <f t="shared" si="3"/>
        <v>Pic Example</v>
      </c>
    </row>
    <row r="35" spans="2:69" x14ac:dyDescent="0.25">
      <c r="B35" t="s">
        <v>945</v>
      </c>
      <c r="C35" s="279" t="str">
        <f t="shared" si="37"/>
        <v>https://viking-pictures.s3.us-west-1.amazonaws.com/AA1155/A43.+Transmission+Oil+Cooler+(1).JPG|https://viking-pictures.s3.us-west-1.amazonaws.com/AA1155/A43.+Transmission+Oil+Cooler+(2).JPG|https://viking-pictures.s3.us-west-1.amazonaws.com/AA1155/A43.+Transmission+Oil+Cooler+(3).JPG|https://viking-pictures.s3.us-west-1.amazonaws.com/AA1155/A43.+Transmission+Oil+Cooler+(4).JPG|https://viking-pictures.s3.us-west-1.amazonaws.com/AA1155/A43.+Transmission+Oil+Cooler+(5).JPG</v>
      </c>
      <c r="D35" s="281">
        <f>_xlfn.XLOOKUP(B35,'3. Keep &amp; Toss Items'!O:O,'3. Keep &amp; Toss Items'!U:U,"NOT FOUND",0,1)</f>
        <v>5</v>
      </c>
      <c r="E35" s="279" t="str">
        <f t="shared" ref="E35:E66" si="38">IF($D35&gt;=E$1,CONCATENATE($AC35,$AD35,$AQ35,AR35,$BP35),"")</f>
        <v>https://viking-pictures.s3.us-west-1.amazonaws.com/AA1155/A43.+Transmission+Oil+Cooler+(1).JPG</v>
      </c>
      <c r="F35" s="279" t="str">
        <f t="shared" si="4"/>
        <v>https://viking-pictures.s3.us-west-1.amazonaws.com/AA1155/A43.+Transmission+Oil+Cooler+(2).JPG</v>
      </c>
      <c r="G35" s="279" t="str">
        <f t="shared" si="5"/>
        <v>https://viking-pictures.s3.us-west-1.amazonaws.com/AA1155/A43.+Transmission+Oil+Cooler+(3).JPG</v>
      </c>
      <c r="H35" s="279" t="str">
        <f t="shared" si="6"/>
        <v>https://viking-pictures.s3.us-west-1.amazonaws.com/AA1155/A43.+Transmission+Oil+Cooler+(4).JPG</v>
      </c>
      <c r="I35" s="279" t="str">
        <f t="shared" si="7"/>
        <v>https://viking-pictures.s3.us-west-1.amazonaws.com/AA1155/A43.+Transmission+Oil+Cooler+(5).JPG</v>
      </c>
      <c r="J35" s="279" t="str">
        <f t="shared" si="8"/>
        <v/>
      </c>
      <c r="K35" s="279" t="str">
        <f t="shared" si="9"/>
        <v/>
      </c>
      <c r="L35" s="279" t="str">
        <f t="shared" si="9"/>
        <v/>
      </c>
      <c r="M35" s="279" t="str">
        <f t="shared" si="10"/>
        <v/>
      </c>
      <c r="N35" s="279" t="str">
        <f t="shared" si="11"/>
        <v/>
      </c>
      <c r="O35" s="279" t="str">
        <f t="shared" si="12"/>
        <v/>
      </c>
      <c r="P35" s="279" t="str">
        <f t="shared" si="13"/>
        <v/>
      </c>
      <c r="Q35" s="279" t="str">
        <f t="shared" si="14"/>
        <v/>
      </c>
      <c r="R35" s="279" t="str">
        <f t="shared" si="15"/>
        <v/>
      </c>
      <c r="S35" s="279" t="str">
        <f t="shared" si="16"/>
        <v/>
      </c>
      <c r="T35" s="279" t="str">
        <f t="shared" si="17"/>
        <v/>
      </c>
      <c r="U35" s="279" t="str">
        <f t="shared" si="18"/>
        <v/>
      </c>
      <c r="V35" s="279" t="str">
        <f t="shared" si="19"/>
        <v/>
      </c>
      <c r="W35" s="279" t="str">
        <f t="shared" si="20"/>
        <v/>
      </c>
      <c r="X35" s="279" t="str">
        <f t="shared" si="21"/>
        <v/>
      </c>
      <c r="Y35" s="279" t="str">
        <f t="shared" si="22"/>
        <v/>
      </c>
      <c r="Z35" s="279" t="str">
        <f t="shared" si="23"/>
        <v/>
      </c>
      <c r="AA35" s="279" t="str">
        <f t="shared" si="24"/>
        <v/>
      </c>
      <c r="AB35" s="279" t="str">
        <f t="shared" si="25"/>
        <v/>
      </c>
      <c r="AC35" s="104" t="s">
        <v>1382</v>
      </c>
      <c r="AD35" s="279" t="str">
        <f t="shared" si="26"/>
        <v>A43.+Transmission+Oil+Cooler</v>
      </c>
      <c r="AE35" s="279" t="str">
        <f>_xlfn.XLOOKUP(B35,'3. Keep &amp; Toss Items'!O:O,'3. Keep &amp; Toss Items'!Q:Q,"NOT FOUND",0,1)</f>
        <v>A43. Transmission Oil Cooler</v>
      </c>
      <c r="AF35" s="279" t="str">
        <f t="shared" si="27"/>
        <v>A43. Transmission Oil Cooler</v>
      </c>
      <c r="AG35" s="279" t="str">
        <f t="shared" si="28"/>
        <v>A43.+Transmission+Oil+Cooler</v>
      </c>
      <c r="AH35" s="279" t="str">
        <f t="shared" si="29"/>
        <v>A43.+Transmission+Oil+Cooler</v>
      </c>
      <c r="AI35" s="279" t="str">
        <f t="shared" si="30"/>
        <v>A43.+Transmission+Oil+Cooler</v>
      </c>
      <c r="AJ35" s="279" t="str">
        <f t="shared" si="31"/>
        <v>A43.+Transmission+Oil+Cooler</v>
      </c>
      <c r="AK35" s="279" t="str">
        <f t="shared" si="32"/>
        <v>A43.+Transmission+Oil+Cooler</v>
      </c>
      <c r="AL35" s="279" t="str">
        <f t="shared" si="33"/>
        <v>A43.+Transmission+Oil+Cooler</v>
      </c>
      <c r="AM35" s="279" t="str">
        <f t="shared" si="34"/>
        <v>A43.+Transmission+Oil+Cooler</v>
      </c>
      <c r="AN35" s="279" t="str">
        <f t="shared" ref="AN35:AN66" si="39">SUBSTITUTE(AM35,"?","%3F")</f>
        <v>A43.+Transmission+Oil+Cooler</v>
      </c>
      <c r="AO35" s="279" t="str">
        <f t="shared" si="35"/>
        <v>A43.+Transmission+Oil+Cooler</v>
      </c>
      <c r="AP35" s="279" t="str">
        <f t="shared" si="36"/>
        <v>A43.+Transmission+Oil+Cooler</v>
      </c>
      <c r="AQ35" s="280" t="s">
        <v>1395</v>
      </c>
      <c r="AR35" s="280" t="s">
        <v>1396</v>
      </c>
      <c r="AS35" s="280" t="s">
        <v>1397</v>
      </c>
      <c r="AT35" s="280" t="s">
        <v>1398</v>
      </c>
      <c r="AU35" s="280" t="s">
        <v>1399</v>
      </c>
      <c r="AV35" s="280" t="s">
        <v>1400</v>
      </c>
      <c r="AW35" s="280" t="s">
        <v>1401</v>
      </c>
      <c r="AX35" s="280" t="s">
        <v>1402</v>
      </c>
      <c r="AY35" s="280" t="s">
        <v>1403</v>
      </c>
      <c r="AZ35" s="280" t="s">
        <v>1404</v>
      </c>
      <c r="BA35" s="280" t="s">
        <v>1405</v>
      </c>
      <c r="BB35" s="280" t="s">
        <v>1406</v>
      </c>
      <c r="BC35" s="280" t="s">
        <v>1419</v>
      </c>
      <c r="BD35" s="280" t="s">
        <v>1407</v>
      </c>
      <c r="BE35" s="280" t="s">
        <v>1408</v>
      </c>
      <c r="BF35" s="280" t="s">
        <v>1409</v>
      </c>
      <c r="BG35" s="280" t="s">
        <v>1410</v>
      </c>
      <c r="BH35" s="280" t="s">
        <v>1411</v>
      </c>
      <c r="BI35" s="280" t="s">
        <v>1412</v>
      </c>
      <c r="BJ35" s="280" t="s">
        <v>1413</v>
      </c>
      <c r="BK35" s="280" t="s">
        <v>1414</v>
      </c>
      <c r="BL35" s="280" t="s">
        <v>1415</v>
      </c>
      <c r="BM35" s="280" t="s">
        <v>1416</v>
      </c>
      <c r="BN35" s="280" t="s">
        <v>1417</v>
      </c>
      <c r="BO35" s="280" t="s">
        <v>1418</v>
      </c>
      <c r="BP35" s="280" t="s">
        <v>1420</v>
      </c>
      <c r="BQ35" s="134" t="str">
        <f t="shared" ref="BQ35:BQ66" si="40">HYPERLINK(E35,"Pic Example")</f>
        <v>Pic Example</v>
      </c>
    </row>
    <row r="36" spans="2:69" x14ac:dyDescent="0.25">
      <c r="B36" t="s">
        <v>946</v>
      </c>
      <c r="C36" s="279" t="str">
        <f t="shared" si="37"/>
        <v>https://viking-pictures.s3.us-west-1.amazonaws.com/AA1155/A44.+Oxygen+Sensor+SET+2+(1).JPG|https://viking-pictures.s3.us-west-1.amazonaws.com/AA1155/A44.+Oxygen+Sensor+SET+2+(2).JPG|https://viking-pictures.s3.us-west-1.amazonaws.com/AA1155/A44.+Oxygen+Sensor+SET+2+(3).JPG|https://viking-pictures.s3.us-west-1.amazonaws.com/AA1155/A44.+Oxygen+Sensor+SET+2+(4).JPG|https://viking-pictures.s3.us-west-1.amazonaws.com/AA1155/A44.+Oxygen+Sensor+SET+2+(5).JPG</v>
      </c>
      <c r="D36" s="281">
        <f>_xlfn.XLOOKUP(B36,'3. Keep &amp; Toss Items'!O:O,'3. Keep &amp; Toss Items'!U:U,"NOT FOUND",0,1)</f>
        <v>5</v>
      </c>
      <c r="E36" s="279" t="str">
        <f t="shared" si="38"/>
        <v>https://viking-pictures.s3.us-west-1.amazonaws.com/AA1155/A44.+Oxygen+Sensor+SET+2+(1).JPG</v>
      </c>
      <c r="F36" s="279" t="str">
        <f t="shared" ref="F36:F67" si="41">IF($D36&gt;=F$1,CONCATENATE($AC36,$AD36,$AQ36,AS36,$BP36),"")</f>
        <v>https://viking-pictures.s3.us-west-1.amazonaws.com/AA1155/A44.+Oxygen+Sensor+SET+2+(2).JPG</v>
      </c>
      <c r="G36" s="279" t="str">
        <f t="shared" ref="G36:G67" si="42">IF($D36&gt;=G$1,CONCATENATE($AC36,$AD36,$AQ36,AT36,$BP36),"")</f>
        <v>https://viking-pictures.s3.us-west-1.amazonaws.com/AA1155/A44.+Oxygen+Sensor+SET+2+(3).JPG</v>
      </c>
      <c r="H36" s="279" t="str">
        <f t="shared" ref="H36:H67" si="43">IF($D36&gt;=H$1,CONCATENATE($AC36,$AD36,$AQ36,AU36,$BP36),"")</f>
        <v>https://viking-pictures.s3.us-west-1.amazonaws.com/AA1155/A44.+Oxygen+Sensor+SET+2+(4).JPG</v>
      </c>
      <c r="I36" s="279" t="str">
        <f t="shared" ref="I36:I67" si="44">IF($D36&gt;=I$1,CONCATENATE($AC36,$AD36,$AQ36,AV36,$BP36),"")</f>
        <v>https://viking-pictures.s3.us-west-1.amazonaws.com/AA1155/A44.+Oxygen+Sensor+SET+2+(5).JPG</v>
      </c>
      <c r="J36" s="279" t="str">
        <f t="shared" ref="J36:J67" si="45">IF($D36&gt;=J$1,CONCATENATE($AC36,$AD36,$AQ36,AW36,$BP36),"")</f>
        <v/>
      </c>
      <c r="K36" s="279" t="str">
        <f t="shared" ref="K36:L67" si="46">IF($D36&gt;=K$1,CONCATENATE($AC36,$AD36,$AQ36,AX36,$BP36),"")</f>
        <v/>
      </c>
      <c r="L36" s="279" t="str">
        <f t="shared" si="46"/>
        <v/>
      </c>
      <c r="M36" s="279" t="str">
        <f t="shared" ref="M36:M67" si="47">IF($D36&gt;=M$1,CONCATENATE($AC36,$AD36,$AQ36,AZ36,$BP36),"")</f>
        <v/>
      </c>
      <c r="N36" s="279" t="str">
        <f t="shared" ref="N36:N67" si="48">IF($D36&gt;=N$1,CONCATENATE($AC36,$AD36,$AQ36,BA36,$BP36),"")</f>
        <v/>
      </c>
      <c r="O36" s="279" t="str">
        <f t="shared" ref="O36:O67" si="49">IF($D36&gt;=O$1,CONCATENATE($AC36,$AD36,$AQ36,BB36,$BP36),"")</f>
        <v/>
      </c>
      <c r="P36" s="279" t="str">
        <f t="shared" ref="P36:P67" si="50">IF($D36&gt;=P$1,CONCATENATE($AC36,$AD36,$AQ36,BC36,$BP36),"")</f>
        <v/>
      </c>
      <c r="Q36" s="279" t="str">
        <f t="shared" ref="Q36:Q67" si="51">IF($D36&gt;=Q$1,CONCATENATE($AC36,$AD36,$AQ36,BD36,$BP36),"")</f>
        <v/>
      </c>
      <c r="R36" s="279" t="str">
        <f t="shared" ref="R36:R67" si="52">IF($D36&gt;=R$1,CONCATENATE($AC36,$AD36,$AQ36,BE36,$BP36),"")</f>
        <v/>
      </c>
      <c r="S36" s="279" t="str">
        <f t="shared" ref="S36:S67" si="53">IF($D36&gt;=S$1,CONCATENATE($AC36,$AD36,$AQ36,BF36,$BP36),"")</f>
        <v/>
      </c>
      <c r="T36" s="279" t="str">
        <f t="shared" ref="T36:T67" si="54">IF($D36&gt;=T$1,CONCATENATE($AC36,$AD36,$AQ36,BG36,$BP36),"")</f>
        <v/>
      </c>
      <c r="U36" s="279" t="str">
        <f t="shared" ref="U36:U67" si="55">IF($D36&gt;=U$1,CONCATENATE($AC36,$AD36,$AQ36,BH36,$BP36),"")</f>
        <v/>
      </c>
      <c r="V36" s="279" t="str">
        <f t="shared" ref="V36:V67" si="56">IF($D36&gt;=V$1,CONCATENATE($AC36,$AD36,$AQ36,BI36,$BP36),"")</f>
        <v/>
      </c>
      <c r="W36" s="279" t="str">
        <f t="shared" ref="W36:W67" si="57">IF($D36&gt;=W$1,CONCATENATE($AC36,$AD36,$AQ36,BJ36,$BP36),"")</f>
        <v/>
      </c>
      <c r="X36" s="279" t="str">
        <f t="shared" ref="X36:X67" si="58">IF($D36&gt;=X$1,CONCATENATE($AC36,$AD36,$AQ36,BK36,$BP36),"")</f>
        <v/>
      </c>
      <c r="Y36" s="279" t="str">
        <f t="shared" ref="Y36:Y67" si="59">IF($D36&gt;=Y$1,CONCATENATE($AC36,$AD36,$AQ36,BL36,$BP36),"")</f>
        <v/>
      </c>
      <c r="Z36" s="279" t="str">
        <f t="shared" ref="Z36:Z67" si="60">IF($D36&gt;=Z$1,CONCATENATE($AC36,$AD36,$AQ36,BM36,$BP36),"")</f>
        <v/>
      </c>
      <c r="AA36" s="279" t="str">
        <f t="shared" ref="AA36:AA67" si="61">IF($D36&gt;=AA$1,CONCATENATE($AC36,$AD36,$AQ36,BN36,$BP36),"")</f>
        <v/>
      </c>
      <c r="AB36" s="279" t="str">
        <f t="shared" ref="AB36:AB67" si="62">IF($D36&gt;=AB$1,CONCATENATE($AC36,$AD36,$AQ36,BO36,$BP36),"")</f>
        <v/>
      </c>
      <c r="AC36" s="104" t="s">
        <v>1382</v>
      </c>
      <c r="AD36" s="279" t="str">
        <f t="shared" si="26"/>
        <v>A44.+Oxygen+Sensor+SET+2</v>
      </c>
      <c r="AE36" s="279" t="str">
        <f>_xlfn.XLOOKUP(B36,'3. Keep &amp; Toss Items'!O:O,'3. Keep &amp; Toss Items'!Q:Q,"NOT FOUND",0,1)</f>
        <v>A44. Oxygen Sensor SET 2</v>
      </c>
      <c r="AF36" s="279" t="str">
        <f t="shared" si="27"/>
        <v>A44. Oxygen Sensor SET 2</v>
      </c>
      <c r="AG36" s="279" t="str">
        <f t="shared" si="28"/>
        <v>A44.+Oxygen+Sensor+SET+2</v>
      </c>
      <c r="AH36" s="279" t="str">
        <f t="shared" si="29"/>
        <v>A44.+Oxygen+Sensor+SET+2</v>
      </c>
      <c r="AI36" s="279" t="str">
        <f t="shared" si="30"/>
        <v>A44.+Oxygen+Sensor+SET+2</v>
      </c>
      <c r="AJ36" s="279" t="str">
        <f t="shared" si="31"/>
        <v>A44.+Oxygen+Sensor+SET+2</v>
      </c>
      <c r="AK36" s="279" t="str">
        <f t="shared" si="32"/>
        <v>A44.+Oxygen+Sensor+SET+2</v>
      </c>
      <c r="AL36" s="279" t="str">
        <f t="shared" si="33"/>
        <v>A44.+Oxygen+Sensor+SET+2</v>
      </c>
      <c r="AM36" s="279" t="str">
        <f t="shared" si="34"/>
        <v>A44.+Oxygen+Sensor+SET+2</v>
      </c>
      <c r="AN36" s="279" t="str">
        <f t="shared" si="39"/>
        <v>A44.+Oxygen+Sensor+SET+2</v>
      </c>
      <c r="AO36" s="279" t="str">
        <f t="shared" si="35"/>
        <v>A44.+Oxygen+Sensor+SET+2</v>
      </c>
      <c r="AP36" s="279" t="str">
        <f t="shared" si="36"/>
        <v>A44.+Oxygen+Sensor+SET+2</v>
      </c>
      <c r="AQ36" s="280" t="s">
        <v>1395</v>
      </c>
      <c r="AR36" s="280" t="s">
        <v>1396</v>
      </c>
      <c r="AS36" s="280" t="s">
        <v>1397</v>
      </c>
      <c r="AT36" s="280" t="s">
        <v>1398</v>
      </c>
      <c r="AU36" s="280" t="s">
        <v>1399</v>
      </c>
      <c r="AV36" s="280" t="s">
        <v>1400</v>
      </c>
      <c r="AW36" s="280" t="s">
        <v>1401</v>
      </c>
      <c r="AX36" s="280" t="s">
        <v>1402</v>
      </c>
      <c r="AY36" s="280" t="s">
        <v>1403</v>
      </c>
      <c r="AZ36" s="280" t="s">
        <v>1404</v>
      </c>
      <c r="BA36" s="280" t="s">
        <v>1405</v>
      </c>
      <c r="BB36" s="280" t="s">
        <v>1406</v>
      </c>
      <c r="BC36" s="280" t="s">
        <v>1419</v>
      </c>
      <c r="BD36" s="280" t="s">
        <v>1407</v>
      </c>
      <c r="BE36" s="280" t="s">
        <v>1408</v>
      </c>
      <c r="BF36" s="280" t="s">
        <v>1409</v>
      </c>
      <c r="BG36" s="280" t="s">
        <v>1410</v>
      </c>
      <c r="BH36" s="280" t="s">
        <v>1411</v>
      </c>
      <c r="BI36" s="280" t="s">
        <v>1412</v>
      </c>
      <c r="BJ36" s="280" t="s">
        <v>1413</v>
      </c>
      <c r="BK36" s="280" t="s">
        <v>1414</v>
      </c>
      <c r="BL36" s="280" t="s">
        <v>1415</v>
      </c>
      <c r="BM36" s="280" t="s">
        <v>1416</v>
      </c>
      <c r="BN36" s="280" t="s">
        <v>1417</v>
      </c>
      <c r="BO36" s="280" t="s">
        <v>1418</v>
      </c>
      <c r="BP36" s="280" t="s">
        <v>1420</v>
      </c>
      <c r="BQ36" s="134" t="str">
        <f t="shared" si="40"/>
        <v>Pic Example</v>
      </c>
    </row>
    <row r="37" spans="2:69" x14ac:dyDescent="0.25">
      <c r="B37" t="s">
        <v>947</v>
      </c>
      <c r="C37" s="279" t="str">
        <f t="shared" si="37"/>
        <v>https://viking-pictures.s3.us-west-1.amazonaws.com/AA1155/A45.+Rear+Arm+Rest+%26+Cup+Holder+(1).JPG|https://viking-pictures.s3.us-west-1.amazonaws.com/AA1155/A45.+Rear+Arm+Rest+%26+Cup+Holder+(2).JPG|https://viking-pictures.s3.us-west-1.amazonaws.com/AA1155/A45.+Rear+Arm+Rest+%26+Cup+Holder+(3).JPG|https://viking-pictures.s3.us-west-1.amazonaws.com/AA1155/A45.+Rear+Arm+Rest+%26+Cup+Holder+(4).JPG|https://viking-pictures.s3.us-west-1.amazonaws.com/AA1155/A45.+Rear+Arm+Rest+%26+Cup+Holder+(5).JPG</v>
      </c>
      <c r="D37" s="281">
        <f>_xlfn.XLOOKUP(B37,'3. Keep &amp; Toss Items'!O:O,'3. Keep &amp; Toss Items'!U:U,"NOT FOUND",0,1)</f>
        <v>5</v>
      </c>
      <c r="E37" s="279" t="str">
        <f t="shared" si="38"/>
        <v>https://viking-pictures.s3.us-west-1.amazonaws.com/AA1155/A45.+Rear+Arm+Rest+%26+Cup+Holder+(1).JPG</v>
      </c>
      <c r="F37" s="279" t="str">
        <f t="shared" si="41"/>
        <v>https://viking-pictures.s3.us-west-1.amazonaws.com/AA1155/A45.+Rear+Arm+Rest+%26+Cup+Holder+(2).JPG</v>
      </c>
      <c r="G37" s="279" t="str">
        <f t="shared" si="42"/>
        <v>https://viking-pictures.s3.us-west-1.amazonaws.com/AA1155/A45.+Rear+Arm+Rest+%26+Cup+Holder+(3).JPG</v>
      </c>
      <c r="H37" s="279" t="str">
        <f t="shared" si="43"/>
        <v>https://viking-pictures.s3.us-west-1.amazonaws.com/AA1155/A45.+Rear+Arm+Rest+%26+Cup+Holder+(4).JPG</v>
      </c>
      <c r="I37" s="279" t="str">
        <f t="shared" si="44"/>
        <v>https://viking-pictures.s3.us-west-1.amazonaws.com/AA1155/A45.+Rear+Arm+Rest+%26+Cup+Holder+(5).JPG</v>
      </c>
      <c r="J37" s="279" t="str">
        <f t="shared" si="45"/>
        <v/>
      </c>
      <c r="K37" s="279" t="str">
        <f t="shared" si="46"/>
        <v/>
      </c>
      <c r="L37" s="279" t="str">
        <f t="shared" si="46"/>
        <v/>
      </c>
      <c r="M37" s="279" t="str">
        <f t="shared" si="47"/>
        <v/>
      </c>
      <c r="N37" s="279" t="str">
        <f t="shared" si="48"/>
        <v/>
      </c>
      <c r="O37" s="279" t="str">
        <f t="shared" si="49"/>
        <v/>
      </c>
      <c r="P37" s="279" t="str">
        <f t="shared" si="50"/>
        <v/>
      </c>
      <c r="Q37" s="279" t="str">
        <f t="shared" si="51"/>
        <v/>
      </c>
      <c r="R37" s="279" t="str">
        <f t="shared" si="52"/>
        <v/>
      </c>
      <c r="S37" s="279" t="str">
        <f t="shared" si="53"/>
        <v/>
      </c>
      <c r="T37" s="279" t="str">
        <f t="shared" si="54"/>
        <v/>
      </c>
      <c r="U37" s="279" t="str">
        <f t="shared" si="55"/>
        <v/>
      </c>
      <c r="V37" s="279" t="str">
        <f t="shared" si="56"/>
        <v/>
      </c>
      <c r="W37" s="279" t="str">
        <f t="shared" si="57"/>
        <v/>
      </c>
      <c r="X37" s="279" t="str">
        <f t="shared" si="58"/>
        <v/>
      </c>
      <c r="Y37" s="279" t="str">
        <f t="shared" si="59"/>
        <v/>
      </c>
      <c r="Z37" s="279" t="str">
        <f t="shared" si="60"/>
        <v/>
      </c>
      <c r="AA37" s="279" t="str">
        <f t="shared" si="61"/>
        <v/>
      </c>
      <c r="AB37" s="279" t="str">
        <f t="shared" si="62"/>
        <v/>
      </c>
      <c r="AC37" s="104" t="s">
        <v>1382</v>
      </c>
      <c r="AD37" s="279" t="str">
        <f t="shared" si="26"/>
        <v>A45.+Rear+Arm+Rest+%26+Cup+Holder</v>
      </c>
      <c r="AE37" s="279" t="str">
        <f>_xlfn.XLOOKUP(B37,'3. Keep &amp; Toss Items'!O:O,'3. Keep &amp; Toss Items'!Q:Q,"NOT FOUND",0,1)</f>
        <v>A45. Rear Arm Rest &amp; Cup Holder</v>
      </c>
      <c r="AF37" s="279" t="str">
        <f t="shared" si="27"/>
        <v>A45. Rear Arm Rest &amp; Cup Holder</v>
      </c>
      <c r="AG37" s="279" t="str">
        <f t="shared" si="28"/>
        <v>A45.+Rear+Arm+Rest+&amp;+Cup+Holder</v>
      </c>
      <c r="AH37" s="279" t="str">
        <f t="shared" si="29"/>
        <v>A45.+Rear+Arm+Rest+&amp;+Cup+Holder</v>
      </c>
      <c r="AI37" s="279" t="str">
        <f t="shared" si="30"/>
        <v>A45.+Rear+Arm+Rest+&amp;+Cup+Holder</v>
      </c>
      <c r="AJ37" s="279" t="str">
        <f t="shared" si="31"/>
        <v>A45.+Rear+Arm+Rest+&amp;+Cup+Holder</v>
      </c>
      <c r="AK37" s="279" t="str">
        <f t="shared" si="32"/>
        <v>A45.+Rear+Arm+Rest+&amp;+Cup+Holder</v>
      </c>
      <c r="AL37" s="279" t="str">
        <f t="shared" si="33"/>
        <v>A45.+Rear+Arm+Rest+%26+Cup+Holder</v>
      </c>
      <c r="AM37" s="279" t="str">
        <f t="shared" si="34"/>
        <v>A45.+Rear+Arm+Rest+%26+Cup+Holder</v>
      </c>
      <c r="AN37" s="279" t="str">
        <f t="shared" si="39"/>
        <v>A45.+Rear+Arm+Rest+%26+Cup+Holder</v>
      </c>
      <c r="AO37" s="279" t="str">
        <f t="shared" si="35"/>
        <v>A45.+Rear+Arm+Rest+%26+Cup+Holder</v>
      </c>
      <c r="AP37" s="279" t="str">
        <f t="shared" si="36"/>
        <v>A45.+Rear+Arm+Rest+%26+Cup+Holder</v>
      </c>
      <c r="AQ37" s="280" t="s">
        <v>1395</v>
      </c>
      <c r="AR37" s="280" t="s">
        <v>1396</v>
      </c>
      <c r="AS37" s="280" t="s">
        <v>1397</v>
      </c>
      <c r="AT37" s="280" t="s">
        <v>1398</v>
      </c>
      <c r="AU37" s="280" t="s">
        <v>1399</v>
      </c>
      <c r="AV37" s="280" t="s">
        <v>1400</v>
      </c>
      <c r="AW37" s="280" t="s">
        <v>1401</v>
      </c>
      <c r="AX37" s="280" t="s">
        <v>1402</v>
      </c>
      <c r="AY37" s="280" t="s">
        <v>1403</v>
      </c>
      <c r="AZ37" s="280" t="s">
        <v>1404</v>
      </c>
      <c r="BA37" s="280" t="s">
        <v>1405</v>
      </c>
      <c r="BB37" s="280" t="s">
        <v>1406</v>
      </c>
      <c r="BC37" s="280" t="s">
        <v>1419</v>
      </c>
      <c r="BD37" s="280" t="s">
        <v>1407</v>
      </c>
      <c r="BE37" s="280" t="s">
        <v>1408</v>
      </c>
      <c r="BF37" s="280" t="s">
        <v>1409</v>
      </c>
      <c r="BG37" s="280" t="s">
        <v>1410</v>
      </c>
      <c r="BH37" s="280" t="s">
        <v>1411</v>
      </c>
      <c r="BI37" s="280" t="s">
        <v>1412</v>
      </c>
      <c r="BJ37" s="280" t="s">
        <v>1413</v>
      </c>
      <c r="BK37" s="280" t="s">
        <v>1414</v>
      </c>
      <c r="BL37" s="280" t="s">
        <v>1415</v>
      </c>
      <c r="BM37" s="280" t="s">
        <v>1416</v>
      </c>
      <c r="BN37" s="280" t="s">
        <v>1417</v>
      </c>
      <c r="BO37" s="280" t="s">
        <v>1418</v>
      </c>
      <c r="BP37" s="280" t="s">
        <v>1420</v>
      </c>
      <c r="BQ37" s="134" t="str">
        <f t="shared" si="40"/>
        <v>Pic Example</v>
      </c>
    </row>
    <row r="38" spans="2:69" x14ac:dyDescent="0.25">
      <c r="B38" t="s">
        <v>948</v>
      </c>
      <c r="C38" s="279" t="str">
        <f t="shared" si="37"/>
        <v>https://viking-pictures.s3.us-west-1.amazonaws.com/AA1155/A46.+Vent%2C+DASH+-+FRONT+CENTER+with+Hazard+Button+(1).JPG|https://viking-pictures.s3.us-west-1.amazonaws.com/AA1155/A46.+Vent%2C+DASH+-+FRONT+CENTER+with+Hazard+Button+(2).JPG|https://viking-pictures.s3.us-west-1.amazonaws.com/AA1155/A46.+Vent%2C+DASH+-+FRONT+CENTER+with+Hazard+Button+(3).JPG|https://viking-pictures.s3.us-west-1.amazonaws.com/AA1155/A46.+Vent%2C+DASH+-+FRONT+CENTER+with+Hazard+Button+(4).JPG|https://viking-pictures.s3.us-west-1.amazonaws.com/AA1155/A46.+Vent%2C+DASH+-+FRONT+CENTER+with+Hazard+Button+(5).JPG</v>
      </c>
      <c r="D38" s="281">
        <f>_xlfn.XLOOKUP(B38,'3. Keep &amp; Toss Items'!O:O,'3. Keep &amp; Toss Items'!U:U,"NOT FOUND",0,1)</f>
        <v>5</v>
      </c>
      <c r="E38" s="279" t="str">
        <f t="shared" si="38"/>
        <v>https://viking-pictures.s3.us-west-1.amazonaws.com/AA1155/A46.+Vent%2C+DASH+-+FRONT+CENTER+with+Hazard+Button+(1).JPG</v>
      </c>
      <c r="F38" s="279" t="str">
        <f t="shared" si="41"/>
        <v>https://viking-pictures.s3.us-west-1.amazonaws.com/AA1155/A46.+Vent%2C+DASH+-+FRONT+CENTER+with+Hazard+Button+(2).JPG</v>
      </c>
      <c r="G38" s="279" t="str">
        <f t="shared" si="42"/>
        <v>https://viking-pictures.s3.us-west-1.amazonaws.com/AA1155/A46.+Vent%2C+DASH+-+FRONT+CENTER+with+Hazard+Button+(3).JPG</v>
      </c>
      <c r="H38" s="279" t="str">
        <f t="shared" si="43"/>
        <v>https://viking-pictures.s3.us-west-1.amazonaws.com/AA1155/A46.+Vent%2C+DASH+-+FRONT+CENTER+with+Hazard+Button+(4).JPG</v>
      </c>
      <c r="I38" s="279" t="str">
        <f t="shared" si="44"/>
        <v>https://viking-pictures.s3.us-west-1.amazonaws.com/AA1155/A46.+Vent%2C+DASH+-+FRONT+CENTER+with+Hazard+Button+(5).JPG</v>
      </c>
      <c r="J38" s="279" t="str">
        <f t="shared" si="45"/>
        <v/>
      </c>
      <c r="K38" s="279" t="str">
        <f t="shared" si="46"/>
        <v/>
      </c>
      <c r="L38" s="279" t="str">
        <f t="shared" si="46"/>
        <v/>
      </c>
      <c r="M38" s="279" t="str">
        <f t="shared" si="47"/>
        <v/>
      </c>
      <c r="N38" s="279" t="str">
        <f t="shared" si="48"/>
        <v/>
      </c>
      <c r="O38" s="279" t="str">
        <f t="shared" si="49"/>
        <v/>
      </c>
      <c r="P38" s="279" t="str">
        <f t="shared" si="50"/>
        <v/>
      </c>
      <c r="Q38" s="279" t="str">
        <f t="shared" si="51"/>
        <v/>
      </c>
      <c r="R38" s="279" t="str">
        <f t="shared" si="52"/>
        <v/>
      </c>
      <c r="S38" s="279" t="str">
        <f t="shared" si="53"/>
        <v/>
      </c>
      <c r="T38" s="279" t="str">
        <f t="shared" si="54"/>
        <v/>
      </c>
      <c r="U38" s="279" t="str">
        <f t="shared" si="55"/>
        <v/>
      </c>
      <c r="V38" s="279" t="str">
        <f t="shared" si="56"/>
        <v/>
      </c>
      <c r="W38" s="279" t="str">
        <f t="shared" si="57"/>
        <v/>
      </c>
      <c r="X38" s="279" t="str">
        <f t="shared" si="58"/>
        <v/>
      </c>
      <c r="Y38" s="279" t="str">
        <f t="shared" si="59"/>
        <v/>
      </c>
      <c r="Z38" s="279" t="str">
        <f t="shared" si="60"/>
        <v/>
      </c>
      <c r="AA38" s="279" t="str">
        <f t="shared" si="61"/>
        <v/>
      </c>
      <c r="AB38" s="279" t="str">
        <f t="shared" si="62"/>
        <v/>
      </c>
      <c r="AC38" s="104" t="s">
        <v>1382</v>
      </c>
      <c r="AD38" s="279" t="str">
        <f t="shared" si="26"/>
        <v>A46.+Vent%2C+DASH+-+FRONT+CENTER+with+Hazard+Button</v>
      </c>
      <c r="AE38" s="279" t="str">
        <f>_xlfn.XLOOKUP(B38,'3. Keep &amp; Toss Items'!O:O,'3. Keep &amp; Toss Items'!Q:Q,"NOT FOUND",0,1)</f>
        <v>A46. Vent, DASH - FRONT CENTER with Hazard Button</v>
      </c>
      <c r="AF38" s="279" t="str">
        <f t="shared" si="27"/>
        <v>A46. Vent, DASH - FRONT CENTER with Hazard Button</v>
      </c>
      <c r="AG38" s="279" t="str">
        <f t="shared" si="28"/>
        <v>A46.+Vent,+DASH+-+FRONT+CENTER+with+Hazard+Button</v>
      </c>
      <c r="AH38" s="279" t="str">
        <f t="shared" si="29"/>
        <v>A46.+Vent%2C+DASH+-+FRONT+CENTER+with+Hazard+Button</v>
      </c>
      <c r="AI38" s="279" t="str">
        <f t="shared" si="30"/>
        <v>A46.+Vent%2C+DASH+-+FRONT+CENTER+with+Hazard+Button</v>
      </c>
      <c r="AJ38" s="279" t="str">
        <f t="shared" si="31"/>
        <v>A46.+Vent%2C+DASH+-+FRONT+CENTER+with+Hazard+Button</v>
      </c>
      <c r="AK38" s="279" t="str">
        <f t="shared" si="32"/>
        <v>A46.+Vent%2C+DASH+-+FRONT+CENTER+with+Hazard+Button</v>
      </c>
      <c r="AL38" s="279" t="str">
        <f t="shared" si="33"/>
        <v>A46.+Vent%2C+DASH+-+FRONT+CENTER+with+Hazard+Button</v>
      </c>
      <c r="AM38" s="279" t="str">
        <f t="shared" si="34"/>
        <v>A46.+Vent%2C+DASH+-+FRONT+CENTER+with+Hazard+Button</v>
      </c>
      <c r="AN38" s="279" t="str">
        <f t="shared" si="39"/>
        <v>A46.+Vent%2C+DASH+-+FRONT+CENTER+with+Hazard+Button</v>
      </c>
      <c r="AO38" s="279" t="str">
        <f t="shared" si="35"/>
        <v>A46.+Vent%2C+DASH+-+FRONT+CENTER+with+Hazard+Button</v>
      </c>
      <c r="AP38" s="279" t="str">
        <f t="shared" si="36"/>
        <v>A46.+Vent%2C+DASH+-+FRONT+CENTER+with+Hazard+Button</v>
      </c>
      <c r="AQ38" s="280" t="s">
        <v>1395</v>
      </c>
      <c r="AR38" s="280" t="s">
        <v>1396</v>
      </c>
      <c r="AS38" s="280" t="s">
        <v>1397</v>
      </c>
      <c r="AT38" s="280" t="s">
        <v>1398</v>
      </c>
      <c r="AU38" s="280" t="s">
        <v>1399</v>
      </c>
      <c r="AV38" s="280" t="s">
        <v>1400</v>
      </c>
      <c r="AW38" s="280" t="s">
        <v>1401</v>
      </c>
      <c r="AX38" s="280" t="s">
        <v>1402</v>
      </c>
      <c r="AY38" s="280" t="s">
        <v>1403</v>
      </c>
      <c r="AZ38" s="280" t="s">
        <v>1404</v>
      </c>
      <c r="BA38" s="280" t="s">
        <v>1405</v>
      </c>
      <c r="BB38" s="280" t="s">
        <v>1406</v>
      </c>
      <c r="BC38" s="280" t="s">
        <v>1419</v>
      </c>
      <c r="BD38" s="280" t="s">
        <v>1407</v>
      </c>
      <c r="BE38" s="280" t="s">
        <v>1408</v>
      </c>
      <c r="BF38" s="280" t="s">
        <v>1409</v>
      </c>
      <c r="BG38" s="280" t="s">
        <v>1410</v>
      </c>
      <c r="BH38" s="280" t="s">
        <v>1411</v>
      </c>
      <c r="BI38" s="280" t="s">
        <v>1412</v>
      </c>
      <c r="BJ38" s="280" t="s">
        <v>1413</v>
      </c>
      <c r="BK38" s="280" t="s">
        <v>1414</v>
      </c>
      <c r="BL38" s="280" t="s">
        <v>1415</v>
      </c>
      <c r="BM38" s="280" t="s">
        <v>1416</v>
      </c>
      <c r="BN38" s="280" t="s">
        <v>1417</v>
      </c>
      <c r="BO38" s="280" t="s">
        <v>1418</v>
      </c>
      <c r="BP38" s="280" t="s">
        <v>1420</v>
      </c>
      <c r="BQ38" s="134" t="str">
        <f t="shared" si="40"/>
        <v>Pic Example</v>
      </c>
    </row>
    <row r="39" spans="2:69" x14ac:dyDescent="0.25">
      <c r="B39" t="s">
        <v>949</v>
      </c>
      <c r="C39" s="279" t="str">
        <f t="shared" si="37"/>
        <v>https://viking-pictures.s3.us-west-1.amazonaws.com/AA1155/A47.+Door+Handle%2C+Exterior+-+FRONT+-+LEFT+(1).JPG|https://viking-pictures.s3.us-west-1.amazonaws.com/AA1155/A47.+Door+Handle%2C+Exterior+-+FRONT+-+LEFT+(2).JPG|https://viking-pictures.s3.us-west-1.amazonaws.com/AA1155/A47.+Door+Handle%2C+Exterior+-+FRONT+-+LEFT+(3).JPG|https://viking-pictures.s3.us-west-1.amazonaws.com/AA1155/A47.+Door+Handle%2C+Exterior+-+FRONT+-+LEFT+(4).JPG|https://viking-pictures.s3.us-west-1.amazonaws.com/AA1155/A47.+Door+Handle%2C+Exterior+-+FRONT+-+LEFT+(5).JPG</v>
      </c>
      <c r="D39" s="281">
        <f>_xlfn.XLOOKUP(B39,'3. Keep &amp; Toss Items'!O:O,'3. Keep &amp; Toss Items'!U:U,"NOT FOUND",0,1)</f>
        <v>5</v>
      </c>
      <c r="E39" s="279" t="str">
        <f t="shared" si="38"/>
        <v>https://viking-pictures.s3.us-west-1.amazonaws.com/AA1155/A47.+Door+Handle%2C+Exterior+-+FRONT+-+LEFT+(1).JPG</v>
      </c>
      <c r="F39" s="279" t="str">
        <f t="shared" si="41"/>
        <v>https://viking-pictures.s3.us-west-1.amazonaws.com/AA1155/A47.+Door+Handle%2C+Exterior+-+FRONT+-+LEFT+(2).JPG</v>
      </c>
      <c r="G39" s="279" t="str">
        <f t="shared" si="42"/>
        <v>https://viking-pictures.s3.us-west-1.amazonaws.com/AA1155/A47.+Door+Handle%2C+Exterior+-+FRONT+-+LEFT+(3).JPG</v>
      </c>
      <c r="H39" s="279" t="str">
        <f t="shared" si="43"/>
        <v>https://viking-pictures.s3.us-west-1.amazonaws.com/AA1155/A47.+Door+Handle%2C+Exterior+-+FRONT+-+LEFT+(4).JPG</v>
      </c>
      <c r="I39" s="279" t="str">
        <f t="shared" si="44"/>
        <v>https://viking-pictures.s3.us-west-1.amazonaws.com/AA1155/A47.+Door+Handle%2C+Exterior+-+FRONT+-+LEFT+(5).JPG</v>
      </c>
      <c r="J39" s="279" t="str">
        <f t="shared" si="45"/>
        <v/>
      </c>
      <c r="K39" s="279" t="str">
        <f t="shared" si="46"/>
        <v/>
      </c>
      <c r="L39" s="279" t="str">
        <f t="shared" si="46"/>
        <v/>
      </c>
      <c r="M39" s="279" t="str">
        <f t="shared" si="47"/>
        <v/>
      </c>
      <c r="N39" s="279" t="str">
        <f t="shared" si="48"/>
        <v/>
      </c>
      <c r="O39" s="279" t="str">
        <f t="shared" si="49"/>
        <v/>
      </c>
      <c r="P39" s="279" t="str">
        <f t="shared" si="50"/>
        <v/>
      </c>
      <c r="Q39" s="279" t="str">
        <f t="shared" si="51"/>
        <v/>
      </c>
      <c r="R39" s="279" t="str">
        <f t="shared" si="52"/>
        <v/>
      </c>
      <c r="S39" s="279" t="str">
        <f t="shared" si="53"/>
        <v/>
      </c>
      <c r="T39" s="279" t="str">
        <f t="shared" si="54"/>
        <v/>
      </c>
      <c r="U39" s="279" t="str">
        <f t="shared" si="55"/>
        <v/>
      </c>
      <c r="V39" s="279" t="str">
        <f t="shared" si="56"/>
        <v/>
      </c>
      <c r="W39" s="279" t="str">
        <f t="shared" si="57"/>
        <v/>
      </c>
      <c r="X39" s="279" t="str">
        <f t="shared" si="58"/>
        <v/>
      </c>
      <c r="Y39" s="279" t="str">
        <f t="shared" si="59"/>
        <v/>
      </c>
      <c r="Z39" s="279" t="str">
        <f t="shared" si="60"/>
        <v/>
      </c>
      <c r="AA39" s="279" t="str">
        <f t="shared" si="61"/>
        <v/>
      </c>
      <c r="AB39" s="279" t="str">
        <f t="shared" si="62"/>
        <v/>
      </c>
      <c r="AC39" s="104" t="s">
        <v>1382</v>
      </c>
      <c r="AD39" s="279" t="str">
        <f t="shared" si="26"/>
        <v>A47.+Door+Handle%2C+Exterior+-+FRONT+-+LEFT</v>
      </c>
      <c r="AE39" s="279" t="str">
        <f>_xlfn.XLOOKUP(B39,'3. Keep &amp; Toss Items'!O:O,'3. Keep &amp; Toss Items'!Q:Q,"NOT FOUND",0,1)</f>
        <v>A47. Door Handle, Exterior - FRONT - LEFT</v>
      </c>
      <c r="AF39" s="279" t="str">
        <f t="shared" si="27"/>
        <v>A47. Door Handle, Exterior - FRONT - LEFT</v>
      </c>
      <c r="AG39" s="279" t="str">
        <f t="shared" si="28"/>
        <v>A47.+Door+Handle,+Exterior+-+FRONT+-+LEFT</v>
      </c>
      <c r="AH39" s="279" t="str">
        <f t="shared" si="29"/>
        <v>A47.+Door+Handle%2C+Exterior+-+FRONT+-+LEFT</v>
      </c>
      <c r="AI39" s="279" t="str">
        <f t="shared" si="30"/>
        <v>A47.+Door+Handle%2C+Exterior+-+FRONT+-+LEFT</v>
      </c>
      <c r="AJ39" s="279" t="str">
        <f t="shared" si="31"/>
        <v>A47.+Door+Handle%2C+Exterior+-+FRONT+-+LEFT</v>
      </c>
      <c r="AK39" s="279" t="str">
        <f t="shared" si="32"/>
        <v>A47.+Door+Handle%2C+Exterior+-+FRONT+-+LEFT</v>
      </c>
      <c r="AL39" s="279" t="str">
        <f t="shared" si="33"/>
        <v>A47.+Door+Handle%2C+Exterior+-+FRONT+-+LEFT</v>
      </c>
      <c r="AM39" s="279" t="str">
        <f t="shared" si="34"/>
        <v>A47.+Door+Handle%2C+Exterior+-+FRONT+-+LEFT</v>
      </c>
      <c r="AN39" s="279" t="str">
        <f t="shared" si="39"/>
        <v>A47.+Door+Handle%2C+Exterior+-+FRONT+-+LEFT</v>
      </c>
      <c r="AO39" s="279" t="str">
        <f t="shared" si="35"/>
        <v>A47.+Door+Handle%2C+Exterior+-+FRONT+-+LEFT</v>
      </c>
      <c r="AP39" s="279" t="str">
        <f t="shared" si="36"/>
        <v>A47.+Door+Handle%2C+Exterior+-+FRONT+-+LEFT</v>
      </c>
      <c r="AQ39" s="280" t="s">
        <v>1395</v>
      </c>
      <c r="AR39" s="280" t="s">
        <v>1396</v>
      </c>
      <c r="AS39" s="280" t="s">
        <v>1397</v>
      </c>
      <c r="AT39" s="280" t="s">
        <v>1398</v>
      </c>
      <c r="AU39" s="280" t="s">
        <v>1399</v>
      </c>
      <c r="AV39" s="280" t="s">
        <v>1400</v>
      </c>
      <c r="AW39" s="280" t="s">
        <v>1401</v>
      </c>
      <c r="AX39" s="280" t="s">
        <v>1402</v>
      </c>
      <c r="AY39" s="280" t="s">
        <v>1403</v>
      </c>
      <c r="AZ39" s="280" t="s">
        <v>1404</v>
      </c>
      <c r="BA39" s="280" t="s">
        <v>1405</v>
      </c>
      <c r="BB39" s="280" t="s">
        <v>1406</v>
      </c>
      <c r="BC39" s="280" t="s">
        <v>1419</v>
      </c>
      <c r="BD39" s="280" t="s">
        <v>1407</v>
      </c>
      <c r="BE39" s="280" t="s">
        <v>1408</v>
      </c>
      <c r="BF39" s="280" t="s">
        <v>1409</v>
      </c>
      <c r="BG39" s="280" t="s">
        <v>1410</v>
      </c>
      <c r="BH39" s="280" t="s">
        <v>1411</v>
      </c>
      <c r="BI39" s="280" t="s">
        <v>1412</v>
      </c>
      <c r="BJ39" s="280" t="s">
        <v>1413</v>
      </c>
      <c r="BK39" s="280" t="s">
        <v>1414</v>
      </c>
      <c r="BL39" s="280" t="s">
        <v>1415</v>
      </c>
      <c r="BM39" s="280" t="s">
        <v>1416</v>
      </c>
      <c r="BN39" s="280" t="s">
        <v>1417</v>
      </c>
      <c r="BO39" s="280" t="s">
        <v>1418</v>
      </c>
      <c r="BP39" s="280" t="s">
        <v>1420</v>
      </c>
      <c r="BQ39" s="134" t="str">
        <f t="shared" si="40"/>
        <v>Pic Example</v>
      </c>
    </row>
    <row r="40" spans="2:69" x14ac:dyDescent="0.25">
      <c r="B40" t="s">
        <v>950</v>
      </c>
      <c r="C40" s="279" t="str">
        <f t="shared" si="37"/>
        <v>https://viking-pictures.s3.us-west-1.amazonaws.com/AA1155/A48.+Navigation+Display+Screen+(1).JPG|https://viking-pictures.s3.us-west-1.amazonaws.com/AA1155/A48.+Navigation+Display+Screen+(2).JPG|https://viking-pictures.s3.us-west-1.amazonaws.com/AA1155/A48.+Navigation+Display+Screen+(3).JPG|https://viking-pictures.s3.us-west-1.amazonaws.com/AA1155/A48.+Navigation+Display+Screen+(4).JPG|https://viking-pictures.s3.us-west-1.amazonaws.com/AA1155/A48.+Navigation+Display+Screen+(5).JPG</v>
      </c>
      <c r="D40" s="281">
        <f>_xlfn.XLOOKUP(B40,'3. Keep &amp; Toss Items'!O:O,'3. Keep &amp; Toss Items'!U:U,"NOT FOUND",0,1)</f>
        <v>5</v>
      </c>
      <c r="E40" s="279" t="str">
        <f t="shared" si="38"/>
        <v>https://viking-pictures.s3.us-west-1.amazonaws.com/AA1155/A48.+Navigation+Display+Screen+(1).JPG</v>
      </c>
      <c r="F40" s="279" t="str">
        <f t="shared" si="41"/>
        <v>https://viking-pictures.s3.us-west-1.amazonaws.com/AA1155/A48.+Navigation+Display+Screen+(2).JPG</v>
      </c>
      <c r="G40" s="279" t="str">
        <f t="shared" si="42"/>
        <v>https://viking-pictures.s3.us-west-1.amazonaws.com/AA1155/A48.+Navigation+Display+Screen+(3).JPG</v>
      </c>
      <c r="H40" s="279" t="str">
        <f t="shared" si="43"/>
        <v>https://viking-pictures.s3.us-west-1.amazonaws.com/AA1155/A48.+Navigation+Display+Screen+(4).JPG</v>
      </c>
      <c r="I40" s="279" t="str">
        <f t="shared" si="44"/>
        <v>https://viking-pictures.s3.us-west-1.amazonaws.com/AA1155/A48.+Navigation+Display+Screen+(5).JPG</v>
      </c>
      <c r="J40" s="279" t="str">
        <f t="shared" si="45"/>
        <v/>
      </c>
      <c r="K40" s="279" t="str">
        <f t="shared" si="46"/>
        <v/>
      </c>
      <c r="L40" s="279" t="str">
        <f t="shared" si="46"/>
        <v/>
      </c>
      <c r="M40" s="279" t="str">
        <f t="shared" si="47"/>
        <v/>
      </c>
      <c r="N40" s="279" t="str">
        <f t="shared" si="48"/>
        <v/>
      </c>
      <c r="O40" s="279" t="str">
        <f t="shared" si="49"/>
        <v/>
      </c>
      <c r="P40" s="279" t="str">
        <f t="shared" si="50"/>
        <v/>
      </c>
      <c r="Q40" s="279" t="str">
        <f t="shared" si="51"/>
        <v/>
      </c>
      <c r="R40" s="279" t="str">
        <f t="shared" si="52"/>
        <v/>
      </c>
      <c r="S40" s="279" t="str">
        <f t="shared" si="53"/>
        <v/>
      </c>
      <c r="T40" s="279" t="str">
        <f t="shared" si="54"/>
        <v/>
      </c>
      <c r="U40" s="279" t="str">
        <f t="shared" si="55"/>
        <v/>
      </c>
      <c r="V40" s="279" t="str">
        <f t="shared" si="56"/>
        <v/>
      </c>
      <c r="W40" s="279" t="str">
        <f t="shared" si="57"/>
        <v/>
      </c>
      <c r="X40" s="279" t="str">
        <f t="shared" si="58"/>
        <v/>
      </c>
      <c r="Y40" s="279" t="str">
        <f t="shared" si="59"/>
        <v/>
      </c>
      <c r="Z40" s="279" t="str">
        <f t="shared" si="60"/>
        <v/>
      </c>
      <c r="AA40" s="279" t="str">
        <f t="shared" si="61"/>
        <v/>
      </c>
      <c r="AB40" s="279" t="str">
        <f t="shared" si="62"/>
        <v/>
      </c>
      <c r="AC40" s="104" t="s">
        <v>1382</v>
      </c>
      <c r="AD40" s="279" t="str">
        <f t="shared" si="26"/>
        <v>A48.+Navigation+Display+Screen</v>
      </c>
      <c r="AE40" s="279" t="str">
        <f>_xlfn.XLOOKUP(B40,'3. Keep &amp; Toss Items'!O:O,'3. Keep &amp; Toss Items'!Q:Q,"NOT FOUND",0,1)</f>
        <v>A48. Navigation Display Screen</v>
      </c>
      <c r="AF40" s="279" t="str">
        <f t="shared" si="27"/>
        <v>A48. Navigation Display Screen</v>
      </c>
      <c r="AG40" s="279" t="str">
        <f t="shared" si="28"/>
        <v>A48.+Navigation+Display+Screen</v>
      </c>
      <c r="AH40" s="279" t="str">
        <f t="shared" si="29"/>
        <v>A48.+Navigation+Display+Screen</v>
      </c>
      <c r="AI40" s="279" t="str">
        <f t="shared" si="30"/>
        <v>A48.+Navigation+Display+Screen</v>
      </c>
      <c r="AJ40" s="279" t="str">
        <f t="shared" si="31"/>
        <v>A48.+Navigation+Display+Screen</v>
      </c>
      <c r="AK40" s="279" t="str">
        <f t="shared" si="32"/>
        <v>A48.+Navigation+Display+Screen</v>
      </c>
      <c r="AL40" s="279" t="str">
        <f t="shared" si="33"/>
        <v>A48.+Navigation+Display+Screen</v>
      </c>
      <c r="AM40" s="279" t="str">
        <f t="shared" si="34"/>
        <v>A48.+Navigation+Display+Screen</v>
      </c>
      <c r="AN40" s="279" t="str">
        <f t="shared" si="39"/>
        <v>A48.+Navigation+Display+Screen</v>
      </c>
      <c r="AO40" s="279" t="str">
        <f t="shared" si="35"/>
        <v>A48.+Navigation+Display+Screen</v>
      </c>
      <c r="AP40" s="279" t="str">
        <f t="shared" si="36"/>
        <v>A48.+Navigation+Display+Screen</v>
      </c>
      <c r="AQ40" s="280" t="s">
        <v>1395</v>
      </c>
      <c r="AR40" s="280" t="s">
        <v>1396</v>
      </c>
      <c r="AS40" s="280" t="s">
        <v>1397</v>
      </c>
      <c r="AT40" s="280" t="s">
        <v>1398</v>
      </c>
      <c r="AU40" s="280" t="s">
        <v>1399</v>
      </c>
      <c r="AV40" s="280" t="s">
        <v>1400</v>
      </c>
      <c r="AW40" s="280" t="s">
        <v>1401</v>
      </c>
      <c r="AX40" s="280" t="s">
        <v>1402</v>
      </c>
      <c r="AY40" s="280" t="s">
        <v>1403</v>
      </c>
      <c r="AZ40" s="280" t="s">
        <v>1404</v>
      </c>
      <c r="BA40" s="280" t="s">
        <v>1405</v>
      </c>
      <c r="BB40" s="280" t="s">
        <v>1406</v>
      </c>
      <c r="BC40" s="280" t="s">
        <v>1419</v>
      </c>
      <c r="BD40" s="280" t="s">
        <v>1407</v>
      </c>
      <c r="BE40" s="280" t="s">
        <v>1408</v>
      </c>
      <c r="BF40" s="280" t="s">
        <v>1409</v>
      </c>
      <c r="BG40" s="280" t="s">
        <v>1410</v>
      </c>
      <c r="BH40" s="280" t="s">
        <v>1411</v>
      </c>
      <c r="BI40" s="280" t="s">
        <v>1412</v>
      </c>
      <c r="BJ40" s="280" t="s">
        <v>1413</v>
      </c>
      <c r="BK40" s="280" t="s">
        <v>1414</v>
      </c>
      <c r="BL40" s="280" t="s">
        <v>1415</v>
      </c>
      <c r="BM40" s="280" t="s">
        <v>1416</v>
      </c>
      <c r="BN40" s="280" t="s">
        <v>1417</v>
      </c>
      <c r="BO40" s="280" t="s">
        <v>1418</v>
      </c>
      <c r="BP40" s="280" t="s">
        <v>1420</v>
      </c>
      <c r="BQ40" s="134" t="str">
        <f t="shared" si="40"/>
        <v>Pic Example</v>
      </c>
    </row>
    <row r="41" spans="2:69" x14ac:dyDescent="0.25">
      <c r="B41" t="s">
        <v>951</v>
      </c>
      <c r="C41" s="279" t="str">
        <f t="shared" si="37"/>
        <v>https://viking-pictures.s3.us-west-1.amazonaws.com/AA1155/A49.+Door+Handle%2C+Exterior+-+REAR+-+LEFT+(1).JPG|https://viking-pictures.s3.us-west-1.amazonaws.com/AA1155/A49.+Door+Handle%2C+Exterior+-+REAR+-+LEFT+(2).JPG|https://viking-pictures.s3.us-west-1.amazonaws.com/AA1155/A49.+Door+Handle%2C+Exterior+-+REAR+-+LEFT+(3).JPG|https://viking-pictures.s3.us-west-1.amazonaws.com/AA1155/A49.+Door+Handle%2C+Exterior+-+REAR+-+LEFT+(4).JPG|https://viking-pictures.s3.us-west-1.amazonaws.com/AA1155/A49.+Door+Handle%2C+Exterior+-+REAR+-+LEFT+(5).JPG</v>
      </c>
      <c r="D41" s="281">
        <f>_xlfn.XLOOKUP(B41,'3. Keep &amp; Toss Items'!O:O,'3. Keep &amp; Toss Items'!U:U,"NOT FOUND",0,1)</f>
        <v>5</v>
      </c>
      <c r="E41" s="279" t="str">
        <f t="shared" si="38"/>
        <v>https://viking-pictures.s3.us-west-1.amazonaws.com/AA1155/A49.+Door+Handle%2C+Exterior+-+REAR+-+LEFT+(1).JPG</v>
      </c>
      <c r="F41" s="279" t="str">
        <f t="shared" si="41"/>
        <v>https://viking-pictures.s3.us-west-1.amazonaws.com/AA1155/A49.+Door+Handle%2C+Exterior+-+REAR+-+LEFT+(2).JPG</v>
      </c>
      <c r="G41" s="279" t="str">
        <f t="shared" si="42"/>
        <v>https://viking-pictures.s3.us-west-1.amazonaws.com/AA1155/A49.+Door+Handle%2C+Exterior+-+REAR+-+LEFT+(3).JPG</v>
      </c>
      <c r="H41" s="279" t="str">
        <f t="shared" si="43"/>
        <v>https://viking-pictures.s3.us-west-1.amazonaws.com/AA1155/A49.+Door+Handle%2C+Exterior+-+REAR+-+LEFT+(4).JPG</v>
      </c>
      <c r="I41" s="279" t="str">
        <f t="shared" si="44"/>
        <v>https://viking-pictures.s3.us-west-1.amazonaws.com/AA1155/A49.+Door+Handle%2C+Exterior+-+REAR+-+LEFT+(5).JPG</v>
      </c>
      <c r="J41" s="279" t="str">
        <f t="shared" si="45"/>
        <v/>
      </c>
      <c r="K41" s="279" t="str">
        <f t="shared" si="46"/>
        <v/>
      </c>
      <c r="L41" s="279" t="str">
        <f t="shared" si="46"/>
        <v/>
      </c>
      <c r="M41" s="279" t="str">
        <f t="shared" si="47"/>
        <v/>
      </c>
      <c r="N41" s="279" t="str">
        <f t="shared" si="48"/>
        <v/>
      </c>
      <c r="O41" s="279" t="str">
        <f t="shared" si="49"/>
        <v/>
      </c>
      <c r="P41" s="279" t="str">
        <f t="shared" si="50"/>
        <v/>
      </c>
      <c r="Q41" s="279" t="str">
        <f t="shared" si="51"/>
        <v/>
      </c>
      <c r="R41" s="279" t="str">
        <f t="shared" si="52"/>
        <v/>
      </c>
      <c r="S41" s="279" t="str">
        <f t="shared" si="53"/>
        <v/>
      </c>
      <c r="T41" s="279" t="str">
        <f t="shared" si="54"/>
        <v/>
      </c>
      <c r="U41" s="279" t="str">
        <f t="shared" si="55"/>
        <v/>
      </c>
      <c r="V41" s="279" t="str">
        <f t="shared" si="56"/>
        <v/>
      </c>
      <c r="W41" s="279" t="str">
        <f t="shared" si="57"/>
        <v/>
      </c>
      <c r="X41" s="279" t="str">
        <f t="shared" si="58"/>
        <v/>
      </c>
      <c r="Y41" s="279" t="str">
        <f t="shared" si="59"/>
        <v/>
      </c>
      <c r="Z41" s="279" t="str">
        <f t="shared" si="60"/>
        <v/>
      </c>
      <c r="AA41" s="279" t="str">
        <f t="shared" si="61"/>
        <v/>
      </c>
      <c r="AB41" s="279" t="str">
        <f t="shared" si="62"/>
        <v/>
      </c>
      <c r="AC41" s="104" t="s">
        <v>1382</v>
      </c>
      <c r="AD41" s="279" t="str">
        <f t="shared" si="26"/>
        <v>A49.+Door+Handle%2C+Exterior+-+REAR+-+LEFT</v>
      </c>
      <c r="AE41" s="279" t="str">
        <f>_xlfn.XLOOKUP(B41,'3. Keep &amp; Toss Items'!O:O,'3. Keep &amp; Toss Items'!Q:Q,"NOT FOUND",0,1)</f>
        <v>A49. Door Handle, Exterior - REAR - LEFT</v>
      </c>
      <c r="AF41" s="279" t="str">
        <f t="shared" si="27"/>
        <v>A49. Door Handle, Exterior - REAR - LEFT</v>
      </c>
      <c r="AG41" s="279" t="str">
        <f t="shared" si="28"/>
        <v>A49.+Door+Handle,+Exterior+-+REAR+-+LEFT</v>
      </c>
      <c r="AH41" s="279" t="str">
        <f t="shared" si="29"/>
        <v>A49.+Door+Handle%2C+Exterior+-+REAR+-+LEFT</v>
      </c>
      <c r="AI41" s="279" t="str">
        <f t="shared" si="30"/>
        <v>A49.+Door+Handle%2C+Exterior+-+REAR+-+LEFT</v>
      </c>
      <c r="AJ41" s="279" t="str">
        <f t="shared" si="31"/>
        <v>A49.+Door+Handle%2C+Exterior+-+REAR+-+LEFT</v>
      </c>
      <c r="AK41" s="279" t="str">
        <f t="shared" si="32"/>
        <v>A49.+Door+Handle%2C+Exterior+-+REAR+-+LEFT</v>
      </c>
      <c r="AL41" s="279" t="str">
        <f t="shared" si="33"/>
        <v>A49.+Door+Handle%2C+Exterior+-+REAR+-+LEFT</v>
      </c>
      <c r="AM41" s="279" t="str">
        <f t="shared" si="34"/>
        <v>A49.+Door+Handle%2C+Exterior+-+REAR+-+LEFT</v>
      </c>
      <c r="AN41" s="279" t="str">
        <f t="shared" si="39"/>
        <v>A49.+Door+Handle%2C+Exterior+-+REAR+-+LEFT</v>
      </c>
      <c r="AO41" s="279" t="str">
        <f t="shared" si="35"/>
        <v>A49.+Door+Handle%2C+Exterior+-+REAR+-+LEFT</v>
      </c>
      <c r="AP41" s="279" t="str">
        <f t="shared" si="36"/>
        <v>A49.+Door+Handle%2C+Exterior+-+REAR+-+LEFT</v>
      </c>
      <c r="AQ41" s="280" t="s">
        <v>1395</v>
      </c>
      <c r="AR41" s="280" t="s">
        <v>1396</v>
      </c>
      <c r="AS41" s="280" t="s">
        <v>1397</v>
      </c>
      <c r="AT41" s="280" t="s">
        <v>1398</v>
      </c>
      <c r="AU41" s="280" t="s">
        <v>1399</v>
      </c>
      <c r="AV41" s="280" t="s">
        <v>1400</v>
      </c>
      <c r="AW41" s="280" t="s">
        <v>1401</v>
      </c>
      <c r="AX41" s="280" t="s">
        <v>1402</v>
      </c>
      <c r="AY41" s="280" t="s">
        <v>1403</v>
      </c>
      <c r="AZ41" s="280" t="s">
        <v>1404</v>
      </c>
      <c r="BA41" s="280" t="s">
        <v>1405</v>
      </c>
      <c r="BB41" s="280" t="s">
        <v>1406</v>
      </c>
      <c r="BC41" s="280" t="s">
        <v>1419</v>
      </c>
      <c r="BD41" s="280" t="s">
        <v>1407</v>
      </c>
      <c r="BE41" s="280" t="s">
        <v>1408</v>
      </c>
      <c r="BF41" s="280" t="s">
        <v>1409</v>
      </c>
      <c r="BG41" s="280" t="s">
        <v>1410</v>
      </c>
      <c r="BH41" s="280" t="s">
        <v>1411</v>
      </c>
      <c r="BI41" s="280" t="s">
        <v>1412</v>
      </c>
      <c r="BJ41" s="280" t="s">
        <v>1413</v>
      </c>
      <c r="BK41" s="280" t="s">
        <v>1414</v>
      </c>
      <c r="BL41" s="280" t="s">
        <v>1415</v>
      </c>
      <c r="BM41" s="280" t="s">
        <v>1416</v>
      </c>
      <c r="BN41" s="280" t="s">
        <v>1417</v>
      </c>
      <c r="BO41" s="280" t="s">
        <v>1418</v>
      </c>
      <c r="BP41" s="280" t="s">
        <v>1420</v>
      </c>
      <c r="BQ41" s="134" t="str">
        <f t="shared" si="40"/>
        <v>Pic Example</v>
      </c>
    </row>
    <row r="42" spans="2:69" x14ac:dyDescent="0.25">
      <c r="B42" t="s">
        <v>952</v>
      </c>
      <c r="C42" s="279" t="str">
        <f t="shared" si="37"/>
        <v>https://viking-pictures.s3.us-west-1.amazonaws.com/AA1155/A50.+Seatbelt+Retractor%2C+FRONT+-+LEFT+(1).JPG|https://viking-pictures.s3.us-west-1.amazonaws.com/AA1155/A50.+Seatbelt+Retractor%2C+FRONT+-+LEFT+(2).JPG|https://viking-pictures.s3.us-west-1.amazonaws.com/AA1155/A50.+Seatbelt+Retractor%2C+FRONT+-+LEFT+(3).JPG|https://viking-pictures.s3.us-west-1.amazonaws.com/AA1155/A50.+Seatbelt+Retractor%2C+FRONT+-+LEFT+(4).JPG</v>
      </c>
      <c r="D42" s="281">
        <f>_xlfn.XLOOKUP(B42,'3. Keep &amp; Toss Items'!O:O,'3. Keep &amp; Toss Items'!U:U,"NOT FOUND",0,1)</f>
        <v>4</v>
      </c>
      <c r="E42" s="279" t="str">
        <f t="shared" si="38"/>
        <v>https://viking-pictures.s3.us-west-1.amazonaws.com/AA1155/A50.+Seatbelt+Retractor%2C+FRONT+-+LEFT+(1).JPG</v>
      </c>
      <c r="F42" s="279" t="str">
        <f t="shared" si="41"/>
        <v>https://viking-pictures.s3.us-west-1.amazonaws.com/AA1155/A50.+Seatbelt+Retractor%2C+FRONT+-+LEFT+(2).JPG</v>
      </c>
      <c r="G42" s="279" t="str">
        <f t="shared" si="42"/>
        <v>https://viking-pictures.s3.us-west-1.amazonaws.com/AA1155/A50.+Seatbelt+Retractor%2C+FRONT+-+LEFT+(3).JPG</v>
      </c>
      <c r="H42" s="279" t="str">
        <f t="shared" si="43"/>
        <v>https://viking-pictures.s3.us-west-1.amazonaws.com/AA1155/A50.+Seatbelt+Retractor%2C+FRONT+-+LEFT+(4).JPG</v>
      </c>
      <c r="I42" s="279" t="str">
        <f t="shared" si="44"/>
        <v/>
      </c>
      <c r="J42" s="279" t="str">
        <f t="shared" si="45"/>
        <v/>
      </c>
      <c r="K42" s="279" t="str">
        <f t="shared" si="46"/>
        <v/>
      </c>
      <c r="L42" s="279" t="str">
        <f t="shared" si="46"/>
        <v/>
      </c>
      <c r="M42" s="279" t="str">
        <f t="shared" si="47"/>
        <v/>
      </c>
      <c r="N42" s="279" t="str">
        <f t="shared" si="48"/>
        <v/>
      </c>
      <c r="O42" s="279" t="str">
        <f t="shared" si="49"/>
        <v/>
      </c>
      <c r="P42" s="279" t="str">
        <f t="shared" si="50"/>
        <v/>
      </c>
      <c r="Q42" s="279" t="str">
        <f t="shared" si="51"/>
        <v/>
      </c>
      <c r="R42" s="279" t="str">
        <f t="shared" si="52"/>
        <v/>
      </c>
      <c r="S42" s="279" t="str">
        <f t="shared" si="53"/>
        <v/>
      </c>
      <c r="T42" s="279" t="str">
        <f t="shared" si="54"/>
        <v/>
      </c>
      <c r="U42" s="279" t="str">
        <f t="shared" si="55"/>
        <v/>
      </c>
      <c r="V42" s="279" t="str">
        <f t="shared" si="56"/>
        <v/>
      </c>
      <c r="W42" s="279" t="str">
        <f t="shared" si="57"/>
        <v/>
      </c>
      <c r="X42" s="279" t="str">
        <f t="shared" si="58"/>
        <v/>
      </c>
      <c r="Y42" s="279" t="str">
        <f t="shared" si="59"/>
        <v/>
      </c>
      <c r="Z42" s="279" t="str">
        <f t="shared" si="60"/>
        <v/>
      </c>
      <c r="AA42" s="279" t="str">
        <f t="shared" si="61"/>
        <v/>
      </c>
      <c r="AB42" s="279" t="str">
        <f t="shared" si="62"/>
        <v/>
      </c>
      <c r="AC42" s="104" t="s">
        <v>1382</v>
      </c>
      <c r="AD42" s="279" t="str">
        <f t="shared" si="26"/>
        <v>A50.+Seatbelt+Retractor%2C+FRONT+-+LEFT</v>
      </c>
      <c r="AE42" s="279" t="str">
        <f>_xlfn.XLOOKUP(B42,'3. Keep &amp; Toss Items'!O:O,'3. Keep &amp; Toss Items'!Q:Q,"NOT FOUND",0,1)</f>
        <v>A50. Seatbelt Retractor, FRONT - LEFT</v>
      </c>
      <c r="AF42" s="279" t="str">
        <f t="shared" si="27"/>
        <v>A50. Seatbelt Retractor, FRONT - LEFT</v>
      </c>
      <c r="AG42" s="279" t="str">
        <f t="shared" si="28"/>
        <v>A50.+Seatbelt+Retractor,+FRONT+-+LEFT</v>
      </c>
      <c r="AH42" s="279" t="str">
        <f t="shared" si="29"/>
        <v>A50.+Seatbelt+Retractor%2C+FRONT+-+LEFT</v>
      </c>
      <c r="AI42" s="279" t="str">
        <f t="shared" si="30"/>
        <v>A50.+Seatbelt+Retractor%2C+FRONT+-+LEFT</v>
      </c>
      <c r="AJ42" s="279" t="str">
        <f t="shared" si="31"/>
        <v>A50.+Seatbelt+Retractor%2C+FRONT+-+LEFT</v>
      </c>
      <c r="AK42" s="279" t="str">
        <f t="shared" si="32"/>
        <v>A50.+Seatbelt+Retractor%2C+FRONT+-+LEFT</v>
      </c>
      <c r="AL42" s="279" t="str">
        <f t="shared" si="33"/>
        <v>A50.+Seatbelt+Retractor%2C+FRONT+-+LEFT</v>
      </c>
      <c r="AM42" s="279" t="str">
        <f t="shared" si="34"/>
        <v>A50.+Seatbelt+Retractor%2C+FRONT+-+LEFT</v>
      </c>
      <c r="AN42" s="279" t="str">
        <f t="shared" si="39"/>
        <v>A50.+Seatbelt+Retractor%2C+FRONT+-+LEFT</v>
      </c>
      <c r="AO42" s="279" t="str">
        <f t="shared" si="35"/>
        <v>A50.+Seatbelt+Retractor%2C+FRONT+-+LEFT</v>
      </c>
      <c r="AP42" s="279" t="str">
        <f t="shared" si="36"/>
        <v>A50.+Seatbelt+Retractor%2C+FRONT+-+LEFT</v>
      </c>
      <c r="AQ42" s="280" t="s">
        <v>1395</v>
      </c>
      <c r="AR42" s="280" t="s">
        <v>1396</v>
      </c>
      <c r="AS42" s="280" t="s">
        <v>1397</v>
      </c>
      <c r="AT42" s="280" t="s">
        <v>1398</v>
      </c>
      <c r="AU42" s="280" t="s">
        <v>1399</v>
      </c>
      <c r="AV42" s="280" t="s">
        <v>1400</v>
      </c>
      <c r="AW42" s="280" t="s">
        <v>1401</v>
      </c>
      <c r="AX42" s="280" t="s">
        <v>1402</v>
      </c>
      <c r="AY42" s="280" t="s">
        <v>1403</v>
      </c>
      <c r="AZ42" s="280" t="s">
        <v>1404</v>
      </c>
      <c r="BA42" s="280" t="s">
        <v>1405</v>
      </c>
      <c r="BB42" s="280" t="s">
        <v>1406</v>
      </c>
      <c r="BC42" s="280" t="s">
        <v>1419</v>
      </c>
      <c r="BD42" s="280" t="s">
        <v>1407</v>
      </c>
      <c r="BE42" s="280" t="s">
        <v>1408</v>
      </c>
      <c r="BF42" s="280" t="s">
        <v>1409</v>
      </c>
      <c r="BG42" s="280" t="s">
        <v>1410</v>
      </c>
      <c r="BH42" s="280" t="s">
        <v>1411</v>
      </c>
      <c r="BI42" s="280" t="s">
        <v>1412</v>
      </c>
      <c r="BJ42" s="280" t="s">
        <v>1413</v>
      </c>
      <c r="BK42" s="280" t="s">
        <v>1414</v>
      </c>
      <c r="BL42" s="280" t="s">
        <v>1415</v>
      </c>
      <c r="BM42" s="280" t="s">
        <v>1416</v>
      </c>
      <c r="BN42" s="280" t="s">
        <v>1417</v>
      </c>
      <c r="BO42" s="280" t="s">
        <v>1418</v>
      </c>
      <c r="BP42" s="280" t="s">
        <v>1420</v>
      </c>
      <c r="BQ42" s="134" t="str">
        <f t="shared" si="40"/>
        <v>Pic Example</v>
      </c>
    </row>
    <row r="43" spans="2:69" x14ac:dyDescent="0.25">
      <c r="B43" t="s">
        <v>953</v>
      </c>
      <c r="C43" s="279" t="str">
        <f t="shared" si="37"/>
        <v>https://viking-pictures.s3.us-west-1.amazonaws.com/AA1155/A51.+Combination+Switch+Assembly+(1).JPG|https://viking-pictures.s3.us-west-1.amazonaws.com/AA1155/A51.+Combination+Switch+Assembly+(2).JPG|https://viking-pictures.s3.us-west-1.amazonaws.com/AA1155/A51.+Combination+Switch+Assembly+(3).JPG|https://viking-pictures.s3.us-west-1.amazonaws.com/AA1155/A51.+Combination+Switch+Assembly+(4).JPG|https://viking-pictures.s3.us-west-1.amazonaws.com/AA1155/A51.+Combination+Switch+Assembly+(5).JPG|https://viking-pictures.s3.us-west-1.amazonaws.com/AA1155/A51.+Combination+Switch+Assembly+(6).JPG</v>
      </c>
      <c r="D43" s="281">
        <f>_xlfn.XLOOKUP(B43,'3. Keep &amp; Toss Items'!O:O,'3. Keep &amp; Toss Items'!U:U,"NOT FOUND",0,1)</f>
        <v>6</v>
      </c>
      <c r="E43" s="279" t="str">
        <f t="shared" si="38"/>
        <v>https://viking-pictures.s3.us-west-1.amazonaws.com/AA1155/A51.+Combination+Switch+Assembly+(1).JPG</v>
      </c>
      <c r="F43" s="279" t="str">
        <f t="shared" si="41"/>
        <v>https://viking-pictures.s3.us-west-1.amazonaws.com/AA1155/A51.+Combination+Switch+Assembly+(2).JPG</v>
      </c>
      <c r="G43" s="279" t="str">
        <f t="shared" si="42"/>
        <v>https://viking-pictures.s3.us-west-1.amazonaws.com/AA1155/A51.+Combination+Switch+Assembly+(3).JPG</v>
      </c>
      <c r="H43" s="279" t="str">
        <f t="shared" si="43"/>
        <v>https://viking-pictures.s3.us-west-1.amazonaws.com/AA1155/A51.+Combination+Switch+Assembly+(4).JPG</v>
      </c>
      <c r="I43" s="279" t="str">
        <f t="shared" si="44"/>
        <v>https://viking-pictures.s3.us-west-1.amazonaws.com/AA1155/A51.+Combination+Switch+Assembly+(5).JPG</v>
      </c>
      <c r="J43" s="279" t="str">
        <f t="shared" si="45"/>
        <v>https://viking-pictures.s3.us-west-1.amazonaws.com/AA1155/A51.+Combination+Switch+Assembly+(6).JPG</v>
      </c>
      <c r="K43" s="279" t="str">
        <f t="shared" si="46"/>
        <v/>
      </c>
      <c r="L43" s="279" t="str">
        <f t="shared" si="46"/>
        <v/>
      </c>
      <c r="M43" s="279" t="str">
        <f t="shared" si="47"/>
        <v/>
      </c>
      <c r="N43" s="279" t="str">
        <f t="shared" si="48"/>
        <v/>
      </c>
      <c r="O43" s="279" t="str">
        <f t="shared" si="49"/>
        <v/>
      </c>
      <c r="P43" s="279" t="str">
        <f t="shared" si="50"/>
        <v/>
      </c>
      <c r="Q43" s="279" t="str">
        <f t="shared" si="51"/>
        <v/>
      </c>
      <c r="R43" s="279" t="str">
        <f t="shared" si="52"/>
        <v/>
      </c>
      <c r="S43" s="279" t="str">
        <f t="shared" si="53"/>
        <v/>
      </c>
      <c r="T43" s="279" t="str">
        <f t="shared" si="54"/>
        <v/>
      </c>
      <c r="U43" s="279" t="str">
        <f t="shared" si="55"/>
        <v/>
      </c>
      <c r="V43" s="279" t="str">
        <f t="shared" si="56"/>
        <v/>
      </c>
      <c r="W43" s="279" t="str">
        <f t="shared" si="57"/>
        <v/>
      </c>
      <c r="X43" s="279" t="str">
        <f t="shared" si="58"/>
        <v/>
      </c>
      <c r="Y43" s="279" t="str">
        <f t="shared" si="59"/>
        <v/>
      </c>
      <c r="Z43" s="279" t="str">
        <f t="shared" si="60"/>
        <v/>
      </c>
      <c r="AA43" s="279" t="str">
        <f t="shared" si="61"/>
        <v/>
      </c>
      <c r="AB43" s="279" t="str">
        <f t="shared" si="62"/>
        <v/>
      </c>
      <c r="AC43" s="104" t="s">
        <v>1382</v>
      </c>
      <c r="AD43" s="279" t="str">
        <f t="shared" si="26"/>
        <v>A51.+Combination+Switch+Assembly</v>
      </c>
      <c r="AE43" s="279" t="str">
        <f>_xlfn.XLOOKUP(B43,'3. Keep &amp; Toss Items'!O:O,'3. Keep &amp; Toss Items'!Q:Q,"NOT FOUND",0,1)</f>
        <v>A51. Combination Switch Assembly</v>
      </c>
      <c r="AF43" s="279" t="str">
        <f t="shared" si="27"/>
        <v>A51. Combination Switch Assembly</v>
      </c>
      <c r="AG43" s="279" t="str">
        <f t="shared" si="28"/>
        <v>A51.+Combination+Switch+Assembly</v>
      </c>
      <c r="AH43" s="279" t="str">
        <f t="shared" si="29"/>
        <v>A51.+Combination+Switch+Assembly</v>
      </c>
      <c r="AI43" s="279" t="str">
        <f t="shared" si="30"/>
        <v>A51.+Combination+Switch+Assembly</v>
      </c>
      <c r="AJ43" s="279" t="str">
        <f t="shared" si="31"/>
        <v>A51.+Combination+Switch+Assembly</v>
      </c>
      <c r="AK43" s="279" t="str">
        <f t="shared" si="32"/>
        <v>A51.+Combination+Switch+Assembly</v>
      </c>
      <c r="AL43" s="279" t="str">
        <f t="shared" si="33"/>
        <v>A51.+Combination+Switch+Assembly</v>
      </c>
      <c r="AM43" s="279" t="str">
        <f t="shared" si="34"/>
        <v>A51.+Combination+Switch+Assembly</v>
      </c>
      <c r="AN43" s="279" t="str">
        <f t="shared" si="39"/>
        <v>A51.+Combination+Switch+Assembly</v>
      </c>
      <c r="AO43" s="279" t="str">
        <f t="shared" si="35"/>
        <v>A51.+Combination+Switch+Assembly</v>
      </c>
      <c r="AP43" s="279" t="str">
        <f t="shared" si="36"/>
        <v>A51.+Combination+Switch+Assembly</v>
      </c>
      <c r="AQ43" s="280" t="s">
        <v>1395</v>
      </c>
      <c r="AR43" s="280" t="s">
        <v>1396</v>
      </c>
      <c r="AS43" s="280" t="s">
        <v>1397</v>
      </c>
      <c r="AT43" s="280" t="s">
        <v>1398</v>
      </c>
      <c r="AU43" s="280" t="s">
        <v>1399</v>
      </c>
      <c r="AV43" s="280" t="s">
        <v>1400</v>
      </c>
      <c r="AW43" s="280" t="s">
        <v>1401</v>
      </c>
      <c r="AX43" s="280" t="s">
        <v>1402</v>
      </c>
      <c r="AY43" s="280" t="s">
        <v>1403</v>
      </c>
      <c r="AZ43" s="280" t="s">
        <v>1404</v>
      </c>
      <c r="BA43" s="280" t="s">
        <v>1405</v>
      </c>
      <c r="BB43" s="280" t="s">
        <v>1406</v>
      </c>
      <c r="BC43" s="280" t="s">
        <v>1419</v>
      </c>
      <c r="BD43" s="280" t="s">
        <v>1407</v>
      </c>
      <c r="BE43" s="280" t="s">
        <v>1408</v>
      </c>
      <c r="BF43" s="280" t="s">
        <v>1409</v>
      </c>
      <c r="BG43" s="280" t="s">
        <v>1410</v>
      </c>
      <c r="BH43" s="280" t="s">
        <v>1411</v>
      </c>
      <c r="BI43" s="280" t="s">
        <v>1412</v>
      </c>
      <c r="BJ43" s="280" t="s">
        <v>1413</v>
      </c>
      <c r="BK43" s="280" t="s">
        <v>1414</v>
      </c>
      <c r="BL43" s="280" t="s">
        <v>1415</v>
      </c>
      <c r="BM43" s="280" t="s">
        <v>1416</v>
      </c>
      <c r="BN43" s="280" t="s">
        <v>1417</v>
      </c>
      <c r="BO43" s="280" t="s">
        <v>1418</v>
      </c>
      <c r="BP43" s="280" t="s">
        <v>1420</v>
      </c>
      <c r="BQ43" s="134" t="str">
        <f t="shared" si="40"/>
        <v>Pic Example</v>
      </c>
    </row>
    <row r="44" spans="2:69" x14ac:dyDescent="0.25">
      <c r="B44" t="s">
        <v>954</v>
      </c>
      <c r="C44" s="279" t="str">
        <f t="shared" si="37"/>
        <v>https://viking-pictures.s3.us-west-1.amazonaws.com/AA1155/A52.+Door+Handle%2C+Exterior+-+REAR+-+RIGHT+(1).JPG|https://viking-pictures.s3.us-west-1.amazonaws.com/AA1155/A52.+Door+Handle%2C+Exterior+-+REAR+-+RIGHT+(2).JPG|https://viking-pictures.s3.us-west-1.amazonaws.com/AA1155/A52.+Door+Handle%2C+Exterior+-+REAR+-+RIGHT+(3).JPG|https://viking-pictures.s3.us-west-1.amazonaws.com/AA1155/A52.+Door+Handle%2C+Exterior+-+REAR+-+RIGHT+(4).JPG|https://viking-pictures.s3.us-west-1.amazonaws.com/AA1155/A52.+Door+Handle%2C+Exterior+-+REAR+-+RIGHT+(5).JPG</v>
      </c>
      <c r="D44" s="281">
        <f>_xlfn.XLOOKUP(B44,'3. Keep &amp; Toss Items'!O:O,'3. Keep &amp; Toss Items'!U:U,"NOT FOUND",0,1)</f>
        <v>5</v>
      </c>
      <c r="E44" s="279" t="str">
        <f t="shared" si="38"/>
        <v>https://viking-pictures.s3.us-west-1.amazonaws.com/AA1155/A52.+Door+Handle%2C+Exterior+-+REAR+-+RIGHT+(1).JPG</v>
      </c>
      <c r="F44" s="279" t="str">
        <f t="shared" si="41"/>
        <v>https://viking-pictures.s3.us-west-1.amazonaws.com/AA1155/A52.+Door+Handle%2C+Exterior+-+REAR+-+RIGHT+(2).JPG</v>
      </c>
      <c r="G44" s="279" t="str">
        <f t="shared" si="42"/>
        <v>https://viking-pictures.s3.us-west-1.amazonaws.com/AA1155/A52.+Door+Handle%2C+Exterior+-+REAR+-+RIGHT+(3).JPG</v>
      </c>
      <c r="H44" s="279" t="str">
        <f t="shared" si="43"/>
        <v>https://viking-pictures.s3.us-west-1.amazonaws.com/AA1155/A52.+Door+Handle%2C+Exterior+-+REAR+-+RIGHT+(4).JPG</v>
      </c>
      <c r="I44" s="279" t="str">
        <f t="shared" si="44"/>
        <v>https://viking-pictures.s3.us-west-1.amazonaws.com/AA1155/A52.+Door+Handle%2C+Exterior+-+REAR+-+RIGHT+(5).JPG</v>
      </c>
      <c r="J44" s="279" t="str">
        <f t="shared" si="45"/>
        <v/>
      </c>
      <c r="K44" s="279" t="str">
        <f t="shared" si="46"/>
        <v/>
      </c>
      <c r="L44" s="279" t="str">
        <f t="shared" si="46"/>
        <v/>
      </c>
      <c r="M44" s="279" t="str">
        <f t="shared" si="47"/>
        <v/>
      </c>
      <c r="N44" s="279" t="str">
        <f t="shared" si="48"/>
        <v/>
      </c>
      <c r="O44" s="279" t="str">
        <f t="shared" si="49"/>
        <v/>
      </c>
      <c r="P44" s="279" t="str">
        <f t="shared" si="50"/>
        <v/>
      </c>
      <c r="Q44" s="279" t="str">
        <f t="shared" si="51"/>
        <v/>
      </c>
      <c r="R44" s="279" t="str">
        <f t="shared" si="52"/>
        <v/>
      </c>
      <c r="S44" s="279" t="str">
        <f t="shared" si="53"/>
        <v/>
      </c>
      <c r="T44" s="279" t="str">
        <f t="shared" si="54"/>
        <v/>
      </c>
      <c r="U44" s="279" t="str">
        <f t="shared" si="55"/>
        <v/>
      </c>
      <c r="V44" s="279" t="str">
        <f t="shared" si="56"/>
        <v/>
      </c>
      <c r="W44" s="279" t="str">
        <f t="shared" si="57"/>
        <v/>
      </c>
      <c r="X44" s="279" t="str">
        <f t="shared" si="58"/>
        <v/>
      </c>
      <c r="Y44" s="279" t="str">
        <f t="shared" si="59"/>
        <v/>
      </c>
      <c r="Z44" s="279" t="str">
        <f t="shared" si="60"/>
        <v/>
      </c>
      <c r="AA44" s="279" t="str">
        <f t="shared" si="61"/>
        <v/>
      </c>
      <c r="AB44" s="279" t="str">
        <f t="shared" si="62"/>
        <v/>
      </c>
      <c r="AC44" s="104" t="s">
        <v>1382</v>
      </c>
      <c r="AD44" s="279" t="str">
        <f t="shared" si="26"/>
        <v>A52.+Door+Handle%2C+Exterior+-+REAR+-+RIGHT</v>
      </c>
      <c r="AE44" s="279" t="str">
        <f>_xlfn.XLOOKUP(B44,'3. Keep &amp; Toss Items'!O:O,'3. Keep &amp; Toss Items'!Q:Q,"NOT FOUND",0,1)</f>
        <v>A52. Door Handle, Exterior - REAR - RIGHT</v>
      </c>
      <c r="AF44" s="279" t="str">
        <f t="shared" si="27"/>
        <v>A52. Door Handle, Exterior - REAR - RIGHT</v>
      </c>
      <c r="AG44" s="279" t="str">
        <f t="shared" si="28"/>
        <v>A52.+Door+Handle,+Exterior+-+REAR+-+RIGHT</v>
      </c>
      <c r="AH44" s="279" t="str">
        <f t="shared" si="29"/>
        <v>A52.+Door+Handle%2C+Exterior+-+REAR+-+RIGHT</v>
      </c>
      <c r="AI44" s="279" t="str">
        <f t="shared" si="30"/>
        <v>A52.+Door+Handle%2C+Exterior+-+REAR+-+RIGHT</v>
      </c>
      <c r="AJ44" s="279" t="str">
        <f t="shared" si="31"/>
        <v>A52.+Door+Handle%2C+Exterior+-+REAR+-+RIGHT</v>
      </c>
      <c r="AK44" s="279" t="str">
        <f t="shared" si="32"/>
        <v>A52.+Door+Handle%2C+Exterior+-+REAR+-+RIGHT</v>
      </c>
      <c r="AL44" s="279" t="str">
        <f t="shared" si="33"/>
        <v>A52.+Door+Handle%2C+Exterior+-+REAR+-+RIGHT</v>
      </c>
      <c r="AM44" s="279" t="str">
        <f t="shared" si="34"/>
        <v>A52.+Door+Handle%2C+Exterior+-+REAR+-+RIGHT</v>
      </c>
      <c r="AN44" s="279" t="str">
        <f t="shared" si="39"/>
        <v>A52.+Door+Handle%2C+Exterior+-+REAR+-+RIGHT</v>
      </c>
      <c r="AO44" s="279" t="str">
        <f t="shared" si="35"/>
        <v>A52.+Door+Handle%2C+Exterior+-+REAR+-+RIGHT</v>
      </c>
      <c r="AP44" s="279" t="str">
        <f t="shared" si="36"/>
        <v>A52.+Door+Handle%2C+Exterior+-+REAR+-+RIGHT</v>
      </c>
      <c r="AQ44" s="280" t="s">
        <v>1395</v>
      </c>
      <c r="AR44" s="280" t="s">
        <v>1396</v>
      </c>
      <c r="AS44" s="280" t="s">
        <v>1397</v>
      </c>
      <c r="AT44" s="280" t="s">
        <v>1398</v>
      </c>
      <c r="AU44" s="280" t="s">
        <v>1399</v>
      </c>
      <c r="AV44" s="280" t="s">
        <v>1400</v>
      </c>
      <c r="AW44" s="280" t="s">
        <v>1401</v>
      </c>
      <c r="AX44" s="280" t="s">
        <v>1402</v>
      </c>
      <c r="AY44" s="280" t="s">
        <v>1403</v>
      </c>
      <c r="AZ44" s="280" t="s">
        <v>1404</v>
      </c>
      <c r="BA44" s="280" t="s">
        <v>1405</v>
      </c>
      <c r="BB44" s="280" t="s">
        <v>1406</v>
      </c>
      <c r="BC44" s="280" t="s">
        <v>1419</v>
      </c>
      <c r="BD44" s="280" t="s">
        <v>1407</v>
      </c>
      <c r="BE44" s="280" t="s">
        <v>1408</v>
      </c>
      <c r="BF44" s="280" t="s">
        <v>1409</v>
      </c>
      <c r="BG44" s="280" t="s">
        <v>1410</v>
      </c>
      <c r="BH44" s="280" t="s">
        <v>1411</v>
      </c>
      <c r="BI44" s="280" t="s">
        <v>1412</v>
      </c>
      <c r="BJ44" s="280" t="s">
        <v>1413</v>
      </c>
      <c r="BK44" s="280" t="s">
        <v>1414</v>
      </c>
      <c r="BL44" s="280" t="s">
        <v>1415</v>
      </c>
      <c r="BM44" s="280" t="s">
        <v>1416</v>
      </c>
      <c r="BN44" s="280" t="s">
        <v>1417</v>
      </c>
      <c r="BO44" s="280" t="s">
        <v>1418</v>
      </c>
      <c r="BP44" s="280" t="s">
        <v>1420</v>
      </c>
      <c r="BQ44" s="134" t="str">
        <f t="shared" si="40"/>
        <v>Pic Example</v>
      </c>
    </row>
    <row r="45" spans="2:69" x14ac:dyDescent="0.25">
      <c r="B45" t="s">
        <v>955</v>
      </c>
      <c r="C45" s="279" t="str">
        <f t="shared" si="37"/>
        <v>https://viking-pictures.s3.us-west-1.amazonaws.com/AA1155/A53.+Trunk+Emblem+(1).JPG|https://viking-pictures.s3.us-west-1.amazonaws.com/AA1155/A53.+Trunk+Emblem+(2).JPG|https://viking-pictures.s3.us-west-1.amazonaws.com/AA1155/A53.+Trunk+Emblem+(3).JPG|https://viking-pictures.s3.us-west-1.amazonaws.com/AA1155/A53.+Trunk+Emblem+(4).JPG</v>
      </c>
      <c r="D45" s="281">
        <f>_xlfn.XLOOKUP(B45,'3. Keep &amp; Toss Items'!O:O,'3. Keep &amp; Toss Items'!U:U,"NOT FOUND",0,1)</f>
        <v>4</v>
      </c>
      <c r="E45" s="279" t="str">
        <f t="shared" si="38"/>
        <v>https://viking-pictures.s3.us-west-1.amazonaws.com/AA1155/A53.+Trunk+Emblem+(1).JPG</v>
      </c>
      <c r="F45" s="279" t="str">
        <f t="shared" si="41"/>
        <v>https://viking-pictures.s3.us-west-1.amazonaws.com/AA1155/A53.+Trunk+Emblem+(2).JPG</v>
      </c>
      <c r="G45" s="279" t="str">
        <f t="shared" si="42"/>
        <v>https://viking-pictures.s3.us-west-1.amazonaws.com/AA1155/A53.+Trunk+Emblem+(3).JPG</v>
      </c>
      <c r="H45" s="279" t="str">
        <f t="shared" si="43"/>
        <v>https://viking-pictures.s3.us-west-1.amazonaws.com/AA1155/A53.+Trunk+Emblem+(4).JPG</v>
      </c>
      <c r="I45" s="279" t="str">
        <f t="shared" si="44"/>
        <v/>
      </c>
      <c r="J45" s="279" t="str">
        <f t="shared" si="45"/>
        <v/>
      </c>
      <c r="K45" s="279" t="str">
        <f t="shared" si="46"/>
        <v/>
      </c>
      <c r="L45" s="279" t="str">
        <f t="shared" si="46"/>
        <v/>
      </c>
      <c r="M45" s="279" t="str">
        <f t="shared" si="47"/>
        <v/>
      </c>
      <c r="N45" s="279" t="str">
        <f t="shared" si="48"/>
        <v/>
      </c>
      <c r="O45" s="279" t="str">
        <f t="shared" si="49"/>
        <v/>
      </c>
      <c r="P45" s="279" t="str">
        <f t="shared" si="50"/>
        <v/>
      </c>
      <c r="Q45" s="279" t="str">
        <f t="shared" si="51"/>
        <v/>
      </c>
      <c r="R45" s="279" t="str">
        <f t="shared" si="52"/>
        <v/>
      </c>
      <c r="S45" s="279" t="str">
        <f t="shared" si="53"/>
        <v/>
      </c>
      <c r="T45" s="279" t="str">
        <f t="shared" si="54"/>
        <v/>
      </c>
      <c r="U45" s="279" t="str">
        <f t="shared" si="55"/>
        <v/>
      </c>
      <c r="V45" s="279" t="str">
        <f t="shared" si="56"/>
        <v/>
      </c>
      <c r="W45" s="279" t="str">
        <f t="shared" si="57"/>
        <v/>
      </c>
      <c r="X45" s="279" t="str">
        <f t="shared" si="58"/>
        <v/>
      </c>
      <c r="Y45" s="279" t="str">
        <f t="shared" si="59"/>
        <v/>
      </c>
      <c r="Z45" s="279" t="str">
        <f t="shared" si="60"/>
        <v/>
      </c>
      <c r="AA45" s="279" t="str">
        <f t="shared" si="61"/>
        <v/>
      </c>
      <c r="AB45" s="279" t="str">
        <f t="shared" si="62"/>
        <v/>
      </c>
      <c r="AC45" s="104" t="s">
        <v>1382</v>
      </c>
      <c r="AD45" s="279" t="str">
        <f t="shared" si="26"/>
        <v>A53.+Trunk+Emblem</v>
      </c>
      <c r="AE45" s="279" t="str">
        <f>_xlfn.XLOOKUP(B45,'3. Keep &amp; Toss Items'!O:O,'3. Keep &amp; Toss Items'!Q:Q,"NOT FOUND",0,1)</f>
        <v>A53. Trunk Emblem</v>
      </c>
      <c r="AF45" s="279" t="str">
        <f t="shared" si="27"/>
        <v>A53. Trunk Emblem</v>
      </c>
      <c r="AG45" s="279" t="str">
        <f t="shared" si="28"/>
        <v>A53.+Trunk+Emblem</v>
      </c>
      <c r="AH45" s="279" t="str">
        <f t="shared" si="29"/>
        <v>A53.+Trunk+Emblem</v>
      </c>
      <c r="AI45" s="279" t="str">
        <f t="shared" si="30"/>
        <v>A53.+Trunk+Emblem</v>
      </c>
      <c r="AJ45" s="279" t="str">
        <f t="shared" si="31"/>
        <v>A53.+Trunk+Emblem</v>
      </c>
      <c r="AK45" s="279" t="str">
        <f t="shared" si="32"/>
        <v>A53.+Trunk+Emblem</v>
      </c>
      <c r="AL45" s="279" t="str">
        <f t="shared" si="33"/>
        <v>A53.+Trunk+Emblem</v>
      </c>
      <c r="AM45" s="279" t="str">
        <f t="shared" si="34"/>
        <v>A53.+Trunk+Emblem</v>
      </c>
      <c r="AN45" s="279" t="str">
        <f t="shared" si="39"/>
        <v>A53.+Trunk+Emblem</v>
      </c>
      <c r="AO45" s="279" t="str">
        <f t="shared" si="35"/>
        <v>A53.+Trunk+Emblem</v>
      </c>
      <c r="AP45" s="279" t="str">
        <f t="shared" si="36"/>
        <v>A53.+Trunk+Emblem</v>
      </c>
      <c r="AQ45" s="280" t="s">
        <v>1395</v>
      </c>
      <c r="AR45" s="280" t="s">
        <v>1396</v>
      </c>
      <c r="AS45" s="280" t="s">
        <v>1397</v>
      </c>
      <c r="AT45" s="280" t="s">
        <v>1398</v>
      </c>
      <c r="AU45" s="280" t="s">
        <v>1399</v>
      </c>
      <c r="AV45" s="280" t="s">
        <v>1400</v>
      </c>
      <c r="AW45" s="280" t="s">
        <v>1401</v>
      </c>
      <c r="AX45" s="280" t="s">
        <v>1402</v>
      </c>
      <c r="AY45" s="280" t="s">
        <v>1403</v>
      </c>
      <c r="AZ45" s="280" t="s">
        <v>1404</v>
      </c>
      <c r="BA45" s="280" t="s">
        <v>1405</v>
      </c>
      <c r="BB45" s="280" t="s">
        <v>1406</v>
      </c>
      <c r="BC45" s="280" t="s">
        <v>1419</v>
      </c>
      <c r="BD45" s="280" t="s">
        <v>1407</v>
      </c>
      <c r="BE45" s="280" t="s">
        <v>1408</v>
      </c>
      <c r="BF45" s="280" t="s">
        <v>1409</v>
      </c>
      <c r="BG45" s="280" t="s">
        <v>1410</v>
      </c>
      <c r="BH45" s="280" t="s">
        <v>1411</v>
      </c>
      <c r="BI45" s="280" t="s">
        <v>1412</v>
      </c>
      <c r="BJ45" s="280" t="s">
        <v>1413</v>
      </c>
      <c r="BK45" s="280" t="s">
        <v>1414</v>
      </c>
      <c r="BL45" s="280" t="s">
        <v>1415</v>
      </c>
      <c r="BM45" s="280" t="s">
        <v>1416</v>
      </c>
      <c r="BN45" s="280" t="s">
        <v>1417</v>
      </c>
      <c r="BO45" s="280" t="s">
        <v>1418</v>
      </c>
      <c r="BP45" s="280" t="s">
        <v>1420</v>
      </c>
      <c r="BQ45" s="134" t="str">
        <f t="shared" si="40"/>
        <v>Pic Example</v>
      </c>
    </row>
    <row r="46" spans="2:69" x14ac:dyDescent="0.25">
      <c r="B46" t="s">
        <v>956</v>
      </c>
      <c r="C46" s="279" t="str">
        <f t="shared" si="37"/>
        <v>https://viking-pictures.s3.us-west-1.amazonaws.com/AA1155/A54.+Seat+Adjust+Switch%2C+FRONT+-+RIGHT+(1).JPG|https://viking-pictures.s3.us-west-1.amazonaws.com/AA1155/A54.+Seat+Adjust+Switch%2C+FRONT+-+RIGHT+(2).JPG|https://viking-pictures.s3.us-west-1.amazonaws.com/AA1155/A54.+Seat+Adjust+Switch%2C+FRONT+-+RIGHT+(3).JPG|https://viking-pictures.s3.us-west-1.amazonaws.com/AA1155/A54.+Seat+Adjust+Switch%2C+FRONT+-+RIGHT+(4).JPG</v>
      </c>
      <c r="D46" s="281">
        <f>_xlfn.XLOOKUP(B46,'3. Keep &amp; Toss Items'!O:O,'3. Keep &amp; Toss Items'!U:U,"NOT FOUND",0,1)</f>
        <v>4</v>
      </c>
      <c r="E46" s="279" t="str">
        <f t="shared" si="38"/>
        <v>https://viking-pictures.s3.us-west-1.amazonaws.com/AA1155/A54.+Seat+Adjust+Switch%2C+FRONT+-+RIGHT+(1).JPG</v>
      </c>
      <c r="F46" s="279" t="str">
        <f t="shared" si="41"/>
        <v>https://viking-pictures.s3.us-west-1.amazonaws.com/AA1155/A54.+Seat+Adjust+Switch%2C+FRONT+-+RIGHT+(2).JPG</v>
      </c>
      <c r="G46" s="279" t="str">
        <f t="shared" si="42"/>
        <v>https://viking-pictures.s3.us-west-1.amazonaws.com/AA1155/A54.+Seat+Adjust+Switch%2C+FRONT+-+RIGHT+(3).JPG</v>
      </c>
      <c r="H46" s="279" t="str">
        <f t="shared" si="43"/>
        <v>https://viking-pictures.s3.us-west-1.amazonaws.com/AA1155/A54.+Seat+Adjust+Switch%2C+FRONT+-+RIGHT+(4).JPG</v>
      </c>
      <c r="I46" s="279" t="str">
        <f t="shared" si="44"/>
        <v/>
      </c>
      <c r="J46" s="279" t="str">
        <f t="shared" si="45"/>
        <v/>
      </c>
      <c r="K46" s="279" t="str">
        <f t="shared" si="46"/>
        <v/>
      </c>
      <c r="L46" s="279" t="str">
        <f t="shared" si="46"/>
        <v/>
      </c>
      <c r="M46" s="279" t="str">
        <f t="shared" si="47"/>
        <v/>
      </c>
      <c r="N46" s="279" t="str">
        <f t="shared" si="48"/>
        <v/>
      </c>
      <c r="O46" s="279" t="str">
        <f t="shared" si="49"/>
        <v/>
      </c>
      <c r="P46" s="279" t="str">
        <f t="shared" si="50"/>
        <v/>
      </c>
      <c r="Q46" s="279" t="str">
        <f t="shared" si="51"/>
        <v/>
      </c>
      <c r="R46" s="279" t="str">
        <f t="shared" si="52"/>
        <v/>
      </c>
      <c r="S46" s="279" t="str">
        <f t="shared" si="53"/>
        <v/>
      </c>
      <c r="T46" s="279" t="str">
        <f t="shared" si="54"/>
        <v/>
      </c>
      <c r="U46" s="279" t="str">
        <f t="shared" si="55"/>
        <v/>
      </c>
      <c r="V46" s="279" t="str">
        <f t="shared" si="56"/>
        <v/>
      </c>
      <c r="W46" s="279" t="str">
        <f t="shared" si="57"/>
        <v/>
      </c>
      <c r="X46" s="279" t="str">
        <f t="shared" si="58"/>
        <v/>
      </c>
      <c r="Y46" s="279" t="str">
        <f t="shared" si="59"/>
        <v/>
      </c>
      <c r="Z46" s="279" t="str">
        <f t="shared" si="60"/>
        <v/>
      </c>
      <c r="AA46" s="279" t="str">
        <f t="shared" si="61"/>
        <v/>
      </c>
      <c r="AB46" s="279" t="str">
        <f t="shared" si="62"/>
        <v/>
      </c>
      <c r="AC46" s="104" t="s">
        <v>1382</v>
      </c>
      <c r="AD46" s="279" t="str">
        <f t="shared" si="26"/>
        <v>A54.+Seat+Adjust+Switch%2C+FRONT+-+RIGHT</v>
      </c>
      <c r="AE46" s="279" t="str">
        <f>_xlfn.XLOOKUP(B46,'3. Keep &amp; Toss Items'!O:O,'3. Keep &amp; Toss Items'!Q:Q,"NOT FOUND",0,1)</f>
        <v>A54. Seat Adjust Switch, FRONT - RIGHT</v>
      </c>
      <c r="AF46" s="279" t="str">
        <f t="shared" si="27"/>
        <v>A54. Seat Adjust Switch, FRONT - RIGHT</v>
      </c>
      <c r="AG46" s="279" t="str">
        <f t="shared" si="28"/>
        <v>A54.+Seat+Adjust+Switch,+FRONT+-+RIGHT</v>
      </c>
      <c r="AH46" s="279" t="str">
        <f t="shared" si="29"/>
        <v>A54.+Seat+Adjust+Switch%2C+FRONT+-+RIGHT</v>
      </c>
      <c r="AI46" s="279" t="str">
        <f t="shared" si="30"/>
        <v>A54.+Seat+Adjust+Switch%2C+FRONT+-+RIGHT</v>
      </c>
      <c r="AJ46" s="279" t="str">
        <f t="shared" si="31"/>
        <v>A54.+Seat+Adjust+Switch%2C+FRONT+-+RIGHT</v>
      </c>
      <c r="AK46" s="279" t="str">
        <f t="shared" si="32"/>
        <v>A54.+Seat+Adjust+Switch%2C+FRONT+-+RIGHT</v>
      </c>
      <c r="AL46" s="279" t="str">
        <f t="shared" si="33"/>
        <v>A54.+Seat+Adjust+Switch%2C+FRONT+-+RIGHT</v>
      </c>
      <c r="AM46" s="279" t="str">
        <f t="shared" si="34"/>
        <v>A54.+Seat+Adjust+Switch%2C+FRONT+-+RIGHT</v>
      </c>
      <c r="AN46" s="279" t="str">
        <f t="shared" si="39"/>
        <v>A54.+Seat+Adjust+Switch%2C+FRONT+-+RIGHT</v>
      </c>
      <c r="AO46" s="279" t="str">
        <f t="shared" si="35"/>
        <v>A54.+Seat+Adjust+Switch%2C+FRONT+-+RIGHT</v>
      </c>
      <c r="AP46" s="279" t="str">
        <f t="shared" si="36"/>
        <v>A54.+Seat+Adjust+Switch%2C+FRONT+-+RIGHT</v>
      </c>
      <c r="AQ46" s="280" t="s">
        <v>1395</v>
      </c>
      <c r="AR46" s="280" t="s">
        <v>1396</v>
      </c>
      <c r="AS46" s="280" t="s">
        <v>1397</v>
      </c>
      <c r="AT46" s="280" t="s">
        <v>1398</v>
      </c>
      <c r="AU46" s="280" t="s">
        <v>1399</v>
      </c>
      <c r="AV46" s="280" t="s">
        <v>1400</v>
      </c>
      <c r="AW46" s="280" t="s">
        <v>1401</v>
      </c>
      <c r="AX46" s="280" t="s">
        <v>1402</v>
      </c>
      <c r="AY46" s="280" t="s">
        <v>1403</v>
      </c>
      <c r="AZ46" s="280" t="s">
        <v>1404</v>
      </c>
      <c r="BA46" s="280" t="s">
        <v>1405</v>
      </c>
      <c r="BB46" s="280" t="s">
        <v>1406</v>
      </c>
      <c r="BC46" s="280" t="s">
        <v>1419</v>
      </c>
      <c r="BD46" s="280" t="s">
        <v>1407</v>
      </c>
      <c r="BE46" s="280" t="s">
        <v>1408</v>
      </c>
      <c r="BF46" s="280" t="s">
        <v>1409</v>
      </c>
      <c r="BG46" s="280" t="s">
        <v>1410</v>
      </c>
      <c r="BH46" s="280" t="s">
        <v>1411</v>
      </c>
      <c r="BI46" s="280" t="s">
        <v>1412</v>
      </c>
      <c r="BJ46" s="280" t="s">
        <v>1413</v>
      </c>
      <c r="BK46" s="280" t="s">
        <v>1414</v>
      </c>
      <c r="BL46" s="280" t="s">
        <v>1415</v>
      </c>
      <c r="BM46" s="280" t="s">
        <v>1416</v>
      </c>
      <c r="BN46" s="280" t="s">
        <v>1417</v>
      </c>
      <c r="BO46" s="280" t="s">
        <v>1418</v>
      </c>
      <c r="BP46" s="280" t="s">
        <v>1420</v>
      </c>
      <c r="BQ46" s="134" t="str">
        <f t="shared" si="40"/>
        <v>Pic Example</v>
      </c>
    </row>
    <row r="47" spans="2:69" x14ac:dyDescent="0.25">
      <c r="B47" t="s">
        <v>957</v>
      </c>
      <c r="C47" s="279" t="str">
        <f t="shared" si="37"/>
        <v>https://viking-pictures.s3.us-west-1.amazonaws.com/AA1155/A55.+Traction+Control+Switch+Panel+(1).JPG|https://viking-pictures.s3.us-west-1.amazonaws.com/AA1155/A55.+Traction+Control+Switch+Panel+(2).JPG|https://viking-pictures.s3.us-west-1.amazonaws.com/AA1155/A55.+Traction+Control+Switch+Panel+(3).JPG|https://viking-pictures.s3.us-west-1.amazonaws.com/AA1155/A55.+Traction+Control+Switch+Panel+(4).JPG|https://viking-pictures.s3.us-west-1.amazonaws.com/AA1155/A55.+Traction+Control+Switch+Panel+(5).JPG</v>
      </c>
      <c r="D47" s="281">
        <f>_xlfn.XLOOKUP(B47,'3. Keep &amp; Toss Items'!O:O,'3. Keep &amp; Toss Items'!U:U,"NOT FOUND",0,1)</f>
        <v>5</v>
      </c>
      <c r="E47" s="279" t="str">
        <f t="shared" si="38"/>
        <v>https://viking-pictures.s3.us-west-1.amazonaws.com/AA1155/A55.+Traction+Control+Switch+Panel+(1).JPG</v>
      </c>
      <c r="F47" s="279" t="str">
        <f t="shared" si="41"/>
        <v>https://viking-pictures.s3.us-west-1.amazonaws.com/AA1155/A55.+Traction+Control+Switch+Panel+(2).JPG</v>
      </c>
      <c r="G47" s="279" t="str">
        <f t="shared" si="42"/>
        <v>https://viking-pictures.s3.us-west-1.amazonaws.com/AA1155/A55.+Traction+Control+Switch+Panel+(3).JPG</v>
      </c>
      <c r="H47" s="279" t="str">
        <f t="shared" si="43"/>
        <v>https://viking-pictures.s3.us-west-1.amazonaws.com/AA1155/A55.+Traction+Control+Switch+Panel+(4).JPG</v>
      </c>
      <c r="I47" s="279" t="str">
        <f t="shared" si="44"/>
        <v>https://viking-pictures.s3.us-west-1.amazonaws.com/AA1155/A55.+Traction+Control+Switch+Panel+(5).JPG</v>
      </c>
      <c r="J47" s="279" t="str">
        <f t="shared" si="45"/>
        <v/>
      </c>
      <c r="K47" s="279" t="str">
        <f t="shared" si="46"/>
        <v/>
      </c>
      <c r="L47" s="279" t="str">
        <f t="shared" si="46"/>
        <v/>
      </c>
      <c r="M47" s="279" t="str">
        <f t="shared" si="47"/>
        <v/>
      </c>
      <c r="N47" s="279" t="str">
        <f t="shared" si="48"/>
        <v/>
      </c>
      <c r="O47" s="279" t="str">
        <f t="shared" si="49"/>
        <v/>
      </c>
      <c r="P47" s="279" t="str">
        <f t="shared" si="50"/>
        <v/>
      </c>
      <c r="Q47" s="279" t="str">
        <f t="shared" si="51"/>
        <v/>
      </c>
      <c r="R47" s="279" t="str">
        <f t="shared" si="52"/>
        <v/>
      </c>
      <c r="S47" s="279" t="str">
        <f t="shared" si="53"/>
        <v/>
      </c>
      <c r="T47" s="279" t="str">
        <f t="shared" si="54"/>
        <v/>
      </c>
      <c r="U47" s="279" t="str">
        <f t="shared" si="55"/>
        <v/>
      </c>
      <c r="V47" s="279" t="str">
        <f t="shared" si="56"/>
        <v/>
      </c>
      <c r="W47" s="279" t="str">
        <f t="shared" si="57"/>
        <v/>
      </c>
      <c r="X47" s="279" t="str">
        <f t="shared" si="58"/>
        <v/>
      </c>
      <c r="Y47" s="279" t="str">
        <f t="shared" si="59"/>
        <v/>
      </c>
      <c r="Z47" s="279" t="str">
        <f t="shared" si="60"/>
        <v/>
      </c>
      <c r="AA47" s="279" t="str">
        <f t="shared" si="61"/>
        <v/>
      </c>
      <c r="AB47" s="279" t="str">
        <f t="shared" si="62"/>
        <v/>
      </c>
      <c r="AC47" s="104" t="s">
        <v>1382</v>
      </c>
      <c r="AD47" s="279" t="str">
        <f t="shared" si="26"/>
        <v>A55.+Traction+Control+Switch+Panel</v>
      </c>
      <c r="AE47" s="279" t="str">
        <f>_xlfn.XLOOKUP(B47,'3. Keep &amp; Toss Items'!O:O,'3. Keep &amp; Toss Items'!Q:Q,"NOT FOUND",0,1)</f>
        <v>A55. Traction Control Switch Panel</v>
      </c>
      <c r="AF47" s="279" t="str">
        <f t="shared" si="27"/>
        <v>A55. Traction Control Switch Panel</v>
      </c>
      <c r="AG47" s="279" t="str">
        <f t="shared" si="28"/>
        <v>A55.+Traction+Control+Switch+Panel</v>
      </c>
      <c r="AH47" s="279" t="str">
        <f t="shared" si="29"/>
        <v>A55.+Traction+Control+Switch+Panel</v>
      </c>
      <c r="AI47" s="279" t="str">
        <f t="shared" si="30"/>
        <v>A55.+Traction+Control+Switch+Panel</v>
      </c>
      <c r="AJ47" s="279" t="str">
        <f t="shared" si="31"/>
        <v>A55.+Traction+Control+Switch+Panel</v>
      </c>
      <c r="AK47" s="279" t="str">
        <f t="shared" si="32"/>
        <v>A55.+Traction+Control+Switch+Panel</v>
      </c>
      <c r="AL47" s="279" t="str">
        <f t="shared" si="33"/>
        <v>A55.+Traction+Control+Switch+Panel</v>
      </c>
      <c r="AM47" s="279" t="str">
        <f t="shared" si="34"/>
        <v>A55.+Traction+Control+Switch+Panel</v>
      </c>
      <c r="AN47" s="279" t="str">
        <f t="shared" si="39"/>
        <v>A55.+Traction+Control+Switch+Panel</v>
      </c>
      <c r="AO47" s="279" t="str">
        <f t="shared" si="35"/>
        <v>A55.+Traction+Control+Switch+Panel</v>
      </c>
      <c r="AP47" s="279" t="str">
        <f t="shared" si="36"/>
        <v>A55.+Traction+Control+Switch+Panel</v>
      </c>
      <c r="AQ47" s="280" t="s">
        <v>1395</v>
      </c>
      <c r="AR47" s="280" t="s">
        <v>1396</v>
      </c>
      <c r="AS47" s="280" t="s">
        <v>1397</v>
      </c>
      <c r="AT47" s="280" t="s">
        <v>1398</v>
      </c>
      <c r="AU47" s="280" t="s">
        <v>1399</v>
      </c>
      <c r="AV47" s="280" t="s">
        <v>1400</v>
      </c>
      <c r="AW47" s="280" t="s">
        <v>1401</v>
      </c>
      <c r="AX47" s="280" t="s">
        <v>1402</v>
      </c>
      <c r="AY47" s="280" t="s">
        <v>1403</v>
      </c>
      <c r="AZ47" s="280" t="s">
        <v>1404</v>
      </c>
      <c r="BA47" s="280" t="s">
        <v>1405</v>
      </c>
      <c r="BB47" s="280" t="s">
        <v>1406</v>
      </c>
      <c r="BC47" s="280" t="s">
        <v>1419</v>
      </c>
      <c r="BD47" s="280" t="s">
        <v>1407</v>
      </c>
      <c r="BE47" s="280" t="s">
        <v>1408</v>
      </c>
      <c r="BF47" s="280" t="s">
        <v>1409</v>
      </c>
      <c r="BG47" s="280" t="s">
        <v>1410</v>
      </c>
      <c r="BH47" s="280" t="s">
        <v>1411</v>
      </c>
      <c r="BI47" s="280" t="s">
        <v>1412</v>
      </c>
      <c r="BJ47" s="280" t="s">
        <v>1413</v>
      </c>
      <c r="BK47" s="280" t="s">
        <v>1414</v>
      </c>
      <c r="BL47" s="280" t="s">
        <v>1415</v>
      </c>
      <c r="BM47" s="280" t="s">
        <v>1416</v>
      </c>
      <c r="BN47" s="280" t="s">
        <v>1417</v>
      </c>
      <c r="BO47" s="280" t="s">
        <v>1418</v>
      </c>
      <c r="BP47" s="280" t="s">
        <v>1420</v>
      </c>
      <c r="BQ47" s="134" t="str">
        <f t="shared" si="40"/>
        <v>Pic Example</v>
      </c>
    </row>
    <row r="48" spans="2:69" x14ac:dyDescent="0.25">
      <c r="B48" t="s">
        <v>958</v>
      </c>
      <c r="C48" s="279" t="str">
        <f t="shared" si="37"/>
        <v>https://viking-pictures.s3.us-west-1.amazonaws.com/AA1155/A56.+Steering+Wheel+Adjust+Switch+With+Steering+Wheel+Heater+(1).JPG|https://viking-pictures.s3.us-west-1.amazonaws.com/AA1155/A56.+Steering+Wheel+Adjust+Switch+With+Steering+Wheel+Heater+(2).JPG|https://viking-pictures.s3.us-west-1.amazonaws.com/AA1155/A56.+Steering+Wheel+Adjust+Switch+With+Steering+Wheel+Heater+(3).JPG|https://viking-pictures.s3.us-west-1.amazonaws.com/AA1155/A56.+Steering+Wheel+Adjust+Switch+With+Steering+Wheel+Heater+(4).JPG|https://viking-pictures.s3.us-west-1.amazonaws.com/AA1155/A56.+Steering+Wheel+Adjust+Switch+With+Steering+Wheel+Heater+(5).JPG</v>
      </c>
      <c r="D48" s="281">
        <f>_xlfn.XLOOKUP(B48,'3. Keep &amp; Toss Items'!O:O,'3. Keep &amp; Toss Items'!U:U,"NOT FOUND",0,1)</f>
        <v>5</v>
      </c>
      <c r="E48" s="279" t="str">
        <f t="shared" si="38"/>
        <v>https://viking-pictures.s3.us-west-1.amazonaws.com/AA1155/A56.+Steering+Wheel+Adjust+Switch+With+Steering+Wheel+Heater+(1).JPG</v>
      </c>
      <c r="F48" s="279" t="str">
        <f t="shared" si="41"/>
        <v>https://viking-pictures.s3.us-west-1.amazonaws.com/AA1155/A56.+Steering+Wheel+Adjust+Switch+With+Steering+Wheel+Heater+(2).JPG</v>
      </c>
      <c r="G48" s="279" t="str">
        <f t="shared" si="42"/>
        <v>https://viking-pictures.s3.us-west-1.amazonaws.com/AA1155/A56.+Steering+Wheel+Adjust+Switch+With+Steering+Wheel+Heater+(3).JPG</v>
      </c>
      <c r="H48" s="279" t="str">
        <f t="shared" si="43"/>
        <v>https://viking-pictures.s3.us-west-1.amazonaws.com/AA1155/A56.+Steering+Wheel+Adjust+Switch+With+Steering+Wheel+Heater+(4).JPG</v>
      </c>
      <c r="I48" s="279" t="str">
        <f t="shared" si="44"/>
        <v>https://viking-pictures.s3.us-west-1.amazonaws.com/AA1155/A56.+Steering+Wheel+Adjust+Switch+With+Steering+Wheel+Heater+(5).JPG</v>
      </c>
      <c r="J48" s="279" t="str">
        <f t="shared" si="45"/>
        <v/>
      </c>
      <c r="K48" s="279" t="str">
        <f t="shared" si="46"/>
        <v/>
      </c>
      <c r="L48" s="279" t="str">
        <f t="shared" si="46"/>
        <v/>
      </c>
      <c r="M48" s="279" t="str">
        <f t="shared" si="47"/>
        <v/>
      </c>
      <c r="N48" s="279" t="str">
        <f t="shared" si="48"/>
        <v/>
      </c>
      <c r="O48" s="279" t="str">
        <f t="shared" si="49"/>
        <v/>
      </c>
      <c r="P48" s="279" t="str">
        <f t="shared" si="50"/>
        <v/>
      </c>
      <c r="Q48" s="279" t="str">
        <f t="shared" si="51"/>
        <v/>
      </c>
      <c r="R48" s="279" t="str">
        <f t="shared" si="52"/>
        <v/>
      </c>
      <c r="S48" s="279" t="str">
        <f t="shared" si="53"/>
        <v/>
      </c>
      <c r="T48" s="279" t="str">
        <f t="shared" si="54"/>
        <v/>
      </c>
      <c r="U48" s="279" t="str">
        <f t="shared" si="55"/>
        <v/>
      </c>
      <c r="V48" s="279" t="str">
        <f t="shared" si="56"/>
        <v/>
      </c>
      <c r="W48" s="279" t="str">
        <f t="shared" si="57"/>
        <v/>
      </c>
      <c r="X48" s="279" t="str">
        <f t="shared" si="58"/>
        <v/>
      </c>
      <c r="Y48" s="279" t="str">
        <f t="shared" si="59"/>
        <v/>
      </c>
      <c r="Z48" s="279" t="str">
        <f t="shared" si="60"/>
        <v/>
      </c>
      <c r="AA48" s="279" t="str">
        <f t="shared" si="61"/>
        <v/>
      </c>
      <c r="AB48" s="279" t="str">
        <f t="shared" si="62"/>
        <v/>
      </c>
      <c r="AC48" s="104" t="s">
        <v>1382</v>
      </c>
      <c r="AD48" s="279" t="str">
        <f t="shared" si="26"/>
        <v>A56.+Steering+Wheel+Adjust+Switch+With+Steering+Wheel+Heater</v>
      </c>
      <c r="AE48" s="279" t="str">
        <f>_xlfn.XLOOKUP(B48,'3. Keep &amp; Toss Items'!O:O,'3. Keep &amp; Toss Items'!Q:Q,"NOT FOUND",0,1)</f>
        <v>A56. Steering Wheel Adjust Switch With Steering Wheel Heater</v>
      </c>
      <c r="AF48" s="279" t="str">
        <f t="shared" si="27"/>
        <v>A56. Steering Wheel Adjust Switch With Steering Wheel Heater</v>
      </c>
      <c r="AG48" s="279" t="str">
        <f t="shared" si="28"/>
        <v>A56.+Steering+Wheel+Adjust+Switch+With+Steering+Wheel+Heater</v>
      </c>
      <c r="AH48" s="279" t="str">
        <f t="shared" si="29"/>
        <v>A56.+Steering+Wheel+Adjust+Switch+With+Steering+Wheel+Heater</v>
      </c>
      <c r="AI48" s="279" t="str">
        <f t="shared" si="30"/>
        <v>A56.+Steering+Wheel+Adjust+Switch+With+Steering+Wheel+Heater</v>
      </c>
      <c r="AJ48" s="279" t="str">
        <f t="shared" si="31"/>
        <v>A56.+Steering+Wheel+Adjust+Switch+With+Steering+Wheel+Heater</v>
      </c>
      <c r="AK48" s="279" t="str">
        <f t="shared" si="32"/>
        <v>A56.+Steering+Wheel+Adjust+Switch+With+Steering+Wheel+Heater</v>
      </c>
      <c r="AL48" s="279" t="str">
        <f t="shared" si="33"/>
        <v>A56.+Steering+Wheel+Adjust+Switch+With+Steering+Wheel+Heater</v>
      </c>
      <c r="AM48" s="279" t="str">
        <f t="shared" si="34"/>
        <v>A56.+Steering+Wheel+Adjust+Switch+With+Steering+Wheel+Heater</v>
      </c>
      <c r="AN48" s="279" t="str">
        <f t="shared" si="39"/>
        <v>A56.+Steering+Wheel+Adjust+Switch+With+Steering+Wheel+Heater</v>
      </c>
      <c r="AO48" s="279" t="str">
        <f t="shared" si="35"/>
        <v>A56.+Steering+Wheel+Adjust+Switch+With+Steering+Wheel+Heater</v>
      </c>
      <c r="AP48" s="279" t="str">
        <f t="shared" si="36"/>
        <v>A56.+Steering+Wheel+Adjust+Switch+With+Steering+Wheel+Heater</v>
      </c>
      <c r="AQ48" s="280" t="s">
        <v>1395</v>
      </c>
      <c r="AR48" s="280" t="s">
        <v>1396</v>
      </c>
      <c r="AS48" s="280" t="s">
        <v>1397</v>
      </c>
      <c r="AT48" s="280" t="s">
        <v>1398</v>
      </c>
      <c r="AU48" s="280" t="s">
        <v>1399</v>
      </c>
      <c r="AV48" s="280" t="s">
        <v>1400</v>
      </c>
      <c r="AW48" s="280" t="s">
        <v>1401</v>
      </c>
      <c r="AX48" s="280" t="s">
        <v>1402</v>
      </c>
      <c r="AY48" s="280" t="s">
        <v>1403</v>
      </c>
      <c r="AZ48" s="280" t="s">
        <v>1404</v>
      </c>
      <c r="BA48" s="280" t="s">
        <v>1405</v>
      </c>
      <c r="BB48" s="280" t="s">
        <v>1406</v>
      </c>
      <c r="BC48" s="280" t="s">
        <v>1419</v>
      </c>
      <c r="BD48" s="280" t="s">
        <v>1407</v>
      </c>
      <c r="BE48" s="280" t="s">
        <v>1408</v>
      </c>
      <c r="BF48" s="280" t="s">
        <v>1409</v>
      </c>
      <c r="BG48" s="280" t="s">
        <v>1410</v>
      </c>
      <c r="BH48" s="280" t="s">
        <v>1411</v>
      </c>
      <c r="BI48" s="280" t="s">
        <v>1412</v>
      </c>
      <c r="BJ48" s="280" t="s">
        <v>1413</v>
      </c>
      <c r="BK48" s="280" t="s">
        <v>1414</v>
      </c>
      <c r="BL48" s="280" t="s">
        <v>1415</v>
      </c>
      <c r="BM48" s="280" t="s">
        <v>1416</v>
      </c>
      <c r="BN48" s="280" t="s">
        <v>1417</v>
      </c>
      <c r="BO48" s="280" t="s">
        <v>1418</v>
      </c>
      <c r="BP48" s="280" t="s">
        <v>1420</v>
      </c>
      <c r="BQ48" s="134" t="str">
        <f t="shared" si="40"/>
        <v>Pic Example</v>
      </c>
    </row>
    <row r="49" spans="2:69" x14ac:dyDescent="0.25">
      <c r="B49" t="s">
        <v>959</v>
      </c>
      <c r="C49" s="279" t="str">
        <f t="shared" si="37"/>
        <v>https://viking-pictures.s3.us-west-1.amazonaws.com/AA1155/A57.+Seat+Adjust+Switch%2C+FRONT+-+LEFT+(1).JPG|https://viking-pictures.s3.us-west-1.amazonaws.com/AA1155/A57.+Seat+Adjust+Switch%2C+FRONT+-+LEFT+(2).JPG|https://viking-pictures.s3.us-west-1.amazonaws.com/AA1155/A57.+Seat+Adjust+Switch%2C+FRONT+-+LEFT+(3).JPG|https://viking-pictures.s3.us-west-1.amazonaws.com/AA1155/A57.+Seat+Adjust+Switch%2C+FRONT+-+LEFT+(4).JPG</v>
      </c>
      <c r="D49" s="281">
        <f>_xlfn.XLOOKUP(B49,'3. Keep &amp; Toss Items'!O:O,'3. Keep &amp; Toss Items'!U:U,"NOT FOUND",0,1)</f>
        <v>4</v>
      </c>
      <c r="E49" s="279" t="str">
        <f t="shared" si="38"/>
        <v>https://viking-pictures.s3.us-west-1.amazonaws.com/AA1155/A57.+Seat+Adjust+Switch%2C+FRONT+-+LEFT+(1).JPG</v>
      </c>
      <c r="F49" s="279" t="str">
        <f t="shared" si="41"/>
        <v>https://viking-pictures.s3.us-west-1.amazonaws.com/AA1155/A57.+Seat+Adjust+Switch%2C+FRONT+-+LEFT+(2).JPG</v>
      </c>
      <c r="G49" s="279" t="str">
        <f t="shared" si="42"/>
        <v>https://viking-pictures.s3.us-west-1.amazonaws.com/AA1155/A57.+Seat+Adjust+Switch%2C+FRONT+-+LEFT+(3).JPG</v>
      </c>
      <c r="H49" s="279" t="str">
        <f t="shared" si="43"/>
        <v>https://viking-pictures.s3.us-west-1.amazonaws.com/AA1155/A57.+Seat+Adjust+Switch%2C+FRONT+-+LEFT+(4).JPG</v>
      </c>
      <c r="I49" s="279" t="str">
        <f t="shared" si="44"/>
        <v/>
      </c>
      <c r="J49" s="279" t="str">
        <f t="shared" si="45"/>
        <v/>
      </c>
      <c r="K49" s="279" t="str">
        <f t="shared" si="46"/>
        <v/>
      </c>
      <c r="L49" s="279" t="str">
        <f t="shared" si="46"/>
        <v/>
      </c>
      <c r="M49" s="279" t="str">
        <f t="shared" si="47"/>
        <v/>
      </c>
      <c r="N49" s="279" t="str">
        <f t="shared" si="48"/>
        <v/>
      </c>
      <c r="O49" s="279" t="str">
        <f t="shared" si="49"/>
        <v/>
      </c>
      <c r="P49" s="279" t="str">
        <f t="shared" si="50"/>
        <v/>
      </c>
      <c r="Q49" s="279" t="str">
        <f t="shared" si="51"/>
        <v/>
      </c>
      <c r="R49" s="279" t="str">
        <f t="shared" si="52"/>
        <v/>
      </c>
      <c r="S49" s="279" t="str">
        <f t="shared" si="53"/>
        <v/>
      </c>
      <c r="T49" s="279" t="str">
        <f t="shared" si="54"/>
        <v/>
      </c>
      <c r="U49" s="279" t="str">
        <f t="shared" si="55"/>
        <v/>
      </c>
      <c r="V49" s="279" t="str">
        <f t="shared" si="56"/>
        <v/>
      </c>
      <c r="W49" s="279" t="str">
        <f t="shared" si="57"/>
        <v/>
      </c>
      <c r="X49" s="279" t="str">
        <f t="shared" si="58"/>
        <v/>
      </c>
      <c r="Y49" s="279" t="str">
        <f t="shared" si="59"/>
        <v/>
      </c>
      <c r="Z49" s="279" t="str">
        <f t="shared" si="60"/>
        <v/>
      </c>
      <c r="AA49" s="279" t="str">
        <f t="shared" si="61"/>
        <v/>
      </c>
      <c r="AB49" s="279" t="str">
        <f t="shared" si="62"/>
        <v/>
      </c>
      <c r="AC49" s="104" t="s">
        <v>1382</v>
      </c>
      <c r="AD49" s="279" t="str">
        <f t="shared" si="26"/>
        <v>A57.+Seat+Adjust+Switch%2C+FRONT+-+LEFT</v>
      </c>
      <c r="AE49" s="279" t="str">
        <f>_xlfn.XLOOKUP(B49,'3. Keep &amp; Toss Items'!O:O,'3. Keep &amp; Toss Items'!Q:Q,"NOT FOUND",0,1)</f>
        <v>A57. Seat Adjust Switch, FRONT - LEFT</v>
      </c>
      <c r="AF49" s="279" t="str">
        <f t="shared" si="27"/>
        <v>A57. Seat Adjust Switch, FRONT - LEFT</v>
      </c>
      <c r="AG49" s="279" t="str">
        <f t="shared" si="28"/>
        <v>A57.+Seat+Adjust+Switch,+FRONT+-+LEFT</v>
      </c>
      <c r="AH49" s="279" t="str">
        <f t="shared" si="29"/>
        <v>A57.+Seat+Adjust+Switch%2C+FRONT+-+LEFT</v>
      </c>
      <c r="AI49" s="279" t="str">
        <f t="shared" si="30"/>
        <v>A57.+Seat+Adjust+Switch%2C+FRONT+-+LEFT</v>
      </c>
      <c r="AJ49" s="279" t="str">
        <f t="shared" si="31"/>
        <v>A57.+Seat+Adjust+Switch%2C+FRONT+-+LEFT</v>
      </c>
      <c r="AK49" s="279" t="str">
        <f t="shared" si="32"/>
        <v>A57.+Seat+Adjust+Switch%2C+FRONT+-+LEFT</v>
      </c>
      <c r="AL49" s="279" t="str">
        <f t="shared" si="33"/>
        <v>A57.+Seat+Adjust+Switch%2C+FRONT+-+LEFT</v>
      </c>
      <c r="AM49" s="279" t="str">
        <f t="shared" si="34"/>
        <v>A57.+Seat+Adjust+Switch%2C+FRONT+-+LEFT</v>
      </c>
      <c r="AN49" s="279" t="str">
        <f t="shared" si="39"/>
        <v>A57.+Seat+Adjust+Switch%2C+FRONT+-+LEFT</v>
      </c>
      <c r="AO49" s="279" t="str">
        <f t="shared" si="35"/>
        <v>A57.+Seat+Adjust+Switch%2C+FRONT+-+LEFT</v>
      </c>
      <c r="AP49" s="279" t="str">
        <f t="shared" si="36"/>
        <v>A57.+Seat+Adjust+Switch%2C+FRONT+-+LEFT</v>
      </c>
      <c r="AQ49" s="280" t="s">
        <v>1395</v>
      </c>
      <c r="AR49" s="280" t="s">
        <v>1396</v>
      </c>
      <c r="AS49" s="280" t="s">
        <v>1397</v>
      </c>
      <c r="AT49" s="280" t="s">
        <v>1398</v>
      </c>
      <c r="AU49" s="280" t="s">
        <v>1399</v>
      </c>
      <c r="AV49" s="280" t="s">
        <v>1400</v>
      </c>
      <c r="AW49" s="280" t="s">
        <v>1401</v>
      </c>
      <c r="AX49" s="280" t="s">
        <v>1402</v>
      </c>
      <c r="AY49" s="280" t="s">
        <v>1403</v>
      </c>
      <c r="AZ49" s="280" t="s">
        <v>1404</v>
      </c>
      <c r="BA49" s="280" t="s">
        <v>1405</v>
      </c>
      <c r="BB49" s="280" t="s">
        <v>1406</v>
      </c>
      <c r="BC49" s="280" t="s">
        <v>1419</v>
      </c>
      <c r="BD49" s="280" t="s">
        <v>1407</v>
      </c>
      <c r="BE49" s="280" t="s">
        <v>1408</v>
      </c>
      <c r="BF49" s="280" t="s">
        <v>1409</v>
      </c>
      <c r="BG49" s="280" t="s">
        <v>1410</v>
      </c>
      <c r="BH49" s="280" t="s">
        <v>1411</v>
      </c>
      <c r="BI49" s="280" t="s">
        <v>1412</v>
      </c>
      <c r="BJ49" s="280" t="s">
        <v>1413</v>
      </c>
      <c r="BK49" s="280" t="s">
        <v>1414</v>
      </c>
      <c r="BL49" s="280" t="s">
        <v>1415</v>
      </c>
      <c r="BM49" s="280" t="s">
        <v>1416</v>
      </c>
      <c r="BN49" s="280" t="s">
        <v>1417</v>
      </c>
      <c r="BO49" s="280" t="s">
        <v>1418</v>
      </c>
      <c r="BP49" s="280" t="s">
        <v>1420</v>
      </c>
      <c r="BQ49" s="134" t="str">
        <f t="shared" si="40"/>
        <v>Pic Example</v>
      </c>
    </row>
    <row r="50" spans="2:69" x14ac:dyDescent="0.25">
      <c r="B50" t="s">
        <v>960</v>
      </c>
      <c r="C50" s="279" t="str">
        <f t="shared" si="37"/>
        <v>https://viking-pictures.s3.us-west-1.amazonaws.com/AA1155/A58.+Switch%2C+Window+Master+(1).JPG|https://viking-pictures.s3.us-west-1.amazonaws.com/AA1155/A58.+Switch%2C+Window+Master+(2).JPG|https://viking-pictures.s3.us-west-1.amazonaws.com/AA1155/A58.+Switch%2C+Window+Master+(3).JPG|https://viking-pictures.s3.us-west-1.amazonaws.com/AA1155/A58.+Switch%2C+Window+Master+(4).JPG|https://viking-pictures.s3.us-west-1.amazonaws.com/AA1155/A58.+Switch%2C+Window+Master+(5).JPG</v>
      </c>
      <c r="D50" s="281">
        <f>_xlfn.XLOOKUP(B50,'3. Keep &amp; Toss Items'!O:O,'3. Keep &amp; Toss Items'!U:U,"NOT FOUND",0,1)</f>
        <v>5</v>
      </c>
      <c r="E50" s="279" t="str">
        <f t="shared" si="38"/>
        <v>https://viking-pictures.s3.us-west-1.amazonaws.com/AA1155/A58.+Switch%2C+Window+Master+(1).JPG</v>
      </c>
      <c r="F50" s="279" t="str">
        <f t="shared" si="41"/>
        <v>https://viking-pictures.s3.us-west-1.amazonaws.com/AA1155/A58.+Switch%2C+Window+Master+(2).JPG</v>
      </c>
      <c r="G50" s="279" t="str">
        <f t="shared" si="42"/>
        <v>https://viking-pictures.s3.us-west-1.amazonaws.com/AA1155/A58.+Switch%2C+Window+Master+(3).JPG</v>
      </c>
      <c r="H50" s="279" t="str">
        <f t="shared" si="43"/>
        <v>https://viking-pictures.s3.us-west-1.amazonaws.com/AA1155/A58.+Switch%2C+Window+Master+(4).JPG</v>
      </c>
      <c r="I50" s="279" t="str">
        <f t="shared" si="44"/>
        <v>https://viking-pictures.s3.us-west-1.amazonaws.com/AA1155/A58.+Switch%2C+Window+Master+(5).JPG</v>
      </c>
      <c r="J50" s="279" t="str">
        <f t="shared" si="45"/>
        <v/>
      </c>
      <c r="K50" s="279" t="str">
        <f t="shared" si="46"/>
        <v/>
      </c>
      <c r="L50" s="279" t="str">
        <f t="shared" si="46"/>
        <v/>
      </c>
      <c r="M50" s="279" t="str">
        <f t="shared" si="47"/>
        <v/>
      </c>
      <c r="N50" s="279" t="str">
        <f t="shared" si="48"/>
        <v/>
      </c>
      <c r="O50" s="279" t="str">
        <f t="shared" si="49"/>
        <v/>
      </c>
      <c r="P50" s="279" t="str">
        <f t="shared" si="50"/>
        <v/>
      </c>
      <c r="Q50" s="279" t="str">
        <f t="shared" si="51"/>
        <v/>
      </c>
      <c r="R50" s="279" t="str">
        <f t="shared" si="52"/>
        <v/>
      </c>
      <c r="S50" s="279" t="str">
        <f t="shared" si="53"/>
        <v/>
      </c>
      <c r="T50" s="279" t="str">
        <f t="shared" si="54"/>
        <v/>
      </c>
      <c r="U50" s="279" t="str">
        <f t="shared" si="55"/>
        <v/>
      </c>
      <c r="V50" s="279" t="str">
        <f t="shared" si="56"/>
        <v/>
      </c>
      <c r="W50" s="279" t="str">
        <f t="shared" si="57"/>
        <v/>
      </c>
      <c r="X50" s="279" t="str">
        <f t="shared" si="58"/>
        <v/>
      </c>
      <c r="Y50" s="279" t="str">
        <f t="shared" si="59"/>
        <v/>
      </c>
      <c r="Z50" s="279" t="str">
        <f t="shared" si="60"/>
        <v/>
      </c>
      <c r="AA50" s="279" t="str">
        <f t="shared" si="61"/>
        <v/>
      </c>
      <c r="AB50" s="279" t="str">
        <f t="shared" si="62"/>
        <v/>
      </c>
      <c r="AC50" s="104" t="s">
        <v>1382</v>
      </c>
      <c r="AD50" s="279" t="str">
        <f t="shared" si="26"/>
        <v>A58.+Switch%2C+Window+Master</v>
      </c>
      <c r="AE50" s="279" t="str">
        <f>_xlfn.XLOOKUP(B50,'3. Keep &amp; Toss Items'!O:O,'3. Keep &amp; Toss Items'!Q:Q,"NOT FOUND",0,1)</f>
        <v>A58. Switch, Window Master</v>
      </c>
      <c r="AF50" s="279" t="str">
        <f t="shared" si="27"/>
        <v>A58. Switch, Window Master</v>
      </c>
      <c r="AG50" s="279" t="str">
        <f t="shared" si="28"/>
        <v>A58.+Switch,+Window+Master</v>
      </c>
      <c r="AH50" s="279" t="str">
        <f t="shared" si="29"/>
        <v>A58.+Switch%2C+Window+Master</v>
      </c>
      <c r="AI50" s="279" t="str">
        <f t="shared" si="30"/>
        <v>A58.+Switch%2C+Window+Master</v>
      </c>
      <c r="AJ50" s="279" t="str">
        <f t="shared" si="31"/>
        <v>A58.+Switch%2C+Window+Master</v>
      </c>
      <c r="AK50" s="279" t="str">
        <f t="shared" si="32"/>
        <v>A58.+Switch%2C+Window+Master</v>
      </c>
      <c r="AL50" s="279" t="str">
        <f t="shared" si="33"/>
        <v>A58.+Switch%2C+Window+Master</v>
      </c>
      <c r="AM50" s="279" t="str">
        <f t="shared" si="34"/>
        <v>A58.+Switch%2C+Window+Master</v>
      </c>
      <c r="AN50" s="279" t="str">
        <f t="shared" si="39"/>
        <v>A58.+Switch%2C+Window+Master</v>
      </c>
      <c r="AO50" s="279" t="str">
        <f t="shared" si="35"/>
        <v>A58.+Switch%2C+Window+Master</v>
      </c>
      <c r="AP50" s="279" t="str">
        <f t="shared" si="36"/>
        <v>A58.+Switch%2C+Window+Master</v>
      </c>
      <c r="AQ50" s="280" t="s">
        <v>1395</v>
      </c>
      <c r="AR50" s="280" t="s">
        <v>1396</v>
      </c>
      <c r="AS50" s="280" t="s">
        <v>1397</v>
      </c>
      <c r="AT50" s="280" t="s">
        <v>1398</v>
      </c>
      <c r="AU50" s="280" t="s">
        <v>1399</v>
      </c>
      <c r="AV50" s="280" t="s">
        <v>1400</v>
      </c>
      <c r="AW50" s="280" t="s">
        <v>1401</v>
      </c>
      <c r="AX50" s="280" t="s">
        <v>1402</v>
      </c>
      <c r="AY50" s="280" t="s">
        <v>1403</v>
      </c>
      <c r="AZ50" s="280" t="s">
        <v>1404</v>
      </c>
      <c r="BA50" s="280" t="s">
        <v>1405</v>
      </c>
      <c r="BB50" s="280" t="s">
        <v>1406</v>
      </c>
      <c r="BC50" s="280" t="s">
        <v>1419</v>
      </c>
      <c r="BD50" s="280" t="s">
        <v>1407</v>
      </c>
      <c r="BE50" s="280" t="s">
        <v>1408</v>
      </c>
      <c r="BF50" s="280" t="s">
        <v>1409</v>
      </c>
      <c r="BG50" s="280" t="s">
        <v>1410</v>
      </c>
      <c r="BH50" s="280" t="s">
        <v>1411</v>
      </c>
      <c r="BI50" s="280" t="s">
        <v>1412</v>
      </c>
      <c r="BJ50" s="280" t="s">
        <v>1413</v>
      </c>
      <c r="BK50" s="280" t="s">
        <v>1414</v>
      </c>
      <c r="BL50" s="280" t="s">
        <v>1415</v>
      </c>
      <c r="BM50" s="280" t="s">
        <v>1416</v>
      </c>
      <c r="BN50" s="280" t="s">
        <v>1417</v>
      </c>
      <c r="BO50" s="280" t="s">
        <v>1418</v>
      </c>
      <c r="BP50" s="280" t="s">
        <v>1420</v>
      </c>
      <c r="BQ50" s="134" t="str">
        <f t="shared" si="40"/>
        <v>Pic Example</v>
      </c>
    </row>
    <row r="51" spans="2:69" x14ac:dyDescent="0.25">
      <c r="B51" t="s">
        <v>961</v>
      </c>
      <c r="C51" s="279" t="str">
        <f t="shared" si="37"/>
        <v>https://viking-pictures.s3.us-west-1.amazonaws.com/AA1155/A59.+Vent%2C+DASH+-+FRONT+LEFT+(1).JPG|https://viking-pictures.s3.us-west-1.amazonaws.com/AA1155/A59.+Vent%2C+DASH+-+FRONT+LEFT+(2).JPG|https://viking-pictures.s3.us-west-1.amazonaws.com/AA1155/A59.+Vent%2C+DASH+-+FRONT+LEFT+(3).JPG|https://viking-pictures.s3.us-west-1.amazonaws.com/AA1155/A59.+Vent%2C+DASH+-+FRONT+LEFT+(4).JPG</v>
      </c>
      <c r="D51" s="281">
        <f>_xlfn.XLOOKUP(B51,'3. Keep &amp; Toss Items'!O:O,'3. Keep &amp; Toss Items'!U:U,"NOT FOUND",0,1)</f>
        <v>4</v>
      </c>
      <c r="E51" s="279" t="str">
        <f t="shared" si="38"/>
        <v>https://viking-pictures.s3.us-west-1.amazonaws.com/AA1155/A59.+Vent%2C+DASH+-+FRONT+LEFT+(1).JPG</v>
      </c>
      <c r="F51" s="279" t="str">
        <f t="shared" si="41"/>
        <v>https://viking-pictures.s3.us-west-1.amazonaws.com/AA1155/A59.+Vent%2C+DASH+-+FRONT+LEFT+(2).JPG</v>
      </c>
      <c r="G51" s="279" t="str">
        <f t="shared" si="42"/>
        <v>https://viking-pictures.s3.us-west-1.amazonaws.com/AA1155/A59.+Vent%2C+DASH+-+FRONT+LEFT+(3).JPG</v>
      </c>
      <c r="H51" s="279" t="str">
        <f t="shared" si="43"/>
        <v>https://viking-pictures.s3.us-west-1.amazonaws.com/AA1155/A59.+Vent%2C+DASH+-+FRONT+LEFT+(4).JPG</v>
      </c>
      <c r="I51" s="279" t="str">
        <f t="shared" si="44"/>
        <v/>
      </c>
      <c r="J51" s="279" t="str">
        <f t="shared" si="45"/>
        <v/>
      </c>
      <c r="K51" s="279" t="str">
        <f t="shared" si="46"/>
        <v/>
      </c>
      <c r="L51" s="279" t="str">
        <f t="shared" si="46"/>
        <v/>
      </c>
      <c r="M51" s="279" t="str">
        <f t="shared" si="47"/>
        <v/>
      </c>
      <c r="N51" s="279" t="str">
        <f t="shared" si="48"/>
        <v/>
      </c>
      <c r="O51" s="279" t="str">
        <f t="shared" si="49"/>
        <v/>
      </c>
      <c r="P51" s="279" t="str">
        <f t="shared" si="50"/>
        <v/>
      </c>
      <c r="Q51" s="279" t="str">
        <f t="shared" si="51"/>
        <v/>
      </c>
      <c r="R51" s="279" t="str">
        <f t="shared" si="52"/>
        <v/>
      </c>
      <c r="S51" s="279" t="str">
        <f t="shared" si="53"/>
        <v/>
      </c>
      <c r="T51" s="279" t="str">
        <f t="shared" si="54"/>
        <v/>
      </c>
      <c r="U51" s="279" t="str">
        <f t="shared" si="55"/>
        <v/>
      </c>
      <c r="V51" s="279" t="str">
        <f t="shared" si="56"/>
        <v/>
      </c>
      <c r="W51" s="279" t="str">
        <f t="shared" si="57"/>
        <v/>
      </c>
      <c r="X51" s="279" t="str">
        <f t="shared" si="58"/>
        <v/>
      </c>
      <c r="Y51" s="279" t="str">
        <f t="shared" si="59"/>
        <v/>
      </c>
      <c r="Z51" s="279" t="str">
        <f t="shared" si="60"/>
        <v/>
      </c>
      <c r="AA51" s="279" t="str">
        <f t="shared" si="61"/>
        <v/>
      </c>
      <c r="AB51" s="279" t="str">
        <f t="shared" si="62"/>
        <v/>
      </c>
      <c r="AC51" s="104" t="s">
        <v>1382</v>
      </c>
      <c r="AD51" s="279" t="str">
        <f t="shared" si="26"/>
        <v>A59.+Vent%2C+DASH+-+FRONT+LEFT</v>
      </c>
      <c r="AE51" s="279" t="str">
        <f>_xlfn.XLOOKUP(B51,'3. Keep &amp; Toss Items'!O:O,'3. Keep &amp; Toss Items'!Q:Q,"NOT FOUND",0,1)</f>
        <v>A59. Vent, DASH - FRONT LEFT</v>
      </c>
      <c r="AF51" s="279" t="str">
        <f t="shared" si="27"/>
        <v>A59. Vent, DASH - FRONT LEFT</v>
      </c>
      <c r="AG51" s="279" t="str">
        <f t="shared" si="28"/>
        <v>A59.+Vent,+DASH+-+FRONT+LEFT</v>
      </c>
      <c r="AH51" s="279" t="str">
        <f t="shared" si="29"/>
        <v>A59.+Vent%2C+DASH+-+FRONT+LEFT</v>
      </c>
      <c r="AI51" s="279" t="str">
        <f t="shared" si="30"/>
        <v>A59.+Vent%2C+DASH+-+FRONT+LEFT</v>
      </c>
      <c r="AJ51" s="279" t="str">
        <f t="shared" si="31"/>
        <v>A59.+Vent%2C+DASH+-+FRONT+LEFT</v>
      </c>
      <c r="AK51" s="279" t="str">
        <f t="shared" si="32"/>
        <v>A59.+Vent%2C+DASH+-+FRONT+LEFT</v>
      </c>
      <c r="AL51" s="279" t="str">
        <f t="shared" si="33"/>
        <v>A59.+Vent%2C+DASH+-+FRONT+LEFT</v>
      </c>
      <c r="AM51" s="279" t="str">
        <f t="shared" si="34"/>
        <v>A59.+Vent%2C+DASH+-+FRONT+LEFT</v>
      </c>
      <c r="AN51" s="279" t="str">
        <f t="shared" si="39"/>
        <v>A59.+Vent%2C+DASH+-+FRONT+LEFT</v>
      </c>
      <c r="AO51" s="279" t="str">
        <f t="shared" si="35"/>
        <v>A59.+Vent%2C+DASH+-+FRONT+LEFT</v>
      </c>
      <c r="AP51" s="279" t="str">
        <f t="shared" si="36"/>
        <v>A59.+Vent%2C+DASH+-+FRONT+LEFT</v>
      </c>
      <c r="AQ51" s="280" t="s">
        <v>1395</v>
      </c>
      <c r="AR51" s="280" t="s">
        <v>1396</v>
      </c>
      <c r="AS51" s="280" t="s">
        <v>1397</v>
      </c>
      <c r="AT51" s="280" t="s">
        <v>1398</v>
      </c>
      <c r="AU51" s="280" t="s">
        <v>1399</v>
      </c>
      <c r="AV51" s="280" t="s">
        <v>1400</v>
      </c>
      <c r="AW51" s="280" t="s">
        <v>1401</v>
      </c>
      <c r="AX51" s="280" t="s">
        <v>1402</v>
      </c>
      <c r="AY51" s="280" t="s">
        <v>1403</v>
      </c>
      <c r="AZ51" s="280" t="s">
        <v>1404</v>
      </c>
      <c r="BA51" s="280" t="s">
        <v>1405</v>
      </c>
      <c r="BB51" s="280" t="s">
        <v>1406</v>
      </c>
      <c r="BC51" s="280" t="s">
        <v>1419</v>
      </c>
      <c r="BD51" s="280" t="s">
        <v>1407</v>
      </c>
      <c r="BE51" s="280" t="s">
        <v>1408</v>
      </c>
      <c r="BF51" s="280" t="s">
        <v>1409</v>
      </c>
      <c r="BG51" s="280" t="s">
        <v>1410</v>
      </c>
      <c r="BH51" s="280" t="s">
        <v>1411</v>
      </c>
      <c r="BI51" s="280" t="s">
        <v>1412</v>
      </c>
      <c r="BJ51" s="280" t="s">
        <v>1413</v>
      </c>
      <c r="BK51" s="280" t="s">
        <v>1414</v>
      </c>
      <c r="BL51" s="280" t="s">
        <v>1415</v>
      </c>
      <c r="BM51" s="280" t="s">
        <v>1416</v>
      </c>
      <c r="BN51" s="280" t="s">
        <v>1417</v>
      </c>
      <c r="BO51" s="280" t="s">
        <v>1418</v>
      </c>
      <c r="BP51" s="280" t="s">
        <v>1420</v>
      </c>
      <c r="BQ51" s="134" t="str">
        <f t="shared" si="40"/>
        <v>Pic Example</v>
      </c>
    </row>
    <row r="52" spans="2:69" x14ac:dyDescent="0.25">
      <c r="B52" t="s">
        <v>962</v>
      </c>
      <c r="C52" s="279" t="str">
        <f t="shared" si="37"/>
        <v>https://viking-pictures.s3.us-west-1.amazonaws.com/AA1155/A60.+Seatbelt+Buckle%2C+FRONT+-+RIGHT+(1).JPG|https://viking-pictures.s3.us-west-1.amazonaws.com/AA1155/A60.+Seatbelt+Buckle%2C+FRONT+-+RIGHT+(2).JPG|https://viking-pictures.s3.us-west-1.amazonaws.com/AA1155/A60.+Seatbelt+Buckle%2C+FRONT+-+RIGHT+(3).JPG|https://viking-pictures.s3.us-west-1.amazonaws.com/AA1155/A60.+Seatbelt+Buckle%2C+FRONT+-+RIGHT+(4).JPG</v>
      </c>
      <c r="D52" s="281">
        <f>_xlfn.XLOOKUP(B52,'3. Keep &amp; Toss Items'!O:O,'3. Keep &amp; Toss Items'!U:U,"NOT FOUND",0,1)</f>
        <v>4</v>
      </c>
      <c r="E52" s="279" t="str">
        <f t="shared" si="38"/>
        <v>https://viking-pictures.s3.us-west-1.amazonaws.com/AA1155/A60.+Seatbelt+Buckle%2C+FRONT+-+RIGHT+(1).JPG</v>
      </c>
      <c r="F52" s="279" t="str">
        <f t="shared" si="41"/>
        <v>https://viking-pictures.s3.us-west-1.amazonaws.com/AA1155/A60.+Seatbelt+Buckle%2C+FRONT+-+RIGHT+(2).JPG</v>
      </c>
      <c r="G52" s="279" t="str">
        <f t="shared" si="42"/>
        <v>https://viking-pictures.s3.us-west-1.amazonaws.com/AA1155/A60.+Seatbelt+Buckle%2C+FRONT+-+RIGHT+(3).JPG</v>
      </c>
      <c r="H52" s="279" t="str">
        <f t="shared" si="43"/>
        <v>https://viking-pictures.s3.us-west-1.amazonaws.com/AA1155/A60.+Seatbelt+Buckle%2C+FRONT+-+RIGHT+(4).JPG</v>
      </c>
      <c r="I52" s="279" t="str">
        <f t="shared" si="44"/>
        <v/>
      </c>
      <c r="J52" s="279" t="str">
        <f t="shared" si="45"/>
        <v/>
      </c>
      <c r="K52" s="279" t="str">
        <f t="shared" si="46"/>
        <v/>
      </c>
      <c r="L52" s="279" t="str">
        <f t="shared" si="46"/>
        <v/>
      </c>
      <c r="M52" s="279" t="str">
        <f t="shared" si="47"/>
        <v/>
      </c>
      <c r="N52" s="279" t="str">
        <f t="shared" si="48"/>
        <v/>
      </c>
      <c r="O52" s="279" t="str">
        <f t="shared" si="49"/>
        <v/>
      </c>
      <c r="P52" s="279" t="str">
        <f t="shared" si="50"/>
        <v/>
      </c>
      <c r="Q52" s="279" t="str">
        <f t="shared" si="51"/>
        <v/>
      </c>
      <c r="R52" s="279" t="str">
        <f t="shared" si="52"/>
        <v/>
      </c>
      <c r="S52" s="279" t="str">
        <f t="shared" si="53"/>
        <v/>
      </c>
      <c r="T52" s="279" t="str">
        <f t="shared" si="54"/>
        <v/>
      </c>
      <c r="U52" s="279" t="str">
        <f t="shared" si="55"/>
        <v/>
      </c>
      <c r="V52" s="279" t="str">
        <f t="shared" si="56"/>
        <v/>
      </c>
      <c r="W52" s="279" t="str">
        <f t="shared" si="57"/>
        <v/>
      </c>
      <c r="X52" s="279" t="str">
        <f t="shared" si="58"/>
        <v/>
      </c>
      <c r="Y52" s="279" t="str">
        <f t="shared" si="59"/>
        <v/>
      </c>
      <c r="Z52" s="279" t="str">
        <f t="shared" si="60"/>
        <v/>
      </c>
      <c r="AA52" s="279" t="str">
        <f t="shared" si="61"/>
        <v/>
      </c>
      <c r="AB52" s="279" t="str">
        <f t="shared" si="62"/>
        <v/>
      </c>
      <c r="AC52" s="104" t="s">
        <v>1382</v>
      </c>
      <c r="AD52" s="279" t="str">
        <f t="shared" si="26"/>
        <v>A60.+Seatbelt+Buckle%2C+FRONT+-+RIGHT</v>
      </c>
      <c r="AE52" s="279" t="str">
        <f>_xlfn.XLOOKUP(B52,'3. Keep &amp; Toss Items'!O:O,'3. Keep &amp; Toss Items'!Q:Q,"NOT FOUND",0,1)</f>
        <v>A60. Seatbelt Buckle, FRONT - RIGHT</v>
      </c>
      <c r="AF52" s="279" t="str">
        <f t="shared" si="27"/>
        <v>A60. Seatbelt Buckle, FRONT - RIGHT</v>
      </c>
      <c r="AG52" s="279" t="str">
        <f t="shared" si="28"/>
        <v>A60.+Seatbelt+Buckle,+FRONT+-+RIGHT</v>
      </c>
      <c r="AH52" s="279" t="str">
        <f t="shared" si="29"/>
        <v>A60.+Seatbelt+Buckle%2C+FRONT+-+RIGHT</v>
      </c>
      <c r="AI52" s="279" t="str">
        <f t="shared" si="30"/>
        <v>A60.+Seatbelt+Buckle%2C+FRONT+-+RIGHT</v>
      </c>
      <c r="AJ52" s="279" t="str">
        <f t="shared" si="31"/>
        <v>A60.+Seatbelt+Buckle%2C+FRONT+-+RIGHT</v>
      </c>
      <c r="AK52" s="279" t="str">
        <f t="shared" si="32"/>
        <v>A60.+Seatbelt+Buckle%2C+FRONT+-+RIGHT</v>
      </c>
      <c r="AL52" s="279" t="str">
        <f t="shared" si="33"/>
        <v>A60.+Seatbelt+Buckle%2C+FRONT+-+RIGHT</v>
      </c>
      <c r="AM52" s="279" t="str">
        <f t="shared" si="34"/>
        <v>A60.+Seatbelt+Buckle%2C+FRONT+-+RIGHT</v>
      </c>
      <c r="AN52" s="279" t="str">
        <f t="shared" si="39"/>
        <v>A60.+Seatbelt+Buckle%2C+FRONT+-+RIGHT</v>
      </c>
      <c r="AO52" s="279" t="str">
        <f t="shared" si="35"/>
        <v>A60.+Seatbelt+Buckle%2C+FRONT+-+RIGHT</v>
      </c>
      <c r="AP52" s="279" t="str">
        <f t="shared" si="36"/>
        <v>A60.+Seatbelt+Buckle%2C+FRONT+-+RIGHT</v>
      </c>
      <c r="AQ52" s="280" t="s">
        <v>1395</v>
      </c>
      <c r="AR52" s="280" t="s">
        <v>1396</v>
      </c>
      <c r="AS52" s="280" t="s">
        <v>1397</v>
      </c>
      <c r="AT52" s="280" t="s">
        <v>1398</v>
      </c>
      <c r="AU52" s="280" t="s">
        <v>1399</v>
      </c>
      <c r="AV52" s="280" t="s">
        <v>1400</v>
      </c>
      <c r="AW52" s="280" t="s">
        <v>1401</v>
      </c>
      <c r="AX52" s="280" t="s">
        <v>1402</v>
      </c>
      <c r="AY52" s="280" t="s">
        <v>1403</v>
      </c>
      <c r="AZ52" s="280" t="s">
        <v>1404</v>
      </c>
      <c r="BA52" s="280" t="s">
        <v>1405</v>
      </c>
      <c r="BB52" s="280" t="s">
        <v>1406</v>
      </c>
      <c r="BC52" s="280" t="s">
        <v>1419</v>
      </c>
      <c r="BD52" s="280" t="s">
        <v>1407</v>
      </c>
      <c r="BE52" s="280" t="s">
        <v>1408</v>
      </c>
      <c r="BF52" s="280" t="s">
        <v>1409</v>
      </c>
      <c r="BG52" s="280" t="s">
        <v>1410</v>
      </c>
      <c r="BH52" s="280" t="s">
        <v>1411</v>
      </c>
      <c r="BI52" s="280" t="s">
        <v>1412</v>
      </c>
      <c r="BJ52" s="280" t="s">
        <v>1413</v>
      </c>
      <c r="BK52" s="280" t="s">
        <v>1414</v>
      </c>
      <c r="BL52" s="280" t="s">
        <v>1415</v>
      </c>
      <c r="BM52" s="280" t="s">
        <v>1416</v>
      </c>
      <c r="BN52" s="280" t="s">
        <v>1417</v>
      </c>
      <c r="BO52" s="280" t="s">
        <v>1418</v>
      </c>
      <c r="BP52" s="280" t="s">
        <v>1420</v>
      </c>
      <c r="BQ52" s="134" t="str">
        <f t="shared" si="40"/>
        <v>Pic Example</v>
      </c>
    </row>
    <row r="53" spans="2:69" x14ac:dyDescent="0.25">
      <c r="B53" t="s">
        <v>963</v>
      </c>
      <c r="C53" s="279" t="str">
        <f t="shared" si="37"/>
        <v>https://viking-pictures.s3.us-west-1.amazonaws.com/AA1155/A61.+Dome+Light%2C+FRONT+PRIMARY+ONE+(1).JPG|https://viking-pictures.s3.us-west-1.amazonaws.com/AA1155/A61.+Dome+Light%2C+FRONT+PRIMARY+ONE+(2).JPG|https://viking-pictures.s3.us-west-1.amazonaws.com/AA1155/A61.+Dome+Light%2C+FRONT+PRIMARY+ONE+(3).JPG|https://viking-pictures.s3.us-west-1.amazonaws.com/AA1155/A61.+Dome+Light%2C+FRONT+PRIMARY+ONE+(4).JPG|https://viking-pictures.s3.us-west-1.amazonaws.com/AA1155/A61.+Dome+Light%2C+FRONT+PRIMARY+ONE+(5).JPG</v>
      </c>
      <c r="D53" s="281">
        <f>_xlfn.XLOOKUP(B53,'3. Keep &amp; Toss Items'!O:O,'3. Keep &amp; Toss Items'!U:U,"NOT FOUND",0,1)</f>
        <v>5</v>
      </c>
      <c r="E53" s="279" t="str">
        <f t="shared" si="38"/>
        <v>https://viking-pictures.s3.us-west-1.amazonaws.com/AA1155/A61.+Dome+Light%2C+FRONT+PRIMARY+ONE+(1).JPG</v>
      </c>
      <c r="F53" s="279" t="str">
        <f t="shared" si="41"/>
        <v>https://viking-pictures.s3.us-west-1.amazonaws.com/AA1155/A61.+Dome+Light%2C+FRONT+PRIMARY+ONE+(2).JPG</v>
      </c>
      <c r="G53" s="279" t="str">
        <f t="shared" si="42"/>
        <v>https://viking-pictures.s3.us-west-1.amazonaws.com/AA1155/A61.+Dome+Light%2C+FRONT+PRIMARY+ONE+(3).JPG</v>
      </c>
      <c r="H53" s="279" t="str">
        <f t="shared" si="43"/>
        <v>https://viking-pictures.s3.us-west-1.amazonaws.com/AA1155/A61.+Dome+Light%2C+FRONT+PRIMARY+ONE+(4).JPG</v>
      </c>
      <c r="I53" s="279" t="str">
        <f t="shared" si="44"/>
        <v>https://viking-pictures.s3.us-west-1.amazonaws.com/AA1155/A61.+Dome+Light%2C+FRONT+PRIMARY+ONE+(5).JPG</v>
      </c>
      <c r="J53" s="279" t="str">
        <f t="shared" si="45"/>
        <v/>
      </c>
      <c r="K53" s="279" t="str">
        <f t="shared" si="46"/>
        <v/>
      </c>
      <c r="L53" s="279" t="str">
        <f t="shared" si="46"/>
        <v/>
      </c>
      <c r="M53" s="279" t="str">
        <f t="shared" si="47"/>
        <v/>
      </c>
      <c r="N53" s="279" t="str">
        <f t="shared" si="48"/>
        <v/>
      </c>
      <c r="O53" s="279" t="str">
        <f t="shared" si="49"/>
        <v/>
      </c>
      <c r="P53" s="279" t="str">
        <f t="shared" si="50"/>
        <v/>
      </c>
      <c r="Q53" s="279" t="str">
        <f t="shared" si="51"/>
        <v/>
      </c>
      <c r="R53" s="279" t="str">
        <f t="shared" si="52"/>
        <v/>
      </c>
      <c r="S53" s="279" t="str">
        <f t="shared" si="53"/>
        <v/>
      </c>
      <c r="T53" s="279" t="str">
        <f t="shared" si="54"/>
        <v/>
      </c>
      <c r="U53" s="279" t="str">
        <f t="shared" si="55"/>
        <v/>
      </c>
      <c r="V53" s="279" t="str">
        <f t="shared" si="56"/>
        <v/>
      </c>
      <c r="W53" s="279" t="str">
        <f t="shared" si="57"/>
        <v/>
      </c>
      <c r="X53" s="279" t="str">
        <f t="shared" si="58"/>
        <v/>
      </c>
      <c r="Y53" s="279" t="str">
        <f t="shared" si="59"/>
        <v/>
      </c>
      <c r="Z53" s="279" t="str">
        <f t="shared" si="60"/>
        <v/>
      </c>
      <c r="AA53" s="279" t="str">
        <f t="shared" si="61"/>
        <v/>
      </c>
      <c r="AB53" s="279" t="str">
        <f t="shared" si="62"/>
        <v/>
      </c>
      <c r="AC53" s="104" t="s">
        <v>1382</v>
      </c>
      <c r="AD53" s="279" t="str">
        <f t="shared" si="26"/>
        <v>A61.+Dome+Light%2C+FRONT+PRIMARY+ONE</v>
      </c>
      <c r="AE53" s="279" t="str">
        <f>_xlfn.XLOOKUP(B53,'3. Keep &amp; Toss Items'!O:O,'3. Keep &amp; Toss Items'!Q:Q,"NOT FOUND",0,1)</f>
        <v>A61. Dome Light, FRONT PRIMARY ONE</v>
      </c>
      <c r="AF53" s="279" t="str">
        <f t="shared" si="27"/>
        <v>A61. Dome Light, FRONT PRIMARY ONE</v>
      </c>
      <c r="AG53" s="279" t="str">
        <f t="shared" si="28"/>
        <v>A61.+Dome+Light,+FRONT+PRIMARY+ONE</v>
      </c>
      <c r="AH53" s="279" t="str">
        <f t="shared" si="29"/>
        <v>A61.+Dome+Light%2C+FRONT+PRIMARY+ONE</v>
      </c>
      <c r="AI53" s="279" t="str">
        <f t="shared" si="30"/>
        <v>A61.+Dome+Light%2C+FRONT+PRIMARY+ONE</v>
      </c>
      <c r="AJ53" s="279" t="str">
        <f t="shared" si="31"/>
        <v>A61.+Dome+Light%2C+FRONT+PRIMARY+ONE</v>
      </c>
      <c r="AK53" s="279" t="str">
        <f t="shared" si="32"/>
        <v>A61.+Dome+Light%2C+FRONT+PRIMARY+ONE</v>
      </c>
      <c r="AL53" s="279" t="str">
        <f t="shared" si="33"/>
        <v>A61.+Dome+Light%2C+FRONT+PRIMARY+ONE</v>
      </c>
      <c r="AM53" s="279" t="str">
        <f t="shared" si="34"/>
        <v>A61.+Dome+Light%2C+FRONT+PRIMARY+ONE</v>
      </c>
      <c r="AN53" s="279" t="str">
        <f t="shared" si="39"/>
        <v>A61.+Dome+Light%2C+FRONT+PRIMARY+ONE</v>
      </c>
      <c r="AO53" s="279" t="str">
        <f t="shared" si="35"/>
        <v>A61.+Dome+Light%2C+FRONT+PRIMARY+ONE</v>
      </c>
      <c r="AP53" s="279" t="str">
        <f t="shared" si="36"/>
        <v>A61.+Dome+Light%2C+FRONT+PRIMARY+ONE</v>
      </c>
      <c r="AQ53" s="280" t="s">
        <v>1395</v>
      </c>
      <c r="AR53" s="280" t="s">
        <v>1396</v>
      </c>
      <c r="AS53" s="280" t="s">
        <v>1397</v>
      </c>
      <c r="AT53" s="280" t="s">
        <v>1398</v>
      </c>
      <c r="AU53" s="280" t="s">
        <v>1399</v>
      </c>
      <c r="AV53" s="280" t="s">
        <v>1400</v>
      </c>
      <c r="AW53" s="280" t="s">
        <v>1401</v>
      </c>
      <c r="AX53" s="280" t="s">
        <v>1402</v>
      </c>
      <c r="AY53" s="280" t="s">
        <v>1403</v>
      </c>
      <c r="AZ53" s="280" t="s">
        <v>1404</v>
      </c>
      <c r="BA53" s="280" t="s">
        <v>1405</v>
      </c>
      <c r="BB53" s="280" t="s">
        <v>1406</v>
      </c>
      <c r="BC53" s="280" t="s">
        <v>1419</v>
      </c>
      <c r="BD53" s="280" t="s">
        <v>1407</v>
      </c>
      <c r="BE53" s="280" t="s">
        <v>1408</v>
      </c>
      <c r="BF53" s="280" t="s">
        <v>1409</v>
      </c>
      <c r="BG53" s="280" t="s">
        <v>1410</v>
      </c>
      <c r="BH53" s="280" t="s">
        <v>1411</v>
      </c>
      <c r="BI53" s="280" t="s">
        <v>1412</v>
      </c>
      <c r="BJ53" s="280" t="s">
        <v>1413</v>
      </c>
      <c r="BK53" s="280" t="s">
        <v>1414</v>
      </c>
      <c r="BL53" s="280" t="s">
        <v>1415</v>
      </c>
      <c r="BM53" s="280" t="s">
        <v>1416</v>
      </c>
      <c r="BN53" s="280" t="s">
        <v>1417</v>
      </c>
      <c r="BO53" s="280" t="s">
        <v>1418</v>
      </c>
      <c r="BP53" s="280" t="s">
        <v>1420</v>
      </c>
      <c r="BQ53" s="134" t="str">
        <f t="shared" si="40"/>
        <v>Pic Example</v>
      </c>
    </row>
    <row r="54" spans="2:69" x14ac:dyDescent="0.25">
      <c r="B54" t="s">
        <v>964</v>
      </c>
      <c r="C54" s="279" t="str">
        <f t="shared" si="37"/>
        <v>https://viking-pictures.s3.us-west-1.amazonaws.com/AA1155/A62.+Airbag%2C+STEERING+WHEEL+(1).JPG|https://viking-pictures.s3.us-west-1.amazonaws.com/AA1155/A62.+Airbag%2C+STEERING+WHEEL+(2).JPG|https://viking-pictures.s3.us-west-1.amazonaws.com/AA1155/A62.+Airbag%2C+STEERING+WHEEL+(3).JPG|https://viking-pictures.s3.us-west-1.amazonaws.com/AA1155/A62.+Airbag%2C+STEERING+WHEEL+(4).JPG</v>
      </c>
      <c r="D54" s="281">
        <f>_xlfn.XLOOKUP(B54,'3. Keep &amp; Toss Items'!O:O,'3. Keep &amp; Toss Items'!U:U,"NOT FOUND",0,1)</f>
        <v>4</v>
      </c>
      <c r="E54" s="279" t="str">
        <f t="shared" si="38"/>
        <v>https://viking-pictures.s3.us-west-1.amazonaws.com/AA1155/A62.+Airbag%2C+STEERING+WHEEL+(1).JPG</v>
      </c>
      <c r="F54" s="279" t="str">
        <f t="shared" si="41"/>
        <v>https://viking-pictures.s3.us-west-1.amazonaws.com/AA1155/A62.+Airbag%2C+STEERING+WHEEL+(2).JPG</v>
      </c>
      <c r="G54" s="279" t="str">
        <f t="shared" si="42"/>
        <v>https://viking-pictures.s3.us-west-1.amazonaws.com/AA1155/A62.+Airbag%2C+STEERING+WHEEL+(3).JPG</v>
      </c>
      <c r="H54" s="279" t="str">
        <f t="shared" si="43"/>
        <v>https://viking-pictures.s3.us-west-1.amazonaws.com/AA1155/A62.+Airbag%2C+STEERING+WHEEL+(4).JPG</v>
      </c>
      <c r="I54" s="279" t="str">
        <f t="shared" si="44"/>
        <v/>
      </c>
      <c r="J54" s="279" t="str">
        <f t="shared" si="45"/>
        <v/>
      </c>
      <c r="K54" s="279" t="str">
        <f t="shared" si="46"/>
        <v/>
      </c>
      <c r="L54" s="279" t="str">
        <f t="shared" si="46"/>
        <v/>
      </c>
      <c r="M54" s="279" t="str">
        <f t="shared" si="47"/>
        <v/>
      </c>
      <c r="N54" s="279" t="str">
        <f t="shared" si="48"/>
        <v/>
      </c>
      <c r="O54" s="279" t="str">
        <f t="shared" si="49"/>
        <v/>
      </c>
      <c r="P54" s="279" t="str">
        <f t="shared" si="50"/>
        <v/>
      </c>
      <c r="Q54" s="279" t="str">
        <f t="shared" si="51"/>
        <v/>
      </c>
      <c r="R54" s="279" t="str">
        <f t="shared" si="52"/>
        <v/>
      </c>
      <c r="S54" s="279" t="str">
        <f t="shared" si="53"/>
        <v/>
      </c>
      <c r="T54" s="279" t="str">
        <f t="shared" si="54"/>
        <v/>
      </c>
      <c r="U54" s="279" t="str">
        <f t="shared" si="55"/>
        <v/>
      </c>
      <c r="V54" s="279" t="str">
        <f t="shared" si="56"/>
        <v/>
      </c>
      <c r="W54" s="279" t="str">
        <f t="shared" si="57"/>
        <v/>
      </c>
      <c r="X54" s="279" t="str">
        <f t="shared" si="58"/>
        <v/>
      </c>
      <c r="Y54" s="279" t="str">
        <f t="shared" si="59"/>
        <v/>
      </c>
      <c r="Z54" s="279" t="str">
        <f t="shared" si="60"/>
        <v/>
      </c>
      <c r="AA54" s="279" t="str">
        <f t="shared" si="61"/>
        <v/>
      </c>
      <c r="AB54" s="279" t="str">
        <f t="shared" si="62"/>
        <v/>
      </c>
      <c r="AC54" s="104" t="s">
        <v>1382</v>
      </c>
      <c r="AD54" s="279" t="str">
        <f t="shared" si="26"/>
        <v>A62.+Airbag%2C+STEERING+WHEEL</v>
      </c>
      <c r="AE54" s="279" t="str">
        <f>_xlfn.XLOOKUP(B54,'3. Keep &amp; Toss Items'!O:O,'3. Keep &amp; Toss Items'!Q:Q,"NOT FOUND",0,1)</f>
        <v>A62. Airbag, STEERING WHEEL</v>
      </c>
      <c r="AF54" s="279" t="str">
        <f t="shared" si="27"/>
        <v>A62. Airbag, STEERING WHEEL</v>
      </c>
      <c r="AG54" s="279" t="str">
        <f t="shared" si="28"/>
        <v>A62.+Airbag,+STEERING+WHEEL</v>
      </c>
      <c r="AH54" s="279" t="str">
        <f t="shared" si="29"/>
        <v>A62.+Airbag%2C+STEERING+WHEEL</v>
      </c>
      <c r="AI54" s="279" t="str">
        <f t="shared" si="30"/>
        <v>A62.+Airbag%2C+STEERING+WHEEL</v>
      </c>
      <c r="AJ54" s="279" t="str">
        <f t="shared" si="31"/>
        <v>A62.+Airbag%2C+STEERING+WHEEL</v>
      </c>
      <c r="AK54" s="279" t="str">
        <f t="shared" si="32"/>
        <v>A62.+Airbag%2C+STEERING+WHEEL</v>
      </c>
      <c r="AL54" s="279" t="str">
        <f t="shared" si="33"/>
        <v>A62.+Airbag%2C+STEERING+WHEEL</v>
      </c>
      <c r="AM54" s="279" t="str">
        <f t="shared" si="34"/>
        <v>A62.+Airbag%2C+STEERING+WHEEL</v>
      </c>
      <c r="AN54" s="279" t="str">
        <f t="shared" si="39"/>
        <v>A62.+Airbag%2C+STEERING+WHEEL</v>
      </c>
      <c r="AO54" s="279" t="str">
        <f t="shared" si="35"/>
        <v>A62.+Airbag%2C+STEERING+WHEEL</v>
      </c>
      <c r="AP54" s="279" t="str">
        <f t="shared" si="36"/>
        <v>A62.+Airbag%2C+STEERING+WHEEL</v>
      </c>
      <c r="AQ54" s="280" t="s">
        <v>1395</v>
      </c>
      <c r="AR54" s="280" t="s">
        <v>1396</v>
      </c>
      <c r="AS54" s="280" t="s">
        <v>1397</v>
      </c>
      <c r="AT54" s="280" t="s">
        <v>1398</v>
      </c>
      <c r="AU54" s="280" t="s">
        <v>1399</v>
      </c>
      <c r="AV54" s="280" t="s">
        <v>1400</v>
      </c>
      <c r="AW54" s="280" t="s">
        <v>1401</v>
      </c>
      <c r="AX54" s="280" t="s">
        <v>1402</v>
      </c>
      <c r="AY54" s="280" t="s">
        <v>1403</v>
      </c>
      <c r="AZ54" s="280" t="s">
        <v>1404</v>
      </c>
      <c r="BA54" s="280" t="s">
        <v>1405</v>
      </c>
      <c r="BB54" s="280" t="s">
        <v>1406</v>
      </c>
      <c r="BC54" s="280" t="s">
        <v>1419</v>
      </c>
      <c r="BD54" s="280" t="s">
        <v>1407</v>
      </c>
      <c r="BE54" s="280" t="s">
        <v>1408</v>
      </c>
      <c r="BF54" s="280" t="s">
        <v>1409</v>
      </c>
      <c r="BG54" s="280" t="s">
        <v>1410</v>
      </c>
      <c r="BH54" s="280" t="s">
        <v>1411</v>
      </c>
      <c r="BI54" s="280" t="s">
        <v>1412</v>
      </c>
      <c r="BJ54" s="280" t="s">
        <v>1413</v>
      </c>
      <c r="BK54" s="280" t="s">
        <v>1414</v>
      </c>
      <c r="BL54" s="280" t="s">
        <v>1415</v>
      </c>
      <c r="BM54" s="280" t="s">
        <v>1416</v>
      </c>
      <c r="BN54" s="280" t="s">
        <v>1417</v>
      </c>
      <c r="BO54" s="280" t="s">
        <v>1418</v>
      </c>
      <c r="BP54" s="280" t="s">
        <v>1420</v>
      </c>
      <c r="BQ54" s="134" t="str">
        <f t="shared" si="40"/>
        <v>Pic Example</v>
      </c>
    </row>
    <row r="55" spans="2:69" x14ac:dyDescent="0.25">
      <c r="B55" t="s">
        <v>965</v>
      </c>
      <c r="C55" s="279" t="str">
        <f t="shared" si="37"/>
        <v>https://viking-pictures.s3.us-west-1.amazonaws.com/AA1155/A63.+Seatbelt+Retractor%2C+FRONT+-+RIGHT+(1).JPG|https://viking-pictures.s3.us-west-1.amazonaws.com/AA1155/A63.+Seatbelt+Retractor%2C+FRONT+-+RIGHT+(2).JPG|https://viking-pictures.s3.us-west-1.amazonaws.com/AA1155/A63.+Seatbelt+Retractor%2C+FRONT+-+RIGHT+(3).JPG|https://viking-pictures.s3.us-west-1.amazonaws.com/AA1155/A63.+Seatbelt+Retractor%2C+FRONT+-+RIGHT+(4).JPG</v>
      </c>
      <c r="D55" s="281">
        <f>_xlfn.XLOOKUP(B55,'3. Keep &amp; Toss Items'!O:O,'3. Keep &amp; Toss Items'!U:U,"NOT FOUND",0,1)</f>
        <v>4</v>
      </c>
      <c r="E55" s="279" t="str">
        <f t="shared" si="38"/>
        <v>https://viking-pictures.s3.us-west-1.amazonaws.com/AA1155/A63.+Seatbelt+Retractor%2C+FRONT+-+RIGHT+(1).JPG</v>
      </c>
      <c r="F55" s="279" t="str">
        <f t="shared" si="41"/>
        <v>https://viking-pictures.s3.us-west-1.amazonaws.com/AA1155/A63.+Seatbelt+Retractor%2C+FRONT+-+RIGHT+(2).JPG</v>
      </c>
      <c r="G55" s="279" t="str">
        <f t="shared" si="42"/>
        <v>https://viking-pictures.s3.us-west-1.amazonaws.com/AA1155/A63.+Seatbelt+Retractor%2C+FRONT+-+RIGHT+(3).JPG</v>
      </c>
      <c r="H55" s="279" t="str">
        <f t="shared" si="43"/>
        <v>https://viking-pictures.s3.us-west-1.amazonaws.com/AA1155/A63.+Seatbelt+Retractor%2C+FRONT+-+RIGHT+(4).JPG</v>
      </c>
      <c r="I55" s="279" t="str">
        <f t="shared" si="44"/>
        <v/>
      </c>
      <c r="J55" s="279" t="str">
        <f t="shared" si="45"/>
        <v/>
      </c>
      <c r="K55" s="279" t="str">
        <f t="shared" si="46"/>
        <v/>
      </c>
      <c r="L55" s="279" t="str">
        <f t="shared" si="46"/>
        <v/>
      </c>
      <c r="M55" s="279" t="str">
        <f t="shared" si="47"/>
        <v/>
      </c>
      <c r="N55" s="279" t="str">
        <f t="shared" si="48"/>
        <v/>
      </c>
      <c r="O55" s="279" t="str">
        <f t="shared" si="49"/>
        <v/>
      </c>
      <c r="P55" s="279" t="str">
        <f t="shared" si="50"/>
        <v/>
      </c>
      <c r="Q55" s="279" t="str">
        <f t="shared" si="51"/>
        <v/>
      </c>
      <c r="R55" s="279" t="str">
        <f t="shared" si="52"/>
        <v/>
      </c>
      <c r="S55" s="279" t="str">
        <f t="shared" si="53"/>
        <v/>
      </c>
      <c r="T55" s="279" t="str">
        <f t="shared" si="54"/>
        <v/>
      </c>
      <c r="U55" s="279" t="str">
        <f t="shared" si="55"/>
        <v/>
      </c>
      <c r="V55" s="279" t="str">
        <f t="shared" si="56"/>
        <v/>
      </c>
      <c r="W55" s="279" t="str">
        <f t="shared" si="57"/>
        <v/>
      </c>
      <c r="X55" s="279" t="str">
        <f t="shared" si="58"/>
        <v/>
      </c>
      <c r="Y55" s="279" t="str">
        <f t="shared" si="59"/>
        <v/>
      </c>
      <c r="Z55" s="279" t="str">
        <f t="shared" si="60"/>
        <v/>
      </c>
      <c r="AA55" s="279" t="str">
        <f t="shared" si="61"/>
        <v/>
      </c>
      <c r="AB55" s="279" t="str">
        <f t="shared" si="62"/>
        <v/>
      </c>
      <c r="AC55" s="104" t="s">
        <v>1382</v>
      </c>
      <c r="AD55" s="279" t="str">
        <f t="shared" si="26"/>
        <v>A63.+Seatbelt+Retractor%2C+FRONT+-+RIGHT</v>
      </c>
      <c r="AE55" s="279" t="str">
        <f>_xlfn.XLOOKUP(B55,'3. Keep &amp; Toss Items'!O:O,'3. Keep &amp; Toss Items'!Q:Q,"NOT FOUND",0,1)</f>
        <v>A63. Seatbelt Retractor, FRONT - RIGHT</v>
      </c>
      <c r="AF55" s="279" t="str">
        <f t="shared" si="27"/>
        <v>A63. Seatbelt Retractor, FRONT - RIGHT</v>
      </c>
      <c r="AG55" s="279" t="str">
        <f t="shared" si="28"/>
        <v>A63.+Seatbelt+Retractor,+FRONT+-+RIGHT</v>
      </c>
      <c r="AH55" s="279" t="str">
        <f t="shared" si="29"/>
        <v>A63.+Seatbelt+Retractor%2C+FRONT+-+RIGHT</v>
      </c>
      <c r="AI55" s="279" t="str">
        <f t="shared" si="30"/>
        <v>A63.+Seatbelt+Retractor%2C+FRONT+-+RIGHT</v>
      </c>
      <c r="AJ55" s="279" t="str">
        <f t="shared" si="31"/>
        <v>A63.+Seatbelt+Retractor%2C+FRONT+-+RIGHT</v>
      </c>
      <c r="AK55" s="279" t="str">
        <f t="shared" si="32"/>
        <v>A63.+Seatbelt+Retractor%2C+FRONT+-+RIGHT</v>
      </c>
      <c r="AL55" s="279" t="str">
        <f t="shared" si="33"/>
        <v>A63.+Seatbelt+Retractor%2C+FRONT+-+RIGHT</v>
      </c>
      <c r="AM55" s="279" t="str">
        <f t="shared" si="34"/>
        <v>A63.+Seatbelt+Retractor%2C+FRONT+-+RIGHT</v>
      </c>
      <c r="AN55" s="279" t="str">
        <f t="shared" si="39"/>
        <v>A63.+Seatbelt+Retractor%2C+FRONT+-+RIGHT</v>
      </c>
      <c r="AO55" s="279" t="str">
        <f t="shared" si="35"/>
        <v>A63.+Seatbelt+Retractor%2C+FRONT+-+RIGHT</v>
      </c>
      <c r="AP55" s="279" t="str">
        <f t="shared" si="36"/>
        <v>A63.+Seatbelt+Retractor%2C+FRONT+-+RIGHT</v>
      </c>
      <c r="AQ55" s="280" t="s">
        <v>1395</v>
      </c>
      <c r="AR55" s="280" t="s">
        <v>1396</v>
      </c>
      <c r="AS55" s="280" t="s">
        <v>1397</v>
      </c>
      <c r="AT55" s="280" t="s">
        <v>1398</v>
      </c>
      <c r="AU55" s="280" t="s">
        <v>1399</v>
      </c>
      <c r="AV55" s="280" t="s">
        <v>1400</v>
      </c>
      <c r="AW55" s="280" t="s">
        <v>1401</v>
      </c>
      <c r="AX55" s="280" t="s">
        <v>1402</v>
      </c>
      <c r="AY55" s="280" t="s">
        <v>1403</v>
      </c>
      <c r="AZ55" s="280" t="s">
        <v>1404</v>
      </c>
      <c r="BA55" s="280" t="s">
        <v>1405</v>
      </c>
      <c r="BB55" s="280" t="s">
        <v>1406</v>
      </c>
      <c r="BC55" s="280" t="s">
        <v>1419</v>
      </c>
      <c r="BD55" s="280" t="s">
        <v>1407</v>
      </c>
      <c r="BE55" s="280" t="s">
        <v>1408</v>
      </c>
      <c r="BF55" s="280" t="s">
        <v>1409</v>
      </c>
      <c r="BG55" s="280" t="s">
        <v>1410</v>
      </c>
      <c r="BH55" s="280" t="s">
        <v>1411</v>
      </c>
      <c r="BI55" s="280" t="s">
        <v>1412</v>
      </c>
      <c r="BJ55" s="280" t="s">
        <v>1413</v>
      </c>
      <c r="BK55" s="280" t="s">
        <v>1414</v>
      </c>
      <c r="BL55" s="280" t="s">
        <v>1415</v>
      </c>
      <c r="BM55" s="280" t="s">
        <v>1416</v>
      </c>
      <c r="BN55" s="280" t="s">
        <v>1417</v>
      </c>
      <c r="BO55" s="280" t="s">
        <v>1418</v>
      </c>
      <c r="BP55" s="280" t="s">
        <v>1420</v>
      </c>
      <c r="BQ55" s="134" t="str">
        <f t="shared" si="40"/>
        <v>Pic Example</v>
      </c>
    </row>
    <row r="56" spans="2:69" x14ac:dyDescent="0.25">
      <c r="B56" t="s">
        <v>966</v>
      </c>
      <c r="C56" s="279" t="str">
        <f t="shared" si="37"/>
        <v>https://viking-pictures.s3.us-west-1.amazonaws.com/AA1155/A64.+Mirror%2C+REARVIEW+(1).JPG|https://viking-pictures.s3.us-west-1.amazonaws.com/AA1155/A64.+Mirror%2C+REARVIEW+(2).JPG|https://viking-pictures.s3.us-west-1.amazonaws.com/AA1155/A64.+Mirror%2C+REARVIEW+(3).JPG|https://viking-pictures.s3.us-west-1.amazonaws.com/AA1155/A64.+Mirror%2C+REARVIEW+(4).JPG|https://viking-pictures.s3.us-west-1.amazonaws.com/AA1155/A64.+Mirror%2C+REARVIEW+(5).JPG|https://viking-pictures.s3.us-west-1.amazonaws.com/AA1155/A64.+Mirror%2C+REARVIEW+(6).JPG</v>
      </c>
      <c r="D56" s="281">
        <f>_xlfn.XLOOKUP(B56,'3. Keep &amp; Toss Items'!O:O,'3. Keep &amp; Toss Items'!U:U,"NOT FOUND",0,1)</f>
        <v>6</v>
      </c>
      <c r="E56" s="279" t="str">
        <f t="shared" si="38"/>
        <v>https://viking-pictures.s3.us-west-1.amazonaws.com/AA1155/A64.+Mirror%2C+REARVIEW+(1).JPG</v>
      </c>
      <c r="F56" s="279" t="str">
        <f t="shared" si="41"/>
        <v>https://viking-pictures.s3.us-west-1.amazonaws.com/AA1155/A64.+Mirror%2C+REARVIEW+(2).JPG</v>
      </c>
      <c r="G56" s="279" t="str">
        <f t="shared" si="42"/>
        <v>https://viking-pictures.s3.us-west-1.amazonaws.com/AA1155/A64.+Mirror%2C+REARVIEW+(3).JPG</v>
      </c>
      <c r="H56" s="279" t="str">
        <f t="shared" si="43"/>
        <v>https://viking-pictures.s3.us-west-1.amazonaws.com/AA1155/A64.+Mirror%2C+REARVIEW+(4).JPG</v>
      </c>
      <c r="I56" s="279" t="str">
        <f t="shared" si="44"/>
        <v>https://viking-pictures.s3.us-west-1.amazonaws.com/AA1155/A64.+Mirror%2C+REARVIEW+(5).JPG</v>
      </c>
      <c r="J56" s="279" t="str">
        <f t="shared" si="45"/>
        <v>https://viking-pictures.s3.us-west-1.amazonaws.com/AA1155/A64.+Mirror%2C+REARVIEW+(6).JPG</v>
      </c>
      <c r="K56" s="279" t="str">
        <f t="shared" si="46"/>
        <v/>
      </c>
      <c r="L56" s="279" t="str">
        <f t="shared" si="46"/>
        <v/>
      </c>
      <c r="M56" s="279" t="str">
        <f t="shared" si="47"/>
        <v/>
      </c>
      <c r="N56" s="279" t="str">
        <f t="shared" si="48"/>
        <v/>
      </c>
      <c r="O56" s="279" t="str">
        <f t="shared" si="49"/>
        <v/>
      </c>
      <c r="P56" s="279" t="str">
        <f t="shared" si="50"/>
        <v/>
      </c>
      <c r="Q56" s="279" t="str">
        <f t="shared" si="51"/>
        <v/>
      </c>
      <c r="R56" s="279" t="str">
        <f t="shared" si="52"/>
        <v/>
      </c>
      <c r="S56" s="279" t="str">
        <f t="shared" si="53"/>
        <v/>
      </c>
      <c r="T56" s="279" t="str">
        <f t="shared" si="54"/>
        <v/>
      </c>
      <c r="U56" s="279" t="str">
        <f t="shared" si="55"/>
        <v/>
      </c>
      <c r="V56" s="279" t="str">
        <f t="shared" si="56"/>
        <v/>
      </c>
      <c r="W56" s="279" t="str">
        <f t="shared" si="57"/>
        <v/>
      </c>
      <c r="X56" s="279" t="str">
        <f t="shared" si="58"/>
        <v/>
      </c>
      <c r="Y56" s="279" t="str">
        <f t="shared" si="59"/>
        <v/>
      </c>
      <c r="Z56" s="279" t="str">
        <f t="shared" si="60"/>
        <v/>
      </c>
      <c r="AA56" s="279" t="str">
        <f t="shared" si="61"/>
        <v/>
      </c>
      <c r="AB56" s="279" t="str">
        <f t="shared" si="62"/>
        <v/>
      </c>
      <c r="AC56" s="104" t="s">
        <v>1382</v>
      </c>
      <c r="AD56" s="279" t="str">
        <f t="shared" si="26"/>
        <v>A64.+Mirror%2C+REARVIEW</v>
      </c>
      <c r="AE56" s="279" t="str">
        <f>_xlfn.XLOOKUP(B56,'3. Keep &amp; Toss Items'!O:O,'3. Keep &amp; Toss Items'!Q:Q,"NOT FOUND",0,1)</f>
        <v>A64. Mirror, REARVIEW</v>
      </c>
      <c r="AF56" s="279" t="str">
        <f t="shared" si="27"/>
        <v>A64. Mirror, REARVIEW</v>
      </c>
      <c r="AG56" s="279" t="str">
        <f t="shared" si="28"/>
        <v>A64.+Mirror,+REARVIEW</v>
      </c>
      <c r="AH56" s="279" t="str">
        <f t="shared" si="29"/>
        <v>A64.+Mirror%2C+REARVIEW</v>
      </c>
      <c r="AI56" s="279" t="str">
        <f t="shared" si="30"/>
        <v>A64.+Mirror%2C+REARVIEW</v>
      </c>
      <c r="AJ56" s="279" t="str">
        <f t="shared" si="31"/>
        <v>A64.+Mirror%2C+REARVIEW</v>
      </c>
      <c r="AK56" s="279" t="str">
        <f t="shared" si="32"/>
        <v>A64.+Mirror%2C+REARVIEW</v>
      </c>
      <c r="AL56" s="279" t="str">
        <f t="shared" si="33"/>
        <v>A64.+Mirror%2C+REARVIEW</v>
      </c>
      <c r="AM56" s="279" t="str">
        <f t="shared" si="34"/>
        <v>A64.+Mirror%2C+REARVIEW</v>
      </c>
      <c r="AN56" s="279" t="str">
        <f t="shared" si="39"/>
        <v>A64.+Mirror%2C+REARVIEW</v>
      </c>
      <c r="AO56" s="279" t="str">
        <f t="shared" si="35"/>
        <v>A64.+Mirror%2C+REARVIEW</v>
      </c>
      <c r="AP56" s="279" t="str">
        <f t="shared" si="36"/>
        <v>A64.+Mirror%2C+REARVIEW</v>
      </c>
      <c r="AQ56" s="280" t="s">
        <v>1395</v>
      </c>
      <c r="AR56" s="280" t="s">
        <v>1396</v>
      </c>
      <c r="AS56" s="280" t="s">
        <v>1397</v>
      </c>
      <c r="AT56" s="280" t="s">
        <v>1398</v>
      </c>
      <c r="AU56" s="280" t="s">
        <v>1399</v>
      </c>
      <c r="AV56" s="280" t="s">
        <v>1400</v>
      </c>
      <c r="AW56" s="280" t="s">
        <v>1401</v>
      </c>
      <c r="AX56" s="280" t="s">
        <v>1402</v>
      </c>
      <c r="AY56" s="280" t="s">
        <v>1403</v>
      </c>
      <c r="AZ56" s="280" t="s">
        <v>1404</v>
      </c>
      <c r="BA56" s="280" t="s">
        <v>1405</v>
      </c>
      <c r="BB56" s="280" t="s">
        <v>1406</v>
      </c>
      <c r="BC56" s="280" t="s">
        <v>1419</v>
      </c>
      <c r="BD56" s="280" t="s">
        <v>1407</v>
      </c>
      <c r="BE56" s="280" t="s">
        <v>1408</v>
      </c>
      <c r="BF56" s="280" t="s">
        <v>1409</v>
      </c>
      <c r="BG56" s="280" t="s">
        <v>1410</v>
      </c>
      <c r="BH56" s="280" t="s">
        <v>1411</v>
      </c>
      <c r="BI56" s="280" t="s">
        <v>1412</v>
      </c>
      <c r="BJ56" s="280" t="s">
        <v>1413</v>
      </c>
      <c r="BK56" s="280" t="s">
        <v>1414</v>
      </c>
      <c r="BL56" s="280" t="s">
        <v>1415</v>
      </c>
      <c r="BM56" s="280" t="s">
        <v>1416</v>
      </c>
      <c r="BN56" s="280" t="s">
        <v>1417</v>
      </c>
      <c r="BO56" s="280" t="s">
        <v>1418</v>
      </c>
      <c r="BP56" s="280" t="s">
        <v>1420</v>
      </c>
      <c r="BQ56" s="134" t="str">
        <f t="shared" si="40"/>
        <v>Pic Example</v>
      </c>
    </row>
    <row r="57" spans="2:69" x14ac:dyDescent="0.25">
      <c r="B57" t="s">
        <v>967</v>
      </c>
      <c r="C57" s="279" t="str">
        <f t="shared" si="37"/>
        <v>https://viking-pictures.s3.us-west-1.amazonaws.com/AA1155/A65.+Vent%2C+DASH+-+FRONT+RIGHT+(1).JPG|https://viking-pictures.s3.us-west-1.amazonaws.com/AA1155/A65.+Vent%2C+DASH+-+FRONT+RIGHT+(2).JPG|https://viking-pictures.s3.us-west-1.amazonaws.com/AA1155/A65.+Vent%2C+DASH+-+FRONT+RIGHT+(3).JPG|https://viking-pictures.s3.us-west-1.amazonaws.com/AA1155/A65.+Vent%2C+DASH+-+FRONT+RIGHT+(4).JPG</v>
      </c>
      <c r="D57" s="281">
        <f>_xlfn.XLOOKUP(B57,'3. Keep &amp; Toss Items'!O:O,'3. Keep &amp; Toss Items'!U:U,"NOT FOUND",0,1)</f>
        <v>4</v>
      </c>
      <c r="E57" s="279" t="str">
        <f t="shared" si="38"/>
        <v>https://viking-pictures.s3.us-west-1.amazonaws.com/AA1155/A65.+Vent%2C+DASH+-+FRONT+RIGHT+(1).JPG</v>
      </c>
      <c r="F57" s="279" t="str">
        <f t="shared" si="41"/>
        <v>https://viking-pictures.s3.us-west-1.amazonaws.com/AA1155/A65.+Vent%2C+DASH+-+FRONT+RIGHT+(2).JPG</v>
      </c>
      <c r="G57" s="279" t="str">
        <f t="shared" si="42"/>
        <v>https://viking-pictures.s3.us-west-1.amazonaws.com/AA1155/A65.+Vent%2C+DASH+-+FRONT+RIGHT+(3).JPG</v>
      </c>
      <c r="H57" s="279" t="str">
        <f t="shared" si="43"/>
        <v>https://viking-pictures.s3.us-west-1.amazonaws.com/AA1155/A65.+Vent%2C+DASH+-+FRONT+RIGHT+(4).JPG</v>
      </c>
      <c r="I57" s="279" t="str">
        <f t="shared" si="44"/>
        <v/>
      </c>
      <c r="J57" s="279" t="str">
        <f t="shared" si="45"/>
        <v/>
      </c>
      <c r="K57" s="279" t="str">
        <f t="shared" si="46"/>
        <v/>
      </c>
      <c r="L57" s="279" t="str">
        <f t="shared" si="46"/>
        <v/>
      </c>
      <c r="M57" s="279" t="str">
        <f t="shared" si="47"/>
        <v/>
      </c>
      <c r="N57" s="279" t="str">
        <f t="shared" si="48"/>
        <v/>
      </c>
      <c r="O57" s="279" t="str">
        <f t="shared" si="49"/>
        <v/>
      </c>
      <c r="P57" s="279" t="str">
        <f t="shared" si="50"/>
        <v/>
      </c>
      <c r="Q57" s="279" t="str">
        <f t="shared" si="51"/>
        <v/>
      </c>
      <c r="R57" s="279" t="str">
        <f t="shared" si="52"/>
        <v/>
      </c>
      <c r="S57" s="279" t="str">
        <f t="shared" si="53"/>
        <v/>
      </c>
      <c r="T57" s="279" t="str">
        <f t="shared" si="54"/>
        <v/>
      </c>
      <c r="U57" s="279" t="str">
        <f t="shared" si="55"/>
        <v/>
      </c>
      <c r="V57" s="279" t="str">
        <f t="shared" si="56"/>
        <v/>
      </c>
      <c r="W57" s="279" t="str">
        <f t="shared" si="57"/>
        <v/>
      </c>
      <c r="X57" s="279" t="str">
        <f t="shared" si="58"/>
        <v/>
      </c>
      <c r="Y57" s="279" t="str">
        <f t="shared" si="59"/>
        <v/>
      </c>
      <c r="Z57" s="279" t="str">
        <f t="shared" si="60"/>
        <v/>
      </c>
      <c r="AA57" s="279" t="str">
        <f t="shared" si="61"/>
        <v/>
      </c>
      <c r="AB57" s="279" t="str">
        <f t="shared" si="62"/>
        <v/>
      </c>
      <c r="AC57" s="104" t="s">
        <v>1382</v>
      </c>
      <c r="AD57" s="279" t="str">
        <f t="shared" si="26"/>
        <v>A65.+Vent%2C+DASH+-+FRONT+RIGHT</v>
      </c>
      <c r="AE57" s="279" t="str">
        <f>_xlfn.XLOOKUP(B57,'3. Keep &amp; Toss Items'!O:O,'3. Keep &amp; Toss Items'!Q:Q,"NOT FOUND",0,1)</f>
        <v>A65. Vent, DASH - FRONT RIGHT</v>
      </c>
      <c r="AF57" s="279" t="str">
        <f t="shared" si="27"/>
        <v>A65. Vent, DASH - FRONT RIGHT</v>
      </c>
      <c r="AG57" s="279" t="str">
        <f t="shared" si="28"/>
        <v>A65.+Vent,+DASH+-+FRONT+RIGHT</v>
      </c>
      <c r="AH57" s="279" t="str">
        <f t="shared" si="29"/>
        <v>A65.+Vent%2C+DASH+-+FRONT+RIGHT</v>
      </c>
      <c r="AI57" s="279" t="str">
        <f t="shared" si="30"/>
        <v>A65.+Vent%2C+DASH+-+FRONT+RIGHT</v>
      </c>
      <c r="AJ57" s="279" t="str">
        <f t="shared" si="31"/>
        <v>A65.+Vent%2C+DASH+-+FRONT+RIGHT</v>
      </c>
      <c r="AK57" s="279" t="str">
        <f t="shared" si="32"/>
        <v>A65.+Vent%2C+DASH+-+FRONT+RIGHT</v>
      </c>
      <c r="AL57" s="279" t="str">
        <f t="shared" si="33"/>
        <v>A65.+Vent%2C+DASH+-+FRONT+RIGHT</v>
      </c>
      <c r="AM57" s="279" t="str">
        <f t="shared" si="34"/>
        <v>A65.+Vent%2C+DASH+-+FRONT+RIGHT</v>
      </c>
      <c r="AN57" s="279" t="str">
        <f t="shared" si="39"/>
        <v>A65.+Vent%2C+DASH+-+FRONT+RIGHT</v>
      </c>
      <c r="AO57" s="279" t="str">
        <f t="shared" si="35"/>
        <v>A65.+Vent%2C+DASH+-+FRONT+RIGHT</v>
      </c>
      <c r="AP57" s="279" t="str">
        <f t="shared" si="36"/>
        <v>A65.+Vent%2C+DASH+-+FRONT+RIGHT</v>
      </c>
      <c r="AQ57" s="280" t="s">
        <v>1395</v>
      </c>
      <c r="AR57" s="280" t="s">
        <v>1396</v>
      </c>
      <c r="AS57" s="280" t="s">
        <v>1397</v>
      </c>
      <c r="AT57" s="280" t="s">
        <v>1398</v>
      </c>
      <c r="AU57" s="280" t="s">
        <v>1399</v>
      </c>
      <c r="AV57" s="280" t="s">
        <v>1400</v>
      </c>
      <c r="AW57" s="280" t="s">
        <v>1401</v>
      </c>
      <c r="AX57" s="280" t="s">
        <v>1402</v>
      </c>
      <c r="AY57" s="280" t="s">
        <v>1403</v>
      </c>
      <c r="AZ57" s="280" t="s">
        <v>1404</v>
      </c>
      <c r="BA57" s="280" t="s">
        <v>1405</v>
      </c>
      <c r="BB57" s="280" t="s">
        <v>1406</v>
      </c>
      <c r="BC57" s="280" t="s">
        <v>1419</v>
      </c>
      <c r="BD57" s="280" t="s">
        <v>1407</v>
      </c>
      <c r="BE57" s="280" t="s">
        <v>1408</v>
      </c>
      <c r="BF57" s="280" t="s">
        <v>1409</v>
      </c>
      <c r="BG57" s="280" t="s">
        <v>1410</v>
      </c>
      <c r="BH57" s="280" t="s">
        <v>1411</v>
      </c>
      <c r="BI57" s="280" t="s">
        <v>1412</v>
      </c>
      <c r="BJ57" s="280" t="s">
        <v>1413</v>
      </c>
      <c r="BK57" s="280" t="s">
        <v>1414</v>
      </c>
      <c r="BL57" s="280" t="s">
        <v>1415</v>
      </c>
      <c r="BM57" s="280" t="s">
        <v>1416</v>
      </c>
      <c r="BN57" s="280" t="s">
        <v>1417</v>
      </c>
      <c r="BO57" s="280" t="s">
        <v>1418</v>
      </c>
      <c r="BP57" s="280" t="s">
        <v>1420</v>
      </c>
      <c r="BQ57" s="134" t="str">
        <f t="shared" si="40"/>
        <v>Pic Example</v>
      </c>
    </row>
    <row r="58" spans="2:69" x14ac:dyDescent="0.25">
      <c r="B58" t="s">
        <v>968</v>
      </c>
      <c r="C58" s="279" t="str">
        <f t="shared" si="37"/>
        <v>https://viking-pictures.s3.us-west-1.amazonaws.com/AA1155/A66.+Seatbelt+Buckle%2C+FRONT+-+LEFT+(1).JPG|https://viking-pictures.s3.us-west-1.amazonaws.com/AA1155/A66.+Seatbelt+Buckle%2C+FRONT+-+LEFT+(2).JPG|https://viking-pictures.s3.us-west-1.amazonaws.com/AA1155/A66.+Seatbelt+Buckle%2C+FRONT+-+LEFT+(3).JPG|https://viking-pictures.s3.us-west-1.amazonaws.com/AA1155/A66.+Seatbelt+Buckle%2C+FRONT+-+LEFT+(4).JPG</v>
      </c>
      <c r="D58" s="281">
        <f>_xlfn.XLOOKUP(B58,'3. Keep &amp; Toss Items'!O:O,'3. Keep &amp; Toss Items'!U:U,"NOT FOUND",0,1)</f>
        <v>4</v>
      </c>
      <c r="E58" s="279" t="str">
        <f t="shared" si="38"/>
        <v>https://viking-pictures.s3.us-west-1.amazonaws.com/AA1155/A66.+Seatbelt+Buckle%2C+FRONT+-+LEFT+(1).JPG</v>
      </c>
      <c r="F58" s="279" t="str">
        <f t="shared" si="41"/>
        <v>https://viking-pictures.s3.us-west-1.amazonaws.com/AA1155/A66.+Seatbelt+Buckle%2C+FRONT+-+LEFT+(2).JPG</v>
      </c>
      <c r="G58" s="279" t="str">
        <f t="shared" si="42"/>
        <v>https://viking-pictures.s3.us-west-1.amazonaws.com/AA1155/A66.+Seatbelt+Buckle%2C+FRONT+-+LEFT+(3).JPG</v>
      </c>
      <c r="H58" s="279" t="str">
        <f t="shared" si="43"/>
        <v>https://viking-pictures.s3.us-west-1.amazonaws.com/AA1155/A66.+Seatbelt+Buckle%2C+FRONT+-+LEFT+(4).JPG</v>
      </c>
      <c r="I58" s="279" t="str">
        <f t="shared" si="44"/>
        <v/>
      </c>
      <c r="J58" s="279" t="str">
        <f t="shared" si="45"/>
        <v/>
      </c>
      <c r="K58" s="279" t="str">
        <f t="shared" si="46"/>
        <v/>
      </c>
      <c r="L58" s="279" t="str">
        <f t="shared" si="46"/>
        <v/>
      </c>
      <c r="M58" s="279" t="str">
        <f t="shared" si="47"/>
        <v/>
      </c>
      <c r="N58" s="279" t="str">
        <f t="shared" si="48"/>
        <v/>
      </c>
      <c r="O58" s="279" t="str">
        <f t="shared" si="49"/>
        <v/>
      </c>
      <c r="P58" s="279" t="str">
        <f t="shared" si="50"/>
        <v/>
      </c>
      <c r="Q58" s="279" t="str">
        <f t="shared" si="51"/>
        <v/>
      </c>
      <c r="R58" s="279" t="str">
        <f t="shared" si="52"/>
        <v/>
      </c>
      <c r="S58" s="279" t="str">
        <f t="shared" si="53"/>
        <v/>
      </c>
      <c r="T58" s="279" t="str">
        <f t="shared" si="54"/>
        <v/>
      </c>
      <c r="U58" s="279" t="str">
        <f t="shared" si="55"/>
        <v/>
      </c>
      <c r="V58" s="279" t="str">
        <f t="shared" si="56"/>
        <v/>
      </c>
      <c r="W58" s="279" t="str">
        <f t="shared" si="57"/>
        <v/>
      </c>
      <c r="X58" s="279" t="str">
        <f t="shared" si="58"/>
        <v/>
      </c>
      <c r="Y58" s="279" t="str">
        <f t="shared" si="59"/>
        <v/>
      </c>
      <c r="Z58" s="279" t="str">
        <f t="shared" si="60"/>
        <v/>
      </c>
      <c r="AA58" s="279" t="str">
        <f t="shared" si="61"/>
        <v/>
      </c>
      <c r="AB58" s="279" t="str">
        <f t="shared" si="62"/>
        <v/>
      </c>
      <c r="AC58" s="104" t="s">
        <v>1382</v>
      </c>
      <c r="AD58" s="279" t="str">
        <f t="shared" si="26"/>
        <v>A66.+Seatbelt+Buckle%2C+FRONT+-+LEFT</v>
      </c>
      <c r="AE58" s="279" t="str">
        <f>_xlfn.XLOOKUP(B58,'3. Keep &amp; Toss Items'!O:O,'3. Keep &amp; Toss Items'!Q:Q,"NOT FOUND",0,1)</f>
        <v>A66. Seatbelt Buckle, FRONT - LEFT</v>
      </c>
      <c r="AF58" s="279" t="str">
        <f t="shared" si="27"/>
        <v>A66. Seatbelt Buckle, FRONT - LEFT</v>
      </c>
      <c r="AG58" s="279" t="str">
        <f t="shared" si="28"/>
        <v>A66.+Seatbelt+Buckle,+FRONT+-+LEFT</v>
      </c>
      <c r="AH58" s="279" t="str">
        <f t="shared" si="29"/>
        <v>A66.+Seatbelt+Buckle%2C+FRONT+-+LEFT</v>
      </c>
      <c r="AI58" s="279" t="str">
        <f t="shared" si="30"/>
        <v>A66.+Seatbelt+Buckle%2C+FRONT+-+LEFT</v>
      </c>
      <c r="AJ58" s="279" t="str">
        <f t="shared" si="31"/>
        <v>A66.+Seatbelt+Buckle%2C+FRONT+-+LEFT</v>
      </c>
      <c r="AK58" s="279" t="str">
        <f t="shared" si="32"/>
        <v>A66.+Seatbelt+Buckle%2C+FRONT+-+LEFT</v>
      </c>
      <c r="AL58" s="279" t="str">
        <f t="shared" si="33"/>
        <v>A66.+Seatbelt+Buckle%2C+FRONT+-+LEFT</v>
      </c>
      <c r="AM58" s="279" t="str">
        <f t="shared" si="34"/>
        <v>A66.+Seatbelt+Buckle%2C+FRONT+-+LEFT</v>
      </c>
      <c r="AN58" s="279" t="str">
        <f t="shared" si="39"/>
        <v>A66.+Seatbelt+Buckle%2C+FRONT+-+LEFT</v>
      </c>
      <c r="AO58" s="279" t="str">
        <f t="shared" si="35"/>
        <v>A66.+Seatbelt+Buckle%2C+FRONT+-+LEFT</v>
      </c>
      <c r="AP58" s="279" t="str">
        <f t="shared" si="36"/>
        <v>A66.+Seatbelt+Buckle%2C+FRONT+-+LEFT</v>
      </c>
      <c r="AQ58" s="280" t="s">
        <v>1395</v>
      </c>
      <c r="AR58" s="280" t="s">
        <v>1396</v>
      </c>
      <c r="AS58" s="280" t="s">
        <v>1397</v>
      </c>
      <c r="AT58" s="280" t="s">
        <v>1398</v>
      </c>
      <c r="AU58" s="280" t="s">
        <v>1399</v>
      </c>
      <c r="AV58" s="280" t="s">
        <v>1400</v>
      </c>
      <c r="AW58" s="280" t="s">
        <v>1401</v>
      </c>
      <c r="AX58" s="280" t="s">
        <v>1402</v>
      </c>
      <c r="AY58" s="280" t="s">
        <v>1403</v>
      </c>
      <c r="AZ58" s="280" t="s">
        <v>1404</v>
      </c>
      <c r="BA58" s="280" t="s">
        <v>1405</v>
      </c>
      <c r="BB58" s="280" t="s">
        <v>1406</v>
      </c>
      <c r="BC58" s="280" t="s">
        <v>1419</v>
      </c>
      <c r="BD58" s="280" t="s">
        <v>1407</v>
      </c>
      <c r="BE58" s="280" t="s">
        <v>1408</v>
      </c>
      <c r="BF58" s="280" t="s">
        <v>1409</v>
      </c>
      <c r="BG58" s="280" t="s">
        <v>1410</v>
      </c>
      <c r="BH58" s="280" t="s">
        <v>1411</v>
      </c>
      <c r="BI58" s="280" t="s">
        <v>1412</v>
      </c>
      <c r="BJ58" s="280" t="s">
        <v>1413</v>
      </c>
      <c r="BK58" s="280" t="s">
        <v>1414</v>
      </c>
      <c r="BL58" s="280" t="s">
        <v>1415</v>
      </c>
      <c r="BM58" s="280" t="s">
        <v>1416</v>
      </c>
      <c r="BN58" s="280" t="s">
        <v>1417</v>
      </c>
      <c r="BO58" s="280" t="s">
        <v>1418</v>
      </c>
      <c r="BP58" s="280" t="s">
        <v>1420</v>
      </c>
      <c r="BQ58" s="134" t="str">
        <f t="shared" si="40"/>
        <v>Pic Example</v>
      </c>
    </row>
    <row r="59" spans="2:69" x14ac:dyDescent="0.25">
      <c r="B59" t="s">
        <v>969</v>
      </c>
      <c r="C59" s="279" t="str">
        <f t="shared" si="37"/>
        <v>https://viking-pictures.s3.us-west-1.amazonaws.com/AA1155/A67.+Headlight+Switch+(1).JPG|https://viking-pictures.s3.us-west-1.amazonaws.com/AA1155/A67.+Headlight+Switch+(2).JPG|https://viking-pictures.s3.us-west-1.amazonaws.com/AA1155/A67.+Headlight+Switch+(3).JPG|https://viking-pictures.s3.us-west-1.amazonaws.com/AA1155/A67.+Headlight+Switch+(4).JPG</v>
      </c>
      <c r="D59" s="281">
        <f>_xlfn.XLOOKUP(B59,'3. Keep &amp; Toss Items'!O:O,'3. Keep &amp; Toss Items'!U:U,"NOT FOUND",0,1)</f>
        <v>4</v>
      </c>
      <c r="E59" s="279" t="str">
        <f t="shared" si="38"/>
        <v>https://viking-pictures.s3.us-west-1.amazonaws.com/AA1155/A67.+Headlight+Switch+(1).JPG</v>
      </c>
      <c r="F59" s="279" t="str">
        <f t="shared" si="41"/>
        <v>https://viking-pictures.s3.us-west-1.amazonaws.com/AA1155/A67.+Headlight+Switch+(2).JPG</v>
      </c>
      <c r="G59" s="279" t="str">
        <f t="shared" si="42"/>
        <v>https://viking-pictures.s3.us-west-1.amazonaws.com/AA1155/A67.+Headlight+Switch+(3).JPG</v>
      </c>
      <c r="H59" s="279" t="str">
        <f t="shared" si="43"/>
        <v>https://viking-pictures.s3.us-west-1.amazonaws.com/AA1155/A67.+Headlight+Switch+(4).JPG</v>
      </c>
      <c r="I59" s="279" t="str">
        <f t="shared" si="44"/>
        <v/>
      </c>
      <c r="J59" s="279" t="str">
        <f t="shared" si="45"/>
        <v/>
      </c>
      <c r="K59" s="279" t="str">
        <f t="shared" si="46"/>
        <v/>
      </c>
      <c r="L59" s="279" t="str">
        <f t="shared" si="46"/>
        <v/>
      </c>
      <c r="M59" s="279" t="str">
        <f t="shared" si="47"/>
        <v/>
      </c>
      <c r="N59" s="279" t="str">
        <f t="shared" si="48"/>
        <v/>
      </c>
      <c r="O59" s="279" t="str">
        <f t="shared" si="49"/>
        <v/>
      </c>
      <c r="P59" s="279" t="str">
        <f t="shared" si="50"/>
        <v/>
      </c>
      <c r="Q59" s="279" t="str">
        <f t="shared" si="51"/>
        <v/>
      </c>
      <c r="R59" s="279" t="str">
        <f t="shared" si="52"/>
        <v/>
      </c>
      <c r="S59" s="279" t="str">
        <f t="shared" si="53"/>
        <v/>
      </c>
      <c r="T59" s="279" t="str">
        <f t="shared" si="54"/>
        <v/>
      </c>
      <c r="U59" s="279" t="str">
        <f t="shared" si="55"/>
        <v/>
      </c>
      <c r="V59" s="279" t="str">
        <f t="shared" si="56"/>
        <v/>
      </c>
      <c r="W59" s="279" t="str">
        <f t="shared" si="57"/>
        <v/>
      </c>
      <c r="X59" s="279" t="str">
        <f t="shared" si="58"/>
        <v/>
      </c>
      <c r="Y59" s="279" t="str">
        <f t="shared" si="59"/>
        <v/>
      </c>
      <c r="Z59" s="279" t="str">
        <f t="shared" si="60"/>
        <v/>
      </c>
      <c r="AA59" s="279" t="str">
        <f t="shared" si="61"/>
        <v/>
      </c>
      <c r="AB59" s="279" t="str">
        <f t="shared" si="62"/>
        <v/>
      </c>
      <c r="AC59" s="104" t="s">
        <v>1382</v>
      </c>
      <c r="AD59" s="279" t="str">
        <f t="shared" si="26"/>
        <v>A67.+Headlight+Switch</v>
      </c>
      <c r="AE59" s="279" t="str">
        <f>_xlfn.XLOOKUP(B59,'3. Keep &amp; Toss Items'!O:O,'3. Keep &amp; Toss Items'!Q:Q,"NOT FOUND",0,1)</f>
        <v>A67. Headlight Switch</v>
      </c>
      <c r="AF59" s="279" t="str">
        <f t="shared" si="27"/>
        <v>A67. Headlight Switch</v>
      </c>
      <c r="AG59" s="279" t="str">
        <f t="shared" si="28"/>
        <v>A67.+Headlight+Switch</v>
      </c>
      <c r="AH59" s="279" t="str">
        <f t="shared" si="29"/>
        <v>A67.+Headlight+Switch</v>
      </c>
      <c r="AI59" s="279" t="str">
        <f t="shared" si="30"/>
        <v>A67.+Headlight+Switch</v>
      </c>
      <c r="AJ59" s="279" t="str">
        <f t="shared" si="31"/>
        <v>A67.+Headlight+Switch</v>
      </c>
      <c r="AK59" s="279" t="str">
        <f t="shared" si="32"/>
        <v>A67.+Headlight+Switch</v>
      </c>
      <c r="AL59" s="279" t="str">
        <f t="shared" si="33"/>
        <v>A67.+Headlight+Switch</v>
      </c>
      <c r="AM59" s="279" t="str">
        <f t="shared" si="34"/>
        <v>A67.+Headlight+Switch</v>
      </c>
      <c r="AN59" s="279" t="str">
        <f t="shared" si="39"/>
        <v>A67.+Headlight+Switch</v>
      </c>
      <c r="AO59" s="279" t="str">
        <f t="shared" si="35"/>
        <v>A67.+Headlight+Switch</v>
      </c>
      <c r="AP59" s="279" t="str">
        <f t="shared" si="36"/>
        <v>A67.+Headlight+Switch</v>
      </c>
      <c r="AQ59" s="280" t="s">
        <v>1395</v>
      </c>
      <c r="AR59" s="280" t="s">
        <v>1396</v>
      </c>
      <c r="AS59" s="280" t="s">
        <v>1397</v>
      </c>
      <c r="AT59" s="280" t="s">
        <v>1398</v>
      </c>
      <c r="AU59" s="280" t="s">
        <v>1399</v>
      </c>
      <c r="AV59" s="280" t="s">
        <v>1400</v>
      </c>
      <c r="AW59" s="280" t="s">
        <v>1401</v>
      </c>
      <c r="AX59" s="280" t="s">
        <v>1402</v>
      </c>
      <c r="AY59" s="280" t="s">
        <v>1403</v>
      </c>
      <c r="AZ59" s="280" t="s">
        <v>1404</v>
      </c>
      <c r="BA59" s="280" t="s">
        <v>1405</v>
      </c>
      <c r="BB59" s="280" t="s">
        <v>1406</v>
      </c>
      <c r="BC59" s="280" t="s">
        <v>1419</v>
      </c>
      <c r="BD59" s="280" t="s">
        <v>1407</v>
      </c>
      <c r="BE59" s="280" t="s">
        <v>1408</v>
      </c>
      <c r="BF59" s="280" t="s">
        <v>1409</v>
      </c>
      <c r="BG59" s="280" t="s">
        <v>1410</v>
      </c>
      <c r="BH59" s="280" t="s">
        <v>1411</v>
      </c>
      <c r="BI59" s="280" t="s">
        <v>1412</v>
      </c>
      <c r="BJ59" s="280" t="s">
        <v>1413</v>
      </c>
      <c r="BK59" s="280" t="s">
        <v>1414</v>
      </c>
      <c r="BL59" s="280" t="s">
        <v>1415</v>
      </c>
      <c r="BM59" s="280" t="s">
        <v>1416</v>
      </c>
      <c r="BN59" s="280" t="s">
        <v>1417</v>
      </c>
      <c r="BO59" s="280" t="s">
        <v>1418</v>
      </c>
      <c r="BP59" s="280" t="s">
        <v>1420</v>
      </c>
      <c r="BQ59" s="134" t="str">
        <f t="shared" si="40"/>
        <v>Pic Example</v>
      </c>
    </row>
    <row r="60" spans="2:69" x14ac:dyDescent="0.25">
      <c r="B60" t="s">
        <v>970</v>
      </c>
      <c r="C60" s="279" t="str">
        <f t="shared" si="37"/>
        <v>https://viking-pictures.s3.us-west-1.amazonaws.com/AA1155/A68.+Seatbelt%2C+Retractors+REAR+2nd+ROW+-+LEFT+%26+RIGHT+SET+2+(1).JPG|https://viking-pictures.s3.us-west-1.amazonaws.com/AA1155/A68.+Seatbelt%2C+Retractors+REAR+2nd+ROW+-+LEFT+%26+RIGHT+SET+2+(2).JPG|https://viking-pictures.s3.us-west-1.amazonaws.com/AA1155/A68.+Seatbelt%2C+Retractors+REAR+2nd+ROW+-+LEFT+%26+RIGHT+SET+2+(3).JPG</v>
      </c>
      <c r="D60" s="281">
        <f>_xlfn.XLOOKUP(B60,'3. Keep &amp; Toss Items'!O:O,'3. Keep &amp; Toss Items'!U:U,"NOT FOUND",0,1)</f>
        <v>3</v>
      </c>
      <c r="E60" s="279" t="str">
        <f t="shared" si="38"/>
        <v>https://viking-pictures.s3.us-west-1.amazonaws.com/AA1155/A68.+Seatbelt%2C+Retractors+REAR+2nd+ROW+-+LEFT+%26+RIGHT+SET+2+(1).JPG</v>
      </c>
      <c r="F60" s="279" t="str">
        <f t="shared" si="41"/>
        <v>https://viking-pictures.s3.us-west-1.amazonaws.com/AA1155/A68.+Seatbelt%2C+Retractors+REAR+2nd+ROW+-+LEFT+%26+RIGHT+SET+2+(2).JPG</v>
      </c>
      <c r="G60" s="279" t="str">
        <f t="shared" si="42"/>
        <v>https://viking-pictures.s3.us-west-1.amazonaws.com/AA1155/A68.+Seatbelt%2C+Retractors+REAR+2nd+ROW+-+LEFT+%26+RIGHT+SET+2+(3).JPG</v>
      </c>
      <c r="H60" s="279" t="str">
        <f t="shared" si="43"/>
        <v/>
      </c>
      <c r="I60" s="279" t="str">
        <f t="shared" si="44"/>
        <v/>
      </c>
      <c r="J60" s="279" t="str">
        <f t="shared" si="45"/>
        <v/>
      </c>
      <c r="K60" s="279" t="str">
        <f t="shared" si="46"/>
        <v/>
      </c>
      <c r="L60" s="279" t="str">
        <f t="shared" si="46"/>
        <v/>
      </c>
      <c r="M60" s="279" t="str">
        <f t="shared" si="47"/>
        <v/>
      </c>
      <c r="N60" s="279" t="str">
        <f t="shared" si="48"/>
        <v/>
      </c>
      <c r="O60" s="279" t="str">
        <f t="shared" si="49"/>
        <v/>
      </c>
      <c r="P60" s="279" t="str">
        <f t="shared" si="50"/>
        <v/>
      </c>
      <c r="Q60" s="279" t="str">
        <f t="shared" si="51"/>
        <v/>
      </c>
      <c r="R60" s="279" t="str">
        <f t="shared" si="52"/>
        <v/>
      </c>
      <c r="S60" s="279" t="str">
        <f t="shared" si="53"/>
        <v/>
      </c>
      <c r="T60" s="279" t="str">
        <f t="shared" si="54"/>
        <v/>
      </c>
      <c r="U60" s="279" t="str">
        <f t="shared" si="55"/>
        <v/>
      </c>
      <c r="V60" s="279" t="str">
        <f t="shared" si="56"/>
        <v/>
      </c>
      <c r="W60" s="279" t="str">
        <f t="shared" si="57"/>
        <v/>
      </c>
      <c r="X60" s="279" t="str">
        <f t="shared" si="58"/>
        <v/>
      </c>
      <c r="Y60" s="279" t="str">
        <f t="shared" si="59"/>
        <v/>
      </c>
      <c r="Z60" s="279" t="str">
        <f t="shared" si="60"/>
        <v/>
      </c>
      <c r="AA60" s="279" t="str">
        <f t="shared" si="61"/>
        <v/>
      </c>
      <c r="AB60" s="279" t="str">
        <f t="shared" si="62"/>
        <v/>
      </c>
      <c r="AC60" s="104" t="s">
        <v>1382</v>
      </c>
      <c r="AD60" s="279" t="str">
        <f t="shared" si="26"/>
        <v>A68.+Seatbelt%2C+Retractors+REAR+2nd+ROW+-+LEFT+%26+RIGHT+SET+2</v>
      </c>
      <c r="AE60" s="279" t="str">
        <f>_xlfn.XLOOKUP(B60,'3. Keep &amp; Toss Items'!O:O,'3. Keep &amp; Toss Items'!Q:Q,"NOT FOUND",0,1)</f>
        <v>A68. Seatbelt, Retractors REAR 2nd ROW - LEFT &amp; RIGHT SET 2</v>
      </c>
      <c r="AF60" s="279" t="str">
        <f t="shared" si="27"/>
        <v>A68. Seatbelt, Retractors REAR 2nd ROW - LEFT &amp; RIGHT SET 2</v>
      </c>
      <c r="AG60" s="279" t="str">
        <f t="shared" si="28"/>
        <v>A68.+Seatbelt,+Retractors+REAR+2nd+ROW+-+LEFT+&amp;+RIGHT+SET+2</v>
      </c>
      <c r="AH60" s="279" t="str">
        <f t="shared" si="29"/>
        <v>A68.+Seatbelt%2C+Retractors+REAR+2nd+ROW+-+LEFT+&amp;+RIGHT+SET+2</v>
      </c>
      <c r="AI60" s="279" t="str">
        <f t="shared" si="30"/>
        <v>A68.+Seatbelt%2C+Retractors+REAR+2nd+ROW+-+LEFT+&amp;+RIGHT+SET+2</v>
      </c>
      <c r="AJ60" s="279" t="str">
        <f t="shared" si="31"/>
        <v>A68.+Seatbelt%2C+Retractors+REAR+2nd+ROW+-+LEFT+&amp;+RIGHT+SET+2</v>
      </c>
      <c r="AK60" s="279" t="str">
        <f t="shared" si="32"/>
        <v>A68.+Seatbelt%2C+Retractors+REAR+2nd+ROW+-+LEFT+&amp;+RIGHT+SET+2</v>
      </c>
      <c r="AL60" s="279" t="str">
        <f t="shared" si="33"/>
        <v>A68.+Seatbelt%2C+Retractors+REAR+2nd+ROW+-+LEFT+%26+RIGHT+SET+2</v>
      </c>
      <c r="AM60" s="279" t="str">
        <f t="shared" si="34"/>
        <v>A68.+Seatbelt%2C+Retractors+REAR+2nd+ROW+-+LEFT+%26+RIGHT+SET+2</v>
      </c>
      <c r="AN60" s="279" t="str">
        <f t="shared" si="39"/>
        <v>A68.+Seatbelt%2C+Retractors+REAR+2nd+ROW+-+LEFT+%26+RIGHT+SET+2</v>
      </c>
      <c r="AO60" s="279" t="str">
        <f t="shared" si="35"/>
        <v>A68.+Seatbelt%2C+Retractors+REAR+2nd+ROW+-+LEFT+%26+RIGHT+SET+2</v>
      </c>
      <c r="AP60" s="279" t="str">
        <f t="shared" si="36"/>
        <v>A68.+Seatbelt%2C+Retractors+REAR+2nd+ROW+-+LEFT+%26+RIGHT+SET+2</v>
      </c>
      <c r="AQ60" s="280" t="s">
        <v>1395</v>
      </c>
      <c r="AR60" s="280" t="s">
        <v>1396</v>
      </c>
      <c r="AS60" s="280" t="s">
        <v>1397</v>
      </c>
      <c r="AT60" s="280" t="s">
        <v>1398</v>
      </c>
      <c r="AU60" s="280" t="s">
        <v>1399</v>
      </c>
      <c r="AV60" s="280" t="s">
        <v>1400</v>
      </c>
      <c r="AW60" s="280" t="s">
        <v>1401</v>
      </c>
      <c r="AX60" s="280" t="s">
        <v>1402</v>
      </c>
      <c r="AY60" s="280" t="s">
        <v>1403</v>
      </c>
      <c r="AZ60" s="280" t="s">
        <v>1404</v>
      </c>
      <c r="BA60" s="280" t="s">
        <v>1405</v>
      </c>
      <c r="BB60" s="280" t="s">
        <v>1406</v>
      </c>
      <c r="BC60" s="280" t="s">
        <v>1419</v>
      </c>
      <c r="BD60" s="280" t="s">
        <v>1407</v>
      </c>
      <c r="BE60" s="280" t="s">
        <v>1408</v>
      </c>
      <c r="BF60" s="280" t="s">
        <v>1409</v>
      </c>
      <c r="BG60" s="280" t="s">
        <v>1410</v>
      </c>
      <c r="BH60" s="280" t="s">
        <v>1411</v>
      </c>
      <c r="BI60" s="280" t="s">
        <v>1412</v>
      </c>
      <c r="BJ60" s="280" t="s">
        <v>1413</v>
      </c>
      <c r="BK60" s="280" t="s">
        <v>1414</v>
      </c>
      <c r="BL60" s="280" t="s">
        <v>1415</v>
      </c>
      <c r="BM60" s="280" t="s">
        <v>1416</v>
      </c>
      <c r="BN60" s="280" t="s">
        <v>1417</v>
      </c>
      <c r="BO60" s="280" t="s">
        <v>1418</v>
      </c>
      <c r="BP60" s="280" t="s">
        <v>1420</v>
      </c>
      <c r="BQ60" s="134" t="str">
        <f t="shared" si="40"/>
        <v>Pic Example</v>
      </c>
    </row>
    <row r="61" spans="2:69" x14ac:dyDescent="0.25">
      <c r="B61" t="s">
        <v>971</v>
      </c>
      <c r="C61" s="279" t="str">
        <f t="shared" si="37"/>
        <v>https://viking-pictures.s3.us-west-1.amazonaws.com/AA1155/A69.+I-Drive+Navigation+Radio+Control+Knob+(1).JPG|https://viking-pictures.s3.us-west-1.amazonaws.com/AA1155/A69.+I-Drive+Navigation+Radio+Control+Knob+(2).JPG|https://viking-pictures.s3.us-west-1.amazonaws.com/AA1155/A69.+I-Drive+Navigation+Radio+Control+Knob+(3).JPG|https://viking-pictures.s3.us-west-1.amazonaws.com/AA1155/A69.+I-Drive+Navigation+Radio+Control+Knob+(4).JPG</v>
      </c>
      <c r="D61" s="281">
        <f>_xlfn.XLOOKUP(B61,'3. Keep &amp; Toss Items'!O:O,'3. Keep &amp; Toss Items'!U:U,"NOT FOUND",0,1)</f>
        <v>4</v>
      </c>
      <c r="E61" s="279" t="str">
        <f t="shared" si="38"/>
        <v>https://viking-pictures.s3.us-west-1.amazonaws.com/AA1155/A69.+I-Drive+Navigation+Radio+Control+Knob+(1).JPG</v>
      </c>
      <c r="F61" s="279" t="str">
        <f t="shared" si="41"/>
        <v>https://viking-pictures.s3.us-west-1.amazonaws.com/AA1155/A69.+I-Drive+Navigation+Radio+Control+Knob+(2).JPG</v>
      </c>
      <c r="G61" s="279" t="str">
        <f t="shared" si="42"/>
        <v>https://viking-pictures.s3.us-west-1.amazonaws.com/AA1155/A69.+I-Drive+Navigation+Radio+Control+Knob+(3).JPG</v>
      </c>
      <c r="H61" s="279" t="str">
        <f t="shared" si="43"/>
        <v>https://viking-pictures.s3.us-west-1.amazonaws.com/AA1155/A69.+I-Drive+Navigation+Radio+Control+Knob+(4).JPG</v>
      </c>
      <c r="I61" s="279" t="str">
        <f t="shared" si="44"/>
        <v/>
      </c>
      <c r="J61" s="279" t="str">
        <f t="shared" si="45"/>
        <v/>
      </c>
      <c r="K61" s="279" t="str">
        <f t="shared" si="46"/>
        <v/>
      </c>
      <c r="L61" s="279" t="str">
        <f t="shared" si="46"/>
        <v/>
      </c>
      <c r="M61" s="279" t="str">
        <f t="shared" si="47"/>
        <v/>
      </c>
      <c r="N61" s="279" t="str">
        <f t="shared" si="48"/>
        <v/>
      </c>
      <c r="O61" s="279" t="str">
        <f t="shared" si="49"/>
        <v/>
      </c>
      <c r="P61" s="279" t="str">
        <f t="shared" si="50"/>
        <v/>
      </c>
      <c r="Q61" s="279" t="str">
        <f t="shared" si="51"/>
        <v/>
      </c>
      <c r="R61" s="279" t="str">
        <f t="shared" si="52"/>
        <v/>
      </c>
      <c r="S61" s="279" t="str">
        <f t="shared" si="53"/>
        <v/>
      </c>
      <c r="T61" s="279" t="str">
        <f t="shared" si="54"/>
        <v/>
      </c>
      <c r="U61" s="279" t="str">
        <f t="shared" si="55"/>
        <v/>
      </c>
      <c r="V61" s="279" t="str">
        <f t="shared" si="56"/>
        <v/>
      </c>
      <c r="W61" s="279" t="str">
        <f t="shared" si="57"/>
        <v/>
      </c>
      <c r="X61" s="279" t="str">
        <f t="shared" si="58"/>
        <v/>
      </c>
      <c r="Y61" s="279" t="str">
        <f t="shared" si="59"/>
        <v/>
      </c>
      <c r="Z61" s="279" t="str">
        <f t="shared" si="60"/>
        <v/>
      </c>
      <c r="AA61" s="279" t="str">
        <f t="shared" si="61"/>
        <v/>
      </c>
      <c r="AB61" s="279" t="str">
        <f t="shared" si="62"/>
        <v/>
      </c>
      <c r="AC61" s="104" t="s">
        <v>1382</v>
      </c>
      <c r="AD61" s="279" t="str">
        <f t="shared" si="26"/>
        <v>A69.+I-Drive+Navigation+Radio+Control+Knob</v>
      </c>
      <c r="AE61" s="279" t="str">
        <f>_xlfn.XLOOKUP(B61,'3. Keep &amp; Toss Items'!O:O,'3. Keep &amp; Toss Items'!Q:Q,"NOT FOUND",0,1)</f>
        <v>A69. I-Drive Navigation Radio Control Knob</v>
      </c>
      <c r="AF61" s="279" t="str">
        <f t="shared" si="27"/>
        <v>A69. I-Drive Navigation Radio Control Knob</v>
      </c>
      <c r="AG61" s="279" t="str">
        <f t="shared" si="28"/>
        <v>A69.+I-Drive+Navigation+Radio+Control+Knob</v>
      </c>
      <c r="AH61" s="279" t="str">
        <f t="shared" si="29"/>
        <v>A69.+I-Drive+Navigation+Radio+Control+Knob</v>
      </c>
      <c r="AI61" s="279" t="str">
        <f t="shared" si="30"/>
        <v>A69.+I-Drive+Navigation+Radio+Control+Knob</v>
      </c>
      <c r="AJ61" s="279" t="str">
        <f t="shared" si="31"/>
        <v>A69.+I-Drive+Navigation+Radio+Control+Knob</v>
      </c>
      <c r="AK61" s="279" t="str">
        <f t="shared" si="32"/>
        <v>A69.+I-Drive+Navigation+Radio+Control+Knob</v>
      </c>
      <c r="AL61" s="279" t="str">
        <f t="shared" si="33"/>
        <v>A69.+I-Drive+Navigation+Radio+Control+Knob</v>
      </c>
      <c r="AM61" s="279" t="str">
        <f t="shared" si="34"/>
        <v>A69.+I-Drive+Navigation+Radio+Control+Knob</v>
      </c>
      <c r="AN61" s="279" t="str">
        <f t="shared" si="39"/>
        <v>A69.+I-Drive+Navigation+Radio+Control+Knob</v>
      </c>
      <c r="AO61" s="279" t="str">
        <f t="shared" si="35"/>
        <v>A69.+I-Drive+Navigation+Radio+Control+Knob</v>
      </c>
      <c r="AP61" s="279" t="str">
        <f t="shared" si="36"/>
        <v>A69.+I-Drive+Navigation+Radio+Control+Knob</v>
      </c>
      <c r="AQ61" s="280" t="s">
        <v>1395</v>
      </c>
      <c r="AR61" s="280" t="s">
        <v>1396</v>
      </c>
      <c r="AS61" s="280" t="s">
        <v>1397</v>
      </c>
      <c r="AT61" s="280" t="s">
        <v>1398</v>
      </c>
      <c r="AU61" s="280" t="s">
        <v>1399</v>
      </c>
      <c r="AV61" s="280" t="s">
        <v>1400</v>
      </c>
      <c r="AW61" s="280" t="s">
        <v>1401</v>
      </c>
      <c r="AX61" s="280" t="s">
        <v>1402</v>
      </c>
      <c r="AY61" s="280" t="s">
        <v>1403</v>
      </c>
      <c r="AZ61" s="280" t="s">
        <v>1404</v>
      </c>
      <c r="BA61" s="280" t="s">
        <v>1405</v>
      </c>
      <c r="BB61" s="280" t="s">
        <v>1406</v>
      </c>
      <c r="BC61" s="280" t="s">
        <v>1419</v>
      </c>
      <c r="BD61" s="280" t="s">
        <v>1407</v>
      </c>
      <c r="BE61" s="280" t="s">
        <v>1408</v>
      </c>
      <c r="BF61" s="280" t="s">
        <v>1409</v>
      </c>
      <c r="BG61" s="280" t="s">
        <v>1410</v>
      </c>
      <c r="BH61" s="280" t="s">
        <v>1411</v>
      </c>
      <c r="BI61" s="280" t="s">
        <v>1412</v>
      </c>
      <c r="BJ61" s="280" t="s">
        <v>1413</v>
      </c>
      <c r="BK61" s="280" t="s">
        <v>1414</v>
      </c>
      <c r="BL61" s="280" t="s">
        <v>1415</v>
      </c>
      <c r="BM61" s="280" t="s">
        <v>1416</v>
      </c>
      <c r="BN61" s="280" t="s">
        <v>1417</v>
      </c>
      <c r="BO61" s="280" t="s">
        <v>1418</v>
      </c>
      <c r="BP61" s="280" t="s">
        <v>1420</v>
      </c>
      <c r="BQ61" s="134" t="str">
        <f t="shared" si="40"/>
        <v>Pic Example</v>
      </c>
    </row>
    <row r="62" spans="2:69" x14ac:dyDescent="0.25">
      <c r="B62" t="s">
        <v>972</v>
      </c>
      <c r="C62" s="279" t="str">
        <f t="shared" si="37"/>
        <v>https://viking-pictures.s3.us-west-1.amazonaws.com/AA1155/A70.+Seatbelt%2C+Buckles+REAR+2ND+ROW+-+SET+3+(1).JPG|https://viking-pictures.s3.us-west-1.amazonaws.com/AA1155/A70.+Seatbelt%2C+Buckles+REAR+2ND+ROW+-+SET+3+(2).JPG|https://viking-pictures.s3.us-west-1.amazonaws.com/AA1155/A70.+Seatbelt%2C+Buckles+REAR+2ND+ROW+-+SET+3+(3).JPG</v>
      </c>
      <c r="D62" s="281">
        <f>_xlfn.XLOOKUP(B62,'3. Keep &amp; Toss Items'!O:O,'3. Keep &amp; Toss Items'!U:U,"NOT FOUND",0,1)</f>
        <v>3</v>
      </c>
      <c r="E62" s="279" t="str">
        <f t="shared" si="38"/>
        <v>https://viking-pictures.s3.us-west-1.amazonaws.com/AA1155/A70.+Seatbelt%2C+Buckles+REAR+2ND+ROW+-+SET+3+(1).JPG</v>
      </c>
      <c r="F62" s="279" t="str">
        <f t="shared" si="41"/>
        <v>https://viking-pictures.s3.us-west-1.amazonaws.com/AA1155/A70.+Seatbelt%2C+Buckles+REAR+2ND+ROW+-+SET+3+(2).JPG</v>
      </c>
      <c r="G62" s="279" t="str">
        <f t="shared" si="42"/>
        <v>https://viking-pictures.s3.us-west-1.amazonaws.com/AA1155/A70.+Seatbelt%2C+Buckles+REAR+2ND+ROW+-+SET+3+(3).JPG</v>
      </c>
      <c r="H62" s="279" t="str">
        <f t="shared" si="43"/>
        <v/>
      </c>
      <c r="I62" s="279" t="str">
        <f t="shared" si="44"/>
        <v/>
      </c>
      <c r="J62" s="279" t="str">
        <f t="shared" si="45"/>
        <v/>
      </c>
      <c r="K62" s="279" t="str">
        <f t="shared" si="46"/>
        <v/>
      </c>
      <c r="L62" s="279" t="str">
        <f t="shared" si="46"/>
        <v/>
      </c>
      <c r="M62" s="279" t="str">
        <f t="shared" si="47"/>
        <v/>
      </c>
      <c r="N62" s="279" t="str">
        <f t="shared" si="48"/>
        <v/>
      </c>
      <c r="O62" s="279" t="str">
        <f t="shared" si="49"/>
        <v/>
      </c>
      <c r="P62" s="279" t="str">
        <f t="shared" si="50"/>
        <v/>
      </c>
      <c r="Q62" s="279" t="str">
        <f t="shared" si="51"/>
        <v/>
      </c>
      <c r="R62" s="279" t="str">
        <f t="shared" si="52"/>
        <v/>
      </c>
      <c r="S62" s="279" t="str">
        <f t="shared" si="53"/>
        <v/>
      </c>
      <c r="T62" s="279" t="str">
        <f t="shared" si="54"/>
        <v/>
      </c>
      <c r="U62" s="279" t="str">
        <f t="shared" si="55"/>
        <v/>
      </c>
      <c r="V62" s="279" t="str">
        <f t="shared" si="56"/>
        <v/>
      </c>
      <c r="W62" s="279" t="str">
        <f t="shared" si="57"/>
        <v/>
      </c>
      <c r="X62" s="279" t="str">
        <f t="shared" si="58"/>
        <v/>
      </c>
      <c r="Y62" s="279" t="str">
        <f t="shared" si="59"/>
        <v/>
      </c>
      <c r="Z62" s="279" t="str">
        <f t="shared" si="60"/>
        <v/>
      </c>
      <c r="AA62" s="279" t="str">
        <f t="shared" si="61"/>
        <v/>
      </c>
      <c r="AB62" s="279" t="str">
        <f t="shared" si="62"/>
        <v/>
      </c>
      <c r="AC62" s="104" t="s">
        <v>1382</v>
      </c>
      <c r="AD62" s="279" t="str">
        <f t="shared" si="26"/>
        <v>A70.+Seatbelt%2C+Buckles+REAR+2ND+ROW+-+SET+3</v>
      </c>
      <c r="AE62" s="279" t="str">
        <f>_xlfn.XLOOKUP(B62,'3. Keep &amp; Toss Items'!O:O,'3. Keep &amp; Toss Items'!Q:Q,"NOT FOUND",0,1)</f>
        <v>A70. Seatbelt, Buckles REAR 2ND ROW - SET 3</v>
      </c>
      <c r="AF62" s="279" t="str">
        <f t="shared" si="27"/>
        <v>A70. Seatbelt, Buckles REAR 2ND ROW - SET 3</v>
      </c>
      <c r="AG62" s="279" t="str">
        <f t="shared" si="28"/>
        <v>A70.+Seatbelt,+Buckles+REAR+2ND+ROW+-+SET+3</v>
      </c>
      <c r="AH62" s="279" t="str">
        <f t="shared" si="29"/>
        <v>A70.+Seatbelt%2C+Buckles+REAR+2ND+ROW+-+SET+3</v>
      </c>
      <c r="AI62" s="279" t="str">
        <f t="shared" si="30"/>
        <v>A70.+Seatbelt%2C+Buckles+REAR+2ND+ROW+-+SET+3</v>
      </c>
      <c r="AJ62" s="279" t="str">
        <f t="shared" si="31"/>
        <v>A70.+Seatbelt%2C+Buckles+REAR+2ND+ROW+-+SET+3</v>
      </c>
      <c r="AK62" s="279" t="str">
        <f t="shared" si="32"/>
        <v>A70.+Seatbelt%2C+Buckles+REAR+2ND+ROW+-+SET+3</v>
      </c>
      <c r="AL62" s="279" t="str">
        <f t="shared" si="33"/>
        <v>A70.+Seatbelt%2C+Buckles+REAR+2ND+ROW+-+SET+3</v>
      </c>
      <c r="AM62" s="279" t="str">
        <f t="shared" si="34"/>
        <v>A70.+Seatbelt%2C+Buckles+REAR+2ND+ROW+-+SET+3</v>
      </c>
      <c r="AN62" s="279" t="str">
        <f t="shared" si="39"/>
        <v>A70.+Seatbelt%2C+Buckles+REAR+2ND+ROW+-+SET+3</v>
      </c>
      <c r="AO62" s="279" t="str">
        <f t="shared" si="35"/>
        <v>A70.+Seatbelt%2C+Buckles+REAR+2ND+ROW+-+SET+3</v>
      </c>
      <c r="AP62" s="279" t="str">
        <f t="shared" si="36"/>
        <v>A70.+Seatbelt%2C+Buckles+REAR+2ND+ROW+-+SET+3</v>
      </c>
      <c r="AQ62" s="280" t="s">
        <v>1395</v>
      </c>
      <c r="AR62" s="280" t="s">
        <v>1396</v>
      </c>
      <c r="AS62" s="280" t="s">
        <v>1397</v>
      </c>
      <c r="AT62" s="280" t="s">
        <v>1398</v>
      </c>
      <c r="AU62" s="280" t="s">
        <v>1399</v>
      </c>
      <c r="AV62" s="280" t="s">
        <v>1400</v>
      </c>
      <c r="AW62" s="280" t="s">
        <v>1401</v>
      </c>
      <c r="AX62" s="280" t="s">
        <v>1402</v>
      </c>
      <c r="AY62" s="280" t="s">
        <v>1403</v>
      </c>
      <c r="AZ62" s="280" t="s">
        <v>1404</v>
      </c>
      <c r="BA62" s="280" t="s">
        <v>1405</v>
      </c>
      <c r="BB62" s="280" t="s">
        <v>1406</v>
      </c>
      <c r="BC62" s="280" t="s">
        <v>1419</v>
      </c>
      <c r="BD62" s="280" t="s">
        <v>1407</v>
      </c>
      <c r="BE62" s="280" t="s">
        <v>1408</v>
      </c>
      <c r="BF62" s="280" t="s">
        <v>1409</v>
      </c>
      <c r="BG62" s="280" t="s">
        <v>1410</v>
      </c>
      <c r="BH62" s="280" t="s">
        <v>1411</v>
      </c>
      <c r="BI62" s="280" t="s">
        <v>1412</v>
      </c>
      <c r="BJ62" s="280" t="s">
        <v>1413</v>
      </c>
      <c r="BK62" s="280" t="s">
        <v>1414</v>
      </c>
      <c r="BL62" s="280" t="s">
        <v>1415</v>
      </c>
      <c r="BM62" s="280" t="s">
        <v>1416</v>
      </c>
      <c r="BN62" s="280" t="s">
        <v>1417</v>
      </c>
      <c r="BO62" s="280" t="s">
        <v>1418</v>
      </c>
      <c r="BP62" s="280" t="s">
        <v>1420</v>
      </c>
      <c r="BQ62" s="134" t="str">
        <f t="shared" si="40"/>
        <v>Pic Example</v>
      </c>
    </row>
    <row r="63" spans="2:69" x14ac:dyDescent="0.25">
      <c r="B63" t="s">
        <v>973</v>
      </c>
      <c r="C63" s="279" t="str">
        <f t="shared" si="37"/>
        <v>https://viking-pictures.s3.us-west-1.amazonaws.com/AA1155/A71.+Module+%26+Key+SET+A+(ECM+%2B+BCM+%2B+Keyless+Mod+%2B+FOB+%2B+LF+Lock+Cyl+%2B+Immobilizer+Ring)+(1).JPG|https://viking-pictures.s3.us-west-1.amazonaws.com/AA1155/A71.+Module+%26+Key+SET+A+(ECM+%2B+BCM+%2B+Keyless+Mod+%2B+FOB+%2B+LF+Lock+Cyl+%2B+Immobilizer+Ring)+(2).JPG|https://viking-pictures.s3.us-west-1.amazonaws.com/AA1155/A71.+Module+%26+Key+SET+A+(ECM+%2B+BCM+%2B+Keyless+Mod+%2B+FOB+%2B+LF+Lock+Cyl+%2B+Immobilizer+Ring)+(3).JPG|https://viking-pictures.s3.us-west-1.amazonaws.com/AA1155/A71.+Module+%26+Key+SET+A+(ECM+%2B+BCM+%2B+Keyless+Mod+%2B+FOB+%2B+LF+Lock+Cyl+%2B+Immobilizer+Ring)+(4).JPG|https://viking-pictures.s3.us-west-1.amazonaws.com/AA1155/A71.+Module+%26+Key+SET+A+(ECM+%2B+BCM+%2B+Keyless+Mod+%2B+FOB+%2B+LF+Lock+Cyl+%2B+Immobilizer+Ring)+(5).JPG|https://viking-pictures.s3.us-west-1.amazonaws.com/AA1155/A71.+Module+%26+Key+SET+A+(ECM+%2B+BCM+%2B+Keyless+Mod+%2B+FOB+%2B+LF+Lock+Cyl+%2B+Immobilizer+Ring)+(6).JPG|https://viking-pictures.s3.us-west-1.amazonaws.com/AA1155/A71.+Module+%26+Key+SET+A+(ECM+%2B+BCM+%2B+Keyless+Mod+%2B+FOB+%2B+LF+Lock+Cyl+%2B+Immobilizer+Ring)+(7).JPG|https://viking-pictures.s3.us-west-1.amazonaws.com/AA1155/A71.+Module+%26+Key+SET+A+(ECM+%2B+BCM+%2B+Keyless+Mod+%2B+FOB+%2B+LF+Lock+Cyl+%2B+Immobilizer+Ring)+(8).JPG|https://viking-pictures.s3.us-west-1.amazonaws.com/AA1155/A71.+Module+%26+Key+SET+A+(ECM+%2B+BCM+%2B+Keyless+Mod+%2B+FOB+%2B+LF+Lock+Cyl+%2B+Immobilizer+Ring)+(9).JPG</v>
      </c>
      <c r="D63" s="281">
        <f>_xlfn.XLOOKUP(B63,'3. Keep &amp; Toss Items'!O:O,'3. Keep &amp; Toss Items'!U:U,"NOT FOUND",0,1)</f>
        <v>9</v>
      </c>
      <c r="E63" s="279" t="str">
        <f t="shared" si="38"/>
        <v>https://viking-pictures.s3.us-west-1.amazonaws.com/AA1155/A71.+Module+%26+Key+SET+A+(ECM+%2B+BCM+%2B+Keyless+Mod+%2B+FOB+%2B+LF+Lock+Cyl+%2B+Immobilizer+Ring)+(1).JPG</v>
      </c>
      <c r="F63" s="279" t="str">
        <f t="shared" si="41"/>
        <v>https://viking-pictures.s3.us-west-1.amazonaws.com/AA1155/A71.+Module+%26+Key+SET+A+(ECM+%2B+BCM+%2B+Keyless+Mod+%2B+FOB+%2B+LF+Lock+Cyl+%2B+Immobilizer+Ring)+(2).JPG</v>
      </c>
      <c r="G63" s="279" t="str">
        <f t="shared" si="42"/>
        <v>https://viking-pictures.s3.us-west-1.amazonaws.com/AA1155/A71.+Module+%26+Key+SET+A+(ECM+%2B+BCM+%2B+Keyless+Mod+%2B+FOB+%2B+LF+Lock+Cyl+%2B+Immobilizer+Ring)+(3).JPG</v>
      </c>
      <c r="H63" s="279" t="str">
        <f t="shared" si="43"/>
        <v>https://viking-pictures.s3.us-west-1.amazonaws.com/AA1155/A71.+Module+%26+Key+SET+A+(ECM+%2B+BCM+%2B+Keyless+Mod+%2B+FOB+%2B+LF+Lock+Cyl+%2B+Immobilizer+Ring)+(4).JPG</v>
      </c>
      <c r="I63" s="279" t="str">
        <f t="shared" si="44"/>
        <v>https://viking-pictures.s3.us-west-1.amazonaws.com/AA1155/A71.+Module+%26+Key+SET+A+(ECM+%2B+BCM+%2B+Keyless+Mod+%2B+FOB+%2B+LF+Lock+Cyl+%2B+Immobilizer+Ring)+(5).JPG</v>
      </c>
      <c r="J63" s="279" t="str">
        <f t="shared" si="45"/>
        <v>https://viking-pictures.s3.us-west-1.amazonaws.com/AA1155/A71.+Module+%26+Key+SET+A+(ECM+%2B+BCM+%2B+Keyless+Mod+%2B+FOB+%2B+LF+Lock+Cyl+%2B+Immobilizer+Ring)+(6).JPG</v>
      </c>
      <c r="K63" s="279" t="str">
        <f t="shared" si="46"/>
        <v>https://viking-pictures.s3.us-west-1.amazonaws.com/AA1155/A71.+Module+%26+Key+SET+A+(ECM+%2B+BCM+%2B+Keyless+Mod+%2B+FOB+%2B+LF+Lock+Cyl+%2B+Immobilizer+Ring)+(7).JPG</v>
      </c>
      <c r="L63" s="279" t="str">
        <f t="shared" si="46"/>
        <v>https://viking-pictures.s3.us-west-1.amazonaws.com/AA1155/A71.+Module+%26+Key+SET+A+(ECM+%2B+BCM+%2B+Keyless+Mod+%2B+FOB+%2B+LF+Lock+Cyl+%2B+Immobilizer+Ring)+(8).JPG</v>
      </c>
      <c r="M63" s="279" t="str">
        <f t="shared" si="47"/>
        <v>https://viking-pictures.s3.us-west-1.amazonaws.com/AA1155/A71.+Module+%26+Key+SET+A+(ECM+%2B+BCM+%2B+Keyless+Mod+%2B+FOB+%2B+LF+Lock+Cyl+%2B+Immobilizer+Ring)+(9).JPG</v>
      </c>
      <c r="N63" s="279" t="str">
        <f t="shared" si="48"/>
        <v/>
      </c>
      <c r="O63" s="279" t="str">
        <f t="shared" si="49"/>
        <v/>
      </c>
      <c r="P63" s="279" t="str">
        <f t="shared" si="50"/>
        <v/>
      </c>
      <c r="Q63" s="279" t="str">
        <f t="shared" si="51"/>
        <v/>
      </c>
      <c r="R63" s="279" t="str">
        <f t="shared" si="52"/>
        <v/>
      </c>
      <c r="S63" s="279" t="str">
        <f t="shared" si="53"/>
        <v/>
      </c>
      <c r="T63" s="279" t="str">
        <f t="shared" si="54"/>
        <v/>
      </c>
      <c r="U63" s="279" t="str">
        <f t="shared" si="55"/>
        <v/>
      </c>
      <c r="V63" s="279" t="str">
        <f t="shared" si="56"/>
        <v/>
      </c>
      <c r="W63" s="279" t="str">
        <f t="shared" si="57"/>
        <v/>
      </c>
      <c r="X63" s="279" t="str">
        <f t="shared" si="58"/>
        <v/>
      </c>
      <c r="Y63" s="279" t="str">
        <f t="shared" si="59"/>
        <v/>
      </c>
      <c r="Z63" s="279" t="str">
        <f t="shared" si="60"/>
        <v/>
      </c>
      <c r="AA63" s="279" t="str">
        <f t="shared" si="61"/>
        <v/>
      </c>
      <c r="AB63" s="279" t="str">
        <f t="shared" si="62"/>
        <v/>
      </c>
      <c r="AC63" s="104" t="s">
        <v>1382</v>
      </c>
      <c r="AD63" s="279" t="str">
        <f t="shared" si="26"/>
        <v>A71.+Module+%26+Key+SET+A+(ECM+%2B+BCM+%2B+Keyless+Mod+%2B+FOB+%2B+LF+Lock+Cyl+%2B+Immobilizer+Ring)</v>
      </c>
      <c r="AE63" s="279" t="str">
        <f>_xlfn.XLOOKUP(B63,'3. Keep &amp; Toss Items'!O:O,'3. Keep &amp; Toss Items'!Q:Q,"NOT FOUND",0,1)</f>
        <v>A71. Module &amp; Key SET A (ECM + BCM + Keyless Mod + FOB + LF Lock Cyl + Immobilizer Ring)</v>
      </c>
      <c r="AF63" s="279" t="str">
        <f t="shared" si="27"/>
        <v>A71. Module &amp; Key SET A (ECM %2B BCM %2B Keyless Mod %2B FOB %2B LF Lock Cyl %2B Immobilizer Ring)</v>
      </c>
      <c r="AG63" s="279" t="str">
        <f t="shared" si="28"/>
        <v>A71.+Module+&amp;+Key+SET+A+(ECM+%2B+BCM+%2B+Keyless+Mod+%2B+FOB+%2B+LF+Lock+Cyl+%2B+Immobilizer+Ring)</v>
      </c>
      <c r="AH63" s="279" t="str">
        <f t="shared" si="29"/>
        <v>A71.+Module+&amp;+Key+SET+A+(ECM+%2B+BCM+%2B+Keyless+Mod+%2B+FOB+%2B+LF+Lock+Cyl+%2B+Immobilizer+Ring)</v>
      </c>
      <c r="AI63" s="279" t="str">
        <f t="shared" si="30"/>
        <v>A71.+Module+&amp;+Key+SET+A+(ECM+%2B+BCM+%2B+Keyless+Mod+%2B+FOB+%2B+LF+Lock+Cyl+%2B+Immobilizer+Ring)</v>
      </c>
      <c r="AJ63" s="279" t="str">
        <f t="shared" si="31"/>
        <v>A71.+Module+&amp;+Key+SET+A+(ECM+%2B+BCM+%2B+Keyless+Mod+%2B+FOB+%2B+LF+Lock+Cyl+%2B+Immobilizer+Ring)</v>
      </c>
      <c r="AK63" s="279" t="str">
        <f t="shared" si="32"/>
        <v>A71.+Module+&amp;+Key+SET+A+(ECM+%2B+BCM+%2B+Keyless+Mod+%2B+FOB+%2B+LF+Lock+Cyl+%2B+Immobilizer+Ring)</v>
      </c>
      <c r="AL63" s="279" t="str">
        <f t="shared" si="33"/>
        <v>A71.+Module+%26+Key+SET+A+(ECM+%2B+BCM+%2B+Keyless+Mod+%2B+FOB+%2B+LF+Lock+Cyl+%2B+Immobilizer+Ring)</v>
      </c>
      <c r="AM63" s="279" t="str">
        <f t="shared" si="34"/>
        <v>A71.+Module+%26+Key+SET+A+(ECM+%2B+BCM+%2B+Keyless+Mod+%2B+FOB+%2B+LF+Lock+Cyl+%2B+Immobilizer+Ring)</v>
      </c>
      <c r="AN63" s="279" t="str">
        <f t="shared" si="39"/>
        <v>A71.+Module+%26+Key+SET+A+(ECM+%2B+BCM+%2B+Keyless+Mod+%2B+FOB+%2B+LF+Lock+Cyl+%2B+Immobilizer+Ring)</v>
      </c>
      <c r="AO63" s="279" t="str">
        <f t="shared" si="35"/>
        <v>A71.+Module+%26+Key+SET+A+(ECM+%2B+BCM+%2B+Keyless+Mod+%2B+FOB+%2B+LF+Lock+Cyl+%2B+Immobilizer+Ring)</v>
      </c>
      <c r="AP63" s="279" t="str">
        <f t="shared" si="36"/>
        <v>A71.+Module+%26+Key+SET+A+(ECM+%2B+BCM+%2B+Keyless+Mod+%2B+FOB+%2B+LF+Lock+Cyl+%2B+Immobilizer+Ring)</v>
      </c>
      <c r="AQ63" s="280" t="s">
        <v>1395</v>
      </c>
      <c r="AR63" s="280" t="s">
        <v>1396</v>
      </c>
      <c r="AS63" s="280" t="s">
        <v>1397</v>
      </c>
      <c r="AT63" s="280" t="s">
        <v>1398</v>
      </c>
      <c r="AU63" s="280" t="s">
        <v>1399</v>
      </c>
      <c r="AV63" s="280" t="s">
        <v>1400</v>
      </c>
      <c r="AW63" s="280" t="s">
        <v>1401</v>
      </c>
      <c r="AX63" s="280" t="s">
        <v>1402</v>
      </c>
      <c r="AY63" s="280" t="s">
        <v>1403</v>
      </c>
      <c r="AZ63" s="280" t="s">
        <v>1404</v>
      </c>
      <c r="BA63" s="280" t="s">
        <v>1405</v>
      </c>
      <c r="BB63" s="280" t="s">
        <v>1406</v>
      </c>
      <c r="BC63" s="280" t="s">
        <v>1419</v>
      </c>
      <c r="BD63" s="280" t="s">
        <v>1407</v>
      </c>
      <c r="BE63" s="280" t="s">
        <v>1408</v>
      </c>
      <c r="BF63" s="280" t="s">
        <v>1409</v>
      </c>
      <c r="BG63" s="280" t="s">
        <v>1410</v>
      </c>
      <c r="BH63" s="280" t="s">
        <v>1411</v>
      </c>
      <c r="BI63" s="280" t="s">
        <v>1412</v>
      </c>
      <c r="BJ63" s="280" t="s">
        <v>1413</v>
      </c>
      <c r="BK63" s="280" t="s">
        <v>1414</v>
      </c>
      <c r="BL63" s="280" t="s">
        <v>1415</v>
      </c>
      <c r="BM63" s="280" t="s">
        <v>1416</v>
      </c>
      <c r="BN63" s="280" t="s">
        <v>1417</v>
      </c>
      <c r="BO63" s="280" t="s">
        <v>1418</v>
      </c>
      <c r="BP63" s="280" t="s">
        <v>1420</v>
      </c>
      <c r="BQ63" s="134" t="str">
        <f t="shared" si="40"/>
        <v>Pic Example</v>
      </c>
    </row>
    <row r="64" spans="2:69" x14ac:dyDescent="0.25">
      <c r="B64" t="s">
        <v>974</v>
      </c>
      <c r="C64" s="279" t="str">
        <f t="shared" si="37"/>
        <v>https://viking-pictures.s3.us-west-1.amazonaws.com/AA1155/A72.+Radio+%2F+Stereo+Receiver+Unit+(1).JPG|https://viking-pictures.s3.us-west-1.amazonaws.com/AA1155/A72.+Radio+%2F+Stereo+Receiver+Unit+(2).JPG|https://viking-pictures.s3.us-west-1.amazonaws.com/AA1155/A72.+Radio+%2F+Stereo+Receiver+Unit+(3).JPG|https://viking-pictures.s3.us-west-1.amazonaws.com/AA1155/A72.+Radio+%2F+Stereo+Receiver+Unit+(4).JPG|https://viking-pictures.s3.us-west-1.amazonaws.com/AA1155/A72.+Radio+%2F+Stereo+Receiver+Unit+(5).JPG</v>
      </c>
      <c r="D64" s="281">
        <f>_xlfn.XLOOKUP(B64,'3. Keep &amp; Toss Items'!O:O,'3. Keep &amp; Toss Items'!U:U,"NOT FOUND",0,1)</f>
        <v>5</v>
      </c>
      <c r="E64" s="279" t="str">
        <f t="shared" si="38"/>
        <v>https://viking-pictures.s3.us-west-1.amazonaws.com/AA1155/A72.+Radio+%2F+Stereo+Receiver+Unit+(1).JPG</v>
      </c>
      <c r="F64" s="279" t="str">
        <f t="shared" si="41"/>
        <v>https://viking-pictures.s3.us-west-1.amazonaws.com/AA1155/A72.+Radio+%2F+Stereo+Receiver+Unit+(2).JPG</v>
      </c>
      <c r="G64" s="279" t="str">
        <f t="shared" si="42"/>
        <v>https://viking-pictures.s3.us-west-1.amazonaws.com/AA1155/A72.+Radio+%2F+Stereo+Receiver+Unit+(3).JPG</v>
      </c>
      <c r="H64" s="279" t="str">
        <f t="shared" si="43"/>
        <v>https://viking-pictures.s3.us-west-1.amazonaws.com/AA1155/A72.+Radio+%2F+Stereo+Receiver+Unit+(4).JPG</v>
      </c>
      <c r="I64" s="279" t="str">
        <f t="shared" si="44"/>
        <v>https://viking-pictures.s3.us-west-1.amazonaws.com/AA1155/A72.+Radio+%2F+Stereo+Receiver+Unit+(5).JPG</v>
      </c>
      <c r="J64" s="279" t="str">
        <f t="shared" si="45"/>
        <v/>
      </c>
      <c r="K64" s="279" t="str">
        <f t="shared" si="46"/>
        <v/>
      </c>
      <c r="L64" s="279" t="str">
        <f t="shared" si="46"/>
        <v/>
      </c>
      <c r="M64" s="279" t="str">
        <f t="shared" si="47"/>
        <v/>
      </c>
      <c r="N64" s="279" t="str">
        <f t="shared" si="48"/>
        <v/>
      </c>
      <c r="O64" s="279" t="str">
        <f t="shared" si="49"/>
        <v/>
      </c>
      <c r="P64" s="279" t="str">
        <f t="shared" si="50"/>
        <v/>
      </c>
      <c r="Q64" s="279" t="str">
        <f t="shared" si="51"/>
        <v/>
      </c>
      <c r="R64" s="279" t="str">
        <f t="shared" si="52"/>
        <v/>
      </c>
      <c r="S64" s="279" t="str">
        <f t="shared" si="53"/>
        <v/>
      </c>
      <c r="T64" s="279" t="str">
        <f t="shared" si="54"/>
        <v/>
      </c>
      <c r="U64" s="279" t="str">
        <f t="shared" si="55"/>
        <v/>
      </c>
      <c r="V64" s="279" t="str">
        <f t="shared" si="56"/>
        <v/>
      </c>
      <c r="W64" s="279" t="str">
        <f t="shared" si="57"/>
        <v/>
      </c>
      <c r="X64" s="279" t="str">
        <f t="shared" si="58"/>
        <v/>
      </c>
      <c r="Y64" s="279" t="str">
        <f t="shared" si="59"/>
        <v/>
      </c>
      <c r="Z64" s="279" t="str">
        <f t="shared" si="60"/>
        <v/>
      </c>
      <c r="AA64" s="279" t="str">
        <f t="shared" si="61"/>
        <v/>
      </c>
      <c r="AB64" s="279" t="str">
        <f t="shared" si="62"/>
        <v/>
      </c>
      <c r="AC64" s="104" t="s">
        <v>1382</v>
      </c>
      <c r="AD64" s="279" t="str">
        <f t="shared" si="26"/>
        <v>A72.+Radio+%2F+Stereo+Receiver+Unit</v>
      </c>
      <c r="AE64" s="279" t="str">
        <f>_xlfn.XLOOKUP(B64,'3. Keep &amp; Toss Items'!O:O,'3. Keep &amp; Toss Items'!Q:Q,"NOT FOUND",0,1)</f>
        <v>A72. Radio / Stereo Receiver Unit</v>
      </c>
      <c r="AF64" s="279" t="str">
        <f t="shared" si="27"/>
        <v>A72. Radio / Stereo Receiver Unit</v>
      </c>
      <c r="AG64" s="279" t="str">
        <f t="shared" si="28"/>
        <v>A72.+Radio+/+Stereo+Receiver+Unit</v>
      </c>
      <c r="AH64" s="279" t="str">
        <f t="shared" si="29"/>
        <v>A72.+Radio+/+Stereo+Receiver+Unit</v>
      </c>
      <c r="AI64" s="279" t="str">
        <f t="shared" si="30"/>
        <v>A72.+Radio+/+Stereo+Receiver+Unit</v>
      </c>
      <c r="AJ64" s="279" t="str">
        <f t="shared" si="31"/>
        <v>A72.+Radio+/+Stereo+Receiver+Unit</v>
      </c>
      <c r="AK64" s="279" t="str">
        <f t="shared" si="32"/>
        <v>A72.+Radio+/+Stereo+Receiver+Unit</v>
      </c>
      <c r="AL64" s="279" t="str">
        <f t="shared" si="33"/>
        <v>A72.+Radio+/+Stereo+Receiver+Unit</v>
      </c>
      <c r="AM64" s="279" t="str">
        <f t="shared" si="34"/>
        <v>A72.+Radio+/+Stereo+Receiver+Unit</v>
      </c>
      <c r="AN64" s="279" t="str">
        <f t="shared" si="39"/>
        <v>A72.+Radio+/+Stereo+Receiver+Unit</v>
      </c>
      <c r="AO64" s="279" t="str">
        <f t="shared" si="35"/>
        <v>A72.+Radio+%2F+Stereo+Receiver+Unit</v>
      </c>
      <c r="AP64" s="279" t="str">
        <f t="shared" si="36"/>
        <v>A72.+Radio+%2F+Stereo+Receiver+Unit</v>
      </c>
      <c r="AQ64" s="280" t="s">
        <v>1395</v>
      </c>
      <c r="AR64" s="280" t="s">
        <v>1396</v>
      </c>
      <c r="AS64" s="280" t="s">
        <v>1397</v>
      </c>
      <c r="AT64" s="280" t="s">
        <v>1398</v>
      </c>
      <c r="AU64" s="280" t="s">
        <v>1399</v>
      </c>
      <c r="AV64" s="280" t="s">
        <v>1400</v>
      </c>
      <c r="AW64" s="280" t="s">
        <v>1401</v>
      </c>
      <c r="AX64" s="280" t="s">
        <v>1402</v>
      </c>
      <c r="AY64" s="280" t="s">
        <v>1403</v>
      </c>
      <c r="AZ64" s="280" t="s">
        <v>1404</v>
      </c>
      <c r="BA64" s="280" t="s">
        <v>1405</v>
      </c>
      <c r="BB64" s="280" t="s">
        <v>1406</v>
      </c>
      <c r="BC64" s="280" t="s">
        <v>1419</v>
      </c>
      <c r="BD64" s="280" t="s">
        <v>1407</v>
      </c>
      <c r="BE64" s="280" t="s">
        <v>1408</v>
      </c>
      <c r="BF64" s="280" t="s">
        <v>1409</v>
      </c>
      <c r="BG64" s="280" t="s">
        <v>1410</v>
      </c>
      <c r="BH64" s="280" t="s">
        <v>1411</v>
      </c>
      <c r="BI64" s="280" t="s">
        <v>1412</v>
      </c>
      <c r="BJ64" s="280" t="s">
        <v>1413</v>
      </c>
      <c r="BK64" s="280" t="s">
        <v>1414</v>
      </c>
      <c r="BL64" s="280" t="s">
        <v>1415</v>
      </c>
      <c r="BM64" s="280" t="s">
        <v>1416</v>
      </c>
      <c r="BN64" s="280" t="s">
        <v>1417</v>
      </c>
      <c r="BO64" s="280" t="s">
        <v>1418</v>
      </c>
      <c r="BP64" s="280" t="s">
        <v>1420</v>
      </c>
      <c r="BQ64" s="134" t="str">
        <f t="shared" si="40"/>
        <v>Pic Example</v>
      </c>
    </row>
    <row r="65" spans="2:69" x14ac:dyDescent="0.25">
      <c r="B65" t="s">
        <v>975</v>
      </c>
      <c r="C65" s="279" t="str">
        <f t="shared" si="37"/>
        <v>https://viking-pictures.s3.us-west-1.amazonaws.com/AA1155/A73.+Amplifier%2C+HiFi+(1).JPG|https://viking-pictures.s3.us-west-1.amazonaws.com/AA1155/A73.+Amplifier%2C+HiFi+(2).JPG|https://viking-pictures.s3.us-west-1.amazonaws.com/AA1155/A73.+Amplifier%2C+HiFi+(3).JPG|https://viking-pictures.s3.us-west-1.amazonaws.com/AA1155/A73.+Amplifier%2C+HiFi+(4).JPG</v>
      </c>
      <c r="D65" s="281">
        <f>_xlfn.XLOOKUP(B65,'3. Keep &amp; Toss Items'!O:O,'3. Keep &amp; Toss Items'!U:U,"NOT FOUND",0,1)</f>
        <v>4</v>
      </c>
      <c r="E65" s="279" t="str">
        <f t="shared" si="38"/>
        <v>https://viking-pictures.s3.us-west-1.amazonaws.com/AA1155/A73.+Amplifier%2C+HiFi+(1).JPG</v>
      </c>
      <c r="F65" s="279" t="str">
        <f t="shared" si="41"/>
        <v>https://viking-pictures.s3.us-west-1.amazonaws.com/AA1155/A73.+Amplifier%2C+HiFi+(2).JPG</v>
      </c>
      <c r="G65" s="279" t="str">
        <f t="shared" si="42"/>
        <v>https://viking-pictures.s3.us-west-1.amazonaws.com/AA1155/A73.+Amplifier%2C+HiFi+(3).JPG</v>
      </c>
      <c r="H65" s="279" t="str">
        <f t="shared" si="43"/>
        <v>https://viking-pictures.s3.us-west-1.amazonaws.com/AA1155/A73.+Amplifier%2C+HiFi+(4).JPG</v>
      </c>
      <c r="I65" s="279" t="str">
        <f t="shared" si="44"/>
        <v/>
      </c>
      <c r="J65" s="279" t="str">
        <f t="shared" si="45"/>
        <v/>
      </c>
      <c r="K65" s="279" t="str">
        <f t="shared" si="46"/>
        <v/>
      </c>
      <c r="L65" s="279" t="str">
        <f t="shared" si="46"/>
        <v/>
      </c>
      <c r="M65" s="279" t="str">
        <f t="shared" si="47"/>
        <v/>
      </c>
      <c r="N65" s="279" t="str">
        <f t="shared" si="48"/>
        <v/>
      </c>
      <c r="O65" s="279" t="str">
        <f t="shared" si="49"/>
        <v/>
      </c>
      <c r="P65" s="279" t="str">
        <f t="shared" si="50"/>
        <v/>
      </c>
      <c r="Q65" s="279" t="str">
        <f t="shared" si="51"/>
        <v/>
      </c>
      <c r="R65" s="279" t="str">
        <f t="shared" si="52"/>
        <v/>
      </c>
      <c r="S65" s="279" t="str">
        <f t="shared" si="53"/>
        <v/>
      </c>
      <c r="T65" s="279" t="str">
        <f t="shared" si="54"/>
        <v/>
      </c>
      <c r="U65" s="279" t="str">
        <f t="shared" si="55"/>
        <v/>
      </c>
      <c r="V65" s="279" t="str">
        <f t="shared" si="56"/>
        <v/>
      </c>
      <c r="W65" s="279" t="str">
        <f t="shared" si="57"/>
        <v/>
      </c>
      <c r="X65" s="279" t="str">
        <f t="shared" si="58"/>
        <v/>
      </c>
      <c r="Y65" s="279" t="str">
        <f t="shared" si="59"/>
        <v/>
      </c>
      <c r="Z65" s="279" t="str">
        <f t="shared" si="60"/>
        <v/>
      </c>
      <c r="AA65" s="279" t="str">
        <f t="shared" si="61"/>
        <v/>
      </c>
      <c r="AB65" s="279" t="str">
        <f t="shared" si="62"/>
        <v/>
      </c>
      <c r="AC65" s="104" t="s">
        <v>1382</v>
      </c>
      <c r="AD65" s="279" t="str">
        <f t="shared" si="26"/>
        <v>A73.+Amplifier%2C+HiFi</v>
      </c>
      <c r="AE65" s="279" t="str">
        <f>_xlfn.XLOOKUP(B65,'3. Keep &amp; Toss Items'!O:O,'3. Keep &amp; Toss Items'!Q:Q,"NOT FOUND",0,1)</f>
        <v>A73. Amplifier, HiFi</v>
      </c>
      <c r="AF65" s="279" t="str">
        <f t="shared" si="27"/>
        <v>A73. Amplifier, HiFi</v>
      </c>
      <c r="AG65" s="279" t="str">
        <f t="shared" si="28"/>
        <v>A73.+Amplifier,+HiFi</v>
      </c>
      <c r="AH65" s="279" t="str">
        <f t="shared" si="29"/>
        <v>A73.+Amplifier%2C+HiFi</v>
      </c>
      <c r="AI65" s="279" t="str">
        <f t="shared" si="30"/>
        <v>A73.+Amplifier%2C+HiFi</v>
      </c>
      <c r="AJ65" s="279" t="str">
        <f t="shared" si="31"/>
        <v>A73.+Amplifier%2C+HiFi</v>
      </c>
      <c r="AK65" s="279" t="str">
        <f t="shared" si="32"/>
        <v>A73.+Amplifier%2C+HiFi</v>
      </c>
      <c r="AL65" s="279" t="str">
        <f t="shared" si="33"/>
        <v>A73.+Amplifier%2C+HiFi</v>
      </c>
      <c r="AM65" s="279" t="str">
        <f t="shared" si="34"/>
        <v>A73.+Amplifier%2C+HiFi</v>
      </c>
      <c r="AN65" s="279" t="str">
        <f t="shared" si="39"/>
        <v>A73.+Amplifier%2C+HiFi</v>
      </c>
      <c r="AO65" s="279" t="str">
        <f t="shared" si="35"/>
        <v>A73.+Amplifier%2C+HiFi</v>
      </c>
      <c r="AP65" s="279" t="str">
        <f t="shared" si="36"/>
        <v>A73.+Amplifier%2C+HiFi</v>
      </c>
      <c r="AQ65" s="280" t="s">
        <v>1395</v>
      </c>
      <c r="AR65" s="280" t="s">
        <v>1396</v>
      </c>
      <c r="AS65" s="280" t="s">
        <v>1397</v>
      </c>
      <c r="AT65" s="280" t="s">
        <v>1398</v>
      </c>
      <c r="AU65" s="280" t="s">
        <v>1399</v>
      </c>
      <c r="AV65" s="280" t="s">
        <v>1400</v>
      </c>
      <c r="AW65" s="280" t="s">
        <v>1401</v>
      </c>
      <c r="AX65" s="280" t="s">
        <v>1402</v>
      </c>
      <c r="AY65" s="280" t="s">
        <v>1403</v>
      </c>
      <c r="AZ65" s="280" t="s">
        <v>1404</v>
      </c>
      <c r="BA65" s="280" t="s">
        <v>1405</v>
      </c>
      <c r="BB65" s="280" t="s">
        <v>1406</v>
      </c>
      <c r="BC65" s="280" t="s">
        <v>1419</v>
      </c>
      <c r="BD65" s="280" t="s">
        <v>1407</v>
      </c>
      <c r="BE65" s="280" t="s">
        <v>1408</v>
      </c>
      <c r="BF65" s="280" t="s">
        <v>1409</v>
      </c>
      <c r="BG65" s="280" t="s">
        <v>1410</v>
      </c>
      <c r="BH65" s="280" t="s">
        <v>1411</v>
      </c>
      <c r="BI65" s="280" t="s">
        <v>1412</v>
      </c>
      <c r="BJ65" s="280" t="s">
        <v>1413</v>
      </c>
      <c r="BK65" s="280" t="s">
        <v>1414</v>
      </c>
      <c r="BL65" s="280" t="s">
        <v>1415</v>
      </c>
      <c r="BM65" s="280" t="s">
        <v>1416</v>
      </c>
      <c r="BN65" s="280" t="s">
        <v>1417</v>
      </c>
      <c r="BO65" s="280" t="s">
        <v>1418</v>
      </c>
      <c r="BP65" s="280" t="s">
        <v>1420</v>
      </c>
      <c r="BQ65" s="134" t="str">
        <f t="shared" si="40"/>
        <v>Pic Example</v>
      </c>
    </row>
    <row r="66" spans="2:69" x14ac:dyDescent="0.25">
      <c r="B66" t="s">
        <v>976</v>
      </c>
      <c r="C66" s="279" t="str">
        <f t="shared" si="37"/>
        <v>https://viking-pictures.s3.us-west-1.amazonaws.com/AA1155/A74.+ABS+ICM+Integrated+Chassis+Management+SRS+Control+Module+(1).JPG|https://viking-pictures.s3.us-west-1.amazonaws.com/AA1155/A74.+ABS+ICM+Integrated+Chassis+Management+SRS+Control+Module+(2).JPG|https://viking-pictures.s3.us-west-1.amazonaws.com/AA1155/A74.+ABS+ICM+Integrated+Chassis+Management+SRS+Control+Module+(3).JPG|https://viking-pictures.s3.us-west-1.amazonaws.com/AA1155/A74.+ABS+ICM+Integrated+Chassis+Management+SRS+Control+Module+(4).JPG</v>
      </c>
      <c r="D66" s="281">
        <f>_xlfn.XLOOKUP(B66,'3. Keep &amp; Toss Items'!O:O,'3. Keep &amp; Toss Items'!U:U,"NOT FOUND",0,1)</f>
        <v>4</v>
      </c>
      <c r="E66" s="279" t="str">
        <f t="shared" si="38"/>
        <v>https://viking-pictures.s3.us-west-1.amazonaws.com/AA1155/A74.+ABS+ICM+Integrated+Chassis+Management+SRS+Control+Module+(1).JPG</v>
      </c>
      <c r="F66" s="279" t="str">
        <f t="shared" si="41"/>
        <v>https://viking-pictures.s3.us-west-1.amazonaws.com/AA1155/A74.+ABS+ICM+Integrated+Chassis+Management+SRS+Control+Module+(2).JPG</v>
      </c>
      <c r="G66" s="279" t="str">
        <f t="shared" si="42"/>
        <v>https://viking-pictures.s3.us-west-1.amazonaws.com/AA1155/A74.+ABS+ICM+Integrated+Chassis+Management+SRS+Control+Module+(3).JPG</v>
      </c>
      <c r="H66" s="279" t="str">
        <f t="shared" si="43"/>
        <v>https://viking-pictures.s3.us-west-1.amazonaws.com/AA1155/A74.+ABS+ICM+Integrated+Chassis+Management+SRS+Control+Module+(4).JPG</v>
      </c>
      <c r="I66" s="279" t="str">
        <f t="shared" si="44"/>
        <v/>
      </c>
      <c r="J66" s="279" t="str">
        <f t="shared" si="45"/>
        <v/>
      </c>
      <c r="K66" s="279" t="str">
        <f t="shared" si="46"/>
        <v/>
      </c>
      <c r="L66" s="279" t="str">
        <f t="shared" si="46"/>
        <v/>
      </c>
      <c r="M66" s="279" t="str">
        <f t="shared" si="47"/>
        <v/>
      </c>
      <c r="N66" s="279" t="str">
        <f t="shared" si="48"/>
        <v/>
      </c>
      <c r="O66" s="279" t="str">
        <f t="shared" si="49"/>
        <v/>
      </c>
      <c r="P66" s="279" t="str">
        <f t="shared" si="50"/>
        <v/>
      </c>
      <c r="Q66" s="279" t="str">
        <f t="shared" si="51"/>
        <v/>
      </c>
      <c r="R66" s="279" t="str">
        <f t="shared" si="52"/>
        <v/>
      </c>
      <c r="S66" s="279" t="str">
        <f t="shared" si="53"/>
        <v/>
      </c>
      <c r="T66" s="279" t="str">
        <f t="shared" si="54"/>
        <v/>
      </c>
      <c r="U66" s="279" t="str">
        <f t="shared" si="55"/>
        <v/>
      </c>
      <c r="V66" s="279" t="str">
        <f t="shared" si="56"/>
        <v/>
      </c>
      <c r="W66" s="279" t="str">
        <f t="shared" si="57"/>
        <v/>
      </c>
      <c r="X66" s="279" t="str">
        <f t="shared" si="58"/>
        <v/>
      </c>
      <c r="Y66" s="279" t="str">
        <f t="shared" si="59"/>
        <v/>
      </c>
      <c r="Z66" s="279" t="str">
        <f t="shared" si="60"/>
        <v/>
      </c>
      <c r="AA66" s="279" t="str">
        <f t="shared" si="61"/>
        <v/>
      </c>
      <c r="AB66" s="279" t="str">
        <f t="shared" si="62"/>
        <v/>
      </c>
      <c r="AC66" s="104" t="s">
        <v>1382</v>
      </c>
      <c r="AD66" s="279" t="str">
        <f t="shared" si="26"/>
        <v>A74.+ABS+ICM+Integrated+Chassis+Management+SRS+Control+Module</v>
      </c>
      <c r="AE66" s="279" t="str">
        <f>_xlfn.XLOOKUP(B66,'3. Keep &amp; Toss Items'!O:O,'3. Keep &amp; Toss Items'!Q:Q,"NOT FOUND",0,1)</f>
        <v>A74. ABS ICM Integrated Chassis Management SRS Control Module</v>
      </c>
      <c r="AF66" s="279" t="str">
        <f t="shared" si="27"/>
        <v>A74. ABS ICM Integrated Chassis Management SRS Control Module</v>
      </c>
      <c r="AG66" s="279" t="str">
        <f t="shared" si="28"/>
        <v>A74.+ABS+ICM+Integrated+Chassis+Management+SRS+Control+Module</v>
      </c>
      <c r="AH66" s="279" t="str">
        <f t="shared" si="29"/>
        <v>A74.+ABS+ICM+Integrated+Chassis+Management+SRS+Control+Module</v>
      </c>
      <c r="AI66" s="279" t="str">
        <f t="shared" si="30"/>
        <v>A74.+ABS+ICM+Integrated+Chassis+Management+SRS+Control+Module</v>
      </c>
      <c r="AJ66" s="279" t="str">
        <f t="shared" si="31"/>
        <v>A74.+ABS+ICM+Integrated+Chassis+Management+SRS+Control+Module</v>
      </c>
      <c r="AK66" s="279" t="str">
        <f t="shared" si="32"/>
        <v>A74.+ABS+ICM+Integrated+Chassis+Management+SRS+Control+Module</v>
      </c>
      <c r="AL66" s="279" t="str">
        <f t="shared" si="33"/>
        <v>A74.+ABS+ICM+Integrated+Chassis+Management+SRS+Control+Module</v>
      </c>
      <c r="AM66" s="279" t="str">
        <f t="shared" si="34"/>
        <v>A74.+ABS+ICM+Integrated+Chassis+Management+SRS+Control+Module</v>
      </c>
      <c r="AN66" s="279" t="str">
        <f t="shared" si="39"/>
        <v>A74.+ABS+ICM+Integrated+Chassis+Management+SRS+Control+Module</v>
      </c>
      <c r="AO66" s="279" t="str">
        <f t="shared" si="35"/>
        <v>A74.+ABS+ICM+Integrated+Chassis+Management+SRS+Control+Module</v>
      </c>
      <c r="AP66" s="279" t="str">
        <f t="shared" si="36"/>
        <v>A74.+ABS+ICM+Integrated+Chassis+Management+SRS+Control+Module</v>
      </c>
      <c r="AQ66" s="280" t="s">
        <v>1395</v>
      </c>
      <c r="AR66" s="280" t="s">
        <v>1396</v>
      </c>
      <c r="AS66" s="280" t="s">
        <v>1397</v>
      </c>
      <c r="AT66" s="280" t="s">
        <v>1398</v>
      </c>
      <c r="AU66" s="280" t="s">
        <v>1399</v>
      </c>
      <c r="AV66" s="280" t="s">
        <v>1400</v>
      </c>
      <c r="AW66" s="280" t="s">
        <v>1401</v>
      </c>
      <c r="AX66" s="280" t="s">
        <v>1402</v>
      </c>
      <c r="AY66" s="280" t="s">
        <v>1403</v>
      </c>
      <c r="AZ66" s="280" t="s">
        <v>1404</v>
      </c>
      <c r="BA66" s="280" t="s">
        <v>1405</v>
      </c>
      <c r="BB66" s="280" t="s">
        <v>1406</v>
      </c>
      <c r="BC66" s="280" t="s">
        <v>1419</v>
      </c>
      <c r="BD66" s="280" t="s">
        <v>1407</v>
      </c>
      <c r="BE66" s="280" t="s">
        <v>1408</v>
      </c>
      <c r="BF66" s="280" t="s">
        <v>1409</v>
      </c>
      <c r="BG66" s="280" t="s">
        <v>1410</v>
      </c>
      <c r="BH66" s="280" t="s">
        <v>1411</v>
      </c>
      <c r="BI66" s="280" t="s">
        <v>1412</v>
      </c>
      <c r="BJ66" s="280" t="s">
        <v>1413</v>
      </c>
      <c r="BK66" s="280" t="s">
        <v>1414</v>
      </c>
      <c r="BL66" s="280" t="s">
        <v>1415</v>
      </c>
      <c r="BM66" s="280" t="s">
        <v>1416</v>
      </c>
      <c r="BN66" s="280" t="s">
        <v>1417</v>
      </c>
      <c r="BO66" s="280" t="s">
        <v>1418</v>
      </c>
      <c r="BP66" s="280" t="s">
        <v>1420</v>
      </c>
      <c r="BQ66" s="134" t="str">
        <f t="shared" si="40"/>
        <v>Pic Example</v>
      </c>
    </row>
    <row r="67" spans="2:69" x14ac:dyDescent="0.25">
      <c r="B67" t="s">
        <v>977</v>
      </c>
      <c r="C67" s="279" t="str">
        <f t="shared" si="37"/>
        <v>https://viking-pictures.s3.us-west-1.amazonaws.com/AA1155/A75.+Voltage+Converter+Control+Module+(1).JPG|https://viking-pictures.s3.us-west-1.amazonaws.com/AA1155/A75.+Voltage+Converter+Control+Module+(2).JPG|https://viking-pictures.s3.us-west-1.amazonaws.com/AA1155/A75.+Voltage+Converter+Control+Module+(3).JPG|https://viking-pictures.s3.us-west-1.amazonaws.com/AA1155/A75.+Voltage+Converter+Control+Module+(4).JPG</v>
      </c>
      <c r="D67" s="281">
        <f>_xlfn.XLOOKUP(B67,'3. Keep &amp; Toss Items'!O:O,'3. Keep &amp; Toss Items'!U:U,"NOT FOUND",0,1)</f>
        <v>4</v>
      </c>
      <c r="E67" s="279" t="str">
        <f t="shared" ref="E67:E98" si="63">IF($D67&gt;=E$1,CONCATENATE($AC67,$AD67,$AQ67,AR67,$BP67),"")</f>
        <v>https://viking-pictures.s3.us-west-1.amazonaws.com/AA1155/A75.+Voltage+Converter+Control+Module+(1).JPG</v>
      </c>
      <c r="F67" s="279" t="str">
        <f t="shared" si="41"/>
        <v>https://viking-pictures.s3.us-west-1.amazonaws.com/AA1155/A75.+Voltage+Converter+Control+Module+(2).JPG</v>
      </c>
      <c r="G67" s="279" t="str">
        <f t="shared" si="42"/>
        <v>https://viking-pictures.s3.us-west-1.amazonaws.com/AA1155/A75.+Voltage+Converter+Control+Module+(3).JPG</v>
      </c>
      <c r="H67" s="279" t="str">
        <f t="shared" si="43"/>
        <v>https://viking-pictures.s3.us-west-1.amazonaws.com/AA1155/A75.+Voltage+Converter+Control+Module+(4).JPG</v>
      </c>
      <c r="I67" s="279" t="str">
        <f t="shared" si="44"/>
        <v/>
      </c>
      <c r="J67" s="279" t="str">
        <f t="shared" si="45"/>
        <v/>
      </c>
      <c r="K67" s="279" t="str">
        <f t="shared" si="46"/>
        <v/>
      </c>
      <c r="L67" s="279" t="str">
        <f t="shared" si="46"/>
        <v/>
      </c>
      <c r="M67" s="279" t="str">
        <f t="shared" si="47"/>
        <v/>
      </c>
      <c r="N67" s="279" t="str">
        <f t="shared" si="48"/>
        <v/>
      </c>
      <c r="O67" s="279" t="str">
        <f t="shared" si="49"/>
        <v/>
      </c>
      <c r="P67" s="279" t="str">
        <f t="shared" si="50"/>
        <v/>
      </c>
      <c r="Q67" s="279" t="str">
        <f t="shared" si="51"/>
        <v/>
      </c>
      <c r="R67" s="279" t="str">
        <f t="shared" si="52"/>
        <v/>
      </c>
      <c r="S67" s="279" t="str">
        <f t="shared" si="53"/>
        <v/>
      </c>
      <c r="T67" s="279" t="str">
        <f t="shared" si="54"/>
        <v/>
      </c>
      <c r="U67" s="279" t="str">
        <f t="shared" si="55"/>
        <v/>
      </c>
      <c r="V67" s="279" t="str">
        <f t="shared" si="56"/>
        <v/>
      </c>
      <c r="W67" s="279" t="str">
        <f t="shared" si="57"/>
        <v/>
      </c>
      <c r="X67" s="279" t="str">
        <f t="shared" si="58"/>
        <v/>
      </c>
      <c r="Y67" s="279" t="str">
        <f t="shared" si="59"/>
        <v/>
      </c>
      <c r="Z67" s="279" t="str">
        <f t="shared" si="60"/>
        <v/>
      </c>
      <c r="AA67" s="279" t="str">
        <f t="shared" si="61"/>
        <v/>
      </c>
      <c r="AB67" s="279" t="str">
        <f t="shared" si="62"/>
        <v/>
      </c>
      <c r="AC67" s="104" t="s">
        <v>1382</v>
      </c>
      <c r="AD67" s="279" t="str">
        <f t="shared" si="26"/>
        <v>A75.+Voltage+Converter+Control+Module</v>
      </c>
      <c r="AE67" s="279" t="str">
        <f>_xlfn.XLOOKUP(B67,'3. Keep &amp; Toss Items'!O:O,'3. Keep &amp; Toss Items'!Q:Q,"NOT FOUND",0,1)</f>
        <v>A75. Voltage Converter Control Module</v>
      </c>
      <c r="AF67" s="279" t="str">
        <f t="shared" si="27"/>
        <v>A75. Voltage Converter Control Module</v>
      </c>
      <c r="AG67" s="279" t="str">
        <f t="shared" si="28"/>
        <v>A75.+Voltage+Converter+Control+Module</v>
      </c>
      <c r="AH67" s="279" t="str">
        <f t="shared" si="29"/>
        <v>A75.+Voltage+Converter+Control+Module</v>
      </c>
      <c r="AI67" s="279" t="str">
        <f t="shared" si="30"/>
        <v>A75.+Voltage+Converter+Control+Module</v>
      </c>
      <c r="AJ67" s="279" t="str">
        <f t="shared" si="31"/>
        <v>A75.+Voltage+Converter+Control+Module</v>
      </c>
      <c r="AK67" s="279" t="str">
        <f t="shared" si="32"/>
        <v>A75.+Voltage+Converter+Control+Module</v>
      </c>
      <c r="AL67" s="279" t="str">
        <f t="shared" si="33"/>
        <v>A75.+Voltage+Converter+Control+Module</v>
      </c>
      <c r="AM67" s="279" t="str">
        <f t="shared" si="34"/>
        <v>A75.+Voltage+Converter+Control+Module</v>
      </c>
      <c r="AN67" s="279" t="str">
        <f t="shared" ref="AN67:AN98" si="64">SUBSTITUTE(AM67,"?","%3F")</f>
        <v>A75.+Voltage+Converter+Control+Module</v>
      </c>
      <c r="AO67" s="279" t="str">
        <f t="shared" si="35"/>
        <v>A75.+Voltage+Converter+Control+Module</v>
      </c>
      <c r="AP67" s="279" t="str">
        <f t="shared" si="36"/>
        <v>A75.+Voltage+Converter+Control+Module</v>
      </c>
      <c r="AQ67" s="280" t="s">
        <v>1395</v>
      </c>
      <c r="AR67" s="280" t="s">
        <v>1396</v>
      </c>
      <c r="AS67" s="280" t="s">
        <v>1397</v>
      </c>
      <c r="AT67" s="280" t="s">
        <v>1398</v>
      </c>
      <c r="AU67" s="280" t="s">
        <v>1399</v>
      </c>
      <c r="AV67" s="280" t="s">
        <v>1400</v>
      </c>
      <c r="AW67" s="280" t="s">
        <v>1401</v>
      </c>
      <c r="AX67" s="280" t="s">
        <v>1402</v>
      </c>
      <c r="AY67" s="280" t="s">
        <v>1403</v>
      </c>
      <c r="AZ67" s="280" t="s">
        <v>1404</v>
      </c>
      <c r="BA67" s="280" t="s">
        <v>1405</v>
      </c>
      <c r="BB67" s="280" t="s">
        <v>1406</v>
      </c>
      <c r="BC67" s="280" t="s">
        <v>1419</v>
      </c>
      <c r="BD67" s="280" t="s">
        <v>1407</v>
      </c>
      <c r="BE67" s="280" t="s">
        <v>1408</v>
      </c>
      <c r="BF67" s="280" t="s">
        <v>1409</v>
      </c>
      <c r="BG67" s="280" t="s">
        <v>1410</v>
      </c>
      <c r="BH67" s="280" t="s">
        <v>1411</v>
      </c>
      <c r="BI67" s="280" t="s">
        <v>1412</v>
      </c>
      <c r="BJ67" s="280" t="s">
        <v>1413</v>
      </c>
      <c r="BK67" s="280" t="s">
        <v>1414</v>
      </c>
      <c r="BL67" s="280" t="s">
        <v>1415</v>
      </c>
      <c r="BM67" s="280" t="s">
        <v>1416</v>
      </c>
      <c r="BN67" s="280" t="s">
        <v>1417</v>
      </c>
      <c r="BO67" s="280" t="s">
        <v>1418</v>
      </c>
      <c r="BP67" s="280" t="s">
        <v>1420</v>
      </c>
      <c r="BQ67" s="134" t="str">
        <f t="shared" ref="BQ67:BQ98" si="65">HYPERLINK(E67,"Pic Example")</f>
        <v>Pic Example</v>
      </c>
    </row>
    <row r="68" spans="2:69" x14ac:dyDescent="0.25">
      <c r="B68" t="s">
        <v>978</v>
      </c>
      <c r="C68" s="279" t="str">
        <f t="shared" si="37"/>
        <v>https://viking-pictures.s3.us-west-1.amazonaws.com/AA1155/A76.+Camera%2C+REAR+Backup+Camera+(1).JPG|https://viking-pictures.s3.us-west-1.amazonaws.com/AA1155/A76.+Camera%2C+REAR+Backup+Camera+(2).JPG|https://viking-pictures.s3.us-west-1.amazonaws.com/AA1155/A76.+Camera%2C+REAR+Backup+Camera+(3).JPG|https://viking-pictures.s3.us-west-1.amazonaws.com/AA1155/A76.+Camera%2C+REAR+Backup+Camera+(4).JPG</v>
      </c>
      <c r="D68" s="281">
        <f>_xlfn.XLOOKUP(B68,'3. Keep &amp; Toss Items'!O:O,'3. Keep &amp; Toss Items'!U:U,"NOT FOUND",0,1)</f>
        <v>4</v>
      </c>
      <c r="E68" s="279" t="str">
        <f t="shared" si="63"/>
        <v>https://viking-pictures.s3.us-west-1.amazonaws.com/AA1155/A76.+Camera%2C+REAR+Backup+Camera+(1).JPG</v>
      </c>
      <c r="F68" s="279" t="str">
        <f t="shared" ref="F68:F99" si="66">IF($D68&gt;=F$1,CONCATENATE($AC68,$AD68,$AQ68,AS68,$BP68),"")</f>
        <v>https://viking-pictures.s3.us-west-1.amazonaws.com/AA1155/A76.+Camera%2C+REAR+Backup+Camera+(2).JPG</v>
      </c>
      <c r="G68" s="279" t="str">
        <f t="shared" ref="G68:G99" si="67">IF($D68&gt;=G$1,CONCATENATE($AC68,$AD68,$AQ68,AT68,$BP68),"")</f>
        <v>https://viking-pictures.s3.us-west-1.amazonaws.com/AA1155/A76.+Camera%2C+REAR+Backup+Camera+(3).JPG</v>
      </c>
      <c r="H68" s="279" t="str">
        <f t="shared" ref="H68:H99" si="68">IF($D68&gt;=H$1,CONCATENATE($AC68,$AD68,$AQ68,AU68,$BP68),"")</f>
        <v>https://viking-pictures.s3.us-west-1.amazonaws.com/AA1155/A76.+Camera%2C+REAR+Backup+Camera+(4).JPG</v>
      </c>
      <c r="I68" s="279" t="str">
        <f t="shared" ref="I68:I99" si="69">IF($D68&gt;=I$1,CONCATENATE($AC68,$AD68,$AQ68,AV68,$BP68),"")</f>
        <v/>
      </c>
      <c r="J68" s="279" t="str">
        <f t="shared" ref="J68:J99" si="70">IF($D68&gt;=J$1,CONCATENATE($AC68,$AD68,$AQ68,AW68,$BP68),"")</f>
        <v/>
      </c>
      <c r="K68" s="279" t="str">
        <f t="shared" ref="K68:L99" si="71">IF($D68&gt;=K$1,CONCATENATE($AC68,$AD68,$AQ68,AX68,$BP68),"")</f>
        <v/>
      </c>
      <c r="L68" s="279" t="str">
        <f t="shared" si="71"/>
        <v/>
      </c>
      <c r="M68" s="279" t="str">
        <f t="shared" ref="M68:M99" si="72">IF($D68&gt;=M$1,CONCATENATE($AC68,$AD68,$AQ68,AZ68,$BP68),"")</f>
        <v/>
      </c>
      <c r="N68" s="279" t="str">
        <f t="shared" ref="N68:N99" si="73">IF($D68&gt;=N$1,CONCATENATE($AC68,$AD68,$AQ68,BA68,$BP68),"")</f>
        <v/>
      </c>
      <c r="O68" s="279" t="str">
        <f t="shared" ref="O68:O99" si="74">IF($D68&gt;=O$1,CONCATENATE($AC68,$AD68,$AQ68,BB68,$BP68),"")</f>
        <v/>
      </c>
      <c r="P68" s="279" t="str">
        <f t="shared" ref="P68:P99" si="75">IF($D68&gt;=P$1,CONCATENATE($AC68,$AD68,$AQ68,BC68,$BP68),"")</f>
        <v/>
      </c>
      <c r="Q68" s="279" t="str">
        <f t="shared" ref="Q68:Q99" si="76">IF($D68&gt;=Q$1,CONCATENATE($AC68,$AD68,$AQ68,BD68,$BP68),"")</f>
        <v/>
      </c>
      <c r="R68" s="279" t="str">
        <f t="shared" ref="R68:R99" si="77">IF($D68&gt;=R$1,CONCATENATE($AC68,$AD68,$AQ68,BE68,$BP68),"")</f>
        <v/>
      </c>
      <c r="S68" s="279" t="str">
        <f t="shared" ref="S68:S99" si="78">IF($D68&gt;=S$1,CONCATENATE($AC68,$AD68,$AQ68,BF68,$BP68),"")</f>
        <v/>
      </c>
      <c r="T68" s="279" t="str">
        <f t="shared" ref="T68:T99" si="79">IF($D68&gt;=T$1,CONCATENATE($AC68,$AD68,$AQ68,BG68,$BP68),"")</f>
        <v/>
      </c>
      <c r="U68" s="279" t="str">
        <f t="shared" ref="U68:U99" si="80">IF($D68&gt;=U$1,CONCATENATE($AC68,$AD68,$AQ68,BH68,$BP68),"")</f>
        <v/>
      </c>
      <c r="V68" s="279" t="str">
        <f t="shared" ref="V68:V99" si="81">IF($D68&gt;=V$1,CONCATENATE($AC68,$AD68,$AQ68,BI68,$BP68),"")</f>
        <v/>
      </c>
      <c r="W68" s="279" t="str">
        <f t="shared" ref="W68:W99" si="82">IF($D68&gt;=W$1,CONCATENATE($AC68,$AD68,$AQ68,BJ68,$BP68),"")</f>
        <v/>
      </c>
      <c r="X68" s="279" t="str">
        <f t="shared" ref="X68:X99" si="83">IF($D68&gt;=X$1,CONCATENATE($AC68,$AD68,$AQ68,BK68,$BP68),"")</f>
        <v/>
      </c>
      <c r="Y68" s="279" t="str">
        <f t="shared" ref="Y68:Y99" si="84">IF($D68&gt;=Y$1,CONCATENATE($AC68,$AD68,$AQ68,BL68,$BP68),"")</f>
        <v/>
      </c>
      <c r="Z68" s="279" t="str">
        <f t="shared" ref="Z68:Z99" si="85">IF($D68&gt;=Z$1,CONCATENATE($AC68,$AD68,$AQ68,BM68,$BP68),"")</f>
        <v/>
      </c>
      <c r="AA68" s="279" t="str">
        <f t="shared" ref="AA68:AA99" si="86">IF($D68&gt;=AA$1,CONCATENATE($AC68,$AD68,$AQ68,BN68,$BP68),"")</f>
        <v/>
      </c>
      <c r="AB68" s="279" t="str">
        <f t="shared" ref="AB68:AB99" si="87">IF($D68&gt;=AB$1,CONCATENATE($AC68,$AD68,$AQ68,BO68,$BP68),"")</f>
        <v/>
      </c>
      <c r="AC68" s="104" t="s">
        <v>1382</v>
      </c>
      <c r="AD68" s="279" t="str">
        <f t="shared" ref="AD68:AD115" si="88">AP68</f>
        <v>A76.+Camera%2C+REAR+Backup+Camera</v>
      </c>
      <c r="AE68" s="279" t="str">
        <f>_xlfn.XLOOKUP(B68,'3. Keep &amp; Toss Items'!O:O,'3. Keep &amp; Toss Items'!Q:Q,"NOT FOUND",0,1)</f>
        <v>A76. Camera, REAR Backup Camera</v>
      </c>
      <c r="AF68" s="279" t="str">
        <f t="shared" ref="AF68:AF114" si="89">SUBSTITUTE(AE68,"+","%2B")</f>
        <v>A76. Camera, REAR Backup Camera</v>
      </c>
      <c r="AG68" s="279" t="str">
        <f t="shared" ref="AG68:AG114" si="90">SUBSTITUTE(AF68," ","+")</f>
        <v>A76.+Camera,+REAR+Backup+Camera</v>
      </c>
      <c r="AH68" s="279" t="str">
        <f t="shared" ref="AH68:AH114" si="91">SUBSTITUTE(AG68,",","%2C")</f>
        <v>A76.+Camera%2C+REAR+Backup+Camera</v>
      </c>
      <c r="AI68" s="279" t="str">
        <f t="shared" ref="AI68:AI114" si="92">SUBSTITUTE(AH68,";","%3B")</f>
        <v>A76.+Camera%2C+REAR+Backup+Camera</v>
      </c>
      <c r="AJ68" s="279" t="str">
        <f t="shared" ref="AJ68:AJ114" si="93">SUBSTITUTE(AI68,":","%3A")</f>
        <v>A76.+Camera%2C+REAR+Backup+Camera</v>
      </c>
      <c r="AK68" s="279" t="str">
        <f t="shared" ref="AK68:AK114" si="94">SUBSTITUTE(AJ68,"@","40%")</f>
        <v>A76.+Camera%2C+REAR+Backup+Camera</v>
      </c>
      <c r="AL68" s="279" t="str">
        <f t="shared" ref="AL68:AL114" si="95">SUBSTITUTE(AK68,"&amp;","%26")</f>
        <v>A76.+Camera%2C+REAR+Backup+Camera</v>
      </c>
      <c r="AM68" s="279" t="str">
        <f t="shared" ref="AM68:AM114" si="96">SUBSTITUTE(AL68,"=","%3D")</f>
        <v>A76.+Camera%2C+REAR+Backup+Camera</v>
      </c>
      <c r="AN68" s="279" t="str">
        <f t="shared" si="64"/>
        <v>A76.+Camera%2C+REAR+Backup+Camera</v>
      </c>
      <c r="AO68" s="279" t="str">
        <f t="shared" ref="AO68:AO114" si="97">SUBSTITUTE(AN68,"/","%2F")</f>
        <v>A76.+Camera%2C+REAR+Backup+Camera</v>
      </c>
      <c r="AP68" s="279" t="str">
        <f t="shared" ref="AP68:AP114" si="98">SUBSTITUTE(AO68,"""","")</f>
        <v>A76.+Camera%2C+REAR+Backup+Camera</v>
      </c>
      <c r="AQ68" s="280" t="s">
        <v>1395</v>
      </c>
      <c r="AR68" s="280" t="s">
        <v>1396</v>
      </c>
      <c r="AS68" s="280" t="s">
        <v>1397</v>
      </c>
      <c r="AT68" s="280" t="s">
        <v>1398</v>
      </c>
      <c r="AU68" s="280" t="s">
        <v>1399</v>
      </c>
      <c r="AV68" s="280" t="s">
        <v>1400</v>
      </c>
      <c r="AW68" s="280" t="s">
        <v>1401</v>
      </c>
      <c r="AX68" s="280" t="s">
        <v>1402</v>
      </c>
      <c r="AY68" s="280" t="s">
        <v>1403</v>
      </c>
      <c r="AZ68" s="280" t="s">
        <v>1404</v>
      </c>
      <c r="BA68" s="280" t="s">
        <v>1405</v>
      </c>
      <c r="BB68" s="280" t="s">
        <v>1406</v>
      </c>
      <c r="BC68" s="280" t="s">
        <v>1419</v>
      </c>
      <c r="BD68" s="280" t="s">
        <v>1407</v>
      </c>
      <c r="BE68" s="280" t="s">
        <v>1408</v>
      </c>
      <c r="BF68" s="280" t="s">
        <v>1409</v>
      </c>
      <c r="BG68" s="280" t="s">
        <v>1410</v>
      </c>
      <c r="BH68" s="280" t="s">
        <v>1411</v>
      </c>
      <c r="BI68" s="280" t="s">
        <v>1412</v>
      </c>
      <c r="BJ68" s="280" t="s">
        <v>1413</v>
      </c>
      <c r="BK68" s="280" t="s">
        <v>1414</v>
      </c>
      <c r="BL68" s="280" t="s">
        <v>1415</v>
      </c>
      <c r="BM68" s="280" t="s">
        <v>1416</v>
      </c>
      <c r="BN68" s="280" t="s">
        <v>1417</v>
      </c>
      <c r="BO68" s="280" t="s">
        <v>1418</v>
      </c>
      <c r="BP68" s="280" t="s">
        <v>1420</v>
      </c>
      <c r="BQ68" s="134" t="str">
        <f t="shared" si="65"/>
        <v>Pic Example</v>
      </c>
    </row>
    <row r="69" spans="2:69" x14ac:dyDescent="0.25">
      <c r="B69" t="s">
        <v>979</v>
      </c>
      <c r="C69" s="279" t="str">
        <f t="shared" ref="C69:C115" si="99">_xlfn.TEXTJOIN("|",TRUE,E69:AB69)</f>
        <v>https://viking-pictures.s3.us-west-1.amazonaws.com/AA1155/A77.+Tailgate+Trunk+Control+Module+(1).JPG|https://viking-pictures.s3.us-west-1.amazonaws.com/AA1155/A77.+Tailgate+Trunk+Control+Module+(2).JPG|https://viking-pictures.s3.us-west-1.amazonaws.com/AA1155/A77.+Tailgate+Trunk+Control+Module+(3).JPG</v>
      </c>
      <c r="D69" s="281">
        <f>_xlfn.XLOOKUP(B69,'3. Keep &amp; Toss Items'!O:O,'3. Keep &amp; Toss Items'!U:U,"NOT FOUND",0,1)</f>
        <v>3</v>
      </c>
      <c r="E69" s="279" t="str">
        <f t="shared" si="63"/>
        <v>https://viking-pictures.s3.us-west-1.amazonaws.com/AA1155/A77.+Tailgate+Trunk+Control+Module+(1).JPG</v>
      </c>
      <c r="F69" s="279" t="str">
        <f t="shared" si="66"/>
        <v>https://viking-pictures.s3.us-west-1.amazonaws.com/AA1155/A77.+Tailgate+Trunk+Control+Module+(2).JPG</v>
      </c>
      <c r="G69" s="279" t="str">
        <f t="shared" si="67"/>
        <v>https://viking-pictures.s3.us-west-1.amazonaws.com/AA1155/A77.+Tailgate+Trunk+Control+Module+(3).JPG</v>
      </c>
      <c r="H69" s="279" t="str">
        <f t="shared" si="68"/>
        <v/>
      </c>
      <c r="I69" s="279" t="str">
        <f t="shared" si="69"/>
        <v/>
      </c>
      <c r="J69" s="279" t="str">
        <f t="shared" si="70"/>
        <v/>
      </c>
      <c r="K69" s="279" t="str">
        <f t="shared" si="71"/>
        <v/>
      </c>
      <c r="L69" s="279" t="str">
        <f t="shared" si="71"/>
        <v/>
      </c>
      <c r="M69" s="279" t="str">
        <f t="shared" si="72"/>
        <v/>
      </c>
      <c r="N69" s="279" t="str">
        <f t="shared" si="73"/>
        <v/>
      </c>
      <c r="O69" s="279" t="str">
        <f t="shared" si="74"/>
        <v/>
      </c>
      <c r="P69" s="279" t="str">
        <f t="shared" si="75"/>
        <v/>
      </c>
      <c r="Q69" s="279" t="str">
        <f t="shared" si="76"/>
        <v/>
      </c>
      <c r="R69" s="279" t="str">
        <f t="shared" si="77"/>
        <v/>
      </c>
      <c r="S69" s="279" t="str">
        <f t="shared" si="78"/>
        <v/>
      </c>
      <c r="T69" s="279" t="str">
        <f t="shared" si="79"/>
        <v/>
      </c>
      <c r="U69" s="279" t="str">
        <f t="shared" si="80"/>
        <v/>
      </c>
      <c r="V69" s="279" t="str">
        <f t="shared" si="81"/>
        <v/>
      </c>
      <c r="W69" s="279" t="str">
        <f t="shared" si="82"/>
        <v/>
      </c>
      <c r="X69" s="279" t="str">
        <f t="shared" si="83"/>
        <v/>
      </c>
      <c r="Y69" s="279" t="str">
        <f t="shared" si="84"/>
        <v/>
      </c>
      <c r="Z69" s="279" t="str">
        <f t="shared" si="85"/>
        <v/>
      </c>
      <c r="AA69" s="279" t="str">
        <f t="shared" si="86"/>
        <v/>
      </c>
      <c r="AB69" s="279" t="str">
        <f t="shared" si="87"/>
        <v/>
      </c>
      <c r="AC69" s="104" t="s">
        <v>1382</v>
      </c>
      <c r="AD69" s="279" t="str">
        <f t="shared" si="88"/>
        <v>A77.+Tailgate+Trunk+Control+Module</v>
      </c>
      <c r="AE69" s="279" t="str">
        <f>_xlfn.XLOOKUP(B69,'3. Keep &amp; Toss Items'!O:O,'3. Keep &amp; Toss Items'!Q:Q,"NOT FOUND",0,1)</f>
        <v>A77. Tailgate Trunk Control Module</v>
      </c>
      <c r="AF69" s="279" t="str">
        <f t="shared" si="89"/>
        <v>A77. Tailgate Trunk Control Module</v>
      </c>
      <c r="AG69" s="279" t="str">
        <f t="shared" si="90"/>
        <v>A77.+Tailgate+Trunk+Control+Module</v>
      </c>
      <c r="AH69" s="279" t="str">
        <f t="shared" si="91"/>
        <v>A77.+Tailgate+Trunk+Control+Module</v>
      </c>
      <c r="AI69" s="279" t="str">
        <f t="shared" si="92"/>
        <v>A77.+Tailgate+Trunk+Control+Module</v>
      </c>
      <c r="AJ69" s="279" t="str">
        <f t="shared" si="93"/>
        <v>A77.+Tailgate+Trunk+Control+Module</v>
      </c>
      <c r="AK69" s="279" t="str">
        <f t="shared" si="94"/>
        <v>A77.+Tailgate+Trunk+Control+Module</v>
      </c>
      <c r="AL69" s="279" t="str">
        <f t="shared" si="95"/>
        <v>A77.+Tailgate+Trunk+Control+Module</v>
      </c>
      <c r="AM69" s="279" t="str">
        <f t="shared" si="96"/>
        <v>A77.+Tailgate+Trunk+Control+Module</v>
      </c>
      <c r="AN69" s="279" t="str">
        <f t="shared" si="64"/>
        <v>A77.+Tailgate+Trunk+Control+Module</v>
      </c>
      <c r="AO69" s="279" t="str">
        <f t="shared" si="97"/>
        <v>A77.+Tailgate+Trunk+Control+Module</v>
      </c>
      <c r="AP69" s="279" t="str">
        <f t="shared" si="98"/>
        <v>A77.+Tailgate+Trunk+Control+Module</v>
      </c>
      <c r="AQ69" s="280" t="s">
        <v>1395</v>
      </c>
      <c r="AR69" s="280" t="s">
        <v>1396</v>
      </c>
      <c r="AS69" s="280" t="s">
        <v>1397</v>
      </c>
      <c r="AT69" s="280" t="s">
        <v>1398</v>
      </c>
      <c r="AU69" s="280" t="s">
        <v>1399</v>
      </c>
      <c r="AV69" s="280" t="s">
        <v>1400</v>
      </c>
      <c r="AW69" s="280" t="s">
        <v>1401</v>
      </c>
      <c r="AX69" s="280" t="s">
        <v>1402</v>
      </c>
      <c r="AY69" s="280" t="s">
        <v>1403</v>
      </c>
      <c r="AZ69" s="280" t="s">
        <v>1404</v>
      </c>
      <c r="BA69" s="280" t="s">
        <v>1405</v>
      </c>
      <c r="BB69" s="280" t="s">
        <v>1406</v>
      </c>
      <c r="BC69" s="280" t="s">
        <v>1419</v>
      </c>
      <c r="BD69" s="280" t="s">
        <v>1407</v>
      </c>
      <c r="BE69" s="280" t="s">
        <v>1408</v>
      </c>
      <c r="BF69" s="280" t="s">
        <v>1409</v>
      </c>
      <c r="BG69" s="280" t="s">
        <v>1410</v>
      </c>
      <c r="BH69" s="280" t="s">
        <v>1411</v>
      </c>
      <c r="BI69" s="280" t="s">
        <v>1412</v>
      </c>
      <c r="BJ69" s="280" t="s">
        <v>1413</v>
      </c>
      <c r="BK69" s="280" t="s">
        <v>1414</v>
      </c>
      <c r="BL69" s="280" t="s">
        <v>1415</v>
      </c>
      <c r="BM69" s="280" t="s">
        <v>1416</v>
      </c>
      <c r="BN69" s="280" t="s">
        <v>1417</v>
      </c>
      <c r="BO69" s="280" t="s">
        <v>1418</v>
      </c>
      <c r="BP69" s="280" t="s">
        <v>1420</v>
      </c>
      <c r="BQ69" s="134" t="str">
        <f t="shared" si="65"/>
        <v>Pic Example</v>
      </c>
    </row>
    <row r="70" spans="2:69" x14ac:dyDescent="0.25">
      <c r="B70" t="s">
        <v>980</v>
      </c>
      <c r="C70" s="279" t="str">
        <f t="shared" si="99"/>
        <v>https://viking-pictures.s3.us-west-1.amazonaws.com/AA1155/A78.+Park+Assist+Control+Module+PDC+(1).JPG|https://viking-pictures.s3.us-west-1.amazonaws.com/AA1155/A78.+Park+Assist+Control+Module+PDC+(2).JPG|https://viking-pictures.s3.us-west-1.amazonaws.com/AA1155/A78.+Park+Assist+Control+Module+PDC+(3).JPG</v>
      </c>
      <c r="D70" s="281">
        <f>_xlfn.XLOOKUP(B70,'3. Keep &amp; Toss Items'!O:O,'3. Keep &amp; Toss Items'!U:U,"NOT FOUND",0,1)</f>
        <v>3</v>
      </c>
      <c r="E70" s="279" t="str">
        <f t="shared" si="63"/>
        <v>https://viking-pictures.s3.us-west-1.amazonaws.com/AA1155/A78.+Park+Assist+Control+Module+PDC+(1).JPG</v>
      </c>
      <c r="F70" s="279" t="str">
        <f t="shared" si="66"/>
        <v>https://viking-pictures.s3.us-west-1.amazonaws.com/AA1155/A78.+Park+Assist+Control+Module+PDC+(2).JPG</v>
      </c>
      <c r="G70" s="279" t="str">
        <f t="shared" si="67"/>
        <v>https://viking-pictures.s3.us-west-1.amazonaws.com/AA1155/A78.+Park+Assist+Control+Module+PDC+(3).JPG</v>
      </c>
      <c r="H70" s="279" t="str">
        <f t="shared" si="68"/>
        <v/>
      </c>
      <c r="I70" s="279" t="str">
        <f t="shared" si="69"/>
        <v/>
      </c>
      <c r="J70" s="279" t="str">
        <f t="shared" si="70"/>
        <v/>
      </c>
      <c r="K70" s="279" t="str">
        <f t="shared" si="71"/>
        <v/>
      </c>
      <c r="L70" s="279" t="str">
        <f t="shared" si="71"/>
        <v/>
      </c>
      <c r="M70" s="279" t="str">
        <f t="shared" si="72"/>
        <v/>
      </c>
      <c r="N70" s="279" t="str">
        <f t="shared" si="73"/>
        <v/>
      </c>
      <c r="O70" s="279" t="str">
        <f t="shared" si="74"/>
        <v/>
      </c>
      <c r="P70" s="279" t="str">
        <f t="shared" si="75"/>
        <v/>
      </c>
      <c r="Q70" s="279" t="str">
        <f t="shared" si="76"/>
        <v/>
      </c>
      <c r="R70" s="279" t="str">
        <f t="shared" si="77"/>
        <v/>
      </c>
      <c r="S70" s="279" t="str">
        <f t="shared" si="78"/>
        <v/>
      </c>
      <c r="T70" s="279" t="str">
        <f t="shared" si="79"/>
        <v/>
      </c>
      <c r="U70" s="279" t="str">
        <f t="shared" si="80"/>
        <v/>
      </c>
      <c r="V70" s="279" t="str">
        <f t="shared" si="81"/>
        <v/>
      </c>
      <c r="W70" s="279" t="str">
        <f t="shared" si="82"/>
        <v/>
      </c>
      <c r="X70" s="279" t="str">
        <f t="shared" si="83"/>
        <v/>
      </c>
      <c r="Y70" s="279" t="str">
        <f t="shared" si="84"/>
        <v/>
      </c>
      <c r="Z70" s="279" t="str">
        <f t="shared" si="85"/>
        <v/>
      </c>
      <c r="AA70" s="279" t="str">
        <f t="shared" si="86"/>
        <v/>
      </c>
      <c r="AB70" s="279" t="str">
        <f t="shared" si="87"/>
        <v/>
      </c>
      <c r="AC70" s="104" t="s">
        <v>1382</v>
      </c>
      <c r="AD70" s="279" t="str">
        <f t="shared" si="88"/>
        <v>A78.+Park+Assist+Control+Module+PDC</v>
      </c>
      <c r="AE70" s="279" t="str">
        <f>_xlfn.XLOOKUP(B70,'3. Keep &amp; Toss Items'!O:O,'3. Keep &amp; Toss Items'!Q:Q,"NOT FOUND",0,1)</f>
        <v>A78. Park Assist Control Module PDC</v>
      </c>
      <c r="AF70" s="279" t="str">
        <f t="shared" si="89"/>
        <v>A78. Park Assist Control Module PDC</v>
      </c>
      <c r="AG70" s="279" t="str">
        <f t="shared" si="90"/>
        <v>A78.+Park+Assist+Control+Module+PDC</v>
      </c>
      <c r="AH70" s="279" t="str">
        <f t="shared" si="91"/>
        <v>A78.+Park+Assist+Control+Module+PDC</v>
      </c>
      <c r="AI70" s="279" t="str">
        <f t="shared" si="92"/>
        <v>A78.+Park+Assist+Control+Module+PDC</v>
      </c>
      <c r="AJ70" s="279" t="str">
        <f t="shared" si="93"/>
        <v>A78.+Park+Assist+Control+Module+PDC</v>
      </c>
      <c r="AK70" s="279" t="str">
        <f t="shared" si="94"/>
        <v>A78.+Park+Assist+Control+Module+PDC</v>
      </c>
      <c r="AL70" s="279" t="str">
        <f t="shared" si="95"/>
        <v>A78.+Park+Assist+Control+Module+PDC</v>
      </c>
      <c r="AM70" s="279" t="str">
        <f t="shared" si="96"/>
        <v>A78.+Park+Assist+Control+Module+PDC</v>
      </c>
      <c r="AN70" s="279" t="str">
        <f t="shared" si="64"/>
        <v>A78.+Park+Assist+Control+Module+PDC</v>
      </c>
      <c r="AO70" s="279" t="str">
        <f t="shared" si="97"/>
        <v>A78.+Park+Assist+Control+Module+PDC</v>
      </c>
      <c r="AP70" s="279" t="str">
        <f t="shared" si="98"/>
        <v>A78.+Park+Assist+Control+Module+PDC</v>
      </c>
      <c r="AQ70" s="280" t="s">
        <v>1395</v>
      </c>
      <c r="AR70" s="280" t="s">
        <v>1396</v>
      </c>
      <c r="AS70" s="280" t="s">
        <v>1397</v>
      </c>
      <c r="AT70" s="280" t="s">
        <v>1398</v>
      </c>
      <c r="AU70" s="280" t="s">
        <v>1399</v>
      </c>
      <c r="AV70" s="280" t="s">
        <v>1400</v>
      </c>
      <c r="AW70" s="280" t="s">
        <v>1401</v>
      </c>
      <c r="AX70" s="280" t="s">
        <v>1402</v>
      </c>
      <c r="AY70" s="280" t="s">
        <v>1403</v>
      </c>
      <c r="AZ70" s="280" t="s">
        <v>1404</v>
      </c>
      <c r="BA70" s="280" t="s">
        <v>1405</v>
      </c>
      <c r="BB70" s="280" t="s">
        <v>1406</v>
      </c>
      <c r="BC70" s="280" t="s">
        <v>1419</v>
      </c>
      <c r="BD70" s="280" t="s">
        <v>1407</v>
      </c>
      <c r="BE70" s="280" t="s">
        <v>1408</v>
      </c>
      <c r="BF70" s="280" t="s">
        <v>1409</v>
      </c>
      <c r="BG70" s="280" t="s">
        <v>1410</v>
      </c>
      <c r="BH70" s="280" t="s">
        <v>1411</v>
      </c>
      <c r="BI70" s="280" t="s">
        <v>1412</v>
      </c>
      <c r="BJ70" s="280" t="s">
        <v>1413</v>
      </c>
      <c r="BK70" s="280" t="s">
        <v>1414</v>
      </c>
      <c r="BL70" s="280" t="s">
        <v>1415</v>
      </c>
      <c r="BM70" s="280" t="s">
        <v>1416</v>
      </c>
      <c r="BN70" s="280" t="s">
        <v>1417</v>
      </c>
      <c r="BO70" s="280" t="s">
        <v>1418</v>
      </c>
      <c r="BP70" s="280" t="s">
        <v>1420</v>
      </c>
      <c r="BQ70" s="134" t="str">
        <f t="shared" si="65"/>
        <v>Pic Example</v>
      </c>
    </row>
    <row r="71" spans="2:69" x14ac:dyDescent="0.25">
      <c r="B71" t="s">
        <v>981</v>
      </c>
      <c r="C71" s="279" t="str">
        <f t="shared" si="99"/>
        <v>https://viking-pictures.s3.us-west-1.amazonaws.com/AA1155/A79.+Speedometer+(1).JPG|https://viking-pictures.s3.us-west-1.amazonaws.com/AA1155/A79.+Speedometer+(2).JPG|https://viking-pictures.s3.us-west-1.amazonaws.com/AA1155/A79.+Speedometer+(3).JPG|https://viking-pictures.s3.us-west-1.amazonaws.com/AA1155/A79.+Speedometer+(4).JPG|https://viking-pictures.s3.us-west-1.amazonaws.com/AA1155/A79.+Speedometer+(5).JPG|https://viking-pictures.s3.us-west-1.amazonaws.com/AA1155/A79.+Speedometer+(6).JPG</v>
      </c>
      <c r="D71" s="281">
        <f>_xlfn.XLOOKUP(B71,'3. Keep &amp; Toss Items'!O:O,'3. Keep &amp; Toss Items'!U:U,"NOT FOUND",0,1)</f>
        <v>6</v>
      </c>
      <c r="E71" s="279" t="str">
        <f t="shared" si="63"/>
        <v>https://viking-pictures.s3.us-west-1.amazonaws.com/AA1155/A79.+Speedometer+(1).JPG</v>
      </c>
      <c r="F71" s="279" t="str">
        <f t="shared" si="66"/>
        <v>https://viking-pictures.s3.us-west-1.amazonaws.com/AA1155/A79.+Speedometer+(2).JPG</v>
      </c>
      <c r="G71" s="279" t="str">
        <f t="shared" si="67"/>
        <v>https://viking-pictures.s3.us-west-1.amazonaws.com/AA1155/A79.+Speedometer+(3).JPG</v>
      </c>
      <c r="H71" s="279" t="str">
        <f t="shared" si="68"/>
        <v>https://viking-pictures.s3.us-west-1.amazonaws.com/AA1155/A79.+Speedometer+(4).JPG</v>
      </c>
      <c r="I71" s="279" t="str">
        <f t="shared" si="69"/>
        <v>https://viking-pictures.s3.us-west-1.amazonaws.com/AA1155/A79.+Speedometer+(5).JPG</v>
      </c>
      <c r="J71" s="279" t="str">
        <f t="shared" si="70"/>
        <v>https://viking-pictures.s3.us-west-1.amazonaws.com/AA1155/A79.+Speedometer+(6).JPG</v>
      </c>
      <c r="K71" s="279" t="str">
        <f t="shared" si="71"/>
        <v/>
      </c>
      <c r="L71" s="279" t="str">
        <f t="shared" si="71"/>
        <v/>
      </c>
      <c r="M71" s="279" t="str">
        <f t="shared" si="72"/>
        <v/>
      </c>
      <c r="N71" s="279" t="str">
        <f t="shared" si="73"/>
        <v/>
      </c>
      <c r="O71" s="279" t="str">
        <f t="shared" si="74"/>
        <v/>
      </c>
      <c r="P71" s="279" t="str">
        <f t="shared" si="75"/>
        <v/>
      </c>
      <c r="Q71" s="279" t="str">
        <f t="shared" si="76"/>
        <v/>
      </c>
      <c r="R71" s="279" t="str">
        <f t="shared" si="77"/>
        <v/>
      </c>
      <c r="S71" s="279" t="str">
        <f t="shared" si="78"/>
        <v/>
      </c>
      <c r="T71" s="279" t="str">
        <f t="shared" si="79"/>
        <v/>
      </c>
      <c r="U71" s="279" t="str">
        <f t="shared" si="80"/>
        <v/>
      </c>
      <c r="V71" s="279" t="str">
        <f t="shared" si="81"/>
        <v/>
      </c>
      <c r="W71" s="279" t="str">
        <f t="shared" si="82"/>
        <v/>
      </c>
      <c r="X71" s="279" t="str">
        <f t="shared" si="83"/>
        <v/>
      </c>
      <c r="Y71" s="279" t="str">
        <f t="shared" si="84"/>
        <v/>
      </c>
      <c r="Z71" s="279" t="str">
        <f t="shared" si="85"/>
        <v/>
      </c>
      <c r="AA71" s="279" t="str">
        <f t="shared" si="86"/>
        <v/>
      </c>
      <c r="AB71" s="279" t="str">
        <f t="shared" si="87"/>
        <v/>
      </c>
      <c r="AC71" s="104" t="s">
        <v>1382</v>
      </c>
      <c r="AD71" s="279" t="str">
        <f t="shared" si="88"/>
        <v>A79.+Speedometer</v>
      </c>
      <c r="AE71" s="279" t="str">
        <f>_xlfn.XLOOKUP(B71,'3. Keep &amp; Toss Items'!O:O,'3. Keep &amp; Toss Items'!Q:Q,"NOT FOUND",0,1)</f>
        <v>A79. Speedometer</v>
      </c>
      <c r="AF71" s="279" t="str">
        <f t="shared" si="89"/>
        <v>A79. Speedometer</v>
      </c>
      <c r="AG71" s="279" t="str">
        <f t="shared" si="90"/>
        <v>A79.+Speedometer</v>
      </c>
      <c r="AH71" s="279" t="str">
        <f t="shared" si="91"/>
        <v>A79.+Speedometer</v>
      </c>
      <c r="AI71" s="279" t="str">
        <f t="shared" si="92"/>
        <v>A79.+Speedometer</v>
      </c>
      <c r="AJ71" s="279" t="str">
        <f t="shared" si="93"/>
        <v>A79.+Speedometer</v>
      </c>
      <c r="AK71" s="279" t="str">
        <f t="shared" si="94"/>
        <v>A79.+Speedometer</v>
      </c>
      <c r="AL71" s="279" t="str">
        <f t="shared" si="95"/>
        <v>A79.+Speedometer</v>
      </c>
      <c r="AM71" s="279" t="str">
        <f t="shared" si="96"/>
        <v>A79.+Speedometer</v>
      </c>
      <c r="AN71" s="279" t="str">
        <f t="shared" si="64"/>
        <v>A79.+Speedometer</v>
      </c>
      <c r="AO71" s="279" t="str">
        <f t="shared" si="97"/>
        <v>A79.+Speedometer</v>
      </c>
      <c r="AP71" s="279" t="str">
        <f t="shared" si="98"/>
        <v>A79.+Speedometer</v>
      </c>
      <c r="AQ71" s="280" t="s">
        <v>1395</v>
      </c>
      <c r="AR71" s="280" t="s">
        <v>1396</v>
      </c>
      <c r="AS71" s="280" t="s">
        <v>1397</v>
      </c>
      <c r="AT71" s="280" t="s">
        <v>1398</v>
      </c>
      <c r="AU71" s="280" t="s">
        <v>1399</v>
      </c>
      <c r="AV71" s="280" t="s">
        <v>1400</v>
      </c>
      <c r="AW71" s="280" t="s">
        <v>1401</v>
      </c>
      <c r="AX71" s="280" t="s">
        <v>1402</v>
      </c>
      <c r="AY71" s="280" t="s">
        <v>1403</v>
      </c>
      <c r="AZ71" s="280" t="s">
        <v>1404</v>
      </c>
      <c r="BA71" s="280" t="s">
        <v>1405</v>
      </c>
      <c r="BB71" s="280" t="s">
        <v>1406</v>
      </c>
      <c r="BC71" s="280" t="s">
        <v>1419</v>
      </c>
      <c r="BD71" s="280" t="s">
        <v>1407</v>
      </c>
      <c r="BE71" s="280" t="s">
        <v>1408</v>
      </c>
      <c r="BF71" s="280" t="s">
        <v>1409</v>
      </c>
      <c r="BG71" s="280" t="s">
        <v>1410</v>
      </c>
      <c r="BH71" s="280" t="s">
        <v>1411</v>
      </c>
      <c r="BI71" s="280" t="s">
        <v>1412</v>
      </c>
      <c r="BJ71" s="280" t="s">
        <v>1413</v>
      </c>
      <c r="BK71" s="280" t="s">
        <v>1414</v>
      </c>
      <c r="BL71" s="280" t="s">
        <v>1415</v>
      </c>
      <c r="BM71" s="280" t="s">
        <v>1416</v>
      </c>
      <c r="BN71" s="280" t="s">
        <v>1417</v>
      </c>
      <c r="BO71" s="280" t="s">
        <v>1418</v>
      </c>
      <c r="BP71" s="280" t="s">
        <v>1420</v>
      </c>
      <c r="BQ71" s="134" t="str">
        <f t="shared" si="65"/>
        <v>Pic Example</v>
      </c>
    </row>
    <row r="72" spans="2:69" x14ac:dyDescent="0.25">
      <c r="B72" t="s">
        <v>982</v>
      </c>
      <c r="C72" s="279" t="str">
        <f t="shared" si="99"/>
        <v>https://viking-pictures.s3.us-west-1.amazonaws.com/AA1155/A80.+Headrest%2C+FRONT+-+RIGHT+(ACTIVE)+(1).JPG|https://viking-pictures.s3.us-west-1.amazonaws.com/AA1155/A80.+Headrest%2C+FRONT+-+RIGHT+(ACTIVE)+(2).JPG|https://viking-pictures.s3.us-west-1.amazonaws.com/AA1155/A80.+Headrest%2C+FRONT+-+RIGHT+(ACTIVE)+(3).JPG|https://viking-pictures.s3.us-west-1.amazonaws.com/AA1155/A80.+Headrest%2C+FRONT+-+RIGHT+(ACTIVE)+(4).JPG|https://viking-pictures.s3.us-west-1.amazonaws.com/AA1155/A80.+Headrest%2C+FRONT+-+RIGHT+(ACTIVE)+(5).JPG|https://viking-pictures.s3.us-west-1.amazonaws.com/AA1155/A80.+Headrest%2C+FRONT+-+RIGHT+(ACTIVE)+(6).JPG</v>
      </c>
      <c r="D72" s="281">
        <f>_xlfn.XLOOKUP(B72,'3. Keep &amp; Toss Items'!O:O,'3. Keep &amp; Toss Items'!U:U,"NOT FOUND",0,1)</f>
        <v>6</v>
      </c>
      <c r="E72" s="279" t="str">
        <f t="shared" si="63"/>
        <v>https://viking-pictures.s3.us-west-1.amazonaws.com/AA1155/A80.+Headrest%2C+FRONT+-+RIGHT+(ACTIVE)+(1).JPG</v>
      </c>
      <c r="F72" s="279" t="str">
        <f t="shared" si="66"/>
        <v>https://viking-pictures.s3.us-west-1.amazonaws.com/AA1155/A80.+Headrest%2C+FRONT+-+RIGHT+(ACTIVE)+(2).JPG</v>
      </c>
      <c r="G72" s="279" t="str">
        <f t="shared" si="67"/>
        <v>https://viking-pictures.s3.us-west-1.amazonaws.com/AA1155/A80.+Headrest%2C+FRONT+-+RIGHT+(ACTIVE)+(3).JPG</v>
      </c>
      <c r="H72" s="279" t="str">
        <f t="shared" si="68"/>
        <v>https://viking-pictures.s3.us-west-1.amazonaws.com/AA1155/A80.+Headrest%2C+FRONT+-+RIGHT+(ACTIVE)+(4).JPG</v>
      </c>
      <c r="I72" s="279" t="str">
        <f t="shared" si="69"/>
        <v>https://viking-pictures.s3.us-west-1.amazonaws.com/AA1155/A80.+Headrest%2C+FRONT+-+RIGHT+(ACTIVE)+(5).JPG</v>
      </c>
      <c r="J72" s="279" t="str">
        <f t="shared" si="70"/>
        <v>https://viking-pictures.s3.us-west-1.amazonaws.com/AA1155/A80.+Headrest%2C+FRONT+-+RIGHT+(ACTIVE)+(6).JPG</v>
      </c>
      <c r="K72" s="279" t="str">
        <f t="shared" si="71"/>
        <v/>
      </c>
      <c r="L72" s="279" t="str">
        <f t="shared" si="71"/>
        <v/>
      </c>
      <c r="M72" s="279" t="str">
        <f t="shared" si="72"/>
        <v/>
      </c>
      <c r="N72" s="279" t="str">
        <f t="shared" si="73"/>
        <v/>
      </c>
      <c r="O72" s="279" t="str">
        <f t="shared" si="74"/>
        <v/>
      </c>
      <c r="P72" s="279" t="str">
        <f t="shared" si="75"/>
        <v/>
      </c>
      <c r="Q72" s="279" t="str">
        <f t="shared" si="76"/>
        <v/>
      </c>
      <c r="R72" s="279" t="str">
        <f t="shared" si="77"/>
        <v/>
      </c>
      <c r="S72" s="279" t="str">
        <f t="shared" si="78"/>
        <v/>
      </c>
      <c r="T72" s="279" t="str">
        <f t="shared" si="79"/>
        <v/>
      </c>
      <c r="U72" s="279" t="str">
        <f t="shared" si="80"/>
        <v/>
      </c>
      <c r="V72" s="279" t="str">
        <f t="shared" si="81"/>
        <v/>
      </c>
      <c r="W72" s="279" t="str">
        <f t="shared" si="82"/>
        <v/>
      </c>
      <c r="X72" s="279" t="str">
        <f t="shared" si="83"/>
        <v/>
      </c>
      <c r="Y72" s="279" t="str">
        <f t="shared" si="84"/>
        <v/>
      </c>
      <c r="Z72" s="279" t="str">
        <f t="shared" si="85"/>
        <v/>
      </c>
      <c r="AA72" s="279" t="str">
        <f t="shared" si="86"/>
        <v/>
      </c>
      <c r="AB72" s="279" t="str">
        <f t="shared" si="87"/>
        <v/>
      </c>
      <c r="AC72" s="104" t="s">
        <v>1382</v>
      </c>
      <c r="AD72" s="279" t="str">
        <f t="shared" si="88"/>
        <v>A80.+Headrest%2C+FRONT+-+RIGHT+(ACTIVE)</v>
      </c>
      <c r="AE72" s="279" t="str">
        <f>_xlfn.XLOOKUP(B72,'3. Keep &amp; Toss Items'!O:O,'3. Keep &amp; Toss Items'!Q:Q,"NOT FOUND",0,1)</f>
        <v>A80. Headrest, FRONT - RIGHT (ACTIVE)</v>
      </c>
      <c r="AF72" s="279" t="str">
        <f t="shared" si="89"/>
        <v>A80. Headrest, FRONT - RIGHT (ACTIVE)</v>
      </c>
      <c r="AG72" s="279" t="str">
        <f t="shared" si="90"/>
        <v>A80.+Headrest,+FRONT+-+RIGHT+(ACTIVE)</v>
      </c>
      <c r="AH72" s="279" t="str">
        <f t="shared" si="91"/>
        <v>A80.+Headrest%2C+FRONT+-+RIGHT+(ACTIVE)</v>
      </c>
      <c r="AI72" s="279" t="str">
        <f t="shared" si="92"/>
        <v>A80.+Headrest%2C+FRONT+-+RIGHT+(ACTIVE)</v>
      </c>
      <c r="AJ72" s="279" t="str">
        <f t="shared" si="93"/>
        <v>A80.+Headrest%2C+FRONT+-+RIGHT+(ACTIVE)</v>
      </c>
      <c r="AK72" s="279" t="str">
        <f t="shared" si="94"/>
        <v>A80.+Headrest%2C+FRONT+-+RIGHT+(ACTIVE)</v>
      </c>
      <c r="AL72" s="279" t="str">
        <f t="shared" si="95"/>
        <v>A80.+Headrest%2C+FRONT+-+RIGHT+(ACTIVE)</v>
      </c>
      <c r="AM72" s="279" t="str">
        <f t="shared" si="96"/>
        <v>A80.+Headrest%2C+FRONT+-+RIGHT+(ACTIVE)</v>
      </c>
      <c r="AN72" s="279" t="str">
        <f t="shared" si="64"/>
        <v>A80.+Headrest%2C+FRONT+-+RIGHT+(ACTIVE)</v>
      </c>
      <c r="AO72" s="279" t="str">
        <f t="shared" si="97"/>
        <v>A80.+Headrest%2C+FRONT+-+RIGHT+(ACTIVE)</v>
      </c>
      <c r="AP72" s="279" t="str">
        <f t="shared" si="98"/>
        <v>A80.+Headrest%2C+FRONT+-+RIGHT+(ACTIVE)</v>
      </c>
      <c r="AQ72" s="280" t="s">
        <v>1395</v>
      </c>
      <c r="AR72" s="280" t="s">
        <v>1396</v>
      </c>
      <c r="AS72" s="280" t="s">
        <v>1397</v>
      </c>
      <c r="AT72" s="280" t="s">
        <v>1398</v>
      </c>
      <c r="AU72" s="280" t="s">
        <v>1399</v>
      </c>
      <c r="AV72" s="280" t="s">
        <v>1400</v>
      </c>
      <c r="AW72" s="280" t="s">
        <v>1401</v>
      </c>
      <c r="AX72" s="280" t="s">
        <v>1402</v>
      </c>
      <c r="AY72" s="280" t="s">
        <v>1403</v>
      </c>
      <c r="AZ72" s="280" t="s">
        <v>1404</v>
      </c>
      <c r="BA72" s="280" t="s">
        <v>1405</v>
      </c>
      <c r="BB72" s="280" t="s">
        <v>1406</v>
      </c>
      <c r="BC72" s="280" t="s">
        <v>1419</v>
      </c>
      <c r="BD72" s="280" t="s">
        <v>1407</v>
      </c>
      <c r="BE72" s="280" t="s">
        <v>1408</v>
      </c>
      <c r="BF72" s="280" t="s">
        <v>1409</v>
      </c>
      <c r="BG72" s="280" t="s">
        <v>1410</v>
      </c>
      <c r="BH72" s="280" t="s">
        <v>1411</v>
      </c>
      <c r="BI72" s="280" t="s">
        <v>1412</v>
      </c>
      <c r="BJ72" s="280" t="s">
        <v>1413</v>
      </c>
      <c r="BK72" s="280" t="s">
        <v>1414</v>
      </c>
      <c r="BL72" s="280" t="s">
        <v>1415</v>
      </c>
      <c r="BM72" s="280" t="s">
        <v>1416</v>
      </c>
      <c r="BN72" s="280" t="s">
        <v>1417</v>
      </c>
      <c r="BO72" s="280" t="s">
        <v>1418</v>
      </c>
      <c r="BP72" s="280" t="s">
        <v>1420</v>
      </c>
      <c r="BQ72" s="134" t="str">
        <f t="shared" si="65"/>
        <v>Pic Example</v>
      </c>
    </row>
    <row r="73" spans="2:69" x14ac:dyDescent="0.25">
      <c r="B73" t="s">
        <v>983</v>
      </c>
      <c r="C73" s="279" t="str">
        <f t="shared" si="99"/>
        <v>https://viking-pictures.s3.us-west-1.amazonaws.com/AA1155/A81.+Headrests%2C+REAR+2nd+ROW+SET+3+(1).JPG|https://viking-pictures.s3.us-west-1.amazonaws.com/AA1155/A81.+Headrests%2C+REAR+2nd+ROW+SET+3+(2).JPG|https://viking-pictures.s3.us-west-1.amazonaws.com/AA1155/A81.+Headrests%2C+REAR+2nd+ROW+SET+3+(3).JPG|https://viking-pictures.s3.us-west-1.amazonaws.com/AA1155/A81.+Headrests%2C+REAR+2nd+ROW+SET+3+(4).JPG|https://viking-pictures.s3.us-west-1.amazonaws.com/AA1155/A81.+Headrests%2C+REAR+2nd+ROW+SET+3+(5).JPG</v>
      </c>
      <c r="D73" s="281">
        <f>_xlfn.XLOOKUP(B73,'3. Keep &amp; Toss Items'!O:O,'3. Keep &amp; Toss Items'!U:U,"NOT FOUND",0,1)</f>
        <v>5</v>
      </c>
      <c r="E73" s="279" t="str">
        <f t="shared" si="63"/>
        <v>https://viking-pictures.s3.us-west-1.amazonaws.com/AA1155/A81.+Headrests%2C+REAR+2nd+ROW+SET+3+(1).JPG</v>
      </c>
      <c r="F73" s="279" t="str">
        <f t="shared" si="66"/>
        <v>https://viking-pictures.s3.us-west-1.amazonaws.com/AA1155/A81.+Headrests%2C+REAR+2nd+ROW+SET+3+(2).JPG</v>
      </c>
      <c r="G73" s="279" t="str">
        <f t="shared" si="67"/>
        <v>https://viking-pictures.s3.us-west-1.amazonaws.com/AA1155/A81.+Headrests%2C+REAR+2nd+ROW+SET+3+(3).JPG</v>
      </c>
      <c r="H73" s="279" t="str">
        <f t="shared" si="68"/>
        <v>https://viking-pictures.s3.us-west-1.amazonaws.com/AA1155/A81.+Headrests%2C+REAR+2nd+ROW+SET+3+(4).JPG</v>
      </c>
      <c r="I73" s="279" t="str">
        <f t="shared" si="69"/>
        <v>https://viking-pictures.s3.us-west-1.amazonaws.com/AA1155/A81.+Headrests%2C+REAR+2nd+ROW+SET+3+(5).JPG</v>
      </c>
      <c r="J73" s="279" t="str">
        <f t="shared" si="70"/>
        <v/>
      </c>
      <c r="K73" s="279" t="str">
        <f t="shared" si="71"/>
        <v/>
      </c>
      <c r="L73" s="279" t="str">
        <f t="shared" si="71"/>
        <v/>
      </c>
      <c r="M73" s="279" t="str">
        <f t="shared" si="72"/>
        <v/>
      </c>
      <c r="N73" s="279" t="str">
        <f t="shared" si="73"/>
        <v/>
      </c>
      <c r="O73" s="279" t="str">
        <f t="shared" si="74"/>
        <v/>
      </c>
      <c r="P73" s="279" t="str">
        <f t="shared" si="75"/>
        <v/>
      </c>
      <c r="Q73" s="279" t="str">
        <f t="shared" si="76"/>
        <v/>
      </c>
      <c r="R73" s="279" t="str">
        <f t="shared" si="77"/>
        <v/>
      </c>
      <c r="S73" s="279" t="str">
        <f t="shared" si="78"/>
        <v/>
      </c>
      <c r="T73" s="279" t="str">
        <f t="shared" si="79"/>
        <v/>
      </c>
      <c r="U73" s="279" t="str">
        <f t="shared" si="80"/>
        <v/>
      </c>
      <c r="V73" s="279" t="str">
        <f t="shared" si="81"/>
        <v/>
      </c>
      <c r="W73" s="279" t="str">
        <f t="shared" si="82"/>
        <v/>
      </c>
      <c r="X73" s="279" t="str">
        <f t="shared" si="83"/>
        <v/>
      </c>
      <c r="Y73" s="279" t="str">
        <f t="shared" si="84"/>
        <v/>
      </c>
      <c r="Z73" s="279" t="str">
        <f t="shared" si="85"/>
        <v/>
      </c>
      <c r="AA73" s="279" t="str">
        <f t="shared" si="86"/>
        <v/>
      </c>
      <c r="AB73" s="279" t="str">
        <f t="shared" si="87"/>
        <v/>
      </c>
      <c r="AC73" s="104" t="s">
        <v>1382</v>
      </c>
      <c r="AD73" s="279" t="str">
        <f t="shared" si="88"/>
        <v>A81.+Headrests%2C+REAR+2nd+ROW+SET+3</v>
      </c>
      <c r="AE73" s="279" t="str">
        <f>_xlfn.XLOOKUP(B73,'3. Keep &amp; Toss Items'!O:O,'3. Keep &amp; Toss Items'!Q:Q,"NOT FOUND",0,1)</f>
        <v>A81. Headrests, REAR 2nd ROW SET 3</v>
      </c>
      <c r="AF73" s="279" t="str">
        <f t="shared" si="89"/>
        <v>A81. Headrests, REAR 2nd ROW SET 3</v>
      </c>
      <c r="AG73" s="279" t="str">
        <f t="shared" si="90"/>
        <v>A81.+Headrests,+REAR+2nd+ROW+SET+3</v>
      </c>
      <c r="AH73" s="279" t="str">
        <f t="shared" si="91"/>
        <v>A81.+Headrests%2C+REAR+2nd+ROW+SET+3</v>
      </c>
      <c r="AI73" s="279" t="str">
        <f t="shared" si="92"/>
        <v>A81.+Headrests%2C+REAR+2nd+ROW+SET+3</v>
      </c>
      <c r="AJ73" s="279" t="str">
        <f t="shared" si="93"/>
        <v>A81.+Headrests%2C+REAR+2nd+ROW+SET+3</v>
      </c>
      <c r="AK73" s="279" t="str">
        <f t="shared" si="94"/>
        <v>A81.+Headrests%2C+REAR+2nd+ROW+SET+3</v>
      </c>
      <c r="AL73" s="279" t="str">
        <f t="shared" si="95"/>
        <v>A81.+Headrests%2C+REAR+2nd+ROW+SET+3</v>
      </c>
      <c r="AM73" s="279" t="str">
        <f t="shared" si="96"/>
        <v>A81.+Headrests%2C+REAR+2nd+ROW+SET+3</v>
      </c>
      <c r="AN73" s="279" t="str">
        <f t="shared" si="64"/>
        <v>A81.+Headrests%2C+REAR+2nd+ROW+SET+3</v>
      </c>
      <c r="AO73" s="279" t="str">
        <f t="shared" si="97"/>
        <v>A81.+Headrests%2C+REAR+2nd+ROW+SET+3</v>
      </c>
      <c r="AP73" s="279" t="str">
        <f t="shared" si="98"/>
        <v>A81.+Headrests%2C+REAR+2nd+ROW+SET+3</v>
      </c>
      <c r="AQ73" s="280" t="s">
        <v>1395</v>
      </c>
      <c r="AR73" s="280" t="s">
        <v>1396</v>
      </c>
      <c r="AS73" s="280" t="s">
        <v>1397</v>
      </c>
      <c r="AT73" s="280" t="s">
        <v>1398</v>
      </c>
      <c r="AU73" s="280" t="s">
        <v>1399</v>
      </c>
      <c r="AV73" s="280" t="s">
        <v>1400</v>
      </c>
      <c r="AW73" s="280" t="s">
        <v>1401</v>
      </c>
      <c r="AX73" s="280" t="s">
        <v>1402</v>
      </c>
      <c r="AY73" s="280" t="s">
        <v>1403</v>
      </c>
      <c r="AZ73" s="280" t="s">
        <v>1404</v>
      </c>
      <c r="BA73" s="280" t="s">
        <v>1405</v>
      </c>
      <c r="BB73" s="280" t="s">
        <v>1406</v>
      </c>
      <c r="BC73" s="280" t="s">
        <v>1419</v>
      </c>
      <c r="BD73" s="280" t="s">
        <v>1407</v>
      </c>
      <c r="BE73" s="280" t="s">
        <v>1408</v>
      </c>
      <c r="BF73" s="280" t="s">
        <v>1409</v>
      </c>
      <c r="BG73" s="280" t="s">
        <v>1410</v>
      </c>
      <c r="BH73" s="280" t="s">
        <v>1411</v>
      </c>
      <c r="BI73" s="280" t="s">
        <v>1412</v>
      </c>
      <c r="BJ73" s="280" t="s">
        <v>1413</v>
      </c>
      <c r="BK73" s="280" t="s">
        <v>1414</v>
      </c>
      <c r="BL73" s="280" t="s">
        <v>1415</v>
      </c>
      <c r="BM73" s="280" t="s">
        <v>1416</v>
      </c>
      <c r="BN73" s="280" t="s">
        <v>1417</v>
      </c>
      <c r="BO73" s="280" t="s">
        <v>1418</v>
      </c>
      <c r="BP73" s="280" t="s">
        <v>1420</v>
      </c>
      <c r="BQ73" s="134" t="str">
        <f t="shared" si="65"/>
        <v>Pic Example</v>
      </c>
    </row>
    <row r="74" spans="2:69" x14ac:dyDescent="0.25">
      <c r="B74" t="s">
        <v>984</v>
      </c>
      <c r="C74" s="279" t="str">
        <f t="shared" si="99"/>
        <v>https://viking-pictures.s3.us-west-1.amazonaws.com/AA1155/A82.+Headrest%2C+FRONT+-+LEFT+(ACTIVE)+(1).JPG|https://viking-pictures.s3.us-west-1.amazonaws.com/AA1155/A82.+Headrest%2C+FRONT+-+LEFT+(ACTIVE)+(2).JPG|https://viking-pictures.s3.us-west-1.amazonaws.com/AA1155/A82.+Headrest%2C+FRONT+-+LEFT+(ACTIVE)+(3).JPG|https://viking-pictures.s3.us-west-1.amazonaws.com/AA1155/A82.+Headrest%2C+FRONT+-+LEFT+(ACTIVE)+(4).JPG|https://viking-pictures.s3.us-west-1.amazonaws.com/AA1155/A82.+Headrest%2C+FRONT+-+LEFT+(ACTIVE)+(5).JPG|https://viking-pictures.s3.us-west-1.amazonaws.com/AA1155/A82.+Headrest%2C+FRONT+-+LEFT+(ACTIVE)+(6).JPG</v>
      </c>
      <c r="D74" s="281">
        <f>_xlfn.XLOOKUP(B74,'3. Keep &amp; Toss Items'!O:O,'3. Keep &amp; Toss Items'!U:U,"NOT FOUND",0,1)</f>
        <v>6</v>
      </c>
      <c r="E74" s="279" t="str">
        <f t="shared" si="63"/>
        <v>https://viking-pictures.s3.us-west-1.amazonaws.com/AA1155/A82.+Headrest%2C+FRONT+-+LEFT+(ACTIVE)+(1).JPG</v>
      </c>
      <c r="F74" s="279" t="str">
        <f t="shared" si="66"/>
        <v>https://viking-pictures.s3.us-west-1.amazonaws.com/AA1155/A82.+Headrest%2C+FRONT+-+LEFT+(ACTIVE)+(2).JPG</v>
      </c>
      <c r="G74" s="279" t="str">
        <f t="shared" si="67"/>
        <v>https://viking-pictures.s3.us-west-1.amazonaws.com/AA1155/A82.+Headrest%2C+FRONT+-+LEFT+(ACTIVE)+(3).JPG</v>
      </c>
      <c r="H74" s="279" t="str">
        <f t="shared" si="68"/>
        <v>https://viking-pictures.s3.us-west-1.amazonaws.com/AA1155/A82.+Headrest%2C+FRONT+-+LEFT+(ACTIVE)+(4).JPG</v>
      </c>
      <c r="I74" s="279" t="str">
        <f t="shared" si="69"/>
        <v>https://viking-pictures.s3.us-west-1.amazonaws.com/AA1155/A82.+Headrest%2C+FRONT+-+LEFT+(ACTIVE)+(5).JPG</v>
      </c>
      <c r="J74" s="279" t="str">
        <f t="shared" si="70"/>
        <v>https://viking-pictures.s3.us-west-1.amazonaws.com/AA1155/A82.+Headrest%2C+FRONT+-+LEFT+(ACTIVE)+(6).JPG</v>
      </c>
      <c r="K74" s="279" t="str">
        <f t="shared" si="71"/>
        <v/>
      </c>
      <c r="L74" s="279" t="str">
        <f t="shared" si="71"/>
        <v/>
      </c>
      <c r="M74" s="279" t="str">
        <f t="shared" si="72"/>
        <v/>
      </c>
      <c r="N74" s="279" t="str">
        <f t="shared" si="73"/>
        <v/>
      </c>
      <c r="O74" s="279" t="str">
        <f t="shared" si="74"/>
        <v/>
      </c>
      <c r="P74" s="279" t="str">
        <f t="shared" si="75"/>
        <v/>
      </c>
      <c r="Q74" s="279" t="str">
        <f t="shared" si="76"/>
        <v/>
      </c>
      <c r="R74" s="279" t="str">
        <f t="shared" si="77"/>
        <v/>
      </c>
      <c r="S74" s="279" t="str">
        <f t="shared" si="78"/>
        <v/>
      </c>
      <c r="T74" s="279" t="str">
        <f t="shared" si="79"/>
        <v/>
      </c>
      <c r="U74" s="279" t="str">
        <f t="shared" si="80"/>
        <v/>
      </c>
      <c r="V74" s="279" t="str">
        <f t="shared" si="81"/>
        <v/>
      </c>
      <c r="W74" s="279" t="str">
        <f t="shared" si="82"/>
        <v/>
      </c>
      <c r="X74" s="279" t="str">
        <f t="shared" si="83"/>
        <v/>
      </c>
      <c r="Y74" s="279" t="str">
        <f t="shared" si="84"/>
        <v/>
      </c>
      <c r="Z74" s="279" t="str">
        <f t="shared" si="85"/>
        <v/>
      </c>
      <c r="AA74" s="279" t="str">
        <f t="shared" si="86"/>
        <v/>
      </c>
      <c r="AB74" s="279" t="str">
        <f t="shared" si="87"/>
        <v/>
      </c>
      <c r="AC74" s="104" t="s">
        <v>1382</v>
      </c>
      <c r="AD74" s="279" t="str">
        <f t="shared" si="88"/>
        <v>A82.+Headrest%2C+FRONT+-+LEFT+(ACTIVE)</v>
      </c>
      <c r="AE74" s="279" t="str">
        <f>_xlfn.XLOOKUP(B74,'3. Keep &amp; Toss Items'!O:O,'3. Keep &amp; Toss Items'!Q:Q,"NOT FOUND",0,1)</f>
        <v>A82. Headrest, FRONT - LEFT (ACTIVE)</v>
      </c>
      <c r="AF74" s="279" t="str">
        <f t="shared" si="89"/>
        <v>A82. Headrest, FRONT - LEFT (ACTIVE)</v>
      </c>
      <c r="AG74" s="279" t="str">
        <f t="shared" si="90"/>
        <v>A82.+Headrest,+FRONT+-+LEFT+(ACTIVE)</v>
      </c>
      <c r="AH74" s="279" t="str">
        <f t="shared" si="91"/>
        <v>A82.+Headrest%2C+FRONT+-+LEFT+(ACTIVE)</v>
      </c>
      <c r="AI74" s="279" t="str">
        <f t="shared" si="92"/>
        <v>A82.+Headrest%2C+FRONT+-+LEFT+(ACTIVE)</v>
      </c>
      <c r="AJ74" s="279" t="str">
        <f t="shared" si="93"/>
        <v>A82.+Headrest%2C+FRONT+-+LEFT+(ACTIVE)</v>
      </c>
      <c r="AK74" s="279" t="str">
        <f t="shared" si="94"/>
        <v>A82.+Headrest%2C+FRONT+-+LEFT+(ACTIVE)</v>
      </c>
      <c r="AL74" s="279" t="str">
        <f t="shared" si="95"/>
        <v>A82.+Headrest%2C+FRONT+-+LEFT+(ACTIVE)</v>
      </c>
      <c r="AM74" s="279" t="str">
        <f t="shared" si="96"/>
        <v>A82.+Headrest%2C+FRONT+-+LEFT+(ACTIVE)</v>
      </c>
      <c r="AN74" s="279" t="str">
        <f t="shared" si="64"/>
        <v>A82.+Headrest%2C+FRONT+-+LEFT+(ACTIVE)</v>
      </c>
      <c r="AO74" s="279" t="str">
        <f t="shared" si="97"/>
        <v>A82.+Headrest%2C+FRONT+-+LEFT+(ACTIVE)</v>
      </c>
      <c r="AP74" s="279" t="str">
        <f t="shared" si="98"/>
        <v>A82.+Headrest%2C+FRONT+-+LEFT+(ACTIVE)</v>
      </c>
      <c r="AQ74" s="280" t="s">
        <v>1395</v>
      </c>
      <c r="AR74" s="280" t="s">
        <v>1396</v>
      </c>
      <c r="AS74" s="280" t="s">
        <v>1397</v>
      </c>
      <c r="AT74" s="280" t="s">
        <v>1398</v>
      </c>
      <c r="AU74" s="280" t="s">
        <v>1399</v>
      </c>
      <c r="AV74" s="280" t="s">
        <v>1400</v>
      </c>
      <c r="AW74" s="280" t="s">
        <v>1401</v>
      </c>
      <c r="AX74" s="280" t="s">
        <v>1402</v>
      </c>
      <c r="AY74" s="280" t="s">
        <v>1403</v>
      </c>
      <c r="AZ74" s="280" t="s">
        <v>1404</v>
      </c>
      <c r="BA74" s="280" t="s">
        <v>1405</v>
      </c>
      <c r="BB74" s="280" t="s">
        <v>1406</v>
      </c>
      <c r="BC74" s="280" t="s">
        <v>1419</v>
      </c>
      <c r="BD74" s="280" t="s">
        <v>1407</v>
      </c>
      <c r="BE74" s="280" t="s">
        <v>1408</v>
      </c>
      <c r="BF74" s="280" t="s">
        <v>1409</v>
      </c>
      <c r="BG74" s="280" t="s">
        <v>1410</v>
      </c>
      <c r="BH74" s="280" t="s">
        <v>1411</v>
      </c>
      <c r="BI74" s="280" t="s">
        <v>1412</v>
      </c>
      <c r="BJ74" s="280" t="s">
        <v>1413</v>
      </c>
      <c r="BK74" s="280" t="s">
        <v>1414</v>
      </c>
      <c r="BL74" s="280" t="s">
        <v>1415</v>
      </c>
      <c r="BM74" s="280" t="s">
        <v>1416</v>
      </c>
      <c r="BN74" s="280" t="s">
        <v>1417</v>
      </c>
      <c r="BO74" s="280" t="s">
        <v>1418</v>
      </c>
      <c r="BP74" s="280" t="s">
        <v>1420</v>
      </c>
      <c r="BQ74" s="134" t="str">
        <f t="shared" si="65"/>
        <v>Pic Example</v>
      </c>
    </row>
    <row r="75" spans="2:69" x14ac:dyDescent="0.25">
      <c r="B75" t="s">
        <v>985</v>
      </c>
      <c r="C75" s="279" t="str">
        <f t="shared" si="99"/>
        <v>https://viking-pictures.s3.us-west-1.amazonaws.com/AA1155/A83.+Headlight%2C+FRONT+-+LEFT+(1).JPG|https://viking-pictures.s3.us-west-1.amazonaws.com/AA1155/A83.+Headlight%2C+FRONT+-+LEFT+(2).JPG|https://viking-pictures.s3.us-west-1.amazonaws.com/AA1155/A83.+Headlight%2C+FRONT+-+LEFT+(3).JPG|https://viking-pictures.s3.us-west-1.amazonaws.com/AA1155/A83.+Headlight%2C+FRONT+-+LEFT+(4).JPG|https://viking-pictures.s3.us-west-1.amazonaws.com/AA1155/A83.+Headlight%2C+FRONT+-+LEFT+(5).JPG</v>
      </c>
      <c r="D75" s="281">
        <f>_xlfn.XLOOKUP(B75,'3. Keep &amp; Toss Items'!O:O,'3. Keep &amp; Toss Items'!U:U,"NOT FOUND",0,1)</f>
        <v>5</v>
      </c>
      <c r="E75" s="279" t="str">
        <f t="shared" si="63"/>
        <v>https://viking-pictures.s3.us-west-1.amazonaws.com/AA1155/A83.+Headlight%2C+FRONT+-+LEFT+(1).JPG</v>
      </c>
      <c r="F75" s="279" t="str">
        <f t="shared" si="66"/>
        <v>https://viking-pictures.s3.us-west-1.amazonaws.com/AA1155/A83.+Headlight%2C+FRONT+-+LEFT+(2).JPG</v>
      </c>
      <c r="G75" s="279" t="str">
        <f t="shared" si="67"/>
        <v>https://viking-pictures.s3.us-west-1.amazonaws.com/AA1155/A83.+Headlight%2C+FRONT+-+LEFT+(3).JPG</v>
      </c>
      <c r="H75" s="279" t="str">
        <f t="shared" si="68"/>
        <v>https://viking-pictures.s3.us-west-1.amazonaws.com/AA1155/A83.+Headlight%2C+FRONT+-+LEFT+(4).JPG</v>
      </c>
      <c r="I75" s="279" t="str">
        <f t="shared" si="69"/>
        <v>https://viking-pictures.s3.us-west-1.amazonaws.com/AA1155/A83.+Headlight%2C+FRONT+-+LEFT+(5).JPG</v>
      </c>
      <c r="J75" s="279" t="str">
        <f t="shared" si="70"/>
        <v/>
      </c>
      <c r="K75" s="279" t="str">
        <f t="shared" si="71"/>
        <v/>
      </c>
      <c r="L75" s="279" t="str">
        <f t="shared" si="71"/>
        <v/>
      </c>
      <c r="M75" s="279" t="str">
        <f t="shared" si="72"/>
        <v/>
      </c>
      <c r="N75" s="279" t="str">
        <f t="shared" si="73"/>
        <v/>
      </c>
      <c r="O75" s="279" t="str">
        <f t="shared" si="74"/>
        <v/>
      </c>
      <c r="P75" s="279" t="str">
        <f t="shared" si="75"/>
        <v/>
      </c>
      <c r="Q75" s="279" t="str">
        <f t="shared" si="76"/>
        <v/>
      </c>
      <c r="R75" s="279" t="str">
        <f t="shared" si="77"/>
        <v/>
      </c>
      <c r="S75" s="279" t="str">
        <f t="shared" si="78"/>
        <v/>
      </c>
      <c r="T75" s="279" t="str">
        <f t="shared" si="79"/>
        <v/>
      </c>
      <c r="U75" s="279" t="str">
        <f t="shared" si="80"/>
        <v/>
      </c>
      <c r="V75" s="279" t="str">
        <f t="shared" si="81"/>
        <v/>
      </c>
      <c r="W75" s="279" t="str">
        <f t="shared" si="82"/>
        <v/>
      </c>
      <c r="X75" s="279" t="str">
        <f t="shared" si="83"/>
        <v/>
      </c>
      <c r="Y75" s="279" t="str">
        <f t="shared" si="84"/>
        <v/>
      </c>
      <c r="Z75" s="279" t="str">
        <f t="shared" si="85"/>
        <v/>
      </c>
      <c r="AA75" s="279" t="str">
        <f t="shared" si="86"/>
        <v/>
      </c>
      <c r="AB75" s="279" t="str">
        <f t="shared" si="87"/>
        <v/>
      </c>
      <c r="AC75" s="104" t="s">
        <v>1382</v>
      </c>
      <c r="AD75" s="279" t="str">
        <f t="shared" si="88"/>
        <v>A83.+Headlight%2C+FRONT+-+LEFT</v>
      </c>
      <c r="AE75" s="279" t="str">
        <f>_xlfn.XLOOKUP(B75,'3. Keep &amp; Toss Items'!O:O,'3. Keep &amp; Toss Items'!Q:Q,"NOT FOUND",0,1)</f>
        <v>A83. Headlight, FRONT - LEFT</v>
      </c>
      <c r="AF75" s="279" t="str">
        <f t="shared" si="89"/>
        <v>A83. Headlight, FRONT - LEFT</v>
      </c>
      <c r="AG75" s="279" t="str">
        <f t="shared" si="90"/>
        <v>A83.+Headlight,+FRONT+-+LEFT</v>
      </c>
      <c r="AH75" s="279" t="str">
        <f t="shared" si="91"/>
        <v>A83.+Headlight%2C+FRONT+-+LEFT</v>
      </c>
      <c r="AI75" s="279" t="str">
        <f t="shared" si="92"/>
        <v>A83.+Headlight%2C+FRONT+-+LEFT</v>
      </c>
      <c r="AJ75" s="279" t="str">
        <f t="shared" si="93"/>
        <v>A83.+Headlight%2C+FRONT+-+LEFT</v>
      </c>
      <c r="AK75" s="279" t="str">
        <f t="shared" si="94"/>
        <v>A83.+Headlight%2C+FRONT+-+LEFT</v>
      </c>
      <c r="AL75" s="279" t="str">
        <f t="shared" si="95"/>
        <v>A83.+Headlight%2C+FRONT+-+LEFT</v>
      </c>
      <c r="AM75" s="279" t="str">
        <f t="shared" si="96"/>
        <v>A83.+Headlight%2C+FRONT+-+LEFT</v>
      </c>
      <c r="AN75" s="279" t="str">
        <f t="shared" si="64"/>
        <v>A83.+Headlight%2C+FRONT+-+LEFT</v>
      </c>
      <c r="AO75" s="279" t="str">
        <f t="shared" si="97"/>
        <v>A83.+Headlight%2C+FRONT+-+LEFT</v>
      </c>
      <c r="AP75" s="279" t="str">
        <f t="shared" si="98"/>
        <v>A83.+Headlight%2C+FRONT+-+LEFT</v>
      </c>
      <c r="AQ75" s="280" t="s">
        <v>1395</v>
      </c>
      <c r="AR75" s="280" t="s">
        <v>1396</v>
      </c>
      <c r="AS75" s="280" t="s">
        <v>1397</v>
      </c>
      <c r="AT75" s="280" t="s">
        <v>1398</v>
      </c>
      <c r="AU75" s="280" t="s">
        <v>1399</v>
      </c>
      <c r="AV75" s="280" t="s">
        <v>1400</v>
      </c>
      <c r="AW75" s="280" t="s">
        <v>1401</v>
      </c>
      <c r="AX75" s="280" t="s">
        <v>1402</v>
      </c>
      <c r="AY75" s="280" t="s">
        <v>1403</v>
      </c>
      <c r="AZ75" s="280" t="s">
        <v>1404</v>
      </c>
      <c r="BA75" s="280" t="s">
        <v>1405</v>
      </c>
      <c r="BB75" s="280" t="s">
        <v>1406</v>
      </c>
      <c r="BC75" s="280" t="s">
        <v>1419</v>
      </c>
      <c r="BD75" s="280" t="s">
        <v>1407</v>
      </c>
      <c r="BE75" s="280" t="s">
        <v>1408</v>
      </c>
      <c r="BF75" s="280" t="s">
        <v>1409</v>
      </c>
      <c r="BG75" s="280" t="s">
        <v>1410</v>
      </c>
      <c r="BH75" s="280" t="s">
        <v>1411</v>
      </c>
      <c r="BI75" s="280" t="s">
        <v>1412</v>
      </c>
      <c r="BJ75" s="280" t="s">
        <v>1413</v>
      </c>
      <c r="BK75" s="280" t="s">
        <v>1414</v>
      </c>
      <c r="BL75" s="280" t="s">
        <v>1415</v>
      </c>
      <c r="BM75" s="280" t="s">
        <v>1416</v>
      </c>
      <c r="BN75" s="280" t="s">
        <v>1417</v>
      </c>
      <c r="BO75" s="280" t="s">
        <v>1418</v>
      </c>
      <c r="BP75" s="280" t="s">
        <v>1420</v>
      </c>
      <c r="BQ75" s="134" t="str">
        <f t="shared" si="65"/>
        <v>Pic Example</v>
      </c>
    </row>
    <row r="76" spans="2:69" x14ac:dyDescent="0.25">
      <c r="B76" t="s">
        <v>986</v>
      </c>
      <c r="C76" s="279" t="str">
        <f t="shared" si="99"/>
        <v>https://viking-pictures.s3.us-west-1.amazonaws.com/AA1155/NOT+FOUND+(1).JPG|https://viking-pictures.s3.us-west-1.amazonaws.com/AA1155/NOT+FOUND+(2).JPG|https://viking-pictures.s3.us-west-1.amazonaws.com/AA1155/NOT+FOUND+(3).JPG|https://viking-pictures.s3.us-west-1.amazonaws.com/AA1155/NOT+FOUND+(4).JPG|https://viking-pictures.s3.us-west-1.amazonaws.com/AA1155/NOT+FOUND+(5).JPG|https://viking-pictures.s3.us-west-1.amazonaws.com/AA1155/NOT+FOUND+(6).JPG|https://viking-pictures.s3.us-west-1.amazonaws.com/AA1155/NOT+FOUND+(7).JPG|https://viking-pictures.s3.us-west-1.amazonaws.com/AA1155/NOT+FOUND+(8).JPG|https://viking-pictures.s3.us-west-1.amazonaws.com/AA1155/NOT+FOUND+(9).JPG|https://viking-pictures.s3.us-west-1.amazonaws.com/AA1155/NOT+FOUND+(10).JPG|https://viking-pictures.s3.us-west-1.amazonaws.com/AA1155/NOT+FOUND+(11).JPG|https://viking-pictures.s3.us-west-1.amazonaws.com/AA1155/NOT+FOUND+(12).JPG|https://viking-pictures.s3.us-west-1.amazonaws.com/AA1155/NOT+FOUND+(13).JPG|https://viking-pictures.s3.us-west-1.amazonaws.com/AA1155/NOT+FOUND+(14).JPG|https://viking-pictures.s3.us-west-1.amazonaws.com/AA1155/NOT+FOUND+(15).JPG|https://viking-pictures.s3.us-west-1.amazonaws.com/AA1155/NOT+FOUND+(16).JPG|https://viking-pictures.s3.us-west-1.amazonaws.com/AA1155/NOT+FOUND+(17).JPG|https://viking-pictures.s3.us-west-1.amazonaws.com/AA1155/NOT+FOUND+(18).JPG|https://viking-pictures.s3.us-west-1.amazonaws.com/AA1155/NOT+FOUND+(19).JPG|https://viking-pictures.s3.us-west-1.amazonaws.com/AA1155/NOT+FOUND+(20).JPG|https://viking-pictures.s3.us-west-1.amazonaws.com/AA1155/NOT+FOUND+(21).JPG|https://viking-pictures.s3.us-west-1.amazonaws.com/AA1155/NOT+FOUND+(22).JPG|https://viking-pictures.s3.us-west-1.amazonaws.com/AA1155/NOT+FOUND+(23).JPG|https://viking-pictures.s3.us-west-1.amazonaws.com/AA1155/NOT+FOUND+(24).JPG</v>
      </c>
      <c r="D76" s="281" t="str">
        <f>_xlfn.XLOOKUP(B76,'3. Keep &amp; Toss Items'!O:O,'3. Keep &amp; Toss Items'!U:U,"NOT FOUND",0,1)</f>
        <v>NOT FOUND</v>
      </c>
      <c r="E76" s="279" t="str">
        <f t="shared" si="63"/>
        <v>https://viking-pictures.s3.us-west-1.amazonaws.com/AA1155/NOT+FOUND+(1).JPG</v>
      </c>
      <c r="F76" s="279" t="str">
        <f t="shared" si="66"/>
        <v>https://viking-pictures.s3.us-west-1.amazonaws.com/AA1155/NOT+FOUND+(2).JPG</v>
      </c>
      <c r="G76" s="279" t="str">
        <f t="shared" si="67"/>
        <v>https://viking-pictures.s3.us-west-1.amazonaws.com/AA1155/NOT+FOUND+(3).JPG</v>
      </c>
      <c r="H76" s="279" t="str">
        <f t="shared" si="68"/>
        <v>https://viking-pictures.s3.us-west-1.amazonaws.com/AA1155/NOT+FOUND+(4).JPG</v>
      </c>
      <c r="I76" s="279" t="str">
        <f t="shared" si="69"/>
        <v>https://viking-pictures.s3.us-west-1.amazonaws.com/AA1155/NOT+FOUND+(5).JPG</v>
      </c>
      <c r="J76" s="279" t="str">
        <f t="shared" si="70"/>
        <v>https://viking-pictures.s3.us-west-1.amazonaws.com/AA1155/NOT+FOUND+(6).JPG</v>
      </c>
      <c r="K76" s="279" t="str">
        <f t="shared" si="71"/>
        <v>https://viking-pictures.s3.us-west-1.amazonaws.com/AA1155/NOT+FOUND+(7).JPG</v>
      </c>
      <c r="L76" s="279" t="str">
        <f t="shared" si="71"/>
        <v>https://viking-pictures.s3.us-west-1.amazonaws.com/AA1155/NOT+FOUND+(8).JPG</v>
      </c>
      <c r="M76" s="279" t="str">
        <f t="shared" si="72"/>
        <v>https://viking-pictures.s3.us-west-1.amazonaws.com/AA1155/NOT+FOUND+(9).JPG</v>
      </c>
      <c r="N76" s="279" t="str">
        <f t="shared" si="73"/>
        <v>https://viking-pictures.s3.us-west-1.amazonaws.com/AA1155/NOT+FOUND+(10).JPG</v>
      </c>
      <c r="O76" s="279" t="str">
        <f t="shared" si="74"/>
        <v>https://viking-pictures.s3.us-west-1.amazonaws.com/AA1155/NOT+FOUND+(11).JPG</v>
      </c>
      <c r="P76" s="279" t="str">
        <f t="shared" si="75"/>
        <v>https://viking-pictures.s3.us-west-1.amazonaws.com/AA1155/NOT+FOUND+(12).JPG</v>
      </c>
      <c r="Q76" s="279" t="str">
        <f t="shared" si="76"/>
        <v>https://viking-pictures.s3.us-west-1.amazonaws.com/AA1155/NOT+FOUND+(13).JPG</v>
      </c>
      <c r="R76" s="279" t="str">
        <f t="shared" si="77"/>
        <v>https://viking-pictures.s3.us-west-1.amazonaws.com/AA1155/NOT+FOUND+(14).JPG</v>
      </c>
      <c r="S76" s="279" t="str">
        <f t="shared" si="78"/>
        <v>https://viking-pictures.s3.us-west-1.amazonaws.com/AA1155/NOT+FOUND+(15).JPG</v>
      </c>
      <c r="T76" s="279" t="str">
        <f t="shared" si="79"/>
        <v>https://viking-pictures.s3.us-west-1.amazonaws.com/AA1155/NOT+FOUND+(16).JPG</v>
      </c>
      <c r="U76" s="279" t="str">
        <f t="shared" si="80"/>
        <v>https://viking-pictures.s3.us-west-1.amazonaws.com/AA1155/NOT+FOUND+(17).JPG</v>
      </c>
      <c r="V76" s="279" t="str">
        <f t="shared" si="81"/>
        <v>https://viking-pictures.s3.us-west-1.amazonaws.com/AA1155/NOT+FOUND+(18).JPG</v>
      </c>
      <c r="W76" s="279" t="str">
        <f t="shared" si="82"/>
        <v>https://viking-pictures.s3.us-west-1.amazonaws.com/AA1155/NOT+FOUND+(19).JPG</v>
      </c>
      <c r="X76" s="279" t="str">
        <f t="shared" si="83"/>
        <v>https://viking-pictures.s3.us-west-1.amazonaws.com/AA1155/NOT+FOUND+(20).JPG</v>
      </c>
      <c r="Y76" s="279" t="str">
        <f t="shared" si="84"/>
        <v>https://viking-pictures.s3.us-west-1.amazonaws.com/AA1155/NOT+FOUND+(21).JPG</v>
      </c>
      <c r="Z76" s="279" t="str">
        <f t="shared" si="85"/>
        <v>https://viking-pictures.s3.us-west-1.amazonaws.com/AA1155/NOT+FOUND+(22).JPG</v>
      </c>
      <c r="AA76" s="279" t="str">
        <f t="shared" si="86"/>
        <v>https://viking-pictures.s3.us-west-1.amazonaws.com/AA1155/NOT+FOUND+(23).JPG</v>
      </c>
      <c r="AB76" s="279" t="str">
        <f t="shared" si="87"/>
        <v>https://viking-pictures.s3.us-west-1.amazonaws.com/AA1155/NOT+FOUND+(24).JPG</v>
      </c>
      <c r="AC76" s="104" t="s">
        <v>1382</v>
      </c>
      <c r="AD76" s="279" t="str">
        <f t="shared" si="88"/>
        <v>NOT+FOUND</v>
      </c>
      <c r="AE76" s="279" t="str">
        <f>_xlfn.XLOOKUP(B76,'3. Keep &amp; Toss Items'!O:O,'3. Keep &amp; Toss Items'!Q:Q,"NOT FOUND",0,1)</f>
        <v>NOT FOUND</v>
      </c>
      <c r="AF76" s="279" t="str">
        <f t="shared" si="89"/>
        <v>NOT FOUND</v>
      </c>
      <c r="AG76" s="279" t="str">
        <f t="shared" si="90"/>
        <v>NOT+FOUND</v>
      </c>
      <c r="AH76" s="279" t="str">
        <f t="shared" si="91"/>
        <v>NOT+FOUND</v>
      </c>
      <c r="AI76" s="279" t="str">
        <f t="shared" si="92"/>
        <v>NOT+FOUND</v>
      </c>
      <c r="AJ76" s="279" t="str">
        <f t="shared" si="93"/>
        <v>NOT+FOUND</v>
      </c>
      <c r="AK76" s="279" t="str">
        <f t="shared" si="94"/>
        <v>NOT+FOUND</v>
      </c>
      <c r="AL76" s="279" t="str">
        <f t="shared" si="95"/>
        <v>NOT+FOUND</v>
      </c>
      <c r="AM76" s="279" t="str">
        <f t="shared" si="96"/>
        <v>NOT+FOUND</v>
      </c>
      <c r="AN76" s="279" t="str">
        <f t="shared" si="64"/>
        <v>NOT+FOUND</v>
      </c>
      <c r="AO76" s="279" t="str">
        <f t="shared" si="97"/>
        <v>NOT+FOUND</v>
      </c>
      <c r="AP76" s="279" t="str">
        <f t="shared" si="98"/>
        <v>NOT+FOUND</v>
      </c>
      <c r="AQ76" s="280" t="s">
        <v>1395</v>
      </c>
      <c r="AR76" s="280" t="s">
        <v>1396</v>
      </c>
      <c r="AS76" s="280" t="s">
        <v>1397</v>
      </c>
      <c r="AT76" s="280" t="s">
        <v>1398</v>
      </c>
      <c r="AU76" s="280" t="s">
        <v>1399</v>
      </c>
      <c r="AV76" s="280" t="s">
        <v>1400</v>
      </c>
      <c r="AW76" s="280" t="s">
        <v>1401</v>
      </c>
      <c r="AX76" s="280" t="s">
        <v>1402</v>
      </c>
      <c r="AY76" s="280" t="s">
        <v>1403</v>
      </c>
      <c r="AZ76" s="280" t="s">
        <v>1404</v>
      </c>
      <c r="BA76" s="280" t="s">
        <v>1405</v>
      </c>
      <c r="BB76" s="280" t="s">
        <v>1406</v>
      </c>
      <c r="BC76" s="280" t="s">
        <v>1419</v>
      </c>
      <c r="BD76" s="280" t="s">
        <v>1407</v>
      </c>
      <c r="BE76" s="280" t="s">
        <v>1408</v>
      </c>
      <c r="BF76" s="280" t="s">
        <v>1409</v>
      </c>
      <c r="BG76" s="280" t="s">
        <v>1410</v>
      </c>
      <c r="BH76" s="280" t="s">
        <v>1411</v>
      </c>
      <c r="BI76" s="280" t="s">
        <v>1412</v>
      </c>
      <c r="BJ76" s="280" t="s">
        <v>1413</v>
      </c>
      <c r="BK76" s="280" t="s">
        <v>1414</v>
      </c>
      <c r="BL76" s="280" t="s">
        <v>1415</v>
      </c>
      <c r="BM76" s="280" t="s">
        <v>1416</v>
      </c>
      <c r="BN76" s="280" t="s">
        <v>1417</v>
      </c>
      <c r="BO76" s="280" t="s">
        <v>1418</v>
      </c>
      <c r="BP76" s="280" t="s">
        <v>1420</v>
      </c>
      <c r="BQ76" s="134" t="str">
        <f t="shared" si="65"/>
        <v>Pic Example</v>
      </c>
    </row>
    <row r="77" spans="2:69" x14ac:dyDescent="0.25">
      <c r="B77" t="s">
        <v>987</v>
      </c>
      <c r="C77" s="279" t="str">
        <f t="shared" si="99"/>
        <v>https://viking-pictures.s3.us-west-1.amazonaws.com/AA1155/A85.+Glove+Box+Assembly+WITH+Handle%2C+FRONT+RIGHT+PRIMARY+(1).JPG|https://viking-pictures.s3.us-west-1.amazonaws.com/AA1155/A85.+Glove+Box+Assembly+WITH+Handle%2C+FRONT+RIGHT+PRIMARY+(2).JPG|https://viking-pictures.s3.us-west-1.amazonaws.com/AA1155/A85.+Glove+Box+Assembly+WITH+Handle%2C+FRONT+RIGHT+PRIMARY+(3).JPG|https://viking-pictures.s3.us-west-1.amazonaws.com/AA1155/A85.+Glove+Box+Assembly+WITH+Handle%2C+FRONT+RIGHT+PRIMARY+(4).JPG|https://viking-pictures.s3.us-west-1.amazonaws.com/AA1155/A85.+Glove+Box+Assembly+WITH+Handle%2C+FRONT+RIGHT+PRIMARY+(5).JPG</v>
      </c>
      <c r="D77" s="281">
        <f>_xlfn.XLOOKUP(B77,'3. Keep &amp; Toss Items'!O:O,'3. Keep &amp; Toss Items'!U:U,"NOT FOUND",0,1)</f>
        <v>5</v>
      </c>
      <c r="E77" s="279" t="str">
        <f t="shared" si="63"/>
        <v>https://viking-pictures.s3.us-west-1.amazonaws.com/AA1155/A85.+Glove+Box+Assembly+WITH+Handle%2C+FRONT+RIGHT+PRIMARY+(1).JPG</v>
      </c>
      <c r="F77" s="279" t="str">
        <f t="shared" si="66"/>
        <v>https://viking-pictures.s3.us-west-1.amazonaws.com/AA1155/A85.+Glove+Box+Assembly+WITH+Handle%2C+FRONT+RIGHT+PRIMARY+(2).JPG</v>
      </c>
      <c r="G77" s="279" t="str">
        <f t="shared" si="67"/>
        <v>https://viking-pictures.s3.us-west-1.amazonaws.com/AA1155/A85.+Glove+Box+Assembly+WITH+Handle%2C+FRONT+RIGHT+PRIMARY+(3).JPG</v>
      </c>
      <c r="H77" s="279" t="str">
        <f t="shared" si="68"/>
        <v>https://viking-pictures.s3.us-west-1.amazonaws.com/AA1155/A85.+Glove+Box+Assembly+WITH+Handle%2C+FRONT+RIGHT+PRIMARY+(4).JPG</v>
      </c>
      <c r="I77" s="279" t="str">
        <f t="shared" si="69"/>
        <v>https://viking-pictures.s3.us-west-1.amazonaws.com/AA1155/A85.+Glove+Box+Assembly+WITH+Handle%2C+FRONT+RIGHT+PRIMARY+(5).JPG</v>
      </c>
      <c r="J77" s="279" t="str">
        <f t="shared" si="70"/>
        <v/>
      </c>
      <c r="K77" s="279" t="str">
        <f t="shared" si="71"/>
        <v/>
      </c>
      <c r="L77" s="279" t="str">
        <f t="shared" si="71"/>
        <v/>
      </c>
      <c r="M77" s="279" t="str">
        <f t="shared" si="72"/>
        <v/>
      </c>
      <c r="N77" s="279" t="str">
        <f t="shared" si="73"/>
        <v/>
      </c>
      <c r="O77" s="279" t="str">
        <f t="shared" si="74"/>
        <v/>
      </c>
      <c r="P77" s="279" t="str">
        <f t="shared" si="75"/>
        <v/>
      </c>
      <c r="Q77" s="279" t="str">
        <f t="shared" si="76"/>
        <v/>
      </c>
      <c r="R77" s="279" t="str">
        <f t="shared" si="77"/>
        <v/>
      </c>
      <c r="S77" s="279" t="str">
        <f t="shared" si="78"/>
        <v/>
      </c>
      <c r="T77" s="279" t="str">
        <f t="shared" si="79"/>
        <v/>
      </c>
      <c r="U77" s="279" t="str">
        <f t="shared" si="80"/>
        <v/>
      </c>
      <c r="V77" s="279" t="str">
        <f t="shared" si="81"/>
        <v/>
      </c>
      <c r="W77" s="279" t="str">
        <f t="shared" si="82"/>
        <v/>
      </c>
      <c r="X77" s="279" t="str">
        <f t="shared" si="83"/>
        <v/>
      </c>
      <c r="Y77" s="279" t="str">
        <f t="shared" si="84"/>
        <v/>
      </c>
      <c r="Z77" s="279" t="str">
        <f t="shared" si="85"/>
        <v/>
      </c>
      <c r="AA77" s="279" t="str">
        <f t="shared" si="86"/>
        <v/>
      </c>
      <c r="AB77" s="279" t="str">
        <f t="shared" si="87"/>
        <v/>
      </c>
      <c r="AC77" s="104" t="s">
        <v>1382</v>
      </c>
      <c r="AD77" s="279" t="str">
        <f t="shared" si="88"/>
        <v>A85.+Glove+Box+Assembly+WITH+Handle%2C+FRONT+RIGHT+PRIMARY</v>
      </c>
      <c r="AE77" s="279" t="str">
        <f>_xlfn.XLOOKUP(B77,'3. Keep &amp; Toss Items'!O:O,'3. Keep &amp; Toss Items'!Q:Q,"NOT FOUND",0,1)</f>
        <v>A85. Glove Box Assembly WITH Handle, FRONT RIGHT PRIMARY</v>
      </c>
      <c r="AF77" s="279" t="str">
        <f t="shared" si="89"/>
        <v>A85. Glove Box Assembly WITH Handle, FRONT RIGHT PRIMARY</v>
      </c>
      <c r="AG77" s="279" t="str">
        <f t="shared" si="90"/>
        <v>A85.+Glove+Box+Assembly+WITH+Handle,+FRONT+RIGHT+PRIMARY</v>
      </c>
      <c r="AH77" s="279" t="str">
        <f t="shared" si="91"/>
        <v>A85.+Glove+Box+Assembly+WITH+Handle%2C+FRONT+RIGHT+PRIMARY</v>
      </c>
      <c r="AI77" s="279" t="str">
        <f t="shared" si="92"/>
        <v>A85.+Glove+Box+Assembly+WITH+Handle%2C+FRONT+RIGHT+PRIMARY</v>
      </c>
      <c r="AJ77" s="279" t="str">
        <f t="shared" si="93"/>
        <v>A85.+Glove+Box+Assembly+WITH+Handle%2C+FRONT+RIGHT+PRIMARY</v>
      </c>
      <c r="AK77" s="279" t="str">
        <f t="shared" si="94"/>
        <v>A85.+Glove+Box+Assembly+WITH+Handle%2C+FRONT+RIGHT+PRIMARY</v>
      </c>
      <c r="AL77" s="279" t="str">
        <f t="shared" si="95"/>
        <v>A85.+Glove+Box+Assembly+WITH+Handle%2C+FRONT+RIGHT+PRIMARY</v>
      </c>
      <c r="AM77" s="279" t="str">
        <f t="shared" si="96"/>
        <v>A85.+Glove+Box+Assembly+WITH+Handle%2C+FRONT+RIGHT+PRIMARY</v>
      </c>
      <c r="AN77" s="279" t="str">
        <f t="shared" si="64"/>
        <v>A85.+Glove+Box+Assembly+WITH+Handle%2C+FRONT+RIGHT+PRIMARY</v>
      </c>
      <c r="AO77" s="279" t="str">
        <f t="shared" si="97"/>
        <v>A85.+Glove+Box+Assembly+WITH+Handle%2C+FRONT+RIGHT+PRIMARY</v>
      </c>
      <c r="AP77" s="279" t="str">
        <f t="shared" si="98"/>
        <v>A85.+Glove+Box+Assembly+WITH+Handle%2C+FRONT+RIGHT+PRIMARY</v>
      </c>
      <c r="AQ77" s="280" t="s">
        <v>1395</v>
      </c>
      <c r="AR77" s="280" t="s">
        <v>1396</v>
      </c>
      <c r="AS77" s="280" t="s">
        <v>1397</v>
      </c>
      <c r="AT77" s="280" t="s">
        <v>1398</v>
      </c>
      <c r="AU77" s="280" t="s">
        <v>1399</v>
      </c>
      <c r="AV77" s="280" t="s">
        <v>1400</v>
      </c>
      <c r="AW77" s="280" t="s">
        <v>1401</v>
      </c>
      <c r="AX77" s="280" t="s">
        <v>1402</v>
      </c>
      <c r="AY77" s="280" t="s">
        <v>1403</v>
      </c>
      <c r="AZ77" s="280" t="s">
        <v>1404</v>
      </c>
      <c r="BA77" s="280" t="s">
        <v>1405</v>
      </c>
      <c r="BB77" s="280" t="s">
        <v>1406</v>
      </c>
      <c r="BC77" s="280" t="s">
        <v>1419</v>
      </c>
      <c r="BD77" s="280" t="s">
        <v>1407</v>
      </c>
      <c r="BE77" s="280" t="s">
        <v>1408</v>
      </c>
      <c r="BF77" s="280" t="s">
        <v>1409</v>
      </c>
      <c r="BG77" s="280" t="s">
        <v>1410</v>
      </c>
      <c r="BH77" s="280" t="s">
        <v>1411</v>
      </c>
      <c r="BI77" s="280" t="s">
        <v>1412</v>
      </c>
      <c r="BJ77" s="280" t="s">
        <v>1413</v>
      </c>
      <c r="BK77" s="280" t="s">
        <v>1414</v>
      </c>
      <c r="BL77" s="280" t="s">
        <v>1415</v>
      </c>
      <c r="BM77" s="280" t="s">
        <v>1416</v>
      </c>
      <c r="BN77" s="280" t="s">
        <v>1417</v>
      </c>
      <c r="BO77" s="280" t="s">
        <v>1418</v>
      </c>
      <c r="BP77" s="280" t="s">
        <v>1420</v>
      </c>
      <c r="BQ77" s="134" t="str">
        <f t="shared" si="65"/>
        <v>Pic Example</v>
      </c>
    </row>
    <row r="78" spans="2:69" x14ac:dyDescent="0.25">
      <c r="B78" t="s">
        <v>988</v>
      </c>
      <c r="C78" s="279" t="str">
        <f t="shared" si="99"/>
        <v>https://viking-pictures.s3.us-west-1.amazonaws.com/AA1155/A86.+Seat+Cushions%2C+FRONT+RIGHT+-+UPPER+(1).JPG|https://viking-pictures.s3.us-west-1.amazonaws.com/AA1155/A86.+Seat+Cushions%2C+FRONT+RIGHT+-+UPPER+(2).JPG|https://viking-pictures.s3.us-west-1.amazonaws.com/AA1155/A86.+Seat+Cushions%2C+FRONT+RIGHT+-+UPPER+(3).JPG|https://viking-pictures.s3.us-west-1.amazonaws.com/AA1155/A86.+Seat+Cushions%2C+FRONT+RIGHT+-+UPPER+(4).JPG|https://viking-pictures.s3.us-west-1.amazonaws.com/AA1155/A86.+Seat+Cushions%2C+FRONT+RIGHT+-+UPPER+(5).JPG|https://viking-pictures.s3.us-west-1.amazonaws.com/AA1155/A86.+Seat+Cushions%2C+FRONT+RIGHT+-+UPPER+(6).JPG</v>
      </c>
      <c r="D78" s="281">
        <f>_xlfn.XLOOKUP(B78,'3. Keep &amp; Toss Items'!O:O,'3. Keep &amp; Toss Items'!U:U,"NOT FOUND",0,1)</f>
        <v>6</v>
      </c>
      <c r="E78" s="279" t="str">
        <f t="shared" si="63"/>
        <v>https://viking-pictures.s3.us-west-1.amazonaws.com/AA1155/A86.+Seat+Cushions%2C+FRONT+RIGHT+-+UPPER+(1).JPG</v>
      </c>
      <c r="F78" s="279" t="str">
        <f t="shared" si="66"/>
        <v>https://viking-pictures.s3.us-west-1.amazonaws.com/AA1155/A86.+Seat+Cushions%2C+FRONT+RIGHT+-+UPPER+(2).JPG</v>
      </c>
      <c r="G78" s="279" t="str">
        <f t="shared" si="67"/>
        <v>https://viking-pictures.s3.us-west-1.amazonaws.com/AA1155/A86.+Seat+Cushions%2C+FRONT+RIGHT+-+UPPER+(3).JPG</v>
      </c>
      <c r="H78" s="279" t="str">
        <f t="shared" si="68"/>
        <v>https://viking-pictures.s3.us-west-1.amazonaws.com/AA1155/A86.+Seat+Cushions%2C+FRONT+RIGHT+-+UPPER+(4).JPG</v>
      </c>
      <c r="I78" s="279" t="str">
        <f t="shared" si="69"/>
        <v>https://viking-pictures.s3.us-west-1.amazonaws.com/AA1155/A86.+Seat+Cushions%2C+FRONT+RIGHT+-+UPPER+(5).JPG</v>
      </c>
      <c r="J78" s="279" t="str">
        <f t="shared" si="70"/>
        <v>https://viking-pictures.s3.us-west-1.amazonaws.com/AA1155/A86.+Seat+Cushions%2C+FRONT+RIGHT+-+UPPER+(6).JPG</v>
      </c>
      <c r="K78" s="279" t="str">
        <f t="shared" si="71"/>
        <v/>
      </c>
      <c r="L78" s="279" t="str">
        <f t="shared" si="71"/>
        <v/>
      </c>
      <c r="M78" s="279" t="str">
        <f t="shared" si="72"/>
        <v/>
      </c>
      <c r="N78" s="279" t="str">
        <f t="shared" si="73"/>
        <v/>
      </c>
      <c r="O78" s="279" t="str">
        <f t="shared" si="74"/>
        <v/>
      </c>
      <c r="P78" s="279" t="str">
        <f t="shared" si="75"/>
        <v/>
      </c>
      <c r="Q78" s="279" t="str">
        <f t="shared" si="76"/>
        <v/>
      </c>
      <c r="R78" s="279" t="str">
        <f t="shared" si="77"/>
        <v/>
      </c>
      <c r="S78" s="279" t="str">
        <f t="shared" si="78"/>
        <v/>
      </c>
      <c r="T78" s="279" t="str">
        <f t="shared" si="79"/>
        <v/>
      </c>
      <c r="U78" s="279" t="str">
        <f t="shared" si="80"/>
        <v/>
      </c>
      <c r="V78" s="279" t="str">
        <f t="shared" si="81"/>
        <v/>
      </c>
      <c r="W78" s="279" t="str">
        <f t="shared" si="82"/>
        <v/>
      </c>
      <c r="X78" s="279" t="str">
        <f t="shared" si="83"/>
        <v/>
      </c>
      <c r="Y78" s="279" t="str">
        <f t="shared" si="84"/>
        <v/>
      </c>
      <c r="Z78" s="279" t="str">
        <f t="shared" si="85"/>
        <v/>
      </c>
      <c r="AA78" s="279" t="str">
        <f t="shared" si="86"/>
        <v/>
      </c>
      <c r="AB78" s="279" t="str">
        <f t="shared" si="87"/>
        <v/>
      </c>
      <c r="AC78" s="104" t="s">
        <v>1382</v>
      </c>
      <c r="AD78" s="279" t="str">
        <f t="shared" si="88"/>
        <v>A86.+Seat+Cushions%2C+FRONT+RIGHT+-+UPPER</v>
      </c>
      <c r="AE78" s="279" t="str">
        <f>_xlfn.XLOOKUP(B78,'3. Keep &amp; Toss Items'!O:O,'3. Keep &amp; Toss Items'!Q:Q,"NOT FOUND",0,1)</f>
        <v>A86. Seat Cushions, FRONT RIGHT - UPPER</v>
      </c>
      <c r="AF78" s="279" t="str">
        <f t="shared" si="89"/>
        <v>A86. Seat Cushions, FRONT RIGHT - UPPER</v>
      </c>
      <c r="AG78" s="279" t="str">
        <f t="shared" si="90"/>
        <v>A86.+Seat+Cushions,+FRONT+RIGHT+-+UPPER</v>
      </c>
      <c r="AH78" s="279" t="str">
        <f t="shared" si="91"/>
        <v>A86.+Seat+Cushions%2C+FRONT+RIGHT+-+UPPER</v>
      </c>
      <c r="AI78" s="279" t="str">
        <f t="shared" si="92"/>
        <v>A86.+Seat+Cushions%2C+FRONT+RIGHT+-+UPPER</v>
      </c>
      <c r="AJ78" s="279" t="str">
        <f t="shared" si="93"/>
        <v>A86.+Seat+Cushions%2C+FRONT+RIGHT+-+UPPER</v>
      </c>
      <c r="AK78" s="279" t="str">
        <f t="shared" si="94"/>
        <v>A86.+Seat+Cushions%2C+FRONT+RIGHT+-+UPPER</v>
      </c>
      <c r="AL78" s="279" t="str">
        <f t="shared" si="95"/>
        <v>A86.+Seat+Cushions%2C+FRONT+RIGHT+-+UPPER</v>
      </c>
      <c r="AM78" s="279" t="str">
        <f t="shared" si="96"/>
        <v>A86.+Seat+Cushions%2C+FRONT+RIGHT+-+UPPER</v>
      </c>
      <c r="AN78" s="279" t="str">
        <f t="shared" si="64"/>
        <v>A86.+Seat+Cushions%2C+FRONT+RIGHT+-+UPPER</v>
      </c>
      <c r="AO78" s="279" t="str">
        <f t="shared" si="97"/>
        <v>A86.+Seat+Cushions%2C+FRONT+RIGHT+-+UPPER</v>
      </c>
      <c r="AP78" s="279" t="str">
        <f t="shared" si="98"/>
        <v>A86.+Seat+Cushions%2C+FRONT+RIGHT+-+UPPER</v>
      </c>
      <c r="AQ78" s="280" t="s">
        <v>1395</v>
      </c>
      <c r="AR78" s="280" t="s">
        <v>1396</v>
      </c>
      <c r="AS78" s="280" t="s">
        <v>1397</v>
      </c>
      <c r="AT78" s="280" t="s">
        <v>1398</v>
      </c>
      <c r="AU78" s="280" t="s">
        <v>1399</v>
      </c>
      <c r="AV78" s="280" t="s">
        <v>1400</v>
      </c>
      <c r="AW78" s="280" t="s">
        <v>1401</v>
      </c>
      <c r="AX78" s="280" t="s">
        <v>1402</v>
      </c>
      <c r="AY78" s="280" t="s">
        <v>1403</v>
      </c>
      <c r="AZ78" s="280" t="s">
        <v>1404</v>
      </c>
      <c r="BA78" s="280" t="s">
        <v>1405</v>
      </c>
      <c r="BB78" s="280" t="s">
        <v>1406</v>
      </c>
      <c r="BC78" s="280" t="s">
        <v>1419</v>
      </c>
      <c r="BD78" s="280" t="s">
        <v>1407</v>
      </c>
      <c r="BE78" s="280" t="s">
        <v>1408</v>
      </c>
      <c r="BF78" s="280" t="s">
        <v>1409</v>
      </c>
      <c r="BG78" s="280" t="s">
        <v>1410</v>
      </c>
      <c r="BH78" s="280" t="s">
        <v>1411</v>
      </c>
      <c r="BI78" s="280" t="s">
        <v>1412</v>
      </c>
      <c r="BJ78" s="280" t="s">
        <v>1413</v>
      </c>
      <c r="BK78" s="280" t="s">
        <v>1414</v>
      </c>
      <c r="BL78" s="280" t="s">
        <v>1415</v>
      </c>
      <c r="BM78" s="280" t="s">
        <v>1416</v>
      </c>
      <c r="BN78" s="280" t="s">
        <v>1417</v>
      </c>
      <c r="BO78" s="280" t="s">
        <v>1418</v>
      </c>
      <c r="BP78" s="280" t="s">
        <v>1420</v>
      </c>
      <c r="BQ78" s="134" t="str">
        <f t="shared" si="65"/>
        <v>Pic Example</v>
      </c>
    </row>
    <row r="79" spans="2:69" x14ac:dyDescent="0.25">
      <c r="B79" t="s">
        <v>989</v>
      </c>
      <c r="C79" s="279" t="str">
        <f t="shared" si="99"/>
        <v>https://viking-pictures.s3.us-west-1.amazonaws.com/AA1155/A87.+Wheel%2C+FRONT+-+LEFT+or+RIGHT+(1).JPG|https://viking-pictures.s3.us-west-1.amazonaws.com/AA1155/A87.+Wheel%2C+FRONT+-+LEFT+or+RIGHT+(2).JPG|https://viking-pictures.s3.us-west-1.amazonaws.com/AA1155/A87.+Wheel%2C+FRONT+-+LEFT+or+RIGHT+(3).JPG|https://viking-pictures.s3.us-west-1.amazonaws.com/AA1155/A87.+Wheel%2C+FRONT+-+LEFT+or+RIGHT+(4).JPG|https://viking-pictures.s3.us-west-1.amazonaws.com/AA1155/A87.+Wheel%2C+FRONT+-+LEFT+or+RIGHT+(5).JPG|https://viking-pictures.s3.us-west-1.amazonaws.com/AA1155/A87.+Wheel%2C+FRONT+-+LEFT+or+RIGHT+(6).JPG|https://viking-pictures.s3.us-west-1.amazonaws.com/AA1155/A87.+Wheel%2C+FRONT+-+LEFT+or+RIGHT+(7).JPG|https://viking-pictures.s3.us-west-1.amazonaws.com/AA1155/A87.+Wheel%2C+FRONT+-+LEFT+or+RIGHT+(8).JPG|https://viking-pictures.s3.us-west-1.amazonaws.com/AA1155/A87.+Wheel%2C+FRONT+-+LEFT+or+RIGHT+(9).JPG</v>
      </c>
      <c r="D79" s="281">
        <f>_xlfn.XLOOKUP(B79,'3. Keep &amp; Toss Items'!O:O,'3. Keep &amp; Toss Items'!U:U,"NOT FOUND",0,1)</f>
        <v>9</v>
      </c>
      <c r="E79" s="279" t="str">
        <f t="shared" si="63"/>
        <v>https://viking-pictures.s3.us-west-1.amazonaws.com/AA1155/A87.+Wheel%2C+FRONT+-+LEFT+or+RIGHT+(1).JPG</v>
      </c>
      <c r="F79" s="279" t="str">
        <f t="shared" si="66"/>
        <v>https://viking-pictures.s3.us-west-1.amazonaws.com/AA1155/A87.+Wheel%2C+FRONT+-+LEFT+or+RIGHT+(2).JPG</v>
      </c>
      <c r="G79" s="279" t="str">
        <f t="shared" si="67"/>
        <v>https://viking-pictures.s3.us-west-1.amazonaws.com/AA1155/A87.+Wheel%2C+FRONT+-+LEFT+or+RIGHT+(3).JPG</v>
      </c>
      <c r="H79" s="279" t="str">
        <f t="shared" si="68"/>
        <v>https://viking-pictures.s3.us-west-1.amazonaws.com/AA1155/A87.+Wheel%2C+FRONT+-+LEFT+or+RIGHT+(4).JPG</v>
      </c>
      <c r="I79" s="279" t="str">
        <f t="shared" si="69"/>
        <v>https://viking-pictures.s3.us-west-1.amazonaws.com/AA1155/A87.+Wheel%2C+FRONT+-+LEFT+or+RIGHT+(5).JPG</v>
      </c>
      <c r="J79" s="279" t="str">
        <f t="shared" si="70"/>
        <v>https://viking-pictures.s3.us-west-1.amazonaws.com/AA1155/A87.+Wheel%2C+FRONT+-+LEFT+or+RIGHT+(6).JPG</v>
      </c>
      <c r="K79" s="279" t="str">
        <f t="shared" si="71"/>
        <v>https://viking-pictures.s3.us-west-1.amazonaws.com/AA1155/A87.+Wheel%2C+FRONT+-+LEFT+or+RIGHT+(7).JPG</v>
      </c>
      <c r="L79" s="279" t="str">
        <f t="shared" si="71"/>
        <v>https://viking-pictures.s3.us-west-1.amazonaws.com/AA1155/A87.+Wheel%2C+FRONT+-+LEFT+or+RIGHT+(8).JPG</v>
      </c>
      <c r="M79" s="279" t="str">
        <f t="shared" si="72"/>
        <v>https://viking-pictures.s3.us-west-1.amazonaws.com/AA1155/A87.+Wheel%2C+FRONT+-+LEFT+or+RIGHT+(9).JPG</v>
      </c>
      <c r="N79" s="279" t="str">
        <f t="shared" si="73"/>
        <v/>
      </c>
      <c r="O79" s="279" t="str">
        <f t="shared" si="74"/>
        <v/>
      </c>
      <c r="P79" s="279" t="str">
        <f t="shared" si="75"/>
        <v/>
      </c>
      <c r="Q79" s="279" t="str">
        <f t="shared" si="76"/>
        <v/>
      </c>
      <c r="R79" s="279" t="str">
        <f t="shared" si="77"/>
        <v/>
      </c>
      <c r="S79" s="279" t="str">
        <f t="shared" si="78"/>
        <v/>
      </c>
      <c r="T79" s="279" t="str">
        <f t="shared" si="79"/>
        <v/>
      </c>
      <c r="U79" s="279" t="str">
        <f t="shared" si="80"/>
        <v/>
      </c>
      <c r="V79" s="279" t="str">
        <f t="shared" si="81"/>
        <v/>
      </c>
      <c r="W79" s="279" t="str">
        <f t="shared" si="82"/>
        <v/>
      </c>
      <c r="X79" s="279" t="str">
        <f t="shared" si="83"/>
        <v/>
      </c>
      <c r="Y79" s="279" t="str">
        <f t="shared" si="84"/>
        <v/>
      </c>
      <c r="Z79" s="279" t="str">
        <f t="shared" si="85"/>
        <v/>
      </c>
      <c r="AA79" s="279" t="str">
        <f t="shared" si="86"/>
        <v/>
      </c>
      <c r="AB79" s="279" t="str">
        <f t="shared" si="87"/>
        <v/>
      </c>
      <c r="AC79" s="104" t="s">
        <v>1382</v>
      </c>
      <c r="AD79" s="279" t="str">
        <f t="shared" si="88"/>
        <v>A87.+Wheel%2C+FRONT+-+LEFT+or+RIGHT</v>
      </c>
      <c r="AE79" s="279" t="str">
        <f>_xlfn.XLOOKUP(B79,'3. Keep &amp; Toss Items'!O:O,'3. Keep &amp; Toss Items'!Q:Q,"NOT FOUND",0,1)</f>
        <v>A87. Wheel, FRONT - LEFT or RIGHT</v>
      </c>
      <c r="AF79" s="279" t="str">
        <f t="shared" si="89"/>
        <v>A87. Wheel, FRONT - LEFT or RIGHT</v>
      </c>
      <c r="AG79" s="279" t="str">
        <f t="shared" si="90"/>
        <v>A87.+Wheel,+FRONT+-+LEFT+or+RIGHT</v>
      </c>
      <c r="AH79" s="279" t="str">
        <f t="shared" si="91"/>
        <v>A87.+Wheel%2C+FRONT+-+LEFT+or+RIGHT</v>
      </c>
      <c r="AI79" s="279" t="str">
        <f t="shared" si="92"/>
        <v>A87.+Wheel%2C+FRONT+-+LEFT+or+RIGHT</v>
      </c>
      <c r="AJ79" s="279" t="str">
        <f t="shared" si="93"/>
        <v>A87.+Wheel%2C+FRONT+-+LEFT+or+RIGHT</v>
      </c>
      <c r="AK79" s="279" t="str">
        <f t="shared" si="94"/>
        <v>A87.+Wheel%2C+FRONT+-+LEFT+or+RIGHT</v>
      </c>
      <c r="AL79" s="279" t="str">
        <f t="shared" si="95"/>
        <v>A87.+Wheel%2C+FRONT+-+LEFT+or+RIGHT</v>
      </c>
      <c r="AM79" s="279" t="str">
        <f t="shared" si="96"/>
        <v>A87.+Wheel%2C+FRONT+-+LEFT+or+RIGHT</v>
      </c>
      <c r="AN79" s="279" t="str">
        <f t="shared" si="64"/>
        <v>A87.+Wheel%2C+FRONT+-+LEFT+or+RIGHT</v>
      </c>
      <c r="AO79" s="279" t="str">
        <f t="shared" si="97"/>
        <v>A87.+Wheel%2C+FRONT+-+LEFT+or+RIGHT</v>
      </c>
      <c r="AP79" s="279" t="str">
        <f t="shared" si="98"/>
        <v>A87.+Wheel%2C+FRONT+-+LEFT+or+RIGHT</v>
      </c>
      <c r="AQ79" s="280" t="s">
        <v>1395</v>
      </c>
      <c r="AR79" s="280" t="s">
        <v>1396</v>
      </c>
      <c r="AS79" s="280" t="s">
        <v>1397</v>
      </c>
      <c r="AT79" s="280" t="s">
        <v>1398</v>
      </c>
      <c r="AU79" s="280" t="s">
        <v>1399</v>
      </c>
      <c r="AV79" s="280" t="s">
        <v>1400</v>
      </c>
      <c r="AW79" s="280" t="s">
        <v>1401</v>
      </c>
      <c r="AX79" s="280" t="s">
        <v>1402</v>
      </c>
      <c r="AY79" s="280" t="s">
        <v>1403</v>
      </c>
      <c r="AZ79" s="280" t="s">
        <v>1404</v>
      </c>
      <c r="BA79" s="280" t="s">
        <v>1405</v>
      </c>
      <c r="BB79" s="280" t="s">
        <v>1406</v>
      </c>
      <c r="BC79" s="280" t="s">
        <v>1419</v>
      </c>
      <c r="BD79" s="280" t="s">
        <v>1407</v>
      </c>
      <c r="BE79" s="280" t="s">
        <v>1408</v>
      </c>
      <c r="BF79" s="280" t="s">
        <v>1409</v>
      </c>
      <c r="BG79" s="280" t="s">
        <v>1410</v>
      </c>
      <c r="BH79" s="280" t="s">
        <v>1411</v>
      </c>
      <c r="BI79" s="280" t="s">
        <v>1412</v>
      </c>
      <c r="BJ79" s="280" t="s">
        <v>1413</v>
      </c>
      <c r="BK79" s="280" t="s">
        <v>1414</v>
      </c>
      <c r="BL79" s="280" t="s">
        <v>1415</v>
      </c>
      <c r="BM79" s="280" t="s">
        <v>1416</v>
      </c>
      <c r="BN79" s="280" t="s">
        <v>1417</v>
      </c>
      <c r="BO79" s="280" t="s">
        <v>1418</v>
      </c>
      <c r="BP79" s="280" t="s">
        <v>1420</v>
      </c>
      <c r="BQ79" s="134" t="str">
        <f t="shared" si="65"/>
        <v>Pic Example</v>
      </c>
    </row>
    <row r="80" spans="2:69" x14ac:dyDescent="0.25">
      <c r="B80" t="s">
        <v>990</v>
      </c>
      <c r="C80" s="279" t="str">
        <f t="shared" si="99"/>
        <v>https://viking-pictures.s3.us-west-1.amazonaws.com/AA1155/A88.+Wheel%2C+FRONT+-+LEFT+or+RIGHT+(1).JPG|https://viking-pictures.s3.us-west-1.amazonaws.com/AA1155/A88.+Wheel%2C+FRONT+-+LEFT+or+RIGHT+(2).JPG|https://viking-pictures.s3.us-west-1.amazonaws.com/AA1155/A88.+Wheel%2C+FRONT+-+LEFT+or+RIGHT+(3).JPG|https://viking-pictures.s3.us-west-1.amazonaws.com/AA1155/A88.+Wheel%2C+FRONT+-+LEFT+or+RIGHT+(4).JPG|https://viking-pictures.s3.us-west-1.amazonaws.com/AA1155/A88.+Wheel%2C+FRONT+-+LEFT+or+RIGHT+(5).JPG|https://viking-pictures.s3.us-west-1.amazonaws.com/AA1155/A88.+Wheel%2C+FRONT+-+LEFT+or+RIGHT+(6).JPG|https://viking-pictures.s3.us-west-1.amazonaws.com/AA1155/A88.+Wheel%2C+FRONT+-+LEFT+or+RIGHT+(7).JPG|https://viking-pictures.s3.us-west-1.amazonaws.com/AA1155/A88.+Wheel%2C+FRONT+-+LEFT+or+RIGHT+(8).JPG|https://viking-pictures.s3.us-west-1.amazonaws.com/AA1155/A88.+Wheel%2C+FRONT+-+LEFT+or+RIGHT+(9).JPG</v>
      </c>
      <c r="D80" s="281">
        <f>_xlfn.XLOOKUP(B80,'3. Keep &amp; Toss Items'!O:O,'3. Keep &amp; Toss Items'!U:U,"NOT FOUND",0,1)</f>
        <v>9</v>
      </c>
      <c r="E80" s="279" t="str">
        <f t="shared" si="63"/>
        <v>https://viking-pictures.s3.us-west-1.amazonaws.com/AA1155/A88.+Wheel%2C+FRONT+-+LEFT+or+RIGHT+(1).JPG</v>
      </c>
      <c r="F80" s="279" t="str">
        <f t="shared" si="66"/>
        <v>https://viking-pictures.s3.us-west-1.amazonaws.com/AA1155/A88.+Wheel%2C+FRONT+-+LEFT+or+RIGHT+(2).JPG</v>
      </c>
      <c r="G80" s="279" t="str">
        <f t="shared" si="67"/>
        <v>https://viking-pictures.s3.us-west-1.amazonaws.com/AA1155/A88.+Wheel%2C+FRONT+-+LEFT+or+RIGHT+(3).JPG</v>
      </c>
      <c r="H80" s="279" t="str">
        <f t="shared" si="68"/>
        <v>https://viking-pictures.s3.us-west-1.amazonaws.com/AA1155/A88.+Wheel%2C+FRONT+-+LEFT+or+RIGHT+(4).JPG</v>
      </c>
      <c r="I80" s="279" t="str">
        <f t="shared" si="69"/>
        <v>https://viking-pictures.s3.us-west-1.amazonaws.com/AA1155/A88.+Wheel%2C+FRONT+-+LEFT+or+RIGHT+(5).JPG</v>
      </c>
      <c r="J80" s="279" t="str">
        <f t="shared" si="70"/>
        <v>https://viking-pictures.s3.us-west-1.amazonaws.com/AA1155/A88.+Wheel%2C+FRONT+-+LEFT+or+RIGHT+(6).JPG</v>
      </c>
      <c r="K80" s="279" t="str">
        <f t="shared" si="71"/>
        <v>https://viking-pictures.s3.us-west-1.amazonaws.com/AA1155/A88.+Wheel%2C+FRONT+-+LEFT+or+RIGHT+(7).JPG</v>
      </c>
      <c r="L80" s="279" t="str">
        <f t="shared" si="71"/>
        <v>https://viking-pictures.s3.us-west-1.amazonaws.com/AA1155/A88.+Wheel%2C+FRONT+-+LEFT+or+RIGHT+(8).JPG</v>
      </c>
      <c r="M80" s="279" t="str">
        <f t="shared" si="72"/>
        <v>https://viking-pictures.s3.us-west-1.amazonaws.com/AA1155/A88.+Wheel%2C+FRONT+-+LEFT+or+RIGHT+(9).JPG</v>
      </c>
      <c r="N80" s="279" t="str">
        <f t="shared" si="73"/>
        <v/>
      </c>
      <c r="O80" s="279" t="str">
        <f t="shared" si="74"/>
        <v/>
      </c>
      <c r="P80" s="279" t="str">
        <f t="shared" si="75"/>
        <v/>
      </c>
      <c r="Q80" s="279" t="str">
        <f t="shared" si="76"/>
        <v/>
      </c>
      <c r="R80" s="279" t="str">
        <f t="shared" si="77"/>
        <v/>
      </c>
      <c r="S80" s="279" t="str">
        <f t="shared" si="78"/>
        <v/>
      </c>
      <c r="T80" s="279" t="str">
        <f t="shared" si="79"/>
        <v/>
      </c>
      <c r="U80" s="279" t="str">
        <f t="shared" si="80"/>
        <v/>
      </c>
      <c r="V80" s="279" t="str">
        <f t="shared" si="81"/>
        <v/>
      </c>
      <c r="W80" s="279" t="str">
        <f t="shared" si="82"/>
        <v/>
      </c>
      <c r="X80" s="279" t="str">
        <f t="shared" si="83"/>
        <v/>
      </c>
      <c r="Y80" s="279" t="str">
        <f t="shared" si="84"/>
        <v/>
      </c>
      <c r="Z80" s="279" t="str">
        <f t="shared" si="85"/>
        <v/>
      </c>
      <c r="AA80" s="279" t="str">
        <f t="shared" si="86"/>
        <v/>
      </c>
      <c r="AB80" s="279" t="str">
        <f t="shared" si="87"/>
        <v/>
      </c>
      <c r="AC80" s="104" t="s">
        <v>1382</v>
      </c>
      <c r="AD80" s="279" t="str">
        <f t="shared" si="88"/>
        <v>A88.+Wheel%2C+FRONT+-+LEFT+or+RIGHT</v>
      </c>
      <c r="AE80" s="279" t="str">
        <f>_xlfn.XLOOKUP(B80,'3. Keep &amp; Toss Items'!O:O,'3. Keep &amp; Toss Items'!Q:Q,"NOT FOUND",0,1)</f>
        <v>A88. Wheel, FRONT - LEFT or RIGHT</v>
      </c>
      <c r="AF80" s="279" t="str">
        <f t="shared" si="89"/>
        <v>A88. Wheel, FRONT - LEFT or RIGHT</v>
      </c>
      <c r="AG80" s="279" t="str">
        <f t="shared" si="90"/>
        <v>A88.+Wheel,+FRONT+-+LEFT+or+RIGHT</v>
      </c>
      <c r="AH80" s="279" t="str">
        <f t="shared" si="91"/>
        <v>A88.+Wheel%2C+FRONT+-+LEFT+or+RIGHT</v>
      </c>
      <c r="AI80" s="279" t="str">
        <f t="shared" si="92"/>
        <v>A88.+Wheel%2C+FRONT+-+LEFT+or+RIGHT</v>
      </c>
      <c r="AJ80" s="279" t="str">
        <f t="shared" si="93"/>
        <v>A88.+Wheel%2C+FRONT+-+LEFT+or+RIGHT</v>
      </c>
      <c r="AK80" s="279" t="str">
        <f t="shared" si="94"/>
        <v>A88.+Wheel%2C+FRONT+-+LEFT+or+RIGHT</v>
      </c>
      <c r="AL80" s="279" t="str">
        <f t="shared" si="95"/>
        <v>A88.+Wheel%2C+FRONT+-+LEFT+or+RIGHT</v>
      </c>
      <c r="AM80" s="279" t="str">
        <f t="shared" si="96"/>
        <v>A88.+Wheel%2C+FRONT+-+LEFT+or+RIGHT</v>
      </c>
      <c r="AN80" s="279" t="str">
        <f t="shared" si="64"/>
        <v>A88.+Wheel%2C+FRONT+-+LEFT+or+RIGHT</v>
      </c>
      <c r="AO80" s="279" t="str">
        <f t="shared" si="97"/>
        <v>A88.+Wheel%2C+FRONT+-+LEFT+or+RIGHT</v>
      </c>
      <c r="AP80" s="279" t="str">
        <f t="shared" si="98"/>
        <v>A88.+Wheel%2C+FRONT+-+LEFT+or+RIGHT</v>
      </c>
      <c r="AQ80" s="280" t="s">
        <v>1395</v>
      </c>
      <c r="AR80" s="280" t="s">
        <v>1396</v>
      </c>
      <c r="AS80" s="280" t="s">
        <v>1397</v>
      </c>
      <c r="AT80" s="280" t="s">
        <v>1398</v>
      </c>
      <c r="AU80" s="280" t="s">
        <v>1399</v>
      </c>
      <c r="AV80" s="280" t="s">
        <v>1400</v>
      </c>
      <c r="AW80" s="280" t="s">
        <v>1401</v>
      </c>
      <c r="AX80" s="280" t="s">
        <v>1402</v>
      </c>
      <c r="AY80" s="280" t="s">
        <v>1403</v>
      </c>
      <c r="AZ80" s="280" t="s">
        <v>1404</v>
      </c>
      <c r="BA80" s="280" t="s">
        <v>1405</v>
      </c>
      <c r="BB80" s="280" t="s">
        <v>1406</v>
      </c>
      <c r="BC80" s="280" t="s">
        <v>1419</v>
      </c>
      <c r="BD80" s="280" t="s">
        <v>1407</v>
      </c>
      <c r="BE80" s="280" t="s">
        <v>1408</v>
      </c>
      <c r="BF80" s="280" t="s">
        <v>1409</v>
      </c>
      <c r="BG80" s="280" t="s">
        <v>1410</v>
      </c>
      <c r="BH80" s="280" t="s">
        <v>1411</v>
      </c>
      <c r="BI80" s="280" t="s">
        <v>1412</v>
      </c>
      <c r="BJ80" s="280" t="s">
        <v>1413</v>
      </c>
      <c r="BK80" s="280" t="s">
        <v>1414</v>
      </c>
      <c r="BL80" s="280" t="s">
        <v>1415</v>
      </c>
      <c r="BM80" s="280" t="s">
        <v>1416</v>
      </c>
      <c r="BN80" s="280" t="s">
        <v>1417</v>
      </c>
      <c r="BO80" s="280" t="s">
        <v>1418</v>
      </c>
      <c r="BP80" s="280" t="s">
        <v>1420</v>
      </c>
      <c r="BQ80" s="134" t="str">
        <f t="shared" si="65"/>
        <v>Pic Example</v>
      </c>
    </row>
    <row r="81" spans="2:69" x14ac:dyDescent="0.25">
      <c r="B81" t="s">
        <v>991</v>
      </c>
      <c r="C81" s="279" t="str">
        <f t="shared" si="99"/>
        <v>https://viking-pictures.s3.us-west-1.amazonaws.com/AA1155/A89.+Wheel%2C+REAR+-+LEFT+or+RIGHT+(1).JPG|https://viking-pictures.s3.us-west-1.amazonaws.com/AA1155/A89.+Wheel%2C+REAR+-+LEFT+or+RIGHT+(2).JPG|https://viking-pictures.s3.us-west-1.amazonaws.com/AA1155/A89.+Wheel%2C+REAR+-+LEFT+or+RIGHT+(3).JPG|https://viking-pictures.s3.us-west-1.amazonaws.com/AA1155/A89.+Wheel%2C+REAR+-+LEFT+or+RIGHT+(4).JPG|https://viking-pictures.s3.us-west-1.amazonaws.com/AA1155/A89.+Wheel%2C+REAR+-+LEFT+or+RIGHT+(5).JPG|https://viking-pictures.s3.us-west-1.amazonaws.com/AA1155/A89.+Wheel%2C+REAR+-+LEFT+or+RIGHT+(6).JPG|https://viking-pictures.s3.us-west-1.amazonaws.com/AA1155/A89.+Wheel%2C+REAR+-+LEFT+or+RIGHT+(7).JPG|https://viking-pictures.s3.us-west-1.amazonaws.com/AA1155/A89.+Wheel%2C+REAR+-+LEFT+or+RIGHT+(8).JPG|https://viking-pictures.s3.us-west-1.amazonaws.com/AA1155/A89.+Wheel%2C+REAR+-+LEFT+or+RIGHT+(9).JPG</v>
      </c>
      <c r="D81" s="281">
        <f>_xlfn.XLOOKUP(B81,'3. Keep &amp; Toss Items'!O:O,'3. Keep &amp; Toss Items'!U:U,"NOT FOUND",0,1)</f>
        <v>9</v>
      </c>
      <c r="E81" s="279" t="str">
        <f t="shared" si="63"/>
        <v>https://viking-pictures.s3.us-west-1.amazonaws.com/AA1155/A89.+Wheel%2C+REAR+-+LEFT+or+RIGHT+(1).JPG</v>
      </c>
      <c r="F81" s="279" t="str">
        <f t="shared" si="66"/>
        <v>https://viking-pictures.s3.us-west-1.amazonaws.com/AA1155/A89.+Wheel%2C+REAR+-+LEFT+or+RIGHT+(2).JPG</v>
      </c>
      <c r="G81" s="279" t="str">
        <f t="shared" si="67"/>
        <v>https://viking-pictures.s3.us-west-1.amazonaws.com/AA1155/A89.+Wheel%2C+REAR+-+LEFT+or+RIGHT+(3).JPG</v>
      </c>
      <c r="H81" s="279" t="str">
        <f t="shared" si="68"/>
        <v>https://viking-pictures.s3.us-west-1.amazonaws.com/AA1155/A89.+Wheel%2C+REAR+-+LEFT+or+RIGHT+(4).JPG</v>
      </c>
      <c r="I81" s="279" t="str">
        <f t="shared" si="69"/>
        <v>https://viking-pictures.s3.us-west-1.amazonaws.com/AA1155/A89.+Wheel%2C+REAR+-+LEFT+or+RIGHT+(5).JPG</v>
      </c>
      <c r="J81" s="279" t="str">
        <f t="shared" si="70"/>
        <v>https://viking-pictures.s3.us-west-1.amazonaws.com/AA1155/A89.+Wheel%2C+REAR+-+LEFT+or+RIGHT+(6).JPG</v>
      </c>
      <c r="K81" s="279" t="str">
        <f t="shared" si="71"/>
        <v>https://viking-pictures.s3.us-west-1.amazonaws.com/AA1155/A89.+Wheel%2C+REAR+-+LEFT+or+RIGHT+(7).JPG</v>
      </c>
      <c r="L81" s="279" t="str">
        <f t="shared" si="71"/>
        <v>https://viking-pictures.s3.us-west-1.amazonaws.com/AA1155/A89.+Wheel%2C+REAR+-+LEFT+or+RIGHT+(8).JPG</v>
      </c>
      <c r="M81" s="279" t="str">
        <f t="shared" si="72"/>
        <v>https://viking-pictures.s3.us-west-1.amazonaws.com/AA1155/A89.+Wheel%2C+REAR+-+LEFT+or+RIGHT+(9).JPG</v>
      </c>
      <c r="N81" s="279" t="str">
        <f t="shared" si="73"/>
        <v/>
      </c>
      <c r="O81" s="279" t="str">
        <f t="shared" si="74"/>
        <v/>
      </c>
      <c r="P81" s="279" t="str">
        <f t="shared" si="75"/>
        <v/>
      </c>
      <c r="Q81" s="279" t="str">
        <f t="shared" si="76"/>
        <v/>
      </c>
      <c r="R81" s="279" t="str">
        <f t="shared" si="77"/>
        <v/>
      </c>
      <c r="S81" s="279" t="str">
        <f t="shared" si="78"/>
        <v/>
      </c>
      <c r="T81" s="279" t="str">
        <f t="shared" si="79"/>
        <v/>
      </c>
      <c r="U81" s="279" t="str">
        <f t="shared" si="80"/>
        <v/>
      </c>
      <c r="V81" s="279" t="str">
        <f t="shared" si="81"/>
        <v/>
      </c>
      <c r="W81" s="279" t="str">
        <f t="shared" si="82"/>
        <v/>
      </c>
      <c r="X81" s="279" t="str">
        <f t="shared" si="83"/>
        <v/>
      </c>
      <c r="Y81" s="279" t="str">
        <f t="shared" si="84"/>
        <v/>
      </c>
      <c r="Z81" s="279" t="str">
        <f t="shared" si="85"/>
        <v/>
      </c>
      <c r="AA81" s="279" t="str">
        <f t="shared" si="86"/>
        <v/>
      </c>
      <c r="AB81" s="279" t="str">
        <f t="shared" si="87"/>
        <v/>
      </c>
      <c r="AC81" s="104" t="s">
        <v>1382</v>
      </c>
      <c r="AD81" s="279" t="str">
        <f t="shared" si="88"/>
        <v>A89.+Wheel%2C+REAR+-+LEFT+or+RIGHT</v>
      </c>
      <c r="AE81" s="279" t="str">
        <f>_xlfn.XLOOKUP(B81,'3. Keep &amp; Toss Items'!O:O,'3. Keep &amp; Toss Items'!Q:Q,"NOT FOUND",0,1)</f>
        <v>A89. Wheel, REAR - LEFT or RIGHT</v>
      </c>
      <c r="AF81" s="279" t="str">
        <f t="shared" si="89"/>
        <v>A89. Wheel, REAR - LEFT or RIGHT</v>
      </c>
      <c r="AG81" s="279" t="str">
        <f t="shared" si="90"/>
        <v>A89.+Wheel,+REAR+-+LEFT+or+RIGHT</v>
      </c>
      <c r="AH81" s="279" t="str">
        <f t="shared" si="91"/>
        <v>A89.+Wheel%2C+REAR+-+LEFT+or+RIGHT</v>
      </c>
      <c r="AI81" s="279" t="str">
        <f t="shared" si="92"/>
        <v>A89.+Wheel%2C+REAR+-+LEFT+or+RIGHT</v>
      </c>
      <c r="AJ81" s="279" t="str">
        <f t="shared" si="93"/>
        <v>A89.+Wheel%2C+REAR+-+LEFT+or+RIGHT</v>
      </c>
      <c r="AK81" s="279" t="str">
        <f t="shared" si="94"/>
        <v>A89.+Wheel%2C+REAR+-+LEFT+or+RIGHT</v>
      </c>
      <c r="AL81" s="279" t="str">
        <f t="shared" si="95"/>
        <v>A89.+Wheel%2C+REAR+-+LEFT+or+RIGHT</v>
      </c>
      <c r="AM81" s="279" t="str">
        <f t="shared" si="96"/>
        <v>A89.+Wheel%2C+REAR+-+LEFT+or+RIGHT</v>
      </c>
      <c r="AN81" s="279" t="str">
        <f t="shared" si="64"/>
        <v>A89.+Wheel%2C+REAR+-+LEFT+or+RIGHT</v>
      </c>
      <c r="AO81" s="279" t="str">
        <f t="shared" si="97"/>
        <v>A89.+Wheel%2C+REAR+-+LEFT+or+RIGHT</v>
      </c>
      <c r="AP81" s="279" t="str">
        <f t="shared" si="98"/>
        <v>A89.+Wheel%2C+REAR+-+LEFT+or+RIGHT</v>
      </c>
      <c r="AQ81" s="280" t="s">
        <v>1395</v>
      </c>
      <c r="AR81" s="280" t="s">
        <v>1396</v>
      </c>
      <c r="AS81" s="280" t="s">
        <v>1397</v>
      </c>
      <c r="AT81" s="280" t="s">
        <v>1398</v>
      </c>
      <c r="AU81" s="280" t="s">
        <v>1399</v>
      </c>
      <c r="AV81" s="280" t="s">
        <v>1400</v>
      </c>
      <c r="AW81" s="280" t="s">
        <v>1401</v>
      </c>
      <c r="AX81" s="280" t="s">
        <v>1402</v>
      </c>
      <c r="AY81" s="280" t="s">
        <v>1403</v>
      </c>
      <c r="AZ81" s="280" t="s">
        <v>1404</v>
      </c>
      <c r="BA81" s="280" t="s">
        <v>1405</v>
      </c>
      <c r="BB81" s="280" t="s">
        <v>1406</v>
      </c>
      <c r="BC81" s="280" t="s">
        <v>1419</v>
      </c>
      <c r="BD81" s="280" t="s">
        <v>1407</v>
      </c>
      <c r="BE81" s="280" t="s">
        <v>1408</v>
      </c>
      <c r="BF81" s="280" t="s">
        <v>1409</v>
      </c>
      <c r="BG81" s="280" t="s">
        <v>1410</v>
      </c>
      <c r="BH81" s="280" t="s">
        <v>1411</v>
      </c>
      <c r="BI81" s="280" t="s">
        <v>1412</v>
      </c>
      <c r="BJ81" s="280" t="s">
        <v>1413</v>
      </c>
      <c r="BK81" s="280" t="s">
        <v>1414</v>
      </c>
      <c r="BL81" s="280" t="s">
        <v>1415</v>
      </c>
      <c r="BM81" s="280" t="s">
        <v>1416</v>
      </c>
      <c r="BN81" s="280" t="s">
        <v>1417</v>
      </c>
      <c r="BO81" s="280" t="s">
        <v>1418</v>
      </c>
      <c r="BP81" s="280" t="s">
        <v>1420</v>
      </c>
      <c r="BQ81" s="134" t="str">
        <f t="shared" si="65"/>
        <v>Pic Example</v>
      </c>
    </row>
    <row r="82" spans="2:69" x14ac:dyDescent="0.25">
      <c r="B82" t="s">
        <v>992</v>
      </c>
      <c r="C82" s="279" t="str">
        <f t="shared" si="99"/>
        <v>https://viking-pictures.s3.us-west-1.amazonaws.com/AA1155/A90.+Radiator+Fan+%26+Shroud+Assembly+(1).JPG|https://viking-pictures.s3.us-west-1.amazonaws.com/AA1155/A90.+Radiator+Fan+%26+Shroud+Assembly+(2).JPG|https://viking-pictures.s3.us-west-1.amazonaws.com/AA1155/A90.+Radiator+Fan+%26+Shroud+Assembly+(3).JPG|https://viking-pictures.s3.us-west-1.amazonaws.com/AA1155/A90.+Radiator+Fan+%26+Shroud+Assembly+(4).JPG|https://viking-pictures.s3.us-west-1.amazonaws.com/AA1155/A90.+Radiator+Fan+%26+Shroud+Assembly+(5).JPG|https://viking-pictures.s3.us-west-1.amazonaws.com/AA1155/A90.+Radiator+Fan+%26+Shroud+Assembly+(6).JPG|https://viking-pictures.s3.us-west-1.amazonaws.com/AA1155/A90.+Radiator+Fan+%26+Shroud+Assembly+(7).JPG|https://viking-pictures.s3.us-west-1.amazonaws.com/AA1155/A90.+Radiator+Fan+%26+Shroud+Assembly+(8).JPG</v>
      </c>
      <c r="D82" s="281">
        <f>_xlfn.XLOOKUP(B82,'3. Keep &amp; Toss Items'!O:O,'3. Keep &amp; Toss Items'!U:U,"NOT FOUND",0,1)</f>
        <v>8</v>
      </c>
      <c r="E82" s="279" t="str">
        <f t="shared" si="63"/>
        <v>https://viking-pictures.s3.us-west-1.amazonaws.com/AA1155/A90.+Radiator+Fan+%26+Shroud+Assembly+(1).JPG</v>
      </c>
      <c r="F82" s="279" t="str">
        <f t="shared" si="66"/>
        <v>https://viking-pictures.s3.us-west-1.amazonaws.com/AA1155/A90.+Radiator+Fan+%26+Shroud+Assembly+(2).JPG</v>
      </c>
      <c r="G82" s="279" t="str">
        <f t="shared" si="67"/>
        <v>https://viking-pictures.s3.us-west-1.amazonaws.com/AA1155/A90.+Radiator+Fan+%26+Shroud+Assembly+(3).JPG</v>
      </c>
      <c r="H82" s="279" t="str">
        <f t="shared" si="68"/>
        <v>https://viking-pictures.s3.us-west-1.amazonaws.com/AA1155/A90.+Radiator+Fan+%26+Shroud+Assembly+(4).JPG</v>
      </c>
      <c r="I82" s="279" t="str">
        <f t="shared" si="69"/>
        <v>https://viking-pictures.s3.us-west-1.amazonaws.com/AA1155/A90.+Radiator+Fan+%26+Shroud+Assembly+(5).JPG</v>
      </c>
      <c r="J82" s="279" t="str">
        <f t="shared" si="70"/>
        <v>https://viking-pictures.s3.us-west-1.amazonaws.com/AA1155/A90.+Radiator+Fan+%26+Shroud+Assembly+(6).JPG</v>
      </c>
      <c r="K82" s="279" t="str">
        <f t="shared" si="71"/>
        <v>https://viking-pictures.s3.us-west-1.amazonaws.com/AA1155/A90.+Radiator+Fan+%26+Shroud+Assembly+(7).JPG</v>
      </c>
      <c r="L82" s="279" t="str">
        <f t="shared" si="71"/>
        <v>https://viking-pictures.s3.us-west-1.amazonaws.com/AA1155/A90.+Radiator+Fan+%26+Shroud+Assembly+(8).JPG</v>
      </c>
      <c r="M82" s="279" t="str">
        <f t="shared" si="72"/>
        <v/>
      </c>
      <c r="N82" s="279" t="str">
        <f t="shared" si="73"/>
        <v/>
      </c>
      <c r="O82" s="279" t="str">
        <f t="shared" si="74"/>
        <v/>
      </c>
      <c r="P82" s="279" t="str">
        <f t="shared" si="75"/>
        <v/>
      </c>
      <c r="Q82" s="279" t="str">
        <f t="shared" si="76"/>
        <v/>
      </c>
      <c r="R82" s="279" t="str">
        <f t="shared" si="77"/>
        <v/>
      </c>
      <c r="S82" s="279" t="str">
        <f t="shared" si="78"/>
        <v/>
      </c>
      <c r="T82" s="279" t="str">
        <f t="shared" si="79"/>
        <v/>
      </c>
      <c r="U82" s="279" t="str">
        <f t="shared" si="80"/>
        <v/>
      </c>
      <c r="V82" s="279" t="str">
        <f t="shared" si="81"/>
        <v/>
      </c>
      <c r="W82" s="279" t="str">
        <f t="shared" si="82"/>
        <v/>
      </c>
      <c r="X82" s="279" t="str">
        <f t="shared" si="83"/>
        <v/>
      </c>
      <c r="Y82" s="279" t="str">
        <f t="shared" si="84"/>
        <v/>
      </c>
      <c r="Z82" s="279" t="str">
        <f t="shared" si="85"/>
        <v/>
      </c>
      <c r="AA82" s="279" t="str">
        <f t="shared" si="86"/>
        <v/>
      </c>
      <c r="AB82" s="279" t="str">
        <f t="shared" si="87"/>
        <v/>
      </c>
      <c r="AC82" s="104" t="s">
        <v>1382</v>
      </c>
      <c r="AD82" s="279" t="str">
        <f t="shared" si="88"/>
        <v>A90.+Radiator+Fan+%26+Shroud+Assembly</v>
      </c>
      <c r="AE82" s="279" t="str">
        <f>_xlfn.XLOOKUP(B82,'3. Keep &amp; Toss Items'!O:O,'3. Keep &amp; Toss Items'!Q:Q,"NOT FOUND",0,1)</f>
        <v>A90. Radiator Fan &amp; Shroud Assembly</v>
      </c>
      <c r="AF82" s="279" t="str">
        <f t="shared" si="89"/>
        <v>A90. Radiator Fan &amp; Shroud Assembly</v>
      </c>
      <c r="AG82" s="279" t="str">
        <f t="shared" si="90"/>
        <v>A90.+Radiator+Fan+&amp;+Shroud+Assembly</v>
      </c>
      <c r="AH82" s="279" t="str">
        <f t="shared" si="91"/>
        <v>A90.+Radiator+Fan+&amp;+Shroud+Assembly</v>
      </c>
      <c r="AI82" s="279" t="str">
        <f t="shared" si="92"/>
        <v>A90.+Radiator+Fan+&amp;+Shroud+Assembly</v>
      </c>
      <c r="AJ82" s="279" t="str">
        <f t="shared" si="93"/>
        <v>A90.+Radiator+Fan+&amp;+Shroud+Assembly</v>
      </c>
      <c r="AK82" s="279" t="str">
        <f t="shared" si="94"/>
        <v>A90.+Radiator+Fan+&amp;+Shroud+Assembly</v>
      </c>
      <c r="AL82" s="279" t="str">
        <f t="shared" si="95"/>
        <v>A90.+Radiator+Fan+%26+Shroud+Assembly</v>
      </c>
      <c r="AM82" s="279" t="str">
        <f t="shared" si="96"/>
        <v>A90.+Radiator+Fan+%26+Shroud+Assembly</v>
      </c>
      <c r="AN82" s="279" t="str">
        <f t="shared" si="64"/>
        <v>A90.+Radiator+Fan+%26+Shroud+Assembly</v>
      </c>
      <c r="AO82" s="279" t="str">
        <f t="shared" si="97"/>
        <v>A90.+Radiator+Fan+%26+Shroud+Assembly</v>
      </c>
      <c r="AP82" s="279" t="str">
        <f t="shared" si="98"/>
        <v>A90.+Radiator+Fan+%26+Shroud+Assembly</v>
      </c>
      <c r="AQ82" s="280" t="s">
        <v>1395</v>
      </c>
      <c r="AR82" s="280" t="s">
        <v>1396</v>
      </c>
      <c r="AS82" s="280" t="s">
        <v>1397</v>
      </c>
      <c r="AT82" s="280" t="s">
        <v>1398</v>
      </c>
      <c r="AU82" s="280" t="s">
        <v>1399</v>
      </c>
      <c r="AV82" s="280" t="s">
        <v>1400</v>
      </c>
      <c r="AW82" s="280" t="s">
        <v>1401</v>
      </c>
      <c r="AX82" s="280" t="s">
        <v>1402</v>
      </c>
      <c r="AY82" s="280" t="s">
        <v>1403</v>
      </c>
      <c r="AZ82" s="280" t="s">
        <v>1404</v>
      </c>
      <c r="BA82" s="280" t="s">
        <v>1405</v>
      </c>
      <c r="BB82" s="280" t="s">
        <v>1406</v>
      </c>
      <c r="BC82" s="280" t="s">
        <v>1419</v>
      </c>
      <c r="BD82" s="280" t="s">
        <v>1407</v>
      </c>
      <c r="BE82" s="280" t="s">
        <v>1408</v>
      </c>
      <c r="BF82" s="280" t="s">
        <v>1409</v>
      </c>
      <c r="BG82" s="280" t="s">
        <v>1410</v>
      </c>
      <c r="BH82" s="280" t="s">
        <v>1411</v>
      </c>
      <c r="BI82" s="280" t="s">
        <v>1412</v>
      </c>
      <c r="BJ82" s="280" t="s">
        <v>1413</v>
      </c>
      <c r="BK82" s="280" t="s">
        <v>1414</v>
      </c>
      <c r="BL82" s="280" t="s">
        <v>1415</v>
      </c>
      <c r="BM82" s="280" t="s">
        <v>1416</v>
      </c>
      <c r="BN82" s="280" t="s">
        <v>1417</v>
      </c>
      <c r="BO82" s="280" t="s">
        <v>1418</v>
      </c>
      <c r="BP82" s="280" t="s">
        <v>1420</v>
      </c>
      <c r="BQ82" s="134" t="str">
        <f t="shared" si="65"/>
        <v>Pic Example</v>
      </c>
    </row>
    <row r="83" spans="2:69" x14ac:dyDescent="0.25">
      <c r="B83" t="s">
        <v>993</v>
      </c>
      <c r="C83" s="279" t="str">
        <f t="shared" si="99"/>
        <v>https://viking-pictures.s3.us-west-1.amazonaws.com/AA1155/A91.+Spoiler+with+3rd+Brake+Light+IN+(1).JPG|https://viking-pictures.s3.us-west-1.amazonaws.com/AA1155/A91.+Spoiler+with+3rd+Brake+Light+IN+(2).JPG|https://viking-pictures.s3.us-west-1.amazonaws.com/AA1155/A91.+Spoiler+with+3rd+Brake+Light+IN+(3).JPG|https://viking-pictures.s3.us-west-1.amazonaws.com/AA1155/A91.+Spoiler+with+3rd+Brake+Light+IN+(4).JPG|https://viking-pictures.s3.us-west-1.amazonaws.com/AA1155/A91.+Spoiler+with+3rd+Brake+Light+IN+(5).JPG|https://viking-pictures.s3.us-west-1.amazonaws.com/AA1155/A91.+Spoiler+with+3rd+Brake+Light+IN+(6).JPG|https://viking-pictures.s3.us-west-1.amazonaws.com/AA1155/A91.+Spoiler+with+3rd+Brake+Light+IN+(7).JPG</v>
      </c>
      <c r="D83" s="281">
        <f>_xlfn.XLOOKUP(B83,'3. Keep &amp; Toss Items'!O:O,'3. Keep &amp; Toss Items'!U:U,"NOT FOUND",0,1)</f>
        <v>7</v>
      </c>
      <c r="E83" s="279" t="str">
        <f t="shared" si="63"/>
        <v>https://viking-pictures.s3.us-west-1.amazonaws.com/AA1155/A91.+Spoiler+with+3rd+Brake+Light+IN+(1).JPG</v>
      </c>
      <c r="F83" s="279" t="str">
        <f t="shared" si="66"/>
        <v>https://viking-pictures.s3.us-west-1.amazonaws.com/AA1155/A91.+Spoiler+with+3rd+Brake+Light+IN+(2).JPG</v>
      </c>
      <c r="G83" s="279" t="str">
        <f t="shared" si="67"/>
        <v>https://viking-pictures.s3.us-west-1.amazonaws.com/AA1155/A91.+Spoiler+with+3rd+Brake+Light+IN+(3).JPG</v>
      </c>
      <c r="H83" s="279" t="str">
        <f t="shared" si="68"/>
        <v>https://viking-pictures.s3.us-west-1.amazonaws.com/AA1155/A91.+Spoiler+with+3rd+Brake+Light+IN+(4).JPG</v>
      </c>
      <c r="I83" s="279" t="str">
        <f t="shared" si="69"/>
        <v>https://viking-pictures.s3.us-west-1.amazonaws.com/AA1155/A91.+Spoiler+with+3rd+Brake+Light+IN+(5).JPG</v>
      </c>
      <c r="J83" s="279" t="str">
        <f t="shared" si="70"/>
        <v>https://viking-pictures.s3.us-west-1.amazonaws.com/AA1155/A91.+Spoiler+with+3rd+Brake+Light+IN+(6).JPG</v>
      </c>
      <c r="K83" s="279" t="str">
        <f t="shared" si="71"/>
        <v>https://viking-pictures.s3.us-west-1.amazonaws.com/AA1155/A91.+Spoiler+with+3rd+Brake+Light+IN+(7).JPG</v>
      </c>
      <c r="L83" s="279" t="str">
        <f t="shared" si="71"/>
        <v/>
      </c>
      <c r="M83" s="279" t="str">
        <f t="shared" si="72"/>
        <v/>
      </c>
      <c r="N83" s="279" t="str">
        <f t="shared" si="73"/>
        <v/>
      </c>
      <c r="O83" s="279" t="str">
        <f t="shared" si="74"/>
        <v/>
      </c>
      <c r="P83" s="279" t="str">
        <f t="shared" si="75"/>
        <v/>
      </c>
      <c r="Q83" s="279" t="str">
        <f t="shared" si="76"/>
        <v/>
      </c>
      <c r="R83" s="279" t="str">
        <f t="shared" si="77"/>
        <v/>
      </c>
      <c r="S83" s="279" t="str">
        <f t="shared" si="78"/>
        <v/>
      </c>
      <c r="T83" s="279" t="str">
        <f t="shared" si="79"/>
        <v/>
      </c>
      <c r="U83" s="279" t="str">
        <f t="shared" si="80"/>
        <v/>
      </c>
      <c r="V83" s="279" t="str">
        <f t="shared" si="81"/>
        <v/>
      </c>
      <c r="W83" s="279" t="str">
        <f t="shared" si="82"/>
        <v/>
      </c>
      <c r="X83" s="279" t="str">
        <f t="shared" si="83"/>
        <v/>
      </c>
      <c r="Y83" s="279" t="str">
        <f t="shared" si="84"/>
        <v/>
      </c>
      <c r="Z83" s="279" t="str">
        <f t="shared" si="85"/>
        <v/>
      </c>
      <c r="AA83" s="279" t="str">
        <f t="shared" si="86"/>
        <v/>
      </c>
      <c r="AB83" s="279" t="str">
        <f t="shared" si="87"/>
        <v/>
      </c>
      <c r="AC83" s="104" t="s">
        <v>1382</v>
      </c>
      <c r="AD83" s="279" t="str">
        <f t="shared" si="88"/>
        <v>A91.+Spoiler+with+3rd+Brake+Light+IN</v>
      </c>
      <c r="AE83" s="279" t="str">
        <f>_xlfn.XLOOKUP(B83,'3. Keep &amp; Toss Items'!O:O,'3. Keep &amp; Toss Items'!Q:Q,"NOT FOUND",0,1)</f>
        <v>A91. Spoiler with 3rd Brake Light IN</v>
      </c>
      <c r="AF83" s="279" t="str">
        <f t="shared" si="89"/>
        <v>A91. Spoiler with 3rd Brake Light IN</v>
      </c>
      <c r="AG83" s="279" t="str">
        <f t="shared" si="90"/>
        <v>A91.+Spoiler+with+3rd+Brake+Light+IN</v>
      </c>
      <c r="AH83" s="279" t="str">
        <f t="shared" si="91"/>
        <v>A91.+Spoiler+with+3rd+Brake+Light+IN</v>
      </c>
      <c r="AI83" s="279" t="str">
        <f t="shared" si="92"/>
        <v>A91.+Spoiler+with+3rd+Brake+Light+IN</v>
      </c>
      <c r="AJ83" s="279" t="str">
        <f t="shared" si="93"/>
        <v>A91.+Spoiler+with+3rd+Brake+Light+IN</v>
      </c>
      <c r="AK83" s="279" t="str">
        <f t="shared" si="94"/>
        <v>A91.+Spoiler+with+3rd+Brake+Light+IN</v>
      </c>
      <c r="AL83" s="279" t="str">
        <f t="shared" si="95"/>
        <v>A91.+Spoiler+with+3rd+Brake+Light+IN</v>
      </c>
      <c r="AM83" s="279" t="str">
        <f t="shared" si="96"/>
        <v>A91.+Spoiler+with+3rd+Brake+Light+IN</v>
      </c>
      <c r="AN83" s="279" t="str">
        <f t="shared" si="64"/>
        <v>A91.+Spoiler+with+3rd+Brake+Light+IN</v>
      </c>
      <c r="AO83" s="279" t="str">
        <f t="shared" si="97"/>
        <v>A91.+Spoiler+with+3rd+Brake+Light+IN</v>
      </c>
      <c r="AP83" s="279" t="str">
        <f t="shared" si="98"/>
        <v>A91.+Spoiler+with+3rd+Brake+Light+IN</v>
      </c>
      <c r="AQ83" s="280" t="s">
        <v>1395</v>
      </c>
      <c r="AR83" s="280" t="s">
        <v>1396</v>
      </c>
      <c r="AS83" s="280" t="s">
        <v>1397</v>
      </c>
      <c r="AT83" s="280" t="s">
        <v>1398</v>
      </c>
      <c r="AU83" s="280" t="s">
        <v>1399</v>
      </c>
      <c r="AV83" s="280" t="s">
        <v>1400</v>
      </c>
      <c r="AW83" s="280" t="s">
        <v>1401</v>
      </c>
      <c r="AX83" s="280" t="s">
        <v>1402</v>
      </c>
      <c r="AY83" s="280" t="s">
        <v>1403</v>
      </c>
      <c r="AZ83" s="280" t="s">
        <v>1404</v>
      </c>
      <c r="BA83" s="280" t="s">
        <v>1405</v>
      </c>
      <c r="BB83" s="280" t="s">
        <v>1406</v>
      </c>
      <c r="BC83" s="280" t="s">
        <v>1419</v>
      </c>
      <c r="BD83" s="280" t="s">
        <v>1407</v>
      </c>
      <c r="BE83" s="280" t="s">
        <v>1408</v>
      </c>
      <c r="BF83" s="280" t="s">
        <v>1409</v>
      </c>
      <c r="BG83" s="280" t="s">
        <v>1410</v>
      </c>
      <c r="BH83" s="280" t="s">
        <v>1411</v>
      </c>
      <c r="BI83" s="280" t="s">
        <v>1412</v>
      </c>
      <c r="BJ83" s="280" t="s">
        <v>1413</v>
      </c>
      <c r="BK83" s="280" t="s">
        <v>1414</v>
      </c>
      <c r="BL83" s="280" t="s">
        <v>1415</v>
      </c>
      <c r="BM83" s="280" t="s">
        <v>1416</v>
      </c>
      <c r="BN83" s="280" t="s">
        <v>1417</v>
      </c>
      <c r="BO83" s="280" t="s">
        <v>1418</v>
      </c>
      <c r="BP83" s="280" t="s">
        <v>1420</v>
      </c>
      <c r="BQ83" s="134" t="str">
        <f t="shared" si="65"/>
        <v>Pic Example</v>
      </c>
    </row>
    <row r="84" spans="2:69" x14ac:dyDescent="0.25">
      <c r="B84" t="s">
        <v>994</v>
      </c>
      <c r="C84" s="279" t="str">
        <f t="shared" si="99"/>
        <v>https://viking-pictures.s3.us-west-1.amazonaws.com/AA1155/A92.+Torque+Converter+(1).JPG|https://viking-pictures.s3.us-west-1.amazonaws.com/AA1155/A92.+Torque+Converter+(2).JPG|https://viking-pictures.s3.us-west-1.amazonaws.com/AA1155/A92.+Torque+Converter+(3).JPG|https://viking-pictures.s3.us-west-1.amazonaws.com/AA1155/A92.+Torque+Converter+(4).JPG</v>
      </c>
      <c r="D84" s="281">
        <f>_xlfn.XLOOKUP(B84,'3. Keep &amp; Toss Items'!O:O,'3. Keep &amp; Toss Items'!U:U,"NOT FOUND",0,1)</f>
        <v>4</v>
      </c>
      <c r="E84" s="279" t="str">
        <f t="shared" si="63"/>
        <v>https://viking-pictures.s3.us-west-1.amazonaws.com/AA1155/A92.+Torque+Converter+(1).JPG</v>
      </c>
      <c r="F84" s="279" t="str">
        <f t="shared" si="66"/>
        <v>https://viking-pictures.s3.us-west-1.amazonaws.com/AA1155/A92.+Torque+Converter+(2).JPG</v>
      </c>
      <c r="G84" s="279" t="str">
        <f t="shared" si="67"/>
        <v>https://viking-pictures.s3.us-west-1.amazonaws.com/AA1155/A92.+Torque+Converter+(3).JPG</v>
      </c>
      <c r="H84" s="279" t="str">
        <f t="shared" si="68"/>
        <v>https://viking-pictures.s3.us-west-1.amazonaws.com/AA1155/A92.+Torque+Converter+(4).JPG</v>
      </c>
      <c r="I84" s="279" t="str">
        <f t="shared" si="69"/>
        <v/>
      </c>
      <c r="J84" s="279" t="str">
        <f t="shared" si="70"/>
        <v/>
      </c>
      <c r="K84" s="279" t="str">
        <f t="shared" si="71"/>
        <v/>
      </c>
      <c r="L84" s="279" t="str">
        <f t="shared" si="71"/>
        <v/>
      </c>
      <c r="M84" s="279" t="str">
        <f t="shared" si="72"/>
        <v/>
      </c>
      <c r="N84" s="279" t="str">
        <f t="shared" si="73"/>
        <v/>
      </c>
      <c r="O84" s="279" t="str">
        <f t="shared" si="74"/>
        <v/>
      </c>
      <c r="P84" s="279" t="str">
        <f t="shared" si="75"/>
        <v/>
      </c>
      <c r="Q84" s="279" t="str">
        <f t="shared" si="76"/>
        <v/>
      </c>
      <c r="R84" s="279" t="str">
        <f t="shared" si="77"/>
        <v/>
      </c>
      <c r="S84" s="279" t="str">
        <f t="shared" si="78"/>
        <v/>
      </c>
      <c r="T84" s="279" t="str">
        <f t="shared" si="79"/>
        <v/>
      </c>
      <c r="U84" s="279" t="str">
        <f t="shared" si="80"/>
        <v/>
      </c>
      <c r="V84" s="279" t="str">
        <f t="shared" si="81"/>
        <v/>
      </c>
      <c r="W84" s="279" t="str">
        <f t="shared" si="82"/>
        <v/>
      </c>
      <c r="X84" s="279" t="str">
        <f t="shared" si="83"/>
        <v/>
      </c>
      <c r="Y84" s="279" t="str">
        <f t="shared" si="84"/>
        <v/>
      </c>
      <c r="Z84" s="279" t="str">
        <f t="shared" si="85"/>
        <v/>
      </c>
      <c r="AA84" s="279" t="str">
        <f t="shared" si="86"/>
        <v/>
      </c>
      <c r="AB84" s="279" t="str">
        <f t="shared" si="87"/>
        <v/>
      </c>
      <c r="AC84" s="104" t="s">
        <v>1382</v>
      </c>
      <c r="AD84" s="279" t="str">
        <f t="shared" si="88"/>
        <v>A92.+Torque+Converter</v>
      </c>
      <c r="AE84" s="279" t="str">
        <f>_xlfn.XLOOKUP(B84,'3. Keep &amp; Toss Items'!O:O,'3. Keep &amp; Toss Items'!Q:Q,"NOT FOUND",0,1)</f>
        <v>A92. Torque Converter</v>
      </c>
      <c r="AF84" s="279" t="str">
        <f t="shared" si="89"/>
        <v>A92. Torque Converter</v>
      </c>
      <c r="AG84" s="279" t="str">
        <f t="shared" si="90"/>
        <v>A92.+Torque+Converter</v>
      </c>
      <c r="AH84" s="279" t="str">
        <f t="shared" si="91"/>
        <v>A92.+Torque+Converter</v>
      </c>
      <c r="AI84" s="279" t="str">
        <f t="shared" si="92"/>
        <v>A92.+Torque+Converter</v>
      </c>
      <c r="AJ84" s="279" t="str">
        <f t="shared" si="93"/>
        <v>A92.+Torque+Converter</v>
      </c>
      <c r="AK84" s="279" t="str">
        <f t="shared" si="94"/>
        <v>A92.+Torque+Converter</v>
      </c>
      <c r="AL84" s="279" t="str">
        <f t="shared" si="95"/>
        <v>A92.+Torque+Converter</v>
      </c>
      <c r="AM84" s="279" t="str">
        <f t="shared" si="96"/>
        <v>A92.+Torque+Converter</v>
      </c>
      <c r="AN84" s="279" t="str">
        <f t="shared" si="64"/>
        <v>A92.+Torque+Converter</v>
      </c>
      <c r="AO84" s="279" t="str">
        <f t="shared" si="97"/>
        <v>A92.+Torque+Converter</v>
      </c>
      <c r="AP84" s="279" t="str">
        <f t="shared" si="98"/>
        <v>A92.+Torque+Converter</v>
      </c>
      <c r="AQ84" s="280" t="s">
        <v>1395</v>
      </c>
      <c r="AR84" s="280" t="s">
        <v>1396</v>
      </c>
      <c r="AS84" s="280" t="s">
        <v>1397</v>
      </c>
      <c r="AT84" s="280" t="s">
        <v>1398</v>
      </c>
      <c r="AU84" s="280" t="s">
        <v>1399</v>
      </c>
      <c r="AV84" s="280" t="s">
        <v>1400</v>
      </c>
      <c r="AW84" s="280" t="s">
        <v>1401</v>
      </c>
      <c r="AX84" s="280" t="s">
        <v>1402</v>
      </c>
      <c r="AY84" s="280" t="s">
        <v>1403</v>
      </c>
      <c r="AZ84" s="280" t="s">
        <v>1404</v>
      </c>
      <c r="BA84" s="280" t="s">
        <v>1405</v>
      </c>
      <c r="BB84" s="280" t="s">
        <v>1406</v>
      </c>
      <c r="BC84" s="280" t="s">
        <v>1419</v>
      </c>
      <c r="BD84" s="280" t="s">
        <v>1407</v>
      </c>
      <c r="BE84" s="280" t="s">
        <v>1408</v>
      </c>
      <c r="BF84" s="280" t="s">
        <v>1409</v>
      </c>
      <c r="BG84" s="280" t="s">
        <v>1410</v>
      </c>
      <c r="BH84" s="280" t="s">
        <v>1411</v>
      </c>
      <c r="BI84" s="280" t="s">
        <v>1412</v>
      </c>
      <c r="BJ84" s="280" t="s">
        <v>1413</v>
      </c>
      <c r="BK84" s="280" t="s">
        <v>1414</v>
      </c>
      <c r="BL84" s="280" t="s">
        <v>1415</v>
      </c>
      <c r="BM84" s="280" t="s">
        <v>1416</v>
      </c>
      <c r="BN84" s="280" t="s">
        <v>1417</v>
      </c>
      <c r="BO84" s="280" t="s">
        <v>1418</v>
      </c>
      <c r="BP84" s="280" t="s">
        <v>1420</v>
      </c>
      <c r="BQ84" s="134" t="str">
        <f t="shared" si="65"/>
        <v>Pic Example</v>
      </c>
    </row>
    <row r="85" spans="2:69" x14ac:dyDescent="0.25">
      <c r="B85" t="s">
        <v>995</v>
      </c>
      <c r="C85" s="279" t="str">
        <f t="shared" si="99"/>
        <v>https://viking-pictures.s3.us-west-1.amazonaws.com/AA1155/A93.+Steering+Gear+Rack+%26+Pinion+(1).JPG|https://viking-pictures.s3.us-west-1.amazonaws.com/AA1155/A93.+Steering+Gear+Rack+%26+Pinion+(2).JPG|https://viking-pictures.s3.us-west-1.amazonaws.com/AA1155/A93.+Steering+Gear+Rack+%26+Pinion+(3).JPG|https://viking-pictures.s3.us-west-1.amazonaws.com/AA1155/A93.+Steering+Gear+Rack+%26+Pinion+(4).JPG|https://viking-pictures.s3.us-west-1.amazonaws.com/AA1155/A93.+Steering+Gear+Rack+%26+Pinion+(5).JPG|https://viking-pictures.s3.us-west-1.amazonaws.com/AA1155/A93.+Steering+Gear+Rack+%26+Pinion+(6).JPG|https://viking-pictures.s3.us-west-1.amazonaws.com/AA1155/A93.+Steering+Gear+Rack+%26+Pinion+(7).JPG</v>
      </c>
      <c r="D85" s="281">
        <f>_xlfn.XLOOKUP(B85,'3. Keep &amp; Toss Items'!O:O,'3. Keep &amp; Toss Items'!U:U,"NOT FOUND",0,1)</f>
        <v>7</v>
      </c>
      <c r="E85" s="279" t="str">
        <f t="shared" si="63"/>
        <v>https://viking-pictures.s3.us-west-1.amazonaws.com/AA1155/A93.+Steering+Gear+Rack+%26+Pinion+(1).JPG</v>
      </c>
      <c r="F85" s="279" t="str">
        <f t="shared" si="66"/>
        <v>https://viking-pictures.s3.us-west-1.amazonaws.com/AA1155/A93.+Steering+Gear+Rack+%26+Pinion+(2).JPG</v>
      </c>
      <c r="G85" s="279" t="str">
        <f t="shared" si="67"/>
        <v>https://viking-pictures.s3.us-west-1.amazonaws.com/AA1155/A93.+Steering+Gear+Rack+%26+Pinion+(3).JPG</v>
      </c>
      <c r="H85" s="279" t="str">
        <f t="shared" si="68"/>
        <v>https://viking-pictures.s3.us-west-1.amazonaws.com/AA1155/A93.+Steering+Gear+Rack+%26+Pinion+(4).JPG</v>
      </c>
      <c r="I85" s="279" t="str">
        <f t="shared" si="69"/>
        <v>https://viking-pictures.s3.us-west-1.amazonaws.com/AA1155/A93.+Steering+Gear+Rack+%26+Pinion+(5).JPG</v>
      </c>
      <c r="J85" s="279" t="str">
        <f t="shared" si="70"/>
        <v>https://viking-pictures.s3.us-west-1.amazonaws.com/AA1155/A93.+Steering+Gear+Rack+%26+Pinion+(6).JPG</v>
      </c>
      <c r="K85" s="279" t="str">
        <f t="shared" si="71"/>
        <v>https://viking-pictures.s3.us-west-1.amazonaws.com/AA1155/A93.+Steering+Gear+Rack+%26+Pinion+(7).JPG</v>
      </c>
      <c r="L85" s="279" t="str">
        <f t="shared" si="71"/>
        <v/>
      </c>
      <c r="M85" s="279" t="str">
        <f t="shared" si="72"/>
        <v/>
      </c>
      <c r="N85" s="279" t="str">
        <f t="shared" si="73"/>
        <v/>
      </c>
      <c r="O85" s="279" t="str">
        <f t="shared" si="74"/>
        <v/>
      </c>
      <c r="P85" s="279" t="str">
        <f t="shared" si="75"/>
        <v/>
      </c>
      <c r="Q85" s="279" t="str">
        <f t="shared" si="76"/>
        <v/>
      </c>
      <c r="R85" s="279" t="str">
        <f t="shared" si="77"/>
        <v/>
      </c>
      <c r="S85" s="279" t="str">
        <f t="shared" si="78"/>
        <v/>
      </c>
      <c r="T85" s="279" t="str">
        <f t="shared" si="79"/>
        <v/>
      </c>
      <c r="U85" s="279" t="str">
        <f t="shared" si="80"/>
        <v/>
      </c>
      <c r="V85" s="279" t="str">
        <f t="shared" si="81"/>
        <v/>
      </c>
      <c r="W85" s="279" t="str">
        <f t="shared" si="82"/>
        <v/>
      </c>
      <c r="X85" s="279" t="str">
        <f t="shared" si="83"/>
        <v/>
      </c>
      <c r="Y85" s="279" t="str">
        <f t="shared" si="84"/>
        <v/>
      </c>
      <c r="Z85" s="279" t="str">
        <f t="shared" si="85"/>
        <v/>
      </c>
      <c r="AA85" s="279" t="str">
        <f t="shared" si="86"/>
        <v/>
      </c>
      <c r="AB85" s="279" t="str">
        <f t="shared" si="87"/>
        <v/>
      </c>
      <c r="AC85" s="104" t="s">
        <v>1382</v>
      </c>
      <c r="AD85" s="279" t="str">
        <f t="shared" si="88"/>
        <v>A93.+Steering+Gear+Rack+%26+Pinion</v>
      </c>
      <c r="AE85" s="279" t="str">
        <f>_xlfn.XLOOKUP(B85,'3. Keep &amp; Toss Items'!O:O,'3. Keep &amp; Toss Items'!Q:Q,"NOT FOUND",0,1)</f>
        <v>A93. Steering Gear Rack &amp; Pinion</v>
      </c>
      <c r="AF85" s="279" t="str">
        <f t="shared" si="89"/>
        <v>A93. Steering Gear Rack &amp; Pinion</v>
      </c>
      <c r="AG85" s="279" t="str">
        <f t="shared" si="90"/>
        <v>A93.+Steering+Gear+Rack+&amp;+Pinion</v>
      </c>
      <c r="AH85" s="279" t="str">
        <f t="shared" si="91"/>
        <v>A93.+Steering+Gear+Rack+&amp;+Pinion</v>
      </c>
      <c r="AI85" s="279" t="str">
        <f t="shared" si="92"/>
        <v>A93.+Steering+Gear+Rack+&amp;+Pinion</v>
      </c>
      <c r="AJ85" s="279" t="str">
        <f t="shared" si="93"/>
        <v>A93.+Steering+Gear+Rack+&amp;+Pinion</v>
      </c>
      <c r="AK85" s="279" t="str">
        <f t="shared" si="94"/>
        <v>A93.+Steering+Gear+Rack+&amp;+Pinion</v>
      </c>
      <c r="AL85" s="279" t="str">
        <f t="shared" si="95"/>
        <v>A93.+Steering+Gear+Rack+%26+Pinion</v>
      </c>
      <c r="AM85" s="279" t="str">
        <f t="shared" si="96"/>
        <v>A93.+Steering+Gear+Rack+%26+Pinion</v>
      </c>
      <c r="AN85" s="279" t="str">
        <f t="shared" si="64"/>
        <v>A93.+Steering+Gear+Rack+%26+Pinion</v>
      </c>
      <c r="AO85" s="279" t="str">
        <f t="shared" si="97"/>
        <v>A93.+Steering+Gear+Rack+%26+Pinion</v>
      </c>
      <c r="AP85" s="279" t="str">
        <f t="shared" si="98"/>
        <v>A93.+Steering+Gear+Rack+%26+Pinion</v>
      </c>
      <c r="AQ85" s="280" t="s">
        <v>1395</v>
      </c>
      <c r="AR85" s="280" t="s">
        <v>1396</v>
      </c>
      <c r="AS85" s="280" t="s">
        <v>1397</v>
      </c>
      <c r="AT85" s="280" t="s">
        <v>1398</v>
      </c>
      <c r="AU85" s="280" t="s">
        <v>1399</v>
      </c>
      <c r="AV85" s="280" t="s">
        <v>1400</v>
      </c>
      <c r="AW85" s="280" t="s">
        <v>1401</v>
      </c>
      <c r="AX85" s="280" t="s">
        <v>1402</v>
      </c>
      <c r="AY85" s="280" t="s">
        <v>1403</v>
      </c>
      <c r="AZ85" s="280" t="s">
        <v>1404</v>
      </c>
      <c r="BA85" s="280" t="s">
        <v>1405</v>
      </c>
      <c r="BB85" s="280" t="s">
        <v>1406</v>
      </c>
      <c r="BC85" s="280" t="s">
        <v>1419</v>
      </c>
      <c r="BD85" s="280" t="s">
        <v>1407</v>
      </c>
      <c r="BE85" s="280" t="s">
        <v>1408</v>
      </c>
      <c r="BF85" s="280" t="s">
        <v>1409</v>
      </c>
      <c r="BG85" s="280" t="s">
        <v>1410</v>
      </c>
      <c r="BH85" s="280" t="s">
        <v>1411</v>
      </c>
      <c r="BI85" s="280" t="s">
        <v>1412</v>
      </c>
      <c r="BJ85" s="280" t="s">
        <v>1413</v>
      </c>
      <c r="BK85" s="280" t="s">
        <v>1414</v>
      </c>
      <c r="BL85" s="280" t="s">
        <v>1415</v>
      </c>
      <c r="BM85" s="280" t="s">
        <v>1416</v>
      </c>
      <c r="BN85" s="280" t="s">
        <v>1417</v>
      </c>
      <c r="BO85" s="280" t="s">
        <v>1418</v>
      </c>
      <c r="BP85" s="280" t="s">
        <v>1420</v>
      </c>
      <c r="BQ85" s="134" t="str">
        <f t="shared" si="65"/>
        <v>Pic Example</v>
      </c>
    </row>
    <row r="86" spans="2:69" x14ac:dyDescent="0.25">
      <c r="B86" t="s">
        <v>996</v>
      </c>
      <c r="C86" s="279" t="str">
        <f t="shared" si="99"/>
        <v>https://viking-pictures.s3.us-west-1.amazonaws.com/AA1155/A94.+Driveshaft%2C+REAR+-+RWD+(1).JPG|https://viking-pictures.s3.us-west-1.amazonaws.com/AA1155/A94.+Driveshaft%2C+REAR+-+RWD+(2).JPG|https://viking-pictures.s3.us-west-1.amazonaws.com/AA1155/A94.+Driveshaft%2C+REAR+-+RWD+(3).JPG|https://viking-pictures.s3.us-west-1.amazonaws.com/AA1155/A94.+Driveshaft%2C+REAR+-+RWD+(4).JPG|https://viking-pictures.s3.us-west-1.amazonaws.com/AA1155/A94.+Driveshaft%2C+REAR+-+RWD+(5).JPG</v>
      </c>
      <c r="D86" s="281">
        <f>_xlfn.XLOOKUP(B86,'3. Keep &amp; Toss Items'!O:O,'3. Keep &amp; Toss Items'!U:U,"NOT FOUND",0,1)</f>
        <v>5</v>
      </c>
      <c r="E86" s="279" t="str">
        <f t="shared" si="63"/>
        <v>https://viking-pictures.s3.us-west-1.amazonaws.com/AA1155/A94.+Driveshaft%2C+REAR+-+RWD+(1).JPG</v>
      </c>
      <c r="F86" s="279" t="str">
        <f t="shared" si="66"/>
        <v>https://viking-pictures.s3.us-west-1.amazonaws.com/AA1155/A94.+Driveshaft%2C+REAR+-+RWD+(2).JPG</v>
      </c>
      <c r="G86" s="279" t="str">
        <f t="shared" si="67"/>
        <v>https://viking-pictures.s3.us-west-1.amazonaws.com/AA1155/A94.+Driveshaft%2C+REAR+-+RWD+(3).JPG</v>
      </c>
      <c r="H86" s="279" t="str">
        <f t="shared" si="68"/>
        <v>https://viking-pictures.s3.us-west-1.amazonaws.com/AA1155/A94.+Driveshaft%2C+REAR+-+RWD+(4).JPG</v>
      </c>
      <c r="I86" s="279" t="str">
        <f t="shared" si="69"/>
        <v>https://viking-pictures.s3.us-west-1.amazonaws.com/AA1155/A94.+Driveshaft%2C+REAR+-+RWD+(5).JPG</v>
      </c>
      <c r="J86" s="279" t="str">
        <f t="shared" si="70"/>
        <v/>
      </c>
      <c r="K86" s="279" t="str">
        <f t="shared" si="71"/>
        <v/>
      </c>
      <c r="L86" s="279" t="str">
        <f t="shared" si="71"/>
        <v/>
      </c>
      <c r="M86" s="279" t="str">
        <f t="shared" si="72"/>
        <v/>
      </c>
      <c r="N86" s="279" t="str">
        <f t="shared" si="73"/>
        <v/>
      </c>
      <c r="O86" s="279" t="str">
        <f t="shared" si="74"/>
        <v/>
      </c>
      <c r="P86" s="279" t="str">
        <f t="shared" si="75"/>
        <v/>
      </c>
      <c r="Q86" s="279" t="str">
        <f t="shared" si="76"/>
        <v/>
      </c>
      <c r="R86" s="279" t="str">
        <f t="shared" si="77"/>
        <v/>
      </c>
      <c r="S86" s="279" t="str">
        <f t="shared" si="78"/>
        <v/>
      </c>
      <c r="T86" s="279" t="str">
        <f t="shared" si="79"/>
        <v/>
      </c>
      <c r="U86" s="279" t="str">
        <f t="shared" si="80"/>
        <v/>
      </c>
      <c r="V86" s="279" t="str">
        <f t="shared" si="81"/>
        <v/>
      </c>
      <c r="W86" s="279" t="str">
        <f t="shared" si="82"/>
        <v/>
      </c>
      <c r="X86" s="279" t="str">
        <f t="shared" si="83"/>
        <v/>
      </c>
      <c r="Y86" s="279" t="str">
        <f t="shared" si="84"/>
        <v/>
      </c>
      <c r="Z86" s="279" t="str">
        <f t="shared" si="85"/>
        <v/>
      </c>
      <c r="AA86" s="279" t="str">
        <f t="shared" si="86"/>
        <v/>
      </c>
      <c r="AB86" s="279" t="str">
        <f t="shared" si="87"/>
        <v/>
      </c>
      <c r="AC86" s="104" t="s">
        <v>1382</v>
      </c>
      <c r="AD86" s="279" t="str">
        <f t="shared" si="88"/>
        <v>A94.+Driveshaft%2C+REAR+-+RWD</v>
      </c>
      <c r="AE86" s="279" t="str">
        <f>_xlfn.XLOOKUP(B86,'3. Keep &amp; Toss Items'!O:O,'3. Keep &amp; Toss Items'!Q:Q,"NOT FOUND",0,1)</f>
        <v>A94. Driveshaft, REAR - RWD</v>
      </c>
      <c r="AF86" s="279" t="str">
        <f t="shared" si="89"/>
        <v>A94. Driveshaft, REAR - RWD</v>
      </c>
      <c r="AG86" s="279" t="str">
        <f t="shared" si="90"/>
        <v>A94.+Driveshaft,+REAR+-+RWD</v>
      </c>
      <c r="AH86" s="279" t="str">
        <f t="shared" si="91"/>
        <v>A94.+Driveshaft%2C+REAR+-+RWD</v>
      </c>
      <c r="AI86" s="279" t="str">
        <f t="shared" si="92"/>
        <v>A94.+Driveshaft%2C+REAR+-+RWD</v>
      </c>
      <c r="AJ86" s="279" t="str">
        <f t="shared" si="93"/>
        <v>A94.+Driveshaft%2C+REAR+-+RWD</v>
      </c>
      <c r="AK86" s="279" t="str">
        <f t="shared" si="94"/>
        <v>A94.+Driveshaft%2C+REAR+-+RWD</v>
      </c>
      <c r="AL86" s="279" t="str">
        <f t="shared" si="95"/>
        <v>A94.+Driveshaft%2C+REAR+-+RWD</v>
      </c>
      <c r="AM86" s="279" t="str">
        <f t="shared" si="96"/>
        <v>A94.+Driveshaft%2C+REAR+-+RWD</v>
      </c>
      <c r="AN86" s="279" t="str">
        <f t="shared" si="64"/>
        <v>A94.+Driveshaft%2C+REAR+-+RWD</v>
      </c>
      <c r="AO86" s="279" t="str">
        <f t="shared" si="97"/>
        <v>A94.+Driveshaft%2C+REAR+-+RWD</v>
      </c>
      <c r="AP86" s="279" t="str">
        <f t="shared" si="98"/>
        <v>A94.+Driveshaft%2C+REAR+-+RWD</v>
      </c>
      <c r="AQ86" s="280" t="s">
        <v>1395</v>
      </c>
      <c r="AR86" s="280" t="s">
        <v>1396</v>
      </c>
      <c r="AS86" s="280" t="s">
        <v>1397</v>
      </c>
      <c r="AT86" s="280" t="s">
        <v>1398</v>
      </c>
      <c r="AU86" s="280" t="s">
        <v>1399</v>
      </c>
      <c r="AV86" s="280" t="s">
        <v>1400</v>
      </c>
      <c r="AW86" s="280" t="s">
        <v>1401</v>
      </c>
      <c r="AX86" s="280" t="s">
        <v>1402</v>
      </c>
      <c r="AY86" s="280" t="s">
        <v>1403</v>
      </c>
      <c r="AZ86" s="280" t="s">
        <v>1404</v>
      </c>
      <c r="BA86" s="280" t="s">
        <v>1405</v>
      </c>
      <c r="BB86" s="280" t="s">
        <v>1406</v>
      </c>
      <c r="BC86" s="280" t="s">
        <v>1419</v>
      </c>
      <c r="BD86" s="280" t="s">
        <v>1407</v>
      </c>
      <c r="BE86" s="280" t="s">
        <v>1408</v>
      </c>
      <c r="BF86" s="280" t="s">
        <v>1409</v>
      </c>
      <c r="BG86" s="280" t="s">
        <v>1410</v>
      </c>
      <c r="BH86" s="280" t="s">
        <v>1411</v>
      </c>
      <c r="BI86" s="280" t="s">
        <v>1412</v>
      </c>
      <c r="BJ86" s="280" t="s">
        <v>1413</v>
      </c>
      <c r="BK86" s="280" t="s">
        <v>1414</v>
      </c>
      <c r="BL86" s="280" t="s">
        <v>1415</v>
      </c>
      <c r="BM86" s="280" t="s">
        <v>1416</v>
      </c>
      <c r="BN86" s="280" t="s">
        <v>1417</v>
      </c>
      <c r="BO86" s="280" t="s">
        <v>1418</v>
      </c>
      <c r="BP86" s="280" t="s">
        <v>1420</v>
      </c>
      <c r="BQ86" s="134" t="str">
        <f t="shared" si="65"/>
        <v>Pic Example</v>
      </c>
    </row>
    <row r="87" spans="2:69" x14ac:dyDescent="0.25">
      <c r="B87" t="s">
        <v>997</v>
      </c>
      <c r="C87" s="279" t="str">
        <f t="shared" si="99"/>
        <v>https://viking-pictures.s3.us-west-1.amazonaws.com/AA1155/A95.+Transmission+Oil+Pump%2C+Mechanical+(1).JPG|https://viking-pictures.s3.us-west-1.amazonaws.com/AA1155/A95.+Transmission+Oil+Pump%2C+Mechanical+(2).JPG|https://viking-pictures.s3.us-west-1.amazonaws.com/AA1155/A95.+Transmission+Oil+Pump%2C+Mechanical+(3).JPG|https://viking-pictures.s3.us-west-1.amazonaws.com/AA1155/A95.+Transmission+Oil+Pump%2C+Mechanical+(4).JPG|https://viking-pictures.s3.us-west-1.amazonaws.com/AA1155/A95.+Transmission+Oil+Pump%2C+Mechanical+(5).JPG|https://viking-pictures.s3.us-west-1.amazonaws.com/AA1155/A95.+Transmission+Oil+Pump%2C+Mechanical+(6).JPG</v>
      </c>
      <c r="D87" s="281">
        <f>_xlfn.XLOOKUP(B87,'3. Keep &amp; Toss Items'!O:O,'3. Keep &amp; Toss Items'!U:U,"NOT FOUND",0,1)</f>
        <v>6</v>
      </c>
      <c r="E87" s="279" t="str">
        <f t="shared" si="63"/>
        <v>https://viking-pictures.s3.us-west-1.amazonaws.com/AA1155/A95.+Transmission+Oil+Pump%2C+Mechanical+(1).JPG</v>
      </c>
      <c r="F87" s="279" t="str">
        <f t="shared" si="66"/>
        <v>https://viking-pictures.s3.us-west-1.amazonaws.com/AA1155/A95.+Transmission+Oil+Pump%2C+Mechanical+(2).JPG</v>
      </c>
      <c r="G87" s="279" t="str">
        <f t="shared" si="67"/>
        <v>https://viking-pictures.s3.us-west-1.amazonaws.com/AA1155/A95.+Transmission+Oil+Pump%2C+Mechanical+(3).JPG</v>
      </c>
      <c r="H87" s="279" t="str">
        <f t="shared" si="68"/>
        <v>https://viking-pictures.s3.us-west-1.amazonaws.com/AA1155/A95.+Transmission+Oil+Pump%2C+Mechanical+(4).JPG</v>
      </c>
      <c r="I87" s="279" t="str">
        <f t="shared" si="69"/>
        <v>https://viking-pictures.s3.us-west-1.amazonaws.com/AA1155/A95.+Transmission+Oil+Pump%2C+Mechanical+(5).JPG</v>
      </c>
      <c r="J87" s="279" t="str">
        <f t="shared" si="70"/>
        <v>https://viking-pictures.s3.us-west-1.amazonaws.com/AA1155/A95.+Transmission+Oil+Pump%2C+Mechanical+(6).JPG</v>
      </c>
      <c r="K87" s="279" t="str">
        <f t="shared" si="71"/>
        <v/>
      </c>
      <c r="L87" s="279" t="str">
        <f t="shared" si="71"/>
        <v/>
      </c>
      <c r="M87" s="279" t="str">
        <f t="shared" si="72"/>
        <v/>
      </c>
      <c r="N87" s="279" t="str">
        <f t="shared" si="73"/>
        <v/>
      </c>
      <c r="O87" s="279" t="str">
        <f t="shared" si="74"/>
        <v/>
      </c>
      <c r="P87" s="279" t="str">
        <f t="shared" si="75"/>
        <v/>
      </c>
      <c r="Q87" s="279" t="str">
        <f t="shared" si="76"/>
        <v/>
      </c>
      <c r="R87" s="279" t="str">
        <f t="shared" si="77"/>
        <v/>
      </c>
      <c r="S87" s="279" t="str">
        <f t="shared" si="78"/>
        <v/>
      </c>
      <c r="T87" s="279" t="str">
        <f t="shared" si="79"/>
        <v/>
      </c>
      <c r="U87" s="279" t="str">
        <f t="shared" si="80"/>
        <v/>
      </c>
      <c r="V87" s="279" t="str">
        <f t="shared" si="81"/>
        <v/>
      </c>
      <c r="W87" s="279" t="str">
        <f t="shared" si="82"/>
        <v/>
      </c>
      <c r="X87" s="279" t="str">
        <f t="shared" si="83"/>
        <v/>
      </c>
      <c r="Y87" s="279" t="str">
        <f t="shared" si="84"/>
        <v/>
      </c>
      <c r="Z87" s="279" t="str">
        <f t="shared" si="85"/>
        <v/>
      </c>
      <c r="AA87" s="279" t="str">
        <f t="shared" si="86"/>
        <v/>
      </c>
      <c r="AB87" s="279" t="str">
        <f t="shared" si="87"/>
        <v/>
      </c>
      <c r="AC87" s="104" t="s">
        <v>1382</v>
      </c>
      <c r="AD87" s="279" t="str">
        <f t="shared" si="88"/>
        <v>A95.+Transmission+Oil+Pump%2C+Mechanical</v>
      </c>
      <c r="AE87" s="279" t="str">
        <f>_xlfn.XLOOKUP(B87,'3. Keep &amp; Toss Items'!O:O,'3. Keep &amp; Toss Items'!Q:Q,"NOT FOUND",0,1)</f>
        <v>A95. Transmission Oil Pump, Mechanical</v>
      </c>
      <c r="AF87" s="279" t="str">
        <f t="shared" si="89"/>
        <v>A95. Transmission Oil Pump, Mechanical</v>
      </c>
      <c r="AG87" s="279" t="str">
        <f t="shared" si="90"/>
        <v>A95.+Transmission+Oil+Pump,+Mechanical</v>
      </c>
      <c r="AH87" s="279" t="str">
        <f t="shared" si="91"/>
        <v>A95.+Transmission+Oil+Pump%2C+Mechanical</v>
      </c>
      <c r="AI87" s="279" t="str">
        <f t="shared" si="92"/>
        <v>A95.+Transmission+Oil+Pump%2C+Mechanical</v>
      </c>
      <c r="AJ87" s="279" t="str">
        <f t="shared" si="93"/>
        <v>A95.+Transmission+Oil+Pump%2C+Mechanical</v>
      </c>
      <c r="AK87" s="279" t="str">
        <f t="shared" si="94"/>
        <v>A95.+Transmission+Oil+Pump%2C+Mechanical</v>
      </c>
      <c r="AL87" s="279" t="str">
        <f t="shared" si="95"/>
        <v>A95.+Transmission+Oil+Pump%2C+Mechanical</v>
      </c>
      <c r="AM87" s="279" t="str">
        <f t="shared" si="96"/>
        <v>A95.+Transmission+Oil+Pump%2C+Mechanical</v>
      </c>
      <c r="AN87" s="279" t="str">
        <f t="shared" si="64"/>
        <v>A95.+Transmission+Oil+Pump%2C+Mechanical</v>
      </c>
      <c r="AO87" s="279" t="str">
        <f t="shared" si="97"/>
        <v>A95.+Transmission+Oil+Pump%2C+Mechanical</v>
      </c>
      <c r="AP87" s="279" t="str">
        <f t="shared" si="98"/>
        <v>A95.+Transmission+Oil+Pump%2C+Mechanical</v>
      </c>
      <c r="AQ87" s="280" t="s">
        <v>1395</v>
      </c>
      <c r="AR87" s="280" t="s">
        <v>1396</v>
      </c>
      <c r="AS87" s="280" t="s">
        <v>1397</v>
      </c>
      <c r="AT87" s="280" t="s">
        <v>1398</v>
      </c>
      <c r="AU87" s="280" t="s">
        <v>1399</v>
      </c>
      <c r="AV87" s="280" t="s">
        <v>1400</v>
      </c>
      <c r="AW87" s="280" t="s">
        <v>1401</v>
      </c>
      <c r="AX87" s="280" t="s">
        <v>1402</v>
      </c>
      <c r="AY87" s="280" t="s">
        <v>1403</v>
      </c>
      <c r="AZ87" s="280" t="s">
        <v>1404</v>
      </c>
      <c r="BA87" s="280" t="s">
        <v>1405</v>
      </c>
      <c r="BB87" s="280" t="s">
        <v>1406</v>
      </c>
      <c r="BC87" s="280" t="s">
        <v>1419</v>
      </c>
      <c r="BD87" s="280" t="s">
        <v>1407</v>
      </c>
      <c r="BE87" s="280" t="s">
        <v>1408</v>
      </c>
      <c r="BF87" s="280" t="s">
        <v>1409</v>
      </c>
      <c r="BG87" s="280" t="s">
        <v>1410</v>
      </c>
      <c r="BH87" s="280" t="s">
        <v>1411</v>
      </c>
      <c r="BI87" s="280" t="s">
        <v>1412</v>
      </c>
      <c r="BJ87" s="280" t="s">
        <v>1413</v>
      </c>
      <c r="BK87" s="280" t="s">
        <v>1414</v>
      </c>
      <c r="BL87" s="280" t="s">
        <v>1415</v>
      </c>
      <c r="BM87" s="280" t="s">
        <v>1416</v>
      </c>
      <c r="BN87" s="280" t="s">
        <v>1417</v>
      </c>
      <c r="BO87" s="280" t="s">
        <v>1418</v>
      </c>
      <c r="BP87" s="280" t="s">
        <v>1420</v>
      </c>
      <c r="BQ87" s="134" t="str">
        <f t="shared" si="65"/>
        <v>Pic Example</v>
      </c>
    </row>
    <row r="88" spans="2:69" x14ac:dyDescent="0.25">
      <c r="B88" t="s">
        <v>998</v>
      </c>
      <c r="C88" s="279" t="str">
        <f t="shared" si="99"/>
        <v>https://viking-pictures.s3.us-west-1.amazonaws.com/AA1155/A96.+Valve+Body+(1).JPG|https://viking-pictures.s3.us-west-1.amazonaws.com/AA1155/A96.+Valve+Body+(2).JPG|https://viking-pictures.s3.us-west-1.amazonaws.com/AA1155/A96.+Valve+Body+(3).JPG|https://viking-pictures.s3.us-west-1.amazonaws.com/AA1155/A96.+Valve+Body+(4).JPG|https://viking-pictures.s3.us-west-1.amazonaws.com/AA1155/A96.+Valve+Body+(5).JPG|https://viking-pictures.s3.us-west-1.amazonaws.com/AA1155/A96.+Valve+Body+(6).JPG</v>
      </c>
      <c r="D88" s="281">
        <f>_xlfn.XLOOKUP(B88,'3. Keep &amp; Toss Items'!O:O,'3. Keep &amp; Toss Items'!U:U,"NOT FOUND",0,1)</f>
        <v>6</v>
      </c>
      <c r="E88" s="279" t="str">
        <f t="shared" si="63"/>
        <v>https://viking-pictures.s3.us-west-1.amazonaws.com/AA1155/A96.+Valve+Body+(1).JPG</v>
      </c>
      <c r="F88" s="279" t="str">
        <f t="shared" si="66"/>
        <v>https://viking-pictures.s3.us-west-1.amazonaws.com/AA1155/A96.+Valve+Body+(2).JPG</v>
      </c>
      <c r="G88" s="279" t="str">
        <f t="shared" si="67"/>
        <v>https://viking-pictures.s3.us-west-1.amazonaws.com/AA1155/A96.+Valve+Body+(3).JPG</v>
      </c>
      <c r="H88" s="279" t="str">
        <f t="shared" si="68"/>
        <v>https://viking-pictures.s3.us-west-1.amazonaws.com/AA1155/A96.+Valve+Body+(4).JPG</v>
      </c>
      <c r="I88" s="279" t="str">
        <f t="shared" si="69"/>
        <v>https://viking-pictures.s3.us-west-1.amazonaws.com/AA1155/A96.+Valve+Body+(5).JPG</v>
      </c>
      <c r="J88" s="279" t="str">
        <f t="shared" si="70"/>
        <v>https://viking-pictures.s3.us-west-1.amazonaws.com/AA1155/A96.+Valve+Body+(6).JPG</v>
      </c>
      <c r="K88" s="279" t="str">
        <f t="shared" si="71"/>
        <v/>
      </c>
      <c r="L88" s="279" t="str">
        <f t="shared" si="71"/>
        <v/>
      </c>
      <c r="M88" s="279" t="str">
        <f t="shared" si="72"/>
        <v/>
      </c>
      <c r="N88" s="279" t="str">
        <f t="shared" si="73"/>
        <v/>
      </c>
      <c r="O88" s="279" t="str">
        <f t="shared" si="74"/>
        <v/>
      </c>
      <c r="P88" s="279" t="str">
        <f t="shared" si="75"/>
        <v/>
      </c>
      <c r="Q88" s="279" t="str">
        <f t="shared" si="76"/>
        <v/>
      </c>
      <c r="R88" s="279" t="str">
        <f t="shared" si="77"/>
        <v/>
      </c>
      <c r="S88" s="279" t="str">
        <f t="shared" si="78"/>
        <v/>
      </c>
      <c r="T88" s="279" t="str">
        <f t="shared" si="79"/>
        <v/>
      </c>
      <c r="U88" s="279" t="str">
        <f t="shared" si="80"/>
        <v/>
      </c>
      <c r="V88" s="279" t="str">
        <f t="shared" si="81"/>
        <v/>
      </c>
      <c r="W88" s="279" t="str">
        <f t="shared" si="82"/>
        <v/>
      </c>
      <c r="X88" s="279" t="str">
        <f t="shared" si="83"/>
        <v/>
      </c>
      <c r="Y88" s="279" t="str">
        <f t="shared" si="84"/>
        <v/>
      </c>
      <c r="Z88" s="279" t="str">
        <f t="shared" si="85"/>
        <v/>
      </c>
      <c r="AA88" s="279" t="str">
        <f t="shared" si="86"/>
        <v/>
      </c>
      <c r="AB88" s="279" t="str">
        <f t="shared" si="87"/>
        <v/>
      </c>
      <c r="AC88" s="104" t="s">
        <v>1382</v>
      </c>
      <c r="AD88" s="279" t="str">
        <f t="shared" si="88"/>
        <v>A96.+Valve+Body</v>
      </c>
      <c r="AE88" s="279" t="str">
        <f>_xlfn.XLOOKUP(B88,'3. Keep &amp; Toss Items'!O:O,'3. Keep &amp; Toss Items'!Q:Q,"NOT FOUND",0,1)</f>
        <v>A96. Valve Body</v>
      </c>
      <c r="AF88" s="279" t="str">
        <f t="shared" si="89"/>
        <v>A96. Valve Body</v>
      </c>
      <c r="AG88" s="279" t="str">
        <f t="shared" si="90"/>
        <v>A96.+Valve+Body</v>
      </c>
      <c r="AH88" s="279" t="str">
        <f t="shared" si="91"/>
        <v>A96.+Valve+Body</v>
      </c>
      <c r="AI88" s="279" t="str">
        <f t="shared" si="92"/>
        <v>A96.+Valve+Body</v>
      </c>
      <c r="AJ88" s="279" t="str">
        <f t="shared" si="93"/>
        <v>A96.+Valve+Body</v>
      </c>
      <c r="AK88" s="279" t="str">
        <f t="shared" si="94"/>
        <v>A96.+Valve+Body</v>
      </c>
      <c r="AL88" s="279" t="str">
        <f t="shared" si="95"/>
        <v>A96.+Valve+Body</v>
      </c>
      <c r="AM88" s="279" t="str">
        <f t="shared" si="96"/>
        <v>A96.+Valve+Body</v>
      </c>
      <c r="AN88" s="279" t="str">
        <f t="shared" si="64"/>
        <v>A96.+Valve+Body</v>
      </c>
      <c r="AO88" s="279" t="str">
        <f t="shared" si="97"/>
        <v>A96.+Valve+Body</v>
      </c>
      <c r="AP88" s="279" t="str">
        <f t="shared" si="98"/>
        <v>A96.+Valve+Body</v>
      </c>
      <c r="AQ88" s="280" t="s">
        <v>1395</v>
      </c>
      <c r="AR88" s="280" t="s">
        <v>1396</v>
      </c>
      <c r="AS88" s="280" t="s">
        <v>1397</v>
      </c>
      <c r="AT88" s="280" t="s">
        <v>1398</v>
      </c>
      <c r="AU88" s="280" t="s">
        <v>1399</v>
      </c>
      <c r="AV88" s="280" t="s">
        <v>1400</v>
      </c>
      <c r="AW88" s="280" t="s">
        <v>1401</v>
      </c>
      <c r="AX88" s="280" t="s">
        <v>1402</v>
      </c>
      <c r="AY88" s="280" t="s">
        <v>1403</v>
      </c>
      <c r="AZ88" s="280" t="s">
        <v>1404</v>
      </c>
      <c r="BA88" s="280" t="s">
        <v>1405</v>
      </c>
      <c r="BB88" s="280" t="s">
        <v>1406</v>
      </c>
      <c r="BC88" s="280" t="s">
        <v>1419</v>
      </c>
      <c r="BD88" s="280" t="s">
        <v>1407</v>
      </c>
      <c r="BE88" s="280" t="s">
        <v>1408</v>
      </c>
      <c r="BF88" s="280" t="s">
        <v>1409</v>
      </c>
      <c r="BG88" s="280" t="s">
        <v>1410</v>
      </c>
      <c r="BH88" s="280" t="s">
        <v>1411</v>
      </c>
      <c r="BI88" s="280" t="s">
        <v>1412</v>
      </c>
      <c r="BJ88" s="280" t="s">
        <v>1413</v>
      </c>
      <c r="BK88" s="280" t="s">
        <v>1414</v>
      </c>
      <c r="BL88" s="280" t="s">
        <v>1415</v>
      </c>
      <c r="BM88" s="280" t="s">
        <v>1416</v>
      </c>
      <c r="BN88" s="280" t="s">
        <v>1417</v>
      </c>
      <c r="BO88" s="280" t="s">
        <v>1418</v>
      </c>
      <c r="BP88" s="280" t="s">
        <v>1420</v>
      </c>
      <c r="BQ88" s="134" t="str">
        <f t="shared" si="65"/>
        <v>Pic Example</v>
      </c>
    </row>
    <row r="89" spans="2:69" x14ac:dyDescent="0.25">
      <c r="B89" t="s">
        <v>999</v>
      </c>
      <c r="C89" s="279" t="str">
        <f t="shared" si="99"/>
        <v>https://viking-pictures.s3.us-west-1.amazonaws.com/AA1155/A97.+Sunroof%2C+Glass+-+PANORAMIC%2C+FRONT+(1).JPG|https://viking-pictures.s3.us-west-1.amazonaws.com/AA1155/A97.+Sunroof%2C+Glass+-+PANORAMIC%2C+FRONT+(2).JPG|https://viking-pictures.s3.us-west-1.amazonaws.com/AA1155/A97.+Sunroof%2C+Glass+-+PANORAMIC%2C+FRONT+(3).JPG|https://viking-pictures.s3.us-west-1.amazonaws.com/AA1155/A97.+Sunroof%2C+Glass+-+PANORAMIC%2C+FRONT+(4).JPG|https://viking-pictures.s3.us-west-1.amazonaws.com/AA1155/A97.+Sunroof%2C+Glass+-+PANORAMIC%2C+FRONT+(5).JPG|https://viking-pictures.s3.us-west-1.amazonaws.com/AA1155/A97.+Sunroof%2C+Glass+-+PANORAMIC%2C+FRONT+(6).JPG</v>
      </c>
      <c r="D89" s="281">
        <f>_xlfn.XLOOKUP(B89,'3. Keep &amp; Toss Items'!O:O,'3. Keep &amp; Toss Items'!U:U,"NOT FOUND",0,1)</f>
        <v>6</v>
      </c>
      <c r="E89" s="279" t="str">
        <f t="shared" si="63"/>
        <v>https://viking-pictures.s3.us-west-1.amazonaws.com/AA1155/A97.+Sunroof%2C+Glass+-+PANORAMIC%2C+FRONT+(1).JPG</v>
      </c>
      <c r="F89" s="279" t="str">
        <f t="shared" si="66"/>
        <v>https://viking-pictures.s3.us-west-1.amazonaws.com/AA1155/A97.+Sunroof%2C+Glass+-+PANORAMIC%2C+FRONT+(2).JPG</v>
      </c>
      <c r="G89" s="279" t="str">
        <f t="shared" si="67"/>
        <v>https://viking-pictures.s3.us-west-1.amazonaws.com/AA1155/A97.+Sunroof%2C+Glass+-+PANORAMIC%2C+FRONT+(3).JPG</v>
      </c>
      <c r="H89" s="279" t="str">
        <f t="shared" si="68"/>
        <v>https://viking-pictures.s3.us-west-1.amazonaws.com/AA1155/A97.+Sunroof%2C+Glass+-+PANORAMIC%2C+FRONT+(4).JPG</v>
      </c>
      <c r="I89" s="279" t="str">
        <f t="shared" si="69"/>
        <v>https://viking-pictures.s3.us-west-1.amazonaws.com/AA1155/A97.+Sunroof%2C+Glass+-+PANORAMIC%2C+FRONT+(5).JPG</v>
      </c>
      <c r="J89" s="279" t="str">
        <f t="shared" si="70"/>
        <v>https://viking-pictures.s3.us-west-1.amazonaws.com/AA1155/A97.+Sunroof%2C+Glass+-+PANORAMIC%2C+FRONT+(6).JPG</v>
      </c>
      <c r="K89" s="279" t="str">
        <f t="shared" si="71"/>
        <v/>
      </c>
      <c r="L89" s="279" t="str">
        <f t="shared" si="71"/>
        <v/>
      </c>
      <c r="M89" s="279" t="str">
        <f t="shared" si="72"/>
        <v/>
      </c>
      <c r="N89" s="279" t="str">
        <f t="shared" si="73"/>
        <v/>
      </c>
      <c r="O89" s="279" t="str">
        <f t="shared" si="74"/>
        <v/>
      </c>
      <c r="P89" s="279" t="str">
        <f t="shared" si="75"/>
        <v/>
      </c>
      <c r="Q89" s="279" t="str">
        <f t="shared" si="76"/>
        <v/>
      </c>
      <c r="R89" s="279" t="str">
        <f t="shared" si="77"/>
        <v/>
      </c>
      <c r="S89" s="279" t="str">
        <f t="shared" si="78"/>
        <v/>
      </c>
      <c r="T89" s="279" t="str">
        <f t="shared" si="79"/>
        <v/>
      </c>
      <c r="U89" s="279" t="str">
        <f t="shared" si="80"/>
        <v/>
      </c>
      <c r="V89" s="279" t="str">
        <f t="shared" si="81"/>
        <v/>
      </c>
      <c r="W89" s="279" t="str">
        <f t="shared" si="82"/>
        <v/>
      </c>
      <c r="X89" s="279" t="str">
        <f t="shared" si="83"/>
        <v/>
      </c>
      <c r="Y89" s="279" t="str">
        <f t="shared" si="84"/>
        <v/>
      </c>
      <c r="Z89" s="279" t="str">
        <f t="shared" si="85"/>
        <v/>
      </c>
      <c r="AA89" s="279" t="str">
        <f t="shared" si="86"/>
        <v/>
      </c>
      <c r="AB89" s="279" t="str">
        <f t="shared" si="87"/>
        <v/>
      </c>
      <c r="AC89" s="104" t="s">
        <v>1382</v>
      </c>
      <c r="AD89" s="279" t="str">
        <f t="shared" si="88"/>
        <v>A97.+Sunroof%2C+Glass+-+PANORAMIC%2C+FRONT</v>
      </c>
      <c r="AE89" s="279" t="str">
        <f>_xlfn.XLOOKUP(B89,'3. Keep &amp; Toss Items'!O:O,'3. Keep &amp; Toss Items'!Q:Q,"NOT FOUND",0,1)</f>
        <v>A97. Sunroof, Glass - PANORAMIC, FRONT</v>
      </c>
      <c r="AF89" s="279" t="str">
        <f t="shared" si="89"/>
        <v>A97. Sunroof, Glass - PANORAMIC, FRONT</v>
      </c>
      <c r="AG89" s="279" t="str">
        <f t="shared" si="90"/>
        <v>A97.+Sunroof,+Glass+-+PANORAMIC,+FRONT</v>
      </c>
      <c r="AH89" s="279" t="str">
        <f t="shared" si="91"/>
        <v>A97.+Sunroof%2C+Glass+-+PANORAMIC%2C+FRONT</v>
      </c>
      <c r="AI89" s="279" t="str">
        <f t="shared" si="92"/>
        <v>A97.+Sunroof%2C+Glass+-+PANORAMIC%2C+FRONT</v>
      </c>
      <c r="AJ89" s="279" t="str">
        <f t="shared" si="93"/>
        <v>A97.+Sunroof%2C+Glass+-+PANORAMIC%2C+FRONT</v>
      </c>
      <c r="AK89" s="279" t="str">
        <f t="shared" si="94"/>
        <v>A97.+Sunroof%2C+Glass+-+PANORAMIC%2C+FRONT</v>
      </c>
      <c r="AL89" s="279" t="str">
        <f t="shared" si="95"/>
        <v>A97.+Sunroof%2C+Glass+-+PANORAMIC%2C+FRONT</v>
      </c>
      <c r="AM89" s="279" t="str">
        <f t="shared" si="96"/>
        <v>A97.+Sunroof%2C+Glass+-+PANORAMIC%2C+FRONT</v>
      </c>
      <c r="AN89" s="279" t="str">
        <f t="shared" si="64"/>
        <v>A97.+Sunroof%2C+Glass+-+PANORAMIC%2C+FRONT</v>
      </c>
      <c r="AO89" s="279" t="str">
        <f t="shared" si="97"/>
        <v>A97.+Sunroof%2C+Glass+-+PANORAMIC%2C+FRONT</v>
      </c>
      <c r="AP89" s="279" t="str">
        <f t="shared" si="98"/>
        <v>A97.+Sunroof%2C+Glass+-+PANORAMIC%2C+FRONT</v>
      </c>
      <c r="AQ89" s="280" t="s">
        <v>1395</v>
      </c>
      <c r="AR89" s="280" t="s">
        <v>1396</v>
      </c>
      <c r="AS89" s="280" t="s">
        <v>1397</v>
      </c>
      <c r="AT89" s="280" t="s">
        <v>1398</v>
      </c>
      <c r="AU89" s="280" t="s">
        <v>1399</v>
      </c>
      <c r="AV89" s="280" t="s">
        <v>1400</v>
      </c>
      <c r="AW89" s="280" t="s">
        <v>1401</v>
      </c>
      <c r="AX89" s="280" t="s">
        <v>1402</v>
      </c>
      <c r="AY89" s="280" t="s">
        <v>1403</v>
      </c>
      <c r="AZ89" s="280" t="s">
        <v>1404</v>
      </c>
      <c r="BA89" s="280" t="s">
        <v>1405</v>
      </c>
      <c r="BB89" s="280" t="s">
        <v>1406</v>
      </c>
      <c r="BC89" s="280" t="s">
        <v>1419</v>
      </c>
      <c r="BD89" s="280" t="s">
        <v>1407</v>
      </c>
      <c r="BE89" s="280" t="s">
        <v>1408</v>
      </c>
      <c r="BF89" s="280" t="s">
        <v>1409</v>
      </c>
      <c r="BG89" s="280" t="s">
        <v>1410</v>
      </c>
      <c r="BH89" s="280" t="s">
        <v>1411</v>
      </c>
      <c r="BI89" s="280" t="s">
        <v>1412</v>
      </c>
      <c r="BJ89" s="280" t="s">
        <v>1413</v>
      </c>
      <c r="BK89" s="280" t="s">
        <v>1414</v>
      </c>
      <c r="BL89" s="280" t="s">
        <v>1415</v>
      </c>
      <c r="BM89" s="280" t="s">
        <v>1416</v>
      </c>
      <c r="BN89" s="280" t="s">
        <v>1417</v>
      </c>
      <c r="BO89" s="280" t="s">
        <v>1418</v>
      </c>
      <c r="BP89" s="280" t="s">
        <v>1420</v>
      </c>
      <c r="BQ89" s="134" t="str">
        <f t="shared" si="65"/>
        <v>Pic Example</v>
      </c>
    </row>
    <row r="90" spans="2:69" x14ac:dyDescent="0.25">
      <c r="B90" t="s">
        <v>1000</v>
      </c>
      <c r="C90" s="279" t="str">
        <f t="shared" si="99"/>
        <v>https://viking-pictures.s3.us-west-1.amazonaws.com/AA1155/A98.+Sunroof%2C+Glass+-+PANORAMIC%2C+REAR+(1).JPG|https://viking-pictures.s3.us-west-1.amazonaws.com/AA1155/A98.+Sunroof%2C+Glass+-+PANORAMIC%2C+REAR+(2).JPG|https://viking-pictures.s3.us-west-1.amazonaws.com/AA1155/A98.+Sunroof%2C+Glass+-+PANORAMIC%2C+REAR+(3).JPG|https://viking-pictures.s3.us-west-1.amazonaws.com/AA1155/A98.+Sunroof%2C+Glass+-+PANORAMIC%2C+REAR+(4).JPG|https://viking-pictures.s3.us-west-1.amazonaws.com/AA1155/A98.+Sunroof%2C+Glass+-+PANORAMIC%2C+REAR+(5).JPG|https://viking-pictures.s3.us-west-1.amazonaws.com/AA1155/A98.+Sunroof%2C+Glass+-+PANORAMIC%2C+REAR+(6).JPG</v>
      </c>
      <c r="D90" s="281">
        <f>_xlfn.XLOOKUP(B90,'3. Keep &amp; Toss Items'!O:O,'3. Keep &amp; Toss Items'!U:U,"NOT FOUND",0,1)</f>
        <v>6</v>
      </c>
      <c r="E90" s="279" t="str">
        <f t="shared" si="63"/>
        <v>https://viking-pictures.s3.us-west-1.amazonaws.com/AA1155/A98.+Sunroof%2C+Glass+-+PANORAMIC%2C+REAR+(1).JPG</v>
      </c>
      <c r="F90" s="279" t="str">
        <f t="shared" si="66"/>
        <v>https://viking-pictures.s3.us-west-1.amazonaws.com/AA1155/A98.+Sunroof%2C+Glass+-+PANORAMIC%2C+REAR+(2).JPG</v>
      </c>
      <c r="G90" s="279" t="str">
        <f t="shared" si="67"/>
        <v>https://viking-pictures.s3.us-west-1.amazonaws.com/AA1155/A98.+Sunroof%2C+Glass+-+PANORAMIC%2C+REAR+(3).JPG</v>
      </c>
      <c r="H90" s="279" t="str">
        <f t="shared" si="68"/>
        <v>https://viking-pictures.s3.us-west-1.amazonaws.com/AA1155/A98.+Sunroof%2C+Glass+-+PANORAMIC%2C+REAR+(4).JPG</v>
      </c>
      <c r="I90" s="279" t="str">
        <f t="shared" si="69"/>
        <v>https://viking-pictures.s3.us-west-1.amazonaws.com/AA1155/A98.+Sunroof%2C+Glass+-+PANORAMIC%2C+REAR+(5).JPG</v>
      </c>
      <c r="J90" s="279" t="str">
        <f t="shared" si="70"/>
        <v>https://viking-pictures.s3.us-west-1.amazonaws.com/AA1155/A98.+Sunroof%2C+Glass+-+PANORAMIC%2C+REAR+(6).JPG</v>
      </c>
      <c r="K90" s="279" t="str">
        <f t="shared" si="71"/>
        <v/>
      </c>
      <c r="L90" s="279" t="str">
        <f t="shared" si="71"/>
        <v/>
      </c>
      <c r="M90" s="279" t="str">
        <f t="shared" si="72"/>
        <v/>
      </c>
      <c r="N90" s="279" t="str">
        <f t="shared" si="73"/>
        <v/>
      </c>
      <c r="O90" s="279" t="str">
        <f t="shared" si="74"/>
        <v/>
      </c>
      <c r="P90" s="279" t="str">
        <f t="shared" si="75"/>
        <v/>
      </c>
      <c r="Q90" s="279" t="str">
        <f t="shared" si="76"/>
        <v/>
      </c>
      <c r="R90" s="279" t="str">
        <f t="shared" si="77"/>
        <v/>
      </c>
      <c r="S90" s="279" t="str">
        <f t="shared" si="78"/>
        <v/>
      </c>
      <c r="T90" s="279" t="str">
        <f t="shared" si="79"/>
        <v/>
      </c>
      <c r="U90" s="279" t="str">
        <f t="shared" si="80"/>
        <v/>
      </c>
      <c r="V90" s="279" t="str">
        <f t="shared" si="81"/>
        <v/>
      </c>
      <c r="W90" s="279" t="str">
        <f t="shared" si="82"/>
        <v/>
      </c>
      <c r="X90" s="279" t="str">
        <f t="shared" si="83"/>
        <v/>
      </c>
      <c r="Y90" s="279" t="str">
        <f t="shared" si="84"/>
        <v/>
      </c>
      <c r="Z90" s="279" t="str">
        <f t="shared" si="85"/>
        <v/>
      </c>
      <c r="AA90" s="279" t="str">
        <f t="shared" si="86"/>
        <v/>
      </c>
      <c r="AB90" s="279" t="str">
        <f t="shared" si="87"/>
        <v/>
      </c>
      <c r="AC90" s="104" t="s">
        <v>1382</v>
      </c>
      <c r="AD90" s="279" t="str">
        <f t="shared" si="88"/>
        <v>A98.+Sunroof%2C+Glass+-+PANORAMIC%2C+REAR</v>
      </c>
      <c r="AE90" s="279" t="str">
        <f>_xlfn.XLOOKUP(B90,'3. Keep &amp; Toss Items'!O:O,'3. Keep &amp; Toss Items'!Q:Q,"NOT FOUND",0,1)</f>
        <v>A98. Sunroof, Glass - PANORAMIC, REAR</v>
      </c>
      <c r="AF90" s="279" t="str">
        <f t="shared" si="89"/>
        <v>A98. Sunroof, Glass - PANORAMIC, REAR</v>
      </c>
      <c r="AG90" s="279" t="str">
        <f t="shared" si="90"/>
        <v>A98.+Sunroof,+Glass+-+PANORAMIC,+REAR</v>
      </c>
      <c r="AH90" s="279" t="str">
        <f t="shared" si="91"/>
        <v>A98.+Sunroof%2C+Glass+-+PANORAMIC%2C+REAR</v>
      </c>
      <c r="AI90" s="279" t="str">
        <f t="shared" si="92"/>
        <v>A98.+Sunroof%2C+Glass+-+PANORAMIC%2C+REAR</v>
      </c>
      <c r="AJ90" s="279" t="str">
        <f t="shared" si="93"/>
        <v>A98.+Sunroof%2C+Glass+-+PANORAMIC%2C+REAR</v>
      </c>
      <c r="AK90" s="279" t="str">
        <f t="shared" si="94"/>
        <v>A98.+Sunroof%2C+Glass+-+PANORAMIC%2C+REAR</v>
      </c>
      <c r="AL90" s="279" t="str">
        <f t="shared" si="95"/>
        <v>A98.+Sunroof%2C+Glass+-+PANORAMIC%2C+REAR</v>
      </c>
      <c r="AM90" s="279" t="str">
        <f t="shared" si="96"/>
        <v>A98.+Sunroof%2C+Glass+-+PANORAMIC%2C+REAR</v>
      </c>
      <c r="AN90" s="279" t="str">
        <f t="shared" si="64"/>
        <v>A98.+Sunroof%2C+Glass+-+PANORAMIC%2C+REAR</v>
      </c>
      <c r="AO90" s="279" t="str">
        <f t="shared" si="97"/>
        <v>A98.+Sunroof%2C+Glass+-+PANORAMIC%2C+REAR</v>
      </c>
      <c r="AP90" s="279" t="str">
        <f t="shared" si="98"/>
        <v>A98.+Sunroof%2C+Glass+-+PANORAMIC%2C+REAR</v>
      </c>
      <c r="AQ90" s="280" t="s">
        <v>1395</v>
      </c>
      <c r="AR90" s="280" t="s">
        <v>1396</v>
      </c>
      <c r="AS90" s="280" t="s">
        <v>1397</v>
      </c>
      <c r="AT90" s="280" t="s">
        <v>1398</v>
      </c>
      <c r="AU90" s="280" t="s">
        <v>1399</v>
      </c>
      <c r="AV90" s="280" t="s">
        <v>1400</v>
      </c>
      <c r="AW90" s="280" t="s">
        <v>1401</v>
      </c>
      <c r="AX90" s="280" t="s">
        <v>1402</v>
      </c>
      <c r="AY90" s="280" t="s">
        <v>1403</v>
      </c>
      <c r="AZ90" s="280" t="s">
        <v>1404</v>
      </c>
      <c r="BA90" s="280" t="s">
        <v>1405</v>
      </c>
      <c r="BB90" s="280" t="s">
        <v>1406</v>
      </c>
      <c r="BC90" s="280" t="s">
        <v>1419</v>
      </c>
      <c r="BD90" s="280" t="s">
        <v>1407</v>
      </c>
      <c r="BE90" s="280" t="s">
        <v>1408</v>
      </c>
      <c r="BF90" s="280" t="s">
        <v>1409</v>
      </c>
      <c r="BG90" s="280" t="s">
        <v>1410</v>
      </c>
      <c r="BH90" s="280" t="s">
        <v>1411</v>
      </c>
      <c r="BI90" s="280" t="s">
        <v>1412</v>
      </c>
      <c r="BJ90" s="280" t="s">
        <v>1413</v>
      </c>
      <c r="BK90" s="280" t="s">
        <v>1414</v>
      </c>
      <c r="BL90" s="280" t="s">
        <v>1415</v>
      </c>
      <c r="BM90" s="280" t="s">
        <v>1416</v>
      </c>
      <c r="BN90" s="280" t="s">
        <v>1417</v>
      </c>
      <c r="BO90" s="280" t="s">
        <v>1418</v>
      </c>
      <c r="BP90" s="280" t="s">
        <v>1420</v>
      </c>
      <c r="BQ90" s="134" t="str">
        <f t="shared" si="65"/>
        <v>Pic Example</v>
      </c>
    </row>
    <row r="91" spans="2:69" x14ac:dyDescent="0.25">
      <c r="B91" t="s">
        <v>1001</v>
      </c>
      <c r="C91" s="279" t="str">
        <f t="shared" si="99"/>
        <v>https://viking-pictures.s3.us-west-1.amazonaws.com/AA1155/A99.+Control+Arms%2C+REAR+-+LEFT+Large+Control+Arm+(1).JPG|https://viking-pictures.s3.us-west-1.amazonaws.com/AA1155/A99.+Control+Arms%2C+REAR+-+LEFT+Large+Control+Arm+(2).JPG|https://viking-pictures.s3.us-west-1.amazonaws.com/AA1155/A99.+Control+Arms%2C+REAR+-+LEFT+Large+Control+Arm+(3).JPG|https://viking-pictures.s3.us-west-1.amazonaws.com/AA1155/A99.+Control+Arms%2C+REAR+-+LEFT+Large+Control+Arm+(4).JPG|https://viking-pictures.s3.us-west-1.amazonaws.com/AA1155/A99.+Control+Arms%2C+REAR+-+LEFT+Large+Control+Arm+(5).JPG</v>
      </c>
      <c r="D91" s="281">
        <f>_xlfn.XLOOKUP(B91,'3. Keep &amp; Toss Items'!O:O,'3. Keep &amp; Toss Items'!U:U,"NOT FOUND",0,1)</f>
        <v>5</v>
      </c>
      <c r="E91" s="279" t="str">
        <f t="shared" si="63"/>
        <v>https://viking-pictures.s3.us-west-1.amazonaws.com/AA1155/A99.+Control+Arms%2C+REAR+-+LEFT+Large+Control+Arm+(1).JPG</v>
      </c>
      <c r="F91" s="279" t="str">
        <f t="shared" si="66"/>
        <v>https://viking-pictures.s3.us-west-1.amazonaws.com/AA1155/A99.+Control+Arms%2C+REAR+-+LEFT+Large+Control+Arm+(2).JPG</v>
      </c>
      <c r="G91" s="279" t="str">
        <f t="shared" si="67"/>
        <v>https://viking-pictures.s3.us-west-1.amazonaws.com/AA1155/A99.+Control+Arms%2C+REAR+-+LEFT+Large+Control+Arm+(3).JPG</v>
      </c>
      <c r="H91" s="279" t="str">
        <f t="shared" si="68"/>
        <v>https://viking-pictures.s3.us-west-1.amazonaws.com/AA1155/A99.+Control+Arms%2C+REAR+-+LEFT+Large+Control+Arm+(4).JPG</v>
      </c>
      <c r="I91" s="279" t="str">
        <f t="shared" si="69"/>
        <v>https://viking-pictures.s3.us-west-1.amazonaws.com/AA1155/A99.+Control+Arms%2C+REAR+-+LEFT+Large+Control+Arm+(5).JPG</v>
      </c>
      <c r="J91" s="279" t="str">
        <f t="shared" si="70"/>
        <v/>
      </c>
      <c r="K91" s="279" t="str">
        <f t="shared" si="71"/>
        <v/>
      </c>
      <c r="L91" s="279" t="str">
        <f t="shared" si="71"/>
        <v/>
      </c>
      <c r="M91" s="279" t="str">
        <f t="shared" si="72"/>
        <v/>
      </c>
      <c r="N91" s="279" t="str">
        <f t="shared" si="73"/>
        <v/>
      </c>
      <c r="O91" s="279" t="str">
        <f t="shared" si="74"/>
        <v/>
      </c>
      <c r="P91" s="279" t="str">
        <f t="shared" si="75"/>
        <v/>
      </c>
      <c r="Q91" s="279" t="str">
        <f t="shared" si="76"/>
        <v/>
      </c>
      <c r="R91" s="279" t="str">
        <f t="shared" si="77"/>
        <v/>
      </c>
      <c r="S91" s="279" t="str">
        <f t="shared" si="78"/>
        <v/>
      </c>
      <c r="T91" s="279" t="str">
        <f t="shared" si="79"/>
        <v/>
      </c>
      <c r="U91" s="279" t="str">
        <f t="shared" si="80"/>
        <v/>
      </c>
      <c r="V91" s="279" t="str">
        <f t="shared" si="81"/>
        <v/>
      </c>
      <c r="W91" s="279" t="str">
        <f t="shared" si="82"/>
        <v/>
      </c>
      <c r="X91" s="279" t="str">
        <f t="shared" si="83"/>
        <v/>
      </c>
      <c r="Y91" s="279" t="str">
        <f t="shared" si="84"/>
        <v/>
      </c>
      <c r="Z91" s="279" t="str">
        <f t="shared" si="85"/>
        <v/>
      </c>
      <c r="AA91" s="279" t="str">
        <f t="shared" si="86"/>
        <v/>
      </c>
      <c r="AB91" s="279" t="str">
        <f t="shared" si="87"/>
        <v/>
      </c>
      <c r="AC91" s="104" t="s">
        <v>1382</v>
      </c>
      <c r="AD91" s="279" t="str">
        <f t="shared" si="88"/>
        <v>A99.+Control+Arms%2C+REAR+-+LEFT+Large+Control+Arm</v>
      </c>
      <c r="AE91" s="279" t="str">
        <f>_xlfn.XLOOKUP(B91,'3. Keep &amp; Toss Items'!O:O,'3. Keep &amp; Toss Items'!Q:Q,"NOT FOUND",0,1)</f>
        <v>A99. Control Arms, REAR - LEFT Large Control Arm</v>
      </c>
      <c r="AF91" s="279" t="str">
        <f t="shared" si="89"/>
        <v>A99. Control Arms, REAR - LEFT Large Control Arm</v>
      </c>
      <c r="AG91" s="279" t="str">
        <f t="shared" si="90"/>
        <v>A99.+Control+Arms,+REAR+-+LEFT+Large+Control+Arm</v>
      </c>
      <c r="AH91" s="279" t="str">
        <f t="shared" si="91"/>
        <v>A99.+Control+Arms%2C+REAR+-+LEFT+Large+Control+Arm</v>
      </c>
      <c r="AI91" s="279" t="str">
        <f t="shared" si="92"/>
        <v>A99.+Control+Arms%2C+REAR+-+LEFT+Large+Control+Arm</v>
      </c>
      <c r="AJ91" s="279" t="str">
        <f t="shared" si="93"/>
        <v>A99.+Control+Arms%2C+REAR+-+LEFT+Large+Control+Arm</v>
      </c>
      <c r="AK91" s="279" t="str">
        <f t="shared" si="94"/>
        <v>A99.+Control+Arms%2C+REAR+-+LEFT+Large+Control+Arm</v>
      </c>
      <c r="AL91" s="279" t="str">
        <f t="shared" si="95"/>
        <v>A99.+Control+Arms%2C+REAR+-+LEFT+Large+Control+Arm</v>
      </c>
      <c r="AM91" s="279" t="str">
        <f t="shared" si="96"/>
        <v>A99.+Control+Arms%2C+REAR+-+LEFT+Large+Control+Arm</v>
      </c>
      <c r="AN91" s="279" t="str">
        <f t="shared" si="64"/>
        <v>A99.+Control+Arms%2C+REAR+-+LEFT+Large+Control+Arm</v>
      </c>
      <c r="AO91" s="279" t="str">
        <f t="shared" si="97"/>
        <v>A99.+Control+Arms%2C+REAR+-+LEFT+Large+Control+Arm</v>
      </c>
      <c r="AP91" s="279" t="str">
        <f t="shared" si="98"/>
        <v>A99.+Control+Arms%2C+REAR+-+LEFT+Large+Control+Arm</v>
      </c>
      <c r="AQ91" s="280" t="s">
        <v>1395</v>
      </c>
      <c r="AR91" s="280" t="s">
        <v>1396</v>
      </c>
      <c r="AS91" s="280" t="s">
        <v>1397</v>
      </c>
      <c r="AT91" s="280" t="s">
        <v>1398</v>
      </c>
      <c r="AU91" s="280" t="s">
        <v>1399</v>
      </c>
      <c r="AV91" s="280" t="s">
        <v>1400</v>
      </c>
      <c r="AW91" s="280" t="s">
        <v>1401</v>
      </c>
      <c r="AX91" s="280" t="s">
        <v>1402</v>
      </c>
      <c r="AY91" s="280" t="s">
        <v>1403</v>
      </c>
      <c r="AZ91" s="280" t="s">
        <v>1404</v>
      </c>
      <c r="BA91" s="280" t="s">
        <v>1405</v>
      </c>
      <c r="BB91" s="280" t="s">
        <v>1406</v>
      </c>
      <c r="BC91" s="280" t="s">
        <v>1419</v>
      </c>
      <c r="BD91" s="280" t="s">
        <v>1407</v>
      </c>
      <c r="BE91" s="280" t="s">
        <v>1408</v>
      </c>
      <c r="BF91" s="280" t="s">
        <v>1409</v>
      </c>
      <c r="BG91" s="280" t="s">
        <v>1410</v>
      </c>
      <c r="BH91" s="280" t="s">
        <v>1411</v>
      </c>
      <c r="BI91" s="280" t="s">
        <v>1412</v>
      </c>
      <c r="BJ91" s="280" t="s">
        <v>1413</v>
      </c>
      <c r="BK91" s="280" t="s">
        <v>1414</v>
      </c>
      <c r="BL91" s="280" t="s">
        <v>1415</v>
      </c>
      <c r="BM91" s="280" t="s">
        <v>1416</v>
      </c>
      <c r="BN91" s="280" t="s">
        <v>1417</v>
      </c>
      <c r="BO91" s="280" t="s">
        <v>1418</v>
      </c>
      <c r="BP91" s="280" t="s">
        <v>1420</v>
      </c>
      <c r="BQ91" s="134" t="str">
        <f t="shared" si="65"/>
        <v>Pic Example</v>
      </c>
    </row>
    <row r="92" spans="2:69" x14ac:dyDescent="0.25">
      <c r="B92" t="s">
        <v>1002</v>
      </c>
      <c r="C92" s="279" t="str">
        <f t="shared" si="99"/>
        <v>https://viking-pictures.s3.us-west-1.amazonaws.com/AA1155/A100.+Control+Arms%2C+REAR+-+RIGHT+Large+Control+Arm+(1).JPG|https://viking-pictures.s3.us-west-1.amazonaws.com/AA1155/A100.+Control+Arms%2C+REAR+-+RIGHT+Large+Control+Arm+(2).JPG|https://viking-pictures.s3.us-west-1.amazonaws.com/AA1155/A100.+Control+Arms%2C+REAR+-+RIGHT+Large+Control+Arm+(3).JPG|https://viking-pictures.s3.us-west-1.amazonaws.com/AA1155/A100.+Control+Arms%2C+REAR+-+RIGHT+Large+Control+Arm+(4).JPG|https://viking-pictures.s3.us-west-1.amazonaws.com/AA1155/A100.+Control+Arms%2C+REAR+-+RIGHT+Large+Control+Arm+(5).JPG</v>
      </c>
      <c r="D92" s="281">
        <f>_xlfn.XLOOKUP(B92,'3. Keep &amp; Toss Items'!O:O,'3. Keep &amp; Toss Items'!U:U,"NOT FOUND",0,1)</f>
        <v>5</v>
      </c>
      <c r="E92" s="279" t="str">
        <f t="shared" si="63"/>
        <v>https://viking-pictures.s3.us-west-1.amazonaws.com/AA1155/A100.+Control+Arms%2C+REAR+-+RIGHT+Large+Control+Arm+(1).JPG</v>
      </c>
      <c r="F92" s="279" t="str">
        <f t="shared" si="66"/>
        <v>https://viking-pictures.s3.us-west-1.amazonaws.com/AA1155/A100.+Control+Arms%2C+REAR+-+RIGHT+Large+Control+Arm+(2).JPG</v>
      </c>
      <c r="G92" s="279" t="str">
        <f t="shared" si="67"/>
        <v>https://viking-pictures.s3.us-west-1.amazonaws.com/AA1155/A100.+Control+Arms%2C+REAR+-+RIGHT+Large+Control+Arm+(3).JPG</v>
      </c>
      <c r="H92" s="279" t="str">
        <f t="shared" si="68"/>
        <v>https://viking-pictures.s3.us-west-1.amazonaws.com/AA1155/A100.+Control+Arms%2C+REAR+-+RIGHT+Large+Control+Arm+(4).JPG</v>
      </c>
      <c r="I92" s="279" t="str">
        <f t="shared" si="69"/>
        <v>https://viking-pictures.s3.us-west-1.amazonaws.com/AA1155/A100.+Control+Arms%2C+REAR+-+RIGHT+Large+Control+Arm+(5).JPG</v>
      </c>
      <c r="J92" s="279" t="str">
        <f t="shared" si="70"/>
        <v/>
      </c>
      <c r="K92" s="279" t="str">
        <f t="shared" si="71"/>
        <v/>
      </c>
      <c r="L92" s="279" t="str">
        <f t="shared" si="71"/>
        <v/>
      </c>
      <c r="M92" s="279" t="str">
        <f t="shared" si="72"/>
        <v/>
      </c>
      <c r="N92" s="279" t="str">
        <f t="shared" si="73"/>
        <v/>
      </c>
      <c r="O92" s="279" t="str">
        <f t="shared" si="74"/>
        <v/>
      </c>
      <c r="P92" s="279" t="str">
        <f t="shared" si="75"/>
        <v/>
      </c>
      <c r="Q92" s="279" t="str">
        <f t="shared" si="76"/>
        <v/>
      </c>
      <c r="R92" s="279" t="str">
        <f t="shared" si="77"/>
        <v/>
      </c>
      <c r="S92" s="279" t="str">
        <f t="shared" si="78"/>
        <v/>
      </c>
      <c r="T92" s="279" t="str">
        <f t="shared" si="79"/>
        <v/>
      </c>
      <c r="U92" s="279" t="str">
        <f t="shared" si="80"/>
        <v/>
      </c>
      <c r="V92" s="279" t="str">
        <f t="shared" si="81"/>
        <v/>
      </c>
      <c r="W92" s="279" t="str">
        <f t="shared" si="82"/>
        <v/>
      </c>
      <c r="X92" s="279" t="str">
        <f t="shared" si="83"/>
        <v/>
      </c>
      <c r="Y92" s="279" t="str">
        <f t="shared" si="84"/>
        <v/>
      </c>
      <c r="Z92" s="279" t="str">
        <f t="shared" si="85"/>
        <v/>
      </c>
      <c r="AA92" s="279" t="str">
        <f t="shared" si="86"/>
        <v/>
      </c>
      <c r="AB92" s="279" t="str">
        <f t="shared" si="87"/>
        <v/>
      </c>
      <c r="AC92" s="104" t="s">
        <v>1382</v>
      </c>
      <c r="AD92" s="279" t="str">
        <f t="shared" si="88"/>
        <v>A100.+Control+Arms%2C+REAR+-+RIGHT+Large+Control+Arm</v>
      </c>
      <c r="AE92" s="279" t="str">
        <f>_xlfn.XLOOKUP(B92,'3. Keep &amp; Toss Items'!O:O,'3. Keep &amp; Toss Items'!Q:Q,"NOT FOUND",0,1)</f>
        <v>A100. Control Arms, REAR - RIGHT Large Control Arm</v>
      </c>
      <c r="AF92" s="279" t="str">
        <f t="shared" si="89"/>
        <v>A100. Control Arms, REAR - RIGHT Large Control Arm</v>
      </c>
      <c r="AG92" s="279" t="str">
        <f t="shared" si="90"/>
        <v>A100.+Control+Arms,+REAR+-+RIGHT+Large+Control+Arm</v>
      </c>
      <c r="AH92" s="279" t="str">
        <f t="shared" si="91"/>
        <v>A100.+Control+Arms%2C+REAR+-+RIGHT+Large+Control+Arm</v>
      </c>
      <c r="AI92" s="279" t="str">
        <f t="shared" si="92"/>
        <v>A100.+Control+Arms%2C+REAR+-+RIGHT+Large+Control+Arm</v>
      </c>
      <c r="AJ92" s="279" t="str">
        <f t="shared" si="93"/>
        <v>A100.+Control+Arms%2C+REAR+-+RIGHT+Large+Control+Arm</v>
      </c>
      <c r="AK92" s="279" t="str">
        <f t="shared" si="94"/>
        <v>A100.+Control+Arms%2C+REAR+-+RIGHT+Large+Control+Arm</v>
      </c>
      <c r="AL92" s="279" t="str">
        <f t="shared" si="95"/>
        <v>A100.+Control+Arms%2C+REAR+-+RIGHT+Large+Control+Arm</v>
      </c>
      <c r="AM92" s="279" t="str">
        <f t="shared" si="96"/>
        <v>A100.+Control+Arms%2C+REAR+-+RIGHT+Large+Control+Arm</v>
      </c>
      <c r="AN92" s="279" t="str">
        <f t="shared" si="64"/>
        <v>A100.+Control+Arms%2C+REAR+-+RIGHT+Large+Control+Arm</v>
      </c>
      <c r="AO92" s="279" t="str">
        <f t="shared" si="97"/>
        <v>A100.+Control+Arms%2C+REAR+-+RIGHT+Large+Control+Arm</v>
      </c>
      <c r="AP92" s="279" t="str">
        <f t="shared" si="98"/>
        <v>A100.+Control+Arms%2C+REAR+-+RIGHT+Large+Control+Arm</v>
      </c>
      <c r="AQ92" s="280" t="s">
        <v>1395</v>
      </c>
      <c r="AR92" s="280" t="s">
        <v>1396</v>
      </c>
      <c r="AS92" s="280" t="s">
        <v>1397</v>
      </c>
      <c r="AT92" s="280" t="s">
        <v>1398</v>
      </c>
      <c r="AU92" s="280" t="s">
        <v>1399</v>
      </c>
      <c r="AV92" s="280" t="s">
        <v>1400</v>
      </c>
      <c r="AW92" s="280" t="s">
        <v>1401</v>
      </c>
      <c r="AX92" s="280" t="s">
        <v>1402</v>
      </c>
      <c r="AY92" s="280" t="s">
        <v>1403</v>
      </c>
      <c r="AZ92" s="280" t="s">
        <v>1404</v>
      </c>
      <c r="BA92" s="280" t="s">
        <v>1405</v>
      </c>
      <c r="BB92" s="280" t="s">
        <v>1406</v>
      </c>
      <c r="BC92" s="280" t="s">
        <v>1419</v>
      </c>
      <c r="BD92" s="280" t="s">
        <v>1407</v>
      </c>
      <c r="BE92" s="280" t="s">
        <v>1408</v>
      </c>
      <c r="BF92" s="280" t="s">
        <v>1409</v>
      </c>
      <c r="BG92" s="280" t="s">
        <v>1410</v>
      </c>
      <c r="BH92" s="280" t="s">
        <v>1411</v>
      </c>
      <c r="BI92" s="280" t="s">
        <v>1412</v>
      </c>
      <c r="BJ92" s="280" t="s">
        <v>1413</v>
      </c>
      <c r="BK92" s="280" t="s">
        <v>1414</v>
      </c>
      <c r="BL92" s="280" t="s">
        <v>1415</v>
      </c>
      <c r="BM92" s="280" t="s">
        <v>1416</v>
      </c>
      <c r="BN92" s="280" t="s">
        <v>1417</v>
      </c>
      <c r="BO92" s="280" t="s">
        <v>1418</v>
      </c>
      <c r="BP92" s="280" t="s">
        <v>1420</v>
      </c>
      <c r="BQ92" s="134" t="str">
        <f t="shared" si="65"/>
        <v>Pic Example</v>
      </c>
    </row>
    <row r="93" spans="2:69" x14ac:dyDescent="0.25">
      <c r="B93" t="s">
        <v>1003</v>
      </c>
      <c r="C93" s="279" t="str">
        <f t="shared" si="99"/>
        <v>https://viking-pictures.s3.us-west-1.amazonaws.com/AA1155/A101.+Springs%2C+REAR+Shock+Springs+as+SET+2+WITH+Gromets+(1).JPG|https://viking-pictures.s3.us-west-1.amazonaws.com/AA1155/A101.+Springs%2C+REAR+Shock+Springs+as+SET+2+WITH+Gromets+(2).JPG|https://viking-pictures.s3.us-west-1.amazonaws.com/AA1155/A101.+Springs%2C+REAR+Shock+Springs+as+SET+2+WITH+Gromets+(3).JPG|https://viking-pictures.s3.us-west-1.amazonaws.com/AA1155/A101.+Springs%2C+REAR+Shock+Springs+as+SET+2+WITH+Gromets+(4).JPG|https://viking-pictures.s3.us-west-1.amazonaws.com/AA1155/A101.+Springs%2C+REAR+Shock+Springs+as+SET+2+WITH+Gromets+(5).JPG</v>
      </c>
      <c r="D93" s="281">
        <f>_xlfn.XLOOKUP(B93,'3. Keep &amp; Toss Items'!O:O,'3. Keep &amp; Toss Items'!U:U,"NOT FOUND",0,1)</f>
        <v>5</v>
      </c>
      <c r="E93" s="279" t="str">
        <f t="shared" si="63"/>
        <v>https://viking-pictures.s3.us-west-1.amazonaws.com/AA1155/A101.+Springs%2C+REAR+Shock+Springs+as+SET+2+WITH+Gromets+(1).JPG</v>
      </c>
      <c r="F93" s="279" t="str">
        <f t="shared" si="66"/>
        <v>https://viking-pictures.s3.us-west-1.amazonaws.com/AA1155/A101.+Springs%2C+REAR+Shock+Springs+as+SET+2+WITH+Gromets+(2).JPG</v>
      </c>
      <c r="G93" s="279" t="str">
        <f t="shared" si="67"/>
        <v>https://viking-pictures.s3.us-west-1.amazonaws.com/AA1155/A101.+Springs%2C+REAR+Shock+Springs+as+SET+2+WITH+Gromets+(3).JPG</v>
      </c>
      <c r="H93" s="279" t="str">
        <f t="shared" si="68"/>
        <v>https://viking-pictures.s3.us-west-1.amazonaws.com/AA1155/A101.+Springs%2C+REAR+Shock+Springs+as+SET+2+WITH+Gromets+(4).JPG</v>
      </c>
      <c r="I93" s="279" t="str">
        <f t="shared" si="69"/>
        <v>https://viking-pictures.s3.us-west-1.amazonaws.com/AA1155/A101.+Springs%2C+REAR+Shock+Springs+as+SET+2+WITH+Gromets+(5).JPG</v>
      </c>
      <c r="J93" s="279" t="str">
        <f t="shared" si="70"/>
        <v/>
      </c>
      <c r="K93" s="279" t="str">
        <f t="shared" si="71"/>
        <v/>
      </c>
      <c r="L93" s="279" t="str">
        <f t="shared" si="71"/>
        <v/>
      </c>
      <c r="M93" s="279" t="str">
        <f t="shared" si="72"/>
        <v/>
      </c>
      <c r="N93" s="279" t="str">
        <f t="shared" si="73"/>
        <v/>
      </c>
      <c r="O93" s="279" t="str">
        <f t="shared" si="74"/>
        <v/>
      </c>
      <c r="P93" s="279" t="str">
        <f t="shared" si="75"/>
        <v/>
      </c>
      <c r="Q93" s="279" t="str">
        <f t="shared" si="76"/>
        <v/>
      </c>
      <c r="R93" s="279" t="str">
        <f t="shared" si="77"/>
        <v/>
      </c>
      <c r="S93" s="279" t="str">
        <f t="shared" si="78"/>
        <v/>
      </c>
      <c r="T93" s="279" t="str">
        <f t="shared" si="79"/>
        <v/>
      </c>
      <c r="U93" s="279" t="str">
        <f t="shared" si="80"/>
        <v/>
      </c>
      <c r="V93" s="279" t="str">
        <f t="shared" si="81"/>
        <v/>
      </c>
      <c r="W93" s="279" t="str">
        <f t="shared" si="82"/>
        <v/>
      </c>
      <c r="X93" s="279" t="str">
        <f t="shared" si="83"/>
        <v/>
      </c>
      <c r="Y93" s="279" t="str">
        <f t="shared" si="84"/>
        <v/>
      </c>
      <c r="Z93" s="279" t="str">
        <f t="shared" si="85"/>
        <v/>
      </c>
      <c r="AA93" s="279" t="str">
        <f t="shared" si="86"/>
        <v/>
      </c>
      <c r="AB93" s="279" t="str">
        <f t="shared" si="87"/>
        <v/>
      </c>
      <c r="AC93" s="104" t="s">
        <v>1382</v>
      </c>
      <c r="AD93" s="279" t="str">
        <f t="shared" si="88"/>
        <v>A101.+Springs%2C+REAR+Shock+Springs+as+SET+2+WITH+Gromets</v>
      </c>
      <c r="AE93" s="279" t="str">
        <f>_xlfn.XLOOKUP(B93,'3. Keep &amp; Toss Items'!O:O,'3. Keep &amp; Toss Items'!Q:Q,"NOT FOUND",0,1)</f>
        <v>A101. Springs, REAR Shock Springs as SET 2 WITH Gromets</v>
      </c>
      <c r="AF93" s="279" t="str">
        <f t="shared" si="89"/>
        <v>A101. Springs, REAR Shock Springs as SET 2 WITH Gromets</v>
      </c>
      <c r="AG93" s="279" t="str">
        <f t="shared" si="90"/>
        <v>A101.+Springs,+REAR+Shock+Springs+as+SET+2+WITH+Gromets</v>
      </c>
      <c r="AH93" s="279" t="str">
        <f t="shared" si="91"/>
        <v>A101.+Springs%2C+REAR+Shock+Springs+as+SET+2+WITH+Gromets</v>
      </c>
      <c r="AI93" s="279" t="str">
        <f t="shared" si="92"/>
        <v>A101.+Springs%2C+REAR+Shock+Springs+as+SET+2+WITH+Gromets</v>
      </c>
      <c r="AJ93" s="279" t="str">
        <f t="shared" si="93"/>
        <v>A101.+Springs%2C+REAR+Shock+Springs+as+SET+2+WITH+Gromets</v>
      </c>
      <c r="AK93" s="279" t="str">
        <f t="shared" si="94"/>
        <v>A101.+Springs%2C+REAR+Shock+Springs+as+SET+2+WITH+Gromets</v>
      </c>
      <c r="AL93" s="279" t="str">
        <f t="shared" si="95"/>
        <v>A101.+Springs%2C+REAR+Shock+Springs+as+SET+2+WITH+Gromets</v>
      </c>
      <c r="AM93" s="279" t="str">
        <f t="shared" si="96"/>
        <v>A101.+Springs%2C+REAR+Shock+Springs+as+SET+2+WITH+Gromets</v>
      </c>
      <c r="AN93" s="279" t="str">
        <f t="shared" si="64"/>
        <v>A101.+Springs%2C+REAR+Shock+Springs+as+SET+2+WITH+Gromets</v>
      </c>
      <c r="AO93" s="279" t="str">
        <f t="shared" si="97"/>
        <v>A101.+Springs%2C+REAR+Shock+Springs+as+SET+2+WITH+Gromets</v>
      </c>
      <c r="AP93" s="279" t="str">
        <f t="shared" si="98"/>
        <v>A101.+Springs%2C+REAR+Shock+Springs+as+SET+2+WITH+Gromets</v>
      </c>
      <c r="AQ93" s="280" t="s">
        <v>1395</v>
      </c>
      <c r="AR93" s="280" t="s">
        <v>1396</v>
      </c>
      <c r="AS93" s="280" t="s">
        <v>1397</v>
      </c>
      <c r="AT93" s="280" t="s">
        <v>1398</v>
      </c>
      <c r="AU93" s="280" t="s">
        <v>1399</v>
      </c>
      <c r="AV93" s="280" t="s">
        <v>1400</v>
      </c>
      <c r="AW93" s="280" t="s">
        <v>1401</v>
      </c>
      <c r="AX93" s="280" t="s">
        <v>1402</v>
      </c>
      <c r="AY93" s="280" t="s">
        <v>1403</v>
      </c>
      <c r="AZ93" s="280" t="s">
        <v>1404</v>
      </c>
      <c r="BA93" s="280" t="s">
        <v>1405</v>
      </c>
      <c r="BB93" s="280" t="s">
        <v>1406</v>
      </c>
      <c r="BC93" s="280" t="s">
        <v>1419</v>
      </c>
      <c r="BD93" s="280" t="s">
        <v>1407</v>
      </c>
      <c r="BE93" s="280" t="s">
        <v>1408</v>
      </c>
      <c r="BF93" s="280" t="s">
        <v>1409</v>
      </c>
      <c r="BG93" s="280" t="s">
        <v>1410</v>
      </c>
      <c r="BH93" s="280" t="s">
        <v>1411</v>
      </c>
      <c r="BI93" s="280" t="s">
        <v>1412</v>
      </c>
      <c r="BJ93" s="280" t="s">
        <v>1413</v>
      </c>
      <c r="BK93" s="280" t="s">
        <v>1414</v>
      </c>
      <c r="BL93" s="280" t="s">
        <v>1415</v>
      </c>
      <c r="BM93" s="280" t="s">
        <v>1416</v>
      </c>
      <c r="BN93" s="280" t="s">
        <v>1417</v>
      </c>
      <c r="BO93" s="280" t="s">
        <v>1418</v>
      </c>
      <c r="BP93" s="280" t="s">
        <v>1420</v>
      </c>
      <c r="BQ93" s="134" t="str">
        <f t="shared" si="65"/>
        <v>Pic Example</v>
      </c>
    </row>
    <row r="94" spans="2:69" x14ac:dyDescent="0.25">
      <c r="B94" t="s">
        <v>1004</v>
      </c>
      <c r="C94" s="279" t="str">
        <f t="shared" si="99"/>
        <v>https://viking-pictures.s3.us-west-1.amazonaws.com/AA1155/A102.+Emergency+Parking+Brake+Actuator+(1).JPG|https://viking-pictures.s3.us-west-1.amazonaws.com/AA1155/A102.+Emergency+Parking+Brake+Actuator+(2).JPG|https://viking-pictures.s3.us-west-1.amazonaws.com/AA1155/A102.+Emergency+Parking+Brake+Actuator+(3).JPG|https://viking-pictures.s3.us-west-1.amazonaws.com/AA1155/A102.+Emergency+Parking+Brake+Actuator+(4).JPG|https://viking-pictures.s3.us-west-1.amazonaws.com/AA1155/A102.+Emergency+Parking+Brake+Actuator+(5).JPG</v>
      </c>
      <c r="D94" s="281">
        <f>_xlfn.XLOOKUP(B94,'3. Keep &amp; Toss Items'!O:O,'3. Keep &amp; Toss Items'!U:U,"NOT FOUND",0,1)</f>
        <v>5</v>
      </c>
      <c r="E94" s="279" t="str">
        <f t="shared" si="63"/>
        <v>https://viking-pictures.s3.us-west-1.amazonaws.com/AA1155/A102.+Emergency+Parking+Brake+Actuator+(1).JPG</v>
      </c>
      <c r="F94" s="279" t="str">
        <f t="shared" si="66"/>
        <v>https://viking-pictures.s3.us-west-1.amazonaws.com/AA1155/A102.+Emergency+Parking+Brake+Actuator+(2).JPG</v>
      </c>
      <c r="G94" s="279" t="str">
        <f t="shared" si="67"/>
        <v>https://viking-pictures.s3.us-west-1.amazonaws.com/AA1155/A102.+Emergency+Parking+Brake+Actuator+(3).JPG</v>
      </c>
      <c r="H94" s="279" t="str">
        <f t="shared" si="68"/>
        <v>https://viking-pictures.s3.us-west-1.amazonaws.com/AA1155/A102.+Emergency+Parking+Brake+Actuator+(4).JPG</v>
      </c>
      <c r="I94" s="279" t="str">
        <f t="shared" si="69"/>
        <v>https://viking-pictures.s3.us-west-1.amazonaws.com/AA1155/A102.+Emergency+Parking+Brake+Actuator+(5).JPG</v>
      </c>
      <c r="J94" s="279" t="str">
        <f t="shared" si="70"/>
        <v/>
      </c>
      <c r="K94" s="279" t="str">
        <f t="shared" si="71"/>
        <v/>
      </c>
      <c r="L94" s="279" t="str">
        <f t="shared" si="71"/>
        <v/>
      </c>
      <c r="M94" s="279" t="str">
        <f t="shared" si="72"/>
        <v/>
      </c>
      <c r="N94" s="279" t="str">
        <f t="shared" si="73"/>
        <v/>
      </c>
      <c r="O94" s="279" t="str">
        <f t="shared" si="74"/>
        <v/>
      </c>
      <c r="P94" s="279" t="str">
        <f t="shared" si="75"/>
        <v/>
      </c>
      <c r="Q94" s="279" t="str">
        <f t="shared" si="76"/>
        <v/>
      </c>
      <c r="R94" s="279" t="str">
        <f t="shared" si="77"/>
        <v/>
      </c>
      <c r="S94" s="279" t="str">
        <f t="shared" si="78"/>
        <v/>
      </c>
      <c r="T94" s="279" t="str">
        <f t="shared" si="79"/>
        <v/>
      </c>
      <c r="U94" s="279" t="str">
        <f t="shared" si="80"/>
        <v/>
      </c>
      <c r="V94" s="279" t="str">
        <f t="shared" si="81"/>
        <v/>
      </c>
      <c r="W94" s="279" t="str">
        <f t="shared" si="82"/>
        <v/>
      </c>
      <c r="X94" s="279" t="str">
        <f t="shared" si="83"/>
        <v/>
      </c>
      <c r="Y94" s="279" t="str">
        <f t="shared" si="84"/>
        <v/>
      </c>
      <c r="Z94" s="279" t="str">
        <f t="shared" si="85"/>
        <v/>
      </c>
      <c r="AA94" s="279" t="str">
        <f t="shared" si="86"/>
        <v/>
      </c>
      <c r="AB94" s="279" t="str">
        <f t="shared" si="87"/>
        <v/>
      </c>
      <c r="AC94" s="104" t="s">
        <v>1382</v>
      </c>
      <c r="AD94" s="279" t="str">
        <f t="shared" si="88"/>
        <v>A102.+Emergency+Parking+Brake+Actuator</v>
      </c>
      <c r="AE94" s="279" t="str">
        <f>_xlfn.XLOOKUP(B94,'3. Keep &amp; Toss Items'!O:O,'3. Keep &amp; Toss Items'!Q:Q,"NOT FOUND",0,1)</f>
        <v>A102. Emergency Parking Brake Actuator</v>
      </c>
      <c r="AF94" s="279" t="str">
        <f t="shared" si="89"/>
        <v>A102. Emergency Parking Brake Actuator</v>
      </c>
      <c r="AG94" s="279" t="str">
        <f t="shared" si="90"/>
        <v>A102.+Emergency+Parking+Brake+Actuator</v>
      </c>
      <c r="AH94" s="279" t="str">
        <f t="shared" si="91"/>
        <v>A102.+Emergency+Parking+Brake+Actuator</v>
      </c>
      <c r="AI94" s="279" t="str">
        <f t="shared" si="92"/>
        <v>A102.+Emergency+Parking+Brake+Actuator</v>
      </c>
      <c r="AJ94" s="279" t="str">
        <f t="shared" si="93"/>
        <v>A102.+Emergency+Parking+Brake+Actuator</v>
      </c>
      <c r="AK94" s="279" t="str">
        <f t="shared" si="94"/>
        <v>A102.+Emergency+Parking+Brake+Actuator</v>
      </c>
      <c r="AL94" s="279" t="str">
        <f t="shared" si="95"/>
        <v>A102.+Emergency+Parking+Brake+Actuator</v>
      </c>
      <c r="AM94" s="279" t="str">
        <f t="shared" si="96"/>
        <v>A102.+Emergency+Parking+Brake+Actuator</v>
      </c>
      <c r="AN94" s="279" t="str">
        <f t="shared" si="64"/>
        <v>A102.+Emergency+Parking+Brake+Actuator</v>
      </c>
      <c r="AO94" s="279" t="str">
        <f t="shared" si="97"/>
        <v>A102.+Emergency+Parking+Brake+Actuator</v>
      </c>
      <c r="AP94" s="279" t="str">
        <f t="shared" si="98"/>
        <v>A102.+Emergency+Parking+Brake+Actuator</v>
      </c>
      <c r="AQ94" s="280" t="s">
        <v>1395</v>
      </c>
      <c r="AR94" s="280" t="s">
        <v>1396</v>
      </c>
      <c r="AS94" s="280" t="s">
        <v>1397</v>
      </c>
      <c r="AT94" s="280" t="s">
        <v>1398</v>
      </c>
      <c r="AU94" s="280" t="s">
        <v>1399</v>
      </c>
      <c r="AV94" s="280" t="s">
        <v>1400</v>
      </c>
      <c r="AW94" s="280" t="s">
        <v>1401</v>
      </c>
      <c r="AX94" s="280" t="s">
        <v>1402</v>
      </c>
      <c r="AY94" s="280" t="s">
        <v>1403</v>
      </c>
      <c r="AZ94" s="280" t="s">
        <v>1404</v>
      </c>
      <c r="BA94" s="280" t="s">
        <v>1405</v>
      </c>
      <c r="BB94" s="280" t="s">
        <v>1406</v>
      </c>
      <c r="BC94" s="280" t="s">
        <v>1419</v>
      </c>
      <c r="BD94" s="280" t="s">
        <v>1407</v>
      </c>
      <c r="BE94" s="280" t="s">
        <v>1408</v>
      </c>
      <c r="BF94" s="280" t="s">
        <v>1409</v>
      </c>
      <c r="BG94" s="280" t="s">
        <v>1410</v>
      </c>
      <c r="BH94" s="280" t="s">
        <v>1411</v>
      </c>
      <c r="BI94" s="280" t="s">
        <v>1412</v>
      </c>
      <c r="BJ94" s="280" t="s">
        <v>1413</v>
      </c>
      <c r="BK94" s="280" t="s">
        <v>1414</v>
      </c>
      <c r="BL94" s="280" t="s">
        <v>1415</v>
      </c>
      <c r="BM94" s="280" t="s">
        <v>1416</v>
      </c>
      <c r="BN94" s="280" t="s">
        <v>1417</v>
      </c>
      <c r="BO94" s="280" t="s">
        <v>1418</v>
      </c>
      <c r="BP94" s="280" t="s">
        <v>1420</v>
      </c>
      <c r="BQ94" s="134" t="str">
        <f t="shared" si="65"/>
        <v>Pic Example</v>
      </c>
    </row>
    <row r="95" spans="2:69" x14ac:dyDescent="0.25">
      <c r="B95" t="s">
        <v>1005</v>
      </c>
      <c r="C95" s="279" t="str">
        <f t="shared" si="99"/>
        <v>https://viking-pictures.s3.us-west-1.amazonaws.com/AA1155/A103.+Power+Brake+Booster+%2B+Master+Cylinder+%2B+Reservoir+%2B+Cap+(1).JPG|https://viking-pictures.s3.us-west-1.amazonaws.com/AA1155/A103.+Power+Brake+Booster+%2B+Master+Cylinder+%2B+Reservoir+%2B+Cap+(2).JPG|https://viking-pictures.s3.us-west-1.amazonaws.com/AA1155/A103.+Power+Brake+Booster+%2B+Master+Cylinder+%2B+Reservoir+%2B+Cap+(3).JPG|https://viking-pictures.s3.us-west-1.amazonaws.com/AA1155/A103.+Power+Brake+Booster+%2B+Master+Cylinder+%2B+Reservoir+%2B+Cap+(4).JPG|https://viking-pictures.s3.us-west-1.amazonaws.com/AA1155/A103.+Power+Brake+Booster+%2B+Master+Cylinder+%2B+Reservoir+%2B+Cap+(5).JPG</v>
      </c>
      <c r="D95" s="281">
        <f>_xlfn.XLOOKUP(B95,'3. Keep &amp; Toss Items'!O:O,'3. Keep &amp; Toss Items'!U:U,"NOT FOUND",0,1)</f>
        <v>5</v>
      </c>
      <c r="E95" s="279" t="str">
        <f t="shared" si="63"/>
        <v>https://viking-pictures.s3.us-west-1.amazonaws.com/AA1155/A103.+Power+Brake+Booster+%2B+Master+Cylinder+%2B+Reservoir+%2B+Cap+(1).JPG</v>
      </c>
      <c r="F95" s="279" t="str">
        <f t="shared" si="66"/>
        <v>https://viking-pictures.s3.us-west-1.amazonaws.com/AA1155/A103.+Power+Brake+Booster+%2B+Master+Cylinder+%2B+Reservoir+%2B+Cap+(2).JPG</v>
      </c>
      <c r="G95" s="279" t="str">
        <f t="shared" si="67"/>
        <v>https://viking-pictures.s3.us-west-1.amazonaws.com/AA1155/A103.+Power+Brake+Booster+%2B+Master+Cylinder+%2B+Reservoir+%2B+Cap+(3).JPG</v>
      </c>
      <c r="H95" s="279" t="str">
        <f t="shared" si="68"/>
        <v>https://viking-pictures.s3.us-west-1.amazonaws.com/AA1155/A103.+Power+Brake+Booster+%2B+Master+Cylinder+%2B+Reservoir+%2B+Cap+(4).JPG</v>
      </c>
      <c r="I95" s="279" t="str">
        <f t="shared" si="69"/>
        <v>https://viking-pictures.s3.us-west-1.amazonaws.com/AA1155/A103.+Power+Brake+Booster+%2B+Master+Cylinder+%2B+Reservoir+%2B+Cap+(5).JPG</v>
      </c>
      <c r="J95" s="279" t="str">
        <f t="shared" si="70"/>
        <v/>
      </c>
      <c r="K95" s="279" t="str">
        <f t="shared" si="71"/>
        <v/>
      </c>
      <c r="L95" s="279" t="str">
        <f t="shared" si="71"/>
        <v/>
      </c>
      <c r="M95" s="279" t="str">
        <f t="shared" si="72"/>
        <v/>
      </c>
      <c r="N95" s="279" t="str">
        <f t="shared" si="73"/>
        <v/>
      </c>
      <c r="O95" s="279" t="str">
        <f t="shared" si="74"/>
        <v/>
      </c>
      <c r="P95" s="279" t="str">
        <f t="shared" si="75"/>
        <v/>
      </c>
      <c r="Q95" s="279" t="str">
        <f t="shared" si="76"/>
        <v/>
      </c>
      <c r="R95" s="279" t="str">
        <f t="shared" si="77"/>
        <v/>
      </c>
      <c r="S95" s="279" t="str">
        <f t="shared" si="78"/>
        <v/>
      </c>
      <c r="T95" s="279" t="str">
        <f t="shared" si="79"/>
        <v/>
      </c>
      <c r="U95" s="279" t="str">
        <f t="shared" si="80"/>
        <v/>
      </c>
      <c r="V95" s="279" t="str">
        <f t="shared" si="81"/>
        <v/>
      </c>
      <c r="W95" s="279" t="str">
        <f t="shared" si="82"/>
        <v/>
      </c>
      <c r="X95" s="279" t="str">
        <f t="shared" si="83"/>
        <v/>
      </c>
      <c r="Y95" s="279" t="str">
        <f t="shared" si="84"/>
        <v/>
      </c>
      <c r="Z95" s="279" t="str">
        <f t="shared" si="85"/>
        <v/>
      </c>
      <c r="AA95" s="279" t="str">
        <f t="shared" si="86"/>
        <v/>
      </c>
      <c r="AB95" s="279" t="str">
        <f t="shared" si="87"/>
        <v/>
      </c>
      <c r="AC95" s="104" t="s">
        <v>1382</v>
      </c>
      <c r="AD95" s="279" t="str">
        <f t="shared" si="88"/>
        <v>A103.+Power+Brake+Booster+%2B+Master+Cylinder+%2B+Reservoir+%2B+Cap</v>
      </c>
      <c r="AE95" s="279" t="str">
        <f>_xlfn.XLOOKUP(B95,'3. Keep &amp; Toss Items'!O:O,'3. Keep &amp; Toss Items'!Q:Q,"NOT FOUND",0,1)</f>
        <v>A103. Power Brake Booster + Master Cylinder + Reservoir + Cap</v>
      </c>
      <c r="AF95" s="279" t="str">
        <f t="shared" si="89"/>
        <v>A103. Power Brake Booster %2B Master Cylinder %2B Reservoir %2B Cap</v>
      </c>
      <c r="AG95" s="279" t="str">
        <f t="shared" si="90"/>
        <v>A103.+Power+Brake+Booster+%2B+Master+Cylinder+%2B+Reservoir+%2B+Cap</v>
      </c>
      <c r="AH95" s="279" t="str">
        <f t="shared" si="91"/>
        <v>A103.+Power+Brake+Booster+%2B+Master+Cylinder+%2B+Reservoir+%2B+Cap</v>
      </c>
      <c r="AI95" s="279" t="str">
        <f t="shared" si="92"/>
        <v>A103.+Power+Brake+Booster+%2B+Master+Cylinder+%2B+Reservoir+%2B+Cap</v>
      </c>
      <c r="AJ95" s="279" t="str">
        <f t="shared" si="93"/>
        <v>A103.+Power+Brake+Booster+%2B+Master+Cylinder+%2B+Reservoir+%2B+Cap</v>
      </c>
      <c r="AK95" s="279" t="str">
        <f t="shared" si="94"/>
        <v>A103.+Power+Brake+Booster+%2B+Master+Cylinder+%2B+Reservoir+%2B+Cap</v>
      </c>
      <c r="AL95" s="279" t="str">
        <f t="shared" si="95"/>
        <v>A103.+Power+Brake+Booster+%2B+Master+Cylinder+%2B+Reservoir+%2B+Cap</v>
      </c>
      <c r="AM95" s="279" t="str">
        <f t="shared" si="96"/>
        <v>A103.+Power+Brake+Booster+%2B+Master+Cylinder+%2B+Reservoir+%2B+Cap</v>
      </c>
      <c r="AN95" s="279" t="str">
        <f t="shared" si="64"/>
        <v>A103.+Power+Brake+Booster+%2B+Master+Cylinder+%2B+Reservoir+%2B+Cap</v>
      </c>
      <c r="AO95" s="279" t="str">
        <f t="shared" si="97"/>
        <v>A103.+Power+Brake+Booster+%2B+Master+Cylinder+%2B+Reservoir+%2B+Cap</v>
      </c>
      <c r="AP95" s="279" t="str">
        <f t="shared" si="98"/>
        <v>A103.+Power+Brake+Booster+%2B+Master+Cylinder+%2B+Reservoir+%2B+Cap</v>
      </c>
      <c r="AQ95" s="280" t="s">
        <v>1395</v>
      </c>
      <c r="AR95" s="280" t="s">
        <v>1396</v>
      </c>
      <c r="AS95" s="280" t="s">
        <v>1397</v>
      </c>
      <c r="AT95" s="280" t="s">
        <v>1398</v>
      </c>
      <c r="AU95" s="280" t="s">
        <v>1399</v>
      </c>
      <c r="AV95" s="280" t="s">
        <v>1400</v>
      </c>
      <c r="AW95" s="280" t="s">
        <v>1401</v>
      </c>
      <c r="AX95" s="280" t="s">
        <v>1402</v>
      </c>
      <c r="AY95" s="280" t="s">
        <v>1403</v>
      </c>
      <c r="AZ95" s="280" t="s">
        <v>1404</v>
      </c>
      <c r="BA95" s="280" t="s">
        <v>1405</v>
      </c>
      <c r="BB95" s="280" t="s">
        <v>1406</v>
      </c>
      <c r="BC95" s="280" t="s">
        <v>1419</v>
      </c>
      <c r="BD95" s="280" t="s">
        <v>1407</v>
      </c>
      <c r="BE95" s="280" t="s">
        <v>1408</v>
      </c>
      <c r="BF95" s="280" t="s">
        <v>1409</v>
      </c>
      <c r="BG95" s="280" t="s">
        <v>1410</v>
      </c>
      <c r="BH95" s="280" t="s">
        <v>1411</v>
      </c>
      <c r="BI95" s="280" t="s">
        <v>1412</v>
      </c>
      <c r="BJ95" s="280" t="s">
        <v>1413</v>
      </c>
      <c r="BK95" s="280" t="s">
        <v>1414</v>
      </c>
      <c r="BL95" s="280" t="s">
        <v>1415</v>
      </c>
      <c r="BM95" s="280" t="s">
        <v>1416</v>
      </c>
      <c r="BN95" s="280" t="s">
        <v>1417</v>
      </c>
      <c r="BO95" s="280" t="s">
        <v>1418</v>
      </c>
      <c r="BP95" s="280" t="s">
        <v>1420</v>
      </c>
      <c r="BQ95" s="134" t="str">
        <f t="shared" si="65"/>
        <v>Pic Example</v>
      </c>
    </row>
    <row r="96" spans="2:69" x14ac:dyDescent="0.25">
      <c r="B96" t="s">
        <v>1006</v>
      </c>
      <c r="C96" s="279" t="str">
        <f t="shared" si="99"/>
        <v>https://viking-pictures.s3.us-west-1.amazonaws.com/AA1155/A104.+Intercooler+(1).JPG|https://viking-pictures.s3.us-west-1.amazonaws.com/AA1155/A104.+Intercooler+(2).JPG|https://viking-pictures.s3.us-west-1.amazonaws.com/AA1155/A104.+Intercooler+(3).JPG|https://viking-pictures.s3.us-west-1.amazonaws.com/AA1155/A104.+Intercooler+(4).JPG|https://viking-pictures.s3.us-west-1.amazonaws.com/AA1155/A104.+Intercooler+(5).JPG</v>
      </c>
      <c r="D96" s="281">
        <f>_xlfn.XLOOKUP(B96,'3. Keep &amp; Toss Items'!O:O,'3. Keep &amp; Toss Items'!U:U,"NOT FOUND",0,1)</f>
        <v>5</v>
      </c>
      <c r="E96" s="279" t="str">
        <f t="shared" si="63"/>
        <v>https://viking-pictures.s3.us-west-1.amazonaws.com/AA1155/A104.+Intercooler+(1).JPG</v>
      </c>
      <c r="F96" s="279" t="str">
        <f t="shared" si="66"/>
        <v>https://viking-pictures.s3.us-west-1.amazonaws.com/AA1155/A104.+Intercooler+(2).JPG</v>
      </c>
      <c r="G96" s="279" t="str">
        <f t="shared" si="67"/>
        <v>https://viking-pictures.s3.us-west-1.amazonaws.com/AA1155/A104.+Intercooler+(3).JPG</v>
      </c>
      <c r="H96" s="279" t="str">
        <f t="shared" si="68"/>
        <v>https://viking-pictures.s3.us-west-1.amazonaws.com/AA1155/A104.+Intercooler+(4).JPG</v>
      </c>
      <c r="I96" s="279" t="str">
        <f t="shared" si="69"/>
        <v>https://viking-pictures.s3.us-west-1.amazonaws.com/AA1155/A104.+Intercooler+(5).JPG</v>
      </c>
      <c r="J96" s="279" t="str">
        <f t="shared" si="70"/>
        <v/>
      </c>
      <c r="K96" s="279" t="str">
        <f t="shared" si="71"/>
        <v/>
      </c>
      <c r="L96" s="279" t="str">
        <f t="shared" si="71"/>
        <v/>
      </c>
      <c r="M96" s="279" t="str">
        <f t="shared" si="72"/>
        <v/>
      </c>
      <c r="N96" s="279" t="str">
        <f t="shared" si="73"/>
        <v/>
      </c>
      <c r="O96" s="279" t="str">
        <f t="shared" si="74"/>
        <v/>
      </c>
      <c r="P96" s="279" t="str">
        <f t="shared" si="75"/>
        <v/>
      </c>
      <c r="Q96" s="279" t="str">
        <f t="shared" si="76"/>
        <v/>
      </c>
      <c r="R96" s="279" t="str">
        <f t="shared" si="77"/>
        <v/>
      </c>
      <c r="S96" s="279" t="str">
        <f t="shared" si="78"/>
        <v/>
      </c>
      <c r="T96" s="279" t="str">
        <f t="shared" si="79"/>
        <v/>
      </c>
      <c r="U96" s="279" t="str">
        <f t="shared" si="80"/>
        <v/>
      </c>
      <c r="V96" s="279" t="str">
        <f t="shared" si="81"/>
        <v/>
      </c>
      <c r="W96" s="279" t="str">
        <f t="shared" si="82"/>
        <v/>
      </c>
      <c r="X96" s="279" t="str">
        <f t="shared" si="83"/>
        <v/>
      </c>
      <c r="Y96" s="279" t="str">
        <f t="shared" si="84"/>
        <v/>
      </c>
      <c r="Z96" s="279" t="str">
        <f t="shared" si="85"/>
        <v/>
      </c>
      <c r="AA96" s="279" t="str">
        <f t="shared" si="86"/>
        <v/>
      </c>
      <c r="AB96" s="279" t="str">
        <f t="shared" si="87"/>
        <v/>
      </c>
      <c r="AC96" s="104" t="s">
        <v>1382</v>
      </c>
      <c r="AD96" s="279" t="str">
        <f t="shared" si="88"/>
        <v>A104.+Intercooler</v>
      </c>
      <c r="AE96" s="279" t="str">
        <f>_xlfn.XLOOKUP(B96,'3. Keep &amp; Toss Items'!O:O,'3. Keep &amp; Toss Items'!Q:Q,"NOT FOUND",0,1)</f>
        <v>A104. Intercooler</v>
      </c>
      <c r="AF96" s="279" t="str">
        <f t="shared" si="89"/>
        <v>A104. Intercooler</v>
      </c>
      <c r="AG96" s="279" t="str">
        <f t="shared" si="90"/>
        <v>A104.+Intercooler</v>
      </c>
      <c r="AH96" s="279" t="str">
        <f t="shared" si="91"/>
        <v>A104.+Intercooler</v>
      </c>
      <c r="AI96" s="279" t="str">
        <f t="shared" si="92"/>
        <v>A104.+Intercooler</v>
      </c>
      <c r="AJ96" s="279" t="str">
        <f t="shared" si="93"/>
        <v>A104.+Intercooler</v>
      </c>
      <c r="AK96" s="279" t="str">
        <f t="shared" si="94"/>
        <v>A104.+Intercooler</v>
      </c>
      <c r="AL96" s="279" t="str">
        <f t="shared" si="95"/>
        <v>A104.+Intercooler</v>
      </c>
      <c r="AM96" s="279" t="str">
        <f t="shared" si="96"/>
        <v>A104.+Intercooler</v>
      </c>
      <c r="AN96" s="279" t="str">
        <f t="shared" si="64"/>
        <v>A104.+Intercooler</v>
      </c>
      <c r="AO96" s="279" t="str">
        <f t="shared" si="97"/>
        <v>A104.+Intercooler</v>
      </c>
      <c r="AP96" s="279" t="str">
        <f t="shared" si="98"/>
        <v>A104.+Intercooler</v>
      </c>
      <c r="AQ96" s="280" t="s">
        <v>1395</v>
      </c>
      <c r="AR96" s="280" t="s">
        <v>1396</v>
      </c>
      <c r="AS96" s="280" t="s">
        <v>1397</v>
      </c>
      <c r="AT96" s="280" t="s">
        <v>1398</v>
      </c>
      <c r="AU96" s="280" t="s">
        <v>1399</v>
      </c>
      <c r="AV96" s="280" t="s">
        <v>1400</v>
      </c>
      <c r="AW96" s="280" t="s">
        <v>1401</v>
      </c>
      <c r="AX96" s="280" t="s">
        <v>1402</v>
      </c>
      <c r="AY96" s="280" t="s">
        <v>1403</v>
      </c>
      <c r="AZ96" s="280" t="s">
        <v>1404</v>
      </c>
      <c r="BA96" s="280" t="s">
        <v>1405</v>
      </c>
      <c r="BB96" s="280" t="s">
        <v>1406</v>
      </c>
      <c r="BC96" s="280" t="s">
        <v>1419</v>
      </c>
      <c r="BD96" s="280" t="s">
        <v>1407</v>
      </c>
      <c r="BE96" s="280" t="s">
        <v>1408</v>
      </c>
      <c r="BF96" s="280" t="s">
        <v>1409</v>
      </c>
      <c r="BG96" s="280" t="s">
        <v>1410</v>
      </c>
      <c r="BH96" s="280" t="s">
        <v>1411</v>
      </c>
      <c r="BI96" s="280" t="s">
        <v>1412</v>
      </c>
      <c r="BJ96" s="280" t="s">
        <v>1413</v>
      </c>
      <c r="BK96" s="280" t="s">
        <v>1414</v>
      </c>
      <c r="BL96" s="280" t="s">
        <v>1415</v>
      </c>
      <c r="BM96" s="280" t="s">
        <v>1416</v>
      </c>
      <c r="BN96" s="280" t="s">
        <v>1417</v>
      </c>
      <c r="BO96" s="280" t="s">
        <v>1418</v>
      </c>
      <c r="BP96" s="280" t="s">
        <v>1420</v>
      </c>
      <c r="BQ96" s="134" t="str">
        <f t="shared" si="65"/>
        <v>Pic Example</v>
      </c>
    </row>
    <row r="97" spans="2:69" x14ac:dyDescent="0.25">
      <c r="B97" t="s">
        <v>1007</v>
      </c>
      <c r="C97" s="279" t="str">
        <f t="shared" si="99"/>
        <v>https://viking-pictures.s3.us-west-1.amazonaws.com/AA1155/A105.+Seat+Track+WITH+Motors%2C+FRONT+RIGHT+(1).JPG|https://viking-pictures.s3.us-west-1.amazonaws.com/AA1155/A105.+Seat+Track+WITH+Motors%2C+FRONT+RIGHT+(2).JPG|https://viking-pictures.s3.us-west-1.amazonaws.com/AA1155/A105.+Seat+Track+WITH+Motors%2C+FRONT+RIGHT+(3).JPG|https://viking-pictures.s3.us-west-1.amazonaws.com/AA1155/A105.+Seat+Track+WITH+Motors%2C+FRONT+RIGHT+(4).JPG|https://viking-pictures.s3.us-west-1.amazonaws.com/AA1155/A105.+Seat+Track+WITH+Motors%2C+FRONT+RIGHT+(5).JPG|https://viking-pictures.s3.us-west-1.amazonaws.com/AA1155/A105.+Seat+Track+WITH+Motors%2C+FRONT+RIGHT+(6).JPG|https://viking-pictures.s3.us-west-1.amazonaws.com/AA1155/A105.+Seat+Track+WITH+Motors%2C+FRONT+RIGHT+(7).JPG|https://viking-pictures.s3.us-west-1.amazonaws.com/AA1155/A105.+Seat+Track+WITH+Motors%2C+FRONT+RIGHT+(8).JPG</v>
      </c>
      <c r="D97" s="281">
        <f>_xlfn.XLOOKUP(B97,'3. Keep &amp; Toss Items'!O:O,'3. Keep &amp; Toss Items'!U:U,"NOT FOUND",0,1)</f>
        <v>8</v>
      </c>
      <c r="E97" s="279" t="str">
        <f t="shared" si="63"/>
        <v>https://viking-pictures.s3.us-west-1.amazonaws.com/AA1155/A105.+Seat+Track+WITH+Motors%2C+FRONT+RIGHT+(1).JPG</v>
      </c>
      <c r="F97" s="279" t="str">
        <f t="shared" si="66"/>
        <v>https://viking-pictures.s3.us-west-1.amazonaws.com/AA1155/A105.+Seat+Track+WITH+Motors%2C+FRONT+RIGHT+(2).JPG</v>
      </c>
      <c r="G97" s="279" t="str">
        <f t="shared" si="67"/>
        <v>https://viking-pictures.s3.us-west-1.amazonaws.com/AA1155/A105.+Seat+Track+WITH+Motors%2C+FRONT+RIGHT+(3).JPG</v>
      </c>
      <c r="H97" s="279" t="str">
        <f t="shared" si="68"/>
        <v>https://viking-pictures.s3.us-west-1.amazonaws.com/AA1155/A105.+Seat+Track+WITH+Motors%2C+FRONT+RIGHT+(4).JPG</v>
      </c>
      <c r="I97" s="279" t="str">
        <f t="shared" si="69"/>
        <v>https://viking-pictures.s3.us-west-1.amazonaws.com/AA1155/A105.+Seat+Track+WITH+Motors%2C+FRONT+RIGHT+(5).JPG</v>
      </c>
      <c r="J97" s="279" t="str">
        <f t="shared" si="70"/>
        <v>https://viking-pictures.s3.us-west-1.amazonaws.com/AA1155/A105.+Seat+Track+WITH+Motors%2C+FRONT+RIGHT+(6).JPG</v>
      </c>
      <c r="K97" s="279" t="str">
        <f t="shared" si="71"/>
        <v>https://viking-pictures.s3.us-west-1.amazonaws.com/AA1155/A105.+Seat+Track+WITH+Motors%2C+FRONT+RIGHT+(7).JPG</v>
      </c>
      <c r="L97" s="279" t="str">
        <f t="shared" si="71"/>
        <v>https://viking-pictures.s3.us-west-1.amazonaws.com/AA1155/A105.+Seat+Track+WITH+Motors%2C+FRONT+RIGHT+(8).JPG</v>
      </c>
      <c r="M97" s="279" t="str">
        <f t="shared" si="72"/>
        <v/>
      </c>
      <c r="N97" s="279" t="str">
        <f t="shared" si="73"/>
        <v/>
      </c>
      <c r="O97" s="279" t="str">
        <f t="shared" si="74"/>
        <v/>
      </c>
      <c r="P97" s="279" t="str">
        <f t="shared" si="75"/>
        <v/>
      </c>
      <c r="Q97" s="279" t="str">
        <f t="shared" si="76"/>
        <v/>
      </c>
      <c r="R97" s="279" t="str">
        <f t="shared" si="77"/>
        <v/>
      </c>
      <c r="S97" s="279" t="str">
        <f t="shared" si="78"/>
        <v/>
      </c>
      <c r="T97" s="279" t="str">
        <f t="shared" si="79"/>
        <v/>
      </c>
      <c r="U97" s="279" t="str">
        <f t="shared" si="80"/>
        <v/>
      </c>
      <c r="V97" s="279" t="str">
        <f t="shared" si="81"/>
        <v/>
      </c>
      <c r="W97" s="279" t="str">
        <f t="shared" si="82"/>
        <v/>
      </c>
      <c r="X97" s="279" t="str">
        <f t="shared" si="83"/>
        <v/>
      </c>
      <c r="Y97" s="279" t="str">
        <f t="shared" si="84"/>
        <v/>
      </c>
      <c r="Z97" s="279" t="str">
        <f t="shared" si="85"/>
        <v/>
      </c>
      <c r="AA97" s="279" t="str">
        <f t="shared" si="86"/>
        <v/>
      </c>
      <c r="AB97" s="279" t="str">
        <f t="shared" si="87"/>
        <v/>
      </c>
      <c r="AC97" s="104" t="s">
        <v>1382</v>
      </c>
      <c r="AD97" s="279" t="str">
        <f t="shared" si="88"/>
        <v>A105.+Seat+Track+WITH+Motors%2C+FRONT+RIGHT</v>
      </c>
      <c r="AE97" s="279" t="str">
        <f>_xlfn.XLOOKUP(B97,'3. Keep &amp; Toss Items'!O:O,'3. Keep &amp; Toss Items'!Q:Q,"NOT FOUND",0,1)</f>
        <v>A105. Seat Track WITH Motors, FRONT RIGHT</v>
      </c>
      <c r="AF97" s="279" t="str">
        <f t="shared" si="89"/>
        <v>A105. Seat Track WITH Motors, FRONT RIGHT</v>
      </c>
      <c r="AG97" s="279" t="str">
        <f t="shared" si="90"/>
        <v>A105.+Seat+Track+WITH+Motors,+FRONT+RIGHT</v>
      </c>
      <c r="AH97" s="279" t="str">
        <f t="shared" si="91"/>
        <v>A105.+Seat+Track+WITH+Motors%2C+FRONT+RIGHT</v>
      </c>
      <c r="AI97" s="279" t="str">
        <f t="shared" si="92"/>
        <v>A105.+Seat+Track+WITH+Motors%2C+FRONT+RIGHT</v>
      </c>
      <c r="AJ97" s="279" t="str">
        <f t="shared" si="93"/>
        <v>A105.+Seat+Track+WITH+Motors%2C+FRONT+RIGHT</v>
      </c>
      <c r="AK97" s="279" t="str">
        <f t="shared" si="94"/>
        <v>A105.+Seat+Track+WITH+Motors%2C+FRONT+RIGHT</v>
      </c>
      <c r="AL97" s="279" t="str">
        <f t="shared" si="95"/>
        <v>A105.+Seat+Track+WITH+Motors%2C+FRONT+RIGHT</v>
      </c>
      <c r="AM97" s="279" t="str">
        <f t="shared" si="96"/>
        <v>A105.+Seat+Track+WITH+Motors%2C+FRONT+RIGHT</v>
      </c>
      <c r="AN97" s="279" t="str">
        <f t="shared" si="64"/>
        <v>A105.+Seat+Track+WITH+Motors%2C+FRONT+RIGHT</v>
      </c>
      <c r="AO97" s="279" t="str">
        <f t="shared" si="97"/>
        <v>A105.+Seat+Track+WITH+Motors%2C+FRONT+RIGHT</v>
      </c>
      <c r="AP97" s="279" t="str">
        <f t="shared" si="98"/>
        <v>A105.+Seat+Track+WITH+Motors%2C+FRONT+RIGHT</v>
      </c>
      <c r="AQ97" s="280" t="s">
        <v>1395</v>
      </c>
      <c r="AR97" s="280" t="s">
        <v>1396</v>
      </c>
      <c r="AS97" s="280" t="s">
        <v>1397</v>
      </c>
      <c r="AT97" s="280" t="s">
        <v>1398</v>
      </c>
      <c r="AU97" s="280" t="s">
        <v>1399</v>
      </c>
      <c r="AV97" s="280" t="s">
        <v>1400</v>
      </c>
      <c r="AW97" s="280" t="s">
        <v>1401</v>
      </c>
      <c r="AX97" s="280" t="s">
        <v>1402</v>
      </c>
      <c r="AY97" s="280" t="s">
        <v>1403</v>
      </c>
      <c r="AZ97" s="280" t="s">
        <v>1404</v>
      </c>
      <c r="BA97" s="280" t="s">
        <v>1405</v>
      </c>
      <c r="BB97" s="280" t="s">
        <v>1406</v>
      </c>
      <c r="BC97" s="280" t="s">
        <v>1419</v>
      </c>
      <c r="BD97" s="280" t="s">
        <v>1407</v>
      </c>
      <c r="BE97" s="280" t="s">
        <v>1408</v>
      </c>
      <c r="BF97" s="280" t="s">
        <v>1409</v>
      </c>
      <c r="BG97" s="280" t="s">
        <v>1410</v>
      </c>
      <c r="BH97" s="280" t="s">
        <v>1411</v>
      </c>
      <c r="BI97" s="280" t="s">
        <v>1412</v>
      </c>
      <c r="BJ97" s="280" t="s">
        <v>1413</v>
      </c>
      <c r="BK97" s="280" t="s">
        <v>1414</v>
      </c>
      <c r="BL97" s="280" t="s">
        <v>1415</v>
      </c>
      <c r="BM97" s="280" t="s">
        <v>1416</v>
      </c>
      <c r="BN97" s="280" t="s">
        <v>1417</v>
      </c>
      <c r="BO97" s="280" t="s">
        <v>1418</v>
      </c>
      <c r="BP97" s="280" t="s">
        <v>1420</v>
      </c>
      <c r="BQ97" s="134" t="str">
        <f t="shared" si="65"/>
        <v>Pic Example</v>
      </c>
    </row>
    <row r="98" spans="2:69" x14ac:dyDescent="0.25">
      <c r="B98" t="s">
        <v>1008</v>
      </c>
      <c r="C98" s="279" t="str">
        <f t="shared" si="99"/>
        <v>https://viking-pictures.s3.us-west-1.amazonaws.com/AA1155/A106.+Seat+Track+WITH+Motors%2C+FRONT+LEFT+(1).JPG|https://viking-pictures.s3.us-west-1.amazonaws.com/AA1155/A106.+Seat+Track+WITH+Motors%2C+FRONT+LEFT+(2).JPG|https://viking-pictures.s3.us-west-1.amazonaws.com/AA1155/A106.+Seat+Track+WITH+Motors%2C+FRONT+LEFT+(3).JPG|https://viking-pictures.s3.us-west-1.amazonaws.com/AA1155/A106.+Seat+Track+WITH+Motors%2C+FRONT+LEFT+(4).JPG|https://viking-pictures.s3.us-west-1.amazonaws.com/AA1155/A106.+Seat+Track+WITH+Motors%2C+FRONT+LEFT+(5).JPG|https://viking-pictures.s3.us-west-1.amazonaws.com/AA1155/A106.+Seat+Track+WITH+Motors%2C+FRONT+LEFT+(6).JPG|https://viking-pictures.s3.us-west-1.amazonaws.com/AA1155/A106.+Seat+Track+WITH+Motors%2C+FRONT+LEFT+(7).JPG|https://viking-pictures.s3.us-west-1.amazonaws.com/AA1155/A106.+Seat+Track+WITH+Motors%2C+FRONT+LEFT+(8).JPG|https://viking-pictures.s3.us-west-1.amazonaws.com/AA1155/A106.+Seat+Track+WITH+Motors%2C+FRONT+LEFT+(9).JPG</v>
      </c>
      <c r="D98" s="281">
        <f>_xlfn.XLOOKUP(B98,'3. Keep &amp; Toss Items'!O:O,'3. Keep &amp; Toss Items'!U:U,"NOT FOUND",0,1)</f>
        <v>9</v>
      </c>
      <c r="E98" s="279" t="str">
        <f t="shared" si="63"/>
        <v>https://viking-pictures.s3.us-west-1.amazonaws.com/AA1155/A106.+Seat+Track+WITH+Motors%2C+FRONT+LEFT+(1).JPG</v>
      </c>
      <c r="F98" s="279" t="str">
        <f t="shared" si="66"/>
        <v>https://viking-pictures.s3.us-west-1.amazonaws.com/AA1155/A106.+Seat+Track+WITH+Motors%2C+FRONT+LEFT+(2).JPG</v>
      </c>
      <c r="G98" s="279" t="str">
        <f t="shared" si="67"/>
        <v>https://viking-pictures.s3.us-west-1.amazonaws.com/AA1155/A106.+Seat+Track+WITH+Motors%2C+FRONT+LEFT+(3).JPG</v>
      </c>
      <c r="H98" s="279" t="str">
        <f t="shared" si="68"/>
        <v>https://viking-pictures.s3.us-west-1.amazonaws.com/AA1155/A106.+Seat+Track+WITH+Motors%2C+FRONT+LEFT+(4).JPG</v>
      </c>
      <c r="I98" s="279" t="str">
        <f t="shared" si="69"/>
        <v>https://viking-pictures.s3.us-west-1.amazonaws.com/AA1155/A106.+Seat+Track+WITH+Motors%2C+FRONT+LEFT+(5).JPG</v>
      </c>
      <c r="J98" s="279" t="str">
        <f t="shared" si="70"/>
        <v>https://viking-pictures.s3.us-west-1.amazonaws.com/AA1155/A106.+Seat+Track+WITH+Motors%2C+FRONT+LEFT+(6).JPG</v>
      </c>
      <c r="K98" s="279" t="str">
        <f t="shared" si="71"/>
        <v>https://viking-pictures.s3.us-west-1.amazonaws.com/AA1155/A106.+Seat+Track+WITH+Motors%2C+FRONT+LEFT+(7).JPG</v>
      </c>
      <c r="L98" s="279" t="str">
        <f t="shared" si="71"/>
        <v>https://viking-pictures.s3.us-west-1.amazonaws.com/AA1155/A106.+Seat+Track+WITH+Motors%2C+FRONT+LEFT+(8).JPG</v>
      </c>
      <c r="M98" s="279" t="str">
        <f t="shared" si="72"/>
        <v>https://viking-pictures.s3.us-west-1.amazonaws.com/AA1155/A106.+Seat+Track+WITH+Motors%2C+FRONT+LEFT+(9).JPG</v>
      </c>
      <c r="N98" s="279" t="str">
        <f t="shared" si="73"/>
        <v/>
      </c>
      <c r="O98" s="279" t="str">
        <f t="shared" si="74"/>
        <v/>
      </c>
      <c r="P98" s="279" t="str">
        <f t="shared" si="75"/>
        <v/>
      </c>
      <c r="Q98" s="279" t="str">
        <f t="shared" si="76"/>
        <v/>
      </c>
      <c r="R98" s="279" t="str">
        <f t="shared" si="77"/>
        <v/>
      </c>
      <c r="S98" s="279" t="str">
        <f t="shared" si="78"/>
        <v/>
      </c>
      <c r="T98" s="279" t="str">
        <f t="shared" si="79"/>
        <v/>
      </c>
      <c r="U98" s="279" t="str">
        <f t="shared" si="80"/>
        <v/>
      </c>
      <c r="V98" s="279" t="str">
        <f t="shared" si="81"/>
        <v/>
      </c>
      <c r="W98" s="279" t="str">
        <f t="shared" si="82"/>
        <v/>
      </c>
      <c r="X98" s="279" t="str">
        <f t="shared" si="83"/>
        <v/>
      </c>
      <c r="Y98" s="279" t="str">
        <f t="shared" si="84"/>
        <v/>
      </c>
      <c r="Z98" s="279" t="str">
        <f t="shared" si="85"/>
        <v/>
      </c>
      <c r="AA98" s="279" t="str">
        <f t="shared" si="86"/>
        <v/>
      </c>
      <c r="AB98" s="279" t="str">
        <f t="shared" si="87"/>
        <v/>
      </c>
      <c r="AC98" s="104" t="s">
        <v>1382</v>
      </c>
      <c r="AD98" s="279" t="str">
        <f t="shared" si="88"/>
        <v>A106.+Seat+Track+WITH+Motors%2C+FRONT+LEFT</v>
      </c>
      <c r="AE98" s="279" t="str">
        <f>_xlfn.XLOOKUP(B98,'3. Keep &amp; Toss Items'!O:O,'3. Keep &amp; Toss Items'!Q:Q,"NOT FOUND",0,1)</f>
        <v>A106. Seat Track WITH Motors, FRONT LEFT</v>
      </c>
      <c r="AF98" s="279" t="str">
        <f t="shared" si="89"/>
        <v>A106. Seat Track WITH Motors, FRONT LEFT</v>
      </c>
      <c r="AG98" s="279" t="str">
        <f t="shared" si="90"/>
        <v>A106.+Seat+Track+WITH+Motors,+FRONT+LEFT</v>
      </c>
      <c r="AH98" s="279" t="str">
        <f t="shared" si="91"/>
        <v>A106.+Seat+Track+WITH+Motors%2C+FRONT+LEFT</v>
      </c>
      <c r="AI98" s="279" t="str">
        <f t="shared" si="92"/>
        <v>A106.+Seat+Track+WITH+Motors%2C+FRONT+LEFT</v>
      </c>
      <c r="AJ98" s="279" t="str">
        <f t="shared" si="93"/>
        <v>A106.+Seat+Track+WITH+Motors%2C+FRONT+LEFT</v>
      </c>
      <c r="AK98" s="279" t="str">
        <f t="shared" si="94"/>
        <v>A106.+Seat+Track+WITH+Motors%2C+FRONT+LEFT</v>
      </c>
      <c r="AL98" s="279" t="str">
        <f t="shared" si="95"/>
        <v>A106.+Seat+Track+WITH+Motors%2C+FRONT+LEFT</v>
      </c>
      <c r="AM98" s="279" t="str">
        <f t="shared" si="96"/>
        <v>A106.+Seat+Track+WITH+Motors%2C+FRONT+LEFT</v>
      </c>
      <c r="AN98" s="279" t="str">
        <f t="shared" si="64"/>
        <v>A106.+Seat+Track+WITH+Motors%2C+FRONT+LEFT</v>
      </c>
      <c r="AO98" s="279" t="str">
        <f t="shared" si="97"/>
        <v>A106.+Seat+Track+WITH+Motors%2C+FRONT+LEFT</v>
      </c>
      <c r="AP98" s="279" t="str">
        <f t="shared" si="98"/>
        <v>A106.+Seat+Track+WITH+Motors%2C+FRONT+LEFT</v>
      </c>
      <c r="AQ98" s="280" t="s">
        <v>1395</v>
      </c>
      <c r="AR98" s="280" t="s">
        <v>1396</v>
      </c>
      <c r="AS98" s="280" t="s">
        <v>1397</v>
      </c>
      <c r="AT98" s="280" t="s">
        <v>1398</v>
      </c>
      <c r="AU98" s="280" t="s">
        <v>1399</v>
      </c>
      <c r="AV98" s="280" t="s">
        <v>1400</v>
      </c>
      <c r="AW98" s="280" t="s">
        <v>1401</v>
      </c>
      <c r="AX98" s="280" t="s">
        <v>1402</v>
      </c>
      <c r="AY98" s="280" t="s">
        <v>1403</v>
      </c>
      <c r="AZ98" s="280" t="s">
        <v>1404</v>
      </c>
      <c r="BA98" s="280" t="s">
        <v>1405</v>
      </c>
      <c r="BB98" s="280" t="s">
        <v>1406</v>
      </c>
      <c r="BC98" s="280" t="s">
        <v>1419</v>
      </c>
      <c r="BD98" s="280" t="s">
        <v>1407</v>
      </c>
      <c r="BE98" s="280" t="s">
        <v>1408</v>
      </c>
      <c r="BF98" s="280" t="s">
        <v>1409</v>
      </c>
      <c r="BG98" s="280" t="s">
        <v>1410</v>
      </c>
      <c r="BH98" s="280" t="s">
        <v>1411</v>
      </c>
      <c r="BI98" s="280" t="s">
        <v>1412</v>
      </c>
      <c r="BJ98" s="280" t="s">
        <v>1413</v>
      </c>
      <c r="BK98" s="280" t="s">
        <v>1414</v>
      </c>
      <c r="BL98" s="280" t="s">
        <v>1415</v>
      </c>
      <c r="BM98" s="280" t="s">
        <v>1416</v>
      </c>
      <c r="BN98" s="280" t="s">
        <v>1417</v>
      </c>
      <c r="BO98" s="280" t="s">
        <v>1418</v>
      </c>
      <c r="BP98" s="280" t="s">
        <v>1420</v>
      </c>
      <c r="BQ98" s="134" t="str">
        <f t="shared" si="65"/>
        <v>Pic Example</v>
      </c>
    </row>
    <row r="99" spans="2:69" x14ac:dyDescent="0.25">
      <c r="B99" t="s">
        <v>1009</v>
      </c>
      <c r="C99" s="279" t="str">
        <f t="shared" si="99"/>
        <v>https://viking-pictures.s3.us-west-1.amazonaws.com/AA1155/A107.+Trunk+Assembly+-+LOWER+TAILGATE+(1).JPG|https://viking-pictures.s3.us-west-1.amazonaws.com/AA1155/A107.+Trunk+Assembly+-+LOWER+TAILGATE+(2).JPG|https://viking-pictures.s3.us-west-1.amazonaws.com/AA1155/A107.+Trunk+Assembly+-+LOWER+TAILGATE+(3).JPG|https://viking-pictures.s3.us-west-1.amazonaws.com/AA1155/A107.+Trunk+Assembly+-+LOWER+TAILGATE+(4).JPG|https://viking-pictures.s3.us-west-1.amazonaws.com/AA1155/A107.+Trunk+Assembly+-+LOWER+TAILGATE+(5).JPG|https://viking-pictures.s3.us-west-1.amazonaws.com/AA1155/A107.+Trunk+Assembly+-+LOWER+TAILGATE+(6).JPG|https://viking-pictures.s3.us-west-1.amazonaws.com/AA1155/A107.+Trunk+Assembly+-+LOWER+TAILGATE+(7).JPG|https://viking-pictures.s3.us-west-1.amazonaws.com/AA1155/A107.+Trunk+Assembly+-+LOWER+TAILGATE+(8).JPG</v>
      </c>
      <c r="D99" s="281">
        <f>_xlfn.XLOOKUP(B99,'3. Keep &amp; Toss Items'!O:O,'3. Keep &amp; Toss Items'!U:U,"NOT FOUND",0,1)</f>
        <v>8</v>
      </c>
      <c r="E99" s="279" t="str">
        <f t="shared" ref="E99:E114" si="100">IF($D99&gt;=E$1,CONCATENATE($AC99,$AD99,$AQ99,AR99,$BP99),"")</f>
        <v>https://viking-pictures.s3.us-west-1.amazonaws.com/AA1155/A107.+Trunk+Assembly+-+LOWER+TAILGATE+(1).JPG</v>
      </c>
      <c r="F99" s="279" t="str">
        <f t="shared" si="66"/>
        <v>https://viking-pictures.s3.us-west-1.amazonaws.com/AA1155/A107.+Trunk+Assembly+-+LOWER+TAILGATE+(2).JPG</v>
      </c>
      <c r="G99" s="279" t="str">
        <f t="shared" si="67"/>
        <v>https://viking-pictures.s3.us-west-1.amazonaws.com/AA1155/A107.+Trunk+Assembly+-+LOWER+TAILGATE+(3).JPG</v>
      </c>
      <c r="H99" s="279" t="str">
        <f t="shared" si="68"/>
        <v>https://viking-pictures.s3.us-west-1.amazonaws.com/AA1155/A107.+Trunk+Assembly+-+LOWER+TAILGATE+(4).JPG</v>
      </c>
      <c r="I99" s="279" t="str">
        <f t="shared" si="69"/>
        <v>https://viking-pictures.s3.us-west-1.amazonaws.com/AA1155/A107.+Trunk+Assembly+-+LOWER+TAILGATE+(5).JPG</v>
      </c>
      <c r="J99" s="279" t="str">
        <f t="shared" si="70"/>
        <v>https://viking-pictures.s3.us-west-1.amazonaws.com/AA1155/A107.+Trunk+Assembly+-+LOWER+TAILGATE+(6).JPG</v>
      </c>
      <c r="K99" s="279" t="str">
        <f t="shared" si="71"/>
        <v>https://viking-pictures.s3.us-west-1.amazonaws.com/AA1155/A107.+Trunk+Assembly+-+LOWER+TAILGATE+(7).JPG</v>
      </c>
      <c r="L99" s="279" t="str">
        <f t="shared" si="71"/>
        <v>https://viking-pictures.s3.us-west-1.amazonaws.com/AA1155/A107.+Trunk+Assembly+-+LOWER+TAILGATE+(8).JPG</v>
      </c>
      <c r="M99" s="279" t="str">
        <f t="shared" si="72"/>
        <v/>
      </c>
      <c r="N99" s="279" t="str">
        <f t="shared" si="73"/>
        <v/>
      </c>
      <c r="O99" s="279" t="str">
        <f t="shared" si="74"/>
        <v/>
      </c>
      <c r="P99" s="279" t="str">
        <f t="shared" si="75"/>
        <v/>
      </c>
      <c r="Q99" s="279" t="str">
        <f t="shared" si="76"/>
        <v/>
      </c>
      <c r="R99" s="279" t="str">
        <f t="shared" si="77"/>
        <v/>
      </c>
      <c r="S99" s="279" t="str">
        <f t="shared" si="78"/>
        <v/>
      </c>
      <c r="T99" s="279" t="str">
        <f t="shared" si="79"/>
        <v/>
      </c>
      <c r="U99" s="279" t="str">
        <f t="shared" si="80"/>
        <v/>
      </c>
      <c r="V99" s="279" t="str">
        <f t="shared" si="81"/>
        <v/>
      </c>
      <c r="W99" s="279" t="str">
        <f t="shared" si="82"/>
        <v/>
      </c>
      <c r="X99" s="279" t="str">
        <f t="shared" si="83"/>
        <v/>
      </c>
      <c r="Y99" s="279" t="str">
        <f t="shared" si="84"/>
        <v/>
      </c>
      <c r="Z99" s="279" t="str">
        <f t="shared" si="85"/>
        <v/>
      </c>
      <c r="AA99" s="279" t="str">
        <f t="shared" si="86"/>
        <v/>
      </c>
      <c r="AB99" s="279" t="str">
        <f t="shared" si="87"/>
        <v/>
      </c>
      <c r="AC99" s="104" t="s">
        <v>1382</v>
      </c>
      <c r="AD99" s="279" t="str">
        <f t="shared" si="88"/>
        <v>A107.+Trunk+Assembly+-+LOWER+TAILGATE</v>
      </c>
      <c r="AE99" s="279" t="str">
        <f>_xlfn.XLOOKUP(B99,'3. Keep &amp; Toss Items'!O:O,'3. Keep &amp; Toss Items'!Q:Q,"NOT FOUND",0,1)</f>
        <v>A107. Trunk Assembly - LOWER TAILGATE</v>
      </c>
      <c r="AF99" s="279" t="str">
        <f t="shared" si="89"/>
        <v>A107. Trunk Assembly - LOWER TAILGATE</v>
      </c>
      <c r="AG99" s="279" t="str">
        <f t="shared" si="90"/>
        <v>A107.+Trunk+Assembly+-+LOWER+TAILGATE</v>
      </c>
      <c r="AH99" s="279" t="str">
        <f t="shared" si="91"/>
        <v>A107.+Trunk+Assembly+-+LOWER+TAILGATE</v>
      </c>
      <c r="AI99" s="279" t="str">
        <f t="shared" si="92"/>
        <v>A107.+Trunk+Assembly+-+LOWER+TAILGATE</v>
      </c>
      <c r="AJ99" s="279" t="str">
        <f t="shared" si="93"/>
        <v>A107.+Trunk+Assembly+-+LOWER+TAILGATE</v>
      </c>
      <c r="AK99" s="279" t="str">
        <f t="shared" si="94"/>
        <v>A107.+Trunk+Assembly+-+LOWER+TAILGATE</v>
      </c>
      <c r="AL99" s="279" t="str">
        <f t="shared" si="95"/>
        <v>A107.+Trunk+Assembly+-+LOWER+TAILGATE</v>
      </c>
      <c r="AM99" s="279" t="str">
        <f t="shared" si="96"/>
        <v>A107.+Trunk+Assembly+-+LOWER+TAILGATE</v>
      </c>
      <c r="AN99" s="279" t="str">
        <f t="shared" ref="AN99:AN114" si="101">SUBSTITUTE(AM99,"?","%3F")</f>
        <v>A107.+Trunk+Assembly+-+LOWER+TAILGATE</v>
      </c>
      <c r="AO99" s="279" t="str">
        <f t="shared" si="97"/>
        <v>A107.+Trunk+Assembly+-+LOWER+TAILGATE</v>
      </c>
      <c r="AP99" s="279" t="str">
        <f t="shared" si="98"/>
        <v>A107.+Trunk+Assembly+-+LOWER+TAILGATE</v>
      </c>
      <c r="AQ99" s="280" t="s">
        <v>1395</v>
      </c>
      <c r="AR99" s="280" t="s">
        <v>1396</v>
      </c>
      <c r="AS99" s="280" t="s">
        <v>1397</v>
      </c>
      <c r="AT99" s="280" t="s">
        <v>1398</v>
      </c>
      <c r="AU99" s="280" t="s">
        <v>1399</v>
      </c>
      <c r="AV99" s="280" t="s">
        <v>1400</v>
      </c>
      <c r="AW99" s="280" t="s">
        <v>1401</v>
      </c>
      <c r="AX99" s="280" t="s">
        <v>1402</v>
      </c>
      <c r="AY99" s="280" t="s">
        <v>1403</v>
      </c>
      <c r="AZ99" s="280" t="s">
        <v>1404</v>
      </c>
      <c r="BA99" s="280" t="s">
        <v>1405</v>
      </c>
      <c r="BB99" s="280" t="s">
        <v>1406</v>
      </c>
      <c r="BC99" s="280" t="s">
        <v>1419</v>
      </c>
      <c r="BD99" s="280" t="s">
        <v>1407</v>
      </c>
      <c r="BE99" s="280" t="s">
        <v>1408</v>
      </c>
      <c r="BF99" s="280" t="s">
        <v>1409</v>
      </c>
      <c r="BG99" s="280" t="s">
        <v>1410</v>
      </c>
      <c r="BH99" s="280" t="s">
        <v>1411</v>
      </c>
      <c r="BI99" s="280" t="s">
        <v>1412</v>
      </c>
      <c r="BJ99" s="280" t="s">
        <v>1413</v>
      </c>
      <c r="BK99" s="280" t="s">
        <v>1414</v>
      </c>
      <c r="BL99" s="280" t="s">
        <v>1415</v>
      </c>
      <c r="BM99" s="280" t="s">
        <v>1416</v>
      </c>
      <c r="BN99" s="280" t="s">
        <v>1417</v>
      </c>
      <c r="BO99" s="280" t="s">
        <v>1418</v>
      </c>
      <c r="BP99" s="280" t="s">
        <v>1420</v>
      </c>
      <c r="BQ99" s="134" t="str">
        <f t="shared" ref="BQ99:BQ114" si="102">HYPERLINK(E99,"Pic Example")</f>
        <v>Pic Example</v>
      </c>
    </row>
    <row r="100" spans="2:69" x14ac:dyDescent="0.25">
      <c r="B100" t="s">
        <v>1010</v>
      </c>
      <c r="C100" s="279" t="str">
        <f t="shared" si="99"/>
        <v>https://viking-pictures.s3.us-west-1.amazonaws.com/AA1155/A108.+Differential%2C+REAR+(1).JPG|https://viking-pictures.s3.us-west-1.amazonaws.com/AA1155/A108.+Differential%2C+REAR+(2).JPG|https://viking-pictures.s3.us-west-1.amazonaws.com/AA1155/A108.+Differential%2C+REAR+(3).JPG|https://viking-pictures.s3.us-west-1.amazonaws.com/AA1155/A108.+Differential%2C+REAR+(4).JPG|https://viking-pictures.s3.us-west-1.amazonaws.com/AA1155/A108.+Differential%2C+REAR+(5).JPG|https://viking-pictures.s3.us-west-1.amazonaws.com/AA1155/A108.+Differential%2C+REAR+(6).JPG</v>
      </c>
      <c r="D100" s="281">
        <f>_xlfn.XLOOKUP(B100,'3. Keep &amp; Toss Items'!O:O,'3. Keep &amp; Toss Items'!U:U,"NOT FOUND",0,1)</f>
        <v>6</v>
      </c>
      <c r="E100" s="279" t="str">
        <f t="shared" si="100"/>
        <v>https://viking-pictures.s3.us-west-1.amazonaws.com/AA1155/A108.+Differential%2C+REAR+(1).JPG</v>
      </c>
      <c r="F100" s="279" t="str">
        <f t="shared" ref="F100:F114" si="103">IF($D100&gt;=F$1,CONCATENATE($AC100,$AD100,$AQ100,AS100,$BP100),"")</f>
        <v>https://viking-pictures.s3.us-west-1.amazonaws.com/AA1155/A108.+Differential%2C+REAR+(2).JPG</v>
      </c>
      <c r="G100" s="279" t="str">
        <f t="shared" ref="G100:G114" si="104">IF($D100&gt;=G$1,CONCATENATE($AC100,$AD100,$AQ100,AT100,$BP100),"")</f>
        <v>https://viking-pictures.s3.us-west-1.amazonaws.com/AA1155/A108.+Differential%2C+REAR+(3).JPG</v>
      </c>
      <c r="H100" s="279" t="str">
        <f t="shared" ref="H100:H115" si="105">IF($D100&gt;=H$1,CONCATENATE($AC100,$AD100,$AQ100,AU100,$BP100),"")</f>
        <v>https://viking-pictures.s3.us-west-1.amazonaws.com/AA1155/A108.+Differential%2C+REAR+(4).JPG</v>
      </c>
      <c r="I100" s="279" t="str">
        <f t="shared" ref="I100:I115" si="106">IF($D100&gt;=I$1,CONCATENATE($AC100,$AD100,$AQ100,AV100,$BP100),"")</f>
        <v>https://viking-pictures.s3.us-west-1.amazonaws.com/AA1155/A108.+Differential%2C+REAR+(5).JPG</v>
      </c>
      <c r="J100" s="279" t="str">
        <f t="shared" ref="J100:J114" si="107">IF($D100&gt;=J$1,CONCATENATE($AC100,$AD100,$AQ100,AW100,$BP100),"")</f>
        <v>https://viking-pictures.s3.us-west-1.amazonaws.com/AA1155/A108.+Differential%2C+REAR+(6).JPG</v>
      </c>
      <c r="K100" s="279" t="str">
        <f t="shared" ref="K100:L114" si="108">IF($D100&gt;=K$1,CONCATENATE($AC100,$AD100,$AQ100,AX100,$BP100),"")</f>
        <v/>
      </c>
      <c r="L100" s="279" t="str">
        <f t="shared" si="108"/>
        <v/>
      </c>
      <c r="M100" s="279" t="str">
        <f t="shared" ref="M100:M114" si="109">IF($D100&gt;=M$1,CONCATENATE($AC100,$AD100,$AQ100,AZ100,$BP100),"")</f>
        <v/>
      </c>
      <c r="N100" s="279" t="str">
        <f t="shared" ref="N100:N114" si="110">IF($D100&gt;=N$1,CONCATENATE($AC100,$AD100,$AQ100,BA100,$BP100),"")</f>
        <v/>
      </c>
      <c r="O100" s="279" t="str">
        <f t="shared" ref="O100:O114" si="111">IF($D100&gt;=O$1,CONCATENATE($AC100,$AD100,$AQ100,BB100,$BP100),"")</f>
        <v/>
      </c>
      <c r="P100" s="279" t="str">
        <f t="shared" ref="P100:P114" si="112">IF($D100&gt;=P$1,CONCATENATE($AC100,$AD100,$AQ100,BC100,$BP100),"")</f>
        <v/>
      </c>
      <c r="Q100" s="279" t="str">
        <f t="shared" ref="Q100:Q114" si="113">IF($D100&gt;=Q$1,CONCATENATE($AC100,$AD100,$AQ100,BD100,$BP100),"")</f>
        <v/>
      </c>
      <c r="R100" s="279" t="str">
        <f t="shared" ref="R100:R114" si="114">IF($D100&gt;=R$1,CONCATENATE($AC100,$AD100,$AQ100,BE100,$BP100),"")</f>
        <v/>
      </c>
      <c r="S100" s="279" t="str">
        <f t="shared" ref="S100:S114" si="115">IF($D100&gt;=S$1,CONCATENATE($AC100,$AD100,$AQ100,BF100,$BP100),"")</f>
        <v/>
      </c>
      <c r="T100" s="279" t="str">
        <f t="shared" ref="T100:T114" si="116">IF($D100&gt;=T$1,CONCATENATE($AC100,$AD100,$AQ100,BG100,$BP100),"")</f>
        <v/>
      </c>
      <c r="U100" s="279" t="str">
        <f t="shared" ref="U100:U114" si="117">IF($D100&gt;=U$1,CONCATENATE($AC100,$AD100,$AQ100,BH100,$BP100),"")</f>
        <v/>
      </c>
      <c r="V100" s="279" t="str">
        <f t="shared" ref="V100:V114" si="118">IF($D100&gt;=V$1,CONCATENATE($AC100,$AD100,$AQ100,BI100,$BP100),"")</f>
        <v/>
      </c>
      <c r="W100" s="279" t="str">
        <f t="shared" ref="W100:W114" si="119">IF($D100&gt;=W$1,CONCATENATE($AC100,$AD100,$AQ100,BJ100,$BP100),"")</f>
        <v/>
      </c>
      <c r="X100" s="279" t="str">
        <f t="shared" ref="X100:X114" si="120">IF($D100&gt;=X$1,CONCATENATE($AC100,$AD100,$AQ100,BK100,$BP100),"")</f>
        <v/>
      </c>
      <c r="Y100" s="279" t="str">
        <f t="shared" ref="Y100:Y114" si="121">IF($D100&gt;=Y$1,CONCATENATE($AC100,$AD100,$AQ100,BL100,$BP100),"")</f>
        <v/>
      </c>
      <c r="Z100" s="279" t="str">
        <f t="shared" ref="Z100:Z114" si="122">IF($D100&gt;=Z$1,CONCATENATE($AC100,$AD100,$AQ100,BM100,$BP100),"")</f>
        <v/>
      </c>
      <c r="AA100" s="279" t="str">
        <f t="shared" ref="AA100:AA114" si="123">IF($D100&gt;=AA$1,CONCATENATE($AC100,$AD100,$AQ100,BN100,$BP100),"")</f>
        <v/>
      </c>
      <c r="AB100" s="279" t="str">
        <f t="shared" ref="AB100:AB114" si="124">IF($D100&gt;=AB$1,CONCATENATE($AC100,$AD100,$AQ100,BO100,$BP100),"")</f>
        <v/>
      </c>
      <c r="AC100" s="104" t="s">
        <v>1382</v>
      </c>
      <c r="AD100" s="279" t="str">
        <f t="shared" si="88"/>
        <v>A108.+Differential%2C+REAR</v>
      </c>
      <c r="AE100" s="279" t="str">
        <f>_xlfn.XLOOKUP(B100,'3. Keep &amp; Toss Items'!O:O,'3. Keep &amp; Toss Items'!Q:Q,"NOT FOUND",0,1)</f>
        <v>A108. Differential, REAR</v>
      </c>
      <c r="AF100" s="279" t="str">
        <f t="shared" si="89"/>
        <v>A108. Differential, REAR</v>
      </c>
      <c r="AG100" s="279" t="str">
        <f t="shared" si="90"/>
        <v>A108.+Differential,+REAR</v>
      </c>
      <c r="AH100" s="279" t="str">
        <f t="shared" si="91"/>
        <v>A108.+Differential%2C+REAR</v>
      </c>
      <c r="AI100" s="279" t="str">
        <f t="shared" si="92"/>
        <v>A108.+Differential%2C+REAR</v>
      </c>
      <c r="AJ100" s="279" t="str">
        <f t="shared" si="93"/>
        <v>A108.+Differential%2C+REAR</v>
      </c>
      <c r="AK100" s="279" t="str">
        <f t="shared" si="94"/>
        <v>A108.+Differential%2C+REAR</v>
      </c>
      <c r="AL100" s="279" t="str">
        <f t="shared" si="95"/>
        <v>A108.+Differential%2C+REAR</v>
      </c>
      <c r="AM100" s="279" t="str">
        <f t="shared" si="96"/>
        <v>A108.+Differential%2C+REAR</v>
      </c>
      <c r="AN100" s="279" t="str">
        <f t="shared" si="101"/>
        <v>A108.+Differential%2C+REAR</v>
      </c>
      <c r="AO100" s="279" t="str">
        <f t="shared" si="97"/>
        <v>A108.+Differential%2C+REAR</v>
      </c>
      <c r="AP100" s="279" t="str">
        <f t="shared" si="98"/>
        <v>A108.+Differential%2C+REAR</v>
      </c>
      <c r="AQ100" s="280" t="s">
        <v>1395</v>
      </c>
      <c r="AR100" s="280" t="s">
        <v>1396</v>
      </c>
      <c r="AS100" s="280" t="s">
        <v>1397</v>
      </c>
      <c r="AT100" s="280" t="s">
        <v>1398</v>
      </c>
      <c r="AU100" s="280" t="s">
        <v>1399</v>
      </c>
      <c r="AV100" s="280" t="s">
        <v>1400</v>
      </c>
      <c r="AW100" s="280" t="s">
        <v>1401</v>
      </c>
      <c r="AX100" s="280" t="s">
        <v>1402</v>
      </c>
      <c r="AY100" s="280" t="s">
        <v>1403</v>
      </c>
      <c r="AZ100" s="280" t="s">
        <v>1404</v>
      </c>
      <c r="BA100" s="280" t="s">
        <v>1405</v>
      </c>
      <c r="BB100" s="280" t="s">
        <v>1406</v>
      </c>
      <c r="BC100" s="280" t="s">
        <v>1419</v>
      </c>
      <c r="BD100" s="280" t="s">
        <v>1407</v>
      </c>
      <c r="BE100" s="280" t="s">
        <v>1408</v>
      </c>
      <c r="BF100" s="280" t="s">
        <v>1409</v>
      </c>
      <c r="BG100" s="280" t="s">
        <v>1410</v>
      </c>
      <c r="BH100" s="280" t="s">
        <v>1411</v>
      </c>
      <c r="BI100" s="280" t="s">
        <v>1412</v>
      </c>
      <c r="BJ100" s="280" t="s">
        <v>1413</v>
      </c>
      <c r="BK100" s="280" t="s">
        <v>1414</v>
      </c>
      <c r="BL100" s="280" t="s">
        <v>1415</v>
      </c>
      <c r="BM100" s="280" t="s">
        <v>1416</v>
      </c>
      <c r="BN100" s="280" t="s">
        <v>1417</v>
      </c>
      <c r="BO100" s="280" t="s">
        <v>1418</v>
      </c>
      <c r="BP100" s="280" t="s">
        <v>1420</v>
      </c>
      <c r="BQ100" s="134" t="str">
        <f t="shared" si="102"/>
        <v>Pic Example</v>
      </c>
    </row>
    <row r="101" spans="2:69" x14ac:dyDescent="0.25">
      <c r="B101" t="s">
        <v>1011</v>
      </c>
      <c r="C101" s="279" t="str">
        <f t="shared" si="99"/>
        <v>https://viking-pictures.s3.us-west-1.amazonaws.com/AA1155/A109.+Engine+Assembly+as+FULL+ASSEMBLY+(1).JPG|https://viking-pictures.s3.us-west-1.amazonaws.com/AA1155/A109.+Engine+Assembly+as+FULL+ASSEMBLY+(2).JPG|https://viking-pictures.s3.us-west-1.amazonaws.com/AA1155/A109.+Engine+Assembly+as+FULL+ASSEMBLY+(3).JPG|https://viking-pictures.s3.us-west-1.amazonaws.com/AA1155/A109.+Engine+Assembly+as+FULL+ASSEMBLY+(4).JPG|https://viking-pictures.s3.us-west-1.amazonaws.com/AA1155/A109.+Engine+Assembly+as+FULL+ASSEMBLY+(5).JPG|https://viking-pictures.s3.us-west-1.amazonaws.com/AA1155/A109.+Engine+Assembly+as+FULL+ASSEMBLY+(6).JPG|https://viking-pictures.s3.us-west-1.amazonaws.com/AA1155/A109.+Engine+Assembly+as+FULL+ASSEMBLY+(7).JPG|https://viking-pictures.s3.us-west-1.amazonaws.com/AA1155/A109.+Engine+Assembly+as+FULL+ASSEMBLY+(8).JPG|https://viking-pictures.s3.us-west-1.amazonaws.com/AA1155/A109.+Engine+Assembly+as+FULL+ASSEMBLY+(9).JPG|https://viking-pictures.s3.us-west-1.amazonaws.com/AA1155/A109.+Engine+Assembly+as+FULL+ASSEMBLY+(10).JPG|https://viking-pictures.s3.us-west-1.amazonaws.com/AA1155/A109.+Engine+Assembly+as+FULL+ASSEMBLY+(11).JPG|https://viking-pictures.s3.us-west-1.amazonaws.com/AA1155/A109.+Engine+Assembly+as+FULL+ASSEMBLY+(12).JPG|https://viking-pictures.s3.us-west-1.amazonaws.com/AA1155/A109.+Engine+Assembly+as+FULL+ASSEMBLY+(13).JPG|https://viking-pictures.s3.us-west-1.amazonaws.com/AA1155/A109.+Engine+Assembly+as+FULL+ASSEMBLY+(14).JPG</v>
      </c>
      <c r="D101" s="281">
        <f>_xlfn.XLOOKUP(B101,'3. Keep &amp; Toss Items'!O:O,'3. Keep &amp; Toss Items'!U:U,"NOT FOUND",0,1)</f>
        <v>14</v>
      </c>
      <c r="E101" s="279" t="str">
        <f t="shared" si="100"/>
        <v>https://viking-pictures.s3.us-west-1.amazonaws.com/AA1155/A109.+Engine+Assembly+as+FULL+ASSEMBLY+(1).JPG</v>
      </c>
      <c r="F101" s="279" t="str">
        <f t="shared" si="103"/>
        <v>https://viking-pictures.s3.us-west-1.amazonaws.com/AA1155/A109.+Engine+Assembly+as+FULL+ASSEMBLY+(2).JPG</v>
      </c>
      <c r="G101" s="279" t="str">
        <f t="shared" si="104"/>
        <v>https://viking-pictures.s3.us-west-1.amazonaws.com/AA1155/A109.+Engine+Assembly+as+FULL+ASSEMBLY+(3).JPG</v>
      </c>
      <c r="H101" s="279" t="str">
        <f t="shared" si="105"/>
        <v>https://viking-pictures.s3.us-west-1.amazonaws.com/AA1155/A109.+Engine+Assembly+as+FULL+ASSEMBLY+(4).JPG</v>
      </c>
      <c r="I101" s="279" t="str">
        <f t="shared" si="106"/>
        <v>https://viking-pictures.s3.us-west-1.amazonaws.com/AA1155/A109.+Engine+Assembly+as+FULL+ASSEMBLY+(5).JPG</v>
      </c>
      <c r="J101" s="279" t="str">
        <f t="shared" si="107"/>
        <v>https://viking-pictures.s3.us-west-1.amazonaws.com/AA1155/A109.+Engine+Assembly+as+FULL+ASSEMBLY+(6).JPG</v>
      </c>
      <c r="K101" s="279" t="str">
        <f t="shared" si="108"/>
        <v>https://viking-pictures.s3.us-west-1.amazonaws.com/AA1155/A109.+Engine+Assembly+as+FULL+ASSEMBLY+(7).JPG</v>
      </c>
      <c r="L101" s="279" t="str">
        <f t="shared" si="108"/>
        <v>https://viking-pictures.s3.us-west-1.amazonaws.com/AA1155/A109.+Engine+Assembly+as+FULL+ASSEMBLY+(8).JPG</v>
      </c>
      <c r="M101" s="279" t="str">
        <f t="shared" si="109"/>
        <v>https://viking-pictures.s3.us-west-1.amazonaws.com/AA1155/A109.+Engine+Assembly+as+FULL+ASSEMBLY+(9).JPG</v>
      </c>
      <c r="N101" s="279" t="str">
        <f t="shared" si="110"/>
        <v>https://viking-pictures.s3.us-west-1.amazonaws.com/AA1155/A109.+Engine+Assembly+as+FULL+ASSEMBLY+(10).JPG</v>
      </c>
      <c r="O101" s="279" t="str">
        <f t="shared" si="111"/>
        <v>https://viking-pictures.s3.us-west-1.amazonaws.com/AA1155/A109.+Engine+Assembly+as+FULL+ASSEMBLY+(11).JPG</v>
      </c>
      <c r="P101" s="279" t="str">
        <f t="shared" si="112"/>
        <v>https://viking-pictures.s3.us-west-1.amazonaws.com/AA1155/A109.+Engine+Assembly+as+FULL+ASSEMBLY+(12).JPG</v>
      </c>
      <c r="Q101" s="279" t="str">
        <f t="shared" si="113"/>
        <v>https://viking-pictures.s3.us-west-1.amazonaws.com/AA1155/A109.+Engine+Assembly+as+FULL+ASSEMBLY+(13).JPG</v>
      </c>
      <c r="R101" s="279" t="str">
        <f t="shared" si="114"/>
        <v>https://viking-pictures.s3.us-west-1.amazonaws.com/AA1155/A109.+Engine+Assembly+as+FULL+ASSEMBLY+(14).JPG</v>
      </c>
      <c r="S101" s="279" t="str">
        <f t="shared" si="115"/>
        <v/>
      </c>
      <c r="T101" s="279" t="str">
        <f t="shared" si="116"/>
        <v/>
      </c>
      <c r="U101" s="279" t="str">
        <f t="shared" si="117"/>
        <v/>
      </c>
      <c r="V101" s="279" t="str">
        <f t="shared" si="118"/>
        <v/>
      </c>
      <c r="W101" s="279" t="str">
        <f t="shared" si="119"/>
        <v/>
      </c>
      <c r="X101" s="279" t="str">
        <f t="shared" si="120"/>
        <v/>
      </c>
      <c r="Y101" s="279" t="str">
        <f t="shared" si="121"/>
        <v/>
      </c>
      <c r="Z101" s="279" t="str">
        <f t="shared" si="122"/>
        <v/>
      </c>
      <c r="AA101" s="279" t="str">
        <f t="shared" si="123"/>
        <v/>
      </c>
      <c r="AB101" s="279" t="str">
        <f t="shared" si="124"/>
        <v/>
      </c>
      <c r="AC101" s="104" t="s">
        <v>1382</v>
      </c>
      <c r="AD101" s="279" t="str">
        <f t="shared" si="88"/>
        <v>A109.+Engine+Assembly+as+FULL+ASSEMBLY</v>
      </c>
      <c r="AE101" s="279" t="str">
        <f>_xlfn.XLOOKUP(B101,'3. Keep &amp; Toss Items'!O:O,'3. Keep &amp; Toss Items'!Q:Q,"NOT FOUND",0,1)</f>
        <v>A109. Engine Assembly as FULL ASSEMBLY</v>
      </c>
      <c r="AF101" s="279" t="str">
        <f t="shared" si="89"/>
        <v>A109. Engine Assembly as FULL ASSEMBLY</v>
      </c>
      <c r="AG101" s="279" t="str">
        <f t="shared" si="90"/>
        <v>A109.+Engine+Assembly+as+FULL+ASSEMBLY</v>
      </c>
      <c r="AH101" s="279" t="str">
        <f t="shared" si="91"/>
        <v>A109.+Engine+Assembly+as+FULL+ASSEMBLY</v>
      </c>
      <c r="AI101" s="279" t="str">
        <f t="shared" si="92"/>
        <v>A109.+Engine+Assembly+as+FULL+ASSEMBLY</v>
      </c>
      <c r="AJ101" s="279" t="str">
        <f t="shared" si="93"/>
        <v>A109.+Engine+Assembly+as+FULL+ASSEMBLY</v>
      </c>
      <c r="AK101" s="279" t="str">
        <f t="shared" si="94"/>
        <v>A109.+Engine+Assembly+as+FULL+ASSEMBLY</v>
      </c>
      <c r="AL101" s="279" t="str">
        <f t="shared" si="95"/>
        <v>A109.+Engine+Assembly+as+FULL+ASSEMBLY</v>
      </c>
      <c r="AM101" s="279" t="str">
        <f t="shared" si="96"/>
        <v>A109.+Engine+Assembly+as+FULL+ASSEMBLY</v>
      </c>
      <c r="AN101" s="279" t="str">
        <f t="shared" si="101"/>
        <v>A109.+Engine+Assembly+as+FULL+ASSEMBLY</v>
      </c>
      <c r="AO101" s="279" t="str">
        <f t="shared" si="97"/>
        <v>A109.+Engine+Assembly+as+FULL+ASSEMBLY</v>
      </c>
      <c r="AP101" s="279" t="str">
        <f t="shared" si="98"/>
        <v>A109.+Engine+Assembly+as+FULL+ASSEMBLY</v>
      </c>
      <c r="AQ101" s="280" t="s">
        <v>1395</v>
      </c>
      <c r="AR101" s="280" t="s">
        <v>1396</v>
      </c>
      <c r="AS101" s="280" t="s">
        <v>1397</v>
      </c>
      <c r="AT101" s="280" t="s">
        <v>1398</v>
      </c>
      <c r="AU101" s="280" t="s">
        <v>1399</v>
      </c>
      <c r="AV101" s="280" t="s">
        <v>1400</v>
      </c>
      <c r="AW101" s="280" t="s">
        <v>1401</v>
      </c>
      <c r="AX101" s="280" t="s">
        <v>1402</v>
      </c>
      <c r="AY101" s="280" t="s">
        <v>1403</v>
      </c>
      <c r="AZ101" s="280" t="s">
        <v>1404</v>
      </c>
      <c r="BA101" s="280" t="s">
        <v>1405</v>
      </c>
      <c r="BB101" s="280" t="s">
        <v>1406</v>
      </c>
      <c r="BC101" s="280" t="s">
        <v>1419</v>
      </c>
      <c r="BD101" s="280" t="s">
        <v>1407</v>
      </c>
      <c r="BE101" s="280" t="s">
        <v>1408</v>
      </c>
      <c r="BF101" s="280" t="s">
        <v>1409</v>
      </c>
      <c r="BG101" s="280" t="s">
        <v>1410</v>
      </c>
      <c r="BH101" s="280" t="s">
        <v>1411</v>
      </c>
      <c r="BI101" s="280" t="s">
        <v>1412</v>
      </c>
      <c r="BJ101" s="280" t="s">
        <v>1413</v>
      </c>
      <c r="BK101" s="280" t="s">
        <v>1414</v>
      </c>
      <c r="BL101" s="280" t="s">
        <v>1415</v>
      </c>
      <c r="BM101" s="280" t="s">
        <v>1416</v>
      </c>
      <c r="BN101" s="280" t="s">
        <v>1417</v>
      </c>
      <c r="BO101" s="280" t="s">
        <v>1418</v>
      </c>
      <c r="BP101" s="280" t="s">
        <v>1420</v>
      </c>
      <c r="BQ101" s="134" t="str">
        <f t="shared" si="102"/>
        <v>Pic Example</v>
      </c>
    </row>
    <row r="102" spans="2:69" x14ac:dyDescent="0.25">
      <c r="B102" t="s">
        <v>1012</v>
      </c>
      <c r="C102" s="279" t="str">
        <f t="shared" si="99"/>
        <v>https://viking-pictures.s3.us-west-1.amazonaws.com/AA1155/A110.+Trim+Set%2C+Entire+Vehicle+(1).JPG|https://viking-pictures.s3.us-west-1.amazonaws.com/AA1155/A110.+Trim+Set%2C+Entire+Vehicle+(2).JPG|https://viking-pictures.s3.us-west-1.amazonaws.com/AA1155/A110.+Trim+Set%2C+Entire+Vehicle+(3).JPG|https://viking-pictures.s3.us-west-1.amazonaws.com/AA1155/A110.+Trim+Set%2C+Entire+Vehicle+(4).JPG|https://viking-pictures.s3.us-west-1.amazonaws.com/AA1155/A110.+Trim+Set%2C+Entire+Vehicle+(5).JPG|https://viking-pictures.s3.us-west-1.amazonaws.com/AA1155/A110.+Trim+Set%2C+Entire+Vehicle+(6).JPG|https://viking-pictures.s3.us-west-1.amazonaws.com/AA1155/A110.+Trim+Set%2C+Entire+Vehicle+(7).JPG|https://viking-pictures.s3.us-west-1.amazonaws.com/AA1155/A110.+Trim+Set%2C+Entire+Vehicle+(8).JPG|https://viking-pictures.s3.us-west-1.amazonaws.com/AA1155/A110.+Trim+Set%2C+Entire+Vehicle+(9).JPG|https://viking-pictures.s3.us-west-1.amazonaws.com/AA1155/A110.+Trim+Set%2C+Entire+Vehicle+(10).JPG|https://viking-pictures.s3.us-west-1.amazonaws.com/AA1155/A110.+Trim+Set%2C+Entire+Vehicle+(11).JPG|https://viking-pictures.s3.us-west-1.amazonaws.com/AA1155/A110.+Trim+Set%2C+Entire+Vehicle+(12).JPG|https://viking-pictures.s3.us-west-1.amazonaws.com/AA1155/A110.+Trim+Set%2C+Entire+Vehicle+(13).JPG|https://viking-pictures.s3.us-west-1.amazonaws.com/AA1155/A110.+Trim+Set%2C+Entire+Vehicle+(14).JPG|https://viking-pictures.s3.us-west-1.amazonaws.com/AA1155/A110.+Trim+Set%2C+Entire+Vehicle+(15).JPG|https://viking-pictures.s3.us-west-1.amazonaws.com/AA1155/A110.+Trim+Set%2C+Entire+Vehicle+(16).JPG|https://viking-pictures.s3.us-west-1.amazonaws.com/AA1155/A110.+Trim+Set%2C+Entire+Vehicle+(17).JPG|https://viking-pictures.s3.us-west-1.amazonaws.com/AA1155/A110.+Trim+Set%2C+Entire+Vehicle+(18).JPG|https://viking-pictures.s3.us-west-1.amazonaws.com/AA1155/A110.+Trim+Set%2C+Entire+Vehicle+(19).JPG|https://viking-pictures.s3.us-west-1.amazonaws.com/AA1155/A110.+Trim+Set%2C+Entire+Vehicle+(20).JPG</v>
      </c>
      <c r="D102" s="281">
        <f>_xlfn.XLOOKUP(B102,'3. Keep &amp; Toss Items'!O:O,'3. Keep &amp; Toss Items'!U:U,"NOT FOUND",0,1)</f>
        <v>20</v>
      </c>
      <c r="E102" s="279" t="str">
        <f t="shared" si="100"/>
        <v>https://viking-pictures.s3.us-west-1.amazonaws.com/AA1155/A110.+Trim+Set%2C+Entire+Vehicle+(1).JPG</v>
      </c>
      <c r="F102" s="279" t="str">
        <f t="shared" si="103"/>
        <v>https://viking-pictures.s3.us-west-1.amazonaws.com/AA1155/A110.+Trim+Set%2C+Entire+Vehicle+(2).JPG</v>
      </c>
      <c r="G102" s="279" t="str">
        <f t="shared" si="104"/>
        <v>https://viking-pictures.s3.us-west-1.amazonaws.com/AA1155/A110.+Trim+Set%2C+Entire+Vehicle+(3).JPG</v>
      </c>
      <c r="H102" s="279" t="str">
        <f t="shared" si="105"/>
        <v>https://viking-pictures.s3.us-west-1.amazonaws.com/AA1155/A110.+Trim+Set%2C+Entire+Vehicle+(4).JPG</v>
      </c>
      <c r="I102" s="279" t="str">
        <f t="shared" si="106"/>
        <v>https://viking-pictures.s3.us-west-1.amazonaws.com/AA1155/A110.+Trim+Set%2C+Entire+Vehicle+(5).JPG</v>
      </c>
      <c r="J102" s="279" t="str">
        <f t="shared" si="107"/>
        <v>https://viking-pictures.s3.us-west-1.amazonaws.com/AA1155/A110.+Trim+Set%2C+Entire+Vehicle+(6).JPG</v>
      </c>
      <c r="K102" s="279" t="str">
        <f t="shared" si="108"/>
        <v>https://viking-pictures.s3.us-west-1.amazonaws.com/AA1155/A110.+Trim+Set%2C+Entire+Vehicle+(7).JPG</v>
      </c>
      <c r="L102" s="279" t="str">
        <f t="shared" si="108"/>
        <v>https://viking-pictures.s3.us-west-1.amazonaws.com/AA1155/A110.+Trim+Set%2C+Entire+Vehicle+(8).JPG</v>
      </c>
      <c r="M102" s="279" t="str">
        <f t="shared" si="109"/>
        <v>https://viking-pictures.s3.us-west-1.amazonaws.com/AA1155/A110.+Trim+Set%2C+Entire+Vehicle+(9).JPG</v>
      </c>
      <c r="N102" s="279" t="str">
        <f t="shared" si="110"/>
        <v>https://viking-pictures.s3.us-west-1.amazonaws.com/AA1155/A110.+Trim+Set%2C+Entire+Vehicle+(10).JPG</v>
      </c>
      <c r="O102" s="279" t="str">
        <f t="shared" si="111"/>
        <v>https://viking-pictures.s3.us-west-1.amazonaws.com/AA1155/A110.+Trim+Set%2C+Entire+Vehicle+(11).JPG</v>
      </c>
      <c r="P102" s="279" t="str">
        <f t="shared" si="112"/>
        <v>https://viking-pictures.s3.us-west-1.amazonaws.com/AA1155/A110.+Trim+Set%2C+Entire+Vehicle+(12).JPG</v>
      </c>
      <c r="Q102" s="279" t="str">
        <f t="shared" si="113"/>
        <v>https://viking-pictures.s3.us-west-1.amazonaws.com/AA1155/A110.+Trim+Set%2C+Entire+Vehicle+(13).JPG</v>
      </c>
      <c r="R102" s="279" t="str">
        <f t="shared" si="114"/>
        <v>https://viking-pictures.s3.us-west-1.amazonaws.com/AA1155/A110.+Trim+Set%2C+Entire+Vehicle+(14).JPG</v>
      </c>
      <c r="S102" s="279" t="str">
        <f t="shared" si="115"/>
        <v>https://viking-pictures.s3.us-west-1.amazonaws.com/AA1155/A110.+Trim+Set%2C+Entire+Vehicle+(15).JPG</v>
      </c>
      <c r="T102" s="279" t="str">
        <f t="shared" si="116"/>
        <v>https://viking-pictures.s3.us-west-1.amazonaws.com/AA1155/A110.+Trim+Set%2C+Entire+Vehicle+(16).JPG</v>
      </c>
      <c r="U102" s="279" t="str">
        <f t="shared" si="117"/>
        <v>https://viking-pictures.s3.us-west-1.amazonaws.com/AA1155/A110.+Trim+Set%2C+Entire+Vehicle+(17).JPG</v>
      </c>
      <c r="V102" s="279" t="str">
        <f t="shared" si="118"/>
        <v>https://viking-pictures.s3.us-west-1.amazonaws.com/AA1155/A110.+Trim+Set%2C+Entire+Vehicle+(18).JPG</v>
      </c>
      <c r="W102" s="279" t="str">
        <f t="shared" si="119"/>
        <v>https://viking-pictures.s3.us-west-1.amazonaws.com/AA1155/A110.+Trim+Set%2C+Entire+Vehicle+(19).JPG</v>
      </c>
      <c r="X102" s="279" t="str">
        <f t="shared" si="120"/>
        <v>https://viking-pictures.s3.us-west-1.amazonaws.com/AA1155/A110.+Trim+Set%2C+Entire+Vehicle+(20).JPG</v>
      </c>
      <c r="Y102" s="279" t="str">
        <f t="shared" si="121"/>
        <v/>
      </c>
      <c r="Z102" s="279" t="str">
        <f t="shared" si="122"/>
        <v/>
      </c>
      <c r="AA102" s="279" t="str">
        <f t="shared" si="123"/>
        <v/>
      </c>
      <c r="AB102" s="279" t="str">
        <f t="shared" si="124"/>
        <v/>
      </c>
      <c r="AC102" s="104" t="s">
        <v>1382</v>
      </c>
      <c r="AD102" s="279" t="str">
        <f t="shared" si="88"/>
        <v>A110.+Trim+Set%2C+Entire+Vehicle</v>
      </c>
      <c r="AE102" s="279" t="str">
        <f>_xlfn.XLOOKUP(B102,'3. Keep &amp; Toss Items'!O:O,'3. Keep &amp; Toss Items'!Q:Q,"NOT FOUND",0,1)</f>
        <v>A110. Trim Set, Entire Vehicle</v>
      </c>
      <c r="AF102" s="279" t="str">
        <f t="shared" si="89"/>
        <v>A110. Trim Set, Entire Vehicle</v>
      </c>
      <c r="AG102" s="279" t="str">
        <f t="shared" si="90"/>
        <v>A110.+Trim+Set,+Entire+Vehicle</v>
      </c>
      <c r="AH102" s="279" t="str">
        <f t="shared" si="91"/>
        <v>A110.+Trim+Set%2C+Entire+Vehicle</v>
      </c>
      <c r="AI102" s="279" t="str">
        <f t="shared" si="92"/>
        <v>A110.+Trim+Set%2C+Entire+Vehicle</v>
      </c>
      <c r="AJ102" s="279" t="str">
        <f t="shared" si="93"/>
        <v>A110.+Trim+Set%2C+Entire+Vehicle</v>
      </c>
      <c r="AK102" s="279" t="str">
        <f t="shared" si="94"/>
        <v>A110.+Trim+Set%2C+Entire+Vehicle</v>
      </c>
      <c r="AL102" s="279" t="str">
        <f t="shared" si="95"/>
        <v>A110.+Trim+Set%2C+Entire+Vehicle</v>
      </c>
      <c r="AM102" s="279" t="str">
        <f t="shared" si="96"/>
        <v>A110.+Trim+Set%2C+Entire+Vehicle</v>
      </c>
      <c r="AN102" s="279" t="str">
        <f t="shared" si="101"/>
        <v>A110.+Trim+Set%2C+Entire+Vehicle</v>
      </c>
      <c r="AO102" s="279" t="str">
        <f t="shared" si="97"/>
        <v>A110.+Trim+Set%2C+Entire+Vehicle</v>
      </c>
      <c r="AP102" s="279" t="str">
        <f t="shared" si="98"/>
        <v>A110.+Trim+Set%2C+Entire+Vehicle</v>
      </c>
      <c r="AQ102" s="280" t="s">
        <v>1395</v>
      </c>
      <c r="AR102" s="280" t="s">
        <v>1396</v>
      </c>
      <c r="AS102" s="280" t="s">
        <v>1397</v>
      </c>
      <c r="AT102" s="280" t="s">
        <v>1398</v>
      </c>
      <c r="AU102" s="280" t="s">
        <v>1399</v>
      </c>
      <c r="AV102" s="280" t="s">
        <v>1400</v>
      </c>
      <c r="AW102" s="280" t="s">
        <v>1401</v>
      </c>
      <c r="AX102" s="280" t="s">
        <v>1402</v>
      </c>
      <c r="AY102" s="280" t="s">
        <v>1403</v>
      </c>
      <c r="AZ102" s="280" t="s">
        <v>1404</v>
      </c>
      <c r="BA102" s="280" t="s">
        <v>1405</v>
      </c>
      <c r="BB102" s="280" t="s">
        <v>1406</v>
      </c>
      <c r="BC102" s="280" t="s">
        <v>1419</v>
      </c>
      <c r="BD102" s="280" t="s">
        <v>1407</v>
      </c>
      <c r="BE102" s="280" t="s">
        <v>1408</v>
      </c>
      <c r="BF102" s="280" t="s">
        <v>1409</v>
      </c>
      <c r="BG102" s="280" t="s">
        <v>1410</v>
      </c>
      <c r="BH102" s="280" t="s">
        <v>1411</v>
      </c>
      <c r="BI102" s="280" t="s">
        <v>1412</v>
      </c>
      <c r="BJ102" s="280" t="s">
        <v>1413</v>
      </c>
      <c r="BK102" s="280" t="s">
        <v>1414</v>
      </c>
      <c r="BL102" s="280" t="s">
        <v>1415</v>
      </c>
      <c r="BM102" s="280" t="s">
        <v>1416</v>
      </c>
      <c r="BN102" s="280" t="s">
        <v>1417</v>
      </c>
      <c r="BO102" s="280" t="s">
        <v>1418</v>
      </c>
      <c r="BP102" s="280" t="s">
        <v>1420</v>
      </c>
      <c r="BQ102" s="134" t="str">
        <f t="shared" si="102"/>
        <v>Pic Example</v>
      </c>
    </row>
    <row r="103" spans="2:69" x14ac:dyDescent="0.25">
      <c r="B103" t="s">
        <v>1013</v>
      </c>
      <c r="C103" s="279" t="str">
        <f t="shared" si="99"/>
        <v>https://viking-pictures.s3.us-west-1.amazonaws.com/AA1155/A111.+Mirror%2C+Door+-+FRONT+RIGHT+(1).JPG|https://viking-pictures.s3.us-west-1.amazonaws.com/AA1155/A111.+Mirror%2C+Door+-+FRONT+RIGHT+(2).JPG|https://viking-pictures.s3.us-west-1.amazonaws.com/AA1155/A111.+Mirror%2C+Door+-+FRONT+RIGHT+(3).JPG|https://viking-pictures.s3.us-west-1.amazonaws.com/AA1155/A111.+Mirror%2C+Door+-+FRONT+RIGHT+(4).JPG|https://viking-pictures.s3.us-west-1.amazonaws.com/AA1155/A111.+Mirror%2C+Door+-+FRONT+RIGHT+(5).JPG|https://viking-pictures.s3.us-west-1.amazonaws.com/AA1155/A111.+Mirror%2C+Door+-+FRONT+RIGHT+(6).JPG|https://viking-pictures.s3.us-west-1.amazonaws.com/AA1155/A111.+Mirror%2C+Door+-+FRONT+RIGHT+(7).JPG</v>
      </c>
      <c r="D103" s="281">
        <f>_xlfn.XLOOKUP(B103,'3. Keep &amp; Toss Items'!O:O,'3. Keep &amp; Toss Items'!U:U,"NOT FOUND",0,1)</f>
        <v>7</v>
      </c>
      <c r="E103" s="279" t="str">
        <f t="shared" si="100"/>
        <v>https://viking-pictures.s3.us-west-1.amazonaws.com/AA1155/A111.+Mirror%2C+Door+-+FRONT+RIGHT+(1).JPG</v>
      </c>
      <c r="F103" s="279" t="str">
        <f t="shared" si="103"/>
        <v>https://viking-pictures.s3.us-west-1.amazonaws.com/AA1155/A111.+Mirror%2C+Door+-+FRONT+RIGHT+(2).JPG</v>
      </c>
      <c r="G103" s="279" t="str">
        <f t="shared" si="104"/>
        <v>https://viking-pictures.s3.us-west-1.amazonaws.com/AA1155/A111.+Mirror%2C+Door+-+FRONT+RIGHT+(3).JPG</v>
      </c>
      <c r="H103" s="279" t="str">
        <f t="shared" si="105"/>
        <v>https://viking-pictures.s3.us-west-1.amazonaws.com/AA1155/A111.+Mirror%2C+Door+-+FRONT+RIGHT+(4).JPG</v>
      </c>
      <c r="I103" s="279" t="str">
        <f t="shared" si="106"/>
        <v>https://viking-pictures.s3.us-west-1.amazonaws.com/AA1155/A111.+Mirror%2C+Door+-+FRONT+RIGHT+(5).JPG</v>
      </c>
      <c r="J103" s="279" t="str">
        <f t="shared" si="107"/>
        <v>https://viking-pictures.s3.us-west-1.amazonaws.com/AA1155/A111.+Mirror%2C+Door+-+FRONT+RIGHT+(6).JPG</v>
      </c>
      <c r="K103" s="279" t="str">
        <f t="shared" si="108"/>
        <v>https://viking-pictures.s3.us-west-1.amazonaws.com/AA1155/A111.+Mirror%2C+Door+-+FRONT+RIGHT+(7).JPG</v>
      </c>
      <c r="L103" s="279" t="str">
        <f t="shared" si="108"/>
        <v/>
      </c>
      <c r="M103" s="279" t="str">
        <f t="shared" si="109"/>
        <v/>
      </c>
      <c r="N103" s="279" t="str">
        <f t="shared" si="110"/>
        <v/>
      </c>
      <c r="O103" s="279" t="str">
        <f t="shared" si="111"/>
        <v/>
      </c>
      <c r="P103" s="279" t="str">
        <f t="shared" si="112"/>
        <v/>
      </c>
      <c r="Q103" s="279" t="str">
        <f t="shared" si="113"/>
        <v/>
      </c>
      <c r="R103" s="279" t="str">
        <f t="shared" si="114"/>
        <v/>
      </c>
      <c r="S103" s="279" t="str">
        <f t="shared" si="115"/>
        <v/>
      </c>
      <c r="T103" s="279" t="str">
        <f t="shared" si="116"/>
        <v/>
      </c>
      <c r="U103" s="279" t="str">
        <f t="shared" si="117"/>
        <v/>
      </c>
      <c r="V103" s="279" t="str">
        <f t="shared" si="118"/>
        <v/>
      </c>
      <c r="W103" s="279" t="str">
        <f t="shared" si="119"/>
        <v/>
      </c>
      <c r="X103" s="279" t="str">
        <f t="shared" si="120"/>
        <v/>
      </c>
      <c r="Y103" s="279" t="str">
        <f t="shared" si="121"/>
        <v/>
      </c>
      <c r="Z103" s="279" t="str">
        <f t="shared" si="122"/>
        <v/>
      </c>
      <c r="AA103" s="279" t="str">
        <f t="shared" si="123"/>
        <v/>
      </c>
      <c r="AB103" s="279" t="str">
        <f t="shared" si="124"/>
        <v/>
      </c>
      <c r="AC103" s="104" t="s">
        <v>1382</v>
      </c>
      <c r="AD103" s="279" t="str">
        <f t="shared" si="88"/>
        <v>A111.+Mirror%2C+Door+-+FRONT+RIGHT</v>
      </c>
      <c r="AE103" s="279" t="str">
        <f>_xlfn.XLOOKUP(B103,'3. Keep &amp; Toss Items'!O:O,'3. Keep &amp; Toss Items'!Q:Q,"NOT FOUND",0,1)</f>
        <v>A111. Mirror, Door - FRONT RIGHT</v>
      </c>
      <c r="AF103" s="279" t="str">
        <f t="shared" si="89"/>
        <v>A111. Mirror, Door - FRONT RIGHT</v>
      </c>
      <c r="AG103" s="279" t="str">
        <f t="shared" si="90"/>
        <v>A111.+Mirror,+Door+-+FRONT+RIGHT</v>
      </c>
      <c r="AH103" s="279" t="str">
        <f t="shared" si="91"/>
        <v>A111.+Mirror%2C+Door+-+FRONT+RIGHT</v>
      </c>
      <c r="AI103" s="279" t="str">
        <f t="shared" si="92"/>
        <v>A111.+Mirror%2C+Door+-+FRONT+RIGHT</v>
      </c>
      <c r="AJ103" s="279" t="str">
        <f t="shared" si="93"/>
        <v>A111.+Mirror%2C+Door+-+FRONT+RIGHT</v>
      </c>
      <c r="AK103" s="279" t="str">
        <f t="shared" si="94"/>
        <v>A111.+Mirror%2C+Door+-+FRONT+RIGHT</v>
      </c>
      <c r="AL103" s="279" t="str">
        <f t="shared" si="95"/>
        <v>A111.+Mirror%2C+Door+-+FRONT+RIGHT</v>
      </c>
      <c r="AM103" s="279" t="str">
        <f t="shared" si="96"/>
        <v>A111.+Mirror%2C+Door+-+FRONT+RIGHT</v>
      </c>
      <c r="AN103" s="279" t="str">
        <f t="shared" si="101"/>
        <v>A111.+Mirror%2C+Door+-+FRONT+RIGHT</v>
      </c>
      <c r="AO103" s="279" t="str">
        <f t="shared" si="97"/>
        <v>A111.+Mirror%2C+Door+-+FRONT+RIGHT</v>
      </c>
      <c r="AP103" s="279" t="str">
        <f t="shared" si="98"/>
        <v>A111.+Mirror%2C+Door+-+FRONT+RIGHT</v>
      </c>
      <c r="AQ103" s="280" t="s">
        <v>1395</v>
      </c>
      <c r="AR103" s="280" t="s">
        <v>1396</v>
      </c>
      <c r="AS103" s="280" t="s">
        <v>1397</v>
      </c>
      <c r="AT103" s="280" t="s">
        <v>1398</v>
      </c>
      <c r="AU103" s="280" t="s">
        <v>1399</v>
      </c>
      <c r="AV103" s="280" t="s">
        <v>1400</v>
      </c>
      <c r="AW103" s="280" t="s">
        <v>1401</v>
      </c>
      <c r="AX103" s="280" t="s">
        <v>1402</v>
      </c>
      <c r="AY103" s="280" t="s">
        <v>1403</v>
      </c>
      <c r="AZ103" s="280" t="s">
        <v>1404</v>
      </c>
      <c r="BA103" s="280" t="s">
        <v>1405</v>
      </c>
      <c r="BB103" s="280" t="s">
        <v>1406</v>
      </c>
      <c r="BC103" s="280" t="s">
        <v>1419</v>
      </c>
      <c r="BD103" s="280" t="s">
        <v>1407</v>
      </c>
      <c r="BE103" s="280" t="s">
        <v>1408</v>
      </c>
      <c r="BF103" s="280" t="s">
        <v>1409</v>
      </c>
      <c r="BG103" s="280" t="s">
        <v>1410</v>
      </c>
      <c r="BH103" s="280" t="s">
        <v>1411</v>
      </c>
      <c r="BI103" s="280" t="s">
        <v>1412</v>
      </c>
      <c r="BJ103" s="280" t="s">
        <v>1413</v>
      </c>
      <c r="BK103" s="280" t="s">
        <v>1414</v>
      </c>
      <c r="BL103" s="280" t="s">
        <v>1415</v>
      </c>
      <c r="BM103" s="280" t="s">
        <v>1416</v>
      </c>
      <c r="BN103" s="280" t="s">
        <v>1417</v>
      </c>
      <c r="BO103" s="280" t="s">
        <v>1418</v>
      </c>
      <c r="BP103" s="280" t="s">
        <v>1420</v>
      </c>
      <c r="BQ103" s="134" t="str">
        <f t="shared" si="102"/>
        <v>Pic Example</v>
      </c>
    </row>
    <row r="104" spans="2:69" x14ac:dyDescent="0.25">
      <c r="B104" t="s">
        <v>1014</v>
      </c>
      <c r="C104" s="279" t="str">
        <f t="shared" si="99"/>
        <v>https://viking-pictures.s3.us-west-1.amazonaws.com/AA1155/A112.+Taillight%2C+QUARTER+PANEL+MOUNTED+-+LEFT+(1).JPG|https://viking-pictures.s3.us-west-1.amazonaws.com/AA1155/A112.+Taillight%2C+QUARTER+PANEL+MOUNTED+-+LEFT+(2).JPG|https://viking-pictures.s3.us-west-1.amazonaws.com/AA1155/A112.+Taillight%2C+QUARTER+PANEL+MOUNTED+-+LEFT+(3).JPG|https://viking-pictures.s3.us-west-1.amazonaws.com/AA1155/A112.+Taillight%2C+QUARTER+PANEL+MOUNTED+-+LEFT+(4).JPG|https://viking-pictures.s3.us-west-1.amazonaws.com/AA1155/A112.+Taillight%2C+QUARTER+PANEL+MOUNTED+-+LEFT+(5).JPG|https://viking-pictures.s3.us-west-1.amazonaws.com/AA1155/A112.+Taillight%2C+QUARTER+PANEL+MOUNTED+-+LEFT+(6).JPG|https://viking-pictures.s3.us-west-1.amazonaws.com/AA1155/A112.+Taillight%2C+QUARTER+PANEL+MOUNTED+-+LEFT+(7).JPG</v>
      </c>
      <c r="D104" s="281">
        <f>_xlfn.XLOOKUP(B104,'3. Keep &amp; Toss Items'!O:O,'3. Keep &amp; Toss Items'!U:U,"NOT FOUND",0,1)</f>
        <v>7</v>
      </c>
      <c r="E104" s="279" t="str">
        <f t="shared" si="100"/>
        <v>https://viking-pictures.s3.us-west-1.amazonaws.com/AA1155/A112.+Taillight%2C+QUARTER+PANEL+MOUNTED+-+LEFT+(1).JPG</v>
      </c>
      <c r="F104" s="279" t="str">
        <f t="shared" si="103"/>
        <v>https://viking-pictures.s3.us-west-1.amazonaws.com/AA1155/A112.+Taillight%2C+QUARTER+PANEL+MOUNTED+-+LEFT+(2).JPG</v>
      </c>
      <c r="G104" s="279" t="str">
        <f t="shared" si="104"/>
        <v>https://viking-pictures.s3.us-west-1.amazonaws.com/AA1155/A112.+Taillight%2C+QUARTER+PANEL+MOUNTED+-+LEFT+(3).JPG</v>
      </c>
      <c r="H104" s="279" t="str">
        <f t="shared" si="105"/>
        <v>https://viking-pictures.s3.us-west-1.amazonaws.com/AA1155/A112.+Taillight%2C+QUARTER+PANEL+MOUNTED+-+LEFT+(4).JPG</v>
      </c>
      <c r="I104" s="279" t="str">
        <f t="shared" si="106"/>
        <v>https://viking-pictures.s3.us-west-1.amazonaws.com/AA1155/A112.+Taillight%2C+QUARTER+PANEL+MOUNTED+-+LEFT+(5).JPG</v>
      </c>
      <c r="J104" s="279" t="str">
        <f t="shared" si="107"/>
        <v>https://viking-pictures.s3.us-west-1.amazonaws.com/AA1155/A112.+Taillight%2C+QUARTER+PANEL+MOUNTED+-+LEFT+(6).JPG</v>
      </c>
      <c r="K104" s="279" t="str">
        <f t="shared" si="108"/>
        <v>https://viking-pictures.s3.us-west-1.amazonaws.com/AA1155/A112.+Taillight%2C+QUARTER+PANEL+MOUNTED+-+LEFT+(7).JPG</v>
      </c>
      <c r="L104" s="279" t="str">
        <f t="shared" si="108"/>
        <v/>
      </c>
      <c r="M104" s="279" t="str">
        <f t="shared" si="109"/>
        <v/>
      </c>
      <c r="N104" s="279" t="str">
        <f t="shared" si="110"/>
        <v/>
      </c>
      <c r="O104" s="279" t="str">
        <f t="shared" si="111"/>
        <v/>
      </c>
      <c r="P104" s="279" t="str">
        <f t="shared" si="112"/>
        <v/>
      </c>
      <c r="Q104" s="279" t="str">
        <f t="shared" si="113"/>
        <v/>
      </c>
      <c r="R104" s="279" t="str">
        <f t="shared" si="114"/>
        <v/>
      </c>
      <c r="S104" s="279" t="str">
        <f t="shared" si="115"/>
        <v/>
      </c>
      <c r="T104" s="279" t="str">
        <f t="shared" si="116"/>
        <v/>
      </c>
      <c r="U104" s="279" t="str">
        <f t="shared" si="117"/>
        <v/>
      </c>
      <c r="V104" s="279" t="str">
        <f t="shared" si="118"/>
        <v/>
      </c>
      <c r="W104" s="279" t="str">
        <f t="shared" si="119"/>
        <v/>
      </c>
      <c r="X104" s="279" t="str">
        <f t="shared" si="120"/>
        <v/>
      </c>
      <c r="Y104" s="279" t="str">
        <f t="shared" si="121"/>
        <v/>
      </c>
      <c r="Z104" s="279" t="str">
        <f t="shared" si="122"/>
        <v/>
      </c>
      <c r="AA104" s="279" t="str">
        <f t="shared" si="123"/>
        <v/>
      </c>
      <c r="AB104" s="279" t="str">
        <f t="shared" si="124"/>
        <v/>
      </c>
      <c r="AC104" s="104" t="s">
        <v>1382</v>
      </c>
      <c r="AD104" s="279" t="str">
        <f t="shared" si="88"/>
        <v>A112.+Taillight%2C+QUARTER+PANEL+MOUNTED+-+LEFT</v>
      </c>
      <c r="AE104" s="279" t="str">
        <f>_xlfn.XLOOKUP(B104,'3. Keep &amp; Toss Items'!O:O,'3. Keep &amp; Toss Items'!Q:Q,"NOT FOUND",0,1)</f>
        <v>A112. Taillight, QUARTER PANEL MOUNTED - LEFT</v>
      </c>
      <c r="AF104" s="279" t="str">
        <f t="shared" si="89"/>
        <v>A112. Taillight, QUARTER PANEL MOUNTED - LEFT</v>
      </c>
      <c r="AG104" s="279" t="str">
        <f t="shared" si="90"/>
        <v>A112.+Taillight,+QUARTER+PANEL+MOUNTED+-+LEFT</v>
      </c>
      <c r="AH104" s="279" t="str">
        <f t="shared" si="91"/>
        <v>A112.+Taillight%2C+QUARTER+PANEL+MOUNTED+-+LEFT</v>
      </c>
      <c r="AI104" s="279" t="str">
        <f t="shared" si="92"/>
        <v>A112.+Taillight%2C+QUARTER+PANEL+MOUNTED+-+LEFT</v>
      </c>
      <c r="AJ104" s="279" t="str">
        <f t="shared" si="93"/>
        <v>A112.+Taillight%2C+QUARTER+PANEL+MOUNTED+-+LEFT</v>
      </c>
      <c r="AK104" s="279" t="str">
        <f t="shared" si="94"/>
        <v>A112.+Taillight%2C+QUARTER+PANEL+MOUNTED+-+LEFT</v>
      </c>
      <c r="AL104" s="279" t="str">
        <f t="shared" si="95"/>
        <v>A112.+Taillight%2C+QUARTER+PANEL+MOUNTED+-+LEFT</v>
      </c>
      <c r="AM104" s="279" t="str">
        <f t="shared" si="96"/>
        <v>A112.+Taillight%2C+QUARTER+PANEL+MOUNTED+-+LEFT</v>
      </c>
      <c r="AN104" s="279" t="str">
        <f t="shared" si="101"/>
        <v>A112.+Taillight%2C+QUARTER+PANEL+MOUNTED+-+LEFT</v>
      </c>
      <c r="AO104" s="279" t="str">
        <f t="shared" si="97"/>
        <v>A112.+Taillight%2C+QUARTER+PANEL+MOUNTED+-+LEFT</v>
      </c>
      <c r="AP104" s="279" t="str">
        <f t="shared" si="98"/>
        <v>A112.+Taillight%2C+QUARTER+PANEL+MOUNTED+-+LEFT</v>
      </c>
      <c r="AQ104" s="280" t="s">
        <v>1395</v>
      </c>
      <c r="AR104" s="280" t="s">
        <v>1396</v>
      </c>
      <c r="AS104" s="280" t="s">
        <v>1397</v>
      </c>
      <c r="AT104" s="280" t="s">
        <v>1398</v>
      </c>
      <c r="AU104" s="280" t="s">
        <v>1399</v>
      </c>
      <c r="AV104" s="280" t="s">
        <v>1400</v>
      </c>
      <c r="AW104" s="280" t="s">
        <v>1401</v>
      </c>
      <c r="AX104" s="280" t="s">
        <v>1402</v>
      </c>
      <c r="AY104" s="280" t="s">
        <v>1403</v>
      </c>
      <c r="AZ104" s="280" t="s">
        <v>1404</v>
      </c>
      <c r="BA104" s="280" t="s">
        <v>1405</v>
      </c>
      <c r="BB104" s="280" t="s">
        <v>1406</v>
      </c>
      <c r="BC104" s="280" t="s">
        <v>1419</v>
      </c>
      <c r="BD104" s="280" t="s">
        <v>1407</v>
      </c>
      <c r="BE104" s="280" t="s">
        <v>1408</v>
      </c>
      <c r="BF104" s="280" t="s">
        <v>1409</v>
      </c>
      <c r="BG104" s="280" t="s">
        <v>1410</v>
      </c>
      <c r="BH104" s="280" t="s">
        <v>1411</v>
      </c>
      <c r="BI104" s="280" t="s">
        <v>1412</v>
      </c>
      <c r="BJ104" s="280" t="s">
        <v>1413</v>
      </c>
      <c r="BK104" s="280" t="s">
        <v>1414</v>
      </c>
      <c r="BL104" s="280" t="s">
        <v>1415</v>
      </c>
      <c r="BM104" s="280" t="s">
        <v>1416</v>
      </c>
      <c r="BN104" s="280" t="s">
        <v>1417</v>
      </c>
      <c r="BO104" s="280" t="s">
        <v>1418</v>
      </c>
      <c r="BP104" s="280" t="s">
        <v>1420</v>
      </c>
      <c r="BQ104" s="134" t="str">
        <f t="shared" si="102"/>
        <v>Pic Example</v>
      </c>
    </row>
    <row r="105" spans="2:69" x14ac:dyDescent="0.25">
      <c r="B105" t="s">
        <v>1015</v>
      </c>
      <c r="C105" s="279" t="str">
        <f t="shared" si="99"/>
        <v>https://viking-pictures.s3.us-west-1.amazonaws.com/AA1155/A113.+Taillight%2C+TRUNK+MOUNTED+-+LEFT+(1).JPG|https://viking-pictures.s3.us-west-1.amazonaws.com/AA1155/A113.+Taillight%2C+TRUNK+MOUNTED+-+LEFT+(2).JPG|https://viking-pictures.s3.us-west-1.amazonaws.com/AA1155/A113.+Taillight%2C+TRUNK+MOUNTED+-+LEFT+(3).JPG|https://viking-pictures.s3.us-west-1.amazonaws.com/AA1155/A113.+Taillight%2C+TRUNK+MOUNTED+-+LEFT+(4).JPG|https://viking-pictures.s3.us-west-1.amazonaws.com/AA1155/A113.+Taillight%2C+TRUNK+MOUNTED+-+LEFT+(5).JPG|https://viking-pictures.s3.us-west-1.amazonaws.com/AA1155/A113.+Taillight%2C+TRUNK+MOUNTED+-+LEFT+(6).JPG</v>
      </c>
      <c r="D105" s="281">
        <f>_xlfn.XLOOKUP(B105,'3. Keep &amp; Toss Items'!O:O,'3. Keep &amp; Toss Items'!U:U,"NOT FOUND",0,1)</f>
        <v>6</v>
      </c>
      <c r="E105" s="279" t="str">
        <f t="shared" si="100"/>
        <v>https://viking-pictures.s3.us-west-1.amazonaws.com/AA1155/A113.+Taillight%2C+TRUNK+MOUNTED+-+LEFT+(1).JPG</v>
      </c>
      <c r="F105" s="279" t="str">
        <f t="shared" si="103"/>
        <v>https://viking-pictures.s3.us-west-1.amazonaws.com/AA1155/A113.+Taillight%2C+TRUNK+MOUNTED+-+LEFT+(2).JPG</v>
      </c>
      <c r="G105" s="279" t="str">
        <f t="shared" si="104"/>
        <v>https://viking-pictures.s3.us-west-1.amazonaws.com/AA1155/A113.+Taillight%2C+TRUNK+MOUNTED+-+LEFT+(3).JPG</v>
      </c>
      <c r="H105" s="279" t="str">
        <f t="shared" si="105"/>
        <v>https://viking-pictures.s3.us-west-1.amazonaws.com/AA1155/A113.+Taillight%2C+TRUNK+MOUNTED+-+LEFT+(4).JPG</v>
      </c>
      <c r="I105" s="279" t="str">
        <f t="shared" si="106"/>
        <v>https://viking-pictures.s3.us-west-1.amazonaws.com/AA1155/A113.+Taillight%2C+TRUNK+MOUNTED+-+LEFT+(5).JPG</v>
      </c>
      <c r="J105" s="279" t="str">
        <f t="shared" si="107"/>
        <v>https://viking-pictures.s3.us-west-1.amazonaws.com/AA1155/A113.+Taillight%2C+TRUNK+MOUNTED+-+LEFT+(6).JPG</v>
      </c>
      <c r="K105" s="279" t="str">
        <f t="shared" si="108"/>
        <v/>
      </c>
      <c r="L105" s="279" t="str">
        <f t="shared" si="108"/>
        <v/>
      </c>
      <c r="M105" s="279" t="str">
        <f t="shared" si="109"/>
        <v/>
      </c>
      <c r="N105" s="279" t="str">
        <f t="shared" si="110"/>
        <v/>
      </c>
      <c r="O105" s="279" t="str">
        <f t="shared" si="111"/>
        <v/>
      </c>
      <c r="P105" s="279" t="str">
        <f t="shared" si="112"/>
        <v/>
      </c>
      <c r="Q105" s="279" t="str">
        <f t="shared" si="113"/>
        <v/>
      </c>
      <c r="R105" s="279" t="str">
        <f t="shared" si="114"/>
        <v/>
      </c>
      <c r="S105" s="279" t="str">
        <f t="shared" si="115"/>
        <v/>
      </c>
      <c r="T105" s="279" t="str">
        <f t="shared" si="116"/>
        <v/>
      </c>
      <c r="U105" s="279" t="str">
        <f t="shared" si="117"/>
        <v/>
      </c>
      <c r="V105" s="279" t="str">
        <f t="shared" si="118"/>
        <v/>
      </c>
      <c r="W105" s="279" t="str">
        <f t="shared" si="119"/>
        <v/>
      </c>
      <c r="X105" s="279" t="str">
        <f t="shared" si="120"/>
        <v/>
      </c>
      <c r="Y105" s="279" t="str">
        <f t="shared" si="121"/>
        <v/>
      </c>
      <c r="Z105" s="279" t="str">
        <f t="shared" si="122"/>
        <v/>
      </c>
      <c r="AA105" s="279" t="str">
        <f t="shared" si="123"/>
        <v/>
      </c>
      <c r="AB105" s="279" t="str">
        <f t="shared" si="124"/>
        <v/>
      </c>
      <c r="AC105" s="104" t="s">
        <v>1382</v>
      </c>
      <c r="AD105" s="279" t="str">
        <f t="shared" si="88"/>
        <v>A113.+Taillight%2C+TRUNK+MOUNTED+-+LEFT</v>
      </c>
      <c r="AE105" s="279" t="str">
        <f>_xlfn.XLOOKUP(B105,'3. Keep &amp; Toss Items'!O:O,'3. Keep &amp; Toss Items'!Q:Q,"NOT FOUND",0,1)</f>
        <v>A113. Taillight, TRUNK MOUNTED - LEFT</v>
      </c>
      <c r="AF105" s="279" t="str">
        <f t="shared" si="89"/>
        <v>A113. Taillight, TRUNK MOUNTED - LEFT</v>
      </c>
      <c r="AG105" s="279" t="str">
        <f t="shared" si="90"/>
        <v>A113.+Taillight,+TRUNK+MOUNTED+-+LEFT</v>
      </c>
      <c r="AH105" s="279" t="str">
        <f t="shared" si="91"/>
        <v>A113.+Taillight%2C+TRUNK+MOUNTED+-+LEFT</v>
      </c>
      <c r="AI105" s="279" t="str">
        <f t="shared" si="92"/>
        <v>A113.+Taillight%2C+TRUNK+MOUNTED+-+LEFT</v>
      </c>
      <c r="AJ105" s="279" t="str">
        <f t="shared" si="93"/>
        <v>A113.+Taillight%2C+TRUNK+MOUNTED+-+LEFT</v>
      </c>
      <c r="AK105" s="279" t="str">
        <f t="shared" si="94"/>
        <v>A113.+Taillight%2C+TRUNK+MOUNTED+-+LEFT</v>
      </c>
      <c r="AL105" s="279" t="str">
        <f t="shared" si="95"/>
        <v>A113.+Taillight%2C+TRUNK+MOUNTED+-+LEFT</v>
      </c>
      <c r="AM105" s="279" t="str">
        <f t="shared" si="96"/>
        <v>A113.+Taillight%2C+TRUNK+MOUNTED+-+LEFT</v>
      </c>
      <c r="AN105" s="279" t="str">
        <f t="shared" si="101"/>
        <v>A113.+Taillight%2C+TRUNK+MOUNTED+-+LEFT</v>
      </c>
      <c r="AO105" s="279" t="str">
        <f t="shared" si="97"/>
        <v>A113.+Taillight%2C+TRUNK+MOUNTED+-+LEFT</v>
      </c>
      <c r="AP105" s="279" t="str">
        <f t="shared" si="98"/>
        <v>A113.+Taillight%2C+TRUNK+MOUNTED+-+LEFT</v>
      </c>
      <c r="AQ105" s="280" t="s">
        <v>1395</v>
      </c>
      <c r="AR105" s="280" t="s">
        <v>1396</v>
      </c>
      <c r="AS105" s="280" t="s">
        <v>1397</v>
      </c>
      <c r="AT105" s="280" t="s">
        <v>1398</v>
      </c>
      <c r="AU105" s="280" t="s">
        <v>1399</v>
      </c>
      <c r="AV105" s="280" t="s">
        <v>1400</v>
      </c>
      <c r="AW105" s="280" t="s">
        <v>1401</v>
      </c>
      <c r="AX105" s="280" t="s">
        <v>1402</v>
      </c>
      <c r="AY105" s="280" t="s">
        <v>1403</v>
      </c>
      <c r="AZ105" s="280" t="s">
        <v>1404</v>
      </c>
      <c r="BA105" s="280" t="s">
        <v>1405</v>
      </c>
      <c r="BB105" s="280" t="s">
        <v>1406</v>
      </c>
      <c r="BC105" s="280" t="s">
        <v>1419</v>
      </c>
      <c r="BD105" s="280" t="s">
        <v>1407</v>
      </c>
      <c r="BE105" s="280" t="s">
        <v>1408</v>
      </c>
      <c r="BF105" s="280" t="s">
        <v>1409</v>
      </c>
      <c r="BG105" s="280" t="s">
        <v>1410</v>
      </c>
      <c r="BH105" s="280" t="s">
        <v>1411</v>
      </c>
      <c r="BI105" s="280" t="s">
        <v>1412</v>
      </c>
      <c r="BJ105" s="280" t="s">
        <v>1413</v>
      </c>
      <c r="BK105" s="280" t="s">
        <v>1414</v>
      </c>
      <c r="BL105" s="280" t="s">
        <v>1415</v>
      </c>
      <c r="BM105" s="280" t="s">
        <v>1416</v>
      </c>
      <c r="BN105" s="280" t="s">
        <v>1417</v>
      </c>
      <c r="BO105" s="280" t="s">
        <v>1418</v>
      </c>
      <c r="BP105" s="280" t="s">
        <v>1420</v>
      </c>
      <c r="BQ105" s="134" t="str">
        <f t="shared" si="102"/>
        <v>Pic Example</v>
      </c>
    </row>
    <row r="106" spans="2:69" x14ac:dyDescent="0.25">
      <c r="B106" t="s">
        <v>1016</v>
      </c>
      <c r="C106" s="279" t="str">
        <f t="shared" si="99"/>
        <v>https://viking-pictures.s3.us-west-1.amazonaws.com/AA1155/NOT+FOUND+(1).JPG|https://viking-pictures.s3.us-west-1.amazonaws.com/AA1155/NOT+FOUND+(2).JPG|https://viking-pictures.s3.us-west-1.amazonaws.com/AA1155/NOT+FOUND+(3).JPG|https://viking-pictures.s3.us-west-1.amazonaws.com/AA1155/NOT+FOUND+(4).JPG|https://viking-pictures.s3.us-west-1.amazonaws.com/AA1155/NOT+FOUND+(5).JPG|https://viking-pictures.s3.us-west-1.amazonaws.com/AA1155/NOT+FOUND+(6).JPG|https://viking-pictures.s3.us-west-1.amazonaws.com/AA1155/NOT+FOUND+(7).JPG|https://viking-pictures.s3.us-west-1.amazonaws.com/AA1155/NOT+FOUND+(8).JPG|https://viking-pictures.s3.us-west-1.amazonaws.com/AA1155/NOT+FOUND+(9).JPG|https://viking-pictures.s3.us-west-1.amazonaws.com/AA1155/NOT+FOUND+(10).JPG|https://viking-pictures.s3.us-west-1.amazonaws.com/AA1155/NOT+FOUND+(11).JPG|https://viking-pictures.s3.us-west-1.amazonaws.com/AA1155/NOT+FOUND+(12).JPG|https://viking-pictures.s3.us-west-1.amazonaws.com/AA1155/NOT+FOUND+(13).JPG|https://viking-pictures.s3.us-west-1.amazonaws.com/AA1155/NOT+FOUND+(14).JPG|https://viking-pictures.s3.us-west-1.amazonaws.com/AA1155/NOT+FOUND+(15).JPG|https://viking-pictures.s3.us-west-1.amazonaws.com/AA1155/NOT+FOUND+(16).JPG|https://viking-pictures.s3.us-west-1.amazonaws.com/AA1155/NOT+FOUND+(17).JPG|https://viking-pictures.s3.us-west-1.amazonaws.com/AA1155/NOT+FOUND+(18).JPG|https://viking-pictures.s3.us-west-1.amazonaws.com/AA1155/NOT+FOUND+(19).JPG|https://viking-pictures.s3.us-west-1.amazonaws.com/AA1155/NOT+FOUND+(20).JPG|https://viking-pictures.s3.us-west-1.amazonaws.com/AA1155/NOT+FOUND+(21).JPG|https://viking-pictures.s3.us-west-1.amazonaws.com/AA1155/NOT+FOUND+(22).JPG|https://viking-pictures.s3.us-west-1.amazonaws.com/AA1155/NOT+FOUND+(23).JPG|https://viking-pictures.s3.us-west-1.amazonaws.com/AA1155/NOT+FOUND+(24).JPG</v>
      </c>
      <c r="D106" s="281" t="str">
        <f>_xlfn.XLOOKUP(B106,'3. Keep &amp; Toss Items'!O:O,'3. Keep &amp; Toss Items'!U:U,"NOT FOUND",0,1)</f>
        <v>NOT FOUND</v>
      </c>
      <c r="E106" s="279" t="str">
        <f t="shared" si="100"/>
        <v>https://viking-pictures.s3.us-west-1.amazonaws.com/AA1155/NOT+FOUND+(1).JPG</v>
      </c>
      <c r="F106" s="279" t="str">
        <f t="shared" si="103"/>
        <v>https://viking-pictures.s3.us-west-1.amazonaws.com/AA1155/NOT+FOUND+(2).JPG</v>
      </c>
      <c r="G106" s="279" t="str">
        <f t="shared" si="104"/>
        <v>https://viking-pictures.s3.us-west-1.amazonaws.com/AA1155/NOT+FOUND+(3).JPG</v>
      </c>
      <c r="H106" s="279" t="str">
        <f t="shared" si="105"/>
        <v>https://viking-pictures.s3.us-west-1.amazonaws.com/AA1155/NOT+FOUND+(4).JPG</v>
      </c>
      <c r="I106" s="279" t="str">
        <f t="shared" si="106"/>
        <v>https://viking-pictures.s3.us-west-1.amazonaws.com/AA1155/NOT+FOUND+(5).JPG</v>
      </c>
      <c r="J106" s="279" t="str">
        <f t="shared" si="107"/>
        <v>https://viking-pictures.s3.us-west-1.amazonaws.com/AA1155/NOT+FOUND+(6).JPG</v>
      </c>
      <c r="K106" s="279" t="str">
        <f t="shared" si="108"/>
        <v>https://viking-pictures.s3.us-west-1.amazonaws.com/AA1155/NOT+FOUND+(7).JPG</v>
      </c>
      <c r="L106" s="279" t="str">
        <f t="shared" si="108"/>
        <v>https://viking-pictures.s3.us-west-1.amazonaws.com/AA1155/NOT+FOUND+(8).JPG</v>
      </c>
      <c r="M106" s="279" t="str">
        <f t="shared" si="109"/>
        <v>https://viking-pictures.s3.us-west-1.amazonaws.com/AA1155/NOT+FOUND+(9).JPG</v>
      </c>
      <c r="N106" s="279" t="str">
        <f t="shared" si="110"/>
        <v>https://viking-pictures.s3.us-west-1.amazonaws.com/AA1155/NOT+FOUND+(10).JPG</v>
      </c>
      <c r="O106" s="279" t="str">
        <f t="shared" si="111"/>
        <v>https://viking-pictures.s3.us-west-1.amazonaws.com/AA1155/NOT+FOUND+(11).JPG</v>
      </c>
      <c r="P106" s="279" t="str">
        <f t="shared" si="112"/>
        <v>https://viking-pictures.s3.us-west-1.amazonaws.com/AA1155/NOT+FOUND+(12).JPG</v>
      </c>
      <c r="Q106" s="279" t="str">
        <f t="shared" si="113"/>
        <v>https://viking-pictures.s3.us-west-1.amazonaws.com/AA1155/NOT+FOUND+(13).JPG</v>
      </c>
      <c r="R106" s="279" t="str">
        <f t="shared" si="114"/>
        <v>https://viking-pictures.s3.us-west-1.amazonaws.com/AA1155/NOT+FOUND+(14).JPG</v>
      </c>
      <c r="S106" s="279" t="str">
        <f t="shared" si="115"/>
        <v>https://viking-pictures.s3.us-west-1.amazonaws.com/AA1155/NOT+FOUND+(15).JPG</v>
      </c>
      <c r="T106" s="279" t="str">
        <f t="shared" si="116"/>
        <v>https://viking-pictures.s3.us-west-1.amazonaws.com/AA1155/NOT+FOUND+(16).JPG</v>
      </c>
      <c r="U106" s="279" t="str">
        <f t="shared" si="117"/>
        <v>https://viking-pictures.s3.us-west-1.amazonaws.com/AA1155/NOT+FOUND+(17).JPG</v>
      </c>
      <c r="V106" s="279" t="str">
        <f t="shared" si="118"/>
        <v>https://viking-pictures.s3.us-west-1.amazonaws.com/AA1155/NOT+FOUND+(18).JPG</v>
      </c>
      <c r="W106" s="279" t="str">
        <f t="shared" si="119"/>
        <v>https://viking-pictures.s3.us-west-1.amazonaws.com/AA1155/NOT+FOUND+(19).JPG</v>
      </c>
      <c r="X106" s="279" t="str">
        <f t="shared" si="120"/>
        <v>https://viking-pictures.s3.us-west-1.amazonaws.com/AA1155/NOT+FOUND+(20).JPG</v>
      </c>
      <c r="Y106" s="279" t="str">
        <f t="shared" si="121"/>
        <v>https://viking-pictures.s3.us-west-1.amazonaws.com/AA1155/NOT+FOUND+(21).JPG</v>
      </c>
      <c r="Z106" s="279" t="str">
        <f t="shared" si="122"/>
        <v>https://viking-pictures.s3.us-west-1.amazonaws.com/AA1155/NOT+FOUND+(22).JPG</v>
      </c>
      <c r="AA106" s="279" t="str">
        <f t="shared" si="123"/>
        <v>https://viking-pictures.s3.us-west-1.amazonaws.com/AA1155/NOT+FOUND+(23).JPG</v>
      </c>
      <c r="AB106" s="279" t="str">
        <f t="shared" si="124"/>
        <v>https://viking-pictures.s3.us-west-1.amazonaws.com/AA1155/NOT+FOUND+(24).JPG</v>
      </c>
      <c r="AC106" s="104" t="s">
        <v>1382</v>
      </c>
      <c r="AD106" s="279" t="str">
        <f t="shared" si="88"/>
        <v>NOT+FOUND</v>
      </c>
      <c r="AE106" s="279" t="str">
        <f>_xlfn.XLOOKUP(B106,'3. Keep &amp; Toss Items'!O:O,'3. Keep &amp; Toss Items'!Q:Q,"NOT FOUND",0,1)</f>
        <v>NOT FOUND</v>
      </c>
      <c r="AF106" s="279" t="str">
        <f t="shared" si="89"/>
        <v>NOT FOUND</v>
      </c>
      <c r="AG106" s="279" t="str">
        <f t="shared" si="90"/>
        <v>NOT+FOUND</v>
      </c>
      <c r="AH106" s="279" t="str">
        <f t="shared" si="91"/>
        <v>NOT+FOUND</v>
      </c>
      <c r="AI106" s="279" t="str">
        <f t="shared" si="92"/>
        <v>NOT+FOUND</v>
      </c>
      <c r="AJ106" s="279" t="str">
        <f t="shared" si="93"/>
        <v>NOT+FOUND</v>
      </c>
      <c r="AK106" s="279" t="str">
        <f t="shared" si="94"/>
        <v>NOT+FOUND</v>
      </c>
      <c r="AL106" s="279" t="str">
        <f t="shared" si="95"/>
        <v>NOT+FOUND</v>
      </c>
      <c r="AM106" s="279" t="str">
        <f t="shared" si="96"/>
        <v>NOT+FOUND</v>
      </c>
      <c r="AN106" s="279" t="str">
        <f t="shared" si="101"/>
        <v>NOT+FOUND</v>
      </c>
      <c r="AO106" s="279" t="str">
        <f t="shared" si="97"/>
        <v>NOT+FOUND</v>
      </c>
      <c r="AP106" s="279" t="str">
        <f t="shared" si="98"/>
        <v>NOT+FOUND</v>
      </c>
      <c r="AQ106" s="280" t="s">
        <v>1395</v>
      </c>
      <c r="AR106" s="280" t="s">
        <v>1396</v>
      </c>
      <c r="AS106" s="280" t="s">
        <v>1397</v>
      </c>
      <c r="AT106" s="280" t="s">
        <v>1398</v>
      </c>
      <c r="AU106" s="280" t="s">
        <v>1399</v>
      </c>
      <c r="AV106" s="280" t="s">
        <v>1400</v>
      </c>
      <c r="AW106" s="280" t="s">
        <v>1401</v>
      </c>
      <c r="AX106" s="280" t="s">
        <v>1402</v>
      </c>
      <c r="AY106" s="280" t="s">
        <v>1403</v>
      </c>
      <c r="AZ106" s="280" t="s">
        <v>1404</v>
      </c>
      <c r="BA106" s="280" t="s">
        <v>1405</v>
      </c>
      <c r="BB106" s="280" t="s">
        <v>1406</v>
      </c>
      <c r="BC106" s="280" t="s">
        <v>1419</v>
      </c>
      <c r="BD106" s="280" t="s">
        <v>1407</v>
      </c>
      <c r="BE106" s="280" t="s">
        <v>1408</v>
      </c>
      <c r="BF106" s="280" t="s">
        <v>1409</v>
      </c>
      <c r="BG106" s="280" t="s">
        <v>1410</v>
      </c>
      <c r="BH106" s="280" t="s">
        <v>1411</v>
      </c>
      <c r="BI106" s="280" t="s">
        <v>1412</v>
      </c>
      <c r="BJ106" s="280" t="s">
        <v>1413</v>
      </c>
      <c r="BK106" s="280" t="s">
        <v>1414</v>
      </c>
      <c r="BL106" s="280" t="s">
        <v>1415</v>
      </c>
      <c r="BM106" s="280" t="s">
        <v>1416</v>
      </c>
      <c r="BN106" s="280" t="s">
        <v>1417</v>
      </c>
      <c r="BO106" s="280" t="s">
        <v>1418</v>
      </c>
      <c r="BP106" s="280" t="s">
        <v>1420</v>
      </c>
      <c r="BQ106" s="134" t="str">
        <f t="shared" si="102"/>
        <v>Pic Example</v>
      </c>
    </row>
    <row r="107" spans="2:69" x14ac:dyDescent="0.25">
      <c r="B107" t="s">
        <v>1017</v>
      </c>
      <c r="C107" s="279" t="str">
        <f t="shared" si="99"/>
        <v>https://viking-pictures.s3.us-west-1.amazonaws.com/AA1155/A115.+Taillight%2C+TRUNK+MOUNTED+-+RIGHT+(1).JPG|https://viking-pictures.s3.us-west-1.amazonaws.com/AA1155/A115.+Taillight%2C+TRUNK+MOUNTED+-+RIGHT+(2).JPG|https://viking-pictures.s3.us-west-1.amazonaws.com/AA1155/A115.+Taillight%2C+TRUNK+MOUNTED+-+RIGHT+(3).JPG|https://viking-pictures.s3.us-west-1.amazonaws.com/AA1155/A115.+Taillight%2C+TRUNK+MOUNTED+-+RIGHT+(4).JPG|https://viking-pictures.s3.us-west-1.amazonaws.com/AA1155/A115.+Taillight%2C+TRUNK+MOUNTED+-+RIGHT+(5).JPG</v>
      </c>
      <c r="D107" s="281">
        <f>_xlfn.XLOOKUP(B107,'3. Keep &amp; Toss Items'!O:O,'3. Keep &amp; Toss Items'!U:U,"NOT FOUND",0,1)</f>
        <v>5</v>
      </c>
      <c r="E107" s="279" t="str">
        <f t="shared" si="100"/>
        <v>https://viking-pictures.s3.us-west-1.amazonaws.com/AA1155/A115.+Taillight%2C+TRUNK+MOUNTED+-+RIGHT+(1).JPG</v>
      </c>
      <c r="F107" s="279" t="str">
        <f t="shared" si="103"/>
        <v>https://viking-pictures.s3.us-west-1.amazonaws.com/AA1155/A115.+Taillight%2C+TRUNK+MOUNTED+-+RIGHT+(2).JPG</v>
      </c>
      <c r="G107" s="279" t="str">
        <f t="shared" si="104"/>
        <v>https://viking-pictures.s3.us-west-1.amazonaws.com/AA1155/A115.+Taillight%2C+TRUNK+MOUNTED+-+RIGHT+(3).JPG</v>
      </c>
      <c r="H107" s="279" t="str">
        <f t="shared" si="105"/>
        <v>https://viking-pictures.s3.us-west-1.amazonaws.com/AA1155/A115.+Taillight%2C+TRUNK+MOUNTED+-+RIGHT+(4).JPG</v>
      </c>
      <c r="I107" s="279" t="str">
        <f t="shared" si="106"/>
        <v>https://viking-pictures.s3.us-west-1.amazonaws.com/AA1155/A115.+Taillight%2C+TRUNK+MOUNTED+-+RIGHT+(5).JPG</v>
      </c>
      <c r="J107" s="279" t="str">
        <f t="shared" si="107"/>
        <v/>
      </c>
      <c r="K107" s="279" t="str">
        <f t="shared" si="108"/>
        <v/>
      </c>
      <c r="L107" s="279" t="str">
        <f t="shared" si="108"/>
        <v/>
      </c>
      <c r="M107" s="279" t="str">
        <f t="shared" si="109"/>
        <v/>
      </c>
      <c r="N107" s="279" t="str">
        <f t="shared" si="110"/>
        <v/>
      </c>
      <c r="O107" s="279" t="str">
        <f t="shared" si="111"/>
        <v/>
      </c>
      <c r="P107" s="279" t="str">
        <f t="shared" si="112"/>
        <v/>
      </c>
      <c r="Q107" s="279" t="str">
        <f t="shared" si="113"/>
        <v/>
      </c>
      <c r="R107" s="279" t="str">
        <f t="shared" si="114"/>
        <v/>
      </c>
      <c r="S107" s="279" t="str">
        <f t="shared" si="115"/>
        <v/>
      </c>
      <c r="T107" s="279" t="str">
        <f t="shared" si="116"/>
        <v/>
      </c>
      <c r="U107" s="279" t="str">
        <f t="shared" si="117"/>
        <v/>
      </c>
      <c r="V107" s="279" t="str">
        <f t="shared" si="118"/>
        <v/>
      </c>
      <c r="W107" s="279" t="str">
        <f t="shared" si="119"/>
        <v/>
      </c>
      <c r="X107" s="279" t="str">
        <f t="shared" si="120"/>
        <v/>
      </c>
      <c r="Y107" s="279" t="str">
        <f t="shared" si="121"/>
        <v/>
      </c>
      <c r="Z107" s="279" t="str">
        <f t="shared" si="122"/>
        <v/>
      </c>
      <c r="AA107" s="279" t="str">
        <f t="shared" si="123"/>
        <v/>
      </c>
      <c r="AB107" s="279" t="str">
        <f t="shared" si="124"/>
        <v/>
      </c>
      <c r="AC107" s="104" t="s">
        <v>1382</v>
      </c>
      <c r="AD107" s="279" t="str">
        <f t="shared" si="88"/>
        <v>A115.+Taillight%2C+TRUNK+MOUNTED+-+RIGHT</v>
      </c>
      <c r="AE107" s="279" t="str">
        <f>_xlfn.XLOOKUP(B107,'3. Keep &amp; Toss Items'!O:O,'3. Keep &amp; Toss Items'!Q:Q,"NOT FOUND",0,1)</f>
        <v>A115. Taillight, TRUNK MOUNTED - RIGHT</v>
      </c>
      <c r="AF107" s="279" t="str">
        <f t="shared" si="89"/>
        <v>A115. Taillight, TRUNK MOUNTED - RIGHT</v>
      </c>
      <c r="AG107" s="279" t="str">
        <f t="shared" si="90"/>
        <v>A115.+Taillight,+TRUNK+MOUNTED+-+RIGHT</v>
      </c>
      <c r="AH107" s="279" t="str">
        <f t="shared" si="91"/>
        <v>A115.+Taillight%2C+TRUNK+MOUNTED+-+RIGHT</v>
      </c>
      <c r="AI107" s="279" t="str">
        <f t="shared" si="92"/>
        <v>A115.+Taillight%2C+TRUNK+MOUNTED+-+RIGHT</v>
      </c>
      <c r="AJ107" s="279" t="str">
        <f t="shared" si="93"/>
        <v>A115.+Taillight%2C+TRUNK+MOUNTED+-+RIGHT</v>
      </c>
      <c r="AK107" s="279" t="str">
        <f t="shared" si="94"/>
        <v>A115.+Taillight%2C+TRUNK+MOUNTED+-+RIGHT</v>
      </c>
      <c r="AL107" s="279" t="str">
        <f t="shared" si="95"/>
        <v>A115.+Taillight%2C+TRUNK+MOUNTED+-+RIGHT</v>
      </c>
      <c r="AM107" s="279" t="str">
        <f t="shared" si="96"/>
        <v>A115.+Taillight%2C+TRUNK+MOUNTED+-+RIGHT</v>
      </c>
      <c r="AN107" s="279" t="str">
        <f t="shared" si="101"/>
        <v>A115.+Taillight%2C+TRUNK+MOUNTED+-+RIGHT</v>
      </c>
      <c r="AO107" s="279" t="str">
        <f t="shared" si="97"/>
        <v>A115.+Taillight%2C+TRUNK+MOUNTED+-+RIGHT</v>
      </c>
      <c r="AP107" s="279" t="str">
        <f t="shared" si="98"/>
        <v>A115.+Taillight%2C+TRUNK+MOUNTED+-+RIGHT</v>
      </c>
      <c r="AQ107" s="280" t="s">
        <v>1395</v>
      </c>
      <c r="AR107" s="280" t="s">
        <v>1396</v>
      </c>
      <c r="AS107" s="280" t="s">
        <v>1397</v>
      </c>
      <c r="AT107" s="280" t="s">
        <v>1398</v>
      </c>
      <c r="AU107" s="280" t="s">
        <v>1399</v>
      </c>
      <c r="AV107" s="280" t="s">
        <v>1400</v>
      </c>
      <c r="AW107" s="280" t="s">
        <v>1401</v>
      </c>
      <c r="AX107" s="280" t="s">
        <v>1402</v>
      </c>
      <c r="AY107" s="280" t="s">
        <v>1403</v>
      </c>
      <c r="AZ107" s="280" t="s">
        <v>1404</v>
      </c>
      <c r="BA107" s="280" t="s">
        <v>1405</v>
      </c>
      <c r="BB107" s="280" t="s">
        <v>1406</v>
      </c>
      <c r="BC107" s="280" t="s">
        <v>1419</v>
      </c>
      <c r="BD107" s="280" t="s">
        <v>1407</v>
      </c>
      <c r="BE107" s="280" t="s">
        <v>1408</v>
      </c>
      <c r="BF107" s="280" t="s">
        <v>1409</v>
      </c>
      <c r="BG107" s="280" t="s">
        <v>1410</v>
      </c>
      <c r="BH107" s="280" t="s">
        <v>1411</v>
      </c>
      <c r="BI107" s="280" t="s">
        <v>1412</v>
      </c>
      <c r="BJ107" s="280" t="s">
        <v>1413</v>
      </c>
      <c r="BK107" s="280" t="s">
        <v>1414</v>
      </c>
      <c r="BL107" s="280" t="s">
        <v>1415</v>
      </c>
      <c r="BM107" s="280" t="s">
        <v>1416</v>
      </c>
      <c r="BN107" s="280" t="s">
        <v>1417</v>
      </c>
      <c r="BO107" s="280" t="s">
        <v>1418</v>
      </c>
      <c r="BP107" s="280" t="s">
        <v>1420</v>
      </c>
      <c r="BQ107" s="134" t="str">
        <f t="shared" si="102"/>
        <v>Pic Example</v>
      </c>
    </row>
    <row r="108" spans="2:69" x14ac:dyDescent="0.25">
      <c r="B108" t="s">
        <v>1018</v>
      </c>
      <c r="C108" s="279" t="str">
        <f t="shared" si="99"/>
        <v>https://viking-pictures.s3.us-west-1.amazonaws.com/AA1155/A116.+Mirror%2C+Door+-+FRONT+LEFT+(1).JPG|https://viking-pictures.s3.us-west-1.amazonaws.com/AA1155/A116.+Mirror%2C+Door+-+FRONT+LEFT+(2).JPG|https://viking-pictures.s3.us-west-1.amazonaws.com/AA1155/A116.+Mirror%2C+Door+-+FRONT+LEFT+(3).JPG|https://viking-pictures.s3.us-west-1.amazonaws.com/AA1155/A116.+Mirror%2C+Door+-+FRONT+LEFT+(4).JPG|https://viking-pictures.s3.us-west-1.amazonaws.com/AA1155/A116.+Mirror%2C+Door+-+FRONT+LEFT+(5).JPG|https://viking-pictures.s3.us-west-1.amazonaws.com/AA1155/A116.+Mirror%2C+Door+-+FRONT+LEFT+(6).JPG</v>
      </c>
      <c r="D108" s="281">
        <f>_xlfn.XLOOKUP(B108,'3. Keep &amp; Toss Items'!O:O,'3. Keep &amp; Toss Items'!U:U,"NOT FOUND",0,1)</f>
        <v>6</v>
      </c>
      <c r="E108" s="279" t="str">
        <f t="shared" si="100"/>
        <v>https://viking-pictures.s3.us-west-1.amazonaws.com/AA1155/A116.+Mirror%2C+Door+-+FRONT+LEFT+(1).JPG</v>
      </c>
      <c r="F108" s="279" t="str">
        <f t="shared" si="103"/>
        <v>https://viking-pictures.s3.us-west-1.amazonaws.com/AA1155/A116.+Mirror%2C+Door+-+FRONT+LEFT+(2).JPG</v>
      </c>
      <c r="G108" s="279" t="str">
        <f t="shared" si="104"/>
        <v>https://viking-pictures.s3.us-west-1.amazonaws.com/AA1155/A116.+Mirror%2C+Door+-+FRONT+LEFT+(3).JPG</v>
      </c>
      <c r="H108" s="279" t="str">
        <f t="shared" si="105"/>
        <v>https://viking-pictures.s3.us-west-1.amazonaws.com/AA1155/A116.+Mirror%2C+Door+-+FRONT+LEFT+(4).JPG</v>
      </c>
      <c r="I108" s="279" t="str">
        <f t="shared" si="106"/>
        <v>https://viking-pictures.s3.us-west-1.amazonaws.com/AA1155/A116.+Mirror%2C+Door+-+FRONT+LEFT+(5).JPG</v>
      </c>
      <c r="J108" s="279" t="str">
        <f t="shared" si="107"/>
        <v>https://viking-pictures.s3.us-west-1.amazonaws.com/AA1155/A116.+Mirror%2C+Door+-+FRONT+LEFT+(6).JPG</v>
      </c>
      <c r="K108" s="279" t="str">
        <f t="shared" si="108"/>
        <v/>
      </c>
      <c r="L108" s="279" t="str">
        <f t="shared" si="108"/>
        <v/>
      </c>
      <c r="M108" s="279" t="str">
        <f t="shared" si="109"/>
        <v/>
      </c>
      <c r="N108" s="279" t="str">
        <f t="shared" si="110"/>
        <v/>
      </c>
      <c r="O108" s="279" t="str">
        <f t="shared" si="111"/>
        <v/>
      </c>
      <c r="P108" s="279" t="str">
        <f t="shared" si="112"/>
        <v/>
      </c>
      <c r="Q108" s="279" t="str">
        <f t="shared" si="113"/>
        <v/>
      </c>
      <c r="R108" s="279" t="str">
        <f t="shared" si="114"/>
        <v/>
      </c>
      <c r="S108" s="279" t="str">
        <f t="shared" si="115"/>
        <v/>
      </c>
      <c r="T108" s="279" t="str">
        <f t="shared" si="116"/>
        <v/>
      </c>
      <c r="U108" s="279" t="str">
        <f t="shared" si="117"/>
        <v/>
      </c>
      <c r="V108" s="279" t="str">
        <f t="shared" si="118"/>
        <v/>
      </c>
      <c r="W108" s="279" t="str">
        <f t="shared" si="119"/>
        <v/>
      </c>
      <c r="X108" s="279" t="str">
        <f t="shared" si="120"/>
        <v/>
      </c>
      <c r="Y108" s="279" t="str">
        <f t="shared" si="121"/>
        <v/>
      </c>
      <c r="Z108" s="279" t="str">
        <f t="shared" si="122"/>
        <v/>
      </c>
      <c r="AA108" s="279" t="str">
        <f t="shared" si="123"/>
        <v/>
      </c>
      <c r="AB108" s="279" t="str">
        <f t="shared" si="124"/>
        <v/>
      </c>
      <c r="AC108" s="104" t="s">
        <v>1382</v>
      </c>
      <c r="AD108" s="279" t="str">
        <f t="shared" si="88"/>
        <v>A116.+Mirror%2C+Door+-+FRONT+LEFT</v>
      </c>
      <c r="AE108" s="279" t="str">
        <f>_xlfn.XLOOKUP(B108,'3. Keep &amp; Toss Items'!O:O,'3. Keep &amp; Toss Items'!Q:Q,"NOT FOUND",0,1)</f>
        <v>A116. Mirror, Door - FRONT LEFT</v>
      </c>
      <c r="AF108" s="279" t="str">
        <f t="shared" si="89"/>
        <v>A116. Mirror, Door - FRONT LEFT</v>
      </c>
      <c r="AG108" s="279" t="str">
        <f t="shared" si="90"/>
        <v>A116.+Mirror,+Door+-+FRONT+LEFT</v>
      </c>
      <c r="AH108" s="279" t="str">
        <f t="shared" si="91"/>
        <v>A116.+Mirror%2C+Door+-+FRONT+LEFT</v>
      </c>
      <c r="AI108" s="279" t="str">
        <f t="shared" si="92"/>
        <v>A116.+Mirror%2C+Door+-+FRONT+LEFT</v>
      </c>
      <c r="AJ108" s="279" t="str">
        <f t="shared" si="93"/>
        <v>A116.+Mirror%2C+Door+-+FRONT+LEFT</v>
      </c>
      <c r="AK108" s="279" t="str">
        <f t="shared" si="94"/>
        <v>A116.+Mirror%2C+Door+-+FRONT+LEFT</v>
      </c>
      <c r="AL108" s="279" t="str">
        <f t="shared" si="95"/>
        <v>A116.+Mirror%2C+Door+-+FRONT+LEFT</v>
      </c>
      <c r="AM108" s="279" t="str">
        <f t="shared" si="96"/>
        <v>A116.+Mirror%2C+Door+-+FRONT+LEFT</v>
      </c>
      <c r="AN108" s="279" t="str">
        <f t="shared" si="101"/>
        <v>A116.+Mirror%2C+Door+-+FRONT+LEFT</v>
      </c>
      <c r="AO108" s="279" t="str">
        <f t="shared" si="97"/>
        <v>A116.+Mirror%2C+Door+-+FRONT+LEFT</v>
      </c>
      <c r="AP108" s="279" t="str">
        <f t="shared" si="98"/>
        <v>A116.+Mirror%2C+Door+-+FRONT+LEFT</v>
      </c>
      <c r="AQ108" s="280" t="s">
        <v>1395</v>
      </c>
      <c r="AR108" s="280" t="s">
        <v>1396</v>
      </c>
      <c r="AS108" s="280" t="s">
        <v>1397</v>
      </c>
      <c r="AT108" s="280" t="s">
        <v>1398</v>
      </c>
      <c r="AU108" s="280" t="s">
        <v>1399</v>
      </c>
      <c r="AV108" s="280" t="s">
        <v>1400</v>
      </c>
      <c r="AW108" s="280" t="s">
        <v>1401</v>
      </c>
      <c r="AX108" s="280" t="s">
        <v>1402</v>
      </c>
      <c r="AY108" s="280" t="s">
        <v>1403</v>
      </c>
      <c r="AZ108" s="280" t="s">
        <v>1404</v>
      </c>
      <c r="BA108" s="280" t="s">
        <v>1405</v>
      </c>
      <c r="BB108" s="280" t="s">
        <v>1406</v>
      </c>
      <c r="BC108" s="280" t="s">
        <v>1419</v>
      </c>
      <c r="BD108" s="280" t="s">
        <v>1407</v>
      </c>
      <c r="BE108" s="280" t="s">
        <v>1408</v>
      </c>
      <c r="BF108" s="280" t="s">
        <v>1409</v>
      </c>
      <c r="BG108" s="280" t="s">
        <v>1410</v>
      </c>
      <c r="BH108" s="280" t="s">
        <v>1411</v>
      </c>
      <c r="BI108" s="280" t="s">
        <v>1412</v>
      </c>
      <c r="BJ108" s="280" t="s">
        <v>1413</v>
      </c>
      <c r="BK108" s="280" t="s">
        <v>1414</v>
      </c>
      <c r="BL108" s="280" t="s">
        <v>1415</v>
      </c>
      <c r="BM108" s="280" t="s">
        <v>1416</v>
      </c>
      <c r="BN108" s="280" t="s">
        <v>1417</v>
      </c>
      <c r="BO108" s="280" t="s">
        <v>1418</v>
      </c>
      <c r="BP108" s="280" t="s">
        <v>1420</v>
      </c>
      <c r="BQ108" s="134" t="str">
        <f t="shared" si="102"/>
        <v>Pic Example</v>
      </c>
    </row>
    <row r="109" spans="2:69" x14ac:dyDescent="0.25">
      <c r="B109" t="s">
        <v>1019</v>
      </c>
      <c r="C109" s="279" t="str">
        <f t="shared" si="99"/>
        <v>https://viking-pictures.s3.us-west-1.amazonaws.com/AA1155/A117.+Steering+Wheel+(1).JPG|https://viking-pictures.s3.us-west-1.amazonaws.com/AA1155/A117.+Steering+Wheel+(2).JPG|https://viking-pictures.s3.us-west-1.amazonaws.com/AA1155/A117.+Steering+Wheel+(3).JPG|https://viking-pictures.s3.us-west-1.amazonaws.com/AA1155/A117.+Steering+Wheel+(4).JPG|https://viking-pictures.s3.us-west-1.amazonaws.com/AA1155/A117.+Steering+Wheel+(5).JPG|https://viking-pictures.s3.us-west-1.amazonaws.com/AA1155/A117.+Steering+Wheel+(6).JPG</v>
      </c>
      <c r="D109" s="281">
        <f>_xlfn.XLOOKUP(B109,'3. Keep &amp; Toss Items'!O:O,'3. Keep &amp; Toss Items'!U:U,"NOT FOUND",0,1)</f>
        <v>6</v>
      </c>
      <c r="E109" s="279" t="str">
        <f t="shared" si="100"/>
        <v>https://viking-pictures.s3.us-west-1.amazonaws.com/AA1155/A117.+Steering+Wheel+(1).JPG</v>
      </c>
      <c r="F109" s="279" t="str">
        <f t="shared" si="103"/>
        <v>https://viking-pictures.s3.us-west-1.amazonaws.com/AA1155/A117.+Steering+Wheel+(2).JPG</v>
      </c>
      <c r="G109" s="279" t="str">
        <f t="shared" si="104"/>
        <v>https://viking-pictures.s3.us-west-1.amazonaws.com/AA1155/A117.+Steering+Wheel+(3).JPG</v>
      </c>
      <c r="H109" s="279" t="str">
        <f t="shared" si="105"/>
        <v>https://viking-pictures.s3.us-west-1.amazonaws.com/AA1155/A117.+Steering+Wheel+(4).JPG</v>
      </c>
      <c r="I109" s="279" t="str">
        <f t="shared" si="106"/>
        <v>https://viking-pictures.s3.us-west-1.amazonaws.com/AA1155/A117.+Steering+Wheel+(5).JPG</v>
      </c>
      <c r="J109" s="279" t="str">
        <f t="shared" si="107"/>
        <v>https://viking-pictures.s3.us-west-1.amazonaws.com/AA1155/A117.+Steering+Wheel+(6).JPG</v>
      </c>
      <c r="K109" s="279" t="str">
        <f t="shared" si="108"/>
        <v/>
      </c>
      <c r="L109" s="279" t="str">
        <f t="shared" si="108"/>
        <v/>
      </c>
      <c r="M109" s="279" t="str">
        <f t="shared" si="109"/>
        <v/>
      </c>
      <c r="N109" s="279" t="str">
        <f t="shared" si="110"/>
        <v/>
      </c>
      <c r="O109" s="279" t="str">
        <f t="shared" si="111"/>
        <v/>
      </c>
      <c r="P109" s="279" t="str">
        <f t="shared" si="112"/>
        <v/>
      </c>
      <c r="Q109" s="279" t="str">
        <f t="shared" si="113"/>
        <v/>
      </c>
      <c r="R109" s="279" t="str">
        <f t="shared" si="114"/>
        <v/>
      </c>
      <c r="S109" s="279" t="str">
        <f t="shared" si="115"/>
        <v/>
      </c>
      <c r="T109" s="279" t="str">
        <f t="shared" si="116"/>
        <v/>
      </c>
      <c r="U109" s="279" t="str">
        <f t="shared" si="117"/>
        <v/>
      </c>
      <c r="V109" s="279" t="str">
        <f t="shared" si="118"/>
        <v/>
      </c>
      <c r="W109" s="279" t="str">
        <f t="shared" si="119"/>
        <v/>
      </c>
      <c r="X109" s="279" t="str">
        <f t="shared" si="120"/>
        <v/>
      </c>
      <c r="Y109" s="279" t="str">
        <f t="shared" si="121"/>
        <v/>
      </c>
      <c r="Z109" s="279" t="str">
        <f t="shared" si="122"/>
        <v/>
      </c>
      <c r="AA109" s="279" t="str">
        <f t="shared" si="123"/>
        <v/>
      </c>
      <c r="AB109" s="279" t="str">
        <f t="shared" si="124"/>
        <v/>
      </c>
      <c r="AC109" s="104" t="s">
        <v>1382</v>
      </c>
      <c r="AD109" s="279" t="str">
        <f t="shared" si="88"/>
        <v>A117.+Steering+Wheel</v>
      </c>
      <c r="AE109" s="279" t="str">
        <f>_xlfn.XLOOKUP(B109,'3. Keep &amp; Toss Items'!O:O,'3. Keep &amp; Toss Items'!Q:Q,"NOT FOUND",0,1)</f>
        <v>A117. Steering Wheel</v>
      </c>
      <c r="AF109" s="279" t="str">
        <f t="shared" si="89"/>
        <v>A117. Steering Wheel</v>
      </c>
      <c r="AG109" s="279" t="str">
        <f t="shared" si="90"/>
        <v>A117.+Steering+Wheel</v>
      </c>
      <c r="AH109" s="279" t="str">
        <f t="shared" si="91"/>
        <v>A117.+Steering+Wheel</v>
      </c>
      <c r="AI109" s="279" t="str">
        <f t="shared" si="92"/>
        <v>A117.+Steering+Wheel</v>
      </c>
      <c r="AJ109" s="279" t="str">
        <f t="shared" si="93"/>
        <v>A117.+Steering+Wheel</v>
      </c>
      <c r="AK109" s="279" t="str">
        <f t="shared" si="94"/>
        <v>A117.+Steering+Wheel</v>
      </c>
      <c r="AL109" s="279" t="str">
        <f t="shared" si="95"/>
        <v>A117.+Steering+Wheel</v>
      </c>
      <c r="AM109" s="279" t="str">
        <f t="shared" si="96"/>
        <v>A117.+Steering+Wheel</v>
      </c>
      <c r="AN109" s="279" t="str">
        <f t="shared" si="101"/>
        <v>A117.+Steering+Wheel</v>
      </c>
      <c r="AO109" s="279" t="str">
        <f t="shared" si="97"/>
        <v>A117.+Steering+Wheel</v>
      </c>
      <c r="AP109" s="279" t="str">
        <f t="shared" si="98"/>
        <v>A117.+Steering+Wheel</v>
      </c>
      <c r="AQ109" s="280" t="s">
        <v>1395</v>
      </c>
      <c r="AR109" s="280" t="s">
        <v>1396</v>
      </c>
      <c r="AS109" s="280" t="s">
        <v>1397</v>
      </c>
      <c r="AT109" s="280" t="s">
        <v>1398</v>
      </c>
      <c r="AU109" s="280" t="s">
        <v>1399</v>
      </c>
      <c r="AV109" s="280" t="s">
        <v>1400</v>
      </c>
      <c r="AW109" s="280" t="s">
        <v>1401</v>
      </c>
      <c r="AX109" s="280" t="s">
        <v>1402</v>
      </c>
      <c r="AY109" s="280" t="s">
        <v>1403</v>
      </c>
      <c r="AZ109" s="280" t="s">
        <v>1404</v>
      </c>
      <c r="BA109" s="280" t="s">
        <v>1405</v>
      </c>
      <c r="BB109" s="280" t="s">
        <v>1406</v>
      </c>
      <c r="BC109" s="280" t="s">
        <v>1419</v>
      </c>
      <c r="BD109" s="280" t="s">
        <v>1407</v>
      </c>
      <c r="BE109" s="280" t="s">
        <v>1408</v>
      </c>
      <c r="BF109" s="280" t="s">
        <v>1409</v>
      </c>
      <c r="BG109" s="280" t="s">
        <v>1410</v>
      </c>
      <c r="BH109" s="280" t="s">
        <v>1411</v>
      </c>
      <c r="BI109" s="280" t="s">
        <v>1412</v>
      </c>
      <c r="BJ109" s="280" t="s">
        <v>1413</v>
      </c>
      <c r="BK109" s="280" t="s">
        <v>1414</v>
      </c>
      <c r="BL109" s="280" t="s">
        <v>1415</v>
      </c>
      <c r="BM109" s="280" t="s">
        <v>1416</v>
      </c>
      <c r="BN109" s="280" t="s">
        <v>1417</v>
      </c>
      <c r="BO109" s="280" t="s">
        <v>1418</v>
      </c>
      <c r="BP109" s="280" t="s">
        <v>1420</v>
      </c>
      <c r="BQ109" s="134" t="str">
        <f t="shared" si="102"/>
        <v>Pic Example</v>
      </c>
    </row>
    <row r="110" spans="2:69" x14ac:dyDescent="0.25">
      <c r="B110" t="s">
        <v>1020</v>
      </c>
      <c r="C110" s="279" t="str">
        <f t="shared" si="99"/>
        <v>https://viking-pictures.s3.us-west-1.amazonaws.com/AA1155/A118.+Door+Handle%2C+Exterior+-+FRONT+-+RIGHT+(1).JPG|https://viking-pictures.s3.us-west-1.amazonaws.com/AA1155/A118.+Door+Handle%2C+Exterior+-+FRONT+-+RIGHT+(2).JPG|https://viking-pictures.s3.us-west-1.amazonaws.com/AA1155/A118.+Door+Handle%2C+Exterior+-+FRONT+-+RIGHT+(3).JPG|https://viking-pictures.s3.us-west-1.amazonaws.com/AA1155/A118.+Door+Handle%2C+Exterior+-+FRONT+-+RIGHT+(4).JPG|https://viking-pictures.s3.us-west-1.amazonaws.com/AA1155/A118.+Door+Handle%2C+Exterior+-+FRONT+-+RIGHT+(5).JPG|https://viking-pictures.s3.us-west-1.amazonaws.com/AA1155/A118.+Door+Handle%2C+Exterior+-+FRONT+-+RIGHT+(6).JPG</v>
      </c>
      <c r="D110" s="281">
        <f>_xlfn.XLOOKUP(B110,'3. Keep &amp; Toss Items'!O:O,'3. Keep &amp; Toss Items'!U:U,"NOT FOUND",0,1)</f>
        <v>6</v>
      </c>
      <c r="E110" s="279" t="str">
        <f t="shared" si="100"/>
        <v>https://viking-pictures.s3.us-west-1.amazonaws.com/AA1155/A118.+Door+Handle%2C+Exterior+-+FRONT+-+RIGHT+(1).JPG</v>
      </c>
      <c r="F110" s="279" t="str">
        <f t="shared" si="103"/>
        <v>https://viking-pictures.s3.us-west-1.amazonaws.com/AA1155/A118.+Door+Handle%2C+Exterior+-+FRONT+-+RIGHT+(2).JPG</v>
      </c>
      <c r="G110" s="279" t="str">
        <f t="shared" si="104"/>
        <v>https://viking-pictures.s3.us-west-1.amazonaws.com/AA1155/A118.+Door+Handle%2C+Exterior+-+FRONT+-+RIGHT+(3).JPG</v>
      </c>
      <c r="H110" s="279" t="str">
        <f t="shared" si="105"/>
        <v>https://viking-pictures.s3.us-west-1.amazonaws.com/AA1155/A118.+Door+Handle%2C+Exterior+-+FRONT+-+RIGHT+(4).JPG</v>
      </c>
      <c r="I110" s="279" t="str">
        <f t="shared" si="106"/>
        <v>https://viking-pictures.s3.us-west-1.amazonaws.com/AA1155/A118.+Door+Handle%2C+Exterior+-+FRONT+-+RIGHT+(5).JPG</v>
      </c>
      <c r="J110" s="279" t="str">
        <f t="shared" si="107"/>
        <v>https://viking-pictures.s3.us-west-1.amazonaws.com/AA1155/A118.+Door+Handle%2C+Exterior+-+FRONT+-+RIGHT+(6).JPG</v>
      </c>
      <c r="K110" s="279" t="str">
        <f t="shared" si="108"/>
        <v/>
      </c>
      <c r="L110" s="279" t="str">
        <f t="shared" si="108"/>
        <v/>
      </c>
      <c r="M110" s="279" t="str">
        <f t="shared" si="109"/>
        <v/>
      </c>
      <c r="N110" s="279" t="str">
        <f t="shared" si="110"/>
        <v/>
      </c>
      <c r="O110" s="279" t="str">
        <f t="shared" si="111"/>
        <v/>
      </c>
      <c r="P110" s="279" t="str">
        <f t="shared" si="112"/>
        <v/>
      </c>
      <c r="Q110" s="279" t="str">
        <f t="shared" si="113"/>
        <v/>
      </c>
      <c r="R110" s="279" t="str">
        <f t="shared" si="114"/>
        <v/>
      </c>
      <c r="S110" s="279" t="str">
        <f t="shared" si="115"/>
        <v/>
      </c>
      <c r="T110" s="279" t="str">
        <f t="shared" si="116"/>
        <v/>
      </c>
      <c r="U110" s="279" t="str">
        <f t="shared" si="117"/>
        <v/>
      </c>
      <c r="V110" s="279" t="str">
        <f t="shared" si="118"/>
        <v/>
      </c>
      <c r="W110" s="279" t="str">
        <f t="shared" si="119"/>
        <v/>
      </c>
      <c r="X110" s="279" t="str">
        <f t="shared" si="120"/>
        <v/>
      </c>
      <c r="Y110" s="279" t="str">
        <f t="shared" si="121"/>
        <v/>
      </c>
      <c r="Z110" s="279" t="str">
        <f t="shared" si="122"/>
        <v/>
      </c>
      <c r="AA110" s="279" t="str">
        <f t="shared" si="123"/>
        <v/>
      </c>
      <c r="AB110" s="279" t="str">
        <f t="shared" si="124"/>
        <v/>
      </c>
      <c r="AC110" s="104" t="s">
        <v>1382</v>
      </c>
      <c r="AD110" s="279" t="str">
        <f t="shared" si="88"/>
        <v>A118.+Door+Handle%2C+Exterior+-+FRONT+-+RIGHT</v>
      </c>
      <c r="AE110" s="279" t="str">
        <f>_xlfn.XLOOKUP(B110,'3. Keep &amp; Toss Items'!O:O,'3. Keep &amp; Toss Items'!Q:Q,"NOT FOUND",0,1)</f>
        <v>A118. Door Handle, Exterior - FRONT - RIGHT</v>
      </c>
      <c r="AF110" s="279" t="str">
        <f t="shared" si="89"/>
        <v>A118. Door Handle, Exterior - FRONT - RIGHT</v>
      </c>
      <c r="AG110" s="279" t="str">
        <f t="shared" si="90"/>
        <v>A118.+Door+Handle,+Exterior+-+FRONT+-+RIGHT</v>
      </c>
      <c r="AH110" s="279" t="str">
        <f t="shared" si="91"/>
        <v>A118.+Door+Handle%2C+Exterior+-+FRONT+-+RIGHT</v>
      </c>
      <c r="AI110" s="279" t="str">
        <f t="shared" si="92"/>
        <v>A118.+Door+Handle%2C+Exterior+-+FRONT+-+RIGHT</v>
      </c>
      <c r="AJ110" s="279" t="str">
        <f t="shared" si="93"/>
        <v>A118.+Door+Handle%2C+Exterior+-+FRONT+-+RIGHT</v>
      </c>
      <c r="AK110" s="279" t="str">
        <f t="shared" si="94"/>
        <v>A118.+Door+Handle%2C+Exterior+-+FRONT+-+RIGHT</v>
      </c>
      <c r="AL110" s="279" t="str">
        <f t="shared" si="95"/>
        <v>A118.+Door+Handle%2C+Exterior+-+FRONT+-+RIGHT</v>
      </c>
      <c r="AM110" s="279" t="str">
        <f t="shared" si="96"/>
        <v>A118.+Door+Handle%2C+Exterior+-+FRONT+-+RIGHT</v>
      </c>
      <c r="AN110" s="279" t="str">
        <f t="shared" si="101"/>
        <v>A118.+Door+Handle%2C+Exterior+-+FRONT+-+RIGHT</v>
      </c>
      <c r="AO110" s="279" t="str">
        <f t="shared" si="97"/>
        <v>A118.+Door+Handle%2C+Exterior+-+FRONT+-+RIGHT</v>
      </c>
      <c r="AP110" s="279" t="str">
        <f t="shared" si="98"/>
        <v>A118.+Door+Handle%2C+Exterior+-+FRONT+-+RIGHT</v>
      </c>
      <c r="AQ110" s="280" t="s">
        <v>1395</v>
      </c>
      <c r="AR110" s="280" t="s">
        <v>1396</v>
      </c>
      <c r="AS110" s="280" t="s">
        <v>1397</v>
      </c>
      <c r="AT110" s="280" t="s">
        <v>1398</v>
      </c>
      <c r="AU110" s="280" t="s">
        <v>1399</v>
      </c>
      <c r="AV110" s="280" t="s">
        <v>1400</v>
      </c>
      <c r="AW110" s="280" t="s">
        <v>1401</v>
      </c>
      <c r="AX110" s="280" t="s">
        <v>1402</v>
      </c>
      <c r="AY110" s="280" t="s">
        <v>1403</v>
      </c>
      <c r="AZ110" s="280" t="s">
        <v>1404</v>
      </c>
      <c r="BA110" s="280" t="s">
        <v>1405</v>
      </c>
      <c r="BB110" s="280" t="s">
        <v>1406</v>
      </c>
      <c r="BC110" s="280" t="s">
        <v>1419</v>
      </c>
      <c r="BD110" s="280" t="s">
        <v>1407</v>
      </c>
      <c r="BE110" s="280" t="s">
        <v>1408</v>
      </c>
      <c r="BF110" s="280" t="s">
        <v>1409</v>
      </c>
      <c r="BG110" s="280" t="s">
        <v>1410</v>
      </c>
      <c r="BH110" s="280" t="s">
        <v>1411</v>
      </c>
      <c r="BI110" s="280" t="s">
        <v>1412</v>
      </c>
      <c r="BJ110" s="280" t="s">
        <v>1413</v>
      </c>
      <c r="BK110" s="280" t="s">
        <v>1414</v>
      </c>
      <c r="BL110" s="280" t="s">
        <v>1415</v>
      </c>
      <c r="BM110" s="280" t="s">
        <v>1416</v>
      </c>
      <c r="BN110" s="280" t="s">
        <v>1417</v>
      </c>
      <c r="BO110" s="280" t="s">
        <v>1418</v>
      </c>
      <c r="BP110" s="280" t="s">
        <v>1420</v>
      </c>
      <c r="BQ110" s="134" t="str">
        <f t="shared" si="102"/>
        <v>Pic Example</v>
      </c>
    </row>
    <row r="111" spans="2:69" x14ac:dyDescent="0.25">
      <c r="B111" t="s">
        <v>1021</v>
      </c>
      <c r="C111" s="279" t="str">
        <f t="shared" si="99"/>
        <v>https://viking-pictures.s3.us-west-1.amazonaws.com/AA1155/A119.+Fuel+Tank+Door+(1).JPG|https://viking-pictures.s3.us-west-1.amazonaws.com/AA1155/A119.+Fuel+Tank+Door+(2).JPG|https://viking-pictures.s3.us-west-1.amazonaws.com/AA1155/A119.+Fuel+Tank+Door+(3).JPG|https://viking-pictures.s3.us-west-1.amazonaws.com/AA1155/A119.+Fuel+Tank+Door+(4).JPG</v>
      </c>
      <c r="D111" s="281">
        <f>_xlfn.XLOOKUP(B111,'3. Keep &amp; Toss Items'!O:O,'3. Keep &amp; Toss Items'!U:U,"NOT FOUND",0,1)</f>
        <v>4</v>
      </c>
      <c r="E111" s="279" t="str">
        <f t="shared" si="100"/>
        <v>https://viking-pictures.s3.us-west-1.amazonaws.com/AA1155/A119.+Fuel+Tank+Door+(1).JPG</v>
      </c>
      <c r="F111" s="279" t="str">
        <f t="shared" si="103"/>
        <v>https://viking-pictures.s3.us-west-1.amazonaws.com/AA1155/A119.+Fuel+Tank+Door+(2).JPG</v>
      </c>
      <c r="G111" s="279" t="str">
        <f t="shared" si="104"/>
        <v>https://viking-pictures.s3.us-west-1.amazonaws.com/AA1155/A119.+Fuel+Tank+Door+(3).JPG</v>
      </c>
      <c r="H111" s="279" t="str">
        <f t="shared" si="105"/>
        <v>https://viking-pictures.s3.us-west-1.amazonaws.com/AA1155/A119.+Fuel+Tank+Door+(4).JPG</v>
      </c>
      <c r="I111" s="279" t="str">
        <f t="shared" si="106"/>
        <v/>
      </c>
      <c r="J111" s="279" t="str">
        <f t="shared" si="107"/>
        <v/>
      </c>
      <c r="K111" s="279" t="str">
        <f t="shared" si="108"/>
        <v/>
      </c>
      <c r="L111" s="279" t="str">
        <f t="shared" si="108"/>
        <v/>
      </c>
      <c r="M111" s="279" t="str">
        <f t="shared" si="109"/>
        <v/>
      </c>
      <c r="N111" s="279" t="str">
        <f t="shared" si="110"/>
        <v/>
      </c>
      <c r="O111" s="279" t="str">
        <f t="shared" si="111"/>
        <v/>
      </c>
      <c r="P111" s="279" t="str">
        <f t="shared" si="112"/>
        <v/>
      </c>
      <c r="Q111" s="279" t="str">
        <f t="shared" si="113"/>
        <v/>
      </c>
      <c r="R111" s="279" t="str">
        <f t="shared" si="114"/>
        <v/>
      </c>
      <c r="S111" s="279" t="str">
        <f t="shared" si="115"/>
        <v/>
      </c>
      <c r="T111" s="279" t="str">
        <f t="shared" si="116"/>
        <v/>
      </c>
      <c r="U111" s="279" t="str">
        <f t="shared" si="117"/>
        <v/>
      </c>
      <c r="V111" s="279" t="str">
        <f t="shared" si="118"/>
        <v/>
      </c>
      <c r="W111" s="279" t="str">
        <f t="shared" si="119"/>
        <v/>
      </c>
      <c r="X111" s="279" t="str">
        <f t="shared" si="120"/>
        <v/>
      </c>
      <c r="Y111" s="279" t="str">
        <f t="shared" si="121"/>
        <v/>
      </c>
      <c r="Z111" s="279" t="str">
        <f t="shared" si="122"/>
        <v/>
      </c>
      <c r="AA111" s="279" t="str">
        <f t="shared" si="123"/>
        <v/>
      </c>
      <c r="AB111" s="279" t="str">
        <f t="shared" si="124"/>
        <v/>
      </c>
      <c r="AC111" s="104" t="s">
        <v>1382</v>
      </c>
      <c r="AD111" s="279" t="str">
        <f t="shared" si="88"/>
        <v>A119.+Fuel+Tank+Door</v>
      </c>
      <c r="AE111" s="279" t="str">
        <f>_xlfn.XLOOKUP(B111,'3. Keep &amp; Toss Items'!O:O,'3. Keep &amp; Toss Items'!Q:Q,"NOT FOUND",0,1)</f>
        <v>A119. Fuel Tank Door</v>
      </c>
      <c r="AF111" s="279" t="str">
        <f t="shared" si="89"/>
        <v>A119. Fuel Tank Door</v>
      </c>
      <c r="AG111" s="279" t="str">
        <f t="shared" si="90"/>
        <v>A119.+Fuel+Tank+Door</v>
      </c>
      <c r="AH111" s="279" t="str">
        <f t="shared" si="91"/>
        <v>A119.+Fuel+Tank+Door</v>
      </c>
      <c r="AI111" s="279" t="str">
        <f t="shared" si="92"/>
        <v>A119.+Fuel+Tank+Door</v>
      </c>
      <c r="AJ111" s="279" t="str">
        <f t="shared" si="93"/>
        <v>A119.+Fuel+Tank+Door</v>
      </c>
      <c r="AK111" s="279" t="str">
        <f t="shared" si="94"/>
        <v>A119.+Fuel+Tank+Door</v>
      </c>
      <c r="AL111" s="279" t="str">
        <f t="shared" si="95"/>
        <v>A119.+Fuel+Tank+Door</v>
      </c>
      <c r="AM111" s="279" t="str">
        <f t="shared" si="96"/>
        <v>A119.+Fuel+Tank+Door</v>
      </c>
      <c r="AN111" s="279" t="str">
        <f t="shared" si="101"/>
        <v>A119.+Fuel+Tank+Door</v>
      </c>
      <c r="AO111" s="279" t="str">
        <f t="shared" si="97"/>
        <v>A119.+Fuel+Tank+Door</v>
      </c>
      <c r="AP111" s="279" t="str">
        <f t="shared" si="98"/>
        <v>A119.+Fuel+Tank+Door</v>
      </c>
      <c r="AQ111" s="280" t="s">
        <v>1395</v>
      </c>
      <c r="AR111" s="280" t="s">
        <v>1396</v>
      </c>
      <c r="AS111" s="280" t="s">
        <v>1397</v>
      </c>
      <c r="AT111" s="280" t="s">
        <v>1398</v>
      </c>
      <c r="AU111" s="280" t="s">
        <v>1399</v>
      </c>
      <c r="AV111" s="280" t="s">
        <v>1400</v>
      </c>
      <c r="AW111" s="280" t="s">
        <v>1401</v>
      </c>
      <c r="AX111" s="280" t="s">
        <v>1402</v>
      </c>
      <c r="AY111" s="280" t="s">
        <v>1403</v>
      </c>
      <c r="AZ111" s="280" t="s">
        <v>1404</v>
      </c>
      <c r="BA111" s="280" t="s">
        <v>1405</v>
      </c>
      <c r="BB111" s="280" t="s">
        <v>1406</v>
      </c>
      <c r="BC111" s="280" t="s">
        <v>1419</v>
      </c>
      <c r="BD111" s="280" t="s">
        <v>1407</v>
      </c>
      <c r="BE111" s="280" t="s">
        <v>1408</v>
      </c>
      <c r="BF111" s="280" t="s">
        <v>1409</v>
      </c>
      <c r="BG111" s="280" t="s">
        <v>1410</v>
      </c>
      <c r="BH111" s="280" t="s">
        <v>1411</v>
      </c>
      <c r="BI111" s="280" t="s">
        <v>1412</v>
      </c>
      <c r="BJ111" s="280" t="s">
        <v>1413</v>
      </c>
      <c r="BK111" s="280" t="s">
        <v>1414</v>
      </c>
      <c r="BL111" s="280" t="s">
        <v>1415</v>
      </c>
      <c r="BM111" s="280" t="s">
        <v>1416</v>
      </c>
      <c r="BN111" s="280" t="s">
        <v>1417</v>
      </c>
      <c r="BO111" s="280" t="s">
        <v>1418</v>
      </c>
      <c r="BP111" s="280" t="s">
        <v>1420</v>
      </c>
      <c r="BQ111" s="134" t="str">
        <f t="shared" si="102"/>
        <v>Pic Example</v>
      </c>
    </row>
    <row r="112" spans="2:69" x14ac:dyDescent="0.25">
      <c r="B112" t="s">
        <v>1022</v>
      </c>
      <c r="C112" s="279" t="str">
        <f t="shared" si="99"/>
        <v>https://viking-pictures.s3.us-west-1.amazonaws.com/AA1155/NOT+FOUND+(1).JPG|https://viking-pictures.s3.us-west-1.amazonaws.com/AA1155/NOT+FOUND+(2).JPG|https://viking-pictures.s3.us-west-1.amazonaws.com/AA1155/NOT+FOUND+(3).JPG|https://viking-pictures.s3.us-west-1.amazonaws.com/AA1155/NOT+FOUND+(4).JPG|https://viking-pictures.s3.us-west-1.amazonaws.com/AA1155/NOT+FOUND+(5).JPG|https://viking-pictures.s3.us-west-1.amazonaws.com/AA1155/NOT+FOUND+(6).JPG|https://viking-pictures.s3.us-west-1.amazonaws.com/AA1155/NOT+FOUND+(7).JPG|https://viking-pictures.s3.us-west-1.amazonaws.com/AA1155/NOT+FOUND+(8).JPG|https://viking-pictures.s3.us-west-1.amazonaws.com/AA1155/NOT+FOUND+(9).JPG|https://viking-pictures.s3.us-west-1.amazonaws.com/AA1155/NOT+FOUND+(10).JPG|https://viking-pictures.s3.us-west-1.amazonaws.com/AA1155/NOT+FOUND+(11).JPG|https://viking-pictures.s3.us-west-1.amazonaws.com/AA1155/NOT+FOUND+(12).JPG|https://viking-pictures.s3.us-west-1.amazonaws.com/AA1155/NOT+FOUND+(13).JPG|https://viking-pictures.s3.us-west-1.amazonaws.com/AA1155/NOT+FOUND+(14).JPG|https://viking-pictures.s3.us-west-1.amazonaws.com/AA1155/NOT+FOUND+(15).JPG|https://viking-pictures.s3.us-west-1.amazonaws.com/AA1155/NOT+FOUND+(16).JPG|https://viking-pictures.s3.us-west-1.amazonaws.com/AA1155/NOT+FOUND+(17).JPG|https://viking-pictures.s3.us-west-1.amazonaws.com/AA1155/NOT+FOUND+(18).JPG|https://viking-pictures.s3.us-west-1.amazonaws.com/AA1155/NOT+FOUND+(19).JPG|https://viking-pictures.s3.us-west-1.amazonaws.com/AA1155/NOT+FOUND+(20).JPG|https://viking-pictures.s3.us-west-1.amazonaws.com/AA1155/NOT+FOUND+(21).JPG|https://viking-pictures.s3.us-west-1.amazonaws.com/AA1155/NOT+FOUND+(22).JPG|https://viking-pictures.s3.us-west-1.amazonaws.com/AA1155/NOT+FOUND+(23).JPG|https://viking-pictures.s3.us-west-1.amazonaws.com/AA1155/NOT+FOUND+(24).JPG</v>
      </c>
      <c r="D112" s="281" t="str">
        <f>_xlfn.XLOOKUP(B112,'3. Keep &amp; Toss Items'!O:O,'3. Keep &amp; Toss Items'!U:U,"NOT FOUND",0,1)</f>
        <v>NOT FOUND</v>
      </c>
      <c r="E112" s="279" t="str">
        <f t="shared" si="100"/>
        <v>https://viking-pictures.s3.us-west-1.amazonaws.com/AA1155/NOT+FOUND+(1).JPG</v>
      </c>
      <c r="F112" s="279" t="str">
        <f t="shared" si="103"/>
        <v>https://viking-pictures.s3.us-west-1.amazonaws.com/AA1155/NOT+FOUND+(2).JPG</v>
      </c>
      <c r="G112" s="279" t="str">
        <f t="shared" si="104"/>
        <v>https://viking-pictures.s3.us-west-1.amazonaws.com/AA1155/NOT+FOUND+(3).JPG</v>
      </c>
      <c r="H112" s="279" t="str">
        <f t="shared" si="105"/>
        <v>https://viking-pictures.s3.us-west-1.amazonaws.com/AA1155/NOT+FOUND+(4).JPG</v>
      </c>
      <c r="I112" s="279" t="str">
        <f t="shared" si="106"/>
        <v>https://viking-pictures.s3.us-west-1.amazonaws.com/AA1155/NOT+FOUND+(5).JPG</v>
      </c>
      <c r="J112" s="279" t="str">
        <f t="shared" si="107"/>
        <v>https://viking-pictures.s3.us-west-1.amazonaws.com/AA1155/NOT+FOUND+(6).JPG</v>
      </c>
      <c r="K112" s="279" t="str">
        <f t="shared" si="108"/>
        <v>https://viking-pictures.s3.us-west-1.amazonaws.com/AA1155/NOT+FOUND+(7).JPG</v>
      </c>
      <c r="L112" s="279" t="str">
        <f t="shared" si="108"/>
        <v>https://viking-pictures.s3.us-west-1.amazonaws.com/AA1155/NOT+FOUND+(8).JPG</v>
      </c>
      <c r="M112" s="279" t="str">
        <f t="shared" si="109"/>
        <v>https://viking-pictures.s3.us-west-1.amazonaws.com/AA1155/NOT+FOUND+(9).JPG</v>
      </c>
      <c r="N112" s="279" t="str">
        <f t="shared" si="110"/>
        <v>https://viking-pictures.s3.us-west-1.amazonaws.com/AA1155/NOT+FOUND+(10).JPG</v>
      </c>
      <c r="O112" s="279" t="str">
        <f t="shared" si="111"/>
        <v>https://viking-pictures.s3.us-west-1.amazonaws.com/AA1155/NOT+FOUND+(11).JPG</v>
      </c>
      <c r="P112" s="279" t="str">
        <f t="shared" si="112"/>
        <v>https://viking-pictures.s3.us-west-1.amazonaws.com/AA1155/NOT+FOUND+(12).JPG</v>
      </c>
      <c r="Q112" s="279" t="str">
        <f t="shared" si="113"/>
        <v>https://viking-pictures.s3.us-west-1.amazonaws.com/AA1155/NOT+FOUND+(13).JPG</v>
      </c>
      <c r="R112" s="279" t="str">
        <f t="shared" si="114"/>
        <v>https://viking-pictures.s3.us-west-1.amazonaws.com/AA1155/NOT+FOUND+(14).JPG</v>
      </c>
      <c r="S112" s="279" t="str">
        <f t="shared" si="115"/>
        <v>https://viking-pictures.s3.us-west-1.amazonaws.com/AA1155/NOT+FOUND+(15).JPG</v>
      </c>
      <c r="T112" s="279" t="str">
        <f t="shared" si="116"/>
        <v>https://viking-pictures.s3.us-west-1.amazonaws.com/AA1155/NOT+FOUND+(16).JPG</v>
      </c>
      <c r="U112" s="279" t="str">
        <f t="shared" si="117"/>
        <v>https://viking-pictures.s3.us-west-1.amazonaws.com/AA1155/NOT+FOUND+(17).JPG</v>
      </c>
      <c r="V112" s="279" t="str">
        <f t="shared" si="118"/>
        <v>https://viking-pictures.s3.us-west-1.amazonaws.com/AA1155/NOT+FOUND+(18).JPG</v>
      </c>
      <c r="W112" s="279" t="str">
        <f t="shared" si="119"/>
        <v>https://viking-pictures.s3.us-west-1.amazonaws.com/AA1155/NOT+FOUND+(19).JPG</v>
      </c>
      <c r="X112" s="279" t="str">
        <f t="shared" si="120"/>
        <v>https://viking-pictures.s3.us-west-1.amazonaws.com/AA1155/NOT+FOUND+(20).JPG</v>
      </c>
      <c r="Y112" s="279" t="str">
        <f t="shared" si="121"/>
        <v>https://viking-pictures.s3.us-west-1.amazonaws.com/AA1155/NOT+FOUND+(21).JPG</v>
      </c>
      <c r="Z112" s="279" t="str">
        <f t="shared" si="122"/>
        <v>https://viking-pictures.s3.us-west-1.amazonaws.com/AA1155/NOT+FOUND+(22).JPG</v>
      </c>
      <c r="AA112" s="279" t="str">
        <f t="shared" si="123"/>
        <v>https://viking-pictures.s3.us-west-1.amazonaws.com/AA1155/NOT+FOUND+(23).JPG</v>
      </c>
      <c r="AB112" s="279" t="str">
        <f t="shared" si="124"/>
        <v>https://viking-pictures.s3.us-west-1.amazonaws.com/AA1155/NOT+FOUND+(24).JPG</v>
      </c>
      <c r="AC112" s="104" t="s">
        <v>1382</v>
      </c>
      <c r="AD112" s="279" t="str">
        <f t="shared" si="88"/>
        <v>NOT+FOUND</v>
      </c>
      <c r="AE112" s="279" t="str">
        <f>_xlfn.XLOOKUP(B112,'3. Keep &amp; Toss Items'!O:O,'3. Keep &amp; Toss Items'!Q:Q,"NOT FOUND",0,1)</f>
        <v>NOT FOUND</v>
      </c>
      <c r="AF112" s="279" t="str">
        <f t="shared" si="89"/>
        <v>NOT FOUND</v>
      </c>
      <c r="AG112" s="279" t="str">
        <f t="shared" si="90"/>
        <v>NOT+FOUND</v>
      </c>
      <c r="AH112" s="279" t="str">
        <f t="shared" si="91"/>
        <v>NOT+FOUND</v>
      </c>
      <c r="AI112" s="279" t="str">
        <f t="shared" si="92"/>
        <v>NOT+FOUND</v>
      </c>
      <c r="AJ112" s="279" t="str">
        <f t="shared" si="93"/>
        <v>NOT+FOUND</v>
      </c>
      <c r="AK112" s="279" t="str">
        <f t="shared" si="94"/>
        <v>NOT+FOUND</v>
      </c>
      <c r="AL112" s="279" t="str">
        <f t="shared" si="95"/>
        <v>NOT+FOUND</v>
      </c>
      <c r="AM112" s="279" t="str">
        <f t="shared" si="96"/>
        <v>NOT+FOUND</v>
      </c>
      <c r="AN112" s="279" t="str">
        <f t="shared" si="101"/>
        <v>NOT+FOUND</v>
      </c>
      <c r="AO112" s="279" t="str">
        <f t="shared" si="97"/>
        <v>NOT+FOUND</v>
      </c>
      <c r="AP112" s="279" t="str">
        <f t="shared" si="98"/>
        <v>NOT+FOUND</v>
      </c>
      <c r="AQ112" s="280" t="s">
        <v>1395</v>
      </c>
      <c r="AR112" s="280" t="s">
        <v>1396</v>
      </c>
      <c r="AS112" s="280" t="s">
        <v>1397</v>
      </c>
      <c r="AT112" s="280" t="s">
        <v>1398</v>
      </c>
      <c r="AU112" s="280" t="s">
        <v>1399</v>
      </c>
      <c r="AV112" s="280" t="s">
        <v>1400</v>
      </c>
      <c r="AW112" s="280" t="s">
        <v>1401</v>
      </c>
      <c r="AX112" s="280" t="s">
        <v>1402</v>
      </c>
      <c r="AY112" s="280" t="s">
        <v>1403</v>
      </c>
      <c r="AZ112" s="280" t="s">
        <v>1404</v>
      </c>
      <c r="BA112" s="280" t="s">
        <v>1405</v>
      </c>
      <c r="BB112" s="280" t="s">
        <v>1406</v>
      </c>
      <c r="BC112" s="280" t="s">
        <v>1419</v>
      </c>
      <c r="BD112" s="280" t="s">
        <v>1407</v>
      </c>
      <c r="BE112" s="280" t="s">
        <v>1408</v>
      </c>
      <c r="BF112" s="280" t="s">
        <v>1409</v>
      </c>
      <c r="BG112" s="280" t="s">
        <v>1410</v>
      </c>
      <c r="BH112" s="280" t="s">
        <v>1411</v>
      </c>
      <c r="BI112" s="280" t="s">
        <v>1412</v>
      </c>
      <c r="BJ112" s="280" t="s">
        <v>1413</v>
      </c>
      <c r="BK112" s="280" t="s">
        <v>1414</v>
      </c>
      <c r="BL112" s="280" t="s">
        <v>1415</v>
      </c>
      <c r="BM112" s="280" t="s">
        <v>1416</v>
      </c>
      <c r="BN112" s="280" t="s">
        <v>1417</v>
      </c>
      <c r="BO112" s="280" t="s">
        <v>1418</v>
      </c>
      <c r="BP112" s="280" t="s">
        <v>1420</v>
      </c>
      <c r="BQ112" s="134" t="str">
        <f t="shared" si="102"/>
        <v>Pic Example</v>
      </c>
    </row>
    <row r="113" spans="2:69" x14ac:dyDescent="0.25">
      <c r="B113" t="s">
        <v>1023</v>
      </c>
      <c r="C113" s="279" t="str">
        <f t="shared" si="99"/>
        <v>https://viking-pictures.s3.us-west-1.amazonaws.com/AA1155/A121.+Climate+Control+Panel%2C+Radio+Control+Panel%2C+and+Trim+-+FRONT+(1).JPG|https://viking-pictures.s3.us-west-1.amazonaws.com/AA1155/A121.+Climate+Control+Panel%2C+Radio+Control+Panel%2C+and+Trim+-+FRONT+(2).JPG|https://viking-pictures.s3.us-west-1.amazonaws.com/AA1155/A121.+Climate+Control+Panel%2C+Radio+Control+Panel%2C+and+Trim+-+FRONT+(3).JPG|https://viking-pictures.s3.us-west-1.amazonaws.com/AA1155/A121.+Climate+Control+Panel%2C+Radio+Control+Panel%2C+and+Trim+-+FRONT+(4).JPG|https://viking-pictures.s3.us-west-1.amazonaws.com/AA1155/A121.+Climate+Control+Panel%2C+Radio+Control+Panel%2C+and+Trim+-+FRONT+(5).JPG|https://viking-pictures.s3.us-west-1.amazonaws.com/AA1155/A121.+Climate+Control+Panel%2C+Radio+Control+Panel%2C+and+Trim+-+FRONT+(6).JPG|https://viking-pictures.s3.us-west-1.amazonaws.com/AA1155/A121.+Climate+Control+Panel%2C+Radio+Control+Panel%2C+and+Trim+-+FRONT+(7).JPG|https://viking-pictures.s3.us-west-1.amazonaws.com/AA1155/A121.+Climate+Control+Panel%2C+Radio+Control+Panel%2C+and+Trim+-+FRONT+(8).JPG</v>
      </c>
      <c r="D113" s="281">
        <f>_xlfn.XLOOKUP(B113,'3. Keep &amp; Toss Items'!O:O,'3. Keep &amp; Toss Items'!U:U,"NOT FOUND",0,1)</f>
        <v>8</v>
      </c>
      <c r="E113" s="279" t="str">
        <f t="shared" si="100"/>
        <v>https://viking-pictures.s3.us-west-1.amazonaws.com/AA1155/A121.+Climate+Control+Panel%2C+Radio+Control+Panel%2C+and+Trim+-+FRONT+(1).JPG</v>
      </c>
      <c r="F113" s="279" t="str">
        <f t="shared" si="103"/>
        <v>https://viking-pictures.s3.us-west-1.amazonaws.com/AA1155/A121.+Climate+Control+Panel%2C+Radio+Control+Panel%2C+and+Trim+-+FRONT+(2).JPG</v>
      </c>
      <c r="G113" s="279" t="str">
        <f t="shared" si="104"/>
        <v>https://viking-pictures.s3.us-west-1.amazonaws.com/AA1155/A121.+Climate+Control+Panel%2C+Radio+Control+Panel%2C+and+Trim+-+FRONT+(3).JPG</v>
      </c>
      <c r="H113" s="279" t="str">
        <f t="shared" si="105"/>
        <v>https://viking-pictures.s3.us-west-1.amazonaws.com/AA1155/A121.+Climate+Control+Panel%2C+Radio+Control+Panel%2C+and+Trim+-+FRONT+(4).JPG</v>
      </c>
      <c r="I113" s="279" t="str">
        <f t="shared" si="106"/>
        <v>https://viking-pictures.s3.us-west-1.amazonaws.com/AA1155/A121.+Climate+Control+Panel%2C+Radio+Control+Panel%2C+and+Trim+-+FRONT+(5).JPG</v>
      </c>
      <c r="J113" s="279" t="str">
        <f t="shared" si="107"/>
        <v>https://viking-pictures.s3.us-west-1.amazonaws.com/AA1155/A121.+Climate+Control+Panel%2C+Radio+Control+Panel%2C+and+Trim+-+FRONT+(6).JPG</v>
      </c>
      <c r="K113" s="279" t="str">
        <f t="shared" si="108"/>
        <v>https://viking-pictures.s3.us-west-1.amazonaws.com/AA1155/A121.+Climate+Control+Panel%2C+Radio+Control+Panel%2C+and+Trim+-+FRONT+(7).JPG</v>
      </c>
      <c r="L113" s="279" t="str">
        <f t="shared" si="108"/>
        <v>https://viking-pictures.s3.us-west-1.amazonaws.com/AA1155/A121.+Climate+Control+Panel%2C+Radio+Control+Panel%2C+and+Trim+-+FRONT+(8).JPG</v>
      </c>
      <c r="M113" s="279" t="str">
        <f t="shared" si="109"/>
        <v/>
      </c>
      <c r="N113" s="279" t="str">
        <f t="shared" si="110"/>
        <v/>
      </c>
      <c r="O113" s="279" t="str">
        <f t="shared" si="111"/>
        <v/>
      </c>
      <c r="P113" s="279" t="str">
        <f t="shared" si="112"/>
        <v/>
      </c>
      <c r="Q113" s="279" t="str">
        <f t="shared" si="113"/>
        <v/>
      </c>
      <c r="R113" s="279" t="str">
        <f t="shared" si="114"/>
        <v/>
      </c>
      <c r="S113" s="279" t="str">
        <f t="shared" si="115"/>
        <v/>
      </c>
      <c r="T113" s="279" t="str">
        <f t="shared" si="116"/>
        <v/>
      </c>
      <c r="U113" s="279" t="str">
        <f t="shared" si="117"/>
        <v/>
      </c>
      <c r="V113" s="279" t="str">
        <f t="shared" si="118"/>
        <v/>
      </c>
      <c r="W113" s="279" t="str">
        <f t="shared" si="119"/>
        <v/>
      </c>
      <c r="X113" s="279" t="str">
        <f t="shared" si="120"/>
        <v/>
      </c>
      <c r="Y113" s="279" t="str">
        <f t="shared" si="121"/>
        <v/>
      </c>
      <c r="Z113" s="279" t="str">
        <f t="shared" si="122"/>
        <v/>
      </c>
      <c r="AA113" s="279" t="str">
        <f t="shared" si="123"/>
        <v/>
      </c>
      <c r="AB113" s="279" t="str">
        <f t="shared" si="124"/>
        <v/>
      </c>
      <c r="AC113" s="104" t="s">
        <v>1382</v>
      </c>
      <c r="AD113" s="279" t="str">
        <f t="shared" si="88"/>
        <v>A121.+Climate+Control+Panel%2C+Radio+Control+Panel%2C+and+Trim+-+FRONT</v>
      </c>
      <c r="AE113" s="279" t="str">
        <f>_xlfn.XLOOKUP(B113,'3. Keep &amp; Toss Items'!O:O,'3. Keep &amp; Toss Items'!Q:Q,"NOT FOUND",0,1)</f>
        <v>A121. Climate Control Panel, Radio Control Panel, and Trim - FRONT</v>
      </c>
      <c r="AF113" s="279" t="str">
        <f t="shared" si="89"/>
        <v>A121. Climate Control Panel, Radio Control Panel, and Trim - FRONT</v>
      </c>
      <c r="AG113" s="279" t="str">
        <f t="shared" si="90"/>
        <v>A121.+Climate+Control+Panel,+Radio+Control+Panel,+and+Trim+-+FRONT</v>
      </c>
      <c r="AH113" s="279" t="str">
        <f t="shared" si="91"/>
        <v>A121.+Climate+Control+Panel%2C+Radio+Control+Panel%2C+and+Trim+-+FRONT</v>
      </c>
      <c r="AI113" s="279" t="str">
        <f t="shared" si="92"/>
        <v>A121.+Climate+Control+Panel%2C+Radio+Control+Panel%2C+and+Trim+-+FRONT</v>
      </c>
      <c r="AJ113" s="279" t="str">
        <f t="shared" si="93"/>
        <v>A121.+Climate+Control+Panel%2C+Radio+Control+Panel%2C+and+Trim+-+FRONT</v>
      </c>
      <c r="AK113" s="279" t="str">
        <f t="shared" si="94"/>
        <v>A121.+Climate+Control+Panel%2C+Radio+Control+Panel%2C+and+Trim+-+FRONT</v>
      </c>
      <c r="AL113" s="279" t="str">
        <f t="shared" si="95"/>
        <v>A121.+Climate+Control+Panel%2C+Radio+Control+Panel%2C+and+Trim+-+FRONT</v>
      </c>
      <c r="AM113" s="279" t="str">
        <f t="shared" si="96"/>
        <v>A121.+Climate+Control+Panel%2C+Radio+Control+Panel%2C+and+Trim+-+FRONT</v>
      </c>
      <c r="AN113" s="279" t="str">
        <f t="shared" si="101"/>
        <v>A121.+Climate+Control+Panel%2C+Radio+Control+Panel%2C+and+Trim+-+FRONT</v>
      </c>
      <c r="AO113" s="279" t="str">
        <f t="shared" si="97"/>
        <v>A121.+Climate+Control+Panel%2C+Radio+Control+Panel%2C+and+Trim+-+FRONT</v>
      </c>
      <c r="AP113" s="279" t="str">
        <f t="shared" si="98"/>
        <v>A121.+Climate+Control+Panel%2C+Radio+Control+Panel%2C+and+Trim+-+FRONT</v>
      </c>
      <c r="AQ113" s="280" t="s">
        <v>1395</v>
      </c>
      <c r="AR113" s="280" t="s">
        <v>1396</v>
      </c>
      <c r="AS113" s="280" t="s">
        <v>1397</v>
      </c>
      <c r="AT113" s="280" t="s">
        <v>1398</v>
      </c>
      <c r="AU113" s="280" t="s">
        <v>1399</v>
      </c>
      <c r="AV113" s="280" t="s">
        <v>1400</v>
      </c>
      <c r="AW113" s="280" t="s">
        <v>1401</v>
      </c>
      <c r="AX113" s="280" t="s">
        <v>1402</v>
      </c>
      <c r="AY113" s="280" t="s">
        <v>1403</v>
      </c>
      <c r="AZ113" s="280" t="s">
        <v>1404</v>
      </c>
      <c r="BA113" s="280" t="s">
        <v>1405</v>
      </c>
      <c r="BB113" s="280" t="s">
        <v>1406</v>
      </c>
      <c r="BC113" s="280" t="s">
        <v>1419</v>
      </c>
      <c r="BD113" s="280" t="s">
        <v>1407</v>
      </c>
      <c r="BE113" s="280" t="s">
        <v>1408</v>
      </c>
      <c r="BF113" s="280" t="s">
        <v>1409</v>
      </c>
      <c r="BG113" s="280" t="s">
        <v>1410</v>
      </c>
      <c r="BH113" s="280" t="s">
        <v>1411</v>
      </c>
      <c r="BI113" s="280" t="s">
        <v>1412</v>
      </c>
      <c r="BJ113" s="280" t="s">
        <v>1413</v>
      </c>
      <c r="BK113" s="280" t="s">
        <v>1414</v>
      </c>
      <c r="BL113" s="280" t="s">
        <v>1415</v>
      </c>
      <c r="BM113" s="280" t="s">
        <v>1416</v>
      </c>
      <c r="BN113" s="280" t="s">
        <v>1417</v>
      </c>
      <c r="BO113" s="280" t="s">
        <v>1418</v>
      </c>
      <c r="BP113" s="280" t="s">
        <v>1420</v>
      </c>
      <c r="BQ113" s="134" t="str">
        <f t="shared" si="102"/>
        <v>Pic Example</v>
      </c>
    </row>
    <row r="114" spans="2:69" x14ac:dyDescent="0.25">
      <c r="B114" t="s">
        <v>1024</v>
      </c>
      <c r="C114" s="279" t="str">
        <f t="shared" si="99"/>
        <v>https://viking-pictures.s3.us-west-1.amazonaws.com/AA1155/A122.+Cargo+Cover%2C+Large+Retractable+(1).JPG|https://viking-pictures.s3.us-west-1.amazonaws.com/AA1155/A122.+Cargo+Cover%2C+Large+Retractable+(2).JPG|https://viking-pictures.s3.us-west-1.amazonaws.com/AA1155/A122.+Cargo+Cover%2C+Large+Retractable+(3).JPG|https://viking-pictures.s3.us-west-1.amazonaws.com/AA1155/A122.+Cargo+Cover%2C+Large+Retractable+(4).JPG|https://viking-pictures.s3.us-west-1.amazonaws.com/AA1155/A122.+Cargo+Cover%2C+Large+Retractable+(5).JPG|https://viking-pictures.s3.us-west-1.amazonaws.com/AA1155/A122.+Cargo+Cover%2C+Large+Retractable+(6).JPG|https://viking-pictures.s3.us-west-1.amazonaws.com/AA1155/A122.+Cargo+Cover%2C+Large+Retractable+(7).JPG|https://viking-pictures.s3.us-west-1.amazonaws.com/AA1155/A122.+Cargo+Cover%2C+Large+Retractable+(8).JPG</v>
      </c>
      <c r="D114" s="281">
        <f>_xlfn.XLOOKUP(B114,'3. Keep &amp; Toss Items'!O:O,'3. Keep &amp; Toss Items'!U:U,"NOT FOUND",0,1)</f>
        <v>8</v>
      </c>
      <c r="E114" s="279" t="str">
        <f t="shared" si="100"/>
        <v>https://viking-pictures.s3.us-west-1.amazonaws.com/AA1155/A122.+Cargo+Cover%2C+Large+Retractable+(1).JPG</v>
      </c>
      <c r="F114" s="279" t="str">
        <f t="shared" si="103"/>
        <v>https://viking-pictures.s3.us-west-1.amazonaws.com/AA1155/A122.+Cargo+Cover%2C+Large+Retractable+(2).JPG</v>
      </c>
      <c r="G114" s="279" t="str">
        <f t="shared" si="104"/>
        <v>https://viking-pictures.s3.us-west-1.amazonaws.com/AA1155/A122.+Cargo+Cover%2C+Large+Retractable+(3).JPG</v>
      </c>
      <c r="H114" s="279" t="str">
        <f t="shared" si="105"/>
        <v>https://viking-pictures.s3.us-west-1.amazonaws.com/AA1155/A122.+Cargo+Cover%2C+Large+Retractable+(4).JPG</v>
      </c>
      <c r="I114" s="279" t="str">
        <f t="shared" si="106"/>
        <v>https://viking-pictures.s3.us-west-1.amazonaws.com/AA1155/A122.+Cargo+Cover%2C+Large+Retractable+(5).JPG</v>
      </c>
      <c r="J114" s="279" t="str">
        <f t="shared" si="107"/>
        <v>https://viking-pictures.s3.us-west-1.amazonaws.com/AA1155/A122.+Cargo+Cover%2C+Large+Retractable+(6).JPG</v>
      </c>
      <c r="K114" s="279" t="str">
        <f t="shared" si="108"/>
        <v>https://viking-pictures.s3.us-west-1.amazonaws.com/AA1155/A122.+Cargo+Cover%2C+Large+Retractable+(7).JPG</v>
      </c>
      <c r="L114" s="279" t="str">
        <f t="shared" si="108"/>
        <v>https://viking-pictures.s3.us-west-1.amazonaws.com/AA1155/A122.+Cargo+Cover%2C+Large+Retractable+(8).JPG</v>
      </c>
      <c r="M114" s="279" t="str">
        <f t="shared" si="109"/>
        <v/>
      </c>
      <c r="N114" s="279" t="str">
        <f t="shared" si="110"/>
        <v/>
      </c>
      <c r="O114" s="279" t="str">
        <f t="shared" si="111"/>
        <v/>
      </c>
      <c r="P114" s="279" t="str">
        <f t="shared" si="112"/>
        <v/>
      </c>
      <c r="Q114" s="279" t="str">
        <f t="shared" si="113"/>
        <v/>
      </c>
      <c r="R114" s="279" t="str">
        <f t="shared" si="114"/>
        <v/>
      </c>
      <c r="S114" s="279" t="str">
        <f t="shared" si="115"/>
        <v/>
      </c>
      <c r="T114" s="279" t="str">
        <f t="shared" si="116"/>
        <v/>
      </c>
      <c r="U114" s="279" t="str">
        <f t="shared" si="117"/>
        <v/>
      </c>
      <c r="V114" s="279" t="str">
        <f t="shared" si="118"/>
        <v/>
      </c>
      <c r="W114" s="279" t="str">
        <f t="shared" si="119"/>
        <v/>
      </c>
      <c r="X114" s="279" t="str">
        <f t="shared" si="120"/>
        <v/>
      </c>
      <c r="Y114" s="279" t="str">
        <f t="shared" si="121"/>
        <v/>
      </c>
      <c r="Z114" s="279" t="str">
        <f t="shared" si="122"/>
        <v/>
      </c>
      <c r="AA114" s="279" t="str">
        <f t="shared" si="123"/>
        <v/>
      </c>
      <c r="AB114" s="279" t="str">
        <f t="shared" si="124"/>
        <v/>
      </c>
      <c r="AC114" s="104" t="s">
        <v>1382</v>
      </c>
      <c r="AD114" s="279" t="str">
        <f t="shared" si="88"/>
        <v>A122.+Cargo+Cover%2C+Large+Retractable</v>
      </c>
      <c r="AE114" s="279" t="str">
        <f>_xlfn.XLOOKUP(B114,'3. Keep &amp; Toss Items'!O:O,'3. Keep &amp; Toss Items'!Q:Q,"NOT FOUND",0,1)</f>
        <v>A122. Cargo Cover, Large Retractable</v>
      </c>
      <c r="AF114" s="279" t="str">
        <f t="shared" si="89"/>
        <v>A122. Cargo Cover, Large Retractable</v>
      </c>
      <c r="AG114" s="279" t="str">
        <f t="shared" si="90"/>
        <v>A122.+Cargo+Cover,+Large+Retractable</v>
      </c>
      <c r="AH114" s="279" t="str">
        <f t="shared" si="91"/>
        <v>A122.+Cargo+Cover%2C+Large+Retractable</v>
      </c>
      <c r="AI114" s="279" t="str">
        <f t="shared" si="92"/>
        <v>A122.+Cargo+Cover%2C+Large+Retractable</v>
      </c>
      <c r="AJ114" s="279" t="str">
        <f t="shared" si="93"/>
        <v>A122.+Cargo+Cover%2C+Large+Retractable</v>
      </c>
      <c r="AK114" s="279" t="str">
        <f t="shared" si="94"/>
        <v>A122.+Cargo+Cover%2C+Large+Retractable</v>
      </c>
      <c r="AL114" s="279" t="str">
        <f t="shared" si="95"/>
        <v>A122.+Cargo+Cover%2C+Large+Retractable</v>
      </c>
      <c r="AM114" s="279" t="str">
        <f t="shared" si="96"/>
        <v>A122.+Cargo+Cover%2C+Large+Retractable</v>
      </c>
      <c r="AN114" s="279" t="str">
        <f t="shared" si="101"/>
        <v>A122.+Cargo+Cover%2C+Large+Retractable</v>
      </c>
      <c r="AO114" s="279" t="str">
        <f t="shared" si="97"/>
        <v>A122.+Cargo+Cover%2C+Large+Retractable</v>
      </c>
      <c r="AP114" s="279" t="str">
        <f t="shared" si="98"/>
        <v>A122.+Cargo+Cover%2C+Large+Retractable</v>
      </c>
      <c r="AQ114" s="280" t="s">
        <v>1395</v>
      </c>
      <c r="AR114" s="280" t="s">
        <v>1396</v>
      </c>
      <c r="AS114" s="280" t="s">
        <v>1397</v>
      </c>
      <c r="AT114" s="280" t="s">
        <v>1398</v>
      </c>
      <c r="AU114" s="280" t="s">
        <v>1399</v>
      </c>
      <c r="AV114" s="280" t="s">
        <v>1400</v>
      </c>
      <c r="AW114" s="280" t="s">
        <v>1401</v>
      </c>
      <c r="AX114" s="280" t="s">
        <v>1402</v>
      </c>
      <c r="AY114" s="280" t="s">
        <v>1403</v>
      </c>
      <c r="AZ114" s="280" t="s">
        <v>1404</v>
      </c>
      <c r="BA114" s="280" t="s">
        <v>1405</v>
      </c>
      <c r="BB114" s="280" t="s">
        <v>1406</v>
      </c>
      <c r="BC114" s="280" t="s">
        <v>1419</v>
      </c>
      <c r="BD114" s="280" t="s">
        <v>1407</v>
      </c>
      <c r="BE114" s="280" t="s">
        <v>1408</v>
      </c>
      <c r="BF114" s="280" t="s">
        <v>1409</v>
      </c>
      <c r="BG114" s="280" t="s">
        <v>1410</v>
      </c>
      <c r="BH114" s="280" t="s">
        <v>1411</v>
      </c>
      <c r="BI114" s="280" t="s">
        <v>1412</v>
      </c>
      <c r="BJ114" s="280" t="s">
        <v>1413</v>
      </c>
      <c r="BK114" s="280" t="s">
        <v>1414</v>
      </c>
      <c r="BL114" s="280" t="s">
        <v>1415</v>
      </c>
      <c r="BM114" s="280" t="s">
        <v>1416</v>
      </c>
      <c r="BN114" s="280" t="s">
        <v>1417</v>
      </c>
      <c r="BO114" s="280" t="s">
        <v>1418</v>
      </c>
      <c r="BP114" s="280" t="s">
        <v>1420</v>
      </c>
      <c r="BQ114" s="134" t="str">
        <f t="shared" si="102"/>
        <v>Pic Example</v>
      </c>
    </row>
    <row r="115" spans="2:69" x14ac:dyDescent="0.25">
      <c r="B115" t="s">
        <v>2167</v>
      </c>
      <c r="C115" s="279" t="str">
        <f t="shared" si="99"/>
        <v>https://viking-pictures.s3.us-west-1.amazonaws.com/AA1155/A123.+Integrated+Power+Module+(1).JPG|https://viking-pictures.s3.us-west-1.amazonaws.com/AA1155/A123.+Integrated+Power+Module+(2).JPG|https://viking-pictures.s3.us-west-1.amazonaws.com/AA1155/A123.+Integrated+Power+Module+(3).JPG</v>
      </c>
      <c r="D115" s="281">
        <f>_xlfn.XLOOKUP(B115,'3. Keep &amp; Toss Items'!O:O,'3. Keep &amp; Toss Items'!U:U,"NOT FOUND",0,1)</f>
        <v>3</v>
      </c>
      <c r="E115" s="279" t="str">
        <f t="shared" ref="E115" si="125">IF($D115&gt;=E$1,CONCATENATE($AC115,$AD115,$AQ115,AR115,$BP115),"")</f>
        <v>https://viking-pictures.s3.us-west-1.amazonaws.com/AA1155/A123.+Integrated+Power+Module+(1).JPG</v>
      </c>
      <c r="F115" s="279" t="str">
        <f t="shared" ref="F115" si="126">IF($D115&gt;=F$1,CONCATENATE($AC115,$AD115,$AQ115,AS115,$BP115),"")</f>
        <v>https://viking-pictures.s3.us-west-1.amazonaws.com/AA1155/A123.+Integrated+Power+Module+(2).JPG</v>
      </c>
      <c r="G115" s="279" t="str">
        <f t="shared" ref="G115" si="127">IF($D115&gt;=G$1,CONCATENATE($AC115,$AD115,$AQ115,AT115,$BP115),"")</f>
        <v>https://viking-pictures.s3.us-west-1.amazonaws.com/AA1155/A123.+Integrated+Power+Module+(3).JPG</v>
      </c>
      <c r="H115" s="279" t="str">
        <f t="shared" si="105"/>
        <v/>
      </c>
      <c r="I115" s="279" t="str">
        <f t="shared" si="106"/>
        <v/>
      </c>
      <c r="J115" s="279" t="str">
        <f t="shared" ref="J115" si="128">IF($D115&gt;=J$1,CONCATENATE($AC115,$AD115,$AQ115,AW115,$BP115),"")</f>
        <v/>
      </c>
      <c r="K115" s="279" t="str">
        <f t="shared" ref="K115:L115" si="129">IF($D115&gt;=K$1,CONCATENATE($AC115,$AD115,$AQ115,AX115,$BP115),"")</f>
        <v/>
      </c>
      <c r="L115" s="279" t="str">
        <f t="shared" si="129"/>
        <v/>
      </c>
      <c r="M115" s="279" t="str">
        <f t="shared" ref="M115" si="130">IF($D115&gt;=M$1,CONCATENATE($AC115,$AD115,$AQ115,AZ115,$BP115),"")</f>
        <v/>
      </c>
      <c r="N115" s="279" t="str">
        <f t="shared" ref="N115" si="131">IF($D115&gt;=N$1,CONCATENATE($AC115,$AD115,$AQ115,BA115,$BP115),"")</f>
        <v/>
      </c>
      <c r="O115" s="279" t="str">
        <f t="shared" ref="O115" si="132">IF($D115&gt;=O$1,CONCATENATE($AC115,$AD115,$AQ115,BB115,$BP115),"")</f>
        <v/>
      </c>
      <c r="P115" s="279" t="str">
        <f t="shared" ref="P115" si="133">IF($D115&gt;=P$1,CONCATENATE($AC115,$AD115,$AQ115,BC115,$BP115),"")</f>
        <v/>
      </c>
      <c r="Q115" s="279" t="str">
        <f t="shared" ref="Q115" si="134">IF($D115&gt;=Q$1,CONCATENATE($AC115,$AD115,$AQ115,BD115,$BP115),"")</f>
        <v/>
      </c>
      <c r="R115" s="279" t="str">
        <f t="shared" ref="R115" si="135">IF($D115&gt;=R$1,CONCATENATE($AC115,$AD115,$AQ115,BE115,$BP115),"")</f>
        <v/>
      </c>
      <c r="S115" s="279" t="str">
        <f t="shared" ref="S115" si="136">IF($D115&gt;=S$1,CONCATENATE($AC115,$AD115,$AQ115,BF115,$BP115),"")</f>
        <v/>
      </c>
      <c r="T115" s="279" t="str">
        <f t="shared" ref="T115" si="137">IF($D115&gt;=T$1,CONCATENATE($AC115,$AD115,$AQ115,BG115,$BP115),"")</f>
        <v/>
      </c>
      <c r="U115" s="279" t="str">
        <f t="shared" ref="U115" si="138">IF($D115&gt;=U$1,CONCATENATE($AC115,$AD115,$AQ115,BH115,$BP115),"")</f>
        <v/>
      </c>
      <c r="V115" s="279" t="str">
        <f t="shared" ref="V115" si="139">IF($D115&gt;=V$1,CONCATENATE($AC115,$AD115,$AQ115,BI115,$BP115),"")</f>
        <v/>
      </c>
      <c r="W115" s="279" t="str">
        <f t="shared" ref="W115" si="140">IF($D115&gt;=W$1,CONCATENATE($AC115,$AD115,$AQ115,BJ115,$BP115),"")</f>
        <v/>
      </c>
      <c r="X115" s="279" t="str">
        <f t="shared" ref="X115" si="141">IF($D115&gt;=X$1,CONCATENATE($AC115,$AD115,$AQ115,BK115,$BP115),"")</f>
        <v/>
      </c>
      <c r="Y115" s="279" t="str">
        <f t="shared" ref="Y115" si="142">IF($D115&gt;=Y$1,CONCATENATE($AC115,$AD115,$AQ115,BL115,$BP115),"")</f>
        <v/>
      </c>
      <c r="Z115" s="279" t="str">
        <f t="shared" ref="Z115" si="143">IF($D115&gt;=Z$1,CONCATENATE($AC115,$AD115,$AQ115,BM115,$BP115),"")</f>
        <v/>
      </c>
      <c r="AA115" s="279" t="str">
        <f t="shared" ref="AA115" si="144">IF($D115&gt;=AA$1,CONCATENATE($AC115,$AD115,$AQ115,BN115,$BP115),"")</f>
        <v/>
      </c>
      <c r="AB115" s="279" t="str">
        <f t="shared" ref="AB115" si="145">IF($D115&gt;=AB$1,CONCATENATE($AC115,$AD115,$AQ115,BO115,$BP115),"")</f>
        <v/>
      </c>
      <c r="AC115" s="104" t="s">
        <v>1382</v>
      </c>
      <c r="AD115" s="279" t="str">
        <f t="shared" si="88"/>
        <v>A123.+Integrated+Power+Module</v>
      </c>
      <c r="AE115" s="279" t="str">
        <f>_xlfn.XLOOKUP(B115,'3. Keep &amp; Toss Items'!O:O,'3. Keep &amp; Toss Items'!Q:Q,"NOT FOUND",0,1)</f>
        <v>A123. Integrated Power Module</v>
      </c>
      <c r="AF115" s="279" t="str">
        <f t="shared" ref="AF115" si="146">SUBSTITUTE(AE115,"+","%2B")</f>
        <v>A123. Integrated Power Module</v>
      </c>
      <c r="AG115" s="279" t="str">
        <f t="shared" ref="AG115" si="147">SUBSTITUTE(AF115," ","+")</f>
        <v>A123.+Integrated+Power+Module</v>
      </c>
      <c r="AH115" s="279" t="str">
        <f t="shared" ref="AH115" si="148">SUBSTITUTE(AG115,",","%2C")</f>
        <v>A123.+Integrated+Power+Module</v>
      </c>
      <c r="AI115" s="279" t="str">
        <f t="shared" ref="AI115" si="149">SUBSTITUTE(AH115,";","%3B")</f>
        <v>A123.+Integrated+Power+Module</v>
      </c>
      <c r="AJ115" s="279" t="str">
        <f t="shared" ref="AJ115" si="150">SUBSTITUTE(AI115,":","%3A")</f>
        <v>A123.+Integrated+Power+Module</v>
      </c>
      <c r="AK115" s="279" t="str">
        <f t="shared" ref="AK115" si="151">SUBSTITUTE(AJ115,"@","40%")</f>
        <v>A123.+Integrated+Power+Module</v>
      </c>
      <c r="AL115" s="279" t="str">
        <f t="shared" ref="AL115" si="152">SUBSTITUTE(AK115,"&amp;","%26")</f>
        <v>A123.+Integrated+Power+Module</v>
      </c>
      <c r="AM115" s="279" t="str">
        <f t="shared" ref="AM115" si="153">SUBSTITUTE(AL115,"=","%3D")</f>
        <v>A123.+Integrated+Power+Module</v>
      </c>
      <c r="AN115" s="279" t="str">
        <f t="shared" ref="AN115" si="154">SUBSTITUTE(AM115,"?","%3F")</f>
        <v>A123.+Integrated+Power+Module</v>
      </c>
      <c r="AO115" s="279" t="str">
        <f t="shared" ref="AO115" si="155">SUBSTITUTE(AN115,"/","%2F")</f>
        <v>A123.+Integrated+Power+Module</v>
      </c>
      <c r="AP115" s="279" t="str">
        <f t="shared" ref="AP115" si="156">SUBSTITUTE(AO115,"""","")</f>
        <v>A123.+Integrated+Power+Module</v>
      </c>
      <c r="AQ115" s="280" t="s">
        <v>1395</v>
      </c>
      <c r="AR115" s="280" t="s">
        <v>1396</v>
      </c>
      <c r="AS115" s="280" t="s">
        <v>1397</v>
      </c>
      <c r="AT115" s="280" t="s">
        <v>1398</v>
      </c>
      <c r="AU115" s="280" t="s">
        <v>1399</v>
      </c>
      <c r="AV115" s="280" t="s">
        <v>1400</v>
      </c>
      <c r="AW115" s="280" t="s">
        <v>1401</v>
      </c>
      <c r="AX115" s="280" t="s">
        <v>1402</v>
      </c>
      <c r="AY115" s="280" t="s">
        <v>1403</v>
      </c>
      <c r="AZ115" s="280" t="s">
        <v>1404</v>
      </c>
      <c r="BA115" s="280" t="s">
        <v>1405</v>
      </c>
      <c r="BB115" s="280" t="s">
        <v>1406</v>
      </c>
      <c r="BC115" s="280" t="s">
        <v>1419</v>
      </c>
      <c r="BD115" s="280" t="s">
        <v>1407</v>
      </c>
      <c r="BE115" s="280" t="s">
        <v>1408</v>
      </c>
      <c r="BF115" s="280" t="s">
        <v>1409</v>
      </c>
      <c r="BG115" s="280" t="s">
        <v>1410</v>
      </c>
      <c r="BH115" s="280" t="s">
        <v>1411</v>
      </c>
      <c r="BI115" s="280" t="s">
        <v>1412</v>
      </c>
      <c r="BJ115" s="280" t="s">
        <v>1413</v>
      </c>
      <c r="BK115" s="280" t="s">
        <v>1414</v>
      </c>
      <c r="BL115" s="280" t="s">
        <v>1415</v>
      </c>
      <c r="BM115" s="280" t="s">
        <v>1416</v>
      </c>
      <c r="BN115" s="280" t="s">
        <v>1417</v>
      </c>
      <c r="BO115" s="280" t="s">
        <v>1418</v>
      </c>
      <c r="BP115" s="280" t="s">
        <v>1420</v>
      </c>
      <c r="BQ115" s="134" t="str">
        <f t="shared" ref="BQ115" si="157">HYPERLINK(E115,"Pic Example")</f>
        <v>Pic Example</v>
      </c>
    </row>
  </sheetData>
  <hyperlinks>
    <hyperlink ref="BQ3" r:id="rId1" display="https://viking-pictures.s3.us-west-1.amazonaws.com/AA1155/A11.+Trunk+Electric+Shock+SET2+(1).JPG" xr:uid="{22B8A949-61F7-42FA-8860-1F46728A59B0}"/>
    <hyperlink ref="BQ4:BQ114" r:id="rId2" display="https://viking-pictures.s3.us-west-1.amazonaws.com/AA1155/A11.+Trunk+Electric+Shock+SET2+(1).JPG" xr:uid="{6FC0F69C-F455-4209-B41F-F96D6908F8D1}"/>
    <hyperlink ref="BQ115" r:id="rId3" display="https://viking-pictures.s3.us-west-1.amazonaws.com/AA1155/A11.+Trunk+Electric+Shock+SET2+(1).JPG" xr:uid="{3FC7A99C-0C8C-4AA6-929F-D809F5FECDA4}"/>
  </hyperlinks>
  <pageMargins left="0.7" right="0.7" top="0.75" bottom="0.75" header="0.3" footer="0.3"/>
  <pageSetup paperSize="256" orientation="portrait" horizontalDpi="203" verticalDpi="203"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A40F6-4758-42C7-A312-F469A6D6E194}">
  <sheetPr codeName="Sheet17"/>
  <dimension ref="A1:C624"/>
  <sheetViews>
    <sheetView workbookViewId="0">
      <selection activeCell="F14" sqref="F14"/>
    </sheetView>
  </sheetViews>
  <sheetFormatPr defaultRowHeight="15" x14ac:dyDescent="0.25"/>
  <cols>
    <col min="1" max="1" width="26.5703125" bestFit="1" customWidth="1"/>
  </cols>
  <sheetData>
    <row r="1" spans="1:3" x14ac:dyDescent="0.25">
      <c r="A1" t="s">
        <v>2060</v>
      </c>
    </row>
    <row r="3" spans="1:3" x14ac:dyDescent="0.25">
      <c r="A3" t="s">
        <v>2059</v>
      </c>
    </row>
    <row r="5" spans="1:3" x14ac:dyDescent="0.25">
      <c r="A5" t="s">
        <v>2061</v>
      </c>
      <c r="B5" s="281">
        <f>SUM('3D. Pictures'!D3:D1466)</f>
        <v>598</v>
      </c>
    </row>
    <row r="6" spans="1:3" x14ac:dyDescent="0.25">
      <c r="A6" t="s">
        <v>2062</v>
      </c>
      <c r="B6">
        <f>COUNTA(A10:A624)</f>
        <v>615</v>
      </c>
    </row>
    <row r="7" spans="1:3" ht="15.75" thickBot="1" x14ac:dyDescent="0.3">
      <c r="A7" t="s">
        <v>2063</v>
      </c>
      <c r="B7" s="282">
        <f>B5-B6</f>
        <v>-17</v>
      </c>
      <c r="C7" t="s">
        <v>2064</v>
      </c>
    </row>
    <row r="8" spans="1:3" ht="15.75" thickTop="1" x14ac:dyDescent="0.25"/>
    <row r="10" spans="1:3" x14ac:dyDescent="0.25">
      <c r="A10" t="s">
        <v>1444</v>
      </c>
    </row>
    <row r="11" spans="1:3" x14ac:dyDescent="0.25">
      <c r="A11" t="s">
        <v>1445</v>
      </c>
    </row>
    <row r="12" spans="1:3" x14ac:dyDescent="0.25">
      <c r="A12" t="s">
        <v>1446</v>
      </c>
    </row>
    <row r="13" spans="1:3" x14ac:dyDescent="0.25">
      <c r="A13" t="s">
        <v>1447</v>
      </c>
    </row>
    <row r="14" spans="1:3" x14ac:dyDescent="0.25">
      <c r="A14" t="s">
        <v>1448</v>
      </c>
    </row>
    <row r="15" spans="1:3" x14ac:dyDescent="0.25">
      <c r="A15" t="s">
        <v>1449</v>
      </c>
    </row>
    <row r="16" spans="1:3" x14ac:dyDescent="0.25">
      <c r="A16" t="s">
        <v>1450</v>
      </c>
    </row>
    <row r="17" spans="1:1" x14ac:dyDescent="0.25">
      <c r="A17" t="s">
        <v>1451</v>
      </c>
    </row>
    <row r="18" spans="1:1" x14ac:dyDescent="0.25">
      <c r="A18" t="s">
        <v>1452</v>
      </c>
    </row>
    <row r="19" spans="1:1" x14ac:dyDescent="0.25">
      <c r="A19" t="s">
        <v>1453</v>
      </c>
    </row>
    <row r="20" spans="1:1" x14ac:dyDescent="0.25">
      <c r="A20" t="s">
        <v>1454</v>
      </c>
    </row>
    <row r="21" spans="1:1" x14ac:dyDescent="0.25">
      <c r="A21" t="s">
        <v>1455</v>
      </c>
    </row>
    <row r="22" spans="1:1" x14ac:dyDescent="0.25">
      <c r="A22" t="s">
        <v>1456</v>
      </c>
    </row>
    <row r="23" spans="1:1" x14ac:dyDescent="0.25">
      <c r="A23" t="s">
        <v>1457</v>
      </c>
    </row>
    <row r="24" spans="1:1" x14ac:dyDescent="0.25">
      <c r="A24" t="s">
        <v>1458</v>
      </c>
    </row>
    <row r="25" spans="1:1" x14ac:dyDescent="0.25">
      <c r="A25" t="s">
        <v>1459</v>
      </c>
    </row>
    <row r="26" spans="1:1" x14ac:dyDescent="0.25">
      <c r="A26" t="s">
        <v>1460</v>
      </c>
    </row>
    <row r="27" spans="1:1" x14ac:dyDescent="0.25">
      <c r="A27" t="s">
        <v>1461</v>
      </c>
    </row>
    <row r="28" spans="1:1" x14ac:dyDescent="0.25">
      <c r="A28" t="s">
        <v>1462</v>
      </c>
    </row>
    <row r="29" spans="1:1" x14ac:dyDescent="0.25">
      <c r="A29" t="s">
        <v>1463</v>
      </c>
    </row>
    <row r="30" spans="1:1" x14ac:dyDescent="0.25">
      <c r="A30" t="s">
        <v>1464</v>
      </c>
    </row>
    <row r="31" spans="1:1" x14ac:dyDescent="0.25">
      <c r="A31" t="s">
        <v>1465</v>
      </c>
    </row>
    <row r="32" spans="1:1" x14ac:dyDescent="0.25">
      <c r="A32" t="s">
        <v>1466</v>
      </c>
    </row>
    <row r="33" spans="1:1" x14ac:dyDescent="0.25">
      <c r="A33" t="s">
        <v>1467</v>
      </c>
    </row>
    <row r="34" spans="1:1" x14ac:dyDescent="0.25">
      <c r="A34" t="s">
        <v>1468</v>
      </c>
    </row>
    <row r="35" spans="1:1" x14ac:dyDescent="0.25">
      <c r="A35" t="s">
        <v>1469</v>
      </c>
    </row>
    <row r="36" spans="1:1" x14ac:dyDescent="0.25">
      <c r="A36" t="s">
        <v>1470</v>
      </c>
    </row>
    <row r="37" spans="1:1" x14ac:dyDescent="0.25">
      <c r="A37" t="s">
        <v>1471</v>
      </c>
    </row>
    <row r="38" spans="1:1" x14ac:dyDescent="0.25">
      <c r="A38" t="s">
        <v>1472</v>
      </c>
    </row>
    <row r="39" spans="1:1" x14ac:dyDescent="0.25">
      <c r="A39" t="s">
        <v>1473</v>
      </c>
    </row>
    <row r="40" spans="1:1" x14ac:dyDescent="0.25">
      <c r="A40" t="s">
        <v>1474</v>
      </c>
    </row>
    <row r="41" spans="1:1" x14ac:dyDescent="0.25">
      <c r="A41" t="s">
        <v>1475</v>
      </c>
    </row>
    <row r="42" spans="1:1" x14ac:dyDescent="0.25">
      <c r="A42" t="s">
        <v>1476</v>
      </c>
    </row>
    <row r="43" spans="1:1" x14ac:dyDescent="0.25">
      <c r="A43" t="s">
        <v>1477</v>
      </c>
    </row>
    <row r="44" spans="1:1" x14ac:dyDescent="0.25">
      <c r="A44" t="s">
        <v>1478</v>
      </c>
    </row>
    <row r="45" spans="1:1" x14ac:dyDescent="0.25">
      <c r="A45" t="s">
        <v>1479</v>
      </c>
    </row>
    <row r="46" spans="1:1" x14ac:dyDescent="0.25">
      <c r="A46" t="s">
        <v>1480</v>
      </c>
    </row>
    <row r="47" spans="1:1" x14ac:dyDescent="0.25">
      <c r="A47" t="s">
        <v>1481</v>
      </c>
    </row>
    <row r="48" spans="1:1" x14ac:dyDescent="0.25">
      <c r="A48" t="s">
        <v>1482</v>
      </c>
    </row>
    <row r="49" spans="1:1" x14ac:dyDescent="0.25">
      <c r="A49" t="s">
        <v>1483</v>
      </c>
    </row>
    <row r="50" spans="1:1" x14ac:dyDescent="0.25">
      <c r="A50" t="s">
        <v>1484</v>
      </c>
    </row>
    <row r="51" spans="1:1" x14ac:dyDescent="0.25">
      <c r="A51" t="s">
        <v>1485</v>
      </c>
    </row>
    <row r="52" spans="1:1" x14ac:dyDescent="0.25">
      <c r="A52" t="s">
        <v>1486</v>
      </c>
    </row>
    <row r="53" spans="1:1" x14ac:dyDescent="0.25">
      <c r="A53" t="s">
        <v>1487</v>
      </c>
    </row>
    <row r="54" spans="1:1" x14ac:dyDescent="0.25">
      <c r="A54" t="s">
        <v>1488</v>
      </c>
    </row>
    <row r="55" spans="1:1" x14ac:dyDescent="0.25">
      <c r="A55" t="s">
        <v>1489</v>
      </c>
    </row>
    <row r="56" spans="1:1" x14ac:dyDescent="0.25">
      <c r="A56" t="s">
        <v>1490</v>
      </c>
    </row>
    <row r="57" spans="1:1" x14ac:dyDescent="0.25">
      <c r="A57" t="s">
        <v>1491</v>
      </c>
    </row>
    <row r="58" spans="1:1" x14ac:dyDescent="0.25">
      <c r="A58" t="s">
        <v>1492</v>
      </c>
    </row>
    <row r="59" spans="1:1" x14ac:dyDescent="0.25">
      <c r="A59" t="s">
        <v>1493</v>
      </c>
    </row>
    <row r="60" spans="1:1" x14ac:dyDescent="0.25">
      <c r="A60" t="s">
        <v>1494</v>
      </c>
    </row>
    <row r="61" spans="1:1" x14ac:dyDescent="0.25">
      <c r="A61" t="s">
        <v>1495</v>
      </c>
    </row>
    <row r="62" spans="1:1" x14ac:dyDescent="0.25">
      <c r="A62" t="s">
        <v>1496</v>
      </c>
    </row>
    <row r="63" spans="1:1" x14ac:dyDescent="0.25">
      <c r="A63" t="s">
        <v>1497</v>
      </c>
    </row>
    <row r="64" spans="1:1" x14ac:dyDescent="0.25">
      <c r="A64" t="s">
        <v>1498</v>
      </c>
    </row>
    <row r="65" spans="1:1" x14ac:dyDescent="0.25">
      <c r="A65" t="s">
        <v>1499</v>
      </c>
    </row>
    <row r="66" spans="1:1" x14ac:dyDescent="0.25">
      <c r="A66" t="s">
        <v>1500</v>
      </c>
    </row>
    <row r="67" spans="1:1" x14ac:dyDescent="0.25">
      <c r="A67" t="s">
        <v>1501</v>
      </c>
    </row>
    <row r="68" spans="1:1" x14ac:dyDescent="0.25">
      <c r="A68" t="s">
        <v>1502</v>
      </c>
    </row>
    <row r="69" spans="1:1" x14ac:dyDescent="0.25">
      <c r="A69" t="s">
        <v>1503</v>
      </c>
    </row>
    <row r="70" spans="1:1" x14ac:dyDescent="0.25">
      <c r="A70" t="s">
        <v>1504</v>
      </c>
    </row>
    <row r="71" spans="1:1" x14ac:dyDescent="0.25">
      <c r="A71" t="s">
        <v>1505</v>
      </c>
    </row>
    <row r="72" spans="1:1" x14ac:dyDescent="0.25">
      <c r="A72" t="s">
        <v>1506</v>
      </c>
    </row>
    <row r="73" spans="1:1" x14ac:dyDescent="0.25">
      <c r="A73" t="s">
        <v>1507</v>
      </c>
    </row>
    <row r="74" spans="1:1" x14ac:dyDescent="0.25">
      <c r="A74" t="s">
        <v>1508</v>
      </c>
    </row>
    <row r="75" spans="1:1" x14ac:dyDescent="0.25">
      <c r="A75" t="s">
        <v>1509</v>
      </c>
    </row>
    <row r="76" spans="1:1" x14ac:dyDescent="0.25">
      <c r="A76" t="s">
        <v>1510</v>
      </c>
    </row>
    <row r="77" spans="1:1" x14ac:dyDescent="0.25">
      <c r="A77" t="s">
        <v>1511</v>
      </c>
    </row>
    <row r="78" spans="1:1" x14ac:dyDescent="0.25">
      <c r="A78" t="s">
        <v>1512</v>
      </c>
    </row>
    <row r="79" spans="1:1" x14ac:dyDescent="0.25">
      <c r="A79" t="s">
        <v>1513</v>
      </c>
    </row>
    <row r="80" spans="1:1" x14ac:dyDescent="0.25">
      <c r="A80" t="s">
        <v>1514</v>
      </c>
    </row>
    <row r="81" spans="1:1" x14ac:dyDescent="0.25">
      <c r="A81" t="s">
        <v>1515</v>
      </c>
    </row>
    <row r="82" spans="1:1" x14ac:dyDescent="0.25">
      <c r="A82" t="s">
        <v>1516</v>
      </c>
    </row>
    <row r="83" spans="1:1" x14ac:dyDescent="0.25">
      <c r="A83" t="s">
        <v>1517</v>
      </c>
    </row>
    <row r="84" spans="1:1" x14ac:dyDescent="0.25">
      <c r="A84" t="s">
        <v>1518</v>
      </c>
    </row>
    <row r="85" spans="1:1" x14ac:dyDescent="0.25">
      <c r="A85" t="s">
        <v>1519</v>
      </c>
    </row>
    <row r="86" spans="1:1" x14ac:dyDescent="0.25">
      <c r="A86" t="s">
        <v>1520</v>
      </c>
    </row>
    <row r="87" spans="1:1" x14ac:dyDescent="0.25">
      <c r="A87" t="s">
        <v>1521</v>
      </c>
    </row>
    <row r="88" spans="1:1" x14ac:dyDescent="0.25">
      <c r="A88" t="s">
        <v>1522</v>
      </c>
    </row>
    <row r="89" spans="1:1" x14ac:dyDescent="0.25">
      <c r="A89" t="s">
        <v>1523</v>
      </c>
    </row>
    <row r="90" spans="1:1" x14ac:dyDescent="0.25">
      <c r="A90" t="s">
        <v>1524</v>
      </c>
    </row>
    <row r="91" spans="1:1" x14ac:dyDescent="0.25">
      <c r="A91" t="s">
        <v>1525</v>
      </c>
    </row>
    <row r="92" spans="1:1" x14ac:dyDescent="0.25">
      <c r="A92" t="s">
        <v>1526</v>
      </c>
    </row>
    <row r="93" spans="1:1" x14ac:dyDescent="0.25">
      <c r="A93" t="s">
        <v>1527</v>
      </c>
    </row>
    <row r="94" spans="1:1" x14ac:dyDescent="0.25">
      <c r="A94" t="s">
        <v>1528</v>
      </c>
    </row>
    <row r="95" spans="1:1" x14ac:dyDescent="0.25">
      <c r="A95" t="s">
        <v>1529</v>
      </c>
    </row>
    <row r="96" spans="1:1" x14ac:dyDescent="0.25">
      <c r="A96" t="s">
        <v>1530</v>
      </c>
    </row>
    <row r="97" spans="1:1" x14ac:dyDescent="0.25">
      <c r="A97" t="s">
        <v>1531</v>
      </c>
    </row>
    <row r="98" spans="1:1" x14ac:dyDescent="0.25">
      <c r="A98" t="s">
        <v>1532</v>
      </c>
    </row>
    <row r="99" spans="1:1" x14ac:dyDescent="0.25">
      <c r="A99" t="s">
        <v>1533</v>
      </c>
    </row>
    <row r="100" spans="1:1" x14ac:dyDescent="0.25">
      <c r="A100" t="s">
        <v>1534</v>
      </c>
    </row>
    <row r="101" spans="1:1" x14ac:dyDescent="0.25">
      <c r="A101" t="s">
        <v>1535</v>
      </c>
    </row>
    <row r="102" spans="1:1" x14ac:dyDescent="0.25">
      <c r="A102" t="s">
        <v>1536</v>
      </c>
    </row>
    <row r="103" spans="1:1" x14ac:dyDescent="0.25">
      <c r="A103" t="s">
        <v>1537</v>
      </c>
    </row>
    <row r="104" spans="1:1" x14ac:dyDescent="0.25">
      <c r="A104" t="s">
        <v>1538</v>
      </c>
    </row>
    <row r="105" spans="1:1" x14ac:dyDescent="0.25">
      <c r="A105" t="s">
        <v>1539</v>
      </c>
    </row>
    <row r="106" spans="1:1" x14ac:dyDescent="0.25">
      <c r="A106" t="s">
        <v>1540</v>
      </c>
    </row>
    <row r="107" spans="1:1" x14ac:dyDescent="0.25">
      <c r="A107" t="s">
        <v>1541</v>
      </c>
    </row>
    <row r="108" spans="1:1" x14ac:dyDescent="0.25">
      <c r="A108" t="s">
        <v>1542</v>
      </c>
    </row>
    <row r="109" spans="1:1" x14ac:dyDescent="0.25">
      <c r="A109" t="s">
        <v>1543</v>
      </c>
    </row>
    <row r="110" spans="1:1" x14ac:dyDescent="0.25">
      <c r="A110" t="s">
        <v>1544</v>
      </c>
    </row>
    <row r="111" spans="1:1" x14ac:dyDescent="0.25">
      <c r="A111" t="s">
        <v>1545</v>
      </c>
    </row>
    <row r="112" spans="1:1" x14ac:dyDescent="0.25">
      <c r="A112" t="s">
        <v>1546</v>
      </c>
    </row>
    <row r="113" spans="1:1" x14ac:dyDescent="0.25">
      <c r="A113" t="s">
        <v>1547</v>
      </c>
    </row>
    <row r="114" spans="1:1" x14ac:dyDescent="0.25">
      <c r="A114" t="s">
        <v>1548</v>
      </c>
    </row>
    <row r="115" spans="1:1" x14ac:dyDescent="0.25">
      <c r="A115" t="s">
        <v>1549</v>
      </c>
    </row>
    <row r="116" spans="1:1" x14ac:dyDescent="0.25">
      <c r="A116" t="s">
        <v>1550</v>
      </c>
    </row>
    <row r="117" spans="1:1" x14ac:dyDescent="0.25">
      <c r="A117" t="s">
        <v>1551</v>
      </c>
    </row>
    <row r="118" spans="1:1" x14ac:dyDescent="0.25">
      <c r="A118" t="s">
        <v>1552</v>
      </c>
    </row>
    <row r="119" spans="1:1" x14ac:dyDescent="0.25">
      <c r="A119" t="s">
        <v>1553</v>
      </c>
    </row>
    <row r="120" spans="1:1" x14ac:dyDescent="0.25">
      <c r="A120" t="s">
        <v>1554</v>
      </c>
    </row>
    <row r="121" spans="1:1" x14ac:dyDescent="0.25">
      <c r="A121" t="s">
        <v>1555</v>
      </c>
    </row>
    <row r="122" spans="1:1" x14ac:dyDescent="0.25">
      <c r="A122" t="s">
        <v>1556</v>
      </c>
    </row>
    <row r="123" spans="1:1" x14ac:dyDescent="0.25">
      <c r="A123" t="s">
        <v>1557</v>
      </c>
    </row>
    <row r="124" spans="1:1" x14ac:dyDescent="0.25">
      <c r="A124" t="s">
        <v>1558</v>
      </c>
    </row>
    <row r="125" spans="1:1" x14ac:dyDescent="0.25">
      <c r="A125" t="s">
        <v>1559</v>
      </c>
    </row>
    <row r="126" spans="1:1" x14ac:dyDescent="0.25">
      <c r="A126" t="s">
        <v>1560</v>
      </c>
    </row>
    <row r="127" spans="1:1" x14ac:dyDescent="0.25">
      <c r="A127" t="s">
        <v>1561</v>
      </c>
    </row>
    <row r="128" spans="1:1" x14ac:dyDescent="0.25">
      <c r="A128" t="s">
        <v>1562</v>
      </c>
    </row>
    <row r="129" spans="1:1" x14ac:dyDescent="0.25">
      <c r="A129" t="s">
        <v>1563</v>
      </c>
    </row>
    <row r="130" spans="1:1" x14ac:dyDescent="0.25">
      <c r="A130" t="s">
        <v>1564</v>
      </c>
    </row>
    <row r="131" spans="1:1" x14ac:dyDescent="0.25">
      <c r="A131" t="s">
        <v>1565</v>
      </c>
    </row>
    <row r="132" spans="1:1" x14ac:dyDescent="0.25">
      <c r="A132" t="s">
        <v>1566</v>
      </c>
    </row>
    <row r="133" spans="1:1" x14ac:dyDescent="0.25">
      <c r="A133" t="s">
        <v>1567</v>
      </c>
    </row>
    <row r="134" spans="1:1" x14ac:dyDescent="0.25">
      <c r="A134" t="s">
        <v>1568</v>
      </c>
    </row>
    <row r="135" spans="1:1" x14ac:dyDescent="0.25">
      <c r="A135" t="s">
        <v>1569</v>
      </c>
    </row>
    <row r="136" spans="1:1" x14ac:dyDescent="0.25">
      <c r="A136" t="s">
        <v>1570</v>
      </c>
    </row>
    <row r="137" spans="1:1" x14ac:dyDescent="0.25">
      <c r="A137" t="s">
        <v>1571</v>
      </c>
    </row>
    <row r="138" spans="1:1" x14ac:dyDescent="0.25">
      <c r="A138" t="s">
        <v>1572</v>
      </c>
    </row>
    <row r="139" spans="1:1" x14ac:dyDescent="0.25">
      <c r="A139" t="s">
        <v>1573</v>
      </c>
    </row>
    <row r="140" spans="1:1" x14ac:dyDescent="0.25">
      <c r="A140" t="s">
        <v>1574</v>
      </c>
    </row>
    <row r="141" spans="1:1" x14ac:dyDescent="0.25">
      <c r="A141" t="s">
        <v>1575</v>
      </c>
    </row>
    <row r="142" spans="1:1" x14ac:dyDescent="0.25">
      <c r="A142" t="s">
        <v>1576</v>
      </c>
    </row>
    <row r="143" spans="1:1" x14ac:dyDescent="0.25">
      <c r="A143" t="s">
        <v>1577</v>
      </c>
    </row>
    <row r="144" spans="1:1" x14ac:dyDescent="0.25">
      <c r="A144" t="s">
        <v>1578</v>
      </c>
    </row>
    <row r="145" spans="1:1" x14ac:dyDescent="0.25">
      <c r="A145" t="s">
        <v>1579</v>
      </c>
    </row>
    <row r="146" spans="1:1" x14ac:dyDescent="0.25">
      <c r="A146" t="s">
        <v>1580</v>
      </c>
    </row>
    <row r="147" spans="1:1" x14ac:dyDescent="0.25">
      <c r="A147" t="s">
        <v>1581</v>
      </c>
    </row>
    <row r="148" spans="1:1" x14ac:dyDescent="0.25">
      <c r="A148" t="s">
        <v>1582</v>
      </c>
    </row>
    <row r="149" spans="1:1" x14ac:dyDescent="0.25">
      <c r="A149" t="s">
        <v>1583</v>
      </c>
    </row>
    <row r="150" spans="1:1" x14ac:dyDescent="0.25">
      <c r="A150" t="s">
        <v>1584</v>
      </c>
    </row>
    <row r="151" spans="1:1" x14ac:dyDescent="0.25">
      <c r="A151" t="s">
        <v>1585</v>
      </c>
    </row>
    <row r="152" spans="1:1" x14ac:dyDescent="0.25">
      <c r="A152" t="s">
        <v>1586</v>
      </c>
    </row>
    <row r="153" spans="1:1" x14ac:dyDescent="0.25">
      <c r="A153" t="s">
        <v>1587</v>
      </c>
    </row>
    <row r="154" spans="1:1" x14ac:dyDescent="0.25">
      <c r="A154" t="s">
        <v>1588</v>
      </c>
    </row>
    <row r="155" spans="1:1" x14ac:dyDescent="0.25">
      <c r="A155" t="s">
        <v>1589</v>
      </c>
    </row>
    <row r="156" spans="1:1" x14ac:dyDescent="0.25">
      <c r="A156" t="s">
        <v>1590</v>
      </c>
    </row>
    <row r="157" spans="1:1" x14ac:dyDescent="0.25">
      <c r="A157" t="s">
        <v>1591</v>
      </c>
    </row>
    <row r="158" spans="1:1" x14ac:dyDescent="0.25">
      <c r="A158" t="s">
        <v>1592</v>
      </c>
    </row>
    <row r="159" spans="1:1" x14ac:dyDescent="0.25">
      <c r="A159" t="s">
        <v>1593</v>
      </c>
    </row>
    <row r="160" spans="1:1" x14ac:dyDescent="0.25">
      <c r="A160" t="s">
        <v>1594</v>
      </c>
    </row>
    <row r="161" spans="1:1" x14ac:dyDescent="0.25">
      <c r="A161" t="s">
        <v>1595</v>
      </c>
    </row>
    <row r="162" spans="1:1" x14ac:dyDescent="0.25">
      <c r="A162" t="s">
        <v>1596</v>
      </c>
    </row>
    <row r="163" spans="1:1" x14ac:dyDescent="0.25">
      <c r="A163" t="s">
        <v>1597</v>
      </c>
    </row>
    <row r="164" spans="1:1" x14ac:dyDescent="0.25">
      <c r="A164" t="s">
        <v>1598</v>
      </c>
    </row>
    <row r="165" spans="1:1" x14ac:dyDescent="0.25">
      <c r="A165" t="s">
        <v>1599</v>
      </c>
    </row>
    <row r="166" spans="1:1" x14ac:dyDescent="0.25">
      <c r="A166" t="s">
        <v>1600</v>
      </c>
    </row>
    <row r="167" spans="1:1" x14ac:dyDescent="0.25">
      <c r="A167" t="s">
        <v>1601</v>
      </c>
    </row>
    <row r="168" spans="1:1" x14ac:dyDescent="0.25">
      <c r="A168" t="s">
        <v>1602</v>
      </c>
    </row>
    <row r="169" spans="1:1" x14ac:dyDescent="0.25">
      <c r="A169" t="s">
        <v>1603</v>
      </c>
    </row>
    <row r="170" spans="1:1" x14ac:dyDescent="0.25">
      <c r="A170" t="s">
        <v>1604</v>
      </c>
    </row>
    <row r="171" spans="1:1" x14ac:dyDescent="0.25">
      <c r="A171" t="s">
        <v>1605</v>
      </c>
    </row>
    <row r="172" spans="1:1" x14ac:dyDescent="0.25">
      <c r="A172" t="s">
        <v>1606</v>
      </c>
    </row>
    <row r="173" spans="1:1" x14ac:dyDescent="0.25">
      <c r="A173" t="s">
        <v>1607</v>
      </c>
    </row>
    <row r="174" spans="1:1" x14ac:dyDescent="0.25">
      <c r="A174" t="s">
        <v>1608</v>
      </c>
    </row>
    <row r="175" spans="1:1" x14ac:dyDescent="0.25">
      <c r="A175" t="s">
        <v>1609</v>
      </c>
    </row>
    <row r="176" spans="1:1" x14ac:dyDescent="0.25">
      <c r="A176" t="s">
        <v>1610</v>
      </c>
    </row>
    <row r="177" spans="1:1" x14ac:dyDescent="0.25">
      <c r="A177" t="s">
        <v>1611</v>
      </c>
    </row>
    <row r="178" spans="1:1" x14ac:dyDescent="0.25">
      <c r="A178" t="s">
        <v>1612</v>
      </c>
    </row>
    <row r="179" spans="1:1" x14ac:dyDescent="0.25">
      <c r="A179" t="s">
        <v>1613</v>
      </c>
    </row>
    <row r="180" spans="1:1" x14ac:dyDescent="0.25">
      <c r="A180" t="s">
        <v>1614</v>
      </c>
    </row>
    <row r="181" spans="1:1" x14ac:dyDescent="0.25">
      <c r="A181" t="s">
        <v>1615</v>
      </c>
    </row>
    <row r="182" spans="1:1" x14ac:dyDescent="0.25">
      <c r="A182" t="s">
        <v>1616</v>
      </c>
    </row>
    <row r="183" spans="1:1" x14ac:dyDescent="0.25">
      <c r="A183" t="s">
        <v>1617</v>
      </c>
    </row>
    <row r="184" spans="1:1" x14ac:dyDescent="0.25">
      <c r="A184" t="s">
        <v>1618</v>
      </c>
    </row>
    <row r="185" spans="1:1" x14ac:dyDescent="0.25">
      <c r="A185" t="s">
        <v>1619</v>
      </c>
    </row>
    <row r="186" spans="1:1" x14ac:dyDescent="0.25">
      <c r="A186" t="s">
        <v>1620</v>
      </c>
    </row>
    <row r="187" spans="1:1" x14ac:dyDescent="0.25">
      <c r="A187" t="s">
        <v>1621</v>
      </c>
    </row>
    <row r="188" spans="1:1" x14ac:dyDescent="0.25">
      <c r="A188" t="s">
        <v>1622</v>
      </c>
    </row>
    <row r="189" spans="1:1" x14ac:dyDescent="0.25">
      <c r="A189" t="s">
        <v>1623</v>
      </c>
    </row>
    <row r="190" spans="1:1" x14ac:dyDescent="0.25">
      <c r="A190" t="s">
        <v>1624</v>
      </c>
    </row>
    <row r="191" spans="1:1" x14ac:dyDescent="0.25">
      <c r="A191" t="s">
        <v>1625</v>
      </c>
    </row>
    <row r="192" spans="1:1" x14ac:dyDescent="0.25">
      <c r="A192" t="s">
        <v>1626</v>
      </c>
    </row>
    <row r="193" spans="1:1" x14ac:dyDescent="0.25">
      <c r="A193" t="s">
        <v>1627</v>
      </c>
    </row>
    <row r="194" spans="1:1" x14ac:dyDescent="0.25">
      <c r="A194" t="s">
        <v>1628</v>
      </c>
    </row>
    <row r="195" spans="1:1" x14ac:dyDescent="0.25">
      <c r="A195" t="s">
        <v>1629</v>
      </c>
    </row>
    <row r="196" spans="1:1" x14ac:dyDescent="0.25">
      <c r="A196" t="s">
        <v>1630</v>
      </c>
    </row>
    <row r="197" spans="1:1" x14ac:dyDescent="0.25">
      <c r="A197" t="s">
        <v>1631</v>
      </c>
    </row>
    <row r="198" spans="1:1" x14ac:dyDescent="0.25">
      <c r="A198" t="s">
        <v>1632</v>
      </c>
    </row>
    <row r="199" spans="1:1" x14ac:dyDescent="0.25">
      <c r="A199" t="s">
        <v>1633</v>
      </c>
    </row>
    <row r="200" spans="1:1" x14ac:dyDescent="0.25">
      <c r="A200" t="s">
        <v>1634</v>
      </c>
    </row>
    <row r="201" spans="1:1" x14ac:dyDescent="0.25">
      <c r="A201" t="s">
        <v>1635</v>
      </c>
    </row>
    <row r="202" spans="1:1" x14ac:dyDescent="0.25">
      <c r="A202" t="s">
        <v>1636</v>
      </c>
    </row>
    <row r="203" spans="1:1" x14ac:dyDescent="0.25">
      <c r="A203" t="s">
        <v>1637</v>
      </c>
    </row>
    <row r="204" spans="1:1" x14ac:dyDescent="0.25">
      <c r="A204" t="s">
        <v>1638</v>
      </c>
    </row>
    <row r="205" spans="1:1" x14ac:dyDescent="0.25">
      <c r="A205" t="s">
        <v>1639</v>
      </c>
    </row>
    <row r="206" spans="1:1" x14ac:dyDescent="0.25">
      <c r="A206" t="s">
        <v>1640</v>
      </c>
    </row>
    <row r="207" spans="1:1" x14ac:dyDescent="0.25">
      <c r="A207" t="s">
        <v>1641</v>
      </c>
    </row>
    <row r="208" spans="1:1" x14ac:dyDescent="0.25">
      <c r="A208" t="s">
        <v>1642</v>
      </c>
    </row>
    <row r="209" spans="1:1" x14ac:dyDescent="0.25">
      <c r="A209" t="s">
        <v>1643</v>
      </c>
    </row>
    <row r="210" spans="1:1" x14ac:dyDescent="0.25">
      <c r="A210" t="s">
        <v>1644</v>
      </c>
    </row>
    <row r="211" spans="1:1" x14ac:dyDescent="0.25">
      <c r="A211" t="s">
        <v>1645</v>
      </c>
    </row>
    <row r="212" spans="1:1" x14ac:dyDescent="0.25">
      <c r="A212" t="s">
        <v>1646</v>
      </c>
    </row>
    <row r="213" spans="1:1" x14ac:dyDescent="0.25">
      <c r="A213" t="s">
        <v>1647</v>
      </c>
    </row>
    <row r="214" spans="1:1" x14ac:dyDescent="0.25">
      <c r="A214" t="s">
        <v>1648</v>
      </c>
    </row>
    <row r="215" spans="1:1" x14ac:dyDescent="0.25">
      <c r="A215" t="s">
        <v>1649</v>
      </c>
    </row>
    <row r="216" spans="1:1" x14ac:dyDescent="0.25">
      <c r="A216" t="s">
        <v>1650</v>
      </c>
    </row>
    <row r="217" spans="1:1" x14ac:dyDescent="0.25">
      <c r="A217" t="s">
        <v>1651</v>
      </c>
    </row>
    <row r="218" spans="1:1" x14ac:dyDescent="0.25">
      <c r="A218" t="s">
        <v>1652</v>
      </c>
    </row>
    <row r="219" spans="1:1" x14ac:dyDescent="0.25">
      <c r="A219" t="s">
        <v>1653</v>
      </c>
    </row>
    <row r="220" spans="1:1" x14ac:dyDescent="0.25">
      <c r="A220" t="s">
        <v>1654</v>
      </c>
    </row>
    <row r="221" spans="1:1" x14ac:dyDescent="0.25">
      <c r="A221" t="s">
        <v>1655</v>
      </c>
    </row>
    <row r="222" spans="1:1" x14ac:dyDescent="0.25">
      <c r="A222" t="s">
        <v>1656</v>
      </c>
    </row>
    <row r="223" spans="1:1" x14ac:dyDescent="0.25">
      <c r="A223" t="s">
        <v>1657</v>
      </c>
    </row>
    <row r="224" spans="1:1" x14ac:dyDescent="0.25">
      <c r="A224" t="s">
        <v>1658</v>
      </c>
    </row>
    <row r="225" spans="1:1" x14ac:dyDescent="0.25">
      <c r="A225" t="s">
        <v>1659</v>
      </c>
    </row>
    <row r="226" spans="1:1" x14ac:dyDescent="0.25">
      <c r="A226" t="s">
        <v>1660</v>
      </c>
    </row>
    <row r="227" spans="1:1" x14ac:dyDescent="0.25">
      <c r="A227" t="s">
        <v>1661</v>
      </c>
    </row>
    <row r="228" spans="1:1" x14ac:dyDescent="0.25">
      <c r="A228" t="s">
        <v>1662</v>
      </c>
    </row>
    <row r="229" spans="1:1" x14ac:dyDescent="0.25">
      <c r="A229" t="s">
        <v>1663</v>
      </c>
    </row>
    <row r="230" spans="1:1" x14ac:dyDescent="0.25">
      <c r="A230" t="s">
        <v>1664</v>
      </c>
    </row>
    <row r="231" spans="1:1" x14ac:dyDescent="0.25">
      <c r="A231" t="s">
        <v>1665</v>
      </c>
    </row>
    <row r="232" spans="1:1" x14ac:dyDescent="0.25">
      <c r="A232" t="s">
        <v>1666</v>
      </c>
    </row>
    <row r="233" spans="1:1" x14ac:dyDescent="0.25">
      <c r="A233" t="s">
        <v>1667</v>
      </c>
    </row>
    <row r="234" spans="1:1" x14ac:dyDescent="0.25">
      <c r="A234" t="s">
        <v>1668</v>
      </c>
    </row>
    <row r="235" spans="1:1" x14ac:dyDescent="0.25">
      <c r="A235" t="s">
        <v>1669</v>
      </c>
    </row>
    <row r="236" spans="1:1" x14ac:dyDescent="0.25">
      <c r="A236" t="s">
        <v>1670</v>
      </c>
    </row>
    <row r="237" spans="1:1" x14ac:dyDescent="0.25">
      <c r="A237" t="s">
        <v>1671</v>
      </c>
    </row>
    <row r="238" spans="1:1" x14ac:dyDescent="0.25">
      <c r="A238" t="s">
        <v>1672</v>
      </c>
    </row>
    <row r="239" spans="1:1" x14ac:dyDescent="0.25">
      <c r="A239" t="s">
        <v>1673</v>
      </c>
    </row>
    <row r="240" spans="1:1" x14ac:dyDescent="0.25">
      <c r="A240" t="s">
        <v>1674</v>
      </c>
    </row>
    <row r="241" spans="1:1" x14ac:dyDescent="0.25">
      <c r="A241" t="s">
        <v>1675</v>
      </c>
    </row>
    <row r="242" spans="1:1" x14ac:dyDescent="0.25">
      <c r="A242" t="s">
        <v>1676</v>
      </c>
    </row>
    <row r="243" spans="1:1" x14ac:dyDescent="0.25">
      <c r="A243" t="s">
        <v>1677</v>
      </c>
    </row>
    <row r="244" spans="1:1" x14ac:dyDescent="0.25">
      <c r="A244" t="s">
        <v>1678</v>
      </c>
    </row>
    <row r="245" spans="1:1" x14ac:dyDescent="0.25">
      <c r="A245" t="s">
        <v>1679</v>
      </c>
    </row>
    <row r="246" spans="1:1" x14ac:dyDescent="0.25">
      <c r="A246" t="s">
        <v>1680</v>
      </c>
    </row>
    <row r="247" spans="1:1" x14ac:dyDescent="0.25">
      <c r="A247" t="s">
        <v>1681</v>
      </c>
    </row>
    <row r="248" spans="1:1" x14ac:dyDescent="0.25">
      <c r="A248" t="s">
        <v>1682</v>
      </c>
    </row>
    <row r="249" spans="1:1" x14ac:dyDescent="0.25">
      <c r="A249" t="s">
        <v>1683</v>
      </c>
    </row>
    <row r="250" spans="1:1" x14ac:dyDescent="0.25">
      <c r="A250" t="s">
        <v>1684</v>
      </c>
    </row>
    <row r="251" spans="1:1" x14ac:dyDescent="0.25">
      <c r="A251" t="s">
        <v>1685</v>
      </c>
    </row>
    <row r="252" spans="1:1" x14ac:dyDescent="0.25">
      <c r="A252" t="s">
        <v>1686</v>
      </c>
    </row>
    <row r="253" spans="1:1" x14ac:dyDescent="0.25">
      <c r="A253" t="s">
        <v>1687</v>
      </c>
    </row>
    <row r="254" spans="1:1" x14ac:dyDescent="0.25">
      <c r="A254" t="s">
        <v>1688</v>
      </c>
    </row>
    <row r="255" spans="1:1" x14ac:dyDescent="0.25">
      <c r="A255" t="s">
        <v>1689</v>
      </c>
    </row>
    <row r="256" spans="1:1" x14ac:dyDescent="0.25">
      <c r="A256" t="s">
        <v>1690</v>
      </c>
    </row>
    <row r="257" spans="1:1" x14ac:dyDescent="0.25">
      <c r="A257" t="s">
        <v>1691</v>
      </c>
    </row>
    <row r="258" spans="1:1" x14ac:dyDescent="0.25">
      <c r="A258" t="s">
        <v>1692</v>
      </c>
    </row>
    <row r="259" spans="1:1" x14ac:dyDescent="0.25">
      <c r="A259" t="s">
        <v>1693</v>
      </c>
    </row>
    <row r="260" spans="1:1" x14ac:dyDescent="0.25">
      <c r="A260" t="s">
        <v>1694</v>
      </c>
    </row>
    <row r="261" spans="1:1" x14ac:dyDescent="0.25">
      <c r="A261" t="s">
        <v>1695</v>
      </c>
    </row>
    <row r="262" spans="1:1" x14ac:dyDescent="0.25">
      <c r="A262" t="s">
        <v>1696</v>
      </c>
    </row>
    <row r="263" spans="1:1" x14ac:dyDescent="0.25">
      <c r="A263" t="s">
        <v>1697</v>
      </c>
    </row>
    <row r="264" spans="1:1" x14ac:dyDescent="0.25">
      <c r="A264" t="s">
        <v>1698</v>
      </c>
    </row>
    <row r="265" spans="1:1" x14ac:dyDescent="0.25">
      <c r="A265" t="s">
        <v>1699</v>
      </c>
    </row>
    <row r="266" spans="1:1" x14ac:dyDescent="0.25">
      <c r="A266" t="s">
        <v>1700</v>
      </c>
    </row>
    <row r="267" spans="1:1" x14ac:dyDescent="0.25">
      <c r="A267" t="s">
        <v>1701</v>
      </c>
    </row>
    <row r="268" spans="1:1" x14ac:dyDescent="0.25">
      <c r="A268" t="s">
        <v>1702</v>
      </c>
    </row>
    <row r="269" spans="1:1" x14ac:dyDescent="0.25">
      <c r="A269" t="s">
        <v>1703</v>
      </c>
    </row>
    <row r="270" spans="1:1" x14ac:dyDescent="0.25">
      <c r="A270" t="s">
        <v>1704</v>
      </c>
    </row>
    <row r="271" spans="1:1" x14ac:dyDescent="0.25">
      <c r="A271" t="s">
        <v>1705</v>
      </c>
    </row>
    <row r="272" spans="1:1" x14ac:dyDescent="0.25">
      <c r="A272" t="s">
        <v>1706</v>
      </c>
    </row>
    <row r="273" spans="1:1" x14ac:dyDescent="0.25">
      <c r="A273" t="s">
        <v>1707</v>
      </c>
    </row>
    <row r="274" spans="1:1" x14ac:dyDescent="0.25">
      <c r="A274" t="s">
        <v>1708</v>
      </c>
    </row>
    <row r="275" spans="1:1" x14ac:dyDescent="0.25">
      <c r="A275" t="s">
        <v>1709</v>
      </c>
    </row>
    <row r="276" spans="1:1" x14ac:dyDescent="0.25">
      <c r="A276" t="s">
        <v>1710</v>
      </c>
    </row>
    <row r="277" spans="1:1" x14ac:dyDescent="0.25">
      <c r="A277" t="s">
        <v>1711</v>
      </c>
    </row>
    <row r="278" spans="1:1" x14ac:dyDescent="0.25">
      <c r="A278" t="s">
        <v>1712</v>
      </c>
    </row>
    <row r="279" spans="1:1" x14ac:dyDescent="0.25">
      <c r="A279" t="s">
        <v>1713</v>
      </c>
    </row>
    <row r="280" spans="1:1" x14ac:dyDescent="0.25">
      <c r="A280" t="s">
        <v>1714</v>
      </c>
    </row>
    <row r="281" spans="1:1" x14ac:dyDescent="0.25">
      <c r="A281" t="s">
        <v>1715</v>
      </c>
    </row>
    <row r="282" spans="1:1" x14ac:dyDescent="0.25">
      <c r="A282" t="s">
        <v>1716</v>
      </c>
    </row>
    <row r="283" spans="1:1" x14ac:dyDescent="0.25">
      <c r="A283" t="s">
        <v>1717</v>
      </c>
    </row>
    <row r="284" spans="1:1" x14ac:dyDescent="0.25">
      <c r="A284" t="s">
        <v>1718</v>
      </c>
    </row>
    <row r="285" spans="1:1" x14ac:dyDescent="0.25">
      <c r="A285" t="s">
        <v>1719</v>
      </c>
    </row>
    <row r="286" spans="1:1" x14ac:dyDescent="0.25">
      <c r="A286" t="s">
        <v>1720</v>
      </c>
    </row>
    <row r="287" spans="1:1" x14ac:dyDescent="0.25">
      <c r="A287" t="s">
        <v>1721</v>
      </c>
    </row>
    <row r="288" spans="1:1" x14ac:dyDescent="0.25">
      <c r="A288" t="s">
        <v>1722</v>
      </c>
    </row>
    <row r="289" spans="1:1" x14ac:dyDescent="0.25">
      <c r="A289" t="s">
        <v>1723</v>
      </c>
    </row>
    <row r="290" spans="1:1" x14ac:dyDescent="0.25">
      <c r="A290" t="s">
        <v>1724</v>
      </c>
    </row>
    <row r="291" spans="1:1" x14ac:dyDescent="0.25">
      <c r="A291" t="s">
        <v>1725</v>
      </c>
    </row>
    <row r="292" spans="1:1" x14ac:dyDescent="0.25">
      <c r="A292" t="s">
        <v>1726</v>
      </c>
    </row>
    <row r="293" spans="1:1" x14ac:dyDescent="0.25">
      <c r="A293" t="s">
        <v>1727</v>
      </c>
    </row>
    <row r="294" spans="1:1" x14ac:dyDescent="0.25">
      <c r="A294" t="s">
        <v>1728</v>
      </c>
    </row>
    <row r="295" spans="1:1" x14ac:dyDescent="0.25">
      <c r="A295" t="s">
        <v>1729</v>
      </c>
    </row>
    <row r="296" spans="1:1" x14ac:dyDescent="0.25">
      <c r="A296" t="s">
        <v>1730</v>
      </c>
    </row>
    <row r="297" spans="1:1" x14ac:dyDescent="0.25">
      <c r="A297" t="s">
        <v>1731</v>
      </c>
    </row>
    <row r="298" spans="1:1" x14ac:dyDescent="0.25">
      <c r="A298" t="s">
        <v>1732</v>
      </c>
    </row>
    <row r="299" spans="1:1" x14ac:dyDescent="0.25">
      <c r="A299" t="s">
        <v>1733</v>
      </c>
    </row>
    <row r="300" spans="1:1" x14ac:dyDescent="0.25">
      <c r="A300" t="s">
        <v>1734</v>
      </c>
    </row>
    <row r="301" spans="1:1" x14ac:dyDescent="0.25">
      <c r="A301" t="s">
        <v>1735</v>
      </c>
    </row>
    <row r="302" spans="1:1" x14ac:dyDescent="0.25">
      <c r="A302" t="s">
        <v>1736</v>
      </c>
    </row>
    <row r="303" spans="1:1" x14ac:dyDescent="0.25">
      <c r="A303" t="s">
        <v>1737</v>
      </c>
    </row>
    <row r="304" spans="1:1" x14ac:dyDescent="0.25">
      <c r="A304" t="s">
        <v>1738</v>
      </c>
    </row>
    <row r="305" spans="1:1" x14ac:dyDescent="0.25">
      <c r="A305" t="s">
        <v>1739</v>
      </c>
    </row>
    <row r="306" spans="1:1" x14ac:dyDescent="0.25">
      <c r="A306" t="s">
        <v>1740</v>
      </c>
    </row>
    <row r="307" spans="1:1" x14ac:dyDescent="0.25">
      <c r="A307" t="s">
        <v>1741</v>
      </c>
    </row>
    <row r="308" spans="1:1" x14ac:dyDescent="0.25">
      <c r="A308" t="s">
        <v>1742</v>
      </c>
    </row>
    <row r="309" spans="1:1" x14ac:dyDescent="0.25">
      <c r="A309" t="s">
        <v>1743</v>
      </c>
    </row>
    <row r="310" spans="1:1" x14ac:dyDescent="0.25">
      <c r="A310" t="s">
        <v>1744</v>
      </c>
    </row>
    <row r="311" spans="1:1" x14ac:dyDescent="0.25">
      <c r="A311" t="s">
        <v>1745</v>
      </c>
    </row>
    <row r="312" spans="1:1" x14ac:dyDescent="0.25">
      <c r="A312" t="s">
        <v>1746</v>
      </c>
    </row>
    <row r="313" spans="1:1" x14ac:dyDescent="0.25">
      <c r="A313" t="s">
        <v>1747</v>
      </c>
    </row>
    <row r="314" spans="1:1" x14ac:dyDescent="0.25">
      <c r="A314" t="s">
        <v>1748</v>
      </c>
    </row>
    <row r="315" spans="1:1" x14ac:dyDescent="0.25">
      <c r="A315" t="s">
        <v>1749</v>
      </c>
    </row>
    <row r="316" spans="1:1" x14ac:dyDescent="0.25">
      <c r="A316" t="s">
        <v>1750</v>
      </c>
    </row>
    <row r="317" spans="1:1" x14ac:dyDescent="0.25">
      <c r="A317" t="s">
        <v>1751</v>
      </c>
    </row>
    <row r="318" spans="1:1" x14ac:dyDescent="0.25">
      <c r="A318" t="s">
        <v>1752</v>
      </c>
    </row>
    <row r="319" spans="1:1" x14ac:dyDescent="0.25">
      <c r="A319" t="s">
        <v>1753</v>
      </c>
    </row>
    <row r="320" spans="1:1" x14ac:dyDescent="0.25">
      <c r="A320" t="s">
        <v>1754</v>
      </c>
    </row>
    <row r="321" spans="1:1" x14ac:dyDescent="0.25">
      <c r="A321" t="s">
        <v>1755</v>
      </c>
    </row>
    <row r="322" spans="1:1" x14ac:dyDescent="0.25">
      <c r="A322" t="s">
        <v>1756</v>
      </c>
    </row>
    <row r="323" spans="1:1" x14ac:dyDescent="0.25">
      <c r="A323" t="s">
        <v>1757</v>
      </c>
    </row>
    <row r="324" spans="1:1" x14ac:dyDescent="0.25">
      <c r="A324" t="s">
        <v>1758</v>
      </c>
    </row>
    <row r="325" spans="1:1" x14ac:dyDescent="0.25">
      <c r="A325" t="s">
        <v>1759</v>
      </c>
    </row>
    <row r="326" spans="1:1" x14ac:dyDescent="0.25">
      <c r="A326" t="s">
        <v>1760</v>
      </c>
    </row>
    <row r="327" spans="1:1" x14ac:dyDescent="0.25">
      <c r="A327" t="s">
        <v>1761</v>
      </c>
    </row>
    <row r="328" spans="1:1" x14ac:dyDescent="0.25">
      <c r="A328" t="s">
        <v>1762</v>
      </c>
    </row>
    <row r="329" spans="1:1" x14ac:dyDescent="0.25">
      <c r="A329" t="s">
        <v>1763</v>
      </c>
    </row>
    <row r="330" spans="1:1" x14ac:dyDescent="0.25">
      <c r="A330" t="s">
        <v>1764</v>
      </c>
    </row>
    <row r="331" spans="1:1" x14ac:dyDescent="0.25">
      <c r="A331" t="s">
        <v>1765</v>
      </c>
    </row>
    <row r="332" spans="1:1" x14ac:dyDescent="0.25">
      <c r="A332" t="s">
        <v>1766</v>
      </c>
    </row>
    <row r="333" spans="1:1" x14ac:dyDescent="0.25">
      <c r="A333" t="s">
        <v>1767</v>
      </c>
    </row>
    <row r="334" spans="1:1" x14ac:dyDescent="0.25">
      <c r="A334" t="s">
        <v>1768</v>
      </c>
    </row>
    <row r="335" spans="1:1" x14ac:dyDescent="0.25">
      <c r="A335" t="s">
        <v>1769</v>
      </c>
    </row>
    <row r="336" spans="1:1" x14ac:dyDescent="0.25">
      <c r="A336" t="s">
        <v>1770</v>
      </c>
    </row>
    <row r="337" spans="1:1" x14ac:dyDescent="0.25">
      <c r="A337" t="s">
        <v>1771</v>
      </c>
    </row>
    <row r="338" spans="1:1" x14ac:dyDescent="0.25">
      <c r="A338" t="s">
        <v>1772</v>
      </c>
    </row>
    <row r="339" spans="1:1" x14ac:dyDescent="0.25">
      <c r="A339" t="s">
        <v>1773</v>
      </c>
    </row>
    <row r="340" spans="1:1" x14ac:dyDescent="0.25">
      <c r="A340" t="s">
        <v>1774</v>
      </c>
    </row>
    <row r="341" spans="1:1" x14ac:dyDescent="0.25">
      <c r="A341" t="s">
        <v>1775</v>
      </c>
    </row>
    <row r="342" spans="1:1" x14ac:dyDescent="0.25">
      <c r="A342" t="s">
        <v>1776</v>
      </c>
    </row>
    <row r="343" spans="1:1" x14ac:dyDescent="0.25">
      <c r="A343" t="s">
        <v>1777</v>
      </c>
    </row>
    <row r="344" spans="1:1" x14ac:dyDescent="0.25">
      <c r="A344" t="s">
        <v>1778</v>
      </c>
    </row>
    <row r="345" spans="1:1" x14ac:dyDescent="0.25">
      <c r="A345" t="s">
        <v>1779</v>
      </c>
    </row>
    <row r="346" spans="1:1" x14ac:dyDescent="0.25">
      <c r="A346" t="s">
        <v>1780</v>
      </c>
    </row>
    <row r="347" spans="1:1" x14ac:dyDescent="0.25">
      <c r="A347" t="s">
        <v>1781</v>
      </c>
    </row>
    <row r="348" spans="1:1" x14ac:dyDescent="0.25">
      <c r="A348" t="s">
        <v>1782</v>
      </c>
    </row>
    <row r="349" spans="1:1" x14ac:dyDescent="0.25">
      <c r="A349" t="s">
        <v>1783</v>
      </c>
    </row>
    <row r="350" spans="1:1" x14ac:dyDescent="0.25">
      <c r="A350" t="s">
        <v>1784</v>
      </c>
    </row>
    <row r="351" spans="1:1" x14ac:dyDescent="0.25">
      <c r="A351" t="s">
        <v>1785</v>
      </c>
    </row>
    <row r="352" spans="1:1" x14ac:dyDescent="0.25">
      <c r="A352" t="s">
        <v>1786</v>
      </c>
    </row>
    <row r="353" spans="1:1" x14ac:dyDescent="0.25">
      <c r="A353" t="s">
        <v>1787</v>
      </c>
    </row>
    <row r="354" spans="1:1" x14ac:dyDescent="0.25">
      <c r="A354" t="s">
        <v>1788</v>
      </c>
    </row>
    <row r="355" spans="1:1" x14ac:dyDescent="0.25">
      <c r="A355" t="s">
        <v>1789</v>
      </c>
    </row>
    <row r="356" spans="1:1" x14ac:dyDescent="0.25">
      <c r="A356" t="s">
        <v>1790</v>
      </c>
    </row>
    <row r="357" spans="1:1" x14ac:dyDescent="0.25">
      <c r="A357" t="s">
        <v>1791</v>
      </c>
    </row>
    <row r="358" spans="1:1" x14ac:dyDescent="0.25">
      <c r="A358" t="s">
        <v>1792</v>
      </c>
    </row>
    <row r="359" spans="1:1" x14ac:dyDescent="0.25">
      <c r="A359" t="s">
        <v>1793</v>
      </c>
    </row>
    <row r="360" spans="1:1" x14ac:dyDescent="0.25">
      <c r="A360" t="s">
        <v>1794</v>
      </c>
    </row>
    <row r="361" spans="1:1" x14ac:dyDescent="0.25">
      <c r="A361" t="s">
        <v>1795</v>
      </c>
    </row>
    <row r="362" spans="1:1" x14ac:dyDescent="0.25">
      <c r="A362" t="s">
        <v>1796</v>
      </c>
    </row>
    <row r="363" spans="1:1" x14ac:dyDescent="0.25">
      <c r="A363" t="s">
        <v>1797</v>
      </c>
    </row>
    <row r="364" spans="1:1" x14ac:dyDescent="0.25">
      <c r="A364" t="s">
        <v>1798</v>
      </c>
    </row>
    <row r="365" spans="1:1" x14ac:dyDescent="0.25">
      <c r="A365" t="s">
        <v>1799</v>
      </c>
    </row>
    <row r="366" spans="1:1" x14ac:dyDescent="0.25">
      <c r="A366" t="s">
        <v>1800</v>
      </c>
    </row>
    <row r="367" spans="1:1" x14ac:dyDescent="0.25">
      <c r="A367" t="s">
        <v>1801</v>
      </c>
    </row>
    <row r="368" spans="1:1" x14ac:dyDescent="0.25">
      <c r="A368" t="s">
        <v>1802</v>
      </c>
    </row>
    <row r="369" spans="1:1" x14ac:dyDescent="0.25">
      <c r="A369" t="s">
        <v>1803</v>
      </c>
    </row>
    <row r="370" spans="1:1" x14ac:dyDescent="0.25">
      <c r="A370" t="s">
        <v>1804</v>
      </c>
    </row>
    <row r="371" spans="1:1" x14ac:dyDescent="0.25">
      <c r="A371" t="s">
        <v>1805</v>
      </c>
    </row>
    <row r="372" spans="1:1" x14ac:dyDescent="0.25">
      <c r="A372" t="s">
        <v>1806</v>
      </c>
    </row>
    <row r="373" spans="1:1" x14ac:dyDescent="0.25">
      <c r="A373" t="s">
        <v>1807</v>
      </c>
    </row>
    <row r="374" spans="1:1" x14ac:dyDescent="0.25">
      <c r="A374" t="s">
        <v>1808</v>
      </c>
    </row>
    <row r="375" spans="1:1" x14ac:dyDescent="0.25">
      <c r="A375" t="s">
        <v>1809</v>
      </c>
    </row>
    <row r="376" spans="1:1" x14ac:dyDescent="0.25">
      <c r="A376" t="s">
        <v>1810</v>
      </c>
    </row>
    <row r="377" spans="1:1" x14ac:dyDescent="0.25">
      <c r="A377" t="s">
        <v>1811</v>
      </c>
    </row>
    <row r="378" spans="1:1" x14ac:dyDescent="0.25">
      <c r="A378" t="s">
        <v>1812</v>
      </c>
    </row>
    <row r="379" spans="1:1" x14ac:dyDescent="0.25">
      <c r="A379" t="s">
        <v>1813</v>
      </c>
    </row>
    <row r="380" spans="1:1" x14ac:dyDescent="0.25">
      <c r="A380" t="s">
        <v>1814</v>
      </c>
    </row>
    <row r="381" spans="1:1" x14ac:dyDescent="0.25">
      <c r="A381" t="s">
        <v>1815</v>
      </c>
    </row>
    <row r="382" spans="1:1" x14ac:dyDescent="0.25">
      <c r="A382" t="s">
        <v>1816</v>
      </c>
    </row>
    <row r="383" spans="1:1" x14ac:dyDescent="0.25">
      <c r="A383" t="s">
        <v>1817</v>
      </c>
    </row>
    <row r="384" spans="1:1" x14ac:dyDescent="0.25">
      <c r="A384" t="s">
        <v>1818</v>
      </c>
    </row>
    <row r="385" spans="1:1" x14ac:dyDescent="0.25">
      <c r="A385" t="s">
        <v>1819</v>
      </c>
    </row>
    <row r="386" spans="1:1" x14ac:dyDescent="0.25">
      <c r="A386" t="s">
        <v>1820</v>
      </c>
    </row>
    <row r="387" spans="1:1" x14ac:dyDescent="0.25">
      <c r="A387" t="s">
        <v>1821</v>
      </c>
    </row>
    <row r="388" spans="1:1" x14ac:dyDescent="0.25">
      <c r="A388" t="s">
        <v>1822</v>
      </c>
    </row>
    <row r="389" spans="1:1" x14ac:dyDescent="0.25">
      <c r="A389" t="s">
        <v>1823</v>
      </c>
    </row>
    <row r="390" spans="1:1" x14ac:dyDescent="0.25">
      <c r="A390" t="s">
        <v>1824</v>
      </c>
    </row>
    <row r="391" spans="1:1" x14ac:dyDescent="0.25">
      <c r="A391" t="s">
        <v>1825</v>
      </c>
    </row>
    <row r="392" spans="1:1" x14ac:dyDescent="0.25">
      <c r="A392" t="s">
        <v>1826</v>
      </c>
    </row>
    <row r="393" spans="1:1" x14ac:dyDescent="0.25">
      <c r="A393" t="s">
        <v>1827</v>
      </c>
    </row>
    <row r="394" spans="1:1" x14ac:dyDescent="0.25">
      <c r="A394" t="s">
        <v>1828</v>
      </c>
    </row>
    <row r="395" spans="1:1" x14ac:dyDescent="0.25">
      <c r="A395" t="s">
        <v>1829</v>
      </c>
    </row>
    <row r="396" spans="1:1" x14ac:dyDescent="0.25">
      <c r="A396" t="s">
        <v>1830</v>
      </c>
    </row>
    <row r="397" spans="1:1" x14ac:dyDescent="0.25">
      <c r="A397" t="s">
        <v>1831</v>
      </c>
    </row>
    <row r="398" spans="1:1" x14ac:dyDescent="0.25">
      <c r="A398" t="s">
        <v>1832</v>
      </c>
    </row>
    <row r="399" spans="1:1" x14ac:dyDescent="0.25">
      <c r="A399" t="s">
        <v>1833</v>
      </c>
    </row>
    <row r="400" spans="1:1" x14ac:dyDescent="0.25">
      <c r="A400" t="s">
        <v>1834</v>
      </c>
    </row>
    <row r="401" spans="1:1" x14ac:dyDescent="0.25">
      <c r="A401" t="s">
        <v>1835</v>
      </c>
    </row>
    <row r="402" spans="1:1" x14ac:dyDescent="0.25">
      <c r="A402" t="s">
        <v>1836</v>
      </c>
    </row>
    <row r="403" spans="1:1" x14ac:dyDescent="0.25">
      <c r="A403" t="s">
        <v>1837</v>
      </c>
    </row>
    <row r="404" spans="1:1" x14ac:dyDescent="0.25">
      <c r="A404" t="s">
        <v>1838</v>
      </c>
    </row>
    <row r="405" spans="1:1" x14ac:dyDescent="0.25">
      <c r="A405" t="s">
        <v>1839</v>
      </c>
    </row>
    <row r="406" spans="1:1" x14ac:dyDescent="0.25">
      <c r="A406" t="s">
        <v>1840</v>
      </c>
    </row>
    <row r="407" spans="1:1" x14ac:dyDescent="0.25">
      <c r="A407" t="s">
        <v>1841</v>
      </c>
    </row>
    <row r="408" spans="1:1" x14ac:dyDescent="0.25">
      <c r="A408" t="s">
        <v>1842</v>
      </c>
    </row>
    <row r="409" spans="1:1" x14ac:dyDescent="0.25">
      <c r="A409" t="s">
        <v>1843</v>
      </c>
    </row>
    <row r="410" spans="1:1" x14ac:dyDescent="0.25">
      <c r="A410" t="s">
        <v>1844</v>
      </c>
    </row>
    <row r="411" spans="1:1" x14ac:dyDescent="0.25">
      <c r="A411" t="s">
        <v>1845</v>
      </c>
    </row>
    <row r="412" spans="1:1" x14ac:dyDescent="0.25">
      <c r="A412" t="s">
        <v>1846</v>
      </c>
    </row>
    <row r="413" spans="1:1" x14ac:dyDescent="0.25">
      <c r="A413" t="s">
        <v>1847</v>
      </c>
    </row>
    <row r="414" spans="1:1" x14ac:dyDescent="0.25">
      <c r="A414" t="s">
        <v>1848</v>
      </c>
    </row>
    <row r="415" spans="1:1" x14ac:dyDescent="0.25">
      <c r="A415" t="s">
        <v>1849</v>
      </c>
    </row>
    <row r="416" spans="1:1" x14ac:dyDescent="0.25">
      <c r="A416" t="s">
        <v>1850</v>
      </c>
    </row>
    <row r="417" spans="1:1" x14ac:dyDescent="0.25">
      <c r="A417" t="s">
        <v>1851</v>
      </c>
    </row>
    <row r="418" spans="1:1" x14ac:dyDescent="0.25">
      <c r="A418" t="s">
        <v>1852</v>
      </c>
    </row>
    <row r="419" spans="1:1" x14ac:dyDescent="0.25">
      <c r="A419" t="s">
        <v>1853</v>
      </c>
    </row>
    <row r="420" spans="1:1" x14ac:dyDescent="0.25">
      <c r="A420" t="s">
        <v>1854</v>
      </c>
    </row>
    <row r="421" spans="1:1" x14ac:dyDescent="0.25">
      <c r="A421" t="s">
        <v>1855</v>
      </c>
    </row>
    <row r="422" spans="1:1" x14ac:dyDescent="0.25">
      <c r="A422" t="s">
        <v>1856</v>
      </c>
    </row>
    <row r="423" spans="1:1" x14ac:dyDescent="0.25">
      <c r="A423" t="s">
        <v>1857</v>
      </c>
    </row>
    <row r="424" spans="1:1" x14ac:dyDescent="0.25">
      <c r="A424" t="s">
        <v>1858</v>
      </c>
    </row>
    <row r="425" spans="1:1" x14ac:dyDescent="0.25">
      <c r="A425" t="s">
        <v>1859</v>
      </c>
    </row>
    <row r="426" spans="1:1" x14ac:dyDescent="0.25">
      <c r="A426" t="s">
        <v>1860</v>
      </c>
    </row>
    <row r="427" spans="1:1" x14ac:dyDescent="0.25">
      <c r="A427" t="s">
        <v>1861</v>
      </c>
    </row>
    <row r="428" spans="1:1" x14ac:dyDescent="0.25">
      <c r="A428" t="s">
        <v>1862</v>
      </c>
    </row>
    <row r="429" spans="1:1" x14ac:dyDescent="0.25">
      <c r="A429" t="s">
        <v>1863</v>
      </c>
    </row>
    <row r="430" spans="1:1" x14ac:dyDescent="0.25">
      <c r="A430" t="s">
        <v>1864</v>
      </c>
    </row>
    <row r="431" spans="1:1" x14ac:dyDescent="0.25">
      <c r="A431" t="s">
        <v>1865</v>
      </c>
    </row>
    <row r="432" spans="1:1" x14ac:dyDescent="0.25">
      <c r="A432" t="s">
        <v>1866</v>
      </c>
    </row>
    <row r="433" spans="1:1" x14ac:dyDescent="0.25">
      <c r="A433" t="s">
        <v>1867</v>
      </c>
    </row>
    <row r="434" spans="1:1" x14ac:dyDescent="0.25">
      <c r="A434" t="s">
        <v>1868</v>
      </c>
    </row>
    <row r="435" spans="1:1" x14ac:dyDescent="0.25">
      <c r="A435" t="s">
        <v>1869</v>
      </c>
    </row>
    <row r="436" spans="1:1" x14ac:dyDescent="0.25">
      <c r="A436" t="s">
        <v>1870</v>
      </c>
    </row>
    <row r="437" spans="1:1" x14ac:dyDescent="0.25">
      <c r="A437" t="s">
        <v>1871</v>
      </c>
    </row>
    <row r="438" spans="1:1" x14ac:dyDescent="0.25">
      <c r="A438" t="s">
        <v>1872</v>
      </c>
    </row>
    <row r="439" spans="1:1" x14ac:dyDescent="0.25">
      <c r="A439" t="s">
        <v>1873</v>
      </c>
    </row>
    <row r="440" spans="1:1" x14ac:dyDescent="0.25">
      <c r="A440" t="s">
        <v>1874</v>
      </c>
    </row>
    <row r="441" spans="1:1" x14ac:dyDescent="0.25">
      <c r="A441" t="s">
        <v>1875</v>
      </c>
    </row>
    <row r="442" spans="1:1" x14ac:dyDescent="0.25">
      <c r="A442" t="s">
        <v>1876</v>
      </c>
    </row>
    <row r="443" spans="1:1" x14ac:dyDescent="0.25">
      <c r="A443" t="s">
        <v>1877</v>
      </c>
    </row>
    <row r="444" spans="1:1" x14ac:dyDescent="0.25">
      <c r="A444" t="s">
        <v>1878</v>
      </c>
    </row>
    <row r="445" spans="1:1" x14ac:dyDescent="0.25">
      <c r="A445" t="s">
        <v>1879</v>
      </c>
    </row>
    <row r="446" spans="1:1" x14ac:dyDescent="0.25">
      <c r="A446" t="s">
        <v>1880</v>
      </c>
    </row>
    <row r="447" spans="1:1" x14ac:dyDescent="0.25">
      <c r="A447" t="s">
        <v>1881</v>
      </c>
    </row>
    <row r="448" spans="1:1" x14ac:dyDescent="0.25">
      <c r="A448" t="s">
        <v>1882</v>
      </c>
    </row>
    <row r="449" spans="1:1" x14ac:dyDescent="0.25">
      <c r="A449" t="s">
        <v>1883</v>
      </c>
    </row>
    <row r="450" spans="1:1" x14ac:dyDescent="0.25">
      <c r="A450" t="s">
        <v>1884</v>
      </c>
    </row>
    <row r="451" spans="1:1" x14ac:dyDescent="0.25">
      <c r="A451" t="s">
        <v>1885</v>
      </c>
    </row>
    <row r="452" spans="1:1" x14ac:dyDescent="0.25">
      <c r="A452" t="s">
        <v>1886</v>
      </c>
    </row>
    <row r="453" spans="1:1" x14ac:dyDescent="0.25">
      <c r="A453" t="s">
        <v>1887</v>
      </c>
    </row>
    <row r="454" spans="1:1" x14ac:dyDescent="0.25">
      <c r="A454" t="s">
        <v>1888</v>
      </c>
    </row>
    <row r="455" spans="1:1" x14ac:dyDescent="0.25">
      <c r="A455" t="s">
        <v>1889</v>
      </c>
    </row>
    <row r="456" spans="1:1" x14ac:dyDescent="0.25">
      <c r="A456" t="s">
        <v>1890</v>
      </c>
    </row>
    <row r="457" spans="1:1" x14ac:dyDescent="0.25">
      <c r="A457" t="s">
        <v>1891</v>
      </c>
    </row>
    <row r="458" spans="1:1" x14ac:dyDescent="0.25">
      <c r="A458" t="s">
        <v>1892</v>
      </c>
    </row>
    <row r="459" spans="1:1" x14ac:dyDescent="0.25">
      <c r="A459" t="s">
        <v>1893</v>
      </c>
    </row>
    <row r="460" spans="1:1" x14ac:dyDescent="0.25">
      <c r="A460" t="s">
        <v>1894</v>
      </c>
    </row>
    <row r="461" spans="1:1" x14ac:dyDescent="0.25">
      <c r="A461" t="s">
        <v>1895</v>
      </c>
    </row>
    <row r="462" spans="1:1" x14ac:dyDescent="0.25">
      <c r="A462" t="s">
        <v>1896</v>
      </c>
    </row>
    <row r="463" spans="1:1" x14ac:dyDescent="0.25">
      <c r="A463" t="s">
        <v>1897</v>
      </c>
    </row>
    <row r="464" spans="1:1" x14ac:dyDescent="0.25">
      <c r="A464" t="s">
        <v>1898</v>
      </c>
    </row>
    <row r="465" spans="1:1" x14ac:dyDescent="0.25">
      <c r="A465" t="s">
        <v>1899</v>
      </c>
    </row>
    <row r="466" spans="1:1" x14ac:dyDescent="0.25">
      <c r="A466" t="s">
        <v>1900</v>
      </c>
    </row>
    <row r="467" spans="1:1" x14ac:dyDescent="0.25">
      <c r="A467" t="s">
        <v>1901</v>
      </c>
    </row>
    <row r="468" spans="1:1" x14ac:dyDescent="0.25">
      <c r="A468" t="s">
        <v>1902</v>
      </c>
    </row>
    <row r="469" spans="1:1" x14ac:dyDescent="0.25">
      <c r="A469" t="s">
        <v>1903</v>
      </c>
    </row>
    <row r="470" spans="1:1" x14ac:dyDescent="0.25">
      <c r="A470" t="s">
        <v>1904</v>
      </c>
    </row>
    <row r="471" spans="1:1" x14ac:dyDescent="0.25">
      <c r="A471" t="s">
        <v>1905</v>
      </c>
    </row>
    <row r="472" spans="1:1" x14ac:dyDescent="0.25">
      <c r="A472" t="s">
        <v>1906</v>
      </c>
    </row>
    <row r="473" spans="1:1" x14ac:dyDescent="0.25">
      <c r="A473" t="s">
        <v>1907</v>
      </c>
    </row>
    <row r="474" spans="1:1" x14ac:dyDescent="0.25">
      <c r="A474" t="s">
        <v>1908</v>
      </c>
    </row>
    <row r="475" spans="1:1" x14ac:dyDescent="0.25">
      <c r="A475" t="s">
        <v>1909</v>
      </c>
    </row>
    <row r="476" spans="1:1" x14ac:dyDescent="0.25">
      <c r="A476" t="s">
        <v>1910</v>
      </c>
    </row>
    <row r="477" spans="1:1" x14ac:dyDescent="0.25">
      <c r="A477" t="s">
        <v>1911</v>
      </c>
    </row>
    <row r="478" spans="1:1" x14ac:dyDescent="0.25">
      <c r="A478" t="s">
        <v>1912</v>
      </c>
    </row>
    <row r="479" spans="1:1" x14ac:dyDescent="0.25">
      <c r="A479" t="s">
        <v>1913</v>
      </c>
    </row>
    <row r="480" spans="1:1" x14ac:dyDescent="0.25">
      <c r="A480" t="s">
        <v>1914</v>
      </c>
    </row>
    <row r="481" spans="1:1" x14ac:dyDescent="0.25">
      <c r="A481" t="s">
        <v>1915</v>
      </c>
    </row>
    <row r="482" spans="1:1" x14ac:dyDescent="0.25">
      <c r="A482" t="s">
        <v>1916</v>
      </c>
    </row>
    <row r="483" spans="1:1" x14ac:dyDescent="0.25">
      <c r="A483" t="s">
        <v>1917</v>
      </c>
    </row>
    <row r="484" spans="1:1" x14ac:dyDescent="0.25">
      <c r="A484" t="s">
        <v>1918</v>
      </c>
    </row>
    <row r="485" spans="1:1" x14ac:dyDescent="0.25">
      <c r="A485" t="s">
        <v>1919</v>
      </c>
    </row>
    <row r="486" spans="1:1" x14ac:dyDescent="0.25">
      <c r="A486" t="s">
        <v>1920</v>
      </c>
    </row>
    <row r="487" spans="1:1" x14ac:dyDescent="0.25">
      <c r="A487" t="s">
        <v>1921</v>
      </c>
    </row>
    <row r="488" spans="1:1" x14ac:dyDescent="0.25">
      <c r="A488" t="s">
        <v>1922</v>
      </c>
    </row>
    <row r="489" spans="1:1" x14ac:dyDescent="0.25">
      <c r="A489" t="s">
        <v>1923</v>
      </c>
    </row>
    <row r="490" spans="1:1" x14ac:dyDescent="0.25">
      <c r="A490" t="s">
        <v>1924</v>
      </c>
    </row>
    <row r="491" spans="1:1" x14ac:dyDescent="0.25">
      <c r="A491" t="s">
        <v>1925</v>
      </c>
    </row>
    <row r="492" spans="1:1" x14ac:dyDescent="0.25">
      <c r="A492" t="s">
        <v>1926</v>
      </c>
    </row>
    <row r="493" spans="1:1" x14ac:dyDescent="0.25">
      <c r="A493" t="s">
        <v>1927</v>
      </c>
    </row>
    <row r="494" spans="1:1" x14ac:dyDescent="0.25">
      <c r="A494" t="s">
        <v>1928</v>
      </c>
    </row>
    <row r="495" spans="1:1" x14ac:dyDescent="0.25">
      <c r="A495" t="s">
        <v>1929</v>
      </c>
    </row>
    <row r="496" spans="1:1" x14ac:dyDescent="0.25">
      <c r="A496" t="s">
        <v>1930</v>
      </c>
    </row>
    <row r="497" spans="1:1" x14ac:dyDescent="0.25">
      <c r="A497" t="s">
        <v>1931</v>
      </c>
    </row>
    <row r="498" spans="1:1" x14ac:dyDescent="0.25">
      <c r="A498" t="s">
        <v>1932</v>
      </c>
    </row>
    <row r="499" spans="1:1" x14ac:dyDescent="0.25">
      <c r="A499" t="s">
        <v>1933</v>
      </c>
    </row>
    <row r="500" spans="1:1" x14ac:dyDescent="0.25">
      <c r="A500" t="s">
        <v>1934</v>
      </c>
    </row>
    <row r="501" spans="1:1" x14ac:dyDescent="0.25">
      <c r="A501" t="s">
        <v>1935</v>
      </c>
    </row>
    <row r="502" spans="1:1" x14ac:dyDescent="0.25">
      <c r="A502" t="s">
        <v>1936</v>
      </c>
    </row>
    <row r="503" spans="1:1" x14ac:dyDescent="0.25">
      <c r="A503" t="s">
        <v>1937</v>
      </c>
    </row>
    <row r="504" spans="1:1" x14ac:dyDescent="0.25">
      <c r="A504" t="s">
        <v>1938</v>
      </c>
    </row>
    <row r="505" spans="1:1" x14ac:dyDescent="0.25">
      <c r="A505" t="s">
        <v>1939</v>
      </c>
    </row>
    <row r="506" spans="1:1" x14ac:dyDescent="0.25">
      <c r="A506" t="s">
        <v>1940</v>
      </c>
    </row>
    <row r="507" spans="1:1" x14ac:dyDescent="0.25">
      <c r="A507" t="s">
        <v>1941</v>
      </c>
    </row>
    <row r="508" spans="1:1" x14ac:dyDescent="0.25">
      <c r="A508" t="s">
        <v>1942</v>
      </c>
    </row>
    <row r="509" spans="1:1" x14ac:dyDescent="0.25">
      <c r="A509" t="s">
        <v>1943</v>
      </c>
    </row>
    <row r="510" spans="1:1" x14ac:dyDescent="0.25">
      <c r="A510" t="s">
        <v>1944</v>
      </c>
    </row>
    <row r="511" spans="1:1" x14ac:dyDescent="0.25">
      <c r="A511" t="s">
        <v>1945</v>
      </c>
    </row>
    <row r="512" spans="1:1" x14ac:dyDescent="0.25">
      <c r="A512" t="s">
        <v>1946</v>
      </c>
    </row>
    <row r="513" spans="1:1" x14ac:dyDescent="0.25">
      <c r="A513" t="s">
        <v>1947</v>
      </c>
    </row>
    <row r="514" spans="1:1" x14ac:dyDescent="0.25">
      <c r="A514" t="s">
        <v>1948</v>
      </c>
    </row>
    <row r="515" spans="1:1" x14ac:dyDescent="0.25">
      <c r="A515" t="s">
        <v>1949</v>
      </c>
    </row>
    <row r="516" spans="1:1" x14ac:dyDescent="0.25">
      <c r="A516" t="s">
        <v>1950</v>
      </c>
    </row>
    <row r="517" spans="1:1" x14ac:dyDescent="0.25">
      <c r="A517" t="s">
        <v>1951</v>
      </c>
    </row>
    <row r="518" spans="1:1" x14ac:dyDescent="0.25">
      <c r="A518" t="s">
        <v>1952</v>
      </c>
    </row>
    <row r="519" spans="1:1" x14ac:dyDescent="0.25">
      <c r="A519" t="s">
        <v>1953</v>
      </c>
    </row>
    <row r="520" spans="1:1" x14ac:dyDescent="0.25">
      <c r="A520" t="s">
        <v>1954</v>
      </c>
    </row>
    <row r="521" spans="1:1" x14ac:dyDescent="0.25">
      <c r="A521" t="s">
        <v>1955</v>
      </c>
    </row>
    <row r="522" spans="1:1" x14ac:dyDescent="0.25">
      <c r="A522" t="s">
        <v>1956</v>
      </c>
    </row>
    <row r="523" spans="1:1" x14ac:dyDescent="0.25">
      <c r="A523" t="s">
        <v>1957</v>
      </c>
    </row>
    <row r="524" spans="1:1" x14ac:dyDescent="0.25">
      <c r="A524" t="s">
        <v>1958</v>
      </c>
    </row>
    <row r="525" spans="1:1" x14ac:dyDescent="0.25">
      <c r="A525" t="s">
        <v>1959</v>
      </c>
    </row>
    <row r="526" spans="1:1" x14ac:dyDescent="0.25">
      <c r="A526" t="s">
        <v>1960</v>
      </c>
    </row>
    <row r="527" spans="1:1" x14ac:dyDescent="0.25">
      <c r="A527" t="s">
        <v>1961</v>
      </c>
    </row>
    <row r="528" spans="1:1" x14ac:dyDescent="0.25">
      <c r="A528" t="s">
        <v>1962</v>
      </c>
    </row>
    <row r="529" spans="1:1" x14ac:dyDescent="0.25">
      <c r="A529" t="s">
        <v>1963</v>
      </c>
    </row>
    <row r="530" spans="1:1" x14ac:dyDescent="0.25">
      <c r="A530" t="s">
        <v>1964</v>
      </c>
    </row>
    <row r="531" spans="1:1" x14ac:dyDescent="0.25">
      <c r="A531" t="s">
        <v>1965</v>
      </c>
    </row>
    <row r="532" spans="1:1" x14ac:dyDescent="0.25">
      <c r="A532" t="s">
        <v>1966</v>
      </c>
    </row>
    <row r="533" spans="1:1" x14ac:dyDescent="0.25">
      <c r="A533" t="s">
        <v>1967</v>
      </c>
    </row>
    <row r="534" spans="1:1" x14ac:dyDescent="0.25">
      <c r="A534" t="s">
        <v>1968</v>
      </c>
    </row>
    <row r="535" spans="1:1" x14ac:dyDescent="0.25">
      <c r="A535" t="s">
        <v>1969</v>
      </c>
    </row>
    <row r="536" spans="1:1" x14ac:dyDescent="0.25">
      <c r="A536" t="s">
        <v>1970</v>
      </c>
    </row>
    <row r="537" spans="1:1" x14ac:dyDescent="0.25">
      <c r="A537" t="s">
        <v>1971</v>
      </c>
    </row>
    <row r="538" spans="1:1" x14ac:dyDescent="0.25">
      <c r="A538" t="s">
        <v>1972</v>
      </c>
    </row>
    <row r="539" spans="1:1" x14ac:dyDescent="0.25">
      <c r="A539" t="s">
        <v>1973</v>
      </c>
    </row>
    <row r="540" spans="1:1" x14ac:dyDescent="0.25">
      <c r="A540" t="s">
        <v>1974</v>
      </c>
    </row>
    <row r="541" spans="1:1" x14ac:dyDescent="0.25">
      <c r="A541" t="s">
        <v>1975</v>
      </c>
    </row>
    <row r="542" spans="1:1" x14ac:dyDescent="0.25">
      <c r="A542" t="s">
        <v>1976</v>
      </c>
    </row>
    <row r="543" spans="1:1" x14ac:dyDescent="0.25">
      <c r="A543" t="s">
        <v>1977</v>
      </c>
    </row>
    <row r="544" spans="1:1" x14ac:dyDescent="0.25">
      <c r="A544" t="s">
        <v>1978</v>
      </c>
    </row>
    <row r="545" spans="1:1" x14ac:dyDescent="0.25">
      <c r="A545" t="s">
        <v>1979</v>
      </c>
    </row>
    <row r="546" spans="1:1" x14ac:dyDescent="0.25">
      <c r="A546" t="s">
        <v>1980</v>
      </c>
    </row>
    <row r="547" spans="1:1" x14ac:dyDescent="0.25">
      <c r="A547" t="s">
        <v>1981</v>
      </c>
    </row>
    <row r="548" spans="1:1" x14ac:dyDescent="0.25">
      <c r="A548" t="s">
        <v>1982</v>
      </c>
    </row>
    <row r="549" spans="1:1" x14ac:dyDescent="0.25">
      <c r="A549" t="s">
        <v>1983</v>
      </c>
    </row>
    <row r="550" spans="1:1" x14ac:dyDescent="0.25">
      <c r="A550" t="s">
        <v>1984</v>
      </c>
    </row>
    <row r="551" spans="1:1" x14ac:dyDescent="0.25">
      <c r="A551" t="s">
        <v>1985</v>
      </c>
    </row>
    <row r="552" spans="1:1" x14ac:dyDescent="0.25">
      <c r="A552" t="s">
        <v>1986</v>
      </c>
    </row>
    <row r="553" spans="1:1" x14ac:dyDescent="0.25">
      <c r="A553" t="s">
        <v>1987</v>
      </c>
    </row>
    <row r="554" spans="1:1" x14ac:dyDescent="0.25">
      <c r="A554" t="s">
        <v>1988</v>
      </c>
    </row>
    <row r="555" spans="1:1" x14ac:dyDescent="0.25">
      <c r="A555" t="s">
        <v>1989</v>
      </c>
    </row>
    <row r="556" spans="1:1" x14ac:dyDescent="0.25">
      <c r="A556" t="s">
        <v>1990</v>
      </c>
    </row>
    <row r="557" spans="1:1" x14ac:dyDescent="0.25">
      <c r="A557" t="s">
        <v>1991</v>
      </c>
    </row>
    <row r="558" spans="1:1" x14ac:dyDescent="0.25">
      <c r="A558" t="s">
        <v>1992</v>
      </c>
    </row>
    <row r="559" spans="1:1" x14ac:dyDescent="0.25">
      <c r="A559" t="s">
        <v>1993</v>
      </c>
    </row>
    <row r="560" spans="1:1" x14ac:dyDescent="0.25">
      <c r="A560" t="s">
        <v>1994</v>
      </c>
    </row>
    <row r="561" spans="1:1" x14ac:dyDescent="0.25">
      <c r="A561" t="s">
        <v>1995</v>
      </c>
    </row>
    <row r="562" spans="1:1" x14ac:dyDescent="0.25">
      <c r="A562" t="s">
        <v>1996</v>
      </c>
    </row>
    <row r="563" spans="1:1" x14ac:dyDescent="0.25">
      <c r="A563" t="s">
        <v>1997</v>
      </c>
    </row>
    <row r="564" spans="1:1" x14ac:dyDescent="0.25">
      <c r="A564" t="s">
        <v>1998</v>
      </c>
    </row>
    <row r="565" spans="1:1" x14ac:dyDescent="0.25">
      <c r="A565" t="s">
        <v>1999</v>
      </c>
    </row>
    <row r="566" spans="1:1" x14ac:dyDescent="0.25">
      <c r="A566" t="s">
        <v>2000</v>
      </c>
    </row>
    <row r="567" spans="1:1" x14ac:dyDescent="0.25">
      <c r="A567" t="s">
        <v>2001</v>
      </c>
    </row>
    <row r="568" spans="1:1" x14ac:dyDescent="0.25">
      <c r="A568" t="s">
        <v>2002</v>
      </c>
    </row>
    <row r="569" spans="1:1" x14ac:dyDescent="0.25">
      <c r="A569" t="s">
        <v>2003</v>
      </c>
    </row>
    <row r="570" spans="1:1" x14ac:dyDescent="0.25">
      <c r="A570" t="s">
        <v>2004</v>
      </c>
    </row>
    <row r="571" spans="1:1" x14ac:dyDescent="0.25">
      <c r="A571" t="s">
        <v>2005</v>
      </c>
    </row>
    <row r="572" spans="1:1" x14ac:dyDescent="0.25">
      <c r="A572" t="s">
        <v>2006</v>
      </c>
    </row>
    <row r="573" spans="1:1" x14ac:dyDescent="0.25">
      <c r="A573" t="s">
        <v>2007</v>
      </c>
    </row>
    <row r="574" spans="1:1" x14ac:dyDescent="0.25">
      <c r="A574" t="s">
        <v>2008</v>
      </c>
    </row>
    <row r="575" spans="1:1" x14ac:dyDescent="0.25">
      <c r="A575" t="s">
        <v>2009</v>
      </c>
    </row>
    <row r="576" spans="1:1" x14ac:dyDescent="0.25">
      <c r="A576" t="s">
        <v>2010</v>
      </c>
    </row>
    <row r="577" spans="1:1" x14ac:dyDescent="0.25">
      <c r="A577" t="s">
        <v>2011</v>
      </c>
    </row>
    <row r="578" spans="1:1" x14ac:dyDescent="0.25">
      <c r="A578" t="s">
        <v>2012</v>
      </c>
    </row>
    <row r="579" spans="1:1" x14ac:dyDescent="0.25">
      <c r="A579" t="s">
        <v>2013</v>
      </c>
    </row>
    <row r="580" spans="1:1" x14ac:dyDescent="0.25">
      <c r="A580" t="s">
        <v>2014</v>
      </c>
    </row>
    <row r="581" spans="1:1" x14ac:dyDescent="0.25">
      <c r="A581" t="s">
        <v>2015</v>
      </c>
    </row>
    <row r="582" spans="1:1" x14ac:dyDescent="0.25">
      <c r="A582" t="s">
        <v>2016</v>
      </c>
    </row>
    <row r="583" spans="1:1" x14ac:dyDescent="0.25">
      <c r="A583" t="s">
        <v>2017</v>
      </c>
    </row>
    <row r="584" spans="1:1" x14ac:dyDescent="0.25">
      <c r="A584" t="s">
        <v>2018</v>
      </c>
    </row>
    <row r="585" spans="1:1" x14ac:dyDescent="0.25">
      <c r="A585" t="s">
        <v>2019</v>
      </c>
    </row>
    <row r="586" spans="1:1" x14ac:dyDescent="0.25">
      <c r="A586" t="s">
        <v>2020</v>
      </c>
    </row>
    <row r="587" spans="1:1" x14ac:dyDescent="0.25">
      <c r="A587" t="s">
        <v>2021</v>
      </c>
    </row>
    <row r="588" spans="1:1" x14ac:dyDescent="0.25">
      <c r="A588" t="s">
        <v>2022</v>
      </c>
    </row>
    <row r="589" spans="1:1" x14ac:dyDescent="0.25">
      <c r="A589" t="s">
        <v>2023</v>
      </c>
    </row>
    <row r="590" spans="1:1" x14ac:dyDescent="0.25">
      <c r="A590" t="s">
        <v>2024</v>
      </c>
    </row>
    <row r="591" spans="1:1" x14ac:dyDescent="0.25">
      <c r="A591" t="s">
        <v>2025</v>
      </c>
    </row>
    <row r="592" spans="1:1" x14ac:dyDescent="0.25">
      <c r="A592" t="s">
        <v>2026</v>
      </c>
    </row>
    <row r="593" spans="1:1" x14ac:dyDescent="0.25">
      <c r="A593" t="s">
        <v>2027</v>
      </c>
    </row>
    <row r="594" spans="1:1" x14ac:dyDescent="0.25">
      <c r="A594" t="s">
        <v>2028</v>
      </c>
    </row>
    <row r="595" spans="1:1" x14ac:dyDescent="0.25">
      <c r="A595" t="s">
        <v>2029</v>
      </c>
    </row>
    <row r="596" spans="1:1" x14ac:dyDescent="0.25">
      <c r="A596" t="s">
        <v>2030</v>
      </c>
    </row>
    <row r="597" spans="1:1" x14ac:dyDescent="0.25">
      <c r="A597" t="s">
        <v>2031</v>
      </c>
    </row>
    <row r="598" spans="1:1" x14ac:dyDescent="0.25">
      <c r="A598" t="s">
        <v>2032</v>
      </c>
    </row>
    <row r="599" spans="1:1" x14ac:dyDescent="0.25">
      <c r="A599" t="s">
        <v>2033</v>
      </c>
    </row>
    <row r="600" spans="1:1" x14ac:dyDescent="0.25">
      <c r="A600" t="s">
        <v>2034</v>
      </c>
    </row>
    <row r="601" spans="1:1" x14ac:dyDescent="0.25">
      <c r="A601" t="s">
        <v>2035</v>
      </c>
    </row>
    <row r="602" spans="1:1" x14ac:dyDescent="0.25">
      <c r="A602" t="s">
        <v>2036</v>
      </c>
    </row>
    <row r="603" spans="1:1" x14ac:dyDescent="0.25">
      <c r="A603" t="s">
        <v>2037</v>
      </c>
    </row>
    <row r="604" spans="1:1" x14ac:dyDescent="0.25">
      <c r="A604" t="s">
        <v>2038</v>
      </c>
    </row>
    <row r="605" spans="1:1" x14ac:dyDescent="0.25">
      <c r="A605" t="s">
        <v>2039</v>
      </c>
    </row>
    <row r="606" spans="1:1" x14ac:dyDescent="0.25">
      <c r="A606" t="s">
        <v>2040</v>
      </c>
    </row>
    <row r="607" spans="1:1" x14ac:dyDescent="0.25">
      <c r="A607" t="s">
        <v>2041</v>
      </c>
    </row>
    <row r="608" spans="1:1" x14ac:dyDescent="0.25">
      <c r="A608" t="s">
        <v>2042</v>
      </c>
    </row>
    <row r="609" spans="1:1" x14ac:dyDescent="0.25">
      <c r="A609" t="s">
        <v>2043</v>
      </c>
    </row>
    <row r="610" spans="1:1" x14ac:dyDescent="0.25">
      <c r="A610" t="s">
        <v>2044</v>
      </c>
    </row>
    <row r="611" spans="1:1" x14ac:dyDescent="0.25">
      <c r="A611" t="s">
        <v>2045</v>
      </c>
    </row>
    <row r="612" spans="1:1" x14ac:dyDescent="0.25">
      <c r="A612" t="s">
        <v>2046</v>
      </c>
    </row>
    <row r="613" spans="1:1" x14ac:dyDescent="0.25">
      <c r="A613" t="s">
        <v>2047</v>
      </c>
    </row>
    <row r="614" spans="1:1" x14ac:dyDescent="0.25">
      <c r="A614" t="s">
        <v>2048</v>
      </c>
    </row>
    <row r="615" spans="1:1" x14ac:dyDescent="0.25">
      <c r="A615" t="s">
        <v>2049</v>
      </c>
    </row>
    <row r="616" spans="1:1" x14ac:dyDescent="0.25">
      <c r="A616" t="s">
        <v>2050</v>
      </c>
    </row>
    <row r="617" spans="1:1" x14ac:dyDescent="0.25">
      <c r="A617" t="s">
        <v>2051</v>
      </c>
    </row>
    <row r="618" spans="1:1" x14ac:dyDescent="0.25">
      <c r="A618" t="s">
        <v>2052</v>
      </c>
    </row>
    <row r="619" spans="1:1" x14ac:dyDescent="0.25">
      <c r="A619" t="s">
        <v>2053</v>
      </c>
    </row>
    <row r="620" spans="1:1" x14ac:dyDescent="0.25">
      <c r="A620" t="s">
        <v>2054</v>
      </c>
    </row>
    <row r="621" spans="1:1" x14ac:dyDescent="0.25">
      <c r="A621" t="s">
        <v>2055</v>
      </c>
    </row>
    <row r="622" spans="1:1" x14ac:dyDescent="0.25">
      <c r="A622" t="s">
        <v>2056</v>
      </c>
    </row>
    <row r="623" spans="1:1" x14ac:dyDescent="0.25">
      <c r="A623" t="s">
        <v>2057</v>
      </c>
    </row>
    <row r="624" spans="1:1" x14ac:dyDescent="0.25">
      <c r="A624" t="s">
        <v>2058</v>
      </c>
    </row>
  </sheetData>
  <pageMargins left="0.7" right="0.7" top="0.75" bottom="0.75" header="0.3" footer="0.3"/>
  <pageSetup paperSize="256" orientation="portrait" horizontalDpi="203" verticalDpi="203"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1:C192"/>
  <sheetViews>
    <sheetView showGridLines="0" workbookViewId="0">
      <selection activeCell="C39" sqref="C39"/>
    </sheetView>
  </sheetViews>
  <sheetFormatPr defaultRowHeight="15" x14ac:dyDescent="0.25"/>
  <cols>
    <col min="2" max="2" width="95" bestFit="1" customWidth="1"/>
    <col min="3" max="3" width="96.28515625" customWidth="1"/>
  </cols>
  <sheetData>
    <row r="1" spans="2:3" ht="15.75" thickBot="1" x14ac:dyDescent="0.3"/>
    <row r="2" spans="2:3" ht="15.75" thickBot="1" x14ac:dyDescent="0.3">
      <c r="B2" s="411" t="s">
        <v>274</v>
      </c>
      <c r="C2" s="412"/>
    </row>
    <row r="3" spans="2:3" ht="15.75" thickBot="1" x14ac:dyDescent="0.3">
      <c r="B3" s="60" t="s">
        <v>275</v>
      </c>
      <c r="C3" s="64" t="str">
        <f>'2. Items to Test'!C2</f>
        <v>1270. 14 BMW X5 SUV (F15) 4.4TT (N63) Auto (Sophisto Gray) AWD (71781)</v>
      </c>
    </row>
    <row r="4" spans="2:3" ht="15.75" thickBot="1" x14ac:dyDescent="0.3">
      <c r="B4" s="60" t="s">
        <v>276</v>
      </c>
      <c r="C4" s="61" t="s">
        <v>425</v>
      </c>
    </row>
    <row r="5" spans="2:3" ht="15.75" thickBot="1" x14ac:dyDescent="0.3">
      <c r="B5" s="60" t="s">
        <v>277</v>
      </c>
      <c r="C5" s="61" t="s">
        <v>423</v>
      </c>
    </row>
    <row r="6" spans="2:3" ht="15.75" thickBot="1" x14ac:dyDescent="0.3">
      <c r="B6" s="60" t="s">
        <v>278</v>
      </c>
      <c r="C6" s="64" t="str">
        <f>'2. Items to Test'!C7</f>
        <v>5UXKR6C59E0J71781</v>
      </c>
    </row>
    <row r="7" spans="2:3" ht="15.75" thickBot="1" x14ac:dyDescent="0.3">
      <c r="B7" s="60" t="s">
        <v>279</v>
      </c>
      <c r="C7" s="61" t="s">
        <v>424</v>
      </c>
    </row>
    <row r="8" spans="2:3" ht="15.75" thickBot="1" x14ac:dyDescent="0.3">
      <c r="B8" s="60" t="s">
        <v>280</v>
      </c>
      <c r="C8" s="61" t="s">
        <v>509</v>
      </c>
    </row>
    <row r="9" spans="2:3" ht="15.75" thickBot="1" x14ac:dyDescent="0.3">
      <c r="B9" s="60" t="s">
        <v>2453</v>
      </c>
      <c r="C9" s="348">
        <v>2014</v>
      </c>
    </row>
    <row r="10" spans="2:3" ht="15.75" thickBot="1" x14ac:dyDescent="0.3">
      <c r="B10" s="60" t="s">
        <v>2459</v>
      </c>
      <c r="C10" s="348" t="s">
        <v>2460</v>
      </c>
    </row>
    <row r="11" spans="2:3" ht="15.75" thickBot="1" x14ac:dyDescent="0.3">
      <c r="B11" s="60" t="s">
        <v>1046</v>
      </c>
      <c r="C11" s="348" t="s">
        <v>1048</v>
      </c>
    </row>
    <row r="12" spans="2:3" ht="15.75" thickBot="1" x14ac:dyDescent="0.3">
      <c r="B12" s="57"/>
    </row>
    <row r="13" spans="2:3" ht="15.75" thickBot="1" x14ac:dyDescent="0.3">
      <c r="B13" s="62" t="s">
        <v>281</v>
      </c>
      <c r="C13" s="63"/>
    </row>
    <row r="14" spans="2:3" ht="15.75" thickBot="1" x14ac:dyDescent="0.3">
      <c r="B14" s="60" t="s">
        <v>282</v>
      </c>
      <c r="C14" s="59"/>
    </row>
    <row r="15" spans="2:3" ht="15.75" thickBot="1" x14ac:dyDescent="0.3">
      <c r="B15" s="285" t="s">
        <v>2074</v>
      </c>
      <c r="C15" s="286" t="s">
        <v>2075</v>
      </c>
    </row>
    <row r="16" spans="2:3" ht="15.75" thickBot="1" x14ac:dyDescent="0.3">
      <c r="B16" s="285" t="s">
        <v>2071</v>
      </c>
      <c r="C16" s="59"/>
    </row>
    <row r="17" spans="2:3" ht="15.75" thickBot="1" x14ac:dyDescent="0.3">
      <c r="B17" s="285" t="s">
        <v>2072</v>
      </c>
      <c r="C17" s="59"/>
    </row>
    <row r="18" spans="2:3" ht="15.75" thickBot="1" x14ac:dyDescent="0.3">
      <c r="B18" s="285" t="s">
        <v>2073</v>
      </c>
      <c r="C18" s="59"/>
    </row>
    <row r="19" spans="2:3" ht="15.75" thickBot="1" x14ac:dyDescent="0.3">
      <c r="B19" s="60" t="s">
        <v>283</v>
      </c>
      <c r="C19" s="58"/>
    </row>
    <row r="20" spans="2:3" ht="15.75" thickBot="1" x14ac:dyDescent="0.3">
      <c r="B20" s="285" t="s">
        <v>2080</v>
      </c>
      <c r="C20" s="59"/>
    </row>
    <row r="21" spans="2:3" ht="15.75" thickBot="1" x14ac:dyDescent="0.3">
      <c r="B21" s="285" t="s">
        <v>2079</v>
      </c>
      <c r="C21" s="59"/>
    </row>
    <row r="22" spans="2:3" ht="15.75" thickBot="1" x14ac:dyDescent="0.3">
      <c r="B22" s="285" t="s">
        <v>2081</v>
      </c>
      <c r="C22" s="59"/>
    </row>
    <row r="23" spans="2:3" ht="15.75" thickBot="1" x14ac:dyDescent="0.3">
      <c r="B23" s="285" t="s">
        <v>2082</v>
      </c>
      <c r="C23" s="59"/>
    </row>
    <row r="24" spans="2:3" ht="15.75" thickBot="1" x14ac:dyDescent="0.3">
      <c r="B24" s="60" t="s">
        <v>2359</v>
      </c>
      <c r="C24" s="58"/>
    </row>
    <row r="25" spans="2:3" ht="15.75" thickBot="1" x14ac:dyDescent="0.3">
      <c r="B25" s="60" t="s">
        <v>2360</v>
      </c>
      <c r="C25" s="58"/>
    </row>
    <row r="26" spans="2:3" ht="15.75" thickBot="1" x14ac:dyDescent="0.3">
      <c r="B26" s="60" t="s">
        <v>2361</v>
      </c>
      <c r="C26" s="58"/>
    </row>
    <row r="27" spans="2:3" ht="15.75" thickBot="1" x14ac:dyDescent="0.3">
      <c r="B27" s="60" t="s">
        <v>2455</v>
      </c>
      <c r="C27" s="58"/>
    </row>
    <row r="28" spans="2:3" ht="15.75" thickBot="1" x14ac:dyDescent="0.3">
      <c r="B28" s="60" t="s">
        <v>2454</v>
      </c>
      <c r="C28" s="58"/>
    </row>
    <row r="29" spans="2:3" ht="15.75" thickBot="1" x14ac:dyDescent="0.3">
      <c r="B29" s="60" t="s">
        <v>2457</v>
      </c>
      <c r="C29" s="58"/>
    </row>
    <row r="30" spans="2:3" ht="15.75" thickBot="1" x14ac:dyDescent="0.3">
      <c r="B30" s="60" t="s">
        <v>2456</v>
      </c>
      <c r="C30" s="58"/>
    </row>
    <row r="31" spans="2:3" ht="15.75" thickBot="1" x14ac:dyDescent="0.3">
      <c r="B31" s="60" t="s">
        <v>2362</v>
      </c>
      <c r="C31" s="58"/>
    </row>
    <row r="32" spans="2:3" ht="15.75" thickBot="1" x14ac:dyDescent="0.3">
      <c r="B32" s="60" t="s">
        <v>2452</v>
      </c>
      <c r="C32" s="58"/>
    </row>
    <row r="33" spans="2:3" ht="15.75" thickBot="1" x14ac:dyDescent="0.3">
      <c r="B33" s="57"/>
    </row>
    <row r="34" spans="2:3" ht="15.75" thickBot="1" x14ac:dyDescent="0.3">
      <c r="B34" s="62" t="s">
        <v>23</v>
      </c>
      <c r="C34" s="63"/>
    </row>
    <row r="35" spans="2:3" ht="15.75" thickBot="1" x14ac:dyDescent="0.3">
      <c r="B35" s="60" t="s">
        <v>24</v>
      </c>
      <c r="C35" s="58"/>
    </row>
    <row r="37" spans="2:3" x14ac:dyDescent="0.25">
      <c r="B37" s="56" t="s">
        <v>273</v>
      </c>
    </row>
    <row r="38" spans="2:3" x14ac:dyDescent="0.25">
      <c r="B38" s="57"/>
    </row>
    <row r="39" spans="2:3" ht="15.75" x14ac:dyDescent="0.25">
      <c r="B39" s="254" t="s">
        <v>1043</v>
      </c>
    </row>
    <row r="40" spans="2:3" ht="15.75" thickBot="1" x14ac:dyDescent="0.3">
      <c r="B40" s="255"/>
    </row>
    <row r="41" spans="2:3" ht="15.75" thickBot="1" x14ac:dyDescent="0.3">
      <c r="B41" s="256" t="s">
        <v>1044</v>
      </c>
      <c r="C41" s="257" t="s">
        <v>2229</v>
      </c>
    </row>
    <row r="42" spans="2:3" ht="15.75" thickBot="1" x14ac:dyDescent="0.3">
      <c r="B42" s="256" t="s">
        <v>1045</v>
      </c>
      <c r="C42" s="273">
        <v>41703</v>
      </c>
    </row>
    <row r="43" spans="2:3" ht="15.75" thickBot="1" x14ac:dyDescent="0.3">
      <c r="B43" s="256" t="s">
        <v>1046</v>
      </c>
      <c r="C43" s="257" t="s">
        <v>2232</v>
      </c>
    </row>
    <row r="44" spans="2:3" ht="15.75" thickBot="1" x14ac:dyDescent="0.3">
      <c r="B44" s="256" t="s">
        <v>1047</v>
      </c>
      <c r="C44" s="257" t="s">
        <v>1048</v>
      </c>
    </row>
    <row r="45" spans="2:3" ht="15.75" thickBot="1" x14ac:dyDescent="0.3">
      <c r="B45" s="256" t="s">
        <v>1049</v>
      </c>
      <c r="C45" s="257" t="s">
        <v>1028</v>
      </c>
    </row>
    <row r="46" spans="2:3" ht="15.75" thickBot="1" x14ac:dyDescent="0.3">
      <c r="B46" s="256" t="s">
        <v>1050</v>
      </c>
      <c r="C46" s="257" t="s">
        <v>572</v>
      </c>
    </row>
    <row r="47" spans="2:3" ht="15.75" thickBot="1" x14ac:dyDescent="0.3">
      <c r="B47" s="256" t="s">
        <v>1051</v>
      </c>
      <c r="C47" s="257" t="s">
        <v>2233</v>
      </c>
    </row>
    <row r="48" spans="2:3" ht="15.75" thickBot="1" x14ac:dyDescent="0.3">
      <c r="B48" s="256" t="s">
        <v>1052</v>
      </c>
      <c r="C48" s="257" t="s">
        <v>2234</v>
      </c>
    </row>
    <row r="49" spans="2:3" ht="15.75" thickBot="1" x14ac:dyDescent="0.3">
      <c r="B49" s="256" t="s">
        <v>1053</v>
      </c>
      <c r="C49" s="257" t="s">
        <v>572</v>
      </c>
    </row>
    <row r="50" spans="2:3" ht="15.75" thickBot="1" x14ac:dyDescent="0.3">
      <c r="B50" s="256" t="s">
        <v>1054</v>
      </c>
      <c r="C50" s="257" t="s">
        <v>572</v>
      </c>
    </row>
    <row r="51" spans="2:3" ht="15.75" thickBot="1" x14ac:dyDescent="0.3">
      <c r="B51" s="256" t="s">
        <v>1055</v>
      </c>
      <c r="C51" s="257" t="s">
        <v>572</v>
      </c>
    </row>
    <row r="52" spans="2:3" ht="15.75" thickBot="1" x14ac:dyDescent="0.3">
      <c r="B52" s="256" t="s">
        <v>1056</v>
      </c>
      <c r="C52" s="257" t="s">
        <v>572</v>
      </c>
    </row>
    <row r="53" spans="2:3" ht="15.75" thickBot="1" x14ac:dyDescent="0.3">
      <c r="B53" s="256" t="s">
        <v>1057</v>
      </c>
      <c r="C53" s="257" t="s">
        <v>572</v>
      </c>
    </row>
    <row r="54" spans="2:3" ht="15.75" thickBot="1" x14ac:dyDescent="0.3">
      <c r="B54" s="256" t="s">
        <v>1058</v>
      </c>
      <c r="C54" s="257" t="s">
        <v>2235</v>
      </c>
    </row>
    <row r="55" spans="2:3" ht="15.75" thickBot="1" x14ac:dyDescent="0.3">
      <c r="B55" s="256" t="s">
        <v>1059</v>
      </c>
      <c r="C55" s="257" t="s">
        <v>2236</v>
      </c>
    </row>
    <row r="56" spans="2:3" ht="15.75" thickBot="1" x14ac:dyDescent="0.3">
      <c r="B56" s="256" t="s">
        <v>245</v>
      </c>
      <c r="C56" s="257" t="s">
        <v>1060</v>
      </c>
    </row>
    <row r="57" spans="2:3" x14ac:dyDescent="0.25">
      <c r="B57" s="256" t="s">
        <v>1061</v>
      </c>
      <c r="C57" s="257" t="s">
        <v>572</v>
      </c>
    </row>
    <row r="58" spans="2:3" ht="15.75" x14ac:dyDescent="0.25">
      <c r="B58" s="258" t="s">
        <v>1062</v>
      </c>
    </row>
    <row r="59" spans="2:3" ht="15.75" thickBot="1" x14ac:dyDescent="0.3">
      <c r="B59" s="259"/>
    </row>
    <row r="60" spans="2:3" ht="15.75" thickBot="1" x14ac:dyDescent="0.3">
      <c r="B60" s="260" t="s">
        <v>1063</v>
      </c>
      <c r="C60" s="261" t="s">
        <v>569</v>
      </c>
    </row>
    <row r="61" spans="2:3" ht="16.5" thickTop="1" thickBot="1" x14ac:dyDescent="0.3">
      <c r="B61" s="256" t="s">
        <v>1064</v>
      </c>
      <c r="C61" s="257" t="s">
        <v>1065</v>
      </c>
    </row>
    <row r="62" spans="2:3" ht="15.75" thickBot="1" x14ac:dyDescent="0.3">
      <c r="B62" s="256" t="s">
        <v>1066</v>
      </c>
      <c r="C62" s="257" t="s">
        <v>1067</v>
      </c>
    </row>
    <row r="63" spans="2:3" ht="15.75" thickBot="1" x14ac:dyDescent="0.3">
      <c r="B63" s="256" t="s">
        <v>1068</v>
      </c>
      <c r="C63" s="257" t="s">
        <v>1069</v>
      </c>
    </row>
    <row r="64" spans="2:3" ht="15.75" thickBot="1" x14ac:dyDescent="0.3">
      <c r="B64" s="256" t="s">
        <v>2237</v>
      </c>
      <c r="C64" s="257" t="s">
        <v>2238</v>
      </c>
    </row>
    <row r="65" spans="2:3" ht="15.75" thickBot="1" x14ac:dyDescent="0.3">
      <c r="B65" s="256" t="s">
        <v>1070</v>
      </c>
      <c r="C65" s="257" t="s">
        <v>1071</v>
      </c>
    </row>
    <row r="66" spans="2:3" ht="15.75" thickBot="1" x14ac:dyDescent="0.3">
      <c r="B66" s="256" t="s">
        <v>2239</v>
      </c>
      <c r="C66" s="257" t="s">
        <v>2240</v>
      </c>
    </row>
    <row r="67" spans="2:3" ht="15.75" thickBot="1" x14ac:dyDescent="0.3">
      <c r="B67" s="256" t="s">
        <v>1072</v>
      </c>
      <c r="C67" s="257" t="s">
        <v>1073</v>
      </c>
    </row>
    <row r="68" spans="2:3" ht="15.75" thickBot="1" x14ac:dyDescent="0.3">
      <c r="B68" s="256" t="s">
        <v>1074</v>
      </c>
      <c r="C68" s="257" t="s">
        <v>1075</v>
      </c>
    </row>
    <row r="69" spans="2:3" ht="15.75" thickBot="1" x14ac:dyDescent="0.3">
      <c r="B69" s="256" t="s">
        <v>1076</v>
      </c>
      <c r="C69" s="257" t="s">
        <v>1077</v>
      </c>
    </row>
    <row r="70" spans="2:3" ht="15.75" thickBot="1" x14ac:dyDescent="0.3">
      <c r="B70" s="256" t="s">
        <v>1078</v>
      </c>
      <c r="C70" s="257" t="s">
        <v>1079</v>
      </c>
    </row>
    <row r="71" spans="2:3" ht="15.75" thickBot="1" x14ac:dyDescent="0.3">
      <c r="B71" s="256" t="s">
        <v>1080</v>
      </c>
      <c r="C71" s="257" t="s">
        <v>1081</v>
      </c>
    </row>
    <row r="72" spans="2:3" ht="15.75" thickBot="1" x14ac:dyDescent="0.3">
      <c r="B72" s="256" t="s">
        <v>2241</v>
      </c>
      <c r="C72" s="257" t="s">
        <v>2242</v>
      </c>
    </row>
    <row r="73" spans="2:3" ht="15.75" thickBot="1" x14ac:dyDescent="0.3">
      <c r="B73" s="256" t="s">
        <v>1082</v>
      </c>
      <c r="C73" s="257" t="s">
        <v>1083</v>
      </c>
    </row>
    <row r="74" spans="2:3" ht="15.75" thickBot="1" x14ac:dyDescent="0.3">
      <c r="B74" s="256" t="s">
        <v>2243</v>
      </c>
      <c r="C74" s="257" t="s">
        <v>2244</v>
      </c>
    </row>
    <row r="75" spans="2:3" ht="15.75" thickBot="1" x14ac:dyDescent="0.3">
      <c r="B75" s="256" t="s">
        <v>2245</v>
      </c>
      <c r="C75" s="257" t="s">
        <v>2246</v>
      </c>
    </row>
    <row r="76" spans="2:3" ht="15.75" thickBot="1" x14ac:dyDescent="0.3">
      <c r="B76" s="256" t="s">
        <v>2247</v>
      </c>
      <c r="C76" s="257" t="s">
        <v>2248</v>
      </c>
    </row>
    <row r="77" spans="2:3" ht="15.75" thickBot="1" x14ac:dyDescent="0.3">
      <c r="B77" s="256" t="s">
        <v>1084</v>
      </c>
      <c r="C77" s="257" t="s">
        <v>1085</v>
      </c>
    </row>
    <row r="78" spans="2:3" ht="15.75" thickBot="1" x14ac:dyDescent="0.3">
      <c r="B78" s="256" t="s">
        <v>2249</v>
      </c>
      <c r="C78" s="257" t="s">
        <v>2250</v>
      </c>
    </row>
    <row r="79" spans="2:3" ht="15.75" thickBot="1" x14ac:dyDescent="0.3">
      <c r="B79" s="256" t="s">
        <v>1086</v>
      </c>
      <c r="C79" s="257" t="s">
        <v>1087</v>
      </c>
    </row>
    <row r="80" spans="2:3" ht="15.75" thickBot="1" x14ac:dyDescent="0.3">
      <c r="B80" s="256" t="s">
        <v>1088</v>
      </c>
      <c r="C80" s="257" t="s">
        <v>1089</v>
      </c>
    </row>
    <row r="81" spans="2:3" ht="15.75" thickBot="1" x14ac:dyDescent="0.3">
      <c r="B81" s="256" t="s">
        <v>1090</v>
      </c>
      <c r="C81" s="257" t="s">
        <v>1091</v>
      </c>
    </row>
    <row r="82" spans="2:3" ht="15.75" thickBot="1" x14ac:dyDescent="0.3">
      <c r="B82" s="256" t="s">
        <v>1092</v>
      </c>
      <c r="C82" s="257" t="s">
        <v>1093</v>
      </c>
    </row>
    <row r="83" spans="2:3" ht="15.75" thickBot="1" x14ac:dyDescent="0.3">
      <c r="B83" s="256" t="s">
        <v>2251</v>
      </c>
      <c r="C83" s="257" t="s">
        <v>2252</v>
      </c>
    </row>
    <row r="84" spans="2:3" ht="15.75" thickBot="1" x14ac:dyDescent="0.3">
      <c r="B84" s="256" t="s">
        <v>2253</v>
      </c>
      <c r="C84" s="257" t="s">
        <v>2254</v>
      </c>
    </row>
    <row r="85" spans="2:3" ht="15.75" thickBot="1" x14ac:dyDescent="0.3">
      <c r="B85" s="256" t="s">
        <v>1094</v>
      </c>
      <c r="C85" s="257" t="s">
        <v>1095</v>
      </c>
    </row>
    <row r="86" spans="2:3" ht="15.75" thickBot="1" x14ac:dyDescent="0.3">
      <c r="B86" s="256" t="s">
        <v>1096</v>
      </c>
      <c r="C86" s="257" t="s">
        <v>1097</v>
      </c>
    </row>
    <row r="87" spans="2:3" ht="15.75" thickBot="1" x14ac:dyDescent="0.3">
      <c r="B87" s="256" t="s">
        <v>1098</v>
      </c>
      <c r="C87" s="257" t="s">
        <v>1099</v>
      </c>
    </row>
    <row r="88" spans="2:3" ht="15.75" thickBot="1" x14ac:dyDescent="0.3">
      <c r="B88" s="256" t="s">
        <v>1100</v>
      </c>
      <c r="C88" s="257" t="s">
        <v>1101</v>
      </c>
    </row>
    <row r="89" spans="2:3" ht="15.75" thickBot="1" x14ac:dyDescent="0.3">
      <c r="B89" s="256" t="s">
        <v>2255</v>
      </c>
      <c r="C89" s="257" t="s">
        <v>2256</v>
      </c>
    </row>
    <row r="90" spans="2:3" ht="15.75" thickBot="1" x14ac:dyDescent="0.3">
      <c r="B90" s="256" t="s">
        <v>2257</v>
      </c>
      <c r="C90" s="257" t="s">
        <v>2258</v>
      </c>
    </row>
    <row r="91" spans="2:3" ht="15.75" thickBot="1" x14ac:dyDescent="0.3">
      <c r="B91" s="256" t="s">
        <v>2259</v>
      </c>
      <c r="C91" s="257" t="s">
        <v>2260</v>
      </c>
    </row>
    <row r="92" spans="2:3" ht="15.75" thickBot="1" x14ac:dyDescent="0.3">
      <c r="B92" s="256" t="s">
        <v>1102</v>
      </c>
      <c r="C92" s="257" t="s">
        <v>1103</v>
      </c>
    </row>
    <row r="93" spans="2:3" ht="15.75" thickBot="1" x14ac:dyDescent="0.3">
      <c r="B93" s="256" t="s">
        <v>1104</v>
      </c>
      <c r="C93" s="257" t="s">
        <v>1105</v>
      </c>
    </row>
    <row r="94" spans="2:3" ht="15.75" thickBot="1" x14ac:dyDescent="0.3">
      <c r="B94" s="256" t="s">
        <v>1106</v>
      </c>
      <c r="C94" s="257" t="s">
        <v>1107</v>
      </c>
    </row>
    <row r="95" spans="2:3" ht="15.75" thickBot="1" x14ac:dyDescent="0.3">
      <c r="B95" s="256" t="s">
        <v>1108</v>
      </c>
      <c r="C95" s="257" t="s">
        <v>1109</v>
      </c>
    </row>
    <row r="96" spans="2:3" ht="15.75" thickBot="1" x14ac:dyDescent="0.3">
      <c r="B96" s="256" t="s">
        <v>1110</v>
      </c>
      <c r="C96" s="257" t="s">
        <v>1111</v>
      </c>
    </row>
    <row r="97" spans="2:3" ht="15.75" thickBot="1" x14ac:dyDescent="0.3">
      <c r="B97" s="256" t="s">
        <v>1112</v>
      </c>
      <c r="C97" s="257" t="s">
        <v>1113</v>
      </c>
    </row>
    <row r="98" spans="2:3" ht="15.75" thickBot="1" x14ac:dyDescent="0.3">
      <c r="B98" s="256" t="s">
        <v>1114</v>
      </c>
      <c r="C98" s="257" t="s">
        <v>1115</v>
      </c>
    </row>
    <row r="99" spans="2:3" ht="15.75" thickBot="1" x14ac:dyDescent="0.3">
      <c r="B99" s="256" t="s">
        <v>1116</v>
      </c>
      <c r="C99" s="257" t="s">
        <v>1117</v>
      </c>
    </row>
    <row r="100" spans="2:3" ht="15.75" thickBot="1" x14ac:dyDescent="0.3">
      <c r="B100" s="256" t="s">
        <v>2261</v>
      </c>
      <c r="C100" s="257" t="s">
        <v>2262</v>
      </c>
    </row>
    <row r="101" spans="2:3" ht="15.75" thickBot="1" x14ac:dyDescent="0.3">
      <c r="B101" s="256" t="s">
        <v>2263</v>
      </c>
      <c r="C101" s="257" t="s">
        <v>2264</v>
      </c>
    </row>
    <row r="102" spans="2:3" ht="15.75" thickBot="1" x14ac:dyDescent="0.3">
      <c r="B102" s="256" t="s">
        <v>2265</v>
      </c>
      <c r="C102" s="257" t="s">
        <v>2266</v>
      </c>
    </row>
    <row r="103" spans="2:3" ht="15.75" thickBot="1" x14ac:dyDescent="0.3">
      <c r="B103" s="256" t="s">
        <v>1118</v>
      </c>
      <c r="C103" s="257" t="s">
        <v>1119</v>
      </c>
    </row>
    <row r="104" spans="2:3" ht="15.75" thickBot="1" x14ac:dyDescent="0.3">
      <c r="B104" s="256" t="s">
        <v>2267</v>
      </c>
      <c r="C104" s="257" t="s">
        <v>2268</v>
      </c>
    </row>
    <row r="105" spans="2:3" ht="15.75" thickBot="1" x14ac:dyDescent="0.3">
      <c r="B105" s="256" t="s">
        <v>1120</v>
      </c>
      <c r="C105" s="257" t="s">
        <v>1121</v>
      </c>
    </row>
    <row r="106" spans="2:3" ht="15.75" thickBot="1" x14ac:dyDescent="0.3">
      <c r="B106" s="256" t="s">
        <v>1122</v>
      </c>
      <c r="C106" s="257" t="s">
        <v>1123</v>
      </c>
    </row>
    <row r="107" spans="2:3" ht="15.75" thickBot="1" x14ac:dyDescent="0.3">
      <c r="B107" s="256" t="s">
        <v>2269</v>
      </c>
      <c r="C107" s="257" t="s">
        <v>2270</v>
      </c>
    </row>
    <row r="108" spans="2:3" ht="15.75" thickBot="1" x14ac:dyDescent="0.3">
      <c r="B108" s="256" t="s">
        <v>1124</v>
      </c>
      <c r="C108" s="257" t="s">
        <v>1125</v>
      </c>
    </row>
    <row r="109" spans="2:3" ht="15.75" thickBot="1" x14ac:dyDescent="0.3">
      <c r="B109" s="256" t="s">
        <v>1126</v>
      </c>
      <c r="C109" s="257" t="s">
        <v>1127</v>
      </c>
    </row>
    <row r="110" spans="2:3" ht="15.75" thickBot="1" x14ac:dyDescent="0.3">
      <c r="B110" s="256" t="s">
        <v>1128</v>
      </c>
      <c r="C110" s="257" t="s">
        <v>1129</v>
      </c>
    </row>
    <row r="111" spans="2:3" ht="15.75" thickBot="1" x14ac:dyDescent="0.3">
      <c r="B111" s="256" t="s">
        <v>1130</v>
      </c>
      <c r="C111" s="257" t="s">
        <v>1131</v>
      </c>
    </row>
    <row r="112" spans="2:3" ht="15.75" thickBot="1" x14ac:dyDescent="0.3">
      <c r="B112" s="256" t="s">
        <v>1132</v>
      </c>
      <c r="C112" s="257" t="s">
        <v>1133</v>
      </c>
    </row>
    <row r="113" spans="2:3" ht="15.75" thickBot="1" x14ac:dyDescent="0.3">
      <c r="B113" s="256" t="s">
        <v>1134</v>
      </c>
      <c r="C113" s="257" t="s">
        <v>1135</v>
      </c>
    </row>
    <row r="114" spans="2:3" ht="15.75" thickBot="1" x14ac:dyDescent="0.3">
      <c r="B114" s="256" t="s">
        <v>1136</v>
      </c>
      <c r="C114" s="257" t="s">
        <v>1137</v>
      </c>
    </row>
    <row r="115" spans="2:3" ht="15.75" thickBot="1" x14ac:dyDescent="0.3">
      <c r="B115" s="256" t="s">
        <v>1138</v>
      </c>
      <c r="C115" s="257" t="s">
        <v>1139</v>
      </c>
    </row>
    <row r="116" spans="2:3" x14ac:dyDescent="0.25">
      <c r="B116" s="256" t="s">
        <v>1140</v>
      </c>
      <c r="C116" s="257" t="s">
        <v>1141</v>
      </c>
    </row>
    <row r="117" spans="2:3" x14ac:dyDescent="0.25">
      <c r="B117" s="28" t="s">
        <v>1142</v>
      </c>
      <c r="C117" t="s">
        <v>1143</v>
      </c>
    </row>
    <row r="118" spans="2:3" x14ac:dyDescent="0.25">
      <c r="B118" s="28" t="s">
        <v>1144</v>
      </c>
      <c r="C118" t="s">
        <v>1145</v>
      </c>
    </row>
    <row r="119" spans="2:3" x14ac:dyDescent="0.25">
      <c r="B119" s="28" t="s">
        <v>1146</v>
      </c>
      <c r="C119" t="s">
        <v>1147</v>
      </c>
    </row>
    <row r="120" spans="2:3" x14ac:dyDescent="0.25">
      <c r="B120" s="28" t="s">
        <v>1148</v>
      </c>
      <c r="C120" t="s">
        <v>1149</v>
      </c>
    </row>
    <row r="121" spans="2:3" x14ac:dyDescent="0.25">
      <c r="B121" s="28" t="s">
        <v>1150</v>
      </c>
      <c r="C121" t="s">
        <v>1151</v>
      </c>
    </row>
    <row r="122" spans="2:3" x14ac:dyDescent="0.25">
      <c r="B122" s="28" t="s">
        <v>1152</v>
      </c>
      <c r="C122" t="s">
        <v>1153</v>
      </c>
    </row>
    <row r="123" spans="2:3" x14ac:dyDescent="0.25">
      <c r="B123" s="28" t="s">
        <v>2271</v>
      </c>
      <c r="C123" t="s">
        <v>2272</v>
      </c>
    </row>
    <row r="124" spans="2:3" x14ac:dyDescent="0.25">
      <c r="B124" s="28" t="s">
        <v>1154</v>
      </c>
      <c r="C124" t="s">
        <v>1155</v>
      </c>
    </row>
    <row r="125" spans="2:3" x14ac:dyDescent="0.25">
      <c r="B125" s="28" t="s">
        <v>1156</v>
      </c>
      <c r="C125" t="s">
        <v>1157</v>
      </c>
    </row>
    <row r="126" spans="2:3" x14ac:dyDescent="0.25">
      <c r="B126" s="28" t="s">
        <v>2273</v>
      </c>
      <c r="C126" t="s">
        <v>2274</v>
      </c>
    </row>
    <row r="127" spans="2:3" x14ac:dyDescent="0.25">
      <c r="B127" s="28" t="s">
        <v>2275</v>
      </c>
      <c r="C127" t="s">
        <v>2276</v>
      </c>
    </row>
    <row r="128" spans="2:3" x14ac:dyDescent="0.25">
      <c r="B128" s="28" t="s">
        <v>2277</v>
      </c>
      <c r="C128" t="s">
        <v>2278</v>
      </c>
    </row>
    <row r="129" spans="2:2" x14ac:dyDescent="0.25">
      <c r="B129" s="28"/>
    </row>
    <row r="130" spans="2:2" x14ac:dyDescent="0.25">
      <c r="B130" s="28"/>
    </row>
    <row r="131" spans="2:2" x14ac:dyDescent="0.25">
      <c r="B131" s="28"/>
    </row>
    <row r="132" spans="2:2" x14ac:dyDescent="0.25">
      <c r="B132" s="28"/>
    </row>
    <row r="133" spans="2:2" x14ac:dyDescent="0.25">
      <c r="B133" s="28"/>
    </row>
    <row r="134" spans="2:2" x14ac:dyDescent="0.25">
      <c r="B134" s="28"/>
    </row>
    <row r="135" spans="2:2" x14ac:dyDescent="0.25">
      <c r="B135" s="28"/>
    </row>
    <row r="136" spans="2:2" x14ac:dyDescent="0.25">
      <c r="B136" s="28"/>
    </row>
    <row r="137" spans="2:2" x14ac:dyDescent="0.25">
      <c r="B137" s="28"/>
    </row>
    <row r="138" spans="2:2" x14ac:dyDescent="0.25">
      <c r="B138" s="28"/>
    </row>
    <row r="139" spans="2:2" x14ac:dyDescent="0.25">
      <c r="B139" s="28"/>
    </row>
    <row r="140" spans="2:2" x14ac:dyDescent="0.25">
      <c r="B140" s="28"/>
    </row>
    <row r="141" spans="2:2" x14ac:dyDescent="0.25">
      <c r="B141" s="28"/>
    </row>
    <row r="142" spans="2:2" x14ac:dyDescent="0.25">
      <c r="B142" s="28"/>
    </row>
    <row r="143" spans="2:2" x14ac:dyDescent="0.25">
      <c r="B143" s="28"/>
    </row>
    <row r="144" spans="2:2" x14ac:dyDescent="0.25">
      <c r="B144" s="28"/>
    </row>
    <row r="145" spans="2:2" x14ac:dyDescent="0.25">
      <c r="B145" s="28"/>
    </row>
    <row r="146" spans="2:2" x14ac:dyDescent="0.25">
      <c r="B146" s="28"/>
    </row>
    <row r="147" spans="2:2" x14ac:dyDescent="0.25">
      <c r="B147" s="28"/>
    </row>
    <row r="148" spans="2:2" x14ac:dyDescent="0.25">
      <c r="B148" s="28"/>
    </row>
    <row r="149" spans="2:2" x14ac:dyDescent="0.25">
      <c r="B149" s="28"/>
    </row>
    <row r="150" spans="2:2" x14ac:dyDescent="0.25">
      <c r="B150" s="28"/>
    </row>
    <row r="151" spans="2:2" x14ac:dyDescent="0.25">
      <c r="B151" s="28"/>
    </row>
    <row r="152" spans="2:2" x14ac:dyDescent="0.25">
      <c r="B152" s="28"/>
    </row>
    <row r="153" spans="2:2" x14ac:dyDescent="0.25">
      <c r="B153" s="28"/>
    </row>
    <row r="154" spans="2:2" x14ac:dyDescent="0.25">
      <c r="B154" s="28"/>
    </row>
    <row r="155" spans="2:2" x14ac:dyDescent="0.25">
      <c r="B155" s="28"/>
    </row>
    <row r="156" spans="2:2" x14ac:dyDescent="0.25">
      <c r="B156" s="28"/>
    </row>
    <row r="157" spans="2:2" x14ac:dyDescent="0.25">
      <c r="B157" s="28"/>
    </row>
    <row r="158" spans="2:2" x14ac:dyDescent="0.25">
      <c r="B158" s="28"/>
    </row>
    <row r="159" spans="2:2" x14ac:dyDescent="0.25">
      <c r="B159" s="28"/>
    </row>
    <row r="160" spans="2:2" x14ac:dyDescent="0.25">
      <c r="B160" s="28"/>
    </row>
    <row r="161" spans="2:2" x14ac:dyDescent="0.25">
      <c r="B161" s="28"/>
    </row>
    <row r="162" spans="2:2" x14ac:dyDescent="0.25">
      <c r="B162" s="28"/>
    </row>
    <row r="163" spans="2:2" x14ac:dyDescent="0.25">
      <c r="B163" s="28"/>
    </row>
    <row r="164" spans="2:2" x14ac:dyDescent="0.25">
      <c r="B164" s="28"/>
    </row>
    <row r="165" spans="2:2" x14ac:dyDescent="0.25">
      <c r="B165" s="28"/>
    </row>
    <row r="166" spans="2:2" x14ac:dyDescent="0.25">
      <c r="B166" s="28"/>
    </row>
    <row r="167" spans="2:2" x14ac:dyDescent="0.25">
      <c r="B167" s="28"/>
    </row>
    <row r="168" spans="2:2" x14ac:dyDescent="0.25">
      <c r="B168" s="28"/>
    </row>
    <row r="169" spans="2:2" x14ac:dyDescent="0.25">
      <c r="B169" s="28"/>
    </row>
    <row r="170" spans="2:2" x14ac:dyDescent="0.25">
      <c r="B170" s="28"/>
    </row>
    <row r="171" spans="2:2" x14ac:dyDescent="0.25">
      <c r="B171" s="28"/>
    </row>
    <row r="172" spans="2:2" x14ac:dyDescent="0.25">
      <c r="B172" s="28"/>
    </row>
    <row r="173" spans="2:2" x14ac:dyDescent="0.25">
      <c r="B173" s="28"/>
    </row>
    <row r="174" spans="2:2" x14ac:dyDescent="0.25">
      <c r="B174" s="28"/>
    </row>
    <row r="175" spans="2:2" x14ac:dyDescent="0.25">
      <c r="B175" s="28"/>
    </row>
    <row r="176" spans="2:2" x14ac:dyDescent="0.25">
      <c r="B176" s="28"/>
    </row>
    <row r="177" spans="2:2" x14ac:dyDescent="0.25">
      <c r="B177" s="28"/>
    </row>
    <row r="178" spans="2:2" x14ac:dyDescent="0.25">
      <c r="B178" s="28"/>
    </row>
    <row r="179" spans="2:2" x14ac:dyDescent="0.25">
      <c r="B179" s="28"/>
    </row>
    <row r="180" spans="2:2" x14ac:dyDescent="0.25">
      <c r="B180" s="28"/>
    </row>
    <row r="181" spans="2:2" x14ac:dyDescent="0.25">
      <c r="B181" s="28"/>
    </row>
    <row r="182" spans="2:2" x14ac:dyDescent="0.25">
      <c r="B182" s="28"/>
    </row>
    <row r="183" spans="2:2" x14ac:dyDescent="0.25">
      <c r="B183" s="28"/>
    </row>
    <row r="184" spans="2:2" x14ac:dyDescent="0.25">
      <c r="B184" s="28"/>
    </row>
    <row r="185" spans="2:2" x14ac:dyDescent="0.25">
      <c r="B185" s="28"/>
    </row>
    <row r="186" spans="2:2" x14ac:dyDescent="0.25">
      <c r="B186" s="28"/>
    </row>
    <row r="187" spans="2:2" x14ac:dyDescent="0.25">
      <c r="B187" s="28"/>
    </row>
    <row r="188" spans="2:2" x14ac:dyDescent="0.25">
      <c r="B188" s="28"/>
    </row>
    <row r="189" spans="2:2" x14ac:dyDescent="0.25">
      <c r="B189" s="28"/>
    </row>
    <row r="190" spans="2:2" x14ac:dyDescent="0.25">
      <c r="B190" s="28"/>
    </row>
    <row r="191" spans="2:2" x14ac:dyDescent="0.25">
      <c r="B191" s="28"/>
    </row>
    <row r="192" spans="2:2" x14ac:dyDescent="0.25">
      <c r="B192" s="28"/>
    </row>
  </sheetData>
  <mergeCells count="1">
    <mergeCell ref="B2:C2"/>
  </mergeCells>
  <pageMargins left="0.7" right="0.7" top="0.75" bottom="0.75" header="0.3" footer="0.3"/>
  <pageSetup paperSize="256" orientation="portrait" horizontalDpi="203" verticalDpi="20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P8"/>
  <sheetViews>
    <sheetView workbookViewId="0">
      <selection activeCell="G49" sqref="G49"/>
    </sheetView>
  </sheetViews>
  <sheetFormatPr defaultRowHeight="15" x14ac:dyDescent="0.25"/>
  <cols>
    <col min="1" max="1" width="2" customWidth="1"/>
    <col min="2" max="2" width="16.42578125" bestFit="1" customWidth="1"/>
    <col min="3" max="3" width="16.7109375" customWidth="1"/>
    <col min="4" max="4" width="27.140625" customWidth="1"/>
    <col min="5" max="5" width="28.42578125" customWidth="1"/>
    <col min="6" max="6" width="72.42578125" bestFit="1" customWidth="1"/>
    <col min="7" max="7" width="50.5703125" customWidth="1"/>
    <col min="8" max="11" width="12.85546875" customWidth="1"/>
    <col min="13" max="13" width="14.5703125" bestFit="1" customWidth="1"/>
    <col min="14" max="14" width="15.5703125" bestFit="1" customWidth="1"/>
    <col min="16" max="16" width="16.7109375" bestFit="1" customWidth="1"/>
  </cols>
  <sheetData>
    <row r="1" spans="2:16" ht="15.75" thickBot="1" x14ac:dyDescent="0.3">
      <c r="B1" s="22" t="s">
        <v>77</v>
      </c>
      <c r="C1" s="408" t="str">
        <f>'1. Template Stats'!C2</f>
        <v>65A. BMW X5 (F15) 14-18 (1) SUV (2) 14-18 N55 (3) Auto (4) RWD/AWD</v>
      </c>
      <c r="D1" s="409"/>
      <c r="E1" s="409"/>
      <c r="F1" s="410"/>
      <c r="G1" s="55"/>
      <c r="H1" s="11"/>
      <c r="I1" s="55"/>
      <c r="J1" s="3"/>
      <c r="L1" s="68"/>
    </row>
    <row r="2" spans="2:16" s="1" customFormat="1" ht="15.75" thickBot="1" x14ac:dyDescent="0.3">
      <c r="B2" s="408" t="str">
        <f>'2. Items to Test'!C2</f>
        <v>1270. 14 BMW X5 SUV (F15) 4.4TT (N63) Auto (Sophisto Gray) AWD (71781)</v>
      </c>
      <c r="C2" s="409"/>
      <c r="D2" s="409"/>
      <c r="E2" s="409"/>
      <c r="F2" s="410"/>
      <c r="G2" s="11"/>
      <c r="H2" s="11"/>
      <c r="I2" s="55"/>
      <c r="J2" s="3"/>
      <c r="K2"/>
      <c r="L2" s="68"/>
      <c r="M2"/>
    </row>
    <row r="3" spans="2:16" ht="15.75" thickBot="1" x14ac:dyDescent="0.3">
      <c r="B3" s="2" t="s">
        <v>330</v>
      </c>
      <c r="C3" s="9" t="s">
        <v>2</v>
      </c>
      <c r="D3" s="9" t="s">
        <v>329</v>
      </c>
      <c r="E3" s="9" t="s">
        <v>1</v>
      </c>
      <c r="F3" s="9" t="s">
        <v>0</v>
      </c>
      <c r="G3" s="9" t="s">
        <v>2</v>
      </c>
      <c r="H3" s="17" t="s">
        <v>356</v>
      </c>
      <c r="I3" s="17" t="s">
        <v>357</v>
      </c>
      <c r="J3" s="17" t="s">
        <v>354</v>
      </c>
      <c r="K3" s="1" t="s">
        <v>355</v>
      </c>
      <c r="L3" s="54" t="s">
        <v>8</v>
      </c>
      <c r="M3" s="4" t="s">
        <v>60</v>
      </c>
      <c r="N3" s="98" t="s">
        <v>28</v>
      </c>
      <c r="O3" s="68" t="s">
        <v>272</v>
      </c>
      <c r="P3" s="54" t="s">
        <v>284</v>
      </c>
    </row>
    <row r="4" spans="2:16" x14ac:dyDescent="0.25">
      <c r="B4" s="19"/>
      <c r="C4" s="16"/>
      <c r="D4" s="16"/>
      <c r="E4" s="16"/>
      <c r="F4" s="16"/>
      <c r="G4" s="16"/>
      <c r="H4" s="16"/>
      <c r="I4" s="97"/>
      <c r="J4" s="97"/>
      <c r="K4" s="11"/>
      <c r="L4" s="55"/>
      <c r="M4" s="3"/>
      <c r="O4" s="68"/>
    </row>
    <row r="5" spans="2:16" x14ac:dyDescent="0.25">
      <c r="B5" s="19"/>
      <c r="C5" s="16"/>
      <c r="D5" s="16"/>
      <c r="E5" s="16"/>
      <c r="F5" s="16"/>
      <c r="G5" s="16"/>
      <c r="H5" s="16"/>
      <c r="I5" s="18"/>
      <c r="J5" s="18"/>
      <c r="K5" s="11"/>
      <c r="L5" s="55"/>
      <c r="M5" s="3"/>
      <c r="O5" s="68"/>
    </row>
    <row r="6" spans="2:16" x14ac:dyDescent="0.25">
      <c r="B6" s="19"/>
      <c r="C6" s="16"/>
      <c r="D6" s="16"/>
      <c r="E6" s="16"/>
      <c r="F6" s="16"/>
      <c r="G6" s="16"/>
      <c r="H6" s="16"/>
      <c r="I6" s="16"/>
      <c r="J6" s="16"/>
      <c r="K6" s="11"/>
      <c r="L6" s="55"/>
      <c r="M6" s="3"/>
      <c r="O6" s="68"/>
    </row>
    <row r="7" spans="2:16" x14ac:dyDescent="0.25">
      <c r="B7" s="19"/>
      <c r="C7" s="16"/>
      <c r="D7" s="16"/>
      <c r="E7" s="16"/>
      <c r="F7" s="16"/>
      <c r="G7" s="16"/>
      <c r="H7" s="16"/>
      <c r="I7" s="16"/>
      <c r="J7" s="16"/>
      <c r="K7" s="11"/>
      <c r="L7" s="55"/>
      <c r="M7" s="3"/>
      <c r="O7" s="68"/>
    </row>
    <row r="8" spans="2:16" x14ac:dyDescent="0.25">
      <c r="B8" s="19"/>
      <c r="C8" s="16"/>
      <c r="D8" s="16"/>
      <c r="E8" s="16"/>
      <c r="F8" s="16"/>
      <c r="G8" s="16"/>
      <c r="H8" s="16"/>
      <c r="I8" s="16"/>
      <c r="J8" s="16"/>
      <c r="K8" s="11"/>
      <c r="L8" s="55"/>
      <c r="M8" s="3"/>
      <c r="O8" s="68"/>
    </row>
  </sheetData>
  <mergeCells count="2">
    <mergeCell ref="C1:F1"/>
    <mergeCell ref="B2:F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B1:C45"/>
  <sheetViews>
    <sheetView showGridLines="0" workbookViewId="0">
      <selection activeCell="D33" sqref="D33"/>
    </sheetView>
  </sheetViews>
  <sheetFormatPr defaultRowHeight="15" x14ac:dyDescent="0.25"/>
  <cols>
    <col min="2" max="2" width="45" bestFit="1" customWidth="1"/>
    <col min="3" max="3" width="53.5703125" customWidth="1"/>
  </cols>
  <sheetData>
    <row r="1" spans="2:3" ht="15.75" thickBot="1" x14ac:dyDescent="0.3">
      <c r="B1" s="8" t="s">
        <v>25</v>
      </c>
    </row>
    <row r="2" spans="2:3" ht="15.75" thickBot="1" x14ac:dyDescent="0.3">
      <c r="B2" s="421" t="str">
        <f>'[1]2. Items to Test'!C2</f>
        <v>1240. 14 BMW X5 (F15) 3.0T (N55) Auto RWD (Brown) (00793)</v>
      </c>
      <c r="C2" s="422"/>
    </row>
    <row r="3" spans="2:3" ht="15.75" thickBot="1" x14ac:dyDescent="0.3">
      <c r="B3" s="31" t="s">
        <v>20</v>
      </c>
      <c r="C3" s="32"/>
    </row>
    <row r="4" spans="2:3" ht="15.75" thickBot="1" x14ac:dyDescent="0.3">
      <c r="B4" s="6" t="s">
        <v>9</v>
      </c>
      <c r="C4" s="7" t="s">
        <v>1230</v>
      </c>
    </row>
    <row r="5" spans="2:3" ht="15.75" thickBot="1" x14ac:dyDescent="0.3">
      <c r="B5" s="6" t="s">
        <v>10</v>
      </c>
      <c r="C5" s="7"/>
    </row>
    <row r="6" spans="2:3" ht="15.75" thickBot="1" x14ac:dyDescent="0.3">
      <c r="B6" s="31" t="s">
        <v>19</v>
      </c>
      <c r="C6" s="53"/>
    </row>
    <row r="7" spans="2:3" ht="15.75" thickBot="1" x14ac:dyDescent="0.3">
      <c r="B7" s="6" t="s">
        <v>11</v>
      </c>
      <c r="C7" s="7" t="s">
        <v>1230</v>
      </c>
    </row>
    <row r="8" spans="2:3" ht="15.75" thickBot="1" x14ac:dyDescent="0.3">
      <c r="B8" s="6" t="s">
        <v>12</v>
      </c>
      <c r="C8" s="7" t="s">
        <v>1230</v>
      </c>
    </row>
    <row r="9" spans="2:3" ht="15.75" thickBot="1" x14ac:dyDescent="0.3">
      <c r="B9" s="31" t="s">
        <v>21</v>
      </c>
      <c r="C9" s="53"/>
    </row>
    <row r="10" spans="2:3" ht="15.75" thickBot="1" x14ac:dyDescent="0.3">
      <c r="B10" s="6" t="s">
        <v>13</v>
      </c>
      <c r="C10" s="7" t="s">
        <v>1230</v>
      </c>
    </row>
    <row r="11" spans="2:3" ht="15.75" thickBot="1" x14ac:dyDescent="0.3">
      <c r="B11" s="6" t="s">
        <v>14</v>
      </c>
      <c r="C11" s="7" t="s">
        <v>1230</v>
      </c>
    </row>
    <row r="12" spans="2:3" ht="15.75" thickBot="1" x14ac:dyDescent="0.3">
      <c r="B12" s="6" t="s">
        <v>15</v>
      </c>
      <c r="C12" s="7" t="s">
        <v>1230</v>
      </c>
    </row>
    <row r="13" spans="2:3" ht="15.75" thickBot="1" x14ac:dyDescent="0.3">
      <c r="B13" s="6" t="s">
        <v>16</v>
      </c>
      <c r="C13" s="7" t="s">
        <v>1230</v>
      </c>
    </row>
    <row r="14" spans="2:3" ht="15.75" thickBot="1" x14ac:dyDescent="0.3">
      <c r="B14" s="6" t="s">
        <v>392</v>
      </c>
      <c r="C14" s="7" t="s">
        <v>1215</v>
      </c>
    </row>
    <row r="15" spans="2:3" s="12" customFormat="1" ht="17.25" customHeight="1" thickBot="1" x14ac:dyDescent="0.3">
      <c r="B15" s="135" t="s">
        <v>485</v>
      </c>
      <c r="C15" s="7" t="s">
        <v>1230</v>
      </c>
    </row>
    <row r="16" spans="2:3" s="12" customFormat="1" ht="17.25" customHeight="1" thickBot="1" x14ac:dyDescent="0.3">
      <c r="B16" s="135" t="s">
        <v>2477</v>
      </c>
      <c r="C16" s="7" t="s">
        <v>1215</v>
      </c>
    </row>
    <row r="17" spans="2:3" ht="15.75" thickBot="1" x14ac:dyDescent="0.3">
      <c r="B17" s="31" t="s">
        <v>289</v>
      </c>
      <c r="C17" s="53"/>
    </row>
    <row r="18" spans="2:3" ht="15.75" thickBot="1" x14ac:dyDescent="0.3">
      <c r="B18" s="6" t="s">
        <v>290</v>
      </c>
      <c r="C18" s="7" t="s">
        <v>1215</v>
      </c>
    </row>
    <row r="19" spans="2:3" ht="15.75" thickBot="1" x14ac:dyDescent="0.3">
      <c r="B19" s="6" t="s">
        <v>291</v>
      </c>
      <c r="C19" s="7" t="s">
        <v>1230</v>
      </c>
    </row>
    <row r="20" spans="2:3" ht="15.75" thickBot="1" x14ac:dyDescent="0.3">
      <c r="B20" s="6" t="s">
        <v>486</v>
      </c>
      <c r="C20" s="7" t="s">
        <v>1230</v>
      </c>
    </row>
    <row r="21" spans="2:3" ht="15.75" thickBot="1" x14ac:dyDescent="0.3">
      <c r="B21" s="31" t="s">
        <v>22</v>
      </c>
      <c r="C21" s="53"/>
    </row>
    <row r="22" spans="2:3" ht="15.75" thickBot="1" x14ac:dyDescent="0.3">
      <c r="B22" s="6" t="s">
        <v>17</v>
      </c>
      <c r="C22" s="7" t="s">
        <v>1231</v>
      </c>
    </row>
    <row r="23" spans="2:3" ht="15.75" thickBot="1" x14ac:dyDescent="0.3">
      <c r="B23" s="6" t="s">
        <v>18</v>
      </c>
      <c r="C23" s="7" t="s">
        <v>1232</v>
      </c>
    </row>
    <row r="24" spans="2:3" ht="15.75" thickBot="1" x14ac:dyDescent="0.3">
      <c r="B24" s="31" t="s">
        <v>316</v>
      </c>
      <c r="C24" s="53"/>
    </row>
    <row r="25" spans="2:3" ht="15.75" thickBot="1" x14ac:dyDescent="0.3">
      <c r="B25" s="6" t="s">
        <v>317</v>
      </c>
      <c r="C25" s="72"/>
    </row>
    <row r="26" spans="2:3" ht="15.75" thickBot="1" x14ac:dyDescent="0.3"/>
    <row r="27" spans="2:3" ht="15.75" thickBot="1" x14ac:dyDescent="0.3">
      <c r="B27" s="419" t="s">
        <v>37</v>
      </c>
      <c r="C27" s="420"/>
    </row>
    <row r="28" spans="2:3" x14ac:dyDescent="0.25">
      <c r="B28" s="413" t="s">
        <v>1233</v>
      </c>
      <c r="C28" s="414"/>
    </row>
    <row r="29" spans="2:3" x14ac:dyDescent="0.25">
      <c r="B29" s="415"/>
      <c r="C29" s="416"/>
    </row>
    <row r="30" spans="2:3" x14ac:dyDescent="0.25">
      <c r="B30" s="415"/>
      <c r="C30" s="416"/>
    </row>
    <row r="31" spans="2:3" x14ac:dyDescent="0.25">
      <c r="B31" s="415"/>
      <c r="C31" s="416"/>
    </row>
    <row r="32" spans="2:3" x14ac:dyDescent="0.25">
      <c r="B32" s="415"/>
      <c r="C32" s="416"/>
    </row>
    <row r="33" spans="2:3" x14ac:dyDescent="0.25">
      <c r="B33" s="415"/>
      <c r="C33" s="416"/>
    </row>
    <row r="34" spans="2:3" x14ac:dyDescent="0.25">
      <c r="B34" s="415"/>
      <c r="C34" s="416"/>
    </row>
    <row r="35" spans="2:3" ht="15.75" thickBot="1" x14ac:dyDescent="0.3">
      <c r="B35" s="417"/>
      <c r="C35" s="418"/>
    </row>
    <row r="36" spans="2:3" ht="15.75" thickBot="1" x14ac:dyDescent="0.3"/>
    <row r="37" spans="2:3" ht="15.75" thickBot="1" x14ac:dyDescent="0.3">
      <c r="B37" s="28" t="s">
        <v>270</v>
      </c>
      <c r="C37" s="29" t="s">
        <v>1234</v>
      </c>
    </row>
    <row r="38" spans="2:3" ht="15.75" thickBot="1" x14ac:dyDescent="0.3">
      <c r="B38" s="28" t="s">
        <v>269</v>
      </c>
      <c r="C38" s="29" t="s">
        <v>1234</v>
      </c>
    </row>
    <row r="39" spans="2:3" ht="15.75" thickBot="1" x14ac:dyDescent="0.3">
      <c r="B39" s="28" t="s">
        <v>267</v>
      </c>
      <c r="C39" s="69"/>
    </row>
    <row r="40" spans="2:3" ht="15.75" thickBot="1" x14ac:dyDescent="0.3">
      <c r="B40" s="28" t="s">
        <v>292</v>
      </c>
      <c r="C40" s="69" t="s">
        <v>1235</v>
      </c>
    </row>
    <row r="41" spans="2:3" ht="15.75" thickBot="1" x14ac:dyDescent="0.3">
      <c r="B41" s="28"/>
      <c r="C41" s="52"/>
    </row>
    <row r="42" spans="2:3" ht="15.75" thickBot="1" x14ac:dyDescent="0.3">
      <c r="B42" s="28" t="s">
        <v>82</v>
      </c>
      <c r="C42" s="30" t="s">
        <v>537</v>
      </c>
    </row>
    <row r="43" spans="2:3" ht="15.75" thickBot="1" x14ac:dyDescent="0.3">
      <c r="B43" s="28" t="s">
        <v>268</v>
      </c>
      <c r="C43" s="29" t="s">
        <v>1234</v>
      </c>
    </row>
    <row r="44" spans="2:3" ht="15.75" thickBot="1" x14ac:dyDescent="0.3"/>
    <row r="45" spans="2:3" ht="15.75" thickBot="1" x14ac:dyDescent="0.3">
      <c r="B45" s="28" t="s">
        <v>271</v>
      </c>
      <c r="C45" s="29" t="s">
        <v>1234</v>
      </c>
    </row>
  </sheetData>
  <mergeCells count="3">
    <mergeCell ref="B28:C35"/>
    <mergeCell ref="B27:C27"/>
    <mergeCell ref="B2:C2"/>
  </mergeCells>
  <pageMargins left="0.7" right="0.7" top="0.75" bottom="0.75" header="0.3" footer="0.3"/>
  <pageSetup paperSize="256" orientation="portrait" horizontalDpi="203" verticalDpi="20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1DE91-C5EF-46CE-A195-B562FC0D7ACE}">
  <sheetPr codeName="Sheet6">
    <pageSetUpPr fitToPage="1"/>
  </sheetPr>
  <dimension ref="A1:F42"/>
  <sheetViews>
    <sheetView showGridLines="0" workbookViewId="0">
      <selection activeCell="C29" sqref="C29"/>
    </sheetView>
  </sheetViews>
  <sheetFormatPr defaultColWidth="9.140625" defaultRowHeight="15" x14ac:dyDescent="0.25"/>
  <cols>
    <col min="1" max="1" width="9.140625" style="45"/>
    <col min="2" max="2" width="49.140625" style="45" customWidth="1"/>
    <col min="3" max="3" width="74" style="45" customWidth="1"/>
    <col min="4" max="4" width="13.42578125" style="45" customWidth="1"/>
    <col min="5" max="5" width="55.5703125" style="45" customWidth="1"/>
    <col min="6" max="6" width="43.140625" style="45" customWidth="1"/>
    <col min="7" max="16384" width="9.140625" style="45"/>
  </cols>
  <sheetData>
    <row r="1" spans="1:6" ht="15.75" thickBot="1" x14ac:dyDescent="0.3">
      <c r="B1" s="114" t="s">
        <v>376</v>
      </c>
      <c r="C1" s="115"/>
    </row>
    <row r="2" spans="1:6" ht="15.75" thickBot="1" x14ac:dyDescent="0.3">
      <c r="B2" s="421" t="str">
        <f>'2. Items to Test'!C2</f>
        <v>1270. 14 BMW X5 SUV (F15) 4.4TT (N63) Auto (Sophisto Gray) AWD (71781)</v>
      </c>
      <c r="C2" s="422"/>
    </row>
    <row r="3" spans="1:6" ht="15.75" thickBot="1" x14ac:dyDescent="0.3">
      <c r="B3" s="116" t="s">
        <v>23</v>
      </c>
      <c r="C3" s="117"/>
      <c r="E3" s="426" t="s">
        <v>524</v>
      </c>
      <c r="F3" s="427"/>
    </row>
    <row r="4" spans="1:6" ht="15.75" thickBot="1" x14ac:dyDescent="0.3">
      <c r="B4" s="118" t="s">
        <v>386</v>
      </c>
      <c r="C4" s="131"/>
      <c r="E4" s="440" t="s">
        <v>525</v>
      </c>
      <c r="F4" s="441"/>
    </row>
    <row r="5" spans="1:6" ht="15.75" thickBot="1" x14ac:dyDescent="0.3">
      <c r="B5" s="118" t="s">
        <v>387</v>
      </c>
      <c r="C5" s="132"/>
      <c r="E5" s="184"/>
      <c r="F5" s="186"/>
    </row>
    <row r="6" spans="1:6" ht="15.75" thickBot="1" x14ac:dyDescent="0.3">
      <c r="E6" s="184"/>
      <c r="F6" s="185"/>
    </row>
    <row r="7" spans="1:6" ht="15.75" thickBot="1" x14ac:dyDescent="0.3">
      <c r="B7" s="402" t="s">
        <v>377</v>
      </c>
      <c r="C7" s="404"/>
      <c r="E7" s="184"/>
      <c r="F7" s="185"/>
    </row>
    <row r="8" spans="1:6" ht="15" customHeight="1" thickBot="1" x14ac:dyDescent="0.3">
      <c r="B8" s="428"/>
      <c r="C8" s="429"/>
      <c r="E8" s="440" t="s">
        <v>526</v>
      </c>
      <c r="F8" s="441"/>
    </row>
    <row r="9" spans="1:6" ht="15" customHeight="1" thickBot="1" x14ac:dyDescent="0.3">
      <c r="B9" s="430"/>
      <c r="C9" s="431"/>
      <c r="E9" s="184"/>
      <c r="F9" s="185"/>
    </row>
    <row r="10" spans="1:6" ht="15" customHeight="1" thickBot="1" x14ac:dyDescent="0.3">
      <c r="B10" s="430"/>
      <c r="C10" s="431"/>
      <c r="E10" s="184"/>
      <c r="F10" s="185"/>
    </row>
    <row r="11" spans="1:6" ht="15.75" customHeight="1" thickBot="1" x14ac:dyDescent="0.3">
      <c r="B11" s="432"/>
      <c r="C11" s="433"/>
      <c r="E11" s="184"/>
      <c r="F11" s="185"/>
    </row>
    <row r="12" spans="1:6" ht="15.75" thickBot="1" x14ac:dyDescent="0.3"/>
    <row r="13" spans="1:6" ht="15.75" thickBot="1" x14ac:dyDescent="0.3">
      <c r="B13" s="434" t="s">
        <v>378</v>
      </c>
      <c r="C13" s="435"/>
      <c r="D13" s="115"/>
    </row>
    <row r="14" spans="1:6" ht="15.75" thickBot="1" x14ac:dyDescent="0.3">
      <c r="B14" s="120" t="s">
        <v>379</v>
      </c>
      <c r="C14" s="121" t="s">
        <v>380</v>
      </c>
      <c r="D14" s="436" t="s">
        <v>381</v>
      </c>
      <c r="E14" s="436"/>
      <c r="F14" s="122"/>
    </row>
    <row r="15" spans="1:6" ht="17.100000000000001" customHeight="1" x14ac:dyDescent="0.25">
      <c r="A15" s="123">
        <v>1</v>
      </c>
      <c r="B15" s="124"/>
      <c r="C15" s="125"/>
      <c r="D15" s="437"/>
      <c r="E15" s="438"/>
      <c r="F15" s="439"/>
    </row>
    <row r="16" spans="1:6" ht="17.100000000000001" customHeight="1" x14ac:dyDescent="0.25">
      <c r="A16" s="123">
        <v>2</v>
      </c>
      <c r="B16" s="126"/>
      <c r="C16" s="127"/>
      <c r="D16" s="423"/>
      <c r="E16" s="424"/>
      <c r="F16" s="425"/>
    </row>
    <row r="17" spans="1:6" ht="17.100000000000001" customHeight="1" x14ac:dyDescent="0.25">
      <c r="A17" s="123">
        <v>3</v>
      </c>
      <c r="B17" s="126"/>
      <c r="C17" s="127"/>
      <c r="D17" s="423"/>
      <c r="E17" s="424"/>
      <c r="F17" s="425"/>
    </row>
    <row r="18" spans="1:6" ht="17.100000000000001" customHeight="1" x14ac:dyDescent="0.25">
      <c r="A18" s="123">
        <v>4</v>
      </c>
      <c r="B18" s="126"/>
      <c r="C18" s="127"/>
      <c r="D18" s="423"/>
      <c r="E18" s="424"/>
      <c r="F18" s="425"/>
    </row>
    <row r="19" spans="1:6" ht="17.100000000000001" customHeight="1" x14ac:dyDescent="0.25">
      <c r="A19" s="123">
        <v>5</v>
      </c>
      <c r="B19" s="126"/>
      <c r="C19" s="127"/>
      <c r="D19" s="423"/>
      <c r="E19" s="424"/>
      <c r="F19" s="425"/>
    </row>
    <row r="20" spans="1:6" ht="17.100000000000001" customHeight="1" x14ac:dyDescent="0.25">
      <c r="A20" s="123">
        <v>6</v>
      </c>
      <c r="B20" s="126"/>
      <c r="C20" s="127"/>
      <c r="D20" s="423"/>
      <c r="E20" s="424"/>
      <c r="F20" s="425"/>
    </row>
    <row r="21" spans="1:6" ht="17.100000000000001" customHeight="1" x14ac:dyDescent="0.25">
      <c r="A21" s="123">
        <v>7</v>
      </c>
      <c r="B21" s="126"/>
      <c r="C21" s="127"/>
      <c r="D21" s="423"/>
      <c r="E21" s="424"/>
      <c r="F21" s="425"/>
    </row>
    <row r="22" spans="1:6" ht="17.100000000000001" customHeight="1" x14ac:dyDescent="0.25">
      <c r="A22" s="123">
        <v>8</v>
      </c>
      <c r="B22" s="126"/>
      <c r="C22" s="127"/>
      <c r="D22" s="423"/>
      <c r="E22" s="424"/>
      <c r="F22" s="425"/>
    </row>
    <row r="23" spans="1:6" ht="17.100000000000001" customHeight="1" x14ac:dyDescent="0.25">
      <c r="A23" s="123">
        <v>9</v>
      </c>
      <c r="B23" s="126"/>
      <c r="C23" s="127"/>
      <c r="D23" s="423"/>
      <c r="E23" s="424"/>
      <c r="F23" s="425"/>
    </row>
    <row r="24" spans="1:6" ht="17.100000000000001" customHeight="1" x14ac:dyDescent="0.25">
      <c r="A24" s="123">
        <v>10</v>
      </c>
      <c r="B24" s="126"/>
      <c r="C24" s="127"/>
      <c r="D24" s="423"/>
      <c r="E24" s="424"/>
      <c r="F24" s="425"/>
    </row>
    <row r="25" spans="1:6" ht="15.75" thickBot="1" x14ac:dyDescent="0.3"/>
    <row r="26" spans="1:6" ht="15.75" thickBot="1" x14ac:dyDescent="0.3">
      <c r="B26" s="114" t="s">
        <v>382</v>
      </c>
      <c r="C26" s="119"/>
      <c r="D26" s="115"/>
    </row>
    <row r="27" spans="1:6" ht="15.75" thickBot="1" x14ac:dyDescent="0.3">
      <c r="B27" s="120" t="s">
        <v>0</v>
      </c>
      <c r="C27" s="128" t="s">
        <v>80</v>
      </c>
      <c r="D27" s="121" t="s">
        <v>383</v>
      </c>
      <c r="E27" s="121" t="s">
        <v>384</v>
      </c>
      <c r="F27" s="122" t="s">
        <v>385</v>
      </c>
    </row>
    <row r="28" spans="1:6" ht="18.75" x14ac:dyDescent="0.3">
      <c r="A28" s="123">
        <v>1</v>
      </c>
      <c r="B28" s="150"/>
      <c r="C28" s="150"/>
      <c r="D28" s="129"/>
      <c r="E28" s="126"/>
      <c r="F28" s="126"/>
    </row>
    <row r="29" spans="1:6" ht="18.75" x14ac:dyDescent="0.3">
      <c r="A29" s="123">
        <v>2</v>
      </c>
      <c r="B29" s="150"/>
      <c r="C29" s="150"/>
      <c r="D29" s="130"/>
      <c r="E29" s="126"/>
      <c r="F29" s="126"/>
    </row>
    <row r="30" spans="1:6" ht="18.75" x14ac:dyDescent="0.3">
      <c r="A30" s="123">
        <v>3</v>
      </c>
      <c r="B30" s="150"/>
      <c r="C30" s="150"/>
      <c r="D30" s="130"/>
      <c r="E30" s="126"/>
      <c r="F30" s="126"/>
    </row>
    <row r="31" spans="1:6" ht="18.75" x14ac:dyDescent="0.3">
      <c r="A31" s="123">
        <v>4</v>
      </c>
      <c r="B31" s="150"/>
      <c r="C31" s="150"/>
      <c r="D31" s="130"/>
      <c r="E31" s="126"/>
      <c r="F31" s="126"/>
    </row>
    <row r="32" spans="1:6" ht="18.75" x14ac:dyDescent="0.3">
      <c r="A32" s="123">
        <v>5</v>
      </c>
      <c r="B32" s="150"/>
      <c r="C32" s="150"/>
      <c r="D32" s="130"/>
      <c r="E32" s="126"/>
      <c r="F32" s="126"/>
    </row>
    <row r="33" spans="1:6" ht="18.75" x14ac:dyDescent="0.3">
      <c r="A33" s="123">
        <v>6</v>
      </c>
      <c r="B33" s="150"/>
      <c r="C33" s="150"/>
      <c r="D33" s="129"/>
      <c r="E33" s="126"/>
      <c r="F33" s="126"/>
    </row>
    <row r="34" spans="1:6" ht="18.75" x14ac:dyDescent="0.3">
      <c r="A34" s="123">
        <v>7</v>
      </c>
      <c r="B34" s="150"/>
      <c r="C34" s="150"/>
      <c r="D34" s="130"/>
      <c r="E34" s="126"/>
      <c r="F34" s="126"/>
    </row>
    <row r="35" spans="1:6" ht="18.75" x14ac:dyDescent="0.3">
      <c r="A35" s="123">
        <v>8</v>
      </c>
      <c r="B35" s="150"/>
      <c r="C35" s="150"/>
      <c r="D35" s="130"/>
      <c r="E35" s="126"/>
      <c r="F35" s="126"/>
    </row>
    <row r="36" spans="1:6" ht="18.75" x14ac:dyDescent="0.3">
      <c r="A36" s="123">
        <v>9</v>
      </c>
      <c r="B36" s="148"/>
      <c r="C36" s="148"/>
      <c r="D36" s="130"/>
      <c r="E36" s="126"/>
      <c r="F36" s="126"/>
    </row>
    <row r="37" spans="1:6" ht="18.75" x14ac:dyDescent="0.3">
      <c r="A37" s="123">
        <v>10</v>
      </c>
      <c r="B37" s="150"/>
      <c r="C37" s="150"/>
      <c r="D37" s="130"/>
      <c r="E37" s="126"/>
      <c r="F37" s="126"/>
    </row>
    <row r="38" spans="1:6" ht="18.75" x14ac:dyDescent="0.3">
      <c r="A38" s="123">
        <v>11</v>
      </c>
      <c r="B38" s="148"/>
      <c r="C38" s="148"/>
      <c r="D38" s="130"/>
      <c r="E38" s="126"/>
      <c r="F38" s="126"/>
    </row>
    <row r="39" spans="1:6" ht="17.100000000000001" customHeight="1" x14ac:dyDescent="0.25"/>
    <row r="40" spans="1:6" ht="17.100000000000001" customHeight="1" x14ac:dyDescent="0.25"/>
    <row r="41" spans="1:6" ht="17.100000000000001" customHeight="1" x14ac:dyDescent="0.25"/>
    <row r="42" spans="1:6" ht="17.100000000000001" customHeight="1" x14ac:dyDescent="0.25"/>
  </sheetData>
  <mergeCells count="18">
    <mergeCell ref="D19:F19"/>
    <mergeCell ref="B2:C2"/>
    <mergeCell ref="E3:F3"/>
    <mergeCell ref="B7:C7"/>
    <mergeCell ref="B8:C11"/>
    <mergeCell ref="B13:C13"/>
    <mergeCell ref="D14:E14"/>
    <mergeCell ref="D15:F15"/>
    <mergeCell ref="D16:F16"/>
    <mergeCell ref="D17:F17"/>
    <mergeCell ref="D18:F18"/>
    <mergeCell ref="E4:F4"/>
    <mergeCell ref="E8:F8"/>
    <mergeCell ref="D20:F20"/>
    <mergeCell ref="D21:F21"/>
    <mergeCell ref="D22:F22"/>
    <mergeCell ref="D23:F23"/>
    <mergeCell ref="D24:F24"/>
  </mergeCells>
  <conditionalFormatting sqref="B15:F24">
    <cfRule type="expression" dxfId="2" priority="3">
      <formula>MOD(ROW(),2)</formula>
    </cfRule>
  </conditionalFormatting>
  <conditionalFormatting sqref="B28:F38">
    <cfRule type="expression" dxfId="1" priority="4">
      <formula>MOD(ROW(),2)</formula>
    </cfRule>
  </conditionalFormatting>
  <pageMargins left="0.7" right="0.7" top="0.75" bottom="0.75" header="0.3" footer="0.3"/>
  <pageSetup scale="10" orientation="landscape" horizont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B1:F20"/>
  <sheetViews>
    <sheetView zoomScale="80" zoomScaleNormal="80" workbookViewId="0">
      <selection activeCell="S43" sqref="S43"/>
    </sheetView>
  </sheetViews>
  <sheetFormatPr defaultColWidth="9.140625" defaultRowHeight="15" x14ac:dyDescent="0.25"/>
  <cols>
    <col min="1" max="1" width="2" customWidth="1"/>
    <col min="2" max="2" width="19" customWidth="1"/>
    <col min="3" max="3" width="17.42578125" customWidth="1"/>
    <col min="4" max="4" width="72.42578125" bestFit="1" customWidth="1"/>
    <col min="5" max="5" width="10.5703125" bestFit="1" customWidth="1"/>
    <col min="6" max="6" width="67.42578125" customWidth="1"/>
  </cols>
  <sheetData>
    <row r="1" spans="2:6" ht="19.5" thickBot="1" x14ac:dyDescent="0.35">
      <c r="B1" s="442" t="s">
        <v>79</v>
      </c>
      <c r="C1" s="443"/>
      <c r="D1" s="444"/>
      <c r="E1" s="139"/>
      <c r="F1" s="139"/>
    </row>
    <row r="2" spans="2:6" ht="19.5" thickBot="1" x14ac:dyDescent="0.35">
      <c r="B2" s="445" t="str">
        <f>'2. Items to Test'!C2</f>
        <v>1270. 14 BMW X5 SUV (F15) 4.4TT (N63) Auto (Sophisto Gray) AWD (71781)</v>
      </c>
      <c r="C2" s="446"/>
      <c r="D2" s="446"/>
      <c r="E2" s="447"/>
      <c r="F2" s="140"/>
    </row>
    <row r="3" spans="2:6" ht="18.75" x14ac:dyDescent="0.3">
      <c r="B3" s="141" t="s">
        <v>4</v>
      </c>
      <c r="C3" s="142" t="s">
        <v>1</v>
      </c>
      <c r="D3" s="142" t="s">
        <v>0</v>
      </c>
      <c r="E3" s="143" t="s">
        <v>3</v>
      </c>
      <c r="F3" s="143" t="s">
        <v>80</v>
      </c>
    </row>
    <row r="4" spans="2:6" ht="18.75" x14ac:dyDescent="0.3">
      <c r="B4" s="144"/>
      <c r="C4" s="145"/>
      <c r="D4" s="145"/>
      <c r="E4" s="146"/>
      <c r="F4" s="145"/>
    </row>
    <row r="5" spans="2:6" ht="18.75" x14ac:dyDescent="0.3">
      <c r="B5" s="144"/>
      <c r="C5" s="145"/>
      <c r="D5" s="145"/>
      <c r="E5" s="145"/>
      <c r="F5" s="145"/>
    </row>
    <row r="6" spans="2:6" ht="18.75" x14ac:dyDescent="0.3">
      <c r="B6" s="144"/>
      <c r="C6" s="145"/>
      <c r="D6" s="145"/>
      <c r="E6" s="145"/>
      <c r="F6" s="145"/>
    </row>
    <row r="7" spans="2:6" ht="18.75" x14ac:dyDescent="0.3">
      <c r="B7" s="144"/>
      <c r="C7" s="145"/>
      <c r="D7" s="145"/>
      <c r="E7" s="145"/>
      <c r="F7" s="145"/>
    </row>
    <row r="8" spans="2:6" ht="18.75" x14ac:dyDescent="0.3">
      <c r="B8" s="149"/>
      <c r="C8" s="150"/>
      <c r="D8" s="150"/>
      <c r="E8" s="151"/>
      <c r="F8" s="150"/>
    </row>
    <row r="9" spans="2:6" ht="18.75" x14ac:dyDescent="0.3">
      <c r="B9" s="149"/>
      <c r="C9" s="150"/>
      <c r="D9" s="150"/>
      <c r="E9" s="152"/>
      <c r="F9" s="150"/>
    </row>
    <row r="10" spans="2:6" ht="18.75" x14ac:dyDescent="0.3">
      <c r="B10" s="149"/>
      <c r="C10" s="150"/>
      <c r="D10" s="150"/>
      <c r="E10" s="151"/>
      <c r="F10" s="150"/>
    </row>
    <row r="11" spans="2:6" ht="18.75" x14ac:dyDescent="0.3">
      <c r="B11" s="149"/>
      <c r="C11" s="150"/>
      <c r="D11" s="150"/>
      <c r="E11" s="152"/>
      <c r="F11" s="150"/>
    </row>
    <row r="12" spans="2:6" ht="18.75" x14ac:dyDescent="0.3">
      <c r="B12" s="149"/>
      <c r="C12" s="150"/>
      <c r="D12" s="150"/>
      <c r="E12" s="150"/>
      <c r="F12" s="150"/>
    </row>
    <row r="13" spans="2:6" ht="18.75" x14ac:dyDescent="0.3">
      <c r="B13" s="149"/>
      <c r="C13" s="150"/>
      <c r="D13" s="150"/>
      <c r="E13" s="150"/>
      <c r="F13" s="150"/>
    </row>
    <row r="14" spans="2:6" ht="18.75" x14ac:dyDescent="0.3">
      <c r="B14" s="149"/>
      <c r="C14" s="150"/>
      <c r="D14" s="150"/>
      <c r="E14" s="150"/>
      <c r="F14" s="150"/>
    </row>
    <row r="15" spans="2:6" ht="18.75" x14ac:dyDescent="0.3">
      <c r="B15" s="149"/>
      <c r="C15" s="150"/>
      <c r="D15" s="150"/>
      <c r="E15" s="152"/>
      <c r="F15" s="150"/>
    </row>
    <row r="16" spans="2:6" ht="18.75" x14ac:dyDescent="0.3">
      <c r="B16" s="144"/>
      <c r="C16" s="145"/>
      <c r="D16" s="145"/>
      <c r="E16" s="146"/>
      <c r="F16" s="145"/>
    </row>
    <row r="17" spans="2:6" ht="18.75" x14ac:dyDescent="0.3">
      <c r="B17" s="149"/>
      <c r="C17" s="150"/>
      <c r="D17" s="150"/>
      <c r="E17" s="152"/>
      <c r="F17" s="150"/>
    </row>
    <row r="18" spans="2:6" ht="18.75" x14ac:dyDescent="0.3">
      <c r="B18" s="147"/>
      <c r="C18" s="148"/>
      <c r="D18" s="148"/>
      <c r="E18" s="148"/>
      <c r="F18" s="148"/>
    </row>
    <row r="19" spans="2:6" ht="18.75" x14ac:dyDescent="0.3">
      <c r="B19" s="144"/>
      <c r="C19" s="145"/>
      <c r="D19" s="145"/>
      <c r="E19" s="145"/>
      <c r="F19" s="145"/>
    </row>
    <row r="20" spans="2:6" ht="18.75" x14ac:dyDescent="0.3">
      <c r="B20" s="149"/>
      <c r="C20" s="150"/>
      <c r="D20" s="150"/>
      <c r="E20" s="150"/>
      <c r="F20" s="150"/>
    </row>
  </sheetData>
  <autoFilter ref="B3:N20" xr:uid="{00000000-0001-0000-0800-000000000000}"/>
  <mergeCells count="2">
    <mergeCell ref="B1:D1"/>
    <mergeCell ref="B2:E2"/>
  </mergeCells>
  <conditionalFormatting sqref="B4:F20">
    <cfRule type="expression" dxfId="0" priority="1">
      <formula>MOD(ROW(),2)=0</formula>
    </cfRule>
  </conditionalFormatting>
  <pageMargins left="0.7" right="0.7" top="0.75" bottom="0.75" header="0.3" footer="0.3"/>
  <pageSetup scale="10" orientation="landscape" horizontalDpi="429496729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B1:D19"/>
  <sheetViews>
    <sheetView showGridLines="0" workbookViewId="0">
      <selection activeCell="C21" sqref="C21"/>
    </sheetView>
  </sheetViews>
  <sheetFormatPr defaultRowHeight="15" x14ac:dyDescent="0.25"/>
  <cols>
    <col min="2" max="2" width="46.42578125" customWidth="1"/>
    <col min="3" max="3" width="74.28515625" customWidth="1"/>
    <col min="4" max="4" width="20.140625" customWidth="1"/>
  </cols>
  <sheetData>
    <row r="1" spans="2:4" ht="15.75" thickBot="1" x14ac:dyDescent="0.3"/>
    <row r="2" spans="2:4" ht="15.75" thickBot="1" x14ac:dyDescent="0.3">
      <c r="B2" s="20" t="s">
        <v>64</v>
      </c>
      <c r="C2" s="21"/>
    </row>
    <row r="3" spans="2:4" ht="15.75" thickBot="1" x14ac:dyDescent="0.3">
      <c r="B3" s="22" t="s">
        <v>65</v>
      </c>
      <c r="C3" s="67" t="s">
        <v>399</v>
      </c>
    </row>
    <row r="4" spans="2:4" ht="15.75" thickBot="1" x14ac:dyDescent="0.3">
      <c r="B4" s="22" t="s">
        <v>66</v>
      </c>
      <c r="C4" s="24">
        <v>14.5038</v>
      </c>
      <c r="D4" s="25"/>
    </row>
    <row r="5" spans="2:4" ht="15.75" thickBot="1" x14ac:dyDescent="0.3">
      <c r="B5" s="22"/>
      <c r="C5" s="50" t="s">
        <v>67</v>
      </c>
      <c r="D5" s="51" t="s">
        <v>68</v>
      </c>
    </row>
    <row r="6" spans="2:4" ht="15.75" thickBot="1" x14ac:dyDescent="0.3">
      <c r="B6" s="136" t="s">
        <v>69</v>
      </c>
      <c r="C6" s="26">
        <v>10</v>
      </c>
      <c r="D6" s="137">
        <f>C6*C4</f>
        <v>145.03800000000001</v>
      </c>
    </row>
    <row r="7" spans="2:4" ht="15.75" thickBot="1" x14ac:dyDescent="0.3">
      <c r="B7" s="136" t="s">
        <v>70</v>
      </c>
      <c r="C7" s="26">
        <v>16</v>
      </c>
      <c r="D7" s="137">
        <f>C7*C4</f>
        <v>232.0608</v>
      </c>
    </row>
    <row r="8" spans="2:4" ht="15.75" thickBot="1" x14ac:dyDescent="0.3">
      <c r="B8" s="136" t="s">
        <v>71</v>
      </c>
      <c r="C8" s="26" t="s">
        <v>400</v>
      </c>
      <c r="D8" s="137" t="s">
        <v>401</v>
      </c>
    </row>
    <row r="9" spans="2:4" ht="15.75" thickBot="1" x14ac:dyDescent="0.3">
      <c r="B9" s="136" t="s">
        <v>72</v>
      </c>
      <c r="C9" s="26">
        <v>2</v>
      </c>
      <c r="D9" s="137">
        <f>C9*C4</f>
        <v>29.0076</v>
      </c>
    </row>
    <row r="10" spans="2:4" ht="15.75" thickBot="1" x14ac:dyDescent="0.3">
      <c r="B10" s="1"/>
      <c r="C10" s="27"/>
    </row>
    <row r="11" spans="2:4" ht="15.75" thickBot="1" x14ac:dyDescent="0.3">
      <c r="B11" s="106" t="s">
        <v>73</v>
      </c>
      <c r="C11" s="107" t="s">
        <v>74</v>
      </c>
      <c r="D11" s="51" t="s">
        <v>75</v>
      </c>
    </row>
    <row r="12" spans="2:4" x14ac:dyDescent="0.25">
      <c r="B12" s="108">
        <v>1</v>
      </c>
      <c r="C12" s="109"/>
      <c r="D12" s="110"/>
    </row>
    <row r="13" spans="2:4" x14ac:dyDescent="0.25">
      <c r="B13" s="103">
        <v>2</v>
      </c>
      <c r="C13" s="10"/>
      <c r="D13" s="111"/>
    </row>
    <row r="14" spans="2:4" x14ac:dyDescent="0.25">
      <c r="B14" s="103">
        <v>3</v>
      </c>
      <c r="C14" s="10"/>
      <c r="D14" s="111"/>
    </row>
    <row r="15" spans="2:4" x14ac:dyDescent="0.25">
      <c r="B15" s="112">
        <v>4</v>
      </c>
      <c r="C15" s="10"/>
      <c r="D15" s="111"/>
    </row>
    <row r="16" spans="2:4" x14ac:dyDescent="0.25">
      <c r="B16" s="103">
        <v>5</v>
      </c>
      <c r="C16" s="10"/>
      <c r="D16" s="111"/>
    </row>
    <row r="17" spans="2:4" x14ac:dyDescent="0.25">
      <c r="B17" s="103">
        <v>6</v>
      </c>
      <c r="C17" s="10"/>
      <c r="D17" s="111"/>
    </row>
    <row r="19" spans="2:4" x14ac:dyDescent="0.25">
      <c r="B19" t="s">
        <v>76</v>
      </c>
    </row>
  </sheetData>
  <pageMargins left="0.7" right="0.7" top="0.75" bottom="0.75" header="0.3" footer="0.3"/>
  <pageSetup scale="81" orientation="landscape" horizontalDpi="429496729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1">
    <pageSetUpPr fitToPage="1"/>
  </sheetPr>
  <dimension ref="A2:B60"/>
  <sheetViews>
    <sheetView showGridLines="0" workbookViewId="0">
      <selection activeCell="C4" sqref="C4"/>
    </sheetView>
  </sheetViews>
  <sheetFormatPr defaultRowHeight="15" x14ac:dyDescent="0.25"/>
  <cols>
    <col min="1" max="1" width="12.42578125" style="5" bestFit="1" customWidth="1"/>
    <col min="2" max="2" width="104.28515625" customWidth="1"/>
  </cols>
  <sheetData>
    <row r="2" spans="1:2" s="12" customFormat="1" ht="75" x14ac:dyDescent="0.25">
      <c r="A2" s="14" t="s">
        <v>29</v>
      </c>
      <c r="B2" s="13" t="s">
        <v>51</v>
      </c>
    </row>
    <row r="4" spans="1:2" s="12" customFormat="1" ht="30" x14ac:dyDescent="0.25">
      <c r="A4" s="14" t="s">
        <v>30</v>
      </c>
      <c r="B4" s="13" t="s">
        <v>52</v>
      </c>
    </row>
    <row r="6" spans="1:2" s="12" customFormat="1" x14ac:dyDescent="0.25">
      <c r="A6" s="14" t="s">
        <v>31</v>
      </c>
      <c r="B6" s="13" t="s">
        <v>53</v>
      </c>
    </row>
    <row r="8" spans="1:2" s="12" customFormat="1" ht="45" x14ac:dyDescent="0.25">
      <c r="A8" s="14" t="s">
        <v>32</v>
      </c>
      <c r="B8" s="13" t="s">
        <v>57</v>
      </c>
    </row>
    <row r="10" spans="1:2" s="12" customFormat="1" ht="30" x14ac:dyDescent="0.25">
      <c r="A10" s="14" t="s">
        <v>33</v>
      </c>
      <c r="B10" s="13" t="s">
        <v>266</v>
      </c>
    </row>
    <row r="12" spans="1:2" s="12" customFormat="1" ht="154.5" customHeight="1" x14ac:dyDescent="0.25">
      <c r="A12" s="14" t="s">
        <v>34</v>
      </c>
      <c r="B12" s="13" t="s">
        <v>365</v>
      </c>
    </row>
    <row r="13" spans="1:2" s="12" customFormat="1" ht="69" customHeight="1" x14ac:dyDescent="0.25">
      <c r="A13" s="14" t="s">
        <v>359</v>
      </c>
      <c r="B13" s="13" t="s">
        <v>363</v>
      </c>
    </row>
    <row r="14" spans="1:2" s="12" customFormat="1" ht="79.5" customHeight="1" x14ac:dyDescent="0.25">
      <c r="A14" s="14" t="s">
        <v>360</v>
      </c>
      <c r="B14" s="13" t="s">
        <v>364</v>
      </c>
    </row>
    <row r="15" spans="1:2" s="12" customFormat="1" ht="53.25" customHeight="1" x14ac:dyDescent="0.25">
      <c r="A15" s="14" t="s">
        <v>366</v>
      </c>
      <c r="B15" s="13" t="s">
        <v>361</v>
      </c>
    </row>
    <row r="16" spans="1:2" s="12" customFormat="1" ht="53.25" customHeight="1" x14ac:dyDescent="0.25">
      <c r="A16" s="14" t="s">
        <v>367</v>
      </c>
      <c r="B16" s="13" t="s">
        <v>368</v>
      </c>
    </row>
    <row r="17" spans="1:2" s="12" customFormat="1" ht="58.5" customHeight="1" x14ac:dyDescent="0.25">
      <c r="A17" s="14" t="s">
        <v>369</v>
      </c>
      <c r="B17" s="13" t="s">
        <v>370</v>
      </c>
    </row>
    <row r="18" spans="1:2" s="12" customFormat="1" ht="114" customHeight="1" x14ac:dyDescent="0.25">
      <c r="A18" s="14" t="s">
        <v>371</v>
      </c>
      <c r="B18" s="13" t="s">
        <v>372</v>
      </c>
    </row>
    <row r="19" spans="1:2" s="12" customFormat="1" ht="80.25" customHeight="1" x14ac:dyDescent="0.25">
      <c r="A19" s="14" t="s">
        <v>373</v>
      </c>
      <c r="B19" s="13" t="s">
        <v>362</v>
      </c>
    </row>
    <row r="20" spans="1:2" s="12" customFormat="1" ht="132.75" customHeight="1" x14ac:dyDescent="0.25">
      <c r="A20" s="14" t="s">
        <v>374</v>
      </c>
      <c r="B20" s="13" t="s">
        <v>487</v>
      </c>
    </row>
    <row r="22" spans="1:2" s="12" customFormat="1" ht="30" x14ac:dyDescent="0.25">
      <c r="A22" s="14" t="s">
        <v>35</v>
      </c>
      <c r="B22" s="13" t="s">
        <v>331</v>
      </c>
    </row>
    <row r="24" spans="1:2" s="12" customFormat="1" x14ac:dyDescent="0.25">
      <c r="A24" s="14" t="s">
        <v>36</v>
      </c>
      <c r="B24" s="13"/>
    </row>
    <row r="26" spans="1:2" x14ac:dyDescent="0.25">
      <c r="A26" s="14" t="s">
        <v>293</v>
      </c>
      <c r="B26" s="13"/>
    </row>
    <row r="28" spans="1:2" x14ac:dyDescent="0.25">
      <c r="A28" s="14" t="s">
        <v>294</v>
      </c>
      <c r="B28" s="13"/>
    </row>
    <row r="30" spans="1:2" x14ac:dyDescent="0.25">
      <c r="A30" s="14" t="s">
        <v>295</v>
      </c>
      <c r="B30" s="13"/>
    </row>
    <row r="32" spans="1:2" x14ac:dyDescent="0.25">
      <c r="A32" s="14" t="s">
        <v>296</v>
      </c>
      <c r="B32" s="13"/>
    </row>
    <row r="34" spans="1:2" x14ac:dyDescent="0.25">
      <c r="A34" s="14" t="s">
        <v>297</v>
      </c>
      <c r="B34" s="13"/>
    </row>
    <row r="36" spans="1:2" ht="30" x14ac:dyDescent="0.25">
      <c r="A36" s="14" t="s">
        <v>298</v>
      </c>
      <c r="B36" s="13" t="s">
        <v>710</v>
      </c>
    </row>
    <row r="38" spans="1:2" x14ac:dyDescent="0.25">
      <c r="A38" s="14" t="s">
        <v>299</v>
      </c>
      <c r="B38" s="13"/>
    </row>
    <row r="40" spans="1:2" x14ac:dyDescent="0.25">
      <c r="A40" s="14" t="s">
        <v>300</v>
      </c>
      <c r="B40" s="13"/>
    </row>
    <row r="42" spans="1:2" x14ac:dyDescent="0.25">
      <c r="A42" s="14" t="s">
        <v>301</v>
      </c>
      <c r="B42" s="13"/>
    </row>
    <row r="44" spans="1:2" x14ac:dyDescent="0.25">
      <c r="A44" s="14" t="s">
        <v>302</v>
      </c>
      <c r="B44" s="13"/>
    </row>
    <row r="46" spans="1:2" x14ac:dyDescent="0.25">
      <c r="A46" s="14" t="s">
        <v>303</v>
      </c>
      <c r="B46" s="13"/>
    </row>
    <row r="48" spans="1:2" x14ac:dyDescent="0.25">
      <c r="A48" s="14" t="s">
        <v>304</v>
      </c>
      <c r="B48" s="13"/>
    </row>
    <row r="50" spans="1:2" x14ac:dyDescent="0.25">
      <c r="A50" s="14" t="s">
        <v>305</v>
      </c>
      <c r="B50" s="13"/>
    </row>
    <row r="52" spans="1:2" x14ac:dyDescent="0.25">
      <c r="A52" s="14" t="s">
        <v>306</v>
      </c>
      <c r="B52" s="13"/>
    </row>
    <row r="54" spans="1:2" x14ac:dyDescent="0.25">
      <c r="A54" s="14" t="s">
        <v>307</v>
      </c>
      <c r="B54" s="13"/>
    </row>
    <row r="56" spans="1:2" x14ac:dyDescent="0.25">
      <c r="A56" s="14" t="s">
        <v>308</v>
      </c>
      <c r="B56" s="13"/>
    </row>
    <row r="58" spans="1:2" x14ac:dyDescent="0.25">
      <c r="A58" s="14" t="s">
        <v>309</v>
      </c>
      <c r="B58" s="13"/>
    </row>
    <row r="60" spans="1:2" ht="30" x14ac:dyDescent="0.25">
      <c r="A60" s="14" t="s">
        <v>310</v>
      </c>
      <c r="B60" s="13" t="s">
        <v>311</v>
      </c>
    </row>
  </sheetData>
  <pageMargins left="0.7" right="0.7" top="0.75" bottom="0.75" header="0.3" footer="0.3"/>
  <pageSetup scale="3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vt:i4>
      </vt:variant>
    </vt:vector>
  </HeadingPairs>
  <TitlesOfParts>
    <vt:vector size="19" baseType="lpstr">
      <vt:lpstr>1. Template Stats</vt:lpstr>
      <vt:lpstr>2. Items to Test</vt:lpstr>
      <vt:lpstr>3. Keep &amp; Toss Items</vt:lpstr>
      <vt:lpstr>3A</vt:lpstr>
      <vt:lpstr>Sheet2</vt:lpstr>
      <vt:lpstr>Item# &amp; Tag#</vt:lpstr>
      <vt:lpstr>3C. Check for Part #</vt:lpstr>
      <vt:lpstr>3D. Pictures</vt:lpstr>
      <vt:lpstr>3D-1. Picture Count Check</vt:lpstr>
      <vt:lpstr>8. Option Codes Decrypted</vt:lpstr>
      <vt:lpstr>4. FLAWs &amp; PERMANENT NOTES</vt:lpstr>
      <vt:lpstr>5. Review &amp; Tester Info to Get</vt:lpstr>
      <vt:lpstr>6A. Dismantler Info &amp; Time</vt:lpstr>
      <vt:lpstr>6B. BAD or INSPECT</vt:lpstr>
      <vt:lpstr>6C. Engine Compression Results</vt:lpstr>
      <vt:lpstr>Tickmarks</vt:lpstr>
      <vt:lpstr>'2. Items to Test'!Print_Area</vt:lpstr>
      <vt:lpstr>'3. Keep &amp; Toss Items'!Print_Area</vt:lpstr>
      <vt:lpstr>'3. Keep &amp; Toss Items'!Print_Titles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2024-03-04T21:32:12Z</dcterms:modified>
</cp:coreProperties>
</file>